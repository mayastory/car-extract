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Winter Test\Desktop\Report Maker\Complete\양식\"/>
    </mc:Choice>
  </mc:AlternateContent>
  <xr:revisionPtr revIDLastSave="0" documentId="13_ncr:1_{E39DD1A8-8971-45F2-9DE1-7D46ABAA3A66}" xr6:coauthVersionLast="47" xr6:coauthVersionMax="47" xr10:uidLastSave="{00000000-0000-0000-0000-000000000000}"/>
  <bookViews>
    <workbookView xWindow="-28920" yWindow="480" windowWidth="29040" windowHeight="15840" activeTab="1" xr2:uid="{558B7DC1-779D-BB42-B43A-ED7A08375808}"/>
  </bookViews>
  <sheets>
    <sheet name="Waiver Summary" sheetId="5" r:id="rId1"/>
    <sheet name="Shipping Lot List" sheetId="12" r:id="rId2"/>
    <sheet name="FAI" sheetId="13" r:id="rId3"/>
    <sheet name="SPC" sheetId="14" r:id="rId4"/>
    <sheet name="Cosmetic Waivers" sheetId="2" r:id="rId5"/>
    <sheet name="Dimensional Waivers" sheetId="6" r:id="rId6"/>
    <sheet name="Functional Waivers" sheetId="7" r:id="rId7"/>
    <sheet name="Reliability Waivers" sheetId="8" r:id="rId8"/>
    <sheet name="Rev History" sheetId="1" r:id="rId9"/>
  </sheets>
  <definedNames>
    <definedName name="________XG2" hidden="1">{#N/A,#N/A,FALSE,"단축1";#N/A,#N/A,FALSE,"단축2";#N/A,#N/A,FALSE,"단축3";#N/A,#N/A,FALSE,"장축";#N/A,#N/A,FALSE,"4WD"}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hidden="1">{#N/A,#N/A,FALSE,"단축1";#N/A,#N/A,FALSE,"단축2";#N/A,#N/A,FALSE,"단축3";#N/A,#N/A,FALSE,"장축";#N/A,#N/A,FALSE,"4WD"}</definedName>
    <definedName name="____PU7" hidden="1">{#N/A,#N/A,TRUE,"일정"}</definedName>
    <definedName name="____XG2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hidden="1">{#N/A,#N/A,FALSE,"신규dep";#N/A,#N/A,FALSE,"신규dep-금형상각후";#N/A,#N/A,FALSE,"신규dep-연구비상각후";#N/A,#N/A,FALSE,"신규dep-기계,공구상각후"}</definedName>
    <definedName name="___FG1" hidden="1">{#N/A,#N/A,FALSE,"단축1";#N/A,#N/A,FALSE,"단축2";#N/A,#N/A,FALSE,"단축3";#N/A,#N/A,FALSE,"장축";#N/A,#N/A,FALSE,"4WD"}</definedName>
    <definedName name="___k2" hidden="1">{#N/A,#N/A,FALSE,"Cst of Sales (2)"}</definedName>
    <definedName name="___LPS2" hidden="1">{#N/A,#N/A,FALSE,"단축1";#N/A,#N/A,FALSE,"단축2";#N/A,#N/A,FALSE,"단축3";#N/A,#N/A,FALSE,"장축";#N/A,#N/A,FALSE,"4WD"}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hidden="1">{#N/A,#N/A,FALSE,"단축1";#N/A,#N/A,FALSE,"단축2";#N/A,#N/A,FALSE,"단축3";#N/A,#N/A,FALSE,"장축";#N/A,#N/A,FALSE,"4WD"}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hidden="1">{#N/A,#N/A,FALSE,"신규dep";#N/A,#N/A,FALSE,"신규dep-금형상각후";#N/A,#N/A,FALSE,"신규dep-연구비상각후";#N/A,#N/A,FALSE,"신규dep-기계,공구상각후"}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hidden="1">{#N/A,#N/A,FALSE,"단축1";#N/A,#N/A,FALSE,"단축2";#N/A,#N/A,FALSE,"단축3";#N/A,#N/A,FALSE,"장축";#N/A,#N/A,FALSE,"4WD"}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hidden="1">{#N/A,#N/A,FALSE,"Cst of Sales (2)"}</definedName>
    <definedName name="__LPS2" hidden="1">{#N/A,#N/A,FALSE,"단축1";#N/A,#N/A,FALSE,"단축2";#N/A,#N/A,FALSE,"단축3";#N/A,#N/A,FALSE,"장축";#N/A,#N/A,FALSE,"4WD"}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hidden="1">{#N/A,#N/A,TRUE,"일정"}</definedName>
    <definedName name="__T2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hidden="1">{#N/A,#N/A,FALSE,"단축1";#N/A,#N/A,FALSE,"단축2";#N/A,#N/A,FALSE,"단축3";#N/A,#N/A,FALSE,"장축";#N/A,#N/A,FALSE,"4WD"}</definedName>
    <definedName name="_58k2_" hidden="1">{#N/A,#N/A,FALSE,"Cst of Sales (2)"}</definedName>
    <definedName name="_59FG1_" hidden="1">{#N/A,#N/A,FALSE,"단축1";#N/A,#N/A,FALSE,"단축2";#N/A,#N/A,FALSE,"단축3";#N/A,#N/A,FALSE,"장축";#N/A,#N/A,FALSE,"4WD"}</definedName>
    <definedName name="_60k2_" hidden="1">{#N/A,#N/A,FALSE,"Cst of Sales (2)"}</definedName>
    <definedName name="_61T2_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hidden="1">{#N/A,#N/A,FALSE,"Cst of Sales (2)"}</definedName>
    <definedName name="_Key1" hidden="1">#REF!</definedName>
    <definedName name="_Key2" hidden="1">#REF!</definedName>
    <definedName name="_LPS2" hidden="1">{#N/A,#N/A,FALSE,"단축1";#N/A,#N/A,FALSE,"단축2";#N/A,#N/A,FALSE,"단축3";#N/A,#N/A,FALSE,"장축";#N/A,#N/A,FALSE,"4WD"}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hidden="1">{#N/A,#N/A,TRUE,"일정"}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QSAS" hidden="1">{#N/A,#N/A,FALSE,"단축1";#N/A,#N/A,FALSE,"단축2";#N/A,#N/A,FALSE,"단축3";#N/A,#N/A,FALSE,"장축";#N/A,#N/A,FALSE,"4WD"}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hidden="1">{#N/A,#N/A,FALSE,"단축1";#N/A,#N/A,FALSE,"단축2";#N/A,#N/A,FALSE,"단축3";#N/A,#N/A,FALSE,"장축";#N/A,#N/A,FALSE,"4WD"}</definedName>
    <definedName name="AD" hidden="1">{#N/A,#N/A,FALSE,"을지 (4)";#N/A,#N/A,FALSE,"을지 (5)";#N/A,#N/A,FALSE,"을지 (6)"}</definedName>
    <definedName name="adsacdz" hidden="1">{#N/A,#N/A,FALSE,"단축1";#N/A,#N/A,FALSE,"단축2";#N/A,#N/A,FALSE,"단축3";#N/A,#N/A,FALSE,"장축";#N/A,#N/A,FALSE,"4WD"}</definedName>
    <definedName name="ADSDF" hidden="1">{#N/A,#N/A,TRUE,"Y생산";#N/A,#N/A,TRUE,"Y판매";#N/A,#N/A,TRUE,"Y총물량";#N/A,#N/A,TRUE,"Y능력";#N/A,#N/A,TRUE,"YKD"}</definedName>
    <definedName name="AERGA" hidden="1">{#N/A,#N/A,FALSE,"원가검토서"}</definedName>
    <definedName name="AFDAGA" hidden="1">{#N/A,#N/A,FALSE,"원가검토서"}</definedName>
    <definedName name="anscount" hidden="1">4</definedName>
    <definedName name="AQWAQ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hidden="1">{#N/A,#N/A,FALSE,"을지 (4)";#N/A,#N/A,FALSE,"을지 (5)";#N/A,#N/A,FALSE,"을지 (6)"}</definedName>
    <definedName name="ASSY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hidden="1">{#N/A,#N/A,TRUE,"Y생산";#N/A,#N/A,TRUE,"Y판매";#N/A,#N/A,TRUE,"Y총물량";#N/A,#N/A,TRUE,"Y능력";#N/A,#N/A,TRUE,"YKD"}</definedName>
    <definedName name="BUTFGY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hidden="1">{#N/A,#N/A,FALSE,"단축1";#N/A,#N/A,FALSE,"단축2";#N/A,#N/A,FALSE,"단축3";#N/A,#N/A,FALSE,"장축";#N/A,#N/A,FALSE,"4WD"}</definedName>
    <definedName name="cdhbkjbkjnkjnlmmn" hidden="1">{#N/A,#N/A,TRUE,"일정"}</definedName>
    <definedName name="CFVGYTU" hidden="1">{#N/A,#N/A,FALSE,"원가검토서"}</definedName>
    <definedName name="chang" hidden="1">{#N/A,#N/A,FALSE,"을지 (4)";#N/A,#N/A,FALSE,"을지 (5)";#N/A,#N/A,FALSE,"을지 (6)"}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hidden="1">{#N/A,#N/A,TRUE,"일정"}</definedName>
    <definedName name="DDDDDDD" hidden="1">#REF!</definedName>
    <definedName name="dddddf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hidden="1">{#N/A,#N/A,FALSE,"원가검토서"}</definedName>
    <definedName name="DDS" hidden="1">{#N/A,#N/A,FALSE,"을지 (4)";#N/A,#N/A,FALSE,"을지 (5)";#N/A,#N/A,FALSE,"을지 (6)"}</definedName>
    <definedName name="DDSS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hidden="1">{#N/A,#N/A,FALSE,"원가검토서"}</definedName>
    <definedName name="DFDF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hidden="1">{#N/A,#N/A,FALSE,"원가검토서"}</definedName>
    <definedName name="DFGEERT" hidden="1">{#N/A,#N/A,FALSE,"원가검토서"}</definedName>
    <definedName name="DFHJ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hidden="1">{#N/A,#N/A,FALSE,"원가검토서"}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hidden="1">{#N/A,#N/A,TRUE,"일정"}</definedName>
    <definedName name="DLS" hidden="1">{#N/A,#N/A,TRUE,"Y생산";#N/A,#N/A,TRUE,"Y판매";#N/A,#N/A,TRUE,"Y총물량";#N/A,#N/A,TRUE,"Y능력";#N/A,#N/A,TRUE,"YKD"}</definedName>
    <definedName name="dn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hidden="1">{#N/A,#N/A,FALSE,"원가검토서"}</definedName>
    <definedName name="DSRIIHWQLW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hidden="1">{#N/A,#N/A,FALSE,"단축1";#N/A,#N/A,FALSE,"단축2";#N/A,#N/A,FALSE,"단축3";#N/A,#N/A,FALSE,"장축";#N/A,#N/A,FALSE,"4WD"}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hidden="1">{"Wire Charts",#N/A,TRUE,"Wires"}</definedName>
    <definedName name="estgret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hidden="1">{#N/A,#N/A,FALSE,"단축1";#N/A,#N/A,FALSE,"단축2";#N/A,#N/A,FALSE,"단축3";#N/A,#N/A,FALSE,"장축";#N/A,#N/A,FALSE,"4WD"}</definedName>
    <definedName name="FDGS" hidden="1">{"'KET'!$A$1:$E$2423"}</definedName>
    <definedName name="FDJGDFHJ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hidden="1">{"'OPEN'G압출'!$A$4:$P$34"}</definedName>
    <definedName name="FGGHNMK" hidden="1">{#N/A,#N/A,FALSE,"원가검토서"}</definedName>
    <definedName name="FGH" hidden="1">{#N/A,#N/A,FALSE,"단축1";#N/A,#N/A,FALSE,"단축2";#N/A,#N/A,FALSE,"단축3";#N/A,#N/A,FALSE,"장축";#N/A,#N/A,FALSE,"4WD"}</definedName>
    <definedName name="FGHJ" hidden="1">{#N/A,#N/A,FALSE,"원가검토서"}</definedName>
    <definedName name="FGS" hidden="1">{"Wire Charts",#N/A,TRUE,"Wires"}</definedName>
    <definedName name="FH" hidden="1">{#N/A,#N/A,FALSE,"단축1";#N/A,#N/A,FALSE,"단축2";#N/A,#N/A,FALSE,"단축3";#N/A,#N/A,FALSE,"장축";#N/A,#N/A,FALSE,"4WD"}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hidden="1">{#N/A,#N/A,TRUE,"일정"}</definedName>
    <definedName name="GFD" hidden="1">{#N/A,#N/A,TRUE,"일정"}</definedName>
    <definedName name="GFDG" hidden="1">{#N/A,#N/A,FALSE,"신규dep";#N/A,#N/A,FALSE,"신규dep-금형상각후";#N/A,#N/A,FALSE,"신규dep-연구비상각후";#N/A,#N/A,FALSE,"신규dep-기계,공구상각후"}</definedName>
    <definedName name="GFDS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hidden="1">{#N/A,#N/A,TRUE,"Y생산";#N/A,#N/A,TRUE,"Y판매";#N/A,#N/A,TRUE,"Y총물량";#N/A,#N/A,TRUE,"Y능력";#N/A,#N/A,TRUE,"YKD"}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hidden="1">{#N/A,#N/A,TRUE,"일정"}</definedName>
    <definedName name="HDTFJYDTYFTY" hidden="1">{#N/A,#N/A,FALSE,"단축1";#N/A,#N/A,FALSE,"단축2";#N/A,#N/A,FALSE,"단축3";#N/A,#N/A,FALSE,"장축";#N/A,#N/A,FALSE,"4WD"}</definedName>
    <definedName name="HFG" hidden="1">{#N/A,#N/A,TRUE,"Y생산";#N/A,#N/A,TRUE,"Y판매";#N/A,#N/A,TRUE,"Y총물량";#N/A,#N/A,TRUE,"Y능력";#N/A,#N/A,TRUE,"YKD"}</definedName>
    <definedName name="HFGJFGJJ" hidden="1">{"'OPEN'G압출'!$A$4:$P$34"}</definedName>
    <definedName name="hgfshg" hidden="1">{#N/A,#N/A,TRUE,"일정"}</definedName>
    <definedName name="hgfxd" hidden="1">{#N/A,#N/A,TRUE,"일정"}</definedName>
    <definedName name="HJ" hidden="1">{#N/A,#N/A,FALSE,"단축1";#N/A,#N/A,FALSE,"단축2";#N/A,#N/A,FALSE,"단축3";#N/A,#N/A,FALSE,"장축";#N/A,#N/A,FALSE,"4WD"}</definedName>
    <definedName name="HJGFJHFJH" hidden="1">{#N/A,#N/A,FALSE,"원가검토서"}</definedName>
    <definedName name="HJKLL" hidden="1">{#N/A,#N/A,TRUE,"Y생산";#N/A,#N/A,TRUE,"Y판매";#N/A,#N/A,TRUE,"Y총물량";#N/A,#N/A,TRUE,"Y능력";#N/A,#N/A,TRUE,"YKD"}</definedName>
    <definedName name="HKJ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hidden="1">{#N/A,#N/A,FALSE,"신규dep";#N/A,#N/A,FALSE,"신규dep-금형상각후";#N/A,#N/A,FALSE,"신규dep-연구비상각후";#N/A,#N/A,FALSE,"신규dep-기계,공구상각후"}</definedName>
    <definedName name="INSULATION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hidden="1">{#N/A,#N/A,TRUE,"일정"}</definedName>
    <definedName name="JGHJ" hidden="1">{#N/A,#N/A,FALSE,"단축1";#N/A,#N/A,FALSE,"단축2";#N/A,#N/A,FALSE,"단축3";#N/A,#N/A,FALSE,"장축";#N/A,#N/A,FALSE,"4WD"}</definedName>
    <definedName name="JJUHG" hidden="1">{#N/A,#N/A,FALSE,"원가검토서"}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hidden="1">{"'OPEN'G압출'!$A$4:$P$34"}</definedName>
    <definedName name="kthrsbth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HSDHSD" hidden="1">{#N/A,#N/A,TRUE,"일정"}</definedName>
    <definedName name="LINE검토2" hidden="1">{#N/A,#N/A,TRUE,"Y생산";#N/A,#N/A,TRUE,"Y판매";#N/A,#N/A,TRUE,"Y총물량";#N/A,#N/A,TRUE,"Y능력";#N/A,#N/A,TRUE,"YKD"}</definedName>
    <definedName name="link_ds_be" hidden="1">{#N/A,#N/A,FALSE,"Cst of Sales (2)"}</definedName>
    <definedName name="LKGFLDKGF" hidden="1">{"'OPEN'G압출'!$A$4:$P$34"}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KLKLK" hidden="1">{"'OPEN'G압출'!$A$4:$P$34"}</definedName>
    <definedName name="lll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hidden="1">{#N/A,#N/A,TRUE,"일정"}</definedName>
    <definedName name="MDGVTESYERY" hidden="1">{#N/A,#N/A,FALSE,"단축1";#N/A,#N/A,FALSE,"단축2";#N/A,#N/A,FALSE,"단축3";#N/A,#N/A,FALSE,"장축";#N/A,#N/A,FALSE,"4WD"}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hidden="1">{#N/A,#N/A,FALSE,"단축1";#N/A,#N/A,FALSE,"단축2";#N/A,#N/A,FALSE,"단축3";#N/A,#N/A,FALSE,"장축";#N/A,#N/A,FALSE,"4WD"}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hidden="1">{#N/A,#N/A,FALSE,"단축1";#N/A,#N/A,FALSE,"단축2";#N/A,#N/A,FALSE,"단축3";#N/A,#N/A,FALSE,"장축";#N/A,#N/A,FALSE,"4WD"}</definedName>
    <definedName name="P3가공향상" hidden="1">{#N/A,#N/A,TRUE,"Y생산";#N/A,#N/A,TRUE,"Y판매";#N/A,#N/A,TRUE,"Y총물량";#N/A,#N/A,TRUE,"Y능력";#N/A,#N/A,TRUE,"YKD"}</definedName>
    <definedName name="PAGE4" hidden="1">{#N/A,#N/A,FALSE,"단축1";#N/A,#N/A,FALSE,"단축2";#N/A,#N/A,FALSE,"단축3";#N/A,#N/A,FALSE,"장축";#N/A,#N/A,FALSE,"4WD"}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hidden="1">{#N/A,#N/A,TRUE,"일정"}</definedName>
    <definedName name="PI" hidden="1">{#N/A,#N/A,TRUE,"Y생산";#N/A,#N/A,TRUE,"Y판매";#N/A,#N/A,TRUE,"Y총물량";#N/A,#N/A,TRUE,"Y능력";#N/A,#N/A,TRUE,"YKD"}</definedName>
    <definedName name="PO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hidden="1">{#N/A,#N/A,FALSE,"96 3월물량표";#N/A,#N/A,FALSE,"96 4월물량표";#N/A,#N/A,FALSE,"96 5월물량표"}</definedName>
    <definedName name="PPPP" hidden="1">{#N/A,#N/A,TRUE,"일정"}</definedName>
    <definedName name="PRO" hidden="1">{#N/A,#N/A,TRUE,"일정"}</definedName>
    <definedName name="ProzessKette3" hidden="1">#REF!</definedName>
    <definedName name="QAW" hidden="1">{#N/A,#N/A,FALSE,"을지 (4)";#N/A,#N/A,FALSE,"을지 (5)";#N/A,#N/A,FALSE,"을지 (6)"}</definedName>
    <definedName name="QAWVRXTHXFG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hidden="1">{#N/A,#N/A,FALSE,"Cst of Sales (2)"}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{#N/A,#N/A,TRUE,"Y생산";#N/A,#N/A,TRUE,"Y판매";#N/A,#N/A,TRUE,"Y총물량";#N/A,#N/A,TRUE,"Y능력";#N/A,#N/A,TRUE,"YKD"}</definedName>
    <definedName name="QS" hidden="1">{#N/A,#N/A,FALSE,"단축1";#N/A,#N/A,FALSE,"단축2";#N/A,#N/A,FALSE,"단축3";#N/A,#N/A,FALSE,"장축";#N/A,#N/A,FALSE,"4WD"}</definedName>
    <definedName name="QSS" hidden="1">{#N/A,#N/A,FALSE,"을지 (4)";#N/A,#N/A,FALSE,"을지 (5)";#N/A,#N/A,FALSE,"을지 (6)"}</definedName>
    <definedName name="QVWTDRDJHUG" hidden="1">{#N/A,#N/A,FALSE,"단축1";#N/A,#N/A,FALSE,"단축2";#N/A,#N/A,FALSE,"단축3";#N/A,#N/A,FALSE,"장축";#N/A,#N/A,FALSE,"4WD"}</definedName>
    <definedName name="QW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hidden="1">{#N/A,#N/A,FALSE,"단축1";#N/A,#N/A,FALSE,"단축2";#N/A,#N/A,FALSE,"단축3";#N/A,#N/A,FALSE,"장축";#N/A,#N/A,FALSE,"4WD"}</definedName>
    <definedName name="QWE" hidden="1">{#N/A,#N/A,FALSE,"을지 (4)";#N/A,#N/A,FALSE,"을지 (5)";#N/A,#N/A,FALSE,"을지 (6)"}</definedName>
    <definedName name="qwefydc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hidden="1">{#N/A,#N/A,FALSE,"단축1";#N/A,#N/A,FALSE,"단축2";#N/A,#N/A,FALSE,"단축3";#N/A,#N/A,FALSE,"장축";#N/A,#N/A,FALSE,"4WD"}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hidden="1">{#N/A,#N/A,FALSE,"Cst of Sales (2)"}</definedName>
    <definedName name="SAD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hidden="1">{#N/A,#N/A,TRUE,"일정"}</definedName>
    <definedName name="SFSFSFS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hidden="1">{#N/A,#N/A,FALSE,"해외크레임";#N/A,#N/A,FALSE,"ACCENT현황";#N/A,#N/A,FALSE,"AVANTE";#N/A,#N/A,FALSE,"SONATA(3)";#N/A,#N/A,FALSE,"국내크레임"}</definedName>
    <definedName name="song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hidden="1">{#N/A,#N/A,FALSE,"을지 (4)";#N/A,#N/A,FALSE,"을지 (5)";#N/A,#N/A,FALSE,"을지 (6)"}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hidden="1">{#N/A,#N/A,FALSE,"96 3월물량표";#N/A,#N/A,FALSE,"96 4월물량표";#N/A,#N/A,FALSE,"96 5월물량표"}</definedName>
    <definedName name="TIBURON" hidden="1">{#N/A,#N/A,FALSE,"해외크레임";#N/A,#N/A,FALSE,"ACCENT현황";#N/A,#N/A,FALSE,"AVANTE";#N/A,#N/A,FALSE,"SONATA(3)";#N/A,#N/A,FALSE,"국내크레임"}</definedName>
    <definedName name="TJAUDLWS" hidden="1">{#N/A,#N/A,TRUE,"Y생산";#N/A,#N/A,TRUE,"Y판매";#N/A,#N/A,TRUE,"Y총물량";#N/A,#N/A,TRUE,"Y능력";#N/A,#N/A,TRUE,"YKD"}</definedName>
    <definedName name="TLS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hidden="1">{#N/A,#N/A,FALSE,"신규dep";#N/A,#N/A,FALSE,"신규dep-금형상각후";#N/A,#N/A,FALSE,"신규dep-연구비상각후";#N/A,#N/A,FALSE,"신규dep-기계,공구상각후"}</definedName>
    <definedName name="tynervwsgrte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hidden="1">{#N/A,#N/A,TRUE,"일정"}</definedName>
    <definedName name="vttdfvgf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E" hidden="1">{#N/A,#N/A,FALSE,"신규dep";#N/A,#N/A,FALSE,"신규dep-금형상각후";#N/A,#N/A,FALSE,"신규dep-연구비상각후";#N/A,#N/A,FALSE,"신규dep-기계,공구상각후"}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hidden="1">{#N/A,#N/A,FALSE,"원가검토서"}</definedName>
    <definedName name="WETDRF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hidden="1">{#N/A,#N/A,FALSE,"원가검토서"}</definedName>
    <definedName name="WGREG" hidden="1">{#N/A,#N/A,FALSE,"원가검토서"}</definedName>
    <definedName name="WHRL" hidden="1">{#N/A,#N/A,FALSE,"단축1";#N/A,#N/A,FALSE,"단축2";#N/A,#N/A,FALSE,"단축3";#N/A,#N/A,FALSE,"장축";#N/A,#N/A,FALSE,"4WD"}</definedName>
    <definedName name="Wire_Chart" hidden="1">{"Wire Charts",#N/A,TRUE,"Wires"}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hidden="1">{#N/A,#N/A,FALSE,"을지 (4)";#N/A,#N/A,FALSE,"을지 (5)";#N/A,#N/A,FALSE,"을지 (6)"}</definedName>
    <definedName name="WQBYHCJYBHUH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hidden="1">{#N/A,#N/A,FALSE,"해외크레임";#N/A,#N/A,FALSE,"ACCENT현황";#N/A,#N/A,FALSE,"AVANTE";#N/A,#N/A,FALSE,"SONATA(3)";#N/A,#N/A,FALSE,"국내크레임"}</definedName>
    <definedName name="wrn.1ECC49." hidden="1">{#N/A,#N/A,FALSE,"성적서";#N/A,#N/A,FALSE,"기준을"}</definedName>
    <definedName name="wrn.345." hidden="1">{#N/A,#N/A,FALSE,"96 3월물량표";#N/A,#N/A,FALSE,"96 4월물량표";#N/A,#N/A,FALSE,"96 5월물량표"}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hidden="1">{#N/A,#N/A,FALSE,"Repair";#N/A,#N/A,FALSE,"Audit Room";#N/A,#N/A,FALSE,"Simulator"}</definedName>
    <definedName name="wrn.COST_CEN." hidden="1">{#N/A,#N/A,TRUE,"orig";#N/A,#N/A,TRUE,"dvd_key";#N/A,#N/A,TRUE,"OH1";#N/A,#N/A,TRUE,"allc_key";#N/A,#N/A,TRUE,"OH2"}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hidden="1">{"Wire Charts",#N/A,TRUE,"Wires"}</definedName>
    <definedName name="wrn.Y차._.종합." hidden="1">{#N/A,#N/A,TRUE,"Y생산";#N/A,#N/A,TRUE,"Y판매";#N/A,#N/A,TRUE,"Y총물량";#N/A,#N/A,TRUE,"Y능력";#N/A,#N/A,TRUE,"YKD"}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hidden="1">{#N/A,#N/A,FALSE,"원가검토서"}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hidden="1">{#N/A,#N/A,FALSE,"Cst of Sales (2)"}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hidden="1">{#N/A,#N/A,FALSE,"정공"}</definedName>
    <definedName name="WRTETDTRY" hidden="1">{#N/A,#N/A,FALSE,"단축1";#N/A,#N/A,FALSE,"단축2";#N/A,#N/A,FALSE,"단축3";#N/A,#N/A,FALSE,"장축";#N/A,#N/A,FALSE,"4WD"}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hidden="1">{#N/A,#N/A,FALSE,"을지 (4)";#N/A,#N/A,FALSE,"을지 (5)";#N/A,#N/A,FALSE,"을지 (6)"}</definedName>
    <definedName name="XWDSTGFTF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hidden="1">{#N/A,#N/A,TRUE,"Y생산";#N/A,#N/A,TRUE,"Y판매";#N/A,#N/A,TRUE,"Y총물량";#N/A,#N/A,TRUE,"Y능력";#N/A,#N/A,TRUE,"YKD"}</definedName>
    <definedName name="yyyy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hidden="1">{#N/A,#N/A,TRUE,"일정"}</definedName>
    <definedName name="ㄱㄷㅁㄱ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hidden="1">{#N/A,#N/A,FALSE,"원가검토서"}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고싶다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hidden="1">{#N/A,#N/A,FALSE,"성적서";#N/A,#N/A,FALSE,"기준을"}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hidden="1">{#N/A,#N/A,TRUE,"Y생산";#N/A,#N/A,TRUE,"Y판매";#N/A,#N/A,TRUE,"Y총물량";#N/A,#N/A,TRUE,"Y능력";#N/A,#N/A,TRUE,"YKD"}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계획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hidden="1">{"Wire Charts",#N/A,TRUE,"Wires"}</definedName>
    <definedName name="고고고" hidden="1">{#N/A,#N/A,FALSE,"원가검토서"}</definedName>
    <definedName name="고어얼어러럴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hidden="1">{#N/A,#N/A,FALSE,"단축1";#N/A,#N/A,FALSE,"단축2";#N/A,#N/A,FALSE,"단축3";#N/A,#N/A,FALSE,"장축";#N/A,#N/A,FALSE,"4WD"}</definedName>
    <definedName name="공정도" hidden="1">{#N/A,#N/A,FALSE,"원가검토서"}</definedName>
    <definedName name="공통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hidden="1">{#N/A,#N/A,TRUE,"Y생산";#N/A,#N/A,TRUE,"Y판매";#N/A,#N/A,TRUE,"Y총물량";#N/A,#N/A,TRUE,"Y능력";#N/A,#N/A,TRUE,"YKD"}</definedName>
    <definedName name="권오종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hidden="1">{#N/A,#N/A,FALSE,"을지 (4)";#N/A,#N/A,FALSE,"을지 (5)";#N/A,#N/A,FALSE,"을지 (6)"}</definedName>
    <definedName name="근거2" hidden="1">{#N/A,#N/A,FALSE,"단축1";#N/A,#N/A,FALSE,"단축2";#N/A,#N/A,FALSE,"단축3";#N/A,#N/A,FALSE,"장축";#N/A,#N/A,FALSE,"4WD"}</definedName>
    <definedName name="금" hidden="1">{#N/A,#N/A,FALSE,"원가검토서"}</definedName>
    <definedName name="금월" hidden="1">{#N/A,#N/A,TRUE,"Y생산";#N/A,#N/A,TRUE,"Y판매";#N/A,#N/A,TRUE,"Y총물량";#N/A,#N/A,TRUE,"Y능력";#N/A,#N/A,TRUE,"YKD"}</definedName>
    <definedName name="금형" hidden="1">{#N/A,#N/A,FALSE,"원가검토서"}</definedName>
    <definedName name="금형3" hidden="1">{#N/A,#N/A,FALSE,"단축1";#N/A,#N/A,FALSE,"단축2";#N/A,#N/A,FALSE,"단축3";#N/A,#N/A,FALSE,"장축";#N/A,#N/A,FALSE,"4WD"}</definedName>
    <definedName name="금형견적" hidden="1">{#N/A,#N/A,FALSE,"원가검토서"}</definedName>
    <definedName name="금형제작일정" hidden="1">{#N/A,#N/A,FALSE,"단축1";#N/A,#N/A,FALSE,"단축2";#N/A,#N/A,FALSE,"단축3";#N/A,#N/A,FALSE,"장축";#N/A,#N/A,FALSE,"4WD"}</definedName>
    <definedName name="금형진행현황" hidden="1">{#N/A,#N/A,FALSE,"Cst of Sales (2)"}</definedName>
    <definedName name="기관예산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hidden="1">{#N/A,#N/A,FALSE,"단축1";#N/A,#N/A,FALSE,"단축2";#N/A,#N/A,FALSE,"단축3";#N/A,#N/A,FALSE,"장축";#N/A,#N/A,FALSE,"4WD"}</definedName>
    <definedName name="ㄴㅇㄻㄴ" hidden="1">{#N/A,#N/A,FALSE,"Status";#N/A,#N/A,FALSE,"Deckblatt 1";#N/A,#N/A,FALSE,"Deckblatt2"}</definedName>
    <definedName name="ㄴㅇㅊㄹㄴㅇㄹ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hidden="1">{#N/A,#N/A,TRUE,"Y생산";#N/A,#N/A,TRUE,"Y판매";#N/A,#N/A,TRUE,"Y총물량";#N/A,#N/A,TRUE,"Y능력";#N/A,#N/A,TRUE,"YKD"}</definedName>
    <definedName name="ㄷㅇ굣ㄴㄷㅁ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hidden="1">{#N/A,#N/A,TRUE,"일정"}</definedName>
    <definedName name="대부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hidden="1">{#N/A,#N/A,FALSE,"해외크레임";#N/A,#N/A,FALSE,"ACCENT현황";#N/A,#N/A,FALSE,"AVANTE";#N/A,#N/A,FALSE,"SONATA(3)";#N/A,#N/A,FALSE,"국내크레임"}</definedName>
    <definedName name="뎌768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hidden="1">{#N/A,#N/A,FALSE,"해외크레임";#N/A,#N/A,FALSE,"ACCENT현황";#N/A,#N/A,FALSE,"AVANTE";#N/A,#N/A,FALSE,"SONATA(3)";#N/A,#N/A,FALSE,"국내크레임"}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hidden="1">{#N/A,#N/A,TRUE,"Y생산";#N/A,#N/A,TRUE,"Y판매";#N/A,#N/A,TRUE,"Y총물량";#N/A,#N/A,TRUE,"Y능력";#N/A,#N/A,TRUE,"YKD"}</definedName>
    <definedName name="ㄹㅇㄹㅇㅇㄹ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라이ㅣㅇ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hidden="1">{#N/A,#N/A,FALSE,"을지 (4)";#N/A,#N/A,FALSE,"을지 (5)";#N/A,#N/A,FALSE,"을지 (6)"}</definedName>
    <definedName name="ㅀㅇ" hidden="1">#REF!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hidden="1">{#N/A,#N/A,FALSE,"단축1";#N/A,#N/A,FALSE,"단축2";#N/A,#N/A,FALSE,"단축3";#N/A,#N/A,FALSE,"장축";#N/A,#N/A,FALSE,"4WD"}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hidden="1">{#N/A,#N/A,FALSE,"단축1";#N/A,#N/A,FALSE,"단축2";#N/A,#N/A,FALSE,"단축3";#N/A,#N/A,FALSE,"장축";#N/A,#N/A,FALSE,"4WD"}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hidden="1">{#N/A,#N/A,TRUE,"Y생산";#N/A,#N/A,TRUE,"Y판매";#N/A,#N/A,TRUE,"Y총물량";#N/A,#N/A,TRUE,"Y능력";#N/A,#N/A,TRUE,"YKD"}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러ㅣ머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hidden="1">{#N/A,#N/A,FALSE,"을지 (4)";#N/A,#N/A,FALSE,"을지 (5)";#N/A,#N/A,FALSE,"을지 (6)"}</definedName>
    <definedName name="ㅂ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hidden="1">[0]!ㅂㅂㅂ</definedName>
    <definedName name="ㅂㅈㅇㅇ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hidden="1">{#N/A,#N/A,FALSE,"단축1";#N/A,#N/A,FALSE,"단축2";#N/A,#N/A,FALSE,"단축3";#N/A,#N/A,FALSE,"장축";#N/A,#N/A,FALSE,"4WD"}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분석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hidden="1">{#N/A,#N/A,TRUE,"일정"}</definedName>
    <definedName name="ㅅㅅㅅ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hidden="1">{#N/A,#N/A,FALSE,"신규dep";#N/A,#N/A,FALSE,"신규dep-금형상각후";#N/A,#N/A,FALSE,"신규dep-연구비상각후";#N/A,#N/A,FALSE,"신규dep-기계,공구상각후"}</definedName>
    <definedName name="사진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hidden="1">{#N/A,#N/A,FALSE,"정공"}</definedName>
    <definedName name="새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hidden="1">{#N/A,#N/A,TRUE,"Y생산";#N/A,#N/A,TRUE,"Y판매";#N/A,#N/A,TRUE,"Y총물량";#N/A,#N/A,TRUE,"Y능력";#N/A,#N/A,TRUE,"YKD"}</definedName>
    <definedName name="생요서4" hidden="1">{#N/A,#N/A,FALSE,"단축1";#N/A,#N/A,FALSE,"단축2";#N/A,#N/A,FALSE,"단축3";#N/A,#N/A,FALSE,"장축";#N/A,#N/A,FALSE,"4WD"}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직편차_19041" hidden="1">{#N/A,#N/A,FALSE,"원가검토서"}</definedName>
    <definedName name="수직편차_190419" hidden="1">{#N/A,#N/A,FALSE,"원가검토서"}</definedName>
    <definedName name="스타렉스2" hidden="1">{#N/A,#N/A,FALSE,"단축1";#N/A,#N/A,FALSE,"단축2";#N/A,#N/A,FALSE,"단축3";#N/A,#N/A,FALSE,"장축";#N/A,#N/A,FALSE,"4WD"}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hidden="1">{#N/A,#N/A,TRUE,"Y생산";#N/A,#N/A,TRUE,"Y판매";#N/A,#N/A,TRUE,"Y총물량";#N/A,#N/A,TRUE,"Y능력";#N/A,#N/A,TRUE,"YKD"}</definedName>
    <definedName name="시그마1" hidden="1">{#N/A,#N/A,FALSE,"단축1";#N/A,#N/A,FALSE,"단축2";#N/A,#N/A,FALSE,"단축3";#N/A,#N/A,FALSE,"장축";#N/A,#N/A,FALSE,"4WD"}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hidden="1">{"'KET'!$A$1:$E$2423"}</definedName>
    <definedName name="시리즈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hidden="1">{#N/A,#N/A,FALSE,"원가검토서"}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hidden="1">{#N/A,#N/A,FALSE,"원가검토서"}</definedName>
    <definedName name="ㅇㅀㄷㄱㅈ" hidden="1">{#N/A,#N/A,FALSE,"원가검토서"}</definedName>
    <definedName name="ㅇㅀ호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와이퍼일" hidden="1">{#N/A,#N/A,FALSE,"단축1";#N/A,#N/A,FALSE,"단축2";#N/A,#N/A,FALSE,"단축3";#N/A,#N/A,FALSE,"장축";#N/A,#N/A,FALSE,"4WD"}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hidden="1">{#N/A,#N/A,TRUE,"Y생산";#N/A,#N/A,TRUE,"Y판매";#N/A,#N/A,TRUE,"Y총물량";#N/A,#N/A,TRUE,"Y능력";#N/A,#N/A,TRUE,"YKD"}</definedName>
    <definedName name="우리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hidden="1">{#N/A,#N/A,FALSE,"신규dep";#N/A,#N/A,FALSE,"신규dep-금형상각후";#N/A,#N/A,FALSE,"신규dep-연구비상각후";#N/A,#N/A,FALSE,"신규dep-기계,공구상각후"}</definedName>
    <definedName name="유형" hidden="1">{#N/A,#N/A,TRUE,"Y생산";#N/A,#N/A,TRUE,"Y판매";#N/A,#N/A,TRUE,"Y총물량";#N/A,#N/A,TRUE,"Y능력";#N/A,#N/A,TRUE,"YKD"}</definedName>
    <definedName name="유ㅕㄴ됵ㄷ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hidden="1">{#N/A,#N/A,TRUE,"Y생산";#N/A,#N/A,TRUE,"Y판매";#N/A,#N/A,TRUE,"Y총물량";#N/A,#N/A,TRUE,"Y능력";#N/A,#N/A,TRUE,"YKD"}</definedName>
    <definedName name="장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hidden="1">{"'KET'!$A$1:$E$2423"}</definedName>
    <definedName name="종합그래프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ㅉ" hidden="1">{#N/A,#N/A,TRUE,"Y생산";#N/A,#N/A,TRUE,"Y판매";#N/A,#N/A,TRUE,"Y총물량";#N/A,#N/A,TRUE,"Y능력";#N/A,#N/A,TRUE,"YKD"}</definedName>
    <definedName name="ㅊㄷㅁㅈㄷㄼㄹ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hidden="1">{#N/A,#N/A,FALSE,"Cst of Sales (2)"}</definedName>
    <definedName name="크랑" hidden="1">{#N/A,#N/A,FALSE,"단축1";#N/A,#N/A,FALSE,"단축2";#N/A,#N/A,FALSE,"단축3";#N/A,#N/A,FALSE,"장축";#N/A,#N/A,FALSE,"4WD"}</definedName>
    <definedName name="키프코" hidden="1">{#N/A,#N/A,FALSE,"을지 (4)";#N/A,#N/A,FALSE,"을지 (5)";#N/A,#N/A,FALSE,"을지 (6)"}</definedName>
    <definedName name="ㅌ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hidden="1">{#N/A,#N/A,TRUE,"일정"}</definedName>
    <definedName name="ㅌㅌㅌㅌ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hidden="1">{#N/A,#N/A,FALSE,"원가검토서"}</definedName>
    <definedName name="포장사양" hidden="1">#REF!</definedName>
    <definedName name="포장사양서" hidden="1">{#N/A,#N/A,FALSE,"원가검토서"}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확보계획2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hidden="1">{#N/A,#N/A,FALSE,"단축1";#N/A,#N/A,FALSE,"단축2";#N/A,#N/A,FALSE,"단축3";#N/A,#N/A,FALSE,"장축";#N/A,#N/A,FALSE,"4WD"}</definedName>
    <definedName name="ㅎ라" hidden="1">{#N/A,#N/A,TRUE,"Y생산";#N/A,#N/A,TRUE,"Y판매";#N/A,#N/A,TRUE,"Y총물량";#N/A,#N/A,TRUE,"Y능력";#N/A,#N/A,TRUE,"YKD"}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해정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hidden="1">{#N/A,#N/A,FALSE,"정공"}</definedName>
    <definedName name="현주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hidden="1">{#N/A,#N/A,FALSE,"96 3월물량표";#N/A,#N/A,FALSE,"96 4월물량표";#N/A,#N/A,FALSE,"96 5월물량표"}</definedName>
    <definedName name="호ㅓㅗ" hidden="1">{#N/A,#N/A,FALSE,"단축1";#N/A,#N/A,FALSE,"단축2";#N/A,#N/A,FALSE,"단축3";#N/A,#N/A,FALSE,"장축";#N/A,#N/A,FALSE,"4WD"}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hidden="1">{#N/A,#N/A,FALSE,"Cst of Sales (2)"}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hidden="1">{#N/A,#N/A,FALSE,"Status";#N/A,#N/A,FALSE,"Deckblatt 1";#N/A,#N/A,FALSE,"Deckblatt2"}</definedName>
    <definedName name="ㅔㅔㅔ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hidden="1">{#N/A,#N/A,TRUE,"일정"}</definedName>
    <definedName name="ㅗㄴㅇㄱㅎㅇㄹㄶㅇ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hidden="1">{#N/A,#N/A,TRUE,"일정"}</definedName>
    <definedName name="ㅛㅅㄱㄷㅈ" hidden="1">{#N/A,#N/A,FALSE,"단축1";#N/A,#N/A,FALSE,"단축2";#N/A,#N/A,FALSE,"단축3";#N/A,#N/A,FALSE,"장축";#N/A,#N/A,FALSE,"4WD"}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hidden="1">{#N/A,#N/A,TRUE,"일정"}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5" l="1"/>
  <c r="K22" i="13" l="1"/>
  <c r="L22" i="13"/>
  <c r="M22" i="13"/>
  <c r="N22" i="13"/>
  <c r="O22" i="13"/>
  <c r="P22" i="13"/>
  <c r="K23" i="13"/>
  <c r="L23" i="13"/>
  <c r="M23" i="13"/>
  <c r="N23" i="13"/>
  <c r="O23" i="13"/>
  <c r="P23" i="13"/>
  <c r="K24" i="13"/>
  <c r="L24" i="13"/>
  <c r="M24" i="13"/>
  <c r="N24" i="13"/>
  <c r="O24" i="13"/>
  <c r="P24" i="13"/>
  <c r="K48" i="13" l="1"/>
  <c r="L48" i="13"/>
  <c r="M48" i="13"/>
  <c r="N48" i="13"/>
  <c r="O48" i="13"/>
  <c r="Q48" i="13" s="1"/>
  <c r="P48" i="13"/>
  <c r="R48" i="13" s="1"/>
  <c r="K49" i="13"/>
  <c r="L49" i="13"/>
  <c r="M49" i="13"/>
  <c r="N49" i="13"/>
  <c r="O49" i="13"/>
  <c r="Q49" i="13" s="1"/>
  <c r="P49" i="13"/>
  <c r="R49" i="13" s="1"/>
  <c r="E6" i="5" l="1"/>
  <c r="K21" i="13" l="1"/>
  <c r="M21" i="13"/>
  <c r="AC18" i="14"/>
  <c r="R18" i="14"/>
  <c r="S18" i="14" s="1"/>
  <c r="P18" i="14"/>
  <c r="Q18" i="14" s="1"/>
  <c r="O18" i="14"/>
  <c r="X18" i="14" s="1"/>
  <c r="N18" i="14"/>
  <c r="M18" i="14"/>
  <c r="K18" i="14"/>
  <c r="J18" i="14"/>
  <c r="AC17" i="14"/>
  <c r="R17" i="14"/>
  <c r="S17" i="14" s="1"/>
  <c r="P17" i="14"/>
  <c r="Q17" i="14" s="1"/>
  <c r="O17" i="14"/>
  <c r="N17" i="14"/>
  <c r="M17" i="14"/>
  <c r="K17" i="14"/>
  <c r="J17" i="14"/>
  <c r="AC16" i="14"/>
  <c r="R16" i="14"/>
  <c r="S16" i="14" s="1"/>
  <c r="P16" i="14"/>
  <c r="O16" i="14"/>
  <c r="X16" i="14" s="1"/>
  <c r="N16" i="14"/>
  <c r="M16" i="14"/>
  <c r="K16" i="14"/>
  <c r="J16" i="14"/>
  <c r="AC15" i="14"/>
  <c r="R15" i="14"/>
  <c r="S15" i="14" s="1"/>
  <c r="P15" i="14"/>
  <c r="Q15" i="14" s="1"/>
  <c r="O15" i="14"/>
  <c r="N15" i="14"/>
  <c r="M15" i="14"/>
  <c r="K15" i="14"/>
  <c r="J15" i="14"/>
  <c r="AC14" i="14"/>
  <c r="R14" i="14"/>
  <c r="S14" i="14" s="1"/>
  <c r="P14" i="14"/>
  <c r="Q14" i="14" s="1"/>
  <c r="O14" i="14"/>
  <c r="N14" i="14"/>
  <c r="M14" i="14"/>
  <c r="K14" i="14"/>
  <c r="J14" i="14"/>
  <c r="AC13" i="14"/>
  <c r="U13" i="14"/>
  <c r="R13" i="14"/>
  <c r="S13" i="14" s="1"/>
  <c r="P13" i="14"/>
  <c r="O13" i="14"/>
  <c r="X13" i="14" s="1"/>
  <c r="N13" i="14"/>
  <c r="M13" i="14"/>
  <c r="K13" i="14"/>
  <c r="J13" i="14"/>
  <c r="AC12" i="14"/>
  <c r="U12" i="14"/>
  <c r="R12" i="14"/>
  <c r="S12" i="14" s="1"/>
  <c r="P12" i="14"/>
  <c r="O12" i="14"/>
  <c r="N12" i="14"/>
  <c r="M12" i="14"/>
  <c r="K12" i="14"/>
  <c r="J12" i="14"/>
  <c r="AC11" i="14"/>
  <c r="R11" i="14"/>
  <c r="S11" i="14" s="1"/>
  <c r="P11" i="14"/>
  <c r="O11" i="14"/>
  <c r="X11" i="14" s="1"/>
  <c r="N11" i="14"/>
  <c r="M11" i="14"/>
  <c r="K11" i="14"/>
  <c r="J11" i="14"/>
  <c r="AC10" i="14"/>
  <c r="R10" i="14"/>
  <c r="S10" i="14" s="1"/>
  <c r="P10" i="14"/>
  <c r="Q10" i="14" s="1"/>
  <c r="O10" i="14"/>
  <c r="Y10" i="14" s="1"/>
  <c r="N10" i="14"/>
  <c r="M10" i="14"/>
  <c r="K10" i="14"/>
  <c r="J10" i="14"/>
  <c r="AC9" i="14"/>
  <c r="R9" i="14"/>
  <c r="S9" i="14" s="1"/>
  <c r="P9" i="14"/>
  <c r="Q9" i="14" s="1"/>
  <c r="O9" i="14"/>
  <c r="N9" i="14"/>
  <c r="M9" i="14"/>
  <c r="K9" i="14"/>
  <c r="J9" i="14"/>
  <c r="AC8" i="14"/>
  <c r="R8" i="14"/>
  <c r="S8" i="14" s="1"/>
  <c r="P8" i="14"/>
  <c r="Q8" i="14" s="1"/>
  <c r="O8" i="14"/>
  <c r="X8" i="14" s="1"/>
  <c r="N8" i="14"/>
  <c r="M8" i="14"/>
  <c r="K8" i="14"/>
  <c r="J8" i="14"/>
  <c r="AC7" i="14"/>
  <c r="R7" i="14"/>
  <c r="S7" i="14" s="1"/>
  <c r="P7" i="14"/>
  <c r="Q7" i="14" s="1"/>
  <c r="O7" i="14"/>
  <c r="N7" i="14"/>
  <c r="M7" i="14"/>
  <c r="K7" i="14"/>
  <c r="J7" i="14"/>
  <c r="AC6" i="14"/>
  <c r="R6" i="14"/>
  <c r="S6" i="14" s="1"/>
  <c r="P6" i="14"/>
  <c r="Q6" i="14" s="1"/>
  <c r="O6" i="14"/>
  <c r="X6" i="14" s="1"/>
  <c r="N6" i="14"/>
  <c r="M6" i="14"/>
  <c r="K6" i="14"/>
  <c r="J6" i="14"/>
  <c r="P47" i="13"/>
  <c r="R47" i="13" s="1"/>
  <c r="O47" i="13"/>
  <c r="Q47" i="13" s="1"/>
  <c r="N47" i="13"/>
  <c r="M47" i="13"/>
  <c r="L47" i="13"/>
  <c r="K47" i="13"/>
  <c r="P46" i="13"/>
  <c r="R46" i="13" s="1"/>
  <c r="O46" i="13"/>
  <c r="Q46" i="13" s="1"/>
  <c r="N46" i="13"/>
  <c r="M46" i="13"/>
  <c r="L46" i="13"/>
  <c r="K46" i="13"/>
  <c r="P45" i="13"/>
  <c r="R45" i="13" s="1"/>
  <c r="O45" i="13"/>
  <c r="Q45" i="13" s="1"/>
  <c r="N45" i="13"/>
  <c r="M45" i="13"/>
  <c r="L45" i="13"/>
  <c r="K45" i="13"/>
  <c r="P44" i="13"/>
  <c r="R44" i="13" s="1"/>
  <c r="O44" i="13"/>
  <c r="Q44" i="13" s="1"/>
  <c r="N44" i="13"/>
  <c r="M44" i="13"/>
  <c r="L44" i="13"/>
  <c r="K44" i="13"/>
  <c r="P43" i="13"/>
  <c r="R43" i="13" s="1"/>
  <c r="O43" i="13"/>
  <c r="Q43" i="13" s="1"/>
  <c r="N43" i="13"/>
  <c r="M43" i="13"/>
  <c r="L43" i="13"/>
  <c r="K43" i="13"/>
  <c r="P42" i="13"/>
  <c r="R42" i="13" s="1"/>
  <c r="O42" i="13"/>
  <c r="Q42" i="13" s="1"/>
  <c r="N42" i="13"/>
  <c r="M42" i="13"/>
  <c r="L42" i="13"/>
  <c r="K42" i="13"/>
  <c r="P41" i="13"/>
  <c r="R41" i="13" s="1"/>
  <c r="O41" i="13"/>
  <c r="Q41" i="13" s="1"/>
  <c r="N41" i="13"/>
  <c r="M41" i="13"/>
  <c r="L41" i="13"/>
  <c r="K41" i="13"/>
  <c r="P40" i="13"/>
  <c r="R40" i="13" s="1"/>
  <c r="O40" i="13"/>
  <c r="Q40" i="13" s="1"/>
  <c r="N40" i="13"/>
  <c r="M40" i="13"/>
  <c r="L40" i="13"/>
  <c r="K40" i="13"/>
  <c r="P39" i="13"/>
  <c r="R39" i="13" s="1"/>
  <c r="O39" i="13"/>
  <c r="Q39" i="13" s="1"/>
  <c r="N39" i="13"/>
  <c r="M39" i="13"/>
  <c r="L39" i="13"/>
  <c r="K39" i="13"/>
  <c r="P38" i="13"/>
  <c r="R38" i="13" s="1"/>
  <c r="O38" i="13"/>
  <c r="Q38" i="13" s="1"/>
  <c r="N38" i="13"/>
  <c r="M38" i="13"/>
  <c r="L38" i="13"/>
  <c r="K38" i="13"/>
  <c r="P37" i="13"/>
  <c r="R37" i="13" s="1"/>
  <c r="O37" i="13"/>
  <c r="Q37" i="13" s="1"/>
  <c r="N37" i="13"/>
  <c r="M37" i="13"/>
  <c r="L37" i="13"/>
  <c r="K37" i="13"/>
  <c r="P36" i="13"/>
  <c r="R36" i="13" s="1"/>
  <c r="O36" i="13"/>
  <c r="Q36" i="13" s="1"/>
  <c r="N36" i="13"/>
  <c r="M36" i="13"/>
  <c r="L36" i="13"/>
  <c r="K36" i="13"/>
  <c r="P35" i="13"/>
  <c r="R35" i="13" s="1"/>
  <c r="O35" i="13"/>
  <c r="Q35" i="13" s="1"/>
  <c r="N35" i="13"/>
  <c r="M35" i="13"/>
  <c r="L35" i="13"/>
  <c r="K35" i="13"/>
  <c r="P34" i="13"/>
  <c r="R34" i="13" s="1"/>
  <c r="O34" i="13"/>
  <c r="Q34" i="13" s="1"/>
  <c r="N34" i="13"/>
  <c r="M34" i="13"/>
  <c r="L34" i="13"/>
  <c r="K34" i="13"/>
  <c r="P33" i="13"/>
  <c r="R33" i="13" s="1"/>
  <c r="O33" i="13"/>
  <c r="Q33" i="13" s="1"/>
  <c r="N33" i="13"/>
  <c r="M33" i="13"/>
  <c r="L33" i="13"/>
  <c r="K33" i="13"/>
  <c r="P32" i="13"/>
  <c r="R32" i="13" s="1"/>
  <c r="O32" i="13"/>
  <c r="Q32" i="13" s="1"/>
  <c r="N32" i="13"/>
  <c r="M32" i="13"/>
  <c r="L32" i="13"/>
  <c r="K32" i="13"/>
  <c r="P31" i="13"/>
  <c r="R31" i="13" s="1"/>
  <c r="O31" i="13"/>
  <c r="Q31" i="13" s="1"/>
  <c r="N31" i="13"/>
  <c r="M31" i="13"/>
  <c r="L31" i="13"/>
  <c r="K31" i="13"/>
  <c r="P30" i="13"/>
  <c r="R30" i="13" s="1"/>
  <c r="O30" i="13"/>
  <c r="Q30" i="13" s="1"/>
  <c r="N30" i="13"/>
  <c r="M30" i="13"/>
  <c r="L30" i="13"/>
  <c r="K30" i="13"/>
  <c r="P29" i="13"/>
  <c r="R29" i="13" s="1"/>
  <c r="O29" i="13"/>
  <c r="Q29" i="13" s="1"/>
  <c r="N29" i="13"/>
  <c r="M29" i="13"/>
  <c r="L29" i="13"/>
  <c r="K29" i="13"/>
  <c r="P28" i="13"/>
  <c r="R28" i="13" s="1"/>
  <c r="O28" i="13"/>
  <c r="Q28" i="13" s="1"/>
  <c r="N28" i="13"/>
  <c r="M28" i="13"/>
  <c r="L28" i="13"/>
  <c r="K28" i="13"/>
  <c r="P27" i="13"/>
  <c r="R27" i="13" s="1"/>
  <c r="O27" i="13"/>
  <c r="Q27" i="13" s="1"/>
  <c r="N27" i="13"/>
  <c r="M27" i="13"/>
  <c r="L27" i="13"/>
  <c r="K27" i="13"/>
  <c r="P26" i="13"/>
  <c r="R26" i="13" s="1"/>
  <c r="O26" i="13"/>
  <c r="Q26" i="13" s="1"/>
  <c r="N26" i="13"/>
  <c r="M26" i="13"/>
  <c r="L26" i="13"/>
  <c r="K26" i="13"/>
  <c r="P25" i="13"/>
  <c r="R25" i="13" s="1"/>
  <c r="O25" i="13"/>
  <c r="Q25" i="13" s="1"/>
  <c r="N25" i="13"/>
  <c r="M25" i="13"/>
  <c r="L25" i="13"/>
  <c r="K25" i="13"/>
  <c r="P21" i="13"/>
  <c r="R21" i="13" s="1"/>
  <c r="O21" i="13"/>
  <c r="Q21" i="13" s="1"/>
  <c r="N21" i="13"/>
  <c r="L21" i="13"/>
  <c r="P20" i="13"/>
  <c r="R20" i="13" s="1"/>
  <c r="O20" i="13"/>
  <c r="Q20" i="13" s="1"/>
  <c r="N20" i="13"/>
  <c r="M20" i="13"/>
  <c r="L20" i="13"/>
  <c r="K20" i="13"/>
  <c r="P19" i="13"/>
  <c r="R19" i="13" s="1"/>
  <c r="O19" i="13"/>
  <c r="Q19" i="13" s="1"/>
  <c r="N19" i="13"/>
  <c r="M19" i="13"/>
  <c r="L19" i="13"/>
  <c r="K19" i="13"/>
  <c r="P18" i="13"/>
  <c r="R18" i="13" s="1"/>
  <c r="O18" i="13"/>
  <c r="Q18" i="13" s="1"/>
  <c r="N18" i="13"/>
  <c r="M18" i="13"/>
  <c r="L18" i="13"/>
  <c r="K18" i="13"/>
  <c r="P17" i="13"/>
  <c r="R17" i="13" s="1"/>
  <c r="O17" i="13"/>
  <c r="Q17" i="13" s="1"/>
  <c r="N17" i="13"/>
  <c r="M17" i="13"/>
  <c r="L17" i="13"/>
  <c r="K17" i="13"/>
  <c r="P16" i="13"/>
  <c r="R16" i="13" s="1"/>
  <c r="O16" i="13"/>
  <c r="Q16" i="13" s="1"/>
  <c r="N16" i="13"/>
  <c r="M16" i="13"/>
  <c r="L16" i="13"/>
  <c r="K16" i="13"/>
  <c r="P15" i="13"/>
  <c r="R15" i="13" s="1"/>
  <c r="O15" i="13"/>
  <c r="Q15" i="13" s="1"/>
  <c r="N15" i="13"/>
  <c r="M15" i="13"/>
  <c r="L15" i="13"/>
  <c r="K15" i="13"/>
  <c r="P14" i="13"/>
  <c r="R14" i="13" s="1"/>
  <c r="O14" i="13"/>
  <c r="Q14" i="13" s="1"/>
  <c r="N14" i="13"/>
  <c r="M14" i="13"/>
  <c r="L14" i="13"/>
  <c r="K14" i="13"/>
  <c r="R13" i="13"/>
  <c r="P13" i="13"/>
  <c r="O13" i="13"/>
  <c r="Q13" i="13" s="1"/>
  <c r="N13" i="13"/>
  <c r="M13" i="13"/>
  <c r="L13" i="13"/>
  <c r="K13" i="13"/>
  <c r="P12" i="13"/>
  <c r="R12" i="13" s="1"/>
  <c r="O12" i="13"/>
  <c r="Q12" i="13" s="1"/>
  <c r="N12" i="13"/>
  <c r="M12" i="13"/>
  <c r="L12" i="13"/>
  <c r="K12" i="13"/>
  <c r="P11" i="13"/>
  <c r="R11" i="13" s="1"/>
  <c r="O11" i="13"/>
  <c r="Q11" i="13" s="1"/>
  <c r="N11" i="13"/>
  <c r="M11" i="13"/>
  <c r="L11" i="13"/>
  <c r="K11" i="13"/>
  <c r="P10" i="13"/>
  <c r="R10" i="13" s="1"/>
  <c r="O10" i="13"/>
  <c r="Q10" i="13" s="1"/>
  <c r="N10" i="13"/>
  <c r="M10" i="13"/>
  <c r="L10" i="13"/>
  <c r="K10" i="13"/>
  <c r="P9" i="13"/>
  <c r="R9" i="13" s="1"/>
  <c r="O9" i="13"/>
  <c r="Q9" i="13" s="1"/>
  <c r="N9" i="13"/>
  <c r="M9" i="13"/>
  <c r="L9" i="13"/>
  <c r="K9" i="13"/>
  <c r="P8" i="13"/>
  <c r="R8" i="13" s="1"/>
  <c r="O8" i="13"/>
  <c r="Q8" i="13" s="1"/>
  <c r="N8" i="13"/>
  <c r="M8" i="13"/>
  <c r="L8" i="13"/>
  <c r="K8" i="13"/>
  <c r="P7" i="13"/>
  <c r="R7" i="13" s="1"/>
  <c r="O7" i="13"/>
  <c r="Q7" i="13" s="1"/>
  <c r="N7" i="13"/>
  <c r="M7" i="13"/>
  <c r="L7" i="13"/>
  <c r="K7" i="13"/>
  <c r="P6" i="13"/>
  <c r="R6" i="13" s="1"/>
  <c r="O6" i="13"/>
  <c r="Q6" i="13" s="1"/>
  <c r="N6" i="13"/>
  <c r="M6" i="13"/>
  <c r="L6" i="13"/>
  <c r="K6" i="13"/>
  <c r="T15" i="14" l="1"/>
  <c r="V12" i="14"/>
  <c r="W12" i="14" s="1"/>
  <c r="U16" i="14"/>
  <c r="T6" i="14"/>
  <c r="T10" i="14"/>
  <c r="U17" i="14"/>
  <c r="U10" i="14"/>
  <c r="T12" i="14"/>
  <c r="Q12" i="14" s="1"/>
  <c r="AA12" i="14" s="1"/>
  <c r="U7" i="14"/>
  <c r="T9" i="14"/>
  <c r="U15" i="14"/>
  <c r="U11" i="14"/>
  <c r="T17" i="14"/>
  <c r="U14" i="14"/>
  <c r="Q16" i="14"/>
  <c r="AA16" i="14" s="1"/>
  <c r="U9" i="14"/>
  <c r="V9" i="14" s="1"/>
  <c r="W9" i="14" s="1"/>
  <c r="T14" i="14"/>
  <c r="T8" i="14"/>
  <c r="U8" i="14"/>
  <c r="T13" i="14"/>
  <c r="Q13" i="14" s="1"/>
  <c r="AA13" i="14" s="1"/>
  <c r="T18" i="14"/>
  <c r="T7" i="14"/>
  <c r="V13" i="14"/>
  <c r="W13" i="14" s="1"/>
  <c r="U18" i="14"/>
  <c r="Q11" i="14"/>
  <c r="AA11" i="14" s="1"/>
  <c r="U6" i="14"/>
  <c r="T11" i="14"/>
  <c r="T16" i="14"/>
  <c r="Y6" i="14"/>
  <c r="Z9" i="14"/>
  <c r="Z14" i="14"/>
  <c r="AA7" i="14"/>
  <c r="X9" i="14"/>
  <c r="X10" i="14"/>
  <c r="AA17" i="14"/>
  <c r="AA15" i="14"/>
  <c r="Y8" i="14"/>
  <c r="Y9" i="14"/>
  <c r="AA9" i="14"/>
  <c r="Z8" i="14"/>
  <c r="AA8" i="14"/>
  <c r="Z12" i="14"/>
  <c r="Z17" i="14"/>
  <c r="Z6" i="14"/>
  <c r="Y16" i="14"/>
  <c r="X17" i="14"/>
  <c r="Y17" i="14"/>
  <c r="Y18" i="14"/>
  <c r="AA6" i="14"/>
  <c r="X14" i="14"/>
  <c r="Z18" i="14"/>
  <c r="X12" i="14"/>
  <c r="Z13" i="14"/>
  <c r="Y14" i="14"/>
  <c r="Z10" i="14"/>
  <c r="AA10" i="14"/>
  <c r="Z16" i="14"/>
  <c r="Y13" i="14"/>
  <c r="AA14" i="14"/>
  <c r="AA18" i="14"/>
  <c r="Z7" i="14"/>
  <c r="Y7" i="14"/>
  <c r="X7" i="14"/>
  <c r="Z15" i="14"/>
  <c r="Y15" i="14"/>
  <c r="X15" i="14"/>
  <c r="Z11" i="14"/>
  <c r="Y11" i="14"/>
  <c r="Y12" i="14"/>
  <c r="V17" i="14" l="1"/>
  <c r="W17" i="14" s="1"/>
  <c r="V16" i="14"/>
  <c r="W16" i="14" s="1"/>
  <c r="V15" i="14"/>
  <c r="W15" i="14" s="1"/>
  <c r="V10" i="14"/>
  <c r="W10" i="14" s="1"/>
  <c r="V7" i="14"/>
  <c r="W7" i="14" s="1"/>
  <c r="V11" i="14"/>
  <c r="W11" i="14" s="1"/>
  <c r="V14" i="14"/>
  <c r="W14" i="14" s="1"/>
  <c r="V6" i="14"/>
  <c r="W6" i="14" s="1"/>
  <c r="V8" i="14"/>
  <c r="W8" i="14" s="1"/>
  <c r="V18" i="14"/>
  <c r="W18" i="14" s="1"/>
  <c r="E1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G4" authorId="0" shapeId="0" xr:uid="{0D433F53-33E2-4C2B-B794-227281E2E1C1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3B4F2F71-0531-45E1-A57A-20C33864B852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S5" authorId="1" shapeId="0" xr:uid="{23BFBBEC-2364-45E6-B48F-76DF98217270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<sst xmlns="http://schemas.openxmlformats.org/spreadsheetml/2006/main" count="399" uniqueCount="209">
  <si>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</si>
  <si>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</si>
  <si>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</si>
  <si>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</si>
  <si>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</si>
  <si>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</si>
  <si>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</si>
  <si>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</si>
  <si>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</si>
  <si>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</si>
  <si>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</si>
  <si>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</si>
  <si>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</si>
  <si>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</si>
  <si>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Cosmetic Waiver List</t>
  </si>
  <si>
    <t>Vendor Input</t>
  </si>
  <si>
    <t>No.</t>
  </si>
  <si>
    <t>Defect Name</t>
  </si>
  <si>
    <t>Limit Sample</t>
    <phoneticPr fontId="0" type="noConversion"/>
  </si>
  <si>
    <t>Proposal</t>
    <phoneticPr fontId="0" type="noConversion"/>
  </si>
  <si>
    <r>
      <t xml:space="preserve"> Grading  Yield</t>
    </r>
    <r>
      <rPr>
        <sz val="14"/>
        <rFont val="細明體"/>
        <family val="3"/>
        <charset val="136"/>
      </rPr>
      <t/>
    </r>
  </si>
  <si>
    <t>Root Cause</t>
    <phoneticPr fontId="0" type="noConversion"/>
  </si>
  <si>
    <t>Corrective Action</t>
    <phoneticPr fontId="0" type="noConversion"/>
  </si>
  <si>
    <t>SQE disposition</t>
    <phoneticPr fontId="0" type="noConversion"/>
  </si>
  <si>
    <t>SBE disposition</t>
    <phoneticPr fontId="0" type="noConversion"/>
  </si>
  <si>
    <t>PD disposition</t>
    <phoneticPr fontId="0" type="noConversion"/>
  </si>
  <si>
    <t xml:space="preserve"> Spec</t>
    <phoneticPr fontId="0" type="noConversion"/>
  </si>
  <si>
    <t>Yield</t>
    <phoneticPr fontId="0" type="noConversion"/>
  </si>
  <si>
    <t>Waiver Spec</t>
    <phoneticPr fontId="0" type="noConversion"/>
  </si>
  <si>
    <t>A</t>
    <phoneticPr fontId="0" type="noConversion"/>
  </si>
  <si>
    <t>B</t>
    <phoneticPr fontId="0" type="noConversion"/>
  </si>
  <si>
    <t>C</t>
    <phoneticPr fontId="0" type="noConversion"/>
  </si>
  <si>
    <t>D</t>
    <phoneticPr fontId="0" type="noConversion"/>
  </si>
  <si>
    <t>Picture</t>
  </si>
  <si>
    <t>Description</t>
  </si>
  <si>
    <t>Defect Qty</t>
  </si>
  <si>
    <t>Defect</t>
  </si>
  <si>
    <t>Type</t>
  </si>
  <si>
    <t xml:space="preserve">Vendor Input </t>
  </si>
  <si>
    <t> Input</t>
  </si>
  <si>
    <t>FAI</t>
  </si>
  <si>
    <t>SPC</t>
  </si>
  <si>
    <t>Spec</t>
  </si>
  <si>
    <t>Nominal</t>
  </si>
  <si>
    <t>Tol+</t>
  </si>
  <si>
    <t>Tol-</t>
  </si>
  <si>
    <t>Dimensional Waiver List</t>
  </si>
  <si>
    <t>Yield</t>
  </si>
  <si>
    <t>Cp</t>
  </si>
  <si>
    <t>Cpk</t>
  </si>
  <si>
    <t>Waiver Proposal</t>
  </si>
  <si>
    <t>Functional Waiver List</t>
  </si>
  <si>
    <t>Yield %</t>
  </si>
  <si>
    <t>Inpsection Method</t>
  </si>
  <si>
    <t>Inspection Method</t>
  </si>
  <si>
    <t>Reliability</t>
  </si>
  <si>
    <t>Reliability Waiver List</t>
  </si>
  <si>
    <t>REL/ORT Test</t>
  </si>
  <si>
    <t>Failure Mode</t>
  </si>
  <si>
    <t>Checkpoint</t>
  </si>
  <si>
    <t>Input Qty</t>
  </si>
  <si>
    <t>NG Qty</t>
  </si>
  <si>
    <t>Revision</t>
  </si>
  <si>
    <t>Date</t>
  </si>
  <si>
    <t>Author</t>
    <phoneticPr fontId="0" type="noConversion"/>
  </si>
  <si>
    <t>Comments</t>
  </si>
  <si>
    <t>Tim Burks</t>
  </si>
  <si>
    <t>Initial Release</t>
  </si>
  <si>
    <t>OQC Waiver Request</t>
  </si>
  <si>
    <t>Revision:</t>
  </si>
  <si>
    <t>Dpamstech</t>
    <phoneticPr fontId="16" type="noConversion"/>
  </si>
  <si>
    <t>Varo-Project</t>
    <phoneticPr fontId="16" type="noConversion"/>
  </si>
  <si>
    <t>-</t>
    <phoneticPr fontId="16" type="noConversion"/>
  </si>
  <si>
    <t>Distance</t>
  </si>
  <si>
    <t>Config:</t>
    <phoneticPr fontId="16" type="noConversion"/>
  </si>
  <si>
    <t>Sample Number</t>
  </si>
  <si>
    <t>Deviation from Nominal</t>
  </si>
  <si>
    <t>Mean</t>
  </si>
  <si>
    <t>% Tolerance</t>
  </si>
  <si>
    <t>Alert/Reject</t>
  </si>
  <si>
    <t>Parallelism</t>
  </si>
  <si>
    <t>OMM</t>
  </si>
  <si>
    <t>Perpendicularity</t>
  </si>
  <si>
    <t>Maximum</t>
  </si>
  <si>
    <t>Minimum</t>
  </si>
  <si>
    <t>F</t>
  </si>
  <si>
    <t>W</t>
  </si>
  <si>
    <t>Shipping Qty</t>
  </si>
  <si>
    <t>Unit</t>
  </si>
  <si>
    <t>FAI Data Sheet  Enclosures MD</t>
  </si>
  <si>
    <t>DRAWING SPECIFICATIONS</t>
  </si>
  <si>
    <t>INSPECTION RESULTS</t>
  </si>
  <si>
    <t>INSPECTION ANALYSIS</t>
  </si>
  <si>
    <t>USL</t>
  </si>
  <si>
    <t>LSL</t>
  </si>
  <si>
    <t>FAI#</t>
  </si>
  <si>
    <t>Description</t>
    <phoneticPr fontId="46" type="noConversion"/>
  </si>
  <si>
    <t>Upper</t>
  </si>
  <si>
    <t>Lower</t>
  </si>
  <si>
    <t>High</t>
  </si>
  <si>
    <t>Low</t>
  </si>
  <si>
    <t>Enhanced Cpk Data Sheet - Enclosures MD</t>
  </si>
  <si>
    <t xml:space="preserve">  </t>
    <phoneticPr fontId="50" type="noConversion"/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</si>
  <si>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</si>
  <si>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</si>
  <si>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</si>
  <si>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</si>
  <si>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</si>
  <si>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</si>
  <si>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</si>
  <si>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53" type="noConversion"/>
  </si>
  <si>
    <t>Description</t>
    <phoneticPr fontId="54"/>
  </si>
  <si>
    <t>TOL+</t>
  </si>
  <si>
    <t>TOL-</t>
  </si>
  <si>
    <t>100% Gauged</t>
  </si>
  <si>
    <t>Std Dev</t>
    <phoneticPr fontId="50" type="noConversion"/>
  </si>
  <si>
    <t>Ca</t>
  </si>
  <si>
    <t>Ca Level</t>
  </si>
  <si>
    <t>UCPK</t>
    <phoneticPr fontId="55" type="noConversion"/>
  </si>
  <si>
    <t>LCPK</t>
    <phoneticPr fontId="55" type="noConversion"/>
  </si>
  <si>
    <t>+Tol =&gt; Cpk*</t>
  </si>
  <si>
    <t>-Tol =&gt; Cpk*</t>
  </si>
  <si>
    <t>Mean Shift</t>
    <phoneticPr fontId="50" type="noConversion"/>
  </si>
  <si>
    <t>Tol Range
=&gt; Cp*</t>
  </si>
  <si>
    <t>Normality Result</t>
  </si>
  <si>
    <t>Notes</t>
  </si>
  <si>
    <t>No</t>
  </si>
  <si>
    <t>+TOL</t>
    <phoneticPr fontId="16" type="noConversion"/>
  </si>
  <si>
    <t>TOL</t>
    <phoneticPr fontId="16" type="noConversion"/>
  </si>
  <si>
    <t>Normality Test</t>
    <phoneticPr fontId="16" type="noConversion"/>
  </si>
  <si>
    <t xml:space="preserve"> Supplier Comment</t>
    <phoneticPr fontId="16" type="noConversion"/>
  </si>
  <si>
    <t>DRAWING SPECIFICATIONS</t>
    <phoneticPr fontId="16" type="noConversion"/>
  </si>
  <si>
    <t>FAI4-1</t>
  </si>
  <si>
    <t>FAI4-2</t>
  </si>
  <si>
    <t>FAI4-3</t>
  </si>
  <si>
    <t>FAI6-1</t>
  </si>
  <si>
    <t>FAI6-2</t>
  </si>
  <si>
    <t>FAI6-3</t>
  </si>
  <si>
    <t>FAI8</t>
  </si>
  <si>
    <t>FAI9</t>
  </si>
  <si>
    <t>FAI10-1</t>
  </si>
  <si>
    <t>FAI10-2</t>
  </si>
  <si>
    <t>FAI10-3</t>
  </si>
  <si>
    <t>FAI23</t>
  </si>
  <si>
    <t>FAI24</t>
  </si>
  <si>
    <t>FAI 54</t>
  </si>
  <si>
    <t>FAI 55</t>
  </si>
  <si>
    <t>FAI 56</t>
  </si>
  <si>
    <t>FAI 57</t>
  </si>
  <si>
    <t>FAI 58</t>
  </si>
  <si>
    <t>FAI 59</t>
  </si>
  <si>
    <t>FAI 60</t>
  </si>
  <si>
    <t>FAI 61</t>
  </si>
  <si>
    <t>FAI 62</t>
  </si>
  <si>
    <t>Height</t>
  </si>
  <si>
    <t>AOI</t>
  </si>
  <si>
    <t>AOI</t>
    <phoneticPr fontId="16" type="noConversion"/>
  </si>
  <si>
    <t>D</t>
  </si>
  <si>
    <t>H</t>
  </si>
  <si>
    <t>I</t>
  </si>
  <si>
    <t>J</t>
  </si>
  <si>
    <t>X</t>
  </si>
  <si>
    <t>817-08748</t>
    <phoneticPr fontId="16" type="noConversion"/>
  </si>
  <si>
    <t>FAI 4-1</t>
  </si>
  <si>
    <t>FAI 4-2</t>
  </si>
  <si>
    <t>FAI 4-3</t>
  </si>
  <si>
    <t>FAI 6-1</t>
  </si>
  <si>
    <t>FAI 6-2</t>
  </si>
  <si>
    <t>FAI 6-3</t>
  </si>
  <si>
    <t>FAI 8</t>
  </si>
  <si>
    <t>FAI 9</t>
  </si>
  <si>
    <t>FAI 10-1</t>
  </si>
  <si>
    <t>FAI 10-2</t>
  </si>
  <si>
    <t>FAI 10-3</t>
  </si>
  <si>
    <t>FAI 23</t>
  </si>
  <si>
    <t>FAI 24</t>
  </si>
  <si>
    <t>FAI 25A-1</t>
  </si>
  <si>
    <t>FAI 25A-2</t>
  </si>
  <si>
    <t>FAI 25A-3</t>
  </si>
  <si>
    <t>FAI 25B-1</t>
  </si>
  <si>
    <t>FAI 25B-2</t>
  </si>
  <si>
    <t>FAI 25B-3</t>
  </si>
  <si>
    <t>FAI 26</t>
  </si>
  <si>
    <t>FAI 27</t>
  </si>
  <si>
    <t>FAI 28</t>
  </si>
  <si>
    <t>FAI 30</t>
  </si>
  <si>
    <t>FAI 31</t>
  </si>
  <si>
    <t>FAI 32</t>
  </si>
  <si>
    <t>FAI 33</t>
  </si>
  <si>
    <t>FAI 34</t>
  </si>
  <si>
    <t>FAI 35</t>
  </si>
  <si>
    <t>FAI 36</t>
  </si>
  <si>
    <t>FAI 37</t>
  </si>
  <si>
    <t>FAI 38</t>
  </si>
  <si>
    <t>FAI 39</t>
  </si>
  <si>
    <t>FAI 40</t>
  </si>
  <si>
    <t>FAI 41-1</t>
  </si>
  <si>
    <t>FAI 41-2</t>
  </si>
  <si>
    <t>MCO Rev.A / MSoP Rev.A /
PGM Rev.J</t>
    <phoneticPr fontId="16" type="noConversion"/>
  </si>
  <si>
    <t>OBA:</t>
    <phoneticPr fontId="0" type="noConversion"/>
  </si>
  <si>
    <t>OK</t>
    <phoneticPr fontId="16" type="noConversion"/>
  </si>
  <si>
    <t>APN</t>
  </si>
  <si>
    <t>Shipping Date</t>
  </si>
  <si>
    <t>Build</t>
  </si>
  <si>
    <t>Inner package</t>
  </si>
  <si>
    <t>Shipping Lot No</t>
  </si>
  <si>
    <t>Total Q'TY</t>
  </si>
  <si>
    <t>MP</t>
    <phoneticPr fontId="16" type="noConversion"/>
  </si>
  <si>
    <t>Cavity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</si>
</sst>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0.0%"/>
    <numFmt numFmtId="178" formatCode="m/d/yyyy;@"/>
    <numFmt numFmtId="179" formatCode="yyyy\-mm\-dd;@"/>
    <numFmt numFmtId="180" formatCode="0.000"/>
    <numFmt numFmtId="181" formatCode="[$-409]d/mmm;@"/>
    <numFmt numFmtId="182" formatCode="0_);[Red]\(0\)"/>
    <numFmt numFmtId="183" formatCode="0.000_ "/>
    <numFmt numFmtId="184" formatCode="#,##0.0000"/>
    <numFmt numFmtId="185" formatCode="0.00_);[Red]\(0.00\)"/>
    <numFmt numFmtId="186" formatCode="0.0000_);[Red]\(0.0000\)"/>
  </numFmts>
  <fonts count="68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b/>
      <sz val="20"/>
      <name val="Helvetica Neue"/>
      <family val="2"/>
    </font>
    <font>
      <sz val="14"/>
      <name val="Helvetica Neue"/>
      <family val="2"/>
    </font>
    <font>
      <sz val="14"/>
      <name val="細明體"/>
      <family val="3"/>
      <charset val="136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b/>
      <sz val="12"/>
      <color rgb="FF212121"/>
      <name val="Helvetica Neue"/>
      <family val="2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2"/>
      <name val="Helvetica Neue"/>
      <family val="1"/>
    </font>
    <font>
      <sz val="10"/>
      <color theme="1"/>
      <name val="Meiryo UI"/>
      <family val="2"/>
      <charset val="128"/>
    </font>
    <font>
      <b/>
      <sz val="16"/>
      <name val="Arial"/>
      <family val="2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name val="Arial"/>
      <family val="2"/>
    </font>
    <font>
      <b/>
      <sz val="9"/>
      <name val="Arial"/>
      <family val="2"/>
    </font>
    <font>
      <sz val="9"/>
      <name val="맑은 고딕"/>
      <family val="3"/>
      <charset val="134"/>
      <scheme val="minor"/>
    </font>
    <font>
      <sz val="8"/>
      <name val="Arial"/>
      <family val="2"/>
    </font>
    <font>
      <sz val="10"/>
      <color theme="1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0"/>
      <color rgb="FF000000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2"/>
      <name val="Times New Roman"/>
      <family val="1"/>
    </font>
    <font>
      <b/>
      <i/>
      <sz val="12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theme="1"/>
      <name val="Helvetica Neue"/>
    </font>
    <font>
      <sz val="12"/>
      <color indexed="8"/>
      <name val="맑은 고딕"/>
      <family val="3"/>
      <charset val="129"/>
      <scheme val="major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92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2" fillId="0" borderId="0"/>
    <xf numFmtId="181" fontId="17" fillId="0" borderId="0"/>
    <xf numFmtId="181" fontId="17" fillId="0" borderId="0"/>
    <xf numFmtId="9" fontId="18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19" applyNumberFormat="0" applyAlignment="0" applyProtection="0">
      <alignment vertical="center"/>
    </xf>
    <xf numFmtId="0" fontId="36" fillId="10" borderId="20" applyNumberFormat="0" applyAlignment="0" applyProtection="0">
      <alignment vertical="center"/>
    </xf>
    <xf numFmtId="0" fontId="37" fillId="10" borderId="19" applyNumberFormat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11" borderId="22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21" fillId="0" borderId="0"/>
    <xf numFmtId="9" fontId="27" fillId="0" borderId="0" applyFont="0" applyFill="0" applyBorder="0" applyAlignment="0" applyProtection="0"/>
    <xf numFmtId="0" fontId="21" fillId="0" borderId="0"/>
    <xf numFmtId="9" fontId="11" fillId="0" borderId="0" applyFont="0" applyFill="0" applyBorder="0" applyAlignment="0" applyProtection="0"/>
    <xf numFmtId="0" fontId="20" fillId="0" borderId="0"/>
    <xf numFmtId="177" fontId="18" fillId="0" borderId="0" applyFill="0" applyBorder="0" applyAlignment="0"/>
    <xf numFmtId="184" fontId="18" fillId="0" borderId="0" applyFill="0" applyBorder="0" applyAlignment="0"/>
    <xf numFmtId="0" fontId="22" fillId="0" borderId="25" applyNumberFormat="0" applyAlignment="0" applyProtection="0">
      <alignment horizontal="left" vertical="center"/>
    </xf>
    <xf numFmtId="0" fontId="22" fillId="0" borderId="9">
      <alignment horizontal="left" vertical="center"/>
    </xf>
    <xf numFmtId="184" fontId="18" fillId="0" borderId="0" applyFill="0" applyBorder="0" applyAlignment="0"/>
    <xf numFmtId="0" fontId="21" fillId="0" borderId="0"/>
    <xf numFmtId="184" fontId="18" fillId="0" borderId="0" applyFill="0" applyBorder="0" applyAlignment="0"/>
    <xf numFmtId="49" fontId="19" fillId="0" borderId="0" applyFill="0" applyBorder="0" applyAlignment="0"/>
    <xf numFmtId="184" fontId="18" fillId="0" borderId="0" applyFill="0" applyBorder="0" applyAlignment="0"/>
    <xf numFmtId="0" fontId="3" fillId="0" borderId="0">
      <alignment vertical="center"/>
    </xf>
    <xf numFmtId="0" fontId="3" fillId="12" borderId="23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23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3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3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3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3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3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3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3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3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3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3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3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3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3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3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27" fillId="0" borderId="0"/>
    <xf numFmtId="0" fontId="59" fillId="0" borderId="0"/>
    <xf numFmtId="0" fontId="64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2" fillId="0" borderId="0">
      <alignment vertical="center"/>
    </xf>
    <xf numFmtId="181" fontId="17" fillId="0" borderId="0"/>
    <xf numFmtId="176" fontId="25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78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0" fontId="9" fillId="0" borderId="0" xfId="1" applyFont="1"/>
    <xf numFmtId="0" fontId="6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4" borderId="1" xfId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177" fontId="5" fillId="0" borderId="1" xfId="2" applyNumberFormat="1" applyFont="1" applyFill="1" applyBorder="1" applyAlignment="1">
      <alignment horizontal="left" vertical="center" wrapText="1"/>
    </xf>
    <xf numFmtId="9" fontId="5" fillId="0" borderId="1" xfId="2" applyFont="1" applyFill="1" applyBorder="1" applyAlignment="1">
      <alignment horizontal="center" vertical="center" wrapText="1"/>
    </xf>
    <xf numFmtId="9" fontId="5" fillId="4" borderId="1" xfId="2" applyFont="1" applyFill="1" applyBorder="1" applyAlignment="1">
      <alignment horizontal="center" vertical="center" wrapText="1"/>
    </xf>
    <xf numFmtId="10" fontId="5" fillId="4" borderId="1" xfId="2" applyNumberFormat="1" applyFont="1" applyFill="1" applyBorder="1" applyAlignment="1">
      <alignment horizontal="left" vertical="center" wrapText="1"/>
    </xf>
    <xf numFmtId="0" fontId="5" fillId="4" borderId="1" xfId="2" applyNumberFormat="1" applyFont="1" applyFill="1" applyBorder="1" applyAlignment="1">
      <alignment horizontal="left" vertical="center" wrapText="1"/>
    </xf>
    <xf numFmtId="9" fontId="5" fillId="4" borderId="1" xfId="2" applyFont="1" applyFill="1" applyBorder="1" applyAlignment="1">
      <alignment horizontal="left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13" fillId="5" borderId="1" xfId="3" applyFont="1" applyFill="1" applyBorder="1" applyAlignment="1">
      <alignment horizontal="center" vertical="center"/>
    </xf>
    <xf numFmtId="0" fontId="14" fillId="4" borderId="1" xfId="3" applyFont="1" applyFill="1" applyBorder="1" applyAlignment="1">
      <alignment horizontal="center" vertical="center"/>
    </xf>
    <xf numFmtId="178" fontId="15" fillId="4" borderId="1" xfId="3" applyNumberFormat="1" applyFont="1" applyFill="1" applyBorder="1" applyAlignment="1">
      <alignment horizontal="center" vertical="center"/>
    </xf>
    <xf numFmtId="0" fontId="15" fillId="4" borderId="1" xfId="3" applyFont="1" applyFill="1" applyBorder="1" applyAlignment="1">
      <alignment vertical="center" wrapText="1"/>
    </xf>
    <xf numFmtId="179" fontId="15" fillId="4" borderId="1" xfId="3" applyNumberFormat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0" fontId="5" fillId="0" borderId="1" xfId="2" applyNumberFormat="1" applyFont="1" applyFill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/>
    </xf>
    <xf numFmtId="10" fontId="5" fillId="4" borderId="1" xfId="2" quotePrefix="1" applyNumberFormat="1" applyFont="1" applyFill="1" applyBorder="1" applyAlignment="1">
      <alignment horizontal="left" vertical="center" wrapText="1"/>
    </xf>
    <xf numFmtId="10" fontId="24" fillId="4" borderId="1" xfId="2" quotePrefix="1" applyNumberFormat="1" applyFont="1" applyFill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shrinkToFit="1"/>
    </xf>
    <xf numFmtId="0" fontId="5" fillId="4" borderId="1" xfId="2" quotePrefix="1" applyNumberFormat="1" applyFont="1" applyFill="1" applyBorder="1" applyAlignment="1">
      <alignment horizontal="left" vertical="center" wrapText="1"/>
    </xf>
    <xf numFmtId="180" fontId="18" fillId="0" borderId="1" xfId="0" applyNumberFormat="1" applyFont="1" applyBorder="1" applyAlignment="1" applyProtection="1">
      <alignment horizontal="center"/>
      <protection locked="0"/>
    </xf>
    <xf numFmtId="180" fontId="18" fillId="0" borderId="13" xfId="0" applyNumberFormat="1" applyFont="1" applyBorder="1" applyAlignment="1" applyProtection="1">
      <alignment horizontal="center"/>
      <protection locked="0"/>
    </xf>
    <xf numFmtId="180" fontId="18" fillId="0" borderId="5" xfId="0" applyNumberFormat="1" applyFont="1" applyBorder="1" applyAlignment="1" applyProtection="1">
      <alignment horizontal="center"/>
      <protection locked="0"/>
    </xf>
    <xf numFmtId="49" fontId="18" fillId="0" borderId="5" xfId="0" applyNumberFormat="1" applyFont="1" applyBorder="1" applyAlignment="1" applyProtection="1">
      <alignment horizontal="center" wrapText="1"/>
      <protection locked="0"/>
    </xf>
    <xf numFmtId="49" fontId="18" fillId="0" borderId="1" xfId="0" applyNumberFormat="1" applyFont="1" applyBorder="1" applyAlignment="1" applyProtection="1">
      <alignment horizontal="center" wrapText="1"/>
      <protection locked="0"/>
    </xf>
    <xf numFmtId="49" fontId="18" fillId="0" borderId="1" xfId="0" applyNumberFormat="1" applyFont="1" applyBorder="1" applyAlignment="1" applyProtection="1">
      <alignment horizontal="center"/>
      <protection locked="0"/>
    </xf>
    <xf numFmtId="180" fontId="48" fillId="0" borderId="1" xfId="0" applyNumberFormat="1" applyFont="1" applyBorder="1" applyAlignment="1">
      <alignment horizontal="center"/>
    </xf>
    <xf numFmtId="0" fontId="18" fillId="0" borderId="0" xfId="0" applyFont="1" applyProtection="1">
      <protection locked="0"/>
    </xf>
    <xf numFmtId="0" fontId="26" fillId="0" borderId="0" xfId="0" applyFont="1" applyAlignment="1">
      <alignment horizontal="center"/>
    </xf>
    <xf numFmtId="0" fontId="18" fillId="0" borderId="0" xfId="0" applyFont="1" applyAlignment="1" applyProtection="1">
      <alignment horizontal="center"/>
      <protection locked="0"/>
    </xf>
    <xf numFmtId="0" fontId="23" fillId="0" borderId="14" xfId="0" applyFont="1" applyBorder="1" applyAlignment="1">
      <alignment horizontal="center"/>
    </xf>
    <xf numFmtId="9" fontId="19" fillId="0" borderId="5" xfId="0" quotePrefix="1" applyNumberFormat="1" applyFont="1" applyBorder="1" applyAlignment="1">
      <alignment horizontal="center"/>
    </xf>
    <xf numFmtId="9" fontId="19" fillId="0" borderId="5" xfId="0" applyNumberFormat="1" applyFont="1" applyBorder="1" applyAlignment="1">
      <alignment horizontal="center"/>
    </xf>
    <xf numFmtId="180" fontId="18" fillId="0" borderId="5" xfId="0" applyNumberFormat="1" applyFont="1" applyBorder="1" applyAlignment="1">
      <alignment horizontal="center"/>
    </xf>
    <xf numFmtId="180" fontId="18" fillId="0" borderId="14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44" fillId="0" borderId="4" xfId="0" applyFont="1" applyBorder="1"/>
    <xf numFmtId="0" fontId="44" fillId="0" borderId="15" xfId="0" applyFont="1" applyBorder="1"/>
    <xf numFmtId="58" fontId="23" fillId="0" borderId="4" xfId="48" applyNumberFormat="1" applyFont="1" applyBorder="1" applyAlignment="1" applyProtection="1">
      <alignment wrapText="1"/>
      <protection locked="0"/>
    </xf>
    <xf numFmtId="2" fontId="23" fillId="0" borderId="4" xfId="48" applyNumberFormat="1" applyFont="1" applyBorder="1" applyAlignment="1" applyProtection="1">
      <alignment wrapText="1"/>
      <protection locked="0"/>
    </xf>
    <xf numFmtId="0" fontId="47" fillId="0" borderId="4" xfId="0" quotePrefix="1" applyFont="1" applyBorder="1" applyAlignment="1">
      <alignment horizontal="center" vertical="center" wrapText="1"/>
    </xf>
    <xf numFmtId="0" fontId="23" fillId="0" borderId="4" xfId="0" applyFont="1" applyBorder="1" applyAlignment="1">
      <alignment wrapText="1"/>
    </xf>
    <xf numFmtId="0" fontId="23" fillId="0" borderId="4" xfId="48" applyFont="1" applyBorder="1" applyAlignment="1">
      <alignment wrapText="1"/>
    </xf>
    <xf numFmtId="0" fontId="23" fillId="0" borderId="4" xfId="48" applyFont="1" applyBorder="1"/>
    <xf numFmtId="2" fontId="23" fillId="0" borderId="4" xfId="48" applyNumberFormat="1" applyFont="1" applyBorder="1"/>
    <xf numFmtId="180" fontId="23" fillId="0" borderId="4" xfId="48" applyNumberFormat="1" applyFont="1" applyBorder="1"/>
    <xf numFmtId="0" fontId="23" fillId="0" borderId="2" xfId="0" applyFont="1" applyBorder="1" applyAlignment="1">
      <alignment horizontal="center" vertical="center" wrapText="1"/>
    </xf>
    <xf numFmtId="2" fontId="18" fillId="0" borderId="7" xfId="0" applyNumberFormat="1" applyFont="1" applyBorder="1" applyAlignment="1">
      <alignment horizontal="center" vertical="center" wrapText="1"/>
    </xf>
    <xf numFmtId="0" fontId="51" fillId="0" borderId="4" xfId="48" applyFont="1" applyBorder="1" applyAlignment="1" applyProtection="1">
      <alignment wrapText="1"/>
      <protection locked="0"/>
    </xf>
    <xf numFmtId="0" fontId="44" fillId="0" borderId="4" xfId="0" applyFont="1" applyBorder="1" applyAlignment="1">
      <alignment vertical="center"/>
    </xf>
    <xf numFmtId="0" fontId="44" fillId="0" borderId="0" xfId="0" applyFont="1" applyAlignment="1">
      <alignment vertical="center"/>
    </xf>
    <xf numFmtId="0" fontId="44" fillId="0" borderId="3" xfId="0" applyFont="1" applyBorder="1" applyAlignment="1">
      <alignment vertical="center"/>
    </xf>
    <xf numFmtId="0" fontId="52" fillId="0" borderId="15" xfId="0" applyFont="1" applyBorder="1"/>
    <xf numFmtId="58" fontId="23" fillId="0" borderId="5" xfId="48" applyNumberFormat="1" applyFont="1" applyBorder="1" applyAlignment="1" applyProtection="1">
      <alignment horizontal="center" vertical="center" wrapText="1"/>
      <protection locked="0"/>
    </xf>
    <xf numFmtId="2" fontId="23" fillId="0" borderId="5" xfId="48" applyNumberFormat="1" applyFont="1" applyBorder="1" applyAlignment="1" applyProtection="1">
      <alignment horizontal="center" vertical="center" wrapText="1"/>
      <protection locked="0"/>
    </xf>
    <xf numFmtId="49" fontId="23" fillId="0" borderId="5" xfId="0" quotePrefix="1" applyNumberFormat="1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5" xfId="48" applyFont="1" applyBorder="1" applyAlignment="1">
      <alignment horizontal="center" wrapText="1"/>
    </xf>
    <xf numFmtId="0" fontId="23" fillId="0" borderId="5" xfId="48" applyFont="1" applyBorder="1" applyAlignment="1">
      <alignment horizontal="center" vertical="center"/>
    </xf>
    <xf numFmtId="2" fontId="23" fillId="0" borderId="5" xfId="48" applyNumberFormat="1" applyFont="1" applyBorder="1" applyAlignment="1">
      <alignment horizontal="center" vertical="center"/>
    </xf>
    <xf numFmtId="180" fontId="23" fillId="0" borderId="5" xfId="48" applyNumberFormat="1" applyFont="1" applyBorder="1" applyAlignment="1">
      <alignment horizontal="center" vertical="center"/>
    </xf>
    <xf numFmtId="180" fontId="23" fillId="0" borderId="5" xfId="48" quotePrefix="1" applyNumberFormat="1" applyFont="1" applyBorder="1" applyAlignment="1">
      <alignment horizontal="center" vertical="center"/>
    </xf>
    <xf numFmtId="180" fontId="23" fillId="0" borderId="5" xfId="48" quotePrefix="1" applyNumberFormat="1" applyFont="1" applyBorder="1" applyAlignment="1">
      <alignment horizontal="center" vertical="center" wrapText="1"/>
    </xf>
    <xf numFmtId="0" fontId="23" fillId="0" borderId="5" xfId="48" applyFont="1" applyBorder="1" applyAlignment="1" applyProtection="1">
      <alignment horizontal="center" wrapText="1"/>
      <protection locked="0"/>
    </xf>
    <xf numFmtId="0" fontId="23" fillId="0" borderId="1" xfId="48" applyFont="1" applyBorder="1" applyAlignment="1" applyProtection="1">
      <alignment horizontal="center" vertical="center"/>
      <protection locked="0"/>
    </xf>
    <xf numFmtId="0" fontId="56" fillId="0" borderId="0" xfId="0" applyFont="1"/>
    <xf numFmtId="0" fontId="57" fillId="0" borderId="5" xfId="364" applyFont="1" applyBorder="1" applyAlignment="1" applyProtection="1">
      <alignment horizontal="center"/>
      <protection locked="0"/>
    </xf>
    <xf numFmtId="182" fontId="57" fillId="0" borderId="14" xfId="7" quotePrefix="1" applyNumberFormat="1" applyFont="1" applyFill="1" applyBorder="1" applyAlignment="1" applyProtection="1">
      <alignment horizontal="center" vertical="center"/>
      <protection locked="0"/>
    </xf>
    <xf numFmtId="0" fontId="58" fillId="0" borderId="5" xfId="364" applyFont="1" applyBorder="1" applyAlignment="1" applyProtection="1">
      <alignment horizontal="center"/>
      <protection locked="0"/>
    </xf>
    <xf numFmtId="180" fontId="18" fillId="0" borderId="1" xfId="365" applyNumberFormat="1" applyFont="1" applyBorder="1" applyAlignment="1" applyProtection="1">
      <alignment horizontal="center" wrapText="1"/>
      <protection locked="0"/>
    </xf>
    <xf numFmtId="49" fontId="18" fillId="0" borderId="1" xfId="365" applyNumberFormat="1" applyFont="1" applyBorder="1" applyAlignment="1" applyProtection="1">
      <alignment horizontal="center" vertical="center" wrapText="1"/>
      <protection locked="0"/>
    </xf>
    <xf numFmtId="49" fontId="18" fillId="0" borderId="13" xfId="365" applyNumberFormat="1" applyFont="1" applyBorder="1" applyAlignment="1" applyProtection="1">
      <alignment horizontal="center" vertical="center" wrapText="1"/>
      <protection locked="0"/>
    </xf>
    <xf numFmtId="0" fontId="58" fillId="0" borderId="15" xfId="0" applyFont="1" applyBorder="1"/>
    <xf numFmtId="183" fontId="18" fillId="0" borderId="1" xfId="365" applyNumberFormat="1" applyFont="1" applyBorder="1" applyAlignment="1">
      <alignment horizontal="center"/>
    </xf>
    <xf numFmtId="183" fontId="18" fillId="0" borderId="1" xfId="48" applyNumberFormat="1" applyFont="1" applyBorder="1" applyAlignment="1">
      <alignment horizontal="center"/>
    </xf>
    <xf numFmtId="180" fontId="18" fillId="0" borderId="1" xfId="48" applyNumberFormat="1" applyFont="1" applyBorder="1" applyAlignment="1">
      <alignment horizontal="center"/>
    </xf>
    <xf numFmtId="10" fontId="18" fillId="0" borderId="1" xfId="48" applyNumberFormat="1" applyFont="1" applyBorder="1" applyAlignment="1">
      <alignment horizontal="center"/>
    </xf>
    <xf numFmtId="9" fontId="18" fillId="0" borderId="2" xfId="49" applyFont="1" applyFill="1" applyBorder="1" applyAlignment="1">
      <alignment horizontal="center"/>
    </xf>
    <xf numFmtId="180" fontId="18" fillId="0" borderId="2" xfId="49" applyNumberFormat="1" applyFont="1" applyFill="1" applyBorder="1" applyAlignment="1">
      <alignment horizontal="center"/>
    </xf>
    <xf numFmtId="180" fontId="18" fillId="0" borderId="1" xfId="365" applyNumberFormat="1" applyFont="1" applyBorder="1" applyAlignment="1" applyProtection="1">
      <alignment horizontal="center"/>
      <protection locked="0"/>
    </xf>
    <xf numFmtId="0" fontId="23" fillId="0" borderId="1" xfId="365" applyFont="1" applyBorder="1" applyAlignment="1" applyProtection="1">
      <alignment horizontal="center"/>
      <protection locked="0"/>
    </xf>
    <xf numFmtId="0" fontId="23" fillId="0" borderId="1" xfId="365" applyFont="1" applyBorder="1" applyAlignment="1" applyProtection="1">
      <alignment horizontal="left"/>
      <protection locked="0"/>
    </xf>
    <xf numFmtId="0" fontId="23" fillId="0" borderId="0" xfId="365" applyFont="1" applyAlignment="1" applyProtection="1">
      <alignment horizontal="center"/>
      <protection locked="0"/>
    </xf>
    <xf numFmtId="0" fontId="23" fillId="0" borderId="3" xfId="365" applyFont="1" applyBorder="1" applyAlignment="1" applyProtection="1">
      <alignment horizontal="center"/>
      <protection locked="0"/>
    </xf>
    <xf numFmtId="0" fontId="60" fillId="0" borderId="0" xfId="0" applyFont="1"/>
    <xf numFmtId="0" fontId="57" fillId="0" borderId="14" xfId="364" applyFont="1" applyBorder="1" applyAlignment="1" applyProtection="1">
      <alignment horizontal="center"/>
      <protection locked="0"/>
    </xf>
    <xf numFmtId="0" fontId="61" fillId="0" borderId="15" xfId="0" applyFont="1" applyBorder="1"/>
    <xf numFmtId="180" fontId="18" fillId="0" borderId="1" xfId="364" applyNumberFormat="1" applyFont="1" applyBorder="1" applyAlignment="1" applyProtection="1">
      <alignment horizontal="center"/>
      <protection locked="0"/>
    </xf>
    <xf numFmtId="0" fontId="23" fillId="0" borderId="1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44" fillId="0" borderId="0" xfId="0" applyFont="1"/>
    <xf numFmtId="0" fontId="23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180" fontId="18" fillId="0" borderId="0" xfId="0" applyNumberFormat="1" applyFont="1" applyAlignment="1" applyProtection="1">
      <alignment horizontal="center"/>
      <protection locked="0"/>
    </xf>
    <xf numFmtId="180" fontId="18" fillId="0" borderId="14" xfId="0" applyNumberFormat="1" applyFont="1" applyBorder="1" applyAlignment="1" applyProtection="1">
      <alignment horizontal="center"/>
      <protection locked="0"/>
    </xf>
    <xf numFmtId="180" fontId="48" fillId="0" borderId="7" xfId="0" applyNumberFormat="1" applyFont="1" applyBorder="1" applyAlignment="1">
      <alignment horizontal="center"/>
    </xf>
    <xf numFmtId="0" fontId="18" fillId="0" borderId="1" xfId="0" applyFont="1" applyBorder="1" applyAlignment="1" applyProtection="1">
      <alignment horizontal="center"/>
      <protection locked="0"/>
    </xf>
    <xf numFmtId="0" fontId="18" fillId="0" borderId="13" xfId="0" applyFont="1" applyBorder="1" applyAlignment="1" applyProtection="1">
      <alignment horizontal="center"/>
      <protection locked="0"/>
    </xf>
    <xf numFmtId="0" fontId="44" fillId="0" borderId="3" xfId="0" applyFont="1" applyBorder="1"/>
    <xf numFmtId="0" fontId="5" fillId="0" borderId="1" xfId="0" applyFont="1" applyBorder="1" applyAlignment="1">
      <alignment horizontal="center" vertical="center" wrapText="1"/>
    </xf>
    <xf numFmtId="186" fontId="18" fillId="0" borderId="1" xfId="369" applyNumberFormat="1" applyFont="1" applyBorder="1" applyAlignment="1">
      <alignment horizontal="center" vertical="center"/>
    </xf>
    <xf numFmtId="0" fontId="52" fillId="0" borderId="6" xfId="0" applyFont="1" applyBorder="1"/>
    <xf numFmtId="0" fontId="66" fillId="0" borderId="1" xfId="0" applyFont="1" applyBorder="1" applyAlignment="1">
      <alignment horizontal="center" vertical="center"/>
    </xf>
    <xf numFmtId="14" fontId="67" fillId="4" borderId="26" xfId="62" applyNumberFormat="1" applyFont="1" applyFill="1" applyBorder="1" applyAlignment="1">
      <alignment horizontal="center" vertical="center"/>
    </xf>
    <xf numFmtId="49" fontId="67" fillId="4" borderId="26" xfId="62" applyNumberFormat="1" applyFont="1" applyFill="1" applyBorder="1" applyAlignment="1">
      <alignment horizontal="center" vertical="center"/>
    </xf>
    <xf numFmtId="0" fontId="67" fillId="0" borderId="26" xfId="62" applyFont="1" applyBorder="1" applyAlignment="1">
      <alignment horizontal="center" vertical="center"/>
    </xf>
    <xf numFmtId="0" fontId="67" fillId="0" borderId="0" xfId="62" applyFont="1" applyAlignment="1">
      <alignment horizontal="center" vertical="center"/>
    </xf>
    <xf numFmtId="182" fontId="67" fillId="4" borderId="26" xfId="62" applyNumberFormat="1" applyFont="1" applyFill="1" applyBorder="1" applyAlignment="1">
      <alignment horizontal="center" vertical="center"/>
    </xf>
    <xf numFmtId="0" fontId="67" fillId="4" borderId="26" xfId="62" applyFont="1" applyFill="1" applyBorder="1" applyAlignment="1">
      <alignment horizontal="center" vertical="center"/>
    </xf>
    <xf numFmtId="182" fontId="67" fillId="0" borderId="26" xfId="62" applyNumberFormat="1" applyFont="1" applyBorder="1" applyAlignment="1">
      <alignment horizontal="center" vertical="center"/>
    </xf>
    <xf numFmtId="182" fontId="67" fillId="0" borderId="0" xfId="62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9" fontId="67" fillId="4" borderId="26" xfId="62" applyNumberFormat="1" applyFont="1" applyFill="1" applyBorder="1" applyAlignment="1">
      <alignment horizontal="center" vertical="center"/>
    </xf>
    <xf numFmtId="0" fontId="67" fillId="0" borderId="26" xfId="62" applyFont="1" applyBorder="1" applyAlignment="1">
      <alignment horizontal="center" vertical="center"/>
    </xf>
    <xf numFmtId="0" fontId="44" fillId="0" borderId="1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44" fillId="0" borderId="9" xfId="0" applyFont="1" applyBorder="1" applyAlignment="1">
      <alignment horizontal="center"/>
    </xf>
    <xf numFmtId="0" fontId="44" fillId="0" borderId="2" xfId="0" applyFont="1" applyBorder="1" applyAlignment="1">
      <alignment horizontal="center"/>
    </xf>
    <xf numFmtId="0" fontId="44" fillId="0" borderId="7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3" fillId="0" borderId="1" xfId="0" quotePrefix="1" applyFont="1" applyBorder="1" applyAlignment="1">
      <alignment horizontal="center" wrapText="1"/>
    </xf>
    <xf numFmtId="185" fontId="23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44" fillId="0" borderId="10" xfId="0" applyFont="1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0" fontId="44" fillId="0" borderId="12" xfId="0" applyFont="1" applyBorder="1" applyAlignment="1">
      <alignment horizontal="center" vertical="center"/>
    </xf>
    <xf numFmtId="0" fontId="44" fillId="0" borderId="13" xfId="0" applyFont="1" applyBorder="1" applyAlignment="1">
      <alignment horizontal="center" vertical="center"/>
    </xf>
    <xf numFmtId="0" fontId="44" fillId="0" borderId="8" xfId="0" applyFont="1" applyBorder="1" applyAlignment="1">
      <alignment horizontal="center" vertical="center"/>
    </xf>
    <xf numFmtId="0" fontId="44" fillId="0" borderId="14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</cellXfs>
  <cellStyles count="692">
    <cellStyle name="___CPK__" xfId="52" xr:uid="{66B5D527-70B2-400F-8B63-DFBD3372561C}"/>
    <cellStyle name="20% - 강조색1" xfId="25" builtinId="30" customBuiltin="1"/>
    <cellStyle name="20% - 강조색1 10" xfId="226" xr:uid="{144ACF6C-EC76-4508-8082-1FFC5044376A}"/>
    <cellStyle name="20% - 강조색1 10 2" xfId="553" xr:uid="{141D7389-A7E2-4C66-8CB9-E51699D1478B}"/>
    <cellStyle name="20% - 강조색1 11" xfId="246" xr:uid="{A0133E03-4FF6-4773-83EB-E1C71755515E}"/>
    <cellStyle name="20% - 강조색1 11 2" xfId="573" xr:uid="{2285CC1A-5E68-456A-82EA-372C8C5F0CBF}"/>
    <cellStyle name="20% - 강조색1 12" xfId="266" xr:uid="{69765A4B-5601-441F-932C-239E408BA924}"/>
    <cellStyle name="20% - 강조색1 12 2" xfId="593" xr:uid="{3594D2BF-A664-447C-96A1-E9BB553DDBD0}"/>
    <cellStyle name="20% - 강조색1 13" xfId="286" xr:uid="{2D93951E-88EE-4D56-A398-D06CE1F6EA5E}"/>
    <cellStyle name="20% - 강조색1 13 2" xfId="613" xr:uid="{CCC7405D-5EB4-4686-B957-802B2A50C0CB}"/>
    <cellStyle name="20% - 강조색1 14" xfId="306" xr:uid="{D2E72044-9889-43C0-AEC5-6EB1830CA591}"/>
    <cellStyle name="20% - 강조색1 14 2" xfId="633" xr:uid="{682FD549-97E7-4753-A1BE-5C9E6BF55768}"/>
    <cellStyle name="20% - 강조색1 15" xfId="326" xr:uid="{F699FD11-AFE7-4F15-B0D0-594A5B59A6DC}"/>
    <cellStyle name="20% - 강조색1 15 2" xfId="653" xr:uid="{E2BAF0CA-879A-46C0-8CE8-92E1736C1998}"/>
    <cellStyle name="20% - 강조색1 16" xfId="346" xr:uid="{B2D40CCE-D2F7-47F4-A6D2-B2E79757B518}"/>
    <cellStyle name="20% - 강조색1 16 2" xfId="673" xr:uid="{8A583BF0-EE93-47B6-ABC1-7E1419D5C12E}"/>
    <cellStyle name="20% - 강조색1 17" xfId="371" xr:uid="{D3A8C506-74B3-4DA3-B230-D5E3DD3A12EB}"/>
    <cellStyle name="20% - 강조색1 2" xfId="66" xr:uid="{C000C105-B9B6-4FCD-955D-5C51AE01AD63}"/>
    <cellStyle name="20% - 강조색1 2 2" xfId="393" xr:uid="{B7F4EAC9-D5CE-4305-8022-B0B81B3C6E0C}"/>
    <cellStyle name="20% - 강조색1 3" xfId="86" xr:uid="{F5A672B4-D06D-4DB2-937D-339516178143}"/>
    <cellStyle name="20% - 강조색1 3 2" xfId="413" xr:uid="{17C15151-1AC0-4242-8CDC-51EA23224A41}"/>
    <cellStyle name="20% - 강조색1 4" xfId="106" xr:uid="{3C64C37A-44A9-4367-B271-41D2A0E02959}"/>
    <cellStyle name="20% - 강조색1 4 2" xfId="433" xr:uid="{1E9C0B75-B86F-41CF-8C78-160B41AD2886}"/>
    <cellStyle name="20% - 강조색1 5" xfId="126" xr:uid="{85AD6993-9104-4803-AB92-CF10796A4D3D}"/>
    <cellStyle name="20% - 강조색1 5 2" xfId="453" xr:uid="{A18692C0-F2A2-4D90-B61B-9FAC3FCD731F}"/>
    <cellStyle name="20% - 강조색1 6" xfId="146" xr:uid="{72C18894-A5F7-4A98-BC89-75E38C4C69E0}"/>
    <cellStyle name="20% - 강조색1 6 2" xfId="473" xr:uid="{618389CC-2EE9-49FA-BD42-B76B38ACE2F6}"/>
    <cellStyle name="20% - 강조색1 7" xfId="166" xr:uid="{3D432729-A8DE-423D-A1F2-8BB10728B8A7}"/>
    <cellStyle name="20% - 강조색1 7 2" xfId="493" xr:uid="{FFF2BFDA-5768-48A0-9ABC-D1202CF08281}"/>
    <cellStyle name="20% - 강조색1 8" xfId="186" xr:uid="{EA8B51F4-DF1C-4AD3-B065-82345EB025A5}"/>
    <cellStyle name="20% - 강조색1 8 2" xfId="513" xr:uid="{7F679B55-56D0-42E4-B34C-DCCD8E8B2CFC}"/>
    <cellStyle name="20% - 강조색1 9" xfId="206" xr:uid="{3AF2B297-8D3F-4630-89A2-074B4220D709}"/>
    <cellStyle name="20% - 강조색1 9 2" xfId="533" xr:uid="{9C3979F8-CDCC-4582-97F6-23054214F264}"/>
    <cellStyle name="20% - 강조색2" xfId="29" builtinId="34" customBuiltin="1"/>
    <cellStyle name="20% - 강조색2 10" xfId="229" xr:uid="{626F9513-4C92-4F94-B200-104CF2CD402B}"/>
    <cellStyle name="20% - 강조색2 10 2" xfId="556" xr:uid="{4B42CDF6-6AF3-4FC7-910E-1E72EBB844FC}"/>
    <cellStyle name="20% - 강조색2 11" xfId="249" xr:uid="{26249CFF-D7A2-4344-AF21-7004B903DE59}"/>
    <cellStyle name="20% - 강조색2 11 2" xfId="576" xr:uid="{A96585AB-DCA8-494D-B400-D73CCCC6F06A}"/>
    <cellStyle name="20% - 강조색2 12" xfId="269" xr:uid="{4C7B131D-BF00-41A3-A47F-EF7251B28828}"/>
    <cellStyle name="20% - 강조색2 12 2" xfId="596" xr:uid="{C36B0452-55C2-48A8-B3E8-0942176FC48D}"/>
    <cellStyle name="20% - 강조색2 13" xfId="289" xr:uid="{DDA91409-2ECB-49B2-9139-3C4AB69E3086}"/>
    <cellStyle name="20% - 강조색2 13 2" xfId="616" xr:uid="{05D4D12C-A553-4031-8B16-B2BD13DC44E9}"/>
    <cellStyle name="20% - 강조색2 14" xfId="309" xr:uid="{28A644DC-7FF4-4C83-BFE4-A6C26544894C}"/>
    <cellStyle name="20% - 강조색2 14 2" xfId="636" xr:uid="{938886A6-1668-4EE2-B9C3-5AD931669893}"/>
    <cellStyle name="20% - 강조색2 15" xfId="329" xr:uid="{03343EA4-A181-4A6B-9013-D99EAEB9A7B5}"/>
    <cellStyle name="20% - 강조색2 15 2" xfId="656" xr:uid="{F3E1970B-AF59-45B0-8E6C-2599D85E187C}"/>
    <cellStyle name="20% - 강조색2 16" xfId="349" xr:uid="{90DF914E-13D3-42B4-90E8-30C7D1A3016E}"/>
    <cellStyle name="20% - 강조색2 16 2" xfId="676" xr:uid="{667E3FE6-CED2-4680-BE7C-2A372C68FB1A}"/>
    <cellStyle name="20% - 강조색2 17" xfId="374" xr:uid="{0013B3C8-E2A1-433E-A704-1376E6D55DCB}"/>
    <cellStyle name="20% - 강조색2 2" xfId="69" xr:uid="{D6F77B8E-DA75-4D1F-84E3-B26EE1B4E3DC}"/>
    <cellStyle name="20% - 강조색2 2 2" xfId="396" xr:uid="{356D10E6-7839-45DA-AB2C-08A035ECA49E}"/>
    <cellStyle name="20% - 강조색2 3" xfId="89" xr:uid="{E95C3191-E88A-42C1-9017-12532ABFFD51}"/>
    <cellStyle name="20% - 강조색2 3 2" xfId="416" xr:uid="{782BE4ED-82C1-4308-944D-6FDFF8A6386C}"/>
    <cellStyle name="20% - 강조색2 4" xfId="109" xr:uid="{D686A997-3988-4BCE-82AC-AEACBF73748C}"/>
    <cellStyle name="20% - 강조색2 4 2" xfId="436" xr:uid="{A798FAF4-7DDB-400B-A9F8-E74461644CE7}"/>
    <cellStyle name="20% - 강조색2 5" xfId="129" xr:uid="{0A64B3A1-8AA3-494D-9AD7-DACAB7C93F5B}"/>
    <cellStyle name="20% - 강조색2 5 2" xfId="456" xr:uid="{B6413C56-4E1E-42D7-A86F-F0EC7D9565AD}"/>
    <cellStyle name="20% - 강조색2 6" xfId="149" xr:uid="{F82DB304-D754-4E19-ACEA-7104782A493D}"/>
    <cellStyle name="20% - 강조색2 6 2" xfId="476" xr:uid="{4E6301FB-61AD-4D7E-AD7D-AFE4471880E5}"/>
    <cellStyle name="20% - 강조색2 7" xfId="169" xr:uid="{3ACEDB0C-3AB5-42A9-8A54-0171BEA68931}"/>
    <cellStyle name="20% - 강조색2 7 2" xfId="496" xr:uid="{20CDB2AA-7FB0-4476-9A14-5E44816AA902}"/>
    <cellStyle name="20% - 강조색2 8" xfId="189" xr:uid="{92D06AA7-BD79-4A08-A0AC-19FAAE141A9A}"/>
    <cellStyle name="20% - 강조색2 8 2" xfId="516" xr:uid="{F1ED80E5-8FBB-4BCB-8FA4-D6C943B560C3}"/>
    <cellStyle name="20% - 강조색2 9" xfId="209" xr:uid="{87FEFB61-F2A8-431E-926D-D0AA74DBDF54}"/>
    <cellStyle name="20% - 강조색2 9 2" xfId="536" xr:uid="{1D2904F6-74DC-43BE-A6D7-406DD038A8AD}"/>
    <cellStyle name="20% - 강조색3" xfId="33" builtinId="38" customBuiltin="1"/>
    <cellStyle name="20% - 강조색3 10" xfId="232" xr:uid="{61651A33-B832-41AE-9EBF-C4749E3E2278}"/>
    <cellStyle name="20% - 강조색3 10 2" xfId="559" xr:uid="{725B372C-7B81-4064-BAE9-2D566BB4DDDC}"/>
    <cellStyle name="20% - 강조색3 11" xfId="252" xr:uid="{E949058E-E0C6-4200-8EC6-DBEF142DAD18}"/>
    <cellStyle name="20% - 강조색3 11 2" xfId="579" xr:uid="{B718F185-6566-43D2-A2E5-1D6EF70247A7}"/>
    <cellStyle name="20% - 강조색3 12" xfId="272" xr:uid="{426D12DE-A4BE-4992-808E-7DC40B9718AD}"/>
    <cellStyle name="20% - 강조색3 12 2" xfId="599" xr:uid="{2790643A-C9C9-48C6-901E-165EBD042860}"/>
    <cellStyle name="20% - 강조색3 13" xfId="292" xr:uid="{0768D020-6E83-4F1E-AF32-AE5A782C18B5}"/>
    <cellStyle name="20% - 강조색3 13 2" xfId="619" xr:uid="{CF1DC1BC-982B-4C51-B6C7-02C64481505B}"/>
    <cellStyle name="20% - 강조색3 14" xfId="312" xr:uid="{1703ADAA-77C1-42AF-988A-62849F1C5366}"/>
    <cellStyle name="20% - 강조색3 14 2" xfId="639" xr:uid="{F01B820F-6EEE-4EB9-B0C5-2213EEB7E1D0}"/>
    <cellStyle name="20% - 강조색3 15" xfId="332" xr:uid="{8893DAEB-8166-4103-ADD1-C300EA23E857}"/>
    <cellStyle name="20% - 강조색3 15 2" xfId="659" xr:uid="{1DA25012-4586-4D41-AE07-939961DCF8B6}"/>
    <cellStyle name="20% - 강조색3 16" xfId="352" xr:uid="{A4F2511B-64D6-493B-AC77-889421CE3F84}"/>
    <cellStyle name="20% - 강조색3 16 2" xfId="679" xr:uid="{8988C490-8FF6-46D4-9D54-40C99A2BE7B1}"/>
    <cellStyle name="20% - 강조색3 17" xfId="377" xr:uid="{284782FB-6006-4BEA-A876-BC97D28B336C}"/>
    <cellStyle name="20% - 강조색3 2" xfId="72" xr:uid="{DADA5BBF-655E-4DF7-8AF7-F67FAB006F70}"/>
    <cellStyle name="20% - 강조색3 2 2" xfId="399" xr:uid="{3741E958-A9EA-4BD4-A90A-A491D838BEFC}"/>
    <cellStyle name="20% - 강조색3 3" xfId="92" xr:uid="{8A2B4D20-D914-4DED-AD89-24BEA2F842A1}"/>
    <cellStyle name="20% - 강조색3 3 2" xfId="419" xr:uid="{AAEC881F-615A-48F0-9DA4-5300542818D6}"/>
    <cellStyle name="20% - 강조색3 4" xfId="112" xr:uid="{D02C6126-C8BA-436E-A7C9-F01EB6D42534}"/>
    <cellStyle name="20% - 강조색3 4 2" xfId="439" xr:uid="{7317A19F-0306-41A5-BDAC-801B0B4A36EF}"/>
    <cellStyle name="20% - 강조색3 5" xfId="132" xr:uid="{0B27F645-BFC1-4271-97C7-A69C5A0D1187}"/>
    <cellStyle name="20% - 강조색3 5 2" xfId="459" xr:uid="{40096B69-AC1C-4E47-9795-6CB65D97B6CB}"/>
    <cellStyle name="20% - 강조색3 6" xfId="152" xr:uid="{BC6E1FF5-9FA1-457C-807E-0DDB42F82165}"/>
    <cellStyle name="20% - 강조색3 6 2" xfId="479" xr:uid="{83B0B1C4-2654-4A9C-9E02-3AD4DB908276}"/>
    <cellStyle name="20% - 강조색3 7" xfId="172" xr:uid="{FBCAFDFA-76DB-42D8-9AFC-73132063C498}"/>
    <cellStyle name="20% - 강조색3 7 2" xfId="499" xr:uid="{C91BC47E-7291-447D-B180-C85238BDD90E}"/>
    <cellStyle name="20% - 강조색3 8" xfId="192" xr:uid="{7B7916C4-7649-4B69-BBA1-586F1F8236AC}"/>
    <cellStyle name="20% - 강조색3 8 2" xfId="519" xr:uid="{36D8F1BD-49ED-42ED-BF8A-ADD30151712A}"/>
    <cellStyle name="20% - 강조색3 9" xfId="212" xr:uid="{B05A3FC1-2BD3-4D5D-BBD1-AF122FFA97D0}"/>
    <cellStyle name="20% - 강조색3 9 2" xfId="539" xr:uid="{DDF7ECD1-9082-4D25-A9E8-F68B3E92BD04}"/>
    <cellStyle name="20% - 강조색4" xfId="37" builtinId="42" customBuiltin="1"/>
    <cellStyle name="20% - 강조색4 10" xfId="235" xr:uid="{D7777BE9-BACF-476F-AC89-842F95EB340A}"/>
    <cellStyle name="20% - 강조색4 10 2" xfId="562" xr:uid="{3357A7AD-5A88-4DED-AD86-9A46456354D4}"/>
    <cellStyle name="20% - 강조색4 11" xfId="255" xr:uid="{8CECB8CF-16A3-4C86-9941-19EB25997AC4}"/>
    <cellStyle name="20% - 강조색4 11 2" xfId="582" xr:uid="{93EDA1B3-4894-426C-9283-D40B6216C203}"/>
    <cellStyle name="20% - 강조색4 12" xfId="275" xr:uid="{11494E53-DE89-497B-B9CA-0A28AD5C723D}"/>
    <cellStyle name="20% - 강조색4 12 2" xfId="602" xr:uid="{3D666633-4D4B-4B39-A50C-3D7FECEBDC2F}"/>
    <cellStyle name="20% - 강조색4 13" xfId="295" xr:uid="{542C1C52-CA1D-4EBF-A46A-733955597A8B}"/>
    <cellStyle name="20% - 강조색4 13 2" xfId="622" xr:uid="{47691035-F29F-4A8C-A70A-C255486B4B0C}"/>
    <cellStyle name="20% - 강조색4 14" xfId="315" xr:uid="{9865A804-0170-4131-AACE-8F585E2184FD}"/>
    <cellStyle name="20% - 강조색4 14 2" xfId="642" xr:uid="{CFBD482E-4521-4342-9FCB-F1B8B895158C}"/>
    <cellStyle name="20% - 강조색4 15" xfId="335" xr:uid="{7574BF02-A4A9-44E1-BE7C-980F480A446B}"/>
    <cellStyle name="20% - 강조색4 15 2" xfId="662" xr:uid="{0B46E3B7-4D5A-40BB-8883-51EE0FE14875}"/>
    <cellStyle name="20% - 강조색4 16" xfId="355" xr:uid="{90B0289A-96D5-4BC4-A0B4-357B6F7EC418}"/>
    <cellStyle name="20% - 강조색4 16 2" xfId="682" xr:uid="{136AAFCD-C3F0-4B60-8576-CC73CC9719FA}"/>
    <cellStyle name="20% - 강조색4 17" xfId="380" xr:uid="{C76D6B02-5F32-47BF-9C98-F94CFC638AC9}"/>
    <cellStyle name="20% - 강조색4 2" xfId="75" xr:uid="{05A71B88-BCC1-42C7-A0B3-5CF2BDB8026A}"/>
    <cellStyle name="20% - 강조색4 2 2" xfId="402" xr:uid="{368C5F4A-3EDC-4265-AC71-C6DE2340088D}"/>
    <cellStyle name="20% - 강조색4 3" xfId="95" xr:uid="{CEEC9913-54C2-470C-AD1F-B0DEF55F5A3D}"/>
    <cellStyle name="20% - 강조색4 3 2" xfId="422" xr:uid="{FE16E4E0-2320-46C8-97C5-4ECAB5FA8210}"/>
    <cellStyle name="20% - 강조색4 4" xfId="115" xr:uid="{9D29B216-1327-471D-A20E-ACED39D6B564}"/>
    <cellStyle name="20% - 강조색4 4 2" xfId="442" xr:uid="{82D22210-D3C1-40A5-8EFA-377E33A1EC26}"/>
    <cellStyle name="20% - 강조색4 5" xfId="135" xr:uid="{1F96C247-4CD8-4046-9DC3-CA3F66EB2D71}"/>
    <cellStyle name="20% - 강조색4 5 2" xfId="462" xr:uid="{52CE2F9C-7FC8-4533-8327-BA4E39DD9A9A}"/>
    <cellStyle name="20% - 강조색4 6" xfId="155" xr:uid="{45777F64-79FC-4C0E-B98D-EE32497B449E}"/>
    <cellStyle name="20% - 강조색4 6 2" xfId="482" xr:uid="{185CB45D-800D-4FEA-8CBF-5D7F553E1905}"/>
    <cellStyle name="20% - 강조색4 7" xfId="175" xr:uid="{D8023C2B-337C-4793-B1D3-453BF274B485}"/>
    <cellStyle name="20% - 강조색4 7 2" xfId="502" xr:uid="{82A7BD6B-E6AE-4A9D-9553-2A0F27894702}"/>
    <cellStyle name="20% - 강조색4 8" xfId="195" xr:uid="{8113DDBD-D399-448B-B8ED-873D89E0096A}"/>
    <cellStyle name="20% - 강조색4 8 2" xfId="522" xr:uid="{5D7A3749-2EAD-4B3F-8A1D-4D9FE7802119}"/>
    <cellStyle name="20% - 강조색4 9" xfId="215" xr:uid="{14FB7DB9-C519-47BE-8EC1-AA255607A88C}"/>
    <cellStyle name="20% - 강조색4 9 2" xfId="542" xr:uid="{30282D5B-8F96-4FF6-AE47-A87464F391C0}"/>
    <cellStyle name="20% - 강조색5" xfId="41" builtinId="46" customBuiltin="1"/>
    <cellStyle name="20% - 강조색5 10" xfId="238" xr:uid="{E411D9CE-490D-4DFD-94EE-328AACF8795E}"/>
    <cellStyle name="20% - 강조색5 10 2" xfId="565" xr:uid="{9B21EA32-414D-4E67-9159-5FC6703B05A1}"/>
    <cellStyle name="20% - 강조색5 11" xfId="258" xr:uid="{A182F85F-D434-4461-A92A-139E7B12C467}"/>
    <cellStyle name="20% - 강조색5 11 2" xfId="585" xr:uid="{2D57BD2A-8000-405C-9B50-63228499CC29}"/>
    <cellStyle name="20% - 강조색5 12" xfId="278" xr:uid="{EB7F973A-7A61-4F6E-A5B0-410E883B7724}"/>
    <cellStyle name="20% - 강조색5 12 2" xfId="605" xr:uid="{6A63E8C9-7E2A-460D-8DD2-49A5290E7B1D}"/>
    <cellStyle name="20% - 강조색5 13" xfId="298" xr:uid="{E467C45C-A85E-4CBD-8151-8F87AEF39C33}"/>
    <cellStyle name="20% - 강조색5 13 2" xfId="625" xr:uid="{4BAC0A05-DC6D-445A-8B47-D0DC815012F1}"/>
    <cellStyle name="20% - 강조색5 14" xfId="318" xr:uid="{BD4DAB35-D038-4546-91FD-449946C108CB}"/>
    <cellStyle name="20% - 강조색5 14 2" xfId="645" xr:uid="{8DEC2EEF-2B17-489E-9F2D-9D64991E7893}"/>
    <cellStyle name="20% - 강조색5 15" xfId="338" xr:uid="{C5DB7B8A-2BB1-4DD5-AC2D-C79121582DE1}"/>
    <cellStyle name="20% - 강조색5 15 2" xfId="665" xr:uid="{8E843769-BDEA-4E4B-A2D4-893BF06A15B2}"/>
    <cellStyle name="20% - 강조색5 16" xfId="358" xr:uid="{1937A4F5-0471-44D0-B2CD-DBF9CC2D59D1}"/>
    <cellStyle name="20% - 강조색5 16 2" xfId="685" xr:uid="{2D7E11CB-B58F-4D7D-B529-DB7AB8983114}"/>
    <cellStyle name="20% - 강조색5 17" xfId="383" xr:uid="{4F24B963-AEE8-4530-84F4-FE77D7B5AC14}"/>
    <cellStyle name="20% - 강조색5 2" xfId="78" xr:uid="{09E915A1-162C-49F6-8553-DBB874A046DF}"/>
    <cellStyle name="20% - 강조색5 2 2" xfId="405" xr:uid="{F02A23D9-C165-4EF5-81A7-940D04B83C6B}"/>
    <cellStyle name="20% - 강조색5 3" xfId="98" xr:uid="{32594ED3-3038-4CDC-9C30-0B355FD9C119}"/>
    <cellStyle name="20% - 강조색5 3 2" xfId="425" xr:uid="{7C20F877-9B00-4379-9AE5-DE984B8AE792}"/>
    <cellStyle name="20% - 강조색5 4" xfId="118" xr:uid="{7C16B7F5-F116-4837-AC93-56230614F5EB}"/>
    <cellStyle name="20% - 강조색5 4 2" xfId="445" xr:uid="{A9ACA792-DF2D-40C7-BB1D-8C3E765F5A3B}"/>
    <cellStyle name="20% - 강조색5 5" xfId="138" xr:uid="{AD61E653-6D02-4993-BE8B-BC8C624BE249}"/>
    <cellStyle name="20% - 강조색5 5 2" xfId="465" xr:uid="{CCFEBFBF-AADA-4DE2-9484-B784AFBC5243}"/>
    <cellStyle name="20% - 강조색5 6" xfId="158" xr:uid="{79AED299-6773-43D7-859D-1841B1C64F91}"/>
    <cellStyle name="20% - 강조색5 6 2" xfId="485" xr:uid="{9410256F-2D31-499D-88AC-ED3A0A366592}"/>
    <cellStyle name="20% - 강조색5 7" xfId="178" xr:uid="{4E271861-0A9C-4BD9-AA4B-8EC2BC60B6CD}"/>
    <cellStyle name="20% - 강조색5 7 2" xfId="505" xr:uid="{B31BED31-5FF1-4D47-865E-CE0C131E0A63}"/>
    <cellStyle name="20% - 강조색5 8" xfId="198" xr:uid="{065D2FA9-1C3F-4C00-BAA7-41A137662E55}"/>
    <cellStyle name="20% - 강조색5 8 2" xfId="525" xr:uid="{56532674-806B-45BF-B847-C0CE90C1772F}"/>
    <cellStyle name="20% - 강조색5 9" xfId="218" xr:uid="{772F6110-8CBC-401D-913D-DFF9BBD2E526}"/>
    <cellStyle name="20% - 강조색5 9 2" xfId="545" xr:uid="{26382868-B59E-4391-A9BB-14FCF9AEEC14}"/>
    <cellStyle name="20% - 강조색6" xfId="45" builtinId="50" customBuiltin="1"/>
    <cellStyle name="20% - 강조색6 10" xfId="241" xr:uid="{A9D7E7EF-A19E-4C1A-AB1C-96A3CDA2DCD8}"/>
    <cellStyle name="20% - 강조색6 10 2" xfId="568" xr:uid="{20B96A32-E19D-4A70-B90B-DABC2A32C05C}"/>
    <cellStyle name="20% - 강조색6 11" xfId="261" xr:uid="{8D2F71CB-6051-471E-94A7-4CAE37718795}"/>
    <cellStyle name="20% - 강조색6 11 2" xfId="588" xr:uid="{227B7DF0-2E66-44F3-A0CA-1567D3EDB802}"/>
    <cellStyle name="20% - 강조색6 12" xfId="281" xr:uid="{2976DA9E-E40C-4CBB-B753-8F3838D90FF5}"/>
    <cellStyle name="20% - 강조색6 12 2" xfId="608" xr:uid="{F3B42876-0CAA-4B32-BE84-EC2A90D20B1C}"/>
    <cellStyle name="20% - 강조색6 13" xfId="301" xr:uid="{1CF5B089-D809-40CF-978F-C0726662BAD4}"/>
    <cellStyle name="20% - 강조색6 13 2" xfId="628" xr:uid="{6355418B-94AC-4E61-886B-2780C7321076}"/>
    <cellStyle name="20% - 강조색6 14" xfId="321" xr:uid="{5C69464F-281D-4BAC-8941-618B90636E59}"/>
    <cellStyle name="20% - 강조색6 14 2" xfId="648" xr:uid="{82A5758F-551C-43F9-9F4D-2BE842CAD1E3}"/>
    <cellStyle name="20% - 강조색6 15" xfId="341" xr:uid="{40F01361-CA31-4499-9DBE-6C6AB30963FF}"/>
    <cellStyle name="20% - 강조색6 15 2" xfId="668" xr:uid="{7DB82F94-F309-40E6-8E1D-AFB47F752D6C}"/>
    <cellStyle name="20% - 강조색6 16" xfId="361" xr:uid="{F40D55B9-7FFD-4629-BBAC-33FEAF6B353F}"/>
    <cellStyle name="20% - 강조색6 16 2" xfId="688" xr:uid="{2A62C90F-C507-4F82-97A3-0749A5B6589F}"/>
    <cellStyle name="20% - 강조색6 17" xfId="386" xr:uid="{E3E99765-0CF6-44CB-B263-1916F2FCA6A3}"/>
    <cellStyle name="20% - 강조색6 2" xfId="81" xr:uid="{E94A4951-3DCE-4107-A172-07961584A1EC}"/>
    <cellStyle name="20% - 강조색6 2 2" xfId="408" xr:uid="{D7AB6C15-68C7-475D-94D4-4B18CA7D063F}"/>
    <cellStyle name="20% - 강조색6 3" xfId="101" xr:uid="{F0F6CE67-9038-4292-8AD0-D6B8B02E23D6}"/>
    <cellStyle name="20% - 강조색6 3 2" xfId="428" xr:uid="{CAE650E4-3B4E-485B-AEB7-6DC678D0E75F}"/>
    <cellStyle name="20% - 강조색6 4" xfId="121" xr:uid="{CFE1F780-5DD4-4234-A16D-F6D66B1D0248}"/>
    <cellStyle name="20% - 강조색6 4 2" xfId="448" xr:uid="{972E05F9-B1A9-45DD-A8B5-A2349974E57B}"/>
    <cellStyle name="20% - 강조색6 5" xfId="141" xr:uid="{5190C24C-3DB1-4404-98F9-AAA2ABDACE24}"/>
    <cellStyle name="20% - 강조색6 5 2" xfId="468" xr:uid="{1CEE4DE4-07A3-478F-8345-80EB1B2B2CC5}"/>
    <cellStyle name="20% - 강조색6 6" xfId="161" xr:uid="{068ACF7A-B94A-4263-9EA3-BAD4356213EE}"/>
    <cellStyle name="20% - 강조색6 6 2" xfId="488" xr:uid="{3E139934-66AF-45D6-A6CF-5CFC3BB29A57}"/>
    <cellStyle name="20% - 강조색6 7" xfId="181" xr:uid="{7F0E0991-186C-46D1-849C-F961850DAF91}"/>
    <cellStyle name="20% - 강조색6 7 2" xfId="508" xr:uid="{F2231BE4-992D-4EA1-B5A0-AD7DA1EEFBF1}"/>
    <cellStyle name="20% - 강조색6 8" xfId="201" xr:uid="{25052CED-D218-4512-8F9B-138DD7092BA0}"/>
    <cellStyle name="20% - 강조색6 8 2" xfId="528" xr:uid="{68694249-FE89-4B5F-A140-093CE68C5A6C}"/>
    <cellStyle name="20% - 강조색6 9" xfId="221" xr:uid="{CE3D1595-0958-48A2-B9EE-416DA293B80D}"/>
    <cellStyle name="20% - 강조색6 9 2" xfId="548" xr:uid="{5A180EDE-6976-4FC9-A658-288AE70516C4}"/>
    <cellStyle name="40% - 강조색1" xfId="26" builtinId="31" customBuiltin="1"/>
    <cellStyle name="40% - 강조색1 10" xfId="227" xr:uid="{E08ED7FC-FA6B-4FD9-A116-0BE127A8255A}"/>
    <cellStyle name="40% - 강조색1 10 2" xfId="554" xr:uid="{B5417E2D-FC10-40A6-9613-FD4E41513BC3}"/>
    <cellStyle name="40% - 강조색1 11" xfId="247" xr:uid="{1995D369-4950-4911-8B5B-D6D1B63DABEC}"/>
    <cellStyle name="40% - 강조색1 11 2" xfId="574" xr:uid="{54166BFB-03FC-4D4D-A711-263F1D62AB32}"/>
    <cellStyle name="40% - 강조색1 12" xfId="267" xr:uid="{28FA5F6C-C506-48F5-972A-4BD8254ECA20}"/>
    <cellStyle name="40% - 강조색1 12 2" xfId="594" xr:uid="{317476AE-FD83-4D47-8B19-DE31E1A47118}"/>
    <cellStyle name="40% - 강조색1 13" xfId="287" xr:uid="{DC801FBA-B5DC-4833-A0E5-0880E2C9FA75}"/>
    <cellStyle name="40% - 강조색1 13 2" xfId="614" xr:uid="{42AB598A-2E39-43D3-992F-E9A2E5C72B47}"/>
    <cellStyle name="40% - 강조색1 14" xfId="307" xr:uid="{D86DB530-F8E8-4256-A055-C4DCF24DF42B}"/>
    <cellStyle name="40% - 강조색1 14 2" xfId="634" xr:uid="{77620128-BC37-43E3-8640-4A849AB4C62E}"/>
    <cellStyle name="40% - 강조색1 15" xfId="327" xr:uid="{C6DEF322-810C-450F-8439-21E9E59A2120}"/>
    <cellStyle name="40% - 강조색1 15 2" xfId="654" xr:uid="{7B3BF656-2046-4531-9869-21BC083FC247}"/>
    <cellStyle name="40% - 강조색1 16" xfId="347" xr:uid="{7A654AAF-A51C-4D06-AD76-DDD5C11DEE5E}"/>
    <cellStyle name="40% - 강조색1 16 2" xfId="674" xr:uid="{8ACDD0C6-4DB7-46DB-8433-5F3007BC0937}"/>
    <cellStyle name="40% - 강조색1 17" xfId="372" xr:uid="{A665502A-4144-468B-9D20-3D077D44B2A4}"/>
    <cellStyle name="40% - 강조색1 2" xfId="67" xr:uid="{B3DEA3BC-2994-4847-AB57-CDE22DE2526D}"/>
    <cellStyle name="40% - 강조색1 2 2" xfId="394" xr:uid="{EEF3CD2D-E8FA-4A11-98E5-89C1539350FD}"/>
    <cellStyle name="40% - 강조색1 3" xfId="87" xr:uid="{BC042DC4-BE1F-4C1C-B3E7-DAD07FE4A460}"/>
    <cellStyle name="40% - 강조색1 3 2" xfId="414" xr:uid="{99E85ADA-9CEF-4A7F-B533-F00AA7664418}"/>
    <cellStyle name="40% - 강조색1 4" xfId="107" xr:uid="{0657A2DC-39FC-4EAF-86E3-357E212E02A7}"/>
    <cellStyle name="40% - 강조색1 4 2" xfId="434" xr:uid="{9BD8976B-DA14-4033-92CD-863346EB831C}"/>
    <cellStyle name="40% - 강조색1 5" xfId="127" xr:uid="{578BAB59-F1C4-40D9-A0B9-4F984791752D}"/>
    <cellStyle name="40% - 강조색1 5 2" xfId="454" xr:uid="{BB4C3F76-F685-482E-B7A5-EF4782ECA801}"/>
    <cellStyle name="40% - 강조색1 6" xfId="147" xr:uid="{8FFBF4F8-FB29-4DA6-9794-9A1398CED210}"/>
    <cellStyle name="40% - 강조색1 6 2" xfId="474" xr:uid="{1E02614E-50ED-4AD1-8669-9B73F570D36F}"/>
    <cellStyle name="40% - 강조색1 7" xfId="167" xr:uid="{1927FD0E-4BE2-4492-BB2E-1966527C7123}"/>
    <cellStyle name="40% - 강조색1 7 2" xfId="494" xr:uid="{06359DC1-E7FD-4B88-A6BD-ADAF4135CE23}"/>
    <cellStyle name="40% - 강조색1 8" xfId="187" xr:uid="{534FA0DC-8F7C-49E0-9E23-7705211A8717}"/>
    <cellStyle name="40% - 강조색1 8 2" xfId="514" xr:uid="{4D6E6FF3-3008-4959-A5CC-9008F5B588F1}"/>
    <cellStyle name="40% - 강조색1 9" xfId="207" xr:uid="{3AE69E2A-7B92-4C93-BFD7-548085599299}"/>
    <cellStyle name="40% - 강조색1 9 2" xfId="534" xr:uid="{174551B3-59EC-44C7-9D6B-99E18A678182}"/>
    <cellStyle name="40% - 강조색2" xfId="30" builtinId="35" customBuiltin="1"/>
    <cellStyle name="40% - 강조색2 10" xfId="230" xr:uid="{382D258B-D946-495B-BB96-23BC5A2A4906}"/>
    <cellStyle name="40% - 강조색2 10 2" xfId="557" xr:uid="{65E259FA-67BF-424E-9F8C-36486CA13ED6}"/>
    <cellStyle name="40% - 강조색2 11" xfId="250" xr:uid="{BCC6833B-7F37-4366-AB03-A4189D5D1A5C}"/>
    <cellStyle name="40% - 강조색2 11 2" xfId="577" xr:uid="{9A00639E-6F82-4BAE-99D6-18F98D034C1D}"/>
    <cellStyle name="40% - 강조색2 12" xfId="270" xr:uid="{403E36EF-A38B-4C19-8BA7-DB8475CFAFF4}"/>
    <cellStyle name="40% - 강조색2 12 2" xfId="597" xr:uid="{1D25CD6C-5EE7-4BE7-8EE9-4F2F20791345}"/>
    <cellStyle name="40% - 강조색2 13" xfId="290" xr:uid="{A2F10307-2B51-454B-A85E-4616A0F5935B}"/>
    <cellStyle name="40% - 강조색2 13 2" xfId="617" xr:uid="{76002199-5900-454E-B8F8-68A69BC43A43}"/>
    <cellStyle name="40% - 강조색2 14" xfId="310" xr:uid="{B4141A08-22E1-4CDC-BA81-C732B403F5E0}"/>
    <cellStyle name="40% - 강조색2 14 2" xfId="637" xr:uid="{9DF856E3-61C4-4058-BAAA-CB3312951F4A}"/>
    <cellStyle name="40% - 강조색2 15" xfId="330" xr:uid="{33712066-8439-4FAC-8F5C-5F034E7A6D27}"/>
    <cellStyle name="40% - 강조색2 15 2" xfId="657" xr:uid="{C1C5232A-92E3-4291-9E08-59C17973A60E}"/>
    <cellStyle name="40% - 강조색2 16" xfId="350" xr:uid="{AFC6F076-90EA-4581-8BDE-36F03B53E5FA}"/>
    <cellStyle name="40% - 강조색2 16 2" xfId="677" xr:uid="{148F76FF-01A9-4D45-A8FB-5FFFE5E1DABE}"/>
    <cellStyle name="40% - 강조색2 17" xfId="375" xr:uid="{68064C65-8CB5-4B9F-9E54-B2958CA13D5C}"/>
    <cellStyle name="40% - 강조색2 2" xfId="70" xr:uid="{146568DE-76ED-412C-8120-A894E6D0A4B0}"/>
    <cellStyle name="40% - 강조색2 2 2" xfId="397" xr:uid="{0B5483EE-C2FE-467B-9B15-ECDE9890801E}"/>
    <cellStyle name="40% - 강조색2 3" xfId="90" xr:uid="{6937B661-ED94-4445-9C14-01D5D09A333C}"/>
    <cellStyle name="40% - 강조색2 3 2" xfId="417" xr:uid="{FEF1B745-C1AC-4F46-93EE-4861F1393690}"/>
    <cellStyle name="40% - 강조색2 4" xfId="110" xr:uid="{EF3AB1E6-F129-4803-A904-8F5D2B56F839}"/>
    <cellStyle name="40% - 강조색2 4 2" xfId="437" xr:uid="{3A740901-D580-4A82-83C6-97E3586356CF}"/>
    <cellStyle name="40% - 강조색2 5" xfId="130" xr:uid="{3B2608EE-CC80-4ED2-A47A-206D0C8833A2}"/>
    <cellStyle name="40% - 강조색2 5 2" xfId="457" xr:uid="{E92223AD-6926-4610-9A62-8738A243656F}"/>
    <cellStyle name="40% - 강조색2 6" xfId="150" xr:uid="{3036EC20-0BD7-4FB0-9452-B74E026CC1F0}"/>
    <cellStyle name="40% - 강조색2 6 2" xfId="477" xr:uid="{9A872B78-805E-490F-AC1D-8020F4294875}"/>
    <cellStyle name="40% - 강조색2 7" xfId="170" xr:uid="{06D71241-9842-4FB1-92CC-B4734351DE63}"/>
    <cellStyle name="40% - 강조색2 7 2" xfId="497" xr:uid="{B8A8CB34-54B8-411D-8847-1A26E890C70E}"/>
    <cellStyle name="40% - 강조색2 8" xfId="190" xr:uid="{E4CD3BF1-0702-4D79-8779-88F0FB3618AE}"/>
    <cellStyle name="40% - 강조색2 8 2" xfId="517" xr:uid="{BD0557E0-A005-45FB-B9E7-EB60F9748672}"/>
    <cellStyle name="40% - 강조색2 9" xfId="210" xr:uid="{132DE09A-2130-4280-B94F-352BF1679BB9}"/>
    <cellStyle name="40% - 강조색2 9 2" xfId="537" xr:uid="{2826E06A-E0DE-4EB3-B63F-B58CB11F876B}"/>
    <cellStyle name="40% - 강조색3" xfId="34" builtinId="39" customBuiltin="1"/>
    <cellStyle name="40% - 강조색3 10" xfId="233" xr:uid="{5DCA0145-145D-477F-9C69-0E7D0BDAA8CE}"/>
    <cellStyle name="40% - 강조색3 10 2" xfId="560" xr:uid="{82564984-74CA-4357-BE14-BA5C2A6DE788}"/>
    <cellStyle name="40% - 강조색3 11" xfId="253" xr:uid="{12DE31AC-58EA-478B-B2F8-EC3A4EF8B964}"/>
    <cellStyle name="40% - 강조색3 11 2" xfId="580" xr:uid="{5BBB71BF-81E6-410A-B047-635B64A51DBA}"/>
    <cellStyle name="40% - 강조색3 12" xfId="273" xr:uid="{4D7B6B2B-88B6-4009-9330-B8230883E09C}"/>
    <cellStyle name="40% - 강조색3 12 2" xfId="600" xr:uid="{576D35D8-6624-44B9-AAFA-15FBA3A9C9A4}"/>
    <cellStyle name="40% - 강조색3 13" xfId="293" xr:uid="{9D4232AF-38AE-4270-A53D-2285EF09B933}"/>
    <cellStyle name="40% - 강조색3 13 2" xfId="620" xr:uid="{AA3C52FE-6A10-43F3-B567-F377DA5E52D0}"/>
    <cellStyle name="40% - 강조색3 14" xfId="313" xr:uid="{4DD5EB19-A054-4F9C-BA8A-F25A1F5CA218}"/>
    <cellStyle name="40% - 강조색3 14 2" xfId="640" xr:uid="{6BFF2607-3B14-4D2D-AD27-3F4D683D76D8}"/>
    <cellStyle name="40% - 강조색3 15" xfId="333" xr:uid="{B100FFB5-33E8-41BF-8CBF-C81607218082}"/>
    <cellStyle name="40% - 강조색3 15 2" xfId="660" xr:uid="{55B12BC8-A1FE-4178-B129-0B9768CBEF69}"/>
    <cellStyle name="40% - 강조색3 16" xfId="353" xr:uid="{3A0E85DF-FC63-43E3-BC34-1401B1198215}"/>
    <cellStyle name="40% - 강조색3 16 2" xfId="680" xr:uid="{626839B7-DC61-42E6-9705-91918DE1C657}"/>
    <cellStyle name="40% - 강조색3 17" xfId="378" xr:uid="{C5028590-0C9C-4CCB-9A4C-73E8C97BB9DE}"/>
    <cellStyle name="40% - 강조색3 2" xfId="73" xr:uid="{C705B1AE-544A-4371-ADBE-70B9BA64B990}"/>
    <cellStyle name="40% - 강조색3 2 2" xfId="400" xr:uid="{AA8E6B16-5B17-4475-BAF6-D290A856FF62}"/>
    <cellStyle name="40% - 강조색3 3" xfId="93" xr:uid="{75AFCD94-0305-4697-A3EE-8E26414271F6}"/>
    <cellStyle name="40% - 강조색3 3 2" xfId="420" xr:uid="{3ED9733D-5D61-49D2-AC7C-3100A8D6436E}"/>
    <cellStyle name="40% - 강조색3 4" xfId="113" xr:uid="{A46A58AF-ADF1-4CD5-8249-50FFE2BB1134}"/>
    <cellStyle name="40% - 강조색3 4 2" xfId="440" xr:uid="{DDDFA40E-33D5-47F6-9129-731A859727B6}"/>
    <cellStyle name="40% - 강조색3 5" xfId="133" xr:uid="{0800A894-E1D7-40D2-8B77-A8F344BA31E2}"/>
    <cellStyle name="40% - 강조색3 5 2" xfId="460" xr:uid="{F242A8C0-5265-446C-87D1-F2147E2CDA71}"/>
    <cellStyle name="40% - 강조색3 6" xfId="153" xr:uid="{54F5813A-1F40-4B47-825B-478DA88788F1}"/>
    <cellStyle name="40% - 강조색3 6 2" xfId="480" xr:uid="{9D801EC4-F9B4-48EB-9629-259CF1E6D81C}"/>
    <cellStyle name="40% - 강조색3 7" xfId="173" xr:uid="{31D59DE3-E49F-462A-9662-80189E92696D}"/>
    <cellStyle name="40% - 강조색3 7 2" xfId="500" xr:uid="{5F651FF2-92ED-45BC-9E96-956833A012B9}"/>
    <cellStyle name="40% - 강조색3 8" xfId="193" xr:uid="{B9B7443B-9F0E-4C88-B960-D2AFA151E97E}"/>
    <cellStyle name="40% - 강조색3 8 2" xfId="520" xr:uid="{C6147D92-BB29-4515-B116-7A5950E3C809}"/>
    <cellStyle name="40% - 강조색3 9" xfId="213" xr:uid="{4A23610B-77CE-47A2-B2FB-E8C44A920724}"/>
    <cellStyle name="40% - 강조색3 9 2" xfId="540" xr:uid="{6228959E-EEEB-49E5-94E8-D8D62CDB0BB8}"/>
    <cellStyle name="40% - 강조색4" xfId="38" builtinId="43" customBuiltin="1"/>
    <cellStyle name="40% - 강조색4 10" xfId="236" xr:uid="{279AACC2-5F8A-4635-BD30-C38CC99F5BBF}"/>
    <cellStyle name="40% - 강조색4 10 2" xfId="563" xr:uid="{E901725E-0122-4BC9-9D3E-C4E8F52A80CB}"/>
    <cellStyle name="40% - 강조색4 11" xfId="256" xr:uid="{9192174F-5DD8-40D2-8FBE-748F54596A66}"/>
    <cellStyle name="40% - 강조색4 11 2" xfId="583" xr:uid="{9F5F91A3-A22F-4293-A907-A3F6231EBF2D}"/>
    <cellStyle name="40% - 강조색4 12" xfId="276" xr:uid="{E7D5EA16-D63E-4C1A-AF42-E59203C3D5BE}"/>
    <cellStyle name="40% - 강조색4 12 2" xfId="603" xr:uid="{C5F42BAB-4F49-445E-AA7D-9718F96ADE76}"/>
    <cellStyle name="40% - 강조색4 13" xfId="296" xr:uid="{CD315F74-634E-45B3-B400-D1F3A704B954}"/>
    <cellStyle name="40% - 강조색4 13 2" xfId="623" xr:uid="{25419CE3-026C-4D72-83D0-0D9A21E5C606}"/>
    <cellStyle name="40% - 강조색4 14" xfId="316" xr:uid="{AEE24686-1DFF-44DB-AACB-CB3518FE212E}"/>
    <cellStyle name="40% - 강조색4 14 2" xfId="643" xr:uid="{B4A4BD0A-A419-40BC-831A-6C5D40F71EDE}"/>
    <cellStyle name="40% - 강조색4 15" xfId="336" xr:uid="{8AB618DB-58B6-4512-9B5B-DEFD00DF04CB}"/>
    <cellStyle name="40% - 강조색4 15 2" xfId="663" xr:uid="{A9CA1326-7AB7-499D-81CC-313FEA0A7A36}"/>
    <cellStyle name="40% - 강조색4 16" xfId="356" xr:uid="{E771F947-75DA-4814-9184-2E49D604F767}"/>
    <cellStyle name="40% - 강조색4 16 2" xfId="683" xr:uid="{2023B703-DA65-454D-BC10-079BC15035F4}"/>
    <cellStyle name="40% - 강조색4 17" xfId="381" xr:uid="{7FF28EE7-BEEF-4702-AB91-63C79FFFF991}"/>
    <cellStyle name="40% - 강조색4 2" xfId="76" xr:uid="{EB5178A4-8D44-4DCF-8595-8E58742034D4}"/>
    <cellStyle name="40% - 강조색4 2 2" xfId="403" xr:uid="{89BBE645-568B-4AB0-A651-5F865E397A62}"/>
    <cellStyle name="40% - 강조색4 3" xfId="96" xr:uid="{7DDF99F7-62C4-4110-8149-7035429412C4}"/>
    <cellStyle name="40% - 강조색4 3 2" xfId="423" xr:uid="{49AA9ABB-29C4-499F-82CF-73A70CD54446}"/>
    <cellStyle name="40% - 강조색4 4" xfId="116" xr:uid="{1E9F2364-AB0C-4410-BDC1-1AE32AB9EBB0}"/>
    <cellStyle name="40% - 강조색4 4 2" xfId="443" xr:uid="{23BA07C0-6A68-4057-91EA-7F97F0DBE763}"/>
    <cellStyle name="40% - 강조색4 5" xfId="136" xr:uid="{E68D7333-2DDE-4C3C-926E-5C42685FBF6F}"/>
    <cellStyle name="40% - 강조색4 5 2" xfId="463" xr:uid="{55DA0CA2-C4F8-4F9F-B896-38850F82F72D}"/>
    <cellStyle name="40% - 강조색4 6" xfId="156" xr:uid="{4ACE2520-D97A-432B-9F39-F4AEAB87806C}"/>
    <cellStyle name="40% - 강조색4 6 2" xfId="483" xr:uid="{F5CBFEB4-2FE7-4A4B-AA9F-DDE62110D000}"/>
    <cellStyle name="40% - 강조색4 7" xfId="176" xr:uid="{45C0AF15-E90B-4919-B72B-1328E7C285F5}"/>
    <cellStyle name="40% - 강조색4 7 2" xfId="503" xr:uid="{4056B534-384A-4AEF-BB48-6D0F89D00DDA}"/>
    <cellStyle name="40% - 강조색4 8" xfId="196" xr:uid="{42FE4E23-137F-4281-896F-4A37A35DF536}"/>
    <cellStyle name="40% - 강조색4 8 2" xfId="523" xr:uid="{AB62BFE5-CE06-4286-9788-0B82A1F0565C}"/>
    <cellStyle name="40% - 강조색4 9" xfId="216" xr:uid="{5FE4A7DD-4F23-4F4B-9A91-26CA02F74E9F}"/>
    <cellStyle name="40% - 강조색4 9 2" xfId="543" xr:uid="{4754C34E-02FF-40BB-897F-AFAF0401C4AB}"/>
    <cellStyle name="40% - 강조색5" xfId="42" builtinId="47" customBuiltin="1"/>
    <cellStyle name="40% - 강조색5 10" xfId="239" xr:uid="{BA76548E-7B5B-498D-8406-8634949E5754}"/>
    <cellStyle name="40% - 강조색5 10 2" xfId="566" xr:uid="{62AFFA87-75B5-454F-BEAD-A493193A409F}"/>
    <cellStyle name="40% - 강조색5 11" xfId="259" xr:uid="{424F185F-7460-4E6C-A653-EFCCE0B5C804}"/>
    <cellStyle name="40% - 강조색5 11 2" xfId="586" xr:uid="{A9ECBD9F-0297-4D9D-8EEC-83C6FC2D00C3}"/>
    <cellStyle name="40% - 강조색5 12" xfId="279" xr:uid="{F5BD1F5E-3484-4B88-A4B4-9A38BB4DB575}"/>
    <cellStyle name="40% - 강조색5 12 2" xfId="606" xr:uid="{4F123D09-F0BC-48F7-AA66-23DAB105E692}"/>
    <cellStyle name="40% - 강조색5 13" xfId="299" xr:uid="{A664C5D0-FB12-4A05-B564-030B6E90913C}"/>
    <cellStyle name="40% - 강조색5 13 2" xfId="626" xr:uid="{ADB10030-01F4-49DA-9677-B82B7E49C3E0}"/>
    <cellStyle name="40% - 강조색5 14" xfId="319" xr:uid="{BE37C2E4-E4CE-499D-B8C6-1A2D96C594B2}"/>
    <cellStyle name="40% - 강조색5 14 2" xfId="646" xr:uid="{BDD701A3-BDF2-40F0-85A3-86E48AC67D96}"/>
    <cellStyle name="40% - 강조색5 15" xfId="339" xr:uid="{A60B9A30-D593-48D8-B8B7-DA95F35BD562}"/>
    <cellStyle name="40% - 강조색5 15 2" xfId="666" xr:uid="{9720670A-BBDF-4CC1-BF31-90C487CC59CF}"/>
    <cellStyle name="40% - 강조색5 16" xfId="359" xr:uid="{3572AD67-08C0-4CA1-9D33-A662BC77D774}"/>
    <cellStyle name="40% - 강조색5 16 2" xfId="686" xr:uid="{E1642B61-8376-41CF-B53C-025BB98F5669}"/>
    <cellStyle name="40% - 강조색5 17" xfId="384" xr:uid="{AC01C5DC-3B11-4DFB-A3EE-AFAC96D95F35}"/>
    <cellStyle name="40% - 강조색5 2" xfId="79" xr:uid="{2FD2444E-57DF-4113-B480-858C6A8D4451}"/>
    <cellStyle name="40% - 강조색5 2 2" xfId="406" xr:uid="{B9B45EC7-783B-483D-ADDE-676564EF0269}"/>
    <cellStyle name="40% - 강조색5 3" xfId="99" xr:uid="{F226EFB6-2501-4022-91DE-D0995D383E3C}"/>
    <cellStyle name="40% - 강조색5 3 2" xfId="426" xr:uid="{39579442-C47F-4F45-A9D9-4F754A5F7040}"/>
    <cellStyle name="40% - 강조색5 4" xfId="119" xr:uid="{48F82457-8C9B-4497-BFC6-D40C30AE952B}"/>
    <cellStyle name="40% - 강조색5 4 2" xfId="446" xr:uid="{A8F975A7-A2E0-454B-9D5E-B725C475C973}"/>
    <cellStyle name="40% - 강조색5 5" xfId="139" xr:uid="{5D18B759-CFA1-423A-8896-513E7463EA2D}"/>
    <cellStyle name="40% - 강조색5 5 2" xfId="466" xr:uid="{6CB4985B-A171-4044-B28C-EF6AC3730292}"/>
    <cellStyle name="40% - 강조색5 6" xfId="159" xr:uid="{92D981D6-A165-4648-B862-13C2C8AF5A2B}"/>
    <cellStyle name="40% - 강조색5 6 2" xfId="486" xr:uid="{DAA8B9BA-B2D5-4E25-B2F7-32529C0F9CF7}"/>
    <cellStyle name="40% - 강조색5 7" xfId="179" xr:uid="{0E855858-D7BA-4E58-A50B-DF778967EFAA}"/>
    <cellStyle name="40% - 강조색5 7 2" xfId="506" xr:uid="{61E409BE-7B77-4C4D-AE9C-752C82D836D6}"/>
    <cellStyle name="40% - 강조색5 8" xfId="199" xr:uid="{4D7F1574-D752-49B6-892C-7686097E072D}"/>
    <cellStyle name="40% - 강조색5 8 2" xfId="526" xr:uid="{A27A7314-0325-4A20-AF76-326350C77BE1}"/>
    <cellStyle name="40% - 강조색5 9" xfId="219" xr:uid="{C3599F2D-029D-43AC-A322-099F96CB9902}"/>
    <cellStyle name="40% - 강조색5 9 2" xfId="546" xr:uid="{35510805-C8BB-4BB8-9F2A-6AC11A943FED}"/>
    <cellStyle name="40% - 강조색6" xfId="46" builtinId="51" customBuiltin="1"/>
    <cellStyle name="40% - 강조색6 10" xfId="242" xr:uid="{E82BFB48-84FD-41B7-AB7F-3FC7DAD9B6DF}"/>
    <cellStyle name="40% - 강조색6 10 2" xfId="569" xr:uid="{B3E60255-3FB7-4EE4-8E70-C6EE0069BB11}"/>
    <cellStyle name="40% - 강조색6 11" xfId="262" xr:uid="{7F222311-21F8-4F52-86D3-B6BCB9F92164}"/>
    <cellStyle name="40% - 강조색6 11 2" xfId="589" xr:uid="{C6C52E4F-E08E-40BB-B6B2-E00C2B4DD633}"/>
    <cellStyle name="40% - 강조색6 12" xfId="282" xr:uid="{620521F1-AF1F-4213-A635-B81EA35B4D80}"/>
    <cellStyle name="40% - 강조색6 12 2" xfId="609" xr:uid="{F26FA79A-4170-4228-AB3D-FD73D54B36AC}"/>
    <cellStyle name="40% - 강조색6 13" xfId="302" xr:uid="{918AA8C0-6591-4A67-A306-A8D34B2778DA}"/>
    <cellStyle name="40% - 강조색6 13 2" xfId="629" xr:uid="{9E0480A8-BA90-4BFB-ABBD-BDDD4F4E8F98}"/>
    <cellStyle name="40% - 강조색6 14" xfId="322" xr:uid="{0F489502-E054-437F-BAD6-962A518FFF7D}"/>
    <cellStyle name="40% - 강조색6 14 2" xfId="649" xr:uid="{DF294A26-003F-4975-A321-89A4A8004CC0}"/>
    <cellStyle name="40% - 강조색6 15" xfId="342" xr:uid="{D02158DF-36FE-4148-9949-1B565C11BBDF}"/>
    <cellStyle name="40% - 강조색6 15 2" xfId="669" xr:uid="{FF7CDDAF-B7FA-45C7-9BB5-371A9BF083A0}"/>
    <cellStyle name="40% - 강조색6 16" xfId="362" xr:uid="{0228A41F-3552-403A-BEB9-13D91F7107B5}"/>
    <cellStyle name="40% - 강조색6 16 2" xfId="689" xr:uid="{22F9D4D4-AB64-4524-B2A1-638EFA63605C}"/>
    <cellStyle name="40% - 강조색6 17" xfId="387" xr:uid="{74D7FC4F-572A-4675-9901-A58E6C432084}"/>
    <cellStyle name="40% - 강조색6 2" xfId="82" xr:uid="{ABAFEDE8-FFD6-42E3-AE21-8DF4E8E999CF}"/>
    <cellStyle name="40% - 강조색6 2 2" xfId="409" xr:uid="{5324E2AA-2823-4BEC-BAD1-07E0047C4354}"/>
    <cellStyle name="40% - 강조색6 3" xfId="102" xr:uid="{261FF799-21A4-4DFD-BC41-AD36A40AB6C0}"/>
    <cellStyle name="40% - 강조색6 3 2" xfId="429" xr:uid="{DC58DC58-C70D-4D5C-8AD5-62BD6AC05C4F}"/>
    <cellStyle name="40% - 강조색6 4" xfId="122" xr:uid="{6D2E5168-6F7B-4B98-A80D-3A36768628F3}"/>
    <cellStyle name="40% - 강조색6 4 2" xfId="449" xr:uid="{1B6FB902-38EF-4C9D-A95B-B979E772CE64}"/>
    <cellStyle name="40% - 강조색6 5" xfId="142" xr:uid="{4647BD6D-3215-4C41-8EF3-2645F2D1CA00}"/>
    <cellStyle name="40% - 강조색6 5 2" xfId="469" xr:uid="{69A0C2E6-FC2F-4714-B8A8-E7DFD3B643DD}"/>
    <cellStyle name="40% - 강조색6 6" xfId="162" xr:uid="{7E3D72B4-30A0-4B08-BDD0-18D2D7826858}"/>
    <cellStyle name="40% - 강조색6 6 2" xfId="489" xr:uid="{7056F31F-AAA3-426F-922B-90EB2EB6F00D}"/>
    <cellStyle name="40% - 강조색6 7" xfId="182" xr:uid="{05CFEC58-67B0-46E3-A580-AB3F892F5F02}"/>
    <cellStyle name="40% - 강조색6 7 2" xfId="509" xr:uid="{D89194F6-D9CF-48CD-B701-B036E04C7242}"/>
    <cellStyle name="40% - 강조색6 8" xfId="202" xr:uid="{3DB6A435-9D18-41C8-A80C-5CA6BC3C8EC3}"/>
    <cellStyle name="40% - 강조색6 8 2" xfId="529" xr:uid="{ABEEA96E-EA04-40A2-83A8-1489773E0683}"/>
    <cellStyle name="40% - 강조색6 9" xfId="222" xr:uid="{437FDFC9-C82F-4230-A465-4560C5905C74}"/>
    <cellStyle name="40% - 강조색6 9 2" xfId="549" xr:uid="{66AEB78B-A35F-47B5-BF02-220446662FCE}"/>
    <cellStyle name="60% - 강조색1" xfId="27" builtinId="32" customBuiltin="1"/>
    <cellStyle name="60% - 강조색1 10" xfId="228" xr:uid="{B2CB40AD-4A4F-4918-9765-E0E0363F2909}"/>
    <cellStyle name="60% - 강조색1 10 2" xfId="555" xr:uid="{4EC12861-F112-4A57-BE82-8607D944A0FF}"/>
    <cellStyle name="60% - 강조색1 11" xfId="248" xr:uid="{E4397767-24DE-4A4E-8808-6EE3AC7ADD6A}"/>
    <cellStyle name="60% - 강조색1 11 2" xfId="575" xr:uid="{E9CD7AFC-95D5-47C8-9199-9183B028B0F9}"/>
    <cellStyle name="60% - 강조색1 12" xfId="268" xr:uid="{45163B68-6E14-49BA-BFA4-ECA510354E09}"/>
    <cellStyle name="60% - 강조색1 12 2" xfId="595" xr:uid="{E0F0E7AE-6988-4E30-9A8B-6DB1C84D8645}"/>
    <cellStyle name="60% - 강조색1 13" xfId="288" xr:uid="{4ECEC866-C940-4B1D-8E38-55A23D2D0542}"/>
    <cellStyle name="60% - 강조색1 13 2" xfId="615" xr:uid="{112F37A4-4AF9-4906-8E72-C5567A558F42}"/>
    <cellStyle name="60% - 강조색1 14" xfId="308" xr:uid="{DF8043AD-8773-4D93-B2C8-1B5C7502C135}"/>
    <cellStyle name="60% - 강조색1 14 2" xfId="635" xr:uid="{3634A00A-A53B-43A1-90A0-848FC7341300}"/>
    <cellStyle name="60% - 강조색1 15" xfId="328" xr:uid="{AE574A2D-9FB0-4ACE-B888-47AD5434508A}"/>
    <cellStyle name="60% - 강조색1 15 2" xfId="655" xr:uid="{50E0403C-A682-4E84-B7B7-AB504AA3622B}"/>
    <cellStyle name="60% - 강조색1 16" xfId="348" xr:uid="{8CEA539B-6240-42C9-B368-161B9EDC0A45}"/>
    <cellStyle name="60% - 강조색1 16 2" xfId="675" xr:uid="{969470CE-22B7-42DA-B45E-FBBE8524DB29}"/>
    <cellStyle name="60% - 강조색1 17" xfId="373" xr:uid="{61A5E3BE-7A75-427B-983F-60835FCC5B90}"/>
    <cellStyle name="60% - 강조색1 2" xfId="68" xr:uid="{D96F520C-0939-4D6D-A16E-E458CF2912C2}"/>
    <cellStyle name="60% - 강조색1 2 2" xfId="395" xr:uid="{2366AAF4-388E-49C8-B95E-197E10F2EBCE}"/>
    <cellStyle name="60% - 강조색1 3" xfId="88" xr:uid="{F66CE541-3BD7-4504-AC6D-7AF378A3DEDA}"/>
    <cellStyle name="60% - 강조색1 3 2" xfId="415" xr:uid="{D2C8687B-F327-4255-9DA7-81AC17A6B730}"/>
    <cellStyle name="60% - 강조색1 4" xfId="108" xr:uid="{6FA34F41-E20A-49FA-BFCA-CD52598158FD}"/>
    <cellStyle name="60% - 강조색1 4 2" xfId="435" xr:uid="{01E4C741-6FE6-420B-96DA-39EBC1E6B620}"/>
    <cellStyle name="60% - 강조색1 5" xfId="128" xr:uid="{3463E9EE-F8EC-4E54-834C-9B81B7FECD98}"/>
    <cellStyle name="60% - 강조색1 5 2" xfId="455" xr:uid="{72D18018-1065-4CED-86ED-886D5E1C8DFC}"/>
    <cellStyle name="60% - 강조색1 6" xfId="148" xr:uid="{5B333DEA-5B17-48AA-B16F-C66878B0742C}"/>
    <cellStyle name="60% - 강조색1 6 2" xfId="475" xr:uid="{164C198A-F482-40FC-8DD5-CA932CAA3233}"/>
    <cellStyle name="60% - 강조색1 7" xfId="168" xr:uid="{8212DAC3-9A02-42BE-8CA2-BF85CA1F7FF5}"/>
    <cellStyle name="60% - 강조색1 7 2" xfId="495" xr:uid="{F4F6569C-68F2-4B6D-B891-61C30DC8EC03}"/>
    <cellStyle name="60% - 강조색1 8" xfId="188" xr:uid="{C4DD9030-1D5F-45AE-A9B8-68EA671C2427}"/>
    <cellStyle name="60% - 강조색1 8 2" xfId="515" xr:uid="{2CA21C36-FFEF-4AF6-867E-5B68F878F588}"/>
    <cellStyle name="60% - 강조색1 9" xfId="208" xr:uid="{17F085EB-9BA6-42BC-90C0-6F0174349845}"/>
    <cellStyle name="60% - 강조색1 9 2" xfId="535" xr:uid="{A7BA6A8B-E76C-4AF8-8047-D3D63D72440F}"/>
    <cellStyle name="60% - 강조색2" xfId="31" builtinId="36" customBuiltin="1"/>
    <cellStyle name="60% - 강조색2 10" xfId="231" xr:uid="{14C597ED-74A6-41A0-B9C3-84CD44CA0D59}"/>
    <cellStyle name="60% - 강조색2 10 2" xfId="558" xr:uid="{CFB59FE4-4177-42F4-92DD-4043281005F8}"/>
    <cellStyle name="60% - 강조색2 11" xfId="251" xr:uid="{8C1F64DB-16E4-48E9-A735-71A04F737194}"/>
    <cellStyle name="60% - 강조색2 11 2" xfId="578" xr:uid="{C0FADA00-7F69-4F7C-9898-56F17FC64589}"/>
    <cellStyle name="60% - 강조색2 12" xfId="271" xr:uid="{8AF8D59B-02D0-4311-9B00-197848AD0A13}"/>
    <cellStyle name="60% - 강조색2 12 2" xfId="598" xr:uid="{C934176D-E316-4723-BB41-38FCBDB63D99}"/>
    <cellStyle name="60% - 강조색2 13" xfId="291" xr:uid="{092D3EDE-EB8C-4BC8-A3E3-6F8586AFA4F1}"/>
    <cellStyle name="60% - 강조색2 13 2" xfId="618" xr:uid="{99D52341-DDBB-45C4-8FF7-2FBAFD8D416C}"/>
    <cellStyle name="60% - 강조색2 14" xfId="311" xr:uid="{67D6E8F6-6671-4854-A51D-68A4D4178F79}"/>
    <cellStyle name="60% - 강조색2 14 2" xfId="638" xr:uid="{AB3EDC1C-18C2-4B7E-9AC3-9CC110DA2CC7}"/>
    <cellStyle name="60% - 강조색2 15" xfId="331" xr:uid="{AFB5EB0C-80FD-4EB2-B8A6-C7F9EA67F76F}"/>
    <cellStyle name="60% - 강조색2 15 2" xfId="658" xr:uid="{62580ABB-7325-4653-9751-3FF483598EF5}"/>
    <cellStyle name="60% - 강조색2 16" xfId="351" xr:uid="{509739BE-ABF1-4169-8BB8-402FA881B622}"/>
    <cellStyle name="60% - 강조색2 16 2" xfId="678" xr:uid="{5741AA21-6FA2-4BE2-B20D-3B0EA68C4802}"/>
    <cellStyle name="60% - 강조색2 17" xfId="376" xr:uid="{47F7217D-3615-49DD-B7A2-06E8041A0B91}"/>
    <cellStyle name="60% - 강조색2 2" xfId="71" xr:uid="{644D7E5D-D95D-4561-AA7D-F03E99268569}"/>
    <cellStyle name="60% - 강조색2 2 2" xfId="398" xr:uid="{89F0BBF8-9CD1-453C-989D-D1D7F7C0A39A}"/>
    <cellStyle name="60% - 강조색2 3" xfId="91" xr:uid="{6D8DD7CB-BAD5-42BD-8CAA-D865CE7EE7B0}"/>
    <cellStyle name="60% - 강조색2 3 2" xfId="418" xr:uid="{D79F731D-992E-40F7-B960-7BB821A2FF5E}"/>
    <cellStyle name="60% - 강조색2 4" xfId="111" xr:uid="{EB7CA402-BA71-47F3-AA96-0364DD842CDA}"/>
    <cellStyle name="60% - 강조색2 4 2" xfId="438" xr:uid="{CDF25518-7F16-4170-98E6-BE6F263DA84C}"/>
    <cellStyle name="60% - 강조색2 5" xfId="131" xr:uid="{F4E8DAEC-7A51-4F25-AF51-75342EDBB9BF}"/>
    <cellStyle name="60% - 강조색2 5 2" xfId="458" xr:uid="{69EDD08B-1AC2-425B-8133-B207A295EBD3}"/>
    <cellStyle name="60% - 강조색2 6" xfId="151" xr:uid="{232C6D60-F69C-4131-BA00-A2518A57C92F}"/>
    <cellStyle name="60% - 강조색2 6 2" xfId="478" xr:uid="{ADC2CD55-A7A8-4139-A21C-3C26E340FF7E}"/>
    <cellStyle name="60% - 강조색2 7" xfId="171" xr:uid="{54B6E76E-4A23-423C-A58F-0036EF4BD218}"/>
    <cellStyle name="60% - 강조색2 7 2" xfId="498" xr:uid="{69087061-3559-4475-A931-765D1792B1BE}"/>
    <cellStyle name="60% - 강조색2 8" xfId="191" xr:uid="{CAB13629-03F9-4D57-B12A-3727FBAF4666}"/>
    <cellStyle name="60% - 강조색2 8 2" xfId="518" xr:uid="{A16CE06D-B355-446F-81BE-5D2D21FB5872}"/>
    <cellStyle name="60% - 강조색2 9" xfId="211" xr:uid="{A63107D2-B5A6-4F95-8B93-DE528608944A}"/>
    <cellStyle name="60% - 강조색2 9 2" xfId="538" xr:uid="{0793D6B5-7A55-4564-ADDF-03ADEA79F42E}"/>
    <cellStyle name="60% - 강조색3" xfId="35" builtinId="40" customBuiltin="1"/>
    <cellStyle name="60% - 강조색3 10" xfId="234" xr:uid="{ED75E9BB-902D-42DB-AF09-843CCDFA3E09}"/>
    <cellStyle name="60% - 강조색3 10 2" xfId="561" xr:uid="{2C928C92-29AE-48FC-8A63-DEEE23F474B5}"/>
    <cellStyle name="60% - 강조색3 11" xfId="254" xr:uid="{EA1454C4-3A62-4C0E-9767-7776B2D9DF0C}"/>
    <cellStyle name="60% - 강조색3 11 2" xfId="581" xr:uid="{FE0AF633-9D44-4ADF-ABC7-6E1202EF178A}"/>
    <cellStyle name="60% - 강조색3 12" xfId="274" xr:uid="{758273EF-D7DF-41A3-A017-443AF2472E7F}"/>
    <cellStyle name="60% - 강조색3 12 2" xfId="601" xr:uid="{FD90ED65-D1AE-483F-A288-90DC52A59DB3}"/>
    <cellStyle name="60% - 강조색3 13" xfId="294" xr:uid="{9D1FA834-CFEF-4C9E-A7EE-EB66B3C4C5F0}"/>
    <cellStyle name="60% - 강조색3 13 2" xfId="621" xr:uid="{1707F13B-5E6E-41D4-A1E3-F3F5F6FA2CEC}"/>
    <cellStyle name="60% - 강조색3 14" xfId="314" xr:uid="{8A0584AF-AF63-476E-9C0B-405244535428}"/>
    <cellStyle name="60% - 강조색3 14 2" xfId="641" xr:uid="{7A007061-C15E-4328-A15A-84BDAD8DBCB6}"/>
    <cellStyle name="60% - 강조색3 15" xfId="334" xr:uid="{814BFB90-17CB-4D6B-A673-DDF213A4D15F}"/>
    <cellStyle name="60% - 강조색3 15 2" xfId="661" xr:uid="{AB5A10CC-224A-49E5-82BE-A7C8C74C21AC}"/>
    <cellStyle name="60% - 강조색3 16" xfId="354" xr:uid="{37125019-D4FC-4E93-9440-04BD06B12DCE}"/>
    <cellStyle name="60% - 강조색3 16 2" xfId="681" xr:uid="{F9733C32-7AF4-4D44-8149-D0AF306B31C9}"/>
    <cellStyle name="60% - 강조색3 17" xfId="379" xr:uid="{F4DE8EAA-EC72-4DB5-B7DB-7700E2217485}"/>
    <cellStyle name="60% - 강조색3 2" xfId="74" xr:uid="{8A119AEB-6E38-4FDE-B0BF-D55711F2A704}"/>
    <cellStyle name="60% - 강조색3 2 2" xfId="401" xr:uid="{F5CF2613-9C54-4863-AB3B-2122AEC00D41}"/>
    <cellStyle name="60% - 강조색3 3" xfId="94" xr:uid="{3C8C73D0-4078-4609-BAB5-8A20ADB91724}"/>
    <cellStyle name="60% - 강조색3 3 2" xfId="421" xr:uid="{44E51DED-4022-4D2F-B066-49ACE4471082}"/>
    <cellStyle name="60% - 강조색3 4" xfId="114" xr:uid="{EC9E5DEB-280D-4710-9F22-874497065958}"/>
    <cellStyle name="60% - 강조색3 4 2" xfId="441" xr:uid="{5AB044BA-5686-4B5D-9FD8-3A995DBE75A4}"/>
    <cellStyle name="60% - 강조색3 5" xfId="134" xr:uid="{CBEAA6D1-B501-4E4F-92F6-55490AEBEF24}"/>
    <cellStyle name="60% - 강조색3 5 2" xfId="461" xr:uid="{FE8B4B9D-9176-4FC5-BCE2-8500A9B2B69C}"/>
    <cellStyle name="60% - 강조색3 6" xfId="154" xr:uid="{BF2604A9-F699-4508-B09F-0FCF998B8E7C}"/>
    <cellStyle name="60% - 강조색3 6 2" xfId="481" xr:uid="{B8FCD52D-6B10-42A9-8DFA-035B7F128D1E}"/>
    <cellStyle name="60% - 강조색3 7" xfId="174" xr:uid="{CC34085C-2DF9-4B63-BC74-48FB0D0B41C0}"/>
    <cellStyle name="60% - 강조색3 7 2" xfId="501" xr:uid="{BFC3DEB3-6A56-4097-AA4B-BAD98942CF43}"/>
    <cellStyle name="60% - 강조색3 8" xfId="194" xr:uid="{92B4DA0C-F19C-4089-8BF9-BBEE225A05A5}"/>
    <cellStyle name="60% - 강조색3 8 2" xfId="521" xr:uid="{8035E97D-88DC-4864-8108-9A4DDB7DADA4}"/>
    <cellStyle name="60% - 강조색3 9" xfId="214" xr:uid="{FB8BE683-8343-4BEB-9B06-CDF01B070856}"/>
    <cellStyle name="60% - 강조색3 9 2" xfId="541" xr:uid="{AC3197FE-6132-46A1-9BF8-AC81D1002FE1}"/>
    <cellStyle name="60% - 강조색4" xfId="39" builtinId="44" customBuiltin="1"/>
    <cellStyle name="60% - 강조색4 10" xfId="237" xr:uid="{70E89AC4-5EED-43E7-9ED8-EF9FC159426C}"/>
    <cellStyle name="60% - 강조색4 10 2" xfId="564" xr:uid="{D5F1416A-DA0E-4153-A697-B46A4E184B20}"/>
    <cellStyle name="60% - 강조색4 11" xfId="257" xr:uid="{069866A3-60DC-46EA-9CD7-FBE3CA7D5DA3}"/>
    <cellStyle name="60% - 강조색4 11 2" xfId="584" xr:uid="{24F8FA7D-4DCE-4297-890B-8FA337752C5F}"/>
    <cellStyle name="60% - 강조색4 12" xfId="277" xr:uid="{D7C60D16-EB4F-4F13-94C9-22FBC38F668A}"/>
    <cellStyle name="60% - 강조색4 12 2" xfId="604" xr:uid="{92B87CA9-AE9A-487E-B5F8-27512C79C329}"/>
    <cellStyle name="60% - 강조색4 13" xfId="297" xr:uid="{6F27FC83-76D1-46F7-B3AD-56241F0BE553}"/>
    <cellStyle name="60% - 강조색4 13 2" xfId="624" xr:uid="{7A8A8A5C-7AF9-4C44-A382-6BC2CDA9B24E}"/>
    <cellStyle name="60% - 강조색4 14" xfId="317" xr:uid="{E2708639-9E78-49CB-99B9-C5695C11F1AA}"/>
    <cellStyle name="60% - 강조색4 14 2" xfId="644" xr:uid="{CF4EF3AF-EB29-43C2-A527-FE2C1302B2F6}"/>
    <cellStyle name="60% - 강조색4 15" xfId="337" xr:uid="{C85AEFAC-1A27-465A-808B-FF9B657C1459}"/>
    <cellStyle name="60% - 강조색4 15 2" xfId="664" xr:uid="{DF529309-BCA9-47A6-A924-932F4079784B}"/>
    <cellStyle name="60% - 강조색4 16" xfId="357" xr:uid="{19EA790D-267E-40B1-9477-DADE12FD25CC}"/>
    <cellStyle name="60% - 강조색4 16 2" xfId="684" xr:uid="{39A7105A-C370-4390-9FB5-6B702DA48BD4}"/>
    <cellStyle name="60% - 강조색4 17" xfId="382" xr:uid="{5BCEDC26-A2CC-4AA9-B427-7B149DAC41E5}"/>
    <cellStyle name="60% - 강조색4 2" xfId="77" xr:uid="{1792CD84-041D-468B-B354-D747C2D04C1D}"/>
    <cellStyle name="60% - 강조색4 2 2" xfId="404" xr:uid="{313CD890-B45E-45B3-966C-022CE6A70086}"/>
    <cellStyle name="60% - 강조색4 3" xfId="97" xr:uid="{A1937497-621F-41D7-853F-4DF5D3F9421B}"/>
    <cellStyle name="60% - 강조색4 3 2" xfId="424" xr:uid="{2C832D81-C9CD-494C-A547-2D83CAE55469}"/>
    <cellStyle name="60% - 강조색4 4" xfId="117" xr:uid="{77FD045A-28DE-49C3-9FED-388E253D598A}"/>
    <cellStyle name="60% - 강조색4 4 2" xfId="444" xr:uid="{8FEC41F3-11F5-4972-BCD5-9B000538680A}"/>
    <cellStyle name="60% - 강조색4 5" xfId="137" xr:uid="{990E823D-6CD7-4AD7-A165-238769E1884C}"/>
    <cellStyle name="60% - 강조색4 5 2" xfId="464" xr:uid="{972AF249-DF48-4ECA-A342-7B2A64130E96}"/>
    <cellStyle name="60% - 강조색4 6" xfId="157" xr:uid="{DEC53E00-AB73-4777-A99B-B832E160D84A}"/>
    <cellStyle name="60% - 강조색4 6 2" xfId="484" xr:uid="{8CBBFD97-3C89-452F-BE92-C63C70631218}"/>
    <cellStyle name="60% - 강조색4 7" xfId="177" xr:uid="{98FF8F1B-C298-4C4F-8370-A09AC3F2FFB8}"/>
    <cellStyle name="60% - 강조색4 7 2" xfId="504" xr:uid="{C94302FA-9872-4F4A-8D4F-67CF83145273}"/>
    <cellStyle name="60% - 강조색4 8" xfId="197" xr:uid="{5C8022D0-2716-4511-BCE5-F749E9A7505F}"/>
    <cellStyle name="60% - 강조색4 8 2" xfId="524" xr:uid="{B1003814-FE38-4C9D-8077-2A155E191FB2}"/>
    <cellStyle name="60% - 강조색4 9" xfId="217" xr:uid="{398F5B73-4152-4111-A6C1-88930B304A8F}"/>
    <cellStyle name="60% - 강조색4 9 2" xfId="544" xr:uid="{B757DE19-D4C2-4604-A7B7-424817099AFC}"/>
    <cellStyle name="60% - 강조색5" xfId="43" builtinId="48" customBuiltin="1"/>
    <cellStyle name="60% - 강조색5 10" xfId="240" xr:uid="{A4732F92-E2E7-47F7-8962-09A53158E49E}"/>
    <cellStyle name="60% - 강조색5 10 2" xfId="567" xr:uid="{513A77D6-810B-4EB3-B59F-1C5233519ABF}"/>
    <cellStyle name="60% - 강조색5 11" xfId="260" xr:uid="{833A5587-5E37-4DDD-A9A7-B9B835D4EEC6}"/>
    <cellStyle name="60% - 강조색5 11 2" xfId="587" xr:uid="{5D6E9867-4E0E-4317-92A9-022EC91D60C8}"/>
    <cellStyle name="60% - 강조색5 12" xfId="280" xr:uid="{0CF639C7-E6D7-4838-8BD1-2A7DDFC35C69}"/>
    <cellStyle name="60% - 강조색5 12 2" xfId="607" xr:uid="{399291CC-612A-4B10-813F-9547864BDA26}"/>
    <cellStyle name="60% - 강조색5 13" xfId="300" xr:uid="{DD9DC0D0-B0AA-4409-BC18-73F74EE6DC64}"/>
    <cellStyle name="60% - 강조색5 13 2" xfId="627" xr:uid="{F49CDA1D-042F-44E7-BD5C-BEA3AFFD4619}"/>
    <cellStyle name="60% - 강조색5 14" xfId="320" xr:uid="{509A9514-662E-4223-8C47-3AF46E407071}"/>
    <cellStyle name="60% - 강조색5 14 2" xfId="647" xr:uid="{6339FCF7-B04E-4732-B653-DF30885F9BF0}"/>
    <cellStyle name="60% - 강조색5 15" xfId="340" xr:uid="{9B28C65F-3F16-43C9-9433-48DBF0EA6B76}"/>
    <cellStyle name="60% - 강조색5 15 2" xfId="667" xr:uid="{761D474D-000C-4DB4-AECD-07446127EBFE}"/>
    <cellStyle name="60% - 강조색5 16" xfId="360" xr:uid="{77D17A4D-0892-4BC2-B936-5A54501FA2FF}"/>
    <cellStyle name="60% - 강조색5 16 2" xfId="687" xr:uid="{A2DD00D2-D3F4-487B-817D-72D53B05E9DC}"/>
    <cellStyle name="60% - 강조색5 17" xfId="385" xr:uid="{5A17CF2F-7D45-4BC0-ABFC-9FF0FEF72800}"/>
    <cellStyle name="60% - 강조색5 2" xfId="80" xr:uid="{83C87137-7D9D-4435-8D26-FB3DD7FDD5B2}"/>
    <cellStyle name="60% - 강조색5 2 2" xfId="407" xr:uid="{362B2614-98C1-4C59-A1A8-BE85AB44A7E4}"/>
    <cellStyle name="60% - 강조색5 3" xfId="100" xr:uid="{8A3FC43A-9273-4EDE-A3D4-12656ACA2B00}"/>
    <cellStyle name="60% - 강조색5 3 2" xfId="427" xr:uid="{66BF7B98-26A7-4D03-92B5-F8A635B6483B}"/>
    <cellStyle name="60% - 강조색5 4" xfId="120" xr:uid="{8C64B1C1-5D00-4464-8C70-D32A97402830}"/>
    <cellStyle name="60% - 강조색5 4 2" xfId="447" xr:uid="{872C435F-34ED-4E43-B431-E46F12597F6F}"/>
    <cellStyle name="60% - 강조색5 5" xfId="140" xr:uid="{CEEB8C43-7F0B-422B-AD7B-CFAA54FDBE61}"/>
    <cellStyle name="60% - 강조색5 5 2" xfId="467" xr:uid="{D662F89C-1267-41A6-8805-A9629FCEA340}"/>
    <cellStyle name="60% - 강조색5 6" xfId="160" xr:uid="{7CAA41A2-41F0-4F2A-852C-9148935AF173}"/>
    <cellStyle name="60% - 강조색5 6 2" xfId="487" xr:uid="{9594DE61-FA07-4B4A-B42A-71F77323BBB7}"/>
    <cellStyle name="60% - 강조색5 7" xfId="180" xr:uid="{B8F7E0E2-4C83-4F44-B59F-356F510E044A}"/>
    <cellStyle name="60% - 강조색5 7 2" xfId="507" xr:uid="{49ED54DB-FA5D-4CA3-8357-420B2DE15CA3}"/>
    <cellStyle name="60% - 강조색5 8" xfId="200" xr:uid="{6D2D570D-EC52-4E0C-B1E9-5D2AB26D118B}"/>
    <cellStyle name="60% - 강조색5 8 2" xfId="527" xr:uid="{C4586D3E-61CD-4021-8C8B-438BFCC02853}"/>
    <cellStyle name="60% - 강조색5 9" xfId="220" xr:uid="{922B3494-236E-4C09-974D-F60AAF6C7BE7}"/>
    <cellStyle name="60% - 강조색5 9 2" xfId="547" xr:uid="{76228A16-FFF1-41E8-B067-A384FAD45F62}"/>
    <cellStyle name="60% - 강조색6" xfId="47" builtinId="52" customBuiltin="1"/>
    <cellStyle name="60% - 강조색6 10" xfId="243" xr:uid="{45C2A6A0-CD21-437A-82CA-BC3AD53B6A17}"/>
    <cellStyle name="60% - 강조색6 10 2" xfId="570" xr:uid="{F5CC5C52-89D6-40DD-B6AE-3A23924B877A}"/>
    <cellStyle name="60% - 강조색6 11" xfId="263" xr:uid="{A320767B-703A-471C-8140-F1287F2FFA6B}"/>
    <cellStyle name="60% - 강조색6 11 2" xfId="590" xr:uid="{DBF1898E-590F-4234-A1C1-74C0E641A8A8}"/>
    <cellStyle name="60% - 강조색6 12" xfId="283" xr:uid="{089059AD-EDC4-453B-8BF0-CD3801C452E4}"/>
    <cellStyle name="60% - 강조색6 12 2" xfId="610" xr:uid="{112937E6-345C-4896-A040-5420773A84A2}"/>
    <cellStyle name="60% - 강조색6 13" xfId="303" xr:uid="{DF5BB59F-4766-4740-8D6D-9EFC37439CE9}"/>
    <cellStyle name="60% - 강조색6 13 2" xfId="630" xr:uid="{F7F51479-4748-4A2D-871C-873B1F06587F}"/>
    <cellStyle name="60% - 강조색6 14" xfId="323" xr:uid="{7F342A78-9A20-4FA7-A393-60C2CB5924F1}"/>
    <cellStyle name="60% - 강조색6 14 2" xfId="650" xr:uid="{B632B314-D185-469E-8819-4F0AAB7C7677}"/>
    <cellStyle name="60% - 강조색6 15" xfId="343" xr:uid="{ED88BECD-6E0C-45E7-99FA-A4CDF3CF7ADD}"/>
    <cellStyle name="60% - 강조색6 15 2" xfId="670" xr:uid="{1859C603-0FD3-44E9-AE36-1F3B6827D3BF}"/>
    <cellStyle name="60% - 강조색6 16" xfId="363" xr:uid="{606700C0-23F4-4BB8-B081-FB2BDB824788}"/>
    <cellStyle name="60% - 강조색6 16 2" xfId="690" xr:uid="{9A92C928-7408-47E2-9873-601694B39730}"/>
    <cellStyle name="60% - 강조색6 17" xfId="388" xr:uid="{288FF4E9-178D-4125-9600-35A6BB1D9FC2}"/>
    <cellStyle name="60% - 강조색6 2" xfId="83" xr:uid="{17B91430-62BE-4134-AC04-1D7C5943D02F}"/>
    <cellStyle name="60% - 강조색6 2 2" xfId="410" xr:uid="{24541227-8A79-446A-A4CD-A5CCDDF13903}"/>
    <cellStyle name="60% - 강조색6 3" xfId="103" xr:uid="{9331A509-0875-4C0F-8C3D-D5FB52FB4174}"/>
    <cellStyle name="60% - 강조색6 3 2" xfId="430" xr:uid="{5FD7DB1E-DD0D-4ADC-BB55-C20F1641F035}"/>
    <cellStyle name="60% - 강조색6 4" xfId="123" xr:uid="{B9658C44-09E3-424D-B22E-7C3FCC9C0806}"/>
    <cellStyle name="60% - 강조색6 4 2" xfId="450" xr:uid="{79D06D8E-774B-4AE4-8FA4-3057092BCAEB}"/>
    <cellStyle name="60% - 강조색6 5" xfId="143" xr:uid="{C1BAFC03-FA40-4450-840A-F36FB1A6041B}"/>
    <cellStyle name="60% - 강조색6 5 2" xfId="470" xr:uid="{FDB7C850-D43F-4C55-B698-6260280D4C16}"/>
    <cellStyle name="60% - 강조색6 6" xfId="163" xr:uid="{1089B983-8593-4207-A1CE-09349D3C4605}"/>
    <cellStyle name="60% - 강조색6 6 2" xfId="490" xr:uid="{F5267F77-72B6-46FF-810D-57E24C5DF41E}"/>
    <cellStyle name="60% - 강조색6 7" xfId="183" xr:uid="{FF60C2DA-079A-4EE1-A9B5-1AD3A9A8D643}"/>
    <cellStyle name="60% - 강조색6 7 2" xfId="510" xr:uid="{F591A8AE-F128-4963-A758-11E449DE0B36}"/>
    <cellStyle name="60% - 강조색6 8" xfId="203" xr:uid="{1DBB24E1-EC94-4394-B3EB-483F05503DF3}"/>
    <cellStyle name="60% - 강조색6 8 2" xfId="530" xr:uid="{52FD48E1-40E8-4C8A-81AE-B11701A43736}"/>
    <cellStyle name="60% - 강조색6 9" xfId="223" xr:uid="{3EA00A76-CBFA-49F9-B4AE-8BB59E2AEFE3}"/>
    <cellStyle name="60% - 강조색6 9 2" xfId="550" xr:uid="{F77963C2-B0C3-425E-8A6C-D8EF63552B91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369" xr:uid="{75013B09-6233-4927-B332-8F35A25F23D8}"/>
    <cellStyle name="Normal_Capability Study - IPEG EVT1 0713a.xls" xfId="365" xr:uid="{4BE65ECC-7831-412C-9A31-A68BB6652E63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강조색1" xfId="24" builtinId="29" customBuiltin="1"/>
    <cellStyle name="강조색2" xfId="28" builtinId="33" customBuiltin="1"/>
    <cellStyle name="강조색3" xfId="32" builtinId="37" customBuiltin="1"/>
    <cellStyle name="강조색4" xfId="36" builtinId="41" customBuiltin="1"/>
    <cellStyle name="강조색5" xfId="40" builtinId="45" customBuiltin="1"/>
    <cellStyle name="강조색6" xfId="44" builtinId="49" customBuiltin="1"/>
    <cellStyle name="경고문" xfId="21" builtinId="11" customBuiltin="1"/>
    <cellStyle name="계산" xfId="18" builtinId="22" customBuiltin="1"/>
    <cellStyle name="나쁨" xfId="14" builtinId="27" customBuiltin="1"/>
    <cellStyle name="나쁨 2" xfId="366" xr:uid="{5D9ED5E1-C801-406D-93E0-2B3591175749}"/>
    <cellStyle name="메모 10" xfId="205" xr:uid="{F1E6B1A6-DFCC-43B5-938B-AC4EA38735C0}"/>
    <cellStyle name="메모 10 2" xfId="532" xr:uid="{16BFFD9D-80A4-4BD9-8ACC-1F63AF7526EE}"/>
    <cellStyle name="메모 11" xfId="225" xr:uid="{96156C23-3B33-4EC6-904C-30CD9C6AE460}"/>
    <cellStyle name="메모 11 2" xfId="552" xr:uid="{D5FF027C-ADA9-449D-8F5E-65A712B08D28}"/>
    <cellStyle name="메모 12" xfId="245" xr:uid="{5CB831BA-C7F1-474B-BA74-58288726F36E}"/>
    <cellStyle name="메모 12 2" xfId="572" xr:uid="{99A18CB1-85DE-425C-BF8D-080C6C2792E2}"/>
    <cellStyle name="메모 13" xfId="265" xr:uid="{91BBAD60-6ED6-4715-A410-BA21B2B80F9B}"/>
    <cellStyle name="메모 13 2" xfId="592" xr:uid="{AEE15A93-2E01-4B05-83F4-B16CC316C2E0}"/>
    <cellStyle name="메모 14" xfId="285" xr:uid="{72C31025-9F67-4651-9FD6-55D175EBD059}"/>
    <cellStyle name="메모 14 2" xfId="612" xr:uid="{4C6771C5-B909-4AF2-A372-3A7EC0956A14}"/>
    <cellStyle name="메모 15" xfId="305" xr:uid="{64142A57-8907-4EB8-81F0-21D0FC161584}"/>
    <cellStyle name="메모 15 2" xfId="632" xr:uid="{E342C770-2A53-4051-8DAB-E4C62F8A3711}"/>
    <cellStyle name="메모 16" xfId="325" xr:uid="{429D3280-652F-41CC-BE36-941A19F819E6}"/>
    <cellStyle name="메모 16 2" xfId="652" xr:uid="{64DC9EE1-5D0B-4BCF-A2FD-024B2A4231A7}"/>
    <cellStyle name="메모 17" xfId="345" xr:uid="{42ECB233-434C-45FD-A02B-764D46565700}"/>
    <cellStyle name="메모 17 2" xfId="672" xr:uid="{C133A3EA-F073-4953-9C81-4AAA50C50F78}"/>
    <cellStyle name="메모 2" xfId="63" xr:uid="{C5E085BA-2B59-45F4-9A7F-16FA145D7B84}"/>
    <cellStyle name="메모 2 2" xfId="390" xr:uid="{5233F32C-420F-48CD-AC6E-8C2CEFFA93F6}"/>
    <cellStyle name="메모 3" xfId="65" xr:uid="{CF354A69-28DB-401C-A63E-3F347A572426}"/>
    <cellStyle name="메모 3 2" xfId="392" xr:uid="{6D3C2191-4254-49E7-8450-D130065770A2}"/>
    <cellStyle name="메모 4" xfId="85" xr:uid="{775D36BA-F6FE-4815-AEDB-99DCD30B3F80}"/>
    <cellStyle name="메모 4 2" xfId="412" xr:uid="{B3C467C1-7915-4DCF-90A7-9DA3D88A64E1}"/>
    <cellStyle name="메모 5" xfId="105" xr:uid="{A16EE7B9-2783-46EF-847B-5843EB9314E0}"/>
    <cellStyle name="메모 5 2" xfId="432" xr:uid="{CC4735F0-C14D-4623-BE21-D06D5A031777}"/>
    <cellStyle name="메모 6" xfId="125" xr:uid="{99D5518B-558D-4D06-8223-349768351A5B}"/>
    <cellStyle name="메모 6 2" xfId="452" xr:uid="{6316C5EC-2C1A-408F-9AB8-90BC14A89459}"/>
    <cellStyle name="메모 7" xfId="145" xr:uid="{46215A0F-5D5F-4A1E-AE77-6F7125E3F5FD}"/>
    <cellStyle name="메모 7 2" xfId="472" xr:uid="{9740AB17-9C0B-4BCD-B9BA-1FAFBB330851}"/>
    <cellStyle name="메모 8" xfId="165" xr:uid="{3F7FA357-98BF-476F-AC6F-5346764332E9}"/>
    <cellStyle name="메모 8 2" xfId="492" xr:uid="{CAB424E8-7FEA-4325-9E82-803E29E4BD59}"/>
    <cellStyle name="메모 9" xfId="185" xr:uid="{3BDA0B01-7855-47A6-943B-A22238ECF36D}"/>
    <cellStyle name="메모 9 2" xfId="512" xr:uid="{D0A16E8E-5CF9-427D-9C41-64932104DA25}"/>
    <cellStyle name="百分比 3" xfId="2" xr:uid="{D6C95A67-1C7B-404B-8CDF-2921498D764C}"/>
    <cellStyle name="백분율 2" xfId="49" xr:uid="{E41B836F-9572-4D1C-9D74-1056A2A9CD16}"/>
    <cellStyle name="보통" xfId="15" builtinId="28" customBuiltin="1"/>
    <cellStyle name="보통 2" xfId="367" xr:uid="{BC2C249A-3E93-44E4-8AEE-760D3D1DF841}"/>
    <cellStyle name="常规 4" xfId="5" xr:uid="{79A5A741-AEC6-8E4D-AD07-F06A72B84B5A}"/>
    <cellStyle name="常规_8364B 2009415" xfId="48" xr:uid="{0B47AFBD-263D-4B7F-B2E7-B395D86BCEE1}"/>
    <cellStyle name="설명 텍스트" xfId="22" builtinId="53" customBuiltin="1"/>
    <cellStyle name="셀 확인" xfId="20" builtinId="23" customBuiltin="1"/>
    <cellStyle name="쉼표 [0] 2" xfId="7" xr:uid="{404A706B-A3F0-6D4E-AC76-48F566C7C22E}"/>
    <cellStyle name="쉼표 [0] 2 2" xfId="370" xr:uid="{858FA5FA-21CF-420D-902C-0D9A7A5FC8A2}"/>
    <cellStyle name="연결된 셀" xfId="19" builtinId="24" customBuiltin="1"/>
    <cellStyle name="요약" xfId="23" builtinId="25" customBuiltin="1"/>
    <cellStyle name="一般 3" xfId="1" xr:uid="{CBDF56BD-CEEB-C64C-84C9-24C904CBE56D}"/>
    <cellStyle name="입력" xfId="16" builtinId="20" customBuiltin="1"/>
    <cellStyle name="제목" xfId="8" builtinId="15" customBuiltin="1"/>
    <cellStyle name="제목 1" xfId="9" builtinId="16" customBuiltin="1"/>
    <cellStyle name="제목 2" xfId="10" builtinId="17" customBuiltin="1"/>
    <cellStyle name="제목 3" xfId="11" builtinId="18" customBuiltin="1"/>
    <cellStyle name="제목 4" xfId="12" builtinId="19" customBuiltin="1"/>
    <cellStyle name="좋음" xfId="13" builtinId="26" customBuiltin="1"/>
    <cellStyle name="출력" xfId="17" builtinId="21" customBuiltin="1"/>
    <cellStyle name="표준" xfId="0" builtinId="0"/>
    <cellStyle name="표준 10" xfId="204" xr:uid="{97A0A5AD-B5E0-4681-B396-4D85486E02B2}"/>
    <cellStyle name="표준 10 2" xfId="531" xr:uid="{B2EB9DE4-06F4-42E9-9750-5B8F82580125}"/>
    <cellStyle name="표준 11" xfId="224" xr:uid="{DCBD210C-C26C-487C-AAFF-E96EFCCBF417}"/>
    <cellStyle name="표준 11 2" xfId="551" xr:uid="{8FE8D17E-C81C-4930-9128-8D90E7A3995F}"/>
    <cellStyle name="표준 12" xfId="244" xr:uid="{88A20BFC-BAA2-4A3D-B20F-C81594BE5818}"/>
    <cellStyle name="표준 12 2" xfId="571" xr:uid="{0C3D25E6-1A06-4EA5-95D5-208716FA4D7B}"/>
    <cellStyle name="표준 13" xfId="264" xr:uid="{5A98D856-1E8E-4B48-AB04-D5F9C62DEF9B}"/>
    <cellStyle name="표준 13 2" xfId="591" xr:uid="{38725755-7867-4478-9474-0B126F194E7A}"/>
    <cellStyle name="표준 14" xfId="284" xr:uid="{C1185FA1-2FFE-424F-966F-F35568CDFD2A}"/>
    <cellStyle name="표준 14 2" xfId="611" xr:uid="{054FBC68-D069-4334-81BD-33D7140FC02A}"/>
    <cellStyle name="표준 15" xfId="304" xr:uid="{34CB0A49-8C75-4926-9182-6D33642A8364}"/>
    <cellStyle name="표준 15 2" xfId="631" xr:uid="{FA39146E-3FAE-47E2-8AF0-7C77EDEB2FF0}"/>
    <cellStyle name="표준 16" xfId="324" xr:uid="{2AF502FC-B8DF-40F3-8A1B-C5F51B61B3E9}"/>
    <cellStyle name="표준 16 2" xfId="651" xr:uid="{67AD7ACB-E836-4EAB-9651-E5880BC3471B}"/>
    <cellStyle name="표준 17" xfId="344" xr:uid="{C24D31C8-5BE4-420F-9B14-38B86A495FDF}"/>
    <cellStyle name="표준 17 2" xfId="671" xr:uid="{43341843-326C-4294-92E3-DAD5E43F63F7}"/>
    <cellStyle name="표준 2" xfId="62" xr:uid="{2BCC682B-7B18-403A-8898-3D72D1F92BEA}"/>
    <cellStyle name="표준 2 2" xfId="368" xr:uid="{1DC67D5C-8146-4223-80C5-9B7EF4425AEB}"/>
    <cellStyle name="표준 2 2 2" xfId="691" xr:uid="{E6669E24-A4D1-4240-A29F-D02A6A241F16}"/>
    <cellStyle name="표준 2 3" xfId="389" xr:uid="{3362EBF0-EC1D-4400-A9DC-AEB6D43BFAB7}"/>
    <cellStyle name="표준 3" xfId="64" xr:uid="{8A91C379-9E86-4ECE-8FC9-502778FF8674}"/>
    <cellStyle name="표준 3 2" xfId="391" xr:uid="{93C33EA6-0F45-4B0E-A238-FABBA2AFDDA5}"/>
    <cellStyle name="표준 4" xfId="84" xr:uid="{D49317C4-0983-47D2-9FEE-B35901E022C0}"/>
    <cellStyle name="표준 4 2" xfId="411" xr:uid="{CF805BE4-0901-4F4E-A574-47ED208C090A}"/>
    <cellStyle name="표준 5" xfId="104" xr:uid="{C846E875-D831-4D02-8B7F-240014E6224A}"/>
    <cellStyle name="표준 5 2" xfId="431" xr:uid="{E2EA7BFD-7FFB-49BD-B5C7-F9A08732AC3A}"/>
    <cellStyle name="표준 6" xfId="124" xr:uid="{96BBFF81-0E0D-49A8-8075-BE29211F8FD1}"/>
    <cellStyle name="표준 6 2" xfId="451" xr:uid="{80802043-E954-4A7E-AC79-005A0F334956}"/>
    <cellStyle name="표준 7" xfId="144" xr:uid="{CCEE4C6D-6860-49F6-BD89-D6BFB3C97F52}"/>
    <cellStyle name="표준 7 2" xfId="471" xr:uid="{9D4935C7-421C-4454-89E6-29E4F28AB174}"/>
    <cellStyle name="표준 8" xfId="164" xr:uid="{C8006356-40C1-4BB8-AE4A-A787D7EEC51F}"/>
    <cellStyle name="표준 8 2" xfId="491" xr:uid="{24D650C1-5E1C-4628-AABC-9D0D5B1C8841}"/>
    <cellStyle name="표준 9" xfId="184" xr:uid="{546D25E5-03AC-4E09-9A2E-CEA11BAB5BC9}"/>
    <cellStyle name="표준 9 2" xfId="511" xr:uid="{D4D25DD4-D6B3-4802-8001-F5ED7E1EB28A}"/>
  </cellStyles>
  <dxfs count="59">
    <dxf>
      <font>
        <color auto="1"/>
      </font>
      <fill>
        <patternFill>
          <bgColor rgb="FFFFC1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zoomScale="140" workbookViewId="0">
      <selection activeCell="D7" sqref="D7"/>
    </sheetView>
  </sheetViews>
  <sheetFormatPr defaultColWidth="10.90625" defaultRowHeight="19.2"/>
  <cols>
    <col min="1" max="1" width="10.90625" style="33"/>
    <col min="2" max="2" width="13.90625" style="33" customWidth="1"/>
    <col min="3" max="3" width="30.90625" style="33" customWidth="1"/>
    <col min="4" max="5" width="25.90625" style="33" customWidth="1"/>
    <col min="6" max="6" width="13.90625" style="32" customWidth="1"/>
    <col min="7" max="7" width="10.90625" style="33"/>
    <col min="8" max="9" width="10.90625" style="33" customWidth="1"/>
    <col min="10" max="16384" width="10.90625" style="33"/>
  </cols>
  <sheetData>
    <row r="2" spans="1:10" ht="39.9" customHeight="1">
      <c r="A2" s="9"/>
      <c r="B2" s="146" t="s">
        <v>68</v>
      </c>
      <c r="C2" s="146"/>
      <c r="D2" s="146"/>
      <c r="E2" s="146"/>
      <c r="F2" s="146"/>
      <c r="G2" s="9"/>
      <c r="H2" s="9"/>
      <c r="I2" s="9"/>
      <c r="J2" s="9"/>
    </row>
    <row r="3" spans="1:10" ht="15.9" customHeight="1">
      <c r="A3" s="9"/>
      <c r="B3" s="1"/>
      <c r="C3" s="1"/>
      <c r="D3" s="1"/>
      <c r="E3" s="1"/>
      <c r="F3" s="1"/>
      <c r="G3" s="9"/>
      <c r="H3" s="9"/>
      <c r="I3" s="9"/>
      <c r="J3" s="9"/>
    </row>
    <row r="4" spans="1:10" ht="15.9" customHeight="1">
      <c r="A4" s="9"/>
      <c r="B4" s="9"/>
      <c r="C4" s="29" t="s">
        <v>38</v>
      </c>
      <c r="D4" s="9"/>
      <c r="E4" s="29" t="s">
        <v>38</v>
      </c>
      <c r="F4" s="1"/>
      <c r="G4" s="9"/>
      <c r="H4" s="9"/>
      <c r="I4" s="9"/>
      <c r="J4" s="9"/>
    </row>
    <row r="5" spans="1:10" ht="15.9" customHeight="1">
      <c r="A5" s="9"/>
      <c r="B5" s="2" t="s">
        <v>6</v>
      </c>
      <c r="C5" s="3" t="s">
        <v>71</v>
      </c>
      <c r="D5" s="2" t="s">
        <v>7</v>
      </c>
      <c r="E5" s="5" t="s">
        <v>72</v>
      </c>
      <c r="H5" s="9"/>
      <c r="I5" s="9"/>
      <c r="J5" s="9"/>
    </row>
    <row r="6" spans="1:10" ht="15.9" customHeight="1">
      <c r="A6" s="1"/>
      <c r="B6" s="2" t="s">
        <v>0</v>
      </c>
      <c r="C6" s="3" t="s">
        <v>70</v>
      </c>
      <c r="D6" s="2" t="s">
        <v>8</v>
      </c>
      <c r="E6" s="5">
        <f>'Shipping Lot List'!B2</f>
        <v>0</v>
      </c>
      <c r="H6" s="1"/>
      <c r="I6" s="1"/>
      <c r="J6" s="1"/>
    </row>
    <row r="7" spans="1:10">
      <c r="A7" s="4"/>
      <c r="B7" s="2" t="s">
        <v>5</v>
      </c>
      <c r="C7" s="3" t="s">
        <v>162</v>
      </c>
      <c r="D7" s="2" t="s">
        <v>199</v>
      </c>
      <c r="E7" s="135" t="s">
        <v>200</v>
      </c>
      <c r="H7" s="4"/>
      <c r="I7" s="4"/>
      <c r="J7" s="4"/>
    </row>
    <row r="8" spans="1:10" ht="30">
      <c r="A8" s="4"/>
      <c r="B8" s="2" t="s">
        <v>69</v>
      </c>
      <c r="C8" s="132" t="s">
        <v>198</v>
      </c>
      <c r="D8" s="2" t="s">
        <v>4</v>
      </c>
      <c r="E8" s="45">
        <f>SUM('Shipping Lot List'!H2:H98049)</f>
        <v>0</v>
      </c>
      <c r="F8" s="30" t="s">
        <v>38</v>
      </c>
      <c r="H8" s="4"/>
      <c r="I8" s="4"/>
      <c r="J8" s="4"/>
    </row>
    <row r="9" spans="1:10">
      <c r="A9" s="4"/>
      <c r="B9" s="2" t="s">
        <v>1</v>
      </c>
      <c r="C9" s="3" t="s">
        <v>207</v>
      </c>
      <c r="D9" s="2" t="s">
        <v>3</v>
      </c>
      <c r="E9" s="45">
        <v>0</v>
      </c>
      <c r="F9" s="147" t="s">
        <v>39</v>
      </c>
      <c r="H9" s="4"/>
      <c r="I9" s="4"/>
      <c r="J9" s="4"/>
    </row>
    <row r="10" spans="1:10">
      <c r="A10" s="4"/>
      <c r="B10" s="2" t="s">
        <v>74</v>
      </c>
      <c r="C10" s="3"/>
      <c r="D10" s="2" t="s">
        <v>2</v>
      </c>
      <c r="E10" s="45">
        <f>E8</f>
        <v>0</v>
      </c>
      <c r="F10" s="147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48" t="s">
        <v>38</v>
      </c>
      <c r="C12" s="148"/>
      <c r="D12" s="148"/>
      <c r="E12" s="148"/>
      <c r="F12" s="148"/>
      <c r="G12" s="4"/>
      <c r="H12" s="4"/>
      <c r="I12" s="4"/>
      <c r="J12" s="4"/>
    </row>
    <row r="13" spans="1:10">
      <c r="A13" s="4"/>
      <c r="B13" s="42" t="s">
        <v>37</v>
      </c>
      <c r="C13" s="42" t="s">
        <v>36</v>
      </c>
      <c r="D13" s="42" t="s">
        <v>9</v>
      </c>
      <c r="E13" s="42" t="s">
        <v>10</v>
      </c>
      <c r="F13" s="42" t="s">
        <v>35</v>
      </c>
      <c r="G13" s="4"/>
      <c r="H13" s="4"/>
      <c r="I13" s="6"/>
      <c r="J13" s="6"/>
    </row>
    <row r="14" spans="1:10">
      <c r="A14" s="11"/>
      <c r="B14" s="145" t="s">
        <v>11</v>
      </c>
      <c r="C14" s="7"/>
      <c r="D14" s="31"/>
      <c r="E14" s="43"/>
      <c r="F14" s="48"/>
    </row>
    <row r="15" spans="1:10">
      <c r="A15" s="11"/>
      <c r="B15" s="145"/>
      <c r="C15" s="7"/>
      <c r="D15" s="8"/>
      <c r="E15" s="10"/>
      <c r="F15" s="31"/>
    </row>
    <row r="16" spans="1:10">
      <c r="A16" s="11"/>
      <c r="B16" s="145"/>
      <c r="C16" s="7"/>
      <c r="D16" s="8"/>
      <c r="E16" s="10"/>
      <c r="F16" s="31"/>
    </row>
    <row r="17" spans="1:6">
      <c r="A17" s="11"/>
      <c r="B17" s="145"/>
      <c r="C17" s="7"/>
      <c r="D17" s="8"/>
      <c r="E17" s="10"/>
      <c r="F17" s="31"/>
    </row>
    <row r="18" spans="1:6">
      <c r="A18" s="11"/>
      <c r="B18" s="145"/>
      <c r="C18" s="7"/>
      <c r="D18" s="8"/>
      <c r="E18" s="10"/>
      <c r="F18" s="31"/>
    </row>
    <row r="19" spans="1:6">
      <c r="A19" s="11"/>
      <c r="B19" s="145"/>
      <c r="C19" s="7"/>
      <c r="D19" s="8"/>
      <c r="E19" s="10"/>
      <c r="F19" s="31"/>
    </row>
    <row r="20" spans="1:6">
      <c r="A20" s="11"/>
      <c r="B20" s="145"/>
      <c r="C20" s="7"/>
      <c r="D20" s="8"/>
      <c r="E20" s="10"/>
      <c r="F20" s="31"/>
    </row>
    <row r="21" spans="1:6">
      <c r="A21" s="11"/>
      <c r="B21" s="145"/>
      <c r="C21" s="7"/>
      <c r="D21" s="8"/>
      <c r="E21" s="10"/>
      <c r="F21" s="31"/>
    </row>
    <row r="22" spans="1:6">
      <c r="A22" s="11"/>
      <c r="B22" s="145"/>
      <c r="C22" s="7"/>
      <c r="D22" s="8"/>
      <c r="E22" s="10"/>
      <c r="F22" s="31"/>
    </row>
    <row r="23" spans="1:6">
      <c r="A23" s="11"/>
      <c r="B23" s="145"/>
      <c r="C23" s="7"/>
      <c r="D23" s="8"/>
      <c r="E23" s="10"/>
      <c r="F23" s="31"/>
    </row>
    <row r="24" spans="1:6">
      <c r="A24" s="11"/>
      <c r="B24" s="145" t="s">
        <v>12</v>
      </c>
      <c r="C24" s="7"/>
      <c r="D24" s="31"/>
      <c r="E24" s="43"/>
      <c r="F24" s="48"/>
    </row>
    <row r="25" spans="1:6">
      <c r="A25" s="11"/>
      <c r="B25" s="145"/>
      <c r="C25" s="7"/>
      <c r="D25" s="31"/>
      <c r="E25" s="43"/>
      <c r="F25" s="48"/>
    </row>
    <row r="26" spans="1:6">
      <c r="A26" s="11"/>
      <c r="B26" s="145"/>
      <c r="C26" s="7"/>
      <c r="D26" s="31"/>
      <c r="E26" s="43"/>
      <c r="F26" s="31"/>
    </row>
    <row r="27" spans="1:6">
      <c r="A27" s="34"/>
      <c r="B27" s="145"/>
      <c r="C27" s="7"/>
      <c r="D27" s="31"/>
      <c r="E27" s="43"/>
      <c r="F27" s="31"/>
    </row>
    <row r="28" spans="1:6">
      <c r="A28" s="34"/>
      <c r="B28" s="145"/>
      <c r="C28" s="7"/>
      <c r="D28" s="31"/>
      <c r="E28" s="43"/>
      <c r="F28" s="31"/>
    </row>
    <row r="29" spans="1:6">
      <c r="A29" s="34"/>
      <c r="B29" s="145"/>
      <c r="C29" s="7"/>
      <c r="D29" s="31"/>
      <c r="E29" s="43"/>
      <c r="F29" s="31"/>
    </row>
    <row r="30" spans="1:6">
      <c r="A30" s="34"/>
      <c r="B30" s="145"/>
      <c r="C30" s="7"/>
      <c r="D30" s="31"/>
      <c r="E30" s="43"/>
      <c r="F30" s="31"/>
    </row>
    <row r="31" spans="1:6">
      <c r="A31" s="34"/>
      <c r="B31" s="145"/>
      <c r="C31" s="7"/>
      <c r="D31" s="31"/>
      <c r="E31" s="43"/>
      <c r="F31" s="31"/>
    </row>
    <row r="32" spans="1:6">
      <c r="A32" s="34"/>
      <c r="B32" s="145"/>
      <c r="C32" s="7"/>
      <c r="D32" s="31"/>
      <c r="E32" s="43"/>
      <c r="F32" s="31"/>
    </row>
    <row r="33" spans="1:6">
      <c r="A33" s="34"/>
      <c r="B33" s="145"/>
      <c r="C33" s="7"/>
      <c r="D33" s="31"/>
      <c r="E33" s="43"/>
      <c r="F33" s="31"/>
    </row>
    <row r="34" spans="1:6">
      <c r="A34" s="34"/>
      <c r="B34" s="145" t="s">
        <v>13</v>
      </c>
      <c r="C34" s="7"/>
      <c r="D34" s="8"/>
      <c r="E34" s="8"/>
      <c r="F34" s="31"/>
    </row>
    <row r="35" spans="1:6">
      <c r="A35" s="34"/>
      <c r="B35" s="145"/>
      <c r="C35" s="7"/>
      <c r="D35" s="8"/>
      <c r="E35" s="8"/>
      <c r="F35" s="31"/>
    </row>
    <row r="36" spans="1:6">
      <c r="A36" s="34"/>
      <c r="B36" s="145"/>
      <c r="C36" s="7"/>
      <c r="D36" s="8"/>
      <c r="E36" s="8"/>
      <c r="F36" s="31"/>
    </row>
    <row r="37" spans="1:6">
      <c r="A37" s="34"/>
      <c r="B37" s="145"/>
      <c r="C37" s="7"/>
      <c r="D37" s="8"/>
      <c r="E37" s="8"/>
      <c r="F37" s="31"/>
    </row>
    <row r="38" spans="1:6">
      <c r="A38" s="34"/>
      <c r="B38" s="145"/>
      <c r="C38" s="7"/>
      <c r="D38" s="8"/>
      <c r="E38" s="8"/>
      <c r="F38" s="31"/>
    </row>
    <row r="39" spans="1:6">
      <c r="A39" s="34"/>
      <c r="B39" s="145"/>
      <c r="C39" s="7"/>
      <c r="D39" s="8"/>
      <c r="E39" s="8"/>
      <c r="F39" s="31"/>
    </row>
    <row r="40" spans="1:6">
      <c r="A40" s="34"/>
      <c r="B40" s="145"/>
      <c r="C40" s="7"/>
      <c r="D40" s="8"/>
      <c r="E40" s="8"/>
      <c r="F40" s="31"/>
    </row>
    <row r="41" spans="1:6">
      <c r="A41" s="34"/>
      <c r="B41" s="145"/>
      <c r="C41" s="7"/>
      <c r="D41" s="8"/>
      <c r="E41" s="8"/>
      <c r="F41" s="31"/>
    </row>
    <row r="42" spans="1:6">
      <c r="A42" s="34"/>
      <c r="B42" s="145"/>
      <c r="C42" s="7"/>
      <c r="D42" s="8"/>
      <c r="E42" s="8"/>
      <c r="F42" s="31"/>
    </row>
    <row r="43" spans="1:6">
      <c r="A43" s="34"/>
      <c r="B43" s="145"/>
      <c r="C43" s="7"/>
      <c r="D43" s="8"/>
      <c r="E43" s="8"/>
      <c r="F43" s="31"/>
    </row>
    <row r="44" spans="1:6">
      <c r="B44" s="144" t="s">
        <v>55</v>
      </c>
      <c r="C44" s="7"/>
      <c r="D44" s="8"/>
      <c r="E44" s="8"/>
      <c r="F44" s="31"/>
    </row>
    <row r="45" spans="1:6">
      <c r="B45" s="144"/>
      <c r="C45" s="7"/>
      <c r="D45" s="8"/>
      <c r="E45" s="8"/>
      <c r="F45" s="31"/>
    </row>
    <row r="46" spans="1:6">
      <c r="B46" s="144"/>
      <c r="C46" s="7"/>
      <c r="D46" s="8"/>
      <c r="E46" s="8"/>
      <c r="F46" s="31"/>
    </row>
    <row r="47" spans="1:6">
      <c r="B47" s="144"/>
      <c r="C47" s="7"/>
      <c r="D47" s="8"/>
      <c r="E47" s="8"/>
      <c r="F47" s="31"/>
    </row>
    <row r="48" spans="1:6">
      <c r="B48" s="144"/>
      <c r="C48" s="7"/>
      <c r="D48" s="8"/>
      <c r="E48" s="8"/>
      <c r="F48" s="31"/>
    </row>
    <row r="49" spans="2:6">
      <c r="B49" s="144"/>
      <c r="C49" s="7"/>
      <c r="D49" s="8"/>
      <c r="E49" s="8"/>
      <c r="F49" s="31"/>
    </row>
    <row r="50" spans="2:6">
      <c r="B50" s="144"/>
      <c r="C50" s="7"/>
      <c r="D50" s="8"/>
      <c r="E50" s="8"/>
      <c r="F50" s="31"/>
    </row>
    <row r="51" spans="2:6">
      <c r="B51" s="144"/>
      <c r="C51" s="7"/>
      <c r="D51" s="8"/>
      <c r="E51" s="8"/>
      <c r="F51" s="31"/>
    </row>
    <row r="52" spans="2:6">
      <c r="B52" s="144"/>
      <c r="C52" s="7"/>
      <c r="D52" s="8"/>
      <c r="E52" s="8"/>
      <c r="F52" s="31"/>
    </row>
    <row r="53" spans="2:6">
      <c r="B53" s="144"/>
      <c r="C53" s="7"/>
      <c r="D53" s="8"/>
      <c r="E53" s="8"/>
      <c r="F53" s="31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1CBD-B364-46D3-AA53-B5CDD5A0A6D2}">
  <sheetPr codeName="Sheet3"/>
  <dimension ref="A1:I361"/>
  <sheetViews>
    <sheetView showGridLines="0" tabSelected="1" zoomScale="70" zoomScaleNormal="70" workbookViewId="0">
      <selection activeCell="H11" sqref="H11"/>
    </sheetView>
  </sheetViews>
  <sheetFormatPr defaultColWidth="10.90625" defaultRowHeight="19.2"/>
  <cols>
    <col min="1" max="2" width="17.6328125" style="139" customWidth="1"/>
    <col min="3" max="3" width="12.6328125" style="139" customWidth="1"/>
    <col min="4" max="4" width="35.6328125" style="139" customWidth="1"/>
    <col min="5" max="5" width="17.6328125" style="139" customWidth="1"/>
    <col min="6" max="6" width="12.6328125" style="139" customWidth="1"/>
    <col min="7" max="7" width="12.6328125" style="143" customWidth="1"/>
    <col min="8" max="9" width="12.6328125" style="139" customWidth="1"/>
    <col min="10" max="16384" width="10.90625" style="139"/>
  </cols>
  <sheetData>
    <row r="1" spans="1:9">
      <c r="A1" s="136" t="s">
        <v>201</v>
      </c>
      <c r="B1" s="136" t="s">
        <v>202</v>
      </c>
      <c r="C1" s="137" t="s">
        <v>203</v>
      </c>
      <c r="D1" s="138" t="s">
        <v>204</v>
      </c>
      <c r="E1" s="138" t="s">
        <v>205</v>
      </c>
      <c r="F1" s="138" t="s">
        <v>206</v>
      </c>
      <c r="G1" s="138" t="s">
        <v>208</v>
      </c>
      <c r="H1" s="138" t="s">
        <v>87</v>
      </c>
      <c r="I1" s="137" t="s">
        <v>88</v>
      </c>
    </row>
    <row r="2" spans="1:9" ht="19.2" customHeight="1">
      <c r="A2" s="136"/>
      <c r="B2" s="136"/>
      <c r="C2" s="137"/>
      <c r="D2" s="137"/>
      <c r="E2" s="149"/>
      <c r="F2" s="149"/>
      <c r="G2" s="140"/>
      <c r="H2" s="141"/>
      <c r="I2" s="137"/>
    </row>
    <row r="3" spans="1:9">
      <c r="A3" s="136"/>
      <c r="B3" s="136"/>
      <c r="C3" s="137"/>
      <c r="D3" s="138"/>
      <c r="E3" s="149"/>
      <c r="F3" s="149"/>
      <c r="G3" s="142"/>
      <c r="H3" s="138"/>
      <c r="I3" s="137"/>
    </row>
    <row r="4" spans="1:9">
      <c r="A4" s="136"/>
      <c r="B4" s="136"/>
      <c r="C4" s="137"/>
      <c r="D4" s="138"/>
      <c r="E4" s="149"/>
      <c r="F4" s="149"/>
      <c r="G4" s="142"/>
      <c r="H4" s="138"/>
      <c r="I4" s="137"/>
    </row>
    <row r="5" spans="1:9">
      <c r="A5" s="136"/>
      <c r="B5" s="136"/>
      <c r="C5" s="137"/>
      <c r="D5" s="138"/>
      <c r="E5" s="149"/>
      <c r="F5" s="149"/>
      <c r="G5" s="142"/>
      <c r="H5" s="138"/>
      <c r="I5" s="137"/>
    </row>
    <row r="6" spans="1:9">
      <c r="A6" s="136"/>
      <c r="B6" s="136"/>
      <c r="C6" s="137"/>
      <c r="D6" s="138"/>
      <c r="E6" s="149"/>
      <c r="F6" s="149"/>
      <c r="G6" s="142"/>
      <c r="H6" s="138"/>
      <c r="I6" s="137"/>
    </row>
    <row r="7" spans="1:9">
      <c r="A7" s="136"/>
      <c r="B7" s="136"/>
      <c r="C7" s="137"/>
      <c r="D7" s="138"/>
      <c r="E7" s="149"/>
      <c r="F7" s="149"/>
      <c r="G7" s="142"/>
      <c r="H7" s="138"/>
      <c r="I7" s="137"/>
    </row>
    <row r="8" spans="1:9">
      <c r="A8" s="136"/>
      <c r="B8" s="136"/>
      <c r="C8" s="137"/>
      <c r="D8" s="138"/>
      <c r="E8" s="149"/>
      <c r="F8" s="149"/>
      <c r="G8" s="142"/>
      <c r="H8" s="138"/>
      <c r="I8" s="137"/>
    </row>
    <row r="9" spans="1:9">
      <c r="A9" s="136"/>
      <c r="B9" s="136"/>
      <c r="C9" s="137"/>
      <c r="D9" s="138"/>
      <c r="E9" s="149"/>
      <c r="F9" s="149"/>
      <c r="G9" s="142"/>
      <c r="H9" s="138"/>
      <c r="I9" s="137"/>
    </row>
    <row r="10" spans="1:9">
      <c r="A10" s="136"/>
      <c r="B10" s="136"/>
      <c r="C10" s="137"/>
      <c r="D10" s="138"/>
      <c r="E10" s="149"/>
      <c r="F10" s="149"/>
      <c r="G10" s="142"/>
      <c r="H10" s="138"/>
      <c r="I10" s="137"/>
    </row>
    <row r="11" spans="1:9">
      <c r="A11" s="136"/>
      <c r="B11" s="136"/>
      <c r="C11" s="137"/>
      <c r="D11" s="138"/>
      <c r="E11" s="149"/>
      <c r="F11" s="149"/>
      <c r="G11" s="142"/>
      <c r="H11" s="138"/>
      <c r="I11" s="137"/>
    </row>
    <row r="12" spans="1:9">
      <c r="A12" s="136"/>
      <c r="B12" s="136"/>
      <c r="C12" s="137"/>
      <c r="D12" s="138"/>
      <c r="E12" s="149"/>
      <c r="F12" s="149"/>
      <c r="G12" s="142"/>
      <c r="H12" s="138"/>
      <c r="I12" s="137"/>
    </row>
    <row r="13" spans="1:9">
      <c r="A13" s="136"/>
      <c r="B13" s="136"/>
      <c r="C13" s="137"/>
      <c r="D13" s="138"/>
      <c r="E13" s="149"/>
      <c r="F13" s="149"/>
      <c r="G13" s="142"/>
      <c r="H13" s="138"/>
      <c r="I13" s="137"/>
    </row>
    <row r="14" spans="1:9">
      <c r="A14" s="136"/>
      <c r="B14" s="136"/>
      <c r="C14" s="137"/>
      <c r="D14" s="138"/>
      <c r="E14" s="149"/>
      <c r="F14" s="149"/>
      <c r="G14" s="142"/>
      <c r="H14" s="138"/>
      <c r="I14" s="137"/>
    </row>
    <row r="15" spans="1:9">
      <c r="A15" s="136"/>
      <c r="B15" s="136"/>
      <c r="C15" s="137"/>
      <c r="D15" s="138"/>
      <c r="E15" s="149"/>
      <c r="F15" s="149"/>
      <c r="G15" s="142"/>
      <c r="H15" s="138"/>
      <c r="I15" s="137"/>
    </row>
    <row r="16" spans="1:9">
      <c r="A16" s="136"/>
      <c r="B16" s="136"/>
      <c r="C16" s="137"/>
      <c r="D16" s="138"/>
      <c r="E16" s="149"/>
      <c r="F16" s="149"/>
      <c r="G16" s="142"/>
      <c r="H16" s="138"/>
      <c r="I16" s="137"/>
    </row>
    <row r="17" spans="1:9">
      <c r="A17" s="136"/>
      <c r="B17" s="136"/>
      <c r="C17" s="137"/>
      <c r="D17" s="138"/>
      <c r="E17" s="150"/>
      <c r="F17" s="150"/>
      <c r="G17" s="142"/>
      <c r="H17" s="138"/>
      <c r="I17" s="137"/>
    </row>
    <row r="18" spans="1:9">
      <c r="A18" s="136"/>
      <c r="B18" s="136"/>
      <c r="C18" s="137"/>
      <c r="D18" s="138"/>
      <c r="E18" s="150"/>
      <c r="F18" s="150"/>
      <c r="G18" s="142"/>
      <c r="H18" s="138"/>
      <c r="I18" s="137"/>
    </row>
    <row r="19" spans="1:9">
      <c r="A19" s="136"/>
      <c r="B19" s="136"/>
      <c r="C19" s="137"/>
      <c r="D19" s="138"/>
      <c r="E19" s="150"/>
      <c r="F19" s="150"/>
      <c r="G19" s="142"/>
      <c r="H19" s="138"/>
      <c r="I19" s="137"/>
    </row>
    <row r="20" spans="1:9">
      <c r="A20" s="136"/>
      <c r="B20" s="136"/>
      <c r="C20" s="137"/>
      <c r="D20" s="138"/>
      <c r="E20" s="150"/>
      <c r="F20" s="150"/>
      <c r="G20" s="142"/>
      <c r="H20" s="138"/>
      <c r="I20" s="137"/>
    </row>
    <row r="21" spans="1:9">
      <c r="A21" s="136"/>
      <c r="B21" s="136"/>
      <c r="C21" s="137"/>
      <c r="D21" s="138"/>
      <c r="E21" s="150"/>
      <c r="F21" s="150"/>
      <c r="G21" s="142"/>
      <c r="H21" s="138"/>
      <c r="I21" s="137"/>
    </row>
    <row r="22" spans="1:9">
      <c r="A22" s="136"/>
      <c r="B22" s="136"/>
      <c r="C22" s="137"/>
      <c r="D22" s="138"/>
      <c r="E22" s="150"/>
      <c r="F22" s="150"/>
      <c r="G22" s="142"/>
      <c r="H22" s="138"/>
      <c r="I22" s="137"/>
    </row>
    <row r="23" spans="1:9">
      <c r="A23" s="136"/>
      <c r="B23" s="136"/>
      <c r="C23" s="137"/>
      <c r="D23" s="138"/>
      <c r="E23" s="150"/>
      <c r="F23" s="150"/>
      <c r="G23" s="142"/>
      <c r="H23" s="138"/>
      <c r="I23" s="137"/>
    </row>
    <row r="24" spans="1:9">
      <c r="A24" s="136"/>
      <c r="B24" s="136"/>
      <c r="C24" s="137"/>
      <c r="D24" s="138"/>
      <c r="E24" s="150"/>
      <c r="F24" s="150"/>
      <c r="G24" s="142"/>
      <c r="H24" s="138"/>
      <c r="I24" s="137"/>
    </row>
    <row r="25" spans="1:9">
      <c r="A25" s="136"/>
      <c r="B25" s="136"/>
      <c r="C25" s="137"/>
      <c r="D25" s="138"/>
      <c r="E25" s="150"/>
      <c r="F25" s="150"/>
      <c r="G25" s="142"/>
      <c r="H25" s="138"/>
      <c r="I25" s="137"/>
    </row>
    <row r="26" spans="1:9">
      <c r="A26" s="136"/>
      <c r="B26" s="136"/>
      <c r="C26" s="137"/>
      <c r="D26" s="138"/>
      <c r="E26" s="150"/>
      <c r="F26" s="150"/>
      <c r="G26" s="142"/>
      <c r="H26" s="138"/>
      <c r="I26" s="137"/>
    </row>
    <row r="27" spans="1:9">
      <c r="A27" s="136"/>
      <c r="B27" s="136"/>
      <c r="C27" s="137"/>
      <c r="D27" s="138"/>
      <c r="E27" s="150"/>
      <c r="F27" s="150"/>
      <c r="G27" s="142"/>
      <c r="H27" s="138"/>
      <c r="I27" s="137"/>
    </row>
    <row r="28" spans="1:9">
      <c r="A28" s="136"/>
      <c r="B28" s="136"/>
      <c r="C28" s="137"/>
      <c r="D28" s="138"/>
      <c r="E28" s="150"/>
      <c r="F28" s="150"/>
      <c r="G28" s="142"/>
      <c r="H28" s="138"/>
      <c r="I28" s="137"/>
    </row>
    <row r="29" spans="1:9">
      <c r="A29" s="136"/>
      <c r="B29" s="136"/>
      <c r="C29" s="137"/>
      <c r="D29" s="138"/>
      <c r="E29" s="150"/>
      <c r="F29" s="150"/>
      <c r="G29" s="142"/>
      <c r="H29" s="138"/>
      <c r="I29" s="137"/>
    </row>
    <row r="30" spans="1:9">
      <c r="A30" s="136"/>
      <c r="B30" s="136"/>
      <c r="C30" s="137"/>
      <c r="D30" s="138"/>
      <c r="E30" s="150"/>
      <c r="F30" s="150"/>
      <c r="G30" s="142"/>
      <c r="H30" s="138"/>
      <c r="I30" s="137"/>
    </row>
    <row r="31" spans="1:9">
      <c r="A31" s="136"/>
      <c r="B31" s="136"/>
      <c r="C31" s="137"/>
      <c r="D31" s="138"/>
      <c r="E31" s="150"/>
      <c r="F31" s="150"/>
      <c r="G31" s="142"/>
      <c r="H31" s="138"/>
      <c r="I31" s="137"/>
    </row>
    <row r="32" spans="1:9">
      <c r="A32" s="136"/>
      <c r="B32" s="136"/>
      <c r="C32" s="137"/>
      <c r="D32" s="138"/>
      <c r="E32" s="150"/>
      <c r="F32" s="150"/>
      <c r="G32" s="142"/>
      <c r="H32" s="138"/>
      <c r="I32" s="137"/>
    </row>
    <row r="33" spans="1:9">
      <c r="A33" s="136"/>
      <c r="B33" s="136"/>
      <c r="C33" s="137"/>
      <c r="D33" s="138"/>
      <c r="E33" s="150"/>
      <c r="F33" s="150"/>
      <c r="G33" s="142"/>
      <c r="H33" s="138"/>
      <c r="I33" s="137"/>
    </row>
    <row r="34" spans="1:9">
      <c r="A34" s="136"/>
      <c r="B34" s="136"/>
      <c r="C34" s="137"/>
      <c r="D34" s="138"/>
      <c r="E34" s="150"/>
      <c r="F34" s="150"/>
      <c r="G34" s="142"/>
      <c r="H34" s="138"/>
      <c r="I34" s="137"/>
    </row>
    <row r="35" spans="1:9">
      <c r="A35" s="136"/>
      <c r="B35" s="136"/>
      <c r="C35" s="137"/>
      <c r="D35" s="138"/>
      <c r="E35" s="150"/>
      <c r="F35" s="150"/>
      <c r="G35" s="142"/>
      <c r="H35" s="138"/>
      <c r="I35" s="137"/>
    </row>
    <row r="36" spans="1:9">
      <c r="A36" s="136"/>
      <c r="B36" s="136"/>
      <c r="C36" s="137"/>
      <c r="D36" s="138"/>
      <c r="E36" s="150"/>
      <c r="F36" s="150"/>
      <c r="G36" s="142"/>
      <c r="H36" s="138"/>
      <c r="I36" s="137"/>
    </row>
    <row r="37" spans="1:9">
      <c r="A37" s="136"/>
      <c r="B37" s="136"/>
      <c r="C37" s="137"/>
      <c r="D37" s="138"/>
      <c r="E37" s="150"/>
      <c r="F37" s="150"/>
      <c r="G37" s="142"/>
      <c r="H37" s="138"/>
      <c r="I37" s="137"/>
    </row>
    <row r="38" spans="1:9">
      <c r="A38" s="136"/>
      <c r="B38" s="136"/>
      <c r="C38" s="137"/>
      <c r="D38" s="138"/>
      <c r="E38" s="150"/>
      <c r="F38" s="150"/>
      <c r="G38" s="142"/>
      <c r="H38" s="138"/>
      <c r="I38" s="137"/>
    </row>
    <row r="39" spans="1:9">
      <c r="A39" s="136"/>
      <c r="B39" s="136"/>
      <c r="C39" s="137"/>
      <c r="D39" s="138"/>
      <c r="E39" s="150"/>
      <c r="F39" s="150"/>
      <c r="G39" s="142"/>
      <c r="H39" s="138"/>
      <c r="I39" s="137"/>
    </row>
    <row r="40" spans="1:9">
      <c r="A40" s="136"/>
      <c r="B40" s="136"/>
      <c r="C40" s="137"/>
      <c r="D40" s="138"/>
      <c r="E40" s="150"/>
      <c r="F40" s="150"/>
      <c r="G40" s="142"/>
      <c r="H40" s="138"/>
      <c r="I40" s="137"/>
    </row>
    <row r="41" spans="1:9">
      <c r="A41" s="136"/>
      <c r="B41" s="136"/>
      <c r="C41" s="137"/>
      <c r="D41" s="138"/>
      <c r="E41" s="150"/>
      <c r="F41" s="150"/>
      <c r="G41" s="142"/>
      <c r="H41" s="138"/>
      <c r="I41" s="137"/>
    </row>
    <row r="42" spans="1:9">
      <c r="A42" s="136"/>
      <c r="B42" s="136"/>
      <c r="C42" s="137"/>
      <c r="D42" s="138"/>
      <c r="E42" s="150"/>
      <c r="F42" s="150"/>
      <c r="G42" s="142"/>
      <c r="H42" s="138"/>
      <c r="I42" s="137"/>
    </row>
    <row r="43" spans="1:9">
      <c r="A43" s="136"/>
      <c r="B43" s="136"/>
      <c r="C43" s="137"/>
      <c r="D43" s="138"/>
      <c r="E43" s="150"/>
      <c r="F43" s="150"/>
      <c r="G43" s="142"/>
      <c r="H43" s="138"/>
      <c r="I43" s="137"/>
    </row>
    <row r="44" spans="1:9">
      <c r="A44" s="136"/>
      <c r="B44" s="136"/>
      <c r="C44" s="137"/>
      <c r="D44" s="138"/>
      <c r="E44" s="150"/>
      <c r="F44" s="150"/>
      <c r="G44" s="142"/>
      <c r="H44" s="138"/>
      <c r="I44" s="137"/>
    </row>
    <row r="45" spans="1:9">
      <c r="A45" s="136"/>
      <c r="B45" s="136"/>
      <c r="C45" s="137"/>
      <c r="D45" s="138"/>
      <c r="E45" s="150"/>
      <c r="F45" s="150"/>
      <c r="G45" s="142"/>
      <c r="H45" s="138"/>
      <c r="I45" s="137"/>
    </row>
    <row r="46" spans="1:9">
      <c r="A46" s="136"/>
      <c r="B46" s="136"/>
      <c r="C46" s="137"/>
      <c r="D46" s="138"/>
      <c r="E46" s="150"/>
      <c r="F46" s="150"/>
      <c r="G46" s="142"/>
      <c r="H46" s="138"/>
      <c r="I46" s="137"/>
    </row>
    <row r="47" spans="1:9">
      <c r="A47" s="136"/>
      <c r="B47" s="136"/>
      <c r="C47" s="137"/>
      <c r="D47" s="138"/>
      <c r="E47" s="150"/>
      <c r="F47" s="150"/>
      <c r="G47" s="142"/>
      <c r="H47" s="138"/>
      <c r="I47" s="137"/>
    </row>
    <row r="48" spans="1:9">
      <c r="A48" s="136"/>
      <c r="B48" s="136"/>
      <c r="C48" s="137"/>
      <c r="D48" s="138"/>
      <c r="E48" s="150"/>
      <c r="F48" s="150"/>
      <c r="G48" s="142"/>
      <c r="H48" s="138"/>
      <c r="I48" s="137"/>
    </row>
    <row r="49" spans="1:9">
      <c r="A49" s="136"/>
      <c r="B49" s="136"/>
      <c r="C49" s="137"/>
      <c r="D49" s="138"/>
      <c r="E49" s="150"/>
      <c r="F49" s="150"/>
      <c r="G49" s="142"/>
      <c r="H49" s="138"/>
      <c r="I49" s="137"/>
    </row>
    <row r="50" spans="1:9">
      <c r="A50" s="136"/>
      <c r="B50" s="136"/>
      <c r="C50" s="137"/>
      <c r="D50" s="138"/>
      <c r="E50" s="150"/>
      <c r="F50" s="150"/>
      <c r="G50" s="142"/>
      <c r="H50" s="138"/>
      <c r="I50" s="137"/>
    </row>
    <row r="51" spans="1:9">
      <c r="A51" s="136"/>
      <c r="B51" s="136"/>
      <c r="C51" s="137"/>
      <c r="D51" s="138"/>
      <c r="E51" s="150"/>
      <c r="F51" s="150"/>
      <c r="G51" s="142"/>
      <c r="H51" s="138"/>
      <c r="I51" s="137"/>
    </row>
    <row r="52" spans="1:9">
      <c r="A52" s="136"/>
      <c r="B52" s="136"/>
      <c r="C52" s="137"/>
      <c r="D52" s="138"/>
      <c r="E52" s="150"/>
      <c r="F52" s="150"/>
      <c r="G52" s="142"/>
      <c r="H52" s="138"/>
      <c r="I52" s="137"/>
    </row>
    <row r="53" spans="1:9">
      <c r="A53" s="136"/>
      <c r="B53" s="136"/>
      <c r="C53" s="137"/>
      <c r="D53" s="138"/>
      <c r="E53" s="150"/>
      <c r="F53" s="150"/>
      <c r="G53" s="142"/>
      <c r="H53" s="138"/>
      <c r="I53" s="137"/>
    </row>
    <row r="54" spans="1:9">
      <c r="A54" s="136"/>
      <c r="B54" s="136"/>
      <c r="C54" s="137"/>
      <c r="D54" s="138"/>
      <c r="E54" s="150"/>
      <c r="F54" s="150"/>
      <c r="G54" s="142"/>
      <c r="H54" s="138"/>
      <c r="I54" s="137"/>
    </row>
    <row r="55" spans="1:9">
      <c r="A55" s="136"/>
      <c r="B55" s="136"/>
      <c r="C55" s="137"/>
      <c r="D55" s="138"/>
      <c r="E55" s="150"/>
      <c r="F55" s="150"/>
      <c r="G55" s="142"/>
      <c r="H55" s="138"/>
      <c r="I55" s="137"/>
    </row>
    <row r="56" spans="1:9">
      <c r="A56" s="136"/>
      <c r="B56" s="136"/>
      <c r="C56" s="137"/>
      <c r="D56" s="138"/>
      <c r="E56" s="150"/>
      <c r="F56" s="150"/>
      <c r="G56" s="142"/>
      <c r="H56" s="138"/>
      <c r="I56" s="137"/>
    </row>
    <row r="57" spans="1:9">
      <c r="A57" s="136"/>
      <c r="B57" s="136"/>
      <c r="C57" s="137"/>
      <c r="D57" s="138"/>
      <c r="E57" s="150"/>
      <c r="F57" s="150"/>
      <c r="G57" s="142"/>
      <c r="H57" s="138"/>
      <c r="I57" s="137"/>
    </row>
    <row r="58" spans="1:9">
      <c r="A58" s="136"/>
      <c r="B58" s="136"/>
      <c r="C58" s="137"/>
      <c r="D58" s="138"/>
      <c r="E58" s="150"/>
      <c r="F58" s="150"/>
      <c r="G58" s="142"/>
      <c r="H58" s="138"/>
      <c r="I58" s="137"/>
    </row>
    <row r="59" spans="1:9">
      <c r="A59" s="136"/>
      <c r="B59" s="136"/>
      <c r="C59" s="137"/>
      <c r="D59" s="138"/>
      <c r="E59" s="150"/>
      <c r="F59" s="150"/>
      <c r="G59" s="142"/>
      <c r="H59" s="138"/>
      <c r="I59" s="137"/>
    </row>
    <row r="60" spans="1:9">
      <c r="A60" s="136"/>
      <c r="B60" s="136"/>
      <c r="C60" s="137"/>
      <c r="D60" s="138"/>
      <c r="E60" s="150"/>
      <c r="F60" s="150"/>
      <c r="G60" s="142"/>
      <c r="H60" s="138"/>
      <c r="I60" s="137"/>
    </row>
    <row r="61" spans="1:9">
      <c r="A61" s="136"/>
      <c r="B61" s="136"/>
      <c r="C61" s="137"/>
      <c r="D61" s="138"/>
      <c r="E61" s="150"/>
      <c r="F61" s="150"/>
      <c r="G61" s="142"/>
      <c r="H61" s="138"/>
      <c r="I61" s="137"/>
    </row>
    <row r="62" spans="1:9">
      <c r="A62" s="136"/>
      <c r="B62" s="136"/>
      <c r="C62" s="137"/>
      <c r="D62" s="138"/>
      <c r="E62" s="150"/>
      <c r="F62" s="150"/>
      <c r="G62" s="142"/>
      <c r="H62" s="138"/>
      <c r="I62" s="137"/>
    </row>
    <row r="63" spans="1:9">
      <c r="A63" s="136"/>
      <c r="B63" s="136"/>
      <c r="C63" s="137"/>
      <c r="D63" s="138"/>
      <c r="E63" s="150"/>
      <c r="F63" s="150"/>
      <c r="G63" s="142"/>
      <c r="H63" s="138"/>
      <c r="I63" s="137"/>
    </row>
    <row r="64" spans="1:9">
      <c r="A64" s="136"/>
      <c r="B64" s="136"/>
      <c r="C64" s="137"/>
      <c r="D64" s="138"/>
      <c r="E64" s="150"/>
      <c r="F64" s="150"/>
      <c r="G64" s="142"/>
      <c r="H64" s="138"/>
      <c r="I64" s="137"/>
    </row>
    <row r="65" spans="1:9">
      <c r="A65" s="136"/>
      <c r="B65" s="136"/>
      <c r="C65" s="137"/>
      <c r="D65" s="138"/>
      <c r="E65" s="150"/>
      <c r="F65" s="150"/>
      <c r="G65" s="142"/>
      <c r="H65" s="138"/>
      <c r="I65" s="137"/>
    </row>
    <row r="66" spans="1:9">
      <c r="A66" s="136"/>
      <c r="B66" s="136"/>
      <c r="C66" s="137"/>
      <c r="D66" s="138"/>
      <c r="E66" s="150"/>
      <c r="F66" s="150"/>
      <c r="G66" s="142"/>
      <c r="H66" s="138"/>
      <c r="I66" s="137"/>
    </row>
    <row r="67" spans="1:9">
      <c r="A67" s="136"/>
      <c r="B67" s="136"/>
      <c r="C67" s="137"/>
      <c r="D67" s="138"/>
      <c r="E67" s="150"/>
      <c r="F67" s="150"/>
      <c r="G67" s="142"/>
      <c r="H67" s="138"/>
      <c r="I67" s="137"/>
    </row>
    <row r="68" spans="1:9">
      <c r="A68" s="136"/>
      <c r="B68" s="136"/>
      <c r="C68" s="137"/>
      <c r="D68" s="138"/>
      <c r="E68" s="150"/>
      <c r="F68" s="150"/>
      <c r="G68" s="142"/>
      <c r="H68" s="138"/>
      <c r="I68" s="137"/>
    </row>
    <row r="69" spans="1:9">
      <c r="A69" s="136"/>
      <c r="B69" s="136"/>
      <c r="C69" s="137"/>
      <c r="D69" s="138"/>
      <c r="E69" s="150"/>
      <c r="F69" s="150"/>
      <c r="G69" s="142"/>
      <c r="H69" s="138"/>
      <c r="I69" s="137"/>
    </row>
    <row r="70" spans="1:9">
      <c r="A70" s="136"/>
      <c r="B70" s="136"/>
      <c r="C70" s="137"/>
      <c r="D70" s="138"/>
      <c r="E70" s="150"/>
      <c r="F70" s="150"/>
      <c r="G70" s="142"/>
      <c r="H70" s="138"/>
      <c r="I70" s="137"/>
    </row>
    <row r="71" spans="1:9">
      <c r="A71" s="136"/>
      <c r="B71" s="136"/>
      <c r="C71" s="137"/>
      <c r="D71" s="138"/>
      <c r="E71" s="150"/>
      <c r="F71" s="150"/>
      <c r="G71" s="142"/>
      <c r="H71" s="138"/>
      <c r="I71" s="137"/>
    </row>
    <row r="72" spans="1:9">
      <c r="A72" s="136"/>
      <c r="B72" s="136"/>
      <c r="C72" s="137"/>
      <c r="D72" s="138"/>
      <c r="E72" s="150"/>
      <c r="F72" s="150"/>
      <c r="G72" s="142"/>
      <c r="H72" s="138"/>
      <c r="I72" s="137"/>
    </row>
    <row r="73" spans="1:9">
      <c r="A73" s="136"/>
      <c r="B73" s="136"/>
      <c r="C73" s="137"/>
      <c r="D73" s="138"/>
      <c r="E73" s="150"/>
      <c r="F73" s="150"/>
      <c r="G73" s="142"/>
      <c r="H73" s="138"/>
      <c r="I73" s="137"/>
    </row>
    <row r="74" spans="1:9">
      <c r="A74" s="136"/>
      <c r="B74" s="136"/>
      <c r="C74" s="137"/>
      <c r="D74" s="138"/>
      <c r="E74" s="150"/>
      <c r="F74" s="150"/>
      <c r="G74" s="142"/>
      <c r="H74" s="138"/>
      <c r="I74" s="137"/>
    </row>
    <row r="75" spans="1:9">
      <c r="A75" s="136"/>
      <c r="B75" s="136"/>
      <c r="C75" s="137"/>
      <c r="D75" s="138"/>
      <c r="E75" s="150"/>
      <c r="F75" s="150"/>
      <c r="G75" s="142"/>
      <c r="H75" s="138"/>
      <c r="I75" s="137"/>
    </row>
    <row r="76" spans="1:9">
      <c r="A76" s="136"/>
      <c r="B76" s="136"/>
      <c r="C76" s="137"/>
      <c r="D76" s="138"/>
      <c r="E76" s="150"/>
      <c r="F76" s="150"/>
      <c r="G76" s="142"/>
      <c r="H76" s="138"/>
      <c r="I76" s="137"/>
    </row>
    <row r="77" spans="1:9">
      <c r="A77" s="136"/>
      <c r="B77" s="136"/>
      <c r="C77" s="137"/>
      <c r="D77" s="138"/>
      <c r="E77" s="150"/>
      <c r="F77" s="150"/>
      <c r="G77" s="142"/>
      <c r="H77" s="138"/>
      <c r="I77" s="137"/>
    </row>
    <row r="78" spans="1:9">
      <c r="A78" s="136"/>
      <c r="B78" s="136"/>
      <c r="C78" s="137"/>
      <c r="D78" s="138"/>
      <c r="E78" s="150"/>
      <c r="F78" s="150"/>
      <c r="G78" s="142"/>
      <c r="H78" s="138"/>
      <c r="I78" s="137"/>
    </row>
    <row r="79" spans="1:9">
      <c r="A79" s="136"/>
      <c r="B79" s="136"/>
      <c r="C79" s="137"/>
      <c r="D79" s="138"/>
      <c r="E79" s="150"/>
      <c r="F79" s="150"/>
      <c r="G79" s="142"/>
      <c r="H79" s="138"/>
      <c r="I79" s="137"/>
    </row>
    <row r="80" spans="1:9">
      <c r="A80" s="136"/>
      <c r="B80" s="136"/>
      <c r="C80" s="137"/>
      <c r="D80" s="138"/>
      <c r="E80" s="150"/>
      <c r="F80" s="150"/>
      <c r="G80" s="142"/>
      <c r="H80" s="138"/>
      <c r="I80" s="137"/>
    </row>
    <row r="81" spans="1:9">
      <c r="A81" s="136"/>
      <c r="B81" s="136"/>
      <c r="C81" s="137"/>
      <c r="D81" s="138"/>
      <c r="E81" s="150"/>
      <c r="F81" s="150"/>
      <c r="G81" s="142"/>
      <c r="H81" s="138"/>
      <c r="I81" s="137"/>
    </row>
    <row r="82" spans="1:9">
      <c r="A82" s="136"/>
      <c r="B82" s="136"/>
      <c r="C82" s="137"/>
      <c r="D82" s="138"/>
      <c r="E82" s="150"/>
      <c r="F82" s="150"/>
      <c r="G82" s="142"/>
      <c r="H82" s="138"/>
      <c r="I82" s="137"/>
    </row>
    <row r="83" spans="1:9">
      <c r="A83" s="136"/>
      <c r="B83" s="136"/>
      <c r="C83" s="137"/>
      <c r="D83" s="138"/>
      <c r="E83" s="150"/>
      <c r="F83" s="150"/>
      <c r="G83" s="142"/>
      <c r="H83" s="138"/>
      <c r="I83" s="137"/>
    </row>
    <row r="84" spans="1:9">
      <c r="A84" s="136"/>
      <c r="B84" s="136"/>
      <c r="C84" s="137"/>
      <c r="D84" s="138"/>
      <c r="E84" s="150"/>
      <c r="F84" s="150"/>
      <c r="G84" s="142"/>
      <c r="H84" s="138"/>
      <c r="I84" s="137"/>
    </row>
    <row r="85" spans="1:9">
      <c r="A85" s="136"/>
      <c r="B85" s="136"/>
      <c r="C85" s="137"/>
      <c r="D85" s="138"/>
      <c r="E85" s="150"/>
      <c r="F85" s="150"/>
      <c r="G85" s="142"/>
      <c r="H85" s="138"/>
      <c r="I85" s="137"/>
    </row>
    <row r="86" spans="1:9">
      <c r="A86" s="136"/>
      <c r="B86" s="136"/>
      <c r="C86" s="137"/>
      <c r="D86" s="138"/>
      <c r="E86" s="150"/>
      <c r="F86" s="150"/>
      <c r="G86" s="142"/>
      <c r="H86" s="138"/>
      <c r="I86" s="137"/>
    </row>
    <row r="87" spans="1:9">
      <c r="A87" s="136"/>
      <c r="B87" s="136"/>
      <c r="C87" s="137"/>
      <c r="D87" s="138"/>
      <c r="E87" s="150"/>
      <c r="F87" s="150"/>
      <c r="G87" s="142"/>
      <c r="H87" s="138"/>
      <c r="I87" s="137"/>
    </row>
    <row r="88" spans="1:9">
      <c r="A88" s="136"/>
      <c r="B88" s="136"/>
      <c r="C88" s="137"/>
      <c r="D88" s="138"/>
      <c r="E88" s="150"/>
      <c r="F88" s="150"/>
      <c r="G88" s="142"/>
      <c r="H88" s="138"/>
      <c r="I88" s="137"/>
    </row>
    <row r="89" spans="1:9">
      <c r="A89" s="136"/>
      <c r="B89" s="136"/>
      <c r="C89" s="137"/>
      <c r="D89" s="138"/>
      <c r="E89" s="150"/>
      <c r="F89" s="150"/>
      <c r="G89" s="142"/>
      <c r="H89" s="138"/>
      <c r="I89" s="137"/>
    </row>
    <row r="90" spans="1:9">
      <c r="A90" s="136"/>
      <c r="B90" s="136"/>
      <c r="C90" s="137"/>
      <c r="D90" s="138"/>
      <c r="E90" s="150"/>
      <c r="F90" s="150"/>
      <c r="G90" s="142"/>
      <c r="H90" s="138"/>
      <c r="I90" s="137"/>
    </row>
    <row r="91" spans="1:9">
      <c r="A91" s="136"/>
      <c r="B91" s="136"/>
      <c r="C91" s="137"/>
      <c r="D91" s="138"/>
      <c r="E91" s="150"/>
      <c r="F91" s="150"/>
      <c r="G91" s="142"/>
      <c r="H91" s="138"/>
      <c r="I91" s="137"/>
    </row>
    <row r="92" spans="1:9">
      <c r="A92" s="136"/>
      <c r="B92" s="136"/>
      <c r="C92" s="137"/>
      <c r="D92" s="138"/>
      <c r="E92" s="150"/>
      <c r="F92" s="150"/>
      <c r="G92" s="142"/>
      <c r="H92" s="138"/>
      <c r="I92" s="137"/>
    </row>
    <row r="93" spans="1:9">
      <c r="A93" s="136"/>
      <c r="B93" s="136"/>
      <c r="C93" s="137"/>
      <c r="D93" s="138"/>
      <c r="E93" s="150"/>
      <c r="F93" s="150"/>
      <c r="G93" s="142"/>
      <c r="H93" s="138"/>
      <c r="I93" s="137"/>
    </row>
    <row r="94" spans="1:9">
      <c r="A94" s="136"/>
      <c r="B94" s="136"/>
      <c r="C94" s="137"/>
      <c r="D94" s="138"/>
      <c r="E94" s="150"/>
      <c r="F94" s="150"/>
      <c r="G94" s="142"/>
      <c r="H94" s="138"/>
      <c r="I94" s="137"/>
    </row>
    <row r="95" spans="1:9">
      <c r="A95" s="136"/>
      <c r="B95" s="136"/>
      <c r="C95" s="137"/>
      <c r="D95" s="138"/>
      <c r="E95" s="150"/>
      <c r="F95" s="150"/>
      <c r="G95" s="142"/>
      <c r="H95" s="138"/>
      <c r="I95" s="137"/>
    </row>
    <row r="96" spans="1:9">
      <c r="A96" s="136"/>
      <c r="B96" s="136"/>
      <c r="C96" s="137"/>
      <c r="D96" s="138"/>
      <c r="E96" s="150"/>
      <c r="F96" s="150"/>
      <c r="G96" s="142"/>
      <c r="H96" s="138"/>
      <c r="I96" s="137"/>
    </row>
    <row r="97" spans="1:9">
      <c r="A97" s="136"/>
      <c r="B97" s="136"/>
      <c r="C97" s="137"/>
      <c r="D97" s="138"/>
      <c r="E97" s="150"/>
      <c r="F97" s="150"/>
      <c r="G97" s="142"/>
      <c r="H97" s="138"/>
      <c r="I97" s="137"/>
    </row>
    <row r="98" spans="1:9">
      <c r="A98" s="136"/>
      <c r="B98" s="136"/>
      <c r="C98" s="137"/>
      <c r="D98" s="138"/>
      <c r="E98" s="150"/>
      <c r="F98" s="150"/>
      <c r="G98" s="142"/>
      <c r="H98" s="138"/>
      <c r="I98" s="137"/>
    </row>
    <row r="99" spans="1:9">
      <c r="A99" s="136"/>
      <c r="B99" s="136"/>
      <c r="C99" s="137"/>
      <c r="D99" s="138"/>
      <c r="E99" s="150"/>
      <c r="F99" s="150"/>
      <c r="G99" s="142"/>
      <c r="H99" s="138"/>
      <c r="I99" s="137"/>
    </row>
    <row r="100" spans="1:9">
      <c r="A100" s="136"/>
      <c r="B100" s="136"/>
      <c r="C100" s="137"/>
      <c r="D100" s="138"/>
      <c r="E100" s="150"/>
      <c r="F100" s="150"/>
      <c r="G100" s="142"/>
      <c r="H100" s="138"/>
      <c r="I100" s="137"/>
    </row>
    <row r="101" spans="1:9">
      <c r="A101" s="136"/>
      <c r="B101" s="136"/>
      <c r="C101" s="137"/>
      <c r="D101" s="138"/>
      <c r="E101" s="150"/>
      <c r="F101" s="150"/>
      <c r="G101" s="142"/>
      <c r="H101" s="138"/>
      <c r="I101" s="137"/>
    </row>
    <row r="102" spans="1:9">
      <c r="A102" s="136"/>
      <c r="B102" s="136"/>
      <c r="C102" s="137"/>
      <c r="D102" s="138"/>
      <c r="E102" s="150"/>
      <c r="F102" s="150"/>
      <c r="G102" s="142"/>
      <c r="H102" s="138"/>
      <c r="I102" s="137"/>
    </row>
    <row r="103" spans="1:9">
      <c r="A103" s="136"/>
      <c r="B103" s="136"/>
      <c r="C103" s="137"/>
      <c r="D103" s="138"/>
      <c r="E103" s="150"/>
      <c r="F103" s="150"/>
      <c r="G103" s="142"/>
      <c r="H103" s="138"/>
      <c r="I103" s="137"/>
    </row>
    <row r="104" spans="1:9">
      <c r="A104" s="136"/>
      <c r="B104" s="136"/>
      <c r="C104" s="137"/>
      <c r="D104" s="138"/>
      <c r="E104" s="150"/>
      <c r="F104" s="150"/>
      <c r="G104" s="142"/>
      <c r="H104" s="138"/>
      <c r="I104" s="137"/>
    </row>
    <row r="105" spans="1:9">
      <c r="A105" s="136"/>
      <c r="B105" s="136"/>
      <c r="C105" s="137"/>
      <c r="D105" s="138"/>
      <c r="E105" s="150"/>
      <c r="F105" s="150"/>
      <c r="G105" s="142"/>
      <c r="H105" s="138"/>
      <c r="I105" s="137"/>
    </row>
    <row r="106" spans="1:9">
      <c r="A106" s="136"/>
      <c r="B106" s="136"/>
      <c r="C106" s="137"/>
      <c r="D106" s="138"/>
      <c r="E106" s="150"/>
      <c r="F106" s="150"/>
      <c r="G106" s="142"/>
      <c r="H106" s="138"/>
      <c r="I106" s="137"/>
    </row>
    <row r="107" spans="1:9">
      <c r="A107" s="136"/>
      <c r="B107" s="136"/>
      <c r="C107" s="137"/>
      <c r="D107" s="138"/>
      <c r="E107" s="150"/>
      <c r="F107" s="150"/>
      <c r="G107" s="142"/>
      <c r="H107" s="138"/>
      <c r="I107" s="137"/>
    </row>
    <row r="108" spans="1:9">
      <c r="A108" s="136"/>
      <c r="B108" s="136"/>
      <c r="C108" s="137"/>
      <c r="D108" s="138"/>
      <c r="E108" s="150"/>
      <c r="F108" s="150"/>
      <c r="G108" s="142"/>
      <c r="H108" s="138"/>
      <c r="I108" s="137"/>
    </row>
    <row r="109" spans="1:9">
      <c r="A109" s="136"/>
      <c r="B109" s="136"/>
      <c r="C109" s="137"/>
      <c r="D109" s="138"/>
      <c r="E109" s="150"/>
      <c r="F109" s="150"/>
      <c r="G109" s="142"/>
      <c r="H109" s="138"/>
      <c r="I109" s="137"/>
    </row>
    <row r="110" spans="1:9">
      <c r="A110" s="136"/>
      <c r="B110" s="136"/>
      <c r="C110" s="137"/>
      <c r="D110" s="138"/>
      <c r="E110" s="150"/>
      <c r="F110" s="150"/>
      <c r="G110" s="142"/>
      <c r="H110" s="138"/>
      <c r="I110" s="137"/>
    </row>
    <row r="111" spans="1:9">
      <c r="A111" s="136"/>
      <c r="B111" s="136"/>
      <c r="C111" s="137"/>
      <c r="D111" s="138"/>
      <c r="E111" s="150"/>
      <c r="F111" s="150"/>
      <c r="G111" s="142"/>
      <c r="H111" s="138"/>
      <c r="I111" s="137"/>
    </row>
    <row r="112" spans="1:9">
      <c r="A112" s="136"/>
      <c r="B112" s="136"/>
      <c r="C112" s="137"/>
      <c r="D112" s="138"/>
      <c r="E112" s="150"/>
      <c r="F112" s="150"/>
      <c r="G112" s="142"/>
      <c r="H112" s="138"/>
      <c r="I112" s="137"/>
    </row>
    <row r="113" spans="1:9">
      <c r="A113" s="136"/>
      <c r="B113" s="136"/>
      <c r="C113" s="137"/>
      <c r="D113" s="138"/>
      <c r="E113" s="150"/>
      <c r="F113" s="150"/>
      <c r="G113" s="142"/>
      <c r="H113" s="138"/>
      <c r="I113" s="137"/>
    </row>
    <row r="114" spans="1:9">
      <c r="A114" s="136"/>
      <c r="B114" s="136"/>
      <c r="C114" s="137"/>
      <c r="D114" s="138"/>
      <c r="E114" s="150"/>
      <c r="F114" s="150"/>
      <c r="G114" s="142"/>
      <c r="H114" s="138"/>
      <c r="I114" s="137"/>
    </row>
    <row r="115" spans="1:9">
      <c r="A115" s="136"/>
      <c r="B115" s="136"/>
      <c r="C115" s="137"/>
      <c r="D115" s="138"/>
      <c r="E115" s="150"/>
      <c r="F115" s="150"/>
      <c r="G115" s="142"/>
      <c r="H115" s="138"/>
      <c r="I115" s="137"/>
    </row>
    <row r="116" spans="1:9">
      <c r="A116" s="136"/>
      <c r="B116" s="136"/>
      <c r="C116" s="137"/>
      <c r="D116" s="138"/>
      <c r="E116" s="150"/>
      <c r="F116" s="150"/>
      <c r="G116" s="142"/>
      <c r="H116" s="138"/>
      <c r="I116" s="137"/>
    </row>
    <row r="117" spans="1:9">
      <c r="A117" s="136"/>
      <c r="B117" s="136"/>
      <c r="C117" s="137"/>
      <c r="D117" s="138"/>
      <c r="E117" s="150"/>
      <c r="F117" s="150"/>
      <c r="G117" s="142"/>
      <c r="H117" s="138"/>
      <c r="I117" s="137"/>
    </row>
    <row r="118" spans="1:9">
      <c r="A118" s="136"/>
      <c r="B118" s="136"/>
      <c r="C118" s="137"/>
      <c r="D118" s="138"/>
      <c r="E118" s="150"/>
      <c r="F118" s="150"/>
      <c r="G118" s="142"/>
      <c r="H118" s="138"/>
      <c r="I118" s="137"/>
    </row>
    <row r="119" spans="1:9">
      <c r="A119" s="136"/>
      <c r="B119" s="136"/>
      <c r="C119" s="137"/>
      <c r="D119" s="138"/>
      <c r="E119" s="150"/>
      <c r="F119" s="150"/>
      <c r="G119" s="142"/>
      <c r="H119" s="138"/>
      <c r="I119" s="137"/>
    </row>
    <row r="120" spans="1:9">
      <c r="A120" s="136"/>
      <c r="B120" s="136"/>
      <c r="C120" s="137"/>
      <c r="D120" s="138"/>
      <c r="E120" s="150"/>
      <c r="F120" s="150"/>
      <c r="G120" s="142"/>
      <c r="H120" s="138"/>
      <c r="I120" s="137"/>
    </row>
    <row r="121" spans="1:9">
      <c r="A121" s="136"/>
      <c r="B121" s="136"/>
      <c r="C121" s="137"/>
      <c r="D121" s="138"/>
      <c r="E121" s="150"/>
      <c r="F121" s="150"/>
      <c r="G121" s="142"/>
      <c r="H121" s="138"/>
      <c r="I121" s="137"/>
    </row>
    <row r="122" spans="1:9">
      <c r="A122" s="136"/>
      <c r="B122" s="136"/>
      <c r="C122" s="137"/>
      <c r="D122" s="138"/>
      <c r="E122" s="150"/>
      <c r="F122" s="150"/>
      <c r="G122" s="142"/>
      <c r="H122" s="138"/>
      <c r="I122" s="137"/>
    </row>
    <row r="123" spans="1:9">
      <c r="A123" s="136"/>
      <c r="B123" s="136"/>
      <c r="C123" s="137"/>
      <c r="D123" s="138"/>
      <c r="E123" s="150"/>
      <c r="F123" s="150"/>
      <c r="G123" s="142"/>
      <c r="H123" s="138"/>
      <c r="I123" s="137"/>
    </row>
    <row r="124" spans="1:9">
      <c r="A124" s="136"/>
      <c r="B124" s="136"/>
      <c r="C124" s="137"/>
      <c r="D124" s="138"/>
      <c r="E124" s="150"/>
      <c r="F124" s="150"/>
      <c r="G124" s="142"/>
      <c r="H124" s="138"/>
      <c r="I124" s="137"/>
    </row>
    <row r="125" spans="1:9">
      <c r="A125" s="136"/>
      <c r="B125" s="136"/>
      <c r="C125" s="137"/>
      <c r="D125" s="138"/>
      <c r="E125" s="150"/>
      <c r="F125" s="150"/>
      <c r="G125" s="142"/>
      <c r="H125" s="138"/>
      <c r="I125" s="137"/>
    </row>
    <row r="126" spans="1:9">
      <c r="A126" s="136"/>
      <c r="B126" s="136"/>
      <c r="C126" s="137"/>
      <c r="D126" s="138"/>
      <c r="E126" s="150"/>
      <c r="F126" s="150"/>
      <c r="G126" s="142"/>
      <c r="H126" s="138"/>
      <c r="I126" s="137"/>
    </row>
    <row r="127" spans="1:9">
      <c r="A127" s="136"/>
      <c r="B127" s="136"/>
      <c r="C127" s="137"/>
      <c r="D127" s="138"/>
      <c r="E127" s="150"/>
      <c r="F127" s="150"/>
      <c r="G127" s="142"/>
      <c r="H127" s="138"/>
      <c r="I127" s="137"/>
    </row>
    <row r="128" spans="1:9">
      <c r="A128" s="136"/>
      <c r="B128" s="136"/>
      <c r="C128" s="137"/>
      <c r="D128" s="138"/>
      <c r="E128" s="150"/>
      <c r="F128" s="150"/>
      <c r="G128" s="142"/>
      <c r="H128" s="138"/>
      <c r="I128" s="137"/>
    </row>
    <row r="129" spans="1:9">
      <c r="A129" s="136"/>
      <c r="B129" s="136"/>
      <c r="C129" s="137"/>
      <c r="D129" s="138"/>
      <c r="E129" s="150"/>
      <c r="F129" s="150"/>
      <c r="G129" s="142"/>
      <c r="H129" s="138"/>
      <c r="I129" s="137"/>
    </row>
    <row r="130" spans="1:9">
      <c r="A130" s="136"/>
      <c r="B130" s="136"/>
      <c r="C130" s="137"/>
      <c r="D130" s="138"/>
      <c r="E130" s="150"/>
      <c r="F130" s="150"/>
      <c r="G130" s="142"/>
      <c r="H130" s="138"/>
      <c r="I130" s="137"/>
    </row>
    <row r="131" spans="1:9">
      <c r="A131" s="136"/>
      <c r="B131" s="136"/>
      <c r="C131" s="137"/>
      <c r="D131" s="138"/>
      <c r="E131" s="150"/>
      <c r="F131" s="150"/>
      <c r="G131" s="142"/>
      <c r="H131" s="138"/>
      <c r="I131" s="137"/>
    </row>
    <row r="132" spans="1:9">
      <c r="A132" s="136"/>
      <c r="B132" s="136"/>
      <c r="C132" s="137"/>
      <c r="D132" s="138"/>
      <c r="E132" s="150"/>
      <c r="F132" s="150"/>
      <c r="G132" s="142"/>
      <c r="H132" s="138"/>
      <c r="I132" s="137"/>
    </row>
    <row r="133" spans="1:9">
      <c r="A133" s="136"/>
      <c r="B133" s="136"/>
      <c r="C133" s="137"/>
      <c r="D133" s="138"/>
      <c r="E133" s="150"/>
      <c r="F133" s="150"/>
      <c r="G133" s="142"/>
      <c r="H133" s="138"/>
      <c r="I133" s="137"/>
    </row>
    <row r="134" spans="1:9">
      <c r="A134" s="136"/>
      <c r="B134" s="136"/>
      <c r="C134" s="137"/>
      <c r="D134" s="138"/>
      <c r="E134" s="150"/>
      <c r="F134" s="150"/>
      <c r="G134" s="142"/>
      <c r="H134" s="138"/>
      <c r="I134" s="137"/>
    </row>
    <row r="135" spans="1:9">
      <c r="A135" s="136"/>
      <c r="B135" s="136"/>
      <c r="C135" s="137"/>
      <c r="D135" s="138"/>
      <c r="E135" s="150"/>
      <c r="F135" s="150"/>
      <c r="G135" s="142"/>
      <c r="H135" s="138"/>
      <c r="I135" s="137"/>
    </row>
    <row r="136" spans="1:9">
      <c r="A136" s="136"/>
      <c r="B136" s="136"/>
      <c r="C136" s="137"/>
      <c r="D136" s="138"/>
      <c r="E136" s="150"/>
      <c r="F136" s="150"/>
      <c r="G136" s="142"/>
      <c r="H136" s="138"/>
      <c r="I136" s="137"/>
    </row>
    <row r="137" spans="1:9">
      <c r="A137" s="136"/>
      <c r="B137" s="136"/>
      <c r="C137" s="137"/>
      <c r="D137" s="138"/>
      <c r="E137" s="150"/>
      <c r="F137" s="150"/>
      <c r="G137" s="142"/>
      <c r="H137" s="138"/>
      <c r="I137" s="137"/>
    </row>
    <row r="138" spans="1:9">
      <c r="A138" s="136"/>
      <c r="B138" s="136"/>
      <c r="C138" s="137"/>
      <c r="D138" s="138"/>
      <c r="E138" s="150"/>
      <c r="F138" s="150"/>
      <c r="G138" s="142"/>
      <c r="H138" s="138"/>
      <c r="I138" s="137"/>
    </row>
    <row r="139" spans="1:9">
      <c r="A139" s="136"/>
      <c r="B139" s="136"/>
      <c r="C139" s="137"/>
      <c r="D139" s="138"/>
      <c r="E139" s="150"/>
      <c r="F139" s="150"/>
      <c r="G139" s="142"/>
      <c r="H139" s="138"/>
      <c r="I139" s="137"/>
    </row>
    <row r="140" spans="1:9">
      <c r="A140" s="136"/>
      <c r="B140" s="136"/>
      <c r="C140" s="137"/>
      <c r="D140" s="138"/>
      <c r="E140" s="150"/>
      <c r="F140" s="150"/>
      <c r="G140" s="142"/>
      <c r="H140" s="138"/>
      <c r="I140" s="137"/>
    </row>
    <row r="141" spans="1:9">
      <c r="A141" s="136"/>
      <c r="B141" s="136"/>
      <c r="C141" s="137"/>
      <c r="D141" s="138"/>
      <c r="E141" s="150"/>
      <c r="F141" s="150"/>
      <c r="G141" s="142"/>
      <c r="H141" s="138"/>
      <c r="I141" s="137"/>
    </row>
    <row r="142" spans="1:9">
      <c r="A142" s="136"/>
      <c r="B142" s="136"/>
      <c r="C142" s="137"/>
      <c r="D142" s="138"/>
      <c r="E142" s="150"/>
      <c r="F142" s="150"/>
      <c r="G142" s="142"/>
      <c r="H142" s="138"/>
      <c r="I142" s="137"/>
    </row>
    <row r="143" spans="1:9">
      <c r="A143" s="136"/>
      <c r="B143" s="136"/>
      <c r="C143" s="137"/>
      <c r="D143" s="138"/>
      <c r="E143" s="150"/>
      <c r="F143" s="150"/>
      <c r="G143" s="142"/>
      <c r="H143" s="138"/>
      <c r="I143" s="137"/>
    </row>
    <row r="144" spans="1:9">
      <c r="A144" s="136"/>
      <c r="B144" s="136"/>
      <c r="C144" s="137"/>
      <c r="D144" s="138"/>
      <c r="E144" s="150"/>
      <c r="F144" s="150"/>
      <c r="G144" s="142"/>
      <c r="H144" s="138"/>
      <c r="I144" s="137"/>
    </row>
    <row r="145" spans="1:9">
      <c r="A145" s="136"/>
      <c r="B145" s="136"/>
      <c r="C145" s="137"/>
      <c r="D145" s="138"/>
      <c r="E145" s="150"/>
      <c r="F145" s="150"/>
      <c r="G145" s="142"/>
      <c r="H145" s="138"/>
      <c r="I145" s="137"/>
    </row>
    <row r="146" spans="1:9">
      <c r="A146" s="136"/>
      <c r="B146" s="136"/>
      <c r="C146" s="137"/>
      <c r="D146" s="138"/>
      <c r="E146" s="150"/>
      <c r="F146" s="150"/>
      <c r="G146" s="142"/>
      <c r="H146" s="138"/>
      <c r="I146" s="137"/>
    </row>
    <row r="147" spans="1:9">
      <c r="A147" s="136"/>
      <c r="B147" s="136"/>
      <c r="C147" s="137"/>
      <c r="D147" s="138"/>
      <c r="E147" s="150"/>
      <c r="F147" s="150"/>
      <c r="G147" s="142"/>
      <c r="H147" s="138"/>
      <c r="I147" s="137"/>
    </row>
    <row r="148" spans="1:9">
      <c r="A148" s="136"/>
      <c r="B148" s="136"/>
      <c r="C148" s="137"/>
      <c r="D148" s="138"/>
      <c r="E148" s="150"/>
      <c r="F148" s="150"/>
      <c r="G148" s="142"/>
      <c r="H148" s="138"/>
      <c r="I148" s="137"/>
    </row>
    <row r="149" spans="1:9">
      <c r="A149" s="136"/>
      <c r="B149" s="136"/>
      <c r="C149" s="137"/>
      <c r="D149" s="138"/>
      <c r="E149" s="150"/>
      <c r="F149" s="150"/>
      <c r="G149" s="142"/>
      <c r="H149" s="138"/>
      <c r="I149" s="137"/>
    </row>
    <row r="150" spans="1:9">
      <c r="A150" s="136"/>
      <c r="B150" s="136"/>
      <c r="C150" s="137"/>
      <c r="D150" s="138"/>
      <c r="E150" s="150"/>
      <c r="F150" s="150"/>
      <c r="G150" s="142"/>
      <c r="H150" s="138"/>
      <c r="I150" s="137"/>
    </row>
    <row r="151" spans="1:9">
      <c r="A151" s="136"/>
      <c r="B151" s="136"/>
      <c r="C151" s="137"/>
      <c r="D151" s="138"/>
      <c r="E151" s="150"/>
      <c r="F151" s="150"/>
      <c r="G151" s="142"/>
      <c r="H151" s="138"/>
      <c r="I151" s="137"/>
    </row>
    <row r="152" spans="1:9">
      <c r="A152" s="136"/>
      <c r="B152" s="136"/>
      <c r="C152" s="137"/>
      <c r="D152" s="138"/>
      <c r="E152" s="150"/>
      <c r="F152" s="150"/>
      <c r="G152" s="142"/>
      <c r="H152" s="138"/>
      <c r="I152" s="137"/>
    </row>
    <row r="153" spans="1:9">
      <c r="A153" s="136"/>
      <c r="B153" s="136"/>
      <c r="C153" s="137"/>
      <c r="D153" s="138"/>
      <c r="E153" s="150"/>
      <c r="F153" s="150"/>
      <c r="G153" s="142"/>
      <c r="H153" s="138"/>
      <c r="I153" s="137"/>
    </row>
    <row r="154" spans="1:9">
      <c r="A154" s="136"/>
      <c r="B154" s="136"/>
      <c r="C154" s="137"/>
      <c r="D154" s="138"/>
      <c r="E154" s="150"/>
      <c r="F154" s="150"/>
      <c r="G154" s="142"/>
      <c r="H154" s="138"/>
      <c r="I154" s="137"/>
    </row>
    <row r="155" spans="1:9">
      <c r="A155" s="136"/>
      <c r="B155" s="136"/>
      <c r="C155" s="137"/>
      <c r="D155" s="138"/>
      <c r="E155" s="150"/>
      <c r="F155" s="150"/>
      <c r="G155" s="142"/>
      <c r="H155" s="138"/>
      <c r="I155" s="137"/>
    </row>
    <row r="156" spans="1:9">
      <c r="A156" s="136"/>
      <c r="B156" s="136"/>
      <c r="C156" s="137"/>
      <c r="D156" s="138"/>
      <c r="E156" s="150"/>
      <c r="F156" s="150"/>
      <c r="G156" s="142"/>
      <c r="H156" s="138"/>
      <c r="I156" s="137"/>
    </row>
    <row r="157" spans="1:9">
      <c r="A157" s="136"/>
      <c r="B157" s="136"/>
      <c r="C157" s="137"/>
      <c r="D157" s="138"/>
      <c r="E157" s="150"/>
      <c r="F157" s="150"/>
      <c r="G157" s="142"/>
      <c r="H157" s="138"/>
      <c r="I157" s="137"/>
    </row>
    <row r="158" spans="1:9">
      <c r="A158" s="136"/>
      <c r="B158" s="136"/>
      <c r="C158" s="137"/>
      <c r="D158" s="138"/>
      <c r="E158" s="150"/>
      <c r="F158" s="150"/>
      <c r="G158" s="142"/>
      <c r="H158" s="138"/>
      <c r="I158" s="137"/>
    </row>
    <row r="159" spans="1:9">
      <c r="A159" s="136"/>
      <c r="B159" s="136"/>
      <c r="C159" s="137"/>
      <c r="D159" s="138"/>
      <c r="E159" s="150"/>
      <c r="F159" s="150"/>
      <c r="G159" s="142"/>
      <c r="H159" s="138"/>
      <c r="I159" s="137"/>
    </row>
    <row r="160" spans="1:9">
      <c r="A160" s="136"/>
      <c r="B160" s="136"/>
      <c r="C160" s="137"/>
      <c r="D160" s="138"/>
      <c r="E160" s="150"/>
      <c r="F160" s="150"/>
      <c r="G160" s="142"/>
      <c r="H160" s="138"/>
      <c r="I160" s="137"/>
    </row>
    <row r="161" spans="1:9">
      <c r="A161" s="136"/>
      <c r="B161" s="136"/>
      <c r="C161" s="137"/>
      <c r="D161" s="138"/>
      <c r="E161" s="150"/>
      <c r="F161" s="150"/>
      <c r="G161" s="142"/>
      <c r="H161" s="138"/>
      <c r="I161" s="137"/>
    </row>
    <row r="162" spans="1:9">
      <c r="A162" s="136"/>
      <c r="B162" s="136"/>
      <c r="C162" s="137"/>
      <c r="D162" s="138"/>
      <c r="E162" s="150"/>
      <c r="F162" s="150"/>
      <c r="G162" s="142"/>
      <c r="H162" s="138"/>
      <c r="I162" s="137"/>
    </row>
    <row r="163" spans="1:9">
      <c r="A163" s="136"/>
      <c r="B163" s="136"/>
      <c r="C163" s="137"/>
      <c r="D163" s="138"/>
      <c r="E163" s="150"/>
      <c r="F163" s="150"/>
      <c r="G163" s="142"/>
      <c r="H163" s="138"/>
      <c r="I163" s="137"/>
    </row>
    <row r="164" spans="1:9">
      <c r="A164" s="136"/>
      <c r="B164" s="136"/>
      <c r="C164" s="137"/>
      <c r="D164" s="138"/>
      <c r="E164" s="150"/>
      <c r="F164" s="150"/>
      <c r="G164" s="142"/>
      <c r="H164" s="138"/>
      <c r="I164" s="137"/>
    </row>
    <row r="165" spans="1:9">
      <c r="A165" s="136"/>
      <c r="B165" s="136"/>
      <c r="C165" s="137"/>
      <c r="D165" s="138"/>
      <c r="E165" s="150"/>
      <c r="F165" s="150"/>
      <c r="G165" s="142"/>
      <c r="H165" s="138"/>
      <c r="I165" s="137"/>
    </row>
    <row r="166" spans="1:9">
      <c r="A166" s="136"/>
      <c r="B166" s="136"/>
      <c r="C166" s="137"/>
      <c r="D166" s="138"/>
      <c r="E166" s="150"/>
      <c r="F166" s="150"/>
      <c r="G166" s="142"/>
      <c r="H166" s="138"/>
      <c r="I166" s="137"/>
    </row>
    <row r="167" spans="1:9">
      <c r="A167" s="136"/>
      <c r="B167" s="136"/>
      <c r="C167" s="137"/>
      <c r="D167" s="138"/>
      <c r="E167" s="150"/>
      <c r="F167" s="150"/>
      <c r="G167" s="142"/>
      <c r="H167" s="138"/>
      <c r="I167" s="137"/>
    </row>
    <row r="168" spans="1:9">
      <c r="A168" s="136"/>
      <c r="B168" s="136"/>
      <c r="C168" s="137"/>
      <c r="D168" s="138"/>
      <c r="E168" s="150"/>
      <c r="F168" s="150"/>
      <c r="G168" s="142"/>
      <c r="H168" s="138"/>
      <c r="I168" s="137"/>
    </row>
    <row r="169" spans="1:9">
      <c r="A169" s="136"/>
      <c r="B169" s="136"/>
      <c r="C169" s="137"/>
      <c r="D169" s="138"/>
      <c r="E169" s="150"/>
      <c r="F169" s="150"/>
      <c r="G169" s="142"/>
      <c r="H169" s="138"/>
      <c r="I169" s="137"/>
    </row>
    <row r="170" spans="1:9">
      <c r="A170" s="136"/>
      <c r="B170" s="136"/>
      <c r="C170" s="137"/>
      <c r="D170" s="138"/>
      <c r="E170" s="150"/>
      <c r="F170" s="150"/>
      <c r="G170" s="142"/>
      <c r="H170" s="138"/>
      <c r="I170" s="137"/>
    </row>
    <row r="171" spans="1:9">
      <c r="A171" s="136"/>
      <c r="B171" s="136"/>
      <c r="C171" s="137"/>
      <c r="D171" s="138"/>
      <c r="E171" s="150"/>
      <c r="F171" s="150"/>
      <c r="G171" s="142"/>
      <c r="H171" s="138"/>
      <c r="I171" s="137"/>
    </row>
    <row r="172" spans="1:9">
      <c r="A172" s="136"/>
      <c r="B172" s="136"/>
      <c r="C172" s="137"/>
      <c r="D172" s="138"/>
      <c r="E172" s="150"/>
      <c r="F172" s="150"/>
      <c r="G172" s="142"/>
      <c r="H172" s="138"/>
      <c r="I172" s="137"/>
    </row>
    <row r="173" spans="1:9">
      <c r="A173" s="136"/>
      <c r="B173" s="136"/>
      <c r="C173" s="137"/>
      <c r="D173" s="138"/>
      <c r="E173" s="150"/>
      <c r="F173" s="150"/>
      <c r="G173" s="142"/>
      <c r="H173" s="138"/>
      <c r="I173" s="137"/>
    </row>
    <row r="174" spans="1:9">
      <c r="A174" s="136"/>
      <c r="B174" s="136"/>
      <c r="C174" s="137"/>
      <c r="D174" s="138"/>
      <c r="E174" s="150"/>
      <c r="F174" s="150"/>
      <c r="G174" s="142"/>
      <c r="H174" s="138"/>
      <c r="I174" s="137"/>
    </row>
    <row r="175" spans="1:9">
      <c r="A175" s="136"/>
      <c r="B175" s="136"/>
      <c r="C175" s="137"/>
      <c r="D175" s="138"/>
      <c r="E175" s="150"/>
      <c r="F175" s="150"/>
      <c r="G175" s="142"/>
      <c r="H175" s="138"/>
      <c r="I175" s="137"/>
    </row>
    <row r="176" spans="1:9">
      <c r="A176" s="136"/>
      <c r="B176" s="136"/>
      <c r="C176" s="137"/>
      <c r="D176" s="138"/>
      <c r="E176" s="150"/>
      <c r="F176" s="150"/>
      <c r="G176" s="142"/>
      <c r="H176" s="138"/>
      <c r="I176" s="137"/>
    </row>
    <row r="177" spans="1:9">
      <c r="A177" s="136"/>
      <c r="B177" s="136"/>
      <c r="C177" s="137"/>
      <c r="D177" s="138"/>
      <c r="E177" s="150"/>
      <c r="F177" s="150"/>
      <c r="G177" s="142"/>
      <c r="H177" s="138"/>
      <c r="I177" s="137"/>
    </row>
    <row r="178" spans="1:9">
      <c r="A178" s="136"/>
      <c r="B178" s="136"/>
      <c r="C178" s="137"/>
      <c r="D178" s="138"/>
      <c r="E178" s="150"/>
      <c r="F178" s="150"/>
      <c r="G178" s="142"/>
      <c r="H178" s="138"/>
      <c r="I178" s="137"/>
    </row>
    <row r="179" spans="1:9">
      <c r="A179" s="136"/>
      <c r="B179" s="136"/>
      <c r="C179" s="137"/>
      <c r="D179" s="138"/>
      <c r="E179" s="150"/>
      <c r="F179" s="150"/>
      <c r="G179" s="142"/>
      <c r="H179" s="138"/>
      <c r="I179" s="137"/>
    </row>
    <row r="180" spans="1:9">
      <c r="A180" s="136"/>
      <c r="B180" s="136"/>
      <c r="C180" s="137"/>
      <c r="D180" s="138"/>
      <c r="E180" s="150"/>
      <c r="F180" s="150"/>
      <c r="G180" s="142"/>
      <c r="H180" s="138"/>
      <c r="I180" s="137"/>
    </row>
    <row r="181" spans="1:9">
      <c r="A181" s="136"/>
      <c r="B181" s="136"/>
      <c r="C181" s="137"/>
      <c r="D181" s="138"/>
      <c r="E181" s="150"/>
      <c r="F181" s="150"/>
      <c r="G181" s="142"/>
      <c r="H181" s="138"/>
      <c r="I181" s="137"/>
    </row>
    <row r="182" spans="1:9">
      <c r="A182" s="136"/>
      <c r="B182" s="136"/>
      <c r="C182" s="137"/>
      <c r="D182" s="138"/>
      <c r="E182" s="150"/>
      <c r="F182" s="150"/>
      <c r="G182" s="142"/>
      <c r="H182" s="138"/>
      <c r="I182" s="137"/>
    </row>
    <row r="183" spans="1:9">
      <c r="A183" s="136"/>
      <c r="B183" s="136"/>
      <c r="C183" s="137"/>
      <c r="D183" s="138"/>
      <c r="E183" s="150"/>
      <c r="F183" s="150"/>
      <c r="G183" s="142"/>
      <c r="H183" s="138"/>
      <c r="I183" s="137"/>
    </row>
    <row r="184" spans="1:9">
      <c r="A184" s="136"/>
      <c r="B184" s="136"/>
      <c r="C184" s="137"/>
      <c r="D184" s="138"/>
      <c r="E184" s="150"/>
      <c r="F184" s="150"/>
      <c r="G184" s="142"/>
      <c r="H184" s="138"/>
      <c r="I184" s="137"/>
    </row>
    <row r="185" spans="1:9">
      <c r="A185" s="136"/>
      <c r="B185" s="136"/>
      <c r="C185" s="137"/>
      <c r="D185" s="138"/>
      <c r="E185" s="150"/>
      <c r="F185" s="150"/>
      <c r="G185" s="142"/>
      <c r="H185" s="138"/>
      <c r="I185" s="137"/>
    </row>
    <row r="186" spans="1:9">
      <c r="A186" s="136"/>
      <c r="B186" s="136"/>
      <c r="C186" s="137"/>
      <c r="D186" s="138"/>
      <c r="E186" s="150"/>
      <c r="F186" s="150"/>
      <c r="G186" s="142"/>
      <c r="H186" s="138"/>
      <c r="I186" s="137"/>
    </row>
    <row r="187" spans="1:9">
      <c r="A187" s="136"/>
      <c r="B187" s="136"/>
      <c r="C187" s="137"/>
      <c r="D187" s="138"/>
      <c r="E187" s="150"/>
      <c r="F187" s="150"/>
      <c r="G187" s="142"/>
      <c r="H187" s="138"/>
      <c r="I187" s="137"/>
    </row>
    <row r="188" spans="1:9">
      <c r="A188" s="136"/>
      <c r="B188" s="136"/>
      <c r="C188" s="137"/>
      <c r="D188" s="138"/>
      <c r="E188" s="150"/>
      <c r="F188" s="150"/>
      <c r="G188" s="142"/>
      <c r="H188" s="138"/>
      <c r="I188" s="137"/>
    </row>
    <row r="189" spans="1:9">
      <c r="A189" s="136"/>
      <c r="B189" s="136"/>
      <c r="C189" s="137"/>
      <c r="D189" s="138"/>
      <c r="E189" s="150"/>
      <c r="F189" s="150"/>
      <c r="G189" s="142"/>
      <c r="H189" s="138"/>
      <c r="I189" s="137"/>
    </row>
    <row r="190" spans="1:9">
      <c r="A190" s="136"/>
      <c r="B190" s="136"/>
      <c r="C190" s="137"/>
      <c r="D190" s="138"/>
      <c r="E190" s="150"/>
      <c r="F190" s="150"/>
      <c r="G190" s="142"/>
      <c r="H190" s="138"/>
      <c r="I190" s="137"/>
    </row>
    <row r="191" spans="1:9">
      <c r="A191" s="136"/>
      <c r="B191" s="136"/>
      <c r="C191" s="137"/>
      <c r="D191" s="138"/>
      <c r="E191" s="150"/>
      <c r="F191" s="150"/>
      <c r="G191" s="142"/>
      <c r="H191" s="138"/>
      <c r="I191" s="137"/>
    </row>
    <row r="192" spans="1:9">
      <c r="A192" s="136"/>
      <c r="B192" s="136"/>
      <c r="C192" s="137"/>
      <c r="D192" s="138"/>
      <c r="E192" s="150"/>
      <c r="F192" s="150"/>
      <c r="G192" s="142"/>
      <c r="H192" s="138"/>
      <c r="I192" s="137"/>
    </row>
    <row r="193" spans="1:9">
      <c r="A193" s="136"/>
      <c r="B193" s="136"/>
      <c r="C193" s="137"/>
      <c r="D193" s="138"/>
      <c r="E193" s="150"/>
      <c r="F193" s="150"/>
      <c r="G193" s="142"/>
      <c r="H193" s="138"/>
      <c r="I193" s="137"/>
    </row>
    <row r="194" spans="1:9">
      <c r="A194" s="136"/>
      <c r="B194" s="136"/>
      <c r="C194" s="137"/>
      <c r="D194" s="138"/>
      <c r="E194" s="150"/>
      <c r="F194" s="150"/>
      <c r="G194" s="142"/>
      <c r="H194" s="138"/>
      <c r="I194" s="137"/>
    </row>
    <row r="195" spans="1:9">
      <c r="A195" s="136"/>
      <c r="B195" s="136"/>
      <c r="C195" s="137"/>
      <c r="D195" s="138"/>
      <c r="E195" s="150"/>
      <c r="F195" s="150"/>
      <c r="G195" s="142"/>
      <c r="H195" s="138"/>
      <c r="I195" s="137"/>
    </row>
    <row r="196" spans="1:9">
      <c r="A196" s="136"/>
      <c r="B196" s="136"/>
      <c r="C196" s="137"/>
      <c r="D196" s="138"/>
      <c r="E196" s="150"/>
      <c r="F196" s="150"/>
      <c r="G196" s="142"/>
      <c r="H196" s="138"/>
      <c r="I196" s="137"/>
    </row>
    <row r="197" spans="1:9">
      <c r="A197" s="136"/>
      <c r="B197" s="136"/>
      <c r="C197" s="137"/>
      <c r="D197" s="138"/>
      <c r="E197" s="150"/>
      <c r="F197" s="150"/>
      <c r="G197" s="142"/>
      <c r="H197" s="138"/>
      <c r="I197" s="137"/>
    </row>
    <row r="198" spans="1:9">
      <c r="A198" s="136"/>
      <c r="B198" s="136"/>
      <c r="C198" s="137"/>
      <c r="D198" s="138"/>
      <c r="E198" s="150"/>
      <c r="F198" s="150"/>
      <c r="G198" s="142"/>
      <c r="H198" s="138"/>
      <c r="I198" s="137"/>
    </row>
    <row r="199" spans="1:9">
      <c r="A199" s="136"/>
      <c r="B199" s="136"/>
      <c r="C199" s="137"/>
      <c r="D199" s="138"/>
      <c r="E199" s="150"/>
      <c r="F199" s="150"/>
      <c r="G199" s="142"/>
      <c r="H199" s="138"/>
      <c r="I199" s="137"/>
    </row>
    <row r="200" spans="1:9">
      <c r="A200" s="136"/>
      <c r="B200" s="136"/>
      <c r="C200" s="137"/>
      <c r="D200" s="138"/>
      <c r="E200" s="150"/>
      <c r="F200" s="150"/>
      <c r="G200" s="142"/>
      <c r="H200" s="138"/>
      <c r="I200" s="137"/>
    </row>
    <row r="201" spans="1:9">
      <c r="A201" s="136"/>
      <c r="B201" s="136"/>
      <c r="C201" s="137"/>
      <c r="D201" s="138"/>
      <c r="E201" s="150"/>
      <c r="F201" s="150"/>
      <c r="G201" s="142"/>
      <c r="H201" s="138"/>
      <c r="I201" s="137"/>
    </row>
    <row r="202" spans="1:9">
      <c r="A202" s="136"/>
      <c r="B202" s="136"/>
      <c r="C202" s="137"/>
      <c r="D202" s="138"/>
      <c r="E202" s="150"/>
      <c r="F202" s="150"/>
      <c r="G202" s="142"/>
      <c r="H202" s="138"/>
      <c r="I202" s="137"/>
    </row>
    <row r="203" spans="1:9">
      <c r="A203" s="136"/>
      <c r="B203" s="136"/>
      <c r="C203" s="137"/>
      <c r="D203" s="138"/>
      <c r="E203" s="150"/>
      <c r="F203" s="150"/>
      <c r="G203" s="142"/>
      <c r="H203" s="138"/>
      <c r="I203" s="137"/>
    </row>
    <row r="204" spans="1:9">
      <c r="A204" s="136"/>
      <c r="B204" s="136"/>
      <c r="C204" s="137"/>
      <c r="D204" s="138"/>
      <c r="E204" s="150"/>
      <c r="F204" s="150"/>
      <c r="G204" s="142"/>
      <c r="H204" s="138"/>
      <c r="I204" s="137"/>
    </row>
    <row r="205" spans="1:9">
      <c r="A205" s="136"/>
      <c r="B205" s="136"/>
      <c r="C205" s="137"/>
      <c r="D205" s="138"/>
      <c r="E205" s="150"/>
      <c r="F205" s="150"/>
      <c r="G205" s="142"/>
      <c r="H205" s="138"/>
      <c r="I205" s="137"/>
    </row>
    <row r="206" spans="1:9">
      <c r="A206" s="136"/>
      <c r="B206" s="136"/>
      <c r="C206" s="137"/>
      <c r="D206" s="138"/>
      <c r="E206" s="150"/>
      <c r="F206" s="150"/>
      <c r="G206" s="142"/>
      <c r="H206" s="138"/>
      <c r="I206" s="137"/>
    </row>
    <row r="207" spans="1:9">
      <c r="A207" s="136"/>
      <c r="B207" s="136"/>
      <c r="C207" s="137"/>
      <c r="D207" s="138"/>
      <c r="E207" s="150"/>
      <c r="F207" s="150"/>
      <c r="G207" s="142"/>
      <c r="H207" s="138"/>
      <c r="I207" s="137"/>
    </row>
    <row r="208" spans="1:9">
      <c r="A208" s="136"/>
      <c r="B208" s="136"/>
      <c r="C208" s="137"/>
      <c r="D208" s="138"/>
      <c r="E208" s="150"/>
      <c r="F208" s="150"/>
      <c r="G208" s="142"/>
      <c r="H208" s="138"/>
      <c r="I208" s="137"/>
    </row>
    <row r="209" spans="1:9">
      <c r="A209" s="136"/>
      <c r="B209" s="136"/>
      <c r="C209" s="137"/>
      <c r="D209" s="138"/>
      <c r="E209" s="150"/>
      <c r="F209" s="150"/>
      <c r="G209" s="142"/>
      <c r="H209" s="138"/>
      <c r="I209" s="137"/>
    </row>
    <row r="210" spans="1:9">
      <c r="A210" s="136"/>
      <c r="B210" s="136"/>
      <c r="C210" s="137"/>
      <c r="D210" s="138"/>
      <c r="E210" s="150"/>
      <c r="F210" s="150"/>
      <c r="G210" s="142"/>
      <c r="H210" s="138"/>
      <c r="I210" s="137"/>
    </row>
    <row r="211" spans="1:9">
      <c r="A211" s="136"/>
      <c r="B211" s="136"/>
      <c r="C211" s="137"/>
      <c r="D211" s="138"/>
      <c r="E211" s="150"/>
      <c r="F211" s="150"/>
      <c r="G211" s="142"/>
      <c r="H211" s="138"/>
      <c r="I211" s="137"/>
    </row>
    <row r="212" spans="1:9">
      <c r="A212" s="136"/>
      <c r="B212" s="136"/>
      <c r="C212" s="137"/>
      <c r="D212" s="138"/>
      <c r="E212" s="150"/>
      <c r="F212" s="150"/>
      <c r="G212" s="142"/>
      <c r="H212" s="138"/>
      <c r="I212" s="137"/>
    </row>
    <row r="213" spans="1:9">
      <c r="A213" s="136"/>
      <c r="B213" s="136"/>
      <c r="C213" s="137"/>
      <c r="D213" s="138"/>
      <c r="E213" s="150"/>
      <c r="F213" s="150"/>
      <c r="G213" s="142"/>
      <c r="H213" s="138"/>
      <c r="I213" s="137"/>
    </row>
    <row r="214" spans="1:9">
      <c r="A214" s="136"/>
      <c r="B214" s="136"/>
      <c r="C214" s="137"/>
      <c r="D214" s="138"/>
      <c r="E214" s="150"/>
      <c r="F214" s="150"/>
      <c r="G214" s="142"/>
      <c r="H214" s="138"/>
      <c r="I214" s="137"/>
    </row>
    <row r="215" spans="1:9">
      <c r="A215" s="136"/>
      <c r="B215" s="136"/>
      <c r="C215" s="137"/>
      <c r="D215" s="138"/>
      <c r="E215" s="150"/>
      <c r="F215" s="150"/>
      <c r="G215" s="142"/>
      <c r="H215" s="138"/>
      <c r="I215" s="137"/>
    </row>
    <row r="216" spans="1:9">
      <c r="A216" s="136"/>
      <c r="B216" s="136"/>
      <c r="C216" s="137"/>
      <c r="D216" s="138"/>
      <c r="E216" s="150"/>
      <c r="F216" s="150"/>
      <c r="G216" s="142"/>
      <c r="H216" s="138"/>
      <c r="I216" s="137"/>
    </row>
    <row r="217" spans="1:9">
      <c r="A217" s="136"/>
      <c r="B217" s="136"/>
      <c r="C217" s="137"/>
      <c r="D217" s="138"/>
      <c r="E217" s="150"/>
      <c r="F217" s="150"/>
      <c r="G217" s="142"/>
      <c r="H217" s="138"/>
      <c r="I217" s="137"/>
    </row>
    <row r="218" spans="1:9">
      <c r="A218" s="136"/>
      <c r="B218" s="136"/>
      <c r="C218" s="137"/>
      <c r="D218" s="138"/>
      <c r="E218" s="150"/>
      <c r="F218" s="150"/>
      <c r="G218" s="142"/>
      <c r="H218" s="138"/>
      <c r="I218" s="137"/>
    </row>
    <row r="219" spans="1:9">
      <c r="A219" s="136"/>
      <c r="B219" s="136"/>
      <c r="C219" s="137"/>
      <c r="D219" s="138"/>
      <c r="E219" s="150"/>
      <c r="F219" s="150"/>
      <c r="G219" s="142"/>
      <c r="H219" s="138"/>
      <c r="I219" s="137"/>
    </row>
    <row r="220" spans="1:9">
      <c r="A220" s="136"/>
      <c r="B220" s="136"/>
      <c r="C220" s="137"/>
      <c r="D220" s="138"/>
      <c r="E220" s="150"/>
      <c r="F220" s="150"/>
      <c r="G220" s="142"/>
      <c r="H220" s="138"/>
      <c r="I220" s="137"/>
    </row>
    <row r="221" spans="1:9">
      <c r="A221" s="136"/>
      <c r="B221" s="136"/>
      <c r="C221" s="137"/>
      <c r="D221" s="138"/>
      <c r="E221" s="150"/>
      <c r="F221" s="150"/>
      <c r="G221" s="142"/>
      <c r="H221" s="138"/>
      <c r="I221" s="137"/>
    </row>
    <row r="222" spans="1:9">
      <c r="A222" s="136"/>
      <c r="B222" s="136"/>
      <c r="C222" s="137"/>
      <c r="D222" s="138"/>
      <c r="E222" s="150"/>
      <c r="F222" s="150"/>
      <c r="G222" s="142"/>
      <c r="H222" s="138"/>
      <c r="I222" s="137"/>
    </row>
    <row r="223" spans="1:9">
      <c r="A223" s="136"/>
      <c r="B223" s="136"/>
      <c r="C223" s="137"/>
      <c r="D223" s="138"/>
      <c r="E223" s="150"/>
      <c r="F223" s="150"/>
      <c r="G223" s="142"/>
      <c r="H223" s="138"/>
      <c r="I223" s="137"/>
    </row>
    <row r="224" spans="1:9">
      <c r="A224" s="136"/>
      <c r="B224" s="136"/>
      <c r="C224" s="137"/>
      <c r="D224" s="138"/>
      <c r="E224" s="150"/>
      <c r="F224" s="150"/>
      <c r="G224" s="142"/>
      <c r="H224" s="138"/>
      <c r="I224" s="137"/>
    </row>
    <row r="225" spans="1:9">
      <c r="A225" s="136"/>
      <c r="B225" s="136"/>
      <c r="C225" s="137"/>
      <c r="D225" s="138"/>
      <c r="E225" s="150"/>
      <c r="F225" s="150"/>
      <c r="G225" s="142"/>
      <c r="H225" s="138"/>
      <c r="I225" s="137"/>
    </row>
    <row r="226" spans="1:9">
      <c r="A226" s="136"/>
      <c r="B226" s="136"/>
      <c r="C226" s="137"/>
      <c r="D226" s="138"/>
      <c r="E226" s="150"/>
      <c r="F226" s="150"/>
      <c r="G226" s="142"/>
      <c r="H226" s="138"/>
      <c r="I226" s="137"/>
    </row>
    <row r="227" spans="1:9">
      <c r="A227" s="136"/>
      <c r="B227" s="136"/>
      <c r="C227" s="137"/>
      <c r="D227" s="138"/>
      <c r="E227" s="150"/>
      <c r="F227" s="150"/>
      <c r="G227" s="142"/>
      <c r="H227" s="138"/>
      <c r="I227" s="137"/>
    </row>
    <row r="228" spans="1:9">
      <c r="A228" s="136"/>
      <c r="B228" s="136"/>
      <c r="C228" s="137"/>
      <c r="D228" s="138"/>
      <c r="E228" s="150"/>
      <c r="F228" s="150"/>
      <c r="G228" s="142"/>
      <c r="H228" s="138"/>
      <c r="I228" s="137"/>
    </row>
    <row r="229" spans="1:9">
      <c r="A229" s="136"/>
      <c r="B229" s="136"/>
      <c r="C229" s="137"/>
      <c r="D229" s="138"/>
      <c r="E229" s="150"/>
      <c r="F229" s="150"/>
      <c r="G229" s="142"/>
      <c r="H229" s="138"/>
      <c r="I229" s="137"/>
    </row>
    <row r="230" spans="1:9">
      <c r="A230" s="136"/>
      <c r="B230" s="136"/>
      <c r="C230" s="137"/>
      <c r="D230" s="138"/>
      <c r="E230" s="150"/>
      <c r="F230" s="150"/>
      <c r="G230" s="142"/>
      <c r="H230" s="138"/>
      <c r="I230" s="137"/>
    </row>
    <row r="231" spans="1:9">
      <c r="A231" s="136"/>
      <c r="B231" s="136"/>
      <c r="C231" s="137"/>
      <c r="D231" s="138"/>
      <c r="E231" s="150"/>
      <c r="F231" s="150"/>
      <c r="G231" s="142"/>
      <c r="H231" s="138"/>
      <c r="I231" s="137"/>
    </row>
    <row r="232" spans="1:9">
      <c r="A232" s="136"/>
      <c r="B232" s="136"/>
      <c r="C232" s="137"/>
      <c r="D232" s="138"/>
      <c r="E232" s="150"/>
      <c r="F232" s="150"/>
      <c r="G232" s="142"/>
      <c r="H232" s="138"/>
      <c r="I232" s="137"/>
    </row>
    <row r="233" spans="1:9">
      <c r="A233" s="136"/>
      <c r="B233" s="136"/>
      <c r="C233" s="137"/>
      <c r="D233" s="138"/>
      <c r="E233" s="150"/>
      <c r="F233" s="150"/>
      <c r="G233" s="142"/>
      <c r="H233" s="138"/>
      <c r="I233" s="137"/>
    </row>
    <row r="234" spans="1:9">
      <c r="A234" s="136"/>
      <c r="B234" s="136"/>
      <c r="C234" s="137"/>
      <c r="D234" s="138"/>
      <c r="E234" s="150"/>
      <c r="F234" s="150"/>
      <c r="G234" s="142"/>
      <c r="H234" s="138"/>
      <c r="I234" s="137"/>
    </row>
    <row r="235" spans="1:9">
      <c r="A235" s="136"/>
      <c r="B235" s="136"/>
      <c r="C235" s="137"/>
      <c r="D235" s="138"/>
      <c r="E235" s="150"/>
      <c r="F235" s="150"/>
      <c r="G235" s="142"/>
      <c r="H235" s="138"/>
      <c r="I235" s="137"/>
    </row>
    <row r="236" spans="1:9">
      <c r="A236" s="136"/>
      <c r="B236" s="136"/>
      <c r="C236" s="137"/>
      <c r="D236" s="138"/>
      <c r="E236" s="150"/>
      <c r="F236" s="150"/>
      <c r="G236" s="142"/>
      <c r="H236" s="138"/>
      <c r="I236" s="137"/>
    </row>
    <row r="237" spans="1:9">
      <c r="A237" s="136"/>
      <c r="B237" s="136"/>
      <c r="C237" s="137"/>
      <c r="D237" s="138"/>
      <c r="E237" s="150"/>
      <c r="F237" s="150"/>
      <c r="G237" s="142"/>
      <c r="H237" s="138"/>
      <c r="I237" s="137"/>
    </row>
    <row r="238" spans="1:9">
      <c r="A238" s="136"/>
      <c r="B238" s="136"/>
      <c r="C238" s="137"/>
      <c r="D238" s="138"/>
      <c r="E238" s="150"/>
      <c r="F238" s="150"/>
      <c r="G238" s="142"/>
      <c r="H238" s="138"/>
      <c r="I238" s="137"/>
    </row>
    <row r="239" spans="1:9">
      <c r="A239" s="136"/>
      <c r="B239" s="136"/>
      <c r="C239" s="137"/>
      <c r="D239" s="138"/>
      <c r="E239" s="150"/>
      <c r="F239" s="150"/>
      <c r="G239" s="142"/>
      <c r="H239" s="138"/>
      <c r="I239" s="137"/>
    </row>
    <row r="240" spans="1:9">
      <c r="A240" s="136"/>
      <c r="B240" s="136"/>
      <c r="C240" s="137"/>
      <c r="D240" s="138"/>
      <c r="E240" s="150"/>
      <c r="F240" s="150"/>
      <c r="G240" s="142"/>
      <c r="H240" s="138"/>
      <c r="I240" s="137"/>
    </row>
    <row r="241" spans="1:9">
      <c r="A241" s="136"/>
      <c r="B241" s="136"/>
      <c r="C241" s="137"/>
      <c r="D241" s="138"/>
      <c r="E241" s="150"/>
      <c r="F241" s="150"/>
      <c r="G241" s="142"/>
      <c r="H241" s="138"/>
      <c r="I241" s="137"/>
    </row>
    <row r="242" spans="1:9">
      <c r="A242" s="136"/>
      <c r="B242" s="136"/>
      <c r="C242" s="137"/>
      <c r="D242" s="138"/>
      <c r="E242" s="150"/>
      <c r="F242" s="150"/>
      <c r="G242" s="142"/>
      <c r="H242" s="138"/>
      <c r="I242" s="137"/>
    </row>
    <row r="243" spans="1:9">
      <c r="A243" s="136"/>
      <c r="B243" s="136"/>
      <c r="C243" s="137"/>
      <c r="D243" s="138"/>
      <c r="E243" s="150"/>
      <c r="F243" s="150"/>
      <c r="G243" s="142"/>
      <c r="H243" s="138"/>
      <c r="I243" s="137"/>
    </row>
    <row r="244" spans="1:9">
      <c r="A244" s="136"/>
      <c r="B244" s="136"/>
      <c r="C244" s="137"/>
      <c r="D244" s="138"/>
      <c r="E244" s="150"/>
      <c r="F244" s="150"/>
      <c r="G244" s="142"/>
      <c r="H244" s="138"/>
      <c r="I244" s="137"/>
    </row>
    <row r="245" spans="1:9">
      <c r="A245" s="136"/>
      <c r="B245" s="136"/>
      <c r="C245" s="137"/>
      <c r="D245" s="138"/>
      <c r="E245" s="150"/>
      <c r="F245" s="150"/>
      <c r="G245" s="142"/>
      <c r="H245" s="138"/>
      <c r="I245" s="137"/>
    </row>
    <row r="246" spans="1:9">
      <c r="A246" s="136"/>
      <c r="B246" s="136"/>
      <c r="C246" s="137"/>
      <c r="D246" s="138"/>
      <c r="E246" s="150"/>
      <c r="F246" s="150"/>
      <c r="G246" s="142"/>
      <c r="H246" s="138"/>
      <c r="I246" s="137"/>
    </row>
    <row r="247" spans="1:9">
      <c r="A247" s="136"/>
      <c r="B247" s="136"/>
      <c r="C247" s="137"/>
      <c r="D247" s="138"/>
      <c r="E247" s="150"/>
      <c r="F247" s="150"/>
      <c r="G247" s="142"/>
      <c r="H247" s="138"/>
      <c r="I247" s="137"/>
    </row>
    <row r="248" spans="1:9">
      <c r="A248" s="136"/>
      <c r="B248" s="136"/>
      <c r="C248" s="137"/>
      <c r="D248" s="138"/>
      <c r="E248" s="150"/>
      <c r="F248" s="150"/>
      <c r="G248" s="142"/>
      <c r="H248" s="138"/>
      <c r="I248" s="137"/>
    </row>
    <row r="249" spans="1:9">
      <c r="A249" s="136"/>
      <c r="B249" s="136"/>
      <c r="C249" s="137"/>
      <c r="D249" s="138"/>
      <c r="E249" s="150"/>
      <c r="F249" s="150"/>
      <c r="G249" s="142"/>
      <c r="H249" s="138"/>
      <c r="I249" s="137"/>
    </row>
    <row r="250" spans="1:9">
      <c r="A250" s="136"/>
      <c r="B250" s="136"/>
      <c r="C250" s="137"/>
      <c r="D250" s="138"/>
      <c r="E250" s="150"/>
      <c r="F250" s="150"/>
      <c r="G250" s="142"/>
      <c r="H250" s="138"/>
      <c r="I250" s="137"/>
    </row>
    <row r="251" spans="1:9">
      <c r="A251" s="136"/>
      <c r="B251" s="136"/>
      <c r="C251" s="137"/>
      <c r="D251" s="138"/>
      <c r="E251" s="150"/>
      <c r="F251" s="150"/>
      <c r="G251" s="142"/>
      <c r="H251" s="138"/>
      <c r="I251" s="137"/>
    </row>
    <row r="252" spans="1:9">
      <c r="A252" s="136"/>
      <c r="B252" s="136"/>
      <c r="C252" s="137"/>
      <c r="D252" s="138"/>
      <c r="E252" s="150"/>
      <c r="F252" s="150"/>
      <c r="G252" s="142"/>
      <c r="H252" s="138"/>
      <c r="I252" s="137"/>
    </row>
    <row r="253" spans="1:9">
      <c r="A253" s="136"/>
      <c r="B253" s="136"/>
      <c r="C253" s="137"/>
      <c r="D253" s="138"/>
      <c r="E253" s="150"/>
      <c r="F253" s="150"/>
      <c r="G253" s="142"/>
      <c r="H253" s="138"/>
      <c r="I253" s="137"/>
    </row>
    <row r="254" spans="1:9">
      <c r="A254" s="136"/>
      <c r="B254" s="136"/>
      <c r="C254" s="137"/>
      <c r="D254" s="138"/>
      <c r="E254" s="150"/>
      <c r="F254" s="150"/>
      <c r="G254" s="142"/>
      <c r="H254" s="138"/>
      <c r="I254" s="137"/>
    </row>
    <row r="255" spans="1:9">
      <c r="A255" s="136"/>
      <c r="B255" s="136"/>
      <c r="C255" s="137"/>
      <c r="D255" s="138"/>
      <c r="E255" s="150"/>
      <c r="F255" s="150"/>
      <c r="G255" s="142"/>
      <c r="H255" s="138"/>
      <c r="I255" s="137"/>
    </row>
    <row r="256" spans="1:9">
      <c r="A256" s="136"/>
      <c r="B256" s="136"/>
      <c r="C256" s="137"/>
      <c r="D256" s="138"/>
      <c r="E256" s="150"/>
      <c r="F256" s="150"/>
      <c r="G256" s="142"/>
      <c r="H256" s="138"/>
      <c r="I256" s="137"/>
    </row>
    <row r="257" spans="1:9">
      <c r="A257" s="136"/>
      <c r="B257" s="136"/>
      <c r="C257" s="137"/>
      <c r="D257" s="138"/>
      <c r="E257" s="150"/>
      <c r="F257" s="150"/>
      <c r="G257" s="142"/>
      <c r="H257" s="138"/>
      <c r="I257" s="137"/>
    </row>
    <row r="258" spans="1:9">
      <c r="A258" s="136"/>
      <c r="B258" s="136"/>
      <c r="C258" s="137"/>
      <c r="D258" s="138"/>
      <c r="E258" s="150"/>
      <c r="F258" s="150"/>
      <c r="G258" s="142"/>
      <c r="H258" s="138"/>
      <c r="I258" s="137"/>
    </row>
    <row r="259" spans="1:9">
      <c r="A259" s="136"/>
      <c r="B259" s="136"/>
      <c r="C259" s="137"/>
      <c r="D259" s="138"/>
      <c r="E259" s="150"/>
      <c r="F259" s="150"/>
      <c r="G259" s="142"/>
      <c r="H259" s="138"/>
      <c r="I259" s="137"/>
    </row>
    <row r="260" spans="1:9">
      <c r="A260" s="136"/>
      <c r="B260" s="136"/>
      <c r="C260" s="137"/>
      <c r="D260" s="138"/>
      <c r="E260" s="150"/>
      <c r="F260" s="150"/>
      <c r="G260" s="142"/>
      <c r="H260" s="138"/>
      <c r="I260" s="137"/>
    </row>
    <row r="261" spans="1:9">
      <c r="A261" s="136"/>
      <c r="B261" s="136"/>
      <c r="C261" s="137"/>
      <c r="D261" s="138"/>
      <c r="E261" s="150"/>
      <c r="F261" s="150"/>
      <c r="G261" s="142"/>
      <c r="H261" s="138"/>
      <c r="I261" s="137"/>
    </row>
    <row r="262" spans="1:9">
      <c r="A262" s="136"/>
      <c r="B262" s="136"/>
      <c r="C262" s="137"/>
      <c r="D262" s="138"/>
      <c r="E262" s="150"/>
      <c r="F262" s="150"/>
      <c r="G262" s="142"/>
      <c r="H262" s="138"/>
      <c r="I262" s="137"/>
    </row>
    <row r="263" spans="1:9">
      <c r="A263" s="136"/>
      <c r="B263" s="136"/>
      <c r="C263" s="137"/>
      <c r="D263" s="138"/>
      <c r="E263" s="150"/>
      <c r="F263" s="150"/>
      <c r="G263" s="142"/>
      <c r="H263" s="138"/>
      <c r="I263" s="137"/>
    </row>
    <row r="264" spans="1:9">
      <c r="A264" s="136"/>
      <c r="B264" s="136"/>
      <c r="C264" s="137"/>
      <c r="D264" s="138"/>
      <c r="E264" s="150"/>
      <c r="F264" s="150"/>
      <c r="G264" s="142"/>
      <c r="H264" s="138"/>
      <c r="I264" s="137"/>
    </row>
    <row r="265" spans="1:9">
      <c r="A265" s="136"/>
      <c r="B265" s="136"/>
      <c r="C265" s="137"/>
      <c r="D265" s="138"/>
      <c r="E265" s="150"/>
      <c r="F265" s="150"/>
      <c r="G265" s="142"/>
      <c r="H265" s="138"/>
      <c r="I265" s="137"/>
    </row>
    <row r="266" spans="1:9">
      <c r="A266" s="136"/>
      <c r="B266" s="136"/>
      <c r="C266" s="137"/>
      <c r="D266" s="138"/>
      <c r="E266" s="150"/>
      <c r="F266" s="150"/>
      <c r="G266" s="142"/>
      <c r="H266" s="138"/>
      <c r="I266" s="137"/>
    </row>
    <row r="267" spans="1:9">
      <c r="A267" s="136"/>
      <c r="B267" s="136"/>
      <c r="C267" s="137"/>
      <c r="D267" s="138"/>
      <c r="E267" s="150"/>
      <c r="F267" s="150"/>
      <c r="G267" s="142"/>
      <c r="H267" s="138"/>
      <c r="I267" s="137"/>
    </row>
    <row r="268" spans="1:9">
      <c r="A268" s="136"/>
      <c r="B268" s="136"/>
      <c r="C268" s="137"/>
      <c r="D268" s="138"/>
      <c r="E268" s="150"/>
      <c r="F268" s="150"/>
      <c r="G268" s="142"/>
      <c r="H268" s="138"/>
      <c r="I268" s="137"/>
    </row>
    <row r="269" spans="1:9">
      <c r="A269" s="136"/>
      <c r="B269" s="136"/>
      <c r="C269" s="137"/>
      <c r="D269" s="138"/>
      <c r="E269" s="150"/>
      <c r="F269" s="150"/>
      <c r="G269" s="142"/>
      <c r="H269" s="138"/>
      <c r="I269" s="137"/>
    </row>
    <row r="270" spans="1:9">
      <c r="A270" s="136"/>
      <c r="B270" s="136"/>
      <c r="C270" s="137"/>
      <c r="D270" s="138"/>
      <c r="E270" s="150"/>
      <c r="F270" s="150"/>
      <c r="G270" s="142"/>
      <c r="H270" s="138"/>
      <c r="I270" s="137"/>
    </row>
    <row r="271" spans="1:9">
      <c r="A271" s="136"/>
      <c r="B271" s="136"/>
      <c r="C271" s="137"/>
      <c r="D271" s="138"/>
      <c r="E271" s="150"/>
      <c r="F271" s="150"/>
      <c r="G271" s="142"/>
      <c r="H271" s="138"/>
      <c r="I271" s="137"/>
    </row>
    <row r="272" spans="1:9">
      <c r="A272" s="136"/>
      <c r="B272" s="136"/>
      <c r="C272" s="137"/>
      <c r="D272" s="138"/>
      <c r="E272" s="150"/>
      <c r="F272" s="150"/>
      <c r="G272" s="142"/>
      <c r="H272" s="138"/>
      <c r="I272" s="137"/>
    </row>
    <row r="273" spans="1:9">
      <c r="A273" s="136"/>
      <c r="B273" s="136"/>
      <c r="C273" s="137"/>
      <c r="D273" s="138"/>
      <c r="E273" s="150"/>
      <c r="F273" s="150"/>
      <c r="G273" s="142"/>
      <c r="H273" s="138"/>
      <c r="I273" s="137"/>
    </row>
    <row r="274" spans="1:9">
      <c r="A274" s="136"/>
      <c r="B274" s="136"/>
      <c r="C274" s="137"/>
      <c r="D274" s="138"/>
      <c r="E274" s="150"/>
      <c r="F274" s="150"/>
      <c r="G274" s="142"/>
      <c r="H274" s="138"/>
      <c r="I274" s="137"/>
    </row>
    <row r="275" spans="1:9">
      <c r="A275" s="136"/>
      <c r="B275" s="136"/>
      <c r="C275" s="137"/>
      <c r="D275" s="138"/>
      <c r="E275" s="150"/>
      <c r="F275" s="150"/>
      <c r="G275" s="142"/>
      <c r="H275" s="138"/>
      <c r="I275" s="137"/>
    </row>
    <row r="276" spans="1:9">
      <c r="A276" s="136"/>
      <c r="B276" s="136"/>
      <c r="C276" s="137"/>
      <c r="D276" s="138"/>
      <c r="E276" s="150"/>
      <c r="F276" s="150"/>
      <c r="G276" s="142"/>
      <c r="H276" s="138"/>
      <c r="I276" s="137"/>
    </row>
    <row r="277" spans="1:9">
      <c r="A277" s="136"/>
      <c r="B277" s="136"/>
      <c r="C277" s="137"/>
      <c r="D277" s="138"/>
      <c r="E277" s="150"/>
      <c r="F277" s="150"/>
      <c r="G277" s="142"/>
      <c r="H277" s="138"/>
      <c r="I277" s="137"/>
    </row>
    <row r="278" spans="1:9">
      <c r="A278" s="136"/>
      <c r="B278" s="136"/>
      <c r="C278" s="137"/>
      <c r="D278" s="138"/>
      <c r="E278" s="150"/>
      <c r="F278" s="150"/>
      <c r="G278" s="142"/>
      <c r="H278" s="138"/>
      <c r="I278" s="137"/>
    </row>
    <row r="279" spans="1:9">
      <c r="A279" s="136"/>
      <c r="B279" s="136"/>
      <c r="C279" s="137"/>
      <c r="D279" s="138"/>
      <c r="E279" s="150"/>
      <c r="F279" s="150"/>
      <c r="G279" s="142"/>
      <c r="H279" s="138"/>
      <c r="I279" s="137"/>
    </row>
    <row r="280" spans="1:9">
      <c r="A280" s="136"/>
      <c r="B280" s="136"/>
      <c r="C280" s="137"/>
      <c r="D280" s="138"/>
      <c r="E280" s="150"/>
      <c r="F280" s="150"/>
      <c r="G280" s="142"/>
      <c r="H280" s="138"/>
      <c r="I280" s="137"/>
    </row>
    <row r="281" spans="1:9">
      <c r="A281" s="136"/>
      <c r="B281" s="136"/>
      <c r="C281" s="137"/>
      <c r="D281" s="138"/>
      <c r="E281" s="150"/>
      <c r="F281" s="150"/>
      <c r="G281" s="142"/>
      <c r="H281" s="138"/>
      <c r="I281" s="137"/>
    </row>
    <row r="282" spans="1:9">
      <c r="A282" s="136"/>
      <c r="B282" s="136"/>
      <c r="C282" s="137"/>
      <c r="D282" s="138"/>
      <c r="E282" s="150"/>
      <c r="F282" s="150"/>
      <c r="G282" s="142"/>
      <c r="H282" s="138"/>
      <c r="I282" s="137"/>
    </row>
    <row r="283" spans="1:9">
      <c r="A283" s="136"/>
      <c r="B283" s="136"/>
      <c r="C283" s="137"/>
      <c r="D283" s="138"/>
      <c r="E283" s="150"/>
      <c r="F283" s="150"/>
      <c r="G283" s="142"/>
      <c r="H283" s="138"/>
      <c r="I283" s="137"/>
    </row>
    <row r="284" spans="1:9">
      <c r="A284" s="136"/>
      <c r="B284" s="136"/>
      <c r="C284" s="137"/>
      <c r="D284" s="138"/>
      <c r="E284" s="150"/>
      <c r="F284" s="150"/>
      <c r="G284" s="142"/>
      <c r="H284" s="138"/>
      <c r="I284" s="137"/>
    </row>
    <row r="285" spans="1:9">
      <c r="A285" s="136"/>
      <c r="B285" s="136"/>
      <c r="C285" s="137"/>
      <c r="D285" s="138"/>
      <c r="E285" s="150"/>
      <c r="F285" s="150"/>
      <c r="G285" s="142"/>
      <c r="H285" s="138"/>
      <c r="I285" s="137"/>
    </row>
    <row r="286" spans="1:9">
      <c r="A286" s="136"/>
      <c r="B286" s="136"/>
      <c r="C286" s="137"/>
      <c r="D286" s="138"/>
      <c r="E286" s="150"/>
      <c r="F286" s="150"/>
      <c r="G286" s="142"/>
      <c r="H286" s="138"/>
      <c r="I286" s="137"/>
    </row>
    <row r="287" spans="1:9">
      <c r="A287" s="136"/>
      <c r="B287" s="136"/>
      <c r="C287" s="137"/>
      <c r="D287" s="138"/>
      <c r="E287" s="150"/>
      <c r="F287" s="150"/>
      <c r="G287" s="142"/>
      <c r="H287" s="138"/>
      <c r="I287" s="137"/>
    </row>
    <row r="288" spans="1:9">
      <c r="A288" s="136"/>
      <c r="B288" s="136"/>
      <c r="C288" s="137"/>
      <c r="D288" s="138"/>
      <c r="E288" s="150"/>
      <c r="F288" s="150"/>
      <c r="G288" s="142"/>
      <c r="H288" s="138"/>
      <c r="I288" s="137"/>
    </row>
    <row r="289" spans="1:9">
      <c r="A289" s="136"/>
      <c r="B289" s="136"/>
      <c r="C289" s="137"/>
      <c r="D289" s="138"/>
      <c r="E289" s="150"/>
      <c r="F289" s="150"/>
      <c r="G289" s="142"/>
      <c r="H289" s="138"/>
      <c r="I289" s="137"/>
    </row>
    <row r="290" spans="1:9">
      <c r="A290" s="136"/>
      <c r="B290" s="136"/>
      <c r="C290" s="137"/>
      <c r="D290" s="138"/>
      <c r="E290" s="150"/>
      <c r="F290" s="150"/>
      <c r="G290" s="142"/>
      <c r="H290" s="138"/>
      <c r="I290" s="137"/>
    </row>
    <row r="291" spans="1:9">
      <c r="A291" s="136"/>
      <c r="B291" s="136"/>
      <c r="C291" s="137"/>
      <c r="D291" s="138"/>
      <c r="E291" s="150"/>
      <c r="F291" s="150"/>
      <c r="G291" s="142"/>
      <c r="H291" s="138"/>
      <c r="I291" s="137"/>
    </row>
    <row r="292" spans="1:9">
      <c r="A292" s="136"/>
      <c r="B292" s="136"/>
      <c r="C292" s="137"/>
      <c r="D292" s="138"/>
      <c r="E292" s="150"/>
      <c r="F292" s="150"/>
      <c r="G292" s="142"/>
      <c r="H292" s="138"/>
      <c r="I292" s="137"/>
    </row>
    <row r="293" spans="1:9">
      <c r="A293" s="136"/>
      <c r="B293" s="136"/>
      <c r="C293" s="137"/>
      <c r="D293" s="138"/>
      <c r="E293" s="150"/>
      <c r="F293" s="150"/>
      <c r="G293" s="142"/>
      <c r="H293" s="138"/>
      <c r="I293" s="137"/>
    </row>
    <row r="294" spans="1:9">
      <c r="A294" s="136"/>
      <c r="B294" s="136"/>
      <c r="C294" s="137"/>
      <c r="D294" s="138"/>
      <c r="E294" s="150"/>
      <c r="F294" s="150"/>
      <c r="G294" s="142"/>
      <c r="H294" s="138"/>
      <c r="I294" s="137"/>
    </row>
    <row r="295" spans="1:9">
      <c r="A295" s="136"/>
      <c r="B295" s="136"/>
      <c r="C295" s="137"/>
      <c r="D295" s="138"/>
      <c r="E295" s="150"/>
      <c r="F295" s="150"/>
      <c r="G295" s="142"/>
      <c r="H295" s="138"/>
      <c r="I295" s="137"/>
    </row>
    <row r="296" spans="1:9">
      <c r="A296" s="136"/>
      <c r="B296" s="136"/>
      <c r="C296" s="137"/>
      <c r="D296" s="138"/>
      <c r="E296" s="150"/>
      <c r="F296" s="150"/>
      <c r="G296" s="142"/>
      <c r="H296" s="138"/>
      <c r="I296" s="137"/>
    </row>
    <row r="297" spans="1:9">
      <c r="A297" s="136"/>
      <c r="B297" s="136"/>
      <c r="C297" s="137"/>
      <c r="D297" s="138"/>
      <c r="E297" s="150"/>
      <c r="F297" s="150"/>
      <c r="G297" s="142"/>
      <c r="H297" s="138"/>
      <c r="I297" s="137"/>
    </row>
    <row r="298" spans="1:9">
      <c r="A298" s="136"/>
      <c r="B298" s="136"/>
      <c r="C298" s="137"/>
      <c r="D298" s="138"/>
      <c r="E298" s="150"/>
      <c r="F298" s="150"/>
      <c r="G298" s="142"/>
      <c r="H298" s="138"/>
      <c r="I298" s="137"/>
    </row>
    <row r="299" spans="1:9">
      <c r="A299" s="136"/>
      <c r="B299" s="136"/>
      <c r="C299" s="137"/>
      <c r="D299" s="138"/>
      <c r="E299" s="150"/>
      <c r="F299" s="150"/>
      <c r="G299" s="142"/>
      <c r="H299" s="138"/>
      <c r="I299" s="137"/>
    </row>
    <row r="300" spans="1:9">
      <c r="A300" s="136"/>
      <c r="B300" s="136"/>
      <c r="C300" s="137"/>
      <c r="D300" s="138"/>
      <c r="E300" s="150"/>
      <c r="F300" s="150"/>
      <c r="G300" s="142"/>
      <c r="H300" s="138"/>
      <c r="I300" s="137"/>
    </row>
    <row r="301" spans="1:9">
      <c r="A301" s="136"/>
      <c r="B301" s="136"/>
      <c r="C301" s="137"/>
      <c r="D301" s="138"/>
      <c r="E301" s="150"/>
      <c r="F301" s="150"/>
      <c r="G301" s="142"/>
      <c r="H301" s="138"/>
      <c r="I301" s="137"/>
    </row>
    <row r="302" spans="1:9">
      <c r="A302" s="136"/>
      <c r="B302" s="136"/>
      <c r="C302" s="137"/>
      <c r="D302" s="138"/>
      <c r="E302" s="150"/>
      <c r="F302" s="150"/>
      <c r="G302" s="142"/>
      <c r="H302" s="138"/>
      <c r="I302" s="137"/>
    </row>
    <row r="303" spans="1:9">
      <c r="A303" s="136"/>
      <c r="B303" s="136"/>
      <c r="C303" s="137"/>
      <c r="D303" s="138"/>
      <c r="E303" s="150"/>
      <c r="F303" s="150"/>
      <c r="G303" s="142"/>
      <c r="H303" s="138"/>
      <c r="I303" s="137"/>
    </row>
    <row r="304" spans="1:9">
      <c r="A304" s="136"/>
      <c r="B304" s="136"/>
      <c r="C304" s="137"/>
      <c r="D304" s="138"/>
      <c r="E304" s="150"/>
      <c r="F304" s="150"/>
      <c r="G304" s="142"/>
      <c r="H304" s="138"/>
      <c r="I304" s="137"/>
    </row>
    <row r="305" spans="1:9">
      <c r="A305" s="136"/>
      <c r="B305" s="136"/>
      <c r="C305" s="137"/>
      <c r="D305" s="138"/>
      <c r="E305" s="150"/>
      <c r="F305" s="150"/>
      <c r="G305" s="142"/>
      <c r="H305" s="138"/>
      <c r="I305" s="137"/>
    </row>
    <row r="306" spans="1:9">
      <c r="A306" s="136"/>
      <c r="B306" s="136"/>
      <c r="C306" s="137"/>
      <c r="D306" s="138"/>
      <c r="E306" s="150"/>
      <c r="F306" s="150"/>
      <c r="G306" s="142"/>
      <c r="H306" s="138"/>
      <c r="I306" s="137"/>
    </row>
    <row r="307" spans="1:9">
      <c r="A307" s="136"/>
      <c r="B307" s="136"/>
      <c r="C307" s="137"/>
      <c r="D307" s="138"/>
      <c r="E307" s="150"/>
      <c r="F307" s="150"/>
      <c r="G307" s="142"/>
      <c r="H307" s="138"/>
      <c r="I307" s="137"/>
    </row>
    <row r="308" spans="1:9">
      <c r="A308" s="136"/>
      <c r="B308" s="136"/>
      <c r="C308" s="137"/>
      <c r="D308" s="138"/>
      <c r="E308" s="150"/>
      <c r="F308" s="150"/>
      <c r="G308" s="142"/>
      <c r="H308" s="138"/>
      <c r="I308" s="137"/>
    </row>
    <row r="309" spans="1:9">
      <c r="A309" s="136"/>
      <c r="B309" s="136"/>
      <c r="C309" s="137"/>
      <c r="D309" s="138"/>
      <c r="E309" s="150"/>
      <c r="F309" s="150"/>
      <c r="G309" s="142"/>
      <c r="H309" s="138"/>
      <c r="I309" s="137"/>
    </row>
    <row r="310" spans="1:9">
      <c r="A310" s="136"/>
      <c r="B310" s="136"/>
      <c r="C310" s="137"/>
      <c r="D310" s="138"/>
      <c r="E310" s="150"/>
      <c r="F310" s="150"/>
      <c r="G310" s="142"/>
      <c r="H310" s="138"/>
      <c r="I310" s="137"/>
    </row>
    <row r="311" spans="1:9">
      <c r="A311" s="136"/>
      <c r="B311" s="136"/>
      <c r="C311" s="137"/>
      <c r="D311" s="138"/>
      <c r="E311" s="150"/>
      <c r="F311" s="150"/>
      <c r="G311" s="142"/>
      <c r="H311" s="138"/>
      <c r="I311" s="137"/>
    </row>
    <row r="312" spans="1:9">
      <c r="A312" s="136"/>
      <c r="B312" s="136"/>
      <c r="C312" s="137"/>
      <c r="D312" s="138"/>
      <c r="E312" s="150"/>
      <c r="F312" s="150"/>
      <c r="G312" s="142"/>
      <c r="H312" s="138"/>
      <c r="I312" s="137"/>
    </row>
    <row r="313" spans="1:9">
      <c r="A313" s="136"/>
      <c r="B313" s="136"/>
      <c r="C313" s="137"/>
      <c r="D313" s="138"/>
      <c r="E313" s="150"/>
      <c r="F313" s="150"/>
      <c r="G313" s="142"/>
      <c r="H313" s="138"/>
      <c r="I313" s="137"/>
    </row>
    <row r="314" spans="1:9">
      <c r="A314" s="136"/>
      <c r="B314" s="136"/>
      <c r="C314" s="137"/>
      <c r="D314" s="138"/>
      <c r="E314" s="150"/>
      <c r="F314" s="150"/>
      <c r="G314" s="142"/>
      <c r="H314" s="138"/>
      <c r="I314" s="137"/>
    </row>
    <row r="315" spans="1:9">
      <c r="A315" s="136"/>
      <c r="B315" s="136"/>
      <c r="C315" s="137"/>
      <c r="D315" s="138"/>
      <c r="E315" s="150"/>
      <c r="F315" s="150"/>
      <c r="G315" s="142"/>
      <c r="H315" s="138"/>
      <c r="I315" s="137"/>
    </row>
    <row r="316" spans="1:9">
      <c r="A316" s="136"/>
      <c r="B316" s="136"/>
      <c r="C316" s="137"/>
      <c r="D316" s="138"/>
      <c r="E316" s="150"/>
      <c r="F316" s="150"/>
      <c r="G316" s="142"/>
      <c r="H316" s="138"/>
      <c r="I316" s="137"/>
    </row>
    <row r="317" spans="1:9">
      <c r="A317" s="136"/>
      <c r="B317" s="136"/>
      <c r="C317" s="137"/>
      <c r="D317" s="138"/>
      <c r="E317" s="150"/>
      <c r="F317" s="150"/>
      <c r="G317" s="142"/>
      <c r="H317" s="138"/>
      <c r="I317" s="137"/>
    </row>
    <row r="318" spans="1:9">
      <c r="A318" s="136"/>
      <c r="B318" s="136"/>
      <c r="C318" s="137"/>
      <c r="D318" s="138"/>
      <c r="E318" s="150"/>
      <c r="F318" s="150"/>
      <c r="G318" s="142"/>
      <c r="H318" s="138"/>
      <c r="I318" s="137"/>
    </row>
    <row r="319" spans="1:9">
      <c r="A319" s="136"/>
      <c r="B319" s="136"/>
      <c r="C319" s="137"/>
      <c r="D319" s="138"/>
      <c r="E319" s="150"/>
      <c r="F319" s="150"/>
      <c r="G319" s="142"/>
      <c r="H319" s="138"/>
      <c r="I319" s="137"/>
    </row>
    <row r="320" spans="1:9">
      <c r="A320" s="136"/>
      <c r="B320" s="136"/>
      <c r="C320" s="137"/>
      <c r="D320" s="138"/>
      <c r="E320" s="150"/>
      <c r="F320" s="150"/>
      <c r="G320" s="142"/>
      <c r="H320" s="138"/>
      <c r="I320" s="137"/>
    </row>
    <row r="321" spans="1:9">
      <c r="A321" s="136"/>
      <c r="B321" s="136"/>
      <c r="C321" s="137"/>
      <c r="D321" s="138"/>
      <c r="E321" s="150"/>
      <c r="F321" s="150"/>
      <c r="G321" s="142"/>
      <c r="H321" s="138"/>
      <c r="I321" s="137"/>
    </row>
    <row r="322" spans="1:9">
      <c r="A322" s="136"/>
      <c r="B322" s="136"/>
      <c r="C322" s="137"/>
      <c r="D322" s="138"/>
      <c r="E322" s="150"/>
      <c r="F322" s="150"/>
      <c r="G322" s="142"/>
      <c r="H322" s="138"/>
      <c r="I322" s="137"/>
    </row>
    <row r="323" spans="1:9">
      <c r="A323" s="136"/>
      <c r="B323" s="136"/>
      <c r="C323" s="137"/>
      <c r="D323" s="138"/>
      <c r="E323" s="150"/>
      <c r="F323" s="150"/>
      <c r="G323" s="142"/>
      <c r="H323" s="138"/>
      <c r="I323" s="137"/>
    </row>
    <row r="324" spans="1:9">
      <c r="A324" s="136"/>
      <c r="B324" s="136"/>
      <c r="C324" s="137"/>
      <c r="D324" s="138"/>
      <c r="E324" s="150"/>
      <c r="F324" s="150"/>
      <c r="G324" s="142"/>
      <c r="H324" s="138"/>
      <c r="I324" s="137"/>
    </row>
    <row r="325" spans="1:9">
      <c r="A325" s="136"/>
      <c r="B325" s="136"/>
      <c r="C325" s="137"/>
      <c r="D325" s="138"/>
      <c r="E325" s="150"/>
      <c r="F325" s="150"/>
      <c r="G325" s="142"/>
      <c r="H325" s="138"/>
      <c r="I325" s="137"/>
    </row>
    <row r="326" spans="1:9">
      <c r="A326" s="136"/>
      <c r="B326" s="136"/>
      <c r="C326" s="137"/>
      <c r="D326" s="138"/>
      <c r="E326" s="150"/>
      <c r="F326" s="150"/>
      <c r="G326" s="142"/>
      <c r="H326" s="138"/>
      <c r="I326" s="137"/>
    </row>
    <row r="327" spans="1:9">
      <c r="A327" s="136"/>
      <c r="B327" s="136"/>
      <c r="C327" s="137"/>
      <c r="D327" s="138"/>
      <c r="E327" s="150"/>
      <c r="F327" s="150"/>
      <c r="G327" s="142"/>
      <c r="H327" s="138"/>
      <c r="I327" s="137"/>
    </row>
    <row r="328" spans="1:9">
      <c r="A328" s="136"/>
      <c r="B328" s="136"/>
      <c r="C328" s="137"/>
      <c r="D328" s="138"/>
      <c r="E328" s="150"/>
      <c r="F328" s="150"/>
      <c r="G328" s="142"/>
      <c r="H328" s="138"/>
      <c r="I328" s="137"/>
    </row>
    <row r="329" spans="1:9">
      <c r="A329" s="136"/>
      <c r="B329" s="136"/>
      <c r="C329" s="137"/>
      <c r="D329" s="138"/>
      <c r="E329" s="150"/>
      <c r="F329" s="150"/>
      <c r="G329" s="142"/>
      <c r="H329" s="138"/>
      <c r="I329" s="137"/>
    </row>
    <row r="330" spans="1:9">
      <c r="A330" s="136"/>
      <c r="B330" s="136"/>
      <c r="C330" s="137"/>
      <c r="D330" s="138"/>
      <c r="E330" s="150"/>
      <c r="F330" s="150"/>
      <c r="G330" s="142"/>
      <c r="H330" s="138"/>
      <c r="I330" s="137"/>
    </row>
    <row r="331" spans="1:9">
      <c r="A331" s="136"/>
      <c r="B331" s="136"/>
      <c r="C331" s="137"/>
      <c r="D331" s="138"/>
      <c r="E331" s="150"/>
      <c r="F331" s="150"/>
      <c r="G331" s="142"/>
      <c r="H331" s="138"/>
      <c r="I331" s="137"/>
    </row>
    <row r="332" spans="1:9">
      <c r="A332" s="136"/>
      <c r="B332" s="136"/>
      <c r="C332" s="137"/>
      <c r="D332" s="138"/>
      <c r="E332" s="150"/>
      <c r="F332" s="150"/>
      <c r="G332" s="142"/>
      <c r="H332" s="138"/>
      <c r="I332" s="137"/>
    </row>
    <row r="333" spans="1:9">
      <c r="A333" s="136"/>
      <c r="B333" s="136"/>
      <c r="C333" s="137"/>
      <c r="D333" s="138"/>
      <c r="E333" s="150"/>
      <c r="F333" s="150"/>
      <c r="G333" s="142"/>
      <c r="H333" s="138"/>
      <c r="I333" s="137"/>
    </row>
    <row r="334" spans="1:9">
      <c r="A334" s="136"/>
      <c r="B334" s="136"/>
      <c r="C334" s="137"/>
      <c r="D334" s="138"/>
      <c r="E334" s="150"/>
      <c r="F334" s="150"/>
      <c r="G334" s="142"/>
      <c r="H334" s="138"/>
      <c r="I334" s="137"/>
    </row>
    <row r="335" spans="1:9">
      <c r="A335" s="136"/>
      <c r="B335" s="136"/>
      <c r="C335" s="137"/>
      <c r="D335" s="138"/>
      <c r="E335" s="150"/>
      <c r="F335" s="150"/>
      <c r="G335" s="142"/>
      <c r="H335" s="138"/>
      <c r="I335" s="137"/>
    </row>
    <row r="336" spans="1:9">
      <c r="A336" s="136"/>
      <c r="B336" s="136"/>
      <c r="C336" s="137"/>
      <c r="D336" s="138"/>
      <c r="E336" s="150"/>
      <c r="F336" s="150"/>
      <c r="G336" s="142"/>
      <c r="H336" s="138"/>
      <c r="I336" s="137"/>
    </row>
    <row r="337" spans="1:9">
      <c r="A337" s="136"/>
      <c r="B337" s="136"/>
      <c r="C337" s="137"/>
      <c r="D337" s="138"/>
      <c r="E337" s="150"/>
      <c r="F337" s="150"/>
      <c r="G337" s="142"/>
      <c r="H337" s="138"/>
      <c r="I337" s="137"/>
    </row>
    <row r="338" spans="1:9">
      <c r="A338" s="136"/>
      <c r="B338" s="136"/>
      <c r="C338" s="137"/>
      <c r="D338" s="138"/>
      <c r="E338" s="150"/>
      <c r="F338" s="150"/>
      <c r="G338" s="142"/>
      <c r="H338" s="138"/>
      <c r="I338" s="137"/>
    </row>
    <row r="339" spans="1:9">
      <c r="A339" s="136"/>
      <c r="B339" s="136"/>
      <c r="C339" s="137"/>
      <c r="D339" s="138"/>
      <c r="E339" s="150"/>
      <c r="F339" s="150"/>
      <c r="G339" s="142"/>
      <c r="H339" s="138"/>
      <c r="I339" s="137"/>
    </row>
    <row r="340" spans="1:9">
      <c r="A340" s="136"/>
      <c r="B340" s="136"/>
      <c r="C340" s="137"/>
      <c r="D340" s="138"/>
      <c r="E340" s="150"/>
      <c r="F340" s="150"/>
      <c r="G340" s="142"/>
      <c r="H340" s="138"/>
      <c r="I340" s="137"/>
    </row>
    <row r="341" spans="1:9">
      <c r="A341" s="136"/>
      <c r="B341" s="136"/>
      <c r="C341" s="137"/>
      <c r="D341" s="138"/>
      <c r="E341" s="150"/>
      <c r="F341" s="150"/>
      <c r="G341" s="142"/>
      <c r="H341" s="138"/>
      <c r="I341" s="137"/>
    </row>
    <row r="342" spans="1:9">
      <c r="A342" s="136"/>
      <c r="B342" s="136"/>
      <c r="C342" s="137"/>
      <c r="D342" s="138"/>
      <c r="E342" s="150"/>
      <c r="F342" s="150"/>
      <c r="G342" s="142"/>
      <c r="H342" s="138"/>
      <c r="I342" s="137"/>
    </row>
    <row r="343" spans="1:9">
      <c r="A343" s="136"/>
      <c r="B343" s="136"/>
      <c r="C343" s="137"/>
      <c r="D343" s="138"/>
      <c r="E343" s="150"/>
      <c r="F343" s="150"/>
      <c r="G343" s="142"/>
      <c r="H343" s="138"/>
      <c r="I343" s="137"/>
    </row>
    <row r="344" spans="1:9">
      <c r="A344" s="136"/>
      <c r="B344" s="136"/>
      <c r="C344" s="137"/>
      <c r="D344" s="138"/>
      <c r="E344" s="150"/>
      <c r="F344" s="150"/>
      <c r="G344" s="142"/>
      <c r="H344" s="138"/>
      <c r="I344" s="137"/>
    </row>
    <row r="345" spans="1:9">
      <c r="A345" s="136"/>
      <c r="B345" s="136"/>
      <c r="C345" s="137"/>
      <c r="D345" s="138"/>
      <c r="E345" s="150"/>
      <c r="F345" s="150"/>
      <c r="G345" s="142"/>
      <c r="H345" s="138"/>
      <c r="I345" s="137"/>
    </row>
    <row r="346" spans="1:9">
      <c r="A346" s="136"/>
      <c r="B346" s="136"/>
      <c r="C346" s="137"/>
      <c r="D346" s="138"/>
      <c r="E346" s="150"/>
      <c r="F346" s="150"/>
      <c r="G346" s="142"/>
      <c r="H346" s="138"/>
      <c r="I346" s="137"/>
    </row>
    <row r="347" spans="1:9">
      <c r="A347" s="136"/>
      <c r="B347" s="136"/>
      <c r="C347" s="137"/>
      <c r="D347" s="138"/>
      <c r="E347" s="150"/>
      <c r="F347" s="150"/>
      <c r="G347" s="142"/>
      <c r="H347" s="138"/>
      <c r="I347" s="137"/>
    </row>
    <row r="348" spans="1:9">
      <c r="A348" s="136"/>
      <c r="B348" s="136"/>
      <c r="C348" s="137"/>
      <c r="D348" s="138"/>
      <c r="E348" s="150"/>
      <c r="F348" s="150"/>
      <c r="G348" s="142"/>
      <c r="H348" s="138"/>
      <c r="I348" s="137"/>
    </row>
    <row r="349" spans="1:9">
      <c r="A349" s="136"/>
      <c r="B349" s="136"/>
      <c r="C349" s="137"/>
      <c r="D349" s="138"/>
      <c r="E349" s="150"/>
      <c r="F349" s="150"/>
      <c r="G349" s="142"/>
      <c r="H349" s="138"/>
      <c r="I349" s="137"/>
    </row>
    <row r="350" spans="1:9">
      <c r="A350" s="136"/>
      <c r="B350" s="136"/>
      <c r="C350" s="137"/>
      <c r="D350" s="138"/>
      <c r="E350" s="150"/>
      <c r="F350" s="150"/>
      <c r="G350" s="142"/>
      <c r="H350" s="138"/>
      <c r="I350" s="137"/>
    </row>
    <row r="351" spans="1:9">
      <c r="A351" s="136"/>
      <c r="B351" s="136"/>
      <c r="C351" s="137"/>
      <c r="D351" s="138"/>
      <c r="E351" s="150"/>
      <c r="F351" s="150"/>
      <c r="G351" s="142"/>
      <c r="H351" s="138"/>
      <c r="I351" s="137"/>
    </row>
    <row r="352" spans="1:9">
      <c r="A352" s="136"/>
      <c r="B352" s="136"/>
      <c r="C352" s="137"/>
      <c r="D352" s="138"/>
      <c r="E352" s="150"/>
      <c r="F352" s="150"/>
      <c r="G352" s="142"/>
      <c r="H352" s="138"/>
      <c r="I352" s="137"/>
    </row>
    <row r="353" spans="1:9">
      <c r="A353" s="136"/>
      <c r="B353" s="136"/>
      <c r="C353" s="137"/>
      <c r="D353" s="138"/>
      <c r="E353" s="150"/>
      <c r="F353" s="150"/>
      <c r="G353" s="142"/>
      <c r="H353" s="138"/>
      <c r="I353" s="137"/>
    </row>
    <row r="354" spans="1:9">
      <c r="A354" s="136"/>
      <c r="B354" s="136"/>
      <c r="C354" s="137"/>
      <c r="D354" s="138"/>
      <c r="E354" s="150"/>
      <c r="F354" s="150"/>
      <c r="G354" s="142"/>
      <c r="H354" s="138"/>
      <c r="I354" s="137"/>
    </row>
    <row r="355" spans="1:9">
      <c r="A355" s="136"/>
      <c r="B355" s="136"/>
      <c r="C355" s="137"/>
      <c r="D355" s="138"/>
      <c r="E355" s="150"/>
      <c r="F355" s="150"/>
      <c r="G355" s="142"/>
      <c r="H355" s="138"/>
      <c r="I355" s="137"/>
    </row>
    <row r="356" spans="1:9">
      <c r="A356" s="136"/>
      <c r="B356" s="136"/>
      <c r="C356" s="137"/>
      <c r="D356" s="138"/>
      <c r="E356" s="150"/>
      <c r="F356" s="150"/>
      <c r="G356" s="142"/>
      <c r="H356" s="138"/>
      <c r="I356" s="137"/>
    </row>
    <row r="357" spans="1:9">
      <c r="A357" s="136"/>
      <c r="B357" s="136"/>
      <c r="C357" s="137"/>
      <c r="D357" s="138"/>
      <c r="E357" s="150"/>
      <c r="F357" s="150"/>
      <c r="G357" s="142"/>
      <c r="H357" s="138"/>
      <c r="I357" s="137"/>
    </row>
    <row r="358" spans="1:9">
      <c r="A358" s="136"/>
      <c r="B358" s="136"/>
      <c r="C358" s="137"/>
      <c r="D358" s="138"/>
      <c r="E358" s="150"/>
      <c r="F358" s="150"/>
      <c r="G358" s="142"/>
      <c r="H358" s="138"/>
      <c r="I358" s="137"/>
    </row>
    <row r="359" spans="1:9">
      <c r="A359" s="136"/>
      <c r="B359" s="136"/>
      <c r="C359" s="137"/>
      <c r="D359" s="138"/>
      <c r="E359" s="150"/>
      <c r="F359" s="150"/>
      <c r="G359" s="142"/>
      <c r="H359" s="138"/>
      <c r="I359" s="137"/>
    </row>
    <row r="360" spans="1:9">
      <c r="A360" s="136"/>
      <c r="B360" s="136"/>
      <c r="C360" s="137"/>
      <c r="D360" s="138"/>
      <c r="E360" s="150"/>
      <c r="F360" s="150"/>
      <c r="G360" s="142"/>
      <c r="H360" s="138"/>
      <c r="I360" s="137"/>
    </row>
    <row r="361" spans="1:9">
      <c r="A361" s="136"/>
      <c r="B361" s="136"/>
      <c r="C361" s="137"/>
      <c r="D361" s="138"/>
      <c r="E361" s="150"/>
      <c r="F361" s="150"/>
      <c r="G361" s="142"/>
      <c r="H361" s="138"/>
      <c r="I361" s="137"/>
    </row>
  </sheetData>
  <mergeCells count="48">
    <mergeCell ref="E317:E331"/>
    <mergeCell ref="F317:F331"/>
    <mergeCell ref="E332:E346"/>
    <mergeCell ref="F332:F346"/>
    <mergeCell ref="E347:E361"/>
    <mergeCell ref="F347:F361"/>
    <mergeCell ref="E272:E286"/>
    <mergeCell ref="F272:F286"/>
    <mergeCell ref="E287:E301"/>
    <mergeCell ref="F287:F301"/>
    <mergeCell ref="E302:E316"/>
    <mergeCell ref="F302:F316"/>
    <mergeCell ref="E227:E241"/>
    <mergeCell ref="F227:F241"/>
    <mergeCell ref="E242:E256"/>
    <mergeCell ref="F242:F256"/>
    <mergeCell ref="E257:E271"/>
    <mergeCell ref="F257:F271"/>
    <mergeCell ref="E182:E196"/>
    <mergeCell ref="F182:F196"/>
    <mergeCell ref="E197:E211"/>
    <mergeCell ref="F197:F211"/>
    <mergeCell ref="E212:E226"/>
    <mergeCell ref="F212:F226"/>
    <mergeCell ref="E137:E151"/>
    <mergeCell ref="F137:F151"/>
    <mergeCell ref="E152:E166"/>
    <mergeCell ref="F152:F166"/>
    <mergeCell ref="E167:E181"/>
    <mergeCell ref="F167:F181"/>
    <mergeCell ref="E92:E106"/>
    <mergeCell ref="F92:F106"/>
    <mergeCell ref="E107:E121"/>
    <mergeCell ref="F107:F121"/>
    <mergeCell ref="E122:E136"/>
    <mergeCell ref="F122:F136"/>
    <mergeCell ref="E47:E61"/>
    <mergeCell ref="F47:F61"/>
    <mergeCell ref="E62:E76"/>
    <mergeCell ref="F62:F76"/>
    <mergeCell ref="E77:E91"/>
    <mergeCell ref="F77:F91"/>
    <mergeCell ref="E2:E16"/>
    <mergeCell ref="F2:F16"/>
    <mergeCell ref="E17:E31"/>
    <mergeCell ref="F17:F31"/>
    <mergeCell ref="E32:E46"/>
    <mergeCell ref="F32:F46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EC09-E2D0-4027-9DAD-752452286E2F}">
  <sheetPr codeName="Sheet4"/>
  <dimension ref="A1:S49"/>
  <sheetViews>
    <sheetView zoomScale="85" zoomScaleNormal="85" workbookViewId="0">
      <selection activeCell="I10" sqref="I10"/>
    </sheetView>
  </sheetViews>
  <sheetFormatPr defaultColWidth="12.453125" defaultRowHeight="13.2"/>
  <cols>
    <col min="1" max="1" width="0.81640625" style="57" customWidth="1"/>
    <col min="2" max="2" width="9" style="57" customWidth="1"/>
    <col min="3" max="3" width="12.26953125" style="57" bestFit="1" customWidth="1"/>
    <col min="4" max="18" width="9" style="57" customWidth="1"/>
    <col min="19" max="19" width="36" style="57" customWidth="1"/>
    <col min="20" max="16384" width="12.453125" style="57"/>
  </cols>
  <sheetData>
    <row r="1" spans="1:19" ht="21">
      <c r="A1" s="152" t="s">
        <v>89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</row>
    <row r="2" spans="1:19" ht="10.050000000000001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</row>
    <row r="3" spans="1:19" s="59" customFormat="1" ht="15" customHeight="1">
      <c r="A3" s="123"/>
      <c r="B3" s="151" t="s">
        <v>131</v>
      </c>
      <c r="C3" s="151"/>
      <c r="D3" s="151"/>
      <c r="E3" s="151"/>
      <c r="F3" s="151"/>
      <c r="G3" s="151"/>
      <c r="H3" s="153" t="s">
        <v>91</v>
      </c>
      <c r="I3" s="153"/>
      <c r="J3" s="153"/>
      <c r="K3" s="153"/>
      <c r="L3" s="153"/>
      <c r="M3" s="153"/>
      <c r="N3" s="154" t="s">
        <v>92</v>
      </c>
      <c r="O3" s="153"/>
      <c r="P3" s="153"/>
      <c r="Q3" s="153"/>
      <c r="R3" s="155"/>
      <c r="S3" s="156" t="s">
        <v>130</v>
      </c>
    </row>
    <row r="4" spans="1:19" ht="15" customHeight="1">
      <c r="A4" s="124"/>
      <c r="B4" s="156" t="s">
        <v>95</v>
      </c>
      <c r="C4" s="156" t="s">
        <v>96</v>
      </c>
      <c r="D4" s="160" t="s">
        <v>43</v>
      </c>
      <c r="E4" s="159" t="s">
        <v>127</v>
      </c>
      <c r="F4" s="159" t="s">
        <v>128</v>
      </c>
      <c r="G4" s="161" t="s">
        <v>54</v>
      </c>
      <c r="H4" s="162" t="s">
        <v>75</v>
      </c>
      <c r="I4" s="162"/>
      <c r="J4" s="162"/>
      <c r="K4" s="163" t="s">
        <v>76</v>
      </c>
      <c r="L4" s="162"/>
      <c r="M4" s="162"/>
      <c r="N4" s="157" t="s">
        <v>77</v>
      </c>
      <c r="O4" s="121" t="s">
        <v>78</v>
      </c>
      <c r="P4" s="60"/>
      <c r="Q4" s="122" t="s">
        <v>79</v>
      </c>
      <c r="R4" s="60"/>
      <c r="S4" s="156"/>
    </row>
    <row r="5" spans="1:19" ht="18" customHeight="1">
      <c r="A5" s="125"/>
      <c r="B5" s="156"/>
      <c r="C5" s="156"/>
      <c r="D5" s="160"/>
      <c r="E5" s="159"/>
      <c r="F5" s="159"/>
      <c r="G5" s="161"/>
      <c r="H5" s="120"/>
      <c r="I5" s="119"/>
      <c r="J5" s="119"/>
      <c r="K5" s="119">
        <v>1</v>
      </c>
      <c r="L5" s="119">
        <v>2</v>
      </c>
      <c r="M5" s="119">
        <v>3</v>
      </c>
      <c r="N5" s="158"/>
      <c r="O5" s="119" t="s">
        <v>97</v>
      </c>
      <c r="P5" s="60" t="s">
        <v>98</v>
      </c>
      <c r="Q5" s="119" t="s">
        <v>99</v>
      </c>
      <c r="R5" s="60" t="s">
        <v>100</v>
      </c>
      <c r="S5" s="156"/>
    </row>
    <row r="6" spans="1:19" ht="18" customHeight="1">
      <c r="A6" s="126"/>
      <c r="B6" s="129" t="s">
        <v>163</v>
      </c>
      <c r="C6" s="129" t="s">
        <v>154</v>
      </c>
      <c r="D6" s="50">
        <v>0.49</v>
      </c>
      <c r="E6" s="50">
        <v>0.01</v>
      </c>
      <c r="F6" s="50">
        <v>-0.01</v>
      </c>
      <c r="G6" s="55" t="s">
        <v>81</v>
      </c>
      <c r="H6" s="127"/>
      <c r="I6" s="52"/>
      <c r="J6" s="52"/>
      <c r="K6" s="64" t="str">
        <f t="shared" ref="K6:K37" si="0">IF(ISERR(H6/H6)=TRUE," ",H6-$D6)</f>
        <v xml:space="preserve"> </v>
      </c>
      <c r="L6" s="64" t="str">
        <f t="shared" ref="L6:L37" si="1">IF(ISERR(I6/I6)=TRUE," ",I6-$D6)</f>
        <v xml:space="preserve"> </v>
      </c>
      <c r="M6" s="64" t="str">
        <f t="shared" ref="M6:M37" si="2">IF(ISERR(J6/J6)=TRUE," ",J6-$D6)</f>
        <v xml:space="preserve"> </v>
      </c>
      <c r="N6" s="63" t="str">
        <f t="shared" ref="N6:N37" si="3">IF(ISERR(H6/H6)=TRUE," ",AVERAGE(H6:J6))</f>
        <v xml:space="preserve"> </v>
      </c>
      <c r="O6" s="61" t="str">
        <f t="shared" ref="O6:O37" si="4">IF(ISERR(E6/E6)=TRUE," ",IF(ISERR(H6/H6)=TRUE," ",IF(ISNUMBER($H6)=FALSE," ",IF(MAX($H6:$J6)&lt;$D6,0,(MAX($H6:$J6)-$D6)/$E6))))</f>
        <v xml:space="preserve"> </v>
      </c>
      <c r="P6" s="62" t="str">
        <f t="shared" ref="P6:P37" si="5">IF(ISERR(F6/D6)=TRUE," ",IF(ISERR(F6/F6)=TRUE," ",IF(ISERR(H6/H6)=TRUE," ",IF(ISNUMBER(H6)=FALSE," ",IF(MIN(H6:J6)&gt;$D6,0,($D6-MIN(H6:J6))/-F6)))))</f>
        <v xml:space="preserve"> </v>
      </c>
      <c r="Q6" s="63" t="str">
        <f t="shared" ref="Q6:Q49" si="6">IF(ISNUMBER($O6)=TRUE,IF($O6&gt;0.651,IF($O6&gt;1.001,"Reject","Alert"),""),"")</f>
        <v/>
      </c>
      <c r="R6" s="63" t="str">
        <f t="shared" ref="R6:R37" si="7">IF(H6="","",IF(ISERR(F6/F6)=TRUE,"",IF(ISERR(F6/D6)=TRUE,IF((F6-MIN(H6:J6))&gt;0.001,"Reject",""),IF(ISNUMBER($P6)=TRUE,IF($P6&gt;0.651,IF($P6&gt;1.001,"Reject","Alert"),""),""))))</f>
        <v/>
      </c>
      <c r="S6" s="53"/>
    </row>
    <row r="7" spans="1:19" ht="18" customHeight="1">
      <c r="A7" s="126"/>
      <c r="B7" s="129" t="s">
        <v>164</v>
      </c>
      <c r="C7" s="54" t="s">
        <v>154</v>
      </c>
      <c r="D7" s="50">
        <v>0.49</v>
      </c>
      <c r="E7" s="50">
        <v>0.01</v>
      </c>
      <c r="F7" s="50">
        <v>-0.01</v>
      </c>
      <c r="G7" s="55" t="s">
        <v>81</v>
      </c>
      <c r="H7" s="127"/>
      <c r="I7" s="52"/>
      <c r="J7" s="52"/>
      <c r="K7" s="64" t="str">
        <f t="shared" si="0"/>
        <v xml:space="preserve"> </v>
      </c>
      <c r="L7" s="64" t="str">
        <f t="shared" si="1"/>
        <v xml:space="preserve"> </v>
      </c>
      <c r="M7" s="64" t="str">
        <f t="shared" si="2"/>
        <v xml:space="preserve"> </v>
      </c>
      <c r="N7" s="63" t="str">
        <f t="shared" si="3"/>
        <v xml:space="preserve"> </v>
      </c>
      <c r="O7" s="61" t="str">
        <f t="shared" si="4"/>
        <v xml:space="preserve"> </v>
      </c>
      <c r="P7" s="62" t="str">
        <f t="shared" si="5"/>
        <v xml:space="preserve"> </v>
      </c>
      <c r="Q7" s="63" t="str">
        <f t="shared" si="6"/>
        <v/>
      </c>
      <c r="R7" s="63" t="str">
        <f t="shared" si="7"/>
        <v/>
      </c>
      <c r="S7" s="53"/>
    </row>
    <row r="8" spans="1:19" ht="18" customHeight="1">
      <c r="A8" s="126"/>
      <c r="B8" s="129" t="s">
        <v>165</v>
      </c>
      <c r="C8" s="55" t="s">
        <v>154</v>
      </c>
      <c r="D8" s="50">
        <v>0.49</v>
      </c>
      <c r="E8" s="50">
        <v>0.01</v>
      </c>
      <c r="F8" s="50">
        <v>-0.01</v>
      </c>
      <c r="G8" s="55" t="s">
        <v>81</v>
      </c>
      <c r="H8" s="127"/>
      <c r="I8" s="52"/>
      <c r="J8" s="52"/>
      <c r="K8" s="64" t="str">
        <f t="shared" si="0"/>
        <v xml:space="preserve"> </v>
      </c>
      <c r="L8" s="64" t="str">
        <f t="shared" si="1"/>
        <v xml:space="preserve"> </v>
      </c>
      <c r="M8" s="64" t="str">
        <f t="shared" si="2"/>
        <v xml:space="preserve"> </v>
      </c>
      <c r="N8" s="63" t="str">
        <f t="shared" si="3"/>
        <v xml:space="preserve"> </v>
      </c>
      <c r="O8" s="61" t="str">
        <f t="shared" si="4"/>
        <v xml:space="preserve"> </v>
      </c>
      <c r="P8" s="62" t="str">
        <f t="shared" si="5"/>
        <v xml:space="preserve"> </v>
      </c>
      <c r="Q8" s="63" t="str">
        <f t="shared" si="6"/>
        <v/>
      </c>
      <c r="R8" s="63" t="str">
        <f t="shared" si="7"/>
        <v/>
      </c>
      <c r="S8" s="53"/>
    </row>
    <row r="9" spans="1:19" ht="18" customHeight="1">
      <c r="A9" s="126"/>
      <c r="B9" s="129" t="s">
        <v>166</v>
      </c>
      <c r="C9" s="55" t="s">
        <v>154</v>
      </c>
      <c r="D9" s="50">
        <v>0.49</v>
      </c>
      <c r="E9" s="50">
        <v>0.01</v>
      </c>
      <c r="F9" s="50">
        <v>-0.01</v>
      </c>
      <c r="G9" s="55" t="s">
        <v>81</v>
      </c>
      <c r="H9" s="127"/>
      <c r="I9" s="52"/>
      <c r="J9" s="52"/>
      <c r="K9" s="64" t="str">
        <f t="shared" si="0"/>
        <v xml:space="preserve"> </v>
      </c>
      <c r="L9" s="64" t="str">
        <f t="shared" si="1"/>
        <v xml:space="preserve"> </v>
      </c>
      <c r="M9" s="64" t="str">
        <f t="shared" si="2"/>
        <v xml:space="preserve"> </v>
      </c>
      <c r="N9" s="63" t="str">
        <f t="shared" si="3"/>
        <v xml:space="preserve"> </v>
      </c>
      <c r="O9" s="61" t="str">
        <f t="shared" si="4"/>
        <v xml:space="preserve"> </v>
      </c>
      <c r="P9" s="62" t="str">
        <f t="shared" si="5"/>
        <v xml:space="preserve"> </v>
      </c>
      <c r="Q9" s="63" t="str">
        <f t="shared" si="6"/>
        <v/>
      </c>
      <c r="R9" s="63" t="str">
        <f t="shared" si="7"/>
        <v/>
      </c>
      <c r="S9" s="53"/>
    </row>
    <row r="10" spans="1:19" ht="18" customHeight="1">
      <c r="A10" s="126"/>
      <c r="B10" s="129" t="s">
        <v>167</v>
      </c>
      <c r="C10" s="55" t="s">
        <v>154</v>
      </c>
      <c r="D10" s="50">
        <v>0.49</v>
      </c>
      <c r="E10" s="50">
        <v>0.01</v>
      </c>
      <c r="F10" s="50">
        <v>-0.01</v>
      </c>
      <c r="G10" s="55" t="s">
        <v>81</v>
      </c>
      <c r="H10" s="127"/>
      <c r="I10" s="52"/>
      <c r="J10" s="52"/>
      <c r="K10" s="64" t="str">
        <f t="shared" si="0"/>
        <v xml:space="preserve"> </v>
      </c>
      <c r="L10" s="64" t="str">
        <f t="shared" si="1"/>
        <v xml:space="preserve"> </v>
      </c>
      <c r="M10" s="64" t="str">
        <f t="shared" si="2"/>
        <v xml:space="preserve"> </v>
      </c>
      <c r="N10" s="63" t="str">
        <f t="shared" si="3"/>
        <v xml:space="preserve"> </v>
      </c>
      <c r="O10" s="61" t="str">
        <f t="shared" si="4"/>
        <v xml:space="preserve"> </v>
      </c>
      <c r="P10" s="62" t="str">
        <f t="shared" si="5"/>
        <v xml:space="preserve"> </v>
      </c>
      <c r="Q10" s="63" t="str">
        <f t="shared" si="6"/>
        <v/>
      </c>
      <c r="R10" s="63" t="str">
        <f t="shared" si="7"/>
        <v/>
      </c>
      <c r="S10" s="53"/>
    </row>
    <row r="11" spans="1:19" ht="18" customHeight="1">
      <c r="A11" s="126"/>
      <c r="B11" s="129" t="s">
        <v>168</v>
      </c>
      <c r="C11" s="55" t="s">
        <v>154</v>
      </c>
      <c r="D11" s="50">
        <v>0.49</v>
      </c>
      <c r="E11" s="50">
        <v>0.01</v>
      </c>
      <c r="F11" s="50">
        <v>-0.01</v>
      </c>
      <c r="G11" s="55" t="s">
        <v>81</v>
      </c>
      <c r="H11" s="127"/>
      <c r="I11" s="52"/>
      <c r="J11" s="52"/>
      <c r="K11" s="64" t="str">
        <f t="shared" si="0"/>
        <v xml:space="preserve"> </v>
      </c>
      <c r="L11" s="64" t="str">
        <f t="shared" si="1"/>
        <v xml:space="preserve"> </v>
      </c>
      <c r="M11" s="64" t="str">
        <f t="shared" si="2"/>
        <v xml:space="preserve"> </v>
      </c>
      <c r="N11" s="63" t="str">
        <f t="shared" si="3"/>
        <v xml:space="preserve"> </v>
      </c>
      <c r="O11" s="61" t="str">
        <f t="shared" si="4"/>
        <v xml:space="preserve"> </v>
      </c>
      <c r="P11" s="62" t="str">
        <f t="shared" si="5"/>
        <v xml:space="preserve"> </v>
      </c>
      <c r="Q11" s="63" t="str">
        <f t="shared" si="6"/>
        <v/>
      </c>
      <c r="R11" s="63" t="str">
        <f t="shared" si="7"/>
        <v/>
      </c>
      <c r="S11" s="53"/>
    </row>
    <row r="12" spans="1:19" ht="18" customHeight="1">
      <c r="A12" s="126"/>
      <c r="B12" s="129" t="s">
        <v>169</v>
      </c>
      <c r="C12" s="55" t="s">
        <v>80</v>
      </c>
      <c r="D12" s="50"/>
      <c r="E12" s="50">
        <v>0.03</v>
      </c>
      <c r="F12" s="50"/>
      <c r="G12" s="55" t="s">
        <v>81</v>
      </c>
      <c r="H12" s="127"/>
      <c r="I12" s="52"/>
      <c r="J12" s="52"/>
      <c r="K12" s="64" t="str">
        <f t="shared" si="0"/>
        <v xml:space="preserve"> </v>
      </c>
      <c r="L12" s="64" t="str">
        <f t="shared" si="1"/>
        <v xml:space="preserve"> </v>
      </c>
      <c r="M12" s="64" t="str">
        <f t="shared" si="2"/>
        <v xml:space="preserve"> </v>
      </c>
      <c r="N12" s="63" t="str">
        <f t="shared" si="3"/>
        <v xml:space="preserve"> </v>
      </c>
      <c r="O12" s="61" t="str">
        <f t="shared" si="4"/>
        <v xml:space="preserve"> </v>
      </c>
      <c r="P12" s="62" t="str">
        <f t="shared" si="5"/>
        <v xml:space="preserve"> </v>
      </c>
      <c r="Q12" s="63" t="str">
        <f t="shared" si="6"/>
        <v/>
      </c>
      <c r="R12" s="63" t="str">
        <f t="shared" si="7"/>
        <v/>
      </c>
      <c r="S12" s="53"/>
    </row>
    <row r="13" spans="1:19" ht="18" customHeight="1">
      <c r="A13" s="126"/>
      <c r="B13" s="129" t="s">
        <v>170</v>
      </c>
      <c r="C13" s="54" t="s">
        <v>82</v>
      </c>
      <c r="D13" s="50"/>
      <c r="E13" s="50">
        <v>0.03</v>
      </c>
      <c r="F13" s="50"/>
      <c r="G13" s="55" t="s">
        <v>81</v>
      </c>
      <c r="H13" s="127"/>
      <c r="I13" s="52"/>
      <c r="J13" s="52"/>
      <c r="K13" s="64" t="str">
        <f t="shared" si="0"/>
        <v xml:space="preserve"> </v>
      </c>
      <c r="L13" s="64" t="str">
        <f t="shared" si="1"/>
        <v xml:space="preserve"> </v>
      </c>
      <c r="M13" s="64" t="str">
        <f t="shared" si="2"/>
        <v xml:space="preserve"> </v>
      </c>
      <c r="N13" s="63" t="str">
        <f t="shared" si="3"/>
        <v xml:space="preserve"> </v>
      </c>
      <c r="O13" s="61" t="str">
        <f t="shared" si="4"/>
        <v xml:space="preserve"> </v>
      </c>
      <c r="P13" s="62" t="str">
        <f t="shared" si="5"/>
        <v xml:space="preserve"> </v>
      </c>
      <c r="Q13" s="63" t="str">
        <f t="shared" si="6"/>
        <v/>
      </c>
      <c r="R13" s="63" t="str">
        <f t="shared" si="7"/>
        <v/>
      </c>
      <c r="S13" s="53"/>
    </row>
    <row r="14" spans="1:19" ht="18" customHeight="1">
      <c r="A14" s="126"/>
      <c r="B14" s="129" t="s">
        <v>171</v>
      </c>
      <c r="C14" s="55" t="s">
        <v>73</v>
      </c>
      <c r="D14" s="50">
        <v>1.1000000000000001</v>
      </c>
      <c r="E14" s="50">
        <v>1.4999999999999999E-2</v>
      </c>
      <c r="F14" s="50">
        <v>-1.4999999999999999E-2</v>
      </c>
      <c r="G14" s="55" t="s">
        <v>156</v>
      </c>
      <c r="H14" s="127"/>
      <c r="I14" s="52"/>
      <c r="J14" s="52"/>
      <c r="K14" s="64" t="str">
        <f t="shared" si="0"/>
        <v xml:space="preserve"> </v>
      </c>
      <c r="L14" s="64" t="str">
        <f t="shared" si="1"/>
        <v xml:space="preserve"> </v>
      </c>
      <c r="M14" s="64" t="str">
        <f t="shared" si="2"/>
        <v xml:space="preserve"> </v>
      </c>
      <c r="N14" s="63" t="str">
        <f t="shared" si="3"/>
        <v xml:space="preserve"> </v>
      </c>
      <c r="O14" s="61" t="str">
        <f t="shared" si="4"/>
        <v xml:space="preserve"> </v>
      </c>
      <c r="P14" s="62" t="str">
        <f t="shared" si="5"/>
        <v xml:space="preserve"> </v>
      </c>
      <c r="Q14" s="63" t="str">
        <f t="shared" si="6"/>
        <v/>
      </c>
      <c r="R14" s="63" t="str">
        <f t="shared" si="7"/>
        <v/>
      </c>
      <c r="S14" s="53"/>
    </row>
    <row r="15" spans="1:19" ht="18" customHeight="1">
      <c r="A15" s="126"/>
      <c r="B15" s="129" t="s">
        <v>172</v>
      </c>
      <c r="C15" s="55" t="s">
        <v>73</v>
      </c>
      <c r="D15" s="50">
        <v>1.1000000000000001</v>
      </c>
      <c r="E15" s="50">
        <v>1.4999999999999999E-2</v>
      </c>
      <c r="F15" s="50">
        <v>-1.4999999999999999E-2</v>
      </c>
      <c r="G15" s="55" t="s">
        <v>156</v>
      </c>
      <c r="H15" s="127"/>
      <c r="I15" s="52"/>
      <c r="J15" s="52"/>
      <c r="K15" s="64" t="str">
        <f t="shared" si="0"/>
        <v xml:space="preserve"> </v>
      </c>
      <c r="L15" s="64" t="str">
        <f t="shared" si="1"/>
        <v xml:space="preserve"> </v>
      </c>
      <c r="M15" s="64" t="str">
        <f t="shared" si="2"/>
        <v xml:space="preserve"> </v>
      </c>
      <c r="N15" s="63" t="str">
        <f t="shared" si="3"/>
        <v xml:space="preserve"> </v>
      </c>
      <c r="O15" s="61" t="str">
        <f t="shared" si="4"/>
        <v xml:space="preserve"> </v>
      </c>
      <c r="P15" s="62" t="str">
        <f t="shared" si="5"/>
        <v xml:space="preserve"> </v>
      </c>
      <c r="Q15" s="63" t="str">
        <f t="shared" si="6"/>
        <v/>
      </c>
      <c r="R15" s="63" t="str">
        <f t="shared" si="7"/>
        <v/>
      </c>
      <c r="S15" s="53"/>
    </row>
    <row r="16" spans="1:19" ht="18" customHeight="1">
      <c r="A16" s="126"/>
      <c r="B16" s="129" t="s">
        <v>173</v>
      </c>
      <c r="C16" s="55" t="s">
        <v>73</v>
      </c>
      <c r="D16" s="50">
        <v>1.1000000000000001</v>
      </c>
      <c r="E16" s="50">
        <v>1.4999999999999999E-2</v>
      </c>
      <c r="F16" s="50">
        <v>-1.4999999999999999E-2</v>
      </c>
      <c r="G16" s="55" t="s">
        <v>156</v>
      </c>
      <c r="H16" s="127"/>
      <c r="I16" s="52"/>
      <c r="J16" s="52"/>
      <c r="K16" s="64" t="str">
        <f t="shared" si="0"/>
        <v xml:space="preserve"> </v>
      </c>
      <c r="L16" s="64" t="str">
        <f t="shared" si="1"/>
        <v xml:space="preserve"> </v>
      </c>
      <c r="M16" s="64" t="str">
        <f t="shared" si="2"/>
        <v xml:space="preserve"> </v>
      </c>
      <c r="N16" s="63" t="str">
        <f t="shared" si="3"/>
        <v xml:space="preserve"> </v>
      </c>
      <c r="O16" s="61" t="str">
        <f t="shared" si="4"/>
        <v xml:space="preserve"> </v>
      </c>
      <c r="P16" s="62" t="str">
        <f t="shared" si="5"/>
        <v xml:space="preserve"> </v>
      </c>
      <c r="Q16" s="63" t="str">
        <f t="shared" si="6"/>
        <v/>
      </c>
      <c r="R16" s="63" t="str">
        <f t="shared" si="7"/>
        <v/>
      </c>
      <c r="S16" s="53"/>
    </row>
    <row r="17" spans="1:19" ht="18" customHeight="1">
      <c r="A17" s="126"/>
      <c r="B17" s="129" t="s">
        <v>174</v>
      </c>
      <c r="C17" s="55" t="s">
        <v>73</v>
      </c>
      <c r="D17" s="50">
        <v>1.794</v>
      </c>
      <c r="E17" s="50">
        <v>0.02</v>
      </c>
      <c r="F17" s="50">
        <v>-0.02</v>
      </c>
      <c r="G17" s="55" t="s">
        <v>156</v>
      </c>
      <c r="H17" s="127"/>
      <c r="I17" s="52"/>
      <c r="J17" s="52"/>
      <c r="K17" s="64" t="str">
        <f t="shared" si="0"/>
        <v xml:space="preserve"> </v>
      </c>
      <c r="L17" s="64" t="str">
        <f t="shared" si="1"/>
        <v xml:space="preserve"> </v>
      </c>
      <c r="M17" s="64" t="str">
        <f t="shared" si="2"/>
        <v xml:space="preserve"> </v>
      </c>
      <c r="N17" s="63" t="str">
        <f t="shared" si="3"/>
        <v xml:space="preserve"> </v>
      </c>
      <c r="O17" s="61" t="str">
        <f t="shared" si="4"/>
        <v xml:space="preserve"> </v>
      </c>
      <c r="P17" s="62" t="str">
        <f t="shared" si="5"/>
        <v xml:space="preserve"> </v>
      </c>
      <c r="Q17" s="63" t="str">
        <f t="shared" si="6"/>
        <v/>
      </c>
      <c r="R17" s="63" t="str">
        <f t="shared" si="7"/>
        <v/>
      </c>
      <c r="S17" s="53"/>
    </row>
    <row r="18" spans="1:19" ht="18" customHeight="1">
      <c r="A18" s="126"/>
      <c r="B18" s="129" t="s">
        <v>175</v>
      </c>
      <c r="C18" s="55" t="s">
        <v>73</v>
      </c>
      <c r="D18" s="50">
        <v>0.21</v>
      </c>
      <c r="E18" s="50">
        <v>0.02</v>
      </c>
      <c r="F18" s="50">
        <v>-0.02</v>
      </c>
      <c r="G18" s="55" t="s">
        <v>156</v>
      </c>
      <c r="H18" s="127"/>
      <c r="I18" s="52"/>
      <c r="J18" s="52"/>
      <c r="K18" s="64" t="str">
        <f t="shared" si="0"/>
        <v xml:space="preserve"> </v>
      </c>
      <c r="L18" s="64" t="str">
        <f t="shared" si="1"/>
        <v xml:space="preserve"> </v>
      </c>
      <c r="M18" s="64" t="str">
        <f t="shared" si="2"/>
        <v xml:space="preserve"> </v>
      </c>
      <c r="N18" s="63" t="str">
        <f t="shared" si="3"/>
        <v xml:space="preserve"> </v>
      </c>
      <c r="O18" s="61" t="str">
        <f t="shared" si="4"/>
        <v xml:space="preserve"> </v>
      </c>
      <c r="P18" s="62" t="str">
        <f t="shared" si="5"/>
        <v xml:space="preserve"> </v>
      </c>
      <c r="Q18" s="63" t="str">
        <f t="shared" si="6"/>
        <v/>
      </c>
      <c r="R18" s="63" t="str">
        <f t="shared" si="7"/>
        <v/>
      </c>
      <c r="S18" s="53"/>
    </row>
    <row r="19" spans="1:19" ht="18" customHeight="1">
      <c r="A19" s="126"/>
      <c r="B19" s="129" t="s">
        <v>176</v>
      </c>
      <c r="C19" s="55" t="s">
        <v>154</v>
      </c>
      <c r="D19" s="50">
        <v>1.3</v>
      </c>
      <c r="E19" s="50">
        <v>3.5000000000000003E-2</v>
      </c>
      <c r="F19" s="50">
        <v>-3.5000000000000003E-2</v>
      </c>
      <c r="G19" s="55" t="s">
        <v>81</v>
      </c>
      <c r="H19" s="127"/>
      <c r="I19" s="52"/>
      <c r="J19" s="52"/>
      <c r="K19" s="64" t="str">
        <f t="shared" si="0"/>
        <v xml:space="preserve"> </v>
      </c>
      <c r="L19" s="64" t="str">
        <f t="shared" si="1"/>
        <v xml:space="preserve"> </v>
      </c>
      <c r="M19" s="64" t="str">
        <f t="shared" si="2"/>
        <v xml:space="preserve"> </v>
      </c>
      <c r="N19" s="63" t="str">
        <f t="shared" si="3"/>
        <v xml:space="preserve"> </v>
      </c>
      <c r="O19" s="61" t="str">
        <f t="shared" si="4"/>
        <v xml:space="preserve"> </v>
      </c>
      <c r="P19" s="62" t="str">
        <f t="shared" si="5"/>
        <v xml:space="preserve"> </v>
      </c>
      <c r="Q19" s="63" t="str">
        <f t="shared" si="6"/>
        <v/>
      </c>
      <c r="R19" s="63" t="str">
        <f t="shared" si="7"/>
        <v/>
      </c>
      <c r="S19" s="53"/>
    </row>
    <row r="20" spans="1:19" ht="18" customHeight="1">
      <c r="A20" s="126"/>
      <c r="B20" s="129" t="s">
        <v>177</v>
      </c>
      <c r="C20" s="55" t="s">
        <v>154</v>
      </c>
      <c r="D20" s="50">
        <v>1.3</v>
      </c>
      <c r="E20" s="50">
        <v>3.5000000000000003E-2</v>
      </c>
      <c r="F20" s="50">
        <v>-3.5000000000000003E-2</v>
      </c>
      <c r="G20" s="55" t="s">
        <v>81</v>
      </c>
      <c r="H20" s="127"/>
      <c r="I20" s="52"/>
      <c r="J20" s="52"/>
      <c r="K20" s="64" t="str">
        <f t="shared" si="0"/>
        <v xml:space="preserve"> </v>
      </c>
      <c r="L20" s="64" t="str">
        <f t="shared" si="1"/>
        <v xml:space="preserve"> </v>
      </c>
      <c r="M20" s="64" t="str">
        <f t="shared" si="2"/>
        <v xml:space="preserve"> </v>
      </c>
      <c r="N20" s="63" t="str">
        <f t="shared" si="3"/>
        <v xml:space="preserve"> </v>
      </c>
      <c r="O20" s="61" t="str">
        <f t="shared" si="4"/>
        <v xml:space="preserve"> </v>
      </c>
      <c r="P20" s="62" t="str">
        <f t="shared" si="5"/>
        <v xml:space="preserve"> </v>
      </c>
      <c r="Q20" s="63" t="str">
        <f t="shared" si="6"/>
        <v/>
      </c>
      <c r="R20" s="63" t="str">
        <f t="shared" si="7"/>
        <v/>
      </c>
      <c r="S20" s="53"/>
    </row>
    <row r="21" spans="1:19" ht="18" customHeight="1">
      <c r="A21" s="126"/>
      <c r="B21" s="129" t="s">
        <v>178</v>
      </c>
      <c r="C21" s="55" t="s">
        <v>154</v>
      </c>
      <c r="D21" s="50">
        <v>1.3</v>
      </c>
      <c r="E21" s="50">
        <v>3.5000000000000003E-2</v>
      </c>
      <c r="F21" s="50">
        <v>-3.5000000000000003E-2</v>
      </c>
      <c r="G21" s="55" t="s">
        <v>81</v>
      </c>
      <c r="H21" s="127"/>
      <c r="I21" s="52"/>
      <c r="J21" s="52"/>
      <c r="K21" s="64" t="str">
        <f t="shared" si="0"/>
        <v xml:space="preserve"> </v>
      </c>
      <c r="L21" s="64" t="str">
        <f t="shared" si="1"/>
        <v xml:space="preserve"> </v>
      </c>
      <c r="M21" s="64" t="str">
        <f t="shared" si="2"/>
        <v xml:space="preserve"> </v>
      </c>
      <c r="N21" s="63" t="str">
        <f t="shared" si="3"/>
        <v xml:space="preserve"> </v>
      </c>
      <c r="O21" s="61" t="str">
        <f t="shared" si="4"/>
        <v xml:space="preserve"> </v>
      </c>
      <c r="P21" s="62" t="str">
        <f t="shared" si="5"/>
        <v xml:space="preserve"> </v>
      </c>
      <c r="Q21" s="63" t="str">
        <f t="shared" si="6"/>
        <v/>
      </c>
      <c r="R21" s="63" t="str">
        <f t="shared" si="7"/>
        <v/>
      </c>
      <c r="S21" s="53"/>
    </row>
    <row r="22" spans="1:19" ht="18" customHeight="1">
      <c r="A22" s="126"/>
      <c r="B22" s="129" t="s">
        <v>179</v>
      </c>
      <c r="C22" s="55" t="s">
        <v>154</v>
      </c>
      <c r="D22" s="50">
        <v>1.3</v>
      </c>
      <c r="E22" s="50">
        <v>3.5000000000000003E-2</v>
      </c>
      <c r="F22" s="50">
        <v>-3.5000000000000003E-2</v>
      </c>
      <c r="G22" s="55" t="s">
        <v>81</v>
      </c>
      <c r="H22" s="127"/>
      <c r="I22" s="52"/>
      <c r="J22" s="52"/>
      <c r="K22" s="64" t="str">
        <f t="shared" ref="K22:K24" si="8">IF(ISERR(H22/H22)=TRUE," ",H22-$D22)</f>
        <v xml:space="preserve"> </v>
      </c>
      <c r="L22" s="64" t="str">
        <f t="shared" ref="L22:L24" si="9">IF(ISERR(I22/I22)=TRUE," ",I22-$D22)</f>
        <v xml:space="preserve"> </v>
      </c>
      <c r="M22" s="64" t="str">
        <f t="shared" ref="M22:M24" si="10">IF(ISERR(J22/J22)=TRUE," ",J22-$D22)</f>
        <v xml:space="preserve"> </v>
      </c>
      <c r="N22" s="63" t="str">
        <f t="shared" ref="N22:N24" si="11">IF(ISERR(H22/H22)=TRUE," ",AVERAGE(H22:J22))</f>
        <v xml:space="preserve"> </v>
      </c>
      <c r="O22" s="61" t="str">
        <f t="shared" ref="O22:O24" si="12">IF(ISERR(E22/E22)=TRUE," ",IF(ISERR(H22/H22)=TRUE," ",IF(ISNUMBER($H22)=FALSE," ",IF(MAX($H22:$J22)&lt;$D22,0,(MAX($H22:$J22)-$D22)/$E22))))</f>
        <v xml:space="preserve"> </v>
      </c>
      <c r="P22" s="62" t="str">
        <f t="shared" ref="P22:P24" si="13">IF(ISERR(F22/D22)=TRUE," ",IF(ISERR(F22/F22)=TRUE," ",IF(ISERR(H22/H22)=TRUE," ",IF(ISNUMBER(H22)=FALSE," ",IF(MIN(H22:J22)&gt;$D22,0,($D22-MIN(H22:J22))/-F22)))))</f>
        <v xml:space="preserve"> </v>
      </c>
      <c r="Q22" s="63"/>
      <c r="R22" s="63"/>
      <c r="S22" s="53"/>
    </row>
    <row r="23" spans="1:19" ht="18" customHeight="1">
      <c r="A23" s="126"/>
      <c r="B23" s="129" t="s">
        <v>180</v>
      </c>
      <c r="C23" s="55" t="s">
        <v>154</v>
      </c>
      <c r="D23" s="50">
        <v>1.3</v>
      </c>
      <c r="E23" s="50">
        <v>3.5000000000000003E-2</v>
      </c>
      <c r="F23" s="50">
        <v>-3.5000000000000003E-2</v>
      </c>
      <c r="G23" s="55" t="s">
        <v>81</v>
      </c>
      <c r="H23" s="127"/>
      <c r="I23" s="52"/>
      <c r="J23" s="52"/>
      <c r="K23" s="64" t="str">
        <f t="shared" si="8"/>
        <v xml:space="preserve"> </v>
      </c>
      <c r="L23" s="64" t="str">
        <f t="shared" si="9"/>
        <v xml:space="preserve"> </v>
      </c>
      <c r="M23" s="64" t="str">
        <f t="shared" si="10"/>
        <v xml:space="preserve"> </v>
      </c>
      <c r="N23" s="63" t="str">
        <f t="shared" si="11"/>
        <v xml:space="preserve"> </v>
      </c>
      <c r="O23" s="61" t="str">
        <f t="shared" si="12"/>
        <v xml:space="preserve"> </v>
      </c>
      <c r="P23" s="62" t="str">
        <f t="shared" si="13"/>
        <v xml:space="preserve"> </v>
      </c>
      <c r="Q23" s="63"/>
      <c r="R23" s="63"/>
      <c r="S23" s="53"/>
    </row>
    <row r="24" spans="1:19" ht="18" customHeight="1">
      <c r="A24" s="126"/>
      <c r="B24" s="129" t="s">
        <v>181</v>
      </c>
      <c r="C24" s="55" t="s">
        <v>154</v>
      </c>
      <c r="D24" s="50">
        <v>1.3</v>
      </c>
      <c r="E24" s="50">
        <v>3.5000000000000003E-2</v>
      </c>
      <c r="F24" s="50">
        <v>-3.5000000000000003E-2</v>
      </c>
      <c r="G24" s="55" t="s">
        <v>81</v>
      </c>
      <c r="H24" s="127"/>
      <c r="I24" s="52"/>
      <c r="J24" s="52"/>
      <c r="K24" s="64" t="str">
        <f t="shared" si="8"/>
        <v xml:space="preserve"> </v>
      </c>
      <c r="L24" s="64" t="str">
        <f t="shared" si="9"/>
        <v xml:space="preserve"> </v>
      </c>
      <c r="M24" s="64" t="str">
        <f t="shared" si="10"/>
        <v xml:space="preserve"> </v>
      </c>
      <c r="N24" s="63" t="str">
        <f t="shared" si="11"/>
        <v xml:space="preserve"> </v>
      </c>
      <c r="O24" s="61" t="str">
        <f t="shared" si="12"/>
        <v xml:space="preserve"> </v>
      </c>
      <c r="P24" s="62" t="str">
        <f t="shared" si="13"/>
        <v xml:space="preserve"> </v>
      </c>
      <c r="Q24" s="63"/>
      <c r="R24" s="63"/>
      <c r="S24" s="53"/>
    </row>
    <row r="25" spans="1:19" ht="18" customHeight="1">
      <c r="A25" s="126"/>
      <c r="B25" s="129" t="s">
        <v>182</v>
      </c>
      <c r="C25" s="55" t="s">
        <v>73</v>
      </c>
      <c r="D25" s="50">
        <v>14.03</v>
      </c>
      <c r="E25" s="50">
        <v>0.03</v>
      </c>
      <c r="F25" s="50">
        <v>-0.03</v>
      </c>
      <c r="G25" s="55" t="s">
        <v>81</v>
      </c>
      <c r="H25" s="127"/>
      <c r="I25" s="52"/>
      <c r="J25" s="52"/>
      <c r="K25" s="64" t="str">
        <f t="shared" si="0"/>
        <v xml:space="preserve"> </v>
      </c>
      <c r="L25" s="64" t="str">
        <f t="shared" si="1"/>
        <v xml:space="preserve"> </v>
      </c>
      <c r="M25" s="64" t="str">
        <f t="shared" si="2"/>
        <v xml:space="preserve"> </v>
      </c>
      <c r="N25" s="63" t="str">
        <f t="shared" si="3"/>
        <v xml:space="preserve"> </v>
      </c>
      <c r="O25" s="61" t="str">
        <f t="shared" si="4"/>
        <v xml:space="preserve"> </v>
      </c>
      <c r="P25" s="62" t="str">
        <f t="shared" si="5"/>
        <v xml:space="preserve"> </v>
      </c>
      <c r="Q25" s="63" t="str">
        <f t="shared" si="6"/>
        <v/>
      </c>
      <c r="R25" s="63" t="str">
        <f t="shared" si="7"/>
        <v/>
      </c>
      <c r="S25" s="53"/>
    </row>
    <row r="26" spans="1:19" ht="18" customHeight="1">
      <c r="A26" s="126"/>
      <c r="B26" s="129" t="s">
        <v>183</v>
      </c>
      <c r="C26" s="55" t="s">
        <v>73</v>
      </c>
      <c r="D26" s="50">
        <v>11.965</v>
      </c>
      <c r="E26" s="50">
        <v>0.03</v>
      </c>
      <c r="F26" s="50">
        <v>-0.03</v>
      </c>
      <c r="G26" s="55" t="s">
        <v>81</v>
      </c>
      <c r="H26" s="127"/>
      <c r="I26" s="52"/>
      <c r="J26" s="52"/>
      <c r="K26" s="64" t="str">
        <f t="shared" si="0"/>
        <v xml:space="preserve"> </v>
      </c>
      <c r="L26" s="64" t="str">
        <f t="shared" si="1"/>
        <v xml:space="preserve"> </v>
      </c>
      <c r="M26" s="64" t="str">
        <f t="shared" si="2"/>
        <v xml:space="preserve"> </v>
      </c>
      <c r="N26" s="63" t="str">
        <f t="shared" si="3"/>
        <v xml:space="preserve"> </v>
      </c>
      <c r="O26" s="61" t="str">
        <f t="shared" si="4"/>
        <v xml:space="preserve"> </v>
      </c>
      <c r="P26" s="62" t="str">
        <f t="shared" si="5"/>
        <v xml:space="preserve"> </v>
      </c>
      <c r="Q26" s="63" t="str">
        <f t="shared" si="6"/>
        <v/>
      </c>
      <c r="R26" s="63" t="str">
        <f t="shared" si="7"/>
        <v/>
      </c>
      <c r="S26" s="53"/>
    </row>
    <row r="27" spans="1:19" ht="18" customHeight="1">
      <c r="A27" s="126"/>
      <c r="B27" s="129" t="s">
        <v>184</v>
      </c>
      <c r="C27" s="55" t="s">
        <v>73</v>
      </c>
      <c r="D27" s="50">
        <v>2.2949999999999999</v>
      </c>
      <c r="E27" s="50">
        <v>0.03</v>
      </c>
      <c r="F27" s="50">
        <v>-0.03</v>
      </c>
      <c r="G27" s="55" t="s">
        <v>81</v>
      </c>
      <c r="H27" s="128"/>
      <c r="I27" s="56"/>
      <c r="J27" s="56"/>
      <c r="K27" s="64" t="str">
        <f t="shared" si="0"/>
        <v xml:space="preserve"> </v>
      </c>
      <c r="L27" s="64" t="str">
        <f t="shared" si="1"/>
        <v xml:space="preserve"> </v>
      </c>
      <c r="M27" s="64" t="str">
        <f t="shared" si="2"/>
        <v xml:space="preserve"> </v>
      </c>
      <c r="N27" s="63" t="str">
        <f t="shared" si="3"/>
        <v xml:space="preserve"> </v>
      </c>
      <c r="O27" s="61" t="str">
        <f t="shared" si="4"/>
        <v xml:space="preserve"> </v>
      </c>
      <c r="P27" s="62" t="str">
        <f t="shared" si="5"/>
        <v xml:space="preserve"> </v>
      </c>
      <c r="Q27" s="63" t="str">
        <f t="shared" si="6"/>
        <v/>
      </c>
      <c r="R27" s="63" t="str">
        <f t="shared" si="7"/>
        <v/>
      </c>
      <c r="S27" s="53"/>
    </row>
    <row r="28" spans="1:19" ht="18" customHeight="1">
      <c r="A28" s="126"/>
      <c r="B28" s="129" t="s">
        <v>185</v>
      </c>
      <c r="C28" s="55" t="s">
        <v>73</v>
      </c>
      <c r="D28" s="50">
        <v>11.32</v>
      </c>
      <c r="E28" s="50">
        <v>0.03</v>
      </c>
      <c r="F28" s="50">
        <v>-0.03</v>
      </c>
      <c r="G28" s="55" t="s">
        <v>81</v>
      </c>
      <c r="H28" s="127"/>
      <c r="I28" s="52"/>
      <c r="J28" s="52"/>
      <c r="K28" s="64" t="str">
        <f t="shared" si="0"/>
        <v xml:space="preserve"> </v>
      </c>
      <c r="L28" s="64" t="str">
        <f t="shared" si="1"/>
        <v xml:space="preserve"> </v>
      </c>
      <c r="M28" s="64" t="str">
        <f t="shared" si="2"/>
        <v xml:space="preserve"> </v>
      </c>
      <c r="N28" s="63" t="str">
        <f t="shared" si="3"/>
        <v xml:space="preserve"> </v>
      </c>
      <c r="O28" s="61" t="str">
        <f t="shared" si="4"/>
        <v xml:space="preserve"> </v>
      </c>
      <c r="P28" s="62" t="str">
        <f t="shared" si="5"/>
        <v xml:space="preserve"> </v>
      </c>
      <c r="Q28" s="63" t="str">
        <f t="shared" si="6"/>
        <v/>
      </c>
      <c r="R28" s="63" t="str">
        <f t="shared" si="7"/>
        <v/>
      </c>
      <c r="S28" s="53"/>
    </row>
    <row r="29" spans="1:19" ht="18" customHeight="1">
      <c r="A29" s="126"/>
      <c r="B29" s="129" t="s">
        <v>186</v>
      </c>
      <c r="C29" s="55" t="s">
        <v>73</v>
      </c>
      <c r="D29" s="50">
        <v>9.9350000000000005</v>
      </c>
      <c r="E29" s="50">
        <v>0.03</v>
      </c>
      <c r="F29" s="50">
        <v>-0.03</v>
      </c>
      <c r="G29" s="55" t="s">
        <v>81</v>
      </c>
      <c r="H29" s="127"/>
      <c r="I29" s="52"/>
      <c r="J29" s="52"/>
      <c r="K29" s="64" t="str">
        <f t="shared" si="0"/>
        <v xml:space="preserve"> </v>
      </c>
      <c r="L29" s="64" t="str">
        <f t="shared" si="1"/>
        <v xml:space="preserve"> </v>
      </c>
      <c r="M29" s="64" t="str">
        <f t="shared" si="2"/>
        <v xml:space="preserve"> </v>
      </c>
      <c r="N29" s="63" t="str">
        <f t="shared" si="3"/>
        <v xml:space="preserve"> </v>
      </c>
      <c r="O29" s="61" t="str">
        <f t="shared" si="4"/>
        <v xml:space="preserve"> </v>
      </c>
      <c r="P29" s="62" t="str">
        <f t="shared" si="5"/>
        <v xml:space="preserve"> </v>
      </c>
      <c r="Q29" s="63" t="str">
        <f t="shared" si="6"/>
        <v/>
      </c>
      <c r="R29" s="63" t="str">
        <f t="shared" si="7"/>
        <v/>
      </c>
      <c r="S29" s="53"/>
    </row>
    <row r="30" spans="1:19" ht="18" customHeight="1">
      <c r="A30" s="126"/>
      <c r="B30" s="129" t="s">
        <v>187</v>
      </c>
      <c r="C30" s="55" t="s">
        <v>73</v>
      </c>
      <c r="D30" s="50">
        <v>2.06</v>
      </c>
      <c r="E30" s="50">
        <v>0.03</v>
      </c>
      <c r="F30" s="50">
        <v>-0.03</v>
      </c>
      <c r="G30" s="55" t="s">
        <v>81</v>
      </c>
      <c r="H30" s="127"/>
      <c r="I30" s="52"/>
      <c r="J30" s="52"/>
      <c r="K30" s="64" t="str">
        <f t="shared" si="0"/>
        <v xml:space="preserve"> </v>
      </c>
      <c r="L30" s="64" t="str">
        <f t="shared" si="1"/>
        <v xml:space="preserve"> </v>
      </c>
      <c r="M30" s="64" t="str">
        <f t="shared" si="2"/>
        <v xml:space="preserve"> </v>
      </c>
      <c r="N30" s="63" t="str">
        <f t="shared" si="3"/>
        <v xml:space="preserve"> </v>
      </c>
      <c r="O30" s="61" t="str">
        <f t="shared" si="4"/>
        <v xml:space="preserve"> </v>
      </c>
      <c r="P30" s="62" t="str">
        <f t="shared" si="5"/>
        <v xml:space="preserve"> </v>
      </c>
      <c r="Q30" s="63" t="str">
        <f t="shared" si="6"/>
        <v/>
      </c>
      <c r="R30" s="63" t="str">
        <f t="shared" si="7"/>
        <v/>
      </c>
      <c r="S30" s="53"/>
    </row>
    <row r="31" spans="1:19" ht="18" customHeight="1">
      <c r="A31" s="126"/>
      <c r="B31" s="129" t="s">
        <v>188</v>
      </c>
      <c r="C31" s="55" t="s">
        <v>73</v>
      </c>
      <c r="D31" s="50"/>
      <c r="E31" s="50">
        <v>0.03</v>
      </c>
      <c r="F31" s="50"/>
      <c r="G31" s="55" t="s">
        <v>81</v>
      </c>
      <c r="H31" s="127"/>
      <c r="I31" s="52"/>
      <c r="J31" s="52"/>
      <c r="K31" s="64" t="str">
        <f t="shared" si="0"/>
        <v xml:space="preserve"> </v>
      </c>
      <c r="L31" s="64" t="str">
        <f t="shared" si="1"/>
        <v xml:space="preserve"> </v>
      </c>
      <c r="M31" s="64" t="str">
        <f t="shared" si="2"/>
        <v xml:space="preserve"> </v>
      </c>
      <c r="N31" s="63" t="str">
        <f t="shared" si="3"/>
        <v xml:space="preserve"> </v>
      </c>
      <c r="O31" s="61" t="str">
        <f t="shared" si="4"/>
        <v xml:space="preserve"> </v>
      </c>
      <c r="P31" s="62" t="str">
        <f t="shared" si="5"/>
        <v xml:space="preserve"> </v>
      </c>
      <c r="Q31" s="63" t="str">
        <f t="shared" si="6"/>
        <v/>
      </c>
      <c r="R31" s="63" t="str">
        <f t="shared" si="7"/>
        <v/>
      </c>
      <c r="S31" s="53"/>
    </row>
    <row r="32" spans="1:19" ht="18" customHeight="1">
      <c r="A32" s="126"/>
      <c r="B32" s="129" t="s">
        <v>189</v>
      </c>
      <c r="C32" s="55" t="s">
        <v>73</v>
      </c>
      <c r="D32" s="50"/>
      <c r="E32" s="50">
        <v>0.02</v>
      </c>
      <c r="F32" s="50"/>
      <c r="G32" s="55" t="s">
        <v>81</v>
      </c>
      <c r="H32" s="127"/>
      <c r="I32" s="52"/>
      <c r="J32" s="52"/>
      <c r="K32" s="64" t="str">
        <f t="shared" si="0"/>
        <v xml:space="preserve"> </v>
      </c>
      <c r="L32" s="64" t="str">
        <f t="shared" si="1"/>
        <v xml:space="preserve"> </v>
      </c>
      <c r="M32" s="64" t="str">
        <f t="shared" si="2"/>
        <v xml:space="preserve"> </v>
      </c>
      <c r="N32" s="63" t="str">
        <f t="shared" si="3"/>
        <v xml:space="preserve"> </v>
      </c>
      <c r="O32" s="61" t="str">
        <f t="shared" si="4"/>
        <v xml:space="preserve"> </v>
      </c>
      <c r="P32" s="62" t="str">
        <f t="shared" si="5"/>
        <v xml:space="preserve"> </v>
      </c>
      <c r="Q32" s="63" t="str">
        <f t="shared" si="6"/>
        <v/>
      </c>
      <c r="R32" s="63" t="str">
        <f t="shared" si="7"/>
        <v/>
      </c>
      <c r="S32" s="53"/>
    </row>
    <row r="33" spans="1:19" ht="18" customHeight="1">
      <c r="A33" s="126"/>
      <c r="B33" s="129" t="s">
        <v>190</v>
      </c>
      <c r="C33" s="55" t="s">
        <v>73</v>
      </c>
      <c r="D33" s="50">
        <v>12.33</v>
      </c>
      <c r="E33" s="50">
        <v>0.03</v>
      </c>
      <c r="F33" s="50">
        <v>-0.03</v>
      </c>
      <c r="G33" s="55" t="s">
        <v>81</v>
      </c>
      <c r="H33" s="127"/>
      <c r="I33" s="52"/>
      <c r="J33" s="52"/>
      <c r="K33" s="64" t="str">
        <f t="shared" si="0"/>
        <v xml:space="preserve"> </v>
      </c>
      <c r="L33" s="64" t="str">
        <f t="shared" si="1"/>
        <v xml:space="preserve"> </v>
      </c>
      <c r="M33" s="64" t="str">
        <f t="shared" si="2"/>
        <v xml:space="preserve"> </v>
      </c>
      <c r="N33" s="63" t="str">
        <f t="shared" si="3"/>
        <v xml:space="preserve"> </v>
      </c>
      <c r="O33" s="61" t="str">
        <f t="shared" si="4"/>
        <v xml:space="preserve"> </v>
      </c>
      <c r="P33" s="62" t="str">
        <f t="shared" si="5"/>
        <v xml:space="preserve"> </v>
      </c>
      <c r="Q33" s="63" t="str">
        <f t="shared" si="6"/>
        <v/>
      </c>
      <c r="R33" s="63" t="str">
        <f t="shared" si="7"/>
        <v/>
      </c>
      <c r="S33" s="53"/>
    </row>
    <row r="34" spans="1:19" ht="18" customHeight="1">
      <c r="A34" s="126"/>
      <c r="B34" s="129" t="s">
        <v>191</v>
      </c>
      <c r="C34" s="55" t="s">
        <v>73</v>
      </c>
      <c r="D34" s="50">
        <v>2.0190000000000001</v>
      </c>
      <c r="E34" s="50">
        <v>0.03</v>
      </c>
      <c r="F34" s="50">
        <v>-0.03</v>
      </c>
      <c r="G34" s="55" t="s">
        <v>81</v>
      </c>
      <c r="H34" s="127"/>
      <c r="I34" s="52"/>
      <c r="J34" s="52"/>
      <c r="K34" s="64" t="str">
        <f t="shared" si="0"/>
        <v xml:space="preserve"> </v>
      </c>
      <c r="L34" s="64" t="str">
        <f t="shared" si="1"/>
        <v xml:space="preserve"> </v>
      </c>
      <c r="M34" s="64" t="str">
        <f t="shared" si="2"/>
        <v xml:space="preserve"> </v>
      </c>
      <c r="N34" s="63" t="str">
        <f t="shared" si="3"/>
        <v xml:space="preserve"> </v>
      </c>
      <c r="O34" s="61" t="str">
        <f t="shared" si="4"/>
        <v xml:space="preserve"> </v>
      </c>
      <c r="P34" s="62" t="str">
        <f t="shared" si="5"/>
        <v xml:space="preserve"> </v>
      </c>
      <c r="Q34" s="63" t="str">
        <f t="shared" si="6"/>
        <v/>
      </c>
      <c r="R34" s="63" t="str">
        <f t="shared" si="7"/>
        <v/>
      </c>
      <c r="S34" s="53"/>
    </row>
    <row r="35" spans="1:19" ht="18" customHeight="1">
      <c r="A35" s="126"/>
      <c r="B35" s="129" t="s">
        <v>192</v>
      </c>
      <c r="C35" s="55" t="s">
        <v>73</v>
      </c>
      <c r="D35" s="50">
        <v>2.33</v>
      </c>
      <c r="E35" s="50">
        <v>0.03</v>
      </c>
      <c r="F35" s="50">
        <v>-0.03</v>
      </c>
      <c r="G35" s="55" t="s">
        <v>81</v>
      </c>
      <c r="H35" s="127"/>
      <c r="I35" s="52"/>
      <c r="J35" s="52"/>
      <c r="K35" s="64" t="str">
        <f t="shared" si="0"/>
        <v xml:space="preserve"> </v>
      </c>
      <c r="L35" s="64" t="str">
        <f t="shared" si="1"/>
        <v xml:space="preserve"> </v>
      </c>
      <c r="M35" s="64" t="str">
        <f t="shared" si="2"/>
        <v xml:space="preserve"> </v>
      </c>
      <c r="N35" s="63" t="str">
        <f t="shared" si="3"/>
        <v xml:space="preserve"> </v>
      </c>
      <c r="O35" s="61" t="str">
        <f t="shared" si="4"/>
        <v xml:space="preserve"> </v>
      </c>
      <c r="P35" s="62" t="str">
        <f t="shared" si="5"/>
        <v xml:space="preserve"> </v>
      </c>
      <c r="Q35" s="63" t="str">
        <f t="shared" si="6"/>
        <v/>
      </c>
      <c r="R35" s="63" t="str">
        <f t="shared" si="7"/>
        <v/>
      </c>
      <c r="S35" s="53"/>
    </row>
    <row r="36" spans="1:19" ht="18" customHeight="1">
      <c r="A36" s="126"/>
      <c r="B36" s="129" t="s">
        <v>193</v>
      </c>
      <c r="C36" s="55" t="s">
        <v>73</v>
      </c>
      <c r="D36" s="50">
        <v>9.0879999999999992</v>
      </c>
      <c r="E36" s="50">
        <v>0.03</v>
      </c>
      <c r="F36" s="50">
        <v>-0.03</v>
      </c>
      <c r="G36" s="55" t="s">
        <v>81</v>
      </c>
      <c r="H36" s="127"/>
      <c r="I36" s="52"/>
      <c r="J36" s="52"/>
      <c r="K36" s="64" t="str">
        <f t="shared" si="0"/>
        <v xml:space="preserve"> </v>
      </c>
      <c r="L36" s="64" t="str">
        <f t="shared" si="1"/>
        <v xml:space="preserve"> </v>
      </c>
      <c r="M36" s="64" t="str">
        <f t="shared" si="2"/>
        <v xml:space="preserve"> </v>
      </c>
      <c r="N36" s="63" t="str">
        <f t="shared" si="3"/>
        <v xml:space="preserve"> </v>
      </c>
      <c r="O36" s="61" t="str">
        <f t="shared" si="4"/>
        <v xml:space="preserve"> </v>
      </c>
      <c r="P36" s="62" t="str">
        <f t="shared" si="5"/>
        <v xml:space="preserve"> </v>
      </c>
      <c r="Q36" s="63" t="str">
        <f t="shared" si="6"/>
        <v/>
      </c>
      <c r="R36" s="63" t="str">
        <f t="shared" si="7"/>
        <v/>
      </c>
      <c r="S36" s="53"/>
    </row>
    <row r="37" spans="1:19" ht="18" customHeight="1">
      <c r="A37" s="126"/>
      <c r="B37" s="129" t="s">
        <v>194</v>
      </c>
      <c r="C37" s="55" t="s">
        <v>73</v>
      </c>
      <c r="D37" s="50">
        <v>0.2</v>
      </c>
      <c r="E37" s="50">
        <v>0.03</v>
      </c>
      <c r="F37" s="50">
        <v>-0.03</v>
      </c>
      <c r="G37" s="55" t="s">
        <v>81</v>
      </c>
      <c r="H37" s="127"/>
      <c r="I37" s="52"/>
      <c r="J37" s="52"/>
      <c r="K37" s="64" t="str">
        <f t="shared" si="0"/>
        <v xml:space="preserve"> </v>
      </c>
      <c r="L37" s="64" t="str">
        <f t="shared" si="1"/>
        <v xml:space="preserve"> </v>
      </c>
      <c r="M37" s="64" t="str">
        <f t="shared" si="2"/>
        <v xml:space="preserve"> </v>
      </c>
      <c r="N37" s="63" t="str">
        <f t="shared" si="3"/>
        <v xml:space="preserve"> </v>
      </c>
      <c r="O37" s="61" t="str">
        <f t="shared" si="4"/>
        <v xml:space="preserve"> </v>
      </c>
      <c r="P37" s="62" t="str">
        <f t="shared" si="5"/>
        <v xml:space="preserve"> </v>
      </c>
      <c r="Q37" s="63" t="str">
        <f t="shared" si="6"/>
        <v/>
      </c>
      <c r="R37" s="63" t="str">
        <f t="shared" si="7"/>
        <v/>
      </c>
      <c r="S37" s="53"/>
    </row>
    <row r="38" spans="1:19" ht="18" customHeight="1">
      <c r="A38" s="126"/>
      <c r="B38" s="129" t="s">
        <v>195</v>
      </c>
      <c r="C38" s="55" t="s">
        <v>73</v>
      </c>
      <c r="D38" s="50">
        <v>0.35</v>
      </c>
      <c r="E38" s="50">
        <v>0.03</v>
      </c>
      <c r="F38" s="50">
        <v>-0.03</v>
      </c>
      <c r="G38" s="55" t="s">
        <v>81</v>
      </c>
      <c r="H38" s="127"/>
      <c r="I38" s="52"/>
      <c r="J38" s="52"/>
      <c r="K38" s="64" t="str">
        <f t="shared" ref="K38:K49" si="14">IF(ISERR(H38/H38)=TRUE," ",H38-$D38)</f>
        <v xml:space="preserve"> </v>
      </c>
      <c r="L38" s="64" t="str">
        <f t="shared" ref="L38:L49" si="15">IF(ISERR(I38/I38)=TRUE," ",I38-$D38)</f>
        <v xml:space="preserve"> </v>
      </c>
      <c r="M38" s="64" t="str">
        <f t="shared" ref="M38:M49" si="16">IF(ISERR(J38/J38)=TRUE," ",J38-$D38)</f>
        <v xml:space="preserve"> </v>
      </c>
      <c r="N38" s="63" t="str">
        <f t="shared" ref="N38:N49" si="17">IF(ISERR(H38/H38)=TRUE," ",AVERAGE(H38:J38))</f>
        <v xml:space="preserve"> </v>
      </c>
      <c r="O38" s="61" t="str">
        <f t="shared" ref="O38:O49" si="18">IF(ISERR(E38/E38)=TRUE," ",IF(ISERR(H38/H38)=TRUE," ",IF(ISNUMBER($H38)=FALSE," ",IF(MAX($H38:$J38)&lt;$D38,0,(MAX($H38:$J38)-$D38)/$E38))))</f>
        <v xml:space="preserve"> </v>
      </c>
      <c r="P38" s="62" t="str">
        <f t="shared" ref="P38:P49" si="19">IF(ISERR(F38/D38)=TRUE," ",IF(ISERR(F38/F38)=TRUE," ",IF(ISERR(H38/H38)=TRUE," ",IF(ISNUMBER(H38)=FALSE," ",IF(MIN(H38:J38)&gt;$D38,0,($D38-MIN(H38:J38))/-F38)))))</f>
        <v xml:space="preserve"> </v>
      </c>
      <c r="Q38" s="63" t="str">
        <f t="shared" si="6"/>
        <v/>
      </c>
      <c r="R38" s="63" t="str">
        <f t="shared" ref="R38:R49" si="20">IF(H38="","",IF(ISERR(F38/F38)=TRUE,"",IF(ISERR(F38/D38)=TRUE,IF((F38-MIN(H38:J38))&gt;0.001,"Reject",""),IF(ISNUMBER($P38)=TRUE,IF($P38&gt;0.651,IF($P38&gt;1.001,"Reject","Alert"),""),""))))</f>
        <v/>
      </c>
      <c r="S38" s="53"/>
    </row>
    <row r="39" spans="1:19" ht="18" customHeight="1">
      <c r="A39" s="126"/>
      <c r="B39" s="129" t="s">
        <v>196</v>
      </c>
      <c r="C39" s="55" t="s">
        <v>73</v>
      </c>
      <c r="D39" s="50">
        <v>1.5</v>
      </c>
      <c r="E39" s="50">
        <v>0.05</v>
      </c>
      <c r="F39" s="50">
        <v>-0.05</v>
      </c>
      <c r="G39" s="55" t="s">
        <v>81</v>
      </c>
      <c r="H39" s="127"/>
      <c r="I39" s="52"/>
      <c r="J39" s="52"/>
      <c r="K39" s="64" t="str">
        <f t="shared" si="14"/>
        <v xml:space="preserve"> </v>
      </c>
      <c r="L39" s="64" t="str">
        <f t="shared" si="15"/>
        <v xml:space="preserve"> </v>
      </c>
      <c r="M39" s="64" t="str">
        <f t="shared" si="16"/>
        <v xml:space="preserve"> </v>
      </c>
      <c r="N39" s="63" t="str">
        <f t="shared" si="17"/>
        <v xml:space="preserve"> </v>
      </c>
      <c r="O39" s="61" t="str">
        <f t="shared" si="18"/>
        <v xml:space="preserve"> </v>
      </c>
      <c r="P39" s="62" t="str">
        <f t="shared" si="19"/>
        <v xml:space="preserve"> </v>
      </c>
      <c r="Q39" s="63" t="str">
        <f t="shared" si="6"/>
        <v/>
      </c>
      <c r="R39" s="63" t="str">
        <f t="shared" si="20"/>
        <v/>
      </c>
      <c r="S39" s="53"/>
    </row>
    <row r="40" spans="1:19" ht="18" customHeight="1">
      <c r="A40" s="126"/>
      <c r="B40" s="129" t="s">
        <v>197</v>
      </c>
      <c r="C40" s="55" t="s">
        <v>73</v>
      </c>
      <c r="D40" s="50">
        <v>1.5</v>
      </c>
      <c r="E40" s="50">
        <v>0.05</v>
      </c>
      <c r="F40" s="50">
        <v>-0.05</v>
      </c>
      <c r="G40" s="55" t="s">
        <v>81</v>
      </c>
      <c r="H40" s="127"/>
      <c r="I40" s="52"/>
      <c r="J40" s="52"/>
      <c r="K40" s="64" t="str">
        <f t="shared" si="14"/>
        <v xml:space="preserve"> </v>
      </c>
      <c r="L40" s="64" t="str">
        <f t="shared" si="15"/>
        <v xml:space="preserve"> </v>
      </c>
      <c r="M40" s="64" t="str">
        <f t="shared" si="16"/>
        <v xml:space="preserve"> </v>
      </c>
      <c r="N40" s="63" t="str">
        <f t="shared" si="17"/>
        <v xml:space="preserve"> </v>
      </c>
      <c r="O40" s="61" t="str">
        <f t="shared" si="18"/>
        <v xml:space="preserve"> </v>
      </c>
      <c r="P40" s="62" t="str">
        <f t="shared" si="19"/>
        <v xml:space="preserve"> </v>
      </c>
      <c r="Q40" s="63" t="str">
        <f t="shared" si="6"/>
        <v/>
      </c>
      <c r="R40" s="63" t="str">
        <f t="shared" si="20"/>
        <v/>
      </c>
      <c r="S40" s="53"/>
    </row>
    <row r="41" spans="1:19" ht="18" customHeight="1">
      <c r="A41" s="126"/>
      <c r="B41" s="129" t="s">
        <v>145</v>
      </c>
      <c r="C41" s="55" t="s">
        <v>73</v>
      </c>
      <c r="D41" s="50">
        <v>1.6639999999999999</v>
      </c>
      <c r="E41" s="50">
        <v>0.03</v>
      </c>
      <c r="F41" s="50">
        <v>-0.03</v>
      </c>
      <c r="G41" s="55" t="s">
        <v>81</v>
      </c>
      <c r="H41" s="127"/>
      <c r="I41" s="52"/>
      <c r="J41" s="52"/>
      <c r="K41" s="64" t="str">
        <f t="shared" si="14"/>
        <v xml:space="preserve"> </v>
      </c>
      <c r="L41" s="64" t="str">
        <f t="shared" si="15"/>
        <v xml:space="preserve"> </v>
      </c>
      <c r="M41" s="64" t="str">
        <f t="shared" si="16"/>
        <v xml:space="preserve"> </v>
      </c>
      <c r="N41" s="63" t="str">
        <f t="shared" si="17"/>
        <v xml:space="preserve"> </v>
      </c>
      <c r="O41" s="61" t="str">
        <f t="shared" si="18"/>
        <v xml:space="preserve"> </v>
      </c>
      <c r="P41" s="62" t="str">
        <f t="shared" si="19"/>
        <v xml:space="preserve"> </v>
      </c>
      <c r="Q41" s="63" t="str">
        <f t="shared" si="6"/>
        <v/>
      </c>
      <c r="R41" s="63" t="str">
        <f t="shared" si="20"/>
        <v/>
      </c>
      <c r="S41" s="53"/>
    </row>
    <row r="42" spans="1:19" ht="18" customHeight="1">
      <c r="A42" s="126"/>
      <c r="B42" s="129" t="s">
        <v>146</v>
      </c>
      <c r="C42" s="55" t="s">
        <v>73</v>
      </c>
      <c r="D42" s="50">
        <v>1.665</v>
      </c>
      <c r="E42" s="50">
        <v>0.03</v>
      </c>
      <c r="F42" s="50">
        <v>-0.03</v>
      </c>
      <c r="G42" s="55" t="s">
        <v>81</v>
      </c>
      <c r="H42" s="127"/>
      <c r="I42" s="52"/>
      <c r="J42" s="52"/>
      <c r="K42" s="64" t="str">
        <f t="shared" si="14"/>
        <v xml:space="preserve"> </v>
      </c>
      <c r="L42" s="64" t="str">
        <f t="shared" si="15"/>
        <v xml:space="preserve"> </v>
      </c>
      <c r="M42" s="64" t="str">
        <f t="shared" si="16"/>
        <v xml:space="preserve"> </v>
      </c>
      <c r="N42" s="63" t="str">
        <f t="shared" si="17"/>
        <v xml:space="preserve"> </v>
      </c>
      <c r="O42" s="61" t="str">
        <f t="shared" si="18"/>
        <v xml:space="preserve"> </v>
      </c>
      <c r="P42" s="62" t="str">
        <f t="shared" si="19"/>
        <v xml:space="preserve"> </v>
      </c>
      <c r="Q42" s="63" t="str">
        <f t="shared" si="6"/>
        <v/>
      </c>
      <c r="R42" s="63" t="str">
        <f t="shared" si="20"/>
        <v/>
      </c>
      <c r="S42" s="53"/>
    </row>
    <row r="43" spans="1:19" ht="18" customHeight="1">
      <c r="A43" s="126"/>
      <c r="B43" s="129" t="s">
        <v>147</v>
      </c>
      <c r="C43" s="55" t="s">
        <v>73</v>
      </c>
      <c r="D43" s="50">
        <v>9.6560000000000006</v>
      </c>
      <c r="E43" s="50">
        <v>0.03</v>
      </c>
      <c r="F43" s="50">
        <v>-0.03</v>
      </c>
      <c r="G43" s="55" t="s">
        <v>81</v>
      </c>
      <c r="H43" s="127"/>
      <c r="I43" s="52"/>
      <c r="J43" s="52"/>
      <c r="K43" s="64" t="str">
        <f t="shared" si="14"/>
        <v xml:space="preserve"> </v>
      </c>
      <c r="L43" s="64" t="str">
        <f t="shared" si="15"/>
        <v xml:space="preserve"> </v>
      </c>
      <c r="M43" s="64" t="str">
        <f t="shared" si="16"/>
        <v xml:space="preserve"> </v>
      </c>
      <c r="N43" s="63" t="str">
        <f t="shared" si="17"/>
        <v xml:space="preserve"> </v>
      </c>
      <c r="O43" s="61" t="str">
        <f t="shared" si="18"/>
        <v xml:space="preserve"> </v>
      </c>
      <c r="P43" s="62" t="str">
        <f t="shared" si="19"/>
        <v xml:space="preserve"> </v>
      </c>
      <c r="Q43" s="63" t="str">
        <f t="shared" si="6"/>
        <v/>
      </c>
      <c r="R43" s="63" t="str">
        <f t="shared" si="20"/>
        <v/>
      </c>
      <c r="S43" s="53"/>
    </row>
    <row r="44" spans="1:19" ht="18" customHeight="1">
      <c r="A44" s="126"/>
      <c r="B44" s="129" t="s">
        <v>148</v>
      </c>
      <c r="C44" s="55" t="s">
        <v>73</v>
      </c>
      <c r="D44" s="50">
        <v>13.662000000000001</v>
      </c>
      <c r="E44" s="50">
        <v>0.03</v>
      </c>
      <c r="F44" s="50">
        <v>-0.03</v>
      </c>
      <c r="G44" s="55" t="s">
        <v>81</v>
      </c>
      <c r="H44" s="127"/>
      <c r="I44" s="52"/>
      <c r="J44" s="52"/>
      <c r="K44" s="64" t="str">
        <f t="shared" si="14"/>
        <v xml:space="preserve"> </v>
      </c>
      <c r="L44" s="64" t="str">
        <f t="shared" si="15"/>
        <v xml:space="preserve"> </v>
      </c>
      <c r="M44" s="64" t="str">
        <f t="shared" si="16"/>
        <v xml:space="preserve"> </v>
      </c>
      <c r="N44" s="63" t="str">
        <f t="shared" si="17"/>
        <v xml:space="preserve"> </v>
      </c>
      <c r="O44" s="61" t="str">
        <f t="shared" si="18"/>
        <v xml:space="preserve"> </v>
      </c>
      <c r="P44" s="62" t="str">
        <f t="shared" si="19"/>
        <v xml:space="preserve"> </v>
      </c>
      <c r="Q44" s="63" t="str">
        <f t="shared" si="6"/>
        <v/>
      </c>
      <c r="R44" s="63" t="str">
        <f t="shared" si="20"/>
        <v/>
      </c>
      <c r="S44" s="53"/>
    </row>
    <row r="45" spans="1:19" ht="18" customHeight="1">
      <c r="A45" s="126"/>
      <c r="B45" s="129" t="s">
        <v>149</v>
      </c>
      <c r="C45" s="55" t="s">
        <v>73</v>
      </c>
      <c r="D45" s="50">
        <v>12.089</v>
      </c>
      <c r="E45" s="50">
        <v>0.03</v>
      </c>
      <c r="F45" s="50">
        <v>-0.03</v>
      </c>
      <c r="G45" s="55" t="s">
        <v>81</v>
      </c>
      <c r="H45" s="127"/>
      <c r="I45" s="52"/>
      <c r="J45" s="52"/>
      <c r="K45" s="64" t="str">
        <f t="shared" si="14"/>
        <v xml:space="preserve"> </v>
      </c>
      <c r="L45" s="64" t="str">
        <f t="shared" si="15"/>
        <v xml:space="preserve"> </v>
      </c>
      <c r="M45" s="64" t="str">
        <f t="shared" si="16"/>
        <v xml:space="preserve"> </v>
      </c>
      <c r="N45" s="63" t="str">
        <f t="shared" si="17"/>
        <v xml:space="preserve"> </v>
      </c>
      <c r="O45" s="61" t="str">
        <f t="shared" si="18"/>
        <v xml:space="preserve"> </v>
      </c>
      <c r="P45" s="62" t="str">
        <f t="shared" si="19"/>
        <v xml:space="preserve"> </v>
      </c>
      <c r="Q45" s="63" t="str">
        <f t="shared" si="6"/>
        <v/>
      </c>
      <c r="R45" s="63" t="str">
        <f t="shared" si="20"/>
        <v/>
      </c>
      <c r="S45" s="53"/>
    </row>
    <row r="46" spans="1:19" ht="18" customHeight="1">
      <c r="A46" s="126"/>
      <c r="B46" s="129" t="s">
        <v>150</v>
      </c>
      <c r="C46" s="55" t="s">
        <v>73</v>
      </c>
      <c r="D46" s="50">
        <v>0.59799999999999998</v>
      </c>
      <c r="E46" s="50">
        <v>0.03</v>
      </c>
      <c r="F46" s="50">
        <v>-0.03</v>
      </c>
      <c r="G46" s="55" t="s">
        <v>81</v>
      </c>
      <c r="H46" s="127"/>
      <c r="I46" s="52"/>
      <c r="J46" s="52"/>
      <c r="K46" s="64" t="str">
        <f t="shared" si="14"/>
        <v xml:space="preserve"> </v>
      </c>
      <c r="L46" s="64" t="str">
        <f t="shared" si="15"/>
        <v xml:space="preserve"> </v>
      </c>
      <c r="M46" s="64" t="str">
        <f t="shared" si="16"/>
        <v xml:space="preserve"> </v>
      </c>
      <c r="N46" s="63" t="str">
        <f t="shared" si="17"/>
        <v xml:space="preserve"> </v>
      </c>
      <c r="O46" s="61" t="str">
        <f t="shared" si="18"/>
        <v xml:space="preserve"> </v>
      </c>
      <c r="P46" s="62" t="str">
        <f t="shared" si="19"/>
        <v xml:space="preserve"> </v>
      </c>
      <c r="Q46" s="63" t="str">
        <f t="shared" si="6"/>
        <v/>
      </c>
      <c r="R46" s="63" t="str">
        <f t="shared" si="20"/>
        <v/>
      </c>
      <c r="S46" s="53"/>
    </row>
    <row r="47" spans="1:19" ht="17.25" customHeight="1">
      <c r="A47" s="126"/>
      <c r="B47" s="129" t="s">
        <v>151</v>
      </c>
      <c r="C47" s="55" t="s">
        <v>73</v>
      </c>
      <c r="D47" s="50">
        <v>0.38</v>
      </c>
      <c r="E47" s="50">
        <v>0.03</v>
      </c>
      <c r="F47" s="50">
        <v>-0.03</v>
      </c>
      <c r="G47" s="55" t="s">
        <v>81</v>
      </c>
      <c r="H47" s="127"/>
      <c r="I47" s="52"/>
      <c r="J47" s="52"/>
      <c r="K47" s="64" t="str">
        <f t="shared" si="14"/>
        <v xml:space="preserve"> </v>
      </c>
      <c r="L47" s="64" t="str">
        <f t="shared" si="15"/>
        <v xml:space="preserve"> </v>
      </c>
      <c r="M47" s="64" t="str">
        <f t="shared" si="16"/>
        <v xml:space="preserve"> </v>
      </c>
      <c r="N47" s="63" t="str">
        <f t="shared" si="17"/>
        <v xml:space="preserve"> </v>
      </c>
      <c r="O47" s="61" t="str">
        <f t="shared" si="18"/>
        <v xml:space="preserve"> </v>
      </c>
      <c r="P47" s="62" t="str">
        <f t="shared" si="19"/>
        <v xml:space="preserve"> </v>
      </c>
      <c r="Q47" s="63" t="str">
        <f t="shared" si="6"/>
        <v/>
      </c>
      <c r="R47" s="63" t="str">
        <f t="shared" si="20"/>
        <v/>
      </c>
      <c r="S47" s="53"/>
    </row>
    <row r="48" spans="1:19" ht="18" customHeight="1">
      <c r="A48" s="126"/>
      <c r="B48" s="129" t="s">
        <v>152</v>
      </c>
      <c r="C48" s="55" t="s">
        <v>73</v>
      </c>
      <c r="D48" s="50">
        <v>1.95</v>
      </c>
      <c r="E48" s="50">
        <v>0.03</v>
      </c>
      <c r="F48" s="50">
        <v>-0.03</v>
      </c>
      <c r="G48" s="55" t="s">
        <v>81</v>
      </c>
      <c r="H48" s="127"/>
      <c r="I48" s="52"/>
      <c r="J48" s="52"/>
      <c r="K48" s="64" t="str">
        <f t="shared" si="14"/>
        <v xml:space="preserve"> </v>
      </c>
      <c r="L48" s="64" t="str">
        <f t="shared" si="15"/>
        <v xml:space="preserve"> </v>
      </c>
      <c r="M48" s="64" t="str">
        <f t="shared" si="16"/>
        <v xml:space="preserve"> </v>
      </c>
      <c r="N48" s="63" t="str">
        <f t="shared" si="17"/>
        <v xml:space="preserve"> </v>
      </c>
      <c r="O48" s="61" t="str">
        <f t="shared" si="18"/>
        <v xml:space="preserve"> </v>
      </c>
      <c r="P48" s="62" t="str">
        <f t="shared" si="19"/>
        <v xml:space="preserve"> </v>
      </c>
      <c r="Q48" s="63" t="str">
        <f t="shared" si="6"/>
        <v/>
      </c>
      <c r="R48" s="63" t="str">
        <f t="shared" si="20"/>
        <v/>
      </c>
      <c r="S48" s="53"/>
    </row>
    <row r="49" spans="1:19" ht="18" customHeight="1">
      <c r="A49" s="126"/>
      <c r="B49" s="129" t="s">
        <v>153</v>
      </c>
      <c r="C49" s="55" t="s">
        <v>73</v>
      </c>
      <c r="D49" s="50">
        <v>2.1709999999999998</v>
      </c>
      <c r="E49" s="50">
        <v>0.03</v>
      </c>
      <c r="F49" s="50">
        <v>-0.03</v>
      </c>
      <c r="G49" s="55" t="s">
        <v>81</v>
      </c>
      <c r="H49" s="127"/>
      <c r="I49" s="52"/>
      <c r="J49" s="52"/>
      <c r="K49" s="64" t="str">
        <f t="shared" si="14"/>
        <v xml:space="preserve"> </v>
      </c>
      <c r="L49" s="64" t="str">
        <f t="shared" si="15"/>
        <v xml:space="preserve"> </v>
      </c>
      <c r="M49" s="64" t="str">
        <f t="shared" si="16"/>
        <v xml:space="preserve"> </v>
      </c>
      <c r="N49" s="63" t="str">
        <f t="shared" si="17"/>
        <v xml:space="preserve"> </v>
      </c>
      <c r="O49" s="61" t="str">
        <f t="shared" si="18"/>
        <v xml:space="preserve"> </v>
      </c>
      <c r="P49" s="62" t="str">
        <f t="shared" si="19"/>
        <v xml:space="preserve"> </v>
      </c>
      <c r="Q49" s="63" t="str">
        <f t="shared" si="6"/>
        <v/>
      </c>
      <c r="R49" s="63" t="str">
        <f t="shared" si="20"/>
        <v/>
      </c>
      <c r="S49" s="53"/>
    </row>
  </sheetData>
  <mergeCells count="14">
    <mergeCell ref="B3:G3"/>
    <mergeCell ref="A1:S1"/>
    <mergeCell ref="H3:M3"/>
    <mergeCell ref="N3:R3"/>
    <mergeCell ref="B4:B5"/>
    <mergeCell ref="N4:N5"/>
    <mergeCell ref="F4:F5"/>
    <mergeCell ref="E4:E5"/>
    <mergeCell ref="D4:D5"/>
    <mergeCell ref="C4:C5"/>
    <mergeCell ref="G4:G5"/>
    <mergeCell ref="H4:J4"/>
    <mergeCell ref="K4:M4"/>
    <mergeCell ref="S3:S5"/>
  </mergeCells>
  <phoneticPr fontId="16" type="noConversion"/>
  <conditionalFormatting sqref="H6:J11">
    <cfRule type="cellIs" dxfId="58" priority="57" operator="lessThan">
      <formula>0.48</formula>
    </cfRule>
    <cfRule type="cellIs" dxfId="57" priority="58" operator="greaterThan">
      <formula>0.5</formula>
    </cfRule>
  </conditionalFormatting>
  <conditionalFormatting sqref="H12:J12">
    <cfRule type="cellIs" dxfId="56" priority="56" operator="greaterThan">
      <formula>0.03</formula>
    </cfRule>
  </conditionalFormatting>
  <conditionalFormatting sqref="H13:J13">
    <cfRule type="cellIs" dxfId="55" priority="55" operator="greaterThan">
      <formula>0.03</formula>
    </cfRule>
  </conditionalFormatting>
  <conditionalFormatting sqref="H14:J16">
    <cfRule type="cellIs" dxfId="54" priority="53" operator="lessThan">
      <formula>1.09</formula>
    </cfRule>
    <cfRule type="cellIs" dxfId="53" priority="54" operator="greaterThan">
      <formula>1.115</formula>
    </cfRule>
  </conditionalFormatting>
  <conditionalFormatting sqref="H17:J17">
    <cfRule type="cellIs" dxfId="52" priority="51" operator="lessThan">
      <formula>1.774</formula>
    </cfRule>
    <cfRule type="cellIs" dxfId="51" priority="52" operator="greaterThan">
      <formula>1.814</formula>
    </cfRule>
  </conditionalFormatting>
  <conditionalFormatting sqref="H18:J18">
    <cfRule type="cellIs" dxfId="50" priority="49" operator="lessThan">
      <formula>0.19</formula>
    </cfRule>
    <cfRule type="cellIs" dxfId="49" priority="50" operator="greaterThan">
      <formula>0.23</formula>
    </cfRule>
  </conditionalFormatting>
  <conditionalFormatting sqref="H19:J24">
    <cfRule type="cellIs" dxfId="48" priority="47" operator="lessThan">
      <formula>1.265</formula>
    </cfRule>
    <cfRule type="cellIs" dxfId="47" priority="48" operator="greaterThan">
      <formula>1.335</formula>
    </cfRule>
  </conditionalFormatting>
  <conditionalFormatting sqref="H25:J25">
    <cfRule type="cellIs" dxfId="46" priority="45" operator="lessThan">
      <formula>14</formula>
    </cfRule>
    <cfRule type="cellIs" dxfId="45" priority="46" operator="greaterThan">
      <formula>14.06</formula>
    </cfRule>
  </conditionalFormatting>
  <conditionalFormatting sqref="H26:J26">
    <cfRule type="cellIs" dxfId="44" priority="43" operator="lessThan">
      <formula>11.935</formula>
    </cfRule>
    <cfRule type="cellIs" dxfId="43" priority="44" operator="greaterThan">
      <formula>11.995</formula>
    </cfRule>
  </conditionalFormatting>
  <conditionalFormatting sqref="H27:J27">
    <cfRule type="cellIs" dxfId="42" priority="41" operator="lessThan">
      <formula>2.265</formula>
    </cfRule>
    <cfRule type="cellIs" dxfId="41" priority="42" operator="greaterThan">
      <formula>2.325</formula>
    </cfRule>
  </conditionalFormatting>
  <conditionalFormatting sqref="H28:J28">
    <cfRule type="cellIs" dxfId="40" priority="39" operator="lessThan">
      <formula>11.29</formula>
    </cfRule>
    <cfRule type="cellIs" dxfId="39" priority="40" operator="greaterThan">
      <formula>11.35</formula>
    </cfRule>
  </conditionalFormatting>
  <conditionalFormatting sqref="H29:J29">
    <cfRule type="cellIs" dxfId="38" priority="37" operator="lessThan">
      <formula>9.905</formula>
    </cfRule>
    <cfRule type="cellIs" dxfId="37" priority="38" operator="greaterThan">
      <formula>9.965</formula>
    </cfRule>
  </conditionalFormatting>
  <conditionalFormatting sqref="H30:J30">
    <cfRule type="cellIs" dxfId="36" priority="35" operator="lessThan">
      <formula>2.03</formula>
    </cfRule>
    <cfRule type="cellIs" dxfId="35" priority="36" operator="greaterThan">
      <formula>2.09</formula>
    </cfRule>
  </conditionalFormatting>
  <conditionalFormatting sqref="H31:J31">
    <cfRule type="cellIs" dxfId="34" priority="34" operator="greaterThan">
      <formula>0.03</formula>
    </cfRule>
  </conditionalFormatting>
  <conditionalFormatting sqref="H32:J32">
    <cfRule type="cellIs" dxfId="33" priority="33" operator="greaterThan">
      <formula>0.02</formula>
    </cfRule>
  </conditionalFormatting>
  <conditionalFormatting sqref="H33:J33">
    <cfRule type="cellIs" dxfId="32" priority="31" operator="lessThan">
      <formula>12.3</formula>
    </cfRule>
    <cfRule type="cellIs" dxfId="31" priority="32" operator="greaterThan">
      <formula>12.36</formula>
    </cfRule>
  </conditionalFormatting>
  <conditionalFormatting sqref="H34:J34">
    <cfRule type="cellIs" dxfId="30" priority="29" operator="lessThan">
      <formula>1.989</formula>
    </cfRule>
    <cfRule type="cellIs" dxfId="29" priority="30" operator="greaterThan">
      <formula>2.049</formula>
    </cfRule>
  </conditionalFormatting>
  <conditionalFormatting sqref="H35:J35">
    <cfRule type="cellIs" dxfId="28" priority="27" operator="lessThan">
      <formula>2.3</formula>
    </cfRule>
    <cfRule type="cellIs" dxfId="27" priority="28" operator="greaterThan">
      <formula>2.36</formula>
    </cfRule>
  </conditionalFormatting>
  <conditionalFormatting sqref="H36:J36">
    <cfRule type="cellIs" dxfId="26" priority="25" operator="lessThan">
      <formula>9.058</formula>
    </cfRule>
    <cfRule type="cellIs" dxfId="25" priority="26" operator="greaterThan">
      <formula>9.118</formula>
    </cfRule>
  </conditionalFormatting>
  <conditionalFormatting sqref="H37:J37">
    <cfRule type="cellIs" dxfId="24" priority="23" operator="lessThan">
      <formula>0.17</formula>
    </cfRule>
    <cfRule type="cellIs" dxfId="23" priority="24" operator="greaterThan">
      <formula>0.23</formula>
    </cfRule>
  </conditionalFormatting>
  <conditionalFormatting sqref="H38:J38">
    <cfRule type="cellIs" dxfId="22" priority="21" operator="lessThan">
      <formula>0.32</formula>
    </cfRule>
    <cfRule type="cellIs" dxfId="21" priority="22" operator="greaterThan">
      <formula>0.38</formula>
    </cfRule>
  </conditionalFormatting>
  <conditionalFormatting sqref="H39:J40">
    <cfRule type="cellIs" dxfId="20" priority="19" operator="lessThan">
      <formula>1.45</formula>
    </cfRule>
    <cfRule type="cellIs" dxfId="19" priority="20" operator="greaterThan">
      <formula>1.55</formula>
    </cfRule>
  </conditionalFormatting>
  <conditionalFormatting sqref="H41:J41">
    <cfRule type="cellIs" dxfId="18" priority="17" operator="lessThan">
      <formula>1.634</formula>
    </cfRule>
    <cfRule type="cellIs" dxfId="17" priority="18" operator="greaterThan">
      <formula>1.694</formula>
    </cfRule>
  </conditionalFormatting>
  <conditionalFormatting sqref="H42:J42">
    <cfRule type="cellIs" dxfId="16" priority="15" operator="lessThan">
      <formula>1.635</formula>
    </cfRule>
    <cfRule type="cellIs" dxfId="15" priority="16" operator="greaterThan">
      <formula>1.695</formula>
    </cfRule>
  </conditionalFormatting>
  <conditionalFormatting sqref="H43:J43">
    <cfRule type="cellIs" dxfId="14" priority="13" operator="lessThan">
      <formula>9.626</formula>
    </cfRule>
    <cfRule type="cellIs" dxfId="13" priority="14" operator="greaterThan">
      <formula>9.686</formula>
    </cfRule>
  </conditionalFormatting>
  <conditionalFormatting sqref="H44:J44">
    <cfRule type="cellIs" dxfId="12" priority="11" operator="lessThan">
      <formula>13.632</formula>
    </cfRule>
    <cfRule type="cellIs" dxfId="11" priority="12" operator="greaterThan">
      <formula>13.692</formula>
    </cfRule>
  </conditionalFormatting>
  <conditionalFormatting sqref="H45:J45">
    <cfRule type="cellIs" dxfId="10" priority="9" operator="lessThan">
      <formula>12.059</formula>
    </cfRule>
    <cfRule type="cellIs" dxfId="9" priority="10" operator="greaterThan">
      <formula>12.119</formula>
    </cfRule>
  </conditionalFormatting>
  <conditionalFormatting sqref="H46:J46">
    <cfRule type="cellIs" dxfId="8" priority="7" operator="lessThan">
      <formula>0.568</formula>
    </cfRule>
    <cfRule type="cellIs" dxfId="7" priority="8" operator="greaterThan">
      <formula>0.628</formula>
    </cfRule>
  </conditionalFormatting>
  <conditionalFormatting sqref="H47:J47">
    <cfRule type="cellIs" dxfId="6" priority="5" operator="lessThan">
      <formula>0.35</formula>
    </cfRule>
    <cfRule type="cellIs" dxfId="5" priority="6" operator="greaterThan">
      <formula>0.41</formula>
    </cfRule>
  </conditionalFormatting>
  <conditionalFormatting sqref="H48:J48">
    <cfRule type="cellIs" dxfId="4" priority="3" operator="lessThan">
      <formula>1.92</formula>
    </cfRule>
    <cfRule type="cellIs" dxfId="3" priority="4" operator="greaterThan">
      <formula>1.98</formula>
    </cfRule>
  </conditionalFormatting>
  <conditionalFormatting sqref="H49:J49">
    <cfRule type="cellIs" dxfId="2" priority="1" operator="lessThan">
      <formula>2.141</formula>
    </cfRule>
    <cfRule type="cellIs" dxfId="1" priority="2" operator="greaterThan">
      <formula>2.201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B38E-AC87-4D4D-9726-CAE8C419C5F1}">
  <sheetPr codeName="Sheet1"/>
  <dimension ref="A1:EDJ18"/>
  <sheetViews>
    <sheetView showGridLines="0" zoomScale="85" zoomScaleNormal="85" zoomScalePageLayoutView="125" workbookViewId="0">
      <pane xSplit="12" ySplit="1" topLeftCell="M2" activePane="bottomRight" state="frozen"/>
      <selection activeCell="P12" sqref="P12"/>
      <selection pane="topRight" activeCell="P12" sqref="P12"/>
      <selection pane="bottomLeft" activeCell="P12" sqref="P12"/>
      <selection pane="bottomRight" activeCell="AL9" sqref="AL9"/>
    </sheetView>
  </sheetViews>
  <sheetFormatPr defaultColWidth="8.81640625" defaultRowHeight="19.2"/>
  <cols>
    <col min="1" max="1" width="0.81640625" customWidth="1"/>
    <col min="2" max="2" width="7.81640625" customWidth="1"/>
    <col min="3" max="3" width="11.1796875" bestFit="1" customWidth="1"/>
    <col min="4" max="4" width="24" customWidth="1"/>
    <col min="5" max="5" width="7.81640625" customWidth="1"/>
    <col min="6" max="7" width="8.26953125" customWidth="1"/>
    <col min="8" max="8" width="7.81640625" customWidth="1"/>
    <col min="9" max="9" width="7.81640625" hidden="1" customWidth="1"/>
    <col min="10" max="11" width="7.81640625" customWidth="1"/>
    <col min="12" max="12" width="0.81640625" customWidth="1"/>
    <col min="13" max="16" width="7.81640625" customWidth="1"/>
    <col min="17" max="22" width="7.81640625" hidden="1" customWidth="1"/>
    <col min="23" max="23" width="7.81640625" customWidth="1"/>
    <col min="24" max="24" width="10" hidden="1" customWidth="1"/>
    <col min="25" max="27" width="9.453125" hidden="1" customWidth="1"/>
    <col min="28" max="28" width="7.81640625" customWidth="1"/>
    <col min="29" max="29" width="9" customWidth="1"/>
    <col min="30" max="30" width="22" customWidth="1"/>
    <col min="31" max="32" width="9" hidden="1" customWidth="1"/>
    <col min="33" max="33" width="7.54296875" hidden="1" customWidth="1"/>
    <col min="34" max="34" width="0.81640625" customWidth="1"/>
    <col min="35" max="66" width="7.81640625" customWidth="1"/>
  </cols>
  <sheetData>
    <row r="1" spans="1:1023 1025:2040 2061:3066 3097:3494" s="57" customFormat="1" ht="22.05" customHeight="1">
      <c r="A1" s="152" t="s">
        <v>101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58"/>
      <c r="AE1" s="58"/>
      <c r="AF1" s="58"/>
      <c r="AG1" s="58"/>
      <c r="AH1" s="58"/>
    </row>
    <row r="2" spans="1:1023 1025:2040 2061:3066 3097:3494" s="57" customFormat="1" ht="9" customHeight="1">
      <c r="B2" s="65"/>
      <c r="C2" s="65"/>
      <c r="D2" s="65"/>
      <c r="E2" s="65"/>
      <c r="F2" s="65"/>
      <c r="G2" s="65"/>
      <c r="H2" s="65"/>
      <c r="I2" s="65"/>
      <c r="J2" s="65"/>
      <c r="K2" s="65"/>
      <c r="M2" s="65"/>
      <c r="N2" s="65"/>
      <c r="O2" s="65"/>
      <c r="P2" s="65"/>
      <c r="Q2" s="65" t="s">
        <v>102</v>
      </c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I2" s="66"/>
    </row>
    <row r="3" spans="1:1023 1025:2040 2061:3066 3097:3494" s="59" customFormat="1" ht="15" customHeight="1">
      <c r="A3" s="68"/>
      <c r="B3" s="154" t="s">
        <v>90</v>
      </c>
      <c r="C3" s="153"/>
      <c r="D3" s="153"/>
      <c r="E3" s="153"/>
      <c r="F3" s="153"/>
      <c r="G3" s="153"/>
      <c r="H3" s="153"/>
      <c r="I3" s="153"/>
      <c r="J3" s="153"/>
      <c r="K3" s="155"/>
      <c r="L3" s="67"/>
      <c r="M3" s="154" t="s">
        <v>103</v>
      </c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5"/>
      <c r="AD3" s="130"/>
      <c r="AE3" s="172" t="s">
        <v>104</v>
      </c>
      <c r="AF3" s="172"/>
      <c r="AG3" s="172"/>
      <c r="AH3" s="131"/>
      <c r="AI3" s="164" t="s">
        <v>105</v>
      </c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  <c r="BN3" s="166"/>
    </row>
    <row r="4" spans="1:1023 1025:2040 2061:3066 3097:3494" s="59" customFormat="1" ht="25.05" customHeight="1">
      <c r="A4" s="68"/>
      <c r="B4" s="69"/>
      <c r="C4" s="69"/>
      <c r="D4" s="69"/>
      <c r="E4" s="70"/>
      <c r="F4" s="71" t="s">
        <v>106</v>
      </c>
      <c r="G4" s="71" t="s">
        <v>107</v>
      </c>
      <c r="H4" s="72"/>
      <c r="I4" s="72"/>
      <c r="J4" s="73"/>
      <c r="K4" s="73"/>
      <c r="L4" s="68"/>
      <c r="M4" s="74"/>
      <c r="N4" s="74"/>
      <c r="O4" s="75"/>
      <c r="P4" s="74"/>
      <c r="Q4" s="76"/>
      <c r="R4" s="76"/>
      <c r="S4" s="76"/>
      <c r="T4" s="76"/>
      <c r="U4" s="76"/>
      <c r="V4" s="76"/>
      <c r="W4" s="76"/>
      <c r="X4" s="170" t="s">
        <v>108</v>
      </c>
      <c r="Y4" s="171"/>
      <c r="Z4" s="77" t="s">
        <v>109</v>
      </c>
      <c r="AA4" s="78">
        <v>1.5</v>
      </c>
      <c r="AB4" s="79"/>
      <c r="AC4" s="79"/>
      <c r="AD4" s="80"/>
      <c r="AE4" s="81"/>
      <c r="AF4" s="81"/>
      <c r="AG4" s="82"/>
      <c r="AH4" s="68"/>
      <c r="AI4" s="167"/>
      <c r="AJ4" s="168"/>
      <c r="AK4" s="168"/>
      <c r="AL4" s="168"/>
      <c r="AM4" s="168"/>
      <c r="AN4" s="168"/>
      <c r="AO4" s="168"/>
      <c r="AP4" s="168"/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8"/>
      <c r="BL4" s="168"/>
      <c r="BM4" s="168"/>
      <c r="BN4" s="169"/>
    </row>
    <row r="5" spans="1:1023 1025:2040 2061:3066 3097:3494" s="96" customFormat="1" ht="23.4">
      <c r="A5" s="83"/>
      <c r="B5" s="84" t="s">
        <v>110</v>
      </c>
      <c r="C5" s="84" t="s">
        <v>95</v>
      </c>
      <c r="D5" s="84" t="s">
        <v>111</v>
      </c>
      <c r="E5" s="85" t="s">
        <v>43</v>
      </c>
      <c r="F5" s="86" t="s">
        <v>112</v>
      </c>
      <c r="G5" s="86" t="s">
        <v>113</v>
      </c>
      <c r="H5" s="87" t="s">
        <v>54</v>
      </c>
      <c r="I5" s="87" t="s">
        <v>114</v>
      </c>
      <c r="J5" s="88" t="s">
        <v>93</v>
      </c>
      <c r="K5" s="88" t="s">
        <v>94</v>
      </c>
      <c r="L5" s="83"/>
      <c r="M5" s="89" t="s">
        <v>83</v>
      </c>
      <c r="N5" s="89" t="s">
        <v>84</v>
      </c>
      <c r="O5" s="90" t="s">
        <v>77</v>
      </c>
      <c r="P5" s="89" t="s">
        <v>115</v>
      </c>
      <c r="Q5" s="91" t="s">
        <v>48</v>
      </c>
      <c r="R5" s="91" t="s">
        <v>116</v>
      </c>
      <c r="S5" s="91" t="s">
        <v>117</v>
      </c>
      <c r="T5" s="91" t="s">
        <v>118</v>
      </c>
      <c r="U5" s="91" t="s">
        <v>119</v>
      </c>
      <c r="V5" s="91" t="s">
        <v>49</v>
      </c>
      <c r="W5" s="91" t="s">
        <v>47</v>
      </c>
      <c r="X5" s="92" t="s">
        <v>120</v>
      </c>
      <c r="Y5" s="92" t="s">
        <v>121</v>
      </c>
      <c r="Z5" s="92" t="s">
        <v>122</v>
      </c>
      <c r="AA5" s="93" t="s">
        <v>123</v>
      </c>
      <c r="AB5" s="94" t="s">
        <v>129</v>
      </c>
      <c r="AC5" s="94" t="s">
        <v>124</v>
      </c>
      <c r="AD5" s="94" t="s">
        <v>125</v>
      </c>
      <c r="AE5" s="81"/>
      <c r="AF5" s="81"/>
      <c r="AG5" s="82"/>
      <c r="AH5" s="134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  <c r="BM5" s="95"/>
      <c r="BN5" s="95"/>
    </row>
    <row r="6" spans="1:1023 1025:2040 2061:3066 3097:3494" ht="15" customHeight="1">
      <c r="A6">
        <v>1</v>
      </c>
      <c r="B6" s="97" t="s">
        <v>157</v>
      </c>
      <c r="C6" s="98" t="s">
        <v>132</v>
      </c>
      <c r="D6" s="99" t="s">
        <v>154</v>
      </c>
      <c r="E6" s="118">
        <v>0.49</v>
      </c>
      <c r="F6" s="100">
        <v>0.01</v>
      </c>
      <c r="G6" s="100">
        <v>-0.01</v>
      </c>
      <c r="H6" s="101" t="s">
        <v>81</v>
      </c>
      <c r="I6" s="102" t="s">
        <v>126</v>
      </c>
      <c r="J6" s="51">
        <f>IF(AND(E6="",F6=""),"",IF(E6="",F6,E6+F6))</f>
        <v>0.5</v>
      </c>
      <c r="K6" s="51">
        <f>IF(AND(E6="",G6=""),"",IF(E6="",G6,E6+G6))</f>
        <v>0.48</v>
      </c>
      <c r="L6" s="103"/>
      <c r="M6" s="104">
        <f t="shared" ref="M6:M18" si="0">IF(OR($AI6=ISBLANK(TRUE),ISNUMBER($AI6)=FALSE),,MAX(AI6:BN6))</f>
        <v>0</v>
      </c>
      <c r="N6" s="104">
        <f t="shared" ref="N6:N18" si="1">IF(OR($AI6=ISBLANK(TRUE),ISNUMBER($AI6)=FALSE),,MIN(AI6:BN6))</f>
        <v>0</v>
      </c>
      <c r="O6" s="104">
        <f t="shared" ref="O6:O18" si="2">IF(OR($AI6=ISBLANK(TRUE),ISNUMBER($AI6)=FALSE),,AVERAGE(AI6:BN6))</f>
        <v>0</v>
      </c>
      <c r="P6" s="105">
        <f t="shared" ref="P6:P18" si="3">IF(OR($AI6=ISBLANK(TRUE),ISNUMBER($AI6)=FALSE),,STDEV(AI6:BN6))</f>
        <v>0</v>
      </c>
      <c r="Q6" s="106" t="str">
        <f t="shared" ref="Q6:Q18" si="4">IF(OR($AI6="",ISNUMBER($AI6)=FALSE),"",IF(AND(E6=0,G6=0),T6,IF(AND(E6="",F6=""),U6,(F6+ABS(G6))/(6*P6))))</f>
        <v/>
      </c>
      <c r="R6" s="107" t="str">
        <f>IF(OR($AI6="",ISNUMBER($AI6)=FALSE),"",IF(AND(#REF!="Tolerance",$E6&lt;&gt;""),($O6-$E6)/(($J6-$K6)/2),IF(AND(#REF!="GD&amp;T",$F6&lt;&gt;""),$O6/$F6,"")))</f>
        <v/>
      </c>
      <c r="S6" s="107" t="str">
        <f>IF($R6="","",IF(ABS($R6)&lt;=0.125, "Level A",IF(AND(ABS($R6)&gt;0.125,ABS($R6)&lt;=0.25), "Level B",IF(AND(ABS($R6)&gt;0.25,ABS($R6)&lt;=0.5), "Level C", IF(ABS($R6)&gt;0.5, "Level D")))))</f>
        <v/>
      </c>
      <c r="T6" s="106" t="str">
        <f t="shared" ref="T6:T18" si="5">IF(OR($AI6="",ISNUMBER($AI6)=FALSE),"",IF(F6="","",(J6-O6)/(3*P6)))</f>
        <v/>
      </c>
      <c r="U6" s="106" t="str">
        <f t="shared" ref="U6:U18" si="6">IF(OR($AI6="",ISNUMBER($AI6)=FALSE),"",IF(G6="","",(O6-K6)/(3*P6)))</f>
        <v/>
      </c>
      <c r="V6" s="106" t="str">
        <f t="shared" ref="V6:V18" si="7">IF(OR($AI6="",ISNUMBER($AI6)=FALSE),"",IF(AND(E6=0,G6=0),((F6)-(O6))/(3*P6),MIN(T6:U6)))</f>
        <v/>
      </c>
      <c r="W6" s="108" t="str">
        <f t="shared" ref="W6:W18" si="8">IF(OR($AI6="",ISNUMBER($AI6)=FALSE),"",IF(AND(E6=0,G6=0),NORMSDIST(3*V6),NORMSDIST(3*V6)+NORMSDIST(6*Q6-3*V6)-1))</f>
        <v/>
      </c>
      <c r="X6" s="109" t="e">
        <f>IF($O6="","",IF(#REF!="Tolerance",IF((#REF!*3*P6+O6)-E6&lt;F6,"",(#REF!*3*P6+O6)-E6),IF(OR(#REF!="GD&amp;T",#REF!="MAX"),IF((#REF!*3*P6+O6)&lt;F6,"",(#REF!*3*P6+O6)),"")))</f>
        <v>#REF!</v>
      </c>
      <c r="Y6" s="109" t="e">
        <f>IF(O6="","",IF(#REF!="Tolerance",IF(-((#REF!*3*P6)-O6)-E6&gt;G6,"",-((#REF!*3*P6)-O6)-E6),IF(#REF!="MIN",IF(-((#REF!*3*P6)-O6)&gt;G6,"",-((#REF!*3*P6)-O6)),"")))</f>
        <v>#REF!</v>
      </c>
      <c r="Z6" s="109">
        <f>IF(OR(E6="",O6=""),"",(J6+K6)/2-O6)</f>
        <v>0.49</v>
      </c>
      <c r="AA6" s="109" t="str">
        <f t="shared" ref="AA6:AA18" si="9">IF(OR($Q6&gt;$AA$4,$P6=""),"",$AA$4*6*$P6)</f>
        <v/>
      </c>
      <c r="AB6" s="110"/>
      <c r="AC6" s="111" t="str">
        <f>IF(AB6="","",IF(AB6&gt;=0.966,"Normal","Not Normal"))</f>
        <v/>
      </c>
      <c r="AD6" s="112"/>
      <c r="AE6" s="113"/>
      <c r="AF6" s="113"/>
      <c r="AG6" s="114"/>
      <c r="AH6">
        <v>1</v>
      </c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NC6" s="115"/>
      <c r="SV6" s="115"/>
      <c r="TR6" s="115"/>
      <c r="AJP6" s="115"/>
      <c r="AKV6" s="115"/>
      <c r="AXI6" s="115"/>
      <c r="AYA6" s="115"/>
      <c r="BCE6" s="115"/>
      <c r="BEA6" s="115"/>
      <c r="CKC6" s="115"/>
      <c r="CQD6" s="115"/>
      <c r="DJV6" s="115"/>
      <c r="DPF6" s="115"/>
      <c r="EBX6" s="115"/>
      <c r="EDB6" s="115"/>
    </row>
    <row r="7" spans="1:1023 1025:2040 2061:3066 3097:3494" ht="15" customHeight="1">
      <c r="A7">
        <v>2</v>
      </c>
      <c r="B7" s="97" t="s">
        <v>157</v>
      </c>
      <c r="C7" s="98" t="s">
        <v>133</v>
      </c>
      <c r="D7" s="116" t="s">
        <v>154</v>
      </c>
      <c r="E7" s="118">
        <v>0.49</v>
      </c>
      <c r="F7" s="100">
        <v>0.01</v>
      </c>
      <c r="G7" s="100">
        <v>-0.01</v>
      </c>
      <c r="H7" s="101" t="s">
        <v>81</v>
      </c>
      <c r="I7" s="102" t="s">
        <v>126</v>
      </c>
      <c r="J7" s="51">
        <f t="shared" ref="J7:J18" si="10">IF(AND(E7="",F7=""),"",IF(E7="",F7,E7+F7))</f>
        <v>0.5</v>
      </c>
      <c r="K7" s="51">
        <f t="shared" ref="K7:K18" si="11">IF(AND(E7="",G7=""),"",IF(E7="",G7,E7+G7))</f>
        <v>0.48</v>
      </c>
      <c r="L7" s="103"/>
      <c r="M7" s="104">
        <f t="shared" si="0"/>
        <v>0</v>
      </c>
      <c r="N7" s="104">
        <f t="shared" si="1"/>
        <v>0</v>
      </c>
      <c r="O7" s="104">
        <f t="shared" si="2"/>
        <v>0</v>
      </c>
      <c r="P7" s="105">
        <f t="shared" si="3"/>
        <v>0</v>
      </c>
      <c r="Q7" s="106" t="str">
        <f t="shared" si="4"/>
        <v/>
      </c>
      <c r="R7" s="107" t="str">
        <f>IF(OR($AI7="",ISNUMBER($AI7)=FALSE),"",IF(AND(#REF!="Tolerance",$E7&lt;&gt;""),($O7-$E7)/(($J7-$K7)/2),IF(AND(#REF!="GD&amp;T",$F7&lt;&gt;""),$O7/$F7,"")))</f>
        <v/>
      </c>
      <c r="S7" s="107" t="str">
        <f t="shared" ref="S7:S18" si="12">IF($R7="","",IF(ABS($R7)&lt;=0.125, "Level A",IF(AND(ABS($R7)&gt;0.125,ABS($R7)&lt;=0.25), "Level B",IF(AND(ABS($R7)&gt;0.25,ABS($R7)&lt;=0.5), "Level C", IF(ABS($R7)&gt;0.5, "Level D")))))</f>
        <v/>
      </c>
      <c r="T7" s="106" t="str">
        <f t="shared" si="5"/>
        <v/>
      </c>
      <c r="U7" s="106" t="str">
        <f t="shared" si="6"/>
        <v/>
      </c>
      <c r="V7" s="106" t="str">
        <f t="shared" si="7"/>
        <v/>
      </c>
      <c r="W7" s="108" t="str">
        <f t="shared" si="8"/>
        <v/>
      </c>
      <c r="X7" s="109" t="e">
        <f>IF($O7="","",IF(#REF!="Tolerance",IF((#REF!*3*P7+O7)-E7&lt;F7,"",(#REF!*3*P7+O7)-E7),IF(OR(#REF!="GD&amp;T",#REF!="MAX"),IF((#REF!*3*P7+O7)&lt;F7,"",(#REF!*3*P7+O7)),"")))</f>
        <v>#REF!</v>
      </c>
      <c r="Y7" s="109" t="e">
        <f>IF(O7="","",IF(#REF!="Tolerance",IF(-((#REF!*3*P7)-O7)-E7&gt;G7,"",-((#REF!*3*P7)-O7)-E7),IF(#REF!="MIN",IF(-((#REF!*3*P7)-O7)&gt;G7,"",-((#REF!*3*P7)-O7)),"")))</f>
        <v>#REF!</v>
      </c>
      <c r="Z7" s="109">
        <f t="shared" ref="Z7:Z18" si="13">IF(OR(E7="",O7=""),"",(J7+K7)/2-O7)</f>
        <v>0.49</v>
      </c>
      <c r="AA7" s="109" t="str">
        <f t="shared" si="9"/>
        <v/>
      </c>
      <c r="AB7" s="110"/>
      <c r="AC7" s="111" t="str">
        <f t="shared" ref="AC7:AC18" si="14">IF(AB7="","",IF(AB7&gt;=0.966,"Normal","Not Normal"))</f>
        <v/>
      </c>
      <c r="AD7" s="112"/>
      <c r="AE7" s="113"/>
      <c r="AF7" s="113"/>
      <c r="AG7" s="114"/>
      <c r="AH7">
        <v>2</v>
      </c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FU7" s="115"/>
      <c r="HC7" s="115"/>
      <c r="JW7" s="115"/>
      <c r="NQ7" s="115"/>
      <c r="SV7" s="115"/>
      <c r="AKV7" s="115"/>
      <c r="AOS7" s="115"/>
      <c r="AST7" s="115"/>
      <c r="AXQ7" s="115"/>
      <c r="BJF7" s="115"/>
      <c r="BME7" s="115"/>
      <c r="BOW7" s="115"/>
      <c r="BQE7" s="115"/>
      <c r="BQG7" s="115"/>
      <c r="BTU7" s="115"/>
      <c r="BUB7" s="115"/>
      <c r="BUV7" s="115"/>
      <c r="CAG7" s="115"/>
      <c r="CON7" s="115"/>
      <c r="COQ7" s="115"/>
      <c r="COT7" s="115"/>
      <c r="CVM7" s="115"/>
      <c r="CZO7" s="115"/>
      <c r="CZW7" s="115"/>
      <c r="DHX7" s="115"/>
      <c r="DJE7" s="115"/>
      <c r="DMF7" s="115"/>
      <c r="DTB7" s="115"/>
      <c r="DTF7" s="115"/>
      <c r="DUH7" s="115"/>
      <c r="DYR7" s="115"/>
      <c r="EBF7" s="115"/>
    </row>
    <row r="8" spans="1:1023 1025:2040 2061:3066 3097:3494" ht="15" customHeight="1">
      <c r="A8">
        <v>3</v>
      </c>
      <c r="B8" s="97" t="s">
        <v>157</v>
      </c>
      <c r="C8" s="98" t="s">
        <v>134</v>
      </c>
      <c r="D8" s="99" t="s">
        <v>154</v>
      </c>
      <c r="E8" s="118">
        <v>0.49</v>
      </c>
      <c r="F8" s="100">
        <v>0.01</v>
      </c>
      <c r="G8" s="100">
        <v>-0.01</v>
      </c>
      <c r="H8" s="101" t="s">
        <v>81</v>
      </c>
      <c r="I8" s="102" t="s">
        <v>126</v>
      </c>
      <c r="J8" s="51">
        <f t="shared" si="10"/>
        <v>0.5</v>
      </c>
      <c r="K8" s="51">
        <f t="shared" si="11"/>
        <v>0.48</v>
      </c>
      <c r="L8" s="103"/>
      <c r="M8" s="104">
        <f t="shared" si="0"/>
        <v>0</v>
      </c>
      <c r="N8" s="104">
        <f t="shared" si="1"/>
        <v>0</v>
      </c>
      <c r="O8" s="104">
        <f t="shared" si="2"/>
        <v>0</v>
      </c>
      <c r="P8" s="105">
        <f t="shared" si="3"/>
        <v>0</v>
      </c>
      <c r="Q8" s="106" t="str">
        <f t="shared" si="4"/>
        <v/>
      </c>
      <c r="R8" s="107" t="str">
        <f>IF(OR($AI8="",ISNUMBER($AI8)=FALSE),"",IF(AND(#REF!="Tolerance",$E8&lt;&gt;""),($O8-$E8)/(($J8-$K8)/2),IF(AND(#REF!="GD&amp;T",$F8&lt;&gt;""),$O8/$F8,"")))</f>
        <v/>
      </c>
      <c r="S8" s="107" t="str">
        <f t="shared" si="12"/>
        <v/>
      </c>
      <c r="T8" s="106" t="str">
        <f t="shared" si="5"/>
        <v/>
      </c>
      <c r="U8" s="106" t="str">
        <f t="shared" si="6"/>
        <v/>
      </c>
      <c r="V8" s="106" t="str">
        <f t="shared" si="7"/>
        <v/>
      </c>
      <c r="W8" s="108" t="str">
        <f t="shared" si="8"/>
        <v/>
      </c>
      <c r="X8" s="109" t="e">
        <f>IF($O8="","",IF(#REF!="Tolerance",IF((#REF!*3*P8+O8)-E8&lt;F8,"",(#REF!*3*P8+O8)-E8),IF(OR(#REF!="GD&amp;T",#REF!="MAX"),IF((#REF!*3*P8+O8)&lt;F8,"",(#REF!*3*P8+O8)),"")))</f>
        <v>#REF!</v>
      </c>
      <c r="Y8" s="109" t="e">
        <f>IF(O8="","",IF(#REF!="Tolerance",IF(-((#REF!*3*P8)-O8)-E8&gt;G8,"",-((#REF!*3*P8)-O8)-E8),IF(#REF!="MIN",IF(-((#REF!*3*P8)-O8)&gt;G8,"",-((#REF!*3*P8)-O8)),"")))</f>
        <v>#REF!</v>
      </c>
      <c r="Z8" s="109">
        <f t="shared" si="13"/>
        <v>0.49</v>
      </c>
      <c r="AA8" s="109" t="str">
        <f t="shared" si="9"/>
        <v/>
      </c>
      <c r="AB8" s="110"/>
      <c r="AC8" s="111" t="str">
        <f t="shared" si="14"/>
        <v/>
      </c>
      <c r="AD8" s="112"/>
      <c r="AE8" s="113"/>
      <c r="AF8" s="113"/>
      <c r="AG8" s="114"/>
      <c r="AH8">
        <v>3</v>
      </c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  <c r="BH8" s="133"/>
      <c r="BI8" s="133"/>
      <c r="BJ8" s="133"/>
      <c r="BK8" s="133"/>
      <c r="BL8" s="133"/>
      <c r="BM8" s="133"/>
      <c r="BN8" s="133"/>
      <c r="FV8" s="115"/>
      <c r="JW8" s="115"/>
      <c r="AGG8" s="115"/>
      <c r="BFQ8" s="115"/>
      <c r="BKG8" s="115"/>
      <c r="BPJ8" s="115"/>
      <c r="BQE8" s="115"/>
      <c r="BSE8" s="115"/>
      <c r="BSK8" s="115"/>
      <c r="BUV8" s="115"/>
      <c r="BWJ8" s="115"/>
      <c r="BWR8" s="115"/>
      <c r="BZL8" s="115"/>
      <c r="CAG8" s="115"/>
      <c r="DIA8" s="115"/>
      <c r="DJE8" s="115"/>
      <c r="DPG8" s="115"/>
      <c r="ECE8" s="115"/>
    </row>
    <row r="9" spans="1:1023 1025:2040 2061:3066 3097:3494" ht="15" customHeight="1">
      <c r="A9">
        <v>4</v>
      </c>
      <c r="B9" s="97" t="s">
        <v>85</v>
      </c>
      <c r="C9" s="98" t="s">
        <v>135</v>
      </c>
      <c r="D9" s="99" t="s">
        <v>154</v>
      </c>
      <c r="E9" s="118">
        <v>0.49</v>
      </c>
      <c r="F9" s="100">
        <v>0.01</v>
      </c>
      <c r="G9" s="100">
        <v>-0.01</v>
      </c>
      <c r="H9" s="101" t="s">
        <v>81</v>
      </c>
      <c r="I9" s="102" t="s">
        <v>126</v>
      </c>
      <c r="J9" s="51">
        <f t="shared" si="10"/>
        <v>0.5</v>
      </c>
      <c r="K9" s="51">
        <f t="shared" si="11"/>
        <v>0.48</v>
      </c>
      <c r="L9" s="103"/>
      <c r="M9" s="104">
        <f t="shared" si="0"/>
        <v>0</v>
      </c>
      <c r="N9" s="104">
        <f t="shared" si="1"/>
        <v>0</v>
      </c>
      <c r="O9" s="104">
        <f t="shared" si="2"/>
        <v>0</v>
      </c>
      <c r="P9" s="105">
        <f t="shared" si="3"/>
        <v>0</v>
      </c>
      <c r="Q9" s="106" t="str">
        <f t="shared" si="4"/>
        <v/>
      </c>
      <c r="R9" s="107" t="str">
        <f>IF(OR($AI9="",ISNUMBER($AI9)=FALSE),"",IF(AND(#REF!="Tolerance",$E9&lt;&gt;""),($O9-$E9)/(($J9-$K9)/2),IF(AND(#REF!="GD&amp;T",$F9&lt;&gt;""),$O9/$F9,"")))</f>
        <v/>
      </c>
      <c r="S9" s="107" t="str">
        <f t="shared" si="12"/>
        <v/>
      </c>
      <c r="T9" s="106" t="str">
        <f t="shared" si="5"/>
        <v/>
      </c>
      <c r="U9" s="106" t="str">
        <f t="shared" si="6"/>
        <v/>
      </c>
      <c r="V9" s="106" t="str">
        <f t="shared" si="7"/>
        <v/>
      </c>
      <c r="W9" s="108" t="str">
        <f t="shared" si="8"/>
        <v/>
      </c>
      <c r="X9" s="109" t="e">
        <f>IF($O9="","",IF(#REF!="Tolerance",IF((#REF!*3*P9+O9)-E9&lt;F9,"",(#REF!*3*P9+O9)-E9),IF(OR(#REF!="GD&amp;T",#REF!="MAX"),IF((#REF!*3*P9+O9)&lt;F9,"",(#REF!*3*P9+O9)),"")))</f>
        <v>#REF!</v>
      </c>
      <c r="Y9" s="109" t="e">
        <f>IF(O9="","",IF(#REF!="Tolerance",IF(-((#REF!*3*P9)-O9)-E9&gt;G9,"",-((#REF!*3*P9)-O9)-E9),IF(#REF!="MIN",IF(-((#REF!*3*P9)-O9)&gt;G9,"",-((#REF!*3*P9)-O9)),"")))</f>
        <v>#REF!</v>
      </c>
      <c r="Z9" s="109">
        <f t="shared" si="13"/>
        <v>0.49</v>
      </c>
      <c r="AA9" s="109" t="str">
        <f t="shared" si="9"/>
        <v/>
      </c>
      <c r="AB9" s="110"/>
      <c r="AC9" s="111" t="str">
        <f t="shared" si="14"/>
        <v/>
      </c>
      <c r="AD9" s="112"/>
      <c r="AE9" s="113"/>
      <c r="AF9" s="113"/>
      <c r="AG9" s="114"/>
      <c r="AH9">
        <v>4</v>
      </c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3"/>
      <c r="BK9" s="133"/>
      <c r="BL9" s="133"/>
      <c r="BM9" s="133"/>
      <c r="BN9" s="133"/>
      <c r="BW9" s="115"/>
      <c r="FA9" s="115"/>
      <c r="LE9" s="115"/>
      <c r="QT9" s="115"/>
      <c r="TS9" s="115"/>
      <c r="ABL9" s="115"/>
      <c r="ABZ9" s="115"/>
      <c r="AMI9" s="115"/>
      <c r="ANI9" s="115"/>
      <c r="AQR9" s="115"/>
      <c r="ARW9" s="115"/>
      <c r="AVL9" s="115"/>
      <c r="BAR9" s="115"/>
      <c r="BBB9" s="115"/>
      <c r="BHD9" s="115"/>
      <c r="BJR9" s="115"/>
      <c r="BPC9" s="115"/>
      <c r="BSV9" s="115"/>
      <c r="BTK9" s="115"/>
      <c r="BVZ9" s="115"/>
      <c r="BWE9" s="115"/>
      <c r="BWO9" s="115"/>
      <c r="BYE9" s="115"/>
      <c r="CDE9" s="115"/>
      <c r="CFB9" s="115"/>
      <c r="CFT9" s="115"/>
      <c r="CFU9" s="115"/>
      <c r="CKQ9" s="115"/>
      <c r="CMR9" s="115"/>
      <c r="COO9" s="115"/>
      <c r="CQE9" s="115"/>
      <c r="CRH9" s="115"/>
      <c r="CSC9" s="115"/>
      <c r="CTV9" s="115"/>
      <c r="CZS9" s="115"/>
      <c r="DDL9" s="115"/>
      <c r="DEW9" s="115"/>
      <c r="DIG9" s="115"/>
      <c r="DIP9" s="115"/>
      <c r="DMX9" s="115"/>
      <c r="DSX9" s="115"/>
      <c r="DSY9" s="115"/>
      <c r="DVO9" s="115"/>
      <c r="EBY9" s="115"/>
    </row>
    <row r="10" spans="1:1023 1025:2040 2061:3066 3097:3494" ht="15" customHeight="1">
      <c r="A10">
        <v>5</v>
      </c>
      <c r="B10" s="97" t="s">
        <v>85</v>
      </c>
      <c r="C10" s="98" t="s">
        <v>136</v>
      </c>
      <c r="D10" s="116" t="s">
        <v>154</v>
      </c>
      <c r="E10" s="118">
        <v>0.49</v>
      </c>
      <c r="F10" s="100">
        <v>0.01</v>
      </c>
      <c r="G10" s="100">
        <v>-0.01</v>
      </c>
      <c r="H10" s="101" t="s">
        <v>81</v>
      </c>
      <c r="I10" s="102" t="s">
        <v>126</v>
      </c>
      <c r="J10" s="51">
        <f t="shared" si="10"/>
        <v>0.5</v>
      </c>
      <c r="K10" s="51">
        <f t="shared" si="11"/>
        <v>0.48</v>
      </c>
      <c r="L10" s="103"/>
      <c r="M10" s="104">
        <f t="shared" si="0"/>
        <v>0</v>
      </c>
      <c r="N10" s="104">
        <f t="shared" si="1"/>
        <v>0</v>
      </c>
      <c r="O10" s="104">
        <f t="shared" si="2"/>
        <v>0</v>
      </c>
      <c r="P10" s="105">
        <f t="shared" si="3"/>
        <v>0</v>
      </c>
      <c r="Q10" s="106" t="str">
        <f t="shared" si="4"/>
        <v/>
      </c>
      <c r="R10" s="107" t="str">
        <f>IF(OR($AI10="",ISNUMBER($AI10)=FALSE),"",IF(AND(#REF!="Tolerance",$E10&lt;&gt;""),($O10-$E10)/(($J10-$K10)/2),IF(AND(#REF!="GD&amp;T",$F10&lt;&gt;""),$O10/$F10,"")))</f>
        <v/>
      </c>
      <c r="S10" s="107" t="str">
        <f t="shared" si="12"/>
        <v/>
      </c>
      <c r="T10" s="106" t="str">
        <f t="shared" si="5"/>
        <v/>
      </c>
      <c r="U10" s="106" t="str">
        <f t="shared" si="6"/>
        <v/>
      </c>
      <c r="V10" s="106" t="str">
        <f t="shared" si="7"/>
        <v/>
      </c>
      <c r="W10" s="108" t="str">
        <f t="shared" si="8"/>
        <v/>
      </c>
      <c r="X10" s="109" t="e">
        <f>IF($O10="","",IF(#REF!="Tolerance",IF((#REF!*3*P10+O10)-E10&lt;F10,"",(#REF!*3*P10+O10)-E10),IF(OR(#REF!="GD&amp;T",#REF!="MAX"),IF((#REF!*3*P10+O10)&lt;F10,"",(#REF!*3*P10+O10)),"")))</f>
        <v>#REF!</v>
      </c>
      <c r="Y10" s="109" t="e">
        <f>IF(O10="","",IF(#REF!="Tolerance",IF(-((#REF!*3*P10)-O10)-E10&gt;G10,"",-((#REF!*3*P10)-O10)-E10),IF(#REF!="MIN",IF(-((#REF!*3*P10)-O10)&gt;G10,"",-((#REF!*3*P10)-O10)),"")))</f>
        <v>#REF!</v>
      </c>
      <c r="Z10" s="109">
        <f t="shared" si="13"/>
        <v>0.49</v>
      </c>
      <c r="AA10" s="109" t="str">
        <f t="shared" si="9"/>
        <v/>
      </c>
      <c r="AB10" s="110"/>
      <c r="AC10" s="111" t="str">
        <f t="shared" si="14"/>
        <v/>
      </c>
      <c r="AD10" s="112"/>
      <c r="AE10" s="113"/>
      <c r="AF10" s="113"/>
      <c r="AG10" s="114"/>
      <c r="AH10">
        <v>5</v>
      </c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DR10" s="115"/>
      <c r="DX10" s="115"/>
      <c r="FA10" s="115"/>
      <c r="FH10" s="115"/>
      <c r="FS10" s="115"/>
      <c r="GE10" s="115"/>
      <c r="UP10" s="115"/>
      <c r="XU10" s="115"/>
      <c r="YV10" s="115"/>
      <c r="ABL10" s="115"/>
      <c r="ALD10" s="115"/>
      <c r="BJR10" s="115"/>
      <c r="BKR10" s="115"/>
      <c r="BNF10" s="115"/>
      <c r="BPE10" s="115"/>
      <c r="BPH10" s="115"/>
      <c r="BPO10" s="115"/>
      <c r="BTK10" s="115"/>
      <c r="BWE10" s="115"/>
      <c r="BYL10" s="115"/>
      <c r="CFU10" s="115"/>
      <c r="CKU10" s="115"/>
      <c r="COK10" s="115"/>
      <c r="COO10" s="115"/>
      <c r="CQB10" s="115"/>
      <c r="CQL10" s="115"/>
      <c r="CQW10" s="115"/>
      <c r="CXY10" s="115"/>
      <c r="CZS10" s="115"/>
      <c r="DDL10" s="115"/>
      <c r="DGP10" s="115"/>
      <c r="DHC10" s="115"/>
      <c r="DHD10" s="115"/>
      <c r="DIA10" s="115"/>
      <c r="DIR10" s="115"/>
      <c r="DSY10" s="115"/>
      <c r="DUI10" s="115"/>
    </row>
    <row r="11" spans="1:1023 1025:2040 2061:3066 3097:3494" ht="15" customHeight="1">
      <c r="A11">
        <v>6</v>
      </c>
      <c r="B11" s="97" t="s">
        <v>85</v>
      </c>
      <c r="C11" s="98" t="s">
        <v>137</v>
      </c>
      <c r="D11" s="116" t="s">
        <v>154</v>
      </c>
      <c r="E11" s="118">
        <v>0.49</v>
      </c>
      <c r="F11" s="100">
        <v>0.01</v>
      </c>
      <c r="G11" s="100">
        <v>-0.01</v>
      </c>
      <c r="H11" s="101" t="s">
        <v>81</v>
      </c>
      <c r="I11" s="102" t="s">
        <v>126</v>
      </c>
      <c r="J11" s="51">
        <f t="shared" si="10"/>
        <v>0.5</v>
      </c>
      <c r="K11" s="51">
        <f t="shared" si="11"/>
        <v>0.48</v>
      </c>
      <c r="L11" s="103"/>
      <c r="M11" s="104">
        <f t="shared" si="0"/>
        <v>0</v>
      </c>
      <c r="N11" s="104">
        <f t="shared" si="1"/>
        <v>0</v>
      </c>
      <c r="O11" s="104">
        <f t="shared" si="2"/>
        <v>0</v>
      </c>
      <c r="P11" s="105">
        <f t="shared" si="3"/>
        <v>0</v>
      </c>
      <c r="Q11" s="106" t="str">
        <f t="shared" si="4"/>
        <v/>
      </c>
      <c r="R11" s="107" t="str">
        <f>IF(OR($AI11="",ISNUMBER($AI11)=FALSE),"",IF(AND(#REF!="Tolerance",$E11&lt;&gt;""),($O11-$E11)/(($J11-$K11)/2),IF(AND(#REF!="GD&amp;T",$F11&lt;&gt;""),$O11/$F11,"")))</f>
        <v/>
      </c>
      <c r="S11" s="107" t="str">
        <f t="shared" si="12"/>
        <v/>
      </c>
      <c r="T11" s="106" t="str">
        <f t="shared" si="5"/>
        <v/>
      </c>
      <c r="U11" s="106" t="str">
        <f t="shared" si="6"/>
        <v/>
      </c>
      <c r="V11" s="106" t="str">
        <f t="shared" si="7"/>
        <v/>
      </c>
      <c r="W11" s="108" t="str">
        <f t="shared" si="8"/>
        <v/>
      </c>
      <c r="X11" s="109" t="e">
        <f>IF($O11="","",IF(#REF!="Tolerance",IF((#REF!*3*P11+O11)-E11&lt;F11,"",(#REF!*3*P11+O11)-E11),IF(OR(#REF!="GD&amp;T",#REF!="MAX"),IF((#REF!*3*P11+O11)&lt;F11,"",(#REF!*3*P11+O11)),"")))</f>
        <v>#REF!</v>
      </c>
      <c r="Y11" s="109" t="e">
        <f>IF(O11="","",IF(#REF!="Tolerance",IF(-((#REF!*3*P11)-O11)-E11&gt;G11,"",-((#REF!*3*P11)-O11)-E11),IF(#REF!="MIN",IF(-((#REF!*3*P11)-O11)&gt;G11,"",-((#REF!*3*P11)-O11)),"")))</f>
        <v>#REF!</v>
      </c>
      <c r="Z11" s="109">
        <f t="shared" si="13"/>
        <v>0.49</v>
      </c>
      <c r="AA11" s="109" t="str">
        <f t="shared" si="9"/>
        <v/>
      </c>
      <c r="AB11" s="110"/>
      <c r="AC11" s="111" t="str">
        <f t="shared" si="14"/>
        <v/>
      </c>
      <c r="AD11" s="112"/>
      <c r="AE11" s="113"/>
      <c r="AF11" s="113"/>
      <c r="AG11" s="114"/>
      <c r="AH11">
        <v>6</v>
      </c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133"/>
      <c r="BG11" s="133"/>
      <c r="BH11" s="133"/>
      <c r="BI11" s="133"/>
      <c r="BJ11" s="133"/>
      <c r="BK11" s="133"/>
      <c r="BL11" s="133"/>
      <c r="BM11" s="133"/>
      <c r="BN11" s="133"/>
      <c r="DQ11" s="115"/>
      <c r="FU11" s="115"/>
      <c r="HC11" s="115"/>
      <c r="JW11" s="115"/>
      <c r="NQ11" s="115"/>
      <c r="PT11" s="115"/>
      <c r="SV11" s="115"/>
      <c r="AKV11" s="115"/>
      <c r="AOS11" s="115"/>
      <c r="AXQ11" s="115"/>
      <c r="BME11" s="115"/>
      <c r="BOW11" s="115"/>
      <c r="BQG11" s="115"/>
      <c r="BSV11" s="115"/>
      <c r="BUV11" s="115"/>
      <c r="CDA11" s="115"/>
      <c r="CHN11" s="115"/>
      <c r="CKC11" s="115"/>
      <c r="COT11" s="115"/>
      <c r="CZW11" s="115"/>
      <c r="DTF11" s="115"/>
    </row>
    <row r="12" spans="1:1023 1025:2040 2061:3066 3097:3494" ht="15" customHeight="1">
      <c r="A12">
        <v>7</v>
      </c>
      <c r="B12" s="97" t="s">
        <v>158</v>
      </c>
      <c r="C12" s="98" t="s">
        <v>138</v>
      </c>
      <c r="D12" s="116" t="s">
        <v>80</v>
      </c>
      <c r="E12" s="118"/>
      <c r="F12" s="100">
        <v>0.03</v>
      </c>
      <c r="G12" s="100"/>
      <c r="H12" s="101" t="s">
        <v>81</v>
      </c>
      <c r="I12" s="102" t="s">
        <v>126</v>
      </c>
      <c r="J12" s="51">
        <f t="shared" si="10"/>
        <v>0.03</v>
      </c>
      <c r="K12" s="51" t="str">
        <f t="shared" si="11"/>
        <v/>
      </c>
      <c r="L12" s="103"/>
      <c r="M12" s="104">
        <f t="shared" si="0"/>
        <v>0</v>
      </c>
      <c r="N12" s="104">
        <f t="shared" si="1"/>
        <v>0</v>
      </c>
      <c r="O12" s="104">
        <f t="shared" si="2"/>
        <v>0</v>
      </c>
      <c r="P12" s="105">
        <f t="shared" si="3"/>
        <v>0</v>
      </c>
      <c r="Q12" s="106" t="str">
        <f t="shared" si="4"/>
        <v/>
      </c>
      <c r="R12" s="107" t="str">
        <f>IF(OR($AI12="",ISNUMBER($AI12)=FALSE),"",IF(AND(#REF!="Tolerance",$E12&lt;&gt;""),($O12-$E12)/(($J12-$K12)/2),IF(AND(#REF!="GD&amp;T",$F12&lt;&gt;""),$O12/$F12,"")))</f>
        <v/>
      </c>
      <c r="S12" s="107" t="str">
        <f t="shared" si="12"/>
        <v/>
      </c>
      <c r="T12" s="106" t="str">
        <f t="shared" si="5"/>
        <v/>
      </c>
      <c r="U12" s="106" t="str">
        <f t="shared" si="6"/>
        <v/>
      </c>
      <c r="V12" s="106" t="str">
        <f t="shared" si="7"/>
        <v/>
      </c>
      <c r="W12" s="108" t="str">
        <f t="shared" si="8"/>
        <v/>
      </c>
      <c r="X12" s="109" t="e">
        <f>IF($O12="","",IF(#REF!="Tolerance",IF((#REF!*3*P12+O12)-E12&lt;F12,"",(#REF!*3*P12+O12)-E12),IF(OR(#REF!="GD&amp;T",#REF!="MAX"),IF((#REF!*3*P12+O12)&lt;F12,"",(#REF!*3*P12+O12)),"")))</f>
        <v>#REF!</v>
      </c>
      <c r="Y12" s="109" t="e">
        <f>IF(O12="","",IF(#REF!="Tolerance",IF(-((#REF!*3*P12)-O12)-E12&gt;G12,"",-((#REF!*3*P12)-O12)-E12),IF(#REF!="MIN",IF(-((#REF!*3*P12)-O12)&gt;G12,"",-((#REF!*3*P12)-O12)),"")))</f>
        <v>#REF!</v>
      </c>
      <c r="Z12" s="109" t="str">
        <f t="shared" si="13"/>
        <v/>
      </c>
      <c r="AA12" s="109" t="str">
        <f t="shared" si="9"/>
        <v/>
      </c>
      <c r="AB12" s="110"/>
      <c r="AC12" s="111" t="str">
        <f t="shared" si="14"/>
        <v/>
      </c>
      <c r="AD12" s="112"/>
      <c r="AE12" s="113"/>
      <c r="AF12" s="113"/>
      <c r="AG12" s="114"/>
      <c r="AH12">
        <v>7</v>
      </c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  <c r="BK12" s="133"/>
      <c r="BL12" s="133"/>
      <c r="BM12" s="133"/>
      <c r="BN12" s="133"/>
      <c r="BT12" s="115"/>
      <c r="DB12" s="115"/>
      <c r="GD12" s="115"/>
      <c r="HR12" s="115"/>
      <c r="NL12" s="115"/>
      <c r="NY12" s="115"/>
      <c r="QO12" s="115"/>
      <c r="XF12" s="115"/>
      <c r="YF12" s="115"/>
      <c r="AAP12" s="115"/>
      <c r="ABZ12" s="115"/>
      <c r="ACN12" s="115"/>
      <c r="ADU12" s="115"/>
      <c r="AHX12" s="115"/>
      <c r="AJN12" s="115"/>
      <c r="ALK12" s="115"/>
      <c r="AMK12" s="115"/>
      <c r="ANZ12" s="115"/>
      <c r="AOX12" s="115"/>
      <c r="APB12" s="115"/>
      <c r="APR12" s="115"/>
      <c r="APY12" s="115"/>
      <c r="APZ12" s="115"/>
      <c r="ARB12" s="115"/>
      <c r="ATM12" s="115"/>
      <c r="AZL12" s="115"/>
      <c r="BBN12" s="115"/>
      <c r="BCN12" s="115"/>
      <c r="BEF12" s="115"/>
      <c r="BFA12" s="115"/>
      <c r="BRH12" s="115"/>
      <c r="BTG12" s="115"/>
      <c r="CEW12" s="115"/>
      <c r="CFT12" s="115"/>
      <c r="CLG12" s="115"/>
      <c r="CWR12" s="115"/>
      <c r="DMF12" s="115"/>
      <c r="DSN12" s="115"/>
      <c r="DSY12" s="115"/>
      <c r="DTX12" s="115"/>
      <c r="DVA12" s="115"/>
    </row>
    <row r="13" spans="1:1023 1025:2040 2061:3066 3097:3494" ht="15" customHeight="1">
      <c r="A13">
        <v>8</v>
      </c>
      <c r="B13" s="97" t="s">
        <v>159</v>
      </c>
      <c r="C13" s="98" t="s">
        <v>139</v>
      </c>
      <c r="D13" s="116" t="s">
        <v>82</v>
      </c>
      <c r="E13" s="118"/>
      <c r="F13" s="100">
        <v>0.03</v>
      </c>
      <c r="G13" s="100"/>
      <c r="H13" s="101" t="s">
        <v>81</v>
      </c>
      <c r="I13" s="102" t="s">
        <v>126</v>
      </c>
      <c r="J13" s="51">
        <f t="shared" si="10"/>
        <v>0.03</v>
      </c>
      <c r="K13" s="51" t="str">
        <f t="shared" si="11"/>
        <v/>
      </c>
      <c r="L13" s="103"/>
      <c r="M13" s="104">
        <f t="shared" si="0"/>
        <v>0</v>
      </c>
      <c r="N13" s="104">
        <f t="shared" si="1"/>
        <v>0</v>
      </c>
      <c r="O13" s="104">
        <f t="shared" si="2"/>
        <v>0</v>
      </c>
      <c r="P13" s="105">
        <f t="shared" si="3"/>
        <v>0</v>
      </c>
      <c r="Q13" s="106" t="str">
        <f t="shared" si="4"/>
        <v/>
      </c>
      <c r="R13" s="107" t="str">
        <f>IF(OR($AI13="",ISNUMBER($AI13)=FALSE),"",IF(AND(#REF!="Tolerance",$E13&lt;&gt;""),($O13-$E13)/(($J13-$K13)/2),IF(AND(#REF!="GD&amp;T",$F13&lt;&gt;""),$O13/$F13,"")))</f>
        <v/>
      </c>
      <c r="S13" s="107" t="str">
        <f t="shared" si="12"/>
        <v/>
      </c>
      <c r="T13" s="106" t="str">
        <f t="shared" si="5"/>
        <v/>
      </c>
      <c r="U13" s="106" t="str">
        <f t="shared" si="6"/>
        <v/>
      </c>
      <c r="V13" s="106" t="str">
        <f t="shared" si="7"/>
        <v/>
      </c>
      <c r="W13" s="108" t="str">
        <f t="shared" si="8"/>
        <v/>
      </c>
      <c r="X13" s="109" t="e">
        <f>IF($O13="","",IF(#REF!="Tolerance",IF((#REF!*3*P13+O13)-E13&lt;F13,"",(#REF!*3*P13+O13)-E13),IF(OR(#REF!="GD&amp;T",#REF!="MAX"),IF((#REF!*3*P13+O13)&lt;F13,"",(#REF!*3*P13+O13)),"")))</f>
        <v>#REF!</v>
      </c>
      <c r="Y13" s="109" t="e">
        <f>IF(O13="","",IF(#REF!="Tolerance",IF(-((#REF!*3*P13)-O13)-E13&gt;G13,"",-((#REF!*3*P13)-O13)-E13),IF(#REF!="MIN",IF(-((#REF!*3*P13)-O13)&gt;G13,"",-((#REF!*3*P13)-O13)),"")))</f>
        <v>#REF!</v>
      </c>
      <c r="Z13" s="109" t="str">
        <f t="shared" si="13"/>
        <v/>
      </c>
      <c r="AA13" s="109" t="str">
        <f t="shared" si="9"/>
        <v/>
      </c>
      <c r="AB13" s="110"/>
      <c r="AC13" s="111" t="str">
        <f t="shared" si="14"/>
        <v/>
      </c>
      <c r="AD13" s="112"/>
      <c r="AE13" s="113"/>
      <c r="AF13" s="113"/>
      <c r="AG13" s="114"/>
      <c r="AH13">
        <v>8</v>
      </c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X13" s="115"/>
      <c r="CH13" s="115"/>
      <c r="JA13" s="115"/>
      <c r="JS13" s="115"/>
      <c r="AHY13" s="115"/>
      <c r="APB13" s="115"/>
      <c r="APQ13" s="115"/>
      <c r="APX13" s="115"/>
      <c r="ARL13" s="115"/>
      <c r="ASZ13" s="115"/>
      <c r="AUG13" s="115"/>
      <c r="AWU13" s="115"/>
      <c r="AYL13" s="115"/>
      <c r="BCW13" s="115"/>
      <c r="CCF13" s="115"/>
      <c r="CCK13" s="115"/>
      <c r="CHM13" s="115"/>
      <c r="CKG13" s="115"/>
      <c r="CLK13" s="115"/>
      <c r="DBD13" s="115"/>
      <c r="DCD13" s="115"/>
      <c r="DFM13" s="115"/>
      <c r="DQM13" s="115"/>
      <c r="DRB13" s="115"/>
      <c r="DWC13" s="115"/>
      <c r="EDJ13" s="115"/>
    </row>
    <row r="14" spans="1:1023 1025:2040 2061:3066 3097:3494" ht="15" customHeight="1">
      <c r="A14">
        <v>9</v>
      </c>
      <c r="B14" s="97" t="s">
        <v>160</v>
      </c>
      <c r="C14" s="98" t="s">
        <v>140</v>
      </c>
      <c r="D14" s="116" t="s">
        <v>73</v>
      </c>
      <c r="E14" s="118">
        <v>1.1000000000000001</v>
      </c>
      <c r="F14" s="100">
        <v>1.4999999999999999E-2</v>
      </c>
      <c r="G14" s="100">
        <v>-1.4999999999999999E-2</v>
      </c>
      <c r="H14" s="101" t="s">
        <v>155</v>
      </c>
      <c r="I14" s="102" t="s">
        <v>126</v>
      </c>
      <c r="J14" s="51">
        <f t="shared" si="10"/>
        <v>1.115</v>
      </c>
      <c r="K14" s="51">
        <f t="shared" si="11"/>
        <v>1.0850000000000002</v>
      </c>
      <c r="L14" s="117"/>
      <c r="M14" s="104">
        <f t="shared" si="0"/>
        <v>0</v>
      </c>
      <c r="N14" s="104">
        <f t="shared" si="1"/>
        <v>0</v>
      </c>
      <c r="O14" s="104">
        <f t="shared" si="2"/>
        <v>0</v>
      </c>
      <c r="P14" s="105">
        <f t="shared" si="3"/>
        <v>0</v>
      </c>
      <c r="Q14" s="106" t="str">
        <f t="shared" si="4"/>
        <v/>
      </c>
      <c r="R14" s="107" t="str">
        <f>IF(OR($AI14="",ISNUMBER($AI14)=FALSE),"",IF(AND(#REF!="Tolerance",$E14&lt;&gt;""),($O14-$E14)/(($J14-$K14)/2),IF(AND(#REF!="GD&amp;T",$F14&lt;&gt;""),$O14/$F14,"")))</f>
        <v/>
      </c>
      <c r="S14" s="107" t="str">
        <f t="shared" si="12"/>
        <v/>
      </c>
      <c r="T14" s="106" t="str">
        <f t="shared" si="5"/>
        <v/>
      </c>
      <c r="U14" s="106" t="str">
        <f t="shared" si="6"/>
        <v/>
      </c>
      <c r="V14" s="106" t="str">
        <f t="shared" si="7"/>
        <v/>
      </c>
      <c r="W14" s="108" t="str">
        <f t="shared" si="8"/>
        <v/>
      </c>
      <c r="X14" s="109" t="e">
        <f>IF($O14="","",IF(#REF!="Tolerance",IF((#REF!*3*P14+O14)-E14&lt;F14,"",(#REF!*3*P14+O14)-E14),IF(OR(#REF!="GD&amp;T",#REF!="MAX"),IF((#REF!*3*P14+O14)&lt;F14,"",(#REF!*3*P14+O14)),"")))</f>
        <v>#REF!</v>
      </c>
      <c r="Y14" s="109" t="e">
        <f>IF(O14="","",IF(#REF!="Tolerance",IF(-((#REF!*3*P14)-O14)-E14&gt;G14,"",-((#REF!*3*P14)-O14)-E14),IF(#REF!="MIN",IF(-((#REF!*3*P14)-O14)&gt;G14,"",-((#REF!*3*P14)-O14)),"")))</f>
        <v>#REF!</v>
      </c>
      <c r="Z14" s="109">
        <f t="shared" si="13"/>
        <v>1.1000000000000001</v>
      </c>
      <c r="AA14" s="109" t="str">
        <f t="shared" si="9"/>
        <v/>
      </c>
      <c r="AB14" s="110"/>
      <c r="AC14" s="111" t="str">
        <f t="shared" si="14"/>
        <v/>
      </c>
      <c r="AD14" s="112"/>
      <c r="AE14" s="113"/>
      <c r="AF14" s="113"/>
      <c r="AG14" s="114"/>
      <c r="AH14">
        <v>9</v>
      </c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33"/>
      <c r="BG14" s="133"/>
      <c r="BH14" s="133"/>
      <c r="BI14" s="133"/>
      <c r="BJ14" s="133"/>
      <c r="BK14" s="133"/>
      <c r="BL14" s="133"/>
      <c r="BM14" s="133"/>
      <c r="BN14" s="133"/>
      <c r="EN14" s="115"/>
      <c r="HC14" s="115"/>
      <c r="KF14" s="115"/>
      <c r="LE14" s="115"/>
      <c r="PS14" s="115"/>
      <c r="WC14" s="115"/>
      <c r="XQ14" s="115"/>
      <c r="YV14" s="115"/>
      <c r="AIZ14" s="115"/>
      <c r="AKV14" s="115"/>
      <c r="ALG14" s="115"/>
      <c r="AMM14" s="115"/>
      <c r="ANE14" s="115"/>
      <c r="AQR14" s="115"/>
      <c r="ASC14" s="115"/>
      <c r="AWH14" s="115"/>
      <c r="AYY14" s="115"/>
      <c r="BCJ14" s="115"/>
      <c r="BEA14" s="115"/>
      <c r="BFP14" s="115"/>
      <c r="BOQ14" s="115"/>
      <c r="BRU14" s="115"/>
      <c r="BSP14" s="115"/>
      <c r="BTE14" s="115"/>
      <c r="BXY14" s="115"/>
      <c r="BYL14" s="115"/>
      <c r="CGR14" s="115"/>
      <c r="CGU14" s="115"/>
      <c r="CLX14" s="115"/>
      <c r="CNI14" s="115"/>
      <c r="CYL14" s="115"/>
      <c r="CYT14" s="115"/>
      <c r="DEK14" s="115"/>
      <c r="DHZ14" s="115"/>
      <c r="DIC14" s="115"/>
      <c r="DIS14" s="115"/>
      <c r="DJS14" s="115"/>
      <c r="DOC14" s="115"/>
      <c r="DPQ14" s="115"/>
      <c r="DPU14" s="115"/>
      <c r="DQX14" s="115"/>
      <c r="EAF14" s="115"/>
      <c r="ECT14" s="115"/>
    </row>
    <row r="15" spans="1:1023 1025:2040 2061:3066 3097:3494" ht="15" customHeight="1">
      <c r="A15">
        <v>10</v>
      </c>
      <c r="B15" s="97" t="s">
        <v>160</v>
      </c>
      <c r="C15" s="98" t="s">
        <v>141</v>
      </c>
      <c r="D15" s="116" t="s">
        <v>73</v>
      </c>
      <c r="E15" s="118">
        <v>1.1000000000000001</v>
      </c>
      <c r="F15" s="100">
        <v>1.4999999999999999E-2</v>
      </c>
      <c r="G15" s="100">
        <v>-1.4999999999999999E-2</v>
      </c>
      <c r="H15" s="101" t="s">
        <v>155</v>
      </c>
      <c r="I15" s="102" t="s">
        <v>126</v>
      </c>
      <c r="J15" s="51">
        <f t="shared" si="10"/>
        <v>1.115</v>
      </c>
      <c r="K15" s="51">
        <f t="shared" si="11"/>
        <v>1.0850000000000002</v>
      </c>
      <c r="L15" s="103"/>
      <c r="M15" s="104">
        <f t="shared" si="0"/>
        <v>0</v>
      </c>
      <c r="N15" s="104">
        <f t="shared" si="1"/>
        <v>0</v>
      </c>
      <c r="O15" s="104">
        <f t="shared" si="2"/>
        <v>0</v>
      </c>
      <c r="P15" s="105">
        <f t="shared" si="3"/>
        <v>0</v>
      </c>
      <c r="Q15" s="106" t="str">
        <f t="shared" si="4"/>
        <v/>
      </c>
      <c r="R15" s="107" t="str">
        <f>IF(OR($AI15="",ISNUMBER($AI15)=FALSE),"",IF(AND(#REF!="Tolerance",$E15&lt;&gt;""),($O15-$E15)/(($J15-$K15)/2),IF(AND(#REF!="GD&amp;T",$F15&lt;&gt;""),$O15/$F15,"")))</f>
        <v/>
      </c>
      <c r="S15" s="107" t="str">
        <f t="shared" si="12"/>
        <v/>
      </c>
      <c r="T15" s="106" t="str">
        <f t="shared" si="5"/>
        <v/>
      </c>
      <c r="U15" s="106" t="str">
        <f t="shared" si="6"/>
        <v/>
      </c>
      <c r="V15" s="106" t="str">
        <f t="shared" si="7"/>
        <v/>
      </c>
      <c r="W15" s="108" t="str">
        <f t="shared" si="8"/>
        <v/>
      </c>
      <c r="X15" s="109" t="e">
        <f>IF($O15="","",IF(#REF!="Tolerance",IF((#REF!*3*P15+O15)-E15&lt;F15,"",(#REF!*3*P15+O15)-E15),IF(OR(#REF!="GD&amp;T",#REF!="MAX"),IF((#REF!*3*P15+O15)&lt;F15,"",(#REF!*3*P15+O15)),"")))</f>
        <v>#REF!</v>
      </c>
      <c r="Y15" s="109" t="e">
        <f>IF(O15="","",IF(#REF!="Tolerance",IF(-((#REF!*3*P15)-O15)-E15&gt;G15,"",-((#REF!*3*P15)-O15)-E15),IF(#REF!="MIN",IF(-((#REF!*3*P15)-O15)&gt;G15,"",-((#REF!*3*P15)-O15)),"")))</f>
        <v>#REF!</v>
      </c>
      <c r="Z15" s="109">
        <f t="shared" si="13"/>
        <v>1.1000000000000001</v>
      </c>
      <c r="AA15" s="109" t="str">
        <f t="shared" si="9"/>
        <v/>
      </c>
      <c r="AB15" s="110"/>
      <c r="AC15" s="111" t="str">
        <f t="shared" si="14"/>
        <v/>
      </c>
      <c r="AD15" s="112"/>
      <c r="AE15" s="113"/>
      <c r="AF15" s="113"/>
      <c r="AG15" s="114"/>
      <c r="AH15">
        <v>10</v>
      </c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  <c r="BL15" s="133"/>
      <c r="BM15" s="133"/>
      <c r="BN15" s="133"/>
      <c r="EN15" s="115"/>
      <c r="HC15" s="115"/>
      <c r="KF15" s="115"/>
      <c r="LE15" s="115"/>
      <c r="PS15" s="115"/>
      <c r="WC15" s="115"/>
      <c r="XQ15" s="115"/>
      <c r="YV15" s="115"/>
      <c r="AIZ15" s="115"/>
      <c r="ALG15" s="115"/>
      <c r="AMM15" s="115"/>
      <c r="ANE15" s="115"/>
      <c r="AQE15" s="115"/>
      <c r="AQR15" s="115"/>
      <c r="ARG15" s="115"/>
      <c r="ASC15" s="115"/>
      <c r="AWH15" s="115"/>
      <c r="BCJ15" s="115"/>
      <c r="BEA15" s="115"/>
      <c r="BFP15" s="115"/>
      <c r="BJW15" s="115"/>
      <c r="BOQ15" s="115"/>
      <c r="BRU15" s="115"/>
      <c r="BSP15" s="115"/>
      <c r="BTE15" s="115"/>
      <c r="BXY15" s="115"/>
      <c r="BYL15" s="115"/>
      <c r="CGR15" s="115"/>
      <c r="CGU15" s="115"/>
      <c r="CLX15" s="115"/>
      <c r="CNI15" s="115"/>
      <c r="CWD15" s="115"/>
      <c r="CYT15" s="115"/>
      <c r="DHZ15" s="115"/>
      <c r="DIC15" s="115"/>
      <c r="DIS15" s="115"/>
      <c r="DJS15" s="115"/>
      <c r="DOQ15" s="115"/>
      <c r="DPQ15" s="115"/>
      <c r="DPU15" s="115"/>
      <c r="DQX15" s="115"/>
      <c r="DZL15" s="115"/>
      <c r="EAF15" s="115"/>
      <c r="EBX15" s="115"/>
      <c r="ECT15" s="115"/>
    </row>
    <row r="16" spans="1:1023 1025:2040 2061:3066 3097:3494" ht="15" customHeight="1">
      <c r="A16">
        <v>11</v>
      </c>
      <c r="B16" s="97" t="s">
        <v>160</v>
      </c>
      <c r="C16" s="98" t="s">
        <v>142</v>
      </c>
      <c r="D16" s="116" t="s">
        <v>73</v>
      </c>
      <c r="E16" s="118">
        <v>1.1000000000000001</v>
      </c>
      <c r="F16" s="100">
        <v>1.4999999999999999E-2</v>
      </c>
      <c r="G16" s="100">
        <v>-1.4999999999999999E-2</v>
      </c>
      <c r="H16" s="101" t="s">
        <v>155</v>
      </c>
      <c r="I16" s="102" t="s">
        <v>126</v>
      </c>
      <c r="J16" s="51">
        <f t="shared" si="10"/>
        <v>1.115</v>
      </c>
      <c r="K16" s="51">
        <f t="shared" si="11"/>
        <v>1.0850000000000002</v>
      </c>
      <c r="L16" s="103"/>
      <c r="M16" s="104">
        <f t="shared" si="0"/>
        <v>0</v>
      </c>
      <c r="N16" s="104">
        <f t="shared" si="1"/>
        <v>0</v>
      </c>
      <c r="O16" s="104">
        <f t="shared" si="2"/>
        <v>0</v>
      </c>
      <c r="P16" s="105">
        <f t="shared" si="3"/>
        <v>0</v>
      </c>
      <c r="Q16" s="106" t="str">
        <f t="shared" si="4"/>
        <v/>
      </c>
      <c r="R16" s="107" t="str">
        <f>IF(OR($AI16="",ISNUMBER($AI16)=FALSE),"",IF(AND(#REF!="Tolerance",$E16&lt;&gt;""),($O16-$E16)/(($J16-$K16)/2),IF(AND(#REF!="GD&amp;T",$F16&lt;&gt;""),$O16/$F16,"")))</f>
        <v/>
      </c>
      <c r="S16" s="107" t="str">
        <f t="shared" si="12"/>
        <v/>
      </c>
      <c r="T16" s="106" t="str">
        <f t="shared" si="5"/>
        <v/>
      </c>
      <c r="U16" s="106" t="str">
        <f t="shared" si="6"/>
        <v/>
      </c>
      <c r="V16" s="106" t="str">
        <f t="shared" si="7"/>
        <v/>
      </c>
      <c r="W16" s="108" t="str">
        <f t="shared" si="8"/>
        <v/>
      </c>
      <c r="X16" s="109" t="e">
        <f>IF($O16="","",IF(#REF!="Tolerance",IF((#REF!*3*P16+O16)-E16&lt;F16,"",(#REF!*3*P16+O16)-E16),IF(OR(#REF!="GD&amp;T",#REF!="MAX"),IF((#REF!*3*P16+O16)&lt;F16,"",(#REF!*3*P16+O16)),"")))</f>
        <v>#REF!</v>
      </c>
      <c r="Y16" s="109" t="e">
        <f>IF(O16="","",IF(#REF!="Tolerance",IF(-((#REF!*3*P16)-O16)-E16&gt;G16,"",-((#REF!*3*P16)-O16)-E16),IF(#REF!="MIN",IF(-((#REF!*3*P16)-O16)&gt;G16,"",-((#REF!*3*P16)-O16)),"")))</f>
        <v>#REF!</v>
      </c>
      <c r="Z16" s="109">
        <f t="shared" si="13"/>
        <v>1.1000000000000001</v>
      </c>
      <c r="AA16" s="109" t="str">
        <f t="shared" si="9"/>
        <v/>
      </c>
      <c r="AB16" s="110"/>
      <c r="AC16" s="111" t="str">
        <f t="shared" si="14"/>
        <v/>
      </c>
      <c r="AD16" s="112"/>
      <c r="AE16" s="113"/>
      <c r="AF16" s="113"/>
      <c r="AG16" s="114"/>
      <c r="AH16">
        <v>11</v>
      </c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EN16" s="115"/>
      <c r="HC16" s="115"/>
      <c r="LE16" s="115"/>
      <c r="PS16" s="115"/>
      <c r="WC16" s="115"/>
      <c r="XQ16" s="115"/>
      <c r="YV16" s="115"/>
      <c r="AIZ16" s="115"/>
      <c r="ALG16" s="115"/>
      <c r="AMM16" s="115"/>
      <c r="ANE16" s="115"/>
      <c r="AQE16" s="115"/>
      <c r="ASC16" s="115"/>
      <c r="AWH16" s="115"/>
      <c r="BCJ16" s="115"/>
      <c r="BEA16" s="115"/>
      <c r="BFP16" s="115"/>
      <c r="BKT16" s="115"/>
      <c r="BOQ16" s="115"/>
      <c r="BRU16" s="115"/>
      <c r="BSP16" s="115"/>
      <c r="BTE16" s="115"/>
      <c r="BXY16" s="115"/>
      <c r="BYL16" s="115"/>
      <c r="CGR16" s="115"/>
      <c r="CGU16" s="115"/>
      <c r="CTV16" s="115"/>
      <c r="DHZ16" s="115"/>
      <c r="DIC16" s="115"/>
      <c r="DIS16" s="115"/>
      <c r="DJS16" s="115"/>
      <c r="DPQ16" s="115"/>
      <c r="DPU16" s="115"/>
      <c r="DQX16" s="115"/>
      <c r="DZL16" s="115"/>
      <c r="EAF16" s="115"/>
      <c r="ECT16" s="115"/>
    </row>
    <row r="17" spans="1:995 1027:2014 2228:2983 3137:3412" ht="15" customHeight="1">
      <c r="A17">
        <v>12</v>
      </c>
      <c r="B17" s="97" t="s">
        <v>86</v>
      </c>
      <c r="C17" s="98" t="s">
        <v>143</v>
      </c>
      <c r="D17" s="116" t="s">
        <v>73</v>
      </c>
      <c r="E17" s="118">
        <v>1.794</v>
      </c>
      <c r="F17" s="100">
        <v>0.02</v>
      </c>
      <c r="G17" s="100">
        <v>-0.02</v>
      </c>
      <c r="H17" s="101" t="s">
        <v>155</v>
      </c>
      <c r="I17" s="102" t="s">
        <v>126</v>
      </c>
      <c r="J17" s="51">
        <f t="shared" si="10"/>
        <v>1.8140000000000001</v>
      </c>
      <c r="K17" s="51">
        <f t="shared" si="11"/>
        <v>1.774</v>
      </c>
      <c r="L17" s="117"/>
      <c r="M17" s="104">
        <f t="shared" si="0"/>
        <v>0</v>
      </c>
      <c r="N17" s="104">
        <f t="shared" si="1"/>
        <v>0</v>
      </c>
      <c r="O17" s="104">
        <f t="shared" si="2"/>
        <v>0</v>
      </c>
      <c r="P17" s="105">
        <f t="shared" si="3"/>
        <v>0</v>
      </c>
      <c r="Q17" s="106" t="str">
        <f t="shared" si="4"/>
        <v/>
      </c>
      <c r="R17" s="107" t="str">
        <f>IF(OR($AI17="",ISNUMBER($AI17)=FALSE),"",IF(AND(#REF!="Tolerance",$E17&lt;&gt;""),($O17-$E17)/(($J17-$K17)/2),IF(AND(#REF!="GD&amp;T",$F17&lt;&gt;""),$O17/$F17,"")))</f>
        <v/>
      </c>
      <c r="S17" s="107" t="str">
        <f t="shared" si="12"/>
        <v/>
      </c>
      <c r="T17" s="106" t="str">
        <f t="shared" si="5"/>
        <v/>
      </c>
      <c r="U17" s="106" t="str">
        <f t="shared" si="6"/>
        <v/>
      </c>
      <c r="V17" s="106" t="str">
        <f t="shared" si="7"/>
        <v/>
      </c>
      <c r="W17" s="108" t="str">
        <f t="shared" si="8"/>
        <v/>
      </c>
      <c r="X17" s="109" t="e">
        <f>IF($O17="","",IF(#REF!="Tolerance",IF((#REF!*3*P17+O17)-E17&lt;F17,"",(#REF!*3*P17+O17)-E17),IF(OR(#REF!="GD&amp;T",#REF!="MAX"),IF((#REF!*3*P17+O17)&lt;F17,"",(#REF!*3*P17+O17)),"")))</f>
        <v>#REF!</v>
      </c>
      <c r="Y17" s="109" t="e">
        <f>IF(O17="","",IF(#REF!="Tolerance",IF(-((#REF!*3*P17)-O17)-E17&gt;G17,"",-((#REF!*3*P17)-O17)-E17),IF(#REF!="MIN",IF(-((#REF!*3*P17)-O17)&gt;G17,"",-((#REF!*3*P17)-O17)),"")))</f>
        <v>#REF!</v>
      </c>
      <c r="Z17" s="109">
        <f t="shared" si="13"/>
        <v>1.794</v>
      </c>
      <c r="AA17" s="109" t="str">
        <f t="shared" si="9"/>
        <v/>
      </c>
      <c r="AB17" s="110"/>
      <c r="AC17" s="111" t="str">
        <f t="shared" si="14"/>
        <v/>
      </c>
      <c r="AD17" s="112"/>
      <c r="AE17" s="113"/>
      <c r="AF17" s="113"/>
      <c r="AG17" s="114"/>
      <c r="AH17">
        <v>12</v>
      </c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3"/>
      <c r="BH17" s="133"/>
      <c r="BI17" s="133"/>
      <c r="BJ17" s="133"/>
      <c r="BK17" s="133"/>
      <c r="BL17" s="133"/>
      <c r="BM17" s="133"/>
      <c r="BN17" s="133"/>
      <c r="HC17" s="115"/>
      <c r="LE17" s="115"/>
      <c r="XQ17" s="115"/>
      <c r="YV17" s="115"/>
      <c r="AIZ17" s="115"/>
      <c r="AKV17" s="115"/>
      <c r="ALG17" s="115"/>
      <c r="AMM17" s="115"/>
      <c r="ANE17" s="115"/>
      <c r="AQE17" s="115"/>
      <c r="AQR17" s="115"/>
      <c r="ASC17" s="115"/>
      <c r="AWH17" s="115"/>
      <c r="AYY17" s="115"/>
      <c r="BCJ17" s="115"/>
      <c r="BEA17" s="115"/>
      <c r="BFP17" s="115"/>
      <c r="BJW17" s="115"/>
      <c r="BOQ17" s="115"/>
      <c r="BRU17" s="115"/>
      <c r="BSP17" s="115"/>
      <c r="BXY17" s="115"/>
      <c r="BYL17" s="115"/>
      <c r="CGR17" s="115"/>
      <c r="DHZ17" s="115"/>
      <c r="DIC17" s="115"/>
      <c r="DIS17" s="115"/>
      <c r="DJS17" s="115"/>
      <c r="DPQ17" s="115"/>
      <c r="DPU17" s="115"/>
      <c r="DQX17" s="115"/>
      <c r="DSN17" s="115"/>
      <c r="DZL17" s="115"/>
      <c r="EAF17" s="115"/>
    </row>
    <row r="18" spans="1:995 1027:2014 2228:2983 3137:3412" ht="15" customHeight="1">
      <c r="A18">
        <v>13</v>
      </c>
      <c r="B18" s="97" t="s">
        <v>161</v>
      </c>
      <c r="C18" s="98" t="s">
        <v>144</v>
      </c>
      <c r="D18" s="99" t="s">
        <v>73</v>
      </c>
      <c r="E18" s="118">
        <v>0.21</v>
      </c>
      <c r="F18" s="100">
        <v>0.02</v>
      </c>
      <c r="G18" s="100">
        <v>-0.02</v>
      </c>
      <c r="H18" s="101" t="s">
        <v>155</v>
      </c>
      <c r="I18" s="102" t="s">
        <v>126</v>
      </c>
      <c r="J18" s="51">
        <f t="shared" si="10"/>
        <v>0.22999999999999998</v>
      </c>
      <c r="K18" s="51">
        <f t="shared" si="11"/>
        <v>0.19</v>
      </c>
      <c r="L18" s="117"/>
      <c r="M18" s="104">
        <f t="shared" si="0"/>
        <v>0</v>
      </c>
      <c r="N18" s="104">
        <f t="shared" si="1"/>
        <v>0</v>
      </c>
      <c r="O18" s="104">
        <f t="shared" si="2"/>
        <v>0</v>
      </c>
      <c r="P18" s="105">
        <f t="shared" si="3"/>
        <v>0</v>
      </c>
      <c r="Q18" s="106" t="str">
        <f t="shared" si="4"/>
        <v/>
      </c>
      <c r="R18" s="107" t="str">
        <f>IF(OR($AI18="",ISNUMBER($AI18)=FALSE),"",IF(AND(#REF!="Tolerance",$E18&lt;&gt;""),($O18-$E18)/(($J18-$K18)/2),IF(AND(#REF!="GD&amp;T",$F18&lt;&gt;""),$O18/$F18,"")))</f>
        <v/>
      </c>
      <c r="S18" s="107" t="str">
        <f t="shared" si="12"/>
        <v/>
      </c>
      <c r="T18" s="106" t="str">
        <f t="shared" si="5"/>
        <v/>
      </c>
      <c r="U18" s="106" t="str">
        <f t="shared" si="6"/>
        <v/>
      </c>
      <c r="V18" s="106" t="str">
        <f t="shared" si="7"/>
        <v/>
      </c>
      <c r="W18" s="108" t="str">
        <f t="shared" si="8"/>
        <v/>
      </c>
      <c r="X18" s="109" t="e">
        <f>IF($O18="","",IF(#REF!="Tolerance",IF((#REF!*3*P18+O18)-E18&lt;F18,"",(#REF!*3*P18+O18)-E18),IF(OR(#REF!="GD&amp;T",#REF!="MAX"),IF((#REF!*3*P18+O18)&lt;F18,"",(#REF!*3*P18+O18)),"")))</f>
        <v>#REF!</v>
      </c>
      <c r="Y18" s="109" t="e">
        <f>IF(O18="","",IF(#REF!="Tolerance",IF(-((#REF!*3*P18)-O18)-E18&gt;G18,"",-((#REF!*3*P18)-O18)-E18),IF(#REF!="MIN",IF(-((#REF!*3*P18)-O18)&gt;G18,"",-((#REF!*3*P18)-O18)),"")))</f>
        <v>#REF!</v>
      </c>
      <c r="Z18" s="109">
        <f t="shared" si="13"/>
        <v>0.21</v>
      </c>
      <c r="AA18" s="109" t="str">
        <f t="shared" si="9"/>
        <v/>
      </c>
      <c r="AB18" s="110"/>
      <c r="AC18" s="111" t="str">
        <f t="shared" si="14"/>
        <v/>
      </c>
      <c r="AD18" s="112"/>
      <c r="AE18" s="113"/>
      <c r="AF18" s="113"/>
      <c r="AG18" s="114"/>
      <c r="AH18">
        <v>13</v>
      </c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3"/>
      <c r="BH18" s="133"/>
      <c r="BI18" s="133"/>
      <c r="BJ18" s="133"/>
      <c r="BK18" s="133"/>
      <c r="BL18" s="133"/>
      <c r="BM18" s="133"/>
      <c r="BN18" s="133"/>
      <c r="HC18" s="115"/>
      <c r="LE18" s="115"/>
      <c r="PS18" s="115"/>
      <c r="QC18" s="115"/>
      <c r="XQ18" s="115"/>
      <c r="YV18" s="115"/>
      <c r="AIZ18" s="115"/>
      <c r="ALG18" s="115"/>
      <c r="AMM18" s="115"/>
      <c r="ANE18" s="115"/>
      <c r="AQE18" s="115"/>
      <c r="AQR18" s="115"/>
      <c r="ASC18" s="115"/>
      <c r="AWH18" s="115"/>
      <c r="AYY18" s="115"/>
      <c r="BCJ18" s="115"/>
      <c r="BEA18" s="115"/>
      <c r="BFP18" s="115"/>
      <c r="BOQ18" s="115"/>
      <c r="BRU18" s="115"/>
      <c r="BSP18" s="115"/>
      <c r="BTE18" s="115"/>
      <c r="BXY18" s="115"/>
      <c r="BYL18" s="115"/>
      <c r="CGR18" s="115"/>
      <c r="DHZ18" s="115"/>
      <c r="DIC18" s="115"/>
      <c r="DIS18" s="115"/>
      <c r="DJS18" s="115"/>
      <c r="DPQ18" s="115"/>
      <c r="DPU18" s="115"/>
      <c r="DZL18" s="115"/>
      <c r="EAF18" s="115"/>
    </row>
  </sheetData>
  <mergeCells count="6">
    <mergeCell ref="AI3:BN4"/>
    <mergeCell ref="X4:Y4"/>
    <mergeCell ref="A1:AC1"/>
    <mergeCell ref="B3:K3"/>
    <mergeCell ref="M3:AC3"/>
    <mergeCell ref="AE3:AG3"/>
  </mergeCells>
  <phoneticPr fontId="16" type="noConversion"/>
  <conditionalFormatting sqref="AI6:BN18">
    <cfRule type="cellIs" dxfId="0" priority="1" operator="notBetween">
      <formula>$E6+$F6</formula>
      <formula>$E6+$G6</formula>
    </cfRule>
  </conditionalFormatting>
  <dataValidations disablePrompts="1" count="2">
    <dataValidation type="list" allowBlank="1" showInputMessage="1" showErrorMessage="1" sqref="I6:I18" xr:uid="{9E6FDF95-47F8-4E60-9893-8976730E4688}">
      <formula1>gauging</formula1>
    </dataValidation>
    <dataValidation type="list" allowBlank="1" showInputMessage="1" showErrorMessage="1" sqref="H6:H18" xr:uid="{B8E05571-893F-42E7-B9FC-2E705B18D06A}">
      <formula1>insp_meth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92D9-F680-5640-9B22-E6DA8A3893B6}">
  <sheetPr codeName="Sheet5"/>
  <dimension ref="B2:R16"/>
  <sheetViews>
    <sheetView showGridLines="0" zoomScaleNormal="70" workbookViewId="0">
      <selection activeCell="E16" sqref="E16"/>
    </sheetView>
  </sheetViews>
  <sheetFormatPr defaultColWidth="11" defaultRowHeight="17.399999999999999"/>
  <cols>
    <col min="1" max="1" width="1.453125" style="14" customWidth="1"/>
    <col min="2" max="2" width="7.36328125" style="14" customWidth="1"/>
    <col min="3" max="3" width="20.90625" style="13" customWidth="1"/>
    <col min="4" max="5" width="30.90625" style="14" customWidth="1"/>
    <col min="6" max="6" width="13" style="14" customWidth="1"/>
    <col min="7" max="7" width="13" style="13" customWidth="1"/>
    <col min="8" max="13" width="13" style="14" customWidth="1"/>
    <col min="14" max="14" width="60.90625" style="15" customWidth="1"/>
    <col min="15" max="15" width="60.90625" style="14" customWidth="1"/>
    <col min="16" max="18" width="29.90625" style="14" customWidth="1"/>
    <col min="19" max="19" width="11" style="14"/>
    <col min="20" max="20" width="27.6328125" style="14" bestFit="1" customWidth="1"/>
    <col min="21" max="16384" width="11" style="14"/>
  </cols>
  <sheetData>
    <row r="2" spans="2:18" ht="39.9" customHeight="1">
      <c r="B2" s="17" t="s">
        <v>14</v>
      </c>
      <c r="C2" s="12"/>
      <c r="D2" s="12"/>
      <c r="E2" s="12"/>
      <c r="F2" s="12"/>
    </row>
    <row r="3" spans="2:18" ht="18" customHeight="1">
      <c r="B3" s="12"/>
      <c r="C3" s="12"/>
      <c r="D3" s="12"/>
      <c r="E3" s="12"/>
      <c r="F3" s="12"/>
    </row>
    <row r="4" spans="2:18" s="18" customFormat="1" ht="18.899999999999999" customHeight="1">
      <c r="B4" s="174" t="s">
        <v>15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5" t="s">
        <v>39</v>
      </c>
      <c r="Q4" s="175"/>
      <c r="R4" s="175"/>
    </row>
    <row r="5" spans="2:18" s="16" customFormat="1" ht="20.100000000000001" customHeight="1">
      <c r="B5" s="173" t="s">
        <v>16</v>
      </c>
      <c r="C5" s="173" t="s">
        <v>17</v>
      </c>
      <c r="D5" s="173" t="s">
        <v>34</v>
      </c>
      <c r="E5" s="173" t="s">
        <v>33</v>
      </c>
      <c r="F5" s="173" t="s">
        <v>18</v>
      </c>
      <c r="G5" s="173"/>
      <c r="H5" s="173" t="s">
        <v>19</v>
      </c>
      <c r="I5" s="173"/>
      <c r="J5" s="173" t="s">
        <v>20</v>
      </c>
      <c r="K5" s="173"/>
      <c r="L5" s="173"/>
      <c r="M5" s="173"/>
      <c r="N5" s="173" t="s">
        <v>21</v>
      </c>
      <c r="O5" s="173" t="s">
        <v>22</v>
      </c>
      <c r="P5" s="173" t="s">
        <v>23</v>
      </c>
      <c r="Q5" s="173" t="s">
        <v>24</v>
      </c>
      <c r="R5" s="173" t="s">
        <v>25</v>
      </c>
    </row>
    <row r="6" spans="2:18" s="16" customFormat="1" ht="20.100000000000001" customHeight="1">
      <c r="B6" s="173"/>
      <c r="C6" s="173"/>
      <c r="D6" s="173"/>
      <c r="E6" s="173"/>
      <c r="F6" s="40" t="s">
        <v>26</v>
      </c>
      <c r="G6" s="40" t="s">
        <v>27</v>
      </c>
      <c r="H6" s="40" t="s">
        <v>28</v>
      </c>
      <c r="I6" s="40" t="s">
        <v>27</v>
      </c>
      <c r="J6" s="40" t="s">
        <v>29</v>
      </c>
      <c r="K6" s="40" t="s">
        <v>30</v>
      </c>
      <c r="L6" s="40" t="s">
        <v>31</v>
      </c>
      <c r="M6" s="40" t="s">
        <v>32</v>
      </c>
      <c r="N6" s="173"/>
      <c r="O6" s="173"/>
      <c r="P6" s="173"/>
      <c r="Q6" s="173"/>
      <c r="R6" s="173"/>
    </row>
    <row r="7" spans="2:18" s="18" customFormat="1" ht="40.049999999999997" customHeight="1">
      <c r="B7" s="19">
        <v>1</v>
      </c>
      <c r="C7" s="28"/>
      <c r="D7" s="28"/>
      <c r="E7" s="22"/>
      <c r="F7" s="23"/>
      <c r="G7" s="23"/>
      <c r="H7" s="24"/>
      <c r="I7" s="23"/>
      <c r="J7" s="23"/>
      <c r="K7" s="23"/>
      <c r="L7" s="23"/>
      <c r="M7" s="23"/>
      <c r="N7" s="25"/>
      <c r="O7" s="49"/>
      <c r="P7" s="27"/>
      <c r="Q7" s="27"/>
      <c r="R7" s="27"/>
    </row>
    <row r="8" spans="2:18" s="18" customFormat="1" ht="39.9" customHeight="1">
      <c r="B8" s="19">
        <v>2</v>
      </c>
      <c r="C8" s="28"/>
      <c r="D8" s="21"/>
      <c r="E8" s="22"/>
      <c r="F8" s="23"/>
      <c r="G8" s="23"/>
      <c r="H8" s="24"/>
      <c r="I8" s="23"/>
      <c r="J8" s="23"/>
      <c r="K8" s="23"/>
      <c r="L8" s="23"/>
      <c r="M8" s="23"/>
      <c r="N8" s="25"/>
      <c r="O8" s="26"/>
      <c r="P8" s="27"/>
      <c r="Q8" s="27"/>
      <c r="R8" s="27"/>
    </row>
    <row r="9" spans="2:18" s="18" customFormat="1" ht="39.9" customHeight="1">
      <c r="B9" s="19">
        <v>3</v>
      </c>
      <c r="C9" s="28"/>
      <c r="D9" s="21"/>
      <c r="E9" s="22"/>
      <c r="F9" s="23"/>
      <c r="G9" s="23"/>
      <c r="H9" s="24"/>
      <c r="I9" s="23"/>
      <c r="J9" s="23"/>
      <c r="K9" s="23"/>
      <c r="L9" s="23"/>
      <c r="M9" s="23"/>
      <c r="N9" s="25"/>
      <c r="O9" s="26"/>
      <c r="P9" s="27"/>
      <c r="Q9" s="27"/>
      <c r="R9" s="27"/>
    </row>
    <row r="10" spans="2:18" s="18" customFormat="1" ht="39.9" customHeight="1">
      <c r="B10" s="19">
        <v>4</v>
      </c>
      <c r="C10" s="28"/>
      <c r="D10" s="21"/>
      <c r="E10" s="22"/>
      <c r="F10" s="23"/>
      <c r="G10" s="23"/>
      <c r="H10" s="24"/>
      <c r="I10" s="23"/>
      <c r="J10" s="23"/>
      <c r="K10" s="23"/>
      <c r="L10" s="23"/>
      <c r="M10" s="23"/>
      <c r="N10" s="25"/>
      <c r="O10" s="26"/>
      <c r="P10" s="27"/>
      <c r="Q10" s="27"/>
      <c r="R10" s="27"/>
    </row>
    <row r="11" spans="2:18" s="18" customFormat="1" ht="39.9" customHeight="1">
      <c r="B11" s="19">
        <v>5</v>
      </c>
      <c r="C11" s="28"/>
      <c r="D11" s="21"/>
      <c r="E11" s="22"/>
      <c r="F11" s="23"/>
      <c r="G11" s="23"/>
      <c r="H11" s="24"/>
      <c r="I11" s="23"/>
      <c r="J11" s="23"/>
      <c r="K11" s="23"/>
      <c r="L11" s="23"/>
      <c r="M11" s="23"/>
      <c r="N11" s="25"/>
      <c r="O11" s="26"/>
      <c r="P11" s="27"/>
      <c r="Q11" s="27"/>
      <c r="R11" s="27"/>
    </row>
    <row r="12" spans="2:18" s="18" customFormat="1" ht="39.9" customHeight="1">
      <c r="B12" s="19">
        <v>6</v>
      </c>
      <c r="C12" s="28"/>
      <c r="D12" s="21"/>
      <c r="E12" s="22"/>
      <c r="F12" s="23"/>
      <c r="G12" s="23"/>
      <c r="H12" s="24"/>
      <c r="I12" s="23"/>
      <c r="J12" s="23"/>
      <c r="K12" s="23"/>
      <c r="L12" s="23"/>
      <c r="M12" s="23"/>
      <c r="N12" s="25"/>
      <c r="O12" s="26"/>
      <c r="P12" s="27"/>
      <c r="Q12" s="27"/>
      <c r="R12" s="27"/>
    </row>
    <row r="13" spans="2:18" s="18" customFormat="1" ht="39.9" customHeight="1">
      <c r="B13" s="19">
        <v>7</v>
      </c>
      <c r="C13" s="28"/>
      <c r="D13" s="21"/>
      <c r="E13" s="22"/>
      <c r="F13" s="23"/>
      <c r="G13" s="23"/>
      <c r="H13" s="24"/>
      <c r="I13" s="23"/>
      <c r="J13" s="23"/>
      <c r="K13" s="23"/>
      <c r="L13" s="23"/>
      <c r="M13" s="23"/>
      <c r="N13" s="25"/>
      <c r="O13" s="26"/>
      <c r="P13" s="27"/>
      <c r="Q13" s="27"/>
      <c r="R13" s="27"/>
    </row>
    <row r="14" spans="2:18" s="18" customFormat="1" ht="39.9" customHeight="1">
      <c r="B14" s="19">
        <v>8</v>
      </c>
      <c r="C14" s="28"/>
      <c r="D14" s="21"/>
      <c r="E14" s="22"/>
      <c r="F14" s="23"/>
      <c r="G14" s="23"/>
      <c r="H14" s="24"/>
      <c r="I14" s="23"/>
      <c r="J14" s="23"/>
      <c r="K14" s="23"/>
      <c r="L14" s="23"/>
      <c r="M14" s="23"/>
      <c r="N14" s="25"/>
      <c r="O14" s="26"/>
      <c r="P14" s="27"/>
      <c r="Q14" s="27"/>
      <c r="R14" s="27"/>
    </row>
    <row r="15" spans="2:18" s="18" customFormat="1" ht="39.9" customHeight="1">
      <c r="B15" s="19">
        <v>9</v>
      </c>
      <c r="C15" s="28"/>
      <c r="D15" s="21"/>
      <c r="E15" s="22"/>
      <c r="F15" s="23"/>
      <c r="G15" s="23"/>
      <c r="H15" s="24"/>
      <c r="I15" s="23"/>
      <c r="J15" s="23"/>
      <c r="K15" s="23"/>
      <c r="L15" s="23"/>
      <c r="M15" s="23"/>
      <c r="N15" s="25"/>
      <c r="O15" s="26"/>
      <c r="P15" s="27"/>
      <c r="Q15" s="27"/>
      <c r="R15" s="27"/>
    </row>
    <row r="16" spans="2:18" s="18" customFormat="1" ht="39.9" customHeight="1">
      <c r="B16" s="19">
        <v>10</v>
      </c>
      <c r="C16" s="28"/>
      <c r="D16" s="21"/>
      <c r="E16" s="22"/>
      <c r="F16" s="23"/>
      <c r="G16" s="23"/>
      <c r="H16" s="24"/>
      <c r="I16" s="23"/>
      <c r="J16" s="23"/>
      <c r="K16" s="23"/>
      <c r="L16" s="23"/>
      <c r="M16" s="23"/>
      <c r="N16" s="25"/>
      <c r="O16" s="26"/>
      <c r="P16" s="27"/>
      <c r="Q16" s="27"/>
      <c r="R16" s="27"/>
    </row>
  </sheetData>
  <mergeCells count="14">
    <mergeCell ref="O5:O6"/>
    <mergeCell ref="P5:P6"/>
    <mergeCell ref="Q5:Q6"/>
    <mergeCell ref="R5:R6"/>
    <mergeCell ref="B4:O4"/>
    <mergeCell ref="P4:R4"/>
    <mergeCell ref="B5:B6"/>
    <mergeCell ref="C5:C6"/>
    <mergeCell ref="D5:D6"/>
    <mergeCell ref="E5:E6"/>
    <mergeCell ref="F5:G5"/>
    <mergeCell ref="H5:I5"/>
    <mergeCell ref="J5:M5"/>
    <mergeCell ref="N5:N6"/>
  </mergeCells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BCCC-C58F-EB47-91A3-76762C3301AA}">
  <sheetPr codeName="Sheet6"/>
  <dimension ref="B2:W207"/>
  <sheetViews>
    <sheetView showGridLines="0" zoomScale="70" zoomScaleNormal="70" workbookViewId="0">
      <selection activeCell="J16" sqref="J16"/>
    </sheetView>
  </sheetViews>
  <sheetFormatPr defaultColWidth="11" defaultRowHeight="17.399999999999999"/>
  <cols>
    <col min="1" max="1" width="1.453125" style="14" customWidth="1"/>
    <col min="2" max="2" width="7.36328125" style="14" customWidth="1"/>
    <col min="3" max="3" width="15.90625" style="13" customWidth="1"/>
    <col min="4" max="4" width="15.90625" style="14" customWidth="1"/>
    <col min="5" max="6" width="30.90625" style="14" customWidth="1"/>
    <col min="7" max="8" width="13" style="14" customWidth="1"/>
    <col min="9" max="9" width="13" style="13" customWidth="1"/>
    <col min="10" max="18" width="15.90625" style="14" customWidth="1"/>
    <col min="19" max="19" width="60.90625" style="15" customWidth="1"/>
    <col min="20" max="20" width="60.90625" style="14" customWidth="1"/>
    <col min="21" max="23" width="29.90625" style="14" hidden="1" customWidth="1"/>
    <col min="24" max="24" width="11" style="14"/>
    <col min="25" max="25" width="27.6328125" style="14" bestFit="1" customWidth="1"/>
    <col min="26" max="16384" width="11" style="14"/>
  </cols>
  <sheetData>
    <row r="2" spans="2:23" ht="39.9" customHeight="1">
      <c r="B2" s="17" t="s">
        <v>46</v>
      </c>
      <c r="C2" s="12"/>
      <c r="D2" s="12"/>
      <c r="E2" s="12"/>
      <c r="F2" s="12"/>
      <c r="G2" s="12"/>
      <c r="H2" s="12"/>
    </row>
    <row r="3" spans="2:23" ht="18" customHeight="1">
      <c r="B3" s="12"/>
      <c r="C3" s="12"/>
      <c r="D3" s="12"/>
      <c r="E3" s="12"/>
      <c r="F3" s="12"/>
      <c r="G3" s="12"/>
      <c r="H3" s="12"/>
    </row>
    <row r="4" spans="2:23" s="18" customFormat="1" ht="18.899999999999999" customHeight="1">
      <c r="B4" s="174" t="s">
        <v>15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5" t="s">
        <v>39</v>
      </c>
      <c r="V4" s="175"/>
      <c r="W4" s="175"/>
    </row>
    <row r="5" spans="2:23" s="16" customFormat="1" ht="20.100000000000001" customHeight="1">
      <c r="B5" s="173" t="s">
        <v>16</v>
      </c>
      <c r="C5" s="173" t="s">
        <v>40</v>
      </c>
      <c r="D5" s="173" t="s">
        <v>41</v>
      </c>
      <c r="E5" s="173" t="s">
        <v>34</v>
      </c>
      <c r="F5" s="173" t="s">
        <v>53</v>
      </c>
      <c r="G5" s="173" t="s">
        <v>42</v>
      </c>
      <c r="H5" s="173"/>
      <c r="I5" s="173"/>
      <c r="J5" s="173" t="s">
        <v>47</v>
      </c>
      <c r="K5" s="173"/>
      <c r="L5" s="173"/>
      <c r="M5" s="173" t="s">
        <v>50</v>
      </c>
      <c r="N5" s="173"/>
      <c r="O5" s="173"/>
      <c r="P5" s="173"/>
      <c r="Q5" s="173"/>
      <c r="R5" s="173"/>
      <c r="S5" s="173" t="s">
        <v>21</v>
      </c>
      <c r="T5" s="173" t="s">
        <v>22</v>
      </c>
      <c r="U5" s="173" t="s">
        <v>23</v>
      </c>
      <c r="V5" s="173" t="s">
        <v>24</v>
      </c>
      <c r="W5" s="173" t="s">
        <v>25</v>
      </c>
    </row>
    <row r="6" spans="2:23" s="16" customFormat="1" ht="20.100000000000001" customHeight="1">
      <c r="B6" s="173"/>
      <c r="C6" s="173"/>
      <c r="D6" s="173"/>
      <c r="E6" s="173"/>
      <c r="F6" s="173"/>
      <c r="G6" s="40" t="s">
        <v>43</v>
      </c>
      <c r="H6" s="40" t="s">
        <v>44</v>
      </c>
      <c r="I6" s="40" t="s">
        <v>45</v>
      </c>
      <c r="J6" s="40" t="s">
        <v>48</v>
      </c>
      <c r="K6" s="40" t="s">
        <v>49</v>
      </c>
      <c r="L6" s="40" t="s">
        <v>52</v>
      </c>
      <c r="M6" s="40" t="s">
        <v>43</v>
      </c>
      <c r="N6" s="40" t="s">
        <v>44</v>
      </c>
      <c r="O6" s="40" t="s">
        <v>45</v>
      </c>
      <c r="P6" s="40" t="s">
        <v>48</v>
      </c>
      <c r="Q6" s="40" t="s">
        <v>49</v>
      </c>
      <c r="R6" s="40" t="s">
        <v>52</v>
      </c>
      <c r="S6" s="173"/>
      <c r="T6" s="173"/>
      <c r="U6" s="173"/>
      <c r="V6" s="173"/>
      <c r="W6" s="173"/>
    </row>
    <row r="7" spans="2:23" s="18" customFormat="1" ht="39.9" customHeight="1">
      <c r="B7" s="19">
        <v>1</v>
      </c>
      <c r="C7" s="28"/>
      <c r="D7" s="28"/>
      <c r="E7" s="28"/>
      <c r="F7" s="28"/>
      <c r="G7" s="44"/>
      <c r="H7" s="44"/>
      <c r="I7" s="44"/>
      <c r="J7" s="44"/>
      <c r="K7" s="44"/>
      <c r="L7" s="44"/>
      <c r="M7" s="23"/>
      <c r="N7" s="23"/>
      <c r="O7" s="23"/>
      <c r="P7" s="23"/>
      <c r="Q7" s="23"/>
      <c r="R7" s="23"/>
      <c r="S7" s="46"/>
      <c r="T7" s="26"/>
      <c r="U7" s="27"/>
      <c r="V7" s="27"/>
      <c r="W7" s="27"/>
    </row>
    <row r="8" spans="2:23" s="18" customFormat="1" ht="40.049999999999997" customHeight="1">
      <c r="B8" s="19">
        <v>2</v>
      </c>
      <c r="C8" s="28"/>
      <c r="D8" s="28"/>
      <c r="E8" s="28"/>
      <c r="F8" s="28"/>
      <c r="G8" s="44"/>
      <c r="H8" s="44"/>
      <c r="I8" s="44"/>
      <c r="J8" s="44"/>
      <c r="K8" s="44"/>
      <c r="L8" s="44"/>
      <c r="M8" s="23"/>
      <c r="N8" s="23"/>
      <c r="O8" s="23"/>
      <c r="P8" s="23"/>
      <c r="Q8" s="23"/>
      <c r="R8" s="23"/>
      <c r="S8" s="47"/>
      <c r="T8" s="26"/>
      <c r="U8" s="27"/>
      <c r="V8" s="27"/>
      <c r="W8" s="27"/>
    </row>
    <row r="9" spans="2:23" s="18" customFormat="1" ht="39.9" customHeight="1">
      <c r="B9" s="19">
        <v>3</v>
      </c>
      <c r="C9" s="28"/>
      <c r="D9" s="28"/>
      <c r="E9" s="28"/>
      <c r="F9" s="28"/>
      <c r="G9" s="21"/>
      <c r="H9" s="23"/>
      <c r="I9" s="23"/>
      <c r="J9" s="25"/>
      <c r="K9" s="26"/>
      <c r="L9" s="27"/>
      <c r="M9" s="27"/>
      <c r="N9" s="27"/>
      <c r="O9" s="27"/>
      <c r="P9" s="27"/>
      <c r="Q9" s="27"/>
      <c r="R9" s="27"/>
      <c r="S9" s="27"/>
      <c r="T9" s="27"/>
    </row>
    <row r="10" spans="2:23" s="18" customFormat="1" ht="39.9" customHeight="1">
      <c r="B10" s="19">
        <v>4</v>
      </c>
      <c r="C10" s="28"/>
      <c r="D10" s="28"/>
      <c r="E10" s="28"/>
      <c r="F10" s="28"/>
      <c r="G10" s="21"/>
      <c r="H10" s="23"/>
      <c r="I10" s="23"/>
      <c r="J10" s="25"/>
      <c r="K10" s="26"/>
      <c r="L10" s="27"/>
      <c r="M10" s="27"/>
      <c r="N10" s="27"/>
      <c r="O10" s="27"/>
      <c r="P10" s="27"/>
      <c r="Q10" s="27"/>
      <c r="R10" s="27"/>
      <c r="S10" s="27"/>
      <c r="T10" s="27"/>
    </row>
    <row r="11" spans="2:23" s="18" customFormat="1" ht="39.9" customHeight="1">
      <c r="B11" s="19">
        <v>5</v>
      </c>
      <c r="C11" s="28"/>
      <c r="D11" s="28"/>
      <c r="E11" s="28"/>
      <c r="F11" s="28"/>
      <c r="G11" s="21"/>
      <c r="H11" s="23"/>
      <c r="I11" s="23"/>
      <c r="J11" s="25"/>
      <c r="K11" s="26"/>
      <c r="L11" s="27"/>
      <c r="M11" s="27"/>
      <c r="N11" s="27"/>
      <c r="O11" s="27"/>
      <c r="P11" s="27"/>
      <c r="Q11" s="27"/>
      <c r="R11" s="27"/>
      <c r="S11" s="27"/>
      <c r="T11" s="27"/>
    </row>
    <row r="143" spans="11:14">
      <c r="K143" s="14">
        <v>2.3400000000000001E-2</v>
      </c>
      <c r="L143" s="14">
        <v>2.29E-2</v>
      </c>
      <c r="M143" s="14">
        <v>1.6299999999999999E-2</v>
      </c>
      <c r="N143" s="14">
        <v>2.1399999999999864E-2</v>
      </c>
    </row>
    <row r="144" spans="11:14">
      <c r="K144" s="14">
        <v>3.8043999999999998</v>
      </c>
      <c r="L144" s="14">
        <v>3.8050000000000002</v>
      </c>
      <c r="M144" s="14">
        <v>3.8065000000000002</v>
      </c>
      <c r="N144" s="14">
        <v>3.8069999999999999</v>
      </c>
    </row>
    <row r="145" spans="11:14">
      <c r="K145" s="14">
        <v>3.8022999999999998</v>
      </c>
      <c r="L145" s="14">
        <v>3.8048000000000002</v>
      </c>
      <c r="M145" s="14">
        <v>3.8027000000000002</v>
      </c>
      <c r="N145" s="14">
        <v>3.7972999999999999</v>
      </c>
    </row>
    <row r="146" spans="11:14">
      <c r="K146" s="14">
        <v>1.1999999999999999E-3</v>
      </c>
      <c r="L146" s="14">
        <v>1.8E-3</v>
      </c>
      <c r="M146" s="14">
        <v>1.1000000000000001E-3</v>
      </c>
      <c r="N146" s="14">
        <v>1.6000000000000001E-3</v>
      </c>
    </row>
    <row r="147" spans="11:14">
      <c r="K147" s="14">
        <v>3.8309000000000002</v>
      </c>
      <c r="L147" s="14">
        <v>3.8290000000000002</v>
      </c>
      <c r="M147" s="14">
        <v>3.8308</v>
      </c>
      <c r="N147" s="14">
        <v>3.8304999999999998</v>
      </c>
    </row>
    <row r="148" spans="11:14">
      <c r="K148" s="14">
        <v>3.8237000000000001</v>
      </c>
      <c r="L148" s="14">
        <v>3.8235999999999999</v>
      </c>
      <c r="M148" s="14">
        <v>3.8233999999999999</v>
      </c>
      <c r="N148" s="14">
        <v>3.8250000000000002</v>
      </c>
    </row>
    <row r="149" spans="11:14">
      <c r="K149" s="14">
        <v>3.7000000000000002E-3</v>
      </c>
      <c r="L149" s="14">
        <v>2.8E-3</v>
      </c>
      <c r="M149" s="14">
        <v>2.3E-3</v>
      </c>
      <c r="N149" s="14">
        <v>1.9E-3</v>
      </c>
    </row>
    <row r="150" spans="11:14">
      <c r="K150" s="14">
        <v>2.3E-3</v>
      </c>
      <c r="L150" s="14">
        <v>2E-3</v>
      </c>
      <c r="M150" s="14">
        <v>1.9E-3</v>
      </c>
      <c r="N150" s="14">
        <v>2.3E-3</v>
      </c>
    </row>
    <row r="151" spans="11:14">
      <c r="K151" s="14">
        <v>4.1000000000000003E-3</v>
      </c>
      <c r="L151" s="14">
        <v>3.3E-3</v>
      </c>
      <c r="M151" s="14">
        <v>4.0000000000000001E-3</v>
      </c>
      <c r="N151" s="14">
        <v>4.8999999999999998E-3</v>
      </c>
    </row>
    <row r="152" spans="11:14">
      <c r="K152" s="14">
        <v>1.9E-3</v>
      </c>
      <c r="L152" s="14">
        <v>2E-3</v>
      </c>
      <c r="M152" s="14">
        <v>2.3E-3</v>
      </c>
      <c r="N152" s="14">
        <v>1.6999999999999999E-3</v>
      </c>
    </row>
    <row r="153" spans="11:14">
      <c r="K153" s="14">
        <v>1.6000000000000001E-3</v>
      </c>
      <c r="L153" s="14">
        <v>1.6000000000000001E-3</v>
      </c>
      <c r="M153" s="14">
        <v>1.5E-3</v>
      </c>
      <c r="N153" s="14">
        <v>1.8E-3</v>
      </c>
    </row>
    <row r="154" spans="11:14">
      <c r="K154" s="14">
        <v>3.8999999999999998E-3</v>
      </c>
      <c r="L154" s="14">
        <v>3.2000000000000002E-3</v>
      </c>
      <c r="M154" s="14">
        <v>3.7000000000000002E-3</v>
      </c>
      <c r="N154" s="14">
        <v>3.8E-3</v>
      </c>
    </row>
    <row r="155" spans="11:14">
      <c r="K155" s="14">
        <v>8.5000000000000006E-3</v>
      </c>
      <c r="L155" s="14">
        <v>8.0999999999999996E-3</v>
      </c>
      <c r="M155" s="14">
        <v>8.0000000000000002E-3</v>
      </c>
      <c r="N155" s="14">
        <v>3.3999999999999998E-3</v>
      </c>
    </row>
    <row r="156" spans="11:14">
      <c r="K156" s="14">
        <v>1.8100000000000002E-2</v>
      </c>
      <c r="L156" s="14">
        <v>1.6899999999999998E-2</v>
      </c>
      <c r="M156" s="14">
        <v>1.7999999999999999E-2</v>
      </c>
      <c r="N156" s="14">
        <v>1.89E-2</v>
      </c>
    </row>
    <row r="157" spans="11:14">
      <c r="K157" s="14">
        <v>18.197800000000001</v>
      </c>
      <c r="L157" s="14">
        <v>18.203600000000002</v>
      </c>
      <c r="M157" s="14">
        <v>18.202000000000002</v>
      </c>
      <c r="N157" s="14">
        <v>18.2043</v>
      </c>
    </row>
    <row r="158" spans="11:14">
      <c r="K158" s="14">
        <v>18.195499999999999</v>
      </c>
      <c r="L158" s="14">
        <v>18.198699999999999</v>
      </c>
      <c r="M158" s="14">
        <v>18.1982</v>
      </c>
      <c r="N158" s="14">
        <v>18.199400000000001</v>
      </c>
    </row>
    <row r="159" spans="11:14">
      <c r="K159" s="14">
        <v>18.203800000000001</v>
      </c>
      <c r="L159" s="14">
        <v>18.204699999999999</v>
      </c>
      <c r="M159" s="14">
        <v>18.204599999999999</v>
      </c>
      <c r="N159" s="14">
        <v>18.207699999999999</v>
      </c>
    </row>
    <row r="160" spans="11:14">
      <c r="K160" s="14">
        <v>17.216000000000001</v>
      </c>
      <c r="L160" s="14">
        <v>17.2149</v>
      </c>
      <c r="M160" s="14">
        <v>17.213200000000001</v>
      </c>
      <c r="N160" s="14">
        <v>17.211500000000001</v>
      </c>
    </row>
    <row r="161" spans="11:14">
      <c r="K161" s="14">
        <v>14.5411</v>
      </c>
      <c r="L161" s="14">
        <v>14.541700000000001</v>
      </c>
      <c r="M161" s="14">
        <v>14.543200000000001</v>
      </c>
      <c r="N161" s="14">
        <v>14.5487</v>
      </c>
    </row>
    <row r="162" spans="11:14">
      <c r="K162" s="14">
        <v>3.8601999999999999</v>
      </c>
      <c r="L162" s="14">
        <v>3.8622999999999998</v>
      </c>
      <c r="M162" s="14">
        <v>3.8601000000000001</v>
      </c>
      <c r="N162" s="14">
        <v>3.8603000000000001</v>
      </c>
    </row>
    <row r="163" spans="11:14">
      <c r="K163" s="14">
        <v>7.7363999999999997</v>
      </c>
      <c r="L163" s="14">
        <v>7.7366999999999999</v>
      </c>
      <c r="M163" s="14">
        <v>7.7394999999999996</v>
      </c>
      <c r="N163" s="14">
        <v>7.7366000000000001</v>
      </c>
    </row>
    <row r="164" spans="11:14">
      <c r="K164" s="14">
        <v>7.7245999999999997</v>
      </c>
      <c r="L164" s="14">
        <v>7.7236000000000002</v>
      </c>
      <c r="M164" s="14">
        <v>7.7252999999999998</v>
      </c>
      <c r="N164" s="14">
        <v>7.7263000000000002</v>
      </c>
    </row>
    <row r="165" spans="11:14">
      <c r="K165" s="14">
        <v>9.0328999999999997</v>
      </c>
      <c r="L165" s="14">
        <v>9.0351999999999997</v>
      </c>
      <c r="M165" s="14">
        <v>9.0253999999999994</v>
      </c>
      <c r="N165" s="14">
        <v>9.0373999999999999</v>
      </c>
    </row>
    <row r="166" spans="11:14">
      <c r="K166" s="14">
        <v>22.351099999999999</v>
      </c>
      <c r="L166" s="14">
        <v>22.352799999999998</v>
      </c>
      <c r="M166" s="14">
        <v>22.3537</v>
      </c>
      <c r="N166" s="14">
        <v>22.365100000000002</v>
      </c>
    </row>
    <row r="167" spans="11:14">
      <c r="K167" s="14">
        <v>20.3459</v>
      </c>
      <c r="L167" s="14">
        <v>20.349699999999999</v>
      </c>
      <c r="M167" s="14">
        <v>20.345199999999998</v>
      </c>
      <c r="N167" s="14">
        <v>20.345800000000001</v>
      </c>
    </row>
    <row r="168" spans="11:14">
      <c r="K168" s="14">
        <v>21.7639</v>
      </c>
      <c r="L168" s="14">
        <v>21.763100000000001</v>
      </c>
      <c r="M168" s="14">
        <v>21.7637</v>
      </c>
      <c r="N168" s="14">
        <v>21.765999999999998</v>
      </c>
    </row>
    <row r="169" spans="11:14">
      <c r="K169" s="14">
        <v>7.8285</v>
      </c>
      <c r="L169" s="14">
        <v>7.8338999999999999</v>
      </c>
      <c r="M169" s="14">
        <v>7.8289999999999997</v>
      </c>
      <c r="N169" s="14">
        <v>7.8335999999999997</v>
      </c>
    </row>
    <row r="170" spans="11:14">
      <c r="K170" s="14">
        <v>7.8151000000000002</v>
      </c>
      <c r="L170" s="14">
        <v>7.8173000000000004</v>
      </c>
      <c r="M170" s="14">
        <v>7.8125999999999998</v>
      </c>
      <c r="N170" s="14">
        <v>7.8223000000000003</v>
      </c>
    </row>
    <row r="171" spans="11:14">
      <c r="K171" s="14">
        <v>21.118600000000001</v>
      </c>
      <c r="L171" s="14">
        <v>21.1264</v>
      </c>
      <c r="M171" s="14">
        <v>21.126899999999999</v>
      </c>
      <c r="N171" s="14">
        <v>21.134599999999999</v>
      </c>
    </row>
    <row r="172" spans="11:14">
      <c r="K172" s="14">
        <v>21.1295</v>
      </c>
      <c r="L172" s="14">
        <v>21.1295</v>
      </c>
      <c r="M172" s="14">
        <v>21.135100000000001</v>
      </c>
      <c r="N172" s="14">
        <v>21.133700000000001</v>
      </c>
    </row>
    <row r="173" spans="11:14">
      <c r="K173" s="14">
        <v>21.129100000000001</v>
      </c>
      <c r="L173" s="14">
        <v>21.128900000000002</v>
      </c>
      <c r="M173" s="14">
        <v>21.133099999999999</v>
      </c>
      <c r="N173" s="14">
        <v>21.128299999999999</v>
      </c>
    </row>
    <row r="174" spans="11:14">
      <c r="K174" s="14">
        <v>21.490200000000002</v>
      </c>
      <c r="L174" s="14">
        <v>21.495000000000001</v>
      </c>
      <c r="M174" s="14">
        <v>21.491399999999999</v>
      </c>
      <c r="N174" s="14">
        <v>21.490200000000002</v>
      </c>
    </row>
    <row r="175" spans="11:14">
      <c r="K175" s="14">
        <v>21.500399999999999</v>
      </c>
      <c r="L175" s="14">
        <v>21.504100000000001</v>
      </c>
      <c r="M175" s="14">
        <v>21.501000000000001</v>
      </c>
      <c r="N175" s="14">
        <v>21.506399999999999</v>
      </c>
    </row>
    <row r="176" spans="11:14">
      <c r="K176" s="14">
        <v>16.889800000000001</v>
      </c>
      <c r="L176" s="14">
        <v>16.8887</v>
      </c>
      <c r="M176" s="14">
        <v>16.888300000000001</v>
      </c>
      <c r="N176" s="14">
        <v>16.881699999999999</v>
      </c>
    </row>
    <row r="177" spans="11:14">
      <c r="K177" s="14">
        <v>16.883700000000001</v>
      </c>
      <c r="L177" s="14">
        <v>16.8843</v>
      </c>
      <c r="M177" s="14">
        <v>16.885400000000001</v>
      </c>
      <c r="N177" s="14">
        <v>16.8825</v>
      </c>
    </row>
    <row r="178" spans="11:14">
      <c r="K178" s="14">
        <v>16.8901</v>
      </c>
      <c r="L178" s="14">
        <v>16.892900000000001</v>
      </c>
      <c r="M178" s="14">
        <v>16.893000000000001</v>
      </c>
      <c r="N178" s="14">
        <v>16.893799999999999</v>
      </c>
    </row>
    <row r="179" spans="11:14">
      <c r="K179" s="14">
        <v>1.5369999999999999</v>
      </c>
      <c r="L179" s="14">
        <v>1.5390999999999999</v>
      </c>
      <c r="M179" s="14">
        <v>1.5366</v>
      </c>
      <c r="N179" s="14">
        <v>1.5319</v>
      </c>
    </row>
    <row r="180" spans="11:14">
      <c r="K180" s="14">
        <v>1.5287999999999999</v>
      </c>
      <c r="L180" s="14">
        <v>1.5324</v>
      </c>
      <c r="M180" s="14">
        <v>1.5294000000000001</v>
      </c>
      <c r="N180" s="14">
        <v>1.5378000000000001</v>
      </c>
    </row>
    <row r="181" spans="11:14">
      <c r="K181" s="14">
        <v>0.73799999999999999</v>
      </c>
      <c r="L181" s="14">
        <v>0.74129999999999996</v>
      </c>
      <c r="M181" s="14">
        <v>0.73870000000000002</v>
      </c>
      <c r="N181" s="14">
        <v>0.73460000000000003</v>
      </c>
    </row>
    <row r="182" spans="11:14">
      <c r="K182" s="14">
        <v>0.93440000000000001</v>
      </c>
      <c r="L182" s="14">
        <v>0.9355</v>
      </c>
      <c r="M182" s="14">
        <v>0.9345</v>
      </c>
      <c r="N182" s="14">
        <v>0.94310000000000005</v>
      </c>
    </row>
    <row r="183" spans="11:14">
      <c r="K183" s="14">
        <v>0.9304</v>
      </c>
      <c r="L183" s="14">
        <v>0.92859999999999998</v>
      </c>
      <c r="M183" s="14">
        <v>0.93100000000000005</v>
      </c>
      <c r="N183" s="14">
        <v>0.93159999999999998</v>
      </c>
    </row>
    <row r="184" spans="11:14">
      <c r="K184" s="14">
        <v>0.93</v>
      </c>
      <c r="L184" s="14">
        <v>0.92900000000000005</v>
      </c>
      <c r="M184" s="14">
        <v>0.93089999999999995</v>
      </c>
      <c r="N184" s="14">
        <v>0.93530000000000002</v>
      </c>
    </row>
    <row r="185" spans="11:14">
      <c r="K185" s="14">
        <v>0.93459999999999999</v>
      </c>
      <c r="L185" s="14">
        <v>0.93130000000000002</v>
      </c>
      <c r="M185" s="14">
        <v>0.93269999999999997</v>
      </c>
      <c r="N185" s="14">
        <v>0.93889999999999996</v>
      </c>
    </row>
    <row r="186" spans="11:14">
      <c r="K186" s="14">
        <v>0.93679999999999997</v>
      </c>
      <c r="L186" s="14">
        <v>0.93510000000000004</v>
      </c>
      <c r="M186" s="14">
        <v>0.93430000000000002</v>
      </c>
      <c r="N186" s="14">
        <v>0.94040000000000001</v>
      </c>
    </row>
    <row r="187" spans="11:14">
      <c r="K187" s="14">
        <v>16.815899999999999</v>
      </c>
      <c r="L187" s="14">
        <v>16.8157</v>
      </c>
      <c r="M187" s="14">
        <v>16.817</v>
      </c>
      <c r="N187" s="14">
        <v>16.815799999999999</v>
      </c>
    </row>
    <row r="188" spans="11:14">
      <c r="K188" s="14">
        <v>0.40550000000000003</v>
      </c>
      <c r="L188" s="14">
        <v>0.40579999999999999</v>
      </c>
      <c r="M188" s="14">
        <v>0.40479999999999999</v>
      </c>
      <c r="N188" s="14">
        <v>0.40649999999999997</v>
      </c>
    </row>
    <row r="189" spans="11:14">
      <c r="K189" s="14">
        <v>9.9000000000000008E-3</v>
      </c>
      <c r="L189" s="14">
        <v>1.04E-2</v>
      </c>
      <c r="M189" s="14">
        <v>2.4E-2</v>
      </c>
      <c r="N189" s="14">
        <v>1.34E-2</v>
      </c>
    </row>
    <row r="190" spans="11:14">
      <c r="K190" s="14">
        <v>14.1487</v>
      </c>
      <c r="L190" s="14">
        <v>14.1501</v>
      </c>
      <c r="M190" s="14">
        <v>14.148400000000001</v>
      </c>
      <c r="N190" s="14">
        <v>14.143599999999999</v>
      </c>
    </row>
    <row r="191" spans="11:14">
      <c r="K191" s="14">
        <v>4.4391999999999996</v>
      </c>
      <c r="L191" s="14">
        <v>4.4429999999999996</v>
      </c>
      <c r="M191" s="14">
        <v>4.4413999999999998</v>
      </c>
      <c r="N191" s="14">
        <v>4.4459999999999997</v>
      </c>
    </row>
    <row r="192" spans="11:14">
      <c r="K192" s="14">
        <v>18.284199999999998</v>
      </c>
      <c r="L192" s="14">
        <v>18.282800000000002</v>
      </c>
      <c r="M192" s="14">
        <v>18.282499999999999</v>
      </c>
      <c r="N192" s="14">
        <v>18.293600000000001</v>
      </c>
    </row>
    <row r="193" spans="11:14">
      <c r="K193" s="14">
        <v>4.3052999999999999</v>
      </c>
      <c r="L193" s="14">
        <v>4.3064999999999998</v>
      </c>
      <c r="M193" s="14">
        <v>4.3094999999999999</v>
      </c>
      <c r="N193" s="14">
        <v>4.3112000000000004</v>
      </c>
    </row>
    <row r="194" spans="11:14">
      <c r="K194" s="14">
        <v>4.3132999999999999</v>
      </c>
      <c r="L194" s="14">
        <v>4.3116000000000003</v>
      </c>
      <c r="M194" s="14">
        <v>4.3146000000000004</v>
      </c>
      <c r="N194" s="14">
        <v>4.3170000000000002</v>
      </c>
    </row>
    <row r="195" spans="11:14">
      <c r="K195" s="14">
        <v>4.3164999999999996</v>
      </c>
      <c r="L195" s="14">
        <v>4.3163</v>
      </c>
      <c r="M195" s="14">
        <v>4.3136999999999999</v>
      </c>
      <c r="N195" s="14">
        <v>4.3109999999999999</v>
      </c>
    </row>
    <row r="196" spans="11:14">
      <c r="K196" s="14">
        <v>4.3202999999999996</v>
      </c>
      <c r="L196" s="14">
        <v>4.3207000000000004</v>
      </c>
      <c r="M196" s="14">
        <v>4.3152999999999997</v>
      </c>
      <c r="N196" s="14">
        <v>4.3105000000000002</v>
      </c>
    </row>
    <row r="197" spans="11:14">
      <c r="K197" s="14">
        <v>4.3305999999999996</v>
      </c>
      <c r="L197" s="14">
        <v>4.3310000000000004</v>
      </c>
      <c r="M197" s="14">
        <v>4.3259999999999996</v>
      </c>
      <c r="N197" s="14">
        <v>4.3253000000000004</v>
      </c>
    </row>
    <row r="198" spans="11:14">
      <c r="K198" s="14">
        <v>4.3227000000000002</v>
      </c>
      <c r="L198" s="14">
        <v>4.3236999999999997</v>
      </c>
      <c r="M198" s="14">
        <v>4.3228</v>
      </c>
      <c r="N198" s="14">
        <v>4.3278999999999996</v>
      </c>
    </row>
    <row r="199" spans="11:14">
      <c r="K199" s="14">
        <v>0.2155</v>
      </c>
      <c r="L199" s="14">
        <v>0.21510000000000001</v>
      </c>
      <c r="M199" s="14">
        <v>0.21290000000000001</v>
      </c>
      <c r="N199" s="14">
        <v>0.20660000000000001</v>
      </c>
    </row>
    <row r="200" spans="11:14">
      <c r="K200" s="14">
        <v>21.387599999999999</v>
      </c>
      <c r="L200" s="14">
        <v>21.3857</v>
      </c>
      <c r="M200" s="14">
        <v>21.386700000000001</v>
      </c>
      <c r="N200" s="14">
        <v>21.3855</v>
      </c>
    </row>
    <row r="201" spans="11:14">
      <c r="K201" s="14">
        <v>3.9600000000000003E-2</v>
      </c>
      <c r="L201" s="14">
        <v>3.8199999999999998E-2</v>
      </c>
      <c r="M201" s="14">
        <v>4.0099999999999997E-2</v>
      </c>
      <c r="N201" s="14">
        <v>3.32E-2</v>
      </c>
    </row>
    <row r="202" spans="11:14">
      <c r="K202" s="14">
        <v>4.8399999999999999E-2</v>
      </c>
      <c r="L202" s="14">
        <v>4.2900000000000001E-2</v>
      </c>
      <c r="M202" s="14">
        <v>4.9000000000000002E-2</v>
      </c>
      <c r="N202" s="14">
        <v>4.6600000000000003E-2</v>
      </c>
    </row>
    <row r="203" spans="11:14">
      <c r="K203" s="14">
        <v>4.8500000000000001E-2</v>
      </c>
      <c r="L203" s="14">
        <v>4.5900000000000003E-2</v>
      </c>
      <c r="M203" s="14">
        <v>4.7E-2</v>
      </c>
      <c r="N203" s="14">
        <v>5.3100000000000001E-2</v>
      </c>
    </row>
    <row r="204" spans="11:14">
      <c r="K204" s="14">
        <v>4.3799999999999999E-2</v>
      </c>
      <c r="L204" s="14">
        <v>4.2999999999999997E-2</v>
      </c>
      <c r="M204" s="14">
        <v>4.1500000000000002E-2</v>
      </c>
      <c r="N204" s="14">
        <v>3.3399999999999999E-2</v>
      </c>
    </row>
    <row r="205" spans="11:14">
      <c r="K205" s="14">
        <v>5.3199999999999997E-2</v>
      </c>
      <c r="L205" s="14">
        <v>5.33E-2</v>
      </c>
      <c r="M205" s="14">
        <v>5.0900000000000001E-2</v>
      </c>
      <c r="N205" s="14">
        <v>4.6199999999999998E-2</v>
      </c>
    </row>
    <row r="206" spans="11:14">
      <c r="K206" s="14">
        <v>4.6899999999999997E-2</v>
      </c>
      <c r="L206" s="14">
        <v>4.7600000000000003E-2</v>
      </c>
      <c r="M206" s="14">
        <v>4.6600000000000003E-2</v>
      </c>
      <c r="N206" s="14">
        <v>5.0299999999999997E-2</v>
      </c>
    </row>
    <row r="207" spans="11:14">
      <c r="K207" s="14">
        <v>1.7894000000000001</v>
      </c>
      <c r="L207" s="14">
        <v>1.7887999999999999</v>
      </c>
      <c r="M207" s="14">
        <v>1.7878000000000001</v>
      </c>
      <c r="N207" s="14">
        <v>1.7855000000000001</v>
      </c>
    </row>
  </sheetData>
  <mergeCells count="15">
    <mergeCell ref="B4:T4"/>
    <mergeCell ref="U4:W4"/>
    <mergeCell ref="B5:B6"/>
    <mergeCell ref="C5:C6"/>
    <mergeCell ref="D5:D6"/>
    <mergeCell ref="E5:E6"/>
    <mergeCell ref="G5:I5"/>
    <mergeCell ref="J5:L5"/>
    <mergeCell ref="M5:R5"/>
    <mergeCell ref="S5:S6"/>
    <mergeCell ref="T5:T6"/>
    <mergeCell ref="U5:U6"/>
    <mergeCell ref="V5:V6"/>
    <mergeCell ref="W5:W6"/>
    <mergeCell ref="F5:F6"/>
  </mergeCells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B1D3-E63B-A540-9721-8DA1120BD80A}">
  <sheetPr codeName="Sheet7"/>
  <dimension ref="B2:W16"/>
  <sheetViews>
    <sheetView showGridLines="0" zoomScaleNormal="100" workbookViewId="0">
      <selection activeCell="F13" sqref="F13"/>
    </sheetView>
  </sheetViews>
  <sheetFormatPr defaultColWidth="11" defaultRowHeight="17.399999999999999"/>
  <cols>
    <col min="1" max="1" width="1.453125" style="14" customWidth="1"/>
    <col min="2" max="2" width="7.36328125" style="14" customWidth="1"/>
    <col min="3" max="3" width="15.90625" style="13" customWidth="1"/>
    <col min="4" max="4" width="15.90625" style="14" customWidth="1"/>
    <col min="5" max="6" width="30.90625" style="14" customWidth="1"/>
    <col min="7" max="8" width="13" style="14" customWidth="1"/>
    <col min="9" max="9" width="13" style="13" customWidth="1"/>
    <col min="10" max="18" width="15.90625" style="14" customWidth="1"/>
    <col min="19" max="19" width="60.90625" style="15" customWidth="1"/>
    <col min="20" max="20" width="60.90625" style="14" customWidth="1"/>
    <col min="21" max="23" width="29.90625" style="14" customWidth="1"/>
    <col min="24" max="24" width="11" style="14"/>
    <col min="25" max="25" width="27.6328125" style="14" bestFit="1" customWidth="1"/>
    <col min="26" max="16384" width="11" style="14"/>
  </cols>
  <sheetData>
    <row r="2" spans="2:23" ht="39.9" customHeight="1">
      <c r="B2" s="17" t="s">
        <v>51</v>
      </c>
      <c r="C2" s="12"/>
      <c r="D2" s="12"/>
      <c r="E2" s="12"/>
      <c r="F2" s="12"/>
      <c r="G2" s="12"/>
      <c r="H2" s="12"/>
    </row>
    <row r="3" spans="2:23" ht="18" customHeight="1">
      <c r="B3" s="12"/>
      <c r="C3" s="12"/>
      <c r="D3" s="12"/>
      <c r="E3" s="12"/>
      <c r="F3" s="12"/>
      <c r="G3" s="12"/>
      <c r="H3" s="12"/>
    </row>
    <row r="4" spans="2:23" s="18" customFormat="1" ht="18.899999999999999" customHeight="1">
      <c r="B4" s="174" t="s">
        <v>15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5" t="s">
        <v>39</v>
      </c>
      <c r="V4" s="175"/>
      <c r="W4" s="175"/>
    </row>
    <row r="5" spans="2:23" s="16" customFormat="1" ht="20.100000000000001" customHeight="1">
      <c r="B5" s="173" t="s">
        <v>16</v>
      </c>
      <c r="C5" s="176" t="s">
        <v>40</v>
      </c>
      <c r="D5" s="176" t="s">
        <v>41</v>
      </c>
      <c r="E5" s="173" t="s">
        <v>34</v>
      </c>
      <c r="F5" s="173" t="s">
        <v>54</v>
      </c>
      <c r="G5" s="173" t="s">
        <v>42</v>
      </c>
      <c r="H5" s="173"/>
      <c r="I5" s="173"/>
      <c r="J5" s="173" t="s">
        <v>47</v>
      </c>
      <c r="K5" s="173"/>
      <c r="L5" s="173"/>
      <c r="M5" s="173" t="s">
        <v>50</v>
      </c>
      <c r="N5" s="173"/>
      <c r="O5" s="173"/>
      <c r="P5" s="173"/>
      <c r="Q5" s="173"/>
      <c r="R5" s="173"/>
      <c r="S5" s="173" t="s">
        <v>21</v>
      </c>
      <c r="T5" s="173" t="s">
        <v>22</v>
      </c>
      <c r="U5" s="173" t="s">
        <v>23</v>
      </c>
      <c r="V5" s="173" t="s">
        <v>24</v>
      </c>
      <c r="W5" s="173" t="s">
        <v>25</v>
      </c>
    </row>
    <row r="6" spans="2:23" s="16" customFormat="1" ht="20.100000000000001" customHeight="1">
      <c r="B6" s="173"/>
      <c r="C6" s="177"/>
      <c r="D6" s="177"/>
      <c r="E6" s="173"/>
      <c r="F6" s="173"/>
      <c r="G6" s="40" t="s">
        <v>43</v>
      </c>
      <c r="H6" s="40" t="s">
        <v>44</v>
      </c>
      <c r="I6" s="40" t="s">
        <v>45</v>
      </c>
      <c r="J6" s="40" t="s">
        <v>48</v>
      </c>
      <c r="K6" s="40" t="s">
        <v>49</v>
      </c>
      <c r="L6" s="40" t="s">
        <v>52</v>
      </c>
      <c r="M6" s="40" t="s">
        <v>43</v>
      </c>
      <c r="N6" s="40" t="s">
        <v>44</v>
      </c>
      <c r="O6" s="40" t="s">
        <v>45</v>
      </c>
      <c r="P6" s="40" t="s">
        <v>48</v>
      </c>
      <c r="Q6" s="40" t="s">
        <v>49</v>
      </c>
      <c r="R6" s="40" t="s">
        <v>52</v>
      </c>
      <c r="S6" s="173"/>
      <c r="T6" s="173"/>
      <c r="U6" s="173"/>
      <c r="V6" s="173"/>
      <c r="W6" s="173"/>
    </row>
    <row r="7" spans="2:23" s="18" customFormat="1" ht="39.9" customHeight="1">
      <c r="B7" s="19">
        <v>1</v>
      </c>
      <c r="C7" s="28"/>
      <c r="D7" s="21"/>
      <c r="E7" s="22"/>
      <c r="F7" s="22"/>
      <c r="G7" s="23"/>
      <c r="H7" s="23"/>
      <c r="I7" s="23"/>
      <c r="J7" s="24"/>
      <c r="K7" s="24"/>
      <c r="L7" s="23"/>
      <c r="M7" s="23"/>
      <c r="N7" s="23"/>
      <c r="O7" s="23"/>
      <c r="P7" s="23"/>
      <c r="Q7" s="23"/>
      <c r="R7" s="23"/>
      <c r="S7" s="25"/>
      <c r="T7" s="26"/>
      <c r="U7" s="27"/>
      <c r="V7" s="27"/>
      <c r="W7" s="27"/>
    </row>
    <row r="8" spans="2:23" s="18" customFormat="1" ht="39.9" customHeight="1">
      <c r="B8" s="19">
        <v>2</v>
      </c>
      <c r="C8" s="28"/>
      <c r="D8" s="21"/>
      <c r="E8" s="22"/>
      <c r="F8" s="22"/>
      <c r="G8" s="23"/>
      <c r="H8" s="23"/>
      <c r="I8" s="23"/>
      <c r="J8" s="24"/>
      <c r="K8" s="24"/>
      <c r="L8" s="23"/>
      <c r="M8" s="23"/>
      <c r="N8" s="23"/>
      <c r="O8" s="23"/>
      <c r="P8" s="23"/>
      <c r="Q8" s="23"/>
      <c r="R8" s="23"/>
      <c r="S8" s="25"/>
      <c r="T8" s="26"/>
      <c r="U8" s="27"/>
      <c r="V8" s="27"/>
      <c r="W8" s="27"/>
    </row>
    <row r="9" spans="2:23" s="18" customFormat="1" ht="39.9" customHeight="1">
      <c r="B9" s="19">
        <v>3</v>
      </c>
      <c r="C9" s="28"/>
      <c r="D9" s="21"/>
      <c r="E9" s="22"/>
      <c r="F9" s="22"/>
      <c r="G9" s="23"/>
      <c r="H9" s="23"/>
      <c r="I9" s="23"/>
      <c r="J9" s="24"/>
      <c r="K9" s="24"/>
      <c r="L9" s="23"/>
      <c r="M9" s="23"/>
      <c r="N9" s="23"/>
      <c r="O9" s="23"/>
      <c r="P9" s="23"/>
      <c r="Q9" s="23"/>
      <c r="R9" s="23"/>
      <c r="S9" s="25"/>
      <c r="T9" s="26"/>
      <c r="U9" s="27"/>
      <c r="V9" s="27"/>
      <c r="W9" s="27"/>
    </row>
    <row r="10" spans="2:23" s="18" customFormat="1" ht="39.9" customHeight="1">
      <c r="B10" s="19">
        <v>4</v>
      </c>
      <c r="C10" s="28"/>
      <c r="D10" s="21"/>
      <c r="E10" s="22"/>
      <c r="F10" s="22"/>
      <c r="G10" s="23"/>
      <c r="H10" s="23"/>
      <c r="I10" s="23"/>
      <c r="J10" s="24"/>
      <c r="K10" s="24"/>
      <c r="L10" s="23"/>
      <c r="M10" s="23"/>
      <c r="N10" s="23"/>
      <c r="O10" s="23"/>
      <c r="P10" s="23"/>
      <c r="Q10" s="23"/>
      <c r="R10" s="23"/>
      <c r="S10" s="25"/>
      <c r="T10" s="26"/>
      <c r="U10" s="27"/>
      <c r="V10" s="27"/>
      <c r="W10" s="27"/>
    </row>
    <row r="11" spans="2:23" s="18" customFormat="1" ht="39.9" customHeight="1">
      <c r="B11" s="19">
        <v>5</v>
      </c>
      <c r="C11" s="28"/>
      <c r="D11" s="21"/>
      <c r="E11" s="22"/>
      <c r="F11" s="22"/>
      <c r="G11" s="23"/>
      <c r="H11" s="23"/>
      <c r="I11" s="23"/>
      <c r="J11" s="24"/>
      <c r="K11" s="24"/>
      <c r="L11" s="23"/>
      <c r="M11" s="23"/>
      <c r="N11" s="23"/>
      <c r="O11" s="23"/>
      <c r="P11" s="23"/>
      <c r="Q11" s="23"/>
      <c r="R11" s="23"/>
      <c r="S11" s="25"/>
      <c r="T11" s="26"/>
      <c r="U11" s="27"/>
      <c r="V11" s="27"/>
      <c r="W11" s="27"/>
    </row>
    <row r="12" spans="2:23" s="18" customFormat="1" ht="39.9" customHeight="1">
      <c r="B12" s="19">
        <v>6</v>
      </c>
      <c r="C12" s="28"/>
      <c r="D12" s="21"/>
      <c r="E12" s="22"/>
      <c r="F12" s="22"/>
      <c r="G12" s="23"/>
      <c r="H12" s="23"/>
      <c r="I12" s="23"/>
      <c r="J12" s="24"/>
      <c r="K12" s="24"/>
      <c r="L12" s="23"/>
      <c r="M12" s="23"/>
      <c r="N12" s="23"/>
      <c r="O12" s="23"/>
      <c r="P12" s="23"/>
      <c r="Q12" s="23"/>
      <c r="R12" s="23"/>
      <c r="S12" s="25"/>
      <c r="T12" s="26"/>
      <c r="U12" s="27"/>
      <c r="V12" s="27"/>
      <c r="W12" s="27"/>
    </row>
    <row r="13" spans="2:23" s="18" customFormat="1" ht="39.9" customHeight="1">
      <c r="B13" s="19">
        <v>7</v>
      </c>
      <c r="C13" s="28"/>
      <c r="D13" s="21"/>
      <c r="E13" s="22"/>
      <c r="F13" s="22"/>
      <c r="G13" s="23"/>
      <c r="H13" s="23"/>
      <c r="I13" s="23"/>
      <c r="J13" s="24"/>
      <c r="K13" s="24"/>
      <c r="L13" s="23"/>
      <c r="M13" s="23"/>
      <c r="N13" s="23"/>
      <c r="O13" s="23"/>
      <c r="P13" s="23"/>
      <c r="Q13" s="23"/>
      <c r="R13" s="23"/>
      <c r="S13" s="25"/>
      <c r="T13" s="26"/>
      <c r="U13" s="27"/>
      <c r="V13" s="27"/>
      <c r="W13" s="27"/>
    </row>
    <row r="14" spans="2:23" s="18" customFormat="1" ht="39.9" customHeight="1">
      <c r="B14" s="19">
        <v>8</v>
      </c>
      <c r="C14" s="28"/>
      <c r="D14" s="21"/>
      <c r="E14" s="22"/>
      <c r="F14" s="22"/>
      <c r="G14" s="23"/>
      <c r="H14" s="23"/>
      <c r="I14" s="23"/>
      <c r="J14" s="24"/>
      <c r="K14" s="24"/>
      <c r="L14" s="23"/>
      <c r="M14" s="23"/>
      <c r="N14" s="23"/>
      <c r="O14" s="23"/>
      <c r="P14" s="23"/>
      <c r="Q14" s="23"/>
      <c r="R14" s="23"/>
      <c r="S14" s="25"/>
      <c r="T14" s="26"/>
      <c r="U14" s="27"/>
      <c r="V14" s="27"/>
      <c r="W14" s="27"/>
    </row>
    <row r="15" spans="2:23" s="18" customFormat="1" ht="39.9" customHeight="1">
      <c r="B15" s="19">
        <v>9</v>
      </c>
      <c r="C15" s="28"/>
      <c r="D15" s="21"/>
      <c r="E15" s="22"/>
      <c r="F15" s="22"/>
      <c r="G15" s="23"/>
      <c r="H15" s="23"/>
      <c r="I15" s="23"/>
      <c r="J15" s="24"/>
      <c r="K15" s="24"/>
      <c r="L15" s="23"/>
      <c r="M15" s="23"/>
      <c r="N15" s="23"/>
      <c r="O15" s="23"/>
      <c r="P15" s="23"/>
      <c r="Q15" s="23"/>
      <c r="R15" s="23"/>
      <c r="S15" s="25"/>
      <c r="T15" s="26"/>
      <c r="U15" s="27"/>
      <c r="V15" s="27"/>
      <c r="W15" s="27"/>
    </row>
    <row r="16" spans="2:23" s="18" customFormat="1" ht="39.9" customHeight="1">
      <c r="B16" s="19">
        <v>10</v>
      </c>
      <c r="C16" s="28"/>
      <c r="D16" s="21"/>
      <c r="E16" s="22"/>
      <c r="F16" s="22"/>
      <c r="G16" s="23"/>
      <c r="H16" s="23"/>
      <c r="I16" s="23"/>
      <c r="J16" s="24"/>
      <c r="K16" s="24"/>
      <c r="L16" s="23"/>
      <c r="M16" s="23"/>
      <c r="N16" s="23"/>
      <c r="O16" s="23"/>
      <c r="P16" s="23"/>
      <c r="Q16" s="23"/>
      <c r="R16" s="23"/>
      <c r="S16" s="25"/>
      <c r="T16" s="26"/>
      <c r="U16" s="27"/>
      <c r="V16" s="27"/>
      <c r="W16" s="27"/>
    </row>
  </sheetData>
  <mergeCells count="15">
    <mergeCell ref="B4:T4"/>
    <mergeCell ref="U4:W4"/>
    <mergeCell ref="B5:B6"/>
    <mergeCell ref="C5:C6"/>
    <mergeCell ref="D5:D6"/>
    <mergeCell ref="E5:E6"/>
    <mergeCell ref="G5:I5"/>
    <mergeCell ref="J5:L5"/>
    <mergeCell ref="M5:R5"/>
    <mergeCell ref="S5:S6"/>
    <mergeCell ref="T5:T6"/>
    <mergeCell ref="U5:U6"/>
    <mergeCell ref="V5:V6"/>
    <mergeCell ref="W5:W6"/>
    <mergeCell ref="F5:F6"/>
  </mergeCells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67AE-6B39-E042-B0D0-5A238E878898}">
  <sheetPr codeName="Sheet8"/>
  <dimension ref="B2:N10"/>
  <sheetViews>
    <sheetView showGridLines="0" zoomScaleNormal="100" workbookViewId="0">
      <selection activeCell="E18" sqref="E18"/>
    </sheetView>
  </sheetViews>
  <sheetFormatPr defaultColWidth="11" defaultRowHeight="17.399999999999999"/>
  <cols>
    <col min="1" max="1" width="1.453125" style="14" customWidth="1"/>
    <col min="2" max="2" width="7.36328125" style="14" customWidth="1"/>
    <col min="3" max="6" width="30.90625" style="13" customWidth="1"/>
    <col min="7" max="7" width="30.90625" style="14" customWidth="1"/>
    <col min="8" max="9" width="20.90625" style="14" customWidth="1"/>
    <col min="10" max="10" width="60.90625" style="15" customWidth="1"/>
    <col min="11" max="11" width="60.90625" style="14" customWidth="1"/>
    <col min="12" max="14" width="29.90625" style="14" customWidth="1"/>
    <col min="15" max="15" width="11" style="14"/>
    <col min="16" max="16" width="27.6328125" style="14" bestFit="1" customWidth="1"/>
    <col min="17" max="16384" width="11" style="14"/>
  </cols>
  <sheetData>
    <row r="2" spans="2:14" ht="39.9" customHeight="1">
      <c r="B2" s="17" t="s">
        <v>56</v>
      </c>
      <c r="C2" s="12"/>
      <c r="D2" s="12"/>
      <c r="E2" s="12"/>
      <c r="F2" s="12"/>
      <c r="G2" s="12"/>
      <c r="H2" s="12"/>
    </row>
    <row r="3" spans="2:14" ht="18" customHeight="1">
      <c r="B3" s="12"/>
      <c r="C3" s="12"/>
      <c r="D3" s="12"/>
      <c r="E3" s="12"/>
      <c r="F3" s="12"/>
      <c r="G3" s="12"/>
      <c r="H3" s="12"/>
    </row>
    <row r="4" spans="2:14" s="18" customFormat="1" ht="18.899999999999999" customHeight="1">
      <c r="B4" s="174" t="s">
        <v>15</v>
      </c>
      <c r="C4" s="174"/>
      <c r="D4" s="174"/>
      <c r="E4" s="174"/>
      <c r="F4" s="174"/>
      <c r="G4" s="174"/>
      <c r="H4" s="174"/>
      <c r="I4" s="174"/>
      <c r="J4" s="174"/>
      <c r="K4" s="174"/>
      <c r="L4" s="175" t="s">
        <v>39</v>
      </c>
      <c r="M4" s="175"/>
      <c r="N4" s="175"/>
    </row>
    <row r="5" spans="2:14" s="16" customFormat="1" ht="20.100000000000001" customHeight="1">
      <c r="B5" s="40" t="s">
        <v>16</v>
      </c>
      <c r="C5" s="41" t="s">
        <v>57</v>
      </c>
      <c r="D5" s="41" t="s">
        <v>59</v>
      </c>
      <c r="E5" s="41" t="s">
        <v>60</v>
      </c>
      <c r="F5" s="41" t="s">
        <v>61</v>
      </c>
      <c r="G5" s="41" t="s">
        <v>58</v>
      </c>
      <c r="H5" s="40" t="s">
        <v>42</v>
      </c>
      <c r="I5" s="40" t="s">
        <v>50</v>
      </c>
      <c r="J5" s="41" t="s">
        <v>21</v>
      </c>
      <c r="K5" s="41" t="s">
        <v>22</v>
      </c>
      <c r="L5" s="41" t="s">
        <v>23</v>
      </c>
      <c r="M5" s="41" t="s">
        <v>24</v>
      </c>
      <c r="N5" s="41" t="s">
        <v>25</v>
      </c>
    </row>
    <row r="6" spans="2:14" s="18" customFormat="1" ht="39.9" customHeight="1">
      <c r="B6" s="19">
        <v>1</v>
      </c>
      <c r="C6" s="20"/>
      <c r="D6" s="20"/>
      <c r="E6" s="20"/>
      <c r="F6" s="20"/>
      <c r="G6" s="21"/>
      <c r="H6" s="23"/>
      <c r="I6" s="23"/>
      <c r="J6" s="25"/>
      <c r="K6" s="26"/>
      <c r="L6" s="27"/>
      <c r="M6" s="27"/>
      <c r="N6" s="27"/>
    </row>
    <row r="7" spans="2:14" s="18" customFormat="1" ht="39.9" customHeight="1">
      <c r="B7" s="19">
        <v>2</v>
      </c>
      <c r="C7" s="28"/>
      <c r="D7" s="28"/>
      <c r="E7" s="28"/>
      <c r="F7" s="28"/>
      <c r="G7" s="21"/>
      <c r="H7" s="23"/>
      <c r="I7" s="23"/>
      <c r="J7" s="25"/>
      <c r="K7" s="26"/>
      <c r="L7" s="27"/>
      <c r="M7" s="27"/>
      <c r="N7" s="27"/>
    </row>
    <row r="8" spans="2:14" s="18" customFormat="1" ht="39.9" customHeight="1">
      <c r="B8" s="19">
        <v>3</v>
      </c>
      <c r="C8" s="28"/>
      <c r="D8" s="28"/>
      <c r="E8" s="28"/>
      <c r="F8" s="28"/>
      <c r="G8" s="21"/>
      <c r="H8" s="23"/>
      <c r="I8" s="23"/>
      <c r="J8" s="25"/>
      <c r="K8" s="26"/>
      <c r="L8" s="27"/>
      <c r="M8" s="27"/>
      <c r="N8" s="27"/>
    </row>
    <row r="9" spans="2:14" s="18" customFormat="1" ht="39.9" customHeight="1">
      <c r="B9" s="19">
        <v>4</v>
      </c>
      <c r="C9" s="28"/>
      <c r="D9" s="28"/>
      <c r="E9" s="28"/>
      <c r="F9" s="28"/>
      <c r="G9" s="21"/>
      <c r="H9" s="23"/>
      <c r="I9" s="23"/>
      <c r="J9" s="25"/>
      <c r="K9" s="26"/>
      <c r="L9" s="27"/>
      <c r="M9" s="27"/>
      <c r="N9" s="27"/>
    </row>
    <row r="10" spans="2:14" s="18" customFormat="1" ht="39.9" customHeight="1">
      <c r="B10" s="19">
        <v>5</v>
      </c>
      <c r="C10" s="28"/>
      <c r="D10" s="28"/>
      <c r="E10" s="28"/>
      <c r="F10" s="28"/>
      <c r="G10" s="21"/>
      <c r="H10" s="23"/>
      <c r="I10" s="23"/>
      <c r="J10" s="25"/>
      <c r="K10" s="26"/>
      <c r="L10" s="27"/>
      <c r="M10" s="27"/>
      <c r="N10" s="27"/>
    </row>
  </sheetData>
  <mergeCells count="2">
    <mergeCell ref="B4:K4"/>
    <mergeCell ref="L4:N4"/>
  </mergeCells>
  <phoneticPr fontId="1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8BCD0-18FC-2740-8B84-75776F8C6493}">
  <sheetPr codeName="Sheet9"/>
  <dimension ref="B2:E3"/>
  <sheetViews>
    <sheetView showGridLines="0" workbookViewId="0">
      <selection activeCell="E26" sqref="E26"/>
    </sheetView>
  </sheetViews>
  <sheetFormatPr defaultColWidth="11.54296875" defaultRowHeight="19.2"/>
  <cols>
    <col min="1" max="1" width="1.90625" customWidth="1"/>
    <col min="2" max="4" width="15.90625" customWidth="1"/>
    <col min="5" max="5" width="90.90625" customWidth="1"/>
  </cols>
  <sheetData>
    <row r="2" spans="2:5">
      <c r="B2" s="35" t="s">
        <v>62</v>
      </c>
      <c r="C2" s="35" t="s">
        <v>63</v>
      </c>
      <c r="D2" s="35" t="s">
        <v>64</v>
      </c>
      <c r="E2" s="35" t="s">
        <v>65</v>
      </c>
    </row>
    <row r="3" spans="2:5">
      <c r="B3" s="36">
        <v>1</v>
      </c>
      <c r="C3" s="39">
        <v>43315</v>
      </c>
      <c r="D3" s="37" t="s">
        <v>66</v>
      </c>
      <c r="E3" s="38" t="s">
        <v>67</v>
      </c>
    </row>
  </sheetData>
  <phoneticPr fontId="16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Waiver Summary</vt:lpstr>
      <vt:lpstr>Shipping Lot List</vt:lpstr>
      <vt:lpstr>FAI</vt:lpstr>
      <vt:lpstr>SPC</vt:lpstr>
      <vt:lpstr>Cosmetic Waivers</vt:lpstr>
      <vt:lpstr>Dimensional Waivers</vt:lpstr>
      <vt:lpstr>Functional Waivers</vt:lpstr>
      <vt:lpstr>Reliability Waivers</vt:lpstr>
      <vt:lpstr>Rev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Winter Test</cp:lastModifiedBy>
  <dcterms:created xsi:type="dcterms:W3CDTF">2018-08-03T17:39:04Z</dcterms:created>
  <dcterms:modified xsi:type="dcterms:W3CDTF">2024-01-19T05:33:04Z</dcterms:modified>
</cp:coreProperties>
</file>