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updateLinks="never"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\\192.168.1.135\품질\1. IT 사업부\Varo23-project\(Varo) 출하 검사 성적서\2.0\LGIT\양식\"/>
    </mc:Choice>
  </mc:AlternateContent>
  <xr:revisionPtr revIDLastSave="0" documentId="13_ncr:1_{AF572718-2E9C-4449-BE3D-7C5EE115F150}" xr6:coauthVersionLast="47" xr6:coauthVersionMax="47" xr10:uidLastSave="{00000000-0000-0000-0000-000000000000}"/>
  <bookViews>
    <workbookView xWindow="28680" yWindow="-120" windowWidth="29040" windowHeight="15720" activeTab="3" xr2:uid="{558B7DC1-779D-BB42-B43A-ED7A08375808}"/>
  </bookViews>
  <sheets>
    <sheet name="Waiver Summary" sheetId="5" r:id="rId1"/>
    <sheet name="Shipping Lot List" sheetId="12" r:id="rId2"/>
    <sheet name="FAI" sheetId="13" r:id="rId3"/>
    <sheet name="SPC" sheetId="14" r:id="rId4"/>
    <sheet name="Cosmetic Waivers" sheetId="2" r:id="rId5"/>
    <sheet name="Dimensional Waivers" sheetId="6" r:id="rId6"/>
    <sheet name="Functional Waivers" sheetId="7" r:id="rId7"/>
    <sheet name="Reliability Waivers" sheetId="8" r:id="rId8"/>
    <sheet name="Rev History" sheetId="1" r:id="rId9"/>
  </sheets>
  <definedNames>
    <definedName name="________XG2" hidden="1">{#N/A,#N/A,FALSE,"단축1";#N/A,#N/A,FALSE,"단축2";#N/A,#N/A,FALSE,"단축3";#N/A,#N/A,FALSE,"장축";#N/A,#N/A,FALSE,"4WD"}</definedName>
    <definedName name="______AS6" hidden="1">{#N/A,#N/A,FALSE,"Australien";#N/A,#N/A,FALSE,"Birmingham";#N/A,#N/A,FALSE,"Brasilien";#N/A,#N/A,FALSE,"Prag";#N/A,#N/A,FALSE,"Spanien";#N/A,#N/A,FALSE,"Malaysia ( Com)";#N/A,#N/A,FALSE,"Malaysia (Instr)"}</definedName>
    <definedName name="______XG2" hidden="1">{#N/A,#N/A,FALSE,"단축1";#N/A,#N/A,FALSE,"단축2";#N/A,#N/A,FALSE,"단축3";#N/A,#N/A,FALSE,"장축";#N/A,#N/A,FALSE,"4WD"}</definedName>
    <definedName name="_____XG2" hidden="1">{#N/A,#N/A,FALSE,"단축1";#N/A,#N/A,FALSE,"단축2";#N/A,#N/A,FALSE,"단축3";#N/A,#N/A,FALSE,"장축";#N/A,#N/A,FALSE,"4WD"}</definedName>
    <definedName name="____AS6" hidden="1">{#N/A,#N/A,FALSE,"Australien";#N/A,#N/A,FALSE,"Birmingham";#N/A,#N/A,FALSE,"Brasilien";#N/A,#N/A,FALSE,"Prag";#N/A,#N/A,FALSE,"Spanien";#N/A,#N/A,FALSE,"Malaysia ( Com)";#N/A,#N/A,FALSE,"Malaysia (Instr)"}</definedName>
    <definedName name="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LPS2" hidden="1">{#N/A,#N/A,FALSE,"단축1";#N/A,#N/A,FALSE,"단축2";#N/A,#N/A,FALSE,"단축3";#N/A,#N/A,FALSE,"장축";#N/A,#N/A,FALSE,"4WD"}</definedName>
    <definedName name="____PU7" hidden="1">{#N/A,#N/A,TRUE,"일정"}</definedName>
    <definedName name="____XG2" hidden="1">{#N/A,#N/A,FALSE,"단축1";#N/A,#N/A,FALSE,"단축2";#N/A,#N/A,FALSE,"단축3";#N/A,#N/A,FALSE,"장축";#N/A,#N/A,FALSE,"4WD"}</definedName>
    <definedName name="___A3" hidden="1">{#N/A,#N/A,FALSE,"단축1";#N/A,#N/A,FALSE,"단축2";#N/A,#N/A,FALSE,"단축3";#N/A,#N/A,FALSE,"장축";#N/A,#N/A,FALSE,"4WD"}</definedName>
    <definedName name="___AS6" hidden="1">{#N/A,#N/A,FALSE,"Australien";#N/A,#N/A,FALSE,"Birmingham";#N/A,#N/A,FALSE,"Brasilien";#N/A,#N/A,FALSE,"Prag";#N/A,#N/A,FALSE,"Spanien";#N/A,#N/A,FALSE,"Malaysia ( Com)";#N/A,#N/A,FALSE,"Malaysia (Instr)"}</definedName>
    <definedName name="___cp3" hidden="1">{#N/A,#N/A,FALSE,"신규dep";#N/A,#N/A,FALSE,"신규dep-금형상각후";#N/A,#N/A,FALSE,"신규dep-연구비상각후";#N/A,#N/A,FALSE,"신규dep-기계,공구상각후"}</definedName>
    <definedName name="___FG1" hidden="1">{#N/A,#N/A,FALSE,"단축1";#N/A,#N/A,FALSE,"단축2";#N/A,#N/A,FALSE,"단축3";#N/A,#N/A,FALSE,"장축";#N/A,#N/A,FALSE,"4WD"}</definedName>
    <definedName name="___k2" hidden="1">{#N/A,#N/A,FALSE,"Cst of Sales (2)"}</definedName>
    <definedName name="___LPS2" hidden="1">{#N/A,#N/A,FALSE,"단축1";#N/A,#N/A,FALSE,"단축2";#N/A,#N/A,FALSE,"단축3";#N/A,#N/A,FALSE,"장축";#N/A,#N/A,FALSE,"4WD"}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XG2" hidden="1">{#N/A,#N/A,FALSE,"단축1";#N/A,#N/A,FALSE,"단축2";#N/A,#N/A,FALSE,"단축3";#N/A,#N/A,FALSE,"장축";#N/A,#N/A,FALSE,"4WD"}</definedName>
    <definedName name="__AS6" hidden="1">{#N/A,#N/A,FALSE,"Australien";#N/A,#N/A,FALSE,"Birmingham";#N/A,#N/A,FALSE,"Brasilien";#N/A,#N/A,FALSE,"Prag";#N/A,#N/A,FALSE,"Spanien";#N/A,#N/A,FALSE,"Malaysia ( Com)";#N/A,#N/A,FALSE,"Malaysia (Instr)"}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cp3" hidden="1">{#N/A,#N/A,FALSE,"신규dep";#N/A,#N/A,FALSE,"신규dep-금형상각후";#N/A,#N/A,FALSE,"신규dep-연구비상각후";#N/A,#N/A,FALSE,"신규dep-기계,공구상각후"}</definedName>
    <definedName name="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FG1" hidden="1">{#N/A,#N/A,FALSE,"단축1";#N/A,#N/A,FALSE,"단축2";#N/A,#N/A,FALSE,"단축3";#N/A,#N/A,FALSE,"장축";#N/A,#N/A,FALSE,"4WD"}</definedName>
    <definedName name="_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2" hidden="1">{#N/A,#N/A,FALSE,"Cst of Sales (2)"}</definedName>
    <definedName name="__LPS2" hidden="1">{#N/A,#N/A,FALSE,"단축1";#N/A,#N/A,FALSE,"단축2";#N/A,#N/A,FALSE,"단축3";#N/A,#N/A,FALSE,"장축";#N/A,#N/A,FALSE,"4WD"}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PU7" hidden="1">{#N/A,#N/A,TRUE,"일정"}</definedName>
    <definedName name="__T2" hidden="1">{#N/A,#N/A,FALSE,"단축1";#N/A,#N/A,FALSE,"단축2";#N/A,#N/A,FALSE,"단축3";#N/A,#N/A,FALSE,"장축";#N/A,#N/A,FALSE,"4WD"}</definedName>
    <definedName name="__ws2" hidden="1">{#N/A,#N/A,FALSE,"단축1";#N/A,#N/A,FALSE,"단축2";#N/A,#N/A,FALSE,"단축3";#N/A,#N/A,FALSE,"장축";#N/A,#N/A,FALSE,"4WD"}</definedName>
    <definedName name="__XG2" hidden="1">{#N/A,#N/A,FALSE,"단축1";#N/A,#N/A,FALSE,"단축2";#N/A,#N/A,FALSE,"단축3";#N/A,#N/A,FALSE,"장축";#N/A,#N/A,FALSE,"4WD"}</definedName>
    <definedName name="_2____S" hidden="1">#REF!</definedName>
    <definedName name="_3____S" hidden="1">#REF!</definedName>
    <definedName name="_55cp3_" hidden="1">{#N/A,#N/A,FALSE,"신규dep";#N/A,#N/A,FALSE,"신규dep-금형상각후";#N/A,#N/A,FALSE,"신규dep-연구비상각후";#N/A,#N/A,FALSE,"신규dep-기계,공구상각후"}</definedName>
    <definedName name="_56cp3_" hidden="1">{#N/A,#N/A,FALSE,"신규dep";#N/A,#N/A,FALSE,"신규dep-금형상각후";#N/A,#N/A,FALSE,"신규dep-연구비상각후";#N/A,#N/A,FALSE,"신규dep-기계,공구상각후"}</definedName>
    <definedName name="_57FG1_" hidden="1">{#N/A,#N/A,FALSE,"단축1";#N/A,#N/A,FALSE,"단축2";#N/A,#N/A,FALSE,"단축3";#N/A,#N/A,FALSE,"장축";#N/A,#N/A,FALSE,"4WD"}</definedName>
    <definedName name="_58k2_" hidden="1">{#N/A,#N/A,FALSE,"Cst of Sales (2)"}</definedName>
    <definedName name="_59FG1_" hidden="1">{#N/A,#N/A,FALSE,"단축1";#N/A,#N/A,FALSE,"단축2";#N/A,#N/A,FALSE,"단축3";#N/A,#N/A,FALSE,"장축";#N/A,#N/A,FALSE,"4WD"}</definedName>
    <definedName name="_60k2_" hidden="1">{#N/A,#N/A,FALSE,"Cst of Sales (2)"}</definedName>
    <definedName name="_61T2_" hidden="1">{#N/A,#N/A,FALSE,"단축1";#N/A,#N/A,FALSE,"단축2";#N/A,#N/A,FALSE,"단축3";#N/A,#N/A,FALSE,"장축";#N/A,#N/A,FALSE,"4WD"}</definedName>
    <definedName name="_63T2_" hidden="1">{#N/A,#N/A,FALSE,"단축1";#N/A,#N/A,FALSE,"단축2";#N/A,#N/A,FALSE,"단축3";#N/A,#N/A,FALSE,"장축";#N/A,#N/A,FALSE,"4WD"}</definedName>
    <definedName name="_65____S" hidden="1">#REF!</definedName>
    <definedName name="_66__0_S" hidden="1">#REF!</definedName>
    <definedName name="_67____S" hidden="1">#REF!</definedName>
    <definedName name="_68__0_S" hidden="1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cp3" hidden="1">{#N/A,#N/A,FALSE,"신규dep";#N/A,#N/A,FALSE,"신규dep-금형상각후";#N/A,#N/A,FALSE,"신규dep-연구비상각후";#N/A,#N/A,FALSE,"신규dep-기계,공구상각후"}</definedName>
    <definedName name="_Dist_Bin" hidden="1">#REF!</definedName>
    <definedName name="_Dist_Values" hidden="1">#REF!</definedName>
    <definedName name="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FG1" hidden="1">{#N/A,#N/A,FALSE,"단축1";#N/A,#N/A,FALSE,"단축2";#N/A,#N/A,FALSE,"단축3";#N/A,#N/A,FALSE,"장축";#N/A,#N/A,FALSE,"4WD"}</definedName>
    <definedName name="_Fill" hidden="1">#REF!</definedName>
    <definedName name="_xlnm._FilterDatabase" hidden="1">#REF!</definedName>
    <definedName name="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2" hidden="1">{#N/A,#N/A,FALSE,"Cst of Sales (2)"}</definedName>
    <definedName name="_Key1" hidden="1">#REF!</definedName>
    <definedName name="_Key2" hidden="1">#REF!</definedName>
    <definedName name="_LPS2" hidden="1">{#N/A,#N/A,FALSE,"단축1";#N/A,#N/A,FALSE,"단축2";#N/A,#N/A,FALSE,"단축3";#N/A,#N/A,FALSE,"장축";#N/A,#N/A,FALSE,"4WD"}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rder1" hidden="1">255</definedName>
    <definedName name="_Order2" hidden="1">255</definedName>
    <definedName name="_Parse_Out" hidden="1">#REF!</definedName>
    <definedName name="_PU7" hidden="1">{#N/A,#N/A,TRUE,"일정"}</definedName>
    <definedName name="_Sort" hidden="1">#REF!</definedName>
    <definedName name="_T2" hidden="1">{#N/A,#N/A,FALSE,"단축1";#N/A,#N/A,FALSE,"단축2";#N/A,#N/A,FALSE,"단축3";#N/A,#N/A,FALSE,"장축";#N/A,#N/A,FALSE,"4WD"}</definedName>
    <definedName name="_XG2" hidden="1">{#N/A,#N/A,FALSE,"단축1";#N/A,#N/A,FALSE,"단축2";#N/A,#N/A,FALSE,"단축3";#N/A,#N/A,FALSE,"장축";#N/A,#N/A,FALSE,"4WD"}</definedName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1_00근거" hidden="1">{#N/A,#N/A,FALSE,"단축1";#N/A,#N/A,FALSE,"단축2";#N/A,#N/A,FALSE,"단축3";#N/A,#N/A,FALSE,"장축";#N/A,#N/A,FALSE,"4WD"}</definedName>
    <definedName name="AAAAAAA" hidden="1">{#N/A,#N/A,TRUE,"Y생산";#N/A,#N/A,TRUE,"Y판매";#N/A,#N/A,TRUE,"Y총물량";#N/A,#N/A,TRUE,"Y능력";#N/A,#N/A,TRUE,"YKD"}</definedName>
    <definedName name="AAQSAS" hidden="1">{#N/A,#N/A,FALSE,"단축1";#N/A,#N/A,FALSE,"단축2";#N/A,#N/A,FALSE,"단축3";#N/A,#N/A,FALSE,"장축";#N/A,#N/A,FALSE,"4WD"}</definedName>
    <definedName name="Aas" hidden="1">{#N/A,#N/A,FALSE,"을지 (4)";#N/A,#N/A,FALSE,"을지 (5)";#N/A,#N/A,FALSE,"을지 (6)"}</definedName>
    <definedName name="ABDD" hidden="1">{#N/A,#N/A,FALSE,"단축1";#N/A,#N/A,FALSE,"단축2";#N/A,#N/A,FALSE,"단축3";#N/A,#N/A,FALSE,"장축";#N/A,#N/A,FALSE,"4WD"}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TDSVTTVG" hidden="1">{#N/A,#N/A,FALSE,"단축1";#N/A,#N/A,FALSE,"단축2";#N/A,#N/A,FALSE,"단축3";#N/A,#N/A,FALSE,"장축";#N/A,#N/A,FALSE,"4WD"}</definedName>
    <definedName name="AD" hidden="1">{#N/A,#N/A,FALSE,"을지 (4)";#N/A,#N/A,FALSE,"을지 (5)";#N/A,#N/A,FALSE,"을지 (6)"}</definedName>
    <definedName name="adsacdz" hidden="1">{#N/A,#N/A,FALSE,"단축1";#N/A,#N/A,FALSE,"단축2";#N/A,#N/A,FALSE,"단축3";#N/A,#N/A,FALSE,"장축";#N/A,#N/A,FALSE,"4WD"}</definedName>
    <definedName name="ADSDF" hidden="1">{#N/A,#N/A,TRUE,"Y생산";#N/A,#N/A,TRUE,"Y판매";#N/A,#N/A,TRUE,"Y총물량";#N/A,#N/A,TRUE,"Y능력";#N/A,#N/A,TRUE,"YKD"}</definedName>
    <definedName name="AERGA" hidden="1">{#N/A,#N/A,FALSE,"원가검토서"}</definedName>
    <definedName name="AFDAGA" hidden="1">{#N/A,#N/A,FALSE,"원가검토서"}</definedName>
    <definedName name="anscount" hidden="1">4</definedName>
    <definedName name="AQWAQ" hidden="1">{#N/A,#N/A,FALSE,"단축1";#N/A,#N/A,FALSE,"단축2";#N/A,#N/A,FALSE,"단축3";#N/A,#N/A,FALSE,"장축";#N/A,#N/A,FALSE,"4WD"}</definedName>
    <definedName name="asadcs" hidden="1">{#N/A,#N/A,FALSE,"단축1";#N/A,#N/A,FALSE,"단축2";#N/A,#N/A,FALSE,"단축3";#N/A,#N/A,FALSE,"장축";#N/A,#N/A,FALSE,"4WD"}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ERDHFGTR" hidden="1">{#N/A,#N/A,FALSE,"단축1";#N/A,#N/A,FALSE,"단축2";#N/A,#N/A,FALSE,"단축3";#N/A,#N/A,FALSE,"장축";#N/A,#N/A,FALSE,"4WD"}</definedName>
    <definedName name="ASFD" hidden="1">#REF!</definedName>
    <definedName name="ASS" hidden="1">{#N/A,#N/A,FALSE,"을지 (4)";#N/A,#N/A,FALSE,"을지 (5)";#N/A,#N/A,FALSE,"을지 (6)"}</definedName>
    <definedName name="ASSY" hidden="1">{#N/A,#N/A,FALSE,"단축1";#N/A,#N/A,FALSE,"단축2";#N/A,#N/A,FALSE,"단축3";#N/A,#N/A,FALSE,"장축";#N/A,#N/A,FALSE,"4WD"}</definedName>
    <definedName name="AVTRWEAVTSRGFD" hidden="1">{#N/A,#N/A,FALSE,"단축1";#N/A,#N/A,FALSE,"단축2";#N/A,#N/A,FALSE,"단축3";#N/A,#N/A,FALSE,"장축";#N/A,#N/A,FALSE,"4WD"}</definedName>
    <definedName name="AVWTRFUHF" hidden="1">{#N/A,#N/A,FALSE,"단축1";#N/A,#N/A,FALSE,"단축2";#N/A,#N/A,FALSE,"단축3";#N/A,#N/A,FALSE,"장축";#N/A,#N/A,FALSE,"4WD"}</definedName>
    <definedName name="AVYDAVYHDTH" hidden="1">{#N/A,#N/A,FALSE,"단축1";#N/A,#N/A,FALSE,"단축2";#N/A,#N/A,FALSE,"단축3";#N/A,#N/A,FALSE,"장축";#N/A,#N/A,FALSE,"4WD"}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etbgxsv" hidden="1">{#N/A,#N/A,FALSE,"단축1";#N/A,#N/A,FALSE,"단축2";#N/A,#N/A,FALSE,"단축3";#N/A,#N/A,FALSE,"장축";#N/A,#N/A,FALSE,"4WD"}</definedName>
    <definedName name="BGJK" hidden="1">{#N/A,#N/A,FALSE,"단축1";#N/A,#N/A,FALSE,"단축2";#N/A,#N/A,FALSE,"단축3";#N/A,#N/A,FALSE,"장축";#N/A,#N/A,FALSE,"4WD"}</definedName>
    <definedName name="book1" hidden="1">{#N/A,#N/A,TRUE,"Y생산";#N/A,#N/A,TRUE,"Y판매";#N/A,#N/A,TRUE,"Y총물량";#N/A,#N/A,TRUE,"Y능력";#N/A,#N/A,TRUE,"YKD"}</definedName>
    <definedName name="BUTFGY" hidden="1">{#N/A,#N/A,FALSE,"단축1";#N/A,#N/A,FALSE,"단축2";#N/A,#N/A,FALSE,"단축3";#N/A,#N/A,FALSE,"장축";#N/A,#N/A,FALSE,"4WD"}</definedName>
    <definedName name="CAE해석" hidden="1">{#N/A,#N/A,FALSE,"단축1";#N/A,#N/A,FALSE,"단축2";#N/A,#N/A,FALSE,"단축3";#N/A,#N/A,FALSE,"장축";#N/A,#N/A,FALSE,"4WD"}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ccddd" hidden="1">{#N/A,#N/A,FALSE,"단축1";#N/A,#N/A,FALSE,"단축2";#N/A,#N/A,FALSE,"단축3";#N/A,#N/A,FALSE,"장축";#N/A,#N/A,FALSE,"4WD"}</definedName>
    <definedName name="cdhbkjbkjnkjnlmmn" hidden="1">{#N/A,#N/A,TRUE,"일정"}</definedName>
    <definedName name="CFVGYTU" hidden="1">{#N/A,#N/A,FALSE,"원가검토서"}</definedName>
    <definedName name="chang" hidden="1">{#N/A,#N/A,FALSE,"을지 (4)";#N/A,#N/A,FALSE,"을지 (5)";#N/A,#N/A,FALSE,"을지 (6)"}</definedName>
    <definedName name="choi" hidden="1">{#N/A,#N/A,FALSE,"Australien";#N/A,#N/A,FALSE,"Birmingham";#N/A,#N/A,FALSE,"Brasilien";#N/A,#N/A,FALSE,"Prag";#N/A,#N/A,FALSE,"Spanien";#N/A,#N/A,FALSE,"Malaysia ( Com)";#N/A,#N/A,FALSE,"Malaysia (Instr)"}</definedName>
    <definedName name="ci" hidden="1">{#N/A,#N/A,FALSE,"단축1";#N/A,#N/A,FALSE,"단축2";#N/A,#N/A,FALSE,"단축3";#N/A,#N/A,FALSE,"장축";#N/A,#N/A,FALSE,"4WD"}</definedName>
    <definedName name="CONT대책" hidden="1">{#N/A,#N/A,FALSE,"단축1";#N/A,#N/A,FALSE,"단축2";#N/A,#N/A,FALSE,"단축3";#N/A,#N/A,FALSE,"장축";#N/A,#N/A,FALSE,"4WD"}</definedName>
    <definedName name="DATGTSGHFD" hidden="1">{#N/A,#N/A,FALSE,"단축1";#N/A,#N/A,FALSE,"단축2";#N/A,#N/A,FALSE,"단축3";#N/A,#N/A,FALSE,"장축";#N/A,#N/A,FALSE,"4WD"}</definedName>
    <definedName name="DDDD" hidden="1">{#N/A,#N/A,FALSE,"단축1";#N/A,#N/A,FALSE,"단축2";#N/A,#N/A,FALSE,"단축3";#N/A,#N/A,FALSE,"장축";#N/A,#N/A,FALSE,"4WD"}</definedName>
    <definedName name="DDDDDD" hidden="1">{#N/A,#N/A,TRUE,"일정"}</definedName>
    <definedName name="DDDDDDD" hidden="1">#REF!</definedName>
    <definedName name="dddddf" hidden="1">{#N/A,#N/A,FALSE,"단축1";#N/A,#N/A,FALSE,"단축2";#N/A,#N/A,FALSE,"단축3";#N/A,#N/A,FALSE,"장축";#N/A,#N/A,FALSE,"4WD"}</definedName>
    <definedName name="DDE" hidden="1">{#N/A,#N/A,FALSE,"단축1";#N/A,#N/A,FALSE,"단축2";#N/A,#N/A,FALSE,"단축3";#N/A,#N/A,FALSE,"장축";#N/A,#N/A,FALSE,"4WD"}</definedName>
    <definedName name="dDFA" hidden="1">{#N/A,#N/A,FALSE,"단축1";#N/A,#N/A,FALSE,"단축2";#N/A,#N/A,FALSE,"단축3";#N/A,#N/A,FALSE,"장축";#N/A,#N/A,FALSE,"4WD"}</definedName>
    <definedName name="ddfg" hidden="1">{#N/A,#N/A,FALSE,"원가검토서"}</definedName>
    <definedName name="DDS" hidden="1">{#N/A,#N/A,FALSE,"을지 (4)";#N/A,#N/A,FALSE,"을지 (5)";#N/A,#N/A,FALSE,"을지 (6)"}</definedName>
    <definedName name="DDSS" hidden="1">{#N/A,#N/A,FALSE,"단축1";#N/A,#N/A,FALSE,"단축2";#N/A,#N/A,FALSE,"단축3";#N/A,#N/A,FALSE,"장축";#N/A,#N/A,FALSE,"4WD"}</definedName>
    <definedName name="DFA" hidden="1">{#N/A,#N/A,FALSE,"단축1";#N/A,#N/A,FALSE,"단축2";#N/A,#N/A,FALSE,"단축3";#N/A,#N/A,FALSE,"장축";#N/A,#N/A,FALSE,"4WD"}</definedName>
    <definedName name="DFAGF" hidden="1">{#N/A,#N/A,FALSE,"원가검토서"}</definedName>
    <definedName name="DFDF" hidden="1">{#N/A,#N/A,FALSE,"단축1";#N/A,#N/A,FALSE,"단축2";#N/A,#N/A,FALSE,"단축3";#N/A,#N/A,FALSE,"장축";#N/A,#N/A,FALSE,"4WD"}</definedName>
    <definedName name="DFF" hidden="1">{#N/A,#N/A,FALSE,"단축1";#N/A,#N/A,FALSE,"단축2";#N/A,#N/A,FALSE,"단축3";#N/A,#N/A,FALSE,"장축";#N/A,#N/A,FALSE,"4WD"}</definedName>
    <definedName name="DFG" hidden="1">{#N/A,#N/A,FALSE,"원가검토서"}</definedName>
    <definedName name="DFGEERT" hidden="1">{#N/A,#N/A,FALSE,"원가검토서"}</definedName>
    <definedName name="DFHJ" hidden="1">{#N/A,#N/A,FALSE,"단축1";#N/A,#N/A,FALSE,"단축2";#N/A,#N/A,FALSE,"단축3";#N/A,#N/A,FALSE,"장축";#N/A,#N/A,FALSE,"4WD"}</definedName>
    <definedName name="DFJHD" hidden="1">{#N/A,#N/A,FALSE,"단축1";#N/A,#N/A,FALSE,"단축2";#N/A,#N/A,FALSE,"단축3";#N/A,#N/A,FALSE,"장축";#N/A,#N/A,FALSE,"4WD"}</definedName>
    <definedName name="dfsf" hidden="1">{#N/A,#N/A,FALSE,"원가검토서"}</definedName>
    <definedName name="DGF" hidden="1">{#N/A,#N/A,FALSE,"단축1";#N/A,#N/A,FALSE,"단축2";#N/A,#N/A,FALSE,"단축3";#N/A,#N/A,FALSE,"장축";#N/A,#N/A,FALSE,"4WD"}</definedName>
    <definedName name="DGJSRGH" hidden="1">{#N/A,#N/A,FALSE,"단축1";#N/A,#N/A,FALSE,"단축2";#N/A,#N/A,FALSE,"단축3";#N/A,#N/A,FALSE,"장축";#N/A,#N/A,FALSE,"4WD"}</definedName>
    <definedName name="DHGFYJMGJM" hidden="1">{#N/A,#N/A,FALSE,"단축1";#N/A,#N/A,FALSE,"단축2";#N/A,#N/A,FALSE,"단축3";#N/A,#N/A,FALSE,"장축";#N/A,#N/A,FALSE,"4WD"}</definedName>
    <definedName name="DHHDH" hidden="1">{#N/A,#N/A,FALSE,"단축1";#N/A,#N/A,FALSE,"단축2";#N/A,#N/A,FALSE,"단축3";#N/A,#N/A,FALSE,"장축";#N/A,#N/A,FALSE,"4WD"}</definedName>
    <definedName name="djbtezsr" hidden="1">{#N/A,#N/A,FALSE,"단축1";#N/A,#N/A,FALSE,"단축2";#N/A,#N/A,FALSE,"단축3";#N/A,#N/A,FALSE,"장축";#N/A,#N/A,FALSE,"4WD"}</definedName>
    <definedName name="DJFHJ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dk" hidden="1">{#N/A,#N/A,FALSE,"단축1";#N/A,#N/A,FALSE,"단축2";#N/A,#N/A,FALSE,"단축3";#N/A,#N/A,FALSE,"장축";#N/A,#N/A,FALSE,"4WD"}</definedName>
    <definedName name="DLAKL" hidden="1">{#N/A,#N/A,TRUE,"Y생산";#N/A,#N/A,TRUE,"Y판매";#N/A,#N/A,TRUE,"Y총물량";#N/A,#N/A,TRUE,"Y능력";#N/A,#N/A,TRUE,"YKD"}</definedName>
    <definedName name="DLDL" hidden="1">{#N/A,#N/A,FALSE,"단축1";#N/A,#N/A,FALSE,"단축2";#N/A,#N/A,FALSE,"단축3";#N/A,#N/A,FALSE,"장축";#N/A,#N/A,FALSE,"4WD"}</definedName>
    <definedName name="DLDLDLD" hidden="1">{#N/A,#N/A,FALSE,"단축1";#N/A,#N/A,FALSE,"단축2";#N/A,#N/A,FALSE,"단축3";#N/A,#N/A,FALSE,"장축";#N/A,#N/A,FALSE,"4WD"}</definedName>
    <definedName name="DLF" hidden="1">{#N/A,#N/A,TRUE,"일정"}</definedName>
    <definedName name="DLS" hidden="1">{#N/A,#N/A,TRUE,"Y생산";#N/A,#N/A,TRUE,"Y판매";#N/A,#N/A,TRUE,"Y총물량";#N/A,#N/A,TRUE,"Y능력";#N/A,#N/A,TRUE,"YKD"}</definedName>
    <definedName name="dn" hidden="1">{#N/A,#N/A,FALSE,"단축1";#N/A,#N/A,FALSE,"단축2";#N/A,#N/A,FALSE,"단축3";#N/A,#N/A,FALSE,"장축";#N/A,#N/A,FALSE,"4WD"}</definedName>
    <definedName name="DNFLA" hidden="1">{#N/A,#N/A,FALSE,"단축1";#N/A,#N/A,FALSE,"단축2";#N/A,#N/A,FALSE,"단축3";#N/A,#N/A,FALSE,"장축";#N/A,#N/A,FALSE,"4WD"}</definedName>
    <definedName name="DRFDGH" hidden="1">{#N/A,#N/A,FALSE,"단축1";#N/A,#N/A,FALSE,"단축2";#N/A,#N/A,FALSE,"단축3";#N/A,#N/A,FALSE,"장축";#N/A,#N/A,FALSE,"4WD"}</definedName>
    <definedName name="DRGDTHMH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S" hidden="1">{#N/A,#N/A,FALSE,"원가검토서"}</definedName>
    <definedName name="DSRIIHWQLW" hidden="1">{#N/A,#N/A,FALSE,"단축1";#N/A,#N/A,FALSE,"단축2";#N/A,#N/A,FALSE,"단축3";#N/A,#N/A,FALSE,"장축";#N/A,#N/A,FALSE,"4WD"}</definedName>
    <definedName name="DTHDGFGHJHJMH" hidden="1">{#N/A,#N/A,FALSE,"단축1";#N/A,#N/A,FALSE,"단축2";#N/A,#N/A,FALSE,"단축3";#N/A,#N/A,FALSE,"장축";#N/A,#N/A,FALSE,"4WD"}</definedName>
    <definedName name="DVD" hidden="1">{#N/A,#N/A,FALSE,"단축1";#N/A,#N/A,FALSE,"단축2";#N/A,#N/A,FALSE,"단축3";#N/A,#N/A,FALSE,"장축";#N/A,#N/A,FALSE,"4WD"}</definedName>
    <definedName name="EAWR" hidden="1">{#N/A,#N/A,FALSE,"단축1";#N/A,#N/A,FALSE,"단축2";#N/A,#N/A,FALSE,"단축3";#N/A,#N/A,FALSE,"장축";#N/A,#N/A,FALSE,"4WD"}</definedName>
    <definedName name="edrte6utfyf" hidden="1">{#N/A,#N/A,FALSE,"단축1";#N/A,#N/A,FALSE,"단축2";#N/A,#N/A,FALSE,"단축3";#N/A,#N/A,FALSE,"장축";#N/A,#N/A,FALSE,"4WD"}</definedName>
    <definedName name="EDWSA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yhbfgrsv" hidden="1">{#N/A,#N/A,FALSE,"단축1";#N/A,#N/A,FALSE,"단축2";#N/A,#N/A,FALSE,"단축3";#N/A,#N/A,FALSE,"장축";#N/A,#N/A,FALSE,"4WD"}</definedName>
    <definedName name="EEE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SDWERF" hidden="1">{#N/A,#N/A,FALSE,"단축1";#N/A,#N/A,FALSE,"단축2";#N/A,#N/A,FALSE,"단축3";#N/A,#N/A,FALSE,"장축";#N/A,#N/A,FALSE,"4WD"}</definedName>
    <definedName name="efffgsdcasdarae" hidden="1">{#N/A,#N/A,FALSE,"단축1";#N/A,#N/A,FALSE,"단축2";#N/A,#N/A,FALSE,"단축3";#N/A,#N/A,FALSE,"장축";#N/A,#N/A,FALSE,"4WD"}</definedName>
    <definedName name="EFFOG" hidden="1">{#N/A,#N/A,FALSE,"단축1";#N/A,#N/A,FALSE,"단축2";#N/A,#N/A,FALSE,"단축3";#N/A,#N/A,FALSE,"장축";#N/A,#N/A,FALSE,"4WD"}</definedName>
    <definedName name="EGRCFTRG" hidden="1">{#N/A,#N/A,FALSE,"단축1";#N/A,#N/A,FALSE,"단축2";#N/A,#N/A,FALSE,"단축3";#N/A,#N/A,FALSE,"장축";#N/A,#N/A,FALSE,"4WD"}</definedName>
    <definedName name="EKDKD.LJFL" hidden="1">{#N/A,#N/A,FALSE,"Australien";#N/A,#N/A,FALSE,"Birmingham";#N/A,#N/A,FALSE,"Brasilien";#N/A,#N/A,FALSE,"Prag";#N/A,#N/A,FALSE,"Spanien";#N/A,#N/A,FALSE,"Malaysia ( Com)";#N/A,#N/A,FALSE,"Malaysia (Instr)"}</definedName>
    <definedName name="EOFHSFSSJF" hidden="1">{#N/A,#N/A,FALSE,"단축1";#N/A,#N/A,FALSE,"단축2";#N/A,#N/A,FALSE,"단축3";#N/A,#N/A,FALSE,"장축";#N/A,#N/A,FALSE,"4WD"}</definedName>
    <definedName name="EOGH" hidden="1">{#N/A,#N/A,FALSE,"단축1";#N/A,#N/A,FALSE,"단축2";#N/A,#N/A,FALSE,"단축3";#N/A,#N/A,FALSE,"장축";#N/A,#N/A,FALSE,"4WD"}</definedName>
    <definedName name="EO계획" hidden="1">#REF!</definedName>
    <definedName name="ERG" hidden="1">{"Wire Charts",#N/A,TRUE,"Wires"}</definedName>
    <definedName name="estgret" hidden="1">{#N/A,#N/A,FALSE,"단축1";#N/A,#N/A,FALSE,"단축2";#N/A,#N/A,FALSE,"단축3";#N/A,#N/A,FALSE,"장축";#N/A,#N/A,FALSE,"4WD"}</definedName>
    <definedName name="ETRYU" hidden="1">{#N/A,#N/A,FALSE,"단축1";#N/A,#N/A,FALSE,"단축2";#N/A,#N/A,FALSE,"단축3";#N/A,#N/A,FALSE,"장축";#N/A,#N/A,FALSE,"4WD"}</definedName>
    <definedName name="ETY" hidden="1">{#N/A,#N/A,FALSE,"단축1";#N/A,#N/A,FALSE,"단축2";#N/A,#N/A,FALSE,"단축3";#N/A,#N/A,FALSE,"장축";#N/A,#N/A,FALSE,"4WD"}</definedName>
    <definedName name="ETYUI" hidden="1">{#N/A,#N/A,FALSE,"단축1";#N/A,#N/A,FALSE,"단축2";#N/A,#N/A,FALSE,"단축3";#N/A,#N/A,FALSE,"장축";#N/A,#N/A,FALSE,"4WD"}</definedName>
    <definedName name="EURO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fsteg" hidden="1">{#N/A,#N/A,FALSE,"단축1";#N/A,#N/A,FALSE,"단축2";#N/A,#N/A,FALSE,"단축3";#N/A,#N/A,FALSE,"장축";#N/A,#N/A,FALSE,"4WD"}</definedName>
    <definedName name="EWY" hidden="1">{#N/A,#N/A,FALSE,"단축1";#N/A,#N/A,FALSE,"단축2";#N/A,#N/A,FALSE,"단축3";#N/A,#N/A,FALSE,"장축";#N/A,#N/A,FALSE,"4WD"}</definedName>
    <definedName name="EWYTFVXYTDUY" hidden="1">{#N/A,#N/A,FALSE,"단축1";#N/A,#N/A,FALSE,"단축2";#N/A,#N/A,FALSE,"단축3";#N/A,#N/A,FALSE,"장축";#N/A,#N/A,FALSE,"4WD"}</definedName>
    <definedName name="EYERYWEYTRWWW4" hidden="1">{#N/A,#N/A,FALSE,"단축1";#N/A,#N/A,FALSE,"단축2";#N/A,#N/A,FALSE,"단축3";#N/A,#N/A,FALSE,"장축";#N/A,#N/A,FALSE,"4WD"}</definedName>
    <definedName name="EYREYTRUTYTR" hidden="1">{#N/A,#N/A,FALSE,"단축1";#N/A,#N/A,FALSE,"단축2";#N/A,#N/A,FALSE,"단축3";#N/A,#N/A,FALSE,"장축";#N/A,#N/A,FALSE,"4WD"}</definedName>
    <definedName name="EYRU" hidden="1">{#N/A,#N/A,FALSE,"단축1";#N/A,#N/A,FALSE,"단축2";#N/A,#N/A,FALSE,"단축3";#N/A,#N/A,FALSE,"장축";#N/A,#N/A,FALSE,"4WD"}</definedName>
    <definedName name="FC_신차_PERT" hidden="1">#REF!</definedName>
    <definedName name="FDGHDFG" hidden="1">{#N/A,#N/A,FALSE,"단축1";#N/A,#N/A,FALSE,"단축2";#N/A,#N/A,FALSE,"단축3";#N/A,#N/A,FALSE,"장축";#N/A,#N/A,FALSE,"4WD"}</definedName>
    <definedName name="FDGS" hidden="1">{"'KET'!$A$1:$E$2423"}</definedName>
    <definedName name="FDJGDFHJ" hidden="1">{#N/A,#N/A,FALSE,"단축1";#N/A,#N/A,FALSE,"단축2";#N/A,#N/A,FALSE,"단축3";#N/A,#N/A,FALSE,"장축";#N/A,#N/A,FALSE,"4WD"}</definedName>
    <definedName name="FDKLI" hidden="1">{#N/A,#N/A,FALSE,"단축1";#N/A,#N/A,FALSE,"단축2";#N/A,#N/A,FALSE,"단축3";#N/A,#N/A,FALSE,"장축";#N/A,#N/A,FALSE,"4WD"}</definedName>
    <definedName name="fds" hidden="1">#REF!</definedName>
    <definedName name="FFDF" hidden="1">{#N/A,#N/A,FALSE,"단축1";#N/A,#N/A,FALSE,"단축2";#N/A,#N/A,FALSE,"단축3";#N/A,#N/A,FALSE,"장축";#N/A,#N/A,FALSE,"4WD"}</definedName>
    <definedName name="fffgfg" hidden="1">{#N/A,#N/A,FALSE,"단축1";#N/A,#N/A,FALSE,"단축2";#N/A,#N/A,FALSE,"단축3";#N/A,#N/A,FALSE,"장축";#N/A,#N/A,FALSE,"4WD"}</definedName>
    <definedName name="FGF" hidden="1">{"'OPEN'G압출'!$A$4:$P$34"}</definedName>
    <definedName name="FGGHNMK" hidden="1">{#N/A,#N/A,FALSE,"원가검토서"}</definedName>
    <definedName name="FGH" hidden="1">{#N/A,#N/A,FALSE,"단축1";#N/A,#N/A,FALSE,"단축2";#N/A,#N/A,FALSE,"단축3";#N/A,#N/A,FALSE,"장축";#N/A,#N/A,FALSE,"4WD"}</definedName>
    <definedName name="FGHJ" hidden="1">{#N/A,#N/A,FALSE,"원가검토서"}</definedName>
    <definedName name="FGS" hidden="1">{"Wire Charts",#N/A,TRUE,"Wires"}</definedName>
    <definedName name="FH" hidden="1">{#N/A,#N/A,FALSE,"단축1";#N/A,#N/A,FALSE,"단축2";#N/A,#N/A,FALSE,"단축3";#N/A,#N/A,FALSE,"장축";#N/A,#N/A,FALSE,"4WD"}</definedName>
    <definedName name="fjalaslaslfasllaa" hidden="1">{#N/A,#N/A,FALSE,"을지 (4)";#N/A,#N/A,FALSE,"을지 (5)";#N/A,#N/A,FALSE,"을지 (6)"}</definedName>
    <definedName name="FJFJ" hidden="1">{#N/A,#N/A,FALSE,"단축1";#N/A,#N/A,FALSE,"단축2";#N/A,#N/A,FALSE,"단축3";#N/A,#N/A,FALSE,"장축";#N/A,#N/A,FALSE,"4WD"}</definedName>
    <definedName name="fkfkfkfkfkf" hidden="1">{#N/A,#N/A,FALSE,"을지 (4)";#N/A,#N/A,FALSE,"을지 (5)";#N/A,#N/A,FALSE,"을지 (6)"}</definedName>
    <definedName name="fkfkfkfkfkfkfkfk" hidden="1">{#N/A,#N/A,FALSE,"을지 (4)";#N/A,#N/A,FALSE,"을지 (5)";#N/A,#N/A,FALSE,"을지 (6)"}</definedName>
    <definedName name="fkla" hidden="1">{#N/A,#N/A,TRUE,"Y생산";#N/A,#N/A,TRUE,"Y판매";#N/A,#N/A,TRUE,"Y총물량";#N/A,#N/A,TRUE,"Y능력";#N/A,#N/A,TRUE,"YKD"}</definedName>
    <definedName name="FMEA" hidden="1">#REF!</definedName>
    <definedName name="FMEA양식갑" hidden="1">{#N/A,#N/A,FALSE,"단축1";#N/A,#N/A,FALSE,"단축2";#N/A,#N/A,FALSE,"단축3";#N/A,#N/A,FALSE,"장축";#N/A,#N/A,FALSE,"4WD"}</definedName>
    <definedName name="FMEA양식설계갑" hidden="1">{#N/A,#N/A,FALSE,"단축1";#N/A,#N/A,FALSE,"단축2";#N/A,#N/A,FALSE,"단축3";#N/A,#N/A,FALSE,"장축";#N/A,#N/A,FALSE,"4WD"}</definedName>
    <definedName name="fmea양식설계정" hidden="1">{#N/A,#N/A,FALSE,"단축1";#N/A,#N/A,FALSE,"단축2";#N/A,#N/A,FALSE,"단축3";#N/A,#N/A,FALSE,"장축";#N/A,#N/A,FALSE,"4WD"}</definedName>
    <definedName name="FMEA양식정" hidden="1">{#N/A,#N/A,FALSE,"단축1";#N/A,#N/A,FALSE,"단축2";#N/A,#N/A,FALSE,"단축3";#N/A,#N/A,FALSE,"장축";#N/A,#N/A,FALSE,"4WD"}</definedName>
    <definedName name="frmotor" hidden="1">{#N/A,#N/A,FALSE,"단축1";#N/A,#N/A,FALSE,"단축2";#N/A,#N/A,FALSE,"단축3";#N/A,#N/A,FALSE,"장축";#N/A,#N/A,FALSE,"4WD"}</definedName>
    <definedName name="FRONT" hidden="1">{#N/A,#N/A,FALSE,"단축1";#N/A,#N/A,FALSE,"단축2";#N/A,#N/A,FALSE,"단축3";#N/A,#N/A,FALSE,"장축";#N/A,#N/A,FALSE,"4WD"}</definedName>
    <definedName name="gdmhgdmhg" hidden="1">{#N/A,#N/A,TRUE,"일정"}</definedName>
    <definedName name="GFD" hidden="1">{#N/A,#N/A,TRUE,"일정"}</definedName>
    <definedName name="GFDG" hidden="1">{#N/A,#N/A,FALSE,"신규dep";#N/A,#N/A,FALSE,"신규dep-금형상각후";#N/A,#N/A,FALSE,"신규dep-연구비상각후";#N/A,#N/A,FALSE,"신규dep-기계,공구상각후"}</definedName>
    <definedName name="GFDS" hidden="1">{#N/A,#N/A,FALSE,"단축1";#N/A,#N/A,FALSE,"단축2";#N/A,#N/A,FALSE,"단축3";#N/A,#N/A,FALSE,"장축";#N/A,#N/A,FALSE,"4WD"}</definedName>
    <definedName name="GFDVBFDGF" hidden="1">{#N/A,#N/A,FALSE,"단축1";#N/A,#N/A,FALSE,"단축2";#N/A,#N/A,FALSE,"단축3";#N/A,#N/A,FALSE,"장축";#N/A,#N/A,FALSE,"4WD"}</definedName>
    <definedName name="GFJG" hidden="1">{#N/A,#N/A,FALSE,"단축1";#N/A,#N/A,FALSE,"단축2";#N/A,#N/A,FALSE,"단축3";#N/A,#N/A,FALSE,"장축";#N/A,#N/A,FALSE,"4WD"}</definedName>
    <definedName name="gfld" hidden="1">{#N/A,#N/A,TRUE,"Y생산";#N/A,#N/A,TRUE,"Y판매";#N/A,#N/A,TRUE,"Y총물량";#N/A,#N/A,TRUE,"Y능력";#N/A,#N/A,TRUE,"YKD"}</definedName>
    <definedName name="GHDJDG" hidden="1">{#N/A,#N/A,FALSE,"단축1";#N/A,#N/A,FALSE,"단축2";#N/A,#N/A,FALSE,"단축3";#N/A,#N/A,FALSE,"장축";#N/A,#N/A,FALSE,"4WD"}</definedName>
    <definedName name="GHUTGHF" hidden="1">{#N/A,#N/A,FALSE,"96 3월물량표";#N/A,#N/A,FALSE,"96 4월물량표";#N/A,#N/A,FALSE,"96 5월물량표"}</definedName>
    <definedName name="GJ" hidden="1">{#N/A,#N/A,FALSE,"단축1";#N/A,#N/A,FALSE,"단축2";#N/A,#N/A,FALSE,"단축3";#N/A,#N/A,FALSE,"장축";#N/A,#N/A,FALSE,"4WD"}</definedName>
    <definedName name="GJKGJK" hidden="1">{#N/A,#N/A,FALSE,"단축1";#N/A,#N/A,FALSE,"단축2";#N/A,#N/A,FALSE,"단축3";#N/A,#N/A,FALSE,"장축";#N/A,#N/A,FALSE,"4WD"}</definedName>
    <definedName name="GRE" hidden="1">{#N/A,#N/A,FALSE,"단축1";#N/A,#N/A,FALSE,"단축2";#N/A,#N/A,FALSE,"단축3";#N/A,#N/A,FALSE,"장축";#N/A,#N/A,FALSE,"4WD"}</definedName>
    <definedName name="GUIGU" hidden="1">{#N/A,#N/A,FALSE,"단축1";#N/A,#N/A,FALSE,"단축2";#N/A,#N/A,FALSE,"단축3";#N/A,#N/A,FALSE,"장축";#N/A,#N/A,FALSE,"4WD"}</definedName>
    <definedName name="gvdasskv" hidden="1">{#N/A,#N/A,TRUE,"일정"}</definedName>
    <definedName name="HDTFJYDTYFTY" hidden="1">{#N/A,#N/A,FALSE,"단축1";#N/A,#N/A,FALSE,"단축2";#N/A,#N/A,FALSE,"단축3";#N/A,#N/A,FALSE,"장축";#N/A,#N/A,FALSE,"4WD"}</definedName>
    <definedName name="HFG" hidden="1">{#N/A,#N/A,TRUE,"Y생산";#N/A,#N/A,TRUE,"Y판매";#N/A,#N/A,TRUE,"Y총물량";#N/A,#N/A,TRUE,"Y능력";#N/A,#N/A,TRUE,"YKD"}</definedName>
    <definedName name="HFGJFGJJ" hidden="1">{"'OPEN'G압출'!$A$4:$P$34"}</definedName>
    <definedName name="hgfshg" hidden="1">{#N/A,#N/A,TRUE,"일정"}</definedName>
    <definedName name="hgfxd" hidden="1">{#N/A,#N/A,TRUE,"일정"}</definedName>
    <definedName name="HJ" hidden="1">{#N/A,#N/A,FALSE,"단축1";#N/A,#N/A,FALSE,"단축2";#N/A,#N/A,FALSE,"단축3";#N/A,#N/A,FALSE,"장축";#N/A,#N/A,FALSE,"4WD"}</definedName>
    <definedName name="HJGFJHFJH" hidden="1">{#N/A,#N/A,FALSE,"원가검토서"}</definedName>
    <definedName name="HJKLL" hidden="1">{#N/A,#N/A,TRUE,"Y생산";#N/A,#N/A,TRUE,"Y판매";#N/A,#N/A,TRUE,"Y총물량";#N/A,#N/A,TRUE,"Y능력";#N/A,#N/A,TRUE,"YKD"}</definedName>
    <definedName name="HKJ" hidden="1">{#N/A,#N/A,FALSE,"단축1";#N/A,#N/A,FALSE,"단축2";#N/A,#N/A,FALSE,"단축3";#N/A,#N/A,FALSE,"장축";#N/A,#N/A,FALSE,"4WD"}</definedName>
    <definedName name="HLAMP4" hidden="1">{#N/A,#N/A,FALSE,"단축1";#N/A,#N/A,FALSE,"단축2";#N/A,#N/A,FALSE,"단축3";#N/A,#N/A,FALSE,"장축";#N/A,#N/A,FALSE,"4WD"}</definedName>
    <definedName name="HOOD" hidden="1">{#N/A,#N/A,FALSE,"단축1";#N/A,#N/A,FALSE,"단축2";#N/A,#N/A,FALSE,"단축3";#N/A,#N/A,FALSE,"장축";#N/A,#N/A,FALSE,"4WD"}</definedName>
    <definedName name="HP종합" hidden="1">{#N/A,#N/A,FALSE,"단축1";#N/A,#N/A,FALSE,"단축2";#N/A,#N/A,FALSE,"단축3";#N/A,#N/A,FALSE,"장축";#N/A,#N/A,FALSE,"4WD"}</definedName>
    <definedName name="HTML_CodePage" hidden="1">1</definedName>
    <definedName name="HTML_Control" hidden="1">{"'Sheet9'!$K$8"}</definedName>
    <definedName name="HTML_Description" hidden="1">""</definedName>
    <definedName name="HTML_Email" hidden="1">""</definedName>
    <definedName name="HTML_Header" hidden="1">"Sheet9"</definedName>
    <definedName name="HTML_LastUpdate" hidden="1">"99-5-30"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"书"</definedName>
    <definedName name="htrestg" hidden="1">{#N/A,#N/A,FALSE,"단축1";#N/A,#N/A,FALSE,"단축2";#N/A,#N/A,FALSE,"단축3";#N/A,#N/A,FALSE,"장축";#N/A,#N/A,FALSE,"4WD"}</definedName>
    <definedName name="ic" hidden="1">{#N/A,#N/A,FALSE,"단축1";#N/A,#N/A,FALSE,"단축2";#N/A,#N/A,FALSE,"단축3";#N/A,#N/A,FALSE,"장축";#N/A,#N/A,FALSE,"4WD"}</definedName>
    <definedName name="IIII" hidden="1">{#N/A,#N/A,FALSE,"신규dep";#N/A,#N/A,FALSE,"신규dep-금형상각후";#N/A,#N/A,FALSE,"신규dep-연구비상각후";#N/A,#N/A,FALSE,"신규dep-기계,공구상각후"}</definedName>
    <definedName name="INSULATION" hidden="1">{#N/A,#N/A,FALSE,"단축1";#N/A,#N/A,FALSE,"단축2";#N/A,#N/A,FALSE,"단축3";#N/A,#N/A,FALSE,"장축";#N/A,#N/A,FALSE,"4WD"}</definedName>
    <definedName name="JGFHFDKJGHJ" hidden="1">{#N/A,#N/A,FALSE,"단축1";#N/A,#N/A,FALSE,"단축2";#N/A,#N/A,FALSE,"단축3";#N/A,#N/A,FALSE,"장축";#N/A,#N/A,FALSE,"4WD"}</definedName>
    <definedName name="jgfsjhgfsjhgfsdjhgfds" hidden="1">{#N/A,#N/A,TRUE,"일정"}</definedName>
    <definedName name="JGHJ" hidden="1">{#N/A,#N/A,FALSE,"단축1";#N/A,#N/A,FALSE,"단축2";#N/A,#N/A,FALSE,"단축3";#N/A,#N/A,FALSE,"장축";#N/A,#N/A,FALSE,"4WD"}</definedName>
    <definedName name="JJUHG" hidden="1">{#N/A,#N/A,FALSE,"원가검토서"}</definedName>
    <definedName name="JK" hidden="1">{#N/A,#N/A,FALSE,"신규dep";#N/A,#N/A,FALSE,"신규dep-금형상각후";#N/A,#N/A,FALSE,"신규dep-연구비상각후";#N/A,#N/A,FALSE,"신규dep-기계,공구상각후"}</definedName>
    <definedName name="JMHMSL부품현황" hidden="1">{#N/A,#N/A,FALSE,"단축1";#N/A,#N/A,FALSE,"단축2";#N/A,#N/A,FALSE,"단축3";#N/A,#N/A,FALSE,"장축";#N/A,#N/A,FALSE,"4WD"}</definedName>
    <definedName name="JWG" hidden="1">{#N/A,#N/A,FALSE,"단축1";#N/A,#N/A,FALSE,"단축2";#N/A,#N/A,FALSE,"단축3";#N/A,#N/A,FALSE,"장축";#N/A,#N/A,FALSE,"4WD"}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DS" hidden="1">{#N/A,#N/A,FALSE,"단축1";#N/A,#N/A,FALSE,"단축2";#N/A,#N/A,FALSE,"단축3";#N/A,#N/A,FALSE,"장축";#N/A,#N/A,FALSE,"4WD"}</definedName>
    <definedName name="KIM" hidden="1">{#N/A,#N/A,FALSE,"단축1";#N/A,#N/A,FALSE,"단축2";#N/A,#N/A,FALSE,"단축3";#N/A,#N/A,FALSE,"장축";#N/A,#N/A,FALSE,"4WD"}</definedName>
    <definedName name="KJHDFKS" hidden="1">{"'OPEN'G압출'!$A$4:$P$34"}</definedName>
    <definedName name="kthrsbth" hidden="1">{#N/A,#N/A,FALSE,"단축1";#N/A,#N/A,FALSE,"단축2";#N/A,#N/A,FALSE,"단축3";#N/A,#N/A,FALSE,"장축";#N/A,#N/A,FALSE,"4WD"}</definedName>
    <definedName name="KTY" hidden="1">{#N/A,#N/A,FALSE,"단축1";#N/A,#N/A,FALSE,"단축2";#N/A,#N/A,FALSE,"단축3";#N/A,#N/A,FALSE,"장축";#N/A,#N/A,FALSE,"4WD"}</definedName>
    <definedName name="KU" hidden="1">{#N/A,#N/A,TRUE,"Y생산";#N/A,#N/A,TRUE,"Y판매";#N/A,#N/A,TRUE,"Y총물량";#N/A,#N/A,TRUE,"Y능력";#N/A,#N/A,TRUE,"YKD"}</definedName>
    <definedName name="LHSDHSD" hidden="1">{#N/A,#N/A,TRUE,"일정"}</definedName>
    <definedName name="LINE검토2" hidden="1">{#N/A,#N/A,TRUE,"Y생산";#N/A,#N/A,TRUE,"Y판매";#N/A,#N/A,TRUE,"Y총물량";#N/A,#N/A,TRUE,"Y능력";#N/A,#N/A,TRUE,"YKD"}</definedName>
    <definedName name="link_ds_be" hidden="1">{#N/A,#N/A,FALSE,"Cst of Sales (2)"}</definedName>
    <definedName name="LKGFLDKGF" hidden="1">{"'OPEN'G압출'!$A$4:$P$34"}</definedName>
    <definedName name="LKHGFDF" hidden="1">{#N/A,#N/A,TRUE,"Y생산";#N/A,#N/A,TRUE,"Y판매";#N/A,#N/A,TRUE,"Y총물량";#N/A,#N/A,TRUE,"Y능력";#N/A,#N/A,TRUE,"YKD"}</definedName>
    <definedName name="LKJ" hidden="1">{#N/A,#N/A,FALSE,"을지 (4)";#N/A,#N/A,FALSE,"을지 (5)";#N/A,#N/A,FALSE,"을지 (6)"}</definedName>
    <definedName name="LKLKLK" hidden="1">{"'OPEN'G압출'!$A$4:$P$34"}</definedName>
    <definedName name="lll" hidden="1">{#N/A,#N/A,FALSE,"단축1";#N/A,#N/A,FALSE,"단축2";#N/A,#N/A,FALSE,"단축3";#N/A,#N/A,FALSE,"장축";#N/A,#N/A,FALSE,"4WD"}</definedName>
    <definedName name="LLLLL" hidden="1">{#N/A,#N/A,FALSE,"단축1";#N/A,#N/A,FALSE,"단축2";#N/A,#N/A,FALSE,"단축3";#N/A,#N/A,FALSE,"장축";#N/A,#N/A,FALSE,"4WD"}</definedName>
    <definedName name="lps" hidden="1">{#N/A,#N/A,FALSE,"단축1";#N/A,#N/A,FALSE,"단축2";#N/A,#N/A,FALSE,"단축3";#N/A,#N/A,FALSE,"장축";#N/A,#N/A,FALSE,"4WD"}</definedName>
    <definedName name="L값8월1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STER" hidden="1">{#N/A,#N/A,TRUE,"일정"}</definedName>
    <definedName name="MDGVTESYERY" hidden="1">{#N/A,#N/A,FALSE,"단축1";#N/A,#N/A,FALSE,"단축2";#N/A,#N/A,FALSE,"단축3";#N/A,#N/A,FALSE,"장축";#N/A,#N/A,FALSE,"4WD"}</definedName>
    <definedName name="MM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NNNNNN" hidden="1">{#N/A,#N/A,FALSE,"단축1";#N/A,#N/A,FALSE,"단축2";#N/A,#N/A,FALSE,"단축3";#N/A,#N/A,FALSE,"장축";#N/A,#N/A,FALSE,"4WD"}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2예산" hidden="1">{#N/A,#N/A,FALSE,"단축1";#N/A,#N/A,FALSE,"단축2";#N/A,#N/A,FALSE,"단축3";#N/A,#N/A,FALSE,"장축";#N/A,#N/A,FALSE,"4WD"}</definedName>
    <definedName name="P3가공향상" hidden="1">{#N/A,#N/A,TRUE,"Y생산";#N/A,#N/A,TRUE,"Y판매";#N/A,#N/A,TRUE,"Y총물량";#N/A,#N/A,TRUE,"Y능력";#N/A,#N/A,TRUE,"YKD"}</definedName>
    <definedName name="PAGE4" hidden="1">{#N/A,#N/A,FALSE,"단축1";#N/A,#N/A,FALSE,"단축2";#N/A,#N/A,FALSE,"단축3";#N/A,#N/A,FALSE,"장축";#N/A,#N/A,FALSE,"4WD"}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H단계별" hidden="1">{#N/A,#N/A,TRUE,"일정"}</definedName>
    <definedName name="PI" hidden="1">{#N/A,#N/A,TRUE,"Y생산";#N/A,#N/A,TRUE,"Y판매";#N/A,#N/A,TRUE,"Y총물량";#N/A,#N/A,TRUE,"Y능력";#N/A,#N/A,TRUE,"YKD"}</definedName>
    <definedName name="PO" hidden="1">{#N/A,#N/A,FALSE,"단축1";#N/A,#N/A,FALSE,"단축2";#N/A,#N/A,FALSE,"단축3";#N/A,#N/A,FALSE,"장축";#N/A,#N/A,FALSE,"4WD"}</definedName>
    <definedName name="POI" hidden="1">{#N/A,#N/A,FALSE,"단축1";#N/A,#N/A,FALSE,"단축2";#N/A,#N/A,FALSE,"단축3";#N/A,#N/A,FALSE,"장축";#N/A,#N/A,FALSE,"4WD"}</definedName>
    <definedName name="PPK" hidden="1">{#N/A,#N/A,FALSE,"96 3월물량표";#N/A,#N/A,FALSE,"96 4월물량표";#N/A,#N/A,FALSE,"96 5월물량표"}</definedName>
    <definedName name="PPPP" hidden="1">{#N/A,#N/A,TRUE,"일정"}</definedName>
    <definedName name="PRO" hidden="1">{#N/A,#N/A,TRUE,"일정"}</definedName>
    <definedName name="ProzessKette3" hidden="1">#REF!</definedName>
    <definedName name="QAW" hidden="1">{#N/A,#N/A,FALSE,"을지 (4)";#N/A,#N/A,FALSE,"을지 (5)";#N/A,#N/A,FALSE,"을지 (6)"}</definedName>
    <definedName name="QAWVRXTHXFG" hidden="1">{#N/A,#N/A,FALSE,"단축1";#N/A,#N/A,FALSE,"단축2";#N/A,#N/A,FALSE,"단축3";#N/A,#N/A,FALSE,"장축";#N/A,#N/A,FALSE,"4WD"}</definedName>
    <definedName name="QAZ" hidden="1">{#N/A,#N/A,FALSE,"단축1";#N/A,#N/A,FALSE,"단축2";#N/A,#N/A,FALSE,"단축3";#N/A,#N/A,FALSE,"장축";#N/A,#N/A,FALSE,"4WD"}</definedName>
    <definedName name="qc" hidden="1">{#N/A,#N/A,FALSE,"Cst of Sales (2)"}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KQJ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R" hidden="1">{#N/A,#N/A,FALSE,"단축1";#N/A,#N/A,FALSE,"단축2";#N/A,#N/A,FALSE,"단축3";#N/A,#N/A,FALSE,"장축";#N/A,#N/A,FALSE,"4WD"}</definedName>
    <definedName name="QQQAAASSS" hidden="1">{#N/A,#N/A,TRUE,"Y생산";#N/A,#N/A,TRUE,"Y판매";#N/A,#N/A,TRUE,"Y총물량";#N/A,#N/A,TRUE,"Y능력";#N/A,#N/A,TRUE,"YKD"}</definedName>
    <definedName name="QQQQQQ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Q" hidden="1">{#N/A,#N/A,TRUE,"Y생산";#N/A,#N/A,TRUE,"Y판매";#N/A,#N/A,TRUE,"Y총물량";#N/A,#N/A,TRUE,"Y능력";#N/A,#N/A,TRUE,"YKD"}</definedName>
    <definedName name="QS" hidden="1">{#N/A,#N/A,FALSE,"단축1";#N/A,#N/A,FALSE,"단축2";#N/A,#N/A,FALSE,"단축3";#N/A,#N/A,FALSE,"장축";#N/A,#N/A,FALSE,"4WD"}</definedName>
    <definedName name="QSS" hidden="1">{#N/A,#N/A,FALSE,"을지 (4)";#N/A,#N/A,FALSE,"을지 (5)";#N/A,#N/A,FALSE,"을지 (6)"}</definedName>
    <definedName name="QVWTDRDJHUG" hidden="1">{#N/A,#N/A,FALSE,"단축1";#N/A,#N/A,FALSE,"단축2";#N/A,#N/A,FALSE,"단축3";#N/A,#N/A,FALSE,"장축";#N/A,#N/A,FALSE,"4WD"}</definedName>
    <definedName name="QW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AVTGFHT" hidden="1">{#N/A,#N/A,FALSE,"단축1";#N/A,#N/A,FALSE,"단축2";#N/A,#N/A,FALSE,"단축3";#N/A,#N/A,FALSE,"장축";#N/A,#N/A,FALSE,"4WD"}</definedName>
    <definedName name="QWE" hidden="1">{#N/A,#N/A,FALSE,"을지 (4)";#N/A,#N/A,FALSE,"을지 (5)";#N/A,#N/A,FALSE,"을지 (6)"}</definedName>
    <definedName name="qwefydc" hidden="1">{#N/A,#N/A,FALSE,"단축1";#N/A,#N/A,FALSE,"단축2";#N/A,#N/A,FALSE,"단축3";#N/A,#N/A,FALSE,"장축";#N/A,#N/A,FALSE,"4WD"}</definedName>
    <definedName name="QWQW" hidden="1">{#N/A,#N/A,FALSE,"단축1";#N/A,#N/A,FALSE,"단축2";#N/A,#N/A,FALSE,"단축3";#N/A,#N/A,FALSE,"장축";#N/A,#N/A,FALSE,"4WD"}</definedName>
    <definedName name="QWRSTGDFTGF" hidden="1">{#N/A,#N/A,FALSE,"단축1";#N/A,#N/A,FALSE,"단축2";#N/A,#N/A,FALSE,"단축3";#N/A,#N/A,FALSE,"장축";#N/A,#N/A,FALSE,"4WD"}</definedName>
    <definedName name="QWVTEXC6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B" hidden="1">{#N/A,#N/A,FALSE,"단축1";#N/A,#N/A,FALSE,"단축2";#N/A,#N/A,FALSE,"단축3";#N/A,#N/A,FALSE,"장축";#N/A,#N/A,FALSE,"4WD"}</definedName>
    <definedName name="rdtfrytws" hidden="1">{#N/A,#N/A,FALSE,"단축1";#N/A,#N/A,FALSE,"단축2";#N/A,#N/A,FALSE,"단축3";#N/A,#N/A,FALSE,"장축";#N/A,#N/A,FALSE,"4WD"}</definedName>
    <definedName name="RE" hidden="1">{#N/A,#N/A,FALSE,"초도품";#N/A,#N/A,FALSE,"초도품 (2)";#N/A,#N/A,FALSE,"초도품 (3)";#N/A,#N/A,FALSE,"초도품 (4)";#N/A,#N/A,FALSE,"초도품 (5)";#N/A,#N/A,FALSE,"초도품 (6)"}</definedName>
    <definedName name="REAR" hidden="1">{#N/A,#N/A,FALSE,"단축1";#N/A,#N/A,FALSE,"단축2";#N/A,#N/A,FALSE,"단축3";#N/A,#N/A,FALSE,"장축";#N/A,#N/A,FALSE,"4WD"}</definedName>
    <definedName name="RG" hidden="1">{#N/A,#N/A,FALSE,"단축1";#N/A,#N/A,FALSE,"단축2";#N/A,#N/A,FALSE,"단축3";#N/A,#N/A,FALSE,"장축";#N/A,#N/A,FALSE,"4WD"}</definedName>
    <definedName name="RHD" hidden="1">{#N/A,#N/A,FALSE,"단축1";#N/A,#N/A,FALSE,"단축2";#N/A,#N/A,FALSE,"단축3";#N/A,#N/A,FALSE,"장축";#N/A,#N/A,FALSE,"4WD"}</definedName>
    <definedName name="RKLLL" hidden="1">{#N/A,#N/A,FALSE,"단축1";#N/A,#N/A,FALSE,"단축2";#N/A,#N/A,FALSE,"단축3";#N/A,#N/A,FALSE,"장축";#N/A,#N/A,FALSE,"4WD"}</definedName>
    <definedName name="RKSKDKFLK" hidden="1">{#N/A,#N/A,FALSE,"단축1";#N/A,#N/A,FALSE,"단축2";#N/A,#N/A,FALSE,"단축3";#N/A,#N/A,FALSE,"장축";#N/A,#N/A,FALSE,"4WD"}</definedName>
    <definedName name="RKSKEKF" hidden="1">{#N/A,#N/A,FALSE,"단축1";#N/A,#N/A,FALSE,"단축2";#N/A,#N/A,FALSE,"단축3";#N/A,#N/A,FALSE,"장축";#N/A,#N/A,FALSE,"4WD"}</definedName>
    <definedName name="rl" hidden="1">#REF!</definedName>
    <definedName name="RLAMP01" hidden="1">{#N/A,#N/A,FALSE,"단축1";#N/A,#N/A,FALSE,"단축2";#N/A,#N/A,FALSE,"단축3";#N/A,#N/A,FALSE,"장축";#N/A,#N/A,FALSE,"4WD"}</definedName>
    <definedName name="rlawkd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O" hidden="1">{#N/A,#N/A,FALSE,"단축1";#N/A,#N/A,FALSE,"단축2";#N/A,#N/A,FALSE,"단축3";#N/A,#N/A,FALSE,"장축";#N/A,#N/A,FALSE,"4WD"}</definedName>
    <definedName name="ROTJSRHKWJD1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llrlrl" hidden="1">{#N/A,#N/A,FALSE,"단축1";#N/A,#N/A,FALSE,"단축2";#N/A,#N/A,FALSE,"단축3";#N/A,#N/A,FALSE,"장축";#N/A,#N/A,FALSE,"4WD"}</definedName>
    <definedName name="RRR" hidden="1">{#N/A,#N/A,FALSE,"단축1";#N/A,#N/A,FALSE,"단축2";#N/A,#N/A,FALSE,"단축3";#N/A,#N/A,FALSE,"장축";#N/A,#N/A,FALSE,"4WD"}</definedName>
    <definedName name="RRT" hidden="1">{#N/A,#N/A,FALSE,"단축1";#N/A,#N/A,FALSE,"단축2";#N/A,#N/A,FALSE,"단축3";#N/A,#N/A,FALSE,"장축";#N/A,#N/A,FALSE,"4WD"}</definedName>
    <definedName name="RUB_HOU" hidden="1">{#N/A,#N/A,FALSE,"Cst of Sales (2)"}</definedName>
    <definedName name="SAD" hidden="1">{#N/A,#N/A,FALSE,"단축1";#N/A,#N/A,FALSE,"단축2";#N/A,#N/A,FALSE,"단축3";#N/A,#N/A,FALSE,"장축";#N/A,#N/A,FALSE,"4WD"}</definedName>
    <definedName name="SAS" hidden="1">{#N/A,#N/A,FALSE,"단축1";#N/A,#N/A,FALSE,"단축2";#N/A,#N/A,FALSE,"단축3";#N/A,#N/A,FALSE,"장축";#N/A,#N/A,FALSE,"4WD"}</definedName>
    <definedName name="sawrhbAZ" hidden="1">{#N/A,#N/A,FALSE,"단축1";#N/A,#N/A,FALSE,"단축2";#N/A,#N/A,FALSE,"단축3";#N/A,#N/A,FALSE,"장축";#N/A,#N/A,FALSE,"4WD"}</definedName>
    <definedName name="SCTSRUYT" hidden="1">{#N/A,#N/A,FALSE,"단축1";#N/A,#N/A,FALSE,"단축2";#N/A,#N/A,FALSE,"단축3";#N/A,#N/A,FALSE,"장축";#N/A,#N/A,FALSE,"4WD"}</definedName>
    <definedName name="SDDSD" hidden="1">{#N/A,#N/A,FALSE,"단축1";#N/A,#N/A,FALSE,"단축2";#N/A,#N/A,FALSE,"단축3";#N/A,#N/A,FALSE,"장축";#N/A,#N/A,FALSE,"4WD"}</definedName>
    <definedName name="SDF" hidden="1">{#N/A,#N/A,FALSE,"Status";#N/A,#N/A,FALSE,"Deckblatt 1";#N/A,#N/A,FALSE,"Deckblatt2"}</definedName>
    <definedName name="SDFGH" hidden="1">{#N/A,#N/A,FALSE,"단축1";#N/A,#N/A,FALSE,"단축2";#N/A,#N/A,FALSE,"단축3";#N/A,#N/A,FALSE,"장축";#N/A,#N/A,FALSE,"4WD"}</definedName>
    <definedName name="SDFG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H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FWG" hidden="1">{#N/A,#N/A,FALSE,"단축1";#N/A,#N/A,FALSE,"단축2";#N/A,#N/A,FALSE,"단축3";#N/A,#N/A,FALSE,"장축";#N/A,#N/A,FALSE,"4WD"}</definedName>
    <definedName name="SDHGFGMGJ" hidden="1">{#N/A,#N/A,FALSE,"단축1";#N/A,#N/A,FALSE,"단축2";#N/A,#N/A,FALSE,"단축3";#N/A,#N/A,FALSE,"장축";#N/A,#N/A,FALSE,"4WD"}</definedName>
    <definedName name="SDSD" hidden="1">{#N/A,#N/A,FALSE,"단축1";#N/A,#N/A,FALSE,"단축2";#N/A,#N/A,FALSE,"단축3";#N/A,#N/A,FALSE,"장축";#N/A,#N/A,FALSE,"4WD"}</definedName>
    <definedName name="SDSS" hidden="1">{#N/A,#N/A,FALSE,"단축1";#N/A,#N/A,FALSE,"단축2";#N/A,#N/A,FALSE,"단축3";#N/A,#N/A,FALSE,"장축";#N/A,#N/A,FALSE,"4WD"}</definedName>
    <definedName name="SEGHRTH" hidden="1">{#N/A,#N/A,FALSE,"단축1";#N/A,#N/A,FALSE,"단축2";#N/A,#N/A,FALSE,"단축3";#N/A,#N/A,FALSE,"장축";#N/A,#N/A,FALSE,"4WD"}</definedName>
    <definedName name="senythgct" hidden="1">{#N/A,#N/A,FALSE,"단축1";#N/A,#N/A,FALSE,"단축2";#N/A,#N/A,FALSE,"단축3";#N/A,#N/A,FALSE,"장축";#N/A,#N/A,FALSE,"4WD"}</definedName>
    <definedName name="SES" hidden="1">#REF!</definedName>
    <definedName name="SFASDFASFASFASFSAFASDFASDFASDFASDF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DGHG" hidden="1">{#N/A,#N/A,FALSE,"단축1";#N/A,#N/A,FALSE,"단축2";#N/A,#N/A,FALSE,"단축3";#N/A,#N/A,FALSE,"장축";#N/A,#N/A,FALSE,"4WD"}</definedName>
    <definedName name="SFGHJK" hidden="1">{#N/A,#N/A,FALSE,"단축1";#N/A,#N/A,FALSE,"단축2";#N/A,#N/A,FALSE,"단축3";#N/A,#N/A,FALSE,"장축";#N/A,#N/A,FALSE,"4WD"}</definedName>
    <definedName name="SFJGH" hidden="1">{#N/A,#N/A,FALSE,"단축1";#N/A,#N/A,FALSE,"단축2";#N/A,#N/A,FALSE,"단축3";#N/A,#N/A,FALSE,"장축";#N/A,#N/A,FALSE,"4WD"}</definedName>
    <definedName name="SFSF" hidden="1">{#N/A,#N/A,TRUE,"일정"}</definedName>
    <definedName name="SFSFSFS" hidden="1">{#N/A,#N/A,FALSE,"단축1";#N/A,#N/A,FALSE,"단축2";#N/A,#N/A,FALSE,"단축3";#N/A,#N/A,FALSE,"장축";#N/A,#N/A,FALSE,"4WD"}</definedName>
    <definedName name="SHEET10" hidden="1">{#N/A,#N/A,FALSE,"단축1";#N/A,#N/A,FALSE,"단축2";#N/A,#N/A,FALSE,"단축3";#N/A,#N/A,FALSE,"장축";#N/A,#N/A,FALSE,"4WD"}</definedName>
    <definedName name="SIDE" hidden="1">{#N/A,#N/A,FALSE,"단축1";#N/A,#N/A,FALSE,"단축2";#N/A,#N/A,FALSE,"단축3";#N/A,#N/A,FALSE,"장축";#N/A,#N/A,FALSE,"4WD"}</definedName>
    <definedName name="SM" hidden="1">{#N/A,#N/A,FALSE,"단축1";#N/A,#N/A,FALSE,"단축2";#N/A,#N/A,FALSE,"단축3";#N/A,#N/A,FALSE,"장축";#N/A,#N/A,FALSE,"4WD"}</definedName>
    <definedName name="SMS" hidden="1">{#N/A,#N/A,FALSE,"단축1";#N/A,#N/A,FALSE,"단축2";#N/A,#N/A,FALSE,"단축3";#N/A,#N/A,FALSE,"장축";#N/A,#N/A,FALSE,"4WD"}</definedName>
    <definedName name="SONATA" hidden="1">{#N/A,#N/A,FALSE,"해외크레임";#N/A,#N/A,FALSE,"ACCENT현황";#N/A,#N/A,FALSE,"AVANTE";#N/A,#N/A,FALSE,"SONATA(3)";#N/A,#N/A,FALSE,"국내크레임"}</definedName>
    <definedName name="song" hidden="1">{#N/A,#N/A,FALSE,"단축1";#N/A,#N/A,FALSE,"단축2";#N/A,#N/A,FALSE,"단축3";#N/A,#N/A,FALSE,"장축";#N/A,#N/A,FALSE,"4WD"}</definedName>
    <definedName name="song1" hidden="1">{#N/A,#N/A,FALSE,"단축1";#N/A,#N/A,FALSE,"단축2";#N/A,#N/A,FALSE,"단축3";#N/A,#N/A,FALSE,"장축";#N/A,#N/A,FALSE,"4WD"}</definedName>
    <definedName name="SPEC2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RTDTRYFGT" hidden="1">{#N/A,#N/A,FALSE,"단축1";#N/A,#N/A,FALSE,"단축2";#N/A,#N/A,FALSE,"단축3";#N/A,#N/A,FALSE,"장축";#N/A,#N/A,FALSE,"4WD"}</definedName>
    <definedName name="SS" hidden="1">{#N/A,#N/A,FALSE,"단축1";#N/A,#N/A,FALSE,"단축2";#N/A,#N/A,FALSE,"단축3";#N/A,#N/A,FALSE,"장축";#N/A,#N/A,FALSE,"4WD"}</definedName>
    <definedName name="SSD" hidden="1">{#N/A,#N/A,FALSE,"을지 (4)";#N/A,#N/A,FALSE,"을지 (5)";#N/A,#N/A,FALSE,"을지 (6)"}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DGTGF" hidden="1">{#N/A,#N/A,FALSE,"단축1";#N/A,#N/A,FALSE,"단축2";#N/A,#N/A,FALSE,"단축3";#N/A,#N/A,FALSE,"장축";#N/A,#N/A,FALSE,"4WD"}</definedName>
    <definedName name="STH" hidden="1">{#N/A,#N/A,FALSE,"단축1";#N/A,#N/A,FALSE,"단축2";#N/A,#N/A,FALSE,"단축3";#N/A,#N/A,FALSE,"장축";#N/A,#N/A,FALSE,"4WD"}</definedName>
    <definedName name="SVETRUXT" hidden="1">{#N/A,#N/A,FALSE,"단축1";#N/A,#N/A,FALSE,"단축2";#N/A,#N/A,FALSE,"단축3";#N/A,#N/A,FALSE,"장축";#N/A,#N/A,FALSE,"4WD"}</definedName>
    <definedName name="TB" hidden="1">{#N/A,#N/A,FALSE,"단축1";#N/A,#N/A,FALSE,"단축2";#N/A,#N/A,FALSE,"단축3";#N/A,#N/A,FALSE,"장축";#N/A,#N/A,FALSE,"4WD"}</definedName>
    <definedName name="tc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DHFJMHM" hidden="1">{#N/A,#N/A,FALSE,"단축1";#N/A,#N/A,FALSE,"단축2";#N/A,#N/A,FALSE,"단축3";#N/A,#N/A,FALSE,"장축";#N/A,#N/A,FALSE,"4WD"}</definedName>
    <definedName name="TH" hidden="1">{#N/A,#N/A,FALSE,"단축1";#N/A,#N/A,FALSE,"단축2";#N/A,#N/A,FALSE,"단축3";#N/A,#N/A,FALSE,"장축";#N/A,#N/A,FALSE,"4WD"}</definedName>
    <definedName name="THEME2" hidden="1">{#N/A,#N/A,FALSE,"96 3월물량표";#N/A,#N/A,FALSE,"96 4월물량표";#N/A,#N/A,FALSE,"96 5월물량표"}</definedName>
    <definedName name="TIBURON" hidden="1">{#N/A,#N/A,FALSE,"해외크레임";#N/A,#N/A,FALSE,"ACCENT현황";#N/A,#N/A,FALSE,"AVANTE";#N/A,#N/A,FALSE,"SONATA(3)";#N/A,#N/A,FALSE,"국내크레임"}</definedName>
    <definedName name="TJAUDLWS" hidden="1">{#N/A,#N/A,TRUE,"Y생산";#N/A,#N/A,TRUE,"Y판매";#N/A,#N/A,TRUE,"Y총물량";#N/A,#N/A,TRUE,"Y능력";#N/A,#N/A,TRUE,"YKD"}</definedName>
    <definedName name="TLS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RETRETERWTF" hidden="1">{#N/A,#N/A,FALSE,"단축1";#N/A,#N/A,FALSE,"단축2";#N/A,#N/A,FALSE,"단축3";#N/A,#N/A,FALSE,"장축";#N/A,#N/A,FALSE,"4WD"}</definedName>
    <definedName name="TT" hidden="1">{#N/A,#N/A,FALSE,"단축1";#N/A,#N/A,FALSE,"단축2";#N/A,#N/A,FALSE,"단축3";#N/A,#N/A,FALSE,"장축";#N/A,#N/A,FALSE,"4WD"}</definedName>
    <definedName name="TTH" hidden="1">{#N/A,#N/A,FALSE,"신규dep";#N/A,#N/A,FALSE,"신규dep-금형상각후";#N/A,#N/A,FALSE,"신규dep-연구비상각후";#N/A,#N/A,FALSE,"신규dep-기계,공구상각후"}</definedName>
    <definedName name="tynervwsgrte" hidden="1">{#N/A,#N/A,FALSE,"단축1";#N/A,#N/A,FALSE,"단축2";#N/A,#N/A,FALSE,"단축3";#N/A,#N/A,FALSE,"장축";#N/A,#N/A,FALSE,"4WD"}</definedName>
    <definedName name="TYRUI" hidden="1">{#N/A,#N/A,FALSE,"단축1";#N/A,#N/A,FALSE,"단축2";#N/A,#N/A,FALSE,"단축3";#N/A,#N/A,FALSE,"장축";#N/A,#N/A,FALSE,"4WD"}</definedName>
    <definedName name="UEDGBSESTGRSE" hidden="1">{#N/A,#N/A,FALSE,"단축1";#N/A,#N/A,FALSE,"단축2";#N/A,#N/A,FALSE,"단축3";#N/A,#N/A,FALSE,"장축";#N/A,#N/A,FALSE,"4WD"}</definedName>
    <definedName name="UIDTYBHSERBFG" hidden="1">{#N/A,#N/A,FALSE,"단축1";#N/A,#N/A,FALSE,"단축2";#N/A,#N/A,FALSE,"단축3";#N/A,#N/A,FALSE,"장축";#N/A,#N/A,FALSE,"4WD"}</definedName>
    <definedName name="UIP" hidden="1">{#N/A,#N/A,FALSE,"단축1";#N/A,#N/A,FALSE,"단축2";#N/A,#N/A,FALSE,"단축3";#N/A,#N/A,FALSE,"장축";#N/A,#N/A,FALSE,"4WD"}</definedName>
    <definedName name="UYR" hidden="1">{#N/A,#N/A,FALSE,"단축1";#N/A,#N/A,FALSE,"단축2";#N/A,#N/A,FALSE,"단축3";#N/A,#N/A,FALSE,"장축";#N/A,#N/A,FALSE,"4WD"}</definedName>
    <definedName name="VDSAG" hidden="1">{#N/A,#N/A,TRUE,"일정"}</definedName>
    <definedName name="vttdfvgf" hidden="1">{#N/A,#N/A,FALSE,"단축1";#N/A,#N/A,FALSE,"단축2";#N/A,#N/A,FALSE,"단축3";#N/A,#N/A,FALSE,"장축";#N/A,#N/A,FALSE,"4WD"}</definedName>
    <definedName name="VYVY" hidden="1">{#N/A,#N/A,FALSE,"단축1";#N/A,#N/A,FALSE,"단축2";#N/A,#N/A,FALSE,"단축3";#N/A,#N/A,FALSE,"장축";#N/A,#N/A,FALSE,"4WD"}</definedName>
    <definedName name="WA" hidden="1">{#N/A,#N/A,FALSE,"초도품";#N/A,#N/A,FALSE,"초도품 (2)";#N/A,#N/A,FALSE,"초도품 (3)";#N/A,#N/A,FALSE,"초도품 (4)";#N/A,#N/A,FALSE,"초도품 (5)";#N/A,#N/A,FALSE,"초도품 (6)"}</definedName>
    <definedName name="WAFTDCYH" hidden="1">{#N/A,#N/A,FALSE,"단축1";#N/A,#N/A,FALSE,"단축2";#N/A,#N/A,FALSE,"단축3";#N/A,#N/A,FALSE,"장축";#N/A,#N/A,FALSE,"4WD"}</definedName>
    <definedName name="WARTFVGTUH" hidden="1">{#N/A,#N/A,FALSE,"단축1";#N/A,#N/A,FALSE,"단축2";#N/A,#N/A,FALSE,"단축3";#N/A,#N/A,FALSE,"장축";#N/A,#N/A,FALSE,"4WD"}</definedName>
    <definedName name="WAVTGDFDACER" hidden="1">{#N/A,#N/A,FALSE,"단축1";#N/A,#N/A,FALSE,"단축2";#N/A,#N/A,FALSE,"단축3";#N/A,#N/A,FALSE,"장축";#N/A,#N/A,FALSE,"4WD"}</definedName>
    <definedName name="WE" hidden="1">{#N/A,#N/A,FALSE,"을지 (4)";#N/A,#N/A,FALSE,"을지 (5)";#N/A,#N/A,FALSE,"을지 (6)"}</definedName>
    <definedName name="WEARF" hidden="1">{#N/A,#N/A,TRUE,"Y생산";#N/A,#N/A,TRUE,"Y판매";#N/A,#N/A,TRUE,"Y총물량";#N/A,#N/A,TRUE,"Y능력";#N/A,#N/A,TRUE,"YKD"}</definedName>
    <definedName name="WEE" hidden="1">{#N/A,#N/A,FALSE,"신규dep";#N/A,#N/A,FALSE,"신규dep-금형상각후";#N/A,#N/A,FALSE,"신규dep-연구비상각후";#N/A,#N/A,FALSE,"신규dep-기계,공구상각후"}</definedName>
    <definedName name="WEQ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T" hidden="1">{#N/A,#N/A,FALSE,"원가검토서"}</definedName>
    <definedName name="WETDRF" hidden="1">{#N/A,#N/A,FALSE,"단축1";#N/A,#N/A,FALSE,"단축2";#N/A,#N/A,FALSE,"단축3";#N/A,#N/A,FALSE,"장축";#N/A,#N/A,FALSE,"4WD"}</definedName>
    <definedName name="WETDSRGSRF" hidden="1">{#N/A,#N/A,FALSE,"단축1";#N/A,#N/A,FALSE,"단축2";#N/A,#N/A,FALSE,"단축3";#N/A,#N/A,FALSE,"장축";#N/A,#N/A,FALSE,"4WD"}</definedName>
    <definedName name="WETHFBY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frdtcyuf" hidden="1">{#N/A,#N/A,FALSE,"단축1";#N/A,#N/A,FALSE,"단축2";#N/A,#N/A,FALSE,"단축3";#N/A,#N/A,FALSE,"장축";#N/A,#N/A,FALSE,"4WD"}</definedName>
    <definedName name="WGEG" hidden="1">{#N/A,#N/A,FALSE,"원가검토서"}</definedName>
    <definedName name="WGREG" hidden="1">{#N/A,#N/A,FALSE,"원가검토서"}</definedName>
    <definedName name="WHRL" hidden="1">{#N/A,#N/A,FALSE,"단축1";#N/A,#N/A,FALSE,"단축2";#N/A,#N/A,FALSE,"단축3";#N/A,#N/A,FALSE,"장축";#N/A,#N/A,FALSE,"4WD"}</definedName>
    <definedName name="Wire_Chart" hidden="1">{"Wire Charts",#N/A,TRUE,"Wires"}</definedName>
    <definedName name="wkworhgk" hidden="1">{#N/A,#N/A,TRUE,"Y생산";#N/A,#N/A,TRUE,"Y판매";#N/A,#N/A,TRUE,"Y총물량";#N/A,#N/A,TRUE,"Y능력";#N/A,#N/A,TRUE,"YKD"}</definedName>
    <definedName name="wnd" hidden="1">{#N/A,#N/A,TRUE,"Y생산";#N/A,#N/A,TRUE,"Y판매";#N/A,#N/A,TRUE,"Y총물량";#N/A,#N/A,TRUE,"Y능력";#N/A,#N/A,TRUE,"YKD"}</definedName>
    <definedName name="WNEYGH" hidden="1">{#N/A,#N/A,FALSE,"단축1";#N/A,#N/A,FALSE,"단축2";#N/A,#N/A,FALSE,"단축3";#N/A,#N/A,FALSE,"장축";#N/A,#N/A,FALSE,"4WD"}</definedName>
    <definedName name="WNTEGFB" hidden="1">{#N/A,#N/A,FALSE,"단축1";#N/A,#N/A,FALSE,"단축2";#N/A,#N/A,FALSE,"단축3";#N/A,#N/A,FALSE,"장축";#N/A,#N/A,FALSE,"4WD"}</definedName>
    <definedName name="wpwkrdlfwjd" hidden="1">{#N/A,#N/A,FALSE,"단축1";#N/A,#N/A,FALSE,"단축2";#N/A,#N/A,FALSE,"단축3";#N/A,#N/A,FALSE,"장축";#N/A,#N/A,FALSE,"4WD"}</definedName>
    <definedName name="WQ" hidden="1">{#N/A,#N/A,FALSE,"을지 (4)";#N/A,#N/A,FALSE,"을지 (5)";#N/A,#N/A,FALSE,"을지 (6)"}</definedName>
    <definedName name="WQBYHCJYBHUH" hidden="1">{#N/A,#N/A,FALSE,"단축1";#N/A,#N/A,FALSE,"단축2";#N/A,#N/A,FALSE,"단축3";#N/A,#N/A,FALSE,"장축";#N/A,#N/A,FALSE,"4WD"}</definedName>
    <definedName name="wqsdsasrsacsd" hidden="1">{#N/A,#N/A,FALSE,"단축1";#N/A,#N/A,FALSE,"단축2";#N/A,#N/A,FALSE,"단축3";#N/A,#N/A,FALSE,"장축";#N/A,#N/A,FALSE,"4WD"}</definedName>
    <definedName name="WQTFGSDF" hidden="1">{#N/A,#N/A,FALSE,"단축1";#N/A,#N/A,FALSE,"단축2";#N/A,#N/A,FALSE,"단축3";#N/A,#N/A,FALSE,"장축";#N/A,#N/A,FALSE,"4WD"}</definedName>
    <definedName name="wrn.0km.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11." hidden="1">{#N/A,#N/A,FALSE,"해외크레임";#N/A,#N/A,FALSE,"ACCENT현황";#N/A,#N/A,FALSE,"AVANTE";#N/A,#N/A,FALSE,"SONATA(3)";#N/A,#N/A,FALSE,"국내크레임"}</definedName>
    <definedName name="wrn.1ECC49." hidden="1">{#N/A,#N/A,FALSE,"성적서";#N/A,#N/A,FALSE,"기준을"}</definedName>
    <definedName name="wrn.345." hidden="1">{#N/A,#N/A,FALSE,"96 3월물량표";#N/A,#N/A,FALSE,"96 4월물량표";#N/A,#N/A,FALSE,"96 5월물량표"}</definedName>
    <definedName name="wrn.AG._.Kosten." hidden="1">{#N/A,#N/A,FALSE,"AG";#N/A,#N/A,FALSE,"GB-I";#N/A,#N/A,FALSE,"GB--SR_K";#N/A,#N/A,FALSE,"GB-SR_B";#N/A,#N/A,FALSE,"GB-KS";#N/A,#N/A,FALSE,"Kammerer";#N/A,#N/A,FALSE,"Kienzle"}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ntrolled._.Shipping._.Orion." hidden="1">{#N/A,#N/A,FALSE,"Repair";#N/A,#N/A,FALSE,"Audit Room";#N/A,#N/A,FALSE,"Simulator"}</definedName>
    <definedName name="wrn.COST_CEN." hidden="1">{#N/A,#N/A,TRUE,"orig";#N/A,#N/A,TRUE,"dvd_key";#N/A,#N/A,TRUE,"OH1";#N/A,#N/A,TRUE,"allc_key";#N/A,#N/A,TRUE,"OH2"}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eckblatt." hidden="1">{#N/A,#N/A,FALSE,"Status";#N/A,#N/A,FALSE,"Deckblatt 1";#N/A,#N/A,FALSE,"Deckblatt2"}</definedName>
    <definedName name="wrn.ggausdr.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HWITEM." hidden="1">{#N/A,#N/A,FALSE,"삼진정공";#N/A,#N/A,FALSE,"영신금속";#N/A,#N/A,FALSE,"태양금속";#N/A,#N/A,FALSE,"진합정공";#N/A,#N/A,FALSE,"코리아";#N/A,#N/A,FALSE,"풍강금속";#N/A,#N/A,FALSE,"선일기계"}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osAG." hidden="1">{#N/A,#N/A,FALSE,"AG";#N/A,#N/A,FALSE,"UB-I";#N/A,#N/A,FALSE,"UB--SR_K";#N/A,#N/A,FALSE,"UB-SR_B";#N/A,#N/A,FALSE,"UB-KS";#N/A,#N/A,FALSE,"Kienzle"}</definedName>
    <definedName name="wrn.Kosten." hidden="1">{#N/A,#N/A,FALSE,"Australien";#N/A,#N/A,FALSE,"Birmingham";#N/A,#N/A,FALSE,"Brasilien";#N/A,#N/A,FALSE,"Prag";#N/A,#N/A,FALSE,"Spanien";#N/A,#N/A,FALSE,"Malaysia ( Com)";#N/A,#N/A,FALSE,"Malaysia (Instr)"}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Wire._.Chart._.Summary." hidden="1">{"Wire Charts",#N/A,TRUE,"Wires"}</definedName>
    <definedName name="wrn.Y차._.종합." hidden="1">{#N/A,#N/A,TRUE,"Y생산";#N/A,#N/A,TRUE,"Y판매";#N/A,#N/A,TRUE,"Y총물량";#N/A,#N/A,TRUE,"Y능력";#N/A,#N/A,TRUE,"YKD"}</definedName>
    <definedName name="wrn.고명석._.하반기._.업무보고." hidden="1">{#N/A,#N/A,FALSE,"검사-1";#N/A,#N/A,FALSE,"품질관리공정도";#N/A,#N/A,FALSE,"DR-1";#N/A,#N/A,FALSE,"DR-부적합";#N/A,#N/A,FALSE,"검사-부적합";#N/A,#N/A,FALSE,"검사기준서"}</definedName>
    <definedName name="wrn.남재연._.하반기._.업무보고.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업체선정보고서.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원가검토서." hidden="1">{#N/A,#N/A,FALSE,"원가검토서"}</definedName>
    <definedName name="wrn.윤원훈._.하반기._.보고." hidden="1">{#N/A,#N/A,FALSE,"검사-1";#N/A,#N/A,FALSE,"품질관리공정도";#N/A,#N/A,FALSE,"DR-1";#N/A,#N/A,FALSE,"검사-부적합";#N/A,#N/A,FALSE,"DR-부적합";#N/A,#N/A,FALSE,"검사기준서"}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재료비계정." hidden="1">{#N/A,#N/A,FALSE,"Cst of Sales (2)"}</definedName>
    <definedName name="wrn.전부인쇄." hidden="1">{#N/A,#N/A,FALSE,"단축1";#N/A,#N/A,FALSE,"단축2";#N/A,#N/A,FALSE,"단축3";#N/A,#N/A,FALSE,"장축";#N/A,#N/A,FALSE,"4WD"}</definedName>
    <definedName name="wrn.주간._.보고." hidden="1">{#N/A,#N/A,TRUE,"일정"}</definedName>
    <definedName name="wrn.하반기2팀._.보고서.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허치환씨._.하반기._.자료.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현대정공구매현황." hidden="1">{#N/A,#N/A,FALSE,"정공"}</definedName>
    <definedName name="WRTETDTRY" hidden="1">{#N/A,#N/A,FALSE,"단축1";#N/A,#N/A,FALSE,"단축2";#N/A,#N/A,FALSE,"단축3";#N/A,#N/A,FALSE,"장축";#N/A,#N/A,FALSE,"4WD"}</definedName>
    <definedName name="WS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QETFDTRGF" hidden="1">{#N/A,#N/A,FALSE,"단축1";#N/A,#N/A,FALSE,"단축2";#N/A,#N/A,FALSE,"단축3";#N/A,#N/A,FALSE,"장축";#N/A,#N/A,FALSE,"4WD"}</definedName>
    <definedName name="wtresfd" hidden="1">{#N/A,#N/A,FALSE,"단축1";#N/A,#N/A,FALSE,"단축2";#N/A,#N/A,FALSE,"단축3";#N/A,#N/A,FALSE,"장축";#N/A,#N/A,FALSE,"4WD"}</definedName>
    <definedName name="WVTFUYCTY" hidden="1">{#N/A,#N/A,FALSE,"단축1";#N/A,#N/A,FALSE,"단축2";#N/A,#N/A,FALSE,"단축3";#N/A,#N/A,FALSE,"장축";#N/A,#N/A,FALSE,"4WD"}</definedName>
    <definedName name="WVTYXG" hidden="1">{#N/A,#N/A,FALSE,"단축1";#N/A,#N/A,FALSE,"단축2";#N/A,#N/A,FALSE,"단축3";#N/A,#N/A,FALSE,"장축";#N/A,#N/A,FALSE,"4WD"}</definedName>
    <definedName name="wvu.Komplett.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EWERE" hidden="1">{#N/A,#N/A,FALSE,"신규dep";#N/A,#N/A,FALSE,"신규dep-금형상각후";#N/A,#N/A,FALSE,"신규dep-연구비상각후";#N/A,#N/A,FALSE,"신규dep-기계,공구상각후"}</definedName>
    <definedName name="WWW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w" hidden="1">{#N/A,#N/A,FALSE,"단축1";#N/A,#N/A,FALSE,"단축2";#N/A,#N/A,FALSE,"단축3";#N/A,#N/A,FALSE,"장축";#N/A,#N/A,FALSE,"4WD"}</definedName>
    <definedName name="WYU" hidden="1">{#N/A,#N/A,FALSE,"단축1";#N/A,#N/A,FALSE,"단축2";#N/A,#N/A,FALSE,"단축3";#N/A,#N/A,FALSE,"장축";#N/A,#N/A,FALSE,"4WD"}</definedName>
    <definedName name="XDS" hidden="1">{#N/A,#N/A,FALSE,"을지 (4)";#N/A,#N/A,FALSE,"을지 (5)";#N/A,#N/A,FALSE,"을지 (6)"}</definedName>
    <definedName name="XD개선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G개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XS" hidden="1">{#N/A,#N/A,FALSE,"을지 (4)";#N/A,#N/A,FALSE,"을지 (5)";#N/A,#N/A,FALSE,"을지 (6)"}</definedName>
    <definedName name="XWDSTGFTF" hidden="1">{#N/A,#N/A,FALSE,"단축1";#N/A,#N/A,FALSE,"단축2";#N/A,#N/A,FALSE,"단축3";#N/A,#N/A,FALSE,"장축";#N/A,#N/A,FALSE,"4WD"}</definedName>
    <definedName name="YCS" hidden="1">{#N/A,#N/A,FALSE,"단축1";#N/A,#N/A,FALSE,"단축2";#N/A,#N/A,FALSE,"단축3";#N/A,#N/A,FALSE,"장축";#N/A,#N/A,FALSE,"4WD"}</definedName>
    <definedName name="YTUJYTU" hidden="1">{#N/A,#N/A,FALSE,"단축1";#N/A,#N/A,FALSE,"단축2";#N/A,#N/A,FALSE,"단축3";#N/A,#N/A,FALSE,"장축";#N/A,#N/A,FALSE,"4WD"}</definedName>
    <definedName name="YYY" hidden="1">{#N/A,#N/A,TRUE,"Y생산";#N/A,#N/A,TRUE,"Y판매";#N/A,#N/A,TRUE,"Y총물량";#N/A,#N/A,TRUE,"Y능력";#N/A,#N/A,TRUE,"YKD"}</definedName>
    <definedName name="yyyy" hidden="1">{#N/A,#N/A,FALSE,"단축1";#N/A,#N/A,FALSE,"단축2";#N/A,#N/A,FALSE,"단축3";#N/A,#N/A,FALSE,"장축";#N/A,#N/A,FALSE,"4WD"}</definedName>
    <definedName name="YYYYY" hidden="1">{#N/A,#N/A,FALSE,"단축1";#N/A,#N/A,FALSE,"단축2";#N/A,#N/A,FALSE,"단축3";#N/A,#N/A,FALSE,"장축";#N/A,#N/A,FALSE,"4WD"}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_030BCFA9_A76B_11D1_B759_08000E21FF8D_.wvu.Cols" hidden="1">#REF!,#REF!,#REF!</definedName>
    <definedName name="Z_030BCFA9_A76B_11D1_B759_08000E21FF8D_.wvu.FilterData" hidden="1">#REF!</definedName>
    <definedName name="Z_030BCFA9_A76B_11D1_B759_08000E21FF8D_.wvu.PrintArea" hidden="1">#REF!</definedName>
    <definedName name="Z_030BCFA9_A76B_11D1_B759_08000E21FF8D_.wvu.PrintTitles" hidden="1">#REF!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ㄱ" hidden="1">{#N/A,#N/A,FALSE,"단축1";#N/A,#N/A,FALSE,"단축2";#N/A,#N/A,FALSE,"단축3";#N/A,#N/A,FALSE,"장축";#N/A,#N/A,FALSE,"4WD"}</definedName>
    <definedName name="ㄱㄱ" hidden="1">{#N/A,#N/A,FALSE,"단축1";#N/A,#N/A,FALSE,"단축2";#N/A,#N/A,FALSE,"단축3";#N/A,#N/A,FALSE,"장축";#N/A,#N/A,FALSE,"4WD"}</definedName>
    <definedName name="ㄱㄱㄱ" hidden="1">{#N/A,#N/A,FALSE,"단축1";#N/A,#N/A,FALSE,"단축2";#N/A,#N/A,FALSE,"단축3";#N/A,#N/A,FALSE,"장축";#N/A,#N/A,FALSE,"4WD"}</definedName>
    <definedName name="ㄱㄱㄱㅇ" hidden="1">{#N/A,#N/A,FALSE,"단축1";#N/A,#N/A,FALSE,"단축2";#N/A,#N/A,FALSE,"단축3";#N/A,#N/A,FALSE,"장축";#N/A,#N/A,FALSE,"4WD"}</definedName>
    <definedName name="ㄱㄳ" hidden="1">{#N/A,#N/A,FALSE,"단축1";#N/A,#N/A,FALSE,"단축2";#N/A,#N/A,FALSE,"단축3";#N/A,#N/A,FALSE,"장축";#N/A,#N/A,FALSE,"4WD"}</definedName>
    <definedName name="ㄱㄷㄱㄱ" hidden="1">{#N/A,#N/A,TRUE,"일정"}</definedName>
    <definedName name="ㄱㄷㅁㄱ" hidden="1">{#N/A,#N/A,FALSE,"단축1";#N/A,#N/A,FALSE,"단축2";#N/A,#N/A,FALSE,"단축3";#N/A,#N/A,FALSE,"장축";#N/A,#N/A,FALSE,"4WD"}</definedName>
    <definedName name="ㄱㄷㅎㄱㄷㅎㄷㄱ" hidden="1">{#N/A,#N/A,FALSE,"단축1";#N/A,#N/A,FALSE,"단축2";#N/A,#N/A,FALSE,"단축3";#N/A,#N/A,FALSE,"장축";#N/A,#N/A,FALSE,"4WD"}</definedName>
    <definedName name="ㄱㄷㅎㄱㅎㄱ" hidden="1">{#N/A,#N/A,FALSE,"단축1";#N/A,#N/A,FALSE,"단축2";#N/A,#N/A,FALSE,"단축3";#N/A,#N/A,FALSE,"장축";#N/A,#N/A,FALSE,"4WD"}</definedName>
    <definedName name="ㄱㄹㄹㅇㅍㄹㅇㄴㅇㄿㅍㄹㄹㄹ" hidden="1">{#N/A,#N/A,FALSE,"단축1";#N/A,#N/A,FALSE,"단축2";#N/A,#N/A,FALSE,"단축3";#N/A,#N/A,FALSE,"장축";#N/A,#N/A,FALSE,"4WD"}</definedName>
    <definedName name="ㄱ쇼" hidden="1">{#N/A,#N/A,FALSE,"원가검토서"}</definedName>
    <definedName name="ㄱ쇼ㅗㅕ7ㅑ" hidden="1">{#N/A,#N/A,FALSE,"신규dep";#N/A,#N/A,FALSE,"신규dep-금형상각후";#N/A,#N/A,FALSE,"신규dep-연구비상각후";#N/A,#N/A,FALSE,"신규dep-기계,공구상각후"}</definedName>
    <definedName name="ㄱㅇ" hidden="1">{#N/A,#N/A,FALSE,"단축1";#N/A,#N/A,FALSE,"단축2";#N/A,#N/A,FALSE,"단축3";#N/A,#N/A,FALSE,"장축";#N/A,#N/A,FALSE,"4WD"}</definedName>
    <definedName name="ㄱㅇㄴㅇㄴㅇㄹㄻㅁ" hidden="1">{#N/A,#N/A,FALSE,"단축1";#N/A,#N/A,FALSE,"단축2";#N/A,#N/A,FALSE,"단축3";#N/A,#N/A,FALSE,"장축";#N/A,#N/A,FALSE,"4WD"}</definedName>
    <definedName name="가1" hidden="1">{#N/A,#N/A,TRUE,"Y생산";#N/A,#N/A,TRUE,"Y판매";#N/A,#N/A,TRUE,"Y총물량";#N/A,#N/A,TRUE,"Y능력";#N/A,#N/A,TRUE,"YKD"}</definedName>
    <definedName name="가고싶다" hidden="1">{#N/A,#N/A,FALSE,"단축1";#N/A,#N/A,FALSE,"단축2";#N/A,#N/A,FALSE,"단축3";#N/A,#N/A,FALSE,"장축";#N/A,#N/A,FALSE,"4WD"}</definedName>
    <definedName name="가나" hidden="1">{#N/A,#N/A,FALSE,"단축1";#N/A,#N/A,FALSE,"단축2";#N/A,#N/A,FALSE,"단축3";#N/A,#N/A,FALSE,"장축";#N/A,#N/A,FALSE,"4WD"}</definedName>
    <definedName name="가나다라" hidden="1">{#N/A,#N/A,FALSE,"단축1";#N/A,#N/A,FALSE,"단축2";#N/A,#N/A,FALSE,"단축3";#N/A,#N/A,FALSE,"장축";#N/A,#N/A,FALSE,"4WD"}</definedName>
    <definedName name="가나다라마" hidden="1">{#N/A,#N/A,FALSE,"성적서";#N/A,#N/A,FALSE,"기준을"}</definedName>
    <definedName name="가나마" hidden="1">{#N/A,#N/A,FALSE,"신규dep";#N/A,#N/A,FALSE,"신규dep-금형상각후";#N/A,#N/A,FALSE,"신규dep-연구비상각후";#N/A,#N/A,FALSE,"신규dep-기계,공구상각후"}</definedName>
    <definedName name="가동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가을" hidden="1">{#N/A,#N/A,FALSE,"단축1";#N/A,#N/A,FALSE,"단축2";#N/A,#N/A,FALSE,"단축3";#N/A,#N/A,FALSE,"장축";#N/A,#N/A,FALSE,"4WD"}</definedName>
    <definedName name="각" hidden="1">{#N/A,#N/A,FALSE,"단축1";#N/A,#N/A,FALSE,"단축2";#N/A,#N/A,FALSE,"단축3";#N/A,#N/A,FALSE,"장축";#N/A,#N/A,FALSE,"4WD"}</definedName>
    <definedName name="각가가" hidden="1">{#N/A,#N/A,FALSE,"단축1";#N/A,#N/A,FALSE,"단축2";#N/A,#N/A,FALSE,"단축3";#N/A,#N/A,FALSE,"장축";#N/A,#N/A,FALSE,"4WD"}</definedName>
    <definedName name="각방안" hidden="1">{#N/A,#N/A,FALSE,"단축1";#N/A,#N/A,FALSE,"단축2";#N/A,#N/A,FALSE,"단축3";#N/A,#N/A,FALSE,"장축";#N/A,#N/A,FALSE,"4WD"}</definedName>
    <definedName name="각자" hidden="1">{#N/A,#N/A,FALSE,"단축1";#N/A,#N/A,FALSE,"단축2";#N/A,#N/A,FALSE,"단축3";#N/A,#N/A,FALSE,"장축";#N/A,#N/A,FALSE,"4WD"}</definedName>
    <definedName name="개" hidden="1">{#N/A,#N/A,FALSE,"단축1";#N/A,#N/A,FALSE,"단축2";#N/A,#N/A,FALSE,"단축3";#N/A,#N/A,FALSE,"장축";#N/A,#N/A,FALSE,"4WD"}</definedName>
    <definedName name="개발문제범" hidden="1">{#N/A,#N/A,FALSE,"단축1";#N/A,#N/A,FALSE,"단축2";#N/A,#N/A,FALSE,"단축3";#N/A,#N/A,FALSE,"장축";#N/A,#N/A,FALSE,"4WD"}</definedName>
    <definedName name="개발문제범2" hidden="1">{#N/A,#N/A,FALSE,"단축1";#N/A,#N/A,FALSE,"단축2";#N/A,#N/A,FALSE,"단축3";#N/A,#N/A,FALSE,"장축";#N/A,#N/A,FALSE,"4WD"}</definedName>
    <definedName name="개발시험종합" hidden="1">#REF!</definedName>
    <definedName name="개발일정수정" hidden="1">{#N/A,#N/A,FALSE,"단축1";#N/A,#N/A,FALSE,"단축2";#N/A,#N/A,FALSE,"단축3";#N/A,#N/A,FALSE,"장축";#N/A,#N/A,FALSE,"4WD"}</definedName>
    <definedName name="개선" hidden="1">{#N/A,#N/A,FALSE,"단축1";#N/A,#N/A,FALSE,"단축2";#N/A,#N/A,FALSE,"단축3";#N/A,#N/A,FALSE,"장축";#N/A,#N/A,FALSE,"4WD"}</definedName>
    <definedName name="개선과장1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개선내용" hidden="1">{#N/A,#N/A,FALSE,"단축1";#N/A,#N/A,FALSE,"단축2";#N/A,#N/A,FALSE,"단축3";#N/A,#N/A,FALSE,"장축";#N/A,#N/A,FALSE,"4WD"}</definedName>
    <definedName name="개선대책CONT" hidden="1">{#N/A,#N/A,FALSE,"단축1";#N/A,#N/A,FALSE,"단축2";#N/A,#N/A,FALSE,"단축3";#N/A,#N/A,FALSE,"장축";#N/A,#N/A,FALSE,"4WD"}</definedName>
    <definedName name="개선실적" hidden="1">{#N/A,#N/A,TRUE,"Y생산";#N/A,#N/A,TRUE,"Y판매";#N/A,#N/A,TRUE,"Y총물량";#N/A,#N/A,TRUE,"Y능력";#N/A,#N/A,TRUE,"YKD"}</definedName>
    <definedName name="검사기준서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을지" hidden="1">{#N/A,#N/A,FALSE,"단축1";#N/A,#N/A,FALSE,"단축2";#N/A,#N/A,FALSE,"단축3";#N/A,#N/A,FALSE,"장축";#N/A,#N/A,FALSE,"4WD"}</definedName>
    <definedName name="검사협정FRT" hidden="1">{#N/A,#N/A,FALSE,"단축1";#N/A,#N/A,FALSE,"단축2";#N/A,#N/A,FALSE,"단축3";#N/A,#N/A,FALSE,"장축";#N/A,#N/A,FALSE,"4WD"}</definedName>
    <definedName name="검토" hidden="1">{#N/A,#N/A,FALSE,"단축1";#N/A,#N/A,FALSE,"단축2";#N/A,#N/A,FALSE,"단축3";#N/A,#N/A,FALSE,"장축";#N/A,#N/A,FALSE,"4WD"}</definedName>
    <definedName name="검토3" hidden="1">{#N/A,#N/A,FALSE,"단축1";#N/A,#N/A,FALSE,"단축2";#N/A,#N/A,FALSE,"단축3";#N/A,#N/A,FALSE,"장축";#N/A,#N/A,FALSE,"4WD"}</definedName>
    <definedName name="검토6학" hidden="1">{#N/A,#N/A,FALSE,"단축1";#N/A,#N/A,FALSE,"단축2";#N/A,#N/A,FALSE,"단축3";#N/A,#N/A,FALSE,"장축";#N/A,#N/A,FALSE,"4WD"}</definedName>
    <definedName name="검협갑지" hidden="1">#REF!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합금2과운연계획" hidden="1">{#N/A,#N/A,TRUE,"Y생산";#N/A,#N/A,TRUE,"Y판매";#N/A,#N/A,TRUE,"Y총물량";#N/A,#N/A,TRUE,"Y능력";#N/A,#N/A,TRUE,"YKD"}</definedName>
    <definedName name="계획" hidden="1">{#N/A,#N/A,FALSE,"단축1";#N/A,#N/A,FALSE,"단축2";#N/A,#N/A,FALSE,"단축3";#N/A,#N/A,FALSE,"장축";#N/A,#N/A,FALSE,"4WD"}</definedName>
    <definedName name="계획.1" hidden="1">{#N/A,#N/A,FALSE,"단축1";#N/A,#N/A,FALSE,"단축2";#N/A,#N/A,FALSE,"단축3";#N/A,#N/A,FALSE,"장축";#N/A,#N/A,FALSE,"4WD"}</definedName>
    <definedName name="계획1" hidden="1">{#N/A,#N/A,FALSE,"단축1";#N/A,#N/A,FALSE,"단축2";#N/A,#N/A,FALSE,"단축3";#N/A,#N/A,FALSE,"장축";#N/A,#N/A,FALSE,"4WD"}</definedName>
    <definedName name="계획2" hidden="1">{#N/A,#N/A,FALSE,"단축1";#N/A,#N/A,FALSE,"단축2";#N/A,#N/A,FALSE,"단축3";#N/A,#N/A,FALSE,"장축";#N/A,#N/A,FALSE,"4WD"}</definedName>
    <definedName name="계획서" hidden="1">{"Wire Charts",#N/A,TRUE,"Wires"}</definedName>
    <definedName name="고고고" hidden="1">{#N/A,#N/A,FALSE,"원가검토서"}</definedName>
    <definedName name="고어얼어러럴" hidden="1">{#N/A,#N/A,FALSE,"단축1";#N/A,#N/A,FALSE,"단축2";#N/A,#N/A,FALSE,"단축3";#N/A,#N/A,FALSE,"장축";#N/A,#N/A,FALSE,"4WD"}</definedName>
    <definedName name="공" hidden="1">{#N/A,#N/A,FALSE,"단축1";#N/A,#N/A,FALSE,"단축2";#N/A,#N/A,FALSE,"단축3";#N/A,#N/A,FALSE,"장축";#N/A,#N/A,FALSE,"4WD"}</definedName>
    <definedName name="공급자" hidden="1">#REF!</definedName>
    <definedName name="공성환" hidden="1">{#N/A,#N/A,FALSE,"단축1";#N/A,#N/A,FALSE,"단축2";#N/A,#N/A,FALSE,"단축3";#N/A,#N/A,FALSE,"장축";#N/A,#N/A,FALSE,"4WD"}</definedName>
    <definedName name="공정도" hidden="1">{#N/A,#N/A,FALSE,"원가검토서"}</definedName>
    <definedName name="공통" hidden="1">{#N/A,#N/A,FALSE,"단축1";#N/A,#N/A,FALSE,"단축2";#N/A,#N/A,FALSE,"단축3";#N/A,#N/A,FALSE,"장축";#N/A,#N/A,FALSE,"4WD"}</definedName>
    <definedName name="과거" hidden="1">{#N/A,#N/A,FALSE,"단축1";#N/A,#N/A,FALSE,"단축2";#N/A,#N/A,FALSE,"단축3";#N/A,#N/A,FALSE,"장축";#N/A,#N/A,FALSE,"4WD"}</definedName>
    <definedName name="과거차" hidden="1">{#N/A,#N/A,FALSE,"단축1";#N/A,#N/A,FALSE,"단축2";#N/A,#N/A,FALSE,"단축3";#N/A,#N/A,FALSE,"장축";#N/A,#N/A,FALSE,"4WD"}</definedName>
    <definedName name="과거차_01" hidden="1">{#N/A,#N/A,FALSE,"단축1";#N/A,#N/A,FALSE,"단축2";#N/A,#N/A,FALSE,"단축3";#N/A,#N/A,FALSE,"장축";#N/A,#N/A,FALSE,"4WD"}</definedName>
    <definedName name="과거차06" hidden="1">{#N/A,#N/A,FALSE,"단축1";#N/A,#N/A,FALSE,"단축2";#N/A,#N/A,FALSE,"단축3";#N/A,#N/A,FALSE,"장축";#N/A,#N/A,FALSE,"4WD"}</definedName>
    <definedName name="과거차07" hidden="1">{#N/A,#N/A,FALSE,"단축1";#N/A,#N/A,FALSE,"단축2";#N/A,#N/A,FALSE,"단축3";#N/A,#N/A,FALSE,"장축";#N/A,#N/A,FALSE,"4WD"}</definedName>
    <definedName name="과거차문제1" hidden="1">{#N/A,#N/A,FALSE,"단축1";#N/A,#N/A,FALSE,"단축2";#N/A,#N/A,FALSE,"단축3";#N/A,#N/A,FALSE,"장축";#N/A,#N/A,FALSE,"4WD"}</definedName>
    <definedName name="과거차문제11" hidden="1">{#N/A,#N/A,FALSE,"단축1";#N/A,#N/A,FALSE,"단축2";#N/A,#N/A,FALSE,"단축3";#N/A,#N/A,FALSE,"장축";#N/A,#N/A,FALSE,"4WD"}</definedName>
    <definedName name="관리지표2" hidden="1">{#N/A,#N/A,TRUE,"Y생산";#N/A,#N/A,TRUE,"Y판매";#N/A,#N/A,TRUE,"Y총물량";#N/A,#N/A,TRUE,"Y능력";#N/A,#N/A,TRUE,"YKD"}</definedName>
    <definedName name="권오종" hidden="1">{#N/A,#N/A,FALSE,"단축1";#N/A,#N/A,FALSE,"단축2";#N/A,#N/A,FALSE,"단축3";#N/A,#N/A,FALSE,"장축";#N/A,#N/A,FALSE,"4WD"}</definedName>
    <definedName name="그레이스2" hidden="1">{#N/A,#N/A,FALSE,"단축1";#N/A,#N/A,FALSE,"단축2";#N/A,#N/A,FALSE,"단축3";#N/A,#N/A,FALSE,"장축";#N/A,#N/A,FALSE,"4WD"}</definedName>
    <definedName name="그룹나눈" hidden="1">{#N/A,#N/A,FALSE,"단축1";#N/A,#N/A,FALSE,"단축2";#N/A,#N/A,FALSE,"단축3";#N/A,#N/A,FALSE,"장축";#N/A,#N/A,FALSE,"4WD"}</definedName>
    <definedName name="그림1" hidden="1">{#N/A,#N/A,FALSE,"을지 (4)";#N/A,#N/A,FALSE,"을지 (5)";#N/A,#N/A,FALSE,"을지 (6)"}</definedName>
    <definedName name="근거2" hidden="1">{#N/A,#N/A,FALSE,"단축1";#N/A,#N/A,FALSE,"단축2";#N/A,#N/A,FALSE,"단축3";#N/A,#N/A,FALSE,"장축";#N/A,#N/A,FALSE,"4WD"}</definedName>
    <definedName name="금" hidden="1">{#N/A,#N/A,FALSE,"원가검토서"}</definedName>
    <definedName name="금월" hidden="1">{#N/A,#N/A,TRUE,"Y생산";#N/A,#N/A,TRUE,"Y판매";#N/A,#N/A,TRUE,"Y총물량";#N/A,#N/A,TRUE,"Y능력";#N/A,#N/A,TRUE,"YKD"}</definedName>
    <definedName name="금형" hidden="1">{#N/A,#N/A,FALSE,"원가검토서"}</definedName>
    <definedName name="금형3" hidden="1">{#N/A,#N/A,FALSE,"단축1";#N/A,#N/A,FALSE,"단축2";#N/A,#N/A,FALSE,"단축3";#N/A,#N/A,FALSE,"장축";#N/A,#N/A,FALSE,"4WD"}</definedName>
    <definedName name="금형견적" hidden="1">{#N/A,#N/A,FALSE,"원가검토서"}</definedName>
    <definedName name="금형제작일정" hidden="1">{#N/A,#N/A,FALSE,"단축1";#N/A,#N/A,FALSE,"단축2";#N/A,#N/A,FALSE,"단축3";#N/A,#N/A,FALSE,"장축";#N/A,#N/A,FALSE,"4WD"}</definedName>
    <definedName name="금형진행현황" hidden="1">{#N/A,#N/A,FALSE,"Cst of Sales (2)"}</definedName>
    <definedName name="기관예산" hidden="1">{#N/A,#N/A,FALSE,"단축1";#N/A,#N/A,FALSE,"단축2";#N/A,#N/A,FALSE,"단축3";#N/A,#N/A,FALSE,"장축";#N/A,#N/A,FALSE,"4WD"}</definedName>
    <definedName name="기르는" hidden="1">{#N/A,#N/A,FALSE,"단축1";#N/A,#N/A,FALSE,"단축2";#N/A,#N/A,FALSE,"단축3";#N/A,#N/A,FALSE,"장축";#N/A,#N/A,FALSE,"4WD"}</definedName>
    <definedName name="기른" hidden="1">{#N/A,#N/A,FALSE,"단축1";#N/A,#N/A,FALSE,"단축2";#N/A,#N/A,FALSE,"단축3";#N/A,#N/A,FALSE,"장축";#N/A,#N/A,FALSE,"4WD"}</definedName>
    <definedName name="기를다" hidden="1">{#N/A,#N/A,FALSE,"단축1";#N/A,#N/A,FALSE,"단축2";#N/A,#N/A,FALSE,"단축3";#N/A,#N/A,FALSE,"장축";#N/A,#N/A,FALSE,"4WD"}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" hidden="1">{#N/A,#N/A,FALSE,"단축1";#N/A,#N/A,FALSE,"단축2";#N/A,#N/A,FALSE,"단축3";#N/A,#N/A,FALSE,"장축";#N/A,#N/A,FALSE,"4WD"}</definedName>
    <definedName name="기술" hidden="1">{#N/A,#N/A,FALSE,"단축1";#N/A,#N/A,FALSE,"단축2";#N/A,#N/A,FALSE,"단축3";#N/A,#N/A,FALSE,"장축";#N/A,#N/A,FALSE,"4WD"}</definedName>
    <definedName name="기아" hidden="1">{#N/A,#N/A,FALSE,"단축1";#N/A,#N/A,FALSE,"단축2";#N/A,#N/A,FALSE,"단축3";#N/A,#N/A,FALSE,"장축";#N/A,#N/A,FALSE,"4WD"}</definedName>
    <definedName name="기아자동차" hidden="1">{#N/A,#N/A,FALSE,"단축1";#N/A,#N/A,FALSE,"단축2";#N/A,#N/A,FALSE,"단축3";#N/A,#N/A,FALSE,"장축";#N/A,#N/A,FALSE,"4WD"}</definedName>
    <definedName name="기존차" hidden="1">{#N/A,#N/A,FALSE,"단축1";#N/A,#N/A,FALSE,"단축2";#N/A,#N/A,FALSE,"단축3";#N/A,#N/A,FALSE,"장축";#N/A,#N/A,FALSE,"4WD"}</definedName>
    <definedName name="김광태" hidden="1">{#N/A,#N/A,FALSE,"단축1";#N/A,#N/A,FALSE,"단축2";#N/A,#N/A,FALSE,"단축3";#N/A,#N/A,FALSE,"장축";#N/A,#N/A,FALSE,"4WD"}</definedName>
    <definedName name="김윤기" hidden="1">{#N/A,#N/A,FALSE,"단축1";#N/A,#N/A,FALSE,"단축2";#N/A,#N/A,FALSE,"단축3";#N/A,#N/A,FALSE,"장축";#N/A,#N/A,FALSE,"4WD"}</definedName>
    <definedName name="김종경" hidden="1">{#N/A,#N/A,FALSE,"단축1";#N/A,#N/A,FALSE,"단축2";#N/A,#N/A,FALSE,"단축3";#N/A,#N/A,FALSE,"장축";#N/A,#N/A,FALSE,"4WD"}</definedName>
    <definedName name="ㄳㄱㄷㄱ" hidden="1">{#N/A,#N/A,FALSE,"단축1";#N/A,#N/A,FALSE,"단축2";#N/A,#N/A,FALSE,"단축3";#N/A,#N/A,FALSE,"장축";#N/A,#N/A,FALSE,"4WD"}</definedName>
    <definedName name="ㄳㄷㄳ" hidden="1">{#N/A,#N/A,FALSE,"단축1";#N/A,#N/A,FALSE,"단축2";#N/A,#N/A,FALSE,"단축3";#N/A,#N/A,FALSE,"장축";#N/A,#N/A,FALSE,"4WD"}</definedName>
    <definedName name="ㄳㅁㄴ" hidden="1">{#N/A,#N/A,FALSE,"단축1";#N/A,#N/A,FALSE,"단축2";#N/A,#N/A,FALSE,"단축3";#N/A,#N/A,FALSE,"장축";#N/A,#N/A,FALSE,"4WD"}</definedName>
    <definedName name="ㄴㄹ" hidden="1">{#N/A,#N/A,FALSE,"단축1";#N/A,#N/A,FALSE,"단축2";#N/A,#N/A,FALSE,"단축3";#N/A,#N/A,FALSE,"장축";#N/A,#N/A,FALSE,"4WD"}</definedName>
    <definedName name="ㄴㄹㄹ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ㄻㄴ" hidden="1">{#N/A,#N/A,FALSE,"AG";#N/A,#N/A,FALSE,"GB-I";#N/A,#N/A,FALSE,"GB--SR_K";#N/A,#N/A,FALSE,"GB-SR_B";#N/A,#N/A,FALSE,"GB-KS";#N/A,#N/A,FALSE,"Kammerer";#N/A,#N/A,FALSE,"Kienzle"}</definedName>
    <definedName name="ㄴㅁㄹ" hidden="1">{#N/A,#N/A,FALSE,"단축1";#N/A,#N/A,FALSE,"단축2";#N/A,#N/A,FALSE,"단축3";#N/A,#N/A,FALSE,"장축";#N/A,#N/A,FALSE,"4WD"}</definedName>
    <definedName name="ㄴㅁㄹㅊㅇ" hidden="1">{#N/A,#N/A,FALSE,"단축1";#N/A,#N/A,FALSE,"단축2";#N/A,#N/A,FALSE,"단축3";#N/A,#N/A,FALSE,"장축";#N/A,#N/A,FALSE,"4WD"}</definedName>
    <definedName name="ㄴㅁㅅㅎㄹㅇ놀허ㅗㅎ" hidden="1">{#N/A,#N/A,FALSE,"단축1";#N/A,#N/A,FALSE,"단축2";#N/A,#N/A,FALSE,"단축3";#N/A,#N/A,FALSE,"장축";#N/A,#N/A,FALSE,"4WD"}</definedName>
    <definedName name="ㄴㅁㅇㅎㅇ롱로" hidden="1">#REF!</definedName>
    <definedName name="ㄴㅁ표ㅕㅓㅗ올ㅇ" hidden="1">{#N/A,#N/A,FALSE,"단축1";#N/A,#N/A,FALSE,"단축2";#N/A,#N/A,FALSE,"단축3";#N/A,#N/A,FALSE,"장축";#N/A,#N/A,FALSE,"4WD"}</definedName>
    <definedName name="ㄴㅅㄹ흁ㅇ" hidden="1">{#N/A,#N/A,FALSE,"단축1";#N/A,#N/A,FALSE,"단축2";#N/A,#N/A,FALSE,"단축3";#N/A,#N/A,FALSE,"장축";#N/A,#N/A,FALSE,"4WD"}</definedName>
    <definedName name="ㄴㅇ" hidden="1">{#N/A,#N/A,TRUE,"Y생산";#N/A,#N/A,TRUE,"Y판매";#N/A,#N/A,TRUE,"Y총물량";#N/A,#N/A,TRUE,"Y능력";#N/A,#N/A,TRUE,"YKD"}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ㅇㄴㄹ" hidden="1">{#N/A,#N/A,FALSE,"단축1";#N/A,#N/A,FALSE,"단축2";#N/A,#N/A,FALSE,"단축3";#N/A,#N/A,FALSE,"장축";#N/A,#N/A,FALSE,"4WD"}</definedName>
    <definedName name="ㄴㅇㄻㄴ" hidden="1">{#N/A,#N/A,FALSE,"Status";#N/A,#N/A,FALSE,"Deckblatt 1";#N/A,#N/A,FALSE,"Deckblatt2"}</definedName>
    <definedName name="ㄴㅇㅊㄹㄴㅇㄹ" hidden="1">{#N/A,#N/A,FALSE,"단축1";#N/A,#N/A,FALSE,"단축2";#N/A,#N/A,FALSE,"단축3";#N/A,#N/A,FALSE,"장축";#N/A,#N/A,FALSE,"4WD"}</definedName>
    <definedName name="ㄴㅇㅎㅇㅀ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ㄴ퓰ㅇㅍㄴㅅㅇ" hidden="1">{#N/A,#N/A,FALSE,"단축1";#N/A,#N/A,FALSE,"단축2";#N/A,#N/A,FALSE,"단축3";#N/A,#N/A,FALSE,"장축";#N/A,#N/A,FALSE,"4WD"}</definedName>
    <definedName name="나나나" hidden="1">{#N/A,#N/A,FALSE,"단축1";#N/A,#N/A,FALSE,"단축2";#N/A,#N/A,FALSE,"단축3";#N/A,#N/A,FALSE,"장축";#N/A,#N/A,FALSE,"4WD"}</definedName>
    <definedName name="나다라" hidden="1">{#N/A,#N/A,FALSE,"단축1";#N/A,#N/A,FALSE,"단축2";#N/A,#N/A,FALSE,"단축3";#N/A,#N/A,FALSE,"장축";#N/A,#N/A,FALSE,"4WD"}</definedName>
    <definedName name="나라말" hidden="1">{#N/A,#N/A,FALSE,"단축1";#N/A,#N/A,FALSE,"단축2";#N/A,#N/A,FALSE,"단축3";#N/A,#N/A,FALSE,"장축";#N/A,#N/A,FALSE,"4WD"}</definedName>
    <definedName name="내역분석" hidden="1">{#N/A,#N/A,FALSE,"을지 (4)";#N/A,#N/A,FALSE,"을지 (5)";#N/A,#N/A,FALSE,"을지 (6)"}</definedName>
    <definedName name="냉각" hidden="1">{#N/A,#N/A,FALSE,"단축1";#N/A,#N/A,FALSE,"단축2";#N/A,#N/A,FALSE,"단축3";#N/A,#N/A,FALSE,"장축";#N/A,#N/A,FALSE,"4WD"}</definedName>
    <definedName name="년도" hidden="1">{#N/A,#N/A,FALSE,"단축1";#N/A,#N/A,FALSE,"단축2";#N/A,#N/A,FALSE,"단축3";#N/A,#N/A,FALSE,"장축";#N/A,#N/A,FALSE,"4WD"}</definedName>
    <definedName name="ㄶㄱㅍㄱㅎㄱㅍ" hidden="1">{#N/A,#N/A,FALSE,"단축1";#N/A,#N/A,FALSE,"단축2";#N/A,#N/A,FALSE,"단축3";#N/A,#N/A,FALSE,"장축";#N/A,#N/A,FALSE,"4WD"}</definedName>
    <definedName name="ㄷㄱ" hidden="1">{#N/A,#N/A,FALSE,"Australien";#N/A,#N/A,FALSE,"Birmingham";#N/A,#N/A,FALSE,"Brasilien";#N/A,#N/A,FALSE,"Prag";#N/A,#N/A,FALSE,"Spanien";#N/A,#N/A,FALSE,"Malaysia ( Com)";#N/A,#N/A,FALSE,"Malaysia (Instr)"}</definedName>
    <definedName name="ㄷㄱㄱㄷ" hidden="1">{#N/A,#N/A,FALSE,"신규dep";#N/A,#N/A,FALSE,"신규dep-금형상각후";#N/A,#N/A,FALSE,"신규dep-연구비상각후";#N/A,#N/A,FALSE,"신규dep-기계,공구상각후"}</definedName>
    <definedName name="ㄷㄱㄱㄾㅊ" hidden="1">{#N/A,#N/A,FALSE,"단축1";#N/A,#N/A,FALSE,"단축2";#N/A,#N/A,FALSE,"단축3";#N/A,#N/A,FALSE,"장축";#N/A,#N/A,FALSE,"4WD"}</definedName>
    <definedName name="ㄷㄱㄷㄱ" hidden="1">{#N/A,#N/A,FALSE,"단축1";#N/A,#N/A,FALSE,"단축2";#N/A,#N/A,FALSE,"단축3";#N/A,#N/A,FALSE,"장축";#N/A,#N/A,FALSE,"4WD"}</definedName>
    <definedName name="ㄷㄱㄷㄱㄱ" hidden="1">{#N/A,#N/A,FALSE,"단축1";#N/A,#N/A,FALSE,"단축2";#N/A,#N/A,FALSE,"단축3";#N/A,#N/A,FALSE,"장축";#N/A,#N/A,FALSE,"4WD"}</definedName>
    <definedName name="ㄷㄱㄹㄷㄱㄷ" hidden="1">{#N/A,#N/A,FALSE,"단축1";#N/A,#N/A,FALSE,"단축2";#N/A,#N/A,FALSE,"단축3";#N/A,#N/A,FALSE,"장축";#N/A,#N/A,FALSE,"4WD"}</definedName>
    <definedName name="ㄷㄱㄹㄷㄱㄹㄹ" hidden="1">{#N/A,#N/A,FALSE,"단축1";#N/A,#N/A,FALSE,"단축2";#N/A,#N/A,FALSE,"단축3";#N/A,#N/A,FALSE,"장축";#N/A,#N/A,FALSE,"4WD"}</definedName>
    <definedName name="ㄷㄱㄺ" hidden="1">{#N/A,#N/A,FALSE,"단축1";#N/A,#N/A,FALSE,"단축2";#N/A,#N/A,FALSE,"단축3";#N/A,#N/A,FALSE,"장축";#N/A,#N/A,FALSE,"4WD"}</definedName>
    <definedName name="ㄷㄱㅎㄱㄷㅎ" hidden="1">{#N/A,#N/A,FALSE,"단축1";#N/A,#N/A,FALSE,"단축2";#N/A,#N/A,FALSE,"단축3";#N/A,#N/A,FALSE,"장축";#N/A,#N/A,FALSE,"4WD"}</definedName>
    <definedName name="ㄷㄱㅎㄷ" hidden="1">{#N/A,#N/A,FALSE,"단축1";#N/A,#N/A,FALSE,"단축2";#N/A,#N/A,FALSE,"단축3";#N/A,#N/A,FALSE,"장축";#N/A,#N/A,FALSE,"4WD"}</definedName>
    <definedName name="ㄷㄱㅎㄷㄱㅍ" hidden="1">{#N/A,#N/A,FALSE,"단축1";#N/A,#N/A,FALSE,"단축2";#N/A,#N/A,FALSE,"단축3";#N/A,#N/A,FALSE,"장축";#N/A,#N/A,FALSE,"4WD"}</definedName>
    <definedName name="ㄷ고ㅓ서" hidden="1">{#N/A,#N/A,FALSE,"단축1";#N/A,#N/A,FALSE,"단축2";#N/A,#N/A,FALSE,"단축3";#N/A,#N/A,FALSE,"장축";#N/A,#N/A,FALSE,"4WD"}</definedName>
    <definedName name="ㄷㄳ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ㄷㄱㄹㅇ" hidden="1">{#N/A,#N/A,FALSE,"단축1";#N/A,#N/A,FALSE,"단축2";#N/A,#N/A,FALSE,"단축3";#N/A,#N/A,FALSE,"장축";#N/A,#N/A,FALSE,"4WD"}</definedName>
    <definedName name="ㄷㄴㅁㅅㅎㅀ" hidden="1">{#N/A,#N/A,FALSE,"단축1";#N/A,#N/A,FALSE,"단축2";#N/A,#N/A,FALSE,"단축3";#N/A,#N/A,FALSE,"장축";#N/A,#N/A,FALSE,"4WD"}</definedName>
    <definedName name="ㄷㄷ" hidden="1">{#N/A,#N/A,FALSE,"단축1";#N/A,#N/A,FALSE,"단축2";#N/A,#N/A,FALSE,"단축3";#N/A,#N/A,FALSE,"장축";#N/A,#N/A,FALSE,"4WD"}</definedName>
    <definedName name="ㄷㄷㄷ" hidden="1">{#N/A,#N/A,FALSE,"단축1";#N/A,#N/A,FALSE,"단축2";#N/A,#N/A,FALSE,"단축3";#N/A,#N/A,FALSE,"장축";#N/A,#N/A,FALSE,"4WD"}</definedName>
    <definedName name="ㄷㅂㄷㄱㅍㅌㅌㅌ" hidden="1">{#N/A,#N/A,FALSE,"단축1";#N/A,#N/A,FALSE,"단축2";#N/A,#N/A,FALSE,"단축3";#N/A,#N/A,FALSE,"장축";#N/A,#N/A,FALSE,"4WD"}</definedName>
    <definedName name="ㄷㅇ" hidden="1">{#N/A,#N/A,TRUE,"Y생산";#N/A,#N/A,TRUE,"Y판매";#N/A,#N/A,TRUE,"Y총물량";#N/A,#N/A,TRUE,"Y능력";#N/A,#N/A,TRUE,"YKD"}</definedName>
    <definedName name="ㄷㅇ굣ㄴㄷㅁ" hidden="1">{#N/A,#N/A,FALSE,"단축1";#N/A,#N/A,FALSE,"단축2";#N/A,#N/A,FALSE,"단축3";#N/A,#N/A,FALSE,"장축";#N/A,#N/A,FALSE,"4WD"}</definedName>
    <definedName name="ㄷㅇㅅㄹ" hidden="1">{#N/A,#N/A,FALSE,"단축1";#N/A,#N/A,FALSE,"단축2";#N/A,#N/A,FALSE,"단축3";#N/A,#N/A,FALSE,"장축";#N/A,#N/A,FALSE,"4WD"}</definedName>
    <definedName name="ㄷㅈㄱㄱㄷ" hidden="1">{#N/A,#N/A,FALSE,"단축1";#N/A,#N/A,FALSE,"단축2";#N/A,#N/A,FALSE,"단축3";#N/A,#N/A,FALSE,"장축";#N/A,#N/A,FALSE,"4WD"}</definedName>
    <definedName name="ㄷ춋ㅇㅍ" hidden="1">{#N/A,#N/A,FALSE,"단축1";#N/A,#N/A,FALSE,"단축2";#N/A,#N/A,FALSE,"단축3";#N/A,#N/A,FALSE,"장축";#N/A,#N/A,FALSE,"4WD"}</definedName>
    <definedName name="ㄷㅎㄱㄷㅅㄱ" hidden="1">{#N/A,#N/A,FALSE,"단축1";#N/A,#N/A,FALSE,"단축2";#N/A,#N/A,FALSE,"단축3";#N/A,#N/A,FALSE,"장축";#N/A,#N/A,FALSE,"4WD"}</definedName>
    <definedName name="ㄷㅎㅎㄱ" hidden="1">{#N/A,#N/A,FALSE,"단축1";#N/A,#N/A,FALSE,"단축2";#N/A,#N/A,FALSE,"단축3";#N/A,#N/A,FALSE,"장축";#N/A,#N/A,FALSE,"4WD"}</definedName>
    <definedName name="다나가라" hidden="1">{#N/A,#N/A,FALSE,"단축1";#N/A,#N/A,FALSE,"단축2";#N/A,#N/A,FALSE,"단축3";#N/A,#N/A,FALSE,"장축";#N/A,#N/A,FALSE,"4WD"}</definedName>
    <definedName name="단가기준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담당1" hidden="1">{#N/A,#N/A,TRUE,"일정"}</definedName>
    <definedName name="대부" hidden="1">{#N/A,#N/A,FALSE,"단축1";#N/A,#N/A,FALSE,"단축2";#N/A,#N/A,FALSE,"단축3";#N/A,#N/A,FALSE,"장축";#N/A,#N/A,FALSE,"4WD"}</definedName>
    <definedName name="대부분" hidden="1">{#N/A,#N/A,FALSE,"단축1";#N/A,#N/A,FALSE,"단축2";#N/A,#N/A,FALSE,"단축3";#N/A,#N/A,FALSE,"장축";#N/A,#N/A,FALSE,"4WD"}</definedName>
    <definedName name="대책11" hidden="1">{#N/A,#N/A,FALSE,"단축1";#N/A,#N/A,FALSE,"단축2";#N/A,#N/A,FALSE,"단축3";#N/A,#N/A,FALSE,"장축";#N/A,#N/A,FALSE,"4WD"}</definedName>
    <definedName name="대책서" hidden="1">{#N/A,#N/A,FALSE,"단축1";#N/A,#N/A,FALSE,"단축2";#N/A,#N/A,FALSE,"단축3";#N/A,#N/A,FALSE,"장축";#N/A,#N/A,FALSE,"4WD"}</definedName>
    <definedName name="대책서분" hidden="1">{#N/A,#N/A,FALSE,"단축1";#N/A,#N/A,FALSE,"단축2";#N/A,#N/A,FALSE,"단축3";#N/A,#N/A,FALSE,"장축";#N/A,#N/A,FALSE,"4WD"}</definedName>
    <definedName name="덕양" hidden="1">{#N/A,#N/A,FALSE,"해외크레임";#N/A,#N/A,FALSE,"ACCENT현황";#N/A,#N/A,FALSE,"AVANTE";#N/A,#N/A,FALSE,"SONATA(3)";#N/A,#N/A,FALSE,"국내크레임"}</definedName>
    <definedName name="뎌768" hidden="1">{#N/A,#N/A,FALSE,"단축1";#N/A,#N/A,FALSE,"단축2";#N/A,#N/A,FALSE,"단축3";#N/A,#N/A,FALSE,"장축";#N/A,#N/A,FALSE,"4WD"}</definedName>
    <definedName name="도면반" hidden="1">{#N/A,#N/A,FALSE,"단축1";#N/A,#N/A,FALSE,"단축2";#N/A,#N/A,FALSE,"단축3";#N/A,#N/A,FALSE,"장축";#N/A,#N/A,FALSE,"4WD"}</definedName>
    <definedName name="동국" hidden="1">{#N/A,#N/A,FALSE,"해외크레임";#N/A,#N/A,FALSE,"ACCENT현황";#N/A,#N/A,FALSE,"AVANTE";#N/A,#N/A,FALSE,"SONATA(3)";#N/A,#N/A,FALSE,"국내크레임"}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" hidden="1">{#N/A,#N/A,FALSE,"단축1";#N/A,#N/A,FALSE,"단축2";#N/A,#N/A,FALSE,"단축3";#N/A,#N/A,FALSE,"장축";#N/A,#N/A,FALSE,"4WD"}</definedName>
    <definedName name="ㄹㄹㄹㄹㄹ" hidden="1">{#N/A,#N/A,FALSE,"단축1";#N/A,#N/A,FALSE,"단축2";#N/A,#N/A,FALSE,"단축3";#N/A,#N/A,FALSE,"장축";#N/A,#N/A,FALSE,"4WD"}</definedName>
    <definedName name="ㄹㄹㅇ" hidden="1">{#N/A,#N/A,FALSE,"단축1";#N/A,#N/A,FALSE,"단축2";#N/A,#N/A,FALSE,"단축3";#N/A,#N/A,FALSE,"장축";#N/A,#N/A,FALSE,"4WD"}</definedName>
    <definedName name="ㄹㅇ" hidden="1">{#N/A,#N/A,TRUE,"Y생산";#N/A,#N/A,TRUE,"Y판매";#N/A,#N/A,TRUE,"Y총물량";#N/A,#N/A,TRUE,"Y능력";#N/A,#N/A,TRUE,"YKD"}</definedName>
    <definedName name="ㄹㅇㄹㅇㅇㄹ" hidden="1">{#N/A,#N/A,FALSE,"단축1";#N/A,#N/A,FALSE,"단축2";#N/A,#N/A,FALSE,"단축3";#N/A,#N/A,FALSE,"장축";#N/A,#N/A,FALSE,"4WD"}</definedName>
    <definedName name="ㄹㅇㅀ" hidden="1">{#N/A,#N/A,FALSE,"단축1";#N/A,#N/A,FALSE,"단축2";#N/A,#N/A,FALSE,"단축3";#N/A,#N/A,FALSE,"장축";#N/A,#N/A,FALSE,"4WD"}</definedName>
    <definedName name="ㄹㅇㅇㄹ" hidden="1">{#N/A,#N/A,FALSE,"단축1";#N/A,#N/A,FALSE,"단축2";#N/A,#N/A,FALSE,"단축3";#N/A,#N/A,FALSE,"장축";#N/A,#N/A,FALSE,"4WD"}</definedName>
    <definedName name="ㄹㅇㅎㄷㅀㄴㄷ" hidden="1">{#N/A,#N/A,FALSE,"단축1";#N/A,#N/A,FALSE,"단축2";#N/A,#N/A,FALSE,"단축3";#N/A,#N/A,FALSE,"장축";#N/A,#N/A,FALSE,"4WD"}</definedName>
    <definedName name="ㄹㅇ후ㅗㅜ" hidden="1">{#N/A,#N/A,FALSE,"단축1";#N/A,#N/A,FALSE,"단축2";#N/A,#N/A,FALSE,"단축3";#N/A,#N/A,FALSE,"장축";#N/A,#N/A,FALSE,"4WD"}</definedName>
    <definedName name="ㄹ어ㅓ럴" hidden="1">{#N/A,#N/A,FALSE,"단축1";#N/A,#N/A,FALSE,"단축2";#N/A,#N/A,FALSE,"단축3";#N/A,#N/A,FALSE,"장축";#N/A,#N/A,FALSE,"4WD"}</definedName>
    <definedName name="ㄹ유" hidden="1">{#N/A,#N/A,FALSE,"단축1";#N/A,#N/A,FALSE,"단축2";#N/A,#N/A,FALSE,"단축3";#N/A,#N/A,FALSE,"장축";#N/A,#N/A,FALSE,"4WD"}</definedName>
    <definedName name="ㄹ호" hidden="1">{#N/A,#N/A,FALSE,"단축1";#N/A,#N/A,FALSE,"단축2";#N/A,#N/A,FALSE,"단축3";#N/A,#N/A,FALSE,"장축";#N/A,#N/A,FALSE,"4WD"}</definedName>
    <definedName name="ㄹ호ㅎㄹ" hidden="1">{#N/A,#N/A,FALSE,"단축1";#N/A,#N/A,FALSE,"단축2";#N/A,#N/A,FALSE,"단축3";#N/A,#N/A,FALSE,"장축";#N/A,#N/A,FALSE,"4WD"}</definedName>
    <definedName name="ㄹ후ㅗㅗ후ㅗㅎ" hidden="1">{#N/A,#N/A,FALSE,"단축1";#N/A,#N/A,FALSE,"단축2";#N/A,#N/A,FALSE,"단축3";#N/A,#N/A,FALSE,"장축";#N/A,#N/A,FALSE,"4WD"}</definedName>
    <definedName name="ㄹ히" hidden="1">{#N/A,#N/A,TRUE,"Y생산";#N/A,#N/A,TRUE,"Y판매";#N/A,#N/A,TRUE,"Y총물량";#N/A,#N/A,TRUE,"Y능력";#N/A,#N/A,TRUE,"YKD"}</definedName>
    <definedName name="라이ㅣㅇ" hidden="1">{#N/A,#N/A,FALSE,"단축1";#N/A,#N/A,FALSE,"단축2";#N/A,#N/A,FALSE,"단축3";#N/A,#N/A,FALSE,"장축";#N/A,#N/A,FALSE,"4WD"}</definedName>
    <definedName name="러" hidden="1">{#N/A,#N/A,FALSE,"단축1";#N/A,#N/A,FALSE,"단축2";#N/A,#N/A,FALSE,"단축3";#N/A,#N/A,FALSE,"장축";#N/A,#N/A,FALSE,"4WD"}</definedName>
    <definedName name="러시아" hidden="1">{#N/A,#N/A,FALSE,"단축1";#N/A,#N/A,FALSE,"단축2";#N/A,#N/A,FALSE,"단축3";#N/A,#N/A,FALSE,"장축";#N/A,#N/A,FALSE,"4WD"}</definedName>
    <definedName name="로커망러ㅏ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로ㅎ루ㅗㅗㅎ" hidden="1">{#N/A,#N/A,FALSE,"단축1";#N/A,#N/A,FALSE,"단축2";#N/A,#N/A,FALSE,"단축3";#N/A,#N/A,FALSE,"장축";#N/A,#N/A,FALSE,"4WD"}</definedName>
    <definedName name="롱" hidden="1">{#N/A,#N/A,FALSE,"단축1";#N/A,#N/A,FALSE,"단축2";#N/A,#N/A,FALSE,"단축3";#N/A,#N/A,FALSE,"장축";#N/A,#N/A,FALSE,"4WD"}</definedName>
    <definedName name="롸ㅡㅗ" hidden="1">{#N/A,#N/A,FALSE,"단축1";#N/A,#N/A,FALSE,"단축2";#N/A,#N/A,FALSE,"단축3";#N/A,#N/A,FALSE,"장축";#N/A,#N/A,FALSE,"4WD"}</definedName>
    <definedName name="류ㅎ호ㅗ" hidden="1">{#N/A,#N/A,FALSE,"단축1";#N/A,#N/A,FALSE,"단축2";#N/A,#N/A,FALSE,"단축3";#N/A,#N/A,FALSE,"장축";#N/A,#N/A,FALSE,"4WD"}</definedName>
    <definedName name="률율" hidden="1">{#N/A,#N/A,FALSE,"단축1";#N/A,#N/A,FALSE,"단축2";#N/A,#N/A,FALSE,"단축3";#N/A,#N/A,FALSE,"장축";#N/A,#N/A,FALSE,"4WD"}</definedName>
    <definedName name="링오" hidden="1">{#N/A,#N/A,FALSE,"단축1";#N/A,#N/A,FALSE,"단축2";#N/A,#N/A,FALSE,"단축3";#N/A,#N/A,FALSE,"장축";#N/A,#N/A,FALSE,"4WD"}</definedName>
    <definedName name="ㄻㄴ" hidden="1">{#N/A,#N/A,FALSE,"단축1";#N/A,#N/A,FALSE,"단축2";#N/A,#N/A,FALSE,"단축3";#N/A,#N/A,FALSE,"장축";#N/A,#N/A,FALSE,"4WD"}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ㄿㄹㅇ" hidden="1">{#N/A,#N/A,FALSE,"단축1";#N/A,#N/A,FALSE,"단축2";#N/A,#N/A,FALSE,"단축3";#N/A,#N/A,FALSE,"장축";#N/A,#N/A,FALSE,"4WD"}</definedName>
    <definedName name="ㄿㅁㅁㅁ" hidden="1">{#N/A,#N/A,FALSE,"단축1";#N/A,#N/A,FALSE,"단축2";#N/A,#N/A,FALSE,"단축3";#N/A,#N/A,FALSE,"장축";#N/A,#N/A,FALSE,"4WD"}</definedName>
    <definedName name="ㅀ" hidden="1">{#N/A,#N/A,FALSE,"단축1";#N/A,#N/A,FALSE,"단축2";#N/A,#N/A,FALSE,"단축3";#N/A,#N/A,FALSE,"장축";#N/A,#N/A,FALSE,"4WD"}</definedName>
    <definedName name="ㅀㅁ오" hidden="1">{#N/A,#N/A,FALSE,"신규dep";#N/A,#N/A,FALSE,"신규dep-금형상각후";#N/A,#N/A,FALSE,"신규dep-연구비상각후";#N/A,#N/A,FALSE,"신규dep-기계,공구상각후"}</definedName>
    <definedName name="ㅀ미리밀ㅎ밈림" hidden="1">{#N/A,#N/A,FALSE,"을지 (4)";#N/A,#N/A,FALSE,"을지 (5)";#N/A,#N/A,FALSE,"을지 (6)"}</definedName>
    <definedName name="ㅀㅇ" hidden="1">#REF!</definedName>
    <definedName name="ㅀㅎㄷ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ㄹ호" hidden="1">{#N/A,#N/A,FALSE,"단축1";#N/A,#N/A,FALSE,"단축2";#N/A,#N/A,FALSE,"단축3";#N/A,#N/A,FALSE,"장축";#N/A,#N/A,FALSE,"4WD"}</definedName>
    <definedName name="ㅀ후ㅎ루" hidden="1">{#N/A,#N/A,FALSE,"신규dep";#N/A,#N/A,FALSE,"신규dep-금형상각후";#N/A,#N/A,FALSE,"신규dep-연구비상각후";#N/A,#N/A,FALSE,"신규dep-기계,공구상각후"}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ㄻㄴㅇ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ㅇ" hidden="1">{#N/A,#N/A,FALSE,"단축1";#N/A,#N/A,FALSE,"단축2";#N/A,#N/A,FALSE,"단축3";#N/A,#N/A,FALSE,"장축";#N/A,#N/A,FALSE,"4WD"}</definedName>
    <definedName name="ㅁㄴㅇ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ㄴㅁㄹ" hidden="1">{#N/A,#N/A,FALSE,"단축1";#N/A,#N/A,FALSE,"단축2";#N/A,#N/A,FALSE,"단축3";#N/A,#N/A,FALSE,"장축";#N/A,#N/A,FALSE,"4WD"}</definedName>
    <definedName name="ㅁㄴㅇㄹㄴㅇㅁ" hidden="1">{#N/A,#N/A,FALSE,"Australien";#N/A,#N/A,FALSE,"Birmingham";#N/A,#N/A,FALSE,"Brasilien";#N/A,#N/A,FALSE,"Prag";#N/A,#N/A,FALSE,"Spanien";#N/A,#N/A,FALSE,"Malaysia ( Com)";#N/A,#N/A,FALSE,"Malaysia (Instr)"}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ㄻㄴ" hidden="1">{#N/A,#N/A,FALSE,"Australien";#N/A,#N/A,FALSE,"Birmingham";#N/A,#N/A,FALSE,"Brasilien";#N/A,#N/A,FALSE,"Prag";#N/A,#N/A,FALSE,"Spanien";#N/A,#N/A,FALSE,"Malaysia ( Com)";#N/A,#N/A,FALSE,"Malaysia (Instr)"}</definedName>
    <definedName name="ㅁㄹ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ㅁㄴㅁ" hidden="1">{#N/A,#N/A,FALSE,"단축1";#N/A,#N/A,FALSE,"단축2";#N/A,#N/A,FALSE,"단축3";#N/A,#N/A,FALSE,"장축";#N/A,#N/A,FALSE,"4WD"}</definedName>
    <definedName name="ㅁㅅㅎㄴㅀㄹ" hidden="1">{#N/A,#N/A,FALSE,"단축1";#N/A,#N/A,FALSE,"단축2";#N/A,#N/A,FALSE,"단축3";#N/A,#N/A,FALSE,"장축";#N/A,#N/A,FALSE,"4WD"}</definedName>
    <definedName name="ㅁㅇ" hidden="1">{#N/A,#N/A,TRUE,"Y생산";#N/A,#N/A,TRUE,"Y판매";#N/A,#N/A,TRUE,"Y총물량";#N/A,#N/A,TRUE,"Y능력";#N/A,#N/A,TRUE,"YKD"}</definedName>
    <definedName name="ㅁㅇㄱㅎ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ㄻ" hidden="1">{#N/A,#N/A,FALSE,"단축1";#N/A,#N/A,FALSE,"단축2";#N/A,#N/A,FALSE,"단축3";#N/A,#N/A,FALSE,"장축";#N/A,#N/A,FALSE,"4WD"}</definedName>
    <definedName name="ㅁㅇㅀ" hidden="1">{#N/A,#N/A,FALSE,"단축1";#N/A,#N/A,FALSE,"단축2";#N/A,#N/A,FALSE,"단축3";#N/A,#N/A,FALSE,"장축";#N/A,#N/A,FALSE,"4WD"}</definedName>
    <definedName name="ㅁㅇㅂㅈㄷㄹㅇ" hidden="1">{#N/A,#N/A,FALSE,"단축1";#N/A,#N/A,FALSE,"단축2";#N/A,#N/A,FALSE,"단축3";#N/A,#N/A,FALSE,"장축";#N/A,#N/A,FALSE,"4WD"}</definedName>
    <definedName name="ㅁㅇㅊㅁㄴㅇㄹ" hidden="1">{#N/A,#N/A,FALSE,"단축1";#N/A,#N/A,FALSE,"단축2";#N/A,#N/A,FALSE,"단축3";#N/A,#N/A,FALSE,"장축";#N/A,#N/A,FALSE,"4WD"}</definedName>
    <definedName name="ㅁㅇㅎㅁㅎㅁ" hidden="1">{#N/A,#N/A,FALSE,"단축1";#N/A,#N/A,FALSE,"단축2";#N/A,#N/A,FALSE,"단축3";#N/A,#N/A,FALSE,"장축";#N/A,#N/A,FALSE,"4WD"}</definedName>
    <definedName name="ㅁㅇㅎㅁㅎㅁㅎ뫃ㅁ" hidden="1">{#N/A,#N/A,FALSE,"단축1";#N/A,#N/A,FALSE,"단축2";#N/A,#N/A,FALSE,"단축3";#N/A,#N/A,FALSE,"장축";#N/A,#N/A,FALSE,"4WD"}</definedName>
    <definedName name="ㅁㅈㄴㄱㅇ횰솧" hidden="1">{#N/A,#N/A,FALSE,"단축1";#N/A,#N/A,FALSE,"단축2";#N/A,#N/A,FALSE,"단축3";#N/A,#N/A,FALSE,"장축";#N/A,#N/A,FALSE,"4WD"}</definedName>
    <definedName name="ㅁㅈㄹㄴ우ㅛ슉ㄴ" hidden="1">{#N/A,#N/A,FALSE,"단축1";#N/A,#N/A,FALSE,"단축2";#N/A,#N/A,FALSE,"단축3";#N/A,#N/A,FALSE,"장축";#N/A,#N/A,FALSE,"4WD"}</definedName>
    <definedName name="ㅁㅈㅂ" hidden="1">{#N/A,#N/A,TRUE,"Y생산";#N/A,#N/A,TRUE,"Y판매";#N/A,#N/A,TRUE,"Y총물량";#N/A,#N/A,TRUE,"Y능력";#N/A,#N/A,TRUE,"YKD"}</definedName>
    <definedName name="ㅁㅈㅂㅈㅂ" hidden="1">#REF!</definedName>
    <definedName name="ㅁ좀ㄹㅇㅎ" hidden="1">{#N/A,#N/A,FALSE,"단축1";#N/A,#N/A,FALSE,"단축2";#N/A,#N/A,FALSE,"단축3";#N/A,#N/A,FALSE,"장축";#N/A,#N/A,FALSE,"4WD"}</definedName>
    <definedName name="ㅁㅊㄷㄴㄳ" hidden="1">{#N/A,#N/A,FALSE,"단축1";#N/A,#N/A,FALSE,"단축2";#N/A,#N/A,FALSE,"단축3";#N/A,#N/A,FALSE,"장축";#N/A,#N/A,FALSE,"4WD"}</definedName>
    <definedName name="ㅁㅊㅅㄳㅎㄴㄹ" hidden="1">{#N/A,#N/A,FALSE,"단축1";#N/A,#N/A,FALSE,"단축2";#N/A,#N/A,FALSE,"단축3";#N/A,#N/A,FALSE,"장축";#N/A,#N/A,FALSE,"4WD"}</definedName>
    <definedName name="ㅁㅊㅇㄹㄶ류" hidden="1">{#N/A,#N/A,FALSE,"단축1";#N/A,#N/A,FALSE,"단축2";#N/A,#N/A,FALSE,"단축3";#N/A,#N/A,FALSE,"장축";#N/A,#N/A,FALSE,"4WD"}</definedName>
    <definedName name="ㅁㅍㅅㄴㅇㅁㄹㅇㄹ" hidden="1">{#N/A,#N/A,FALSE,"단축1";#N/A,#N/A,FALSE,"단축2";#N/A,#N/A,FALSE,"단축3";#N/A,#N/A,FALSE,"장축";#N/A,#N/A,FALSE,"4WD"}</definedName>
    <definedName name="마음" hidden="1">{#N/A,#N/A,FALSE,"단축1";#N/A,#N/A,FALSE,"단축2";#N/A,#N/A,FALSE,"단축3";#N/A,#N/A,FALSE,"장축";#N/A,#N/A,FALSE,"4WD"}</definedName>
    <definedName name="마지막" hidden="1">{#N/A,#N/A,FALSE,"단축1";#N/A,#N/A,FALSE,"단축2";#N/A,#N/A,FALSE,"단축3";#N/A,#N/A,FALSE,"장축";#N/A,#N/A,FALSE,"4WD"}</definedName>
    <definedName name="마지막이야" hidden="1">{#N/A,#N/A,FALSE,"단축1";#N/A,#N/A,FALSE,"단축2";#N/A,#N/A,FALSE,"단축3";#N/A,#N/A,FALSE,"장축";#N/A,#N/A,FALSE,"4WD"}</definedName>
    <definedName name="매가추정" hidden="1">{#N/A,#N/A,FALSE,"단축1";#N/A,#N/A,FALSE,"단축2";#N/A,#N/A,FALSE,"단축3";#N/A,#N/A,FALSE,"장축";#N/A,#N/A,FALSE,"4WD"}</definedName>
    <definedName name="머ㅣ거ㅏㅏ" hidden="1">{#N/A,#N/A,FALSE,"단축1";#N/A,#N/A,FALSE,"단축2";#N/A,#N/A,FALSE,"단축3";#N/A,#N/A,FALSE,"장축";#N/A,#N/A,FALSE,"4WD"}</definedName>
    <definedName name="목차" hidden="1">{#N/A,#N/A,FALSE,"단축1";#N/A,#N/A,FALSE,"단축2";#N/A,#N/A,FALSE,"단축3";#N/A,#N/A,FALSE,"장축";#N/A,#N/A,FALSE,"4WD"}</definedName>
    <definedName name="목표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수" hidden="1">{#N/A,#N/A,TRUE,"Y생산";#N/A,#N/A,TRUE,"Y판매";#N/A,#N/A,TRUE,"Y총물량";#N/A,#N/A,TRUE,"Y능력";#N/A,#N/A,TRUE,"YKD"}</definedName>
    <definedName name="미러ㅣ머" hidden="1">{#N/A,#N/A,FALSE,"단축1";#N/A,#N/A,FALSE,"단축2";#N/A,#N/A,FALSE,"단축3";#N/A,#N/A,FALSE,"장축";#N/A,#N/A,FALSE,"4WD"}</definedName>
    <definedName name="미머ㅣㄹ" hidden="1">{#N/A,#N/A,FALSE,"단축1";#N/A,#N/A,FALSE,"단축2";#N/A,#N/A,FALSE,"단축3";#N/A,#N/A,FALSE,"장축";#N/A,#N/A,FALSE,"4WD"}</definedName>
    <definedName name="미미미" hidden="1">{#N/A,#N/A,FALSE,"단축1";#N/A,#N/A,FALSE,"단축2";#N/A,#N/A,FALSE,"단축3";#N/A,#N/A,FALSE,"장축";#N/A,#N/A,FALSE,"4WD"}</definedName>
    <definedName name="미미미ㅣ" hidden="1">{#N/A,#N/A,FALSE,"단축1";#N/A,#N/A,FALSE,"단축2";#N/A,#N/A,FALSE,"단축3";#N/A,#N/A,FALSE,"장축";#N/A,#N/A,FALSE,"4WD"}</definedName>
    <definedName name="미밀" hidden="1">{#N/A,#N/A,FALSE,"단축1";#N/A,#N/A,FALSE,"단축2";#N/A,#N/A,FALSE,"단축3";#N/A,#N/A,FALSE,"장축";#N/A,#N/A,FALSE,"4WD"}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ㅓㅁ" hidden="1">{#N/A,#N/A,FALSE,"단축1";#N/A,#N/A,FALSE,"단축2";#N/A,#N/A,FALSE,"단축3";#N/A,#N/A,FALSE,"장축";#N/A,#N/A,FALSE,"4WD"}</definedName>
    <definedName name="미ㅓㅣ멀" hidden="1">{#N/A,#N/A,FALSE,"단축1";#N/A,#N/A,FALSE,"단축2";#N/A,#N/A,FALSE,"단축3";#N/A,#N/A,FALSE,"장축";#N/A,#N/A,FALSE,"4WD"}</definedName>
    <definedName name="미ㅣ미" hidden="1">{#N/A,#N/A,FALSE,"단축1";#N/A,#N/A,FALSE,"단축2";#N/A,#N/A,FALSE,"단축3";#N/A,#N/A,FALSE,"장축";#N/A,#N/A,FALSE,"4WD"}</definedName>
    <definedName name="민총2" hidden="1">{#N/A,#N/A,FALSE,"을지 (4)";#N/A,#N/A,FALSE,"을지 (5)";#N/A,#N/A,FALSE,"을지 (6)"}</definedName>
    <definedName name="ㅂ" hidden="1">{#N/A,#N/A,FALSE,"단축1";#N/A,#N/A,FALSE,"단축2";#N/A,#N/A,FALSE,"단축3";#N/A,#N/A,FALSE,"장축";#N/A,#N/A,FALSE,"4WD"}</definedName>
    <definedName name="ㅂㄱㄷㅎㄷㄱㅎ" hidden="1">{#N/A,#N/A,FALSE,"단축1";#N/A,#N/A,FALSE,"단축2";#N/A,#N/A,FALSE,"단축3";#N/A,#N/A,FALSE,"장축";#N/A,#N/A,FALSE,"4WD"}</definedName>
    <definedName name="ㅂㄴㄴㄴㄴㅌㅌㄴㅁㅁ" hidden="1">{#N/A,#N/A,FALSE,"단축1";#N/A,#N/A,FALSE,"단축2";#N/A,#N/A,FALSE,"단축3";#N/A,#N/A,FALSE,"장축";#N/A,#N/A,FALSE,"4WD"}</definedName>
    <definedName name="ㅂㄵㄷㅅㄱㄹㅇㅅㅎㅅㅎㄹ" hidden="1">{#N/A,#N/A,FALSE,"단축1";#N/A,#N/A,FALSE,"단축2";#N/A,#N/A,FALSE,"단축3";#N/A,#N/A,FALSE,"장축";#N/A,#N/A,FALSE,"4WD"}</definedName>
    <definedName name="ㅂㅁ" hidden="1">{#N/A,#N/A,FALSE,"단축1";#N/A,#N/A,FALSE,"단축2";#N/A,#N/A,FALSE,"단축3";#N/A,#N/A,FALSE,"장축";#N/A,#N/A,FALSE,"4WD"}</definedName>
    <definedName name="ㅂㅂ" hidden="1">{#N/A,#N/A,FALSE,"단축1";#N/A,#N/A,FALSE,"단축2";#N/A,#N/A,FALSE,"단축3";#N/A,#N/A,FALSE,"장축";#N/A,#N/A,FALSE,"4WD"}</definedName>
    <definedName name="ㅂㅂㅂ" hidden="1">[0]!ㅂㅂㅂ</definedName>
    <definedName name="ㅂㅈㅇㅇ" hidden="1">{#N/A,#N/A,FALSE,"단축1";#N/A,#N/A,FALSE,"단축2";#N/A,#N/A,FALSE,"단축3";#N/A,#N/A,FALSE,"장축";#N/A,#N/A,FALSE,"4WD"}</definedName>
    <definedName name="ㅂㅍㅅ4ㄷㅅㄴ" hidden="1">{#N/A,#N/A,FALSE,"단축1";#N/A,#N/A,FALSE,"단축2";#N/A,#N/A,FALSE,"단축3";#N/A,#N/A,FALSE,"장축";#N/A,#N/A,FALSE,"4WD"}</definedName>
    <definedName name="바로가기" hidden="1">{#N/A,#N/A,FALSE,"단축1";#N/A,#N/A,FALSE,"단축2";#N/A,#N/A,FALSE,"단축3";#N/A,#N/A,FALSE,"장축";#N/A,#N/A,FALSE,"4WD"}</definedName>
    <definedName name="바바라" hidden="1">{#N/A,#N/A,TRUE,"Y생산";#N/A,#N/A,TRUE,"Y판매";#N/A,#N/A,TRUE,"Y총물량";#N/A,#N/A,TRUE,"Y능력";#N/A,#N/A,TRUE,"YKD"}</definedName>
    <definedName name="바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지호" hidden="1">{#N/A,#N/A,FALSE,"단축1";#N/A,#N/A,FALSE,"단축2";#N/A,#N/A,FALSE,"단축3";#N/A,#N/A,FALSE,"장축";#N/A,#N/A,FALSE,"4WD"}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벼며" hidden="1">{#N/A,#N/A,FALSE,"단축1";#N/A,#N/A,FALSE,"단축2";#N/A,#N/A,FALSE,"단축3";#N/A,#N/A,FALSE,"장축";#N/A,#N/A,FALSE,"4WD"}</definedName>
    <definedName name="변경목차" hidden="1">{#N/A,#N/A,FALSE,"단축1";#N/A,#N/A,FALSE,"단축2";#N/A,#N/A,FALSE,"단축3";#N/A,#N/A,FALSE,"장축";#N/A,#N/A,FALSE,"4WD"}</definedName>
    <definedName name="병" hidden="1">{#N/A,#N/A,FALSE,"단축1";#N/A,#N/A,FALSE,"단축2";#N/A,#N/A,FALSE,"단축3";#N/A,#N/A,FALSE,"장축";#N/A,#N/A,FALSE,"4WD"}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볼트수정" hidden="1">{#N/A,#N/A,FALSE,"단축1";#N/A,#N/A,FALSE,"단축2";#N/A,#N/A,FALSE,"단축3";#N/A,#N/A,FALSE,"장축";#N/A,#N/A,FALSE,"4WD"}</definedName>
    <definedName name="분기별" hidden="1">{#N/A,#N/A,TRUE,"Y생산";#N/A,#N/A,TRUE,"Y판매";#N/A,#N/A,TRUE,"Y총물량";#N/A,#N/A,TRUE,"Y능력";#N/A,#N/A,TRUE,"YKD"}</definedName>
    <definedName name="분석" hidden="1">{#N/A,#N/A,FALSE,"단축1";#N/A,#N/A,FALSE,"단축2";#N/A,#N/A,FALSE,"단축3";#N/A,#N/A,FALSE,"장축";#N/A,#N/A,FALSE,"4WD"}</definedName>
    <definedName name="분석이" hidden="1">{#N/A,#N/A,FALSE,"단축1";#N/A,#N/A,FALSE,"단축2";#N/A,#N/A,FALSE,"단축3";#N/A,#N/A,FALSE,"장축";#N/A,#N/A,FALSE,"4WD"}</definedName>
    <definedName name="비버" hidden="1">{#N/A,#N/A,FALSE,"단축1";#N/A,#N/A,FALSE,"단축2";#N/A,#N/A,FALSE,"단축3";#N/A,#N/A,FALSE,"장축";#N/A,#N/A,FALSE,"4WD"}</definedName>
    <definedName name="비비" hidden="1">{#N/A,#N/A,FALSE,"단축1";#N/A,#N/A,FALSE,"단축2";#N/A,#N/A,FALSE,"단축3";#N/A,#N/A,FALSE,"장축";#N/A,#N/A,FALSE,"4WD"}</definedName>
    <definedName name="ㅅ교ㄳㄱ" hidden="1">{#N/A,#N/A,FALSE,"단축1";#N/A,#N/A,FALSE,"단축2";#N/A,#N/A,FALSE,"단축3";#N/A,#N/A,FALSE,"장축";#N/A,#N/A,FALSE,"4WD"}</definedName>
    <definedName name="ㅅㄹ녀ㅛㅅ누ㅛㅅㄴ구ㅛㅅㄱ누" hidden="1">{#N/A,#N/A,TRUE,"일정"}</definedName>
    <definedName name="ㅅㅅㅅ" hidden="1">{#N/A,#N/A,FALSE,"단축1";#N/A,#N/A,FALSE,"단축2";#N/A,#N/A,FALSE,"단축3";#N/A,#N/A,FALSE,"장축";#N/A,#N/A,FALSE,"4WD"}</definedName>
    <definedName name="ㅅㅎㅁㄹㅊㅍㄴㅁ" hidden="1">{#N/A,#N/A,FALSE,"단축1";#N/A,#N/A,FALSE,"단축2";#N/A,#N/A,FALSE,"단축3";#N/A,#N/A,FALSE,"장축";#N/A,#N/A,FALSE,"4WD"}</definedName>
    <definedName name="ㅅ호ㅗ노" hidden="1">{#N/A,#N/A,FALSE,"단축1";#N/A,#N/A,FALSE,"단축2";#N/A,#N/A,FALSE,"단축3";#N/A,#N/A,FALSE,"장축";#N/A,#N/A,FALSE,"4WD"}</definedName>
    <definedName name="사랑" hidden="1">{#N/A,#N/A,FALSE,"단축1";#N/A,#N/A,FALSE,"단축2";#N/A,#N/A,FALSE,"단축3";#N/A,#N/A,FALSE,"장축";#N/A,#N/A,FALSE,"4WD"}</definedName>
    <definedName name="사양" hidden="1">{#N/A,#N/A,FALSE,"신규dep";#N/A,#N/A,FALSE,"신규dep-금형상각후";#N/A,#N/A,FALSE,"신규dep-연구비상각후";#N/A,#N/A,FALSE,"신규dep-기계,공구상각후"}</definedName>
    <definedName name="사진" hidden="1">{#N/A,#N/A,FALSE,"단축1";#N/A,#N/A,FALSE,"단축2";#N/A,#N/A,FALSE,"단축3";#N/A,#N/A,FALSE,"장축";#N/A,#N/A,FALSE,"4WD"}</definedName>
    <definedName name="사진2" hidden="1">{#N/A,#N/A,FALSE,"단축1";#N/A,#N/A,FALSE,"단축2";#N/A,#N/A,FALSE,"단축3";#N/A,#N/A,FALSE,"장축";#N/A,#N/A,FALSE,"4WD"}</definedName>
    <definedName name="산토끼" hidden="1">{#N/A,#N/A,FALSE,"단축1";#N/A,#N/A,FALSE,"단축2";#N/A,#N/A,FALSE,"단축3";#N/A,#N/A,FALSE,"장축";#N/A,#N/A,FALSE,"4WD"}</definedName>
    <definedName name="삼성" hidden="1">{#N/A,#N/A,FALSE,"정공"}</definedName>
    <definedName name="새" hidden="1">{#N/A,#N/A,FALSE,"단축1";#N/A,#N/A,FALSE,"단축2";#N/A,#N/A,FALSE,"단축3";#N/A,#N/A,FALSE,"장축";#N/A,#N/A,FALSE,"4WD"}</definedName>
    <definedName name="새脸" hidden="1">{#N/A,#N/A,FALSE,"단축1";#N/A,#N/A,FALSE,"단축2";#N/A,#N/A,FALSE,"단축3";#N/A,#N/A,FALSE,"장축";#N/A,#N/A,FALSE,"4WD"}</definedName>
    <definedName name="새세" hidden="1">{#N/A,#N/A,FALSE,"단축1";#N/A,#N/A,FALSE,"단축2";#N/A,#N/A,FALSE,"단축3";#N/A,#N/A,FALSE,"장축";#N/A,#N/A,FALSE,"4WD"}</definedName>
    <definedName name="새이르" hidden="1">{#N/A,#N/A,FALSE,"단축1";#N/A,#N/A,FALSE,"단축2";#N/A,#N/A,FALSE,"단축3";#N/A,#N/A,FALSE,"장축";#N/A,#N/A,FALSE,"4WD"}</definedName>
    <definedName name="생기요건1" hidden="1">{#N/A,#N/A,FALSE,"단축1";#N/A,#N/A,FALSE,"단축2";#N/A,#N/A,FALSE,"단축3";#N/A,#N/A,FALSE,"장축";#N/A,#N/A,FALSE,"4WD"}</definedName>
    <definedName name="생산TON" hidden="1">{#N/A,#N/A,TRUE,"Y생산";#N/A,#N/A,TRUE,"Y판매";#N/A,#N/A,TRUE,"Y총물량";#N/A,#N/A,TRUE,"Y능력";#N/A,#N/A,TRUE,"YKD"}</definedName>
    <definedName name="생요서4" hidden="1">{#N/A,#N/A,FALSE,"단축1";#N/A,#N/A,FALSE,"단축2";#N/A,#N/A,FALSE,"단축3";#N/A,#N/A,FALSE,"장축";#N/A,#N/A,FALSE,"4WD"}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선" hidden="1">{#N/A,#N/A,FALSE,"단축1";#N/A,#N/A,FALSE,"단축2";#N/A,#N/A,FALSE,"단축3";#N/A,#N/A,FALSE,"장축";#N/A,#N/A,FALSE,"4WD"}</definedName>
    <definedName name="선정사유" hidden="1">{#N/A,#N/A,FALSE,"단축1";#N/A,#N/A,FALSE,"단축2";#N/A,#N/A,FALSE,"단축3";#N/A,#N/A,FALSE,"장축";#N/A,#N/A,FALSE,"4WD"}</definedName>
    <definedName name="설변" hidden="1">{#N/A,#N/A,FALSE,"단축1";#N/A,#N/A,FALSE,"단축2";#N/A,#N/A,FALSE,"단축3";#N/A,#N/A,FALSE,"장축";#N/A,#N/A,FALSE,"4WD"}</definedName>
    <definedName name="설변요청" hidden="1">{#N/A,#N/A,FALSE,"단축1";#N/A,#N/A,FALSE,"단축2";#N/A,#N/A,FALSE,"단축3";#N/A,#N/A,FALSE,"장축";#N/A,#N/A,FALSE,"4WD"}</definedName>
    <definedName name="세부생산계획" hidden="1">{#N/A,#N/A,TRUE,"Y생산";#N/A,#N/A,TRUE,"Y판매";#N/A,#N/A,TRUE,"Y총물량";#N/A,#N/A,TRUE,"Y능력";#N/A,#N/A,TRUE,"YKD"}</definedName>
    <definedName name="세왕123" hidden="1">{#N/A,#N/A,FALSE,"단축1";#N/A,#N/A,FALSE,"단축2";#N/A,#N/A,FALSE,"단축3";#N/A,#N/A,FALSE,"장축";#N/A,#N/A,FALSE,"4WD"}</definedName>
    <definedName name="셀리카" hidden="1">#REF!</definedName>
    <definedName name="소무" hidden="1">{#N/A,#N/A,FALSE,"단축1";#N/A,#N/A,FALSE,"단축2";#N/A,#N/A,FALSE,"단축3";#N/A,#N/A,FALSE,"장축";#N/A,#N/A,FALSE,"4WD"}</definedName>
    <definedName name="소뮨" hidden="1">{#N/A,#N/A,FALSE,"단축1";#N/A,#N/A,FALSE,"단축2";#N/A,#N/A,FALSE,"단축3";#N/A,#N/A,FALSE,"장축";#N/A,#N/A,FALSE,"4WD"}</definedName>
    <definedName name="소ㅎㅀㄹ" hidden="1">{#N/A,#N/A,FALSE,"단축1";#N/A,#N/A,FALSE,"단축2";#N/A,#N/A,FALSE,"단축3";#N/A,#N/A,FALSE,"장축";#N/A,#N/A,FALSE,"4WD"}</definedName>
    <definedName name="소하프로젝트" hidden="1">{#N/A,#N/A,FALSE,"단축1";#N/A,#N/A,FALSE,"단축2";#N/A,#N/A,FALSE,"단축3";#N/A,#N/A,FALSE,"장축";#N/A,#N/A,FALSE,"4WD"}</definedName>
    <definedName name="송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바2" hidden="1">{#N/A,#N/A,FALSE,"단축1";#N/A,#N/A,FALSE,"단축2";#N/A,#N/A,FALSE,"단축3";#N/A,#N/A,FALSE,"장축";#N/A,#N/A,FALSE,"4WD"}</definedName>
    <definedName name="쇼쇼쇼" hidden="1">{#N/A,#N/A,FALSE,"단축1";#N/A,#N/A,FALSE,"단축2";#N/A,#N/A,FALSE,"단축3";#N/A,#N/A,FALSE,"장축";#N/A,#N/A,FALSE,"4WD"}</definedName>
    <definedName name="쇼ㅛㄱ" hidden="1">{#N/A,#N/A,FALSE,"단축1";#N/A,#N/A,FALSE,"단축2";#N/A,#N/A,FALSE,"단축3";#N/A,#N/A,FALSE,"장축";#N/A,#N/A,FALSE,"4WD"}</definedName>
    <definedName name="수정물량" hidden="1">{#N/A,#N/A,TRUE,"Y생산";#N/A,#N/A,TRUE,"Y판매";#N/A,#N/A,TRUE,"Y총물량";#N/A,#N/A,TRUE,"Y능력";#N/A,#N/A,TRUE,"YKD"}</definedName>
    <definedName name="수직편차_19041" hidden="1">{#N/A,#N/A,FALSE,"원가검토서"}</definedName>
    <definedName name="수직편차_190419" hidden="1">{#N/A,#N/A,FALSE,"원가검토서"}</definedName>
    <definedName name="스타렉스2" hidden="1">{#N/A,#N/A,FALSE,"단축1";#N/A,#N/A,FALSE,"단축2";#N/A,#N/A,FALSE,"단축3";#N/A,#N/A,FALSE,"장축";#N/A,#N/A,FALSE,"4WD"}</definedName>
    <definedName name="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시간" hidden="1">{#N/A,#N/A,TRUE,"Y생산";#N/A,#N/A,TRUE,"Y판매";#N/A,#N/A,TRUE,"Y총물량";#N/A,#N/A,TRUE,"Y능력";#N/A,#N/A,TRUE,"YKD"}</definedName>
    <definedName name="시그마1" hidden="1">{#N/A,#N/A,FALSE,"단축1";#N/A,#N/A,FALSE,"단축2";#N/A,#N/A,FALSE,"단축3";#N/A,#N/A,FALSE,"장축";#N/A,#N/A,FALSE,"4WD"}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동성" hidden="1">{"'KET'!$A$1:$E$2423"}</definedName>
    <definedName name="시리즈" hidden="1">{#N/A,#N/A,FALSE,"단축1";#N/A,#N/A,FALSE,"단축2";#N/A,#N/A,FALSE,"단축3";#N/A,#N/A,FALSE,"장축";#N/A,#N/A,FALSE,"4WD"}</definedName>
    <definedName name="시작차반" hidden="1">{#N/A,#N/A,FALSE,"단축1";#N/A,#N/A,FALSE,"단축2";#N/A,#N/A,FALSE,"단축3";#N/A,#N/A,FALSE,"장축";#N/A,#N/A,FALSE,"4WD"}</definedName>
    <definedName name="시험일정p2" hidden="1">{#N/A,#N/A,FALSE,"단축1";#N/A,#N/A,FALSE,"단축2";#N/A,#N/A,FALSE,"단축3";#N/A,#N/A,FALSE,"장축";#N/A,#N/A,FALSE,"4WD"}</definedName>
    <definedName name="시험장비3" hidden="1">{#N/A,#N/A,FALSE,"단축1";#N/A,#N/A,FALSE,"단축2";#N/A,#N/A,FALSE,"단축3";#N/A,#N/A,FALSE,"장축";#N/A,#N/A,FALSE,"4WD"}</definedName>
    <definedName name="신기술_신공법" hidden="1">{#N/A,#N/A,FALSE,"단축1";#N/A,#N/A,FALSE,"단축2";#N/A,#N/A,FALSE,"단축3";#N/A,#N/A,FALSE,"장축";#N/A,#N/A,FALSE,"4WD"}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차개발" hidden="1">{#N/A,#N/A,FALSE,"단축1";#N/A,#N/A,FALSE,"단축2";#N/A,#N/A,FALSE,"단축3";#N/A,#N/A,FALSE,"장축";#N/A,#N/A,FALSE,"4WD"}</definedName>
    <definedName name="신차품질일정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심의보고단기종합" hidden="1">{#N/A,#N/A,FALSE,"단축1";#N/A,#N/A,FALSE,"단축2";#N/A,#N/A,FALSE,"단축3";#N/A,#N/A,FALSE,"장축";#N/A,#N/A,FALSE,"4WD"}</definedName>
    <definedName name="ㅇㄴㄹ" hidden="1">{#N/A,#N/A,FALSE,"단축1";#N/A,#N/A,FALSE,"단축2";#N/A,#N/A,FALSE,"단축3";#N/A,#N/A,FALSE,"장축";#N/A,#N/A,FALSE,"4WD"}</definedName>
    <definedName name="ㅇㄴㄹㄴㅇㄹ" hidden="1">{#N/A,#N/A,FALSE,"단축1";#N/A,#N/A,FALSE,"단축2";#N/A,#N/A,FALSE,"단축3";#N/A,#N/A,FALSE,"장축";#N/A,#N/A,FALSE,"4WD"}</definedName>
    <definedName name="ㅇㄴㅀㅇ" hidden="1">{#N/A,#N/A,FALSE,"단축1";#N/A,#N/A,FALSE,"단축2";#N/A,#N/A,FALSE,"단축3";#N/A,#N/A,FALSE,"장축";#N/A,#N/A,FALSE,"4WD"}</definedName>
    <definedName name="ㅇㄴ푝ㅈㄷㄱ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ㄹㄹ" hidden="1">{#N/A,#N/A,FALSE,"단축1";#N/A,#N/A,FALSE,"단축2";#N/A,#N/A,FALSE,"단축3";#N/A,#N/A,FALSE,"장축";#N/A,#N/A,FALSE,"4WD"}</definedName>
    <definedName name="ㅇㄹ호" hidden="1">{#N/A,#N/A,FALSE,"원가검토서"}</definedName>
    <definedName name="ㅇ롱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ㄻ" hidden="1">{#N/A,#N/A,FALSE,"단축1";#N/A,#N/A,FALSE,"단축2";#N/A,#N/A,FALSE,"단축3";#N/A,#N/A,FALSE,"장축";#N/A,#N/A,FALSE,"4WD"}</definedName>
    <definedName name="ㅇㄻㄴㅇ" hidden="1">{#N/A,#N/A,FALSE,"단축1";#N/A,#N/A,FALSE,"단축2";#N/A,#N/A,FALSE,"단축3";#N/A,#N/A,FALSE,"장축";#N/A,#N/A,FALSE,"4WD"}</definedName>
    <definedName name="ㅇㄻㄴㅇ롸ㅣ" hidden="1">{#N/A,#N/A,FALSE,"단축1";#N/A,#N/A,FALSE,"단축2";#N/A,#N/A,FALSE,"단축3";#N/A,#N/A,FALSE,"장축";#N/A,#N/A,FALSE,"4WD"}</definedName>
    <definedName name="ㅇㄻㅇㄻㄴㄹㅇㅁㄴ" hidden="1">{#N/A,#N/A,FALSE,"단축1";#N/A,#N/A,FALSE,"단축2";#N/A,#N/A,FALSE,"단축3";#N/A,#N/A,FALSE,"장축";#N/A,#N/A,FALSE,"4WD"}</definedName>
    <definedName name="ㅇㅀㄷㄱ쇼" hidden="1">{#N/A,#N/A,FALSE,"원가검토서"}</definedName>
    <definedName name="ㅇㅀㄷㄱㅈ" hidden="1">{#N/A,#N/A,FALSE,"원가검토서"}</definedName>
    <definedName name="ㅇㅀ호" hidden="1">{#N/A,#N/A,FALSE,"단축1";#N/A,#N/A,FALSE,"단축2";#N/A,#N/A,FALSE,"단축3";#N/A,#N/A,FALSE,"장축";#N/A,#N/A,FALSE,"4WD"}</definedName>
    <definedName name="ㅇㅁㄹ" hidden="1">{#N/A,#N/A,FALSE,"단축1";#N/A,#N/A,FALSE,"단축2";#N/A,#N/A,FALSE,"단축3";#N/A,#N/A,FALSE,"장축";#N/A,#N/A,FALSE,"4WD"}</definedName>
    <definedName name="ㅇㅇ" hidden="1">{#N/A,#N/A,FALSE,"단축1";#N/A,#N/A,FALSE,"단축2";#N/A,#N/A,FALSE,"단축3";#N/A,#N/A,FALSE,"장축";#N/A,#N/A,FALSE,"4WD"}</definedName>
    <definedName name="ㅇㅇㅇㅇ" hidden="1">{#N/A,#N/A,FALSE,"단축1";#N/A,#N/A,FALSE,"단축2";#N/A,#N/A,FALSE,"단축3";#N/A,#N/A,FALSE,"장축";#N/A,#N/A,FALSE,"4WD"}</definedName>
    <definedName name="ㅇㅇㅇㅇㅇㅇㅇ" hidden="1">{#N/A,#N/A,FALSE,"단축1";#N/A,#N/A,FALSE,"단축2";#N/A,#N/A,FALSE,"단축3";#N/A,#N/A,FALSE,"장축";#N/A,#N/A,FALSE,"4WD"}</definedName>
    <definedName name="ㅇㅎㄹ" hidden="1">{#N/A,#N/A,FALSE,"단축1";#N/A,#N/A,FALSE,"단축2";#N/A,#N/A,FALSE,"단축3";#N/A,#N/A,FALSE,"장축";#N/A,#N/A,FALSE,"4WD"}</definedName>
    <definedName name="ㅇㅎ오" hidden="1">{#N/A,#N/A,FALSE,"단축1";#N/A,#N/A,FALSE,"단축2";#N/A,#N/A,FALSE,"단축3";#N/A,#N/A,FALSE,"장축";#N/A,#N/A,FALSE,"4WD"}</definedName>
    <definedName name="ㅇ홍" hidden="1">{#N/A,#N/A,FALSE,"단축1";#N/A,#N/A,FALSE,"단축2";#N/A,#N/A,FALSE,"단축3";#N/A,#N/A,FALSE,"장축";#N/A,#N/A,FALSE,"4WD"}</definedName>
    <definedName name="아아아아아아아" hidden="1">{#N/A,#N/A,FALSE,"초도품";#N/A,#N/A,FALSE,"초도품 (2)";#N/A,#N/A,FALSE,"초도품 (3)";#N/A,#N/A,FALSE,"초도품 (4)";#N/A,#N/A,FALSE,"초도품 (5)";#N/A,#N/A,FALSE,"초도품 (6)"}</definedName>
    <definedName name="아아아아아아아앙" hidden="1">{#N/A,#N/A,FALSE,"신규dep";#N/A,#N/A,FALSE,"신규dep-금형상각후";#N/A,#N/A,FALSE,"신규dep-연구비상각후";#N/A,#N/A,FALSE,"신규dep-기계,공구상각후"}</definedName>
    <definedName name="안현모" hidden="1">{#N/A,#N/A,FALSE,"단축1";#N/A,#N/A,FALSE,"단축2";#N/A,#N/A,FALSE,"단축3";#N/A,#N/A,FALSE,"장축";#N/A,#N/A,FALSE,"4WD"}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식" hidden="1">{#N/A,#N/A,FALSE,"단축1";#N/A,#N/A,FALSE,"단축2";#N/A,#N/A,FALSE,"단축3";#N/A,#N/A,FALSE,"장축";#N/A,#N/A,FALSE,"4WD"}</definedName>
    <definedName name="에어벤트" hidden="1">{#N/A,#N/A,FALSE,"단축1";#N/A,#N/A,FALSE,"단축2";#N/A,#N/A,FALSE,"단축3";#N/A,#N/A,FALSE,"장축";#N/A,#N/A,FALSE,"4WD"}</definedName>
    <definedName name="에이" hidden="1">{#N/A,#N/A,TRUE,"Y생산";#N/A,#N/A,TRUE,"Y판매";#N/A,#N/A,TRUE,"Y총물량";#N/A,#N/A,TRUE,"Y능력";#N/A,#N/A,TRUE,"YKD"}</definedName>
    <definedName name="연료2" hidden="1">{#N/A,#N/A,FALSE,"단축1";#N/A,#N/A,FALSE,"단축2";#N/A,#N/A,FALSE,"단축3";#N/A,#N/A,FALSE,"장축";#N/A,#N/A,FALSE,"4WD"}</definedName>
    <definedName name="연료탱크3" hidden="1">{#N/A,#N/A,FALSE,"단축1";#N/A,#N/A,FALSE,"단축2";#N/A,#N/A,FALSE,"단축3";#N/A,#N/A,FALSE,"장축";#N/A,#N/A,FALSE,"4WD"}</definedName>
    <definedName name="영업" hidden="1">#REF!</definedName>
    <definedName name="오" hidden="1">{#N/A,#N/A,FALSE,"단축1";#N/A,#N/A,FALSE,"단축2";#N/A,#N/A,FALSE,"단축3";#N/A,#N/A,FALSE,"장축";#N/A,#N/A,FALSE,"4WD"}</definedName>
    <definedName name="오성협" hidden="1">{#N/A,#N/A,TRUE,"Y생산";#N/A,#N/A,TRUE,"Y판매";#N/A,#N/A,TRUE,"Y총물량";#N/A,#N/A,TRUE,"Y능력";#N/A,#N/A,TRUE,"YKD"}</definedName>
    <definedName name="와이퍼일" hidden="1">{#N/A,#N/A,FALSE,"단축1";#N/A,#N/A,FALSE,"단축2";#N/A,#N/A,FALSE,"단축3";#N/A,#N/A,FALSE,"장축";#N/A,#N/A,FALSE,"4WD"}</definedName>
    <definedName name="외주계획" hidden="1">{#N/A,#N/A,TRUE,"Y생산";#N/A,#N/A,TRUE,"Y판매";#N/A,#N/A,TRUE,"Y총물량";#N/A,#N/A,TRUE,"Y능력";#N/A,#N/A,TRUE,"YKD"}</definedName>
    <definedName name="요약" hidden="1">#REF!</definedName>
    <definedName name="용역" hidden="1">{#N/A,#N/A,TRUE,"Y생산";#N/A,#N/A,TRUE,"Y판매";#N/A,#N/A,TRUE,"Y총물량";#N/A,#N/A,TRUE,"Y능력";#N/A,#N/A,TRUE,"YKD"}</definedName>
    <definedName name="우리" hidden="1">{#N/A,#N/A,FALSE,"단축1";#N/A,#N/A,FALSE,"단축2";#N/A,#N/A,FALSE,"단축3";#N/A,#N/A,FALSE,"장축";#N/A,#N/A,FALSE,"4WD"}</definedName>
    <definedName name="운영1" hidden="1">{#N/A,#N/A,FALSE,"단축1";#N/A,#N/A,FALSE,"단축2";#N/A,#N/A,FALSE,"단축3";#N/A,#N/A,FALSE,"장축";#N/A,#N/A,FALSE,"4WD"}</definedName>
    <definedName name="울산공장만" hidden="1">{#N/A,#N/A,FALSE,"단축1";#N/A,#N/A,FALSE,"단축2";#N/A,#N/A,FALSE,"단축3";#N/A,#N/A,FALSE,"장축";#N/A,#N/A,FALSE,"4WD"}</definedName>
    <definedName name="원자재종합" hidden="1">{#N/A,#N/A,FALSE,"단축1";#N/A,#N/A,FALSE,"단축2";#N/A,#N/A,FALSE,"단축3";#N/A,#N/A,FALSE,"장축";#N/A,#N/A,FALSE,"4WD"}</definedName>
    <definedName name="유사차" hidden="1">{#N/A,#N/A,FALSE,"신규dep";#N/A,#N/A,FALSE,"신규dep-금형상각후";#N/A,#N/A,FALSE,"신규dep-연구비상각후";#N/A,#N/A,FALSE,"신규dep-기계,공구상각후"}</definedName>
    <definedName name="유형" hidden="1">{#N/A,#N/A,TRUE,"Y생산";#N/A,#N/A,TRUE,"Y판매";#N/A,#N/A,TRUE,"Y총물량";#N/A,#N/A,TRUE,"Y능력";#N/A,#N/A,TRUE,"YKD"}</definedName>
    <definedName name="유ㅕㄴ됵ㄷ" hidden="1">{#N/A,#N/A,FALSE,"단축1";#N/A,#N/A,FALSE,"단축2";#N/A,#N/A,FALSE,"단축3";#N/A,#N/A,FALSE,"장축";#N/A,#N/A,FALSE,"4WD"}</definedName>
    <definedName name="이근한" hidden="1">{#N/A,#N/A,FALSE,"단축1";#N/A,#N/A,FALSE,"단축2";#N/A,#N/A,FALSE,"단축3";#N/A,#N/A,FALSE,"장축";#N/A,#N/A,FALSE,"4WD"}</definedName>
    <definedName name="이리니다" hidden="1">{#N/A,#N/A,FALSE,"단축1";#N/A,#N/A,FALSE,"단축2";#N/A,#N/A,FALSE,"단축3";#N/A,#N/A,FALSE,"장축";#N/A,#N/A,FALSE,"4WD"}</definedName>
    <definedName name="이혁준" hidden="1">{#N/A,#N/A,FALSE,"단축1";#N/A,#N/A,FALSE,"단축2";#N/A,#N/A,FALSE,"단축3";#N/A,#N/A,FALSE,"장축";#N/A,#N/A,FALSE,"4WD"}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일르낟" hidden="1">{#N/A,#N/A,FALSE,"단축1";#N/A,#N/A,FALSE,"단축2";#N/A,#N/A,FALSE,"단축3";#N/A,#N/A,FALSE,"장축";#N/A,#N/A,FALSE,"4WD"}</definedName>
    <definedName name="일반문서" hidden="1">{#N/A,#N/A,FALSE,"단축1";#N/A,#N/A,FALSE,"단축2";#N/A,#N/A,FALSE,"단축3";#N/A,#N/A,FALSE,"장축";#N/A,#N/A,FALSE,"4WD"}</definedName>
    <definedName name="일반문서3" hidden="1">{#N/A,#N/A,FALSE,"단축1";#N/A,#N/A,FALSE,"단축2";#N/A,#N/A,FALSE,"단축3";#N/A,#N/A,FALSE,"장축";#N/A,#N/A,FALSE,"4WD"}</definedName>
    <definedName name="일반문서4" hidden="1">{#N/A,#N/A,FALSE,"단축1";#N/A,#N/A,FALSE,"단축2";#N/A,#N/A,FALSE,"단축3";#N/A,#N/A,FALSE,"장축";#N/A,#N/A,FALSE,"4WD"}</definedName>
    <definedName name="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계획" hidden="1">{#N/A,#N/A,FALSE,"신규dep";#N/A,#N/A,FALSE,"신규dep-금형상각후";#N/A,#N/A,FALSE,"신규dep-연구비상각후";#N/A,#N/A,FALSE,"신규dep-기계,공구상각후"}</definedName>
    <definedName name="ㅈㄱㄹ" hidden="1">{#N/A,#N/A,FALSE,"단축1";#N/A,#N/A,FALSE,"단축2";#N/A,#N/A,FALSE,"단축3";#N/A,#N/A,FALSE,"장축";#N/A,#N/A,FALSE,"4WD"}</definedName>
    <definedName name="ㅈ고모" hidden="1">{#N/A,#N/A,FALSE,"단축1";#N/A,#N/A,FALSE,"단축2";#N/A,#N/A,FALSE,"단축3";#N/A,#N/A,FALSE,"장축";#N/A,#N/A,FALSE,"4WD"}</definedName>
    <definedName name="ㅈㄴㄴ" hidden="1">{#N/A,#N/A,FALSE,"단축1";#N/A,#N/A,FALSE,"단축2";#N/A,#N/A,FALSE,"단축3";#N/A,#N/A,FALSE,"장축";#N/A,#N/A,FALSE,"4WD"}</definedName>
    <definedName name="ㅈㄴㅇㄹㅊㅁ" hidden="1">{#N/A,#N/A,FALSE,"단축1";#N/A,#N/A,FALSE,"단축2";#N/A,#N/A,FALSE,"단축3";#N/A,#N/A,FALSE,"장축";#N/A,#N/A,FALSE,"4WD"}</definedName>
    <definedName name="ㅈㄵ" hidden="1">{#N/A,#N/A,FALSE,"단축1";#N/A,#N/A,FALSE,"단축2";#N/A,#N/A,FALSE,"단축3";#N/A,#N/A,FALSE,"장축";#N/A,#N/A,FALSE,"4WD"}</definedName>
    <definedName name="ㅈㄷㄱㄷㅈ" hidden="1">{#N/A,#N/A,FALSE,"단축1";#N/A,#N/A,FALSE,"단축2";#N/A,#N/A,FALSE,"단축3";#N/A,#N/A,FALSE,"장축";#N/A,#N/A,FALSE,"4WD"}</definedName>
    <definedName name="ㅈㄷㄱ쇼ㅗㅎㄹㅇ" hidden="1">{#N/A,#N/A,FALSE,"단축1";#N/A,#N/A,FALSE,"단축2";#N/A,#N/A,FALSE,"단축3";#N/A,#N/A,FALSE,"장축";#N/A,#N/A,FALSE,"4WD"}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ㅇㅅ셔ㅛㅎ" hidden="1">{#N/A,#N/A,FALSE,"단축1";#N/A,#N/A,FALSE,"단축2";#N/A,#N/A,FALSE,"단축3";#N/A,#N/A,FALSE,"장축";#N/A,#N/A,FALSE,"4WD"}</definedName>
    <definedName name="ㅈㄹ" hidden="1">{#N/A,#N/A,FALSE,"단축1";#N/A,#N/A,FALSE,"단축2";#N/A,#N/A,FALSE,"단축3";#N/A,#N/A,FALSE,"장축";#N/A,#N/A,FALSE,"4WD"}</definedName>
    <definedName name="ㅈㅁㅅㅎㄹㅇㅍㅎ" hidden="1">{#N/A,#N/A,FALSE,"단축1";#N/A,#N/A,FALSE,"단축2";#N/A,#N/A,FALSE,"단축3";#N/A,#N/A,FALSE,"장축";#N/A,#N/A,FALSE,"4WD"}</definedName>
    <definedName name="ㅈㅂㄴㅅ5ㅛㅇㄱㄷ" hidden="1">{#N/A,#N/A,FALSE,"단축1";#N/A,#N/A,FALSE,"단축2";#N/A,#N/A,FALSE,"단축3";#N/A,#N/A,FALSE,"장축";#N/A,#N/A,FALSE,"4WD"}</definedName>
    <definedName name="ㅈ뵫군ㄴㄱㄷ묘" hidden="1">{#N/A,#N/A,FALSE,"단축1";#N/A,#N/A,FALSE,"단축2";#N/A,#N/A,FALSE,"단축3";#N/A,#N/A,FALSE,"장축";#N/A,#N/A,FALSE,"4WD"}</definedName>
    <definedName name="ㅈㅅㅎㄷㄱㅀ" hidden="1">{#N/A,#N/A,FALSE,"단축1";#N/A,#N/A,FALSE,"단축2";#N/A,#N/A,FALSE,"단축3";#N/A,#N/A,FALSE,"장축";#N/A,#N/A,FALSE,"4WD"}</definedName>
    <definedName name="ㅈㅇㄷㅅㄱㅁㅅ" hidden="1">{#N/A,#N/A,FALSE,"단축1";#N/A,#N/A,FALSE,"단축2";#N/A,#N/A,FALSE,"단축3";#N/A,#N/A,FALSE,"장축";#N/A,#N/A,FALSE,"4WD"}</definedName>
    <definedName name="ㅈㅈ" hidden="1">{#N/A,#N/A,FALSE,"단축1";#N/A,#N/A,FALSE,"단축2";#N/A,#N/A,FALSE,"단축3";#N/A,#N/A,FALSE,"장축";#N/A,#N/A,FALSE,"4WD"}</definedName>
    <definedName name="ㅈㅈㅂㅈㄷ" hidden="1">{#N/A,#N/A,FALSE,"단축1";#N/A,#N/A,FALSE,"단축2";#N/A,#N/A,FALSE,"단축3";#N/A,#N/A,FALSE,"장축";#N/A,#N/A,FALSE,"4WD"}</definedName>
    <definedName name="ㅈㅈ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자재기준" hidden="1">{#N/A,#N/A,TRUE,"Y생산";#N/A,#N/A,TRUE,"Y판매";#N/A,#N/A,TRUE,"Y총물량";#N/A,#N/A,TRUE,"Y능력";#N/A,#N/A,TRUE,"YKD"}</definedName>
    <definedName name="장" hidden="1">{#N/A,#N/A,FALSE,"단축1";#N/A,#N/A,FALSE,"단축2";#N/A,#N/A,FALSE,"단축3";#N/A,#N/A,FALSE,"장축";#N/A,#N/A,FALSE,"4WD"}</definedName>
    <definedName name="장민ㄹ" hidden="1">{#N/A,#N/A,FALSE,"단축1";#N/A,#N/A,FALSE,"단축2";#N/A,#N/A,FALSE,"단축3";#N/A,#N/A,FALSE,"장축";#N/A,#N/A,FALSE,"4WD"}</definedName>
    <definedName name="재료예산" hidden="1">{#N/A,#N/A,FALSE,"단축1";#N/A,#N/A,FALSE,"단축2";#N/A,#N/A,FALSE,"단축3";#N/A,#N/A,FALSE,"장축";#N/A,#N/A,FALSE,"4WD"}</definedName>
    <definedName name="전개계획" hidden="1">{#N/A,#N/A,FALSE,"단축1";#N/A,#N/A,FALSE,"단축2";#N/A,#N/A,FALSE,"단축3";#N/A,#N/A,FALSE,"장축";#N/A,#N/A,FALSE,"4WD"}</definedName>
    <definedName name="전개방안2" hidden="1">{#N/A,#N/A,FALSE,"단축1";#N/A,#N/A,FALSE,"단축2";#N/A,#N/A,FALSE,"단축3";#N/A,#N/A,FALSE,"장축";#N/A,#N/A,FALSE,"4WD"}</definedName>
    <definedName name="전개방안3" hidden="1">{#N/A,#N/A,FALSE,"단축1";#N/A,#N/A,FALSE,"단축2";#N/A,#N/A,FALSE,"단축3";#N/A,#N/A,FALSE,"장축";#N/A,#N/A,FALSE,"4WD"}</definedName>
    <definedName name="전개방안4" hidden="1">{#N/A,#N/A,FALSE,"단축1";#N/A,#N/A,FALSE,"단축2";#N/A,#N/A,FALSE,"단축3";#N/A,#N/A,FALSE,"장축";#N/A,#N/A,FALSE,"4WD"}</definedName>
    <definedName name="전체1" hidden="1">{#N/A,#N/A,FALSE,"단축1";#N/A,#N/A,FALSE,"단축2";#N/A,#N/A,FALSE,"단축3";#N/A,#N/A,FALSE,"장축";#N/A,#N/A,FALSE,"4WD"}</definedName>
    <definedName name="전체2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전후" hidden="1">{#N/A,#N/A,FALSE,"단축1";#N/A,#N/A,FALSE,"단축2";#N/A,#N/A,FALSE,"단축3";#N/A,#N/A,FALSE,"장축";#N/A,#N/A,FALSE,"4WD"}</definedName>
    <definedName name="전후분석" hidden="1">{#N/A,#N/A,FALSE,"단축1";#N/A,#N/A,FALSE,"단축2";#N/A,#N/A,FALSE,"단축3";#N/A,#N/A,FALSE,"장축";#N/A,#N/A,FALSE,"4WD"}</definedName>
    <definedName name="전후분석을" hidden="1">{#N/A,#N/A,FALSE,"단축1";#N/A,#N/A,FALSE,"단축2";#N/A,#N/A,FALSE,"단축3";#N/A,#N/A,FALSE,"장축";#N/A,#N/A,FALSE,"4WD"}</definedName>
    <definedName name="절감" hidden="1">{#N/A,#N/A,FALSE,"단축1";#N/A,#N/A,FALSE,"단축2";#N/A,#N/A,FALSE,"단축3";#N/A,#N/A,FALSE,"장축";#N/A,#N/A,FALSE,"4WD"}</definedName>
    <definedName name="절감계산2" hidden="1">{#N/A,#N/A,FALSE,"단축1";#N/A,#N/A,FALSE,"단축2";#N/A,#N/A,FALSE,"단축3";#N/A,#N/A,FALSE,"장축";#N/A,#N/A,FALSE,"4WD"}</definedName>
    <definedName name="정" hidden="1">{#N/A,#N/A,FALSE,"단축1";#N/A,#N/A,FALSE,"단축2";#N/A,#N/A,FALSE,"단축3";#N/A,#N/A,FALSE,"장축";#N/A,#N/A,FALSE,"4WD"}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동" hidden="1">{#N/A,#N/A,FALSE,"단축1";#N/A,#N/A,FALSE,"단축2";#N/A,#N/A,FALSE,"단축3";#N/A,#N/A,FALSE,"장축";#N/A,#N/A,FALSE,"4WD"}</definedName>
    <definedName name="제조" hidden="1">{#N/A,#N/A,FALSE,"단축1";#N/A,#N/A,FALSE,"단축2";#N/A,#N/A,FALSE,"단축3";#N/A,#N/A,FALSE,"장축";#N/A,#N/A,FALSE,"4WD"}</definedName>
    <definedName name="제품설계예산" hidden="1">{#N/A,#N/A,FALSE,"단축1";#N/A,#N/A,FALSE,"단축2";#N/A,#N/A,FALSE,"단축3";#N/A,#N/A,FALSE,"장축";#N/A,#N/A,FALSE,"4WD"}</definedName>
    <definedName name="종합3" hidden="1">{"'KET'!$A$1:$E$2423"}</definedName>
    <definedName name="종합그래프" hidden="1">{#N/A,#N/A,FALSE,"단축1";#N/A,#N/A,FALSE,"단축2";#N/A,#N/A,FALSE,"단축3";#N/A,#N/A,FALSE,"장축";#N/A,#N/A,FALSE,"4WD"}</definedName>
    <definedName name="종합그래프1" hidden="1">{#N/A,#N/A,FALSE,"단축1";#N/A,#N/A,FALSE,"단축2";#N/A,#N/A,FALSE,"단축3";#N/A,#N/A,FALSE,"장축";#N/A,#N/A,FALSE,"4WD"}</definedName>
    <definedName name="죠홀ㅇㅎㄹ펴ㅛㅗ" hidden="1">{#N/A,#N/A,FALSE,"단축1";#N/A,#N/A,FALSE,"단축2";#N/A,#N/A,FALSE,"단축3";#N/A,#N/A,FALSE,"장축";#N/A,#N/A,FALSE,"4WD"}</definedName>
    <definedName name="주리원" hidden="1">{#N/A,#N/A,FALSE,"단축1";#N/A,#N/A,FALSE,"단축2";#N/A,#N/A,FALSE,"단축3";#N/A,#N/A,FALSE,"장축";#N/A,#N/A,FALSE,"4WD"}</definedName>
    <definedName name="주요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원" hidden="1">{#N/A,#N/A,FALSE,"단축1";#N/A,#N/A,FALSE,"단축2";#N/A,#N/A,FALSE,"단축3";#N/A,#N/A,FALSE,"장축";#N/A,#N/A,FALSE,"4WD"}</definedName>
    <definedName name="주정관" hidden="1">{#N/A,#N/A,TRUE,"일정"}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발루" hidden="1">{#N/A,#N/A,FALSE,"단축1";#N/A,#N/A,FALSE,"단축2";#N/A,#N/A,FALSE,"단축3";#N/A,#N/A,FALSE,"장축";#N/A,#N/A,FALSE,"4WD"}</definedName>
    <definedName name="지태면" hidden="1">{#N/A,#N/A,TRUE,"Y생산";#N/A,#N/A,TRUE,"Y판매";#N/A,#N/A,TRUE,"Y총물량";#N/A,#N/A,TRUE,"Y능력";#N/A,#N/A,TRUE,"YKD"}</definedName>
    <definedName name="지호" hidden="1">{#N/A,#N/A,FALSE,"단축1";#N/A,#N/A,FALSE,"단축2";#N/A,#N/A,FALSE,"단축3";#N/A,#N/A,FALSE,"장축";#N/A,#N/A,FALSE,"4WD"}</definedName>
    <definedName name="ㅉ" hidden="1">{#N/A,#N/A,TRUE,"Y생산";#N/A,#N/A,TRUE,"Y판매";#N/A,#N/A,TRUE,"Y총물량";#N/A,#N/A,TRUE,"Y능력";#N/A,#N/A,TRUE,"YKD"}</definedName>
    <definedName name="ㅊㄷㅁㅈㄷㄼㄹ" hidden="1">{#N/A,#N/A,FALSE,"단축1";#N/A,#N/A,FALSE,"단축2";#N/A,#N/A,FALSE,"단축3";#N/A,#N/A,FALSE,"장축";#N/A,#N/A,FALSE,"4WD"}</definedName>
    <definedName name="ㅊㅊ" hidden="1">{#N/A,#N/A,FALSE,"단축1";#N/A,#N/A,FALSE,"단축2";#N/A,#N/A,FALSE,"단축3";#N/A,#N/A,FALSE,"장축";#N/A,#N/A,FALSE,"4WD"}</definedName>
    <definedName name="ㅊㅊㅊ" hidden="1">{#N/A,#N/A,FALSE,"단축1";#N/A,#N/A,FALSE,"단축2";#N/A,#N/A,FALSE,"단축3";#N/A,#N/A,FALSE,"장축";#N/A,#N/A,FALSE,"4WD"}</definedName>
    <definedName name="참고사항" hidden="1">{#N/A,#N/A,FALSE,"단축1";#N/A,#N/A,FALSE,"단축2";#N/A,#N/A,FALSE,"단축3";#N/A,#N/A,FALSE,"장축";#N/A,#N/A,FALSE,"4WD"}</definedName>
    <definedName name="최영" hidden="1">{#N/A,#N/A,FALSE,"정공"}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충돌" hidden="1">{#N/A,#N/A,FALSE,"단축1";#N/A,#N/A,FALSE,"단축2";#N/A,#N/A,FALSE,"단축3";#N/A,#N/A,FALSE,"장축";#N/A,#N/A,FALSE,"4WD"}</definedName>
    <definedName name="측정기" hidden="1">#REF!</definedName>
    <definedName name="ㅋㅇㅍ" hidden="1">{#N/A,#N/A,FALSE,"단축1";#N/A,#N/A,FALSE,"단축2";#N/A,#N/A,FALSE,"단축3";#N/A,#N/A,FALSE,"장축";#N/A,#N/A,FALSE,"4WD"}</definedName>
    <definedName name="ㅋㅋ" hidden="1">{#N/A,#N/A,FALSE,"단축1";#N/A,#N/A,FALSE,"단축2";#N/A,#N/A,FALSE,"단축3";#N/A,#N/A,FALSE,"장축";#N/A,#N/A,FALSE,"4WD"}</definedName>
    <definedName name="ㅋㅋㅋㅋ" hidden="1">{#N/A,#N/A,FALSE,"단축1";#N/A,#N/A,FALSE,"단축2";#N/A,#N/A,FALSE,"단축3";#N/A,#N/A,FALSE,"장축";#N/A,#N/A,FALSE,"4WD"}</definedName>
    <definedName name="ㅋㅋㅋㅋㅋ" hidden="1">{#N/A,#N/A,FALSE,"단축1";#N/A,#N/A,FALSE,"단축2";#N/A,#N/A,FALSE,"단축3";#N/A,#N/A,FALSE,"장축";#N/A,#N/A,FALSE,"4WD"}</definedName>
    <definedName name="캄코11" hidden="1">{#N/A,#N/A,FALSE,"Cst of Sales (2)"}</definedName>
    <definedName name="크랑" hidden="1">{#N/A,#N/A,FALSE,"단축1";#N/A,#N/A,FALSE,"단축2";#N/A,#N/A,FALSE,"단축3";#N/A,#N/A,FALSE,"장축";#N/A,#N/A,FALSE,"4WD"}</definedName>
    <definedName name="키프코" hidden="1">{#N/A,#N/A,FALSE,"을지 (4)";#N/A,#N/A,FALSE,"을지 (5)";#N/A,#N/A,FALSE,"을지 (6)"}</definedName>
    <definedName name="ㅌ" hidden="1">{#N/A,#N/A,FALSE,"단축1";#N/A,#N/A,FALSE,"단축2";#N/A,#N/A,FALSE,"단축3";#N/A,#N/A,FALSE,"장축";#N/A,#N/A,FALSE,"4WD"}</definedName>
    <definedName name="ㅌㅇ" hidden="1">{#N/A,#N/A,FALSE,"단축1";#N/A,#N/A,FALSE,"단축2";#N/A,#N/A,FALSE,"단축3";#N/A,#N/A,FALSE,"장축";#N/A,#N/A,FALSE,"4WD"}</definedName>
    <definedName name="ㅌㅇㄳ됴" hidden="1">{#N/A,#N/A,FALSE,"단축1";#N/A,#N/A,FALSE,"단축2";#N/A,#N/A,FALSE,"단축3";#N/A,#N/A,FALSE,"장축";#N/A,#N/A,FALSE,"4WD"}</definedName>
    <definedName name="ㅌㅇ로" hidden="1">{#N/A,#N/A,FALSE,"단축1";#N/A,#N/A,FALSE,"단축2";#N/A,#N/A,FALSE,"단축3";#N/A,#N/A,FALSE,"장축";#N/A,#N/A,FALSE,"4WD"}</definedName>
    <definedName name="ㅌㅊ" hidden="1">{#N/A,#N/A,FALSE,"단축1";#N/A,#N/A,FALSE,"단축2";#N/A,#N/A,FALSE,"단축3";#N/A,#N/A,FALSE,"장축";#N/A,#N/A,FALSE,"4WD"}</definedName>
    <definedName name="ㅌㅋㅊㅍ츄ㅍ" hidden="1">{#N/A,#N/A,FALSE,"신규dep";#N/A,#N/A,FALSE,"신규dep-금형상각후";#N/A,#N/A,FALSE,"신규dep-연구비상각후";#N/A,#N/A,FALSE,"신규dep-기계,공구상각후"}</definedName>
    <definedName name="ㅌㅌ" hidden="1">{#N/A,#N/A,TRUE,"일정"}</definedName>
    <definedName name="ㅌㅌㅌㅌ" hidden="1">{#N/A,#N/A,FALSE,"단축1";#N/A,#N/A,FALSE,"단축2";#N/A,#N/A,FALSE,"단축3";#N/A,#N/A,FALSE,"장축";#N/A,#N/A,FALSE,"4WD"}</definedName>
    <definedName name="터" hidden="1">{#N/A,#N/A,FALSE,"단축1";#N/A,#N/A,FALSE,"단축2";#N/A,#N/A,FALSE,"단축3";#N/A,#N/A,FALSE,"장축";#N/A,#N/A,FALSE,"4WD"}</definedName>
    <definedName name="통합1장" hidden="1">{#N/A,#N/A,FALSE,"단축1";#N/A,#N/A,FALSE,"단축2";#N/A,#N/A,FALSE,"단축3";#N/A,#N/A,FALSE,"장축";#N/A,#N/A,FALSE,"4WD"}</definedName>
    <definedName name="투자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투자사업개요서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예산2" hidden="1">{#N/A,#N/A,FALSE,"단축1";#N/A,#N/A,FALSE,"단축2";#N/A,#N/A,FALSE,"단축3";#N/A,#N/A,FALSE,"장축";#N/A,#N/A,FALSE,"4WD"}</definedName>
    <definedName name="ㅍㅎ류" hidden="1">{#N/A,#N/A,FALSE,"단축1";#N/A,#N/A,FALSE,"단축2";#N/A,#N/A,FALSE,"단축3";#N/A,#N/A,FALSE,"장축";#N/A,#N/A,FALSE,"4WD"}</definedName>
    <definedName name="판매" hidden="1">{#N/A,#N/A,FALSE,"단축1";#N/A,#N/A,FALSE,"단축2";#N/A,#N/A,FALSE,"단축3";#N/A,#N/A,FALSE,"장축";#N/A,#N/A,FALSE,"4WD"}</definedName>
    <definedName name="판매목표2" hidden="1">{#N/A,#N/A,FALSE,"단축1";#N/A,#N/A,FALSE,"단축2";#N/A,#N/A,FALSE,"단축3";#N/A,#N/A,FALSE,"장축";#N/A,#N/A,FALSE,"4WD"}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포장" hidden="1">{#N/A,#N/A,FALSE,"원가검토서"}</definedName>
    <definedName name="포장사양" hidden="1">#REF!</definedName>
    <definedName name="포장사양서" hidden="1">{#N/A,#N/A,FALSE,"원가검토서"}</definedName>
    <definedName name="표지1" hidden="1">{#N/A,#N/A,FALSE,"단축1";#N/A,#N/A,FALSE,"단축2";#N/A,#N/A,FALSE,"단축3";#N/A,#N/A,FALSE,"장축";#N/A,#N/A,FALSE,"4WD"}</definedName>
    <definedName name="품" hidden="1">{#N/A,#N/A,TRUE,"Y생산";#N/A,#N/A,TRUE,"Y판매";#N/A,#N/A,TRUE,"Y총물량";#N/A,#N/A,TRUE,"Y능력";#N/A,#N/A,TRUE,"YKD"}</definedName>
    <definedName name="품질확보계획2" hidden="1">{#N/A,#N/A,FALSE,"단축1";#N/A,#N/A,FALSE,"단축2";#N/A,#N/A,FALSE,"단축3";#N/A,#N/A,FALSE,"장축";#N/A,#N/A,FALSE,"4WD"}</definedName>
    <definedName name="품질확보추진현황" hidden="1">{#N/A,#N/A,FALSE,"단축1";#N/A,#N/A,FALSE,"단축2";#N/A,#N/A,FALSE,"단축3";#N/A,#N/A,FALSE,"장축";#N/A,#N/A,FALSE,"4WD"}</definedName>
    <definedName name="품확" hidden="1">{#N/A,#N/A,FALSE,"단축1";#N/A,#N/A,FALSE,"단축2";#N/A,#N/A,FALSE,"단축3";#N/A,#N/A,FALSE,"장축";#N/A,#N/A,FALSE,"4WD"}</definedName>
    <definedName name="퓨ㅠ" hidden="1">{#N/A,#N/A,FALSE,"단축1";#N/A,#N/A,FALSE,"단축2";#N/A,#N/A,FALSE,"단축3";#N/A,#N/A,FALSE,"장축";#N/A,#N/A,FALSE,"4WD"}</definedName>
    <definedName name="프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ㅎ골호" hidden="1">{#N/A,#N/A,FALSE,"단축1";#N/A,#N/A,FALSE,"단축2";#N/A,#N/A,FALSE,"단축3";#N/A,#N/A,FALSE,"장축";#N/A,#N/A,FALSE,"4WD"}</definedName>
    <definedName name="ㅎㄴ" hidden="1">{#N/A,#N/A,FALSE,"단축1";#N/A,#N/A,FALSE,"단축2";#N/A,#N/A,FALSE,"단축3";#N/A,#N/A,FALSE,"장축";#N/A,#N/A,FALSE,"4WD"}</definedName>
    <definedName name="ㅎㄷㅁㄱ" hidden="1">{#N/A,#N/A,FALSE,"단축1";#N/A,#N/A,FALSE,"단축2";#N/A,#N/A,FALSE,"단축3";#N/A,#N/A,FALSE,"장축";#N/A,#N/A,FALSE,"4WD"}</definedName>
    <definedName name="ㅎㄹㅇㄴ" hidden="1">{#N/A,#N/A,FALSE,"신규dep";#N/A,#N/A,FALSE,"신규dep-금형상각후";#N/A,#N/A,FALSE,"신규dep-연구비상각후";#N/A,#N/A,FALSE,"신규dep-기계,공구상각후"}</definedName>
    <definedName name="ㅎㄹㅇㅎ" hidden="1">{#N/A,#N/A,FALSE,"단축1";#N/A,#N/A,FALSE,"단축2";#N/A,#N/A,FALSE,"단축3";#N/A,#N/A,FALSE,"장축";#N/A,#N/A,FALSE,"4WD"}</definedName>
    <definedName name="ㅎ라" hidden="1">{#N/A,#N/A,TRUE,"Y생산";#N/A,#N/A,TRUE,"Y판매";#N/A,#N/A,TRUE,"Y총물량";#N/A,#N/A,TRUE,"Y능력";#N/A,#N/A,TRUE,"YKD"}</definedName>
    <definedName name="ㅎ러ㅗㅀ" hidden="1">{#N/A,#N/A,FALSE,"단축1";#N/A,#N/A,FALSE,"단축2";#N/A,#N/A,FALSE,"단축3";#N/A,#N/A,FALSE,"장축";#N/A,#N/A,FALSE,"4WD"}</definedName>
    <definedName name="ㅎ로" hidden="1">{#N/A,#N/A,FALSE,"단축1";#N/A,#N/A,FALSE,"단축2";#N/A,#N/A,FALSE,"단축3";#N/A,#N/A,FALSE,"장축";#N/A,#N/A,FALSE,"4WD"}</definedName>
    <definedName name="ㅎ로ㅎ" hidden="1">{#N/A,#N/A,FALSE,"단축1";#N/A,#N/A,FALSE,"단축2";#N/A,#N/A,FALSE,"단축3";#N/A,#N/A,FALSE,"장축";#N/A,#N/A,FALSE,"4WD"}</definedName>
    <definedName name="ㅎ로호" hidden="1">{#N/A,#N/A,FALSE,"단축1";#N/A,#N/A,FALSE,"단축2";#N/A,#N/A,FALSE,"단축3";#N/A,#N/A,FALSE,"장축";#N/A,#N/A,FALSE,"4WD"}</definedName>
    <definedName name="ㅎ로호ㅗ" hidden="1">{#N/A,#N/A,FALSE,"단축1";#N/A,#N/A,FALSE,"단축2";#N/A,#N/A,FALSE,"단축3";#N/A,#N/A,FALSE,"장축";#N/A,#N/A,FALSE,"4WD"}</definedName>
    <definedName name="ㅎ로ㅗㅗ" hidden="1">{#N/A,#N/A,FALSE,"신규dep";#N/A,#N/A,FALSE,"신규dep-금형상각후";#N/A,#N/A,FALSE,"신규dep-연구비상각후";#N/A,#N/A,FALSE,"신규dep-기계,공구상각후"}</definedName>
    <definedName name="ㅎ롤ㅎ" hidden="1">{#N/A,#N/A,FALSE,"단축1";#N/A,#N/A,FALSE,"단축2";#N/A,#N/A,FALSE,"단축3";#N/A,#N/A,FALSE,"장축";#N/A,#N/A,FALSE,"4WD"}</definedName>
    <definedName name="ㅎ룰후ㅎㅎ" hidden="1">{#N/A,#N/A,FALSE,"단축1";#N/A,#N/A,FALSE,"단축2";#N/A,#N/A,FALSE,"단축3";#N/A,#N/A,FALSE,"장축";#N/A,#N/A,FALSE,"4WD"}</definedName>
    <definedName name="ㅎㅀ로흐ㅗ" hidden="1">{#N/A,#N/A,FALSE,"단축1";#N/A,#N/A,FALSE,"단축2";#N/A,#N/A,FALSE,"단축3";#N/A,#N/A,FALSE,"장축";#N/A,#N/A,FALSE,"4WD"}</definedName>
    <definedName name="ㅎㅀㅀㅎㄹㄹ" hidden="1">{#N/A,#N/A,FALSE,"단축1";#N/A,#N/A,FALSE,"단축2";#N/A,#N/A,FALSE,"단축3";#N/A,#N/A,FALSE,"장축";#N/A,#N/A,FALSE,"4WD"}</definedName>
    <definedName name="ㅎㅀㅎ" hidden="1">{#N/A,#N/A,FALSE,"단축1";#N/A,#N/A,FALSE,"단축2";#N/A,#N/A,FALSE,"단축3";#N/A,#N/A,FALSE,"장축";#N/A,#N/A,FALSE,"4WD"}</definedName>
    <definedName name="ㅎㅎ로호ㅎ" hidden="1">{#N/A,#N/A,FALSE,"단축1";#N/A,#N/A,FALSE,"단축2";#N/A,#N/A,FALSE,"단축3";#N/A,#N/A,FALSE,"장축";#N/A,#N/A,FALSE,"4WD"}</definedName>
    <definedName name="ㅎㅎ루ㅎㄹ" hidden="1">{#N/A,#N/A,FALSE,"단축1";#N/A,#N/A,FALSE,"단축2";#N/A,#N/A,FALSE,"단축3";#N/A,#N/A,FALSE,"장축";#N/A,#N/A,FALSE,"4WD"}</definedName>
    <definedName name="ㅎㅎㅀㄹ" hidden="1">{#N/A,#N/A,FALSE,"단축1";#N/A,#N/A,FALSE,"단축2";#N/A,#N/A,FALSE,"단축3";#N/A,#N/A,FALSE,"장축";#N/A,#N/A,FALSE,"4WD"}</definedName>
    <definedName name="ㅎ호ㅓㅓㅗ" hidden="1">{#N/A,#N/A,FALSE,"단축1";#N/A,#N/A,FALSE,"단축2";#N/A,#N/A,FALSE,"단축3";#N/A,#N/A,FALSE,"장축";#N/A,#N/A,FALSE,"4WD"}</definedName>
    <definedName name="하지마" hidden="1">{#N/A,#N/A,FALSE,"단축1";#N/A,#N/A,FALSE,"단축2";#N/A,#N/A,FALSE,"단축3";#N/A,#N/A,FALSE,"장축";#N/A,#N/A,FALSE,"4WD"}</definedName>
    <definedName name="하하핳" hidden="1">{#N/A,#N/A,FALSE,"단축1";#N/A,#N/A,FALSE,"단축2";#N/A,#N/A,FALSE,"단축3";#N/A,#N/A,FALSE,"장축";#N/A,#N/A,FALSE,"4WD"}</definedName>
    <definedName name="하핳" hidden="1">{#N/A,#N/A,FALSE,"단축1";#N/A,#N/A,FALSE,"단축2";#N/A,#N/A,FALSE,"단축3";#N/A,#N/A,FALSE,"장축";#N/A,#N/A,FALSE,"4WD"}</definedName>
    <definedName name="학" hidden="1">{#N/A,#N/A,FALSE,"단축1";#N/A,#N/A,FALSE,"단축2";#N/A,#N/A,FALSE,"단축3";#N/A,#N/A,FALSE,"장축";#N/A,#N/A,FALSE,"4WD"}</definedName>
    <definedName name="학교" hidden="1">{#N/A,#N/A,FALSE,"단축1";#N/A,#N/A,FALSE,"단축2";#N/A,#N/A,FALSE,"단축3";#N/A,#N/A,FALSE,"장축";#N/A,#N/A,FALSE,"4WD"}</definedName>
    <definedName name="한국" hidden="1">{#N/A,#N/A,FALSE,"단축1";#N/A,#N/A,FALSE,"단축2";#N/A,#N/A,FALSE,"단축3";#N/A,#N/A,FALSE,"장축";#N/A,#N/A,FALSE,"4WD"}</definedName>
    <definedName name="한영사전" hidden="1">{#N/A,#N/A,TRUE,"Y생산";#N/A,#N/A,TRUE,"Y판매";#N/A,#N/A,TRUE,"Y총물량";#N/A,#N/A,TRUE,"Y능력";#N/A,#N/A,TRUE,"YKD"}</definedName>
    <definedName name="한총2" hidden="1">{#N/A,#N/A,FALSE,"을지 (4)";#N/A,#N/A,FALSE,"을지 (5)";#N/A,#N/A,FALSE,"을지 (6)"}</definedName>
    <definedName name="해정" hidden="1">{#N/A,#N/A,FALSE,"단축1";#N/A,#N/A,FALSE,"단축2";#N/A,#N/A,FALSE,"단축3";#N/A,#N/A,FALSE,"장축";#N/A,#N/A,FALSE,"4WD"}</definedName>
    <definedName name="향후계획" hidden="1">{#N/A,#N/A,FALSE,"단축1";#N/A,#N/A,FALSE,"단축2";#N/A,#N/A,FALSE,"단축3";#N/A,#N/A,FALSE,"장축";#N/A,#N/A,FALSE,"4WD"}</definedName>
    <definedName name="향후계획1" hidden="1">{#N/A,#N/A,FALSE,"단축1";#N/A,#N/A,FALSE,"단축2";#N/A,#N/A,FALSE,"단축3";#N/A,#N/A,FALSE,"장축";#N/A,#N/A,FALSE,"4WD"}</definedName>
    <definedName name="현대" hidden="1">{#N/A,#N/A,FALSE,"정공"}</definedName>
    <definedName name="현주" hidden="1">{#N/A,#N/A,FALSE,"단축1";#N/A,#N/A,FALSE,"단축2";#N/A,#N/A,FALSE,"단축3";#N/A,#N/A,FALSE,"장축";#N/A,#N/A,FALSE,"4WD"}</definedName>
    <definedName name="현주1" hidden="1">{#N/A,#N/A,FALSE,"단축1";#N/A,#N/A,FALSE,"단축2";#N/A,#N/A,FALSE,"단축3";#N/A,#N/A,FALSE,"장축";#N/A,#N/A,FALSE,"4WD"}</definedName>
    <definedName name="협의" hidden="1">{#N/A,#N/A,FALSE,"단축1";#N/A,#N/A,FALSE,"단축2";#N/A,#N/A,FALSE,"단축3";#N/A,#N/A,FALSE,"장축";#N/A,#N/A,FALSE,"4WD"}</definedName>
    <definedName name="호ㅎㅀㄹ" hidden="1">{#N/A,#N/A,FALSE,"단축1";#N/A,#N/A,FALSE,"단축2";#N/A,#N/A,FALSE,"단축3";#N/A,#N/A,FALSE,"장축";#N/A,#N/A,FALSE,"4WD"}</definedName>
    <definedName name="호ㅓㅏ" hidden="1">{#N/A,#N/A,FALSE,"96 3월물량표";#N/A,#N/A,FALSE,"96 4월물량표";#N/A,#N/A,FALSE,"96 5월물량표"}</definedName>
    <definedName name="호ㅓㅗ" hidden="1">{#N/A,#N/A,FALSE,"단축1";#N/A,#N/A,FALSE,"단축2";#N/A,#N/A,FALSE,"단축3";#N/A,#N/A,FALSE,"장축";#N/A,#N/A,FALSE,"4WD"}</definedName>
    <definedName name="홀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홋곡ㅅㅈ" hidden="1">{#N/A,#N/A,FALSE,"단축1";#N/A,#N/A,FALSE,"단축2";#N/A,#N/A,FALSE,"단축3";#N/A,#N/A,FALSE,"장축";#N/A,#N/A,FALSE,"4WD"}</definedName>
    <definedName name="확인" hidden="1">{#N/A,#N/A,FALSE,"단축1";#N/A,#N/A,FALSE,"단축2";#N/A,#N/A,FALSE,"단축3";#N/A,#N/A,FALSE,"장축";#N/A,#N/A,FALSE,"4WD"}</definedName>
    <definedName name="회의록" hidden="1">{#N/A,#N/A,FALSE,"Cst of Sales (2)"}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ㅑㅡ" hidden="1">{#N/A,#N/A,FALSE,"단축1";#N/A,#N/A,FALSE,"단축2";#N/A,#N/A,FALSE,"단축3";#N/A,#N/A,FALSE,"장축";#N/A,#N/A,FALSE,"4WD"}</definedName>
    <definedName name="ㅏㅣㅣㅣ" hidden="1">{#N/A,#N/A,FALSE,"단축1";#N/A,#N/A,FALSE,"단축2";#N/A,#N/A,FALSE,"단축3";#N/A,#N/A,FALSE,"장축";#N/A,#N/A,FALSE,"4WD"}</definedName>
    <definedName name="ㅐㅐ" hidden="1">{#N/A,#N/A,FALSE,"단축1";#N/A,#N/A,FALSE,"단축2";#N/A,#N/A,FALSE,"단축3";#N/A,#N/A,FALSE,"장축";#N/A,#N/A,FALSE,"4WD"}</definedName>
    <definedName name="ㅐ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ㅔ" hidden="1">{#N/A,#N/A,FALSE,"신규dep";#N/A,#N/A,FALSE,"신규dep-금형상각후";#N/A,#N/A,FALSE,"신규dep-연구비상각후";#N/A,#N/A,FALSE,"신규dep-기계,공구상각후"}</definedName>
    <definedName name="ㅑ숑ㅎㅁㄹㄴㄴㅁ" hidden="1">{#N/A,#N/A,FALSE,"단축1";#N/A,#N/A,FALSE,"단축2";#N/A,#N/A,FALSE,"단축3";#N/A,#N/A,FALSE,"장축";#N/A,#N/A,FALSE,"4WD"}</definedName>
    <definedName name="ㅑㅎㄹㅇㅀㅀ" hidden="1">{#N/A,#N/A,FALSE,"단축1";#N/A,#N/A,FALSE,"단축2";#N/A,#N/A,FALSE,"단축3";#N/A,#N/A,FALSE,"장축";#N/A,#N/A,FALSE,"4WD"}</definedName>
    <definedName name="ㅑㅐㅔㅕㅑㅐ" hidden="1">{#N/A,#N/A,FALSE,"단축1";#N/A,#N/A,FALSE,"단축2";#N/A,#N/A,FALSE,"단축3";#N/A,#N/A,FALSE,"장축";#N/A,#N/A,FALSE,"4WD"}</definedName>
    <definedName name="ㅑㅑㅏㅏㅓ" hidden="1">{#N/A,#N/A,FALSE,"단축1";#N/A,#N/A,FALSE,"단축2";#N/A,#N/A,FALSE,"단축3";#N/A,#N/A,FALSE,"장축";#N/A,#N/A,FALSE,"4WD"}</definedName>
    <definedName name="ㅑㅘㅕㅓㅎㄹ" hidden="1">{#N/A,#N/A,FALSE,"단축1";#N/A,#N/A,FALSE,"단축2";#N/A,#N/A,FALSE,"단축3";#N/A,#N/A,FALSE,"장축";#N/A,#N/A,FALSE,"4WD"}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로럴" hidden="1">{#N/A,#N/A,FALSE,"단축1";#N/A,#N/A,FALSE,"단축2";#N/A,#N/A,FALSE,"단축3";#N/A,#N/A,FALSE,"장축";#N/A,#N/A,FALSE,"4WD"}</definedName>
    <definedName name="ㅓㅏㅣㅕㅑㅔ" hidden="1">{#N/A,#N/A,FALSE,"단축1";#N/A,#N/A,FALSE,"단축2";#N/A,#N/A,FALSE,"단축3";#N/A,#N/A,FALSE,"장축";#N/A,#N/A,FALSE,"4WD"}</definedName>
    <definedName name="ㅓㅓ로" hidden="1">{#N/A,#N/A,FALSE,"단축1";#N/A,#N/A,FALSE,"단축2";#N/A,#N/A,FALSE,"단축3";#N/A,#N/A,FALSE,"장축";#N/A,#N/A,FALSE,"4WD"}</definedName>
    <definedName name="ㅓㅗㄹ호" hidden="1">{#N/A,#N/A,FALSE,"단축1";#N/A,#N/A,FALSE,"단축2";#N/A,#N/A,FALSE,"단축3";#N/A,#N/A,FALSE,"장축";#N/A,#N/A,FALSE,"4WD"}</definedName>
    <definedName name="ㅔㅔ" hidden="1">{#N/A,#N/A,FALSE,"Status";#N/A,#N/A,FALSE,"Deckblatt 1";#N/A,#N/A,FALSE,"Deckblatt2"}</definedName>
    <definedName name="ㅔㅔㅔ" hidden="1">{#N/A,#N/A,FALSE,"단축1";#N/A,#N/A,FALSE,"단축2";#N/A,#N/A,FALSE,"단축3";#N/A,#N/A,FALSE,"장축";#N/A,#N/A,FALSE,"4WD"}</definedName>
    <definedName name="ㅔㅔㅔㅔ" hidden="1">{#N/A,#N/A,FALSE,"단축1";#N/A,#N/A,FALSE,"단축2";#N/A,#N/A,FALSE,"단축3";#N/A,#N/A,FALSE,"장축";#N/A,#N/A,FALSE,"4WD"}</definedName>
    <definedName name="ㅕ" hidden="1">{#N/A,#N/A,FALSE,"단축1";#N/A,#N/A,FALSE,"단축2";#N/A,#N/A,FALSE,"단축3";#N/A,#N/A,FALSE,"장축";#N/A,#N/A,FALSE,"4WD"}</definedName>
    <definedName name="ㅕㅓㅗㅎㄹㅇ" hidden="1">{#N/A,#N/A,FALSE,"단축1";#N/A,#N/A,FALSE,"단축2";#N/A,#N/A,FALSE,"단축3";#N/A,#N/A,FALSE,"장축";#N/A,#N/A,FALSE,"4WD"}</definedName>
    <definedName name="ㅕㅛㅅㄱㄷㄹ휴" hidden="1">{#N/A,#N/A,FALSE,"단축1";#N/A,#N/A,FALSE,"단축2";#N/A,#N/A,FALSE,"단축3";#N/A,#N/A,FALSE,"장축";#N/A,#N/A,FALSE,"4WD"}</definedName>
    <definedName name="ㅕㅠㅅㄱㅍㅈㅁㅍ" hidden="1">{#N/A,#N/A,FALSE,"단축1";#N/A,#N/A,FALSE,"단축2";#N/A,#N/A,FALSE,"단축3";#N/A,#N/A,FALSE,"장축";#N/A,#N/A,FALSE,"4WD"}</definedName>
    <definedName name="ㅗㄱㄴㅅㅎㄷ" hidden="1">{#N/A,#N/A,FALSE,"단축1";#N/A,#N/A,FALSE,"단축2";#N/A,#N/A,FALSE,"단축3";#N/A,#N/A,FALSE,"장축";#N/A,#N/A,FALSE,"4WD"}</definedName>
    <definedName name="ㅗㄱㄴㅇㅁ" hidden="1">{#N/A,#N/A,TRUE,"일정"}</definedName>
    <definedName name="ㅗㄴㅇㄱㅎㅇㄹㄶㅇ" hidden="1">{#N/A,#N/A,FALSE,"단축1";#N/A,#N/A,FALSE,"단축2";#N/A,#N/A,FALSE,"단축3";#N/A,#N/A,FALSE,"장축";#N/A,#N/A,FALSE,"4WD"}</definedName>
    <definedName name="ㅗ돟ㄷ" hidden="1">{#N/A,#N/A,FALSE,"단축1";#N/A,#N/A,FALSE,"단축2";#N/A,#N/A,FALSE,"단축3";#N/A,#N/A,FALSE,"장축";#N/A,#N/A,FALSE,"4WD"}</definedName>
    <definedName name="ㅗㅁㄶㄹㄴㅇ" hidden="1">{#N/A,#N/A,FALSE,"단축1";#N/A,#N/A,FALSE,"단축2";#N/A,#N/A,FALSE,"단축3";#N/A,#N/A,FALSE,"장축";#N/A,#N/A,FALSE,"4WD"}</definedName>
    <definedName name="ㅗㅁㅈ몸조" hidden="1">{#N/A,#N/A,FALSE,"단축1";#N/A,#N/A,FALSE,"단축2";#N/A,#N/A,FALSE,"단축3";#N/A,#N/A,FALSE,"장축";#N/A,#N/A,FALSE,"4WD"}</definedName>
    <definedName name="ㅗㅎ" hidden="1">{#N/A,#N/A,TRUE,"Y생산";#N/A,#N/A,TRUE,"Y판매";#N/A,#N/A,TRUE,"Y총물량";#N/A,#N/A,TRUE,"Y능력";#N/A,#N/A,TRUE,"YKD"}</definedName>
    <definedName name="ㅗㅎㅓ" hidden="1">{#N/A,#N/A,FALSE,"단축1";#N/A,#N/A,FALSE,"단축2";#N/A,#N/A,FALSE,"단축3";#N/A,#N/A,FALSE,"장축";#N/A,#N/A,FALSE,"4WD"}</definedName>
    <definedName name="ㅗㅓㅏ" hidden="1">#REF!</definedName>
    <definedName name="ㅗㅓㅏㅣ" hidden="1">{#N/A,#N/A,FALSE,"단축1";#N/A,#N/A,FALSE,"단축2";#N/A,#N/A,FALSE,"단축3";#N/A,#N/A,FALSE,"장축";#N/A,#N/A,FALSE,"4WD"}</definedName>
    <definedName name="ㅗㅓㅓ" hidden="1">{#N/A,#N/A,FALSE,"단축1";#N/A,#N/A,FALSE,"단축2";#N/A,#N/A,FALSE,"단축3";#N/A,#N/A,FALSE,"장축";#N/A,#N/A,FALSE,"4WD"}</definedName>
    <definedName name="ㅗㅓㅕ" hidden="1">{#N/A,#N/A,FALSE,"단축1";#N/A,#N/A,FALSE,"단축2";#N/A,#N/A,FALSE,"단축3";#N/A,#N/A,FALSE,"장축";#N/A,#N/A,FALSE,"4WD"}</definedName>
    <definedName name="ㅗㅓㅜ" hidden="1">{#N/A,#N/A,FALSE,"단축1";#N/A,#N/A,FALSE,"단축2";#N/A,#N/A,FALSE,"단축3";#N/A,#N/A,FALSE,"장축";#N/A,#N/A,FALSE,"4WD"}</definedName>
    <definedName name="ㅗㅗ" hidden="1">{#N/A,#N/A,FALSE,"단축1";#N/A,#N/A,FALSE,"단축2";#N/A,#N/A,FALSE,"단축3";#N/A,#N/A,FALSE,"장축";#N/A,#N/A,FALSE,"4WD"}</definedName>
    <definedName name="ㅗㅛ서ㅛㅅ" hidden="1">{#N/A,#N/A,FALSE,"단축1";#N/A,#N/A,FALSE,"단축2";#N/A,#N/A,FALSE,"단축3";#N/A,#N/A,FALSE,"장축";#N/A,#N/A,FALSE,"4WD"}</definedName>
    <definedName name="ㅗㅠㄹ후ㅡㅗㅡ" hidden="1">{#N/A,#N/A,FALSE,"단축1";#N/A,#N/A,FALSE,"단축2";#N/A,#N/A,FALSE,"단축3";#N/A,#N/A,FALSE,"장축";#N/A,#N/A,FALSE,"4WD"}</definedName>
    <definedName name="ㅛㄱ됴ㄱㄷ죠ㅅㄱ됴ㅅㄱㄷ죡ㄷ죠" hidden="1">{#N/A,#N/A,TRUE,"일정"}</definedName>
    <definedName name="ㅛㅅㄱㄷㅈ" hidden="1">{#N/A,#N/A,FALSE,"단축1";#N/A,#N/A,FALSE,"단축2";#N/A,#N/A,FALSE,"단축3";#N/A,#N/A,FALSE,"장축";#N/A,#N/A,FALSE,"4WD"}</definedName>
    <definedName name="ㅛ허ㅗ" hidden="1">{#N/A,#N/A,FALSE,"신규dep";#N/A,#N/A,FALSE,"신규dep-금형상각후";#N/A,#N/A,FALSE,"신규dep-연구비상각후";#N/A,#N/A,FALSE,"신규dep-기계,공구상각후"}</definedName>
    <definedName name="ㅛㅕ셔" hidden="1">{#N/A,#N/A,FALSE,"단축1";#N/A,#N/A,FALSE,"단축2";#N/A,#N/A,FALSE,"단축3";#N/A,#N/A,FALSE,"장축";#N/A,#N/A,FALSE,"4WD"}</definedName>
    <definedName name="ㅛㅗㅎㅅㄺ" hidden="1">{#N/A,#N/A,FALSE,"단축1";#N/A,#N/A,FALSE,"단축2";#N/A,#N/A,FALSE,"단축3";#N/A,#N/A,FALSE,"장축";#N/A,#N/A,FALSE,"4WD"}</definedName>
    <definedName name="ㅛㅛ" hidden="1">{#N/A,#N/A,FALSE,"단축1";#N/A,#N/A,FALSE,"단축2";#N/A,#N/A,FALSE,"단축3";#N/A,#N/A,FALSE,"장축";#N/A,#N/A,FALSE,"4WD"}</definedName>
    <definedName name="ㅜㅛㅅㄱ누ㅛㅅㄱ누ㅛㅅㄴ구ㅛㅅㄱㄴ" hidden="1">{#N/A,#N/A,TRUE,"일정"}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ㅡㅓㅗㅎ" hidden="1">{#N/A,#N/A,FALSE,"신규dep";#N/A,#N/A,FALSE,"신규dep-금형상각후";#N/A,#N/A,FALSE,"신규dep-연구비상각후";#N/A,#N/A,FALSE,"신규dep-기계,공구상각후"}</definedName>
    <definedName name="ㅠㅍㅇㅌㄹ" hidden="1">{#N/A,#N/A,FALSE,"단축1";#N/A,#N/A,FALSE,"단축2";#N/A,#N/A,FALSE,"단축3";#N/A,#N/A,FALSE,"장축";#N/A,#N/A,FALSE,"4WD"}</definedName>
    <definedName name="ㅠㅎㅀ" hidden="1">{#N/A,#N/A,FALSE,"단축1";#N/A,#N/A,FALSE,"단축2";#N/A,#N/A,FALSE,"단축3";#N/A,#N/A,FALSE,"장축";#N/A,#N/A,FALSE,"4WD"}</definedName>
    <definedName name="ㅠㅓㅣㅏ" hidden="1">{#N/A,#N/A,FALSE,"단축1";#N/A,#N/A,FALSE,"단축2";#N/A,#N/A,FALSE,"단축3";#N/A,#N/A,FALSE,"장축";#N/A,#N/A,FALSE,"4WD"}</definedName>
    <definedName name="ㅠㅜㅊ" hidden="1">{#N/A,#N/A,FALSE,"단축1";#N/A,#N/A,FALSE,"단축2";#N/A,#N/A,FALSE,"단축3";#N/A,#N/A,FALSE,"장축";#N/A,#N/A,FALSE,"4WD"}</definedName>
    <definedName name="ㅠㅠㅜㅜㅜ" hidden="1">{#N/A,#N/A,FALSE,"신규dep";#N/A,#N/A,FALSE,"신규dep-금형상각후";#N/A,#N/A,FALSE,"신규dep-연구비상각후";#N/A,#N/A,FALSE,"신규dep-기계,공구상각후"}</definedName>
    <definedName name="ㅡㅡ" hidden="1">{#N/A,#N/A,FALSE,"단축1";#N/A,#N/A,FALSE,"단축2";#N/A,#N/A,FALSE,"단축3";#N/A,#N/A,FALSE,"장축";#N/A,#N/A,FALSE,"4WD"}</definedName>
    <definedName name="ㅣㅏㄹㅇㅌㄱㅎ" hidden="1">{#N/A,#N/A,FALSE,"단축1";#N/A,#N/A,FALSE,"단축2";#N/A,#N/A,FALSE,"단축3";#N/A,#N/A,FALSE,"장축";#N/A,#N/A,FALSE,"4WD"}</definedName>
    <definedName name="ㅣㅏㅓ일ㄴ어" hidden="1">{#N/A,#N/A,FALSE,"Status";#N/A,#N/A,FALSE,"Deckblatt 1";#N/A,#N/A,FALSE,"Deckblatt2"}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77" i="14" l="1"/>
  <c r="W77" i="14"/>
  <c r="V77" i="14"/>
  <c r="U77" i="14"/>
  <c r="T77" i="14"/>
  <c r="R77" i="14"/>
  <c r="S77" i="14" s="1"/>
  <c r="Q77" i="14"/>
  <c r="AA77" i="14" s="1"/>
  <c r="P77" i="14"/>
  <c r="O77" i="14"/>
  <c r="Y77" i="14" s="1"/>
  <c r="N77" i="14"/>
  <c r="M77" i="14"/>
  <c r="AC73" i="14"/>
  <c r="W73" i="14"/>
  <c r="V73" i="14"/>
  <c r="U73" i="14"/>
  <c r="T73" i="14"/>
  <c r="R73" i="14"/>
  <c r="S73" i="14" s="1"/>
  <c r="Q73" i="14"/>
  <c r="P73" i="14"/>
  <c r="O73" i="14"/>
  <c r="Z73" i="14" s="1"/>
  <c r="N73" i="14"/>
  <c r="M73" i="14"/>
  <c r="M75" i="14"/>
  <c r="N75" i="14"/>
  <c r="O75" i="14"/>
  <c r="X75" i="14" s="1"/>
  <c r="P75" i="14"/>
  <c r="Q75" i="14"/>
  <c r="R75" i="14"/>
  <c r="S75" i="14" s="1"/>
  <c r="T75" i="14"/>
  <c r="U75" i="14"/>
  <c r="V75" i="14"/>
  <c r="W75" i="14"/>
  <c r="AC75" i="14"/>
  <c r="M76" i="14"/>
  <c r="N76" i="14"/>
  <c r="O76" i="14"/>
  <c r="Z76" i="14" s="1"/>
  <c r="P76" i="14"/>
  <c r="T76" i="14" s="1"/>
  <c r="V76" i="14" s="1"/>
  <c r="W76" i="14" s="1"/>
  <c r="Q76" i="14"/>
  <c r="R76" i="14"/>
  <c r="S76" i="14" s="1"/>
  <c r="U76" i="14"/>
  <c r="AC76" i="14"/>
  <c r="M78" i="14"/>
  <c r="N78" i="14"/>
  <c r="O78" i="14"/>
  <c r="X78" i="14" s="1"/>
  <c r="P78" i="14"/>
  <c r="Q78" i="14"/>
  <c r="AA78" i="14" s="1"/>
  <c r="R78" i="14"/>
  <c r="S78" i="14" s="1"/>
  <c r="T78" i="14"/>
  <c r="U78" i="14"/>
  <c r="V78" i="14"/>
  <c r="W78" i="14"/>
  <c r="AC78" i="14"/>
  <c r="M79" i="14"/>
  <c r="N79" i="14"/>
  <c r="O79" i="14"/>
  <c r="X79" i="14" s="1"/>
  <c r="P79" i="14"/>
  <c r="T79" i="14" s="1"/>
  <c r="Q79" i="14" s="1"/>
  <c r="AA79" i="14" s="1"/>
  <c r="R79" i="14"/>
  <c r="S79" i="14" s="1"/>
  <c r="U79" i="14"/>
  <c r="V79" i="14"/>
  <c r="W79" i="14"/>
  <c r="AC79" i="14"/>
  <c r="E8" i="5"/>
  <c r="AC74" i="14"/>
  <c r="R74" i="14"/>
  <c r="S74" i="14" s="1"/>
  <c r="P74" i="14"/>
  <c r="Q74" i="14" s="1"/>
  <c r="O74" i="14"/>
  <c r="Z74" i="14" s="1"/>
  <c r="N74" i="14"/>
  <c r="M74" i="14"/>
  <c r="AC72" i="14"/>
  <c r="R72" i="14"/>
  <c r="S72" i="14" s="1"/>
  <c r="P72" i="14"/>
  <c r="Q72" i="14" s="1"/>
  <c r="O72" i="14"/>
  <c r="Z72" i="14" s="1"/>
  <c r="N72" i="14"/>
  <c r="M72" i="14"/>
  <c r="AC71" i="14"/>
  <c r="R71" i="14"/>
  <c r="S71" i="14" s="1"/>
  <c r="P71" i="14"/>
  <c r="Q71" i="14" s="1"/>
  <c r="O71" i="14"/>
  <c r="N71" i="14"/>
  <c r="M71" i="14"/>
  <c r="K71" i="14"/>
  <c r="J71" i="14"/>
  <c r="AC70" i="14"/>
  <c r="R70" i="14"/>
  <c r="S70" i="14" s="1"/>
  <c r="P70" i="14"/>
  <c r="Q70" i="14" s="1"/>
  <c r="AA70" i="14" s="1"/>
  <c r="O70" i="14"/>
  <c r="N70" i="14"/>
  <c r="M70" i="14"/>
  <c r="K70" i="14"/>
  <c r="J70" i="14"/>
  <c r="AC69" i="14"/>
  <c r="R69" i="14"/>
  <c r="S69" i="14" s="1"/>
  <c r="P69" i="14"/>
  <c r="Q69" i="14" s="1"/>
  <c r="O69" i="14"/>
  <c r="Y69" i="14" s="1"/>
  <c r="N69" i="14"/>
  <c r="M69" i="14"/>
  <c r="K69" i="14"/>
  <c r="J69" i="14"/>
  <c r="AC68" i="14"/>
  <c r="R68" i="14"/>
  <c r="S68" i="14" s="1"/>
  <c r="P68" i="14"/>
  <c r="Q68" i="14" s="1"/>
  <c r="AA68" i="14" s="1"/>
  <c r="O68" i="14"/>
  <c r="N68" i="14"/>
  <c r="M68" i="14"/>
  <c r="K68" i="14"/>
  <c r="J68" i="14"/>
  <c r="AC67" i="14"/>
  <c r="R67" i="14"/>
  <c r="S67" i="14" s="1"/>
  <c r="P67" i="14"/>
  <c r="O67" i="14"/>
  <c r="N67" i="14"/>
  <c r="M67" i="14"/>
  <c r="K67" i="14"/>
  <c r="J67" i="14"/>
  <c r="AC66" i="14"/>
  <c r="R66" i="14"/>
  <c r="S66" i="14" s="1"/>
  <c r="P66" i="14"/>
  <c r="Q66" i="14" s="1"/>
  <c r="O66" i="14"/>
  <c r="N66" i="14"/>
  <c r="M66" i="14"/>
  <c r="K66" i="14"/>
  <c r="J66" i="14"/>
  <c r="AC65" i="14"/>
  <c r="R65" i="14"/>
  <c r="S65" i="14" s="1"/>
  <c r="P65" i="14"/>
  <c r="Q65" i="14" s="1"/>
  <c r="AA65" i="14" s="1"/>
  <c r="O65" i="14"/>
  <c r="N65" i="14"/>
  <c r="M65" i="14"/>
  <c r="K65" i="14"/>
  <c r="J65" i="14"/>
  <c r="AC64" i="14"/>
  <c r="R64" i="14"/>
  <c r="S64" i="14" s="1"/>
  <c r="P64" i="14"/>
  <c r="Q64" i="14" s="1"/>
  <c r="AA64" i="14" s="1"/>
  <c r="O64" i="14"/>
  <c r="N64" i="14"/>
  <c r="M64" i="14"/>
  <c r="K64" i="14"/>
  <c r="J64" i="14"/>
  <c r="AC63" i="14"/>
  <c r="R63" i="14"/>
  <c r="S63" i="14" s="1"/>
  <c r="P63" i="14"/>
  <c r="O63" i="14"/>
  <c r="X63" i="14" s="1"/>
  <c r="N63" i="14"/>
  <c r="M63" i="14"/>
  <c r="K63" i="14"/>
  <c r="J63" i="14"/>
  <c r="AC62" i="14"/>
  <c r="R62" i="14"/>
  <c r="S62" i="14" s="1"/>
  <c r="P62" i="14"/>
  <c r="Q62" i="14" s="1"/>
  <c r="AA62" i="14" s="1"/>
  <c r="O62" i="14"/>
  <c r="N62" i="14"/>
  <c r="M62" i="14"/>
  <c r="K62" i="14"/>
  <c r="J62" i="14"/>
  <c r="AC61" i="14"/>
  <c r="R61" i="14"/>
  <c r="S61" i="14" s="1"/>
  <c r="P61" i="14"/>
  <c r="Q61" i="14" s="1"/>
  <c r="O61" i="14"/>
  <c r="Y61" i="14" s="1"/>
  <c r="N61" i="14"/>
  <c r="M61" i="14"/>
  <c r="K61" i="14"/>
  <c r="J61" i="14"/>
  <c r="AC60" i="14"/>
  <c r="R60" i="14"/>
  <c r="S60" i="14" s="1"/>
  <c r="P60" i="14"/>
  <c r="Q60" i="14" s="1"/>
  <c r="AA60" i="14" s="1"/>
  <c r="O60" i="14"/>
  <c r="N60" i="14"/>
  <c r="M60" i="14"/>
  <c r="K60" i="14"/>
  <c r="J60" i="14"/>
  <c r="AC59" i="14"/>
  <c r="R59" i="14"/>
  <c r="S59" i="14" s="1"/>
  <c r="P59" i="14"/>
  <c r="Q59" i="14" s="1"/>
  <c r="O59" i="14"/>
  <c r="N59" i="14"/>
  <c r="M59" i="14"/>
  <c r="K59" i="14"/>
  <c r="J59" i="14"/>
  <c r="AC58" i="14"/>
  <c r="R58" i="14"/>
  <c r="S58" i="14" s="1"/>
  <c r="P58" i="14"/>
  <c r="Q58" i="14" s="1"/>
  <c r="O58" i="14"/>
  <c r="N58" i="14"/>
  <c r="M58" i="14"/>
  <c r="K58" i="14"/>
  <c r="J58" i="14"/>
  <c r="AC57" i="14"/>
  <c r="R57" i="14"/>
  <c r="S57" i="14" s="1"/>
  <c r="P57" i="14"/>
  <c r="O57" i="14"/>
  <c r="N57" i="14"/>
  <c r="M57" i="14"/>
  <c r="K57" i="14"/>
  <c r="J57" i="14"/>
  <c r="AC56" i="14"/>
  <c r="R56" i="14"/>
  <c r="S56" i="14" s="1"/>
  <c r="P56" i="14"/>
  <c r="Q56" i="14" s="1"/>
  <c r="AA56" i="14" s="1"/>
  <c r="O56" i="14"/>
  <c r="N56" i="14"/>
  <c r="M56" i="14"/>
  <c r="K56" i="14"/>
  <c r="J56" i="14"/>
  <c r="AC55" i="14"/>
  <c r="R55" i="14"/>
  <c r="S55" i="14" s="1"/>
  <c r="P55" i="14"/>
  <c r="O55" i="14"/>
  <c r="X55" i="14" s="1"/>
  <c r="N55" i="14"/>
  <c r="M55" i="14"/>
  <c r="K55" i="14"/>
  <c r="J55" i="14"/>
  <c r="AC54" i="14"/>
  <c r="R54" i="14"/>
  <c r="S54" i="14" s="1"/>
  <c r="P54" i="14"/>
  <c r="Q54" i="14" s="1"/>
  <c r="AA54" i="14" s="1"/>
  <c r="O54" i="14"/>
  <c r="N54" i="14"/>
  <c r="M54" i="14"/>
  <c r="K54" i="14"/>
  <c r="J54" i="14"/>
  <c r="AC53" i="14"/>
  <c r="R53" i="14"/>
  <c r="S53" i="14" s="1"/>
  <c r="P53" i="14"/>
  <c r="Q53" i="14" s="1"/>
  <c r="O53" i="14"/>
  <c r="X53" i="14" s="1"/>
  <c r="N53" i="14"/>
  <c r="M53" i="14"/>
  <c r="K53" i="14"/>
  <c r="J53" i="14"/>
  <c r="AC52" i="14"/>
  <c r="R52" i="14"/>
  <c r="S52" i="14" s="1"/>
  <c r="P52" i="14"/>
  <c r="Q52" i="14" s="1"/>
  <c r="AA52" i="14" s="1"/>
  <c r="O52" i="14"/>
  <c r="N52" i="14"/>
  <c r="M52" i="14"/>
  <c r="K52" i="14"/>
  <c r="J52" i="14"/>
  <c r="AC51" i="14"/>
  <c r="R51" i="14"/>
  <c r="S51" i="14" s="1"/>
  <c r="P51" i="14"/>
  <c r="Q51" i="14" s="1"/>
  <c r="O51" i="14"/>
  <c r="T51" i="14" s="1"/>
  <c r="N51" i="14"/>
  <c r="M51" i="14"/>
  <c r="K51" i="14"/>
  <c r="J51" i="14"/>
  <c r="AC50" i="14"/>
  <c r="R50" i="14"/>
  <c r="S50" i="14" s="1"/>
  <c r="P50" i="14"/>
  <c r="Q50" i="14" s="1"/>
  <c r="O50" i="14"/>
  <c r="N50" i="14"/>
  <c r="M50" i="14"/>
  <c r="K50" i="14"/>
  <c r="J50" i="14"/>
  <c r="AC49" i="14"/>
  <c r="R49" i="14"/>
  <c r="S49" i="14" s="1"/>
  <c r="P49" i="14"/>
  <c r="O49" i="14"/>
  <c r="X49" i="14" s="1"/>
  <c r="N49" i="14"/>
  <c r="M49" i="14"/>
  <c r="K49" i="14"/>
  <c r="J49" i="14"/>
  <c r="AC48" i="14"/>
  <c r="R48" i="14"/>
  <c r="S48" i="14" s="1"/>
  <c r="P48" i="14"/>
  <c r="Q48" i="14" s="1"/>
  <c r="AA48" i="14" s="1"/>
  <c r="O48" i="14"/>
  <c r="N48" i="14"/>
  <c r="M48" i="14"/>
  <c r="K48" i="14"/>
  <c r="J48" i="14"/>
  <c r="AC47" i="14"/>
  <c r="R47" i="14"/>
  <c r="S47" i="14" s="1"/>
  <c r="P47" i="14"/>
  <c r="O47" i="14"/>
  <c r="Y47" i="14" s="1"/>
  <c r="N47" i="14"/>
  <c r="M47" i="14"/>
  <c r="K47" i="14"/>
  <c r="J47" i="14"/>
  <c r="AC46" i="14"/>
  <c r="R46" i="14"/>
  <c r="S46" i="14" s="1"/>
  <c r="P46" i="14"/>
  <c r="Q46" i="14" s="1"/>
  <c r="AA46" i="14" s="1"/>
  <c r="O46" i="14"/>
  <c r="N46" i="14"/>
  <c r="M46" i="14"/>
  <c r="K46" i="14"/>
  <c r="J46" i="14"/>
  <c r="AC45" i="14"/>
  <c r="R45" i="14"/>
  <c r="S45" i="14" s="1"/>
  <c r="P45" i="14"/>
  <c r="Q45" i="14" s="1"/>
  <c r="AA45" i="14" s="1"/>
  <c r="O45" i="14"/>
  <c r="X45" i="14" s="1"/>
  <c r="N45" i="14"/>
  <c r="M45" i="14"/>
  <c r="K45" i="14"/>
  <c r="J45" i="14"/>
  <c r="AC44" i="14"/>
  <c r="R44" i="14"/>
  <c r="S44" i="14" s="1"/>
  <c r="P44" i="14"/>
  <c r="Q44" i="14" s="1"/>
  <c r="AA44" i="14" s="1"/>
  <c r="O44" i="14"/>
  <c r="N44" i="14"/>
  <c r="M44" i="14"/>
  <c r="K44" i="14"/>
  <c r="J44" i="14"/>
  <c r="AC43" i="14"/>
  <c r="R43" i="14"/>
  <c r="S43" i="14" s="1"/>
  <c r="P43" i="14"/>
  <c r="Q43" i="14" s="1"/>
  <c r="O43" i="14"/>
  <c r="N43" i="14"/>
  <c r="M43" i="14"/>
  <c r="K43" i="14"/>
  <c r="J43" i="14"/>
  <c r="AC42" i="14"/>
  <c r="R42" i="14"/>
  <c r="S42" i="14" s="1"/>
  <c r="P42" i="14"/>
  <c r="Q42" i="14" s="1"/>
  <c r="O42" i="14"/>
  <c r="X42" i="14" s="1"/>
  <c r="N42" i="14"/>
  <c r="M42" i="14"/>
  <c r="K42" i="14"/>
  <c r="J42" i="14"/>
  <c r="AC41" i="14"/>
  <c r="R41" i="14"/>
  <c r="S41" i="14" s="1"/>
  <c r="P41" i="14"/>
  <c r="O41" i="14"/>
  <c r="Y41" i="14" s="1"/>
  <c r="N41" i="14"/>
  <c r="M41" i="14"/>
  <c r="K41" i="14"/>
  <c r="J41" i="14"/>
  <c r="AC40" i="14"/>
  <c r="R40" i="14"/>
  <c r="S40" i="14" s="1"/>
  <c r="P40" i="14"/>
  <c r="Q40" i="14" s="1"/>
  <c r="AA40" i="14" s="1"/>
  <c r="O40" i="14"/>
  <c r="N40" i="14"/>
  <c r="M40" i="14"/>
  <c r="K40" i="14"/>
  <c r="J40" i="14"/>
  <c r="AC39" i="14"/>
  <c r="R39" i="14"/>
  <c r="S39" i="14" s="1"/>
  <c r="P39" i="14"/>
  <c r="O39" i="14"/>
  <c r="X39" i="14" s="1"/>
  <c r="N39" i="14"/>
  <c r="M39" i="14"/>
  <c r="K39" i="14"/>
  <c r="J39" i="14"/>
  <c r="AC38" i="14"/>
  <c r="R38" i="14"/>
  <c r="S38" i="14" s="1"/>
  <c r="P38" i="14"/>
  <c r="Q38" i="14" s="1"/>
  <c r="AA38" i="14" s="1"/>
  <c r="O38" i="14"/>
  <c r="N38" i="14"/>
  <c r="M38" i="14"/>
  <c r="K38" i="14"/>
  <c r="J38" i="14"/>
  <c r="AC37" i="14"/>
  <c r="R37" i="14"/>
  <c r="S37" i="14" s="1"/>
  <c r="P37" i="14"/>
  <c r="Q37" i="14" s="1"/>
  <c r="O37" i="14"/>
  <c r="Y37" i="14" s="1"/>
  <c r="N37" i="14"/>
  <c r="M37" i="14"/>
  <c r="K37" i="14"/>
  <c r="J37" i="14"/>
  <c r="AC36" i="14"/>
  <c r="R36" i="14"/>
  <c r="S36" i="14" s="1"/>
  <c r="P36" i="14"/>
  <c r="Q36" i="14" s="1"/>
  <c r="AA36" i="14" s="1"/>
  <c r="O36" i="14"/>
  <c r="N36" i="14"/>
  <c r="M36" i="14"/>
  <c r="K36" i="14"/>
  <c r="J36" i="14"/>
  <c r="AC35" i="14"/>
  <c r="R35" i="14"/>
  <c r="S35" i="14" s="1"/>
  <c r="P35" i="14"/>
  <c r="Q35" i="14" s="1"/>
  <c r="O35" i="14"/>
  <c r="N35" i="14"/>
  <c r="M35" i="14"/>
  <c r="K35" i="14"/>
  <c r="J35" i="14"/>
  <c r="AC34" i="14"/>
  <c r="R34" i="14"/>
  <c r="S34" i="14" s="1"/>
  <c r="P34" i="14"/>
  <c r="Q34" i="14" s="1"/>
  <c r="O34" i="14"/>
  <c r="N34" i="14"/>
  <c r="M34" i="14"/>
  <c r="K34" i="14"/>
  <c r="J34" i="14"/>
  <c r="AC33" i="14"/>
  <c r="R33" i="14"/>
  <c r="S33" i="14" s="1"/>
  <c r="P33" i="14"/>
  <c r="O33" i="14"/>
  <c r="N33" i="14"/>
  <c r="M33" i="14"/>
  <c r="K33" i="14"/>
  <c r="J33" i="14"/>
  <c r="AC32" i="14"/>
  <c r="R32" i="14"/>
  <c r="S32" i="14" s="1"/>
  <c r="P32" i="14"/>
  <c r="Q32" i="14" s="1"/>
  <c r="AA32" i="14" s="1"/>
  <c r="O32" i="14"/>
  <c r="N32" i="14"/>
  <c r="M32" i="14"/>
  <c r="K32" i="14"/>
  <c r="J32" i="14"/>
  <c r="AC31" i="14"/>
  <c r="R31" i="14"/>
  <c r="S31" i="14" s="1"/>
  <c r="P31" i="14"/>
  <c r="O31" i="14"/>
  <c r="Y31" i="14" s="1"/>
  <c r="N31" i="14"/>
  <c r="M31" i="14"/>
  <c r="K31" i="14"/>
  <c r="J31" i="14"/>
  <c r="AC30" i="14"/>
  <c r="R30" i="14"/>
  <c r="S30" i="14" s="1"/>
  <c r="P30" i="14"/>
  <c r="Q30" i="14" s="1"/>
  <c r="AA30" i="14" s="1"/>
  <c r="O30" i="14"/>
  <c r="N30" i="14"/>
  <c r="M30" i="14"/>
  <c r="K30" i="14"/>
  <c r="J30" i="14"/>
  <c r="AC29" i="14"/>
  <c r="U29" i="14"/>
  <c r="R29" i="14"/>
  <c r="S29" i="14" s="1"/>
  <c r="P29" i="14"/>
  <c r="O29" i="14"/>
  <c r="Z29" i="14" s="1"/>
  <c r="N29" i="14"/>
  <c r="M29" i="14"/>
  <c r="K29" i="14"/>
  <c r="J29" i="14"/>
  <c r="AC28" i="14"/>
  <c r="R28" i="14"/>
  <c r="S28" i="14" s="1"/>
  <c r="P28" i="14"/>
  <c r="Q28" i="14" s="1"/>
  <c r="AA28" i="14" s="1"/>
  <c r="O28" i="14"/>
  <c r="N28" i="14"/>
  <c r="M28" i="14"/>
  <c r="K28" i="14"/>
  <c r="J28" i="14"/>
  <c r="AC27" i="14"/>
  <c r="R27" i="14"/>
  <c r="S27" i="14" s="1"/>
  <c r="P27" i="14"/>
  <c r="Q27" i="14" s="1"/>
  <c r="O27" i="14"/>
  <c r="N27" i="14"/>
  <c r="M27" i="14"/>
  <c r="K27" i="14"/>
  <c r="J27" i="14"/>
  <c r="AC26" i="14"/>
  <c r="R26" i="14"/>
  <c r="S26" i="14" s="1"/>
  <c r="P26" i="14"/>
  <c r="Q26" i="14" s="1"/>
  <c r="O26" i="14"/>
  <c r="N26" i="14"/>
  <c r="M26" i="14"/>
  <c r="K26" i="14"/>
  <c r="J26" i="14"/>
  <c r="AC25" i="14"/>
  <c r="R25" i="14"/>
  <c r="S25" i="14" s="1"/>
  <c r="P25" i="14"/>
  <c r="O25" i="14"/>
  <c r="Y25" i="14" s="1"/>
  <c r="N25" i="14"/>
  <c r="M25" i="14"/>
  <c r="K25" i="14"/>
  <c r="J25" i="14"/>
  <c r="AC24" i="14"/>
  <c r="R24" i="14"/>
  <c r="S24" i="14" s="1"/>
  <c r="P24" i="14"/>
  <c r="Q24" i="14" s="1"/>
  <c r="AA24" i="14" s="1"/>
  <c r="O24" i="14"/>
  <c r="N24" i="14"/>
  <c r="M24" i="14"/>
  <c r="K24" i="14"/>
  <c r="J24" i="14"/>
  <c r="AC23" i="14"/>
  <c r="R23" i="14"/>
  <c r="S23" i="14" s="1"/>
  <c r="P23" i="14"/>
  <c r="O23" i="14"/>
  <c r="Y23" i="14" s="1"/>
  <c r="N23" i="14"/>
  <c r="M23" i="14"/>
  <c r="K23" i="14"/>
  <c r="J23" i="14"/>
  <c r="AC22" i="14"/>
  <c r="R22" i="14"/>
  <c r="S22" i="14" s="1"/>
  <c r="P22" i="14"/>
  <c r="Q22" i="14" s="1"/>
  <c r="AA22" i="14" s="1"/>
  <c r="O22" i="14"/>
  <c r="N22" i="14"/>
  <c r="M22" i="14"/>
  <c r="K22" i="14"/>
  <c r="J22" i="14"/>
  <c r="AC21" i="14"/>
  <c r="R21" i="14"/>
  <c r="S21" i="14" s="1"/>
  <c r="P21" i="14"/>
  <c r="Q21" i="14" s="1"/>
  <c r="O21" i="14"/>
  <c r="Y21" i="14" s="1"/>
  <c r="N21" i="14"/>
  <c r="M21" i="14"/>
  <c r="K21" i="14"/>
  <c r="J21" i="14"/>
  <c r="AC20" i="14"/>
  <c r="R20" i="14"/>
  <c r="S20" i="14" s="1"/>
  <c r="P20" i="14"/>
  <c r="Q20" i="14" s="1"/>
  <c r="AA20" i="14" s="1"/>
  <c r="O20" i="14"/>
  <c r="N20" i="14"/>
  <c r="M20" i="14"/>
  <c r="K20" i="14"/>
  <c r="J20" i="14"/>
  <c r="AC19" i="14"/>
  <c r="R19" i="14"/>
  <c r="S19" i="14" s="1"/>
  <c r="P19" i="14"/>
  <c r="Q19" i="14" s="1"/>
  <c r="O19" i="14"/>
  <c r="N19" i="14"/>
  <c r="M19" i="14"/>
  <c r="K19" i="14"/>
  <c r="J19" i="14"/>
  <c r="AC18" i="14"/>
  <c r="R18" i="14"/>
  <c r="S18" i="14" s="1"/>
  <c r="P18" i="14"/>
  <c r="Q18" i="14" s="1"/>
  <c r="O18" i="14"/>
  <c r="N18" i="14"/>
  <c r="M18" i="14"/>
  <c r="K18" i="14"/>
  <c r="J18" i="14"/>
  <c r="AC17" i="14"/>
  <c r="R17" i="14"/>
  <c r="S17" i="14" s="1"/>
  <c r="P17" i="14"/>
  <c r="O17" i="14"/>
  <c r="N17" i="14"/>
  <c r="M17" i="14"/>
  <c r="K17" i="14"/>
  <c r="J17" i="14"/>
  <c r="AC16" i="14"/>
  <c r="R16" i="14"/>
  <c r="S16" i="14" s="1"/>
  <c r="P16" i="14"/>
  <c r="Q16" i="14" s="1"/>
  <c r="AA16" i="14" s="1"/>
  <c r="O16" i="14"/>
  <c r="N16" i="14"/>
  <c r="M16" i="14"/>
  <c r="K16" i="14"/>
  <c r="J16" i="14"/>
  <c r="AC15" i="14"/>
  <c r="R15" i="14"/>
  <c r="S15" i="14" s="1"/>
  <c r="P15" i="14"/>
  <c r="O15" i="14"/>
  <c r="Y15" i="14" s="1"/>
  <c r="N15" i="14"/>
  <c r="M15" i="14"/>
  <c r="K15" i="14"/>
  <c r="J15" i="14"/>
  <c r="AC14" i="14"/>
  <c r="U14" i="14"/>
  <c r="R14" i="14"/>
  <c r="S14" i="14" s="1"/>
  <c r="P14" i="14"/>
  <c r="O14" i="14"/>
  <c r="Z14" i="14" s="1"/>
  <c r="N14" i="14"/>
  <c r="M14" i="14"/>
  <c r="K14" i="14"/>
  <c r="J14" i="14"/>
  <c r="AC13" i="14"/>
  <c r="U13" i="14"/>
  <c r="R13" i="14"/>
  <c r="S13" i="14" s="1"/>
  <c r="P13" i="14"/>
  <c r="O13" i="14"/>
  <c r="Y13" i="14" s="1"/>
  <c r="N13" i="14"/>
  <c r="M13" i="14"/>
  <c r="K13" i="14"/>
  <c r="J13" i="14"/>
  <c r="AC12" i="14"/>
  <c r="U12" i="14"/>
  <c r="R12" i="14"/>
  <c r="S12" i="14" s="1"/>
  <c r="P12" i="14"/>
  <c r="O12" i="14"/>
  <c r="Z12" i="14" s="1"/>
  <c r="N12" i="14"/>
  <c r="M12" i="14"/>
  <c r="K12" i="14"/>
  <c r="J12" i="14"/>
  <c r="AC11" i="14"/>
  <c r="U11" i="14"/>
  <c r="R11" i="14"/>
  <c r="S11" i="14" s="1"/>
  <c r="P11" i="14"/>
  <c r="O11" i="14"/>
  <c r="N11" i="14"/>
  <c r="M11" i="14"/>
  <c r="K11" i="14"/>
  <c r="J11" i="14"/>
  <c r="AC10" i="14"/>
  <c r="U10" i="14"/>
  <c r="R10" i="14"/>
  <c r="S10" i="14" s="1"/>
  <c r="P10" i="14"/>
  <c r="O10" i="14"/>
  <c r="Y10" i="14" s="1"/>
  <c r="N10" i="14"/>
  <c r="M10" i="14"/>
  <c r="K10" i="14"/>
  <c r="J10" i="14"/>
  <c r="AC9" i="14"/>
  <c r="U9" i="14"/>
  <c r="R9" i="14"/>
  <c r="S9" i="14" s="1"/>
  <c r="P9" i="14"/>
  <c r="O9" i="14"/>
  <c r="Z9" i="14" s="1"/>
  <c r="N9" i="14"/>
  <c r="M9" i="14"/>
  <c r="K9" i="14"/>
  <c r="J9" i="14"/>
  <c r="AC8" i="14"/>
  <c r="U8" i="14"/>
  <c r="R8" i="14"/>
  <c r="S8" i="14" s="1"/>
  <c r="P8" i="14"/>
  <c r="O8" i="14"/>
  <c r="Z8" i="14" s="1"/>
  <c r="N8" i="14"/>
  <c r="M8" i="14"/>
  <c r="K8" i="14"/>
  <c r="J8" i="14"/>
  <c r="AC7" i="14"/>
  <c r="U7" i="14"/>
  <c r="R7" i="14"/>
  <c r="S7" i="14" s="1"/>
  <c r="P7" i="14"/>
  <c r="O7" i="14"/>
  <c r="Z7" i="14" s="1"/>
  <c r="N7" i="14"/>
  <c r="M7" i="14"/>
  <c r="K7" i="14"/>
  <c r="J7" i="14"/>
  <c r="AC6" i="14"/>
  <c r="U6" i="14"/>
  <c r="R6" i="14"/>
  <c r="S6" i="14" s="1"/>
  <c r="P6" i="14"/>
  <c r="O6" i="14"/>
  <c r="Z6" i="14" s="1"/>
  <c r="N6" i="14"/>
  <c r="M6" i="14"/>
  <c r="K6" i="14"/>
  <c r="J6" i="14"/>
  <c r="R124" i="13"/>
  <c r="P124" i="13"/>
  <c r="O124" i="13"/>
  <c r="Q124" i="13" s="1"/>
  <c r="N124" i="13"/>
  <c r="M124" i="13"/>
  <c r="L124" i="13"/>
  <c r="K124" i="13"/>
  <c r="R123" i="13"/>
  <c r="P123" i="13"/>
  <c r="O123" i="13"/>
  <c r="Q123" i="13" s="1"/>
  <c r="N123" i="13"/>
  <c r="M123" i="13"/>
  <c r="L123" i="13"/>
  <c r="K123" i="13"/>
  <c r="R122" i="13"/>
  <c r="P122" i="13"/>
  <c r="O122" i="13"/>
  <c r="Q122" i="13" s="1"/>
  <c r="N122" i="13"/>
  <c r="M122" i="13"/>
  <c r="L122" i="13"/>
  <c r="K122" i="13"/>
  <c r="R121" i="13"/>
  <c r="P121" i="13"/>
  <c r="O121" i="13"/>
  <c r="Q121" i="13" s="1"/>
  <c r="N121" i="13"/>
  <c r="M121" i="13"/>
  <c r="L121" i="13"/>
  <c r="K121" i="13"/>
  <c r="P120" i="13"/>
  <c r="R120" i="13" s="1"/>
  <c r="O120" i="13"/>
  <c r="Q120" i="13" s="1"/>
  <c r="N120" i="13"/>
  <c r="M120" i="13"/>
  <c r="L120" i="13"/>
  <c r="K120" i="13"/>
  <c r="R119" i="13"/>
  <c r="P119" i="13"/>
  <c r="O119" i="13"/>
  <c r="Q119" i="13" s="1"/>
  <c r="N119" i="13"/>
  <c r="M119" i="13"/>
  <c r="L119" i="13"/>
  <c r="K119" i="13"/>
  <c r="R118" i="13"/>
  <c r="P118" i="13"/>
  <c r="O118" i="13"/>
  <c r="Q118" i="13" s="1"/>
  <c r="N118" i="13"/>
  <c r="M118" i="13"/>
  <c r="L118" i="13"/>
  <c r="K118" i="13"/>
  <c r="R117" i="13"/>
  <c r="P117" i="13"/>
  <c r="O117" i="13"/>
  <c r="Q117" i="13" s="1"/>
  <c r="N117" i="13"/>
  <c r="M117" i="13"/>
  <c r="L117" i="13"/>
  <c r="K117" i="13"/>
  <c r="R116" i="13"/>
  <c r="P116" i="13"/>
  <c r="O116" i="13"/>
  <c r="Q116" i="13" s="1"/>
  <c r="N116" i="13"/>
  <c r="M116" i="13"/>
  <c r="L116" i="13"/>
  <c r="K116" i="13"/>
  <c r="P115" i="13"/>
  <c r="R115" i="13" s="1"/>
  <c r="O115" i="13"/>
  <c r="Q115" i="13" s="1"/>
  <c r="N115" i="13"/>
  <c r="M115" i="13"/>
  <c r="L115" i="13"/>
  <c r="K115" i="13"/>
  <c r="R114" i="13"/>
  <c r="P114" i="13"/>
  <c r="O114" i="13"/>
  <c r="Q114" i="13" s="1"/>
  <c r="N114" i="13"/>
  <c r="M114" i="13"/>
  <c r="L114" i="13"/>
  <c r="K114" i="13"/>
  <c r="R113" i="13"/>
  <c r="P113" i="13"/>
  <c r="O113" i="13"/>
  <c r="Q113" i="13" s="1"/>
  <c r="N113" i="13"/>
  <c r="M113" i="13"/>
  <c r="L113" i="13"/>
  <c r="K113" i="13"/>
  <c r="R112" i="13"/>
  <c r="P112" i="13"/>
  <c r="O112" i="13"/>
  <c r="Q112" i="13" s="1"/>
  <c r="N112" i="13"/>
  <c r="M112" i="13"/>
  <c r="L112" i="13"/>
  <c r="K112" i="13"/>
  <c r="R111" i="13"/>
  <c r="P111" i="13"/>
  <c r="O111" i="13"/>
  <c r="Q111" i="13" s="1"/>
  <c r="N111" i="13"/>
  <c r="M111" i="13"/>
  <c r="L111" i="13"/>
  <c r="K111" i="13"/>
  <c r="R110" i="13"/>
  <c r="P110" i="13"/>
  <c r="O110" i="13"/>
  <c r="Q110" i="13" s="1"/>
  <c r="N110" i="13"/>
  <c r="M110" i="13"/>
  <c r="L110" i="13"/>
  <c r="K110" i="13"/>
  <c r="R109" i="13"/>
  <c r="P109" i="13"/>
  <c r="O109" i="13"/>
  <c r="Q109" i="13" s="1"/>
  <c r="N109" i="13"/>
  <c r="M109" i="13"/>
  <c r="L109" i="13"/>
  <c r="K109" i="13"/>
  <c r="R108" i="13"/>
  <c r="P108" i="13"/>
  <c r="O108" i="13"/>
  <c r="Q108" i="13" s="1"/>
  <c r="N108" i="13"/>
  <c r="M108" i="13"/>
  <c r="L108" i="13"/>
  <c r="K108" i="13"/>
  <c r="R107" i="13"/>
  <c r="P107" i="13"/>
  <c r="O107" i="13"/>
  <c r="Q107" i="13" s="1"/>
  <c r="N107" i="13"/>
  <c r="M107" i="13"/>
  <c r="L107" i="13"/>
  <c r="K107" i="13"/>
  <c r="R106" i="13"/>
  <c r="P106" i="13"/>
  <c r="O106" i="13"/>
  <c r="Q106" i="13" s="1"/>
  <c r="N106" i="13"/>
  <c r="M106" i="13"/>
  <c r="L106" i="13"/>
  <c r="K106" i="13"/>
  <c r="P105" i="13"/>
  <c r="R105" i="13" s="1"/>
  <c r="O105" i="13"/>
  <c r="Q105" i="13" s="1"/>
  <c r="N105" i="13"/>
  <c r="M105" i="13"/>
  <c r="L105" i="13"/>
  <c r="K105" i="13"/>
  <c r="R104" i="13"/>
  <c r="P104" i="13"/>
  <c r="O104" i="13"/>
  <c r="Q104" i="13" s="1"/>
  <c r="N104" i="13"/>
  <c r="M104" i="13"/>
  <c r="L104" i="13"/>
  <c r="K104" i="13"/>
  <c r="P103" i="13"/>
  <c r="R103" i="13" s="1"/>
  <c r="O103" i="13"/>
  <c r="Q103" i="13" s="1"/>
  <c r="N103" i="13"/>
  <c r="M103" i="13"/>
  <c r="L103" i="13"/>
  <c r="K103" i="13"/>
  <c r="P102" i="13"/>
  <c r="R102" i="13" s="1"/>
  <c r="O102" i="13"/>
  <c r="Q102" i="13" s="1"/>
  <c r="N102" i="13"/>
  <c r="M102" i="13"/>
  <c r="L102" i="13"/>
  <c r="K102" i="13"/>
  <c r="P101" i="13"/>
  <c r="R101" i="13" s="1"/>
  <c r="O101" i="13"/>
  <c r="Q101" i="13" s="1"/>
  <c r="N101" i="13"/>
  <c r="M101" i="13"/>
  <c r="L101" i="13"/>
  <c r="K101" i="13"/>
  <c r="P100" i="13"/>
  <c r="R100" i="13" s="1"/>
  <c r="O100" i="13"/>
  <c r="Q100" i="13" s="1"/>
  <c r="N100" i="13"/>
  <c r="M100" i="13"/>
  <c r="L100" i="13"/>
  <c r="K100" i="13"/>
  <c r="P99" i="13"/>
  <c r="R99" i="13" s="1"/>
  <c r="O99" i="13"/>
  <c r="Q99" i="13" s="1"/>
  <c r="N99" i="13"/>
  <c r="M99" i="13"/>
  <c r="L99" i="13"/>
  <c r="K99" i="13"/>
  <c r="R98" i="13"/>
  <c r="P98" i="13"/>
  <c r="O98" i="13"/>
  <c r="Q98" i="13" s="1"/>
  <c r="N98" i="13"/>
  <c r="M98" i="13"/>
  <c r="L98" i="13"/>
  <c r="K98" i="13"/>
  <c r="P97" i="13"/>
  <c r="R97" i="13" s="1"/>
  <c r="O97" i="13"/>
  <c r="Q97" i="13" s="1"/>
  <c r="N97" i="13"/>
  <c r="M97" i="13"/>
  <c r="L97" i="13"/>
  <c r="K97" i="13"/>
  <c r="P96" i="13"/>
  <c r="R96" i="13" s="1"/>
  <c r="O96" i="13"/>
  <c r="Q96" i="13" s="1"/>
  <c r="N96" i="13"/>
  <c r="M96" i="13"/>
  <c r="L96" i="13"/>
  <c r="K96" i="13"/>
  <c r="P95" i="13"/>
  <c r="R95" i="13" s="1"/>
  <c r="O95" i="13"/>
  <c r="Q95" i="13" s="1"/>
  <c r="N95" i="13"/>
  <c r="M95" i="13"/>
  <c r="L95" i="13"/>
  <c r="K95" i="13"/>
  <c r="P94" i="13"/>
  <c r="R94" i="13" s="1"/>
  <c r="O94" i="13"/>
  <c r="Q94" i="13" s="1"/>
  <c r="N94" i="13"/>
  <c r="M94" i="13"/>
  <c r="L94" i="13"/>
  <c r="K94" i="13"/>
  <c r="P93" i="13"/>
  <c r="R93" i="13" s="1"/>
  <c r="O93" i="13"/>
  <c r="Q93" i="13" s="1"/>
  <c r="N93" i="13"/>
  <c r="M93" i="13"/>
  <c r="L93" i="13"/>
  <c r="K93" i="13"/>
  <c r="R92" i="13"/>
  <c r="P92" i="13"/>
  <c r="O92" i="13"/>
  <c r="Q92" i="13" s="1"/>
  <c r="N92" i="13"/>
  <c r="M92" i="13"/>
  <c r="L92" i="13"/>
  <c r="K92" i="13"/>
  <c r="P91" i="13"/>
  <c r="R91" i="13" s="1"/>
  <c r="O91" i="13"/>
  <c r="Q91" i="13" s="1"/>
  <c r="N91" i="13"/>
  <c r="M91" i="13"/>
  <c r="L91" i="13"/>
  <c r="K91" i="13"/>
  <c r="P90" i="13"/>
  <c r="R90" i="13" s="1"/>
  <c r="O90" i="13"/>
  <c r="Q90" i="13" s="1"/>
  <c r="N90" i="13"/>
  <c r="M90" i="13"/>
  <c r="L90" i="13"/>
  <c r="K90" i="13"/>
  <c r="P89" i="13"/>
  <c r="R89" i="13" s="1"/>
  <c r="O89" i="13"/>
  <c r="Q89" i="13" s="1"/>
  <c r="N89" i="13"/>
  <c r="M89" i="13"/>
  <c r="L89" i="13"/>
  <c r="K89" i="13"/>
  <c r="R88" i="13"/>
  <c r="P88" i="13"/>
  <c r="O88" i="13"/>
  <c r="Q88" i="13" s="1"/>
  <c r="N88" i="13"/>
  <c r="M88" i="13"/>
  <c r="L88" i="13"/>
  <c r="K88" i="13"/>
  <c r="P87" i="13"/>
  <c r="R87" i="13" s="1"/>
  <c r="O87" i="13"/>
  <c r="Q87" i="13" s="1"/>
  <c r="N87" i="13"/>
  <c r="M87" i="13"/>
  <c r="L87" i="13"/>
  <c r="K87" i="13"/>
  <c r="P86" i="13"/>
  <c r="R86" i="13" s="1"/>
  <c r="O86" i="13"/>
  <c r="Q86" i="13" s="1"/>
  <c r="N86" i="13"/>
  <c r="M86" i="13"/>
  <c r="L86" i="13"/>
  <c r="K86" i="13"/>
  <c r="P85" i="13"/>
  <c r="R85" i="13" s="1"/>
  <c r="O85" i="13"/>
  <c r="Q85" i="13" s="1"/>
  <c r="N85" i="13"/>
  <c r="M85" i="13"/>
  <c r="L85" i="13"/>
  <c r="K85" i="13"/>
  <c r="R84" i="13"/>
  <c r="P84" i="13"/>
  <c r="O84" i="13"/>
  <c r="Q84" i="13" s="1"/>
  <c r="N84" i="13"/>
  <c r="M84" i="13"/>
  <c r="L84" i="13"/>
  <c r="K84" i="13"/>
  <c r="R83" i="13"/>
  <c r="P83" i="13"/>
  <c r="O83" i="13"/>
  <c r="Q83" i="13" s="1"/>
  <c r="N83" i="13"/>
  <c r="M83" i="13"/>
  <c r="L83" i="13"/>
  <c r="K83" i="13"/>
  <c r="R82" i="13"/>
  <c r="P82" i="13"/>
  <c r="O82" i="13"/>
  <c r="Q82" i="13" s="1"/>
  <c r="N82" i="13"/>
  <c r="M82" i="13"/>
  <c r="L82" i="13"/>
  <c r="K82" i="13"/>
  <c r="P81" i="13"/>
  <c r="R81" i="13" s="1"/>
  <c r="O81" i="13"/>
  <c r="Q81" i="13" s="1"/>
  <c r="N81" i="13"/>
  <c r="M81" i="13"/>
  <c r="L81" i="13"/>
  <c r="K81" i="13"/>
  <c r="P80" i="13"/>
  <c r="R80" i="13" s="1"/>
  <c r="O80" i="13"/>
  <c r="Q80" i="13" s="1"/>
  <c r="N80" i="13"/>
  <c r="M80" i="13"/>
  <c r="L80" i="13"/>
  <c r="K80" i="13"/>
  <c r="R79" i="13"/>
  <c r="P79" i="13"/>
  <c r="O79" i="13"/>
  <c r="Q79" i="13" s="1"/>
  <c r="N79" i="13"/>
  <c r="M79" i="13"/>
  <c r="L79" i="13"/>
  <c r="K79" i="13"/>
  <c r="R78" i="13"/>
  <c r="P78" i="13"/>
  <c r="O78" i="13"/>
  <c r="Q78" i="13" s="1"/>
  <c r="N78" i="13"/>
  <c r="M78" i="13"/>
  <c r="L78" i="13"/>
  <c r="K78" i="13"/>
  <c r="R77" i="13"/>
  <c r="P77" i="13"/>
  <c r="O77" i="13"/>
  <c r="Q77" i="13" s="1"/>
  <c r="N77" i="13"/>
  <c r="M77" i="13"/>
  <c r="L77" i="13"/>
  <c r="K77" i="13"/>
  <c r="R76" i="13"/>
  <c r="P76" i="13"/>
  <c r="O76" i="13"/>
  <c r="Q76" i="13" s="1"/>
  <c r="N76" i="13"/>
  <c r="M76" i="13"/>
  <c r="L76" i="13"/>
  <c r="K76" i="13"/>
  <c r="P75" i="13"/>
  <c r="R75" i="13" s="1"/>
  <c r="O75" i="13"/>
  <c r="Q75" i="13" s="1"/>
  <c r="N75" i="13"/>
  <c r="M75" i="13"/>
  <c r="L75" i="13"/>
  <c r="K75" i="13"/>
  <c r="R74" i="13"/>
  <c r="P74" i="13"/>
  <c r="O74" i="13"/>
  <c r="Q74" i="13" s="1"/>
  <c r="N74" i="13"/>
  <c r="M74" i="13"/>
  <c r="L74" i="13"/>
  <c r="K74" i="13"/>
  <c r="P73" i="13"/>
  <c r="R73" i="13" s="1"/>
  <c r="O73" i="13"/>
  <c r="Q73" i="13" s="1"/>
  <c r="N73" i="13"/>
  <c r="M73" i="13"/>
  <c r="L73" i="13"/>
  <c r="K73" i="13"/>
  <c r="R72" i="13"/>
  <c r="P72" i="13"/>
  <c r="O72" i="13"/>
  <c r="Q72" i="13" s="1"/>
  <c r="N72" i="13"/>
  <c r="M72" i="13"/>
  <c r="L72" i="13"/>
  <c r="K72" i="13"/>
  <c r="P71" i="13"/>
  <c r="R71" i="13" s="1"/>
  <c r="O71" i="13"/>
  <c r="Q71" i="13" s="1"/>
  <c r="N71" i="13"/>
  <c r="M71" i="13"/>
  <c r="L71" i="13"/>
  <c r="K71" i="13"/>
  <c r="R70" i="13"/>
  <c r="P70" i="13"/>
  <c r="O70" i="13"/>
  <c r="Q70" i="13" s="1"/>
  <c r="N70" i="13"/>
  <c r="M70" i="13"/>
  <c r="L70" i="13"/>
  <c r="K70" i="13"/>
  <c r="P69" i="13"/>
  <c r="R69" i="13" s="1"/>
  <c r="O69" i="13"/>
  <c r="Q69" i="13" s="1"/>
  <c r="N69" i="13"/>
  <c r="M69" i="13"/>
  <c r="L69" i="13"/>
  <c r="K69" i="13"/>
  <c r="R68" i="13"/>
  <c r="P68" i="13"/>
  <c r="O68" i="13"/>
  <c r="Q68" i="13" s="1"/>
  <c r="N68" i="13"/>
  <c r="M68" i="13"/>
  <c r="L68" i="13"/>
  <c r="K68" i="13"/>
  <c r="P67" i="13"/>
  <c r="R67" i="13" s="1"/>
  <c r="O67" i="13"/>
  <c r="Q67" i="13" s="1"/>
  <c r="N67" i="13"/>
  <c r="M67" i="13"/>
  <c r="L67" i="13"/>
  <c r="K67" i="13"/>
  <c r="P66" i="13"/>
  <c r="R66" i="13" s="1"/>
  <c r="O66" i="13"/>
  <c r="Q66" i="13" s="1"/>
  <c r="N66" i="13"/>
  <c r="M66" i="13"/>
  <c r="L66" i="13"/>
  <c r="K66" i="13"/>
  <c r="P65" i="13"/>
  <c r="R65" i="13" s="1"/>
  <c r="O65" i="13"/>
  <c r="Q65" i="13" s="1"/>
  <c r="N65" i="13"/>
  <c r="M65" i="13"/>
  <c r="L65" i="13"/>
  <c r="K65" i="13"/>
  <c r="R64" i="13"/>
  <c r="P64" i="13"/>
  <c r="O64" i="13"/>
  <c r="Q64" i="13" s="1"/>
  <c r="N64" i="13"/>
  <c r="M64" i="13"/>
  <c r="L64" i="13"/>
  <c r="K64" i="13"/>
  <c r="P63" i="13"/>
  <c r="R63" i="13" s="1"/>
  <c r="O63" i="13"/>
  <c r="Q63" i="13" s="1"/>
  <c r="N63" i="13"/>
  <c r="M63" i="13"/>
  <c r="L63" i="13"/>
  <c r="K63" i="13"/>
  <c r="P62" i="13"/>
  <c r="R62" i="13" s="1"/>
  <c r="O62" i="13"/>
  <c r="Q62" i="13" s="1"/>
  <c r="N62" i="13"/>
  <c r="M62" i="13"/>
  <c r="L62" i="13"/>
  <c r="K62" i="13"/>
  <c r="P61" i="13"/>
  <c r="R61" i="13" s="1"/>
  <c r="O61" i="13"/>
  <c r="Q61" i="13" s="1"/>
  <c r="N61" i="13"/>
  <c r="M61" i="13"/>
  <c r="L61" i="13"/>
  <c r="K61" i="13"/>
  <c r="R60" i="13"/>
  <c r="P60" i="13"/>
  <c r="O60" i="13"/>
  <c r="Q60" i="13" s="1"/>
  <c r="N60" i="13"/>
  <c r="M60" i="13"/>
  <c r="L60" i="13"/>
  <c r="K60" i="13"/>
  <c r="P59" i="13"/>
  <c r="R59" i="13" s="1"/>
  <c r="O59" i="13"/>
  <c r="Q59" i="13" s="1"/>
  <c r="N59" i="13"/>
  <c r="M59" i="13"/>
  <c r="L59" i="13"/>
  <c r="K59" i="13"/>
  <c r="R58" i="13"/>
  <c r="P58" i="13"/>
  <c r="O58" i="13"/>
  <c r="Q58" i="13" s="1"/>
  <c r="N58" i="13"/>
  <c r="M58" i="13"/>
  <c r="L58" i="13"/>
  <c r="K58" i="13"/>
  <c r="P57" i="13"/>
  <c r="R57" i="13" s="1"/>
  <c r="O57" i="13"/>
  <c r="Q57" i="13" s="1"/>
  <c r="N57" i="13"/>
  <c r="M57" i="13"/>
  <c r="L57" i="13"/>
  <c r="K57" i="13"/>
  <c r="R56" i="13"/>
  <c r="P56" i="13"/>
  <c r="O56" i="13"/>
  <c r="Q56" i="13" s="1"/>
  <c r="N56" i="13"/>
  <c r="M56" i="13"/>
  <c r="L56" i="13"/>
  <c r="K56" i="13"/>
  <c r="P55" i="13"/>
  <c r="R55" i="13" s="1"/>
  <c r="O55" i="13"/>
  <c r="Q55" i="13" s="1"/>
  <c r="N55" i="13"/>
  <c r="M55" i="13"/>
  <c r="L55" i="13"/>
  <c r="K55" i="13"/>
  <c r="P54" i="13"/>
  <c r="R54" i="13" s="1"/>
  <c r="O54" i="13"/>
  <c r="Q54" i="13" s="1"/>
  <c r="N54" i="13"/>
  <c r="M54" i="13"/>
  <c r="L54" i="13"/>
  <c r="K54" i="13"/>
  <c r="P53" i="13"/>
  <c r="R53" i="13" s="1"/>
  <c r="O53" i="13"/>
  <c r="Q53" i="13" s="1"/>
  <c r="N53" i="13"/>
  <c r="M53" i="13"/>
  <c r="L53" i="13"/>
  <c r="K53" i="13"/>
  <c r="R52" i="13"/>
  <c r="P52" i="13"/>
  <c r="O52" i="13"/>
  <c r="Q52" i="13" s="1"/>
  <c r="N52" i="13"/>
  <c r="M52" i="13"/>
  <c r="L52" i="13"/>
  <c r="K52" i="13"/>
  <c r="P51" i="13"/>
  <c r="R51" i="13" s="1"/>
  <c r="O51" i="13"/>
  <c r="Q51" i="13" s="1"/>
  <c r="N51" i="13"/>
  <c r="M51" i="13"/>
  <c r="L51" i="13"/>
  <c r="K51" i="13"/>
  <c r="P50" i="13"/>
  <c r="R50" i="13" s="1"/>
  <c r="O50" i="13"/>
  <c r="Q50" i="13" s="1"/>
  <c r="N50" i="13"/>
  <c r="M50" i="13"/>
  <c r="L50" i="13"/>
  <c r="K50" i="13"/>
  <c r="P49" i="13"/>
  <c r="R49" i="13" s="1"/>
  <c r="O49" i="13"/>
  <c r="Q49" i="13" s="1"/>
  <c r="N49" i="13"/>
  <c r="M49" i="13"/>
  <c r="L49" i="13"/>
  <c r="K49" i="13"/>
  <c r="R48" i="13"/>
  <c r="P48" i="13"/>
  <c r="O48" i="13"/>
  <c r="Q48" i="13" s="1"/>
  <c r="N48" i="13"/>
  <c r="M48" i="13"/>
  <c r="L48" i="13"/>
  <c r="K48" i="13"/>
  <c r="P47" i="13"/>
  <c r="R47" i="13" s="1"/>
  <c r="O47" i="13"/>
  <c r="Q47" i="13" s="1"/>
  <c r="N47" i="13"/>
  <c r="M47" i="13"/>
  <c r="L47" i="13"/>
  <c r="K47" i="13"/>
  <c r="P46" i="13"/>
  <c r="R46" i="13" s="1"/>
  <c r="O46" i="13"/>
  <c r="Q46" i="13" s="1"/>
  <c r="N46" i="13"/>
  <c r="M46" i="13"/>
  <c r="L46" i="13"/>
  <c r="K46" i="13"/>
  <c r="P45" i="13"/>
  <c r="R45" i="13" s="1"/>
  <c r="O45" i="13"/>
  <c r="Q45" i="13" s="1"/>
  <c r="N45" i="13"/>
  <c r="M45" i="13"/>
  <c r="L45" i="13"/>
  <c r="K45" i="13"/>
  <c r="P44" i="13"/>
  <c r="R44" i="13" s="1"/>
  <c r="O44" i="13"/>
  <c r="Q44" i="13" s="1"/>
  <c r="N44" i="13"/>
  <c r="M44" i="13"/>
  <c r="L44" i="13"/>
  <c r="K44" i="13"/>
  <c r="P43" i="13"/>
  <c r="R43" i="13" s="1"/>
  <c r="O43" i="13"/>
  <c r="Q43" i="13" s="1"/>
  <c r="N43" i="13"/>
  <c r="M43" i="13"/>
  <c r="L43" i="13"/>
  <c r="K43" i="13"/>
  <c r="P42" i="13"/>
  <c r="R42" i="13" s="1"/>
  <c r="O42" i="13"/>
  <c r="Q42" i="13" s="1"/>
  <c r="N42" i="13"/>
  <c r="M42" i="13"/>
  <c r="L42" i="13"/>
  <c r="K42" i="13"/>
  <c r="P41" i="13"/>
  <c r="R41" i="13" s="1"/>
  <c r="O41" i="13"/>
  <c r="Q41" i="13" s="1"/>
  <c r="N41" i="13"/>
  <c r="M41" i="13"/>
  <c r="L41" i="13"/>
  <c r="K41" i="13"/>
  <c r="R40" i="13"/>
  <c r="P40" i="13"/>
  <c r="O40" i="13"/>
  <c r="Q40" i="13" s="1"/>
  <c r="N40" i="13"/>
  <c r="M40" i="13"/>
  <c r="L40" i="13"/>
  <c r="K40" i="13"/>
  <c r="P39" i="13"/>
  <c r="R39" i="13" s="1"/>
  <c r="O39" i="13"/>
  <c r="Q39" i="13" s="1"/>
  <c r="N39" i="13"/>
  <c r="M39" i="13"/>
  <c r="L39" i="13"/>
  <c r="K39" i="13"/>
  <c r="R38" i="13"/>
  <c r="P38" i="13"/>
  <c r="O38" i="13"/>
  <c r="Q38" i="13" s="1"/>
  <c r="N38" i="13"/>
  <c r="M38" i="13"/>
  <c r="L38" i="13"/>
  <c r="K38" i="13"/>
  <c r="P37" i="13"/>
  <c r="R37" i="13" s="1"/>
  <c r="O37" i="13"/>
  <c r="Q37" i="13" s="1"/>
  <c r="N37" i="13"/>
  <c r="M37" i="13"/>
  <c r="L37" i="13"/>
  <c r="K37" i="13"/>
  <c r="P36" i="13"/>
  <c r="R36" i="13" s="1"/>
  <c r="O36" i="13"/>
  <c r="Q36" i="13" s="1"/>
  <c r="N36" i="13"/>
  <c r="M36" i="13"/>
  <c r="L36" i="13"/>
  <c r="K36" i="13"/>
  <c r="P35" i="13"/>
  <c r="R35" i="13" s="1"/>
  <c r="O35" i="13"/>
  <c r="Q35" i="13" s="1"/>
  <c r="N35" i="13"/>
  <c r="M35" i="13"/>
  <c r="L35" i="13"/>
  <c r="K35" i="13"/>
  <c r="R34" i="13"/>
  <c r="P34" i="13"/>
  <c r="O34" i="13"/>
  <c r="Q34" i="13" s="1"/>
  <c r="N34" i="13"/>
  <c r="M34" i="13"/>
  <c r="L34" i="13"/>
  <c r="K34" i="13"/>
  <c r="P33" i="13"/>
  <c r="R33" i="13" s="1"/>
  <c r="O33" i="13"/>
  <c r="Q33" i="13" s="1"/>
  <c r="N33" i="13"/>
  <c r="M33" i="13"/>
  <c r="L33" i="13"/>
  <c r="K33" i="13"/>
  <c r="P32" i="13"/>
  <c r="R32" i="13" s="1"/>
  <c r="O32" i="13"/>
  <c r="Q32" i="13" s="1"/>
  <c r="N32" i="13"/>
  <c r="M32" i="13"/>
  <c r="L32" i="13"/>
  <c r="K32" i="13"/>
  <c r="P31" i="13"/>
  <c r="R31" i="13" s="1"/>
  <c r="O31" i="13"/>
  <c r="Q31" i="13" s="1"/>
  <c r="N31" i="13"/>
  <c r="M31" i="13"/>
  <c r="L31" i="13"/>
  <c r="K31" i="13"/>
  <c r="R30" i="13"/>
  <c r="P30" i="13"/>
  <c r="O30" i="13"/>
  <c r="Q30" i="13" s="1"/>
  <c r="N30" i="13"/>
  <c r="M30" i="13"/>
  <c r="L30" i="13"/>
  <c r="K30" i="13"/>
  <c r="R29" i="13"/>
  <c r="P29" i="13"/>
  <c r="O29" i="13"/>
  <c r="Q29" i="13" s="1"/>
  <c r="N29" i="13"/>
  <c r="M29" i="13"/>
  <c r="L29" i="13"/>
  <c r="K29" i="13"/>
  <c r="R28" i="13"/>
  <c r="P28" i="13"/>
  <c r="O28" i="13"/>
  <c r="Q28" i="13" s="1"/>
  <c r="N28" i="13"/>
  <c r="M28" i="13"/>
  <c r="L28" i="13"/>
  <c r="K28" i="13"/>
  <c r="P27" i="13"/>
  <c r="R27" i="13" s="1"/>
  <c r="O27" i="13"/>
  <c r="Q27" i="13" s="1"/>
  <c r="N27" i="13"/>
  <c r="M27" i="13"/>
  <c r="L27" i="13"/>
  <c r="K27" i="13"/>
  <c r="R26" i="13"/>
  <c r="P26" i="13"/>
  <c r="O26" i="13"/>
  <c r="Q26" i="13" s="1"/>
  <c r="N26" i="13"/>
  <c r="M26" i="13"/>
  <c r="L26" i="13"/>
  <c r="K26" i="13"/>
  <c r="P25" i="13"/>
  <c r="R25" i="13" s="1"/>
  <c r="O25" i="13"/>
  <c r="Q25" i="13" s="1"/>
  <c r="N25" i="13"/>
  <c r="M25" i="13"/>
  <c r="L25" i="13"/>
  <c r="K25" i="13"/>
  <c r="R24" i="13"/>
  <c r="P24" i="13"/>
  <c r="O24" i="13"/>
  <c r="Q24" i="13" s="1"/>
  <c r="N24" i="13"/>
  <c r="M24" i="13"/>
  <c r="L24" i="13"/>
  <c r="K24" i="13"/>
  <c r="P23" i="13"/>
  <c r="R23" i="13" s="1"/>
  <c r="O23" i="13"/>
  <c r="Q23" i="13" s="1"/>
  <c r="N23" i="13"/>
  <c r="M23" i="13"/>
  <c r="L23" i="13"/>
  <c r="K23" i="13"/>
  <c r="R22" i="13"/>
  <c r="P22" i="13"/>
  <c r="O22" i="13"/>
  <c r="Q22" i="13" s="1"/>
  <c r="N22" i="13"/>
  <c r="M22" i="13"/>
  <c r="L22" i="13"/>
  <c r="K22" i="13"/>
  <c r="P21" i="13"/>
  <c r="R21" i="13" s="1"/>
  <c r="O21" i="13"/>
  <c r="Q21" i="13" s="1"/>
  <c r="N21" i="13"/>
  <c r="M21" i="13"/>
  <c r="L21" i="13"/>
  <c r="K21" i="13"/>
  <c r="P20" i="13"/>
  <c r="R20" i="13" s="1"/>
  <c r="O20" i="13"/>
  <c r="Q20" i="13" s="1"/>
  <c r="N20" i="13"/>
  <c r="M20" i="13"/>
  <c r="L20" i="13"/>
  <c r="K20" i="13"/>
  <c r="P19" i="13"/>
  <c r="R19" i="13" s="1"/>
  <c r="O19" i="13"/>
  <c r="Q19" i="13" s="1"/>
  <c r="N19" i="13"/>
  <c r="M19" i="13"/>
  <c r="L19" i="13"/>
  <c r="K19" i="13"/>
  <c r="P18" i="13"/>
  <c r="R18" i="13" s="1"/>
  <c r="O18" i="13"/>
  <c r="Q18" i="13" s="1"/>
  <c r="N18" i="13"/>
  <c r="M18" i="13"/>
  <c r="L18" i="13"/>
  <c r="K18" i="13"/>
  <c r="P17" i="13"/>
  <c r="R17" i="13" s="1"/>
  <c r="O17" i="13"/>
  <c r="Q17" i="13" s="1"/>
  <c r="N17" i="13"/>
  <c r="M17" i="13"/>
  <c r="L17" i="13"/>
  <c r="K17" i="13"/>
  <c r="R16" i="13"/>
  <c r="P16" i="13"/>
  <c r="O16" i="13"/>
  <c r="Q16" i="13" s="1"/>
  <c r="N16" i="13"/>
  <c r="M16" i="13"/>
  <c r="L16" i="13"/>
  <c r="K16" i="13"/>
  <c r="P15" i="13"/>
  <c r="R15" i="13" s="1"/>
  <c r="O15" i="13"/>
  <c r="Q15" i="13" s="1"/>
  <c r="N15" i="13"/>
  <c r="M15" i="13"/>
  <c r="L15" i="13"/>
  <c r="K15" i="13"/>
  <c r="R14" i="13"/>
  <c r="P14" i="13"/>
  <c r="O14" i="13"/>
  <c r="Q14" i="13" s="1"/>
  <c r="N14" i="13"/>
  <c r="M14" i="13"/>
  <c r="L14" i="13"/>
  <c r="K14" i="13"/>
  <c r="R13" i="13"/>
  <c r="P13" i="13"/>
  <c r="O13" i="13"/>
  <c r="Q13" i="13" s="1"/>
  <c r="N13" i="13"/>
  <c r="M13" i="13"/>
  <c r="L13" i="13"/>
  <c r="K13" i="13"/>
  <c r="R12" i="13"/>
  <c r="P12" i="13"/>
  <c r="O12" i="13"/>
  <c r="Q12" i="13" s="1"/>
  <c r="N12" i="13"/>
  <c r="M12" i="13"/>
  <c r="L12" i="13"/>
  <c r="K12" i="13"/>
  <c r="R11" i="13"/>
  <c r="P11" i="13"/>
  <c r="O11" i="13"/>
  <c r="Q11" i="13" s="1"/>
  <c r="N11" i="13"/>
  <c r="M11" i="13"/>
  <c r="L11" i="13"/>
  <c r="K11" i="13"/>
  <c r="R10" i="13"/>
  <c r="P10" i="13"/>
  <c r="O10" i="13"/>
  <c r="Q10" i="13" s="1"/>
  <c r="N10" i="13"/>
  <c r="M10" i="13"/>
  <c r="L10" i="13"/>
  <c r="K10" i="13"/>
  <c r="R9" i="13"/>
  <c r="P9" i="13"/>
  <c r="O9" i="13"/>
  <c r="Q9" i="13" s="1"/>
  <c r="N9" i="13"/>
  <c r="M9" i="13"/>
  <c r="L9" i="13"/>
  <c r="K9" i="13"/>
  <c r="R8" i="13"/>
  <c r="P8" i="13"/>
  <c r="O8" i="13"/>
  <c r="Q8" i="13" s="1"/>
  <c r="N8" i="13"/>
  <c r="M8" i="13"/>
  <c r="L8" i="13"/>
  <c r="K8" i="13"/>
  <c r="R7" i="13"/>
  <c r="P7" i="13"/>
  <c r="O7" i="13"/>
  <c r="Q7" i="13" s="1"/>
  <c r="N7" i="13"/>
  <c r="M7" i="13"/>
  <c r="L7" i="13"/>
  <c r="K7" i="13"/>
  <c r="R6" i="13"/>
  <c r="P6" i="13"/>
  <c r="O6" i="13"/>
  <c r="Q6" i="13" s="1"/>
  <c r="N6" i="13"/>
  <c r="M6" i="13"/>
  <c r="L6" i="13"/>
  <c r="K6" i="13"/>
  <c r="Z77" i="14" l="1"/>
  <c r="X77" i="14"/>
  <c r="Z75" i="14"/>
  <c r="Y75" i="14"/>
  <c r="AA73" i="14"/>
  <c r="X73" i="14"/>
  <c r="Y73" i="14"/>
  <c r="AA76" i="14"/>
  <c r="X76" i="14"/>
  <c r="AA75" i="14"/>
  <c r="Y76" i="14"/>
  <c r="Z33" i="14"/>
  <c r="X25" i="14"/>
  <c r="Z78" i="14"/>
  <c r="Y78" i="14"/>
  <c r="Z79" i="14"/>
  <c r="Y79" i="14"/>
  <c r="Z65" i="14"/>
  <c r="U45" i="14"/>
  <c r="V10" i="14"/>
  <c r="W10" i="14" s="1"/>
  <c r="T21" i="14"/>
  <c r="X47" i="14"/>
  <c r="T14" i="14"/>
  <c r="Q14" i="14" s="1"/>
  <c r="AA14" i="14" s="1"/>
  <c r="T35" i="14"/>
  <c r="T11" i="14"/>
  <c r="Q11" i="14" s="1"/>
  <c r="AA11" i="14" s="1"/>
  <c r="Z28" i="14"/>
  <c r="U27" i="14"/>
  <c r="U26" i="14"/>
  <c r="V13" i="14"/>
  <c r="W13" i="14" s="1"/>
  <c r="Z46" i="14"/>
  <c r="T12" i="14"/>
  <c r="Q12" i="14" s="1"/>
  <c r="AA12" i="14" s="1"/>
  <c r="T19" i="14"/>
  <c r="Z48" i="14"/>
  <c r="U50" i="14"/>
  <c r="U58" i="14"/>
  <c r="Z60" i="14"/>
  <c r="Z62" i="14"/>
  <c r="Z64" i="14"/>
  <c r="Z68" i="14"/>
  <c r="Z36" i="14"/>
  <c r="Z40" i="14"/>
  <c r="U69" i="14"/>
  <c r="T20" i="14"/>
  <c r="U59" i="14"/>
  <c r="U57" i="14"/>
  <c r="X37" i="14"/>
  <c r="Z16" i="14"/>
  <c r="Z20" i="14"/>
  <c r="T47" i="14"/>
  <c r="Z30" i="14"/>
  <c r="Z45" i="14"/>
  <c r="T58" i="14"/>
  <c r="U40" i="14"/>
  <c r="Y45" i="14"/>
  <c r="X9" i="14"/>
  <c r="U24" i="14"/>
  <c r="Z52" i="14"/>
  <c r="Z41" i="14"/>
  <c r="Z54" i="14"/>
  <c r="U67" i="14"/>
  <c r="Z71" i="14"/>
  <c r="T28" i="14"/>
  <c r="Y9" i="14"/>
  <c r="T56" i="14"/>
  <c r="T10" i="14"/>
  <c r="Q10" i="14" s="1"/>
  <c r="AA10" i="14" s="1"/>
  <c r="T26" i="14"/>
  <c r="T13" i="14"/>
  <c r="Q13" i="14" s="1"/>
  <c r="AA13" i="14" s="1"/>
  <c r="Z22" i="14"/>
  <c r="Z24" i="14"/>
  <c r="U35" i="14"/>
  <c r="V35" i="14" s="1"/>
  <c r="W35" i="14" s="1"/>
  <c r="T41" i="14"/>
  <c r="X50" i="14"/>
  <c r="Z56" i="14"/>
  <c r="T62" i="14"/>
  <c r="T38" i="14"/>
  <c r="U43" i="14"/>
  <c r="T70" i="14"/>
  <c r="Z70" i="14"/>
  <c r="T48" i="14"/>
  <c r="T55" i="14"/>
  <c r="Z57" i="14"/>
  <c r="T23" i="14"/>
  <c r="T25" i="14"/>
  <c r="Z44" i="14"/>
  <c r="U48" i="14"/>
  <c r="Y53" i="14"/>
  <c r="Q55" i="14"/>
  <c r="AA55" i="14" s="1"/>
  <c r="T57" i="14"/>
  <c r="T65" i="14"/>
  <c r="T49" i="14"/>
  <c r="Z38" i="14"/>
  <c r="V9" i="14"/>
  <c r="W9" i="14" s="1"/>
  <c r="Z25" i="14"/>
  <c r="T50" i="14"/>
  <c r="V12" i="14"/>
  <c r="W12" i="14" s="1"/>
  <c r="U21" i="14"/>
  <c r="V21" i="14" s="1"/>
  <c r="W21" i="14" s="1"/>
  <c r="Z69" i="14"/>
  <c r="Z17" i="14"/>
  <c r="Z32" i="14"/>
  <c r="T8" i="14"/>
  <c r="Q8" i="14" s="1"/>
  <c r="AA8" i="14" s="1"/>
  <c r="X13" i="14"/>
  <c r="U34" i="14"/>
  <c r="T52" i="14"/>
  <c r="U56" i="14"/>
  <c r="Z63" i="14"/>
  <c r="Z13" i="14"/>
  <c r="T15" i="14"/>
  <c r="T17" i="14"/>
  <c r="U37" i="14"/>
  <c r="T39" i="14"/>
  <c r="T46" i="14"/>
  <c r="U49" i="14"/>
  <c r="V49" i="14" s="1"/>
  <c r="U17" i="14"/>
  <c r="T31" i="14"/>
  <c r="Y39" i="14"/>
  <c r="U63" i="14"/>
  <c r="T16" i="14"/>
  <c r="V29" i="14"/>
  <c r="W29" i="14" s="1"/>
  <c r="T33" i="14"/>
  <c r="X34" i="14"/>
  <c r="U41" i="14"/>
  <c r="T44" i="14"/>
  <c r="U61" i="14"/>
  <c r="Q63" i="14"/>
  <c r="AA63" i="14" s="1"/>
  <c r="T68" i="14"/>
  <c r="U16" i="14"/>
  <c r="T18" i="14"/>
  <c r="X31" i="14"/>
  <c r="T40" i="14"/>
  <c r="V40" i="14" s="1"/>
  <c r="W40" i="14" s="1"/>
  <c r="X41" i="14"/>
  <c r="V11" i="14"/>
  <c r="W11" i="14" s="1"/>
  <c r="U19" i="14"/>
  <c r="Z23" i="14"/>
  <c r="T30" i="14"/>
  <c r="U33" i="14"/>
  <c r="U51" i="14"/>
  <c r="V51" i="14" s="1"/>
  <c r="W51" i="14" s="1"/>
  <c r="T32" i="14"/>
  <c r="X33" i="14"/>
  <c r="T36" i="14"/>
  <c r="T43" i="14"/>
  <c r="T64" i="14"/>
  <c r="U65" i="14"/>
  <c r="T67" i="14"/>
  <c r="U32" i="14"/>
  <c r="Y33" i="14"/>
  <c r="U64" i="14"/>
  <c r="U18" i="14"/>
  <c r="Z37" i="14"/>
  <c r="T42" i="14"/>
  <c r="U53" i="14"/>
  <c r="T66" i="14"/>
  <c r="Q67" i="14"/>
  <c r="AA67" i="14" s="1"/>
  <c r="Z42" i="14"/>
  <c r="T60" i="14"/>
  <c r="V7" i="14"/>
  <c r="W7" i="14" s="1"/>
  <c r="T34" i="14"/>
  <c r="U25" i="14"/>
  <c r="T29" i="14"/>
  <c r="Q29" i="14" s="1"/>
  <c r="AA29" i="14" s="1"/>
  <c r="T59" i="14"/>
  <c r="T6" i="14"/>
  <c r="Q6" i="14" s="1"/>
  <c r="AA6" i="14" s="1"/>
  <c r="T22" i="14"/>
  <c r="T24" i="14"/>
  <c r="T27" i="14"/>
  <c r="U42" i="14"/>
  <c r="T54" i="14"/>
  <c r="U66" i="14"/>
  <c r="AA27" i="14"/>
  <c r="X61" i="14"/>
  <c r="Z21" i="14"/>
  <c r="Z61" i="14"/>
  <c r="AA42" i="14"/>
  <c r="X65" i="14"/>
  <c r="Y71" i="14"/>
  <c r="Y74" i="14"/>
  <c r="Z15" i="14"/>
  <c r="AA19" i="14"/>
  <c r="Z34" i="14"/>
  <c r="AA53" i="14"/>
  <c r="Z55" i="14"/>
  <c r="AA59" i="14"/>
  <c r="Y65" i="14"/>
  <c r="AA50" i="14"/>
  <c r="AA58" i="14"/>
  <c r="AA72" i="14"/>
  <c r="AA21" i="14"/>
  <c r="AA61" i="14"/>
  <c r="Y72" i="14"/>
  <c r="X21" i="14"/>
  <c r="Y55" i="14"/>
  <c r="X58" i="14"/>
  <c r="Y7" i="14"/>
  <c r="Z49" i="14"/>
  <c r="AA66" i="14"/>
  <c r="X7" i="14"/>
  <c r="Z18" i="14"/>
  <c r="AA26" i="14"/>
  <c r="Z31" i="14"/>
  <c r="AA35" i="14"/>
  <c r="Y49" i="14"/>
  <c r="AA69" i="14"/>
  <c r="X11" i="14"/>
  <c r="X17" i="14"/>
  <c r="X23" i="14"/>
  <c r="AA43" i="14"/>
  <c r="Z53" i="14"/>
  <c r="X18" i="14"/>
  <c r="Y17" i="14"/>
  <c r="X26" i="14"/>
  <c r="X29" i="14"/>
  <c r="Z39" i="14"/>
  <c r="X57" i="14"/>
  <c r="Y63" i="14"/>
  <c r="X69" i="14"/>
  <c r="Z26" i="14"/>
  <c r="Y29" i="14"/>
  <c r="AA34" i="14"/>
  <c r="AA37" i="14"/>
  <c r="AA51" i="14"/>
  <c r="Y57" i="14"/>
  <c r="X66" i="14"/>
  <c r="X10" i="14"/>
  <c r="Z47" i="14"/>
  <c r="AA71" i="14"/>
  <c r="AA74" i="14"/>
  <c r="X15" i="14"/>
  <c r="AA18" i="14"/>
  <c r="Z10" i="14"/>
  <c r="Y18" i="14"/>
  <c r="U20" i="14"/>
  <c r="Y26" i="14"/>
  <c r="U28" i="14"/>
  <c r="Y34" i="14"/>
  <c r="U36" i="14"/>
  <c r="Y42" i="14"/>
  <c r="U44" i="14"/>
  <c r="Y50" i="14"/>
  <c r="U52" i="14"/>
  <c r="Y58" i="14"/>
  <c r="U60" i="14"/>
  <c r="Y66" i="14"/>
  <c r="U68" i="14"/>
  <c r="X19" i="14"/>
  <c r="X27" i="14"/>
  <c r="X35" i="14"/>
  <c r="T37" i="14"/>
  <c r="X43" i="14"/>
  <c r="T45" i="14"/>
  <c r="V45" i="14" s="1"/>
  <c r="W45" i="14" s="1"/>
  <c r="Z50" i="14"/>
  <c r="X51" i="14"/>
  <c r="T53" i="14"/>
  <c r="Z58" i="14"/>
  <c r="X59" i="14"/>
  <c r="T61" i="14"/>
  <c r="Z66" i="14"/>
  <c r="X67" i="14"/>
  <c r="T69" i="14"/>
  <c r="Y11" i="14"/>
  <c r="Q15" i="14"/>
  <c r="AA15" i="14" s="1"/>
  <c r="Y19" i="14"/>
  <c r="Q23" i="14"/>
  <c r="AA23" i="14" s="1"/>
  <c r="Y27" i="14"/>
  <c r="Q31" i="14"/>
  <c r="AA31" i="14" s="1"/>
  <c r="Y35" i="14"/>
  <c r="Q39" i="14"/>
  <c r="AA39" i="14" s="1"/>
  <c r="Y43" i="14"/>
  <c r="Q47" i="14"/>
  <c r="AA47" i="14" s="1"/>
  <c r="Y51" i="14"/>
  <c r="Y59" i="14"/>
  <c r="Y67" i="14"/>
  <c r="Z11" i="14"/>
  <c r="X12" i="14"/>
  <c r="Z19" i="14"/>
  <c r="X20" i="14"/>
  <c r="Z27" i="14"/>
  <c r="X28" i="14"/>
  <c r="Z35" i="14"/>
  <c r="X36" i="14"/>
  <c r="Z43" i="14"/>
  <c r="X44" i="14"/>
  <c r="Z51" i="14"/>
  <c r="X52" i="14"/>
  <c r="Z59" i="14"/>
  <c r="X60" i="14"/>
  <c r="Z67" i="14"/>
  <c r="X68" i="14"/>
  <c r="Y12" i="14"/>
  <c r="Y20" i="14"/>
  <c r="U22" i="14"/>
  <c r="Y28" i="14"/>
  <c r="U30" i="14"/>
  <c r="Y36" i="14"/>
  <c r="U38" i="14"/>
  <c r="Y44" i="14"/>
  <c r="U46" i="14"/>
  <c r="Y52" i="14"/>
  <c r="U54" i="14"/>
  <c r="Y60" i="14"/>
  <c r="U62" i="14"/>
  <c r="Y68" i="14"/>
  <c r="U70" i="14"/>
  <c r="V70" i="14" s="1"/>
  <c r="W70" i="14" s="1"/>
  <c r="V6" i="14"/>
  <c r="W6" i="14" s="1"/>
  <c r="T7" i="14"/>
  <c r="Q7" i="14" s="1"/>
  <c r="AA7" i="14" s="1"/>
  <c r="V14" i="14"/>
  <c r="W14" i="14" s="1"/>
  <c r="T63" i="14"/>
  <c r="T71" i="14"/>
  <c r="T72" i="14"/>
  <c r="T74" i="14"/>
  <c r="U15" i="14"/>
  <c r="Q17" i="14"/>
  <c r="AA17" i="14" s="1"/>
  <c r="U23" i="14"/>
  <c r="Q25" i="14"/>
  <c r="AA25" i="14" s="1"/>
  <c r="U31" i="14"/>
  <c r="Q33" i="14"/>
  <c r="AA33" i="14" s="1"/>
  <c r="U39" i="14"/>
  <c r="V39" i="14" s="1"/>
  <c r="W39" i="14" s="1"/>
  <c r="Q41" i="14"/>
  <c r="AA41" i="14" s="1"/>
  <c r="U47" i="14"/>
  <c r="Q49" i="14"/>
  <c r="AA49" i="14" s="1"/>
  <c r="U55" i="14"/>
  <c r="Q57" i="14"/>
  <c r="AA57" i="14" s="1"/>
  <c r="U71" i="14"/>
  <c r="U72" i="14"/>
  <c r="U74" i="14"/>
  <c r="X6" i="14"/>
  <c r="X14" i="14"/>
  <c r="X22" i="14"/>
  <c r="X30" i="14"/>
  <c r="X38" i="14"/>
  <c r="X46" i="14"/>
  <c r="X54" i="14"/>
  <c r="X62" i="14"/>
  <c r="X70" i="14"/>
  <c r="Y14" i="14"/>
  <c r="Y22" i="14"/>
  <c r="Y30" i="14"/>
  <c r="Y38" i="14"/>
  <c r="Y46" i="14"/>
  <c r="Y54" i="14"/>
  <c r="Y62" i="14"/>
  <c r="Y70" i="14"/>
  <c r="Y6" i="14"/>
  <c r="V8" i="14"/>
  <c r="W8" i="14" s="1"/>
  <c r="T9" i="14"/>
  <c r="Q9" i="14" s="1"/>
  <c r="AA9" i="14" s="1"/>
  <c r="X71" i="14"/>
  <c r="X72" i="14"/>
  <c r="X74" i="14"/>
  <c r="X8" i="14"/>
  <c r="X16" i="14"/>
  <c r="X24" i="14"/>
  <c r="X32" i="14"/>
  <c r="X40" i="14"/>
  <c r="X48" i="14"/>
  <c r="X56" i="14"/>
  <c r="X64" i="14"/>
  <c r="Y8" i="14"/>
  <c r="Y16" i="14"/>
  <c r="Y24" i="14"/>
  <c r="Y32" i="14"/>
  <c r="Y40" i="14"/>
  <c r="Y48" i="14"/>
  <c r="Y56" i="14"/>
  <c r="Y64" i="14"/>
  <c r="E6" i="5"/>
  <c r="V27" i="14" l="1"/>
  <c r="W27" i="14" s="1"/>
  <c r="V25" i="14"/>
  <c r="V69" i="14"/>
  <c r="W69" i="14" s="1"/>
  <c r="V47" i="14"/>
  <c r="V58" i="14"/>
  <c r="W58" i="14" s="1"/>
  <c r="V23" i="14"/>
  <c r="W23" i="14" s="1"/>
  <c r="V46" i="14"/>
  <c r="W46" i="14" s="1"/>
  <c r="V32" i="14"/>
  <c r="W32" i="14" s="1"/>
  <c r="V18" i="14"/>
  <c r="W18" i="14" s="1"/>
  <c r="V57" i="14"/>
  <c r="W57" i="14" s="1"/>
  <c r="V41" i="14"/>
  <c r="W41" i="14" s="1"/>
  <c r="V52" i="14"/>
  <c r="W52" i="14" s="1"/>
  <c r="V44" i="14"/>
  <c r="W44" i="14" s="1"/>
  <c r="V42" i="14"/>
  <c r="W42" i="14" s="1"/>
  <c r="V31" i="14"/>
  <c r="W31" i="14" s="1"/>
  <c r="V62" i="14"/>
  <c r="W62" i="14" s="1"/>
  <c r="V53" i="14"/>
  <c r="W53" i="14" s="1"/>
  <c r="V24" i="14"/>
  <c r="W24" i="14" s="1"/>
  <c r="V19" i="14"/>
  <c r="W19" i="14" s="1"/>
  <c r="V59" i="14"/>
  <c r="W59" i="14" s="1"/>
  <c r="V20" i="14"/>
  <c r="W20" i="14" s="1"/>
  <c r="V56" i="14"/>
  <c r="W56" i="14" s="1"/>
  <c r="V48" i="14"/>
  <c r="W48" i="14" s="1"/>
  <c r="V54" i="14"/>
  <c r="W54" i="14" s="1"/>
  <c r="V26" i="14"/>
  <c r="W26" i="14" s="1"/>
  <c r="V64" i="14"/>
  <c r="W64" i="14" s="1"/>
  <c r="V50" i="14"/>
  <c r="W50" i="14" s="1"/>
  <c r="V43" i="14"/>
  <c r="W43" i="14" s="1"/>
  <c r="V17" i="14"/>
  <c r="W17" i="14" s="1"/>
  <c r="V63" i="14"/>
  <c r="W63" i="14" s="1"/>
  <c r="V15" i="14"/>
  <c r="W15" i="14" s="1"/>
  <c r="V30" i="14"/>
  <c r="W30" i="14" s="1"/>
  <c r="V55" i="14"/>
  <c r="W55" i="14" s="1"/>
  <c r="V60" i="14"/>
  <c r="W60" i="14" s="1"/>
  <c r="V38" i="14"/>
  <c r="W38" i="14" s="1"/>
  <c r="V67" i="14"/>
  <c r="W67" i="14" s="1"/>
  <c r="V36" i="14"/>
  <c r="W36" i="14" s="1"/>
  <c r="V28" i="14"/>
  <c r="W28" i="14" s="1"/>
  <c r="V37" i="14"/>
  <c r="W37" i="14" s="1"/>
  <c r="V68" i="14"/>
  <c r="W68" i="14" s="1"/>
  <c r="V22" i="14"/>
  <c r="W22" i="14" s="1"/>
  <c r="W47" i="14"/>
  <c r="V61" i="14"/>
  <c r="W61" i="14" s="1"/>
  <c r="V34" i="14"/>
  <c r="W34" i="14" s="1"/>
  <c r="V65" i="14"/>
  <c r="W65" i="14" s="1"/>
  <c r="V16" i="14"/>
  <c r="W16" i="14" s="1"/>
  <c r="V74" i="14"/>
  <c r="W74" i="14" s="1"/>
  <c r="V71" i="14"/>
  <c r="W71" i="14" s="1"/>
  <c r="V66" i="14"/>
  <c r="W66" i="14" s="1"/>
  <c r="V33" i="14"/>
  <c r="W33" i="14" s="1"/>
  <c r="W49" i="14"/>
  <c r="W25" i="14"/>
  <c r="V72" i="14"/>
  <c r="W72" i="14" s="1"/>
  <c r="E10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</authors>
  <commentList>
    <comment ref="G4" authorId="0" shapeId="0" xr:uid="{9EB966BB-7D64-477D-A483-DB2D5017514C}">
      <text>
        <r>
          <rPr>
            <b/>
            <sz val="9"/>
            <color indexed="81"/>
            <rFont val="Calibri"/>
            <family val="2"/>
          </rPr>
          <t xml:space="preserve">HG = Height Gauge
MIC = Micrometer
CMM = Coordinate Measuring Machine
OMM = Optical CMM
TG = Thickness Gauge
HT = Hardness Tester
PG = Plug Gauge
FT = Force Tester
DC = Dial/Digital Caliper
P = Protractor
OC = Optical Comparotor
CG = Checking Gauge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  <author>Adam Xu</author>
  </authors>
  <commentList>
    <comment ref="H5" authorId="0" shapeId="0" xr:uid="{8A4EC2B8-343E-468D-AE08-135CC70968A5}">
      <text>
        <r>
          <rPr>
            <b/>
            <sz val="9"/>
            <color rgb="FF000000"/>
            <rFont val="Calibri"/>
            <family val="2"/>
          </rPr>
          <t xml:space="preserve">HG = Height Gauge
</t>
        </r>
        <r>
          <rPr>
            <b/>
            <sz val="9"/>
            <color rgb="FF000000"/>
            <rFont val="Calibri"/>
            <family val="2"/>
          </rPr>
          <t xml:space="preserve">MIC = Micrometer
</t>
        </r>
        <r>
          <rPr>
            <b/>
            <sz val="9"/>
            <color rgb="FF000000"/>
            <rFont val="Calibri"/>
            <family val="2"/>
          </rPr>
          <t xml:space="preserve">CMM = Coordinate Measuring Machine
</t>
        </r>
        <r>
          <rPr>
            <b/>
            <sz val="9"/>
            <color rgb="FF000000"/>
            <rFont val="Calibri"/>
            <family val="2"/>
          </rPr>
          <t xml:space="preserve">OMM = Optical CMM
</t>
        </r>
        <r>
          <rPr>
            <b/>
            <sz val="9"/>
            <color rgb="FF000000"/>
            <rFont val="Calibri"/>
            <family val="2"/>
          </rPr>
          <t xml:space="preserve">TG = Thickness Gauge
</t>
        </r>
        <r>
          <rPr>
            <b/>
            <sz val="9"/>
            <color rgb="FF000000"/>
            <rFont val="Calibri"/>
            <family val="2"/>
          </rPr>
          <t xml:space="preserve">HT = Hardness Tester
</t>
        </r>
        <r>
          <rPr>
            <b/>
            <sz val="9"/>
            <color rgb="FF000000"/>
            <rFont val="Calibri"/>
            <family val="2"/>
          </rPr>
          <t xml:space="preserve">PG = Plug Gauge
</t>
        </r>
        <r>
          <rPr>
            <b/>
            <sz val="9"/>
            <color rgb="FF000000"/>
            <rFont val="Calibri"/>
            <family val="2"/>
          </rPr>
          <t xml:space="preserve">FT = Force Tester
</t>
        </r>
        <r>
          <rPr>
            <b/>
            <sz val="9"/>
            <color rgb="FF000000"/>
            <rFont val="Calibri"/>
            <family val="2"/>
          </rPr>
          <t xml:space="preserve">DC = Dial/Digital Caliper
</t>
        </r>
        <r>
          <rPr>
            <b/>
            <sz val="9"/>
            <color rgb="FF000000"/>
            <rFont val="Calibri"/>
            <family val="2"/>
          </rPr>
          <t xml:space="preserve">P = Protractor
</t>
        </r>
        <r>
          <rPr>
            <b/>
            <sz val="9"/>
            <color rgb="FF000000"/>
            <rFont val="Calibri"/>
            <family val="2"/>
          </rPr>
          <t>OC = Optical Comparotor</t>
        </r>
      </text>
    </comment>
    <comment ref="S5" authorId="1" shapeId="0" xr:uid="{2A620F2E-2B35-495C-84E8-1F68B6588642}">
      <text>
        <r>
          <rPr>
            <b/>
            <sz val="9"/>
            <color rgb="FF000000"/>
            <rFont val="Calibri"/>
            <family val="2"/>
          </rPr>
          <t>Adam Xu: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General Process accuracy Index Level setting as below:
</t>
        </r>
        <r>
          <rPr>
            <sz val="9"/>
            <color rgb="FF000000"/>
            <rFont val="Calibri"/>
            <family val="2"/>
          </rPr>
          <t xml:space="preserve">Level A: |Ca|&lt;=12.5%
</t>
        </r>
        <r>
          <rPr>
            <sz val="9"/>
            <color rgb="FF000000"/>
            <rFont val="Calibri"/>
            <family val="2"/>
          </rPr>
          <t xml:space="preserve">Level B: 12.5%&lt;|Ca|&lt;=25%
</t>
        </r>
        <r>
          <rPr>
            <sz val="9"/>
            <color rgb="FF000000"/>
            <rFont val="Calibri"/>
            <family val="2"/>
          </rPr>
          <t xml:space="preserve">Level C: 25%&lt;|Ca|&lt;=50%
</t>
        </r>
        <r>
          <rPr>
            <sz val="9"/>
            <color rgb="FF000000"/>
            <rFont val="Calibri"/>
            <family val="2"/>
          </rPr>
          <t>Level D: |Ca|&gt;50%</t>
        </r>
      </text>
    </comment>
  </commentList>
</comments>
</file>

<file path=xl/sharedStrings.xml><?xml version="1.0" encoding="utf-8"?>
<sst xmlns="http://schemas.openxmlformats.org/spreadsheetml/2006/main" count="868" uniqueCount="334">
  <si>
    <t>Vendor:</t>
  </si>
  <si>
    <t>Build:</t>
  </si>
  <si>
    <t>Shipment Quantity:</t>
  </si>
  <si>
    <t>Waived Quantity:</t>
  </si>
  <si>
    <t>OK Quantity:</t>
    <phoneticPr fontId="0" type="noConversion"/>
  </si>
  <si>
    <t>APN:</t>
  </si>
  <si>
    <t>Program:</t>
  </si>
  <si>
    <t>Waiver Request Date:</t>
  </si>
  <si>
    <t>Planned Shipment Date:</t>
  </si>
  <si>
    <t>Current Spec</t>
  </si>
  <si>
    <t>Waiver Request Spec</t>
  </si>
  <si>
    <t>Cosmetic</t>
  </si>
  <si>
    <t>Dimension</t>
  </si>
  <si>
    <t>Function</t>
  </si>
  <si>
    <t>Cosmetic Waiver List</t>
  </si>
  <si>
    <t>Vendor Input</t>
  </si>
  <si>
    <t>No.</t>
  </si>
  <si>
    <t>Defect Name</t>
  </si>
  <si>
    <t>Limit Sample</t>
    <phoneticPr fontId="0" type="noConversion"/>
  </si>
  <si>
    <t>Proposal</t>
    <phoneticPr fontId="0" type="noConversion"/>
  </si>
  <si>
    <r>
      <t xml:space="preserve"> Grading  Yield</t>
    </r>
    <r>
      <rPr>
        <sz val="14"/>
        <rFont val="細明體"/>
        <family val="3"/>
        <charset val="136"/>
      </rPr>
      <t/>
    </r>
  </si>
  <si>
    <t>Root Cause</t>
    <phoneticPr fontId="0" type="noConversion"/>
  </si>
  <si>
    <t>Corrective Action</t>
    <phoneticPr fontId="0" type="noConversion"/>
  </si>
  <si>
    <t>SQE disposition</t>
    <phoneticPr fontId="0" type="noConversion"/>
  </si>
  <si>
    <t>SBE disposition</t>
    <phoneticPr fontId="0" type="noConversion"/>
  </si>
  <si>
    <t>PD disposition</t>
    <phoneticPr fontId="0" type="noConversion"/>
  </si>
  <si>
    <t xml:space="preserve"> Spec</t>
    <phoneticPr fontId="0" type="noConversion"/>
  </si>
  <si>
    <t>Yield</t>
    <phoneticPr fontId="0" type="noConversion"/>
  </si>
  <si>
    <t>Waiver Spec</t>
    <phoneticPr fontId="0" type="noConversion"/>
  </si>
  <si>
    <t>A</t>
    <phoneticPr fontId="0" type="noConversion"/>
  </si>
  <si>
    <t>B</t>
    <phoneticPr fontId="0" type="noConversion"/>
  </si>
  <si>
    <t>C</t>
    <phoneticPr fontId="0" type="noConversion"/>
  </si>
  <si>
    <t>D</t>
    <phoneticPr fontId="0" type="noConversion"/>
  </si>
  <si>
    <t>Picture</t>
  </si>
  <si>
    <t>Description</t>
  </si>
  <si>
    <t>Defect Qty</t>
  </si>
  <si>
    <t>Defect</t>
  </si>
  <si>
    <t>Type</t>
  </si>
  <si>
    <t xml:space="preserve">Vendor Input </t>
  </si>
  <si>
    <t> Input</t>
  </si>
  <si>
    <t>FAI</t>
  </si>
  <si>
    <t>SPC</t>
  </si>
  <si>
    <t>Spec</t>
  </si>
  <si>
    <t>Nominal</t>
  </si>
  <si>
    <t>Tol+</t>
  </si>
  <si>
    <t>Tol-</t>
  </si>
  <si>
    <t>Dimensional Waiver List</t>
  </si>
  <si>
    <t>Yield</t>
  </si>
  <si>
    <t>Cp</t>
  </si>
  <si>
    <t>Cpk</t>
  </si>
  <si>
    <t>Waiver Proposal</t>
  </si>
  <si>
    <t>Functional Waiver List</t>
  </si>
  <si>
    <t>Yield %</t>
  </si>
  <si>
    <t>Inpsection Method</t>
  </si>
  <si>
    <t>Inspection Method</t>
  </si>
  <si>
    <t>Reliability</t>
  </si>
  <si>
    <t>Reliability Waiver List</t>
  </si>
  <si>
    <t>REL/ORT Test</t>
  </si>
  <si>
    <t>Failure Mode</t>
  </si>
  <si>
    <t>Checkpoint</t>
  </si>
  <si>
    <t>Input Qty</t>
  </si>
  <si>
    <t>NG Qty</t>
  </si>
  <si>
    <t>Revision</t>
  </si>
  <si>
    <t>Date</t>
  </si>
  <si>
    <t>Author</t>
    <phoneticPr fontId="0" type="noConversion"/>
  </si>
  <si>
    <t>Comments</t>
  </si>
  <si>
    <t>Tim Burks</t>
  </si>
  <si>
    <t>Initial Release</t>
  </si>
  <si>
    <t>OQC Waiver Request</t>
  </si>
  <si>
    <t>Revision:</t>
  </si>
  <si>
    <t>Dpamstech</t>
    <phoneticPr fontId="16" type="noConversion"/>
  </si>
  <si>
    <t>Varo-Project</t>
    <phoneticPr fontId="16" type="noConversion"/>
  </si>
  <si>
    <t>-</t>
    <phoneticPr fontId="16" type="noConversion"/>
  </si>
  <si>
    <t>Distance</t>
  </si>
  <si>
    <t>Config:</t>
    <phoneticPr fontId="16" type="noConversion"/>
  </si>
  <si>
    <t>Sample Number</t>
  </si>
  <si>
    <t>Deviation from Nominal</t>
  </si>
  <si>
    <t>Mean</t>
  </si>
  <si>
    <t>% Tolerance</t>
  </si>
  <si>
    <t>Alert/Reject</t>
  </si>
  <si>
    <t>Parallelism</t>
  </si>
  <si>
    <t>OMM</t>
  </si>
  <si>
    <t>Flatness</t>
  </si>
  <si>
    <t>Maximum</t>
  </si>
  <si>
    <t>Minimum</t>
  </si>
  <si>
    <t>Shipping Qty</t>
  </si>
  <si>
    <t>Unit</t>
  </si>
  <si>
    <t>FAI Data Sheet  Enclosures MD</t>
  </si>
  <si>
    <t>DRAWING SPECIFICATIONS</t>
  </si>
  <si>
    <t>INSPECTION RESULTS</t>
  </si>
  <si>
    <t>INSPECTION ANALYSIS</t>
  </si>
  <si>
    <t>USL</t>
  </si>
  <si>
    <t>LSL</t>
  </si>
  <si>
    <t>FAI#</t>
  </si>
  <si>
    <t>Description</t>
    <phoneticPr fontId="46" type="noConversion"/>
  </si>
  <si>
    <t>Upper</t>
  </si>
  <si>
    <t>Lower</t>
  </si>
  <si>
    <t>High</t>
  </si>
  <si>
    <t>Low</t>
  </si>
  <si>
    <t>Enhanced Cpk Data Sheet - Enclosures MD</t>
  </si>
  <si>
    <t xml:space="preserve">  </t>
    <phoneticPr fontId="50" type="noConversion"/>
  </si>
  <si>
    <t>CALCULATED RESULTS</t>
  </si>
  <si>
    <t>DO NOT DELETE COLUMNS</t>
  </si>
  <si>
    <t>(USL for one sided spec)</t>
  </si>
  <si>
    <t>(LSL for one sided spec)</t>
  </si>
  <si>
    <t>Tolerance needed to hit target Cpk</t>
  </si>
  <si>
    <t>Cp* =</t>
  </si>
  <si>
    <t>SPC</t>
    <phoneticPr fontId="53" type="noConversion"/>
  </si>
  <si>
    <t>Description</t>
    <phoneticPr fontId="54"/>
  </si>
  <si>
    <t>TOL+</t>
  </si>
  <si>
    <t>TOL-</t>
  </si>
  <si>
    <t>100% Gauged</t>
  </si>
  <si>
    <t>Std Dev</t>
    <phoneticPr fontId="50" type="noConversion"/>
  </si>
  <si>
    <t>Ca</t>
  </si>
  <si>
    <t>Ca Level</t>
  </si>
  <si>
    <t>UCPK</t>
    <phoneticPr fontId="55" type="noConversion"/>
  </si>
  <si>
    <t>LCPK</t>
    <phoneticPr fontId="55" type="noConversion"/>
  </si>
  <si>
    <t>+Tol =&gt; Cpk*</t>
  </si>
  <si>
    <t>-Tol =&gt; Cpk*</t>
  </si>
  <si>
    <t>Mean Shift</t>
    <phoneticPr fontId="50" type="noConversion"/>
  </si>
  <si>
    <t>Tol Range
=&gt; Cp*</t>
  </si>
  <si>
    <t>Normality Result</t>
  </si>
  <si>
    <t>Notes</t>
  </si>
  <si>
    <t>No</t>
  </si>
  <si>
    <t>+TOL</t>
    <phoneticPr fontId="16" type="noConversion"/>
  </si>
  <si>
    <t>TOL</t>
    <phoneticPr fontId="16" type="noConversion"/>
  </si>
  <si>
    <t>Normality Test</t>
    <phoneticPr fontId="16" type="noConversion"/>
  </si>
  <si>
    <t xml:space="preserve"> Supplier Comment</t>
    <phoneticPr fontId="16" type="noConversion"/>
  </si>
  <si>
    <t>DRAWING SPECIFICATIONS</t>
    <phoneticPr fontId="16" type="noConversion"/>
  </si>
  <si>
    <t>H</t>
  </si>
  <si>
    <t>G</t>
  </si>
  <si>
    <t>K</t>
  </si>
  <si>
    <t>AN</t>
  </si>
  <si>
    <t>AG</t>
  </si>
  <si>
    <t>AL</t>
  </si>
  <si>
    <t>AM</t>
  </si>
  <si>
    <t>817-09240</t>
    <phoneticPr fontId="16" type="noConversion"/>
  </si>
  <si>
    <t>Perpendicularity</t>
  </si>
  <si>
    <t>Straightness</t>
  </si>
  <si>
    <t>Surface profile</t>
  </si>
  <si>
    <t>CMM</t>
  </si>
  <si>
    <t>A-1</t>
  </si>
  <si>
    <t>A-2</t>
  </si>
  <si>
    <t>A-3</t>
  </si>
  <si>
    <t>A-4</t>
  </si>
  <si>
    <t>B-1</t>
  </si>
  <si>
    <t>B-2</t>
  </si>
  <si>
    <t>B-3</t>
  </si>
  <si>
    <t>B-4</t>
  </si>
  <si>
    <t>D-a</t>
  </si>
  <si>
    <t>D-b</t>
  </si>
  <si>
    <t>D-c</t>
  </si>
  <si>
    <t>M-1</t>
  </si>
  <si>
    <t>M-2</t>
  </si>
  <si>
    <t>O-1</t>
  </si>
  <si>
    <t>O-2</t>
  </si>
  <si>
    <t>O-3</t>
  </si>
  <si>
    <t>O-4</t>
  </si>
  <si>
    <t>T</t>
  </si>
  <si>
    <t>U</t>
  </si>
  <si>
    <t>BF</t>
  </si>
  <si>
    <t>BE</t>
  </si>
  <si>
    <t>AX</t>
  </si>
  <si>
    <t>BG</t>
  </si>
  <si>
    <t>BH</t>
  </si>
  <si>
    <t>F-a</t>
  </si>
  <si>
    <t>F-b</t>
  </si>
  <si>
    <t>F-c</t>
  </si>
  <si>
    <t>L-1</t>
  </si>
  <si>
    <t>L-2</t>
  </si>
  <si>
    <t>L-3</t>
  </si>
  <si>
    <t>L-4</t>
  </si>
  <si>
    <t>N-1</t>
  </si>
  <si>
    <t>N-2</t>
  </si>
  <si>
    <t>V</t>
  </si>
  <si>
    <t>W</t>
  </si>
  <si>
    <t>X</t>
  </si>
  <si>
    <t>Y-1</t>
  </si>
  <si>
    <t>Y-2</t>
  </si>
  <si>
    <t>Z</t>
  </si>
  <si>
    <t>AA</t>
  </si>
  <si>
    <t>AB</t>
  </si>
  <si>
    <t>AC</t>
  </si>
  <si>
    <t>AE</t>
  </si>
  <si>
    <t>FAI 1-1</t>
    <phoneticPr fontId="16" type="noConversion"/>
  </si>
  <si>
    <t>FAI 1-2</t>
  </si>
  <si>
    <t>FAI 1-3</t>
  </si>
  <si>
    <t>FAI 1-4</t>
  </si>
  <si>
    <t>FAI 2-1</t>
    <phoneticPr fontId="16" type="noConversion"/>
  </si>
  <si>
    <t>FAI 2-2</t>
  </si>
  <si>
    <t>FAI 2-3</t>
  </si>
  <si>
    <t>FAI 2-4</t>
  </si>
  <si>
    <t>C</t>
  </si>
  <si>
    <t>FAI 3</t>
    <phoneticPr fontId="16" type="noConversion"/>
  </si>
  <si>
    <t>FAI 4-a</t>
    <phoneticPr fontId="16" type="noConversion"/>
  </si>
  <si>
    <t>FAI 4-b</t>
    <phoneticPr fontId="16" type="noConversion"/>
  </si>
  <si>
    <t>FAI 4-c</t>
    <phoneticPr fontId="16" type="noConversion"/>
  </si>
  <si>
    <t>FAI 6-a</t>
    <phoneticPr fontId="16" type="noConversion"/>
  </si>
  <si>
    <t>AOI</t>
  </si>
  <si>
    <t>FAI 6-b</t>
    <phoneticPr fontId="16" type="noConversion"/>
  </si>
  <si>
    <t>FAI 6-c</t>
    <phoneticPr fontId="16" type="noConversion"/>
  </si>
  <si>
    <t>FAI 7</t>
    <phoneticPr fontId="16" type="noConversion"/>
  </si>
  <si>
    <t>FAI 8</t>
    <phoneticPr fontId="16" type="noConversion"/>
  </si>
  <si>
    <t>I</t>
  </si>
  <si>
    <t>FAI 9-1</t>
    <phoneticPr fontId="16" type="noConversion"/>
  </si>
  <si>
    <t>FAI 9-2</t>
  </si>
  <si>
    <t>FAI 9-3</t>
  </si>
  <si>
    <t>FAI 9-4</t>
  </si>
  <si>
    <t>FAI 9-5</t>
  </si>
  <si>
    <t>FAI 9-6</t>
  </si>
  <si>
    <t>FAI 11</t>
    <phoneticPr fontId="16" type="noConversion"/>
  </si>
  <si>
    <t>FAI 12-1</t>
    <phoneticPr fontId="16" type="noConversion"/>
  </si>
  <si>
    <t>FAI 12-2</t>
  </si>
  <si>
    <t>FAI 12-3</t>
  </si>
  <si>
    <t>FAI 12-4</t>
  </si>
  <si>
    <t>FAI 13-1</t>
    <phoneticPr fontId="16" type="noConversion"/>
  </si>
  <si>
    <t>FAI 13-2</t>
    <phoneticPr fontId="16" type="noConversion"/>
  </si>
  <si>
    <t>FAI 14-1</t>
    <phoneticPr fontId="16" type="noConversion"/>
  </si>
  <si>
    <t>FAI 14-2</t>
    <phoneticPr fontId="16" type="noConversion"/>
  </si>
  <si>
    <t>FAI 15-1</t>
    <phoneticPr fontId="16" type="noConversion"/>
  </si>
  <si>
    <t>FAI 15-2</t>
  </si>
  <si>
    <t>FAI 15-3</t>
  </si>
  <si>
    <t>FAI 15-4</t>
  </si>
  <si>
    <t>FAI 20</t>
    <phoneticPr fontId="16" type="noConversion"/>
  </si>
  <si>
    <t>FAI 21</t>
  </si>
  <si>
    <t>FAI 22</t>
  </si>
  <si>
    <t>FAI 23</t>
  </si>
  <si>
    <t>FAI 24</t>
  </si>
  <si>
    <t>FAI 25-1</t>
    <phoneticPr fontId="16" type="noConversion"/>
  </si>
  <si>
    <t>FAI 25-2</t>
  </si>
  <si>
    <t>FAI 26-1</t>
    <phoneticPr fontId="16" type="noConversion"/>
  </si>
  <si>
    <t>FAI 26-2</t>
  </si>
  <si>
    <t>FAI 26-3</t>
  </si>
  <si>
    <t>FAI 26-4</t>
  </si>
  <si>
    <t>FAI 27</t>
    <phoneticPr fontId="16" type="noConversion"/>
  </si>
  <si>
    <t>FAI 28</t>
  </si>
  <si>
    <t>FAI 29</t>
  </si>
  <si>
    <t>FAI 31</t>
    <phoneticPr fontId="16" type="noConversion"/>
  </si>
  <si>
    <t>FAI 33</t>
    <phoneticPr fontId="16" type="noConversion"/>
  </si>
  <si>
    <t>FAI 37-1</t>
    <phoneticPr fontId="16" type="noConversion"/>
  </si>
  <si>
    <t>FAI 37-2</t>
    <phoneticPr fontId="16" type="noConversion"/>
  </si>
  <si>
    <t>FAI 38-1</t>
    <phoneticPr fontId="16" type="noConversion"/>
  </si>
  <si>
    <t>FAI 38-2</t>
    <phoneticPr fontId="16" type="noConversion"/>
  </si>
  <si>
    <t>FAI 47</t>
    <phoneticPr fontId="16" type="noConversion"/>
  </si>
  <si>
    <t>FAI 51</t>
    <phoneticPr fontId="16" type="noConversion"/>
  </si>
  <si>
    <t>AW</t>
  </si>
  <si>
    <t>FAI 52</t>
    <phoneticPr fontId="16" type="noConversion"/>
  </si>
  <si>
    <t>FAI 57</t>
    <phoneticPr fontId="16" type="noConversion"/>
  </si>
  <si>
    <t>FAI 70-1</t>
    <phoneticPr fontId="16" type="noConversion"/>
  </si>
  <si>
    <t>FAI 70-2</t>
    <phoneticPr fontId="16" type="noConversion"/>
  </si>
  <si>
    <t>FAI 96-1</t>
    <phoneticPr fontId="16" type="noConversion"/>
  </si>
  <si>
    <t>FAI 96-2</t>
    <phoneticPr fontId="16" type="noConversion"/>
  </si>
  <si>
    <t>FAI 97-1</t>
    <phoneticPr fontId="16" type="noConversion"/>
  </si>
  <si>
    <t>FAI 97-2</t>
    <phoneticPr fontId="16" type="noConversion"/>
  </si>
  <si>
    <t>FAI 13-2</t>
  </si>
  <si>
    <t>FAI 14-2</t>
  </si>
  <si>
    <t>FAI 34</t>
    <phoneticPr fontId="16" type="noConversion"/>
  </si>
  <si>
    <t>FAI 35-1</t>
    <phoneticPr fontId="16" type="noConversion"/>
  </si>
  <si>
    <t>FAI 35-2</t>
    <phoneticPr fontId="16" type="noConversion"/>
  </si>
  <si>
    <t>FAI 36</t>
    <phoneticPr fontId="16" type="noConversion"/>
  </si>
  <si>
    <t>FAI 39</t>
    <phoneticPr fontId="16" type="noConversion"/>
  </si>
  <si>
    <t>FAI 40</t>
    <phoneticPr fontId="16" type="noConversion"/>
  </si>
  <si>
    <t>FAI  41</t>
    <phoneticPr fontId="16" type="noConversion"/>
  </si>
  <si>
    <t>FAI 45</t>
    <phoneticPr fontId="16" type="noConversion"/>
  </si>
  <si>
    <t>FAI 46</t>
    <phoneticPr fontId="16" type="noConversion"/>
  </si>
  <si>
    <t>FAI 50</t>
    <phoneticPr fontId="16" type="noConversion"/>
  </si>
  <si>
    <t>FAI 51</t>
  </si>
  <si>
    <t>FAI 52</t>
  </si>
  <si>
    <t>FAI 53</t>
  </si>
  <si>
    <t>FAI 54-1</t>
    <phoneticPr fontId="16" type="noConversion"/>
  </si>
  <si>
    <t>FAI 54-2</t>
  </si>
  <si>
    <t>FAI 55-1</t>
    <phoneticPr fontId="16" type="noConversion"/>
  </si>
  <si>
    <t>FAI 55-2</t>
  </si>
  <si>
    <t>FAI 56-1</t>
    <phoneticPr fontId="16" type="noConversion"/>
  </si>
  <si>
    <t>FAI 56-2</t>
  </si>
  <si>
    <t>FAI 66</t>
    <phoneticPr fontId="16" type="noConversion"/>
  </si>
  <si>
    <t>FAI 67</t>
    <phoneticPr fontId="16" type="noConversion"/>
  </si>
  <si>
    <t>FAI 68</t>
    <phoneticPr fontId="16" type="noConversion"/>
  </si>
  <si>
    <t>FAI 69</t>
  </si>
  <si>
    <t>FAI 70-2</t>
  </si>
  <si>
    <t>FAI 80</t>
    <phoneticPr fontId="16" type="noConversion"/>
  </si>
  <si>
    <t>FAI 81</t>
  </si>
  <si>
    <t>FAI 82</t>
  </si>
  <si>
    <t>FAI 83</t>
  </si>
  <si>
    <t>FAI 84</t>
  </si>
  <si>
    <t>FAI 85</t>
  </si>
  <si>
    <t>FAI 86-1</t>
    <phoneticPr fontId="16" type="noConversion"/>
  </si>
  <si>
    <t>FAI 86-2</t>
  </si>
  <si>
    <t>FAI 87</t>
    <phoneticPr fontId="16" type="noConversion"/>
  </si>
  <si>
    <t>FAI 88-1</t>
    <phoneticPr fontId="16" type="noConversion"/>
  </si>
  <si>
    <t>FAI 88-2</t>
  </si>
  <si>
    <t>FAI 89</t>
    <phoneticPr fontId="16" type="noConversion"/>
  </si>
  <si>
    <t>FAI 96-2</t>
  </si>
  <si>
    <t>FAI 97-2</t>
  </si>
  <si>
    <t>FAI 98-V1</t>
  </si>
  <si>
    <t>FAI 99-V1</t>
  </si>
  <si>
    <t>FAI 100-V1</t>
  </si>
  <si>
    <t>FAI 102-V1</t>
  </si>
  <si>
    <t>FAI 103-V1</t>
  </si>
  <si>
    <t>FAI 98-V2</t>
    <phoneticPr fontId="16" type="noConversion"/>
  </si>
  <si>
    <t>FAI 99-V2</t>
  </si>
  <si>
    <t>FAI 100-V2</t>
  </si>
  <si>
    <t>FAI 102-V2</t>
  </si>
  <si>
    <t>FAI 103-V2</t>
  </si>
  <si>
    <t>FAI 104-V3</t>
    <phoneticPr fontId="16" type="noConversion"/>
  </si>
  <si>
    <t>FAI 105-V3</t>
  </si>
  <si>
    <t>FAI 106-V3</t>
  </si>
  <si>
    <t>FAI 108-V3</t>
  </si>
  <si>
    <t>FAI 109-V3</t>
  </si>
  <si>
    <t>FAI 104-V4</t>
    <phoneticPr fontId="16" type="noConversion"/>
  </si>
  <si>
    <t>FAI 105-V4</t>
  </si>
  <si>
    <t>FAI 106-V4</t>
  </si>
  <si>
    <t>FAI 108-V4</t>
  </si>
  <si>
    <t>FAI 109-V4</t>
  </si>
  <si>
    <t>MCO Rev.A / MSoP Rev.A / 
PGM Rev.J</t>
    <phoneticPr fontId="16" type="noConversion"/>
  </si>
  <si>
    <t>BI</t>
  </si>
  <si>
    <t>BL</t>
  </si>
  <si>
    <t>FAI104-V3</t>
    <phoneticPr fontId="16" type="noConversion"/>
  </si>
  <si>
    <t>FAI104-V4</t>
    <phoneticPr fontId="16" type="noConversion"/>
  </si>
  <si>
    <t xml:space="preserve">      MEASURED DATA</t>
    <phoneticPr fontId="16" type="noConversion"/>
  </si>
  <si>
    <t>OBA:</t>
    <phoneticPr fontId="0" type="noConversion"/>
  </si>
  <si>
    <t>OK</t>
    <phoneticPr fontId="16" type="noConversion"/>
  </si>
  <si>
    <t>APN</t>
  </si>
  <si>
    <t>Shipping Date</t>
  </si>
  <si>
    <t>Build</t>
  </si>
  <si>
    <t>Inner package</t>
  </si>
  <si>
    <t>Shipping Lot No</t>
  </si>
  <si>
    <t>Total Q'TY</t>
  </si>
  <si>
    <t>Cavitity</t>
  </si>
  <si>
    <t>MP</t>
    <phoneticPr fontId="16" type="noConversion"/>
  </si>
  <si>
    <t>-</t>
    <phoneticPr fontId="50" type="noConversion"/>
  </si>
  <si>
    <t>FAI 103-V1</t>
    <phoneticPr fontId="50" type="noConversion"/>
  </si>
  <si>
    <t>FAI 109-V3</t>
    <phoneticPr fontId="50" type="noConversion"/>
  </si>
  <si>
    <t>FAI 98-V1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</si>
</sst>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_(* #,##0_);_(* \(#,##0\);_(* &quot;-&quot;_);_(@_)"/>
    <numFmt numFmtId="177" formatCode="0.0%"/>
    <numFmt numFmtId="178" formatCode="m/d/yyyy;@"/>
    <numFmt numFmtId="179" formatCode="yyyy\-mm\-dd;@"/>
    <numFmt numFmtId="180" formatCode="0.000"/>
    <numFmt numFmtId="181" formatCode="[$-409]d/mmm;@"/>
    <numFmt numFmtId="182" formatCode="0.000_ "/>
    <numFmt numFmtId="183" formatCode="#,##0.0000"/>
    <numFmt numFmtId="184" formatCode="0.00_);[Red]\(0.00\)"/>
    <numFmt numFmtId="185" formatCode="0.0000"/>
    <numFmt numFmtId="186" formatCode="0_ "/>
    <numFmt numFmtId="187" formatCode="0.0000_);[Red]\(0.0000\)"/>
    <numFmt numFmtId="188" formatCode="0_);[Red]\(0\)"/>
  </numFmts>
  <fonts count="66">
    <font>
      <sz val="12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5"/>
      <name val="Helvetica Neue"/>
      <family val="2"/>
    </font>
    <font>
      <sz val="12"/>
      <name val="Helvetica Neue"/>
      <family val="2"/>
    </font>
    <font>
      <b/>
      <sz val="12"/>
      <name val="Helvetica Neue"/>
      <family val="2"/>
    </font>
    <font>
      <sz val="12"/>
      <name val="新細明體"/>
      <family val="1"/>
    </font>
    <font>
      <b/>
      <sz val="20"/>
      <name val="Helvetica Neue"/>
      <family val="2"/>
    </font>
    <font>
      <sz val="14"/>
      <name val="Helvetica Neue"/>
      <family val="2"/>
    </font>
    <font>
      <sz val="14"/>
      <name val="細明體"/>
      <family val="3"/>
      <charset val="136"/>
    </font>
    <font>
      <sz val="12"/>
      <name val="宋体"/>
      <family val="3"/>
      <charset val="134"/>
    </font>
    <font>
      <sz val="12"/>
      <color theme="1"/>
      <name val="맑은 고딕"/>
      <family val="2"/>
      <charset val="134"/>
      <scheme val="minor"/>
    </font>
    <font>
      <b/>
      <sz val="12"/>
      <color rgb="FF212121"/>
      <name val="Helvetica Neue"/>
      <family val="2"/>
    </font>
    <font>
      <b/>
      <sz val="12"/>
      <color rgb="FF000000"/>
      <name val="Helvetica Neue"/>
      <family val="2"/>
    </font>
    <font>
      <sz val="12"/>
      <color rgb="FF000000"/>
      <name val="Helvetica Neue"/>
      <family val="2"/>
    </font>
    <font>
      <sz val="8"/>
      <name val="맑은 고딕"/>
      <family val="3"/>
      <charset val="129"/>
      <scheme val="minor"/>
    </font>
    <font>
      <sz val="10"/>
      <name val="Verdana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2"/>
      <name val="____"/>
      <family val="2"/>
    </font>
    <font>
      <sz val="12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2"/>
      <name val="Helvetica Neue"/>
      <family val="1"/>
    </font>
    <font>
      <sz val="10"/>
      <color theme="1"/>
      <name val="Meiryo UI"/>
      <family val="2"/>
      <charset val="128"/>
    </font>
    <font>
      <b/>
      <sz val="16"/>
      <name val="Arial"/>
      <family val="2"/>
    </font>
    <font>
      <sz val="12"/>
      <color theme="1"/>
      <name val="맑은 고딕"/>
      <family val="2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name val="Arial"/>
      <family val="2"/>
    </font>
    <font>
      <b/>
      <sz val="9"/>
      <name val="Arial"/>
      <family val="2"/>
    </font>
    <font>
      <sz val="9"/>
      <name val="맑은 고딕"/>
      <family val="3"/>
      <charset val="134"/>
      <scheme val="minor"/>
    </font>
    <font>
      <sz val="8"/>
      <name val="Arial"/>
      <family val="2"/>
    </font>
    <font>
      <sz val="10"/>
      <color theme="1"/>
      <name val="Arial"/>
      <family val="2"/>
    </font>
    <font>
      <b/>
      <sz val="9"/>
      <color indexed="81"/>
      <name val="Calibri"/>
      <family val="2"/>
    </font>
    <font>
      <sz val="8"/>
      <name val="Calibri"/>
      <family val="2"/>
    </font>
    <font>
      <sz val="9"/>
      <color rgb="FFFF0000"/>
      <name val="Arial"/>
      <family val="2"/>
    </font>
    <font>
      <sz val="9"/>
      <color theme="1"/>
      <name val="Arial"/>
      <family val="2"/>
    </font>
    <font>
      <i/>
      <u/>
      <sz val="12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sz val="12"/>
      <color theme="1"/>
      <name val="Arial"/>
      <family val="2"/>
    </font>
    <font>
      <sz val="10"/>
      <color theme="1"/>
      <name val="맑은 고딕"/>
      <family val="2"/>
      <scheme val="minor"/>
    </font>
    <font>
      <sz val="12"/>
      <name val="Times New Roman"/>
      <family val="1"/>
    </font>
    <font>
      <b/>
      <i/>
      <sz val="12"/>
      <color theme="1"/>
      <name val="맑은 고딕"/>
      <family val="2"/>
      <scheme val="minor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indexed="8"/>
      <name val="맑은 고딕"/>
      <family val="3"/>
      <charset val="129"/>
      <scheme val="major"/>
    </font>
  </fonts>
  <fills count="3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52">
    <xf numFmtId="0" fontId="0" fillId="0" borderId="0"/>
    <xf numFmtId="0" fontId="7" fillId="0" borderId="0"/>
    <xf numFmtId="9" fontId="7" fillId="0" borderId="0" applyFont="0" applyFill="0" applyBorder="0" applyAlignment="0" applyProtection="0"/>
    <xf numFmtId="0" fontId="12" fillId="0" borderId="0"/>
    <xf numFmtId="181" fontId="17" fillId="0" borderId="0"/>
    <xf numFmtId="181" fontId="17" fillId="0" borderId="0"/>
    <xf numFmtId="9" fontId="18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5" fillId="9" borderId="16" applyNumberFormat="0" applyAlignment="0" applyProtection="0">
      <alignment vertical="center"/>
    </xf>
    <xf numFmtId="0" fontId="36" fillId="10" borderId="17" applyNumberFormat="0" applyAlignment="0" applyProtection="0">
      <alignment vertical="center"/>
    </xf>
    <xf numFmtId="0" fontId="37" fillId="10" borderId="16" applyNumberFormat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9" fillId="11" borderId="19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21" fillId="0" borderId="0"/>
    <xf numFmtId="9" fontId="27" fillId="0" borderId="0" applyFont="0" applyFill="0" applyBorder="0" applyAlignment="0" applyProtection="0"/>
    <xf numFmtId="0" fontId="21" fillId="0" borderId="0"/>
    <xf numFmtId="9" fontId="11" fillId="0" borderId="0" applyFont="0" applyFill="0" applyBorder="0" applyAlignment="0" applyProtection="0"/>
    <xf numFmtId="0" fontId="20" fillId="0" borderId="0"/>
    <xf numFmtId="177" fontId="18" fillId="0" borderId="0" applyFill="0" applyBorder="0" applyAlignment="0"/>
    <xf numFmtId="183" fontId="18" fillId="0" borderId="0" applyFill="0" applyBorder="0" applyAlignment="0"/>
    <xf numFmtId="0" fontId="22" fillId="0" borderId="22" applyNumberFormat="0" applyAlignment="0" applyProtection="0">
      <alignment horizontal="left" vertical="center"/>
    </xf>
    <xf numFmtId="0" fontId="22" fillId="0" borderId="9">
      <alignment horizontal="left" vertical="center"/>
    </xf>
    <xf numFmtId="183" fontId="18" fillId="0" borderId="0" applyFill="0" applyBorder="0" applyAlignment="0"/>
    <xf numFmtId="0" fontId="21" fillId="0" borderId="0"/>
    <xf numFmtId="183" fontId="18" fillId="0" borderId="0" applyFill="0" applyBorder="0" applyAlignment="0"/>
    <xf numFmtId="49" fontId="19" fillId="0" borderId="0" applyFill="0" applyBorder="0" applyAlignment="0"/>
    <xf numFmtId="183" fontId="18" fillId="0" borderId="0" applyFill="0" applyBorder="0" applyAlignment="0"/>
    <xf numFmtId="0" fontId="3" fillId="0" borderId="0">
      <alignment vertical="center"/>
    </xf>
    <xf numFmtId="0" fontId="3" fillId="12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20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20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20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20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20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20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20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20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20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20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20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20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20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20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20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27" fillId="0" borderId="0"/>
    <xf numFmtId="0" fontId="58" fillId="0" borderId="0"/>
    <xf numFmtId="0" fontId="62" fillId="7" borderId="0" applyNumberFormat="0" applyBorder="0" applyAlignment="0" applyProtection="0">
      <alignment vertical="center"/>
    </xf>
    <xf numFmtId="0" fontId="63" fillId="8" borderId="0" applyNumberFormat="0" applyBorder="0" applyAlignment="0" applyProtection="0">
      <alignment vertical="center"/>
    </xf>
    <xf numFmtId="0" fontId="2" fillId="0" borderId="0">
      <alignment vertical="center"/>
    </xf>
    <xf numFmtId="181" fontId="17" fillId="0" borderId="0"/>
    <xf numFmtId="0" fontId="27" fillId="0" borderId="0"/>
    <xf numFmtId="0" fontId="64" fillId="6" borderId="0" applyNumberFormat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20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20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20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6" fontId="2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20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20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20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20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92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5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shrinkToFit="1"/>
    </xf>
    <xf numFmtId="0" fontId="4" fillId="0" borderId="0" xfId="0" applyFont="1" applyAlignment="1">
      <alignment vertical="center"/>
    </xf>
    <xf numFmtId="0" fontId="5" fillId="0" borderId="2" xfId="0" applyFont="1" applyBorder="1" applyAlignment="1">
      <alignment horizontal="left" vertical="center" shrinkToFit="1"/>
    </xf>
    <xf numFmtId="0" fontId="5" fillId="0" borderId="3" xfId="0" applyFont="1" applyBorder="1" applyAlignment="1">
      <alignment vertical="center"/>
    </xf>
    <xf numFmtId="0" fontId="8" fillId="0" borderId="0" xfId="1" applyFont="1" applyAlignment="1">
      <alignment vertical="center"/>
    </xf>
    <xf numFmtId="0" fontId="9" fillId="0" borderId="0" xfId="1" applyFont="1" applyAlignment="1">
      <alignment horizontal="center" vertical="center"/>
    </xf>
    <xf numFmtId="0" fontId="9" fillId="0" borderId="0" xfId="1" applyFont="1" applyAlignment="1">
      <alignment vertical="center"/>
    </xf>
    <xf numFmtId="0" fontId="9" fillId="0" borderId="0" xfId="1" applyFont="1"/>
    <xf numFmtId="0" fontId="6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5" fillId="4" borderId="1" xfId="1" applyFont="1" applyFill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left" vertical="center" wrapText="1"/>
    </xf>
    <xf numFmtId="177" fontId="5" fillId="0" borderId="1" xfId="2" applyNumberFormat="1" applyFont="1" applyFill="1" applyBorder="1" applyAlignment="1">
      <alignment horizontal="left" vertical="center" wrapText="1"/>
    </xf>
    <xf numFmtId="9" fontId="5" fillId="0" borderId="1" xfId="2" applyFont="1" applyFill="1" applyBorder="1" applyAlignment="1">
      <alignment horizontal="center" vertical="center" wrapText="1"/>
    </xf>
    <xf numFmtId="9" fontId="5" fillId="4" borderId="1" xfId="2" applyFont="1" applyFill="1" applyBorder="1" applyAlignment="1">
      <alignment horizontal="center" vertical="center" wrapText="1"/>
    </xf>
    <xf numFmtId="10" fontId="5" fillId="4" borderId="1" xfId="2" applyNumberFormat="1" applyFont="1" applyFill="1" applyBorder="1" applyAlignment="1">
      <alignment horizontal="left" vertical="center" wrapText="1"/>
    </xf>
    <xf numFmtId="0" fontId="5" fillId="4" borderId="1" xfId="2" applyNumberFormat="1" applyFont="1" applyFill="1" applyBorder="1" applyAlignment="1">
      <alignment horizontal="left" vertical="center" wrapText="1"/>
    </xf>
    <xf numFmtId="9" fontId="5" fillId="4" borderId="1" xfId="2" applyFont="1" applyFill="1" applyBorder="1" applyAlignment="1">
      <alignment horizontal="left" vertical="center" wrapText="1"/>
    </xf>
    <xf numFmtId="0" fontId="5" fillId="0" borderId="1" xfId="1" applyFont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13" fillId="5" borderId="1" xfId="3" applyFont="1" applyFill="1" applyBorder="1" applyAlignment="1">
      <alignment horizontal="center" vertical="center"/>
    </xf>
    <xf numFmtId="0" fontId="14" fillId="4" borderId="1" xfId="3" applyFont="1" applyFill="1" applyBorder="1" applyAlignment="1">
      <alignment horizontal="center" vertical="center"/>
    </xf>
    <xf numFmtId="178" fontId="15" fillId="4" borderId="1" xfId="3" applyNumberFormat="1" applyFont="1" applyFill="1" applyBorder="1" applyAlignment="1">
      <alignment horizontal="center" vertical="center"/>
    </xf>
    <xf numFmtId="0" fontId="15" fillId="4" borderId="1" xfId="3" applyFont="1" applyFill="1" applyBorder="1" applyAlignment="1">
      <alignment vertical="center" wrapText="1"/>
    </xf>
    <xf numFmtId="179" fontId="15" fillId="4" borderId="1" xfId="3" applyNumberFormat="1" applyFont="1" applyFill="1" applyBorder="1" applyAlignment="1">
      <alignment horizontal="center" vertical="center"/>
    </xf>
    <xf numFmtId="0" fontId="6" fillId="5" borderId="1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shrinkToFit="1"/>
    </xf>
    <xf numFmtId="0" fontId="5" fillId="0" borderId="1" xfId="2" applyNumberFormat="1" applyFont="1" applyFill="1" applyBorder="1" applyAlignment="1">
      <alignment horizontal="center" vertical="center" wrapText="1"/>
    </xf>
    <xf numFmtId="3" fontId="5" fillId="0" borderId="2" xfId="0" applyNumberFormat="1" applyFont="1" applyBorder="1" applyAlignment="1">
      <alignment horizontal="center" vertical="center"/>
    </xf>
    <xf numFmtId="10" fontId="5" fillId="4" borderId="1" xfId="2" quotePrefix="1" applyNumberFormat="1" applyFont="1" applyFill="1" applyBorder="1" applyAlignment="1">
      <alignment horizontal="left" vertical="center" wrapText="1"/>
    </xf>
    <xf numFmtId="10" fontId="24" fillId="4" borderId="1" xfId="2" quotePrefix="1" applyNumberFormat="1" applyFont="1" applyFill="1" applyBorder="1" applyAlignment="1">
      <alignment horizontal="left" vertical="center" wrapText="1"/>
    </xf>
    <xf numFmtId="3" fontId="5" fillId="0" borderId="1" xfId="0" applyNumberFormat="1" applyFont="1" applyBorder="1" applyAlignment="1">
      <alignment horizontal="center" vertical="center" shrinkToFit="1"/>
    </xf>
    <xf numFmtId="0" fontId="5" fillId="4" borderId="1" xfId="2" quotePrefix="1" applyNumberFormat="1" applyFont="1" applyFill="1" applyBorder="1" applyAlignment="1">
      <alignment horizontal="left" vertical="center" wrapText="1"/>
    </xf>
    <xf numFmtId="180" fontId="18" fillId="0" borderId="1" xfId="0" applyNumberFormat="1" applyFont="1" applyBorder="1" applyAlignment="1" applyProtection="1">
      <alignment horizontal="center"/>
      <protection locked="0"/>
    </xf>
    <xf numFmtId="180" fontId="18" fillId="0" borderId="10" xfId="0" applyNumberFormat="1" applyFont="1" applyBorder="1" applyAlignment="1" applyProtection="1">
      <alignment horizontal="center"/>
      <protection locked="0"/>
    </xf>
    <xf numFmtId="49" fontId="18" fillId="0" borderId="1" xfId="0" applyNumberFormat="1" applyFont="1" applyBorder="1" applyAlignment="1" applyProtection="1">
      <alignment horizontal="center"/>
      <protection locked="0"/>
    </xf>
    <xf numFmtId="0" fontId="18" fillId="0" borderId="0" xfId="0" applyFont="1" applyProtection="1">
      <protection locked="0"/>
    </xf>
    <xf numFmtId="0" fontId="26" fillId="0" borderId="0" xfId="0" applyFont="1" applyAlignment="1">
      <alignment horizontal="center"/>
    </xf>
    <xf numFmtId="0" fontId="18" fillId="0" borderId="0" xfId="0" applyFont="1" applyAlignment="1" applyProtection="1">
      <alignment horizontal="center"/>
      <protection locked="0"/>
    </xf>
    <xf numFmtId="0" fontId="18" fillId="0" borderId="0" xfId="0" applyFont="1" applyAlignment="1">
      <alignment horizontal="center"/>
    </xf>
    <xf numFmtId="0" fontId="18" fillId="0" borderId="0" xfId="0" applyFont="1"/>
    <xf numFmtId="0" fontId="44" fillId="0" borderId="4" xfId="0" applyFont="1" applyBorder="1"/>
    <xf numFmtId="0" fontId="44" fillId="0" borderId="12" xfId="0" applyFont="1" applyBorder="1"/>
    <xf numFmtId="58" fontId="23" fillId="0" borderId="4" xfId="48" applyNumberFormat="1" applyFont="1" applyBorder="1" applyAlignment="1" applyProtection="1">
      <alignment wrapText="1"/>
      <protection locked="0"/>
    </xf>
    <xf numFmtId="2" fontId="23" fillId="0" borderId="4" xfId="48" applyNumberFormat="1" applyFont="1" applyBorder="1" applyAlignment="1" applyProtection="1">
      <alignment wrapText="1"/>
      <protection locked="0"/>
    </xf>
    <xf numFmtId="0" fontId="47" fillId="0" borderId="4" xfId="0" quotePrefix="1" applyFont="1" applyBorder="1" applyAlignment="1">
      <alignment horizontal="center" vertical="center" wrapText="1"/>
    </xf>
    <xf numFmtId="0" fontId="23" fillId="0" borderId="4" xfId="0" applyFont="1" applyBorder="1" applyAlignment="1">
      <alignment wrapText="1"/>
    </xf>
    <xf numFmtId="0" fontId="23" fillId="0" borderId="4" xfId="48" applyFont="1" applyBorder="1" applyAlignment="1">
      <alignment wrapText="1"/>
    </xf>
    <xf numFmtId="0" fontId="23" fillId="0" borderId="4" xfId="48" applyFont="1" applyBorder="1"/>
    <xf numFmtId="2" fontId="23" fillId="0" borderId="4" xfId="48" applyNumberFormat="1" applyFont="1" applyBorder="1"/>
    <xf numFmtId="180" fontId="23" fillId="0" borderId="4" xfId="48" applyNumberFormat="1" applyFont="1" applyBorder="1"/>
    <xf numFmtId="2" fontId="18" fillId="0" borderId="7" xfId="0" applyNumberFormat="1" applyFont="1" applyBorder="1" applyAlignment="1">
      <alignment horizontal="center" vertical="center" wrapText="1"/>
    </xf>
    <xf numFmtId="0" fontId="51" fillId="0" borderId="4" xfId="48" applyFont="1" applyBorder="1" applyAlignment="1" applyProtection="1">
      <alignment wrapText="1"/>
      <protection locked="0"/>
    </xf>
    <xf numFmtId="0" fontId="44" fillId="0" borderId="4" xfId="0" applyFont="1" applyBorder="1" applyAlignment="1">
      <alignment vertical="center"/>
    </xf>
    <xf numFmtId="0" fontId="44" fillId="0" borderId="0" xfId="0" applyFont="1" applyAlignment="1">
      <alignment vertical="center"/>
    </xf>
    <xf numFmtId="0" fontId="44" fillId="0" borderId="3" xfId="0" applyFont="1" applyBorder="1" applyAlignment="1">
      <alignment vertical="center"/>
    </xf>
    <xf numFmtId="0" fontId="52" fillId="0" borderId="12" xfId="0" applyFont="1" applyBorder="1"/>
    <xf numFmtId="58" fontId="23" fillId="0" borderId="5" xfId="48" applyNumberFormat="1" applyFont="1" applyBorder="1" applyAlignment="1" applyProtection="1">
      <alignment horizontal="center" vertical="center" wrapText="1"/>
      <protection locked="0"/>
    </xf>
    <xf numFmtId="2" fontId="23" fillId="0" borderId="5" xfId="48" applyNumberFormat="1" applyFont="1" applyBorder="1" applyAlignment="1" applyProtection="1">
      <alignment horizontal="center" vertical="center" wrapText="1"/>
      <protection locked="0"/>
    </xf>
    <xf numFmtId="49" fontId="23" fillId="0" borderId="5" xfId="0" quotePrefix="1" applyNumberFormat="1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23" fillId="0" borderId="5" xfId="48" applyFont="1" applyBorder="1" applyAlignment="1">
      <alignment horizontal="center" wrapText="1"/>
    </xf>
    <xf numFmtId="0" fontId="23" fillId="0" borderId="5" xfId="48" applyFont="1" applyBorder="1" applyAlignment="1">
      <alignment horizontal="center" vertical="center"/>
    </xf>
    <xf numFmtId="2" fontId="23" fillId="0" borderId="5" xfId="48" applyNumberFormat="1" applyFont="1" applyBorder="1" applyAlignment="1">
      <alignment horizontal="center" vertical="center"/>
    </xf>
    <xf numFmtId="180" fontId="23" fillId="0" borderId="5" xfId="48" applyNumberFormat="1" applyFont="1" applyBorder="1" applyAlignment="1">
      <alignment horizontal="center" vertical="center"/>
    </xf>
    <xf numFmtId="180" fontId="23" fillId="0" borderId="5" xfId="48" quotePrefix="1" applyNumberFormat="1" applyFont="1" applyBorder="1" applyAlignment="1">
      <alignment horizontal="center" vertical="center"/>
    </xf>
    <xf numFmtId="180" fontId="23" fillId="0" borderId="5" xfId="48" quotePrefix="1" applyNumberFormat="1" applyFont="1" applyBorder="1" applyAlignment="1">
      <alignment horizontal="center" vertical="center" wrapText="1"/>
    </xf>
    <xf numFmtId="0" fontId="23" fillId="0" borderId="5" xfId="48" applyFont="1" applyBorder="1" applyAlignment="1" applyProtection="1">
      <alignment horizontal="center" wrapText="1"/>
      <protection locked="0"/>
    </xf>
    <xf numFmtId="0" fontId="56" fillId="0" borderId="0" xfId="0" applyFont="1"/>
    <xf numFmtId="180" fontId="18" fillId="0" borderId="1" xfId="365" applyNumberFormat="1" applyFont="1" applyBorder="1" applyAlignment="1" applyProtection="1">
      <alignment horizontal="center" wrapText="1"/>
      <protection locked="0"/>
    </xf>
    <xf numFmtId="49" fontId="18" fillId="0" borderId="1" xfId="365" applyNumberFormat="1" applyFont="1" applyBorder="1" applyAlignment="1" applyProtection="1">
      <alignment horizontal="center" vertical="center" wrapText="1"/>
      <protection locked="0"/>
    </xf>
    <xf numFmtId="49" fontId="18" fillId="0" borderId="10" xfId="365" applyNumberFormat="1" applyFont="1" applyBorder="1" applyAlignment="1" applyProtection="1">
      <alignment horizontal="center" vertical="center" wrapText="1"/>
      <protection locked="0"/>
    </xf>
    <xf numFmtId="0" fontId="57" fillId="0" borderId="12" xfId="0" applyFont="1" applyBorder="1"/>
    <xf numFmtId="182" fontId="18" fillId="0" borderId="1" xfId="365" applyNumberFormat="1" applyFont="1" applyBorder="1" applyAlignment="1">
      <alignment horizontal="center"/>
    </xf>
    <xf numFmtId="182" fontId="18" fillId="0" borderId="1" xfId="48" applyNumberFormat="1" applyFont="1" applyBorder="1" applyAlignment="1">
      <alignment horizontal="center"/>
    </xf>
    <xf numFmtId="180" fontId="18" fillId="0" borderId="1" xfId="48" applyNumberFormat="1" applyFont="1" applyBorder="1" applyAlignment="1">
      <alignment horizontal="center"/>
    </xf>
    <xf numFmtId="10" fontId="18" fillId="0" borderId="1" xfId="48" applyNumberFormat="1" applyFont="1" applyBorder="1" applyAlignment="1">
      <alignment horizontal="center"/>
    </xf>
    <xf numFmtId="180" fontId="18" fillId="0" borderId="1" xfId="365" applyNumberFormat="1" applyFont="1" applyBorder="1" applyAlignment="1" applyProtection="1">
      <alignment horizontal="center"/>
      <protection locked="0"/>
    </xf>
    <xf numFmtId="0" fontId="23" fillId="0" borderId="1" xfId="365" applyFont="1" applyBorder="1" applyAlignment="1" applyProtection="1">
      <alignment horizontal="center"/>
      <protection locked="0"/>
    </xf>
    <xf numFmtId="0" fontId="23" fillId="0" borderId="1" xfId="365" applyFont="1" applyBorder="1" applyAlignment="1" applyProtection="1">
      <alignment horizontal="left"/>
      <protection locked="0"/>
    </xf>
    <xf numFmtId="0" fontId="23" fillId="0" borderId="0" xfId="365" applyFont="1" applyAlignment="1" applyProtection="1">
      <alignment horizontal="center"/>
      <protection locked="0"/>
    </xf>
    <xf numFmtId="0" fontId="23" fillId="0" borderId="3" xfId="365" applyFont="1" applyBorder="1" applyAlignment="1" applyProtection="1">
      <alignment horizontal="center"/>
      <protection locked="0"/>
    </xf>
    <xf numFmtId="0" fontId="59" fillId="0" borderId="0" xfId="0" applyFont="1"/>
    <xf numFmtId="180" fontId="18" fillId="0" borderId="1" xfId="364" applyNumberFormat="1" applyFont="1" applyBorder="1" applyAlignment="1" applyProtection="1">
      <alignment horizontal="center"/>
      <protection locked="0"/>
    </xf>
    <xf numFmtId="0" fontId="18" fillId="0" borderId="1" xfId="0" applyFont="1" applyBorder="1" applyAlignment="1" applyProtection="1">
      <alignment horizontal="center"/>
      <protection locked="0"/>
    </xf>
    <xf numFmtId="0" fontId="18" fillId="0" borderId="10" xfId="0" applyFont="1" applyBorder="1" applyAlignment="1" applyProtection="1">
      <alignment horizontal="center"/>
      <protection locked="0"/>
    </xf>
    <xf numFmtId="0" fontId="44" fillId="0" borderId="3" xfId="0" applyFont="1" applyBorder="1"/>
    <xf numFmtId="0" fontId="18" fillId="0" borderId="1" xfId="4" applyNumberFormat="1" applyFont="1" applyBorder="1" applyAlignment="1">
      <alignment horizontal="center" vertical="center"/>
    </xf>
    <xf numFmtId="0" fontId="18" fillId="0" borderId="4" xfId="369" applyNumberFormat="1" applyFont="1" applyBorder="1" applyAlignment="1" applyProtection="1">
      <alignment horizontal="center" vertical="center"/>
      <protection locked="0"/>
    </xf>
    <xf numFmtId="0" fontId="18" fillId="0" borderId="1" xfId="369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 wrapText="1"/>
    </xf>
    <xf numFmtId="17" fontId="18" fillId="0" borderId="4" xfId="369" quotePrefix="1" applyNumberFormat="1" applyFont="1" applyBorder="1" applyAlignment="1" applyProtection="1">
      <alignment horizontal="center" vertical="center"/>
      <protection locked="0"/>
    </xf>
    <xf numFmtId="0" fontId="18" fillId="0" borderId="1" xfId="369" quotePrefix="1" applyNumberFormat="1" applyFont="1" applyBorder="1" applyAlignment="1" applyProtection="1">
      <alignment horizontal="center" vertical="center"/>
      <protection locked="0"/>
    </xf>
    <xf numFmtId="0" fontId="52" fillId="0" borderId="6" xfId="0" applyFont="1" applyBorder="1"/>
    <xf numFmtId="0" fontId="23" fillId="0" borderId="2" xfId="0" applyFont="1" applyBorder="1" applyAlignment="1">
      <alignment horizontal="center" vertical="center" wrapText="1"/>
    </xf>
    <xf numFmtId="9" fontId="18" fillId="0" borderId="2" xfId="49" applyFont="1" applyBorder="1" applyAlignment="1">
      <alignment horizontal="center"/>
    </xf>
    <xf numFmtId="180" fontId="18" fillId="0" borderId="2" xfId="49" applyNumberFormat="1" applyFont="1" applyBorder="1" applyAlignment="1">
      <alignment horizontal="center"/>
    </xf>
    <xf numFmtId="0" fontId="23" fillId="0" borderId="1" xfId="48" applyFont="1" applyBorder="1" applyAlignment="1" applyProtection="1">
      <alignment horizontal="center" vertical="center"/>
      <protection locked="0"/>
    </xf>
    <xf numFmtId="185" fontId="18" fillId="0" borderId="1" xfId="369" applyNumberFormat="1" applyFont="1" applyBorder="1" applyAlignment="1">
      <alignment horizontal="center" vertical="center"/>
    </xf>
    <xf numFmtId="187" fontId="18" fillId="0" borderId="1" xfId="369" applyNumberFormat="1" applyFont="1" applyBorder="1" applyAlignment="1">
      <alignment horizontal="center" vertical="center"/>
    </xf>
    <xf numFmtId="0" fontId="18" fillId="0" borderId="1" xfId="369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65" fillId="4" borderId="23" xfId="62" applyNumberFormat="1" applyFont="1" applyFill="1" applyBorder="1" applyAlignment="1">
      <alignment horizontal="center" vertical="center"/>
    </xf>
    <xf numFmtId="49" fontId="65" fillId="4" borderId="23" xfId="62" applyNumberFormat="1" applyFont="1" applyFill="1" applyBorder="1" applyAlignment="1">
      <alignment horizontal="center" vertical="center"/>
    </xf>
    <xf numFmtId="0" fontId="65" fillId="0" borderId="23" xfId="62" applyFont="1" applyBorder="1" applyAlignment="1">
      <alignment horizontal="center" vertical="center"/>
    </xf>
    <xf numFmtId="188" fontId="65" fillId="0" borderId="23" xfId="62" applyNumberFormat="1" applyFont="1" applyBorder="1" applyAlignment="1">
      <alignment horizontal="center" vertical="center"/>
    </xf>
    <xf numFmtId="0" fontId="65" fillId="0" borderId="0" xfId="62" applyFont="1" applyAlignment="1">
      <alignment horizontal="center" vertical="center"/>
    </xf>
    <xf numFmtId="186" fontId="65" fillId="4" borderId="23" xfId="62" applyNumberFormat="1" applyFont="1" applyFill="1" applyBorder="1" applyAlignment="1">
      <alignment horizontal="center" vertical="center"/>
    </xf>
    <xf numFmtId="0" fontId="65" fillId="4" borderId="23" xfId="62" applyFont="1" applyFill="1" applyBorder="1" applyAlignment="1">
      <alignment horizontal="center" vertical="center"/>
    </xf>
    <xf numFmtId="186" fontId="65" fillId="0" borderId="23" xfId="62" applyNumberFormat="1" applyFont="1" applyBorder="1" applyAlignment="1">
      <alignment horizontal="center" vertical="center"/>
    </xf>
    <xf numFmtId="186" fontId="65" fillId="0" borderId="0" xfId="62" applyNumberFormat="1" applyFont="1" applyAlignment="1">
      <alignment horizontal="center" vertical="center"/>
    </xf>
    <xf numFmtId="0" fontId="18" fillId="0" borderId="24" xfId="369" quotePrefix="1" applyNumberFormat="1" applyFont="1" applyBorder="1" applyAlignment="1" applyProtection="1">
      <alignment horizontal="center" vertical="center"/>
      <protection locked="0"/>
    </xf>
    <xf numFmtId="180" fontId="18" fillId="0" borderId="24" xfId="364" applyNumberFormat="1" applyFont="1" applyBorder="1" applyAlignment="1" applyProtection="1">
      <alignment horizontal="center"/>
      <protection locked="0"/>
    </xf>
    <xf numFmtId="180" fontId="18" fillId="0" borderId="24" xfId="365" applyNumberFormat="1" applyFont="1" applyBorder="1" applyAlignment="1" applyProtection="1">
      <alignment horizontal="center" wrapText="1"/>
      <protection locked="0"/>
    </xf>
    <xf numFmtId="0" fontId="18" fillId="0" borderId="24" xfId="0" applyFont="1" applyBorder="1" applyAlignment="1" applyProtection="1">
      <alignment horizontal="center"/>
      <protection locked="0"/>
    </xf>
    <xf numFmtId="0" fontId="18" fillId="0" borderId="24" xfId="369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8" fillId="0" borderId="0" xfId="0" applyFont="1" applyAlignment="1" applyProtection="1">
      <alignment vertical="center"/>
      <protection locked="0"/>
    </xf>
    <xf numFmtId="0" fontId="23" fillId="0" borderId="1" xfId="0" applyFont="1" applyBorder="1" applyAlignment="1">
      <alignment horizontal="center" vertical="center"/>
    </xf>
    <xf numFmtId="0" fontId="18" fillId="0" borderId="0" xfId="0" applyFont="1" applyAlignment="1" applyProtection="1">
      <alignment horizontal="center" vertical="center"/>
      <protection locked="0"/>
    </xf>
    <xf numFmtId="0" fontId="23" fillId="0" borderId="0" xfId="0" applyFont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180" fontId="18" fillId="0" borderId="0" xfId="0" applyNumberFormat="1" applyFont="1" applyAlignment="1" applyProtection="1">
      <alignment horizontal="center" vertical="center"/>
      <protection locked="0"/>
    </xf>
    <xf numFmtId="0" fontId="18" fillId="0" borderId="1" xfId="0" applyFont="1" applyBorder="1" applyAlignment="1" applyProtection="1">
      <alignment horizontal="center" vertical="center"/>
      <protection locked="0"/>
    </xf>
    <xf numFmtId="180" fontId="18" fillId="0" borderId="1" xfId="0" applyNumberFormat="1" applyFont="1" applyBorder="1" applyAlignment="1" applyProtection="1">
      <alignment horizontal="center" vertical="center"/>
      <protection locked="0"/>
    </xf>
    <xf numFmtId="49" fontId="18" fillId="0" borderId="1" xfId="0" applyNumberFormat="1" applyFont="1" applyBorder="1" applyAlignment="1" applyProtection="1">
      <alignment horizontal="center" vertical="center"/>
      <protection locked="0"/>
    </xf>
    <xf numFmtId="180" fontId="18" fillId="0" borderId="11" xfId="0" applyNumberFormat="1" applyFont="1" applyBorder="1" applyAlignment="1" applyProtection="1">
      <alignment horizontal="center" vertical="center"/>
      <protection locked="0"/>
    </xf>
    <xf numFmtId="180" fontId="18" fillId="0" borderId="5" xfId="0" applyNumberFormat="1" applyFont="1" applyBorder="1" applyAlignment="1" applyProtection="1">
      <alignment horizontal="center" vertical="center"/>
      <protection locked="0"/>
    </xf>
    <xf numFmtId="180" fontId="18" fillId="0" borderId="11" xfId="0" applyNumberFormat="1" applyFont="1" applyBorder="1" applyAlignment="1">
      <alignment horizontal="center" vertical="center"/>
    </xf>
    <xf numFmtId="180" fontId="18" fillId="0" borderId="5" xfId="0" applyNumberFormat="1" applyFont="1" applyBorder="1" applyAlignment="1">
      <alignment horizontal="center" vertical="center"/>
    </xf>
    <xf numFmtId="9" fontId="19" fillId="0" borderId="5" xfId="0" quotePrefix="1" applyNumberFormat="1" applyFont="1" applyBorder="1" applyAlignment="1">
      <alignment horizontal="center" vertical="center"/>
    </xf>
    <xf numFmtId="9" fontId="19" fillId="0" borderId="5" xfId="0" applyNumberFormat="1" applyFont="1" applyBorder="1" applyAlignment="1">
      <alignment horizontal="center" vertical="center"/>
    </xf>
    <xf numFmtId="49" fontId="18" fillId="0" borderId="5" xfId="0" applyNumberFormat="1" applyFont="1" applyBorder="1" applyAlignment="1" applyProtection="1">
      <alignment horizontal="center" vertical="center" wrapText="1"/>
      <protection locked="0"/>
    </xf>
    <xf numFmtId="49" fontId="18" fillId="0" borderId="1" xfId="0" applyNumberFormat="1" applyFont="1" applyBorder="1" applyAlignment="1" applyProtection="1">
      <alignment horizontal="center" vertical="center" wrapText="1"/>
      <protection locked="0"/>
    </xf>
    <xf numFmtId="180" fontId="48" fillId="0" borderId="7" xfId="0" applyNumberFormat="1" applyFont="1" applyBorder="1" applyAlignment="1">
      <alignment horizontal="center" vertical="center"/>
    </xf>
    <xf numFmtId="180" fontId="48" fillId="0" borderId="1" xfId="0" applyNumberFormat="1" applyFont="1" applyBorder="1" applyAlignment="1">
      <alignment horizontal="center" vertical="center"/>
    </xf>
    <xf numFmtId="17" fontId="18" fillId="0" borderId="1" xfId="0" quotePrefix="1" applyNumberFormat="1" applyFont="1" applyBorder="1" applyAlignment="1" applyProtection="1">
      <alignment horizontal="center" vertical="center"/>
      <protection locked="0"/>
    </xf>
    <xf numFmtId="0" fontId="18" fillId="0" borderId="1" xfId="0" quotePrefix="1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5" fillId="0" borderId="23" xfId="62" applyFont="1" applyBorder="1" applyAlignment="1">
      <alignment horizontal="center" vertical="center"/>
    </xf>
    <xf numFmtId="49" fontId="65" fillId="4" borderId="23" xfId="62" applyNumberFormat="1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44" fillId="0" borderId="9" xfId="0" applyFont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0" fontId="44" fillId="0" borderId="7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3" fillId="0" borderId="1" xfId="0" quotePrefix="1" applyFont="1" applyBorder="1" applyAlignment="1">
      <alignment horizontal="center" vertical="center" wrapText="1"/>
    </xf>
    <xf numFmtId="184" fontId="23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6" fillId="0" borderId="0" xfId="0" applyFont="1" applyAlignment="1">
      <alignment horizontal="center"/>
    </xf>
    <xf numFmtId="0" fontId="44" fillId="0" borderId="2" xfId="0" applyFont="1" applyBorder="1" applyAlignment="1">
      <alignment horizontal="center"/>
    </xf>
    <xf numFmtId="0" fontId="44" fillId="0" borderId="9" xfId="0" applyFont="1" applyBorder="1" applyAlignment="1">
      <alignment horizontal="center"/>
    </xf>
    <xf numFmtId="0" fontId="44" fillId="0" borderId="7" xfId="0" applyFont="1" applyBorder="1" applyAlignment="1">
      <alignment horizontal="center"/>
    </xf>
    <xf numFmtId="0" fontId="44" fillId="0" borderId="0" xfId="0" applyFont="1" applyAlignment="1">
      <alignment horizontal="center" vertical="center"/>
    </xf>
    <xf numFmtId="0" fontId="6" fillId="5" borderId="1" xfId="1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0" fontId="6" fillId="5" borderId="5" xfId="1" applyFont="1" applyFill="1" applyBorder="1" applyAlignment="1">
      <alignment horizontal="center" vertical="center"/>
    </xf>
    <xf numFmtId="0" fontId="44" fillId="0" borderId="24" xfId="0" applyFont="1" applyBorder="1" applyAlignment="1">
      <alignment horizontal="center" vertical="center"/>
    </xf>
  </cellXfs>
  <cellStyles count="552">
    <cellStyle name="___CPK__" xfId="52" xr:uid="{66B5D527-70B2-400F-8B63-DFBD3372561C}"/>
    <cellStyle name="20% - 강조색1" xfId="25" builtinId="30" customBuiltin="1"/>
    <cellStyle name="20% - 강조색1 10" xfId="226" xr:uid="{144ACF6C-EC76-4508-8082-1FFC5044376A}"/>
    <cellStyle name="20% - 강조색1 11" xfId="246" xr:uid="{A0133E03-4FF6-4773-83EB-E1C71755515E}"/>
    <cellStyle name="20% - 강조색1 12" xfId="266" xr:uid="{69765A4B-5601-441F-932C-239E408BA924}"/>
    <cellStyle name="20% - 강조색1 13" xfId="286" xr:uid="{2D93951E-88EE-4D56-A398-D06CE1F6EA5E}"/>
    <cellStyle name="20% - 강조색1 14" xfId="306" xr:uid="{D2E72044-9889-43C0-AEC5-6EB1830CA591}"/>
    <cellStyle name="20% - 강조색1 15" xfId="326" xr:uid="{F699FD11-AFE7-4F15-B0D0-594A5B59A6DC}"/>
    <cellStyle name="20% - 강조색1 16" xfId="346" xr:uid="{B2D40CCE-D2F7-47F4-A6D2-B2E79757B518}"/>
    <cellStyle name="20% - 강조색1 17" xfId="374" xr:uid="{E2BBB8AA-6EE3-4EA8-954B-297B6FB59C5A}"/>
    <cellStyle name="20% - 강조색1 2" xfId="66" xr:uid="{C000C105-B9B6-4FCD-955D-5C51AE01AD63}"/>
    <cellStyle name="20% - 강조색1 2 2" xfId="487" xr:uid="{793ACB8F-4CBF-4B58-ABFB-84C12E0079BA}"/>
    <cellStyle name="20% - 강조색1 2 3" xfId="398" xr:uid="{AF28FC29-779C-4F02-81B1-332049441A53}"/>
    <cellStyle name="20% - 강조색1 3" xfId="86" xr:uid="{F5A672B4-D06D-4DB2-937D-339516178143}"/>
    <cellStyle name="20% - 강조색1 3 2" xfId="509" xr:uid="{78653ABC-478E-4334-960D-F3D8FCD93735}"/>
    <cellStyle name="20% - 강조색1 3 3" xfId="420" xr:uid="{435D0B55-56C8-4391-8245-15B0660B28C6}"/>
    <cellStyle name="20% - 강조색1 4" xfId="106" xr:uid="{3C64C37A-44A9-4367-B271-41D2A0E02959}"/>
    <cellStyle name="20% - 강조색1 4 2" xfId="529" xr:uid="{44CEC13A-CBC4-4A3E-A9F9-E84073B725CB}"/>
    <cellStyle name="20% - 강조색1 4 3" xfId="440" xr:uid="{E4E71E7E-183F-42E3-97B1-9658EB32DA3A}"/>
    <cellStyle name="20% - 강조색1 5" xfId="126" xr:uid="{85AD6993-9104-4803-AB92-CF10796A4D3D}"/>
    <cellStyle name="20% - 강조색1 5 2" xfId="465" xr:uid="{90707C1C-0FC8-4147-8294-F99E3BAE6554}"/>
    <cellStyle name="20% - 강조색1 6" xfId="146" xr:uid="{72C18894-A5F7-4A98-BC89-75E38C4C69E0}"/>
    <cellStyle name="20% - 강조색1 7" xfId="166" xr:uid="{3D432729-A8DE-423D-A1F2-8BB10728B8A7}"/>
    <cellStyle name="20% - 강조색1 8" xfId="186" xr:uid="{EA8B51F4-DF1C-4AD3-B065-82345EB025A5}"/>
    <cellStyle name="20% - 강조색1 9" xfId="206" xr:uid="{3AF2B297-8D3F-4630-89A2-074B4220D709}"/>
    <cellStyle name="20% - 강조색2" xfId="29" builtinId="34" customBuiltin="1"/>
    <cellStyle name="20% - 강조색2 10" xfId="229" xr:uid="{626F9513-4C92-4F94-B200-104CF2CD402B}"/>
    <cellStyle name="20% - 강조색2 11" xfId="249" xr:uid="{26249CFF-D7A2-4344-AF21-7004B903DE59}"/>
    <cellStyle name="20% - 강조색2 12" xfId="269" xr:uid="{4C7B131D-BF00-41A3-A47F-EF7251B28828}"/>
    <cellStyle name="20% - 강조색2 13" xfId="289" xr:uid="{DDA91409-2ECB-49B2-9139-3C4AB69E3086}"/>
    <cellStyle name="20% - 강조색2 14" xfId="309" xr:uid="{28A644DC-7FF4-4C83-BFE4-A6C26544894C}"/>
    <cellStyle name="20% - 강조색2 15" xfId="329" xr:uid="{03343EA4-A181-4A6B-9013-D99EAEB9A7B5}"/>
    <cellStyle name="20% - 강조색2 16" xfId="349" xr:uid="{90DF914E-13D3-42B4-90E8-30C7D1A3016E}"/>
    <cellStyle name="20% - 강조색2 17" xfId="377" xr:uid="{732ACC5C-3887-4C8A-84E8-826605E96A26}"/>
    <cellStyle name="20% - 강조색2 2" xfId="69" xr:uid="{D6F77B8E-DA75-4D1F-84E3-B26EE1B4E3DC}"/>
    <cellStyle name="20% - 강조색2 2 2" xfId="490" xr:uid="{24909E96-5C79-4C35-B6EB-7A72EDA1AB73}"/>
    <cellStyle name="20% - 강조색2 2 3" xfId="401" xr:uid="{D5733E65-4E2B-415D-B5B1-65852A364A07}"/>
    <cellStyle name="20% - 강조색2 3" xfId="89" xr:uid="{E95C3191-E88A-42C1-9017-12532ABFFD51}"/>
    <cellStyle name="20% - 강조색2 3 2" xfId="512" xr:uid="{7DAEB954-003B-48DB-917B-E3CCA7026706}"/>
    <cellStyle name="20% - 강조색2 3 3" xfId="423" xr:uid="{160326A1-7C46-42BD-9E31-2EBA04668FAF}"/>
    <cellStyle name="20% - 강조색2 4" xfId="109" xr:uid="{D686A997-3988-4BCE-82AC-AEACBF73748C}"/>
    <cellStyle name="20% - 강조색2 4 2" xfId="532" xr:uid="{90582A41-ABDD-47E8-AB75-AD9A6883EC24}"/>
    <cellStyle name="20% - 강조색2 4 3" xfId="443" xr:uid="{1B102014-FE66-438C-90C9-7FF3FD60351C}"/>
    <cellStyle name="20% - 강조색2 5" xfId="129" xr:uid="{0A64B3A1-8AA3-494D-9AD7-DACAB7C93F5B}"/>
    <cellStyle name="20% - 강조색2 5 2" xfId="468" xr:uid="{1E849D1D-7D69-4F59-8B1A-B97E18BE54B3}"/>
    <cellStyle name="20% - 강조색2 6" xfId="149" xr:uid="{F82DB304-D754-4E19-ACEA-7104782A493D}"/>
    <cellStyle name="20% - 강조색2 7" xfId="169" xr:uid="{3ACEDB0C-3AB5-42A9-8A54-0171BEA68931}"/>
    <cellStyle name="20% - 강조색2 8" xfId="189" xr:uid="{92D06AA7-BD79-4A08-A0AC-19FAAE141A9A}"/>
    <cellStyle name="20% - 강조색2 9" xfId="209" xr:uid="{87FEFB61-F2A8-431E-926D-D0AA74DBDF54}"/>
    <cellStyle name="20% - 강조색3" xfId="33" builtinId="38" customBuiltin="1"/>
    <cellStyle name="20% - 강조색3 10" xfId="232" xr:uid="{61651A33-B832-41AE-9EBF-C4749E3E2278}"/>
    <cellStyle name="20% - 강조색3 11" xfId="252" xr:uid="{E949058E-E0C6-4200-8EC6-DBEF142DAD18}"/>
    <cellStyle name="20% - 강조색3 12" xfId="272" xr:uid="{426D12DE-A4BE-4992-808E-7DC40B9718AD}"/>
    <cellStyle name="20% - 강조색3 13" xfId="292" xr:uid="{0768D020-6E83-4F1E-AF32-AE5A782C18B5}"/>
    <cellStyle name="20% - 강조색3 14" xfId="312" xr:uid="{1703ADAA-77C1-42AF-988A-62849F1C5366}"/>
    <cellStyle name="20% - 강조색3 15" xfId="332" xr:uid="{8893DAEB-8166-4103-ADD1-C300EA23E857}"/>
    <cellStyle name="20% - 강조색3 16" xfId="352" xr:uid="{A4F2511B-64D6-493B-AC77-889421CE3F84}"/>
    <cellStyle name="20% - 강조색3 17" xfId="380" xr:uid="{8F5648FA-0F0A-492F-A1C0-9C9480213B0E}"/>
    <cellStyle name="20% - 강조색3 2" xfId="72" xr:uid="{DADA5BBF-655E-4DF7-8AF7-F67FAB006F70}"/>
    <cellStyle name="20% - 강조색3 2 2" xfId="493" xr:uid="{A3EE68CE-B696-4536-B4E2-7562D969C568}"/>
    <cellStyle name="20% - 강조색3 2 3" xfId="404" xr:uid="{F2E19659-7770-44EA-95D7-00CBD67D5244}"/>
    <cellStyle name="20% - 강조색3 3" xfId="92" xr:uid="{8A2B4D20-D914-4DED-AD89-24BEA2F842A1}"/>
    <cellStyle name="20% - 강조색3 3 2" xfId="515" xr:uid="{BE12DDC7-7C0F-4D7F-ACCB-091DA7B1BBB9}"/>
    <cellStyle name="20% - 강조색3 3 3" xfId="426" xr:uid="{684977F5-BEE0-443D-8790-F3561BA0FCAF}"/>
    <cellStyle name="20% - 강조색3 4" xfId="112" xr:uid="{D02C6126-C8BA-436E-A7C9-F01EB6D42534}"/>
    <cellStyle name="20% - 강조색3 4 2" xfId="535" xr:uid="{95614B02-881D-43EA-80D1-B3BF8FBD9F0C}"/>
    <cellStyle name="20% - 강조색3 4 3" xfId="446" xr:uid="{1A4DDDD3-7846-4DD7-AB5F-13B0DCC74060}"/>
    <cellStyle name="20% - 강조색3 5" xfId="132" xr:uid="{0B27F645-BFC1-4271-97C7-A69C5A0D1187}"/>
    <cellStyle name="20% - 강조색3 5 2" xfId="471" xr:uid="{26A0CB0B-4F06-46A4-A74B-B67187CB9447}"/>
    <cellStyle name="20% - 강조색3 6" xfId="152" xr:uid="{BC6E1FF5-9FA1-457C-807E-0DDB42F82165}"/>
    <cellStyle name="20% - 강조색3 7" xfId="172" xr:uid="{FBCAFDFA-76DB-42D8-9AFC-73132063C498}"/>
    <cellStyle name="20% - 강조색3 8" xfId="192" xr:uid="{7B7916C4-7649-4B69-BBA1-586F1F8236AC}"/>
    <cellStyle name="20% - 강조색3 9" xfId="212" xr:uid="{B05A3FC1-2BD3-4D5D-BBD1-AF122FFA97D0}"/>
    <cellStyle name="20% - 강조색4" xfId="37" builtinId="42" customBuiltin="1"/>
    <cellStyle name="20% - 강조색4 10" xfId="235" xr:uid="{D7777BE9-BACF-476F-AC89-842F95EB340A}"/>
    <cellStyle name="20% - 강조색4 11" xfId="255" xr:uid="{8CECB8CF-16A3-4C86-9941-19EB25997AC4}"/>
    <cellStyle name="20% - 강조색4 12" xfId="275" xr:uid="{11494E53-DE89-497B-B9CA-0A28AD5C723D}"/>
    <cellStyle name="20% - 강조색4 13" xfId="295" xr:uid="{542C1C52-CA1D-4EBF-A46A-733955597A8B}"/>
    <cellStyle name="20% - 강조색4 14" xfId="315" xr:uid="{9865A804-0170-4131-AACE-8F585E2184FD}"/>
    <cellStyle name="20% - 강조색4 15" xfId="335" xr:uid="{7574BF02-A4A9-44E1-BE7C-980F480A446B}"/>
    <cellStyle name="20% - 강조색4 16" xfId="355" xr:uid="{90B0289A-96D5-4BC4-A0B4-357B6F7EC418}"/>
    <cellStyle name="20% - 강조색4 17" xfId="383" xr:uid="{D34042AD-3F67-4D1C-8680-09CE6FE617A0}"/>
    <cellStyle name="20% - 강조색4 2" xfId="75" xr:uid="{05A71B88-BCC1-42C7-A0B3-5CF2BDB8026A}"/>
    <cellStyle name="20% - 강조색4 2 2" xfId="496" xr:uid="{98BEC646-6EB4-4AE4-B9A8-202B6ACF5055}"/>
    <cellStyle name="20% - 강조색4 2 3" xfId="407" xr:uid="{7BEF6878-E5FE-405A-9A17-F9D5CB24A750}"/>
    <cellStyle name="20% - 강조색4 3" xfId="95" xr:uid="{CEEC9913-54C2-470C-AD1F-B0DEF55F5A3D}"/>
    <cellStyle name="20% - 강조색4 3 2" xfId="518" xr:uid="{335F3C90-00CC-46A2-AE61-D93A784B175A}"/>
    <cellStyle name="20% - 강조색4 3 3" xfId="429" xr:uid="{C7955030-263A-4CC6-B532-4190ADC35A68}"/>
    <cellStyle name="20% - 강조색4 4" xfId="115" xr:uid="{9D29B216-1327-471D-A20E-ACED39D6B564}"/>
    <cellStyle name="20% - 강조색4 4 2" xfId="538" xr:uid="{276B9E1B-DDAD-4E31-B991-E6CAA25BFA0D}"/>
    <cellStyle name="20% - 강조색4 4 3" xfId="449" xr:uid="{29F3E007-FF3C-4711-8F6C-31236C9ED4C2}"/>
    <cellStyle name="20% - 강조색4 5" xfId="135" xr:uid="{1F96C247-4CD8-4046-9DC3-CA3F66EB2D71}"/>
    <cellStyle name="20% - 강조색4 5 2" xfId="474" xr:uid="{41758058-4EE0-408C-AE63-AB6701E5847E}"/>
    <cellStyle name="20% - 강조색4 6" xfId="155" xr:uid="{45777F64-79FC-4C0E-B98D-EE32497B449E}"/>
    <cellStyle name="20% - 강조색4 7" xfId="175" xr:uid="{D8023C2B-337C-4793-B1D3-453BF274B485}"/>
    <cellStyle name="20% - 강조색4 8" xfId="195" xr:uid="{8113DDBD-D399-448B-B8ED-873D89E0096A}"/>
    <cellStyle name="20% - 강조색4 9" xfId="215" xr:uid="{14FB7DB9-C519-47BE-8EC1-AA255607A88C}"/>
    <cellStyle name="20% - 강조색5" xfId="41" builtinId="46" customBuiltin="1"/>
    <cellStyle name="20% - 강조색5 10" xfId="238" xr:uid="{E411D9CE-490D-4DFD-94EE-328AACF8795E}"/>
    <cellStyle name="20% - 강조색5 11" xfId="258" xr:uid="{A182F85F-D434-4461-A92A-139E7B12C467}"/>
    <cellStyle name="20% - 강조색5 12" xfId="278" xr:uid="{EB7F973A-7A61-4F6E-A5B0-410E883B7724}"/>
    <cellStyle name="20% - 강조색5 13" xfId="298" xr:uid="{E467C45C-A85E-4CBD-8151-8F87AEF39C33}"/>
    <cellStyle name="20% - 강조색5 14" xfId="318" xr:uid="{BD4DAB35-D038-4546-91FD-449946C108CB}"/>
    <cellStyle name="20% - 강조색5 15" xfId="338" xr:uid="{C5DB7B8A-2BB1-4DD5-AC2D-C79121582DE1}"/>
    <cellStyle name="20% - 강조색5 16" xfId="358" xr:uid="{1937A4F5-0471-44D0-B2CD-DBF9CC2D59D1}"/>
    <cellStyle name="20% - 강조색5 17" xfId="386" xr:uid="{94F32DF8-775A-4B54-85E9-95588DEF7E4D}"/>
    <cellStyle name="20% - 강조색5 2" xfId="78" xr:uid="{09E915A1-162C-49F6-8553-DBB874A046DF}"/>
    <cellStyle name="20% - 강조색5 2 2" xfId="499" xr:uid="{9A0170B4-1CA0-4E0E-998D-963386DC3F54}"/>
    <cellStyle name="20% - 강조색5 2 3" xfId="410" xr:uid="{65BF46FD-1122-4F53-91C7-5A49E0073F03}"/>
    <cellStyle name="20% - 강조색5 3" xfId="98" xr:uid="{32594ED3-3038-4CDC-9C30-0B355FD9C119}"/>
    <cellStyle name="20% - 강조색5 3 2" xfId="521" xr:uid="{C97F34B2-0BC4-4DC4-B479-DBE9298DB529}"/>
    <cellStyle name="20% - 강조색5 3 3" xfId="432" xr:uid="{6272EF24-7B00-44A0-A20E-0E6884FF4D08}"/>
    <cellStyle name="20% - 강조색5 4" xfId="118" xr:uid="{7C16B7F5-F116-4837-AC93-56230614F5EB}"/>
    <cellStyle name="20% - 강조색5 4 2" xfId="541" xr:uid="{0C57E618-DE00-43E4-824B-F2C48E634427}"/>
    <cellStyle name="20% - 강조색5 4 3" xfId="452" xr:uid="{6C760B2F-714A-46C3-832D-24969B8A8666}"/>
    <cellStyle name="20% - 강조색5 5" xfId="138" xr:uid="{AD61E653-6D02-4993-BE8B-BC8C624BE249}"/>
    <cellStyle name="20% - 강조색5 5 2" xfId="477" xr:uid="{5BC6F93C-D0B9-49FA-A433-A9C16BB26E35}"/>
    <cellStyle name="20% - 강조색5 6" xfId="158" xr:uid="{79AED299-6773-43D7-859D-1841B1C64F91}"/>
    <cellStyle name="20% - 강조색5 7" xfId="178" xr:uid="{4E271861-0A9C-4BD9-AA4B-8EC2BC60B6CD}"/>
    <cellStyle name="20% - 강조색5 8" xfId="198" xr:uid="{065D2FA9-1C3F-4C00-BAA7-41A137662E55}"/>
    <cellStyle name="20% - 강조색5 9" xfId="218" xr:uid="{772F6110-8CBC-401D-913D-DFF9BBD2E526}"/>
    <cellStyle name="20% - 강조색6" xfId="45" builtinId="50" customBuiltin="1"/>
    <cellStyle name="20% - 강조색6 10" xfId="241" xr:uid="{A9D7E7EF-A19E-4C1A-AB1C-96A3CDA2DCD8}"/>
    <cellStyle name="20% - 강조색6 11" xfId="261" xr:uid="{8D2F71CB-6051-471E-94A7-4CAE37718795}"/>
    <cellStyle name="20% - 강조색6 12" xfId="281" xr:uid="{2976DA9E-E40C-4CBB-B753-8F3838D90FF5}"/>
    <cellStyle name="20% - 강조색6 13" xfId="301" xr:uid="{1CF5B089-D809-40CF-978F-C0726662BAD4}"/>
    <cellStyle name="20% - 강조색6 14" xfId="321" xr:uid="{5C69464F-281D-4BAC-8941-618B90636E59}"/>
    <cellStyle name="20% - 강조색6 15" xfId="341" xr:uid="{40F01361-CA31-4499-9DBE-6C6AB30963FF}"/>
    <cellStyle name="20% - 강조색6 16" xfId="361" xr:uid="{F40D55B9-7FFD-4629-BBAC-33FEAF6B353F}"/>
    <cellStyle name="20% - 강조색6 17" xfId="389" xr:uid="{C9C25366-641F-43F9-A7E7-F2EF9F304EDD}"/>
    <cellStyle name="20% - 강조색6 2" xfId="81" xr:uid="{E94A4951-3DCE-4107-A172-07961584A1EC}"/>
    <cellStyle name="20% - 강조색6 2 2" xfId="502" xr:uid="{B613BE8D-0EBF-4910-94F5-5D3EA0128C3F}"/>
    <cellStyle name="20% - 강조색6 2 3" xfId="413" xr:uid="{D45923FE-0E63-4912-98C4-71625F7DE016}"/>
    <cellStyle name="20% - 강조색6 3" xfId="101" xr:uid="{F0F6CE67-9038-4292-8AD0-D6B8B02E23D6}"/>
    <cellStyle name="20% - 강조색6 3 2" xfId="524" xr:uid="{3603348D-053F-47BE-BD89-9633EE8EC8F0}"/>
    <cellStyle name="20% - 강조색6 3 3" xfId="435" xr:uid="{8FE1233C-CF64-4495-AF2B-7AEE29472840}"/>
    <cellStyle name="20% - 강조색6 4" xfId="121" xr:uid="{CFE1F780-5DD4-4234-A16D-F6D66B1D0248}"/>
    <cellStyle name="20% - 강조색6 4 2" xfId="544" xr:uid="{ECD8E43B-52E7-454F-AC46-1DC94EE3E1F2}"/>
    <cellStyle name="20% - 강조색6 4 3" xfId="455" xr:uid="{F64CBA12-610E-4F5C-B23C-E5CDC3165C05}"/>
    <cellStyle name="20% - 강조색6 5" xfId="141" xr:uid="{5190C24C-3DB1-4404-98F9-AAA2ABDACE24}"/>
    <cellStyle name="20% - 강조색6 5 2" xfId="480" xr:uid="{F585A2F2-9F22-4125-A6F3-D75C3F5BC124}"/>
    <cellStyle name="20% - 강조색6 6" xfId="161" xr:uid="{068ACF7A-B94A-4263-9EA3-BAD4356213EE}"/>
    <cellStyle name="20% - 강조색6 7" xfId="181" xr:uid="{7F0E0991-186C-46D1-849C-F961850DAF91}"/>
    <cellStyle name="20% - 강조색6 8" xfId="201" xr:uid="{25052CED-D218-4512-8F9B-138DD7092BA0}"/>
    <cellStyle name="20% - 강조색6 9" xfId="221" xr:uid="{CE3D1595-0958-48A2-B9EE-416DA293B80D}"/>
    <cellStyle name="40% - 강조색1" xfId="26" builtinId="31" customBuiltin="1"/>
    <cellStyle name="40% - 강조색1 10" xfId="227" xr:uid="{E08ED7FC-FA6B-4FD9-A116-0BE127A8255A}"/>
    <cellStyle name="40% - 강조색1 11" xfId="247" xr:uid="{1995D369-4950-4911-8B5B-D6D1B63DABEC}"/>
    <cellStyle name="40% - 강조색1 12" xfId="267" xr:uid="{28FA5F6C-C506-48F5-972A-4BD8254ECA20}"/>
    <cellStyle name="40% - 강조색1 13" xfId="287" xr:uid="{DC801FBA-B5DC-4833-A0E5-0880E2C9FA75}"/>
    <cellStyle name="40% - 강조색1 14" xfId="307" xr:uid="{D86DB530-F8E8-4256-A055-C4DCF24DF42B}"/>
    <cellStyle name="40% - 강조색1 15" xfId="327" xr:uid="{C6DEF322-810C-450F-8439-21E9E59A2120}"/>
    <cellStyle name="40% - 강조색1 16" xfId="347" xr:uid="{7A654AAF-A51C-4D06-AD76-DDD5C11DEE5E}"/>
    <cellStyle name="40% - 강조색1 17" xfId="375" xr:uid="{87DB344B-FF81-42B3-872A-0128FDD2B48F}"/>
    <cellStyle name="40% - 강조색1 2" xfId="67" xr:uid="{B3DEA3BC-2994-4847-AB57-CDE22DE2526D}"/>
    <cellStyle name="40% - 강조색1 2 2" xfId="488" xr:uid="{6EA22EC6-9F3D-4F83-BFD5-16048C002FC7}"/>
    <cellStyle name="40% - 강조색1 2 3" xfId="399" xr:uid="{907AA6AC-AF2B-4DAD-93DA-7A5B4CAAC4D7}"/>
    <cellStyle name="40% - 강조색1 3" xfId="87" xr:uid="{BC042DC4-BE1F-4C1C-B3E7-DAD07FE4A460}"/>
    <cellStyle name="40% - 강조색1 3 2" xfId="510" xr:uid="{773D6FAD-DD9C-4BF0-B86B-1A2A706D4598}"/>
    <cellStyle name="40% - 강조색1 3 3" xfId="421" xr:uid="{F81B8949-8C69-40BF-A8F4-1357B4746B9E}"/>
    <cellStyle name="40% - 강조색1 4" xfId="107" xr:uid="{0657A2DC-39FC-4EAF-86E3-357E212E02A7}"/>
    <cellStyle name="40% - 강조색1 4 2" xfId="530" xr:uid="{29812053-CFD2-4310-8C65-54E7D5477420}"/>
    <cellStyle name="40% - 강조색1 4 3" xfId="441" xr:uid="{6DDF9DAB-8176-4E37-8316-88757A62569A}"/>
    <cellStyle name="40% - 강조색1 5" xfId="127" xr:uid="{578BAB59-F1C4-40D9-A0B9-4F984791752D}"/>
    <cellStyle name="40% - 강조색1 5 2" xfId="466" xr:uid="{E397314B-DA67-4630-AF55-EA9ADA612866}"/>
    <cellStyle name="40% - 강조색1 6" xfId="147" xr:uid="{8FFBF4F8-FB29-4DA6-9794-9A1398CED210}"/>
    <cellStyle name="40% - 강조색1 7" xfId="167" xr:uid="{1927FD0E-4BE2-4492-BB2E-1966527C7123}"/>
    <cellStyle name="40% - 강조색1 8" xfId="187" xr:uid="{534FA0DC-8F7C-49E0-9E23-7705211A8717}"/>
    <cellStyle name="40% - 강조색1 9" xfId="207" xr:uid="{3AE69E2A-7B92-4C93-BFD7-548085599299}"/>
    <cellStyle name="40% - 강조색2" xfId="30" builtinId="35" customBuiltin="1"/>
    <cellStyle name="40% - 강조색2 10" xfId="230" xr:uid="{382D258B-D946-495B-BB96-23BC5A2A4906}"/>
    <cellStyle name="40% - 강조색2 11" xfId="250" xr:uid="{BCC6833B-7F37-4366-AB03-A4189D5D1A5C}"/>
    <cellStyle name="40% - 강조색2 12" xfId="270" xr:uid="{403E36EF-A38B-4C19-8BA7-DB8475CFAFF4}"/>
    <cellStyle name="40% - 강조색2 13" xfId="290" xr:uid="{A2F10307-2B51-454B-A85E-4616A0F5935B}"/>
    <cellStyle name="40% - 강조색2 14" xfId="310" xr:uid="{B4141A08-22E1-4CDC-BA81-C732B403F5E0}"/>
    <cellStyle name="40% - 강조색2 15" xfId="330" xr:uid="{33712066-8439-4FAC-8F5C-5F034E7A6D27}"/>
    <cellStyle name="40% - 강조색2 16" xfId="350" xr:uid="{AFC6F076-90EA-4581-8BDE-36F03B53E5FA}"/>
    <cellStyle name="40% - 강조색2 17" xfId="378" xr:uid="{58FC7ADB-9131-420C-AF03-B3B2634A3ABC}"/>
    <cellStyle name="40% - 강조색2 2" xfId="70" xr:uid="{146568DE-76ED-412C-8120-A894E6D0A4B0}"/>
    <cellStyle name="40% - 강조색2 2 2" xfId="491" xr:uid="{3D93FDC8-E55C-4B48-8CEE-E22C1F73E651}"/>
    <cellStyle name="40% - 강조색2 2 3" xfId="402" xr:uid="{8F840451-0B39-40AA-85A8-1EAF07B8AD5B}"/>
    <cellStyle name="40% - 강조색2 3" xfId="90" xr:uid="{6937B661-ED94-4445-9C14-01D5D09A333C}"/>
    <cellStyle name="40% - 강조색2 3 2" xfId="513" xr:uid="{9F42EE4E-7FD0-4D95-B0DC-B897795FCF35}"/>
    <cellStyle name="40% - 강조색2 3 3" xfId="424" xr:uid="{56E75796-561C-492D-A79B-1B82369B30E4}"/>
    <cellStyle name="40% - 강조색2 4" xfId="110" xr:uid="{EF3AB1E6-F129-4803-A904-8F5D2B56F839}"/>
    <cellStyle name="40% - 강조색2 4 2" xfId="533" xr:uid="{5890AA4F-B87B-4F2D-BEF1-F08EF345D7C1}"/>
    <cellStyle name="40% - 강조색2 4 3" xfId="444" xr:uid="{00E060DB-A312-405C-9642-709BAF2C28FD}"/>
    <cellStyle name="40% - 강조색2 5" xfId="130" xr:uid="{3B2608EE-CC80-4ED2-A47A-206D0C8833A2}"/>
    <cellStyle name="40% - 강조색2 5 2" xfId="469" xr:uid="{DA22B0F1-7E15-4E84-933C-C74064027907}"/>
    <cellStyle name="40% - 강조색2 6" xfId="150" xr:uid="{3036EC20-0BD7-4FB0-9452-B74E026CC1F0}"/>
    <cellStyle name="40% - 강조색2 7" xfId="170" xr:uid="{06D71241-9842-4FB1-92CC-B4734351DE63}"/>
    <cellStyle name="40% - 강조색2 8" xfId="190" xr:uid="{E4CD3BF1-0702-4D79-8779-88F0FB3618AE}"/>
    <cellStyle name="40% - 강조색2 9" xfId="210" xr:uid="{132DE09A-2130-4280-B94F-352BF1679BB9}"/>
    <cellStyle name="40% - 강조색3" xfId="34" builtinId="39" customBuiltin="1"/>
    <cellStyle name="40% - 강조색3 10" xfId="233" xr:uid="{5DCA0145-145D-477F-9C69-0E7D0BDAA8CE}"/>
    <cellStyle name="40% - 강조색3 11" xfId="253" xr:uid="{12DE31AC-58EA-478B-B2F8-EC3A4EF8B964}"/>
    <cellStyle name="40% - 강조색3 12" xfId="273" xr:uid="{4D7B6B2B-88B6-4009-9330-B8230883E09C}"/>
    <cellStyle name="40% - 강조색3 13" xfId="293" xr:uid="{9D4232AF-38AE-4270-A53D-2285EF09B933}"/>
    <cellStyle name="40% - 강조색3 14" xfId="313" xr:uid="{4DD5EB19-A054-4F9C-BA8A-F25A1F5CA218}"/>
    <cellStyle name="40% - 강조색3 15" xfId="333" xr:uid="{B100FFB5-33E8-41BF-8CBF-C81607218082}"/>
    <cellStyle name="40% - 강조색3 16" xfId="353" xr:uid="{3A0E85DF-FC63-43E3-BC34-1401B1198215}"/>
    <cellStyle name="40% - 강조색3 17" xfId="381" xr:uid="{FB444DF5-C0BD-4A5B-B381-3EB0D8A3760A}"/>
    <cellStyle name="40% - 강조색3 2" xfId="73" xr:uid="{C705B1AE-544A-4371-ADBE-70B9BA64B990}"/>
    <cellStyle name="40% - 강조색3 2 2" xfId="494" xr:uid="{B700F72B-BEE6-40FF-B93D-C212B4112075}"/>
    <cellStyle name="40% - 강조색3 2 3" xfId="405" xr:uid="{C913E331-ECC6-41FC-B869-56048F78EF6D}"/>
    <cellStyle name="40% - 강조색3 3" xfId="93" xr:uid="{75AFCD94-0305-4697-A3EE-8E26414271F6}"/>
    <cellStyle name="40% - 강조색3 3 2" xfId="516" xr:uid="{17E867BD-6F34-406C-99D4-5FE07EB01A75}"/>
    <cellStyle name="40% - 강조색3 3 3" xfId="427" xr:uid="{7D6D02DF-CF9C-485C-88A8-8DB6BDD6B706}"/>
    <cellStyle name="40% - 강조색3 4" xfId="113" xr:uid="{A46A58AF-ADF1-4CD5-8249-50FFE2BB1134}"/>
    <cellStyle name="40% - 강조색3 4 2" xfId="536" xr:uid="{B568BB47-4776-486F-851D-FD8536E3260C}"/>
    <cellStyle name="40% - 강조색3 4 3" xfId="447" xr:uid="{8C6A7BAA-0D1C-4812-AED9-ABD0F19F75E7}"/>
    <cellStyle name="40% - 강조색3 5" xfId="133" xr:uid="{0800A894-E1D7-40D2-8B77-A8F344BA31E2}"/>
    <cellStyle name="40% - 강조색3 5 2" xfId="472" xr:uid="{DB8168D3-B03B-4C80-9CA9-C99C0DD129FB}"/>
    <cellStyle name="40% - 강조색3 6" xfId="153" xr:uid="{54F5813A-1F40-4B47-825B-478DA88788F1}"/>
    <cellStyle name="40% - 강조색3 7" xfId="173" xr:uid="{31D59DE3-E49F-462A-9662-80189E92696D}"/>
    <cellStyle name="40% - 강조색3 8" xfId="193" xr:uid="{B9B7443B-9F0E-4C88-B960-D2AFA151E97E}"/>
    <cellStyle name="40% - 강조색3 9" xfId="213" xr:uid="{4A23610B-77CE-47A2-B2FB-E8C44A920724}"/>
    <cellStyle name="40% - 강조색4" xfId="38" builtinId="43" customBuiltin="1"/>
    <cellStyle name="40% - 강조색4 10" xfId="236" xr:uid="{279AACC2-5F8A-4635-BD30-C38CC99F5BBF}"/>
    <cellStyle name="40% - 강조색4 11" xfId="256" xr:uid="{9192174F-5DD8-40D2-8FBE-748F54596A66}"/>
    <cellStyle name="40% - 강조색4 12" xfId="276" xr:uid="{E7D5EA16-D63E-4C1A-AF42-E59203C3D5BE}"/>
    <cellStyle name="40% - 강조색4 13" xfId="296" xr:uid="{CD315F74-634E-45B3-B400-D1F3A704B954}"/>
    <cellStyle name="40% - 강조색4 14" xfId="316" xr:uid="{AEE24686-1DFF-44DB-AACB-CB3518FE212E}"/>
    <cellStyle name="40% - 강조색4 15" xfId="336" xr:uid="{8AB618DB-58B6-4512-9B5B-DEFD00DF04CB}"/>
    <cellStyle name="40% - 강조색4 16" xfId="356" xr:uid="{E771F947-75DA-4814-9184-2E49D604F767}"/>
    <cellStyle name="40% - 강조색4 17" xfId="384" xr:uid="{CE472690-EF7D-4CD7-94EB-1730D0197DA6}"/>
    <cellStyle name="40% - 강조색4 2" xfId="76" xr:uid="{EB5178A4-8D44-4DCF-8595-8E58742034D4}"/>
    <cellStyle name="40% - 강조색4 2 2" xfId="497" xr:uid="{E9FE9BF4-EC32-4537-BE05-4498170FF57B}"/>
    <cellStyle name="40% - 강조색4 2 3" xfId="408" xr:uid="{A116E7CB-56AB-481B-953D-0C63D0A9F56E}"/>
    <cellStyle name="40% - 강조색4 3" xfId="96" xr:uid="{7DDF99F7-62C4-4110-8149-7035429412C4}"/>
    <cellStyle name="40% - 강조색4 3 2" xfId="519" xr:uid="{598FA13F-D4E6-4CEC-9882-B387590D30BE}"/>
    <cellStyle name="40% - 강조색4 3 3" xfId="430" xr:uid="{0C91484A-453D-4BE0-BF67-D6134AE1B43D}"/>
    <cellStyle name="40% - 강조색4 4" xfId="116" xr:uid="{1E9F2364-AB0C-4410-BDC1-1AE32AB9EBB0}"/>
    <cellStyle name="40% - 강조색4 4 2" xfId="539" xr:uid="{F14C7CB0-EE71-4E94-A38C-9D6DA8E71E81}"/>
    <cellStyle name="40% - 강조색4 4 3" xfId="450" xr:uid="{B54F24C0-D217-4BC2-86F5-B29A8D786C24}"/>
    <cellStyle name="40% - 강조색4 5" xfId="136" xr:uid="{E68D7333-2DDE-4C3C-926E-5C42685FBF6F}"/>
    <cellStyle name="40% - 강조색4 5 2" xfId="475" xr:uid="{33B770D3-B4DE-4B55-982C-E57B3387DF7F}"/>
    <cellStyle name="40% - 강조색4 6" xfId="156" xr:uid="{4ACE2520-D97A-432B-9F39-F4AEAB87806C}"/>
    <cellStyle name="40% - 강조색4 7" xfId="176" xr:uid="{45C0AF15-E90B-4919-B72B-1328E7C285F5}"/>
    <cellStyle name="40% - 강조색4 8" xfId="196" xr:uid="{42FE4E23-137F-4281-896F-4A37A35DF536}"/>
    <cellStyle name="40% - 강조색4 9" xfId="216" xr:uid="{5FE4A7DD-4F23-4F4B-9A91-26CA02F74E9F}"/>
    <cellStyle name="40% - 강조색5" xfId="42" builtinId="47" customBuiltin="1"/>
    <cellStyle name="40% - 강조색5 10" xfId="239" xr:uid="{BA76548E-7B5B-498D-8406-8634949E5754}"/>
    <cellStyle name="40% - 강조색5 11" xfId="259" xr:uid="{424F185F-7460-4E6C-A653-EFCCE0B5C804}"/>
    <cellStyle name="40% - 강조색5 12" xfId="279" xr:uid="{F5BD1F5E-3484-4B88-A4B4-9A38BB4DB575}"/>
    <cellStyle name="40% - 강조색5 13" xfId="299" xr:uid="{A664C5D0-FB12-4A05-B564-030B6E90913C}"/>
    <cellStyle name="40% - 강조색5 14" xfId="319" xr:uid="{BE37C2E4-E4CE-499D-B8C6-1A2D96C594B2}"/>
    <cellStyle name="40% - 강조색5 15" xfId="339" xr:uid="{A60B9A30-D593-48D8-B8B7-DA95F35BD562}"/>
    <cellStyle name="40% - 강조색5 16" xfId="359" xr:uid="{3572AD67-08C0-4CA1-9D33-A662BC77D774}"/>
    <cellStyle name="40% - 강조색5 17" xfId="387" xr:uid="{E8C0C157-D229-4369-A693-F30C86E530E8}"/>
    <cellStyle name="40% - 강조색5 2" xfId="79" xr:uid="{2FD2444E-57DF-4113-B480-858C6A8D4451}"/>
    <cellStyle name="40% - 강조색5 2 2" xfId="500" xr:uid="{B0853BD3-6589-47C9-B49F-3EC3DF6B8745}"/>
    <cellStyle name="40% - 강조색5 2 3" xfId="411" xr:uid="{7E4FC448-ED98-483E-A30A-11937AFCB96A}"/>
    <cellStyle name="40% - 강조색5 3" xfId="99" xr:uid="{F226EFB6-2501-4022-91DE-D0995D383E3C}"/>
    <cellStyle name="40% - 강조색5 3 2" xfId="522" xr:uid="{08DDA313-B561-4773-9A0B-0593F73986D1}"/>
    <cellStyle name="40% - 강조색5 3 3" xfId="433" xr:uid="{294EED73-BEDB-431A-A0A0-99A0ACB58495}"/>
    <cellStyle name="40% - 강조색5 4" xfId="119" xr:uid="{48F82457-8C9B-4497-BFC6-D40C30AE952B}"/>
    <cellStyle name="40% - 강조색5 4 2" xfId="542" xr:uid="{3FCC922D-9671-4210-B141-6D0E5DB53A7F}"/>
    <cellStyle name="40% - 강조색5 4 3" xfId="453" xr:uid="{518B02C8-5FDD-44E6-81F6-A2C052EFFCA6}"/>
    <cellStyle name="40% - 강조색5 5" xfId="139" xr:uid="{5D18B759-CFA1-423A-8896-513E7463EA2D}"/>
    <cellStyle name="40% - 강조색5 5 2" xfId="478" xr:uid="{22FFDCF4-C831-4A4C-A626-DA3C74A0DDC7}"/>
    <cellStyle name="40% - 강조색5 6" xfId="159" xr:uid="{92D981D6-A165-4648-B862-13C2C8AF5A2B}"/>
    <cellStyle name="40% - 강조색5 7" xfId="179" xr:uid="{0E855858-D7BA-4E58-A50B-DF778967EFAA}"/>
    <cellStyle name="40% - 강조색5 8" xfId="199" xr:uid="{4D7F1574-D752-49B6-892C-7686097E072D}"/>
    <cellStyle name="40% - 강조색5 9" xfId="219" xr:uid="{C3599F2D-029D-43AC-A322-099F96CB9902}"/>
    <cellStyle name="40% - 강조색6" xfId="46" builtinId="51" customBuiltin="1"/>
    <cellStyle name="40% - 강조색6 10" xfId="242" xr:uid="{E82BFB48-84FD-41B7-AB7F-3FC7DAD9B6DF}"/>
    <cellStyle name="40% - 강조색6 11" xfId="262" xr:uid="{7F222311-21F8-4F52-86D3-B6BCB9F92164}"/>
    <cellStyle name="40% - 강조색6 12" xfId="282" xr:uid="{620521F1-AF1F-4213-A635-B81EA35B4D80}"/>
    <cellStyle name="40% - 강조색6 13" xfId="302" xr:uid="{918AA8C0-6591-4A67-A306-A8D34B2778DA}"/>
    <cellStyle name="40% - 강조색6 14" xfId="322" xr:uid="{0F489502-E054-437F-BAD6-962A518FFF7D}"/>
    <cellStyle name="40% - 강조색6 15" xfId="342" xr:uid="{D02158DF-36FE-4148-9949-1B565C11BBDF}"/>
    <cellStyle name="40% - 강조색6 16" xfId="362" xr:uid="{0228A41F-3552-403A-BEB9-13D91F7107B5}"/>
    <cellStyle name="40% - 강조색6 17" xfId="390" xr:uid="{B85EF26F-84F1-49D2-BAAD-42C555526229}"/>
    <cellStyle name="40% - 강조색6 2" xfId="82" xr:uid="{ABAFEDE8-FFD6-42E3-AE21-8DF4E8E999CF}"/>
    <cellStyle name="40% - 강조색6 2 2" xfId="503" xr:uid="{206C4D7F-3798-47DB-B60E-574B0675E48A}"/>
    <cellStyle name="40% - 강조색6 2 3" xfId="414" xr:uid="{DAA3B09C-7D68-4601-A00B-441501E79016}"/>
    <cellStyle name="40% - 강조색6 3" xfId="102" xr:uid="{261FF799-21A4-4DFD-BC41-AD36A40AB6C0}"/>
    <cellStyle name="40% - 강조색6 3 2" xfId="525" xr:uid="{45639826-A05E-4C2C-9A03-B08F03DA8502}"/>
    <cellStyle name="40% - 강조색6 3 3" xfId="436" xr:uid="{82BCAB8C-B82C-4ABF-8B38-8607213E294D}"/>
    <cellStyle name="40% - 강조색6 4" xfId="122" xr:uid="{6D2E5168-6F7B-4B98-A80D-3A36768628F3}"/>
    <cellStyle name="40% - 강조색6 4 2" xfId="545" xr:uid="{7CC40826-75BF-4338-8649-BB711A8A9534}"/>
    <cellStyle name="40% - 강조색6 4 3" xfId="456" xr:uid="{30F835E6-E60D-4E8F-9D2D-165002FEB7C4}"/>
    <cellStyle name="40% - 강조색6 5" xfId="142" xr:uid="{4647BD6D-3215-4C41-8EF3-2645F2D1CA00}"/>
    <cellStyle name="40% - 강조색6 5 2" xfId="481" xr:uid="{B9005537-15B3-43A1-923D-B7F5B3C5443A}"/>
    <cellStyle name="40% - 강조색6 6" xfId="162" xr:uid="{7E3D72B4-30A0-4B08-BDD0-18D2D7826858}"/>
    <cellStyle name="40% - 강조색6 7" xfId="182" xr:uid="{05CFEC58-67B0-46E3-A580-AB3F892F5F02}"/>
    <cellStyle name="40% - 강조색6 8" xfId="202" xr:uid="{3DB6A435-9D18-41C8-A80C-5CA6BC3C8EC3}"/>
    <cellStyle name="40% - 강조색6 9" xfId="222" xr:uid="{437FDFC9-C82F-4230-A465-4560C5905C74}"/>
    <cellStyle name="60% - 강조색1" xfId="27" builtinId="32" customBuiltin="1"/>
    <cellStyle name="60% - 강조색1 10" xfId="228" xr:uid="{B2CB40AD-4A4F-4918-9765-E0E0363F2909}"/>
    <cellStyle name="60% - 강조색1 11" xfId="248" xr:uid="{E4397767-24DE-4A4E-8808-6EE3AC7ADD6A}"/>
    <cellStyle name="60% - 강조색1 12" xfId="268" xr:uid="{45163B68-6E14-49BA-BFA4-ECA510354E09}"/>
    <cellStyle name="60% - 강조색1 13" xfId="288" xr:uid="{4ECEC866-C940-4B1D-8E38-55A23D2D0542}"/>
    <cellStyle name="60% - 강조색1 14" xfId="308" xr:uid="{DF8043AD-8773-4D93-B2C8-1B5C7502C135}"/>
    <cellStyle name="60% - 강조색1 15" xfId="328" xr:uid="{AE574A2D-9FB0-4ACE-B888-47AD5434508A}"/>
    <cellStyle name="60% - 강조색1 16" xfId="348" xr:uid="{8CEA539B-6240-42C9-B368-161B9EDC0A45}"/>
    <cellStyle name="60% - 강조색1 17" xfId="376" xr:uid="{77CCB38C-6270-4249-A0D9-01401787DFC0}"/>
    <cellStyle name="60% - 강조색1 2" xfId="68" xr:uid="{D96F520C-0939-4D6D-A16E-E458CF2912C2}"/>
    <cellStyle name="60% - 강조색1 2 2" xfId="489" xr:uid="{3FEA217C-264C-4F1C-A1AC-CAC5B1B2CAC5}"/>
    <cellStyle name="60% - 강조색1 2 3" xfId="400" xr:uid="{CA0C022C-C800-4B74-89E2-5CE51C689822}"/>
    <cellStyle name="60% - 강조색1 3" xfId="88" xr:uid="{F66CE541-3BD7-4504-AC6D-7AF378A3DEDA}"/>
    <cellStyle name="60% - 강조색1 3 2" xfId="511" xr:uid="{EE1215D3-91AB-4A9F-A853-6350126896E2}"/>
    <cellStyle name="60% - 강조색1 3 3" xfId="422" xr:uid="{726A90B8-FB0C-452C-8A3C-94DB437010AA}"/>
    <cellStyle name="60% - 강조색1 4" xfId="108" xr:uid="{6FA34F41-E20A-49FA-BFCA-CD52598158FD}"/>
    <cellStyle name="60% - 강조색1 4 2" xfId="531" xr:uid="{C9C212D1-68F5-4917-8E8F-74207749E238}"/>
    <cellStyle name="60% - 강조색1 4 3" xfId="442" xr:uid="{89004DE2-15D3-46F7-A222-2ACDD142030E}"/>
    <cellStyle name="60% - 강조색1 5" xfId="128" xr:uid="{3463E9EE-F8EC-4E54-834C-9B81B7FECD98}"/>
    <cellStyle name="60% - 강조색1 5 2" xfId="467" xr:uid="{2F43AC05-FC88-465E-A192-536A311E6125}"/>
    <cellStyle name="60% - 강조색1 6" xfId="148" xr:uid="{5B333DEA-5B17-48AA-B16F-C66878B0742C}"/>
    <cellStyle name="60% - 강조색1 7" xfId="168" xr:uid="{8212DAC3-9A02-42BE-8CA2-BF85CA1F7FF5}"/>
    <cellStyle name="60% - 강조색1 8" xfId="188" xr:uid="{C4DD9030-1D5F-45AE-A9B8-68EA671C2427}"/>
    <cellStyle name="60% - 강조색1 9" xfId="208" xr:uid="{17F085EB-9BA6-42BC-90C0-6F0174349845}"/>
    <cellStyle name="60% - 강조색2" xfId="31" builtinId="36" customBuiltin="1"/>
    <cellStyle name="60% - 강조색2 10" xfId="231" xr:uid="{14C597ED-74A6-41A0-B9C3-84CD44CA0D59}"/>
    <cellStyle name="60% - 강조색2 11" xfId="251" xr:uid="{8C1F64DB-16E4-48E9-A735-71A04F737194}"/>
    <cellStyle name="60% - 강조색2 12" xfId="271" xr:uid="{8AF8D59B-02D0-4311-9B00-197848AD0A13}"/>
    <cellStyle name="60% - 강조색2 13" xfId="291" xr:uid="{092D3EDE-EB8C-4BC8-A3E3-6F8586AFA4F1}"/>
    <cellStyle name="60% - 강조색2 14" xfId="311" xr:uid="{67D6E8F6-6671-4854-A51D-68A4D4178F79}"/>
    <cellStyle name="60% - 강조색2 15" xfId="331" xr:uid="{AFB5EB0C-80FD-4EB2-B8A6-C7F9EA67F76F}"/>
    <cellStyle name="60% - 강조색2 16" xfId="351" xr:uid="{509739BE-ABF1-4169-8BB8-402FA881B622}"/>
    <cellStyle name="60% - 강조색2 17" xfId="379" xr:uid="{4A1486B0-F33E-4FC2-A5C2-CE8E6484BF6D}"/>
    <cellStyle name="60% - 강조색2 2" xfId="71" xr:uid="{644D7E5D-D95D-4561-AA7D-F03E99268569}"/>
    <cellStyle name="60% - 강조색2 2 2" xfId="492" xr:uid="{2EF7C7D7-0038-4F7C-BEA8-9D86A4777B8D}"/>
    <cellStyle name="60% - 강조색2 2 3" xfId="403" xr:uid="{49A3ACDD-506C-4C88-A679-77D90C18A710}"/>
    <cellStyle name="60% - 강조색2 3" xfId="91" xr:uid="{6D8DD7CB-BAD5-42BD-8CAA-D865CE7EE7B0}"/>
    <cellStyle name="60% - 강조색2 3 2" xfId="514" xr:uid="{55BF8280-4EEE-49CB-9782-293EA83FBFDE}"/>
    <cellStyle name="60% - 강조색2 3 3" xfId="425" xr:uid="{C012285B-6083-42C7-8A54-9B4C0D7A2735}"/>
    <cellStyle name="60% - 강조색2 4" xfId="111" xr:uid="{EB7CA402-BA71-47F3-AA96-0364DD842CDA}"/>
    <cellStyle name="60% - 강조색2 4 2" xfId="534" xr:uid="{44E37813-DBF8-47BB-9B8F-750E287FF739}"/>
    <cellStyle name="60% - 강조색2 4 3" xfId="445" xr:uid="{E7DCF3DA-888E-4976-A15F-536FD8691708}"/>
    <cellStyle name="60% - 강조색2 5" xfId="131" xr:uid="{F4E8DAEC-7A51-4F25-AF51-75342EDBB9BF}"/>
    <cellStyle name="60% - 강조색2 5 2" xfId="470" xr:uid="{E432757B-0AB4-48C7-9D97-AB97C6392729}"/>
    <cellStyle name="60% - 강조색2 6" xfId="151" xr:uid="{232C6D60-F69C-4131-BA00-A2518A57C92F}"/>
    <cellStyle name="60% - 강조색2 7" xfId="171" xr:uid="{54B6E76E-4A23-423C-A58F-0036EF4BD218}"/>
    <cellStyle name="60% - 강조색2 8" xfId="191" xr:uid="{CAB13629-03F9-4D57-B12A-3727FBAF4666}"/>
    <cellStyle name="60% - 강조색2 9" xfId="211" xr:uid="{A63107D2-B5A6-4F95-8B93-DE528608944A}"/>
    <cellStyle name="60% - 강조색3" xfId="35" builtinId="40" customBuiltin="1"/>
    <cellStyle name="60% - 강조색3 10" xfId="234" xr:uid="{ED75E9BB-902D-42DB-AF09-843CCDFA3E09}"/>
    <cellStyle name="60% - 강조색3 11" xfId="254" xr:uid="{EA1454C4-3A62-4C0E-9767-7776B2D9DF0C}"/>
    <cellStyle name="60% - 강조색3 12" xfId="274" xr:uid="{758273EF-D7DF-41A3-A017-443AF2472E7F}"/>
    <cellStyle name="60% - 강조색3 13" xfId="294" xr:uid="{9D1FA834-CFEF-4C9E-A7EE-EB66B3C4C5F0}"/>
    <cellStyle name="60% - 강조색3 14" xfId="314" xr:uid="{8A0584AF-AF63-476E-9C0B-405244535428}"/>
    <cellStyle name="60% - 강조색3 15" xfId="334" xr:uid="{814BFB90-17CB-4D6B-A673-DDF213A4D15F}"/>
    <cellStyle name="60% - 강조색3 16" xfId="354" xr:uid="{37125019-D4FC-4E93-9440-04BD06B12DCE}"/>
    <cellStyle name="60% - 강조색3 17" xfId="382" xr:uid="{D410A6D6-6324-49E5-B460-1C31631C3A8D}"/>
    <cellStyle name="60% - 강조색3 2" xfId="74" xr:uid="{8A119AEB-6E38-4FDE-B0BF-D55711F2A704}"/>
    <cellStyle name="60% - 강조색3 2 2" xfId="495" xr:uid="{DDDD15FF-48C0-4FE2-9002-FD2F6966DAA3}"/>
    <cellStyle name="60% - 강조색3 2 3" xfId="406" xr:uid="{C77F80DB-5945-48D1-9848-8D1AD15D9D52}"/>
    <cellStyle name="60% - 강조색3 3" xfId="94" xr:uid="{3C8C73D0-4078-4609-BAB5-8A20ADB91724}"/>
    <cellStyle name="60% - 강조색3 3 2" xfId="517" xr:uid="{0E27BB88-EFD4-400D-AB68-3649A2CC67A4}"/>
    <cellStyle name="60% - 강조색3 3 3" xfId="428" xr:uid="{11AE46C8-6F61-4F38-A747-A1E685C73C31}"/>
    <cellStyle name="60% - 강조색3 4" xfId="114" xr:uid="{EC9E5DEB-280D-4710-9F22-874497065958}"/>
    <cellStyle name="60% - 강조색3 4 2" xfId="537" xr:uid="{3396B131-B08B-4863-AFD9-E6D1E6A4A17F}"/>
    <cellStyle name="60% - 강조색3 4 3" xfId="448" xr:uid="{49838F34-4ADA-44D2-80FF-9C7755813B40}"/>
    <cellStyle name="60% - 강조색3 5" xfId="134" xr:uid="{CBEAA6D1-B501-4E4F-92F6-55490AEBEF24}"/>
    <cellStyle name="60% - 강조색3 5 2" xfId="473" xr:uid="{687D2BFE-1481-4671-81D0-819108EF0470}"/>
    <cellStyle name="60% - 강조색3 6" xfId="154" xr:uid="{BF2604A9-F699-4508-B09F-0FCF998B8E7C}"/>
    <cellStyle name="60% - 강조색3 7" xfId="174" xr:uid="{CC34085C-2DF9-4B63-BC74-48FB0D0B41C0}"/>
    <cellStyle name="60% - 강조색3 8" xfId="194" xr:uid="{92B4DA0C-F19C-4089-8BF9-BBEE225A05A5}"/>
    <cellStyle name="60% - 강조색3 9" xfId="214" xr:uid="{FB8BE683-8343-4BEB-9B06-CDF01B070856}"/>
    <cellStyle name="60% - 강조색4" xfId="39" builtinId="44" customBuiltin="1"/>
    <cellStyle name="60% - 강조색4 10" xfId="237" xr:uid="{70E89AC4-5EED-43E7-9ED8-EF9FC159426C}"/>
    <cellStyle name="60% - 강조색4 11" xfId="257" xr:uid="{069866A3-60DC-46EA-9CD7-FBE3CA7D5DA3}"/>
    <cellStyle name="60% - 강조색4 12" xfId="277" xr:uid="{D7C60D16-EB4F-4F13-94C9-22FBC38F668A}"/>
    <cellStyle name="60% - 강조색4 13" xfId="297" xr:uid="{6F27FC83-76D1-46F7-B3AD-56241F0BE553}"/>
    <cellStyle name="60% - 강조색4 14" xfId="317" xr:uid="{E2708639-9E78-49CB-99B9-C5695C11F1AA}"/>
    <cellStyle name="60% - 강조색4 15" xfId="337" xr:uid="{C85AEFAC-1A27-465A-808B-FF9B657C1459}"/>
    <cellStyle name="60% - 강조색4 16" xfId="357" xr:uid="{19EA790D-267E-40B1-9477-DADE12FD25CC}"/>
    <cellStyle name="60% - 강조색4 17" xfId="385" xr:uid="{53D9B005-84DA-457E-A6C3-34E38A802662}"/>
    <cellStyle name="60% - 강조색4 2" xfId="77" xr:uid="{1792CD84-041D-468B-B354-D747C2D04C1D}"/>
    <cellStyle name="60% - 강조색4 2 2" xfId="498" xr:uid="{E7F31749-3C28-4D4C-9C0D-DB03AEB44D71}"/>
    <cellStyle name="60% - 강조색4 2 3" xfId="409" xr:uid="{33437F5D-61E6-40CB-B769-79C2CCE60F0F}"/>
    <cellStyle name="60% - 강조색4 3" xfId="97" xr:uid="{A1937497-621F-41D7-853F-4DF5D3F9421B}"/>
    <cellStyle name="60% - 강조색4 3 2" xfId="520" xr:uid="{D72D4C94-8C8A-4CF6-879C-6886CAF693E0}"/>
    <cellStyle name="60% - 강조색4 3 3" xfId="431" xr:uid="{9BD016BD-CB98-4FA4-94C8-61F01E315ACD}"/>
    <cellStyle name="60% - 강조색4 4" xfId="117" xr:uid="{77FD045A-28DE-49C3-9FED-388E253D598A}"/>
    <cellStyle name="60% - 강조색4 4 2" xfId="540" xr:uid="{3C5873C5-ABA8-442E-8E10-55E4D93E4999}"/>
    <cellStyle name="60% - 강조색4 4 3" xfId="451" xr:uid="{1249074A-8769-4CFA-83BF-1A5B188FB88E}"/>
    <cellStyle name="60% - 강조색4 5" xfId="137" xr:uid="{990E823D-6CD7-4AD7-A165-238769E1884C}"/>
    <cellStyle name="60% - 강조색4 5 2" xfId="476" xr:uid="{EA7322B0-006B-4AD9-9B93-EE16FBA34CB2}"/>
    <cellStyle name="60% - 강조색4 6" xfId="157" xr:uid="{DEC53E00-AB73-4777-A99B-B832E160D84A}"/>
    <cellStyle name="60% - 강조색4 7" xfId="177" xr:uid="{98FF8F1B-C298-4C4F-8370-A09AC3F2FFB8}"/>
    <cellStyle name="60% - 강조색4 8" xfId="197" xr:uid="{5C8022D0-2716-4511-BCE5-F749E9A7505F}"/>
    <cellStyle name="60% - 강조색4 9" xfId="217" xr:uid="{398F5B73-4152-4111-A6C1-88930B304A8F}"/>
    <cellStyle name="60% - 강조색5" xfId="43" builtinId="48" customBuiltin="1"/>
    <cellStyle name="60% - 강조색5 10" xfId="240" xr:uid="{A4732F92-E2E7-47F7-8962-09A53158E49E}"/>
    <cellStyle name="60% - 강조색5 11" xfId="260" xr:uid="{833A5587-5E37-4DDD-A9A7-B9B835D4EEC6}"/>
    <cellStyle name="60% - 강조색5 12" xfId="280" xr:uid="{0CF639C7-E6D7-4838-8BD1-2A7DDFC35C69}"/>
    <cellStyle name="60% - 강조색5 13" xfId="300" xr:uid="{DD9DC0D0-B0AA-4409-BC18-73F74EE6DC64}"/>
    <cellStyle name="60% - 강조색5 14" xfId="320" xr:uid="{509A9514-662E-4223-8C47-3AF46E407071}"/>
    <cellStyle name="60% - 강조색5 15" xfId="340" xr:uid="{9B28C65F-3F16-43C9-9433-48DBF0EA6B76}"/>
    <cellStyle name="60% - 강조색5 16" xfId="360" xr:uid="{77D17A4D-0892-4BC2-B936-5A54501FA2FF}"/>
    <cellStyle name="60% - 강조색5 17" xfId="388" xr:uid="{9FC9B473-B150-4DF6-AD18-410C2E645C09}"/>
    <cellStyle name="60% - 강조색5 2" xfId="80" xr:uid="{83C87137-7D9D-4435-8D26-FB3DD7FDD5B2}"/>
    <cellStyle name="60% - 강조색5 2 2" xfId="501" xr:uid="{4C4868FE-71D7-4B30-91D0-05E4039D292D}"/>
    <cellStyle name="60% - 강조색5 2 3" xfId="412" xr:uid="{0C1EFDA7-249B-498C-8DF3-F92CA718BED2}"/>
    <cellStyle name="60% - 강조색5 3" xfId="100" xr:uid="{8A3FC43A-9273-4EDE-A3D4-12656ACA2B00}"/>
    <cellStyle name="60% - 강조색5 3 2" xfId="523" xr:uid="{BB9919AA-FC4A-408C-BAD6-BFD892DFF626}"/>
    <cellStyle name="60% - 강조색5 3 3" xfId="434" xr:uid="{4B86A7F2-9784-4ADC-B8AE-2A65EFA5693D}"/>
    <cellStyle name="60% - 강조색5 4" xfId="120" xr:uid="{8C64B1C1-5D00-4464-8C70-D32A97402830}"/>
    <cellStyle name="60% - 강조색5 4 2" xfId="543" xr:uid="{C1B0F442-C1AF-4D80-81F6-1BFDDBA45ED6}"/>
    <cellStyle name="60% - 강조색5 4 3" xfId="454" xr:uid="{2E5EA47E-D313-4043-AB6D-31D70127653B}"/>
    <cellStyle name="60% - 강조색5 5" xfId="140" xr:uid="{CEEB8C43-7F0B-422B-AD7B-CFAA54FDBE61}"/>
    <cellStyle name="60% - 강조색5 5 2" xfId="479" xr:uid="{9633D5C7-8B7E-421B-B6F3-E95A737DD371}"/>
    <cellStyle name="60% - 강조색5 6" xfId="160" xr:uid="{7CAA41A2-41F0-4F2A-852C-9148935AF173}"/>
    <cellStyle name="60% - 강조색5 7" xfId="180" xr:uid="{B8F7E0E2-4C83-4F44-B59F-356F510E044A}"/>
    <cellStyle name="60% - 강조색5 8" xfId="200" xr:uid="{6D2D570D-EC52-4E0C-B1E9-5D2AB26D118B}"/>
    <cellStyle name="60% - 강조색5 9" xfId="220" xr:uid="{922B3494-236E-4C09-974D-F60AAF6C7BE7}"/>
    <cellStyle name="60% - 강조색6" xfId="47" builtinId="52" customBuiltin="1"/>
    <cellStyle name="60% - 강조색6 10" xfId="243" xr:uid="{45C2A6A0-CD21-437A-82CA-BC3AD53B6A17}"/>
    <cellStyle name="60% - 강조색6 11" xfId="263" xr:uid="{A320767B-703A-471C-8140-F1287F2FFA6B}"/>
    <cellStyle name="60% - 강조색6 12" xfId="283" xr:uid="{089059AD-EDC4-453B-8BF0-CD3801C452E4}"/>
    <cellStyle name="60% - 강조색6 13" xfId="303" xr:uid="{DF5BB59F-4766-4740-8D6D-9EFC37439CE9}"/>
    <cellStyle name="60% - 강조색6 14" xfId="323" xr:uid="{7F342A78-9A20-4FA7-A393-60C2CB5924F1}"/>
    <cellStyle name="60% - 강조색6 15" xfId="343" xr:uid="{ED88BECD-6E0C-45E7-99FA-A4CDF3CF7ADD}"/>
    <cellStyle name="60% - 강조색6 16" xfId="363" xr:uid="{606700C0-23F4-4BB8-B081-FB2BDB824788}"/>
    <cellStyle name="60% - 강조색6 17" xfId="391" xr:uid="{98ABEF48-C9A9-4FB1-89AF-D7BCA9797797}"/>
    <cellStyle name="60% - 강조색6 2" xfId="83" xr:uid="{17B91430-62BE-4134-AC04-1D7C5943D02F}"/>
    <cellStyle name="60% - 강조색6 2 2" xfId="504" xr:uid="{40DD2FEB-6837-4397-BC84-34C21EF3CECE}"/>
    <cellStyle name="60% - 강조색6 2 3" xfId="415" xr:uid="{F6561503-FFCD-4127-BBAA-5B2B6613A851}"/>
    <cellStyle name="60% - 강조색6 3" xfId="103" xr:uid="{9331A509-0875-4C0F-8C3D-D5FB52FB4174}"/>
    <cellStyle name="60% - 강조색6 3 2" xfId="526" xr:uid="{010A453F-67A1-4DCF-9D7A-A25B4326044A}"/>
    <cellStyle name="60% - 강조색6 3 3" xfId="437" xr:uid="{5C13AB65-97B5-4556-8BD3-7EB4442C34C2}"/>
    <cellStyle name="60% - 강조색6 4" xfId="123" xr:uid="{B9658C44-09E3-424D-B22E-7C3FCC9C0806}"/>
    <cellStyle name="60% - 강조색6 4 2" xfId="546" xr:uid="{06484841-F25E-4BB9-AA42-403FC45D952A}"/>
    <cellStyle name="60% - 강조색6 4 3" xfId="457" xr:uid="{BB08A302-3F15-4888-929F-ABD1FD4ACD42}"/>
    <cellStyle name="60% - 강조색6 5" xfId="143" xr:uid="{C1BAFC03-FA40-4450-840A-F36FB1A6041B}"/>
    <cellStyle name="60% - 강조색6 5 2" xfId="482" xr:uid="{E501642A-ABDB-4DDF-B9BA-02481005AFA6}"/>
    <cellStyle name="60% - 강조색6 6" xfId="163" xr:uid="{1089B983-8593-4207-A1CE-09349D3C4605}"/>
    <cellStyle name="60% - 강조색6 7" xfId="183" xr:uid="{FF60C2DA-079A-4EE1-A9B5-1AD3A9A8D643}"/>
    <cellStyle name="60% - 강조색6 8" xfId="203" xr:uid="{1DBB24E1-EC94-4394-B3EB-483F05503DF3}"/>
    <cellStyle name="60% - 강조색6 9" xfId="223" xr:uid="{3EA00A76-CBFA-49F9-B4AE-8BB59E2AEFE3}"/>
    <cellStyle name="Calc Percent (0)" xfId="53" xr:uid="{507211AE-C622-42FD-950A-E12D57DF3E2F}"/>
    <cellStyle name="Enter Currency (0)" xfId="54" xr:uid="{94338179-BDF3-46CB-B563-D4F56FF98DFE}"/>
    <cellStyle name="Header1" xfId="55" xr:uid="{3C5D0C7A-7C7B-4BB1-A687-F9EAF14512CB}"/>
    <cellStyle name="Header2" xfId="56" xr:uid="{E9E7FE2C-4353-4129-8679-D3E77832CB79}"/>
    <cellStyle name="Link Currency (0)" xfId="57" xr:uid="{87CEB823-2919-4E6F-BE6D-B992E0E86E79}"/>
    <cellStyle name="Normal 2" xfId="50" xr:uid="{D720B2A1-4B29-4BE9-AA30-E92F9F1291E0}"/>
    <cellStyle name="Normal 2 2" xfId="58" xr:uid="{8329D9AA-1571-4C32-9358-95196A31DFA1}"/>
    <cellStyle name="Normal 2 3" xfId="3" xr:uid="{411E133B-F811-924E-BBCB-7E1EC9EB8B56}"/>
    <cellStyle name="Normal 2 3 2" xfId="364" xr:uid="{54F649C6-F241-4D85-AAE7-81475BCCF8B7}"/>
    <cellStyle name="Normal_069-0711-D FAI temp copy.xls" xfId="4" xr:uid="{7E7B823B-E616-D24F-A691-DCEA812D5F69}"/>
    <cellStyle name="Normal_069-0711-D FAI temp copy.xls 2" xfId="369" xr:uid="{82539809-5C4C-48EB-8276-20870BD90F81}"/>
    <cellStyle name="Normal_Capability Study - IPEG EVT1 0713a.xls" xfId="365" xr:uid="{4BE65ECC-7831-412C-9A31-A68BB6652E63}"/>
    <cellStyle name="Percent 2" xfId="51" xr:uid="{6B9C1A28-5A0E-449C-8276-9890F8914D5A}"/>
    <cellStyle name="Percent 4" xfId="6" xr:uid="{1562D7E4-9DC6-BC4E-BF33-1AEC82F81A2C}"/>
    <cellStyle name="PrePop Currency (0)" xfId="59" xr:uid="{011529D7-C760-4C88-8E9D-F1167D2FE0AB}"/>
    <cellStyle name="Text Indent A" xfId="60" xr:uid="{DBCAAEB4-FCA1-4A86-9E72-4AB119B0DF9B}"/>
    <cellStyle name="Text Indent B" xfId="61" xr:uid="{49B06124-8F30-4376-AF00-ED1364E50F8D}"/>
    <cellStyle name="강조색1" xfId="24" builtinId="29" customBuiltin="1"/>
    <cellStyle name="강조색2" xfId="28" builtinId="33" customBuiltin="1"/>
    <cellStyle name="강조색3" xfId="32" builtinId="37" customBuiltin="1"/>
    <cellStyle name="강조색4" xfId="36" builtinId="41" customBuiltin="1"/>
    <cellStyle name="강조색5" xfId="40" builtinId="45" customBuiltin="1"/>
    <cellStyle name="강조색6" xfId="44" builtinId="49" customBuiltin="1"/>
    <cellStyle name="경고문" xfId="21" builtinId="11" customBuiltin="1"/>
    <cellStyle name="계산" xfId="18" builtinId="22" customBuiltin="1"/>
    <cellStyle name="나쁨" xfId="14" builtinId="27" customBuiltin="1"/>
    <cellStyle name="나쁨 2" xfId="366" xr:uid="{5D9ED5E1-C801-406D-93E0-2B3591175749}"/>
    <cellStyle name="나쁨 2 2" xfId="393" xr:uid="{C70F563F-FC06-40A1-AD48-03785BD1524A}"/>
    <cellStyle name="메모 10" xfId="205" xr:uid="{F1E6B1A6-DFCC-43B5-938B-AC4EA38735C0}"/>
    <cellStyle name="메모 11" xfId="225" xr:uid="{96156C23-3B33-4EC6-904C-30CD9C6AE460}"/>
    <cellStyle name="메모 12" xfId="245" xr:uid="{5CB831BA-C7F1-474B-BA74-58288726F36E}"/>
    <cellStyle name="메모 13" xfId="265" xr:uid="{91BBAD60-6ED6-4715-A410-BA21B2B80F9B}"/>
    <cellStyle name="메모 14" xfId="285" xr:uid="{72C31025-9F67-4651-9FD6-55D175EBD059}"/>
    <cellStyle name="메모 15" xfId="305" xr:uid="{64142A57-8907-4EB8-81F0-21D0FC161584}"/>
    <cellStyle name="메모 16" xfId="325" xr:uid="{429D3280-652F-41CC-BE36-941A19F819E6}"/>
    <cellStyle name="메모 17" xfId="345" xr:uid="{42ECB233-434C-45FD-A02B-764D46565700}"/>
    <cellStyle name="메모 2" xfId="63" xr:uid="{C5E085BA-2B59-45F4-9A7F-16FA145D7B84}"/>
    <cellStyle name="메모 2 2" xfId="484" xr:uid="{FB704CBC-BAB0-4670-A9E6-E0283BF91351}"/>
    <cellStyle name="메모 2 3" xfId="395" xr:uid="{C5D93E0F-8386-4AF0-ABD1-968439D79D0E}"/>
    <cellStyle name="메모 3" xfId="65" xr:uid="{CF354A69-28DB-401C-A63E-3F347A572426}"/>
    <cellStyle name="메모 3 2" xfId="486" xr:uid="{BBDC7EB5-260D-424C-8DD7-513E7DCE3BBD}"/>
    <cellStyle name="메모 3 3" xfId="397" xr:uid="{61D4FB83-ACEC-46B8-B5B2-5DBC94DB480A}"/>
    <cellStyle name="메모 4" xfId="85" xr:uid="{775D36BA-F6FE-4815-AEDB-99DCD30B3F80}"/>
    <cellStyle name="메모 4 2" xfId="508" xr:uid="{1ADF72C2-B75F-4AB8-BFFF-5145B5807301}"/>
    <cellStyle name="메모 4 3" xfId="419" xr:uid="{EB27490D-DDCF-482A-B968-6FAD5E061DD1}"/>
    <cellStyle name="메모 5" xfId="105" xr:uid="{A16EE7B9-2783-46EF-847B-5843EB9314E0}"/>
    <cellStyle name="메모 5 2" xfId="528" xr:uid="{E5E43A79-6704-4660-A04D-74FF9EEB979F}"/>
    <cellStyle name="메모 5 3" xfId="439" xr:uid="{0CF1A916-8178-4EFD-968C-7481B1212F2F}"/>
    <cellStyle name="메모 6" xfId="125" xr:uid="{99D5518B-558D-4D06-8223-349768351A5B}"/>
    <cellStyle name="메모 7" xfId="145" xr:uid="{46215A0F-5D5F-4A1E-AE77-6F7125E3F5FD}"/>
    <cellStyle name="메모 8" xfId="165" xr:uid="{3F7FA357-98BF-476F-AC6F-5346764332E9}"/>
    <cellStyle name="메모 9" xfId="185" xr:uid="{3BDA0B01-7855-47A6-943B-A22238ECF36D}"/>
    <cellStyle name="百分比 3" xfId="2" xr:uid="{D6C95A67-1C7B-404B-8CDF-2921498D764C}"/>
    <cellStyle name="백분율 2" xfId="49" xr:uid="{E41B836F-9572-4D1C-9D74-1056A2A9CD16}"/>
    <cellStyle name="보통" xfId="15" builtinId="28" customBuiltin="1"/>
    <cellStyle name="보통 2" xfId="367" xr:uid="{BC2C249A-3E93-44E4-8AEE-760D3D1DF841}"/>
    <cellStyle name="常规 4" xfId="5" xr:uid="{79A5A741-AEC6-8E4D-AD07-F06A72B84B5A}"/>
    <cellStyle name="常规_8364B 2009415" xfId="48" xr:uid="{0B47AFBD-263D-4B7F-B2E7-B395D86BCEE1}"/>
    <cellStyle name="설명 텍스트" xfId="22" builtinId="53" customBuiltin="1"/>
    <cellStyle name="셀 확인" xfId="20" builtinId="23" customBuiltin="1"/>
    <cellStyle name="쉼표 [0] 2" xfId="7" xr:uid="{404A706B-A3F0-6D4E-AC76-48F566C7C22E}"/>
    <cellStyle name="쉼표 [0] 2 2" xfId="463" xr:uid="{1B7E74B4-C28F-4610-817A-45F8B549949A}"/>
    <cellStyle name="쉼표 [0] 2 3" xfId="372" xr:uid="{E5D55883-C3A2-4387-A923-5128C5ECAB2A}"/>
    <cellStyle name="연결된 셀" xfId="19" builtinId="24" customBuiltin="1"/>
    <cellStyle name="요약" xfId="23" builtinId="25" customBuiltin="1"/>
    <cellStyle name="一般 3" xfId="1" xr:uid="{CBDF56BD-CEEB-C64C-84C9-24C904CBE56D}"/>
    <cellStyle name="입력" xfId="16" builtinId="20" customBuiltin="1"/>
    <cellStyle name="제목" xfId="8" builtinId="15" customBuiltin="1"/>
    <cellStyle name="제목 1" xfId="9" builtinId="16" customBuiltin="1"/>
    <cellStyle name="제목 2" xfId="10" builtinId="17" customBuiltin="1"/>
    <cellStyle name="제목 3" xfId="11" builtinId="18" customBuiltin="1"/>
    <cellStyle name="제목 4" xfId="12" builtinId="19" customBuiltin="1"/>
    <cellStyle name="좋음" xfId="13" builtinId="26" customBuiltin="1"/>
    <cellStyle name="좋음 2" xfId="392" xr:uid="{FB435918-3BD9-4E26-958B-A85B3F1F5D8A}"/>
    <cellStyle name="좋음 3" xfId="371" xr:uid="{CA08C99A-6038-45A9-91A1-C0E46F1EC9F8}"/>
    <cellStyle name="출력" xfId="17" builtinId="21" customBuiltin="1"/>
    <cellStyle name="표준" xfId="0" builtinId="0"/>
    <cellStyle name="표준 10" xfId="204" xr:uid="{97A0A5AD-B5E0-4681-B396-4D85486E02B2}"/>
    <cellStyle name="표준 11" xfId="224" xr:uid="{DCBD210C-C26C-487C-AAFF-E96EFCCBF417}"/>
    <cellStyle name="표준 12" xfId="244" xr:uid="{88A20BFC-BAA2-4A3D-B20F-C81594BE5818}"/>
    <cellStyle name="표준 13" xfId="264" xr:uid="{5A98D856-1E8E-4B48-AB04-D5F9C62DEF9B}"/>
    <cellStyle name="표준 14" xfId="284" xr:uid="{C1185FA1-2FFE-424F-966F-F35568CDFD2A}"/>
    <cellStyle name="표준 15" xfId="304" xr:uid="{34CB0A49-8C75-4926-9182-6D33642A8364}"/>
    <cellStyle name="표준 16" xfId="324" xr:uid="{2AF502FC-B8DF-40F3-8A1B-C5F51B61B3E9}"/>
    <cellStyle name="표준 17" xfId="344" xr:uid="{C24D31C8-5BE4-420F-9B14-38B86A495FDF}"/>
    <cellStyle name="표준 2" xfId="62" xr:uid="{2BCC682B-7B18-403A-8898-3D72D1F92BEA}"/>
    <cellStyle name="표준 2 2" xfId="368" xr:uid="{1DC67D5C-8146-4223-80C5-9B7EF4425AEB}"/>
    <cellStyle name="표준 2 2 2" xfId="417" xr:uid="{EFC590E0-7A1C-472D-93F5-B3EADB0664BB}"/>
    <cellStyle name="표준 2 2 2 2" xfId="462" xr:uid="{7DA5013D-7427-4D90-96C2-639463360429}"/>
    <cellStyle name="표준 2 2 2 2 2" xfId="551" xr:uid="{079B275C-BF86-4196-AE0D-405EB4FACB03}"/>
    <cellStyle name="표준 2 2 2 3" xfId="506" xr:uid="{6DAD66C1-E4AC-4BBE-A1FE-503A53A4FDF9}"/>
    <cellStyle name="표준 2 2 3" xfId="459" xr:uid="{B5A39263-DE4B-4E57-B050-E5A324B10278}"/>
    <cellStyle name="표준 2 2 3 2" xfId="461" xr:uid="{247F17B5-65CF-43DF-A186-FCB7D7F29601}"/>
    <cellStyle name="표준 2 2 3 2 2" xfId="550" xr:uid="{3ACD9B96-7E56-4285-80A4-1E86F66EFBEC}"/>
    <cellStyle name="표준 2 2 3 3" xfId="548" xr:uid="{E3DC9BC1-049A-4FC3-9207-41E99D90B21B}"/>
    <cellStyle name="표준 2 2 4" xfId="416" xr:uid="{C89F3D29-2E0C-47F4-9A46-A116BD896D76}"/>
    <cellStyle name="표준 2 2 4 2" xfId="505" xr:uid="{71977F81-0477-43B7-AAAF-FD2A265748ED}"/>
    <cellStyle name="표준 2 2 5" xfId="464" xr:uid="{9499A087-B6C4-47BD-96F4-146A74C87A97}"/>
    <cellStyle name="표준 2 2 6" xfId="373" xr:uid="{7239C6CA-DD6F-4180-90C1-0EB945B1C000}"/>
    <cellStyle name="표준 2 3" xfId="458" xr:uid="{5946FC3B-7B32-49F1-A90E-4A4ABB8316B7}"/>
    <cellStyle name="표준 2 3 2" xfId="460" xr:uid="{2575BAA0-9450-416B-B113-005EA8BB6FAC}"/>
    <cellStyle name="표준 2 3 2 2" xfId="549" xr:uid="{3677D533-6A2E-48B8-82DE-6769B7BBC21D}"/>
    <cellStyle name="표준 2 3 3" xfId="547" xr:uid="{55DFC2EF-B087-44D8-844E-8EF7AF97E3CD}"/>
    <cellStyle name="표준 2 4" xfId="483" xr:uid="{F43310B0-6FC2-48F6-93B0-0142BC9E4C01}"/>
    <cellStyle name="표준 2 5" xfId="394" xr:uid="{2D0CE1A1-A72D-4C98-820F-AB77B5F9E161}"/>
    <cellStyle name="표준 3" xfId="64" xr:uid="{8A91C379-9E86-4ECE-8FC9-502778FF8674}"/>
    <cellStyle name="표준 3 2" xfId="485" xr:uid="{2EEC2EEC-6AB6-4A83-A2E9-CDA063D9F66C}"/>
    <cellStyle name="표준 3 3" xfId="396" xr:uid="{336441C5-1036-4151-9CDB-2F3D99A6347B}"/>
    <cellStyle name="표준 4" xfId="84" xr:uid="{D49317C4-0983-47D2-9FEE-B35901E022C0}"/>
    <cellStyle name="표준 4 2" xfId="370" xr:uid="{CA5758E8-F703-4C6A-913F-4E5F7E22DC54}"/>
    <cellStyle name="표준 4 2 2" xfId="507" xr:uid="{AC04F479-A71E-40BA-85DF-325BE012A15A}"/>
    <cellStyle name="표준 4 3" xfId="418" xr:uid="{BAEF1768-C751-4A77-AA25-F0FA04539137}"/>
    <cellStyle name="표준 5" xfId="104" xr:uid="{C846E875-D831-4D02-8B7F-240014E6224A}"/>
    <cellStyle name="표준 5 2" xfId="527" xr:uid="{FE64C625-6F57-438D-A54E-A9786D04387A}"/>
    <cellStyle name="표준 5 3" xfId="438" xr:uid="{F8420713-03CC-4645-914D-5FC06111E58B}"/>
    <cellStyle name="표준 6" xfId="124" xr:uid="{96BBFF81-0E0D-49A8-8075-BE29211F8FD1}"/>
    <cellStyle name="표준 7" xfId="144" xr:uid="{CCEE4C6D-6860-49F6-BD89-D6BFB3C97F52}"/>
    <cellStyle name="표준 8" xfId="164" xr:uid="{C8006356-40C1-4BB8-AE4A-A787D7EEC51F}"/>
    <cellStyle name="표준 9" xfId="184" xr:uid="{546D25E5-03AC-4E09-9A2E-CEA11BAB5BC9}"/>
  </cellStyles>
  <dxfs count="2">
    <dxf>
      <font>
        <color auto="1"/>
      </font>
      <fill>
        <patternFill>
          <bgColor rgb="FFFFC1B7"/>
        </patternFill>
      </fill>
    </dxf>
    <dxf>
      <font>
        <color auto="1"/>
      </font>
      <fill>
        <patternFill>
          <bgColor rgb="FFFFC1B7"/>
        </patternFill>
      </fill>
    </dxf>
  </dxfs>
  <tableStyles count="0" defaultTableStyle="TableStyleMedium2" defaultPivotStyle="PivotStyleLight16"/>
  <colors>
    <mruColors>
      <color rgb="FFFFC1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81568-1FAC-2B47-9C47-A4A560421BB4}">
  <sheetPr codeName="Sheet2"/>
  <dimension ref="A2:J53"/>
  <sheetViews>
    <sheetView showGridLines="0" topLeftCell="A3" zoomScale="140" workbookViewId="0">
      <selection activeCell="C15" sqref="C15"/>
    </sheetView>
  </sheetViews>
  <sheetFormatPr defaultColWidth="10.90625" defaultRowHeight="19.2"/>
  <cols>
    <col min="1" max="1" width="10.90625" style="33"/>
    <col min="2" max="2" width="13.90625" style="33" customWidth="1"/>
    <col min="3" max="3" width="30.90625" style="33" customWidth="1"/>
    <col min="4" max="5" width="25.90625" style="33" customWidth="1"/>
    <col min="6" max="6" width="13.90625" style="32" customWidth="1"/>
    <col min="7" max="7" width="10.90625" style="33"/>
    <col min="8" max="9" width="10.90625" style="33" customWidth="1"/>
    <col min="10" max="16384" width="10.90625" style="33"/>
  </cols>
  <sheetData>
    <row r="2" spans="1:10" ht="39.9" customHeight="1">
      <c r="A2" s="9"/>
      <c r="B2" s="161" t="s">
        <v>68</v>
      </c>
      <c r="C2" s="161"/>
      <c r="D2" s="161"/>
      <c r="E2" s="161"/>
      <c r="F2" s="161"/>
      <c r="G2" s="9"/>
      <c r="H2" s="9"/>
      <c r="I2" s="9"/>
      <c r="J2" s="9"/>
    </row>
    <row r="3" spans="1:10" ht="15.9" customHeight="1">
      <c r="A3" s="9"/>
      <c r="B3" s="1"/>
      <c r="C3" s="1"/>
      <c r="D3" s="1"/>
      <c r="E3" s="1"/>
      <c r="F3" s="1"/>
      <c r="G3" s="9"/>
      <c r="H3" s="9"/>
      <c r="I3" s="9"/>
      <c r="J3" s="9"/>
    </row>
    <row r="4" spans="1:10" ht="15.9" customHeight="1">
      <c r="A4" s="9"/>
      <c r="B4" s="9"/>
      <c r="C4" s="29" t="s">
        <v>38</v>
      </c>
      <c r="D4" s="9"/>
      <c r="E4" s="29" t="s">
        <v>38</v>
      </c>
      <c r="F4" s="1"/>
      <c r="G4" s="9"/>
      <c r="H4" s="9"/>
      <c r="I4" s="9"/>
      <c r="J4" s="9"/>
    </row>
    <row r="5" spans="1:10" ht="15.9" customHeight="1">
      <c r="A5" s="9"/>
      <c r="B5" s="2" t="s">
        <v>6</v>
      </c>
      <c r="C5" s="3" t="s">
        <v>71</v>
      </c>
      <c r="D5" s="2" t="s">
        <v>7</v>
      </c>
      <c r="E5" s="5" t="s">
        <v>72</v>
      </c>
      <c r="H5" s="9"/>
      <c r="I5" s="9"/>
      <c r="J5" s="9"/>
    </row>
    <row r="6" spans="1:10" ht="15.9" customHeight="1">
      <c r="A6" s="1"/>
      <c r="B6" s="2" t="s">
        <v>0</v>
      </c>
      <c r="C6" s="3" t="s">
        <v>70</v>
      </c>
      <c r="D6" s="2" t="s">
        <v>8</v>
      </c>
      <c r="E6" s="5">
        <f>'Shipping Lot List'!B2</f>
        <v>0</v>
      </c>
      <c r="H6" s="1"/>
      <c r="I6" s="1"/>
      <c r="J6" s="1"/>
    </row>
    <row r="7" spans="1:10">
      <c r="A7" s="4"/>
      <c r="B7" s="2" t="s">
        <v>5</v>
      </c>
      <c r="C7" s="3" t="s">
        <v>136</v>
      </c>
      <c r="D7" s="2" t="s">
        <v>320</v>
      </c>
      <c r="E7" s="118" t="s">
        <v>321</v>
      </c>
      <c r="H7" s="4"/>
      <c r="I7" s="4"/>
      <c r="J7" s="4"/>
    </row>
    <row r="8" spans="1:10" ht="30">
      <c r="A8" s="4"/>
      <c r="B8" s="2" t="s">
        <v>69</v>
      </c>
      <c r="C8" s="107" t="s">
        <v>314</v>
      </c>
      <c r="D8" s="2" t="s">
        <v>4</v>
      </c>
      <c r="E8" s="45">
        <f>SUM('Shipping Lot List'!H2:H97385)</f>
        <v>0</v>
      </c>
      <c r="F8" s="30" t="s">
        <v>38</v>
      </c>
      <c r="H8" s="4"/>
      <c r="I8" s="4"/>
      <c r="J8" s="4"/>
    </row>
    <row r="9" spans="1:10">
      <c r="A9" s="4"/>
      <c r="B9" s="2" t="s">
        <v>1</v>
      </c>
      <c r="C9" s="3" t="s">
        <v>329</v>
      </c>
      <c r="D9" s="2" t="s">
        <v>3</v>
      </c>
      <c r="E9" s="45">
        <v>0</v>
      </c>
      <c r="F9" s="162" t="s">
        <v>39</v>
      </c>
      <c r="H9" s="4"/>
      <c r="I9" s="4"/>
      <c r="J9" s="4"/>
    </row>
    <row r="10" spans="1:10">
      <c r="A10" s="4"/>
      <c r="B10" s="2" t="s">
        <v>74</v>
      </c>
      <c r="C10" s="3"/>
      <c r="D10" s="2" t="s">
        <v>2</v>
      </c>
      <c r="E10" s="45">
        <f>E8</f>
        <v>0</v>
      </c>
      <c r="F10" s="162"/>
      <c r="H10" s="4"/>
      <c r="I10" s="4"/>
      <c r="J10" s="4"/>
    </row>
    <row r="11" spans="1:10">
      <c r="A11" s="4"/>
      <c r="B11" s="2"/>
      <c r="C11" s="4"/>
      <c r="H11" s="4"/>
      <c r="I11" s="4"/>
      <c r="J11" s="4"/>
    </row>
    <row r="12" spans="1:10">
      <c r="A12" s="4"/>
      <c r="B12" s="163" t="s">
        <v>38</v>
      </c>
      <c r="C12" s="163"/>
      <c r="D12" s="163"/>
      <c r="E12" s="163"/>
      <c r="F12" s="163"/>
      <c r="G12" s="4"/>
      <c r="H12" s="4"/>
      <c r="I12" s="4"/>
      <c r="J12" s="4"/>
    </row>
    <row r="13" spans="1:10">
      <c r="A13" s="4"/>
      <c r="B13" s="42" t="s">
        <v>37</v>
      </c>
      <c r="C13" s="42" t="s">
        <v>36</v>
      </c>
      <c r="D13" s="42" t="s">
        <v>9</v>
      </c>
      <c r="E13" s="42" t="s">
        <v>10</v>
      </c>
      <c r="F13" s="42" t="s">
        <v>35</v>
      </c>
      <c r="G13" s="4"/>
      <c r="H13" s="4"/>
      <c r="I13" s="6"/>
      <c r="J13" s="6"/>
    </row>
    <row r="14" spans="1:10">
      <c r="A14" s="11"/>
      <c r="B14" s="160" t="s">
        <v>11</v>
      </c>
      <c r="C14" s="7"/>
      <c r="D14" s="31"/>
      <c r="E14" s="43"/>
      <c r="F14" s="48"/>
    </row>
    <row r="15" spans="1:10">
      <c r="A15" s="11"/>
      <c r="B15" s="160"/>
      <c r="C15" s="7"/>
      <c r="D15" s="8"/>
      <c r="E15" s="10"/>
      <c r="F15" s="31"/>
    </row>
    <row r="16" spans="1:10">
      <c r="A16" s="11"/>
      <c r="B16" s="160"/>
      <c r="C16" s="7"/>
      <c r="D16" s="8"/>
      <c r="E16" s="10"/>
      <c r="F16" s="31"/>
    </row>
    <row r="17" spans="1:6">
      <c r="A17" s="11"/>
      <c r="B17" s="160"/>
      <c r="C17" s="7"/>
      <c r="D17" s="8"/>
      <c r="E17" s="10"/>
      <c r="F17" s="31"/>
    </row>
    <row r="18" spans="1:6">
      <c r="A18" s="11"/>
      <c r="B18" s="160"/>
      <c r="C18" s="7"/>
      <c r="D18" s="8"/>
      <c r="E18" s="10"/>
      <c r="F18" s="31"/>
    </row>
    <row r="19" spans="1:6">
      <c r="A19" s="11"/>
      <c r="B19" s="160"/>
      <c r="C19" s="7"/>
      <c r="D19" s="8"/>
      <c r="E19" s="10"/>
      <c r="F19" s="31"/>
    </row>
    <row r="20" spans="1:6">
      <c r="A20" s="11"/>
      <c r="B20" s="160"/>
      <c r="C20" s="7"/>
      <c r="D20" s="8"/>
      <c r="E20" s="10"/>
      <c r="F20" s="31"/>
    </row>
    <row r="21" spans="1:6">
      <c r="A21" s="11"/>
      <c r="B21" s="160"/>
      <c r="C21" s="7"/>
      <c r="D21" s="8"/>
      <c r="E21" s="10"/>
      <c r="F21" s="31"/>
    </row>
    <row r="22" spans="1:6">
      <c r="A22" s="11"/>
      <c r="B22" s="160"/>
      <c r="C22" s="7"/>
      <c r="D22" s="8"/>
      <c r="E22" s="10"/>
      <c r="F22" s="31"/>
    </row>
    <row r="23" spans="1:6">
      <c r="A23" s="11"/>
      <c r="B23" s="160"/>
      <c r="C23" s="7"/>
      <c r="D23" s="8"/>
      <c r="E23" s="10"/>
      <c r="F23" s="31"/>
    </row>
    <row r="24" spans="1:6">
      <c r="A24" s="11"/>
      <c r="B24" s="160" t="s">
        <v>12</v>
      </c>
      <c r="C24" s="7"/>
      <c r="D24" s="31"/>
      <c r="E24" s="43"/>
      <c r="F24" s="48"/>
    </row>
    <row r="25" spans="1:6">
      <c r="A25" s="11"/>
      <c r="B25" s="160"/>
      <c r="C25" s="7"/>
      <c r="D25" s="31"/>
      <c r="E25" s="43"/>
      <c r="F25" s="48"/>
    </row>
    <row r="26" spans="1:6">
      <c r="A26" s="11"/>
      <c r="B26" s="160"/>
      <c r="C26" s="7"/>
      <c r="D26" s="31"/>
      <c r="E26" s="43"/>
      <c r="F26" s="31"/>
    </row>
    <row r="27" spans="1:6">
      <c r="A27" s="34"/>
      <c r="B27" s="160"/>
      <c r="C27" s="7"/>
      <c r="D27" s="31"/>
      <c r="E27" s="43"/>
      <c r="F27" s="31"/>
    </row>
    <row r="28" spans="1:6">
      <c r="A28" s="34"/>
      <c r="B28" s="160"/>
      <c r="C28" s="7"/>
      <c r="D28" s="31"/>
      <c r="E28" s="43"/>
      <c r="F28" s="31"/>
    </row>
    <row r="29" spans="1:6">
      <c r="A29" s="34"/>
      <c r="B29" s="160"/>
      <c r="C29" s="7"/>
      <c r="D29" s="31"/>
      <c r="E29" s="43"/>
      <c r="F29" s="31"/>
    </row>
    <row r="30" spans="1:6">
      <c r="A30" s="34"/>
      <c r="B30" s="160"/>
      <c r="C30" s="7"/>
      <c r="D30" s="31"/>
      <c r="E30" s="43"/>
      <c r="F30" s="31"/>
    </row>
    <row r="31" spans="1:6">
      <c r="A31" s="34"/>
      <c r="B31" s="160"/>
      <c r="C31" s="7"/>
      <c r="D31" s="31"/>
      <c r="E31" s="43"/>
      <c r="F31" s="31"/>
    </row>
    <row r="32" spans="1:6">
      <c r="A32" s="34"/>
      <c r="B32" s="160"/>
      <c r="C32" s="7"/>
      <c r="D32" s="31"/>
      <c r="E32" s="43"/>
      <c r="F32" s="31"/>
    </row>
    <row r="33" spans="1:6">
      <c r="A33" s="34"/>
      <c r="B33" s="160"/>
      <c r="C33" s="7"/>
      <c r="D33" s="31"/>
      <c r="E33" s="43"/>
      <c r="F33" s="31"/>
    </row>
    <row r="34" spans="1:6">
      <c r="A34" s="34"/>
      <c r="B34" s="160" t="s">
        <v>13</v>
      </c>
      <c r="C34" s="7"/>
      <c r="D34" s="8"/>
      <c r="E34" s="8"/>
      <c r="F34" s="31"/>
    </row>
    <row r="35" spans="1:6">
      <c r="A35" s="34"/>
      <c r="B35" s="160"/>
      <c r="C35" s="7"/>
      <c r="D35" s="8"/>
      <c r="E35" s="8"/>
      <c r="F35" s="31"/>
    </row>
    <row r="36" spans="1:6">
      <c r="A36" s="34"/>
      <c r="B36" s="160"/>
      <c r="C36" s="7"/>
      <c r="D36" s="8"/>
      <c r="E36" s="8"/>
      <c r="F36" s="31"/>
    </row>
    <row r="37" spans="1:6">
      <c r="A37" s="34"/>
      <c r="B37" s="160"/>
      <c r="C37" s="7"/>
      <c r="D37" s="8"/>
      <c r="E37" s="8"/>
      <c r="F37" s="31"/>
    </row>
    <row r="38" spans="1:6">
      <c r="A38" s="34"/>
      <c r="B38" s="160"/>
      <c r="C38" s="7"/>
      <c r="D38" s="8"/>
      <c r="E38" s="8"/>
      <c r="F38" s="31"/>
    </row>
    <row r="39" spans="1:6">
      <c r="A39" s="34"/>
      <c r="B39" s="160"/>
      <c r="C39" s="7"/>
      <c r="D39" s="8"/>
      <c r="E39" s="8"/>
      <c r="F39" s="31"/>
    </row>
    <row r="40" spans="1:6">
      <c r="A40" s="34"/>
      <c r="B40" s="160"/>
      <c r="C40" s="7"/>
      <c r="D40" s="8"/>
      <c r="E40" s="8"/>
      <c r="F40" s="31"/>
    </row>
    <row r="41" spans="1:6">
      <c r="A41" s="34"/>
      <c r="B41" s="160"/>
      <c r="C41" s="7"/>
      <c r="D41" s="8"/>
      <c r="E41" s="8"/>
      <c r="F41" s="31"/>
    </row>
    <row r="42" spans="1:6">
      <c r="A42" s="34"/>
      <c r="B42" s="160"/>
      <c r="C42" s="7"/>
      <c r="D42" s="8"/>
      <c r="E42" s="8"/>
      <c r="F42" s="31"/>
    </row>
    <row r="43" spans="1:6">
      <c r="A43" s="34"/>
      <c r="B43" s="160"/>
      <c r="C43" s="7"/>
      <c r="D43" s="8"/>
      <c r="E43" s="8"/>
      <c r="F43" s="31"/>
    </row>
    <row r="44" spans="1:6">
      <c r="B44" s="159" t="s">
        <v>55</v>
      </c>
      <c r="C44" s="7"/>
      <c r="D44" s="8"/>
      <c r="E44" s="8"/>
      <c r="F44" s="31"/>
    </row>
    <row r="45" spans="1:6">
      <c r="B45" s="159"/>
      <c r="C45" s="7"/>
      <c r="D45" s="8"/>
      <c r="E45" s="8"/>
      <c r="F45" s="31"/>
    </row>
    <row r="46" spans="1:6">
      <c r="B46" s="159"/>
      <c r="C46" s="7"/>
      <c r="D46" s="8"/>
      <c r="E46" s="8"/>
      <c r="F46" s="31"/>
    </row>
    <row r="47" spans="1:6">
      <c r="B47" s="159"/>
      <c r="C47" s="7"/>
      <c r="D47" s="8"/>
      <c r="E47" s="8"/>
      <c r="F47" s="31"/>
    </row>
    <row r="48" spans="1:6">
      <c r="B48" s="159"/>
      <c r="C48" s="7"/>
      <c r="D48" s="8"/>
      <c r="E48" s="8"/>
      <c r="F48" s="31"/>
    </row>
    <row r="49" spans="2:6">
      <c r="B49" s="159"/>
      <c r="C49" s="7"/>
      <c r="D49" s="8"/>
      <c r="E49" s="8"/>
      <c r="F49" s="31"/>
    </row>
    <row r="50" spans="2:6">
      <c r="B50" s="159"/>
      <c r="C50" s="7"/>
      <c r="D50" s="8"/>
      <c r="E50" s="8"/>
      <c r="F50" s="31"/>
    </row>
    <row r="51" spans="2:6">
      <c r="B51" s="159"/>
      <c r="C51" s="7"/>
      <c r="D51" s="8"/>
      <c r="E51" s="8"/>
      <c r="F51" s="31"/>
    </row>
    <row r="52" spans="2:6">
      <c r="B52" s="159"/>
      <c r="C52" s="7"/>
      <c r="D52" s="8"/>
      <c r="E52" s="8"/>
      <c r="F52" s="31"/>
    </row>
    <row r="53" spans="2:6">
      <c r="B53" s="159"/>
      <c r="C53" s="7"/>
      <c r="D53" s="8"/>
      <c r="E53" s="8"/>
      <c r="F53" s="31"/>
    </row>
  </sheetData>
  <mergeCells count="7">
    <mergeCell ref="B44:B53"/>
    <mergeCell ref="B14:B23"/>
    <mergeCell ref="B24:B33"/>
    <mergeCell ref="B34:B43"/>
    <mergeCell ref="B2:F2"/>
    <mergeCell ref="F9:F10"/>
    <mergeCell ref="B12:F12"/>
  </mergeCells>
  <phoneticPr fontId="1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21CBD-B364-46D3-AA53-B5CDD5A0A6D2}">
  <sheetPr codeName="Sheet3"/>
  <dimension ref="A1:I433"/>
  <sheetViews>
    <sheetView showGridLines="0" zoomScale="85" zoomScaleNormal="85" workbookViewId="0">
      <selection activeCell="I14" sqref="I14"/>
    </sheetView>
  </sheetViews>
  <sheetFormatPr defaultColWidth="10.90625" defaultRowHeight="19.2"/>
  <cols>
    <col min="1" max="2" width="17.6328125" style="123" customWidth="1"/>
    <col min="3" max="3" width="13.6328125" style="123" customWidth="1"/>
    <col min="4" max="4" width="35.6328125" style="123" customWidth="1"/>
    <col min="5" max="5" width="17.6328125" style="123" customWidth="1"/>
    <col min="6" max="6" width="13.6328125" style="123" customWidth="1"/>
    <col min="7" max="7" width="13.6328125" style="127" customWidth="1"/>
    <col min="8" max="9" width="13.6328125" style="123" customWidth="1"/>
    <col min="10" max="16384" width="10.90625" style="123"/>
  </cols>
  <sheetData>
    <row r="1" spans="1:9">
      <c r="A1" s="119" t="s">
        <v>322</v>
      </c>
      <c r="B1" s="119" t="s">
        <v>323</v>
      </c>
      <c r="C1" s="120" t="s">
        <v>324</v>
      </c>
      <c r="D1" s="121" t="s">
        <v>325</v>
      </c>
      <c r="E1" s="121" t="s">
        <v>326</v>
      </c>
      <c r="F1" s="122" t="s">
        <v>327</v>
      </c>
      <c r="G1" s="121" t="s">
        <v>328</v>
      </c>
      <c r="H1" s="121" t="s">
        <v>85</v>
      </c>
      <c r="I1" s="120" t="s">
        <v>86</v>
      </c>
    </row>
    <row r="2" spans="1:9" ht="19.2" customHeight="1">
      <c r="A2" s="119"/>
      <c r="B2" s="119"/>
      <c r="C2" s="120"/>
      <c r="D2" s="120"/>
      <c r="E2" s="165"/>
      <c r="F2" s="165"/>
      <c r="G2" s="124"/>
      <c r="H2" s="125"/>
      <c r="I2" s="120"/>
    </row>
    <row r="3" spans="1:9">
      <c r="A3" s="119"/>
      <c r="B3" s="119"/>
      <c r="C3" s="120"/>
      <c r="D3" s="121"/>
      <c r="E3" s="165"/>
      <c r="F3" s="165"/>
      <c r="G3" s="126"/>
      <c r="H3" s="121"/>
      <c r="I3" s="120"/>
    </row>
    <row r="4" spans="1:9">
      <c r="A4" s="119"/>
      <c r="B4" s="119"/>
      <c r="C4" s="120"/>
      <c r="D4" s="121"/>
      <c r="E4" s="165"/>
      <c r="F4" s="165"/>
      <c r="G4" s="126"/>
      <c r="H4" s="121"/>
      <c r="I4" s="120"/>
    </row>
    <row r="5" spans="1:9">
      <c r="A5" s="119"/>
      <c r="B5" s="119"/>
      <c r="C5" s="120"/>
      <c r="D5" s="121"/>
      <c r="E5" s="165"/>
      <c r="F5" s="165"/>
      <c r="G5" s="126"/>
      <c r="H5" s="121"/>
      <c r="I5" s="120"/>
    </row>
    <row r="6" spans="1:9">
      <c r="A6" s="119"/>
      <c r="B6" s="119"/>
      <c r="C6" s="120"/>
      <c r="D6" s="121"/>
      <c r="E6" s="165"/>
      <c r="F6" s="165"/>
      <c r="G6" s="126"/>
      <c r="H6" s="121"/>
      <c r="I6" s="120"/>
    </row>
    <row r="7" spans="1:9">
      <c r="A7" s="119"/>
      <c r="B7" s="119"/>
      <c r="C7" s="120"/>
      <c r="D7" s="121"/>
      <c r="E7" s="165"/>
      <c r="F7" s="165"/>
      <c r="G7" s="126"/>
      <c r="H7" s="121"/>
      <c r="I7" s="120"/>
    </row>
    <row r="8" spans="1:9">
      <c r="A8" s="119"/>
      <c r="B8" s="119"/>
      <c r="C8" s="120"/>
      <c r="D8" s="121"/>
      <c r="E8" s="165"/>
      <c r="F8" s="165"/>
      <c r="G8" s="126"/>
      <c r="H8" s="121"/>
      <c r="I8" s="120"/>
    </row>
    <row r="9" spans="1:9">
      <c r="A9" s="119"/>
      <c r="B9" s="119"/>
      <c r="C9" s="120"/>
      <c r="D9" s="121"/>
      <c r="E9" s="165"/>
      <c r="F9" s="165"/>
      <c r="G9" s="126"/>
      <c r="H9" s="121"/>
      <c r="I9" s="120"/>
    </row>
    <row r="10" spans="1:9">
      <c r="A10" s="119"/>
      <c r="B10" s="119"/>
      <c r="C10" s="120"/>
      <c r="D10" s="121"/>
      <c r="E10" s="165"/>
      <c r="F10" s="165"/>
      <c r="G10" s="126"/>
      <c r="H10" s="121"/>
      <c r="I10" s="120"/>
    </row>
    <row r="11" spans="1:9">
      <c r="A11" s="119"/>
      <c r="B11" s="119"/>
      <c r="C11" s="120"/>
      <c r="D11" s="121"/>
      <c r="E11" s="165"/>
      <c r="F11" s="165"/>
      <c r="G11" s="126"/>
      <c r="H11" s="121"/>
      <c r="I11" s="120"/>
    </row>
    <row r="12" spans="1:9">
      <c r="A12" s="119"/>
      <c r="B12" s="119"/>
      <c r="C12" s="120"/>
      <c r="D12" s="121"/>
      <c r="E12" s="165"/>
      <c r="F12" s="165"/>
      <c r="G12" s="126"/>
      <c r="H12" s="121"/>
      <c r="I12" s="120"/>
    </row>
    <row r="13" spans="1:9">
      <c r="A13" s="119"/>
      <c r="B13" s="119"/>
      <c r="C13" s="120"/>
      <c r="D13" s="121"/>
      <c r="E13" s="165"/>
      <c r="F13" s="165"/>
      <c r="G13" s="126"/>
      <c r="H13" s="121"/>
      <c r="I13" s="120"/>
    </row>
    <row r="14" spans="1:9">
      <c r="A14" s="119"/>
      <c r="B14" s="119"/>
      <c r="C14" s="120"/>
      <c r="D14" s="121"/>
      <c r="E14" s="164"/>
      <c r="F14" s="164"/>
      <c r="G14" s="126"/>
      <c r="H14" s="121"/>
      <c r="I14" s="120"/>
    </row>
    <row r="15" spans="1:9">
      <c r="A15" s="119"/>
      <c r="B15" s="119"/>
      <c r="C15" s="120"/>
      <c r="D15" s="121"/>
      <c r="E15" s="164"/>
      <c r="F15" s="164"/>
      <c r="G15" s="126"/>
      <c r="H15" s="121"/>
      <c r="I15" s="120"/>
    </row>
    <row r="16" spans="1:9">
      <c r="A16" s="119"/>
      <c r="B16" s="119"/>
      <c r="C16" s="120"/>
      <c r="D16" s="121"/>
      <c r="E16" s="164"/>
      <c r="F16" s="164"/>
      <c r="G16" s="126"/>
      <c r="H16" s="121"/>
      <c r="I16" s="120"/>
    </row>
    <row r="17" spans="1:9">
      <c r="A17" s="119"/>
      <c r="B17" s="119"/>
      <c r="C17" s="120"/>
      <c r="D17" s="121"/>
      <c r="E17" s="164"/>
      <c r="F17" s="164"/>
      <c r="G17" s="126"/>
      <c r="H17" s="121"/>
      <c r="I17" s="120"/>
    </row>
    <row r="18" spans="1:9">
      <c r="A18" s="119"/>
      <c r="B18" s="119"/>
      <c r="C18" s="120"/>
      <c r="D18" s="121"/>
      <c r="E18" s="164"/>
      <c r="F18" s="164"/>
      <c r="G18" s="126"/>
      <c r="H18" s="121"/>
      <c r="I18" s="120"/>
    </row>
    <row r="19" spans="1:9">
      <c r="A19" s="119"/>
      <c r="B19" s="119"/>
      <c r="C19" s="120"/>
      <c r="D19" s="121"/>
      <c r="E19" s="164"/>
      <c r="F19" s="164"/>
      <c r="G19" s="126"/>
      <c r="H19" s="121"/>
      <c r="I19" s="120"/>
    </row>
    <row r="20" spans="1:9">
      <c r="A20" s="119"/>
      <c r="B20" s="119"/>
      <c r="C20" s="120"/>
      <c r="D20" s="121"/>
      <c r="E20" s="164"/>
      <c r="F20" s="164"/>
      <c r="G20" s="126"/>
      <c r="H20" s="121"/>
      <c r="I20" s="120"/>
    </row>
    <row r="21" spans="1:9">
      <c r="A21" s="119"/>
      <c r="B21" s="119"/>
      <c r="C21" s="120"/>
      <c r="D21" s="121"/>
      <c r="E21" s="164"/>
      <c r="F21" s="164"/>
      <c r="G21" s="126"/>
      <c r="H21" s="121"/>
      <c r="I21" s="120"/>
    </row>
    <row r="22" spans="1:9">
      <c r="A22" s="119"/>
      <c r="B22" s="119"/>
      <c r="C22" s="120"/>
      <c r="D22" s="121"/>
      <c r="E22" s="164"/>
      <c r="F22" s="164"/>
      <c r="G22" s="126"/>
      <c r="H22" s="121"/>
      <c r="I22" s="120"/>
    </row>
    <row r="23" spans="1:9">
      <c r="A23" s="119"/>
      <c r="B23" s="119"/>
      <c r="C23" s="120"/>
      <c r="D23" s="121"/>
      <c r="E23" s="164"/>
      <c r="F23" s="164"/>
      <c r="G23" s="126"/>
      <c r="H23" s="121"/>
      <c r="I23" s="120"/>
    </row>
    <row r="24" spans="1:9">
      <c r="A24" s="119"/>
      <c r="B24" s="119"/>
      <c r="C24" s="120"/>
      <c r="D24" s="121"/>
      <c r="E24" s="164"/>
      <c r="F24" s="164"/>
      <c r="G24" s="126"/>
      <c r="H24" s="121"/>
      <c r="I24" s="120"/>
    </row>
    <row r="25" spans="1:9">
      <c r="A25" s="119"/>
      <c r="B25" s="119"/>
      <c r="C25" s="120"/>
      <c r="D25" s="121"/>
      <c r="E25" s="164"/>
      <c r="F25" s="164"/>
      <c r="G25" s="126"/>
      <c r="H25" s="121"/>
      <c r="I25" s="120"/>
    </row>
    <row r="26" spans="1:9">
      <c r="A26" s="119"/>
      <c r="B26" s="119"/>
      <c r="C26" s="120"/>
      <c r="D26" s="121"/>
      <c r="E26" s="164"/>
      <c r="F26" s="164"/>
      <c r="G26" s="126"/>
      <c r="H26" s="121"/>
      <c r="I26" s="120"/>
    </row>
    <row r="27" spans="1:9">
      <c r="A27" s="119"/>
      <c r="B27" s="119"/>
      <c r="C27" s="120"/>
      <c r="D27" s="121"/>
      <c r="E27" s="164"/>
      <c r="F27" s="164"/>
      <c r="G27" s="126"/>
      <c r="H27" s="121"/>
      <c r="I27" s="120"/>
    </row>
    <row r="28" spans="1:9">
      <c r="A28" s="119"/>
      <c r="B28" s="119"/>
      <c r="C28" s="120"/>
      <c r="D28" s="121"/>
      <c r="E28" s="164"/>
      <c r="F28" s="164"/>
      <c r="G28" s="126"/>
      <c r="H28" s="121"/>
      <c r="I28" s="120"/>
    </row>
    <row r="29" spans="1:9">
      <c r="A29" s="119"/>
      <c r="B29" s="119"/>
      <c r="C29" s="120"/>
      <c r="D29" s="121"/>
      <c r="E29" s="164"/>
      <c r="F29" s="164"/>
      <c r="G29" s="126"/>
      <c r="H29" s="121"/>
      <c r="I29" s="120"/>
    </row>
    <row r="30" spans="1:9">
      <c r="A30" s="119"/>
      <c r="B30" s="119"/>
      <c r="C30" s="120"/>
      <c r="D30" s="121"/>
      <c r="E30" s="164"/>
      <c r="F30" s="164"/>
      <c r="G30" s="126"/>
      <c r="H30" s="121"/>
      <c r="I30" s="120"/>
    </row>
    <row r="31" spans="1:9">
      <c r="A31" s="119"/>
      <c r="B31" s="119"/>
      <c r="C31" s="120"/>
      <c r="D31" s="121"/>
      <c r="E31" s="164"/>
      <c r="F31" s="164"/>
      <c r="G31" s="126"/>
      <c r="H31" s="121"/>
      <c r="I31" s="120"/>
    </row>
    <row r="32" spans="1:9">
      <c r="A32" s="119"/>
      <c r="B32" s="119"/>
      <c r="C32" s="120"/>
      <c r="D32" s="121"/>
      <c r="E32" s="164"/>
      <c r="F32" s="164"/>
      <c r="G32" s="126"/>
      <c r="H32" s="121"/>
      <c r="I32" s="120"/>
    </row>
    <row r="33" spans="1:9">
      <c r="A33" s="119"/>
      <c r="B33" s="119"/>
      <c r="C33" s="120"/>
      <c r="D33" s="121"/>
      <c r="E33" s="164"/>
      <c r="F33" s="164"/>
      <c r="G33" s="126"/>
      <c r="H33" s="121"/>
      <c r="I33" s="120"/>
    </row>
    <row r="34" spans="1:9">
      <c r="A34" s="119"/>
      <c r="B34" s="119"/>
      <c r="C34" s="120"/>
      <c r="D34" s="121"/>
      <c r="E34" s="164"/>
      <c r="F34" s="164"/>
      <c r="G34" s="126"/>
      <c r="H34" s="121"/>
      <c r="I34" s="120"/>
    </row>
    <row r="35" spans="1:9">
      <c r="A35" s="119"/>
      <c r="B35" s="119"/>
      <c r="C35" s="120"/>
      <c r="D35" s="121"/>
      <c r="E35" s="164"/>
      <c r="F35" s="164"/>
      <c r="G35" s="126"/>
      <c r="H35" s="121"/>
      <c r="I35" s="120"/>
    </row>
    <row r="36" spans="1:9">
      <c r="A36" s="119"/>
      <c r="B36" s="119"/>
      <c r="C36" s="120"/>
      <c r="D36" s="121"/>
      <c r="E36" s="164"/>
      <c r="F36" s="164"/>
      <c r="G36" s="126"/>
      <c r="H36" s="121"/>
      <c r="I36" s="120"/>
    </row>
    <row r="37" spans="1:9">
      <c r="A37" s="119"/>
      <c r="B37" s="119"/>
      <c r="C37" s="120"/>
      <c r="D37" s="121"/>
      <c r="E37" s="164"/>
      <c r="F37" s="164"/>
      <c r="G37" s="126"/>
      <c r="H37" s="121"/>
      <c r="I37" s="120"/>
    </row>
    <row r="38" spans="1:9">
      <c r="A38" s="119"/>
      <c r="B38" s="119"/>
      <c r="C38" s="120"/>
      <c r="D38" s="121"/>
      <c r="E38" s="164"/>
      <c r="F38" s="164"/>
      <c r="G38" s="126"/>
      <c r="H38" s="121"/>
      <c r="I38" s="120"/>
    </row>
    <row r="39" spans="1:9">
      <c r="A39" s="119"/>
      <c r="B39" s="119"/>
      <c r="C39" s="120"/>
      <c r="D39" s="121"/>
      <c r="E39" s="164"/>
      <c r="F39" s="164"/>
      <c r="G39" s="126"/>
      <c r="H39" s="121"/>
      <c r="I39" s="120"/>
    </row>
    <row r="40" spans="1:9">
      <c r="A40" s="119"/>
      <c r="B40" s="119"/>
      <c r="C40" s="120"/>
      <c r="D40" s="121"/>
      <c r="E40" s="164"/>
      <c r="F40" s="164"/>
      <c r="G40" s="126"/>
      <c r="H40" s="121"/>
      <c r="I40" s="120"/>
    </row>
    <row r="41" spans="1:9">
      <c r="A41" s="119"/>
      <c r="B41" s="119"/>
      <c r="C41" s="120"/>
      <c r="D41" s="121"/>
      <c r="E41" s="164"/>
      <c r="F41" s="164"/>
      <c r="G41" s="126"/>
      <c r="H41" s="121"/>
      <c r="I41" s="120"/>
    </row>
    <row r="42" spans="1:9">
      <c r="A42" s="119"/>
      <c r="B42" s="119"/>
      <c r="C42" s="120"/>
      <c r="D42" s="121"/>
      <c r="E42" s="164"/>
      <c r="F42" s="164"/>
      <c r="G42" s="126"/>
      <c r="H42" s="121"/>
      <c r="I42" s="120"/>
    </row>
    <row r="43" spans="1:9">
      <c r="A43" s="119"/>
      <c r="B43" s="119"/>
      <c r="C43" s="120"/>
      <c r="D43" s="121"/>
      <c r="E43" s="164"/>
      <c r="F43" s="164"/>
      <c r="G43" s="126"/>
      <c r="H43" s="121"/>
      <c r="I43" s="120"/>
    </row>
    <row r="44" spans="1:9">
      <c r="A44" s="119"/>
      <c r="B44" s="119"/>
      <c r="C44" s="120"/>
      <c r="D44" s="121"/>
      <c r="E44" s="164"/>
      <c r="F44" s="164"/>
      <c r="G44" s="126"/>
      <c r="H44" s="121"/>
      <c r="I44" s="120"/>
    </row>
    <row r="45" spans="1:9">
      <c r="A45" s="119"/>
      <c r="B45" s="119"/>
      <c r="C45" s="120"/>
      <c r="D45" s="121"/>
      <c r="E45" s="164"/>
      <c r="F45" s="164"/>
      <c r="G45" s="126"/>
      <c r="H45" s="121"/>
      <c r="I45" s="120"/>
    </row>
    <row r="46" spans="1:9">
      <c r="A46" s="119"/>
      <c r="B46" s="119"/>
      <c r="C46" s="120"/>
      <c r="D46" s="121"/>
      <c r="E46" s="164"/>
      <c r="F46" s="164"/>
      <c r="G46" s="126"/>
      <c r="H46" s="121"/>
      <c r="I46" s="120"/>
    </row>
    <row r="47" spans="1:9">
      <c r="A47" s="119"/>
      <c r="B47" s="119"/>
      <c r="C47" s="120"/>
      <c r="D47" s="121"/>
      <c r="E47" s="164"/>
      <c r="F47" s="164"/>
      <c r="G47" s="126"/>
      <c r="H47" s="121"/>
      <c r="I47" s="120"/>
    </row>
    <row r="48" spans="1:9">
      <c r="A48" s="119"/>
      <c r="B48" s="119"/>
      <c r="C48" s="120"/>
      <c r="D48" s="121"/>
      <c r="E48" s="164"/>
      <c r="F48" s="164"/>
      <c r="G48" s="126"/>
      <c r="H48" s="121"/>
      <c r="I48" s="120"/>
    </row>
    <row r="49" spans="1:9">
      <c r="A49" s="119"/>
      <c r="B49" s="119"/>
      <c r="C49" s="120"/>
      <c r="D49" s="121"/>
      <c r="E49" s="164"/>
      <c r="F49" s="164"/>
      <c r="G49" s="126"/>
      <c r="H49" s="121"/>
      <c r="I49" s="120"/>
    </row>
    <row r="50" spans="1:9">
      <c r="A50" s="119"/>
      <c r="B50" s="119"/>
      <c r="C50" s="120"/>
      <c r="D50" s="121"/>
      <c r="E50" s="164"/>
      <c r="F50" s="164"/>
      <c r="G50" s="126"/>
      <c r="H50" s="121"/>
      <c r="I50" s="120"/>
    </row>
    <row r="51" spans="1:9">
      <c r="A51" s="119"/>
      <c r="B51" s="119"/>
      <c r="C51" s="120"/>
      <c r="D51" s="121"/>
      <c r="E51" s="164"/>
      <c r="F51" s="164"/>
      <c r="G51" s="126"/>
      <c r="H51" s="121"/>
      <c r="I51" s="120"/>
    </row>
    <row r="52" spans="1:9">
      <c r="A52" s="119"/>
      <c r="B52" s="119"/>
      <c r="C52" s="120"/>
      <c r="D52" s="121"/>
      <c r="E52" s="164"/>
      <c r="F52" s="164"/>
      <c r="G52" s="126"/>
      <c r="H52" s="121"/>
      <c r="I52" s="120"/>
    </row>
    <row r="53" spans="1:9">
      <c r="A53" s="119"/>
      <c r="B53" s="119"/>
      <c r="C53" s="120"/>
      <c r="D53" s="121"/>
      <c r="E53" s="164"/>
      <c r="F53" s="164"/>
      <c r="G53" s="126"/>
      <c r="H53" s="121"/>
      <c r="I53" s="120"/>
    </row>
    <row r="54" spans="1:9">
      <c r="A54" s="119"/>
      <c r="B54" s="119"/>
      <c r="C54" s="120"/>
      <c r="D54" s="121"/>
      <c r="E54" s="164"/>
      <c r="F54" s="164"/>
      <c r="G54" s="126"/>
      <c r="H54" s="121"/>
      <c r="I54" s="120"/>
    </row>
    <row r="55" spans="1:9">
      <c r="A55" s="119"/>
      <c r="B55" s="119"/>
      <c r="C55" s="120"/>
      <c r="D55" s="121"/>
      <c r="E55" s="164"/>
      <c r="F55" s="164"/>
      <c r="G55" s="126"/>
      <c r="H55" s="121"/>
      <c r="I55" s="120"/>
    </row>
    <row r="56" spans="1:9">
      <c r="A56" s="119"/>
      <c r="B56" s="119"/>
      <c r="C56" s="120"/>
      <c r="D56" s="121"/>
      <c r="E56" s="164"/>
      <c r="F56" s="164"/>
      <c r="G56" s="126"/>
      <c r="H56" s="121"/>
      <c r="I56" s="120"/>
    </row>
    <row r="57" spans="1:9">
      <c r="A57" s="119"/>
      <c r="B57" s="119"/>
      <c r="C57" s="120"/>
      <c r="D57" s="121"/>
      <c r="E57" s="164"/>
      <c r="F57" s="164"/>
      <c r="G57" s="126"/>
      <c r="H57" s="121"/>
      <c r="I57" s="120"/>
    </row>
    <row r="58" spans="1:9">
      <c r="A58" s="119"/>
      <c r="B58" s="119"/>
      <c r="C58" s="120"/>
      <c r="D58" s="121"/>
      <c r="E58" s="164"/>
      <c r="F58" s="164"/>
      <c r="G58" s="126"/>
      <c r="H58" s="121"/>
      <c r="I58" s="120"/>
    </row>
    <row r="59" spans="1:9">
      <c r="A59" s="119"/>
      <c r="B59" s="119"/>
      <c r="C59" s="120"/>
      <c r="D59" s="121"/>
      <c r="E59" s="164"/>
      <c r="F59" s="164"/>
      <c r="G59" s="126"/>
      <c r="H59" s="121"/>
      <c r="I59" s="120"/>
    </row>
    <row r="60" spans="1:9">
      <c r="A60" s="119"/>
      <c r="B60" s="119"/>
      <c r="C60" s="120"/>
      <c r="D60" s="121"/>
      <c r="E60" s="164"/>
      <c r="F60" s="164"/>
      <c r="G60" s="126"/>
      <c r="H60" s="121"/>
      <c r="I60" s="120"/>
    </row>
    <row r="61" spans="1:9">
      <c r="A61" s="119"/>
      <c r="B61" s="119"/>
      <c r="C61" s="120"/>
      <c r="D61" s="121"/>
      <c r="E61" s="164"/>
      <c r="F61" s="164"/>
      <c r="G61" s="126"/>
      <c r="H61" s="121"/>
      <c r="I61" s="120"/>
    </row>
    <row r="62" spans="1:9">
      <c r="A62" s="119"/>
      <c r="B62" s="119"/>
      <c r="C62" s="120"/>
      <c r="D62" s="121"/>
      <c r="E62" s="164"/>
      <c r="F62" s="164"/>
      <c r="G62" s="126"/>
      <c r="H62" s="121"/>
      <c r="I62" s="120"/>
    </row>
    <row r="63" spans="1:9">
      <c r="A63" s="119"/>
      <c r="B63" s="119"/>
      <c r="C63" s="120"/>
      <c r="D63" s="121"/>
      <c r="E63" s="164"/>
      <c r="F63" s="164"/>
      <c r="G63" s="126"/>
      <c r="H63" s="121"/>
      <c r="I63" s="120"/>
    </row>
    <row r="64" spans="1:9">
      <c r="A64" s="119"/>
      <c r="B64" s="119"/>
      <c r="C64" s="120"/>
      <c r="D64" s="121"/>
      <c r="E64" s="164"/>
      <c r="F64" s="164"/>
      <c r="G64" s="126"/>
      <c r="H64" s="121"/>
      <c r="I64" s="120"/>
    </row>
    <row r="65" spans="1:9">
      <c r="A65" s="119"/>
      <c r="B65" s="119"/>
      <c r="C65" s="120"/>
      <c r="D65" s="121"/>
      <c r="E65" s="164"/>
      <c r="F65" s="164"/>
      <c r="G65" s="126"/>
      <c r="H65" s="121"/>
      <c r="I65" s="120"/>
    </row>
    <row r="66" spans="1:9">
      <c r="A66" s="119"/>
      <c r="B66" s="119"/>
      <c r="C66" s="120"/>
      <c r="D66" s="121"/>
      <c r="E66" s="164"/>
      <c r="F66" s="164"/>
      <c r="G66" s="126"/>
      <c r="H66" s="121"/>
      <c r="I66" s="120"/>
    </row>
    <row r="67" spans="1:9">
      <c r="A67" s="119"/>
      <c r="B67" s="119"/>
      <c r="C67" s="120"/>
      <c r="D67" s="121"/>
      <c r="E67" s="164"/>
      <c r="F67" s="164"/>
      <c r="G67" s="126"/>
      <c r="H67" s="121"/>
      <c r="I67" s="120"/>
    </row>
    <row r="68" spans="1:9">
      <c r="A68" s="119"/>
      <c r="B68" s="119"/>
      <c r="C68" s="120"/>
      <c r="D68" s="121"/>
      <c r="E68" s="164"/>
      <c r="F68" s="164"/>
      <c r="G68" s="126"/>
      <c r="H68" s="121"/>
      <c r="I68" s="120"/>
    </row>
    <row r="69" spans="1:9">
      <c r="A69" s="119"/>
      <c r="B69" s="119"/>
      <c r="C69" s="120"/>
      <c r="D69" s="121"/>
      <c r="E69" s="164"/>
      <c r="F69" s="164"/>
      <c r="G69" s="126"/>
      <c r="H69" s="121"/>
      <c r="I69" s="120"/>
    </row>
    <row r="70" spans="1:9">
      <c r="A70" s="119"/>
      <c r="B70" s="119"/>
      <c r="C70" s="120"/>
      <c r="D70" s="121"/>
      <c r="E70" s="164"/>
      <c r="F70" s="164"/>
      <c r="G70" s="126"/>
      <c r="H70" s="121"/>
      <c r="I70" s="120"/>
    </row>
    <row r="71" spans="1:9">
      <c r="A71" s="119"/>
      <c r="B71" s="119"/>
      <c r="C71" s="120"/>
      <c r="D71" s="121"/>
      <c r="E71" s="164"/>
      <c r="F71" s="164"/>
      <c r="G71" s="126"/>
      <c r="H71" s="121"/>
      <c r="I71" s="120"/>
    </row>
    <row r="72" spans="1:9">
      <c r="A72" s="119"/>
      <c r="B72" s="119"/>
      <c r="C72" s="120"/>
      <c r="D72" s="121"/>
      <c r="E72" s="164"/>
      <c r="F72" s="164"/>
      <c r="G72" s="126"/>
      <c r="H72" s="121"/>
      <c r="I72" s="120"/>
    </row>
    <row r="73" spans="1:9">
      <c r="A73" s="119"/>
      <c r="B73" s="119"/>
      <c r="C73" s="120"/>
      <c r="D73" s="121"/>
      <c r="E73" s="164"/>
      <c r="F73" s="164"/>
      <c r="G73" s="126"/>
      <c r="H73" s="121"/>
      <c r="I73" s="120"/>
    </row>
    <row r="74" spans="1:9">
      <c r="A74" s="119"/>
      <c r="B74" s="119"/>
      <c r="C74" s="120"/>
      <c r="D74" s="121"/>
      <c r="E74" s="164"/>
      <c r="F74" s="164"/>
      <c r="G74" s="126"/>
      <c r="H74" s="121"/>
      <c r="I74" s="120"/>
    </row>
    <row r="75" spans="1:9">
      <c r="A75" s="119"/>
      <c r="B75" s="119"/>
      <c r="C75" s="120"/>
      <c r="D75" s="121"/>
      <c r="E75" s="164"/>
      <c r="F75" s="164"/>
      <c r="G75" s="126"/>
      <c r="H75" s="121"/>
      <c r="I75" s="120"/>
    </row>
    <row r="76" spans="1:9">
      <c r="A76" s="119"/>
      <c r="B76" s="119"/>
      <c r="C76" s="120"/>
      <c r="D76" s="121"/>
      <c r="E76" s="164"/>
      <c r="F76" s="164"/>
      <c r="G76" s="126"/>
      <c r="H76" s="121"/>
      <c r="I76" s="120"/>
    </row>
    <row r="77" spans="1:9">
      <c r="A77" s="119"/>
      <c r="B77" s="119"/>
      <c r="C77" s="120"/>
      <c r="D77" s="121"/>
      <c r="E77" s="164"/>
      <c r="F77" s="164"/>
      <c r="G77" s="126"/>
      <c r="H77" s="121"/>
      <c r="I77" s="120"/>
    </row>
    <row r="78" spans="1:9">
      <c r="A78" s="119"/>
      <c r="B78" s="119"/>
      <c r="C78" s="120"/>
      <c r="D78" s="121"/>
      <c r="E78" s="164"/>
      <c r="F78" s="164"/>
      <c r="G78" s="126"/>
      <c r="H78" s="121"/>
      <c r="I78" s="120"/>
    </row>
    <row r="79" spans="1:9">
      <c r="A79" s="119"/>
      <c r="B79" s="119"/>
      <c r="C79" s="120"/>
      <c r="D79" s="121"/>
      <c r="E79" s="164"/>
      <c r="F79" s="164"/>
      <c r="G79" s="126"/>
      <c r="H79" s="121"/>
      <c r="I79" s="120"/>
    </row>
    <row r="80" spans="1:9">
      <c r="A80" s="119"/>
      <c r="B80" s="119"/>
      <c r="C80" s="120"/>
      <c r="D80" s="121"/>
      <c r="E80" s="164"/>
      <c r="F80" s="164"/>
      <c r="G80" s="126"/>
      <c r="H80" s="121"/>
      <c r="I80" s="120"/>
    </row>
    <row r="81" spans="1:9">
      <c r="A81" s="119"/>
      <c r="B81" s="119"/>
      <c r="C81" s="120"/>
      <c r="D81" s="121"/>
      <c r="E81" s="164"/>
      <c r="F81" s="164"/>
      <c r="G81" s="126"/>
      <c r="H81" s="121"/>
      <c r="I81" s="120"/>
    </row>
    <row r="82" spans="1:9">
      <c r="A82" s="119"/>
      <c r="B82" s="119"/>
      <c r="C82" s="120"/>
      <c r="D82" s="121"/>
      <c r="E82" s="164"/>
      <c r="F82" s="164"/>
      <c r="G82" s="126"/>
      <c r="H82" s="121"/>
      <c r="I82" s="120"/>
    </row>
    <row r="83" spans="1:9">
      <c r="A83" s="119"/>
      <c r="B83" s="119"/>
      <c r="C83" s="120"/>
      <c r="D83" s="121"/>
      <c r="E83" s="164"/>
      <c r="F83" s="164"/>
      <c r="G83" s="126"/>
      <c r="H83" s="121"/>
      <c r="I83" s="120"/>
    </row>
    <row r="84" spans="1:9">
      <c r="A84" s="119"/>
      <c r="B84" s="119"/>
      <c r="C84" s="120"/>
      <c r="D84" s="121"/>
      <c r="E84" s="164"/>
      <c r="F84" s="164"/>
      <c r="G84" s="126"/>
      <c r="H84" s="121"/>
      <c r="I84" s="120"/>
    </row>
    <row r="85" spans="1:9">
      <c r="A85" s="119"/>
      <c r="B85" s="119"/>
      <c r="C85" s="120"/>
      <c r="D85" s="121"/>
      <c r="E85" s="164"/>
      <c r="F85" s="164"/>
      <c r="G85" s="126"/>
      <c r="H85" s="121"/>
      <c r="I85" s="120"/>
    </row>
    <row r="86" spans="1:9">
      <c r="A86" s="119"/>
      <c r="B86" s="119"/>
      <c r="C86" s="120"/>
      <c r="D86" s="121"/>
      <c r="E86" s="164"/>
      <c r="F86" s="164"/>
      <c r="G86" s="126"/>
      <c r="H86" s="121"/>
      <c r="I86" s="120"/>
    </row>
    <row r="87" spans="1:9">
      <c r="A87" s="119"/>
      <c r="B87" s="119"/>
      <c r="C87" s="120"/>
      <c r="D87" s="121"/>
      <c r="E87" s="164"/>
      <c r="F87" s="164"/>
      <c r="G87" s="126"/>
      <c r="H87" s="121"/>
      <c r="I87" s="120"/>
    </row>
    <row r="88" spans="1:9">
      <c r="A88" s="119"/>
      <c r="B88" s="119"/>
      <c r="C88" s="120"/>
      <c r="D88" s="121"/>
      <c r="E88" s="164"/>
      <c r="F88" s="164"/>
      <c r="G88" s="126"/>
      <c r="H88" s="121"/>
      <c r="I88" s="120"/>
    </row>
    <row r="89" spans="1:9">
      <c r="A89" s="119"/>
      <c r="B89" s="119"/>
      <c r="C89" s="120"/>
      <c r="D89" s="121"/>
      <c r="E89" s="164"/>
      <c r="F89" s="164"/>
      <c r="G89" s="126"/>
      <c r="H89" s="121"/>
      <c r="I89" s="120"/>
    </row>
    <row r="90" spans="1:9">
      <c r="A90" s="119"/>
      <c r="B90" s="119"/>
      <c r="C90" s="120"/>
      <c r="D90" s="121"/>
      <c r="E90" s="164"/>
      <c r="F90" s="164"/>
      <c r="G90" s="126"/>
      <c r="H90" s="121"/>
      <c r="I90" s="120"/>
    </row>
    <row r="91" spans="1:9">
      <c r="A91" s="119"/>
      <c r="B91" s="119"/>
      <c r="C91" s="120"/>
      <c r="D91" s="121"/>
      <c r="E91" s="164"/>
      <c r="F91" s="164"/>
      <c r="G91" s="126"/>
      <c r="H91" s="121"/>
      <c r="I91" s="120"/>
    </row>
    <row r="92" spans="1:9">
      <c r="A92" s="119"/>
      <c r="B92" s="119"/>
      <c r="C92" s="120"/>
      <c r="D92" s="121"/>
      <c r="E92" s="164"/>
      <c r="F92" s="164"/>
      <c r="G92" s="126"/>
      <c r="H92" s="121"/>
      <c r="I92" s="120"/>
    </row>
    <row r="93" spans="1:9">
      <c r="A93" s="119"/>
      <c r="B93" s="119"/>
      <c r="C93" s="120"/>
      <c r="D93" s="121"/>
      <c r="E93" s="164"/>
      <c r="F93" s="164"/>
      <c r="G93" s="126"/>
      <c r="H93" s="121"/>
      <c r="I93" s="120"/>
    </row>
    <row r="94" spans="1:9">
      <c r="A94" s="119"/>
      <c r="B94" s="119"/>
      <c r="C94" s="120"/>
      <c r="D94" s="121"/>
      <c r="E94" s="164"/>
      <c r="F94" s="164"/>
      <c r="G94" s="126"/>
      <c r="H94" s="121"/>
      <c r="I94" s="120"/>
    </row>
    <row r="95" spans="1:9">
      <c r="A95" s="119"/>
      <c r="B95" s="119"/>
      <c r="C95" s="120"/>
      <c r="D95" s="121"/>
      <c r="E95" s="164"/>
      <c r="F95" s="164"/>
      <c r="G95" s="126"/>
      <c r="H95" s="121"/>
      <c r="I95" s="120"/>
    </row>
    <row r="96" spans="1:9">
      <c r="A96" s="119"/>
      <c r="B96" s="119"/>
      <c r="C96" s="120"/>
      <c r="D96" s="121"/>
      <c r="E96" s="164"/>
      <c r="F96" s="164"/>
      <c r="G96" s="126"/>
      <c r="H96" s="121"/>
      <c r="I96" s="120"/>
    </row>
    <row r="97" spans="1:9">
      <c r="A97" s="119"/>
      <c r="B97" s="119"/>
      <c r="C97" s="120"/>
      <c r="D97" s="121"/>
      <c r="E97" s="164"/>
      <c r="F97" s="164"/>
      <c r="G97" s="126"/>
      <c r="H97" s="121"/>
      <c r="I97" s="120"/>
    </row>
    <row r="98" spans="1:9">
      <c r="A98" s="119"/>
      <c r="B98" s="119"/>
      <c r="C98" s="120"/>
      <c r="D98" s="121"/>
      <c r="E98" s="164"/>
      <c r="F98" s="164"/>
      <c r="G98" s="126"/>
      <c r="H98" s="121"/>
      <c r="I98" s="120"/>
    </row>
    <row r="99" spans="1:9">
      <c r="A99" s="119"/>
      <c r="B99" s="119"/>
      <c r="C99" s="120"/>
      <c r="D99" s="121"/>
      <c r="E99" s="164"/>
      <c r="F99" s="164"/>
      <c r="G99" s="126"/>
      <c r="H99" s="121"/>
      <c r="I99" s="120"/>
    </row>
    <row r="100" spans="1:9">
      <c r="A100" s="119"/>
      <c r="B100" s="119"/>
      <c r="C100" s="120"/>
      <c r="D100" s="121"/>
      <c r="E100" s="164"/>
      <c r="F100" s="164"/>
      <c r="G100" s="126"/>
      <c r="H100" s="121"/>
      <c r="I100" s="120"/>
    </row>
    <row r="101" spans="1:9">
      <c r="A101" s="119"/>
      <c r="B101" s="119"/>
      <c r="C101" s="120"/>
      <c r="D101" s="121"/>
      <c r="E101" s="164"/>
      <c r="F101" s="164"/>
      <c r="G101" s="126"/>
      <c r="H101" s="121"/>
      <c r="I101" s="120"/>
    </row>
    <row r="102" spans="1:9">
      <c r="A102" s="119"/>
      <c r="B102" s="119"/>
      <c r="C102" s="120"/>
      <c r="D102" s="121"/>
      <c r="E102" s="164"/>
      <c r="F102" s="164"/>
      <c r="G102" s="126"/>
      <c r="H102" s="121"/>
      <c r="I102" s="120"/>
    </row>
    <row r="103" spans="1:9">
      <c r="A103" s="119"/>
      <c r="B103" s="119"/>
      <c r="C103" s="120"/>
      <c r="D103" s="121"/>
      <c r="E103" s="164"/>
      <c r="F103" s="164"/>
      <c r="G103" s="126"/>
      <c r="H103" s="121"/>
      <c r="I103" s="120"/>
    </row>
    <row r="104" spans="1:9">
      <c r="A104" s="119"/>
      <c r="B104" s="119"/>
      <c r="C104" s="120"/>
      <c r="D104" s="121"/>
      <c r="E104" s="164"/>
      <c r="F104" s="164"/>
      <c r="G104" s="126"/>
      <c r="H104" s="121"/>
      <c r="I104" s="120"/>
    </row>
    <row r="105" spans="1:9">
      <c r="A105" s="119"/>
      <c r="B105" s="119"/>
      <c r="C105" s="120"/>
      <c r="D105" s="121"/>
      <c r="E105" s="164"/>
      <c r="F105" s="164"/>
      <c r="G105" s="126"/>
      <c r="H105" s="121"/>
      <c r="I105" s="120"/>
    </row>
    <row r="106" spans="1:9">
      <c r="A106" s="119"/>
      <c r="B106" s="119"/>
      <c r="C106" s="120"/>
      <c r="D106" s="121"/>
      <c r="E106" s="164"/>
      <c r="F106" s="164"/>
      <c r="G106" s="126"/>
      <c r="H106" s="121"/>
      <c r="I106" s="120"/>
    </row>
    <row r="107" spans="1:9">
      <c r="A107" s="119"/>
      <c r="B107" s="119"/>
      <c r="C107" s="120"/>
      <c r="D107" s="121"/>
      <c r="E107" s="164"/>
      <c r="F107" s="164"/>
      <c r="G107" s="126"/>
      <c r="H107" s="121"/>
      <c r="I107" s="120"/>
    </row>
    <row r="108" spans="1:9">
      <c r="A108" s="119"/>
      <c r="B108" s="119"/>
      <c r="C108" s="120"/>
      <c r="D108" s="121"/>
      <c r="E108" s="164"/>
      <c r="F108" s="164"/>
      <c r="G108" s="126"/>
      <c r="H108" s="121"/>
      <c r="I108" s="120"/>
    </row>
    <row r="109" spans="1:9">
      <c r="A109" s="119"/>
      <c r="B109" s="119"/>
      <c r="C109" s="120"/>
      <c r="D109" s="121"/>
      <c r="E109" s="164"/>
      <c r="F109" s="164"/>
      <c r="G109" s="126"/>
      <c r="H109" s="121"/>
      <c r="I109" s="120"/>
    </row>
    <row r="110" spans="1:9">
      <c r="A110" s="119"/>
      <c r="B110" s="119"/>
      <c r="C110" s="120"/>
      <c r="D110" s="121"/>
      <c r="E110" s="164"/>
      <c r="F110" s="164"/>
      <c r="G110" s="126"/>
      <c r="H110" s="121"/>
      <c r="I110" s="120"/>
    </row>
    <row r="111" spans="1:9">
      <c r="A111" s="119"/>
      <c r="B111" s="119"/>
      <c r="C111" s="120"/>
      <c r="D111" s="121"/>
      <c r="E111" s="164"/>
      <c r="F111" s="164"/>
      <c r="G111" s="126"/>
      <c r="H111" s="121"/>
      <c r="I111" s="120"/>
    </row>
    <row r="112" spans="1:9">
      <c r="A112" s="119"/>
      <c r="B112" s="119"/>
      <c r="C112" s="120"/>
      <c r="D112" s="121"/>
      <c r="E112" s="164"/>
      <c r="F112" s="164"/>
      <c r="G112" s="126"/>
      <c r="H112" s="121"/>
      <c r="I112" s="120"/>
    </row>
    <row r="113" spans="1:9">
      <c r="A113" s="119"/>
      <c r="B113" s="119"/>
      <c r="C113" s="120"/>
      <c r="D113" s="121"/>
      <c r="E113" s="164"/>
      <c r="F113" s="164"/>
      <c r="G113" s="126"/>
      <c r="H113" s="121"/>
      <c r="I113" s="120"/>
    </row>
    <row r="114" spans="1:9">
      <c r="A114" s="119"/>
      <c r="B114" s="119"/>
      <c r="C114" s="120"/>
      <c r="D114" s="121"/>
      <c r="E114" s="164"/>
      <c r="F114" s="164"/>
      <c r="G114" s="126"/>
      <c r="H114" s="121"/>
      <c r="I114" s="120"/>
    </row>
    <row r="115" spans="1:9">
      <c r="A115" s="119"/>
      <c r="B115" s="119"/>
      <c r="C115" s="120"/>
      <c r="D115" s="121"/>
      <c r="E115" s="164"/>
      <c r="F115" s="164"/>
      <c r="G115" s="126"/>
      <c r="H115" s="121"/>
      <c r="I115" s="120"/>
    </row>
    <row r="116" spans="1:9">
      <c r="A116" s="119"/>
      <c r="B116" s="119"/>
      <c r="C116" s="120"/>
      <c r="D116" s="121"/>
      <c r="E116" s="164"/>
      <c r="F116" s="164"/>
      <c r="G116" s="126"/>
      <c r="H116" s="121"/>
      <c r="I116" s="120"/>
    </row>
    <row r="117" spans="1:9">
      <c r="A117" s="119"/>
      <c r="B117" s="119"/>
      <c r="C117" s="120"/>
      <c r="D117" s="121"/>
      <c r="E117" s="164"/>
      <c r="F117" s="164"/>
      <c r="G117" s="126"/>
      <c r="H117" s="121"/>
      <c r="I117" s="120"/>
    </row>
    <row r="118" spans="1:9">
      <c r="A118" s="119"/>
      <c r="B118" s="119"/>
      <c r="C118" s="120"/>
      <c r="D118" s="121"/>
      <c r="E118" s="164"/>
      <c r="F118" s="164"/>
      <c r="G118" s="126"/>
      <c r="H118" s="121"/>
      <c r="I118" s="120"/>
    </row>
    <row r="119" spans="1:9">
      <c r="A119" s="119"/>
      <c r="B119" s="119"/>
      <c r="C119" s="120"/>
      <c r="D119" s="121"/>
      <c r="E119" s="164"/>
      <c r="F119" s="164"/>
      <c r="G119" s="126"/>
      <c r="H119" s="121"/>
      <c r="I119" s="120"/>
    </row>
    <row r="120" spans="1:9">
      <c r="A120" s="119"/>
      <c r="B120" s="119"/>
      <c r="C120" s="120"/>
      <c r="D120" s="121"/>
      <c r="E120" s="164"/>
      <c r="F120" s="164"/>
      <c r="G120" s="126"/>
      <c r="H120" s="121"/>
      <c r="I120" s="120"/>
    </row>
    <row r="121" spans="1:9">
      <c r="A121" s="119"/>
      <c r="B121" s="119"/>
      <c r="C121" s="120"/>
      <c r="D121" s="121"/>
      <c r="E121" s="164"/>
      <c r="F121" s="164"/>
      <c r="G121" s="126"/>
      <c r="H121" s="121"/>
      <c r="I121" s="120"/>
    </row>
    <row r="122" spans="1:9">
      <c r="A122" s="119"/>
      <c r="B122" s="119"/>
      <c r="C122" s="120"/>
      <c r="D122" s="121"/>
      <c r="E122" s="164"/>
      <c r="F122" s="164"/>
      <c r="G122" s="126"/>
      <c r="H122" s="121"/>
      <c r="I122" s="120"/>
    </row>
    <row r="123" spans="1:9">
      <c r="A123" s="119"/>
      <c r="B123" s="119"/>
      <c r="C123" s="120"/>
      <c r="D123" s="121"/>
      <c r="E123" s="164"/>
      <c r="F123" s="164"/>
      <c r="G123" s="126"/>
      <c r="H123" s="121"/>
      <c r="I123" s="120"/>
    </row>
    <row r="124" spans="1:9">
      <c r="A124" s="119"/>
      <c r="B124" s="119"/>
      <c r="C124" s="120"/>
      <c r="D124" s="121"/>
      <c r="E124" s="164"/>
      <c r="F124" s="164"/>
      <c r="G124" s="126"/>
      <c r="H124" s="121"/>
      <c r="I124" s="120"/>
    </row>
    <row r="125" spans="1:9">
      <c r="A125" s="119"/>
      <c r="B125" s="119"/>
      <c r="C125" s="120"/>
      <c r="D125" s="121"/>
      <c r="E125" s="164"/>
      <c r="F125" s="164"/>
      <c r="G125" s="126"/>
      <c r="H125" s="121"/>
      <c r="I125" s="120"/>
    </row>
    <row r="126" spans="1:9">
      <c r="A126" s="119"/>
      <c r="B126" s="119"/>
      <c r="C126" s="120"/>
      <c r="D126" s="121"/>
      <c r="E126" s="164"/>
      <c r="F126" s="164"/>
      <c r="G126" s="126"/>
      <c r="H126" s="121"/>
      <c r="I126" s="120"/>
    </row>
    <row r="127" spans="1:9">
      <c r="A127" s="119"/>
      <c r="B127" s="119"/>
      <c r="C127" s="120"/>
      <c r="D127" s="121"/>
      <c r="E127" s="164"/>
      <c r="F127" s="164"/>
      <c r="G127" s="126"/>
      <c r="H127" s="121"/>
      <c r="I127" s="120"/>
    </row>
    <row r="128" spans="1:9">
      <c r="A128" s="119"/>
      <c r="B128" s="119"/>
      <c r="C128" s="120"/>
      <c r="D128" s="121"/>
      <c r="E128" s="164"/>
      <c r="F128" s="164"/>
      <c r="G128" s="126"/>
      <c r="H128" s="121"/>
      <c r="I128" s="120"/>
    </row>
    <row r="129" spans="1:9">
      <c r="A129" s="119"/>
      <c r="B129" s="119"/>
      <c r="C129" s="120"/>
      <c r="D129" s="121"/>
      <c r="E129" s="164"/>
      <c r="F129" s="164"/>
      <c r="G129" s="126"/>
      <c r="H129" s="121"/>
      <c r="I129" s="120"/>
    </row>
    <row r="130" spans="1:9">
      <c r="A130" s="119"/>
      <c r="B130" s="119"/>
      <c r="C130" s="120"/>
      <c r="D130" s="121"/>
      <c r="E130" s="164"/>
      <c r="F130" s="164"/>
      <c r="G130" s="126"/>
      <c r="H130" s="121"/>
      <c r="I130" s="120"/>
    </row>
    <row r="131" spans="1:9">
      <c r="A131" s="119"/>
      <c r="B131" s="119"/>
      <c r="C131" s="120"/>
      <c r="D131" s="121"/>
      <c r="E131" s="164"/>
      <c r="F131" s="164"/>
      <c r="G131" s="126"/>
      <c r="H131" s="121"/>
      <c r="I131" s="120"/>
    </row>
    <row r="132" spans="1:9">
      <c r="A132" s="119"/>
      <c r="B132" s="119"/>
      <c r="C132" s="120"/>
      <c r="D132" s="121"/>
      <c r="E132" s="164"/>
      <c r="F132" s="164"/>
      <c r="G132" s="126"/>
      <c r="H132" s="121"/>
      <c r="I132" s="120"/>
    </row>
    <row r="133" spans="1:9">
      <c r="A133" s="119"/>
      <c r="B133" s="119"/>
      <c r="C133" s="120"/>
      <c r="D133" s="121"/>
      <c r="E133" s="164"/>
      <c r="F133" s="164"/>
      <c r="G133" s="126"/>
      <c r="H133" s="121"/>
      <c r="I133" s="120"/>
    </row>
    <row r="134" spans="1:9">
      <c r="A134" s="119"/>
      <c r="B134" s="119"/>
      <c r="C134" s="120"/>
      <c r="D134" s="121"/>
      <c r="E134" s="164"/>
      <c r="F134" s="164"/>
      <c r="G134" s="126"/>
      <c r="H134" s="121"/>
      <c r="I134" s="120"/>
    </row>
    <row r="135" spans="1:9">
      <c r="A135" s="119"/>
      <c r="B135" s="119"/>
      <c r="C135" s="120"/>
      <c r="D135" s="121"/>
      <c r="E135" s="164"/>
      <c r="F135" s="164"/>
      <c r="G135" s="126"/>
      <c r="H135" s="121"/>
      <c r="I135" s="120"/>
    </row>
    <row r="136" spans="1:9">
      <c r="A136" s="119"/>
      <c r="B136" s="119"/>
      <c r="C136" s="120"/>
      <c r="D136" s="121"/>
      <c r="E136" s="164"/>
      <c r="F136" s="164"/>
      <c r="G136" s="126"/>
      <c r="H136" s="121"/>
      <c r="I136" s="120"/>
    </row>
    <row r="137" spans="1:9">
      <c r="A137" s="119"/>
      <c r="B137" s="119"/>
      <c r="C137" s="120"/>
      <c r="D137" s="121"/>
      <c r="E137" s="164"/>
      <c r="F137" s="164"/>
      <c r="G137" s="126"/>
      <c r="H137" s="121"/>
      <c r="I137" s="120"/>
    </row>
    <row r="138" spans="1:9">
      <c r="A138" s="119"/>
      <c r="B138" s="119"/>
      <c r="C138" s="120"/>
      <c r="D138" s="121"/>
      <c r="E138" s="164"/>
      <c r="F138" s="164"/>
      <c r="G138" s="126"/>
      <c r="H138" s="121"/>
      <c r="I138" s="120"/>
    </row>
    <row r="139" spans="1:9">
      <c r="A139" s="119"/>
      <c r="B139" s="119"/>
      <c r="C139" s="120"/>
      <c r="D139" s="121"/>
      <c r="E139" s="164"/>
      <c r="F139" s="164"/>
      <c r="G139" s="126"/>
      <c r="H139" s="121"/>
      <c r="I139" s="120"/>
    </row>
    <row r="140" spans="1:9">
      <c r="A140" s="119"/>
      <c r="B140" s="119"/>
      <c r="C140" s="120"/>
      <c r="D140" s="121"/>
      <c r="E140" s="164"/>
      <c r="F140" s="164"/>
      <c r="G140" s="126"/>
      <c r="H140" s="121"/>
      <c r="I140" s="120"/>
    </row>
    <row r="141" spans="1:9">
      <c r="A141" s="119"/>
      <c r="B141" s="119"/>
      <c r="C141" s="120"/>
      <c r="D141" s="121"/>
      <c r="E141" s="164"/>
      <c r="F141" s="164"/>
      <c r="G141" s="126"/>
      <c r="H141" s="121"/>
      <c r="I141" s="120"/>
    </row>
    <row r="142" spans="1:9">
      <c r="A142" s="119"/>
      <c r="B142" s="119"/>
      <c r="C142" s="120"/>
      <c r="D142" s="121"/>
      <c r="E142" s="164"/>
      <c r="F142" s="164"/>
      <c r="G142" s="126"/>
      <c r="H142" s="121"/>
      <c r="I142" s="120"/>
    </row>
    <row r="143" spans="1:9">
      <c r="A143" s="119"/>
      <c r="B143" s="119"/>
      <c r="C143" s="120"/>
      <c r="D143" s="121"/>
      <c r="E143" s="164"/>
      <c r="F143" s="164"/>
      <c r="G143" s="126"/>
      <c r="H143" s="121"/>
      <c r="I143" s="120"/>
    </row>
    <row r="144" spans="1:9">
      <c r="A144" s="119"/>
      <c r="B144" s="119"/>
      <c r="C144" s="120"/>
      <c r="D144" s="121"/>
      <c r="E144" s="164"/>
      <c r="F144" s="164"/>
      <c r="G144" s="126"/>
      <c r="H144" s="121"/>
      <c r="I144" s="120"/>
    </row>
    <row r="145" spans="1:9">
      <c r="A145" s="119"/>
      <c r="B145" s="119"/>
      <c r="C145" s="120"/>
      <c r="D145" s="121"/>
      <c r="E145" s="164"/>
      <c r="F145" s="164"/>
      <c r="G145" s="126"/>
      <c r="H145" s="121"/>
      <c r="I145" s="120"/>
    </row>
    <row r="146" spans="1:9">
      <c r="A146" s="119"/>
      <c r="B146" s="119"/>
      <c r="C146" s="120"/>
      <c r="D146" s="121"/>
      <c r="E146" s="164"/>
      <c r="F146" s="164"/>
      <c r="G146" s="126"/>
      <c r="H146" s="121"/>
      <c r="I146" s="120"/>
    </row>
    <row r="147" spans="1:9">
      <c r="A147" s="119"/>
      <c r="B147" s="119"/>
      <c r="C147" s="120"/>
      <c r="D147" s="121"/>
      <c r="E147" s="164"/>
      <c r="F147" s="164"/>
      <c r="G147" s="126"/>
      <c r="H147" s="121"/>
      <c r="I147" s="120"/>
    </row>
    <row r="148" spans="1:9">
      <c r="A148" s="119"/>
      <c r="B148" s="119"/>
      <c r="C148" s="120"/>
      <c r="D148" s="121"/>
      <c r="E148" s="164"/>
      <c r="F148" s="164"/>
      <c r="G148" s="126"/>
      <c r="H148" s="121"/>
      <c r="I148" s="120"/>
    </row>
    <row r="149" spans="1:9">
      <c r="A149" s="119"/>
      <c r="B149" s="119"/>
      <c r="C149" s="120"/>
      <c r="D149" s="121"/>
      <c r="E149" s="164"/>
      <c r="F149" s="164"/>
      <c r="G149" s="126"/>
      <c r="H149" s="121"/>
      <c r="I149" s="120"/>
    </row>
    <row r="150" spans="1:9">
      <c r="A150" s="119"/>
      <c r="B150" s="119"/>
      <c r="C150" s="120"/>
      <c r="D150" s="121"/>
      <c r="E150" s="164"/>
      <c r="F150" s="164"/>
      <c r="G150" s="126"/>
      <c r="H150" s="121"/>
      <c r="I150" s="120"/>
    </row>
    <row r="151" spans="1:9">
      <c r="A151" s="119"/>
      <c r="B151" s="119"/>
      <c r="C151" s="120"/>
      <c r="D151" s="121"/>
      <c r="E151" s="164"/>
      <c r="F151" s="164"/>
      <c r="G151" s="126"/>
      <c r="H151" s="121"/>
      <c r="I151" s="120"/>
    </row>
    <row r="152" spans="1:9">
      <c r="A152" s="119"/>
      <c r="B152" s="119"/>
      <c r="C152" s="120"/>
      <c r="D152" s="121"/>
      <c r="E152" s="164"/>
      <c r="F152" s="164"/>
      <c r="G152" s="126"/>
      <c r="H152" s="121"/>
      <c r="I152" s="120"/>
    </row>
    <row r="153" spans="1:9">
      <c r="A153" s="119"/>
      <c r="B153" s="119"/>
      <c r="C153" s="120"/>
      <c r="D153" s="121"/>
      <c r="E153" s="164"/>
      <c r="F153" s="164"/>
      <c r="G153" s="126"/>
      <c r="H153" s="121"/>
      <c r="I153" s="120"/>
    </row>
    <row r="154" spans="1:9">
      <c r="A154" s="119"/>
      <c r="B154" s="119"/>
      <c r="C154" s="120"/>
      <c r="D154" s="121"/>
      <c r="E154" s="164"/>
      <c r="F154" s="164"/>
      <c r="G154" s="126"/>
      <c r="H154" s="121"/>
      <c r="I154" s="120"/>
    </row>
    <row r="155" spans="1:9">
      <c r="A155" s="119"/>
      <c r="B155" s="119"/>
      <c r="C155" s="120"/>
      <c r="D155" s="121"/>
      <c r="E155" s="164"/>
      <c r="F155" s="164"/>
      <c r="G155" s="126"/>
      <c r="H155" s="121"/>
      <c r="I155" s="120"/>
    </row>
    <row r="156" spans="1:9">
      <c r="A156" s="119"/>
      <c r="B156" s="119"/>
      <c r="C156" s="120"/>
      <c r="D156" s="121"/>
      <c r="E156" s="164"/>
      <c r="F156" s="164"/>
      <c r="G156" s="126"/>
      <c r="H156" s="121"/>
      <c r="I156" s="120"/>
    </row>
    <row r="157" spans="1:9">
      <c r="A157" s="119"/>
      <c r="B157" s="119"/>
      <c r="C157" s="120"/>
      <c r="D157" s="121"/>
      <c r="E157" s="164"/>
      <c r="F157" s="164"/>
      <c r="G157" s="126"/>
      <c r="H157" s="121"/>
      <c r="I157" s="120"/>
    </row>
    <row r="158" spans="1:9">
      <c r="A158" s="119"/>
      <c r="B158" s="119"/>
      <c r="C158" s="120"/>
      <c r="D158" s="121"/>
      <c r="E158" s="164"/>
      <c r="F158" s="164"/>
      <c r="G158" s="126"/>
      <c r="H158" s="121"/>
      <c r="I158" s="120"/>
    </row>
    <row r="159" spans="1:9">
      <c r="A159" s="119"/>
      <c r="B159" s="119"/>
      <c r="C159" s="120"/>
      <c r="D159" s="121"/>
      <c r="E159" s="164"/>
      <c r="F159" s="164"/>
      <c r="G159" s="126"/>
      <c r="H159" s="121"/>
      <c r="I159" s="120"/>
    </row>
    <row r="160" spans="1:9">
      <c r="A160" s="119"/>
      <c r="B160" s="119"/>
      <c r="C160" s="120"/>
      <c r="D160" s="121"/>
      <c r="E160" s="164"/>
      <c r="F160" s="164"/>
      <c r="G160" s="126"/>
      <c r="H160" s="121"/>
      <c r="I160" s="120"/>
    </row>
    <row r="161" spans="1:9">
      <c r="A161" s="119"/>
      <c r="B161" s="119"/>
      <c r="C161" s="120"/>
      <c r="D161" s="121"/>
      <c r="E161" s="164"/>
      <c r="F161" s="164"/>
      <c r="G161" s="126"/>
      <c r="H161" s="121"/>
      <c r="I161" s="120"/>
    </row>
    <row r="162" spans="1:9">
      <c r="A162" s="119"/>
      <c r="B162" s="119"/>
      <c r="C162" s="120"/>
      <c r="D162" s="121"/>
      <c r="E162" s="164"/>
      <c r="F162" s="164"/>
      <c r="G162" s="126"/>
      <c r="H162" s="121"/>
      <c r="I162" s="120"/>
    </row>
    <row r="163" spans="1:9">
      <c r="A163" s="119"/>
      <c r="B163" s="119"/>
      <c r="C163" s="120"/>
      <c r="D163" s="121"/>
      <c r="E163" s="164"/>
      <c r="F163" s="164"/>
      <c r="G163" s="126"/>
      <c r="H163" s="121"/>
      <c r="I163" s="120"/>
    </row>
    <row r="164" spans="1:9">
      <c r="A164" s="119"/>
      <c r="B164" s="119"/>
      <c r="C164" s="120"/>
      <c r="D164" s="121"/>
      <c r="E164" s="164"/>
      <c r="F164" s="164"/>
      <c r="G164" s="126"/>
      <c r="H164" s="121"/>
      <c r="I164" s="120"/>
    </row>
    <row r="165" spans="1:9">
      <c r="A165" s="119"/>
      <c r="B165" s="119"/>
      <c r="C165" s="120"/>
      <c r="D165" s="121"/>
      <c r="E165" s="164"/>
      <c r="F165" s="164"/>
      <c r="G165" s="126"/>
      <c r="H165" s="121"/>
      <c r="I165" s="120"/>
    </row>
    <row r="166" spans="1:9">
      <c r="A166" s="119"/>
      <c r="B166" s="119"/>
      <c r="C166" s="120"/>
      <c r="D166" s="121"/>
      <c r="E166" s="164"/>
      <c r="F166" s="164"/>
      <c r="G166" s="126"/>
      <c r="H166" s="121"/>
      <c r="I166" s="120"/>
    </row>
    <row r="167" spans="1:9">
      <c r="A167" s="119"/>
      <c r="B167" s="119"/>
      <c r="C167" s="120"/>
      <c r="D167" s="121"/>
      <c r="E167" s="164"/>
      <c r="F167" s="164"/>
      <c r="G167" s="126"/>
      <c r="H167" s="121"/>
      <c r="I167" s="120"/>
    </row>
    <row r="168" spans="1:9">
      <c r="A168" s="119"/>
      <c r="B168" s="119"/>
      <c r="C168" s="120"/>
      <c r="D168" s="121"/>
      <c r="E168" s="164"/>
      <c r="F168" s="164"/>
      <c r="G168" s="126"/>
      <c r="H168" s="121"/>
      <c r="I168" s="120"/>
    </row>
    <row r="169" spans="1:9">
      <c r="A169" s="119"/>
      <c r="B169" s="119"/>
      <c r="C169" s="120"/>
      <c r="D169" s="121"/>
      <c r="E169" s="164"/>
      <c r="F169" s="164"/>
      <c r="G169" s="126"/>
      <c r="H169" s="121"/>
      <c r="I169" s="120"/>
    </row>
    <row r="170" spans="1:9">
      <c r="A170" s="119"/>
      <c r="B170" s="119"/>
      <c r="C170" s="120"/>
      <c r="D170" s="121"/>
      <c r="E170" s="164"/>
      <c r="F170" s="164"/>
      <c r="G170" s="126"/>
      <c r="H170" s="121"/>
      <c r="I170" s="120"/>
    </row>
    <row r="171" spans="1:9">
      <c r="A171" s="119"/>
      <c r="B171" s="119"/>
      <c r="C171" s="120"/>
      <c r="D171" s="121"/>
      <c r="E171" s="164"/>
      <c r="F171" s="164"/>
      <c r="G171" s="126"/>
      <c r="H171" s="121"/>
      <c r="I171" s="120"/>
    </row>
    <row r="172" spans="1:9">
      <c r="A172" s="119"/>
      <c r="B172" s="119"/>
      <c r="C172" s="120"/>
      <c r="D172" s="121"/>
      <c r="E172" s="164"/>
      <c r="F172" s="164"/>
      <c r="G172" s="126"/>
      <c r="H172" s="121"/>
      <c r="I172" s="120"/>
    </row>
    <row r="173" spans="1:9">
      <c r="A173" s="119"/>
      <c r="B173" s="119"/>
      <c r="C173" s="120"/>
      <c r="D173" s="121"/>
      <c r="E173" s="164"/>
      <c r="F173" s="164"/>
      <c r="G173" s="126"/>
      <c r="H173" s="121"/>
      <c r="I173" s="120"/>
    </row>
    <row r="174" spans="1:9">
      <c r="A174" s="119"/>
      <c r="B174" s="119"/>
      <c r="C174" s="120"/>
      <c r="D174" s="121"/>
      <c r="E174" s="164"/>
      <c r="F174" s="164"/>
      <c r="G174" s="126"/>
      <c r="H174" s="121"/>
      <c r="I174" s="120"/>
    </row>
    <row r="175" spans="1:9">
      <c r="A175" s="119"/>
      <c r="B175" s="119"/>
      <c r="C175" s="120"/>
      <c r="D175" s="121"/>
      <c r="E175" s="164"/>
      <c r="F175" s="164"/>
      <c r="G175" s="126"/>
      <c r="H175" s="121"/>
      <c r="I175" s="120"/>
    </row>
    <row r="176" spans="1:9">
      <c r="A176" s="119"/>
      <c r="B176" s="119"/>
      <c r="C176" s="120"/>
      <c r="D176" s="121"/>
      <c r="E176" s="164"/>
      <c r="F176" s="164"/>
      <c r="G176" s="126"/>
      <c r="H176" s="121"/>
      <c r="I176" s="120"/>
    </row>
    <row r="177" spans="1:9">
      <c r="A177" s="119"/>
      <c r="B177" s="119"/>
      <c r="C177" s="120"/>
      <c r="D177" s="121"/>
      <c r="E177" s="164"/>
      <c r="F177" s="164"/>
      <c r="G177" s="126"/>
      <c r="H177" s="121"/>
      <c r="I177" s="120"/>
    </row>
    <row r="178" spans="1:9">
      <c r="A178" s="119"/>
      <c r="B178" s="119"/>
      <c r="C178" s="120"/>
      <c r="D178" s="121"/>
      <c r="E178" s="164"/>
      <c r="F178" s="164"/>
      <c r="G178" s="126"/>
      <c r="H178" s="121"/>
      <c r="I178" s="120"/>
    </row>
    <row r="179" spans="1:9">
      <c r="A179" s="119"/>
      <c r="B179" s="119"/>
      <c r="C179" s="120"/>
      <c r="D179" s="121"/>
      <c r="E179" s="164"/>
      <c r="F179" s="164"/>
      <c r="G179" s="126"/>
      <c r="H179" s="121"/>
      <c r="I179" s="120"/>
    </row>
    <row r="180" spans="1:9">
      <c r="A180" s="119"/>
      <c r="B180" s="119"/>
      <c r="C180" s="120"/>
      <c r="D180" s="121"/>
      <c r="E180" s="164"/>
      <c r="F180" s="164"/>
      <c r="G180" s="126"/>
      <c r="H180" s="121"/>
      <c r="I180" s="120"/>
    </row>
    <row r="181" spans="1:9">
      <c r="A181" s="119"/>
      <c r="B181" s="119"/>
      <c r="C181" s="120"/>
      <c r="D181" s="121"/>
      <c r="E181" s="164"/>
      <c r="F181" s="164"/>
      <c r="G181" s="126"/>
      <c r="H181" s="121"/>
      <c r="I181" s="120"/>
    </row>
    <row r="182" spans="1:9">
      <c r="A182" s="119"/>
      <c r="B182" s="119"/>
      <c r="C182" s="120"/>
      <c r="D182" s="121"/>
      <c r="E182" s="164"/>
      <c r="F182" s="164"/>
      <c r="G182" s="126"/>
      <c r="H182" s="121"/>
      <c r="I182" s="120"/>
    </row>
    <row r="183" spans="1:9">
      <c r="A183" s="119"/>
      <c r="B183" s="119"/>
      <c r="C183" s="120"/>
      <c r="D183" s="121"/>
      <c r="E183" s="164"/>
      <c r="F183" s="164"/>
      <c r="G183" s="126"/>
      <c r="H183" s="121"/>
      <c r="I183" s="120"/>
    </row>
    <row r="184" spans="1:9">
      <c r="A184" s="119"/>
      <c r="B184" s="119"/>
      <c r="C184" s="120"/>
      <c r="D184" s="121"/>
      <c r="E184" s="164"/>
      <c r="F184" s="164"/>
      <c r="G184" s="126"/>
      <c r="H184" s="121"/>
      <c r="I184" s="120"/>
    </row>
    <row r="185" spans="1:9">
      <c r="A185" s="119"/>
      <c r="B185" s="119"/>
      <c r="C185" s="120"/>
      <c r="D185" s="121"/>
      <c r="E185" s="164"/>
      <c r="F185" s="164"/>
      <c r="G185" s="126"/>
      <c r="H185" s="121"/>
      <c r="I185" s="120"/>
    </row>
    <row r="186" spans="1:9">
      <c r="A186" s="119"/>
      <c r="B186" s="119"/>
      <c r="C186" s="120"/>
      <c r="D186" s="121"/>
      <c r="E186" s="164"/>
      <c r="F186" s="164"/>
      <c r="G186" s="126"/>
      <c r="H186" s="121"/>
      <c r="I186" s="120"/>
    </row>
    <row r="187" spans="1:9">
      <c r="A187" s="119"/>
      <c r="B187" s="119"/>
      <c r="C187" s="120"/>
      <c r="D187" s="121"/>
      <c r="E187" s="164"/>
      <c r="F187" s="164"/>
      <c r="G187" s="126"/>
      <c r="H187" s="121"/>
      <c r="I187" s="120"/>
    </row>
    <row r="188" spans="1:9">
      <c r="A188" s="119"/>
      <c r="B188" s="119"/>
      <c r="C188" s="120"/>
      <c r="D188" s="121"/>
      <c r="E188" s="164"/>
      <c r="F188" s="164"/>
      <c r="G188" s="126"/>
      <c r="H188" s="121"/>
      <c r="I188" s="120"/>
    </row>
    <row r="189" spans="1:9">
      <c r="A189" s="119"/>
      <c r="B189" s="119"/>
      <c r="C189" s="120"/>
      <c r="D189" s="121"/>
      <c r="E189" s="164"/>
      <c r="F189" s="164"/>
      <c r="G189" s="126"/>
      <c r="H189" s="121"/>
      <c r="I189" s="120"/>
    </row>
    <row r="190" spans="1:9">
      <c r="A190" s="119"/>
      <c r="B190" s="119"/>
      <c r="C190" s="120"/>
      <c r="D190" s="121"/>
      <c r="E190" s="164"/>
      <c r="F190" s="164"/>
      <c r="G190" s="126"/>
      <c r="H190" s="121"/>
      <c r="I190" s="120"/>
    </row>
    <row r="191" spans="1:9">
      <c r="A191" s="119"/>
      <c r="B191" s="119"/>
      <c r="C191" s="120"/>
      <c r="D191" s="121"/>
      <c r="E191" s="164"/>
      <c r="F191" s="164"/>
      <c r="G191" s="126"/>
      <c r="H191" s="121"/>
      <c r="I191" s="120"/>
    </row>
    <row r="192" spans="1:9">
      <c r="A192" s="119"/>
      <c r="B192" s="119"/>
      <c r="C192" s="120"/>
      <c r="D192" s="121"/>
      <c r="E192" s="164"/>
      <c r="F192" s="164"/>
      <c r="G192" s="126"/>
      <c r="H192" s="121"/>
      <c r="I192" s="120"/>
    </row>
    <row r="193" spans="1:9">
      <c r="A193" s="119"/>
      <c r="B193" s="119"/>
      <c r="C193" s="120"/>
      <c r="D193" s="121"/>
      <c r="E193" s="164"/>
      <c r="F193" s="164"/>
      <c r="G193" s="126"/>
      <c r="H193" s="121"/>
      <c r="I193" s="120"/>
    </row>
    <row r="194" spans="1:9">
      <c r="A194" s="119"/>
      <c r="B194" s="119"/>
      <c r="C194" s="120"/>
      <c r="D194" s="121"/>
      <c r="E194" s="164"/>
      <c r="F194" s="164"/>
      <c r="G194" s="126"/>
      <c r="H194" s="121"/>
      <c r="I194" s="120"/>
    </row>
    <row r="195" spans="1:9">
      <c r="A195" s="119"/>
      <c r="B195" s="119"/>
      <c r="C195" s="120"/>
      <c r="D195" s="121"/>
      <c r="E195" s="164"/>
      <c r="F195" s="164"/>
      <c r="G195" s="126"/>
      <c r="H195" s="121"/>
      <c r="I195" s="120"/>
    </row>
    <row r="196" spans="1:9">
      <c r="A196" s="119"/>
      <c r="B196" s="119"/>
      <c r="C196" s="120"/>
      <c r="D196" s="121"/>
      <c r="E196" s="164"/>
      <c r="F196" s="164"/>
      <c r="G196" s="126"/>
      <c r="H196" s="121"/>
      <c r="I196" s="120"/>
    </row>
    <row r="197" spans="1:9">
      <c r="A197" s="119"/>
      <c r="B197" s="119"/>
      <c r="C197" s="120"/>
      <c r="D197" s="121"/>
      <c r="E197" s="164"/>
      <c r="F197" s="164"/>
      <c r="G197" s="126"/>
      <c r="H197" s="121"/>
      <c r="I197" s="120"/>
    </row>
    <row r="198" spans="1:9">
      <c r="A198" s="119"/>
      <c r="B198" s="119"/>
      <c r="C198" s="120"/>
      <c r="D198" s="121"/>
      <c r="E198" s="164"/>
      <c r="F198" s="164"/>
      <c r="G198" s="126"/>
      <c r="H198" s="121"/>
      <c r="I198" s="120"/>
    </row>
    <row r="199" spans="1:9">
      <c r="A199" s="119"/>
      <c r="B199" s="119"/>
      <c r="C199" s="120"/>
      <c r="D199" s="121"/>
      <c r="E199" s="164"/>
      <c r="F199" s="164"/>
      <c r="G199" s="126"/>
      <c r="H199" s="121"/>
      <c r="I199" s="120"/>
    </row>
    <row r="200" spans="1:9">
      <c r="A200" s="119"/>
      <c r="B200" s="119"/>
      <c r="C200" s="120"/>
      <c r="D200" s="121"/>
      <c r="E200" s="164"/>
      <c r="F200" s="164"/>
      <c r="G200" s="126"/>
      <c r="H200" s="121"/>
      <c r="I200" s="120"/>
    </row>
    <row r="201" spans="1:9">
      <c r="A201" s="119"/>
      <c r="B201" s="119"/>
      <c r="C201" s="120"/>
      <c r="D201" s="121"/>
      <c r="E201" s="164"/>
      <c r="F201" s="164"/>
      <c r="G201" s="126"/>
      <c r="H201" s="121"/>
      <c r="I201" s="120"/>
    </row>
    <row r="202" spans="1:9">
      <c r="A202" s="119"/>
      <c r="B202" s="119"/>
      <c r="C202" s="120"/>
      <c r="D202" s="121"/>
      <c r="E202" s="164"/>
      <c r="F202" s="164"/>
      <c r="G202" s="126"/>
      <c r="H202" s="121"/>
      <c r="I202" s="120"/>
    </row>
    <row r="203" spans="1:9">
      <c r="A203" s="119"/>
      <c r="B203" s="119"/>
      <c r="C203" s="120"/>
      <c r="D203" s="121"/>
      <c r="E203" s="164"/>
      <c r="F203" s="164"/>
      <c r="G203" s="126"/>
      <c r="H203" s="121"/>
      <c r="I203" s="120"/>
    </row>
    <row r="204" spans="1:9">
      <c r="A204" s="119"/>
      <c r="B204" s="119"/>
      <c r="C204" s="120"/>
      <c r="D204" s="121"/>
      <c r="E204" s="164"/>
      <c r="F204" s="164"/>
      <c r="G204" s="126"/>
      <c r="H204" s="121"/>
      <c r="I204" s="120"/>
    </row>
    <row r="205" spans="1:9">
      <c r="A205" s="119"/>
      <c r="B205" s="119"/>
      <c r="C205" s="120"/>
      <c r="D205" s="121"/>
      <c r="E205" s="164"/>
      <c r="F205" s="164"/>
      <c r="G205" s="126"/>
      <c r="H205" s="121"/>
      <c r="I205" s="120"/>
    </row>
    <row r="206" spans="1:9">
      <c r="A206" s="119"/>
      <c r="B206" s="119"/>
      <c r="C206" s="120"/>
      <c r="D206" s="121"/>
      <c r="E206" s="164"/>
      <c r="F206" s="164"/>
      <c r="G206" s="126"/>
      <c r="H206" s="121"/>
      <c r="I206" s="120"/>
    </row>
    <row r="207" spans="1:9">
      <c r="A207" s="119"/>
      <c r="B207" s="119"/>
      <c r="C207" s="120"/>
      <c r="D207" s="121"/>
      <c r="E207" s="164"/>
      <c r="F207" s="164"/>
      <c r="G207" s="126"/>
      <c r="H207" s="121"/>
      <c r="I207" s="120"/>
    </row>
    <row r="208" spans="1:9">
      <c r="A208" s="119"/>
      <c r="B208" s="119"/>
      <c r="C208" s="120"/>
      <c r="D208" s="121"/>
      <c r="E208" s="164"/>
      <c r="F208" s="164"/>
      <c r="G208" s="126"/>
      <c r="H208" s="121"/>
      <c r="I208" s="120"/>
    </row>
    <row r="209" spans="1:9">
      <c r="A209" s="119"/>
      <c r="B209" s="119"/>
      <c r="C209" s="120"/>
      <c r="D209" s="121"/>
      <c r="E209" s="164"/>
      <c r="F209" s="164"/>
      <c r="G209" s="126"/>
      <c r="H209" s="121"/>
      <c r="I209" s="120"/>
    </row>
    <row r="210" spans="1:9">
      <c r="A210" s="119"/>
      <c r="B210" s="119"/>
      <c r="C210" s="120"/>
      <c r="D210" s="121"/>
      <c r="E210" s="164"/>
      <c r="F210" s="164"/>
      <c r="G210" s="126"/>
      <c r="H210" s="121"/>
      <c r="I210" s="120"/>
    </row>
    <row r="211" spans="1:9">
      <c r="A211" s="119"/>
      <c r="B211" s="119"/>
      <c r="C211" s="120"/>
      <c r="D211" s="121"/>
      <c r="E211" s="164"/>
      <c r="F211" s="164"/>
      <c r="G211" s="126"/>
      <c r="H211" s="121"/>
      <c r="I211" s="120"/>
    </row>
    <row r="212" spans="1:9">
      <c r="A212" s="119"/>
      <c r="B212" s="119"/>
      <c r="C212" s="120"/>
      <c r="D212" s="121"/>
      <c r="E212" s="164"/>
      <c r="F212" s="164"/>
      <c r="G212" s="126"/>
      <c r="H212" s="121"/>
      <c r="I212" s="120"/>
    </row>
    <row r="213" spans="1:9">
      <c r="A213" s="119"/>
      <c r="B213" s="119"/>
      <c r="C213" s="120"/>
      <c r="D213" s="121"/>
      <c r="E213" s="164"/>
      <c r="F213" s="164"/>
      <c r="G213" s="126"/>
      <c r="H213" s="121"/>
      <c r="I213" s="120"/>
    </row>
    <row r="214" spans="1:9">
      <c r="A214" s="119"/>
      <c r="B214" s="119"/>
      <c r="C214" s="120"/>
      <c r="D214" s="121"/>
      <c r="E214" s="164"/>
      <c r="F214" s="164"/>
      <c r="G214" s="126"/>
      <c r="H214" s="121"/>
      <c r="I214" s="120"/>
    </row>
    <row r="215" spans="1:9">
      <c r="A215" s="119"/>
      <c r="B215" s="119"/>
      <c r="C215" s="120"/>
      <c r="D215" s="121"/>
      <c r="E215" s="164"/>
      <c r="F215" s="164"/>
      <c r="G215" s="126"/>
      <c r="H215" s="121"/>
      <c r="I215" s="120"/>
    </row>
    <row r="216" spans="1:9">
      <c r="A216" s="119"/>
      <c r="B216" s="119"/>
      <c r="C216" s="120"/>
      <c r="D216" s="121"/>
      <c r="E216" s="164"/>
      <c r="F216" s="164"/>
      <c r="G216" s="126"/>
      <c r="H216" s="121"/>
      <c r="I216" s="120"/>
    </row>
    <row r="217" spans="1:9">
      <c r="A217" s="119"/>
      <c r="B217" s="119"/>
      <c r="C217" s="120"/>
      <c r="D217" s="121"/>
      <c r="E217" s="164"/>
      <c r="F217" s="164"/>
      <c r="G217" s="126"/>
      <c r="H217" s="121"/>
      <c r="I217" s="120"/>
    </row>
    <row r="218" spans="1:9">
      <c r="A218" s="119"/>
      <c r="B218" s="119"/>
      <c r="C218" s="120"/>
      <c r="D218" s="121"/>
      <c r="E218" s="164"/>
      <c r="F218" s="164"/>
      <c r="G218" s="126"/>
      <c r="H218" s="121"/>
      <c r="I218" s="120"/>
    </row>
    <row r="219" spans="1:9">
      <c r="A219" s="119"/>
      <c r="B219" s="119"/>
      <c r="C219" s="120"/>
      <c r="D219" s="121"/>
      <c r="E219" s="164"/>
      <c r="F219" s="164"/>
      <c r="G219" s="126"/>
      <c r="H219" s="121"/>
      <c r="I219" s="120"/>
    </row>
    <row r="220" spans="1:9">
      <c r="A220" s="119"/>
      <c r="B220" s="119"/>
      <c r="C220" s="120"/>
      <c r="D220" s="121"/>
      <c r="E220" s="164"/>
      <c r="F220" s="164"/>
      <c r="G220" s="126"/>
      <c r="H220" s="121"/>
      <c r="I220" s="120"/>
    </row>
    <row r="221" spans="1:9">
      <c r="A221" s="119"/>
      <c r="B221" s="119"/>
      <c r="C221" s="120"/>
      <c r="D221" s="121"/>
      <c r="E221" s="164"/>
      <c r="F221" s="164"/>
      <c r="G221" s="126"/>
      <c r="H221" s="121"/>
      <c r="I221" s="120"/>
    </row>
    <row r="222" spans="1:9">
      <c r="A222" s="119"/>
      <c r="B222" s="119"/>
      <c r="C222" s="120"/>
      <c r="D222" s="121"/>
      <c r="E222" s="164"/>
      <c r="F222" s="164"/>
      <c r="G222" s="126"/>
      <c r="H222" s="121"/>
      <c r="I222" s="120"/>
    </row>
    <row r="223" spans="1:9">
      <c r="A223" s="119"/>
      <c r="B223" s="119"/>
      <c r="C223" s="120"/>
      <c r="D223" s="121"/>
      <c r="E223" s="164"/>
      <c r="F223" s="164"/>
      <c r="G223" s="126"/>
      <c r="H223" s="121"/>
      <c r="I223" s="120"/>
    </row>
    <row r="224" spans="1:9">
      <c r="A224" s="119"/>
      <c r="B224" s="119"/>
      <c r="C224" s="120"/>
      <c r="D224" s="121"/>
      <c r="E224" s="164"/>
      <c r="F224" s="164"/>
      <c r="G224" s="126"/>
      <c r="H224" s="121"/>
      <c r="I224" s="120"/>
    </row>
    <row r="225" spans="1:9">
      <c r="A225" s="119"/>
      <c r="B225" s="119"/>
      <c r="C225" s="120"/>
      <c r="D225" s="121"/>
      <c r="E225" s="164"/>
      <c r="F225" s="164"/>
      <c r="G225" s="126"/>
      <c r="H225" s="121"/>
      <c r="I225" s="120"/>
    </row>
    <row r="226" spans="1:9">
      <c r="A226" s="119"/>
      <c r="B226" s="119"/>
      <c r="C226" s="120"/>
      <c r="D226" s="121"/>
      <c r="E226" s="164"/>
      <c r="F226" s="164"/>
      <c r="G226" s="126"/>
      <c r="H226" s="121"/>
      <c r="I226" s="120"/>
    </row>
    <row r="227" spans="1:9">
      <c r="A227" s="119"/>
      <c r="B227" s="119"/>
      <c r="C227" s="120"/>
      <c r="D227" s="121"/>
      <c r="E227" s="164"/>
      <c r="F227" s="164"/>
      <c r="G227" s="126"/>
      <c r="H227" s="121"/>
      <c r="I227" s="120"/>
    </row>
    <row r="228" spans="1:9">
      <c r="A228" s="119"/>
      <c r="B228" s="119"/>
      <c r="C228" s="120"/>
      <c r="D228" s="121"/>
      <c r="E228" s="164"/>
      <c r="F228" s="164"/>
      <c r="G228" s="126"/>
      <c r="H228" s="121"/>
      <c r="I228" s="120"/>
    </row>
    <row r="229" spans="1:9">
      <c r="A229" s="119"/>
      <c r="B229" s="119"/>
      <c r="C229" s="120"/>
      <c r="D229" s="121"/>
      <c r="E229" s="164"/>
      <c r="F229" s="164"/>
      <c r="G229" s="126"/>
      <c r="H229" s="121"/>
      <c r="I229" s="120"/>
    </row>
    <row r="230" spans="1:9">
      <c r="A230" s="119"/>
      <c r="B230" s="119"/>
      <c r="C230" s="120"/>
      <c r="D230" s="121"/>
      <c r="E230" s="164"/>
      <c r="F230" s="164"/>
      <c r="G230" s="126"/>
      <c r="H230" s="121"/>
      <c r="I230" s="120"/>
    </row>
    <row r="231" spans="1:9">
      <c r="A231" s="119"/>
      <c r="B231" s="119"/>
      <c r="C231" s="120"/>
      <c r="D231" s="121"/>
      <c r="E231" s="164"/>
      <c r="F231" s="164"/>
      <c r="G231" s="126"/>
      <c r="H231" s="121"/>
      <c r="I231" s="120"/>
    </row>
    <row r="232" spans="1:9">
      <c r="A232" s="119"/>
      <c r="B232" s="119"/>
      <c r="C232" s="120"/>
      <c r="D232" s="121"/>
      <c r="E232" s="164"/>
      <c r="F232" s="164"/>
      <c r="G232" s="126"/>
      <c r="H232" s="121"/>
      <c r="I232" s="120"/>
    </row>
    <row r="233" spans="1:9">
      <c r="A233" s="119"/>
      <c r="B233" s="119"/>
      <c r="C233" s="120"/>
      <c r="D233" s="121"/>
      <c r="E233" s="164"/>
      <c r="F233" s="164"/>
      <c r="G233" s="126"/>
      <c r="H233" s="121"/>
      <c r="I233" s="120"/>
    </row>
    <row r="234" spans="1:9">
      <c r="A234" s="119"/>
      <c r="B234" s="119"/>
      <c r="C234" s="120"/>
      <c r="D234" s="121"/>
      <c r="E234" s="164"/>
      <c r="F234" s="164"/>
      <c r="G234" s="126"/>
      <c r="H234" s="121"/>
      <c r="I234" s="120"/>
    </row>
    <row r="235" spans="1:9">
      <c r="A235" s="119"/>
      <c r="B235" s="119"/>
      <c r="C235" s="120"/>
      <c r="D235" s="121"/>
      <c r="E235" s="164"/>
      <c r="F235" s="164"/>
      <c r="G235" s="126"/>
      <c r="H235" s="121"/>
      <c r="I235" s="120"/>
    </row>
    <row r="236" spans="1:9">
      <c r="A236" s="119"/>
      <c r="B236" s="119"/>
      <c r="C236" s="120"/>
      <c r="D236" s="121"/>
      <c r="E236" s="164"/>
      <c r="F236" s="164"/>
      <c r="G236" s="126"/>
      <c r="H236" s="121"/>
      <c r="I236" s="120"/>
    </row>
    <row r="237" spans="1:9">
      <c r="A237" s="119"/>
      <c r="B237" s="119"/>
      <c r="C237" s="120"/>
      <c r="D237" s="121"/>
      <c r="E237" s="164"/>
      <c r="F237" s="164"/>
      <c r="G237" s="126"/>
      <c r="H237" s="121"/>
      <c r="I237" s="120"/>
    </row>
    <row r="238" spans="1:9">
      <c r="A238" s="119"/>
      <c r="B238" s="119"/>
      <c r="C238" s="120"/>
      <c r="D238" s="121"/>
      <c r="E238" s="164"/>
      <c r="F238" s="164"/>
      <c r="G238" s="126"/>
      <c r="H238" s="121"/>
      <c r="I238" s="120"/>
    </row>
    <row r="239" spans="1:9">
      <c r="A239" s="119"/>
      <c r="B239" s="119"/>
      <c r="C239" s="120"/>
      <c r="D239" s="121"/>
      <c r="E239" s="164"/>
      <c r="F239" s="164"/>
      <c r="G239" s="126"/>
      <c r="H239" s="121"/>
      <c r="I239" s="120"/>
    </row>
    <row r="240" spans="1:9">
      <c r="A240" s="119"/>
      <c r="B240" s="119"/>
      <c r="C240" s="120"/>
      <c r="D240" s="121"/>
      <c r="E240" s="164"/>
      <c r="F240" s="164"/>
      <c r="G240" s="126"/>
      <c r="H240" s="121"/>
      <c r="I240" s="120"/>
    </row>
    <row r="241" spans="1:9">
      <c r="A241" s="119"/>
      <c r="B241" s="119"/>
      <c r="C241" s="120"/>
      <c r="D241" s="121"/>
      <c r="E241" s="164"/>
      <c r="F241" s="164"/>
      <c r="G241" s="126"/>
      <c r="H241" s="121"/>
      <c r="I241" s="120"/>
    </row>
    <row r="242" spans="1:9">
      <c r="A242" s="119"/>
      <c r="B242" s="119"/>
      <c r="C242" s="120"/>
      <c r="D242" s="121"/>
      <c r="E242" s="164"/>
      <c r="F242" s="164"/>
      <c r="G242" s="126"/>
      <c r="H242" s="121"/>
      <c r="I242" s="120"/>
    </row>
    <row r="243" spans="1:9">
      <c r="A243" s="119"/>
      <c r="B243" s="119"/>
      <c r="C243" s="120"/>
      <c r="D243" s="121"/>
      <c r="E243" s="164"/>
      <c r="F243" s="164"/>
      <c r="G243" s="126"/>
      <c r="H243" s="121"/>
      <c r="I243" s="120"/>
    </row>
    <row r="244" spans="1:9">
      <c r="A244" s="119"/>
      <c r="B244" s="119"/>
      <c r="C244" s="120"/>
      <c r="D244" s="121"/>
      <c r="E244" s="164"/>
      <c r="F244" s="164"/>
      <c r="G244" s="126"/>
      <c r="H244" s="121"/>
      <c r="I244" s="120"/>
    </row>
    <row r="245" spans="1:9">
      <c r="A245" s="119"/>
      <c r="B245" s="119"/>
      <c r="C245" s="120"/>
      <c r="D245" s="121"/>
      <c r="E245" s="164"/>
      <c r="F245" s="164"/>
      <c r="G245" s="126"/>
      <c r="H245" s="121"/>
      <c r="I245" s="120"/>
    </row>
    <row r="246" spans="1:9">
      <c r="A246" s="119"/>
      <c r="B246" s="119"/>
      <c r="C246" s="120"/>
      <c r="D246" s="121"/>
      <c r="E246" s="164"/>
      <c r="F246" s="164"/>
      <c r="G246" s="126"/>
      <c r="H246" s="121"/>
      <c r="I246" s="120"/>
    </row>
    <row r="247" spans="1:9">
      <c r="A247" s="119"/>
      <c r="B247" s="119"/>
      <c r="C247" s="120"/>
      <c r="D247" s="121"/>
      <c r="E247" s="164"/>
      <c r="F247" s="164"/>
      <c r="G247" s="126"/>
      <c r="H247" s="121"/>
      <c r="I247" s="120"/>
    </row>
    <row r="248" spans="1:9">
      <c r="A248" s="119"/>
      <c r="B248" s="119"/>
      <c r="C248" s="120"/>
      <c r="D248" s="121"/>
      <c r="E248" s="164"/>
      <c r="F248" s="164"/>
      <c r="G248" s="126"/>
      <c r="H248" s="121"/>
      <c r="I248" s="120"/>
    </row>
    <row r="249" spans="1:9">
      <c r="A249" s="119"/>
      <c r="B249" s="119"/>
      <c r="C249" s="120"/>
      <c r="D249" s="121"/>
      <c r="E249" s="164"/>
      <c r="F249" s="164"/>
      <c r="G249" s="126"/>
      <c r="H249" s="121"/>
      <c r="I249" s="120"/>
    </row>
    <row r="250" spans="1:9">
      <c r="A250" s="119"/>
      <c r="B250" s="119"/>
      <c r="C250" s="120"/>
      <c r="D250" s="121"/>
      <c r="E250" s="164"/>
      <c r="F250" s="164"/>
      <c r="G250" s="126"/>
      <c r="H250" s="121"/>
      <c r="I250" s="120"/>
    </row>
    <row r="251" spans="1:9">
      <c r="A251" s="119"/>
      <c r="B251" s="119"/>
      <c r="C251" s="120"/>
      <c r="D251" s="121"/>
      <c r="E251" s="164"/>
      <c r="F251" s="164"/>
      <c r="G251" s="126"/>
      <c r="H251" s="121"/>
      <c r="I251" s="120"/>
    </row>
    <row r="252" spans="1:9">
      <c r="A252" s="119"/>
      <c r="B252" s="119"/>
      <c r="C252" s="120"/>
      <c r="D252" s="121"/>
      <c r="E252" s="164"/>
      <c r="F252" s="164"/>
      <c r="G252" s="126"/>
      <c r="H252" s="121"/>
      <c r="I252" s="120"/>
    </row>
    <row r="253" spans="1:9">
      <c r="A253" s="119"/>
      <c r="B253" s="119"/>
      <c r="C253" s="120"/>
      <c r="D253" s="121"/>
      <c r="E253" s="164"/>
      <c r="F253" s="164"/>
      <c r="G253" s="126"/>
      <c r="H253" s="121"/>
      <c r="I253" s="120"/>
    </row>
    <row r="254" spans="1:9">
      <c r="A254" s="119"/>
      <c r="B254" s="119"/>
      <c r="C254" s="120"/>
      <c r="D254" s="121"/>
      <c r="E254" s="164"/>
      <c r="F254" s="164"/>
      <c r="G254" s="126"/>
      <c r="H254" s="121"/>
      <c r="I254" s="120"/>
    </row>
    <row r="255" spans="1:9">
      <c r="A255" s="119"/>
      <c r="B255" s="119"/>
      <c r="C255" s="120"/>
      <c r="D255" s="121"/>
      <c r="E255" s="164"/>
      <c r="F255" s="164"/>
      <c r="G255" s="126"/>
      <c r="H255" s="121"/>
      <c r="I255" s="120"/>
    </row>
    <row r="256" spans="1:9">
      <c r="A256" s="119"/>
      <c r="B256" s="119"/>
      <c r="C256" s="120"/>
      <c r="D256" s="121"/>
      <c r="E256" s="164"/>
      <c r="F256" s="164"/>
      <c r="G256" s="126"/>
      <c r="H256" s="121"/>
      <c r="I256" s="120"/>
    </row>
    <row r="257" spans="1:9">
      <c r="A257" s="119"/>
      <c r="B257" s="119"/>
      <c r="C257" s="120"/>
      <c r="D257" s="121"/>
      <c r="E257" s="164"/>
      <c r="F257" s="164"/>
      <c r="G257" s="126"/>
      <c r="H257" s="121"/>
      <c r="I257" s="120"/>
    </row>
    <row r="258" spans="1:9">
      <c r="A258" s="119"/>
      <c r="B258" s="119"/>
      <c r="C258" s="120"/>
      <c r="D258" s="121"/>
      <c r="E258" s="164"/>
      <c r="F258" s="164"/>
      <c r="G258" s="126"/>
      <c r="H258" s="121"/>
      <c r="I258" s="120"/>
    </row>
    <row r="259" spans="1:9">
      <c r="A259" s="119"/>
      <c r="B259" s="119"/>
      <c r="C259" s="120"/>
      <c r="D259" s="121"/>
      <c r="E259" s="164"/>
      <c r="F259" s="164"/>
      <c r="G259" s="126"/>
      <c r="H259" s="121"/>
      <c r="I259" s="120"/>
    </row>
    <row r="260" spans="1:9">
      <c r="A260" s="119"/>
      <c r="B260" s="119"/>
      <c r="C260" s="120"/>
      <c r="D260" s="121"/>
      <c r="E260" s="164"/>
      <c r="F260" s="164"/>
      <c r="G260" s="126"/>
      <c r="H260" s="121"/>
      <c r="I260" s="120"/>
    </row>
    <row r="261" spans="1:9">
      <c r="A261" s="119"/>
      <c r="B261" s="119"/>
      <c r="C261" s="120"/>
      <c r="D261" s="121"/>
      <c r="E261" s="164"/>
      <c r="F261" s="164"/>
      <c r="G261" s="126"/>
      <c r="H261" s="121"/>
      <c r="I261" s="120"/>
    </row>
    <row r="262" spans="1:9">
      <c r="A262" s="119"/>
      <c r="B262" s="119"/>
      <c r="C262" s="120"/>
      <c r="D262" s="121"/>
      <c r="E262" s="164"/>
      <c r="F262" s="164"/>
      <c r="G262" s="126"/>
      <c r="H262" s="121"/>
      <c r="I262" s="120"/>
    </row>
    <row r="263" spans="1:9">
      <c r="A263" s="119"/>
      <c r="B263" s="119"/>
      <c r="C263" s="120"/>
      <c r="D263" s="121"/>
      <c r="E263" s="164"/>
      <c r="F263" s="164"/>
      <c r="G263" s="126"/>
      <c r="H263" s="121"/>
      <c r="I263" s="120"/>
    </row>
    <row r="264" spans="1:9">
      <c r="A264" s="119"/>
      <c r="B264" s="119"/>
      <c r="C264" s="120"/>
      <c r="D264" s="121"/>
      <c r="E264" s="164"/>
      <c r="F264" s="164"/>
      <c r="G264" s="126"/>
      <c r="H264" s="121"/>
      <c r="I264" s="120"/>
    </row>
    <row r="265" spans="1:9">
      <c r="A265" s="119"/>
      <c r="B265" s="119"/>
      <c r="C265" s="120"/>
      <c r="D265" s="121"/>
      <c r="E265" s="164"/>
      <c r="F265" s="164"/>
      <c r="G265" s="126"/>
      <c r="H265" s="121"/>
      <c r="I265" s="120"/>
    </row>
    <row r="266" spans="1:9">
      <c r="A266" s="119"/>
      <c r="B266" s="119"/>
      <c r="C266" s="120"/>
      <c r="D266" s="121"/>
      <c r="E266" s="164"/>
      <c r="F266" s="164"/>
      <c r="G266" s="126"/>
      <c r="H266" s="121"/>
      <c r="I266" s="120"/>
    </row>
    <row r="267" spans="1:9">
      <c r="A267" s="119"/>
      <c r="B267" s="119"/>
      <c r="C267" s="120"/>
      <c r="D267" s="121"/>
      <c r="E267" s="164"/>
      <c r="F267" s="164"/>
      <c r="G267" s="126"/>
      <c r="H267" s="121"/>
      <c r="I267" s="120"/>
    </row>
    <row r="268" spans="1:9">
      <c r="A268" s="119"/>
      <c r="B268" s="119"/>
      <c r="C268" s="120"/>
      <c r="D268" s="121"/>
      <c r="E268" s="164"/>
      <c r="F268" s="164"/>
      <c r="G268" s="126"/>
      <c r="H268" s="121"/>
      <c r="I268" s="120"/>
    </row>
    <row r="269" spans="1:9">
      <c r="A269" s="119"/>
      <c r="B269" s="119"/>
      <c r="C269" s="120"/>
      <c r="D269" s="121"/>
      <c r="E269" s="164"/>
      <c r="F269" s="164"/>
      <c r="G269" s="126"/>
      <c r="H269" s="121"/>
      <c r="I269" s="120"/>
    </row>
    <row r="270" spans="1:9">
      <c r="A270" s="119"/>
      <c r="B270" s="119"/>
      <c r="C270" s="120"/>
      <c r="D270" s="121"/>
      <c r="E270" s="164"/>
      <c r="F270" s="164"/>
      <c r="G270" s="126"/>
      <c r="H270" s="121"/>
      <c r="I270" s="120"/>
    </row>
    <row r="271" spans="1:9">
      <c r="A271" s="119"/>
      <c r="B271" s="119"/>
      <c r="C271" s="120"/>
      <c r="D271" s="121"/>
      <c r="E271" s="164"/>
      <c r="F271" s="164"/>
      <c r="G271" s="126"/>
      <c r="H271" s="121"/>
      <c r="I271" s="120"/>
    </row>
    <row r="272" spans="1:9">
      <c r="A272" s="119"/>
      <c r="B272" s="119"/>
      <c r="C272" s="120"/>
      <c r="D272" s="121"/>
      <c r="E272" s="164"/>
      <c r="F272" s="164"/>
      <c r="G272" s="126"/>
      <c r="H272" s="121"/>
      <c r="I272" s="120"/>
    </row>
    <row r="273" spans="1:9">
      <c r="A273" s="119"/>
      <c r="B273" s="119"/>
      <c r="C273" s="120"/>
      <c r="D273" s="121"/>
      <c r="E273" s="164"/>
      <c r="F273" s="164"/>
      <c r="G273" s="126"/>
      <c r="H273" s="121"/>
      <c r="I273" s="120"/>
    </row>
    <row r="274" spans="1:9">
      <c r="A274" s="119"/>
      <c r="B274" s="119"/>
      <c r="C274" s="120"/>
      <c r="D274" s="121"/>
      <c r="E274" s="164"/>
      <c r="F274" s="164"/>
      <c r="G274" s="126"/>
      <c r="H274" s="121"/>
      <c r="I274" s="120"/>
    </row>
    <row r="275" spans="1:9">
      <c r="A275" s="119"/>
      <c r="B275" s="119"/>
      <c r="C275" s="120"/>
      <c r="D275" s="121"/>
      <c r="E275" s="164"/>
      <c r="F275" s="164"/>
      <c r="G275" s="126"/>
      <c r="H275" s="121"/>
      <c r="I275" s="120"/>
    </row>
    <row r="276" spans="1:9">
      <c r="A276" s="119"/>
      <c r="B276" s="119"/>
      <c r="C276" s="120"/>
      <c r="D276" s="121"/>
      <c r="E276" s="164"/>
      <c r="F276" s="164"/>
      <c r="G276" s="126"/>
      <c r="H276" s="121"/>
      <c r="I276" s="120"/>
    </row>
    <row r="277" spans="1:9">
      <c r="A277" s="119"/>
      <c r="B277" s="119"/>
      <c r="C277" s="120"/>
      <c r="D277" s="121"/>
      <c r="E277" s="164"/>
      <c r="F277" s="164"/>
      <c r="G277" s="126"/>
      <c r="H277" s="121"/>
      <c r="I277" s="120"/>
    </row>
    <row r="278" spans="1:9">
      <c r="A278" s="119"/>
      <c r="B278" s="119"/>
      <c r="C278" s="120"/>
      <c r="D278" s="121"/>
      <c r="E278" s="164"/>
      <c r="F278" s="164"/>
      <c r="G278" s="126"/>
      <c r="H278" s="121"/>
      <c r="I278" s="120"/>
    </row>
    <row r="279" spans="1:9">
      <c r="A279" s="119"/>
      <c r="B279" s="119"/>
      <c r="C279" s="120"/>
      <c r="D279" s="121"/>
      <c r="E279" s="164"/>
      <c r="F279" s="164"/>
      <c r="G279" s="126"/>
      <c r="H279" s="121"/>
      <c r="I279" s="120"/>
    </row>
    <row r="280" spans="1:9">
      <c r="A280" s="119"/>
      <c r="B280" s="119"/>
      <c r="C280" s="120"/>
      <c r="D280" s="121"/>
      <c r="E280" s="164"/>
      <c r="F280" s="164"/>
      <c r="G280" s="126"/>
      <c r="H280" s="121"/>
      <c r="I280" s="120"/>
    </row>
    <row r="281" spans="1:9">
      <c r="A281" s="119"/>
      <c r="B281" s="119"/>
      <c r="C281" s="120"/>
      <c r="D281" s="121"/>
      <c r="E281" s="164"/>
      <c r="F281" s="164"/>
      <c r="G281" s="126"/>
      <c r="H281" s="121"/>
      <c r="I281" s="120"/>
    </row>
    <row r="282" spans="1:9">
      <c r="A282" s="119"/>
      <c r="B282" s="119"/>
      <c r="C282" s="120"/>
      <c r="D282" s="121"/>
      <c r="E282" s="164"/>
      <c r="F282" s="164"/>
      <c r="G282" s="126"/>
      <c r="H282" s="121"/>
      <c r="I282" s="120"/>
    </row>
    <row r="283" spans="1:9">
      <c r="A283" s="119"/>
      <c r="B283" s="119"/>
      <c r="C283" s="120"/>
      <c r="D283" s="121"/>
      <c r="E283" s="164"/>
      <c r="F283" s="164"/>
      <c r="G283" s="126"/>
      <c r="H283" s="121"/>
      <c r="I283" s="120"/>
    </row>
    <row r="284" spans="1:9">
      <c r="A284" s="119"/>
      <c r="B284" s="119"/>
      <c r="C284" s="120"/>
      <c r="D284" s="121"/>
      <c r="E284" s="164"/>
      <c r="F284" s="164"/>
      <c r="G284" s="126"/>
      <c r="H284" s="121"/>
      <c r="I284" s="120"/>
    </row>
    <row r="285" spans="1:9">
      <c r="A285" s="119"/>
      <c r="B285" s="119"/>
      <c r="C285" s="120"/>
      <c r="D285" s="121"/>
      <c r="E285" s="164"/>
      <c r="F285" s="164"/>
      <c r="G285" s="126"/>
      <c r="H285" s="121"/>
      <c r="I285" s="120"/>
    </row>
    <row r="286" spans="1:9">
      <c r="A286" s="119"/>
      <c r="B286" s="119"/>
      <c r="C286" s="120"/>
      <c r="D286" s="121"/>
      <c r="E286" s="164"/>
      <c r="F286" s="164"/>
      <c r="G286" s="126"/>
      <c r="H286" s="121"/>
      <c r="I286" s="120"/>
    </row>
    <row r="287" spans="1:9">
      <c r="A287" s="119"/>
      <c r="B287" s="119"/>
      <c r="C287" s="120"/>
      <c r="D287" s="121"/>
      <c r="E287" s="164"/>
      <c r="F287" s="164"/>
      <c r="G287" s="126"/>
      <c r="H287" s="121"/>
      <c r="I287" s="120"/>
    </row>
    <row r="288" spans="1:9">
      <c r="A288" s="119"/>
      <c r="B288" s="119"/>
      <c r="C288" s="120"/>
      <c r="D288" s="121"/>
      <c r="E288" s="164"/>
      <c r="F288" s="164"/>
      <c r="G288" s="126"/>
      <c r="H288" s="121"/>
      <c r="I288" s="120"/>
    </row>
    <row r="289" spans="1:9">
      <c r="A289" s="119"/>
      <c r="B289" s="119"/>
      <c r="C289" s="120"/>
      <c r="D289" s="121"/>
      <c r="E289" s="164"/>
      <c r="F289" s="164"/>
      <c r="G289" s="126"/>
      <c r="H289" s="121"/>
      <c r="I289" s="120"/>
    </row>
    <row r="290" spans="1:9">
      <c r="A290" s="119"/>
      <c r="B290" s="119"/>
      <c r="C290" s="120"/>
      <c r="D290" s="121"/>
      <c r="E290" s="164"/>
      <c r="F290" s="164"/>
      <c r="G290" s="126"/>
      <c r="H290" s="121"/>
      <c r="I290" s="120"/>
    </row>
    <row r="291" spans="1:9">
      <c r="A291" s="119"/>
      <c r="B291" s="119"/>
      <c r="C291" s="120"/>
      <c r="D291" s="121"/>
      <c r="E291" s="164"/>
      <c r="F291" s="164"/>
      <c r="G291" s="126"/>
      <c r="H291" s="121"/>
      <c r="I291" s="120"/>
    </row>
    <row r="292" spans="1:9">
      <c r="A292" s="119"/>
      <c r="B292" s="119"/>
      <c r="C292" s="120"/>
      <c r="D292" s="121"/>
      <c r="E292" s="164"/>
      <c r="F292" s="164"/>
      <c r="G292" s="126"/>
      <c r="H292" s="121"/>
      <c r="I292" s="120"/>
    </row>
    <row r="293" spans="1:9">
      <c r="A293" s="119"/>
      <c r="B293" s="119"/>
      <c r="C293" s="120"/>
      <c r="D293" s="121"/>
      <c r="E293" s="164"/>
      <c r="F293" s="164"/>
      <c r="G293" s="126"/>
      <c r="H293" s="121"/>
      <c r="I293" s="120"/>
    </row>
    <row r="294" spans="1:9">
      <c r="A294" s="119"/>
      <c r="B294" s="119"/>
      <c r="C294" s="120"/>
      <c r="D294" s="121"/>
      <c r="E294" s="164"/>
      <c r="F294" s="164"/>
      <c r="G294" s="126"/>
      <c r="H294" s="121"/>
      <c r="I294" s="120"/>
    </row>
    <row r="295" spans="1:9">
      <c r="A295" s="119"/>
      <c r="B295" s="119"/>
      <c r="C295" s="120"/>
      <c r="D295" s="121"/>
      <c r="E295" s="164"/>
      <c r="F295" s="164"/>
      <c r="G295" s="126"/>
      <c r="H295" s="121"/>
      <c r="I295" s="120"/>
    </row>
    <row r="296" spans="1:9">
      <c r="A296" s="119"/>
      <c r="B296" s="119"/>
      <c r="C296" s="120"/>
      <c r="D296" s="121"/>
      <c r="E296" s="164"/>
      <c r="F296" s="164"/>
      <c r="G296" s="126"/>
      <c r="H296" s="121"/>
      <c r="I296" s="120"/>
    </row>
    <row r="297" spans="1:9">
      <c r="A297" s="119"/>
      <c r="B297" s="119"/>
      <c r="C297" s="120"/>
      <c r="D297" s="121"/>
      <c r="E297" s="164"/>
      <c r="F297" s="164"/>
      <c r="G297" s="126"/>
      <c r="H297" s="121"/>
      <c r="I297" s="120"/>
    </row>
    <row r="298" spans="1:9">
      <c r="A298" s="119"/>
      <c r="B298" s="119"/>
      <c r="C298" s="120"/>
      <c r="D298" s="121"/>
      <c r="E298" s="164"/>
      <c r="F298" s="164"/>
      <c r="G298" s="126"/>
      <c r="H298" s="121"/>
      <c r="I298" s="120"/>
    </row>
    <row r="299" spans="1:9">
      <c r="A299" s="119"/>
      <c r="B299" s="119"/>
      <c r="C299" s="120"/>
      <c r="D299" s="121"/>
      <c r="E299" s="164"/>
      <c r="F299" s="164"/>
      <c r="G299" s="126"/>
      <c r="H299" s="121"/>
      <c r="I299" s="120"/>
    </row>
    <row r="300" spans="1:9">
      <c r="A300" s="119"/>
      <c r="B300" s="119"/>
      <c r="C300" s="120"/>
      <c r="D300" s="121"/>
      <c r="E300" s="164"/>
      <c r="F300" s="164"/>
      <c r="G300" s="126"/>
      <c r="H300" s="121"/>
      <c r="I300" s="120"/>
    </row>
    <row r="301" spans="1:9">
      <c r="A301" s="119"/>
      <c r="B301" s="119"/>
      <c r="C301" s="120"/>
      <c r="D301" s="121"/>
      <c r="E301" s="164"/>
      <c r="F301" s="164"/>
      <c r="G301" s="126"/>
      <c r="H301" s="121"/>
      <c r="I301" s="120"/>
    </row>
    <row r="302" spans="1:9">
      <c r="A302" s="119"/>
      <c r="B302" s="119"/>
      <c r="C302" s="120"/>
      <c r="D302" s="121"/>
      <c r="E302" s="164"/>
      <c r="F302" s="164"/>
      <c r="G302" s="126"/>
      <c r="H302" s="121"/>
      <c r="I302" s="120"/>
    </row>
    <row r="303" spans="1:9">
      <c r="A303" s="119"/>
      <c r="B303" s="119"/>
      <c r="C303" s="120"/>
      <c r="D303" s="121"/>
      <c r="E303" s="164"/>
      <c r="F303" s="164"/>
      <c r="G303" s="126"/>
      <c r="H303" s="121"/>
      <c r="I303" s="120"/>
    </row>
    <row r="304" spans="1:9">
      <c r="A304" s="119"/>
      <c r="B304" s="119"/>
      <c r="C304" s="120"/>
      <c r="D304" s="121"/>
      <c r="E304" s="164"/>
      <c r="F304" s="164"/>
      <c r="G304" s="126"/>
      <c r="H304" s="121"/>
      <c r="I304" s="120"/>
    </row>
    <row r="305" spans="1:9">
      <c r="A305" s="119"/>
      <c r="B305" s="119"/>
      <c r="C305" s="120"/>
      <c r="D305" s="121"/>
      <c r="E305" s="164"/>
      <c r="F305" s="164"/>
      <c r="G305" s="126"/>
      <c r="H305" s="121"/>
      <c r="I305" s="120"/>
    </row>
    <row r="306" spans="1:9">
      <c r="A306" s="119"/>
      <c r="B306" s="119"/>
      <c r="C306" s="120"/>
      <c r="D306" s="121"/>
      <c r="E306" s="164"/>
      <c r="F306" s="164"/>
      <c r="G306" s="126"/>
      <c r="H306" s="121"/>
      <c r="I306" s="120"/>
    </row>
    <row r="307" spans="1:9">
      <c r="A307" s="119"/>
      <c r="B307" s="119"/>
      <c r="C307" s="120"/>
      <c r="D307" s="121"/>
      <c r="E307" s="164"/>
      <c r="F307" s="164"/>
      <c r="G307" s="126"/>
      <c r="H307" s="121"/>
      <c r="I307" s="120"/>
    </row>
    <row r="308" spans="1:9">
      <c r="A308" s="119"/>
      <c r="B308" s="119"/>
      <c r="C308" s="120"/>
      <c r="D308" s="121"/>
      <c r="E308" s="164"/>
      <c r="F308" s="164"/>
      <c r="G308" s="126"/>
      <c r="H308" s="121"/>
      <c r="I308" s="120"/>
    </row>
    <row r="309" spans="1:9">
      <c r="A309" s="119"/>
      <c r="B309" s="119"/>
      <c r="C309" s="120"/>
      <c r="D309" s="121"/>
      <c r="E309" s="164"/>
      <c r="F309" s="164"/>
      <c r="G309" s="126"/>
      <c r="H309" s="121"/>
      <c r="I309" s="120"/>
    </row>
    <row r="310" spans="1:9">
      <c r="A310" s="119"/>
      <c r="B310" s="119"/>
      <c r="C310" s="120"/>
      <c r="D310" s="121"/>
      <c r="E310" s="164"/>
      <c r="F310" s="164"/>
      <c r="G310" s="126"/>
      <c r="H310" s="121"/>
      <c r="I310" s="120"/>
    </row>
    <row r="311" spans="1:9">
      <c r="A311" s="119"/>
      <c r="B311" s="119"/>
      <c r="C311" s="120"/>
      <c r="D311" s="121"/>
      <c r="E311" s="164"/>
      <c r="F311" s="164"/>
      <c r="G311" s="126"/>
      <c r="H311" s="121"/>
      <c r="I311" s="120"/>
    </row>
    <row r="312" spans="1:9">
      <c r="A312" s="119"/>
      <c r="B312" s="119"/>
      <c r="C312" s="120"/>
      <c r="D312" s="121"/>
      <c r="E312" s="164"/>
      <c r="F312" s="164"/>
      <c r="G312" s="126"/>
      <c r="H312" s="121"/>
      <c r="I312" s="120"/>
    </row>
    <row r="313" spans="1:9">
      <c r="A313" s="119"/>
      <c r="B313" s="119"/>
      <c r="C313" s="120"/>
      <c r="D313" s="121"/>
      <c r="E313" s="164"/>
      <c r="F313" s="164"/>
      <c r="G313" s="126"/>
      <c r="H313" s="121"/>
      <c r="I313" s="120"/>
    </row>
    <row r="314" spans="1:9">
      <c r="A314" s="119"/>
      <c r="B314" s="119"/>
      <c r="C314" s="120"/>
      <c r="D314" s="121"/>
      <c r="E314" s="164"/>
      <c r="F314" s="164"/>
      <c r="G314" s="126"/>
      <c r="H314" s="121"/>
      <c r="I314" s="120"/>
    </row>
    <row r="315" spans="1:9">
      <c r="A315" s="119"/>
      <c r="B315" s="119"/>
      <c r="C315" s="120"/>
      <c r="D315" s="121"/>
      <c r="E315" s="164"/>
      <c r="F315" s="164"/>
      <c r="G315" s="126"/>
      <c r="H315" s="121"/>
      <c r="I315" s="120"/>
    </row>
    <row r="316" spans="1:9">
      <c r="A316" s="119"/>
      <c r="B316" s="119"/>
      <c r="C316" s="120"/>
      <c r="D316" s="121"/>
      <c r="E316" s="164"/>
      <c r="F316" s="164"/>
      <c r="G316" s="126"/>
      <c r="H316" s="121"/>
      <c r="I316" s="120"/>
    </row>
    <row r="317" spans="1:9">
      <c r="A317" s="119"/>
      <c r="B317" s="119"/>
      <c r="C317" s="120"/>
      <c r="D317" s="121"/>
      <c r="E317" s="164"/>
      <c r="F317" s="164"/>
      <c r="G317" s="126"/>
      <c r="H317" s="121"/>
      <c r="I317" s="120"/>
    </row>
    <row r="318" spans="1:9">
      <c r="A318" s="119"/>
      <c r="B318" s="119"/>
      <c r="C318" s="120"/>
      <c r="D318" s="121"/>
      <c r="E318" s="164"/>
      <c r="F318" s="164"/>
      <c r="G318" s="126"/>
      <c r="H318" s="121"/>
      <c r="I318" s="120"/>
    </row>
    <row r="319" spans="1:9">
      <c r="A319" s="119"/>
      <c r="B319" s="119"/>
      <c r="C319" s="120"/>
      <c r="D319" s="121"/>
      <c r="E319" s="164"/>
      <c r="F319" s="164"/>
      <c r="G319" s="126"/>
      <c r="H319" s="121"/>
      <c r="I319" s="120"/>
    </row>
    <row r="320" spans="1:9">
      <c r="A320" s="119"/>
      <c r="B320" s="119"/>
      <c r="C320" s="120"/>
      <c r="D320" s="121"/>
      <c r="E320" s="164"/>
      <c r="F320" s="164"/>
      <c r="G320" s="126"/>
      <c r="H320" s="121"/>
      <c r="I320" s="120"/>
    </row>
    <row r="321" spans="1:9">
      <c r="A321" s="119"/>
      <c r="B321" s="119"/>
      <c r="C321" s="120"/>
      <c r="D321" s="121"/>
      <c r="E321" s="164"/>
      <c r="F321" s="164"/>
      <c r="G321" s="126"/>
      <c r="H321" s="121"/>
      <c r="I321" s="120"/>
    </row>
    <row r="322" spans="1:9">
      <c r="A322" s="119"/>
      <c r="B322" s="119"/>
      <c r="C322" s="120"/>
      <c r="D322" s="121"/>
      <c r="E322" s="164"/>
      <c r="F322" s="164"/>
      <c r="G322" s="126"/>
      <c r="H322" s="121"/>
      <c r="I322" s="120"/>
    </row>
    <row r="323" spans="1:9">
      <c r="A323" s="119"/>
      <c r="B323" s="119"/>
      <c r="C323" s="120"/>
      <c r="D323" s="121"/>
      <c r="E323" s="164"/>
      <c r="F323" s="164"/>
      <c r="G323" s="126"/>
      <c r="H323" s="121"/>
      <c r="I323" s="120"/>
    </row>
    <row r="324" spans="1:9">
      <c r="A324" s="119"/>
      <c r="B324" s="119"/>
      <c r="C324" s="120"/>
      <c r="D324" s="121"/>
      <c r="E324" s="164"/>
      <c r="F324" s="164"/>
      <c r="G324" s="126"/>
      <c r="H324" s="121"/>
      <c r="I324" s="120"/>
    </row>
    <row r="325" spans="1:9">
      <c r="A325" s="119"/>
      <c r="B325" s="119"/>
      <c r="C325" s="120"/>
      <c r="D325" s="121"/>
      <c r="E325" s="164"/>
      <c r="F325" s="164"/>
      <c r="G325" s="126"/>
      <c r="H325" s="121"/>
      <c r="I325" s="120"/>
    </row>
    <row r="326" spans="1:9">
      <c r="A326" s="119"/>
      <c r="B326" s="119"/>
      <c r="C326" s="120"/>
      <c r="D326" s="121"/>
      <c r="E326" s="164"/>
      <c r="F326" s="164"/>
      <c r="G326" s="126"/>
      <c r="H326" s="121"/>
      <c r="I326" s="120"/>
    </row>
    <row r="327" spans="1:9">
      <c r="A327" s="119"/>
      <c r="B327" s="119"/>
      <c r="C327" s="120"/>
      <c r="D327" s="121"/>
      <c r="E327" s="164"/>
      <c r="F327" s="164"/>
      <c r="G327" s="126"/>
      <c r="H327" s="121"/>
      <c r="I327" s="120"/>
    </row>
    <row r="328" spans="1:9">
      <c r="A328" s="119"/>
      <c r="B328" s="119"/>
      <c r="C328" s="120"/>
      <c r="D328" s="121"/>
      <c r="E328" s="164"/>
      <c r="F328" s="164"/>
      <c r="G328" s="126"/>
      <c r="H328" s="121"/>
      <c r="I328" s="120"/>
    </row>
    <row r="329" spans="1:9">
      <c r="A329" s="119"/>
      <c r="B329" s="119"/>
      <c r="C329" s="120"/>
      <c r="D329" s="121"/>
      <c r="E329" s="164"/>
      <c r="F329" s="164"/>
      <c r="G329" s="126"/>
      <c r="H329" s="121"/>
      <c r="I329" s="120"/>
    </row>
    <row r="330" spans="1:9">
      <c r="A330" s="119"/>
      <c r="B330" s="119"/>
      <c r="C330" s="120"/>
      <c r="D330" s="121"/>
      <c r="E330" s="164"/>
      <c r="F330" s="164"/>
      <c r="G330" s="126"/>
      <c r="H330" s="121"/>
      <c r="I330" s="120"/>
    </row>
    <row r="331" spans="1:9">
      <c r="A331" s="119"/>
      <c r="B331" s="119"/>
      <c r="C331" s="120"/>
      <c r="D331" s="121"/>
      <c r="E331" s="164"/>
      <c r="F331" s="164"/>
      <c r="G331" s="126"/>
      <c r="H331" s="121"/>
      <c r="I331" s="120"/>
    </row>
    <row r="332" spans="1:9">
      <c r="A332" s="119"/>
      <c r="B332" s="119"/>
      <c r="C332" s="120"/>
      <c r="D332" s="121"/>
      <c r="E332" s="164"/>
      <c r="F332" s="164"/>
      <c r="G332" s="126"/>
      <c r="H332" s="121"/>
      <c r="I332" s="120"/>
    </row>
    <row r="333" spans="1:9">
      <c r="A333" s="119"/>
      <c r="B333" s="119"/>
      <c r="C333" s="120"/>
      <c r="D333" s="121"/>
      <c r="E333" s="164"/>
      <c r="F333" s="164"/>
      <c r="G333" s="126"/>
      <c r="H333" s="121"/>
      <c r="I333" s="120"/>
    </row>
    <row r="334" spans="1:9">
      <c r="A334" s="119"/>
      <c r="B334" s="119"/>
      <c r="C334" s="120"/>
      <c r="D334" s="121"/>
      <c r="E334" s="164"/>
      <c r="F334" s="164"/>
      <c r="G334" s="126"/>
      <c r="H334" s="121"/>
      <c r="I334" s="120"/>
    </row>
    <row r="335" spans="1:9">
      <c r="A335" s="119"/>
      <c r="B335" s="119"/>
      <c r="C335" s="120"/>
      <c r="D335" s="121"/>
      <c r="E335" s="164"/>
      <c r="F335" s="164"/>
      <c r="G335" s="126"/>
      <c r="H335" s="121"/>
      <c r="I335" s="120"/>
    </row>
    <row r="336" spans="1:9">
      <c r="A336" s="119"/>
      <c r="B336" s="119"/>
      <c r="C336" s="120"/>
      <c r="D336" s="121"/>
      <c r="E336" s="164"/>
      <c r="F336" s="164"/>
      <c r="G336" s="126"/>
      <c r="H336" s="121"/>
      <c r="I336" s="120"/>
    </row>
    <row r="337" spans="1:9">
      <c r="A337" s="119"/>
      <c r="B337" s="119"/>
      <c r="C337" s="120"/>
      <c r="D337" s="121"/>
      <c r="E337" s="164"/>
      <c r="F337" s="164"/>
      <c r="G337" s="126"/>
      <c r="H337" s="121"/>
      <c r="I337" s="120"/>
    </row>
    <row r="338" spans="1:9">
      <c r="A338" s="119"/>
      <c r="B338" s="119"/>
      <c r="C338" s="120"/>
      <c r="D338" s="121"/>
      <c r="E338" s="164"/>
      <c r="F338" s="164"/>
      <c r="G338" s="126"/>
      <c r="H338" s="121"/>
      <c r="I338" s="120"/>
    </row>
    <row r="339" spans="1:9">
      <c r="A339" s="119"/>
      <c r="B339" s="119"/>
      <c r="C339" s="120"/>
      <c r="D339" s="121"/>
      <c r="E339" s="164"/>
      <c r="F339" s="164"/>
      <c r="G339" s="126"/>
      <c r="H339" s="121"/>
      <c r="I339" s="120"/>
    </row>
    <row r="340" spans="1:9">
      <c r="A340" s="119"/>
      <c r="B340" s="119"/>
      <c r="C340" s="120"/>
      <c r="D340" s="121"/>
      <c r="E340" s="164"/>
      <c r="F340" s="164"/>
      <c r="G340" s="126"/>
      <c r="H340" s="121"/>
      <c r="I340" s="120"/>
    </row>
    <row r="341" spans="1:9">
      <c r="A341" s="119"/>
      <c r="B341" s="119"/>
      <c r="C341" s="120"/>
      <c r="D341" s="121"/>
      <c r="E341" s="164"/>
      <c r="F341" s="164"/>
      <c r="G341" s="126"/>
      <c r="H341" s="121"/>
      <c r="I341" s="120"/>
    </row>
    <row r="342" spans="1:9">
      <c r="A342" s="119"/>
      <c r="B342" s="119"/>
      <c r="C342" s="120"/>
      <c r="D342" s="121"/>
      <c r="E342" s="164"/>
      <c r="F342" s="164"/>
      <c r="G342" s="126"/>
      <c r="H342" s="121"/>
      <c r="I342" s="120"/>
    </row>
    <row r="343" spans="1:9">
      <c r="A343" s="119"/>
      <c r="B343" s="119"/>
      <c r="C343" s="120"/>
      <c r="D343" s="121"/>
      <c r="E343" s="164"/>
      <c r="F343" s="164"/>
      <c r="G343" s="126"/>
      <c r="H343" s="121"/>
      <c r="I343" s="120"/>
    </row>
    <row r="344" spans="1:9">
      <c r="A344" s="119"/>
      <c r="B344" s="119"/>
      <c r="C344" s="120"/>
      <c r="D344" s="121"/>
      <c r="E344" s="164"/>
      <c r="F344" s="164"/>
      <c r="G344" s="126"/>
      <c r="H344" s="121"/>
      <c r="I344" s="120"/>
    </row>
    <row r="345" spans="1:9">
      <c r="A345" s="119"/>
      <c r="B345" s="119"/>
      <c r="C345" s="120"/>
      <c r="D345" s="121"/>
      <c r="E345" s="164"/>
      <c r="F345" s="164"/>
      <c r="G345" s="126"/>
      <c r="H345" s="121"/>
      <c r="I345" s="120"/>
    </row>
    <row r="346" spans="1:9">
      <c r="A346" s="119"/>
      <c r="B346" s="119"/>
      <c r="C346" s="120"/>
      <c r="D346" s="121"/>
      <c r="E346" s="164"/>
      <c r="F346" s="164"/>
      <c r="G346" s="126"/>
      <c r="H346" s="121"/>
      <c r="I346" s="120"/>
    </row>
    <row r="347" spans="1:9">
      <c r="A347" s="119"/>
      <c r="B347" s="119"/>
      <c r="C347" s="120"/>
      <c r="D347" s="121"/>
      <c r="E347" s="164"/>
      <c r="F347" s="164"/>
      <c r="G347" s="126"/>
      <c r="H347" s="121"/>
      <c r="I347" s="120"/>
    </row>
    <row r="348" spans="1:9">
      <c r="A348" s="119"/>
      <c r="B348" s="119"/>
      <c r="C348" s="120"/>
      <c r="D348" s="121"/>
      <c r="E348" s="164"/>
      <c r="F348" s="164"/>
      <c r="G348" s="126"/>
      <c r="H348" s="121"/>
      <c r="I348" s="120"/>
    </row>
    <row r="349" spans="1:9">
      <c r="A349" s="119"/>
      <c r="B349" s="119"/>
      <c r="C349" s="120"/>
      <c r="D349" s="121"/>
      <c r="E349" s="164"/>
      <c r="F349" s="164"/>
      <c r="G349" s="126"/>
      <c r="H349" s="121"/>
      <c r="I349" s="120"/>
    </row>
    <row r="350" spans="1:9">
      <c r="A350" s="119"/>
      <c r="B350" s="119"/>
      <c r="C350" s="120"/>
      <c r="D350" s="121"/>
      <c r="E350" s="164"/>
      <c r="F350" s="164"/>
      <c r="G350" s="126"/>
      <c r="H350" s="121"/>
      <c r="I350" s="120"/>
    </row>
    <row r="351" spans="1:9">
      <c r="A351" s="119"/>
      <c r="B351" s="119"/>
      <c r="C351" s="120"/>
      <c r="D351" s="121"/>
      <c r="E351" s="164"/>
      <c r="F351" s="164"/>
      <c r="G351" s="126"/>
      <c r="H351" s="121"/>
      <c r="I351" s="120"/>
    </row>
    <row r="352" spans="1:9">
      <c r="A352" s="119"/>
      <c r="B352" s="119"/>
      <c r="C352" s="120"/>
      <c r="D352" s="121"/>
      <c r="E352" s="164"/>
      <c r="F352" s="164"/>
      <c r="G352" s="126"/>
      <c r="H352" s="121"/>
      <c r="I352" s="120"/>
    </row>
    <row r="353" spans="1:9">
      <c r="A353" s="119"/>
      <c r="B353" s="119"/>
      <c r="C353" s="120"/>
      <c r="D353" s="121"/>
      <c r="E353" s="164"/>
      <c r="F353" s="164"/>
      <c r="G353" s="126"/>
      <c r="H353" s="121"/>
      <c r="I353" s="120"/>
    </row>
    <row r="354" spans="1:9">
      <c r="A354" s="119"/>
      <c r="B354" s="119"/>
      <c r="C354" s="120"/>
      <c r="D354" s="121"/>
      <c r="E354" s="164"/>
      <c r="F354" s="164"/>
      <c r="G354" s="126"/>
      <c r="H354" s="121"/>
      <c r="I354" s="120"/>
    </row>
    <row r="355" spans="1:9">
      <c r="A355" s="119"/>
      <c r="B355" s="119"/>
      <c r="C355" s="120"/>
      <c r="D355" s="121"/>
      <c r="E355" s="164"/>
      <c r="F355" s="164"/>
      <c r="G355" s="126"/>
      <c r="H355" s="121"/>
      <c r="I355" s="120"/>
    </row>
    <row r="356" spans="1:9">
      <c r="A356" s="119"/>
      <c r="B356" s="119"/>
      <c r="C356" s="120"/>
      <c r="D356" s="121"/>
      <c r="E356" s="164"/>
      <c r="F356" s="164"/>
      <c r="G356" s="126"/>
      <c r="H356" s="121"/>
      <c r="I356" s="120"/>
    </row>
    <row r="357" spans="1:9">
      <c r="A357" s="119"/>
      <c r="B357" s="119"/>
      <c r="C357" s="120"/>
      <c r="D357" s="121"/>
      <c r="E357" s="164"/>
      <c r="F357" s="164"/>
      <c r="G357" s="126"/>
      <c r="H357" s="121"/>
      <c r="I357" s="120"/>
    </row>
    <row r="358" spans="1:9">
      <c r="A358" s="119"/>
      <c r="B358" s="119"/>
      <c r="C358" s="120"/>
      <c r="D358" s="121"/>
      <c r="E358" s="164"/>
      <c r="F358" s="164"/>
      <c r="G358" s="126"/>
      <c r="H358" s="121"/>
      <c r="I358" s="120"/>
    </row>
    <row r="359" spans="1:9">
      <c r="A359" s="119"/>
      <c r="B359" s="119"/>
      <c r="C359" s="120"/>
      <c r="D359" s="121"/>
      <c r="E359" s="164"/>
      <c r="F359" s="164"/>
      <c r="G359" s="126"/>
      <c r="H359" s="121"/>
      <c r="I359" s="120"/>
    </row>
    <row r="360" spans="1:9">
      <c r="A360" s="119"/>
      <c r="B360" s="119"/>
      <c r="C360" s="120"/>
      <c r="D360" s="121"/>
      <c r="E360" s="164"/>
      <c r="F360" s="164"/>
      <c r="G360" s="126"/>
      <c r="H360" s="121"/>
      <c r="I360" s="120"/>
    </row>
    <row r="361" spans="1:9">
      <c r="A361" s="119"/>
      <c r="B361" s="119"/>
      <c r="C361" s="120"/>
      <c r="D361" s="121"/>
      <c r="E361" s="164"/>
      <c r="F361" s="164"/>
      <c r="G361" s="126"/>
      <c r="H361" s="121"/>
      <c r="I361" s="120"/>
    </row>
    <row r="362" spans="1:9">
      <c r="A362" s="119"/>
      <c r="B362" s="119"/>
      <c r="C362" s="120"/>
      <c r="D362" s="121"/>
      <c r="E362" s="164"/>
      <c r="F362" s="164"/>
      <c r="G362" s="126"/>
      <c r="H362" s="121"/>
      <c r="I362" s="120"/>
    </row>
    <row r="363" spans="1:9">
      <c r="A363" s="119"/>
      <c r="B363" s="119"/>
      <c r="C363" s="120"/>
      <c r="D363" s="121"/>
      <c r="E363" s="164"/>
      <c r="F363" s="164"/>
      <c r="G363" s="126"/>
      <c r="H363" s="121"/>
      <c r="I363" s="120"/>
    </row>
    <row r="364" spans="1:9">
      <c r="A364" s="119"/>
      <c r="B364" s="119"/>
      <c r="C364" s="120"/>
      <c r="D364" s="121"/>
      <c r="E364" s="164"/>
      <c r="F364" s="164"/>
      <c r="G364" s="126"/>
      <c r="H364" s="121"/>
      <c r="I364" s="120"/>
    </row>
    <row r="365" spans="1:9">
      <c r="A365" s="119"/>
      <c r="B365" s="119"/>
      <c r="C365" s="120"/>
      <c r="D365" s="121"/>
      <c r="E365" s="164"/>
      <c r="F365" s="164"/>
      <c r="G365" s="126"/>
      <c r="H365" s="121"/>
      <c r="I365" s="120"/>
    </row>
    <row r="366" spans="1:9">
      <c r="A366" s="119"/>
      <c r="B366" s="119"/>
      <c r="C366" s="120"/>
      <c r="D366" s="121"/>
      <c r="E366" s="164"/>
      <c r="F366" s="164"/>
      <c r="G366" s="126"/>
      <c r="H366" s="121"/>
      <c r="I366" s="120"/>
    </row>
    <row r="367" spans="1:9">
      <c r="A367" s="119"/>
      <c r="B367" s="119"/>
      <c r="C367" s="120"/>
      <c r="D367" s="121"/>
      <c r="E367" s="164"/>
      <c r="F367" s="164"/>
      <c r="G367" s="126"/>
      <c r="H367" s="121"/>
      <c r="I367" s="120"/>
    </row>
    <row r="368" spans="1:9">
      <c r="A368" s="119"/>
      <c r="B368" s="119"/>
      <c r="C368" s="120"/>
      <c r="D368" s="121"/>
      <c r="E368" s="164"/>
      <c r="F368" s="164"/>
      <c r="G368" s="126"/>
      <c r="H368" s="121"/>
      <c r="I368" s="120"/>
    </row>
    <row r="369" spans="1:9">
      <c r="A369" s="119"/>
      <c r="B369" s="119"/>
      <c r="C369" s="120"/>
      <c r="D369" s="121"/>
      <c r="E369" s="164"/>
      <c r="F369" s="164"/>
      <c r="G369" s="126"/>
      <c r="H369" s="121"/>
      <c r="I369" s="120"/>
    </row>
    <row r="370" spans="1:9">
      <c r="A370" s="119"/>
      <c r="B370" s="119"/>
      <c r="C370" s="120"/>
      <c r="D370" s="121"/>
      <c r="E370" s="164"/>
      <c r="F370" s="164"/>
      <c r="G370" s="126"/>
      <c r="H370" s="121"/>
      <c r="I370" s="120"/>
    </row>
    <row r="371" spans="1:9">
      <c r="A371" s="119"/>
      <c r="B371" s="119"/>
      <c r="C371" s="120"/>
      <c r="D371" s="121"/>
      <c r="E371" s="164"/>
      <c r="F371" s="164"/>
      <c r="G371" s="126"/>
      <c r="H371" s="121"/>
      <c r="I371" s="120"/>
    </row>
    <row r="372" spans="1:9">
      <c r="A372" s="119"/>
      <c r="B372" s="119"/>
      <c r="C372" s="120"/>
      <c r="D372" s="121"/>
      <c r="E372" s="164"/>
      <c r="F372" s="164"/>
      <c r="G372" s="126"/>
      <c r="H372" s="121"/>
      <c r="I372" s="120"/>
    </row>
    <row r="373" spans="1:9">
      <c r="A373" s="119"/>
      <c r="B373" s="119"/>
      <c r="C373" s="120"/>
      <c r="D373" s="121"/>
      <c r="E373" s="164"/>
      <c r="F373" s="164"/>
      <c r="G373" s="126"/>
      <c r="H373" s="121"/>
      <c r="I373" s="120"/>
    </row>
    <row r="374" spans="1:9">
      <c r="A374" s="119"/>
      <c r="B374" s="119"/>
      <c r="C374" s="120"/>
      <c r="D374" s="121"/>
      <c r="E374" s="164"/>
      <c r="F374" s="164"/>
      <c r="G374" s="126"/>
      <c r="H374" s="121"/>
      <c r="I374" s="120"/>
    </row>
    <row r="375" spans="1:9">
      <c r="A375" s="119"/>
      <c r="B375" s="119"/>
      <c r="C375" s="120"/>
      <c r="D375" s="121"/>
      <c r="E375" s="164"/>
      <c r="F375" s="164"/>
      <c r="G375" s="126"/>
      <c r="H375" s="121"/>
      <c r="I375" s="120"/>
    </row>
    <row r="376" spans="1:9">
      <c r="A376" s="119"/>
      <c r="B376" s="119"/>
      <c r="C376" s="120"/>
      <c r="D376" s="121"/>
      <c r="E376" s="164"/>
      <c r="F376" s="164"/>
      <c r="G376" s="126"/>
      <c r="H376" s="121"/>
      <c r="I376" s="120"/>
    </row>
    <row r="377" spans="1:9">
      <c r="A377" s="119"/>
      <c r="B377" s="119"/>
      <c r="C377" s="120"/>
      <c r="D377" s="121"/>
      <c r="E377" s="164"/>
      <c r="F377" s="164"/>
      <c r="G377" s="126"/>
      <c r="H377" s="121"/>
      <c r="I377" s="120"/>
    </row>
    <row r="378" spans="1:9">
      <c r="A378" s="119"/>
      <c r="B378" s="119"/>
      <c r="C378" s="120"/>
      <c r="D378" s="121"/>
      <c r="E378" s="164"/>
      <c r="F378" s="164"/>
      <c r="G378" s="126"/>
      <c r="H378" s="121"/>
      <c r="I378" s="120"/>
    </row>
    <row r="379" spans="1:9">
      <c r="A379" s="119"/>
      <c r="B379" s="119"/>
      <c r="C379" s="120"/>
      <c r="D379" s="121"/>
      <c r="E379" s="164"/>
      <c r="F379" s="164"/>
      <c r="G379" s="126"/>
      <c r="H379" s="121"/>
      <c r="I379" s="120"/>
    </row>
    <row r="380" spans="1:9">
      <c r="A380" s="119"/>
      <c r="B380" s="119"/>
      <c r="C380" s="120"/>
      <c r="D380" s="121"/>
      <c r="E380" s="164"/>
      <c r="F380" s="164"/>
      <c r="G380" s="126"/>
      <c r="H380" s="121"/>
      <c r="I380" s="120"/>
    </row>
    <row r="381" spans="1:9">
      <c r="A381" s="119"/>
      <c r="B381" s="119"/>
      <c r="C381" s="120"/>
      <c r="D381" s="121"/>
      <c r="E381" s="164"/>
      <c r="F381" s="164"/>
      <c r="G381" s="126"/>
      <c r="H381" s="121"/>
      <c r="I381" s="120"/>
    </row>
    <row r="382" spans="1:9">
      <c r="A382" s="119"/>
      <c r="B382" s="119"/>
      <c r="C382" s="120"/>
      <c r="D382" s="121"/>
      <c r="E382" s="164"/>
      <c r="F382" s="164"/>
      <c r="G382" s="126"/>
      <c r="H382" s="121"/>
      <c r="I382" s="120"/>
    </row>
    <row r="383" spans="1:9">
      <c r="A383" s="119"/>
      <c r="B383" s="119"/>
      <c r="C383" s="120"/>
      <c r="D383" s="121"/>
      <c r="E383" s="164"/>
      <c r="F383" s="164"/>
      <c r="G383" s="126"/>
      <c r="H383" s="121"/>
      <c r="I383" s="120"/>
    </row>
    <row r="384" spans="1:9">
      <c r="A384" s="119"/>
      <c r="B384" s="119"/>
      <c r="C384" s="120"/>
      <c r="D384" s="121"/>
      <c r="E384" s="164"/>
      <c r="F384" s="164"/>
      <c r="G384" s="126"/>
      <c r="H384" s="121"/>
      <c r="I384" s="120"/>
    </row>
    <row r="385" spans="1:9">
      <c r="A385" s="119"/>
      <c r="B385" s="119"/>
      <c r="C385" s="120"/>
      <c r="D385" s="121"/>
      <c r="E385" s="164"/>
      <c r="F385" s="164"/>
      <c r="G385" s="126"/>
      <c r="H385" s="121"/>
      <c r="I385" s="120"/>
    </row>
    <row r="386" spans="1:9">
      <c r="A386" s="119"/>
      <c r="B386" s="119"/>
      <c r="C386" s="120"/>
      <c r="D386" s="121"/>
      <c r="E386" s="164"/>
      <c r="F386" s="164"/>
      <c r="G386" s="126"/>
      <c r="H386" s="121"/>
      <c r="I386" s="120"/>
    </row>
    <row r="387" spans="1:9">
      <c r="A387" s="119"/>
      <c r="B387" s="119"/>
      <c r="C387" s="120"/>
      <c r="D387" s="121"/>
      <c r="E387" s="164"/>
      <c r="F387" s="164"/>
      <c r="G387" s="126"/>
      <c r="H387" s="121"/>
      <c r="I387" s="120"/>
    </row>
    <row r="388" spans="1:9">
      <c r="A388" s="119"/>
      <c r="B388" s="119"/>
      <c r="C388" s="120"/>
      <c r="D388" s="121"/>
      <c r="E388" s="164"/>
      <c r="F388" s="164"/>
      <c r="G388" s="126"/>
      <c r="H388" s="121"/>
      <c r="I388" s="120"/>
    </row>
    <row r="389" spans="1:9">
      <c r="A389" s="119"/>
      <c r="B389" s="119"/>
      <c r="C389" s="120"/>
      <c r="D389" s="121"/>
      <c r="E389" s="164"/>
      <c r="F389" s="164"/>
      <c r="G389" s="126"/>
      <c r="H389" s="121"/>
      <c r="I389" s="120"/>
    </row>
    <row r="390" spans="1:9">
      <c r="A390" s="119"/>
      <c r="B390" s="119"/>
      <c r="C390" s="120"/>
      <c r="D390" s="121"/>
      <c r="E390" s="164"/>
      <c r="F390" s="164"/>
      <c r="G390" s="126"/>
      <c r="H390" s="121"/>
      <c r="I390" s="120"/>
    </row>
    <row r="391" spans="1:9">
      <c r="A391" s="119"/>
      <c r="B391" s="119"/>
      <c r="C391" s="120"/>
      <c r="D391" s="121"/>
      <c r="E391" s="164"/>
      <c r="F391" s="164"/>
      <c r="G391" s="126"/>
      <c r="H391" s="121"/>
      <c r="I391" s="120"/>
    </row>
    <row r="392" spans="1:9">
      <c r="A392" s="119"/>
      <c r="B392" s="119"/>
      <c r="C392" s="120"/>
      <c r="D392" s="121"/>
      <c r="E392" s="164"/>
      <c r="F392" s="164"/>
      <c r="G392" s="126"/>
      <c r="H392" s="121"/>
      <c r="I392" s="120"/>
    </row>
    <row r="393" spans="1:9">
      <c r="A393" s="119"/>
      <c r="B393" s="119"/>
      <c r="C393" s="120"/>
      <c r="D393" s="121"/>
      <c r="E393" s="164"/>
      <c r="F393" s="164"/>
      <c r="G393" s="126"/>
      <c r="H393" s="121"/>
      <c r="I393" s="120"/>
    </row>
    <row r="394" spans="1:9">
      <c r="A394" s="119"/>
      <c r="B394" s="119"/>
      <c r="C394" s="120"/>
      <c r="D394" s="121"/>
      <c r="E394" s="164"/>
      <c r="F394" s="164"/>
      <c r="G394" s="126"/>
      <c r="H394" s="121"/>
      <c r="I394" s="120"/>
    </row>
    <row r="395" spans="1:9">
      <c r="A395" s="119"/>
      <c r="B395" s="119"/>
      <c r="C395" s="120"/>
      <c r="D395" s="121"/>
      <c r="E395" s="164"/>
      <c r="F395" s="164"/>
      <c r="G395" s="126"/>
      <c r="H395" s="121"/>
      <c r="I395" s="120"/>
    </row>
    <row r="396" spans="1:9">
      <c r="A396" s="119"/>
      <c r="B396" s="119"/>
      <c r="C396" s="120"/>
      <c r="D396" s="121"/>
      <c r="E396" s="164"/>
      <c r="F396" s="164"/>
      <c r="G396" s="126"/>
      <c r="H396" s="121"/>
      <c r="I396" s="120"/>
    </row>
    <row r="397" spans="1:9">
      <c r="A397" s="119"/>
      <c r="B397" s="119"/>
      <c r="C397" s="120"/>
      <c r="D397" s="121"/>
      <c r="E397" s="164"/>
      <c r="F397" s="164"/>
      <c r="G397" s="126"/>
      <c r="H397" s="121"/>
      <c r="I397" s="120"/>
    </row>
    <row r="398" spans="1:9">
      <c r="A398" s="119"/>
      <c r="B398" s="119"/>
      <c r="C398" s="120"/>
      <c r="D398" s="121"/>
      <c r="E398" s="164"/>
      <c r="F398" s="164"/>
      <c r="G398" s="126"/>
      <c r="H398" s="121"/>
      <c r="I398" s="120"/>
    </row>
    <row r="399" spans="1:9">
      <c r="A399" s="119"/>
      <c r="B399" s="119"/>
      <c r="C399" s="120"/>
      <c r="D399" s="121"/>
      <c r="E399" s="164"/>
      <c r="F399" s="164"/>
      <c r="G399" s="126"/>
      <c r="H399" s="121"/>
      <c r="I399" s="120"/>
    </row>
    <row r="400" spans="1:9">
      <c r="A400" s="119"/>
      <c r="B400" s="119"/>
      <c r="C400" s="120"/>
      <c r="D400" s="121"/>
      <c r="E400" s="164"/>
      <c r="F400" s="164"/>
      <c r="G400" s="126"/>
      <c r="H400" s="121"/>
      <c r="I400" s="120"/>
    </row>
    <row r="401" spans="1:9">
      <c r="A401" s="119"/>
      <c r="B401" s="119"/>
      <c r="C401" s="120"/>
      <c r="D401" s="121"/>
      <c r="E401" s="164"/>
      <c r="F401" s="164"/>
      <c r="G401" s="126"/>
      <c r="H401" s="121"/>
      <c r="I401" s="120"/>
    </row>
    <row r="402" spans="1:9">
      <c r="A402" s="119"/>
      <c r="B402" s="119"/>
      <c r="C402" s="120"/>
      <c r="D402" s="121"/>
      <c r="E402" s="164"/>
      <c r="F402" s="164"/>
      <c r="G402" s="126"/>
      <c r="H402" s="121"/>
      <c r="I402" s="120"/>
    </row>
    <row r="403" spans="1:9">
      <c r="A403" s="119"/>
      <c r="B403" s="119"/>
      <c r="C403" s="120"/>
      <c r="D403" s="121"/>
      <c r="E403" s="164"/>
      <c r="F403" s="164"/>
      <c r="G403" s="126"/>
      <c r="H403" s="121"/>
      <c r="I403" s="120"/>
    </row>
    <row r="404" spans="1:9">
      <c r="A404" s="119"/>
      <c r="B404" s="119"/>
      <c r="C404" s="120"/>
      <c r="D404" s="121"/>
      <c r="E404" s="164"/>
      <c r="F404" s="164"/>
      <c r="G404" s="126"/>
      <c r="H404" s="121"/>
      <c r="I404" s="120"/>
    </row>
    <row r="405" spans="1:9">
      <c r="A405" s="119"/>
      <c r="B405" s="119"/>
      <c r="C405" s="120"/>
      <c r="D405" s="121"/>
      <c r="E405" s="164"/>
      <c r="F405" s="164"/>
      <c r="G405" s="126"/>
      <c r="H405" s="121"/>
      <c r="I405" s="120"/>
    </row>
    <row r="406" spans="1:9">
      <c r="A406" s="119"/>
      <c r="B406" s="119"/>
      <c r="C406" s="120"/>
      <c r="D406" s="121"/>
      <c r="E406" s="164"/>
      <c r="F406" s="164"/>
      <c r="G406" s="126"/>
      <c r="H406" s="121"/>
      <c r="I406" s="120"/>
    </row>
    <row r="407" spans="1:9">
      <c r="A407" s="119"/>
      <c r="B407" s="119"/>
      <c r="C407" s="120"/>
      <c r="D407" s="121"/>
      <c r="E407" s="164"/>
      <c r="F407" s="164"/>
      <c r="G407" s="126"/>
      <c r="H407" s="121"/>
      <c r="I407" s="120"/>
    </row>
    <row r="408" spans="1:9">
      <c r="A408" s="119"/>
      <c r="B408" s="119"/>
      <c r="C408" s="120"/>
      <c r="D408" s="121"/>
      <c r="E408" s="164"/>
      <c r="F408" s="164"/>
      <c r="G408" s="126"/>
      <c r="H408" s="121"/>
      <c r="I408" s="120"/>
    </row>
    <row r="409" spans="1:9">
      <c r="A409" s="119"/>
      <c r="B409" s="119"/>
      <c r="C409" s="120"/>
      <c r="D409" s="121"/>
      <c r="E409" s="164"/>
      <c r="F409" s="164"/>
      <c r="G409" s="126"/>
      <c r="H409" s="121"/>
      <c r="I409" s="120"/>
    </row>
    <row r="410" spans="1:9">
      <c r="A410" s="119"/>
      <c r="B410" s="119"/>
      <c r="C410" s="120"/>
      <c r="D410" s="121"/>
      <c r="E410" s="164"/>
      <c r="F410" s="164"/>
      <c r="G410" s="126"/>
      <c r="H410" s="121"/>
      <c r="I410" s="120"/>
    </row>
    <row r="411" spans="1:9">
      <c r="A411" s="119"/>
      <c r="B411" s="119"/>
      <c r="C411" s="120"/>
      <c r="D411" s="121"/>
      <c r="E411" s="164"/>
      <c r="F411" s="164"/>
      <c r="G411" s="126"/>
      <c r="H411" s="121"/>
      <c r="I411" s="120"/>
    </row>
    <row r="412" spans="1:9">
      <c r="A412" s="119"/>
      <c r="B412" s="119"/>
      <c r="C412" s="120"/>
      <c r="D412" s="121"/>
      <c r="E412" s="164"/>
      <c r="F412" s="164"/>
      <c r="G412" s="126"/>
      <c r="H412" s="121"/>
      <c r="I412" s="120"/>
    </row>
    <row r="413" spans="1:9">
      <c r="A413" s="119"/>
      <c r="B413" s="119"/>
      <c r="C413" s="120"/>
      <c r="D413" s="121"/>
      <c r="E413" s="164"/>
      <c r="F413" s="164"/>
      <c r="G413" s="126"/>
      <c r="H413" s="121"/>
      <c r="I413" s="120"/>
    </row>
    <row r="414" spans="1:9">
      <c r="A414" s="119"/>
      <c r="B414" s="119"/>
      <c r="C414" s="120"/>
      <c r="D414" s="121"/>
      <c r="E414" s="164"/>
      <c r="F414" s="164"/>
      <c r="G414" s="126"/>
      <c r="H414" s="121"/>
      <c r="I414" s="120"/>
    </row>
    <row r="415" spans="1:9">
      <c r="A415" s="119"/>
      <c r="B415" s="119"/>
      <c r="C415" s="120"/>
      <c r="D415" s="121"/>
      <c r="E415" s="164"/>
      <c r="F415" s="164"/>
      <c r="G415" s="126"/>
      <c r="H415" s="121"/>
      <c r="I415" s="120"/>
    </row>
    <row r="416" spans="1:9">
      <c r="A416" s="119"/>
      <c r="B416" s="119"/>
      <c r="C416" s="120"/>
      <c r="D416" s="121"/>
      <c r="E416" s="164"/>
      <c r="F416" s="164"/>
      <c r="G416" s="126"/>
      <c r="H416" s="121"/>
      <c r="I416" s="120"/>
    </row>
    <row r="417" spans="1:9">
      <c r="A417" s="119"/>
      <c r="B417" s="119"/>
      <c r="C417" s="120"/>
      <c r="D417" s="121"/>
      <c r="E417" s="164"/>
      <c r="F417" s="164"/>
      <c r="G417" s="126"/>
      <c r="H417" s="121"/>
      <c r="I417" s="120"/>
    </row>
    <row r="418" spans="1:9">
      <c r="A418" s="119"/>
      <c r="B418" s="119"/>
      <c r="C418" s="120"/>
      <c r="D418" s="121"/>
      <c r="E418" s="164"/>
      <c r="F418" s="164"/>
      <c r="G418" s="126"/>
      <c r="H418" s="121"/>
      <c r="I418" s="120"/>
    </row>
    <row r="419" spans="1:9">
      <c r="A419" s="119"/>
      <c r="B419" s="119"/>
      <c r="C419" s="120"/>
      <c r="D419" s="121"/>
      <c r="E419" s="164"/>
      <c r="F419" s="164"/>
      <c r="G419" s="126"/>
      <c r="H419" s="121"/>
      <c r="I419" s="120"/>
    </row>
    <row r="420" spans="1:9">
      <c r="A420" s="119"/>
      <c r="B420" s="119"/>
      <c r="C420" s="120"/>
      <c r="D420" s="121"/>
      <c r="E420" s="164"/>
      <c r="F420" s="164"/>
      <c r="G420" s="126"/>
      <c r="H420" s="121"/>
      <c r="I420" s="120"/>
    </row>
    <row r="421" spans="1:9">
      <c r="A421" s="119"/>
      <c r="B421" s="119"/>
      <c r="C421" s="120"/>
      <c r="D421" s="121"/>
      <c r="E421" s="164"/>
      <c r="F421" s="164"/>
      <c r="G421" s="126"/>
      <c r="H421" s="121"/>
      <c r="I421" s="120"/>
    </row>
    <row r="422" spans="1:9">
      <c r="A422" s="119"/>
      <c r="B422" s="119"/>
      <c r="C422" s="120"/>
      <c r="D422" s="121"/>
      <c r="E422" s="164"/>
      <c r="F422" s="164"/>
      <c r="G422" s="126"/>
      <c r="H422" s="121"/>
      <c r="I422" s="120"/>
    </row>
    <row r="423" spans="1:9">
      <c r="A423" s="119"/>
      <c r="B423" s="119"/>
      <c r="C423" s="120"/>
      <c r="D423" s="121"/>
      <c r="E423" s="164"/>
      <c r="F423" s="164"/>
      <c r="G423" s="126"/>
      <c r="H423" s="121"/>
      <c r="I423" s="120"/>
    </row>
    <row r="424" spans="1:9">
      <c r="A424" s="119"/>
      <c r="B424" s="119"/>
      <c r="C424" s="120"/>
      <c r="D424" s="121"/>
      <c r="E424" s="164"/>
      <c r="F424" s="164"/>
      <c r="G424" s="126"/>
      <c r="H424" s="121"/>
      <c r="I424" s="120"/>
    </row>
    <row r="425" spans="1:9">
      <c r="A425" s="119"/>
      <c r="B425" s="119"/>
      <c r="C425" s="120"/>
      <c r="D425" s="121"/>
      <c r="E425" s="164"/>
      <c r="F425" s="164"/>
      <c r="G425" s="126"/>
      <c r="H425" s="121"/>
      <c r="I425" s="120"/>
    </row>
    <row r="426" spans="1:9">
      <c r="A426" s="119"/>
      <c r="B426" s="119"/>
      <c r="C426" s="120"/>
      <c r="D426" s="121"/>
      <c r="E426" s="164"/>
      <c r="F426" s="164"/>
      <c r="G426" s="126"/>
      <c r="H426" s="121"/>
      <c r="I426" s="120"/>
    </row>
    <row r="427" spans="1:9">
      <c r="A427" s="119"/>
      <c r="B427" s="119"/>
      <c r="C427" s="120"/>
      <c r="D427" s="121"/>
      <c r="E427" s="164"/>
      <c r="F427" s="164"/>
      <c r="G427" s="126"/>
      <c r="H427" s="121"/>
      <c r="I427" s="120"/>
    </row>
    <row r="428" spans="1:9">
      <c r="A428" s="119"/>
      <c r="B428" s="119"/>
      <c r="C428" s="120"/>
      <c r="D428" s="121"/>
      <c r="E428" s="164"/>
      <c r="F428" s="164"/>
      <c r="G428" s="126"/>
      <c r="H428" s="121"/>
      <c r="I428" s="120"/>
    </row>
    <row r="429" spans="1:9">
      <c r="A429" s="119"/>
      <c r="B429" s="119"/>
      <c r="C429" s="120"/>
      <c r="D429" s="121"/>
      <c r="E429" s="164"/>
      <c r="F429" s="164"/>
      <c r="G429" s="126"/>
      <c r="H429" s="121"/>
      <c r="I429" s="120"/>
    </row>
    <row r="430" spans="1:9">
      <c r="A430" s="119"/>
      <c r="B430" s="119"/>
      <c r="C430" s="120"/>
      <c r="D430" s="121"/>
      <c r="E430" s="164"/>
      <c r="F430" s="164"/>
      <c r="G430" s="126"/>
      <c r="H430" s="121"/>
      <c r="I430" s="120"/>
    </row>
    <row r="431" spans="1:9">
      <c r="A431" s="119"/>
      <c r="B431" s="119"/>
      <c r="C431" s="120"/>
      <c r="D431" s="121"/>
      <c r="E431" s="164"/>
      <c r="F431" s="164"/>
      <c r="G431" s="126"/>
      <c r="H431" s="121"/>
      <c r="I431" s="120"/>
    </row>
    <row r="432" spans="1:9">
      <c r="A432" s="119"/>
      <c r="B432" s="119"/>
      <c r="C432" s="120"/>
      <c r="D432" s="121"/>
      <c r="E432" s="164"/>
      <c r="F432" s="164"/>
      <c r="G432" s="126"/>
      <c r="H432" s="121"/>
      <c r="I432" s="120"/>
    </row>
    <row r="433" spans="1:9">
      <c r="A433" s="119"/>
      <c r="B433" s="119"/>
      <c r="C433" s="120"/>
      <c r="D433" s="121"/>
      <c r="E433" s="164"/>
      <c r="F433" s="164"/>
      <c r="G433" s="126"/>
      <c r="H433" s="121"/>
      <c r="I433" s="120"/>
    </row>
  </sheetData>
  <mergeCells count="72">
    <mergeCell ref="E2:E13"/>
    <mergeCell ref="F2:F13"/>
    <mergeCell ref="E14:E25"/>
    <mergeCell ref="F14:F25"/>
    <mergeCell ref="E26:E37"/>
    <mergeCell ref="F26:F37"/>
    <mergeCell ref="E38:E49"/>
    <mergeCell ref="F38:F49"/>
    <mergeCell ref="E50:E61"/>
    <mergeCell ref="F50:F61"/>
    <mergeCell ref="E62:E73"/>
    <mergeCell ref="F62:F73"/>
    <mergeCell ref="E74:E85"/>
    <mergeCell ref="F74:F85"/>
    <mergeCell ref="E86:E97"/>
    <mergeCell ref="F86:F97"/>
    <mergeCell ref="E98:E109"/>
    <mergeCell ref="F98:F109"/>
    <mergeCell ref="E110:E121"/>
    <mergeCell ref="F110:F121"/>
    <mergeCell ref="E122:E133"/>
    <mergeCell ref="F122:F133"/>
    <mergeCell ref="E134:E145"/>
    <mergeCell ref="F134:F145"/>
    <mergeCell ref="E146:E157"/>
    <mergeCell ref="F146:F157"/>
    <mergeCell ref="E158:E169"/>
    <mergeCell ref="F158:F169"/>
    <mergeCell ref="E170:E181"/>
    <mergeCell ref="F170:F181"/>
    <mergeCell ref="E182:E193"/>
    <mergeCell ref="F182:F193"/>
    <mergeCell ref="E194:E205"/>
    <mergeCell ref="F194:F205"/>
    <mergeCell ref="E206:E217"/>
    <mergeCell ref="F206:F217"/>
    <mergeCell ref="E218:E229"/>
    <mergeCell ref="F218:F229"/>
    <mergeCell ref="E230:E241"/>
    <mergeCell ref="F230:F241"/>
    <mergeCell ref="E242:E253"/>
    <mergeCell ref="F242:F253"/>
    <mergeCell ref="E254:E265"/>
    <mergeCell ref="F254:F265"/>
    <mergeCell ref="E266:E277"/>
    <mergeCell ref="F266:F277"/>
    <mergeCell ref="E278:E289"/>
    <mergeCell ref="F278:F289"/>
    <mergeCell ref="E290:E301"/>
    <mergeCell ref="F290:F301"/>
    <mergeCell ref="E302:E313"/>
    <mergeCell ref="F302:F313"/>
    <mergeCell ref="E314:E325"/>
    <mergeCell ref="F314:F325"/>
    <mergeCell ref="E326:E337"/>
    <mergeCell ref="F326:F337"/>
    <mergeCell ref="E338:E349"/>
    <mergeCell ref="F338:F349"/>
    <mergeCell ref="E350:E361"/>
    <mergeCell ref="F350:F361"/>
    <mergeCell ref="E362:E373"/>
    <mergeCell ref="F362:F373"/>
    <mergeCell ref="E374:E385"/>
    <mergeCell ref="F374:F385"/>
    <mergeCell ref="E386:E397"/>
    <mergeCell ref="F386:F397"/>
    <mergeCell ref="E398:E409"/>
    <mergeCell ref="F398:F409"/>
    <mergeCell ref="E410:E421"/>
    <mergeCell ref="F410:F421"/>
    <mergeCell ref="E422:E433"/>
    <mergeCell ref="F422:F433"/>
  </mergeCells>
  <phoneticPr fontId="1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FEC09-E2D0-4027-9DAD-752452286E2F}">
  <sheetPr codeName="Sheet4"/>
  <dimension ref="A1:S133"/>
  <sheetViews>
    <sheetView zoomScale="85" zoomScaleNormal="85" workbookViewId="0">
      <selection activeCell="B124" sqref="B124"/>
    </sheetView>
  </sheetViews>
  <sheetFormatPr defaultColWidth="12.453125" defaultRowHeight="13.2"/>
  <cols>
    <col min="1" max="1" width="0.81640625" style="134" customWidth="1"/>
    <col min="2" max="2" width="9" style="134" customWidth="1"/>
    <col min="3" max="3" width="13.1796875" style="134" bestFit="1" customWidth="1"/>
    <col min="4" max="18" width="9" style="134" customWidth="1"/>
    <col min="19" max="19" width="36" style="134" customWidth="1"/>
    <col min="20" max="16384" width="12.453125" style="134"/>
  </cols>
  <sheetData>
    <row r="1" spans="1:19" ht="21">
      <c r="A1" s="170" t="s">
        <v>87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</row>
    <row r="2" spans="1:19" ht="10.050000000000001" customHeight="1">
      <c r="A2" s="133"/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</row>
    <row r="3" spans="1:19" s="136" customFormat="1" ht="15" customHeight="1">
      <c r="A3" s="71"/>
      <c r="B3" s="169" t="s">
        <v>128</v>
      </c>
      <c r="C3" s="169"/>
      <c r="D3" s="169"/>
      <c r="E3" s="169"/>
      <c r="F3" s="169"/>
      <c r="G3" s="169"/>
      <c r="H3" s="171" t="s">
        <v>89</v>
      </c>
      <c r="I3" s="171"/>
      <c r="J3" s="171"/>
      <c r="K3" s="171"/>
      <c r="L3" s="171"/>
      <c r="M3" s="171"/>
      <c r="N3" s="172" t="s">
        <v>90</v>
      </c>
      <c r="O3" s="171"/>
      <c r="P3" s="171"/>
      <c r="Q3" s="171"/>
      <c r="R3" s="173"/>
      <c r="S3" s="168" t="s">
        <v>127</v>
      </c>
    </row>
    <row r="4" spans="1:19" ht="15" customHeight="1">
      <c r="A4" s="137"/>
      <c r="B4" s="168" t="s">
        <v>93</v>
      </c>
      <c r="C4" s="168" t="s">
        <v>94</v>
      </c>
      <c r="D4" s="177" t="s">
        <v>43</v>
      </c>
      <c r="E4" s="176" t="s">
        <v>124</v>
      </c>
      <c r="F4" s="176" t="s">
        <v>125</v>
      </c>
      <c r="G4" s="178" t="s">
        <v>54</v>
      </c>
      <c r="H4" s="167" t="s">
        <v>75</v>
      </c>
      <c r="I4" s="167"/>
      <c r="J4" s="167"/>
      <c r="K4" s="166" t="s">
        <v>76</v>
      </c>
      <c r="L4" s="167"/>
      <c r="M4" s="167"/>
      <c r="N4" s="174" t="s">
        <v>77</v>
      </c>
      <c r="O4" s="138" t="s">
        <v>78</v>
      </c>
      <c r="P4" s="139"/>
      <c r="Q4" s="140" t="s">
        <v>79</v>
      </c>
      <c r="R4" s="139"/>
      <c r="S4" s="168"/>
    </row>
    <row r="5" spans="1:19" ht="18" customHeight="1">
      <c r="A5" s="141"/>
      <c r="B5" s="168"/>
      <c r="C5" s="168"/>
      <c r="D5" s="177"/>
      <c r="E5" s="176"/>
      <c r="F5" s="176"/>
      <c r="G5" s="178"/>
      <c r="H5" s="142"/>
      <c r="I5" s="135"/>
      <c r="J5" s="135"/>
      <c r="K5" s="135">
        <v>1</v>
      </c>
      <c r="L5" s="135">
        <v>2</v>
      </c>
      <c r="M5" s="135">
        <v>3</v>
      </c>
      <c r="N5" s="175"/>
      <c r="O5" s="135" t="s">
        <v>95</v>
      </c>
      <c r="P5" s="139" t="s">
        <v>96</v>
      </c>
      <c r="Q5" s="135" t="s">
        <v>97</v>
      </c>
      <c r="R5" s="139" t="s">
        <v>98</v>
      </c>
      <c r="S5" s="168"/>
    </row>
    <row r="6" spans="1:19" ht="18" customHeight="1">
      <c r="A6" s="143"/>
      <c r="B6" s="144" t="s">
        <v>184</v>
      </c>
      <c r="C6" s="144" t="s">
        <v>137</v>
      </c>
      <c r="D6" s="145"/>
      <c r="E6" s="145">
        <v>1.2E-2</v>
      </c>
      <c r="F6" s="145"/>
      <c r="G6" s="146" t="s">
        <v>140</v>
      </c>
      <c r="H6" s="147"/>
      <c r="I6" s="148"/>
      <c r="J6" s="148"/>
      <c r="K6" s="149" t="str">
        <f t="shared" ref="K6:M21" si="0">IF(ISERR(H6/H6)=TRUE," ",H6-$D6)</f>
        <v xml:space="preserve"> </v>
      </c>
      <c r="L6" s="149" t="str">
        <f t="shared" si="0"/>
        <v xml:space="preserve"> </v>
      </c>
      <c r="M6" s="149" t="str">
        <f t="shared" si="0"/>
        <v xml:space="preserve"> </v>
      </c>
      <c r="N6" s="150" t="str">
        <f t="shared" ref="N6:N69" si="1">IF(ISERR(H6/H6)=TRUE," ",AVERAGE(H6:J6))</f>
        <v xml:space="preserve"> </v>
      </c>
      <c r="O6" s="151" t="str">
        <f t="shared" ref="O6:O69" si="2">IF(ISERR(E6/E6)=TRUE," ",IF(ISERR(H6/H6)=TRUE," ",IF(ISNUMBER($H6)=FALSE," ",IF(MAX($H6:$J6)&lt;$D6,0,(MAX($H6:$J6)-$D6)/$E6))))</f>
        <v xml:space="preserve"> </v>
      </c>
      <c r="P6" s="152" t="str">
        <f t="shared" ref="P6:P69" si="3">IF(ISERR(F6/D6)=TRUE," ",IF(ISERR(F6/F6)=TRUE," ",IF(ISERR(H6/H6)=TRUE," ",IF(ISNUMBER(H6)=FALSE," ",IF(MIN(H6:J6)&gt;$D6,0,($D6-MIN(H6:J6))/-F6)))))</f>
        <v xml:space="preserve"> </v>
      </c>
      <c r="Q6" s="150" t="str">
        <f t="shared" ref="Q6:Q69" si="4">IF(ISNUMBER($O6)=TRUE,IF($O6&gt;0.651,IF($O6&gt;1.001,"Reject","Alert"),""),"")</f>
        <v/>
      </c>
      <c r="R6" s="150" t="str">
        <f t="shared" ref="R6:R69" si="5">IF(H6="","",IF(ISERR(F6/F6)=TRUE,"",IF(ISERR(F6/D6)=TRUE,IF((F6-MIN(H6:J6))&gt;0.001,"Reject",""),IF(ISNUMBER($P6)=TRUE,IF($P6&gt;0.651,IF($P6&gt;1.001,"Reject","Alert"),""),""))))</f>
        <v/>
      </c>
      <c r="S6" s="153"/>
    </row>
    <row r="7" spans="1:19" ht="18" customHeight="1">
      <c r="A7" s="143"/>
      <c r="B7" s="144" t="s">
        <v>185</v>
      </c>
      <c r="C7" s="154" t="s">
        <v>137</v>
      </c>
      <c r="D7" s="145"/>
      <c r="E7" s="145">
        <v>1.2E-2</v>
      </c>
      <c r="F7" s="145"/>
      <c r="G7" s="146" t="s">
        <v>140</v>
      </c>
      <c r="H7" s="147"/>
      <c r="I7" s="148"/>
      <c r="J7" s="148"/>
      <c r="K7" s="149" t="str">
        <f t="shared" si="0"/>
        <v xml:space="preserve"> </v>
      </c>
      <c r="L7" s="149" t="str">
        <f t="shared" si="0"/>
        <v xml:space="preserve"> </v>
      </c>
      <c r="M7" s="149" t="str">
        <f t="shared" si="0"/>
        <v xml:space="preserve"> </v>
      </c>
      <c r="N7" s="150" t="str">
        <f t="shared" si="1"/>
        <v xml:space="preserve"> </v>
      </c>
      <c r="O7" s="151" t="str">
        <f t="shared" si="2"/>
        <v xml:space="preserve"> </v>
      </c>
      <c r="P7" s="152" t="str">
        <f t="shared" si="3"/>
        <v xml:space="preserve"> </v>
      </c>
      <c r="Q7" s="150" t="str">
        <f t="shared" si="4"/>
        <v/>
      </c>
      <c r="R7" s="150" t="str">
        <f t="shared" si="5"/>
        <v/>
      </c>
      <c r="S7" s="153"/>
    </row>
    <row r="8" spans="1:19" ht="18" customHeight="1">
      <c r="A8" s="143"/>
      <c r="B8" s="144" t="s">
        <v>186</v>
      </c>
      <c r="C8" s="146" t="s">
        <v>137</v>
      </c>
      <c r="D8" s="145"/>
      <c r="E8" s="145">
        <v>1.2E-2</v>
      </c>
      <c r="F8" s="145"/>
      <c r="G8" s="146" t="s">
        <v>140</v>
      </c>
      <c r="H8" s="147"/>
      <c r="I8" s="148"/>
      <c r="J8" s="148"/>
      <c r="K8" s="149" t="str">
        <f t="shared" si="0"/>
        <v xml:space="preserve"> </v>
      </c>
      <c r="L8" s="149" t="str">
        <f t="shared" si="0"/>
        <v xml:space="preserve"> </v>
      </c>
      <c r="M8" s="149" t="str">
        <f t="shared" si="0"/>
        <v xml:space="preserve"> </v>
      </c>
      <c r="N8" s="150" t="str">
        <f t="shared" si="1"/>
        <v xml:space="preserve"> </v>
      </c>
      <c r="O8" s="151" t="str">
        <f t="shared" si="2"/>
        <v xml:space="preserve"> </v>
      </c>
      <c r="P8" s="152" t="str">
        <f t="shared" si="3"/>
        <v xml:space="preserve"> </v>
      </c>
      <c r="Q8" s="150" t="str">
        <f t="shared" si="4"/>
        <v/>
      </c>
      <c r="R8" s="150" t="str">
        <f t="shared" si="5"/>
        <v/>
      </c>
      <c r="S8" s="153"/>
    </row>
    <row r="9" spans="1:19" ht="18" customHeight="1">
      <c r="A9" s="143"/>
      <c r="B9" s="144" t="s">
        <v>187</v>
      </c>
      <c r="C9" s="146" t="s">
        <v>137</v>
      </c>
      <c r="D9" s="145"/>
      <c r="E9" s="145">
        <v>1.2E-2</v>
      </c>
      <c r="F9" s="145"/>
      <c r="G9" s="146" t="s">
        <v>140</v>
      </c>
      <c r="H9" s="147"/>
      <c r="I9" s="148"/>
      <c r="J9" s="148"/>
      <c r="K9" s="149" t="str">
        <f t="shared" si="0"/>
        <v xml:space="preserve"> </v>
      </c>
      <c r="L9" s="149" t="str">
        <f t="shared" si="0"/>
        <v xml:space="preserve"> </v>
      </c>
      <c r="M9" s="149" t="str">
        <f t="shared" si="0"/>
        <v xml:space="preserve"> </v>
      </c>
      <c r="N9" s="150" t="str">
        <f t="shared" si="1"/>
        <v xml:space="preserve"> </v>
      </c>
      <c r="O9" s="151" t="str">
        <f t="shared" si="2"/>
        <v xml:space="preserve"> </v>
      </c>
      <c r="P9" s="152" t="str">
        <f t="shared" si="3"/>
        <v xml:space="preserve"> </v>
      </c>
      <c r="Q9" s="150" t="str">
        <f t="shared" si="4"/>
        <v/>
      </c>
      <c r="R9" s="150" t="str">
        <f t="shared" si="5"/>
        <v/>
      </c>
      <c r="S9" s="153"/>
    </row>
    <row r="10" spans="1:19" ht="18" customHeight="1">
      <c r="A10" s="143"/>
      <c r="B10" s="144" t="s">
        <v>188</v>
      </c>
      <c r="C10" s="146" t="s">
        <v>138</v>
      </c>
      <c r="D10" s="145"/>
      <c r="E10" s="145">
        <v>8.0000000000000002E-3</v>
      </c>
      <c r="F10" s="145"/>
      <c r="G10" s="146" t="s">
        <v>140</v>
      </c>
      <c r="H10" s="147"/>
      <c r="I10" s="148"/>
      <c r="J10" s="148"/>
      <c r="K10" s="149" t="str">
        <f t="shared" si="0"/>
        <v xml:space="preserve"> </v>
      </c>
      <c r="L10" s="149" t="str">
        <f t="shared" si="0"/>
        <v xml:space="preserve"> </v>
      </c>
      <c r="M10" s="149" t="str">
        <f t="shared" si="0"/>
        <v xml:space="preserve"> </v>
      </c>
      <c r="N10" s="150" t="str">
        <f t="shared" si="1"/>
        <v xml:space="preserve"> </v>
      </c>
      <c r="O10" s="151" t="str">
        <f t="shared" si="2"/>
        <v xml:space="preserve"> </v>
      </c>
      <c r="P10" s="152" t="str">
        <f t="shared" si="3"/>
        <v xml:space="preserve"> </v>
      </c>
      <c r="Q10" s="150" t="str">
        <f t="shared" si="4"/>
        <v/>
      </c>
      <c r="R10" s="150" t="str">
        <f t="shared" si="5"/>
        <v/>
      </c>
      <c r="S10" s="153"/>
    </row>
    <row r="11" spans="1:19" ht="18" customHeight="1">
      <c r="A11" s="143"/>
      <c r="B11" s="144" t="s">
        <v>189</v>
      </c>
      <c r="C11" s="146" t="s">
        <v>138</v>
      </c>
      <c r="D11" s="145"/>
      <c r="E11" s="145">
        <v>8.0000000000000002E-3</v>
      </c>
      <c r="F11" s="145"/>
      <c r="G11" s="146" t="s">
        <v>140</v>
      </c>
      <c r="H11" s="147"/>
      <c r="I11" s="148"/>
      <c r="J11" s="148"/>
      <c r="K11" s="149" t="str">
        <f t="shared" si="0"/>
        <v xml:space="preserve"> </v>
      </c>
      <c r="L11" s="149" t="str">
        <f t="shared" si="0"/>
        <v xml:space="preserve"> </v>
      </c>
      <c r="M11" s="149" t="str">
        <f t="shared" si="0"/>
        <v xml:space="preserve"> </v>
      </c>
      <c r="N11" s="150" t="str">
        <f t="shared" si="1"/>
        <v xml:space="preserve"> </v>
      </c>
      <c r="O11" s="151" t="str">
        <f t="shared" si="2"/>
        <v xml:space="preserve"> </v>
      </c>
      <c r="P11" s="152" t="str">
        <f t="shared" si="3"/>
        <v xml:space="preserve"> </v>
      </c>
      <c r="Q11" s="150" t="str">
        <f t="shared" si="4"/>
        <v/>
      </c>
      <c r="R11" s="150" t="str">
        <f t="shared" si="5"/>
        <v/>
      </c>
      <c r="S11" s="153"/>
    </row>
    <row r="12" spans="1:19" ht="18" customHeight="1">
      <c r="A12" s="143"/>
      <c r="B12" s="144" t="s">
        <v>190</v>
      </c>
      <c r="C12" s="146" t="s">
        <v>138</v>
      </c>
      <c r="D12" s="145"/>
      <c r="E12" s="145">
        <v>8.0000000000000002E-3</v>
      </c>
      <c r="F12" s="145"/>
      <c r="G12" s="146" t="s">
        <v>140</v>
      </c>
      <c r="H12" s="147"/>
      <c r="I12" s="148"/>
      <c r="J12" s="148"/>
      <c r="K12" s="149" t="str">
        <f t="shared" si="0"/>
        <v xml:space="preserve"> </v>
      </c>
      <c r="L12" s="149" t="str">
        <f t="shared" si="0"/>
        <v xml:space="preserve"> </v>
      </c>
      <c r="M12" s="149" t="str">
        <f t="shared" si="0"/>
        <v xml:space="preserve"> </v>
      </c>
      <c r="N12" s="150" t="str">
        <f t="shared" si="1"/>
        <v xml:space="preserve"> </v>
      </c>
      <c r="O12" s="151" t="str">
        <f t="shared" si="2"/>
        <v xml:space="preserve"> </v>
      </c>
      <c r="P12" s="152" t="str">
        <f t="shared" si="3"/>
        <v xml:space="preserve"> </v>
      </c>
      <c r="Q12" s="150" t="str">
        <f t="shared" si="4"/>
        <v/>
      </c>
      <c r="R12" s="150" t="str">
        <f t="shared" si="5"/>
        <v/>
      </c>
      <c r="S12" s="153"/>
    </row>
    <row r="13" spans="1:19" ht="18" customHeight="1">
      <c r="A13" s="143"/>
      <c r="B13" s="144" t="s">
        <v>191</v>
      </c>
      <c r="C13" s="154" t="s">
        <v>138</v>
      </c>
      <c r="D13" s="145"/>
      <c r="E13" s="145">
        <v>8.0000000000000002E-3</v>
      </c>
      <c r="F13" s="145"/>
      <c r="G13" s="146" t="s">
        <v>140</v>
      </c>
      <c r="H13" s="147"/>
      <c r="I13" s="148"/>
      <c r="J13" s="148"/>
      <c r="K13" s="149" t="str">
        <f t="shared" si="0"/>
        <v xml:space="preserve"> </v>
      </c>
      <c r="L13" s="149" t="str">
        <f t="shared" si="0"/>
        <v xml:space="preserve"> </v>
      </c>
      <c r="M13" s="149" t="str">
        <f t="shared" si="0"/>
        <v xml:space="preserve"> </v>
      </c>
      <c r="N13" s="150" t="str">
        <f t="shared" si="1"/>
        <v xml:space="preserve"> </v>
      </c>
      <c r="O13" s="151" t="str">
        <f t="shared" si="2"/>
        <v xml:space="preserve"> </v>
      </c>
      <c r="P13" s="152" t="str">
        <f t="shared" si="3"/>
        <v xml:space="preserve"> </v>
      </c>
      <c r="Q13" s="150" t="str">
        <f t="shared" si="4"/>
        <v/>
      </c>
      <c r="R13" s="150" t="str">
        <f t="shared" si="5"/>
        <v/>
      </c>
      <c r="S13" s="153"/>
    </row>
    <row r="14" spans="1:19" ht="18" customHeight="1">
      <c r="A14" s="143"/>
      <c r="B14" s="144" t="s">
        <v>193</v>
      </c>
      <c r="C14" s="146" t="s">
        <v>82</v>
      </c>
      <c r="D14" s="145"/>
      <c r="E14" s="145">
        <v>0.03</v>
      </c>
      <c r="F14" s="145"/>
      <c r="G14" s="146" t="s">
        <v>81</v>
      </c>
      <c r="H14" s="147"/>
      <c r="I14" s="148"/>
      <c r="J14" s="148"/>
      <c r="K14" s="149" t="str">
        <f t="shared" si="0"/>
        <v xml:space="preserve"> </v>
      </c>
      <c r="L14" s="149" t="str">
        <f t="shared" si="0"/>
        <v xml:space="preserve"> </v>
      </c>
      <c r="M14" s="149" t="str">
        <f t="shared" si="0"/>
        <v xml:space="preserve"> </v>
      </c>
      <c r="N14" s="150" t="str">
        <f t="shared" si="1"/>
        <v xml:space="preserve"> </v>
      </c>
      <c r="O14" s="151" t="str">
        <f t="shared" si="2"/>
        <v xml:space="preserve"> </v>
      </c>
      <c r="P14" s="152" t="str">
        <f t="shared" si="3"/>
        <v xml:space="preserve"> </v>
      </c>
      <c r="Q14" s="150" t="str">
        <f t="shared" si="4"/>
        <v/>
      </c>
      <c r="R14" s="150" t="str">
        <f t="shared" si="5"/>
        <v/>
      </c>
      <c r="S14" s="153"/>
    </row>
    <row r="15" spans="1:19" ht="18" customHeight="1">
      <c r="A15" s="143"/>
      <c r="B15" s="144" t="s">
        <v>194</v>
      </c>
      <c r="C15" s="146" t="s">
        <v>73</v>
      </c>
      <c r="D15" s="145">
        <v>0.49</v>
      </c>
      <c r="E15" s="145">
        <v>0.01</v>
      </c>
      <c r="F15" s="145">
        <v>-0.01</v>
      </c>
      <c r="G15" s="146" t="s">
        <v>81</v>
      </c>
      <c r="H15" s="147"/>
      <c r="I15" s="148"/>
      <c r="J15" s="148"/>
      <c r="K15" s="149" t="str">
        <f t="shared" si="0"/>
        <v xml:space="preserve"> </v>
      </c>
      <c r="L15" s="149" t="str">
        <f t="shared" si="0"/>
        <v xml:space="preserve"> </v>
      </c>
      <c r="M15" s="149" t="str">
        <f t="shared" si="0"/>
        <v xml:space="preserve"> </v>
      </c>
      <c r="N15" s="150" t="str">
        <f t="shared" si="1"/>
        <v xml:space="preserve"> </v>
      </c>
      <c r="O15" s="151" t="str">
        <f t="shared" si="2"/>
        <v xml:space="preserve"> </v>
      </c>
      <c r="P15" s="152" t="str">
        <f t="shared" si="3"/>
        <v xml:space="preserve"> </v>
      </c>
      <c r="Q15" s="150" t="str">
        <f t="shared" si="4"/>
        <v/>
      </c>
      <c r="R15" s="150" t="str">
        <f t="shared" si="5"/>
        <v/>
      </c>
      <c r="S15" s="153"/>
    </row>
    <row r="16" spans="1:19" ht="18" customHeight="1">
      <c r="A16" s="143"/>
      <c r="B16" s="144" t="s">
        <v>195</v>
      </c>
      <c r="C16" s="146" t="s">
        <v>73</v>
      </c>
      <c r="D16" s="145">
        <v>0.49</v>
      </c>
      <c r="E16" s="145">
        <v>0.01</v>
      </c>
      <c r="F16" s="145">
        <v>-0.01</v>
      </c>
      <c r="G16" s="146" t="s">
        <v>81</v>
      </c>
      <c r="H16" s="147"/>
      <c r="I16" s="148"/>
      <c r="J16" s="148"/>
      <c r="K16" s="149" t="str">
        <f t="shared" si="0"/>
        <v xml:space="preserve"> </v>
      </c>
      <c r="L16" s="149" t="str">
        <f t="shared" si="0"/>
        <v xml:space="preserve"> </v>
      </c>
      <c r="M16" s="149" t="str">
        <f t="shared" si="0"/>
        <v xml:space="preserve"> </v>
      </c>
      <c r="N16" s="150" t="str">
        <f t="shared" si="1"/>
        <v xml:space="preserve"> </v>
      </c>
      <c r="O16" s="151" t="str">
        <f t="shared" si="2"/>
        <v xml:space="preserve"> </v>
      </c>
      <c r="P16" s="152" t="str">
        <f t="shared" si="3"/>
        <v xml:space="preserve"> </v>
      </c>
      <c r="Q16" s="150" t="str">
        <f t="shared" si="4"/>
        <v/>
      </c>
      <c r="R16" s="150" t="str">
        <f t="shared" si="5"/>
        <v/>
      </c>
      <c r="S16" s="153"/>
    </row>
    <row r="17" spans="1:19" ht="18" customHeight="1">
      <c r="A17" s="143"/>
      <c r="B17" s="144" t="s">
        <v>196</v>
      </c>
      <c r="C17" s="146" t="s">
        <v>73</v>
      </c>
      <c r="D17" s="145">
        <v>0.49</v>
      </c>
      <c r="E17" s="145">
        <v>0.01</v>
      </c>
      <c r="F17" s="145">
        <v>-0.01</v>
      </c>
      <c r="G17" s="146" t="s">
        <v>81</v>
      </c>
      <c r="H17" s="147"/>
      <c r="I17" s="148"/>
      <c r="J17" s="148"/>
      <c r="K17" s="149" t="str">
        <f t="shared" si="0"/>
        <v xml:space="preserve"> </v>
      </c>
      <c r="L17" s="149" t="str">
        <f t="shared" si="0"/>
        <v xml:space="preserve"> </v>
      </c>
      <c r="M17" s="149" t="str">
        <f t="shared" si="0"/>
        <v xml:space="preserve"> </v>
      </c>
      <c r="N17" s="150" t="str">
        <f t="shared" si="1"/>
        <v xml:space="preserve"> </v>
      </c>
      <c r="O17" s="151" t="str">
        <f t="shared" si="2"/>
        <v xml:space="preserve"> </v>
      </c>
      <c r="P17" s="152" t="str">
        <f t="shared" si="3"/>
        <v xml:space="preserve"> </v>
      </c>
      <c r="Q17" s="150" t="str">
        <f t="shared" si="4"/>
        <v/>
      </c>
      <c r="R17" s="150" t="str">
        <f t="shared" si="5"/>
        <v/>
      </c>
      <c r="S17" s="153"/>
    </row>
    <row r="18" spans="1:19" ht="18" customHeight="1">
      <c r="A18" s="143"/>
      <c r="B18" s="144" t="s">
        <v>197</v>
      </c>
      <c r="C18" s="146" t="s">
        <v>73</v>
      </c>
      <c r="D18" s="145">
        <v>0.77</v>
      </c>
      <c r="E18" s="145">
        <v>0.02</v>
      </c>
      <c r="F18" s="145">
        <v>-0.02</v>
      </c>
      <c r="G18" s="146" t="s">
        <v>198</v>
      </c>
      <c r="H18" s="147"/>
      <c r="I18" s="148"/>
      <c r="J18" s="148"/>
      <c r="K18" s="149" t="str">
        <f t="shared" si="0"/>
        <v xml:space="preserve"> </v>
      </c>
      <c r="L18" s="149" t="str">
        <f t="shared" si="0"/>
        <v xml:space="preserve"> </v>
      </c>
      <c r="M18" s="149" t="str">
        <f t="shared" si="0"/>
        <v xml:space="preserve"> </v>
      </c>
      <c r="N18" s="150" t="str">
        <f t="shared" si="1"/>
        <v xml:space="preserve"> </v>
      </c>
      <c r="O18" s="151" t="str">
        <f t="shared" si="2"/>
        <v xml:space="preserve"> </v>
      </c>
      <c r="P18" s="152" t="str">
        <f t="shared" si="3"/>
        <v xml:space="preserve"> </v>
      </c>
      <c r="Q18" s="150" t="str">
        <f t="shared" si="4"/>
        <v/>
      </c>
      <c r="R18" s="150" t="str">
        <f t="shared" si="5"/>
        <v/>
      </c>
      <c r="S18" s="153"/>
    </row>
    <row r="19" spans="1:19" ht="18" customHeight="1">
      <c r="A19" s="143"/>
      <c r="B19" s="144" t="s">
        <v>199</v>
      </c>
      <c r="C19" s="146" t="s">
        <v>73</v>
      </c>
      <c r="D19" s="145">
        <v>0.77</v>
      </c>
      <c r="E19" s="145">
        <v>0.02</v>
      </c>
      <c r="F19" s="145">
        <v>-0.02</v>
      </c>
      <c r="G19" s="146" t="s">
        <v>198</v>
      </c>
      <c r="H19" s="147"/>
      <c r="I19" s="148"/>
      <c r="J19" s="148"/>
      <c r="K19" s="149" t="str">
        <f t="shared" si="0"/>
        <v xml:space="preserve"> </v>
      </c>
      <c r="L19" s="149" t="str">
        <f t="shared" si="0"/>
        <v xml:space="preserve"> </v>
      </c>
      <c r="M19" s="149" t="str">
        <f t="shared" si="0"/>
        <v xml:space="preserve"> </v>
      </c>
      <c r="N19" s="150" t="str">
        <f t="shared" si="1"/>
        <v xml:space="preserve"> </v>
      </c>
      <c r="O19" s="151" t="str">
        <f t="shared" si="2"/>
        <v xml:space="preserve"> </v>
      </c>
      <c r="P19" s="152" t="str">
        <f t="shared" si="3"/>
        <v xml:space="preserve"> </v>
      </c>
      <c r="Q19" s="150" t="str">
        <f t="shared" si="4"/>
        <v/>
      </c>
      <c r="R19" s="150" t="str">
        <f t="shared" si="5"/>
        <v/>
      </c>
      <c r="S19" s="153"/>
    </row>
    <row r="20" spans="1:19" ht="18" customHeight="1">
      <c r="A20" s="143"/>
      <c r="B20" s="144" t="s">
        <v>200</v>
      </c>
      <c r="C20" s="146" t="s">
        <v>73</v>
      </c>
      <c r="D20" s="145">
        <v>0.77</v>
      </c>
      <c r="E20" s="145">
        <v>0.02</v>
      </c>
      <c r="F20" s="145">
        <v>-0.02</v>
      </c>
      <c r="G20" s="146" t="s">
        <v>198</v>
      </c>
      <c r="H20" s="147"/>
      <c r="I20" s="148"/>
      <c r="J20" s="148"/>
      <c r="K20" s="149" t="str">
        <f t="shared" si="0"/>
        <v xml:space="preserve"> </v>
      </c>
      <c r="L20" s="149" t="str">
        <f t="shared" si="0"/>
        <v xml:space="preserve"> </v>
      </c>
      <c r="M20" s="149" t="str">
        <f t="shared" si="0"/>
        <v xml:space="preserve"> </v>
      </c>
      <c r="N20" s="150" t="str">
        <f t="shared" si="1"/>
        <v xml:space="preserve"> </v>
      </c>
      <c r="O20" s="151" t="str">
        <f t="shared" si="2"/>
        <v xml:space="preserve"> </v>
      </c>
      <c r="P20" s="152" t="str">
        <f t="shared" si="3"/>
        <v xml:space="preserve"> </v>
      </c>
      <c r="Q20" s="150" t="str">
        <f t="shared" si="4"/>
        <v/>
      </c>
      <c r="R20" s="150" t="str">
        <f t="shared" si="5"/>
        <v/>
      </c>
      <c r="S20" s="153"/>
    </row>
    <row r="21" spans="1:19" ht="18" customHeight="1">
      <c r="A21" s="143"/>
      <c r="B21" s="144" t="s">
        <v>201</v>
      </c>
      <c r="C21" s="146" t="s">
        <v>73</v>
      </c>
      <c r="D21" s="145">
        <v>0.49</v>
      </c>
      <c r="E21" s="145">
        <v>1.4999999999999999E-2</v>
      </c>
      <c r="F21" s="145">
        <v>-1.4999999999999999E-2</v>
      </c>
      <c r="G21" s="146" t="s">
        <v>81</v>
      </c>
      <c r="H21" s="147"/>
      <c r="I21" s="148"/>
      <c r="J21" s="148"/>
      <c r="K21" s="149" t="str">
        <f t="shared" si="0"/>
        <v xml:space="preserve"> </v>
      </c>
      <c r="L21" s="149" t="str">
        <f t="shared" si="0"/>
        <v xml:space="preserve"> </v>
      </c>
      <c r="M21" s="149" t="str">
        <f t="shared" si="0"/>
        <v xml:space="preserve"> </v>
      </c>
      <c r="N21" s="150" t="str">
        <f t="shared" si="1"/>
        <v xml:space="preserve"> </v>
      </c>
      <c r="O21" s="151" t="str">
        <f t="shared" si="2"/>
        <v xml:space="preserve"> </v>
      </c>
      <c r="P21" s="152" t="str">
        <f t="shared" si="3"/>
        <v xml:space="preserve"> </v>
      </c>
      <c r="Q21" s="150" t="str">
        <f t="shared" si="4"/>
        <v/>
      </c>
      <c r="R21" s="150" t="str">
        <f t="shared" si="5"/>
        <v/>
      </c>
      <c r="S21" s="153"/>
    </row>
    <row r="22" spans="1:19" ht="18" customHeight="1">
      <c r="A22" s="143"/>
      <c r="B22" s="144" t="s">
        <v>202</v>
      </c>
      <c r="C22" s="146" t="s">
        <v>73</v>
      </c>
      <c r="D22" s="145">
        <v>0.49</v>
      </c>
      <c r="E22" s="145">
        <v>1.4999999999999999E-2</v>
      </c>
      <c r="F22" s="145">
        <v>-1.4999999999999999E-2</v>
      </c>
      <c r="G22" s="146" t="s">
        <v>81</v>
      </c>
      <c r="H22" s="147"/>
      <c r="I22" s="148"/>
      <c r="J22" s="148"/>
      <c r="K22" s="149" t="str">
        <f t="shared" ref="K22:M84" si="6">IF(ISERR(H22/H22)=TRUE," ",H22-$D22)</f>
        <v xml:space="preserve"> </v>
      </c>
      <c r="L22" s="149" t="str">
        <f t="shared" si="6"/>
        <v xml:space="preserve"> </v>
      </c>
      <c r="M22" s="149" t="str">
        <f t="shared" si="6"/>
        <v xml:space="preserve"> </v>
      </c>
      <c r="N22" s="150" t="str">
        <f t="shared" si="1"/>
        <v xml:space="preserve"> </v>
      </c>
      <c r="O22" s="151" t="str">
        <f t="shared" si="2"/>
        <v xml:space="preserve"> </v>
      </c>
      <c r="P22" s="152" t="str">
        <f t="shared" si="3"/>
        <v xml:space="preserve"> </v>
      </c>
      <c r="Q22" s="150" t="str">
        <f t="shared" si="4"/>
        <v/>
      </c>
      <c r="R22" s="150" t="str">
        <f t="shared" si="5"/>
        <v/>
      </c>
      <c r="S22" s="153"/>
    </row>
    <row r="23" spans="1:19" ht="18" customHeight="1">
      <c r="A23" s="143"/>
      <c r="B23" s="144" t="s">
        <v>204</v>
      </c>
      <c r="C23" s="146" t="s">
        <v>139</v>
      </c>
      <c r="D23" s="145">
        <v>3.08</v>
      </c>
      <c r="E23" s="145">
        <v>0.03</v>
      </c>
      <c r="F23" s="145">
        <v>-0.03</v>
      </c>
      <c r="G23" s="146" t="s">
        <v>198</v>
      </c>
      <c r="H23" s="147"/>
      <c r="I23" s="148"/>
      <c r="J23" s="148"/>
      <c r="K23" s="149" t="str">
        <f t="shared" si="6"/>
        <v xml:space="preserve"> </v>
      </c>
      <c r="L23" s="149" t="str">
        <f t="shared" si="6"/>
        <v xml:space="preserve"> </v>
      </c>
      <c r="M23" s="149" t="str">
        <f t="shared" si="6"/>
        <v xml:space="preserve"> </v>
      </c>
      <c r="N23" s="150" t="str">
        <f t="shared" si="1"/>
        <v xml:space="preserve"> </v>
      </c>
      <c r="O23" s="151" t="str">
        <f t="shared" si="2"/>
        <v xml:space="preserve"> </v>
      </c>
      <c r="P23" s="152" t="str">
        <f t="shared" si="3"/>
        <v xml:space="preserve"> </v>
      </c>
      <c r="Q23" s="150" t="str">
        <f t="shared" si="4"/>
        <v/>
      </c>
      <c r="R23" s="150" t="str">
        <f t="shared" si="5"/>
        <v/>
      </c>
      <c r="S23" s="153"/>
    </row>
    <row r="24" spans="1:19" ht="18" customHeight="1">
      <c r="A24" s="143"/>
      <c r="B24" s="144" t="s">
        <v>205</v>
      </c>
      <c r="C24" s="146" t="s">
        <v>139</v>
      </c>
      <c r="D24" s="145">
        <v>3.08</v>
      </c>
      <c r="E24" s="145">
        <v>0.03</v>
      </c>
      <c r="F24" s="145">
        <v>-0.03</v>
      </c>
      <c r="G24" s="146" t="s">
        <v>198</v>
      </c>
      <c r="H24" s="147"/>
      <c r="I24" s="148"/>
      <c r="J24" s="148"/>
      <c r="K24" s="149" t="str">
        <f t="shared" si="6"/>
        <v xml:space="preserve"> </v>
      </c>
      <c r="L24" s="149" t="str">
        <f t="shared" si="6"/>
        <v xml:space="preserve"> </v>
      </c>
      <c r="M24" s="149" t="str">
        <f t="shared" si="6"/>
        <v xml:space="preserve"> </v>
      </c>
      <c r="N24" s="150" t="str">
        <f t="shared" si="1"/>
        <v xml:space="preserve"> </v>
      </c>
      <c r="O24" s="151" t="str">
        <f t="shared" si="2"/>
        <v xml:space="preserve"> </v>
      </c>
      <c r="P24" s="152" t="str">
        <f t="shared" si="3"/>
        <v xml:space="preserve"> </v>
      </c>
      <c r="Q24" s="150" t="str">
        <f t="shared" si="4"/>
        <v/>
      </c>
      <c r="R24" s="150" t="str">
        <f t="shared" si="5"/>
        <v/>
      </c>
      <c r="S24" s="153"/>
    </row>
    <row r="25" spans="1:19" ht="18" customHeight="1">
      <c r="A25" s="143"/>
      <c r="B25" s="144" t="s">
        <v>206</v>
      </c>
      <c r="C25" s="146" t="s">
        <v>139</v>
      </c>
      <c r="D25" s="145">
        <v>3.08</v>
      </c>
      <c r="E25" s="145">
        <v>0.03</v>
      </c>
      <c r="F25" s="145">
        <v>-0.03</v>
      </c>
      <c r="G25" s="146" t="s">
        <v>198</v>
      </c>
      <c r="H25" s="147"/>
      <c r="I25" s="148"/>
      <c r="J25" s="148"/>
      <c r="K25" s="149" t="str">
        <f t="shared" si="6"/>
        <v xml:space="preserve"> </v>
      </c>
      <c r="L25" s="149" t="str">
        <f t="shared" si="6"/>
        <v xml:space="preserve"> </v>
      </c>
      <c r="M25" s="149" t="str">
        <f t="shared" si="6"/>
        <v xml:space="preserve"> </v>
      </c>
      <c r="N25" s="150" t="str">
        <f t="shared" si="1"/>
        <v xml:space="preserve"> </v>
      </c>
      <c r="O25" s="151" t="str">
        <f t="shared" si="2"/>
        <v xml:space="preserve"> </v>
      </c>
      <c r="P25" s="152" t="str">
        <f t="shared" si="3"/>
        <v xml:space="preserve"> </v>
      </c>
      <c r="Q25" s="150" t="str">
        <f t="shared" si="4"/>
        <v/>
      </c>
      <c r="R25" s="150" t="str">
        <f t="shared" si="5"/>
        <v/>
      </c>
      <c r="S25" s="153"/>
    </row>
    <row r="26" spans="1:19" ht="18" customHeight="1">
      <c r="A26" s="143"/>
      <c r="B26" s="144" t="s">
        <v>207</v>
      </c>
      <c r="C26" s="146" t="s">
        <v>139</v>
      </c>
      <c r="D26" s="145">
        <v>3.08</v>
      </c>
      <c r="E26" s="145">
        <v>0.03</v>
      </c>
      <c r="F26" s="145">
        <v>-0.03</v>
      </c>
      <c r="G26" s="146" t="s">
        <v>198</v>
      </c>
      <c r="H26" s="155"/>
      <c r="I26" s="156"/>
      <c r="J26" s="156"/>
      <c r="K26" s="149" t="str">
        <f t="shared" si="6"/>
        <v xml:space="preserve"> </v>
      </c>
      <c r="L26" s="149" t="str">
        <f t="shared" si="6"/>
        <v xml:space="preserve"> </v>
      </c>
      <c r="M26" s="149" t="str">
        <f t="shared" si="6"/>
        <v xml:space="preserve"> </v>
      </c>
      <c r="N26" s="150" t="str">
        <f t="shared" si="1"/>
        <v xml:space="preserve"> </v>
      </c>
      <c r="O26" s="151" t="str">
        <f t="shared" si="2"/>
        <v xml:space="preserve"> </v>
      </c>
      <c r="P26" s="152" t="str">
        <f t="shared" si="3"/>
        <v xml:space="preserve"> </v>
      </c>
      <c r="Q26" s="150" t="str">
        <f t="shared" si="4"/>
        <v/>
      </c>
      <c r="R26" s="150" t="str">
        <f t="shared" si="5"/>
        <v/>
      </c>
      <c r="S26" s="153"/>
    </row>
    <row r="27" spans="1:19" ht="18" customHeight="1">
      <c r="A27" s="143"/>
      <c r="B27" s="144" t="s">
        <v>208</v>
      </c>
      <c r="C27" s="146" t="s">
        <v>139</v>
      </c>
      <c r="D27" s="145">
        <v>3.08</v>
      </c>
      <c r="E27" s="145">
        <v>0.03</v>
      </c>
      <c r="F27" s="145">
        <v>-0.03</v>
      </c>
      <c r="G27" s="146" t="s">
        <v>198</v>
      </c>
      <c r="H27" s="147"/>
      <c r="I27" s="148"/>
      <c r="J27" s="148"/>
      <c r="K27" s="149" t="str">
        <f t="shared" si="6"/>
        <v xml:space="preserve"> </v>
      </c>
      <c r="L27" s="149" t="str">
        <f t="shared" si="6"/>
        <v xml:space="preserve"> </v>
      </c>
      <c r="M27" s="149" t="str">
        <f t="shared" si="6"/>
        <v xml:space="preserve"> </v>
      </c>
      <c r="N27" s="150" t="str">
        <f t="shared" si="1"/>
        <v xml:space="preserve"> </v>
      </c>
      <c r="O27" s="151" t="str">
        <f t="shared" si="2"/>
        <v xml:space="preserve"> </v>
      </c>
      <c r="P27" s="152" t="str">
        <f t="shared" si="3"/>
        <v xml:space="preserve"> </v>
      </c>
      <c r="Q27" s="150" t="str">
        <f t="shared" si="4"/>
        <v/>
      </c>
      <c r="R27" s="150" t="str">
        <f t="shared" si="5"/>
        <v/>
      </c>
      <c r="S27" s="153"/>
    </row>
    <row r="28" spans="1:19" ht="18" customHeight="1">
      <c r="A28" s="143"/>
      <c r="B28" s="144" t="s">
        <v>209</v>
      </c>
      <c r="C28" s="146" t="s">
        <v>139</v>
      </c>
      <c r="D28" s="145">
        <v>3.08</v>
      </c>
      <c r="E28" s="145">
        <v>0.03</v>
      </c>
      <c r="F28" s="145">
        <v>-0.03</v>
      </c>
      <c r="G28" s="146" t="s">
        <v>198</v>
      </c>
      <c r="H28" s="147"/>
      <c r="I28" s="148"/>
      <c r="J28" s="148"/>
      <c r="K28" s="149" t="str">
        <f t="shared" si="6"/>
        <v xml:space="preserve"> </v>
      </c>
      <c r="L28" s="149" t="str">
        <f t="shared" si="6"/>
        <v xml:space="preserve"> </v>
      </c>
      <c r="M28" s="149" t="str">
        <f t="shared" si="6"/>
        <v xml:space="preserve"> </v>
      </c>
      <c r="N28" s="150" t="str">
        <f t="shared" si="1"/>
        <v xml:space="preserve"> </v>
      </c>
      <c r="O28" s="151" t="str">
        <f t="shared" si="2"/>
        <v xml:space="preserve"> </v>
      </c>
      <c r="P28" s="152" t="str">
        <f t="shared" si="3"/>
        <v xml:space="preserve"> </v>
      </c>
      <c r="Q28" s="150" t="str">
        <f t="shared" si="4"/>
        <v/>
      </c>
      <c r="R28" s="150" t="str">
        <f t="shared" si="5"/>
        <v/>
      </c>
      <c r="S28" s="153"/>
    </row>
    <row r="29" spans="1:19" ht="18" customHeight="1">
      <c r="A29" s="143"/>
      <c r="B29" s="144" t="s">
        <v>210</v>
      </c>
      <c r="C29" s="146" t="s">
        <v>80</v>
      </c>
      <c r="D29" s="145"/>
      <c r="E29" s="145">
        <v>0.03</v>
      </c>
      <c r="F29" s="145"/>
      <c r="G29" s="146" t="s">
        <v>81</v>
      </c>
      <c r="H29" s="147"/>
      <c r="I29" s="148"/>
      <c r="J29" s="148"/>
      <c r="K29" s="149" t="str">
        <f t="shared" si="6"/>
        <v xml:space="preserve"> </v>
      </c>
      <c r="L29" s="149" t="str">
        <f t="shared" si="6"/>
        <v xml:space="preserve"> </v>
      </c>
      <c r="M29" s="149" t="str">
        <f t="shared" si="6"/>
        <v xml:space="preserve"> </v>
      </c>
      <c r="N29" s="150" t="str">
        <f t="shared" si="1"/>
        <v xml:space="preserve"> </v>
      </c>
      <c r="O29" s="151" t="str">
        <f t="shared" si="2"/>
        <v xml:space="preserve"> </v>
      </c>
      <c r="P29" s="152" t="str">
        <f t="shared" si="3"/>
        <v xml:space="preserve"> </v>
      </c>
      <c r="Q29" s="150" t="str">
        <f t="shared" si="4"/>
        <v/>
      </c>
      <c r="R29" s="150" t="str">
        <f t="shared" si="5"/>
        <v/>
      </c>
      <c r="S29" s="153"/>
    </row>
    <row r="30" spans="1:19" ht="18" customHeight="1">
      <c r="A30" s="143"/>
      <c r="B30" s="144" t="s">
        <v>211</v>
      </c>
      <c r="C30" s="146" t="s">
        <v>73</v>
      </c>
      <c r="D30" s="145">
        <v>0.55000000000000004</v>
      </c>
      <c r="E30" s="145">
        <v>0.03</v>
      </c>
      <c r="F30" s="145">
        <v>-0.03</v>
      </c>
      <c r="G30" s="146" t="s">
        <v>198</v>
      </c>
      <c r="H30" s="147"/>
      <c r="I30" s="148"/>
      <c r="J30" s="148"/>
      <c r="K30" s="149" t="str">
        <f t="shared" si="6"/>
        <v xml:space="preserve"> </v>
      </c>
      <c r="L30" s="149" t="str">
        <f t="shared" si="6"/>
        <v xml:space="preserve"> </v>
      </c>
      <c r="M30" s="149" t="str">
        <f t="shared" si="6"/>
        <v xml:space="preserve"> </v>
      </c>
      <c r="N30" s="150" t="str">
        <f t="shared" si="1"/>
        <v xml:space="preserve"> </v>
      </c>
      <c r="O30" s="151" t="str">
        <f t="shared" si="2"/>
        <v xml:space="preserve"> </v>
      </c>
      <c r="P30" s="152" t="str">
        <f t="shared" si="3"/>
        <v xml:space="preserve"> </v>
      </c>
      <c r="Q30" s="150" t="str">
        <f t="shared" si="4"/>
        <v/>
      </c>
      <c r="R30" s="150" t="str">
        <f t="shared" si="5"/>
        <v/>
      </c>
      <c r="S30" s="153"/>
    </row>
    <row r="31" spans="1:19" ht="18" customHeight="1">
      <c r="A31" s="143"/>
      <c r="B31" s="144" t="s">
        <v>212</v>
      </c>
      <c r="C31" s="146" t="s">
        <v>73</v>
      </c>
      <c r="D31" s="145">
        <v>0.55000000000000004</v>
      </c>
      <c r="E31" s="145">
        <v>0.03</v>
      </c>
      <c r="F31" s="145">
        <v>-0.03</v>
      </c>
      <c r="G31" s="146" t="s">
        <v>198</v>
      </c>
      <c r="H31" s="147"/>
      <c r="I31" s="148"/>
      <c r="J31" s="148"/>
      <c r="K31" s="149" t="str">
        <f t="shared" si="6"/>
        <v xml:space="preserve"> </v>
      </c>
      <c r="L31" s="149" t="str">
        <f t="shared" si="6"/>
        <v xml:space="preserve"> </v>
      </c>
      <c r="M31" s="149" t="str">
        <f t="shared" si="6"/>
        <v xml:space="preserve"> </v>
      </c>
      <c r="N31" s="150" t="str">
        <f t="shared" si="1"/>
        <v xml:space="preserve"> </v>
      </c>
      <c r="O31" s="151" t="str">
        <f t="shared" si="2"/>
        <v xml:space="preserve"> </v>
      </c>
      <c r="P31" s="152" t="str">
        <f t="shared" si="3"/>
        <v xml:space="preserve"> </v>
      </c>
      <c r="Q31" s="150" t="str">
        <f t="shared" si="4"/>
        <v/>
      </c>
      <c r="R31" s="150" t="str">
        <f t="shared" si="5"/>
        <v/>
      </c>
      <c r="S31" s="153"/>
    </row>
    <row r="32" spans="1:19" ht="18" customHeight="1">
      <c r="A32" s="143"/>
      <c r="B32" s="144" t="s">
        <v>213</v>
      </c>
      <c r="C32" s="146" t="s">
        <v>73</v>
      </c>
      <c r="D32" s="145">
        <v>0.55000000000000004</v>
      </c>
      <c r="E32" s="145">
        <v>0.03</v>
      </c>
      <c r="F32" s="145">
        <v>-0.03</v>
      </c>
      <c r="G32" s="146" t="s">
        <v>198</v>
      </c>
      <c r="H32" s="147"/>
      <c r="I32" s="148"/>
      <c r="J32" s="148"/>
      <c r="K32" s="149" t="str">
        <f t="shared" si="6"/>
        <v xml:space="preserve"> </v>
      </c>
      <c r="L32" s="149" t="str">
        <f t="shared" si="6"/>
        <v xml:space="preserve"> </v>
      </c>
      <c r="M32" s="149" t="str">
        <f t="shared" si="6"/>
        <v xml:space="preserve"> </v>
      </c>
      <c r="N32" s="150" t="str">
        <f t="shared" si="1"/>
        <v xml:space="preserve"> </v>
      </c>
      <c r="O32" s="151" t="str">
        <f t="shared" si="2"/>
        <v xml:space="preserve"> </v>
      </c>
      <c r="P32" s="152" t="str">
        <f t="shared" si="3"/>
        <v xml:space="preserve"> </v>
      </c>
      <c r="Q32" s="150" t="str">
        <f t="shared" si="4"/>
        <v/>
      </c>
      <c r="R32" s="150" t="str">
        <f t="shared" si="5"/>
        <v/>
      </c>
      <c r="S32" s="153"/>
    </row>
    <row r="33" spans="1:19" ht="18" customHeight="1">
      <c r="A33" s="143"/>
      <c r="B33" s="144" t="s">
        <v>214</v>
      </c>
      <c r="C33" s="146" t="s">
        <v>73</v>
      </c>
      <c r="D33" s="145">
        <v>0.55000000000000004</v>
      </c>
      <c r="E33" s="145">
        <v>0.03</v>
      </c>
      <c r="F33" s="145">
        <v>-0.03</v>
      </c>
      <c r="G33" s="146" t="s">
        <v>198</v>
      </c>
      <c r="H33" s="147"/>
      <c r="I33" s="148"/>
      <c r="J33" s="148"/>
      <c r="K33" s="149" t="str">
        <f t="shared" si="6"/>
        <v xml:space="preserve"> </v>
      </c>
      <c r="L33" s="149" t="str">
        <f t="shared" si="6"/>
        <v xml:space="preserve"> </v>
      </c>
      <c r="M33" s="149" t="str">
        <f t="shared" si="6"/>
        <v xml:space="preserve"> </v>
      </c>
      <c r="N33" s="150" t="str">
        <f t="shared" si="1"/>
        <v xml:space="preserve"> </v>
      </c>
      <c r="O33" s="151" t="str">
        <f t="shared" si="2"/>
        <v xml:space="preserve"> </v>
      </c>
      <c r="P33" s="152" t="str">
        <f t="shared" si="3"/>
        <v xml:space="preserve"> </v>
      </c>
      <c r="Q33" s="150" t="str">
        <f t="shared" si="4"/>
        <v/>
      </c>
      <c r="R33" s="150" t="str">
        <f t="shared" si="5"/>
        <v/>
      </c>
      <c r="S33" s="153"/>
    </row>
    <row r="34" spans="1:19" ht="18" customHeight="1">
      <c r="A34" s="143"/>
      <c r="B34" s="144" t="s">
        <v>215</v>
      </c>
      <c r="C34" s="146" t="s">
        <v>73</v>
      </c>
      <c r="D34" s="145">
        <v>3.18</v>
      </c>
      <c r="E34" s="145">
        <v>0.02</v>
      </c>
      <c r="F34" s="145">
        <v>-0.03</v>
      </c>
      <c r="G34" s="146" t="s">
        <v>81</v>
      </c>
      <c r="H34" s="147"/>
      <c r="I34" s="148"/>
      <c r="J34" s="148"/>
      <c r="K34" s="149" t="str">
        <f t="shared" si="6"/>
        <v xml:space="preserve"> </v>
      </c>
      <c r="L34" s="149" t="str">
        <f t="shared" si="6"/>
        <v xml:space="preserve"> </v>
      </c>
      <c r="M34" s="149" t="str">
        <f t="shared" si="6"/>
        <v xml:space="preserve"> </v>
      </c>
      <c r="N34" s="150" t="str">
        <f t="shared" si="1"/>
        <v xml:space="preserve"> </v>
      </c>
      <c r="O34" s="151" t="str">
        <f t="shared" si="2"/>
        <v xml:space="preserve"> </v>
      </c>
      <c r="P34" s="152" t="str">
        <f t="shared" si="3"/>
        <v xml:space="preserve"> </v>
      </c>
      <c r="Q34" s="150" t="str">
        <f t="shared" si="4"/>
        <v/>
      </c>
      <c r="R34" s="150" t="str">
        <f t="shared" si="5"/>
        <v/>
      </c>
      <c r="S34" s="153"/>
    </row>
    <row r="35" spans="1:19" ht="18" customHeight="1">
      <c r="A35" s="143"/>
      <c r="B35" s="144" t="s">
        <v>254</v>
      </c>
      <c r="C35" s="146" t="s">
        <v>73</v>
      </c>
      <c r="D35" s="145">
        <v>3.18</v>
      </c>
      <c r="E35" s="145">
        <v>0.02</v>
      </c>
      <c r="F35" s="145">
        <v>-0.03</v>
      </c>
      <c r="G35" s="146" t="s">
        <v>81</v>
      </c>
      <c r="H35" s="147"/>
      <c r="I35" s="148"/>
      <c r="J35" s="148"/>
      <c r="K35" s="149" t="str">
        <f t="shared" si="6"/>
        <v xml:space="preserve"> </v>
      </c>
      <c r="L35" s="149" t="str">
        <f t="shared" si="6"/>
        <v xml:space="preserve"> </v>
      </c>
      <c r="M35" s="149" t="str">
        <f t="shared" si="6"/>
        <v xml:space="preserve"> </v>
      </c>
      <c r="N35" s="150" t="str">
        <f t="shared" si="1"/>
        <v xml:space="preserve"> </v>
      </c>
      <c r="O35" s="151" t="str">
        <f t="shared" si="2"/>
        <v xml:space="preserve"> </v>
      </c>
      <c r="P35" s="152" t="str">
        <f t="shared" si="3"/>
        <v xml:space="preserve"> </v>
      </c>
      <c r="Q35" s="150" t="str">
        <f t="shared" si="4"/>
        <v/>
      </c>
      <c r="R35" s="150" t="str">
        <f t="shared" si="5"/>
        <v/>
      </c>
      <c r="S35" s="153"/>
    </row>
    <row r="36" spans="1:19" ht="18" customHeight="1">
      <c r="A36" s="143"/>
      <c r="B36" s="144" t="s">
        <v>217</v>
      </c>
      <c r="C36" s="146" t="s">
        <v>73</v>
      </c>
      <c r="D36" s="145">
        <v>13.05</v>
      </c>
      <c r="E36" s="145">
        <v>0.03</v>
      </c>
      <c r="F36" s="145">
        <v>-0.03</v>
      </c>
      <c r="G36" s="146" t="s">
        <v>198</v>
      </c>
      <c r="H36" s="147"/>
      <c r="I36" s="148"/>
      <c r="J36" s="148"/>
      <c r="K36" s="149" t="str">
        <f t="shared" si="6"/>
        <v xml:space="preserve"> </v>
      </c>
      <c r="L36" s="149" t="str">
        <f t="shared" si="6"/>
        <v xml:space="preserve"> </v>
      </c>
      <c r="M36" s="149" t="str">
        <f t="shared" si="6"/>
        <v xml:space="preserve"> </v>
      </c>
      <c r="N36" s="150" t="str">
        <f t="shared" si="1"/>
        <v xml:space="preserve"> </v>
      </c>
      <c r="O36" s="151" t="str">
        <f t="shared" si="2"/>
        <v xml:space="preserve"> </v>
      </c>
      <c r="P36" s="152" t="str">
        <f t="shared" si="3"/>
        <v xml:space="preserve"> </v>
      </c>
      <c r="Q36" s="150" t="str">
        <f t="shared" si="4"/>
        <v/>
      </c>
      <c r="R36" s="150" t="str">
        <f t="shared" si="5"/>
        <v/>
      </c>
      <c r="S36" s="153"/>
    </row>
    <row r="37" spans="1:19" ht="18" customHeight="1">
      <c r="A37" s="143"/>
      <c r="B37" s="144" t="s">
        <v>255</v>
      </c>
      <c r="C37" s="146" t="s">
        <v>73</v>
      </c>
      <c r="D37" s="145">
        <v>13.05</v>
      </c>
      <c r="E37" s="145">
        <v>0.03</v>
      </c>
      <c r="F37" s="145">
        <v>-0.03</v>
      </c>
      <c r="G37" s="146" t="s">
        <v>198</v>
      </c>
      <c r="H37" s="147"/>
      <c r="I37" s="148"/>
      <c r="J37" s="148"/>
      <c r="K37" s="149" t="str">
        <f t="shared" si="6"/>
        <v xml:space="preserve"> </v>
      </c>
      <c r="L37" s="149" t="str">
        <f t="shared" si="6"/>
        <v xml:space="preserve"> </v>
      </c>
      <c r="M37" s="149" t="str">
        <f t="shared" si="6"/>
        <v xml:space="preserve"> </v>
      </c>
      <c r="N37" s="150" t="str">
        <f t="shared" si="1"/>
        <v xml:space="preserve"> </v>
      </c>
      <c r="O37" s="151" t="str">
        <f t="shared" si="2"/>
        <v xml:space="preserve"> </v>
      </c>
      <c r="P37" s="152" t="str">
        <f t="shared" si="3"/>
        <v xml:space="preserve"> </v>
      </c>
      <c r="Q37" s="150" t="str">
        <f t="shared" si="4"/>
        <v/>
      </c>
      <c r="R37" s="150" t="str">
        <f t="shared" si="5"/>
        <v/>
      </c>
      <c r="S37" s="153"/>
    </row>
    <row r="38" spans="1:19" ht="18" customHeight="1">
      <c r="A38" s="143"/>
      <c r="B38" s="144" t="s">
        <v>219</v>
      </c>
      <c r="C38" s="146" t="s">
        <v>73</v>
      </c>
      <c r="D38" s="145">
        <v>1.79</v>
      </c>
      <c r="E38" s="145">
        <v>2.5000000000000001E-2</v>
      </c>
      <c r="F38" s="145">
        <v>-0.02</v>
      </c>
      <c r="G38" s="146" t="s">
        <v>81</v>
      </c>
      <c r="H38" s="147"/>
      <c r="I38" s="148"/>
      <c r="J38" s="148"/>
      <c r="K38" s="149" t="str">
        <f t="shared" si="6"/>
        <v xml:space="preserve"> </v>
      </c>
      <c r="L38" s="149" t="str">
        <f t="shared" si="6"/>
        <v xml:space="preserve"> </v>
      </c>
      <c r="M38" s="149" t="str">
        <f t="shared" si="6"/>
        <v xml:space="preserve"> </v>
      </c>
      <c r="N38" s="150" t="str">
        <f t="shared" si="1"/>
        <v xml:space="preserve"> </v>
      </c>
      <c r="O38" s="151" t="str">
        <f t="shared" si="2"/>
        <v xml:space="preserve"> </v>
      </c>
      <c r="P38" s="152" t="str">
        <f t="shared" si="3"/>
        <v xml:space="preserve"> </v>
      </c>
      <c r="Q38" s="150" t="str">
        <f t="shared" si="4"/>
        <v/>
      </c>
      <c r="R38" s="150" t="str">
        <f t="shared" si="5"/>
        <v/>
      </c>
      <c r="S38" s="153"/>
    </row>
    <row r="39" spans="1:19" ht="18" customHeight="1">
      <c r="A39" s="143"/>
      <c r="B39" s="144" t="s">
        <v>220</v>
      </c>
      <c r="C39" s="146" t="s">
        <v>73</v>
      </c>
      <c r="D39" s="145">
        <v>1.79</v>
      </c>
      <c r="E39" s="145">
        <v>2.5000000000000001E-2</v>
      </c>
      <c r="F39" s="145">
        <v>-0.02</v>
      </c>
      <c r="G39" s="146" t="s">
        <v>81</v>
      </c>
      <c r="H39" s="147"/>
      <c r="I39" s="148"/>
      <c r="J39" s="148"/>
      <c r="K39" s="149" t="str">
        <f t="shared" si="6"/>
        <v xml:space="preserve"> </v>
      </c>
      <c r="L39" s="149" t="str">
        <f t="shared" si="6"/>
        <v xml:space="preserve"> </v>
      </c>
      <c r="M39" s="149" t="str">
        <f t="shared" si="6"/>
        <v xml:space="preserve"> </v>
      </c>
      <c r="N39" s="150" t="str">
        <f t="shared" si="1"/>
        <v xml:space="preserve"> </v>
      </c>
      <c r="O39" s="151" t="str">
        <f t="shared" si="2"/>
        <v xml:space="preserve"> </v>
      </c>
      <c r="P39" s="152" t="str">
        <f t="shared" si="3"/>
        <v xml:space="preserve"> </v>
      </c>
      <c r="Q39" s="150" t="str">
        <f t="shared" si="4"/>
        <v/>
      </c>
      <c r="R39" s="150" t="str">
        <f t="shared" si="5"/>
        <v/>
      </c>
      <c r="S39" s="153"/>
    </row>
    <row r="40" spans="1:19" ht="18" customHeight="1">
      <c r="A40" s="143"/>
      <c r="B40" s="144" t="s">
        <v>221</v>
      </c>
      <c r="C40" s="146" t="s">
        <v>73</v>
      </c>
      <c r="D40" s="145">
        <v>1.79</v>
      </c>
      <c r="E40" s="145">
        <v>2.5000000000000001E-2</v>
      </c>
      <c r="F40" s="145">
        <v>-0.02</v>
      </c>
      <c r="G40" s="146" t="s">
        <v>81</v>
      </c>
      <c r="H40" s="147"/>
      <c r="I40" s="148"/>
      <c r="J40" s="148"/>
      <c r="K40" s="149" t="str">
        <f t="shared" si="6"/>
        <v xml:space="preserve"> </v>
      </c>
      <c r="L40" s="149" t="str">
        <f t="shared" si="6"/>
        <v xml:space="preserve"> </v>
      </c>
      <c r="M40" s="149" t="str">
        <f t="shared" si="6"/>
        <v xml:space="preserve"> </v>
      </c>
      <c r="N40" s="150" t="str">
        <f t="shared" si="1"/>
        <v xml:space="preserve"> </v>
      </c>
      <c r="O40" s="151" t="str">
        <f t="shared" si="2"/>
        <v xml:space="preserve"> </v>
      </c>
      <c r="P40" s="152" t="str">
        <f t="shared" si="3"/>
        <v xml:space="preserve"> </v>
      </c>
      <c r="Q40" s="150" t="str">
        <f t="shared" si="4"/>
        <v/>
      </c>
      <c r="R40" s="150" t="str">
        <f t="shared" si="5"/>
        <v/>
      </c>
      <c r="S40" s="153"/>
    </row>
    <row r="41" spans="1:19" ht="18" customHeight="1">
      <c r="A41" s="143"/>
      <c r="B41" s="144" t="s">
        <v>222</v>
      </c>
      <c r="C41" s="146" t="s">
        <v>73</v>
      </c>
      <c r="D41" s="145">
        <v>1.79</v>
      </c>
      <c r="E41" s="145">
        <v>2.5000000000000001E-2</v>
      </c>
      <c r="F41" s="145">
        <v>-0.02</v>
      </c>
      <c r="G41" s="146" t="s">
        <v>81</v>
      </c>
      <c r="H41" s="147"/>
      <c r="I41" s="148"/>
      <c r="J41" s="148"/>
      <c r="K41" s="149" t="str">
        <f t="shared" si="6"/>
        <v xml:space="preserve"> </v>
      </c>
      <c r="L41" s="149" t="str">
        <f t="shared" si="6"/>
        <v xml:space="preserve"> </v>
      </c>
      <c r="M41" s="149" t="str">
        <f t="shared" si="6"/>
        <v xml:space="preserve"> </v>
      </c>
      <c r="N41" s="150" t="str">
        <f t="shared" si="1"/>
        <v xml:space="preserve"> </v>
      </c>
      <c r="O41" s="151" t="str">
        <f t="shared" si="2"/>
        <v xml:space="preserve"> </v>
      </c>
      <c r="P41" s="152" t="str">
        <f t="shared" si="3"/>
        <v xml:space="preserve"> </v>
      </c>
      <c r="Q41" s="150" t="str">
        <f t="shared" si="4"/>
        <v/>
      </c>
      <c r="R41" s="150" t="str">
        <f t="shared" si="5"/>
        <v/>
      </c>
      <c r="S41" s="153"/>
    </row>
    <row r="42" spans="1:19" ht="18" customHeight="1">
      <c r="A42" s="143"/>
      <c r="B42" s="144" t="s">
        <v>223</v>
      </c>
      <c r="C42" s="146" t="s">
        <v>73</v>
      </c>
      <c r="D42" s="145">
        <v>12.22</v>
      </c>
      <c r="E42" s="145">
        <v>2.5000000000000001E-2</v>
      </c>
      <c r="F42" s="145">
        <v>-2.5000000000000001E-2</v>
      </c>
      <c r="G42" s="146" t="s">
        <v>81</v>
      </c>
      <c r="H42" s="147"/>
      <c r="I42" s="148"/>
      <c r="J42" s="148"/>
      <c r="K42" s="149" t="str">
        <f t="shared" si="6"/>
        <v xml:space="preserve"> </v>
      </c>
      <c r="L42" s="149" t="str">
        <f t="shared" si="6"/>
        <v xml:space="preserve"> </v>
      </c>
      <c r="M42" s="149" t="str">
        <f t="shared" si="6"/>
        <v xml:space="preserve"> </v>
      </c>
      <c r="N42" s="150" t="str">
        <f t="shared" si="1"/>
        <v xml:space="preserve"> </v>
      </c>
      <c r="O42" s="151" t="str">
        <f t="shared" si="2"/>
        <v xml:space="preserve"> </v>
      </c>
      <c r="P42" s="152" t="str">
        <f t="shared" si="3"/>
        <v xml:space="preserve"> </v>
      </c>
      <c r="Q42" s="150" t="str">
        <f t="shared" si="4"/>
        <v/>
      </c>
      <c r="R42" s="150" t="str">
        <f t="shared" si="5"/>
        <v/>
      </c>
      <c r="S42" s="153"/>
    </row>
    <row r="43" spans="1:19" ht="18" customHeight="1">
      <c r="A43" s="143"/>
      <c r="B43" s="144" t="s">
        <v>224</v>
      </c>
      <c r="C43" s="146" t="s">
        <v>73</v>
      </c>
      <c r="D43" s="145">
        <v>0.9</v>
      </c>
      <c r="E43" s="145">
        <v>1.4999999999999999E-2</v>
      </c>
      <c r="F43" s="145">
        <v>-1.4999999999999999E-2</v>
      </c>
      <c r="G43" s="146" t="s">
        <v>81</v>
      </c>
      <c r="H43" s="147"/>
      <c r="I43" s="148"/>
      <c r="J43" s="148"/>
      <c r="K43" s="149" t="str">
        <f t="shared" si="6"/>
        <v xml:space="preserve"> </v>
      </c>
      <c r="L43" s="149" t="str">
        <f t="shared" si="6"/>
        <v xml:space="preserve"> </v>
      </c>
      <c r="M43" s="149" t="str">
        <f t="shared" si="6"/>
        <v xml:space="preserve"> </v>
      </c>
      <c r="N43" s="150" t="str">
        <f t="shared" si="1"/>
        <v xml:space="preserve"> </v>
      </c>
      <c r="O43" s="151" t="str">
        <f t="shared" si="2"/>
        <v xml:space="preserve"> </v>
      </c>
      <c r="P43" s="152" t="str">
        <f t="shared" si="3"/>
        <v xml:space="preserve"> </v>
      </c>
      <c r="Q43" s="150" t="str">
        <f t="shared" si="4"/>
        <v/>
      </c>
      <c r="R43" s="150" t="str">
        <f t="shared" si="5"/>
        <v/>
      </c>
      <c r="S43" s="153"/>
    </row>
    <row r="44" spans="1:19" ht="18" customHeight="1">
      <c r="A44" s="143"/>
      <c r="B44" s="144" t="s">
        <v>225</v>
      </c>
      <c r="C44" s="146" t="s">
        <v>73</v>
      </c>
      <c r="D44" s="145">
        <v>14.22</v>
      </c>
      <c r="E44" s="145">
        <v>0.02</v>
      </c>
      <c r="F44" s="145">
        <v>-0.03</v>
      </c>
      <c r="G44" s="146" t="s">
        <v>198</v>
      </c>
      <c r="H44" s="147"/>
      <c r="I44" s="148"/>
      <c r="J44" s="148"/>
      <c r="K44" s="149" t="str">
        <f t="shared" si="6"/>
        <v xml:space="preserve"> </v>
      </c>
      <c r="L44" s="149" t="str">
        <f t="shared" si="6"/>
        <v xml:space="preserve"> </v>
      </c>
      <c r="M44" s="149" t="str">
        <f t="shared" si="6"/>
        <v xml:space="preserve"> </v>
      </c>
      <c r="N44" s="150" t="str">
        <f t="shared" si="1"/>
        <v xml:space="preserve"> </v>
      </c>
      <c r="O44" s="151" t="str">
        <f t="shared" si="2"/>
        <v xml:space="preserve"> </v>
      </c>
      <c r="P44" s="152" t="str">
        <f t="shared" si="3"/>
        <v xml:space="preserve"> </v>
      </c>
      <c r="Q44" s="150" t="str">
        <f t="shared" si="4"/>
        <v/>
      </c>
      <c r="R44" s="150" t="str">
        <f t="shared" si="5"/>
        <v/>
      </c>
      <c r="S44" s="153"/>
    </row>
    <row r="45" spans="1:19" ht="18" customHeight="1">
      <c r="A45" s="143"/>
      <c r="B45" s="144" t="s">
        <v>226</v>
      </c>
      <c r="C45" s="146" t="s">
        <v>73</v>
      </c>
      <c r="D45" s="145">
        <v>11.88</v>
      </c>
      <c r="E45" s="145">
        <v>0.03</v>
      </c>
      <c r="F45" s="145">
        <v>-0.02</v>
      </c>
      <c r="G45" s="146" t="s">
        <v>198</v>
      </c>
      <c r="H45" s="147"/>
      <c r="I45" s="148"/>
      <c r="J45" s="148"/>
      <c r="K45" s="149" t="str">
        <f t="shared" si="6"/>
        <v xml:space="preserve"> </v>
      </c>
      <c r="L45" s="149" t="str">
        <f t="shared" si="6"/>
        <v xml:space="preserve"> </v>
      </c>
      <c r="M45" s="149" t="str">
        <f t="shared" si="6"/>
        <v xml:space="preserve"> </v>
      </c>
      <c r="N45" s="150" t="str">
        <f t="shared" si="1"/>
        <v xml:space="preserve"> </v>
      </c>
      <c r="O45" s="151" t="str">
        <f t="shared" si="2"/>
        <v xml:space="preserve"> </v>
      </c>
      <c r="P45" s="152" t="str">
        <f t="shared" si="3"/>
        <v xml:space="preserve"> </v>
      </c>
      <c r="Q45" s="150" t="str">
        <f t="shared" si="4"/>
        <v/>
      </c>
      <c r="R45" s="150" t="str">
        <f t="shared" si="5"/>
        <v/>
      </c>
      <c r="S45" s="153"/>
    </row>
    <row r="46" spans="1:19" ht="17.25" customHeight="1">
      <c r="A46" s="143"/>
      <c r="B46" s="144" t="s">
        <v>227</v>
      </c>
      <c r="C46" s="146" t="s">
        <v>73</v>
      </c>
      <c r="D46" s="145">
        <v>12.13</v>
      </c>
      <c r="E46" s="145">
        <v>0.02</v>
      </c>
      <c r="F46" s="145">
        <v>-0.04</v>
      </c>
      <c r="G46" s="146" t="s">
        <v>198</v>
      </c>
      <c r="H46" s="147"/>
      <c r="I46" s="148"/>
      <c r="J46" s="148"/>
      <c r="K46" s="149" t="str">
        <f t="shared" si="6"/>
        <v xml:space="preserve"> </v>
      </c>
      <c r="L46" s="149" t="str">
        <f t="shared" si="6"/>
        <v xml:space="preserve"> </v>
      </c>
      <c r="M46" s="149" t="str">
        <f t="shared" si="6"/>
        <v xml:space="preserve"> </v>
      </c>
      <c r="N46" s="150" t="str">
        <f t="shared" si="1"/>
        <v xml:space="preserve"> </v>
      </c>
      <c r="O46" s="151" t="str">
        <f t="shared" si="2"/>
        <v xml:space="preserve"> </v>
      </c>
      <c r="P46" s="152" t="str">
        <f t="shared" si="3"/>
        <v xml:space="preserve"> </v>
      </c>
      <c r="Q46" s="150" t="str">
        <f t="shared" si="4"/>
        <v/>
      </c>
      <c r="R46" s="150" t="str">
        <f t="shared" si="5"/>
        <v/>
      </c>
      <c r="S46" s="153"/>
    </row>
    <row r="47" spans="1:19" ht="18" customHeight="1">
      <c r="A47" s="143"/>
      <c r="B47" s="144" t="s">
        <v>228</v>
      </c>
      <c r="C47" s="146" t="s">
        <v>73</v>
      </c>
      <c r="D47" s="145">
        <v>0.51</v>
      </c>
      <c r="E47" s="145">
        <v>0.02</v>
      </c>
      <c r="F47" s="145">
        <v>-0.02</v>
      </c>
      <c r="G47" s="146" t="s">
        <v>198</v>
      </c>
      <c r="H47" s="147"/>
      <c r="I47" s="148"/>
      <c r="J47" s="148"/>
      <c r="K47" s="149" t="str">
        <f t="shared" si="6"/>
        <v xml:space="preserve"> </v>
      </c>
      <c r="L47" s="149" t="str">
        <f t="shared" si="6"/>
        <v xml:space="preserve"> </v>
      </c>
      <c r="M47" s="149" t="str">
        <f t="shared" si="6"/>
        <v xml:space="preserve"> </v>
      </c>
      <c r="N47" s="150" t="str">
        <f t="shared" si="1"/>
        <v xml:space="preserve"> </v>
      </c>
      <c r="O47" s="151" t="str">
        <f t="shared" si="2"/>
        <v xml:space="preserve"> </v>
      </c>
      <c r="P47" s="152" t="str">
        <f t="shared" si="3"/>
        <v xml:space="preserve"> </v>
      </c>
      <c r="Q47" s="150" t="str">
        <f t="shared" si="4"/>
        <v/>
      </c>
      <c r="R47" s="150" t="str">
        <f t="shared" si="5"/>
        <v/>
      </c>
      <c r="S47" s="153"/>
    </row>
    <row r="48" spans="1:19" ht="18" customHeight="1">
      <c r="A48" s="143"/>
      <c r="B48" s="144" t="s">
        <v>229</v>
      </c>
      <c r="C48" s="146" t="s">
        <v>73</v>
      </c>
      <c r="D48" s="145">
        <v>0.51</v>
      </c>
      <c r="E48" s="145">
        <v>0.02</v>
      </c>
      <c r="F48" s="145">
        <v>-0.02</v>
      </c>
      <c r="G48" s="146" t="s">
        <v>198</v>
      </c>
      <c r="H48" s="147"/>
      <c r="I48" s="148"/>
      <c r="J48" s="148"/>
      <c r="K48" s="149" t="str">
        <f t="shared" si="6"/>
        <v xml:space="preserve"> </v>
      </c>
      <c r="L48" s="149" t="str">
        <f t="shared" si="6"/>
        <v xml:space="preserve"> </v>
      </c>
      <c r="M48" s="149" t="str">
        <f t="shared" si="6"/>
        <v xml:space="preserve"> </v>
      </c>
      <c r="N48" s="150" t="str">
        <f t="shared" si="1"/>
        <v xml:space="preserve"> </v>
      </c>
      <c r="O48" s="151" t="str">
        <f t="shared" si="2"/>
        <v xml:space="preserve"> </v>
      </c>
      <c r="P48" s="152" t="str">
        <f t="shared" si="3"/>
        <v xml:space="preserve"> </v>
      </c>
      <c r="Q48" s="150" t="str">
        <f t="shared" si="4"/>
        <v/>
      </c>
      <c r="R48" s="150" t="str">
        <f t="shared" si="5"/>
        <v/>
      </c>
      <c r="S48" s="153"/>
    </row>
    <row r="49" spans="1:19" ht="18" customHeight="1">
      <c r="A49" s="143"/>
      <c r="B49" s="144" t="s">
        <v>230</v>
      </c>
      <c r="C49" s="146" t="s">
        <v>73</v>
      </c>
      <c r="D49" s="145">
        <v>0.81</v>
      </c>
      <c r="E49" s="145">
        <v>0.03</v>
      </c>
      <c r="F49" s="145">
        <v>-0.02</v>
      </c>
      <c r="G49" s="146" t="s">
        <v>198</v>
      </c>
      <c r="H49" s="147"/>
      <c r="I49" s="148"/>
      <c r="J49" s="148"/>
      <c r="K49" s="149" t="str">
        <f t="shared" si="6"/>
        <v xml:space="preserve"> </v>
      </c>
      <c r="L49" s="149" t="str">
        <f t="shared" si="6"/>
        <v xml:space="preserve"> </v>
      </c>
      <c r="M49" s="149" t="str">
        <f t="shared" si="6"/>
        <v xml:space="preserve"> </v>
      </c>
      <c r="N49" s="150" t="str">
        <f t="shared" si="1"/>
        <v xml:space="preserve"> </v>
      </c>
      <c r="O49" s="151" t="str">
        <f t="shared" si="2"/>
        <v xml:space="preserve"> </v>
      </c>
      <c r="P49" s="152" t="str">
        <f t="shared" si="3"/>
        <v xml:space="preserve"> </v>
      </c>
      <c r="Q49" s="150" t="str">
        <f t="shared" si="4"/>
        <v/>
      </c>
      <c r="R49" s="150" t="str">
        <f t="shared" si="5"/>
        <v/>
      </c>
      <c r="S49" s="153"/>
    </row>
    <row r="50" spans="1:19" ht="18" customHeight="1">
      <c r="A50" s="143"/>
      <c r="B50" s="144" t="s">
        <v>231</v>
      </c>
      <c r="C50" s="146" t="s">
        <v>73</v>
      </c>
      <c r="D50" s="145">
        <v>0.81</v>
      </c>
      <c r="E50" s="145">
        <v>0.03</v>
      </c>
      <c r="F50" s="145">
        <v>-0.02</v>
      </c>
      <c r="G50" s="146" t="s">
        <v>198</v>
      </c>
      <c r="H50" s="147"/>
      <c r="I50" s="148"/>
      <c r="J50" s="148"/>
      <c r="K50" s="149" t="str">
        <f t="shared" si="6"/>
        <v xml:space="preserve"> </v>
      </c>
      <c r="L50" s="149" t="str">
        <f t="shared" si="6"/>
        <v xml:space="preserve"> </v>
      </c>
      <c r="M50" s="149" t="str">
        <f t="shared" si="6"/>
        <v xml:space="preserve"> </v>
      </c>
      <c r="N50" s="150" t="str">
        <f t="shared" si="1"/>
        <v xml:space="preserve"> </v>
      </c>
      <c r="O50" s="151" t="str">
        <f t="shared" si="2"/>
        <v xml:space="preserve"> </v>
      </c>
      <c r="P50" s="152" t="str">
        <f t="shared" si="3"/>
        <v xml:space="preserve"> </v>
      </c>
      <c r="Q50" s="150" t="str">
        <f t="shared" si="4"/>
        <v/>
      </c>
      <c r="R50" s="150" t="str">
        <f t="shared" si="5"/>
        <v/>
      </c>
      <c r="S50" s="153"/>
    </row>
    <row r="51" spans="1:19" ht="18" customHeight="1">
      <c r="A51" s="143"/>
      <c r="B51" s="144" t="s">
        <v>232</v>
      </c>
      <c r="C51" s="146" t="s">
        <v>73</v>
      </c>
      <c r="D51" s="145">
        <v>0.81</v>
      </c>
      <c r="E51" s="145">
        <v>0.03</v>
      </c>
      <c r="F51" s="145">
        <v>-0.02</v>
      </c>
      <c r="G51" s="146" t="s">
        <v>198</v>
      </c>
      <c r="H51" s="147"/>
      <c r="I51" s="148"/>
      <c r="J51" s="148"/>
      <c r="K51" s="149" t="str">
        <f t="shared" si="6"/>
        <v xml:space="preserve"> </v>
      </c>
      <c r="L51" s="149" t="str">
        <f t="shared" si="6"/>
        <v xml:space="preserve"> </v>
      </c>
      <c r="M51" s="149" t="str">
        <f t="shared" si="6"/>
        <v xml:space="preserve"> </v>
      </c>
      <c r="N51" s="150" t="str">
        <f t="shared" si="1"/>
        <v xml:space="preserve"> </v>
      </c>
      <c r="O51" s="151" t="str">
        <f t="shared" si="2"/>
        <v xml:space="preserve"> </v>
      </c>
      <c r="P51" s="152" t="str">
        <f t="shared" si="3"/>
        <v xml:space="preserve"> </v>
      </c>
      <c r="Q51" s="150" t="str">
        <f t="shared" si="4"/>
        <v/>
      </c>
      <c r="R51" s="150" t="str">
        <f t="shared" si="5"/>
        <v/>
      </c>
      <c r="S51" s="153"/>
    </row>
    <row r="52" spans="1:19" ht="18" customHeight="1">
      <c r="A52" s="143"/>
      <c r="B52" s="144" t="s">
        <v>233</v>
      </c>
      <c r="C52" s="146" t="s">
        <v>73</v>
      </c>
      <c r="D52" s="145">
        <v>0.81</v>
      </c>
      <c r="E52" s="145">
        <v>0.03</v>
      </c>
      <c r="F52" s="145">
        <v>-0.02</v>
      </c>
      <c r="G52" s="146" t="s">
        <v>198</v>
      </c>
      <c r="H52" s="147"/>
      <c r="I52" s="148"/>
      <c r="J52" s="148"/>
      <c r="K52" s="149" t="str">
        <f t="shared" si="6"/>
        <v xml:space="preserve"> </v>
      </c>
      <c r="L52" s="149" t="str">
        <f t="shared" si="6"/>
        <v xml:space="preserve"> </v>
      </c>
      <c r="M52" s="149" t="str">
        <f t="shared" si="6"/>
        <v xml:space="preserve"> </v>
      </c>
      <c r="N52" s="150" t="str">
        <f t="shared" si="1"/>
        <v xml:space="preserve"> </v>
      </c>
      <c r="O52" s="151" t="str">
        <f t="shared" si="2"/>
        <v xml:space="preserve"> </v>
      </c>
      <c r="P52" s="152" t="str">
        <f t="shared" si="3"/>
        <v xml:space="preserve"> </v>
      </c>
      <c r="Q52" s="150" t="str">
        <f t="shared" si="4"/>
        <v/>
      </c>
      <c r="R52" s="150" t="str">
        <f t="shared" si="5"/>
        <v/>
      </c>
      <c r="S52" s="153"/>
    </row>
    <row r="53" spans="1:19" ht="18" customHeight="1">
      <c r="A53" s="143"/>
      <c r="B53" s="144" t="s">
        <v>234</v>
      </c>
      <c r="C53" s="146" t="s">
        <v>73</v>
      </c>
      <c r="D53" s="145">
        <v>14</v>
      </c>
      <c r="E53" s="145">
        <v>3.5000000000000003E-2</v>
      </c>
      <c r="F53" s="145">
        <v>-0.02</v>
      </c>
      <c r="G53" s="146" t="s">
        <v>198</v>
      </c>
      <c r="H53" s="147"/>
      <c r="I53" s="148"/>
      <c r="J53" s="148"/>
      <c r="K53" s="149" t="str">
        <f t="shared" si="6"/>
        <v xml:space="preserve"> </v>
      </c>
      <c r="L53" s="149" t="str">
        <f t="shared" si="6"/>
        <v xml:space="preserve"> </v>
      </c>
      <c r="M53" s="149" t="str">
        <f t="shared" si="6"/>
        <v xml:space="preserve"> </v>
      </c>
      <c r="N53" s="150" t="str">
        <f t="shared" si="1"/>
        <v xml:space="preserve"> </v>
      </c>
      <c r="O53" s="151" t="str">
        <f t="shared" si="2"/>
        <v xml:space="preserve"> </v>
      </c>
      <c r="P53" s="152" t="str">
        <f t="shared" si="3"/>
        <v xml:space="preserve"> </v>
      </c>
      <c r="Q53" s="150" t="str">
        <f t="shared" si="4"/>
        <v/>
      </c>
      <c r="R53" s="150" t="str">
        <f t="shared" si="5"/>
        <v/>
      </c>
      <c r="S53" s="153"/>
    </row>
    <row r="54" spans="1:19" ht="18" customHeight="1">
      <c r="A54" s="143"/>
      <c r="B54" s="144" t="s">
        <v>235</v>
      </c>
      <c r="C54" s="146" t="s">
        <v>73</v>
      </c>
      <c r="D54" s="145">
        <v>1.29</v>
      </c>
      <c r="E54" s="145">
        <v>0.02</v>
      </c>
      <c r="F54" s="145">
        <v>-0.03</v>
      </c>
      <c r="G54" s="146" t="s">
        <v>198</v>
      </c>
      <c r="H54" s="147"/>
      <c r="I54" s="148"/>
      <c r="J54" s="148"/>
      <c r="K54" s="149" t="str">
        <f t="shared" si="6"/>
        <v xml:space="preserve"> </v>
      </c>
      <c r="L54" s="149" t="str">
        <f t="shared" si="6"/>
        <v xml:space="preserve"> </v>
      </c>
      <c r="M54" s="149" t="str">
        <f t="shared" si="6"/>
        <v xml:space="preserve"> </v>
      </c>
      <c r="N54" s="150" t="str">
        <f t="shared" si="1"/>
        <v xml:space="preserve"> </v>
      </c>
      <c r="O54" s="151" t="str">
        <f t="shared" si="2"/>
        <v xml:space="preserve"> </v>
      </c>
      <c r="P54" s="152" t="str">
        <f t="shared" si="3"/>
        <v xml:space="preserve"> </v>
      </c>
      <c r="Q54" s="150" t="str">
        <f t="shared" si="4"/>
        <v/>
      </c>
      <c r="R54" s="150" t="str">
        <f t="shared" si="5"/>
        <v/>
      </c>
      <c r="S54" s="153"/>
    </row>
    <row r="55" spans="1:19" ht="18" customHeight="1">
      <c r="A55" s="143"/>
      <c r="B55" s="144" t="s">
        <v>236</v>
      </c>
      <c r="C55" s="146" t="s">
        <v>73</v>
      </c>
      <c r="D55" s="145">
        <v>0.43</v>
      </c>
      <c r="E55" s="145">
        <v>0.02</v>
      </c>
      <c r="F55" s="145">
        <v>-0.02</v>
      </c>
      <c r="G55" s="146" t="s">
        <v>198</v>
      </c>
      <c r="H55" s="147"/>
      <c r="I55" s="148"/>
      <c r="J55" s="148"/>
      <c r="K55" s="149" t="str">
        <f t="shared" si="6"/>
        <v xml:space="preserve"> </v>
      </c>
      <c r="L55" s="149" t="str">
        <f t="shared" si="6"/>
        <v xml:space="preserve"> </v>
      </c>
      <c r="M55" s="149" t="str">
        <f t="shared" si="6"/>
        <v xml:space="preserve"> </v>
      </c>
      <c r="N55" s="150" t="str">
        <f t="shared" si="1"/>
        <v xml:space="preserve"> </v>
      </c>
      <c r="O55" s="151" t="str">
        <f t="shared" si="2"/>
        <v xml:space="preserve"> </v>
      </c>
      <c r="P55" s="152" t="str">
        <f t="shared" si="3"/>
        <v xml:space="preserve"> </v>
      </c>
      <c r="Q55" s="150" t="str">
        <f t="shared" si="4"/>
        <v/>
      </c>
      <c r="R55" s="150" t="str">
        <f t="shared" si="5"/>
        <v/>
      </c>
      <c r="S55" s="153"/>
    </row>
    <row r="56" spans="1:19" ht="18" customHeight="1">
      <c r="A56" s="143"/>
      <c r="B56" s="144" t="s">
        <v>237</v>
      </c>
      <c r="C56" s="146" t="s">
        <v>73</v>
      </c>
      <c r="D56" s="145">
        <v>2.0299999999999998</v>
      </c>
      <c r="E56" s="145">
        <v>0.02</v>
      </c>
      <c r="F56" s="145">
        <v>-0.02</v>
      </c>
      <c r="G56" s="146" t="s">
        <v>198</v>
      </c>
      <c r="H56" s="147"/>
      <c r="I56" s="148"/>
      <c r="J56" s="148"/>
      <c r="K56" s="149" t="str">
        <f t="shared" si="6"/>
        <v xml:space="preserve"> </v>
      </c>
      <c r="L56" s="149" t="str">
        <f t="shared" si="6"/>
        <v xml:space="preserve"> </v>
      </c>
      <c r="M56" s="149" t="str">
        <f t="shared" si="6"/>
        <v xml:space="preserve"> </v>
      </c>
      <c r="N56" s="150" t="str">
        <f t="shared" si="1"/>
        <v xml:space="preserve"> </v>
      </c>
      <c r="O56" s="151" t="str">
        <f t="shared" si="2"/>
        <v xml:space="preserve"> </v>
      </c>
      <c r="P56" s="152" t="str">
        <f t="shared" si="3"/>
        <v xml:space="preserve"> </v>
      </c>
      <c r="Q56" s="150" t="str">
        <f t="shared" si="4"/>
        <v/>
      </c>
      <c r="R56" s="150" t="str">
        <f t="shared" si="5"/>
        <v/>
      </c>
      <c r="S56" s="153"/>
    </row>
    <row r="57" spans="1:19" ht="18" customHeight="1">
      <c r="A57" s="143"/>
      <c r="B57" s="144" t="s">
        <v>238</v>
      </c>
      <c r="C57" s="146" t="s">
        <v>73</v>
      </c>
      <c r="D57" s="145">
        <v>1.117</v>
      </c>
      <c r="E57" s="145">
        <v>2.5000000000000001E-2</v>
      </c>
      <c r="F57" s="145">
        <v>-2.5000000000000001E-2</v>
      </c>
      <c r="G57" s="146" t="s">
        <v>81</v>
      </c>
      <c r="H57" s="147"/>
      <c r="I57" s="148"/>
      <c r="J57" s="148"/>
      <c r="K57" s="149" t="str">
        <f t="shared" si="6"/>
        <v xml:space="preserve"> </v>
      </c>
      <c r="L57" s="149" t="str">
        <f t="shared" si="6"/>
        <v xml:space="preserve"> </v>
      </c>
      <c r="M57" s="149" t="str">
        <f t="shared" si="6"/>
        <v xml:space="preserve"> </v>
      </c>
      <c r="N57" s="150" t="str">
        <f t="shared" si="1"/>
        <v xml:space="preserve"> </v>
      </c>
      <c r="O57" s="151" t="str">
        <f t="shared" si="2"/>
        <v xml:space="preserve"> </v>
      </c>
      <c r="P57" s="152" t="str">
        <f t="shared" si="3"/>
        <v xml:space="preserve"> </v>
      </c>
      <c r="Q57" s="150" t="str">
        <f t="shared" si="4"/>
        <v/>
      </c>
      <c r="R57" s="150" t="str">
        <f t="shared" si="5"/>
        <v/>
      </c>
      <c r="S57" s="153"/>
    </row>
    <row r="58" spans="1:19" ht="18" customHeight="1">
      <c r="A58" s="143"/>
      <c r="B58" s="144" t="s">
        <v>256</v>
      </c>
      <c r="C58" s="146" t="s">
        <v>73</v>
      </c>
      <c r="D58" s="145">
        <v>12.34</v>
      </c>
      <c r="E58" s="145">
        <v>0.02</v>
      </c>
      <c r="F58" s="145">
        <v>-0.02</v>
      </c>
      <c r="G58" s="146" t="s">
        <v>81</v>
      </c>
      <c r="H58" s="147"/>
      <c r="I58" s="148"/>
      <c r="J58" s="148"/>
      <c r="K58" s="149" t="str">
        <f t="shared" si="6"/>
        <v xml:space="preserve"> </v>
      </c>
      <c r="L58" s="149" t="str">
        <f t="shared" si="6"/>
        <v xml:space="preserve"> </v>
      </c>
      <c r="M58" s="149" t="str">
        <f t="shared" si="6"/>
        <v xml:space="preserve"> </v>
      </c>
      <c r="N58" s="150" t="str">
        <f t="shared" si="1"/>
        <v xml:space="preserve"> </v>
      </c>
      <c r="O58" s="151" t="str">
        <f t="shared" si="2"/>
        <v xml:space="preserve"> </v>
      </c>
      <c r="P58" s="152" t="str">
        <f t="shared" si="3"/>
        <v xml:space="preserve"> </v>
      </c>
      <c r="Q58" s="150" t="str">
        <f t="shared" si="4"/>
        <v/>
      </c>
      <c r="R58" s="150" t="str">
        <f t="shared" si="5"/>
        <v/>
      </c>
      <c r="S58" s="153"/>
    </row>
    <row r="59" spans="1:19" ht="18" customHeight="1">
      <c r="A59" s="143"/>
      <c r="B59" s="144" t="s">
        <v>257</v>
      </c>
      <c r="C59" s="146" t="s">
        <v>73</v>
      </c>
      <c r="D59" s="145">
        <v>6.5000000000000002E-2</v>
      </c>
      <c r="E59" s="145">
        <v>0.01</v>
      </c>
      <c r="F59" s="145">
        <v>-0.03</v>
      </c>
      <c r="G59" s="146" t="s">
        <v>81</v>
      </c>
      <c r="H59" s="147"/>
      <c r="I59" s="148"/>
      <c r="J59" s="148"/>
      <c r="K59" s="149" t="str">
        <f t="shared" si="6"/>
        <v xml:space="preserve"> </v>
      </c>
      <c r="L59" s="149" t="str">
        <f t="shared" si="6"/>
        <v xml:space="preserve"> </v>
      </c>
      <c r="M59" s="149" t="str">
        <f t="shared" si="6"/>
        <v xml:space="preserve"> </v>
      </c>
      <c r="N59" s="150" t="str">
        <f t="shared" si="1"/>
        <v xml:space="preserve"> </v>
      </c>
      <c r="O59" s="151" t="str">
        <f t="shared" si="2"/>
        <v xml:space="preserve"> </v>
      </c>
      <c r="P59" s="152" t="str">
        <f t="shared" si="3"/>
        <v xml:space="preserve"> </v>
      </c>
      <c r="Q59" s="150" t="str">
        <f t="shared" si="4"/>
        <v/>
      </c>
      <c r="R59" s="150" t="str">
        <f t="shared" si="5"/>
        <v/>
      </c>
      <c r="S59" s="153"/>
    </row>
    <row r="60" spans="1:19" ht="18" customHeight="1">
      <c r="A60" s="143"/>
      <c r="B60" s="144" t="s">
        <v>258</v>
      </c>
      <c r="C60" s="146" t="s">
        <v>73</v>
      </c>
      <c r="D60" s="145">
        <v>6.5000000000000002E-2</v>
      </c>
      <c r="E60" s="145">
        <v>0.01</v>
      </c>
      <c r="F60" s="145">
        <v>-0.03</v>
      </c>
      <c r="G60" s="146" t="s">
        <v>81</v>
      </c>
      <c r="H60" s="147"/>
      <c r="I60" s="148"/>
      <c r="J60" s="148"/>
      <c r="K60" s="149" t="str">
        <f t="shared" si="6"/>
        <v xml:space="preserve"> </v>
      </c>
      <c r="L60" s="149" t="str">
        <f t="shared" si="6"/>
        <v xml:space="preserve"> </v>
      </c>
      <c r="M60" s="149" t="str">
        <f t="shared" si="6"/>
        <v xml:space="preserve"> </v>
      </c>
      <c r="N60" s="150" t="str">
        <f t="shared" si="1"/>
        <v xml:space="preserve"> </v>
      </c>
      <c r="O60" s="151" t="str">
        <f t="shared" si="2"/>
        <v xml:space="preserve"> </v>
      </c>
      <c r="P60" s="152" t="str">
        <f t="shared" si="3"/>
        <v xml:space="preserve"> </v>
      </c>
      <c r="Q60" s="150" t="str">
        <f t="shared" si="4"/>
        <v/>
      </c>
      <c r="R60" s="150" t="str">
        <f t="shared" si="5"/>
        <v/>
      </c>
      <c r="S60" s="153"/>
    </row>
    <row r="61" spans="1:19" ht="18" customHeight="1">
      <c r="A61" s="143"/>
      <c r="B61" s="144" t="s">
        <v>259</v>
      </c>
      <c r="C61" s="146" t="s">
        <v>73</v>
      </c>
      <c r="D61" s="145">
        <v>10.090999999999999</v>
      </c>
      <c r="E61" s="145">
        <v>0.03</v>
      </c>
      <c r="F61" s="145">
        <v>-0.03</v>
      </c>
      <c r="G61" s="146" t="s">
        <v>81</v>
      </c>
      <c r="H61" s="147"/>
      <c r="I61" s="148"/>
      <c r="J61" s="148"/>
      <c r="K61" s="149" t="str">
        <f t="shared" si="6"/>
        <v xml:space="preserve"> </v>
      </c>
      <c r="L61" s="149" t="str">
        <f t="shared" si="6"/>
        <v xml:space="preserve"> </v>
      </c>
      <c r="M61" s="149" t="str">
        <f t="shared" si="6"/>
        <v xml:space="preserve"> </v>
      </c>
      <c r="N61" s="150" t="str">
        <f t="shared" si="1"/>
        <v xml:space="preserve"> </v>
      </c>
      <c r="O61" s="151" t="str">
        <f t="shared" si="2"/>
        <v xml:space="preserve"> </v>
      </c>
      <c r="P61" s="152" t="str">
        <f t="shared" si="3"/>
        <v xml:space="preserve"> </v>
      </c>
      <c r="Q61" s="150" t="str">
        <f t="shared" si="4"/>
        <v/>
      </c>
      <c r="R61" s="150" t="str">
        <f t="shared" si="5"/>
        <v/>
      </c>
      <c r="S61" s="153"/>
    </row>
    <row r="62" spans="1:19" ht="18" customHeight="1">
      <c r="A62" s="143"/>
      <c r="B62" s="144" t="s">
        <v>239</v>
      </c>
      <c r="C62" s="146" t="s">
        <v>73</v>
      </c>
      <c r="D62" s="145">
        <v>0.32</v>
      </c>
      <c r="E62" s="145">
        <v>0.03</v>
      </c>
      <c r="F62" s="145">
        <v>-0.03</v>
      </c>
      <c r="G62" s="146" t="s">
        <v>81</v>
      </c>
      <c r="H62" s="147"/>
      <c r="I62" s="148"/>
      <c r="J62" s="148"/>
      <c r="K62" s="149" t="str">
        <f t="shared" si="6"/>
        <v xml:space="preserve"> </v>
      </c>
      <c r="L62" s="149" t="str">
        <f t="shared" si="6"/>
        <v xml:space="preserve"> </v>
      </c>
      <c r="M62" s="149" t="str">
        <f t="shared" si="6"/>
        <v xml:space="preserve"> </v>
      </c>
      <c r="N62" s="150" t="str">
        <f t="shared" si="1"/>
        <v xml:space="preserve"> </v>
      </c>
      <c r="O62" s="151" t="str">
        <f t="shared" si="2"/>
        <v xml:space="preserve"> </v>
      </c>
      <c r="P62" s="152" t="str">
        <f t="shared" si="3"/>
        <v xml:space="preserve"> </v>
      </c>
      <c r="Q62" s="150" t="str">
        <f t="shared" si="4"/>
        <v/>
      </c>
      <c r="R62" s="150" t="str">
        <f t="shared" si="5"/>
        <v/>
      </c>
      <c r="S62" s="153"/>
    </row>
    <row r="63" spans="1:19" ht="18" customHeight="1">
      <c r="A63" s="143"/>
      <c r="B63" s="144" t="s">
        <v>240</v>
      </c>
      <c r="C63" s="146" t="s">
        <v>73</v>
      </c>
      <c r="D63" s="145">
        <v>0.32</v>
      </c>
      <c r="E63" s="145">
        <v>0.03</v>
      </c>
      <c r="F63" s="145">
        <v>-0.03</v>
      </c>
      <c r="G63" s="146" t="s">
        <v>81</v>
      </c>
      <c r="H63" s="147"/>
      <c r="I63" s="148"/>
      <c r="J63" s="148"/>
      <c r="K63" s="149" t="str">
        <f t="shared" si="6"/>
        <v xml:space="preserve"> </v>
      </c>
      <c r="L63" s="149" t="str">
        <f t="shared" si="6"/>
        <v xml:space="preserve"> </v>
      </c>
      <c r="M63" s="149" t="str">
        <f t="shared" si="6"/>
        <v xml:space="preserve"> </v>
      </c>
      <c r="N63" s="150" t="str">
        <f t="shared" si="1"/>
        <v xml:space="preserve"> </v>
      </c>
      <c r="O63" s="151" t="str">
        <f t="shared" si="2"/>
        <v xml:space="preserve"> </v>
      </c>
      <c r="P63" s="152" t="str">
        <f t="shared" si="3"/>
        <v xml:space="preserve"> </v>
      </c>
      <c r="Q63" s="150" t="str">
        <f t="shared" si="4"/>
        <v/>
      </c>
      <c r="R63" s="150" t="str">
        <f t="shared" si="5"/>
        <v/>
      </c>
      <c r="S63" s="153"/>
    </row>
    <row r="64" spans="1:19" ht="18" customHeight="1">
      <c r="A64" s="143"/>
      <c r="B64" s="144" t="s">
        <v>241</v>
      </c>
      <c r="C64" s="146" t="s">
        <v>73</v>
      </c>
      <c r="D64" s="145">
        <v>0.32</v>
      </c>
      <c r="E64" s="145">
        <v>0.03</v>
      </c>
      <c r="F64" s="145">
        <v>-0.03</v>
      </c>
      <c r="G64" s="146" t="s">
        <v>81</v>
      </c>
      <c r="H64" s="147"/>
      <c r="I64" s="148"/>
      <c r="J64" s="148"/>
      <c r="K64" s="149" t="str">
        <f t="shared" si="6"/>
        <v xml:space="preserve"> </v>
      </c>
      <c r="L64" s="149" t="str">
        <f t="shared" si="6"/>
        <v xml:space="preserve"> </v>
      </c>
      <c r="M64" s="149" t="str">
        <f t="shared" si="6"/>
        <v xml:space="preserve"> </v>
      </c>
      <c r="N64" s="150" t="str">
        <f t="shared" si="1"/>
        <v xml:space="preserve"> </v>
      </c>
      <c r="O64" s="151" t="str">
        <f t="shared" si="2"/>
        <v xml:space="preserve"> </v>
      </c>
      <c r="P64" s="152" t="str">
        <f t="shared" si="3"/>
        <v xml:space="preserve"> </v>
      </c>
      <c r="Q64" s="150" t="str">
        <f t="shared" si="4"/>
        <v/>
      </c>
      <c r="R64" s="150" t="str">
        <f t="shared" si="5"/>
        <v/>
      </c>
      <c r="S64" s="153"/>
    </row>
    <row r="65" spans="1:19" ht="18" customHeight="1">
      <c r="A65" s="143"/>
      <c r="B65" s="144" t="s">
        <v>242</v>
      </c>
      <c r="C65" s="146" t="s">
        <v>73</v>
      </c>
      <c r="D65" s="145">
        <v>0.32</v>
      </c>
      <c r="E65" s="145">
        <v>0.03</v>
      </c>
      <c r="F65" s="145">
        <v>-0.03</v>
      </c>
      <c r="G65" s="146" t="s">
        <v>81</v>
      </c>
      <c r="H65" s="147"/>
      <c r="I65" s="148"/>
      <c r="J65" s="148"/>
      <c r="K65" s="149" t="str">
        <f t="shared" si="6"/>
        <v xml:space="preserve"> </v>
      </c>
      <c r="L65" s="149" t="str">
        <f t="shared" si="6"/>
        <v xml:space="preserve"> </v>
      </c>
      <c r="M65" s="149" t="str">
        <f t="shared" si="6"/>
        <v xml:space="preserve"> </v>
      </c>
      <c r="N65" s="150" t="str">
        <f t="shared" si="1"/>
        <v xml:space="preserve"> </v>
      </c>
      <c r="O65" s="151" t="str">
        <f t="shared" si="2"/>
        <v xml:space="preserve"> </v>
      </c>
      <c r="P65" s="152" t="str">
        <f t="shared" si="3"/>
        <v xml:space="preserve"> </v>
      </c>
      <c r="Q65" s="150" t="str">
        <f t="shared" si="4"/>
        <v/>
      </c>
      <c r="R65" s="150" t="str">
        <f t="shared" si="5"/>
        <v/>
      </c>
      <c r="S65" s="153"/>
    </row>
    <row r="66" spans="1:19" ht="18" customHeight="1">
      <c r="A66" s="143"/>
      <c r="B66" s="144" t="s">
        <v>260</v>
      </c>
      <c r="C66" s="146" t="s">
        <v>73</v>
      </c>
      <c r="D66" s="145">
        <v>13.13</v>
      </c>
      <c r="E66" s="145">
        <v>0.03</v>
      </c>
      <c r="F66" s="145">
        <v>-0.03</v>
      </c>
      <c r="G66" s="146" t="s">
        <v>81</v>
      </c>
      <c r="H66" s="147"/>
      <c r="I66" s="148"/>
      <c r="J66" s="148"/>
      <c r="K66" s="149" t="str">
        <f t="shared" si="6"/>
        <v xml:space="preserve"> </v>
      </c>
      <c r="L66" s="149" t="str">
        <f t="shared" si="6"/>
        <v xml:space="preserve"> </v>
      </c>
      <c r="M66" s="149" t="str">
        <f t="shared" si="6"/>
        <v xml:space="preserve"> </v>
      </c>
      <c r="N66" s="150" t="str">
        <f t="shared" si="1"/>
        <v xml:space="preserve"> </v>
      </c>
      <c r="O66" s="151" t="str">
        <f t="shared" si="2"/>
        <v xml:space="preserve"> </v>
      </c>
      <c r="P66" s="152" t="str">
        <f t="shared" si="3"/>
        <v xml:space="preserve"> </v>
      </c>
      <c r="Q66" s="150" t="str">
        <f t="shared" si="4"/>
        <v/>
      </c>
      <c r="R66" s="150" t="str">
        <f t="shared" si="5"/>
        <v/>
      </c>
      <c r="S66" s="153"/>
    </row>
    <row r="67" spans="1:19" ht="18" customHeight="1">
      <c r="A67" s="143"/>
      <c r="B67" s="144" t="s">
        <v>261</v>
      </c>
      <c r="C67" s="146" t="s">
        <v>73</v>
      </c>
      <c r="D67" s="145">
        <v>1.2</v>
      </c>
      <c r="E67" s="145">
        <v>3.5000000000000003E-2</v>
      </c>
      <c r="F67" s="145">
        <v>-3.5000000000000003E-2</v>
      </c>
      <c r="G67" s="146" t="s">
        <v>81</v>
      </c>
      <c r="H67" s="147"/>
      <c r="I67" s="148"/>
      <c r="J67" s="148"/>
      <c r="K67" s="149" t="str">
        <f t="shared" si="6"/>
        <v xml:space="preserve"> </v>
      </c>
      <c r="L67" s="149" t="str">
        <f t="shared" si="6"/>
        <v xml:space="preserve"> </v>
      </c>
      <c r="M67" s="149" t="str">
        <f t="shared" si="6"/>
        <v xml:space="preserve"> </v>
      </c>
      <c r="N67" s="150" t="str">
        <f t="shared" si="1"/>
        <v xml:space="preserve"> </v>
      </c>
      <c r="O67" s="151" t="str">
        <f t="shared" si="2"/>
        <v xml:space="preserve"> </v>
      </c>
      <c r="P67" s="152" t="str">
        <f t="shared" si="3"/>
        <v xml:space="preserve"> </v>
      </c>
      <c r="Q67" s="150" t="str">
        <f t="shared" si="4"/>
        <v/>
      </c>
      <c r="R67" s="150" t="str">
        <f t="shared" si="5"/>
        <v/>
      </c>
      <c r="S67" s="153"/>
    </row>
    <row r="68" spans="1:19" ht="18" customHeight="1">
      <c r="A68" s="143"/>
      <c r="B68" s="157" t="s">
        <v>262</v>
      </c>
      <c r="C68" s="146" t="s">
        <v>73</v>
      </c>
      <c r="D68" s="145">
        <v>2.41</v>
      </c>
      <c r="E68" s="145">
        <v>0.03</v>
      </c>
      <c r="F68" s="145">
        <v>-0.03</v>
      </c>
      <c r="G68" s="146" t="s">
        <v>81</v>
      </c>
      <c r="H68" s="147"/>
      <c r="I68" s="148"/>
      <c r="J68" s="148"/>
      <c r="K68" s="149" t="str">
        <f t="shared" si="6"/>
        <v xml:space="preserve"> </v>
      </c>
      <c r="L68" s="149" t="str">
        <f t="shared" si="6"/>
        <v xml:space="preserve"> </v>
      </c>
      <c r="M68" s="149" t="str">
        <f t="shared" si="6"/>
        <v xml:space="preserve"> </v>
      </c>
      <c r="N68" s="150" t="str">
        <f t="shared" si="1"/>
        <v xml:space="preserve"> </v>
      </c>
      <c r="O68" s="151" t="str">
        <f t="shared" si="2"/>
        <v xml:space="preserve"> </v>
      </c>
      <c r="P68" s="152" t="str">
        <f t="shared" si="3"/>
        <v xml:space="preserve"> </v>
      </c>
      <c r="Q68" s="150" t="str">
        <f t="shared" si="4"/>
        <v/>
      </c>
      <c r="R68" s="150" t="str">
        <f t="shared" si="5"/>
        <v/>
      </c>
      <c r="S68" s="153"/>
    </row>
    <row r="69" spans="1:19" ht="18" customHeight="1">
      <c r="A69" s="143"/>
      <c r="B69" s="157" t="s">
        <v>263</v>
      </c>
      <c r="C69" s="146" t="s">
        <v>73</v>
      </c>
      <c r="D69" s="145">
        <v>1.2</v>
      </c>
      <c r="E69" s="145">
        <v>3.5000000000000003E-2</v>
      </c>
      <c r="F69" s="145">
        <v>-3.5000000000000003E-2</v>
      </c>
      <c r="G69" s="146" t="s">
        <v>81</v>
      </c>
      <c r="H69" s="147"/>
      <c r="I69" s="148"/>
      <c r="J69" s="148"/>
      <c r="K69" s="149" t="str">
        <f t="shared" si="6"/>
        <v xml:space="preserve"> </v>
      </c>
      <c r="L69" s="149" t="str">
        <f t="shared" si="6"/>
        <v xml:space="preserve"> </v>
      </c>
      <c r="M69" s="149" t="str">
        <f t="shared" si="6"/>
        <v xml:space="preserve"> </v>
      </c>
      <c r="N69" s="150" t="str">
        <f t="shared" si="1"/>
        <v xml:space="preserve"> </v>
      </c>
      <c r="O69" s="151" t="str">
        <f t="shared" si="2"/>
        <v xml:space="preserve"> </v>
      </c>
      <c r="P69" s="152" t="str">
        <f t="shared" si="3"/>
        <v xml:space="preserve"> </v>
      </c>
      <c r="Q69" s="150" t="str">
        <f t="shared" si="4"/>
        <v/>
      </c>
      <c r="R69" s="150" t="str">
        <f t="shared" si="5"/>
        <v/>
      </c>
      <c r="S69" s="153"/>
    </row>
    <row r="70" spans="1:19" ht="18" customHeight="1">
      <c r="A70" s="143"/>
      <c r="B70" s="144" t="s">
        <v>264</v>
      </c>
      <c r="C70" s="146" t="s">
        <v>73</v>
      </c>
      <c r="D70" s="145">
        <v>11.25</v>
      </c>
      <c r="E70" s="145">
        <v>0.04</v>
      </c>
      <c r="F70" s="145">
        <v>-0.02</v>
      </c>
      <c r="G70" s="146" t="s">
        <v>81</v>
      </c>
      <c r="H70" s="147"/>
      <c r="I70" s="148"/>
      <c r="J70" s="148"/>
      <c r="K70" s="149" t="str">
        <f t="shared" si="6"/>
        <v xml:space="preserve"> </v>
      </c>
      <c r="L70" s="149" t="str">
        <f t="shared" si="6"/>
        <v xml:space="preserve"> </v>
      </c>
      <c r="M70" s="149" t="str">
        <f t="shared" si="6"/>
        <v xml:space="preserve"> </v>
      </c>
      <c r="N70" s="150" t="str">
        <f t="shared" ref="N70:N124" si="7">IF(ISERR(H70/H70)=TRUE," ",AVERAGE(H70:J70))</f>
        <v xml:space="preserve"> </v>
      </c>
      <c r="O70" s="151" t="str">
        <f t="shared" ref="O70:O124" si="8">IF(ISERR(E70/E70)=TRUE," ",IF(ISERR(H70/H70)=TRUE," ",IF(ISNUMBER($H70)=FALSE," ",IF(MAX($H70:$J70)&lt;$D70,0,(MAX($H70:$J70)-$D70)/$E70))))</f>
        <v xml:space="preserve"> </v>
      </c>
      <c r="P70" s="152" t="str">
        <f t="shared" ref="P70:P124" si="9">IF(ISERR(F70/D70)=TRUE," ",IF(ISERR(F70/F70)=TRUE," ",IF(ISERR(H70/H70)=TRUE," ",IF(ISNUMBER(H70)=FALSE," ",IF(MIN(H70:J70)&gt;$D70,0,($D70-MIN(H70:J70))/-F70)))))</f>
        <v xml:space="preserve"> </v>
      </c>
      <c r="Q70" s="150" t="str">
        <f t="shared" ref="Q70:Q124" si="10">IF(ISNUMBER($O70)=TRUE,IF($O70&gt;0.651,IF($O70&gt;1.001,"Reject","Alert"),""),"")</f>
        <v/>
      </c>
      <c r="R70" s="150" t="str">
        <f t="shared" ref="R70:R124" si="11">IF(H70="","",IF(ISERR(F70/F70)=TRUE,"",IF(ISERR(F70/D70)=TRUE,IF((F70-MIN(H70:J70))&gt;0.001,"Reject",""),IF(ISNUMBER($P70)=TRUE,IF($P70&gt;0.651,IF($P70&gt;1.001,"Reject","Alert"),""),""))))</f>
        <v/>
      </c>
      <c r="S70" s="153"/>
    </row>
    <row r="71" spans="1:19" ht="18" customHeight="1">
      <c r="A71" s="143"/>
      <c r="B71" s="144" t="s">
        <v>243</v>
      </c>
      <c r="C71" s="146" t="s">
        <v>73</v>
      </c>
      <c r="D71" s="145">
        <v>15.45</v>
      </c>
      <c r="E71" s="145">
        <v>0.02</v>
      </c>
      <c r="F71" s="145">
        <v>-0.02</v>
      </c>
      <c r="G71" s="146" t="s">
        <v>81</v>
      </c>
      <c r="H71" s="147"/>
      <c r="I71" s="148"/>
      <c r="J71" s="148"/>
      <c r="K71" s="149" t="str">
        <f t="shared" si="6"/>
        <v xml:space="preserve"> </v>
      </c>
      <c r="L71" s="149" t="str">
        <f t="shared" si="6"/>
        <v xml:space="preserve"> </v>
      </c>
      <c r="M71" s="149" t="str">
        <f t="shared" si="6"/>
        <v xml:space="preserve"> </v>
      </c>
      <c r="N71" s="150" t="str">
        <f t="shared" si="7"/>
        <v xml:space="preserve"> </v>
      </c>
      <c r="O71" s="151" t="str">
        <f t="shared" si="8"/>
        <v xml:space="preserve"> </v>
      </c>
      <c r="P71" s="152" t="str">
        <f t="shared" si="9"/>
        <v xml:space="preserve"> </v>
      </c>
      <c r="Q71" s="150" t="str">
        <f t="shared" si="10"/>
        <v/>
      </c>
      <c r="R71" s="150" t="str">
        <f t="shared" si="11"/>
        <v/>
      </c>
      <c r="S71" s="153"/>
    </row>
    <row r="72" spans="1:19" ht="18" customHeight="1">
      <c r="A72" s="143"/>
      <c r="B72" s="144" t="s">
        <v>265</v>
      </c>
      <c r="C72" s="146" t="s">
        <v>73</v>
      </c>
      <c r="D72" s="145">
        <v>7.23</v>
      </c>
      <c r="E72" s="145">
        <v>0.02</v>
      </c>
      <c r="F72" s="145">
        <v>-0.02</v>
      </c>
      <c r="G72" s="146" t="s">
        <v>81</v>
      </c>
      <c r="H72" s="147"/>
      <c r="I72" s="148"/>
      <c r="J72" s="148"/>
      <c r="K72" s="149" t="str">
        <f t="shared" si="6"/>
        <v xml:space="preserve"> </v>
      </c>
      <c r="L72" s="149" t="str">
        <f t="shared" si="6"/>
        <v xml:space="preserve"> </v>
      </c>
      <c r="M72" s="149" t="str">
        <f t="shared" si="6"/>
        <v xml:space="preserve"> </v>
      </c>
      <c r="N72" s="150" t="str">
        <f t="shared" si="7"/>
        <v xml:space="preserve"> </v>
      </c>
      <c r="O72" s="151" t="str">
        <f t="shared" si="8"/>
        <v xml:space="preserve"> </v>
      </c>
      <c r="P72" s="152" t="str">
        <f t="shared" si="9"/>
        <v xml:space="preserve"> </v>
      </c>
      <c r="Q72" s="150" t="str">
        <f t="shared" si="10"/>
        <v/>
      </c>
      <c r="R72" s="150" t="str">
        <f t="shared" si="11"/>
        <v/>
      </c>
      <c r="S72" s="153"/>
    </row>
    <row r="73" spans="1:19" ht="18" customHeight="1">
      <c r="A73" s="143"/>
      <c r="B73" s="144" t="s">
        <v>266</v>
      </c>
      <c r="C73" s="146" t="s">
        <v>73</v>
      </c>
      <c r="D73" s="145">
        <v>0.33</v>
      </c>
      <c r="E73" s="145">
        <v>0.03</v>
      </c>
      <c r="F73" s="145">
        <v>-0.03</v>
      </c>
      <c r="G73" s="146" t="s">
        <v>81</v>
      </c>
      <c r="H73" s="147"/>
      <c r="I73" s="148"/>
      <c r="J73" s="148"/>
      <c r="K73" s="149" t="str">
        <f t="shared" si="6"/>
        <v xml:space="preserve"> </v>
      </c>
      <c r="L73" s="149" t="str">
        <f t="shared" si="6"/>
        <v xml:space="preserve"> </v>
      </c>
      <c r="M73" s="149" t="str">
        <f t="shared" si="6"/>
        <v xml:space="preserve"> </v>
      </c>
      <c r="N73" s="150" t="str">
        <f t="shared" si="7"/>
        <v xml:space="preserve"> </v>
      </c>
      <c r="O73" s="151" t="str">
        <f t="shared" si="8"/>
        <v xml:space="preserve"> </v>
      </c>
      <c r="P73" s="152" t="str">
        <f t="shared" si="9"/>
        <v xml:space="preserve"> </v>
      </c>
      <c r="Q73" s="150" t="str">
        <f t="shared" si="10"/>
        <v/>
      </c>
      <c r="R73" s="150" t="str">
        <f t="shared" si="11"/>
        <v/>
      </c>
      <c r="S73" s="153"/>
    </row>
    <row r="74" spans="1:19" ht="18" customHeight="1">
      <c r="A74" s="143"/>
      <c r="B74" s="144" t="s">
        <v>267</v>
      </c>
      <c r="C74" s="146" t="s">
        <v>73</v>
      </c>
      <c r="D74" s="145">
        <v>2.44</v>
      </c>
      <c r="E74" s="145">
        <v>0.02</v>
      </c>
      <c r="F74" s="145">
        <v>-0.02</v>
      </c>
      <c r="G74" s="146" t="s">
        <v>81</v>
      </c>
      <c r="H74" s="147"/>
      <c r="I74" s="148"/>
      <c r="J74" s="148"/>
      <c r="K74" s="149" t="str">
        <f t="shared" si="6"/>
        <v xml:space="preserve"> </v>
      </c>
      <c r="L74" s="149" t="str">
        <f t="shared" si="6"/>
        <v xml:space="preserve"> </v>
      </c>
      <c r="M74" s="149" t="str">
        <f t="shared" si="6"/>
        <v xml:space="preserve"> </v>
      </c>
      <c r="N74" s="150" t="str">
        <f t="shared" si="7"/>
        <v xml:space="preserve"> </v>
      </c>
      <c r="O74" s="151" t="str">
        <f t="shared" si="8"/>
        <v xml:space="preserve"> </v>
      </c>
      <c r="P74" s="152" t="str">
        <f t="shared" si="9"/>
        <v xml:space="preserve"> </v>
      </c>
      <c r="Q74" s="150" t="str">
        <f t="shared" si="10"/>
        <v/>
      </c>
      <c r="R74" s="150" t="str">
        <f t="shared" si="11"/>
        <v/>
      </c>
      <c r="S74" s="153"/>
    </row>
    <row r="75" spans="1:19" ht="18" customHeight="1">
      <c r="A75" s="143"/>
      <c r="B75" s="144" t="s">
        <v>268</v>
      </c>
      <c r="C75" s="146" t="s">
        <v>73</v>
      </c>
      <c r="D75" s="145">
        <v>1.31</v>
      </c>
      <c r="E75" s="145">
        <v>0.01</v>
      </c>
      <c r="F75" s="145">
        <v>-0.03</v>
      </c>
      <c r="G75" s="146" t="s">
        <v>81</v>
      </c>
      <c r="H75" s="147"/>
      <c r="I75" s="148"/>
      <c r="J75" s="148"/>
      <c r="K75" s="149" t="str">
        <f t="shared" si="6"/>
        <v xml:space="preserve"> </v>
      </c>
      <c r="L75" s="149" t="str">
        <f t="shared" si="6"/>
        <v xml:space="preserve"> </v>
      </c>
      <c r="M75" s="149" t="str">
        <f t="shared" si="6"/>
        <v xml:space="preserve"> </v>
      </c>
      <c r="N75" s="150" t="str">
        <f t="shared" si="7"/>
        <v xml:space="preserve"> </v>
      </c>
      <c r="O75" s="151" t="str">
        <f t="shared" si="8"/>
        <v xml:space="preserve"> </v>
      </c>
      <c r="P75" s="152" t="str">
        <f t="shared" si="9"/>
        <v xml:space="preserve"> </v>
      </c>
      <c r="Q75" s="150" t="str">
        <f t="shared" si="10"/>
        <v/>
      </c>
      <c r="R75" s="150" t="str">
        <f t="shared" si="11"/>
        <v/>
      </c>
      <c r="S75" s="153"/>
    </row>
    <row r="76" spans="1:19" ht="18" customHeight="1">
      <c r="A76" s="143"/>
      <c r="B76" s="144" t="s">
        <v>269</v>
      </c>
      <c r="C76" s="146" t="s">
        <v>73</v>
      </c>
      <c r="D76" s="145"/>
      <c r="E76" s="145">
        <v>7.4999999999999997E-2</v>
      </c>
      <c r="F76" s="145"/>
      <c r="G76" s="146" t="s">
        <v>81</v>
      </c>
      <c r="H76" s="147"/>
      <c r="I76" s="148"/>
      <c r="J76" s="148"/>
      <c r="K76" s="149" t="str">
        <f t="shared" si="6"/>
        <v xml:space="preserve"> </v>
      </c>
      <c r="L76" s="149" t="str">
        <f t="shared" si="6"/>
        <v xml:space="preserve"> </v>
      </c>
      <c r="M76" s="149" t="str">
        <f t="shared" si="6"/>
        <v xml:space="preserve"> </v>
      </c>
      <c r="N76" s="150" t="str">
        <f t="shared" si="7"/>
        <v xml:space="preserve"> </v>
      </c>
      <c r="O76" s="151" t="str">
        <f t="shared" si="8"/>
        <v xml:space="preserve"> </v>
      </c>
      <c r="P76" s="152" t="str">
        <f t="shared" si="9"/>
        <v xml:space="preserve"> </v>
      </c>
      <c r="Q76" s="150" t="str">
        <f t="shared" si="10"/>
        <v/>
      </c>
      <c r="R76" s="150" t="str">
        <f t="shared" si="11"/>
        <v/>
      </c>
      <c r="S76" s="153"/>
    </row>
    <row r="77" spans="1:19" ht="18" customHeight="1">
      <c r="A77" s="143"/>
      <c r="B77" s="144" t="s">
        <v>270</v>
      </c>
      <c r="C77" s="146" t="s">
        <v>73</v>
      </c>
      <c r="D77" s="145"/>
      <c r="E77" s="145">
        <v>7.4999999999999997E-2</v>
      </c>
      <c r="F77" s="145"/>
      <c r="G77" s="146" t="s">
        <v>81</v>
      </c>
      <c r="H77" s="147"/>
      <c r="I77" s="148"/>
      <c r="J77" s="148"/>
      <c r="K77" s="149" t="str">
        <f t="shared" si="6"/>
        <v xml:space="preserve"> </v>
      </c>
      <c r="L77" s="149" t="str">
        <f t="shared" si="6"/>
        <v xml:space="preserve"> </v>
      </c>
      <c r="M77" s="149" t="str">
        <f t="shared" si="6"/>
        <v xml:space="preserve"> </v>
      </c>
      <c r="N77" s="150" t="str">
        <f t="shared" si="7"/>
        <v xml:space="preserve"> </v>
      </c>
      <c r="O77" s="151" t="str">
        <f t="shared" si="8"/>
        <v xml:space="preserve"> </v>
      </c>
      <c r="P77" s="152" t="str">
        <f t="shared" si="9"/>
        <v xml:space="preserve"> </v>
      </c>
      <c r="Q77" s="150" t="str">
        <f t="shared" si="10"/>
        <v/>
      </c>
      <c r="R77" s="150" t="str">
        <f t="shared" si="11"/>
        <v/>
      </c>
      <c r="S77" s="153"/>
    </row>
    <row r="78" spans="1:19" ht="18" customHeight="1">
      <c r="A78" s="143"/>
      <c r="B78" s="144" t="s">
        <v>271</v>
      </c>
      <c r="C78" s="146" t="s">
        <v>73</v>
      </c>
      <c r="D78" s="145"/>
      <c r="E78" s="145">
        <v>7.4999999999999997E-2</v>
      </c>
      <c r="F78" s="145"/>
      <c r="G78" s="146" t="s">
        <v>81</v>
      </c>
      <c r="H78" s="147"/>
      <c r="I78" s="148"/>
      <c r="J78" s="148"/>
      <c r="K78" s="149" t="str">
        <f t="shared" si="6"/>
        <v xml:space="preserve"> </v>
      </c>
      <c r="L78" s="149" t="str">
        <f t="shared" si="6"/>
        <v xml:space="preserve"> </v>
      </c>
      <c r="M78" s="149" t="str">
        <f t="shared" si="6"/>
        <v xml:space="preserve"> </v>
      </c>
      <c r="N78" s="150" t="str">
        <f t="shared" si="7"/>
        <v xml:space="preserve"> </v>
      </c>
      <c r="O78" s="151" t="str">
        <f t="shared" si="8"/>
        <v xml:space="preserve"> </v>
      </c>
      <c r="P78" s="152" t="str">
        <f t="shared" si="9"/>
        <v xml:space="preserve"> </v>
      </c>
      <c r="Q78" s="150" t="str">
        <f t="shared" si="10"/>
        <v/>
      </c>
      <c r="R78" s="150" t="str">
        <f t="shared" si="11"/>
        <v/>
      </c>
      <c r="S78" s="153"/>
    </row>
    <row r="79" spans="1:19" ht="18" customHeight="1">
      <c r="A79" s="143"/>
      <c r="B79" s="144" t="s">
        <v>272</v>
      </c>
      <c r="C79" s="146" t="s">
        <v>73</v>
      </c>
      <c r="D79" s="145"/>
      <c r="E79" s="145">
        <v>7.4999999999999997E-2</v>
      </c>
      <c r="F79" s="145"/>
      <c r="G79" s="146" t="s">
        <v>81</v>
      </c>
      <c r="H79" s="147"/>
      <c r="I79" s="148"/>
      <c r="J79" s="148"/>
      <c r="K79" s="149" t="str">
        <f t="shared" si="6"/>
        <v xml:space="preserve"> </v>
      </c>
      <c r="L79" s="149" t="str">
        <f t="shared" si="6"/>
        <v xml:space="preserve"> </v>
      </c>
      <c r="M79" s="149" t="str">
        <f t="shared" si="6"/>
        <v xml:space="preserve"> </v>
      </c>
      <c r="N79" s="150" t="str">
        <f t="shared" si="7"/>
        <v xml:space="preserve"> </v>
      </c>
      <c r="O79" s="151" t="str">
        <f t="shared" si="8"/>
        <v xml:space="preserve"> </v>
      </c>
      <c r="P79" s="152" t="str">
        <f t="shared" si="9"/>
        <v xml:space="preserve"> </v>
      </c>
      <c r="Q79" s="150" t="str">
        <f t="shared" si="10"/>
        <v/>
      </c>
      <c r="R79" s="150" t="str">
        <f t="shared" si="11"/>
        <v/>
      </c>
      <c r="S79" s="153"/>
    </row>
    <row r="80" spans="1:19" ht="18" customHeight="1">
      <c r="A80" s="143"/>
      <c r="B80" s="144" t="s">
        <v>273</v>
      </c>
      <c r="C80" s="146" t="s">
        <v>73</v>
      </c>
      <c r="D80" s="145">
        <v>0.48499999999999999</v>
      </c>
      <c r="E80" s="145">
        <v>0.03</v>
      </c>
      <c r="F80" s="145">
        <v>-0.02</v>
      </c>
      <c r="G80" s="146" t="s">
        <v>81</v>
      </c>
      <c r="H80" s="147"/>
      <c r="I80" s="148"/>
      <c r="J80" s="148"/>
      <c r="K80" s="149" t="str">
        <f t="shared" si="6"/>
        <v xml:space="preserve"> </v>
      </c>
      <c r="L80" s="149" t="str">
        <f t="shared" si="6"/>
        <v xml:space="preserve"> </v>
      </c>
      <c r="M80" s="149" t="str">
        <f t="shared" si="6"/>
        <v xml:space="preserve"> </v>
      </c>
      <c r="N80" s="150" t="str">
        <f t="shared" si="7"/>
        <v xml:space="preserve"> </v>
      </c>
      <c r="O80" s="151" t="str">
        <f t="shared" si="8"/>
        <v xml:space="preserve"> </v>
      </c>
      <c r="P80" s="152" t="str">
        <f t="shared" si="9"/>
        <v xml:space="preserve"> </v>
      </c>
      <c r="Q80" s="150" t="str">
        <f t="shared" si="10"/>
        <v/>
      </c>
      <c r="R80" s="150" t="str">
        <f t="shared" si="11"/>
        <v/>
      </c>
      <c r="S80" s="153"/>
    </row>
    <row r="81" spans="1:19" ht="18" customHeight="1">
      <c r="A81" s="143"/>
      <c r="B81" s="144" t="s">
        <v>274</v>
      </c>
      <c r="C81" s="146" t="s">
        <v>73</v>
      </c>
      <c r="D81" s="145">
        <v>0.48499999999999999</v>
      </c>
      <c r="E81" s="145">
        <v>0.03</v>
      </c>
      <c r="F81" s="145">
        <v>-0.02</v>
      </c>
      <c r="G81" s="146" t="s">
        <v>81</v>
      </c>
      <c r="H81" s="147"/>
      <c r="I81" s="148"/>
      <c r="J81" s="148"/>
      <c r="K81" s="149" t="str">
        <f t="shared" si="6"/>
        <v xml:space="preserve"> </v>
      </c>
      <c r="L81" s="149" t="str">
        <f t="shared" si="6"/>
        <v xml:space="preserve"> </v>
      </c>
      <c r="M81" s="149" t="str">
        <f t="shared" si="6"/>
        <v xml:space="preserve"> </v>
      </c>
      <c r="N81" s="150" t="str">
        <f t="shared" si="7"/>
        <v xml:space="preserve"> </v>
      </c>
      <c r="O81" s="151" t="str">
        <f t="shared" si="8"/>
        <v xml:space="preserve"> </v>
      </c>
      <c r="P81" s="152" t="str">
        <f t="shared" si="9"/>
        <v xml:space="preserve"> </v>
      </c>
      <c r="Q81" s="150" t="str">
        <f t="shared" si="10"/>
        <v/>
      </c>
      <c r="R81" s="150" t="str">
        <f t="shared" si="11"/>
        <v/>
      </c>
      <c r="S81" s="153"/>
    </row>
    <row r="82" spans="1:19" ht="18" customHeight="1">
      <c r="A82" s="143"/>
      <c r="B82" s="144" t="s">
        <v>247</v>
      </c>
      <c r="C82" s="146" t="s">
        <v>73</v>
      </c>
      <c r="D82" s="145">
        <v>15.38</v>
      </c>
      <c r="E82" s="145">
        <v>0.02</v>
      </c>
      <c r="F82" s="145">
        <v>-0.03</v>
      </c>
      <c r="G82" s="146" t="s">
        <v>81</v>
      </c>
      <c r="H82" s="147"/>
      <c r="I82" s="148"/>
      <c r="J82" s="148"/>
      <c r="K82" s="149" t="str">
        <f t="shared" si="6"/>
        <v xml:space="preserve"> </v>
      </c>
      <c r="L82" s="149" t="str">
        <f t="shared" si="6"/>
        <v xml:space="preserve"> </v>
      </c>
      <c r="M82" s="149" t="str">
        <f t="shared" si="6"/>
        <v xml:space="preserve"> </v>
      </c>
      <c r="N82" s="150" t="str">
        <f t="shared" si="7"/>
        <v xml:space="preserve"> </v>
      </c>
      <c r="O82" s="151" t="str">
        <f t="shared" si="8"/>
        <v xml:space="preserve"> </v>
      </c>
      <c r="P82" s="152" t="str">
        <f t="shared" si="9"/>
        <v xml:space="preserve"> </v>
      </c>
      <c r="Q82" s="150" t="str">
        <f t="shared" si="10"/>
        <v/>
      </c>
      <c r="R82" s="150" t="str">
        <f t="shared" si="11"/>
        <v/>
      </c>
      <c r="S82" s="153"/>
    </row>
    <row r="83" spans="1:19" ht="18" customHeight="1">
      <c r="A83" s="143"/>
      <c r="B83" s="144" t="s">
        <v>275</v>
      </c>
      <c r="C83" s="146" t="s">
        <v>73</v>
      </c>
      <c r="D83" s="145">
        <v>0</v>
      </c>
      <c r="E83" s="145">
        <v>3</v>
      </c>
      <c r="F83" s="145">
        <v>-3</v>
      </c>
      <c r="G83" s="146" t="s">
        <v>81</v>
      </c>
      <c r="H83" s="147"/>
      <c r="I83" s="148"/>
      <c r="J83" s="148"/>
      <c r="K83" s="149" t="str">
        <f t="shared" si="6"/>
        <v xml:space="preserve"> </v>
      </c>
      <c r="L83" s="149" t="str">
        <f t="shared" si="6"/>
        <v xml:space="preserve"> </v>
      </c>
      <c r="M83" s="149" t="str">
        <f t="shared" si="6"/>
        <v xml:space="preserve"> </v>
      </c>
      <c r="N83" s="150" t="str">
        <f t="shared" si="7"/>
        <v xml:space="preserve"> </v>
      </c>
      <c r="O83" s="151" t="str">
        <f t="shared" si="8"/>
        <v xml:space="preserve"> </v>
      </c>
      <c r="P83" s="152" t="str">
        <f t="shared" si="9"/>
        <v xml:space="preserve"> </v>
      </c>
      <c r="Q83" s="150" t="str">
        <f t="shared" si="10"/>
        <v/>
      </c>
      <c r="R83" s="150" t="str">
        <f t="shared" si="11"/>
        <v/>
      </c>
      <c r="S83" s="153"/>
    </row>
    <row r="84" spans="1:19" ht="18" customHeight="1">
      <c r="A84" s="143"/>
      <c r="B84" s="144" t="s">
        <v>276</v>
      </c>
      <c r="C84" s="146" t="s">
        <v>73</v>
      </c>
      <c r="D84" s="145">
        <v>12.3</v>
      </c>
      <c r="E84" s="145">
        <v>0.17499999999999999</v>
      </c>
      <c r="F84" s="145">
        <v>-0.17499999999999999</v>
      </c>
      <c r="G84" s="146" t="s">
        <v>81</v>
      </c>
      <c r="H84" s="147"/>
      <c r="I84" s="148"/>
      <c r="J84" s="148"/>
      <c r="K84" s="149" t="str">
        <f t="shared" si="6"/>
        <v xml:space="preserve"> </v>
      </c>
      <c r="L84" s="149" t="str">
        <f t="shared" si="6"/>
        <v xml:space="preserve"> </v>
      </c>
      <c r="M84" s="149" t="str">
        <f t="shared" si="6"/>
        <v xml:space="preserve"> </v>
      </c>
      <c r="N84" s="150" t="str">
        <f t="shared" si="7"/>
        <v xml:space="preserve"> </v>
      </c>
      <c r="O84" s="151" t="str">
        <f t="shared" si="8"/>
        <v xml:space="preserve"> </v>
      </c>
      <c r="P84" s="152" t="str">
        <f t="shared" si="9"/>
        <v xml:space="preserve"> </v>
      </c>
      <c r="Q84" s="150" t="str">
        <f t="shared" si="10"/>
        <v/>
      </c>
      <c r="R84" s="150" t="str">
        <f t="shared" si="11"/>
        <v/>
      </c>
      <c r="S84" s="153"/>
    </row>
    <row r="85" spans="1:19" ht="18" customHeight="1">
      <c r="A85" s="143"/>
      <c r="B85" s="144" t="s">
        <v>277</v>
      </c>
      <c r="C85" s="146" t="s">
        <v>73</v>
      </c>
      <c r="D85" s="145">
        <v>1.1000000000000001</v>
      </c>
      <c r="E85" s="145">
        <v>0.3</v>
      </c>
      <c r="F85" s="145">
        <v>-0.3</v>
      </c>
      <c r="G85" s="146" t="s">
        <v>81</v>
      </c>
      <c r="H85" s="147"/>
      <c r="I85" s="148"/>
      <c r="J85" s="148"/>
      <c r="K85" s="149" t="str">
        <f t="shared" ref="K85:M124" si="12">IF(ISERR(H85/H85)=TRUE," ",H85-$D85)</f>
        <v xml:space="preserve"> </v>
      </c>
      <c r="L85" s="149" t="str">
        <f t="shared" si="12"/>
        <v xml:space="preserve"> </v>
      </c>
      <c r="M85" s="149" t="str">
        <f t="shared" si="12"/>
        <v xml:space="preserve"> </v>
      </c>
      <c r="N85" s="150" t="str">
        <f t="shared" si="7"/>
        <v xml:space="preserve"> </v>
      </c>
      <c r="O85" s="151" t="str">
        <f t="shared" si="8"/>
        <v xml:space="preserve"> </v>
      </c>
      <c r="P85" s="152" t="str">
        <f t="shared" si="9"/>
        <v xml:space="preserve"> </v>
      </c>
      <c r="Q85" s="150" t="str">
        <f t="shared" si="10"/>
        <v/>
      </c>
      <c r="R85" s="150" t="str">
        <f t="shared" si="11"/>
        <v/>
      </c>
      <c r="S85" s="153"/>
    </row>
    <row r="86" spans="1:19" ht="18" customHeight="1">
      <c r="A86" s="143"/>
      <c r="B86" s="144" t="s">
        <v>278</v>
      </c>
      <c r="C86" s="146" t="s">
        <v>73</v>
      </c>
      <c r="D86" s="145">
        <v>13.28</v>
      </c>
      <c r="E86" s="145">
        <v>0.02</v>
      </c>
      <c r="F86" s="145">
        <v>-0.02</v>
      </c>
      <c r="G86" s="146" t="s">
        <v>81</v>
      </c>
      <c r="H86" s="147"/>
      <c r="I86" s="148"/>
      <c r="J86" s="148"/>
      <c r="K86" s="149" t="str">
        <f t="shared" si="12"/>
        <v xml:space="preserve"> </v>
      </c>
      <c r="L86" s="149" t="str">
        <f t="shared" si="12"/>
        <v xml:space="preserve"> </v>
      </c>
      <c r="M86" s="149" t="str">
        <f t="shared" si="12"/>
        <v xml:space="preserve"> </v>
      </c>
      <c r="N86" s="150" t="str">
        <f t="shared" si="7"/>
        <v xml:space="preserve"> </v>
      </c>
      <c r="O86" s="151" t="str">
        <f t="shared" si="8"/>
        <v xml:space="preserve"> </v>
      </c>
      <c r="P86" s="152" t="str">
        <f t="shared" si="9"/>
        <v xml:space="preserve"> </v>
      </c>
      <c r="Q86" s="150" t="str">
        <f t="shared" si="10"/>
        <v/>
      </c>
      <c r="R86" s="150" t="str">
        <f t="shared" si="11"/>
        <v/>
      </c>
      <c r="S86" s="153"/>
    </row>
    <row r="87" spans="1:19" ht="18" customHeight="1">
      <c r="A87" s="143"/>
      <c r="B87" s="157" t="s">
        <v>248</v>
      </c>
      <c r="C87" s="146" t="s">
        <v>73</v>
      </c>
      <c r="D87" s="145">
        <v>0.23</v>
      </c>
      <c r="E87" s="145">
        <v>0.02</v>
      </c>
      <c r="F87" s="145">
        <v>-0.02</v>
      </c>
      <c r="G87" s="146" t="s">
        <v>81</v>
      </c>
      <c r="H87" s="147"/>
      <c r="I87" s="148"/>
      <c r="J87" s="148"/>
      <c r="K87" s="149" t="str">
        <f t="shared" si="12"/>
        <v xml:space="preserve"> </v>
      </c>
      <c r="L87" s="149" t="str">
        <f t="shared" si="12"/>
        <v xml:space="preserve"> </v>
      </c>
      <c r="M87" s="149" t="str">
        <f t="shared" si="12"/>
        <v xml:space="preserve"> </v>
      </c>
      <c r="N87" s="150" t="str">
        <f t="shared" si="7"/>
        <v xml:space="preserve"> </v>
      </c>
      <c r="O87" s="151" t="str">
        <f t="shared" si="8"/>
        <v xml:space="preserve"> </v>
      </c>
      <c r="P87" s="152" t="str">
        <f t="shared" si="9"/>
        <v xml:space="preserve"> </v>
      </c>
      <c r="Q87" s="150" t="str">
        <f t="shared" si="10"/>
        <v/>
      </c>
      <c r="R87" s="150" t="str">
        <f t="shared" si="11"/>
        <v/>
      </c>
      <c r="S87" s="153"/>
    </row>
    <row r="88" spans="1:19" ht="18" customHeight="1">
      <c r="A88" s="143"/>
      <c r="B88" s="157" t="s">
        <v>279</v>
      </c>
      <c r="C88" s="146" t="s">
        <v>73</v>
      </c>
      <c r="D88" s="145">
        <v>0.23</v>
      </c>
      <c r="E88" s="145">
        <v>0.02</v>
      </c>
      <c r="F88" s="145">
        <v>-0.02</v>
      </c>
      <c r="G88" s="146" t="s">
        <v>81</v>
      </c>
      <c r="H88" s="147"/>
      <c r="I88" s="148"/>
      <c r="J88" s="148"/>
      <c r="K88" s="149" t="str">
        <f t="shared" si="12"/>
        <v xml:space="preserve"> </v>
      </c>
      <c r="L88" s="149" t="str">
        <f t="shared" si="12"/>
        <v xml:space="preserve"> </v>
      </c>
      <c r="M88" s="149" t="str">
        <f t="shared" si="12"/>
        <v xml:space="preserve"> </v>
      </c>
      <c r="N88" s="150" t="str">
        <f t="shared" si="7"/>
        <v xml:space="preserve"> </v>
      </c>
      <c r="O88" s="151" t="str">
        <f t="shared" si="8"/>
        <v xml:space="preserve"> </v>
      </c>
      <c r="P88" s="152" t="str">
        <f t="shared" si="9"/>
        <v xml:space="preserve"> </v>
      </c>
      <c r="Q88" s="150" t="str">
        <f t="shared" si="10"/>
        <v/>
      </c>
      <c r="R88" s="150" t="str">
        <f t="shared" si="11"/>
        <v/>
      </c>
      <c r="S88" s="153"/>
    </row>
    <row r="89" spans="1:19" ht="18" customHeight="1">
      <c r="A89" s="143"/>
      <c r="B89" s="157" t="s">
        <v>280</v>
      </c>
      <c r="C89" s="146" t="s">
        <v>73</v>
      </c>
      <c r="D89" s="145">
        <v>12.1</v>
      </c>
      <c r="E89" s="145">
        <v>0.04</v>
      </c>
      <c r="F89" s="145">
        <v>-0.03</v>
      </c>
      <c r="G89" s="146" t="s">
        <v>81</v>
      </c>
      <c r="H89" s="147"/>
      <c r="I89" s="148"/>
      <c r="J89" s="148"/>
      <c r="K89" s="149" t="str">
        <f t="shared" si="12"/>
        <v xml:space="preserve"> </v>
      </c>
      <c r="L89" s="149" t="str">
        <f t="shared" si="12"/>
        <v xml:space="preserve"> </v>
      </c>
      <c r="M89" s="149" t="str">
        <f t="shared" si="12"/>
        <v xml:space="preserve"> </v>
      </c>
      <c r="N89" s="150" t="str">
        <f t="shared" si="7"/>
        <v xml:space="preserve"> </v>
      </c>
      <c r="O89" s="151" t="str">
        <f t="shared" si="8"/>
        <v xml:space="preserve"> </v>
      </c>
      <c r="P89" s="152" t="str">
        <f t="shared" si="9"/>
        <v xml:space="preserve"> </v>
      </c>
      <c r="Q89" s="150" t="str">
        <f t="shared" si="10"/>
        <v/>
      </c>
      <c r="R89" s="150" t="str">
        <f t="shared" si="11"/>
        <v/>
      </c>
      <c r="S89" s="153"/>
    </row>
    <row r="90" spans="1:19" ht="18" customHeight="1">
      <c r="A90" s="143"/>
      <c r="B90" s="157" t="s">
        <v>281</v>
      </c>
      <c r="C90" s="146" t="s">
        <v>73</v>
      </c>
      <c r="D90" s="145">
        <v>10.56</v>
      </c>
      <c r="E90" s="145">
        <v>0.04</v>
      </c>
      <c r="F90" s="145">
        <v>-0.03</v>
      </c>
      <c r="G90" s="146" t="s">
        <v>81</v>
      </c>
      <c r="H90" s="147"/>
      <c r="I90" s="148"/>
      <c r="J90" s="148"/>
      <c r="K90" s="149" t="str">
        <f t="shared" si="12"/>
        <v xml:space="preserve"> </v>
      </c>
      <c r="L90" s="149" t="str">
        <f t="shared" si="12"/>
        <v xml:space="preserve"> </v>
      </c>
      <c r="M90" s="149" t="str">
        <f t="shared" si="12"/>
        <v xml:space="preserve"> </v>
      </c>
      <c r="N90" s="150" t="str">
        <f t="shared" si="7"/>
        <v xml:space="preserve"> </v>
      </c>
      <c r="O90" s="151" t="str">
        <f t="shared" si="8"/>
        <v xml:space="preserve"> </v>
      </c>
      <c r="P90" s="152" t="str">
        <f t="shared" si="9"/>
        <v xml:space="preserve"> </v>
      </c>
      <c r="Q90" s="150" t="str">
        <f t="shared" si="10"/>
        <v/>
      </c>
      <c r="R90" s="150" t="str">
        <f t="shared" si="11"/>
        <v/>
      </c>
      <c r="S90" s="153"/>
    </row>
    <row r="91" spans="1:19" ht="18" customHeight="1">
      <c r="A91" s="143"/>
      <c r="B91" s="157" t="s">
        <v>282</v>
      </c>
      <c r="C91" s="146" t="s">
        <v>73</v>
      </c>
      <c r="D91" s="145">
        <v>2.56</v>
      </c>
      <c r="E91" s="145">
        <v>0.04</v>
      </c>
      <c r="F91" s="145">
        <v>-0.03</v>
      </c>
      <c r="G91" s="146" t="s">
        <v>81</v>
      </c>
      <c r="H91" s="147"/>
      <c r="I91" s="148"/>
      <c r="J91" s="148"/>
      <c r="K91" s="149" t="str">
        <f t="shared" si="12"/>
        <v xml:space="preserve"> </v>
      </c>
      <c r="L91" s="149" t="str">
        <f t="shared" si="12"/>
        <v xml:space="preserve"> </v>
      </c>
      <c r="M91" s="149" t="str">
        <f t="shared" si="12"/>
        <v xml:space="preserve"> </v>
      </c>
      <c r="N91" s="150" t="str">
        <f t="shared" si="7"/>
        <v xml:space="preserve"> </v>
      </c>
      <c r="O91" s="151" t="str">
        <f t="shared" si="8"/>
        <v xml:space="preserve"> </v>
      </c>
      <c r="P91" s="152" t="str">
        <f t="shared" si="9"/>
        <v xml:space="preserve"> </v>
      </c>
      <c r="Q91" s="150" t="str">
        <f t="shared" si="10"/>
        <v/>
      </c>
      <c r="R91" s="150" t="str">
        <f t="shared" si="11"/>
        <v/>
      </c>
      <c r="S91" s="153"/>
    </row>
    <row r="92" spans="1:19" ht="18" customHeight="1">
      <c r="A92" s="143"/>
      <c r="B92" s="157" t="s">
        <v>283</v>
      </c>
      <c r="C92" s="146" t="s">
        <v>73</v>
      </c>
      <c r="D92" s="145">
        <v>1.02</v>
      </c>
      <c r="E92" s="145">
        <v>0.04</v>
      </c>
      <c r="F92" s="145">
        <v>-0.03</v>
      </c>
      <c r="G92" s="146" t="s">
        <v>81</v>
      </c>
      <c r="H92" s="147"/>
      <c r="I92" s="148"/>
      <c r="J92" s="148"/>
      <c r="K92" s="149" t="str">
        <f t="shared" si="12"/>
        <v xml:space="preserve"> </v>
      </c>
      <c r="L92" s="149" t="str">
        <f t="shared" si="12"/>
        <v xml:space="preserve"> </v>
      </c>
      <c r="M92" s="149" t="str">
        <f t="shared" si="12"/>
        <v xml:space="preserve"> </v>
      </c>
      <c r="N92" s="150" t="str">
        <f t="shared" si="7"/>
        <v xml:space="preserve"> </v>
      </c>
      <c r="O92" s="151" t="str">
        <f t="shared" si="8"/>
        <v xml:space="preserve"> </v>
      </c>
      <c r="P92" s="152" t="str">
        <f t="shared" si="9"/>
        <v xml:space="preserve"> </v>
      </c>
      <c r="Q92" s="150" t="str">
        <f t="shared" si="10"/>
        <v/>
      </c>
      <c r="R92" s="150" t="str">
        <f t="shared" si="11"/>
        <v/>
      </c>
      <c r="S92" s="153"/>
    </row>
    <row r="93" spans="1:19" ht="18" customHeight="1">
      <c r="A93" s="143"/>
      <c r="B93" s="157" t="s">
        <v>284</v>
      </c>
      <c r="C93" s="146" t="s">
        <v>73</v>
      </c>
      <c r="D93" s="145">
        <v>1.02</v>
      </c>
      <c r="E93" s="145">
        <v>0.04</v>
      </c>
      <c r="F93" s="145">
        <v>-0.03</v>
      </c>
      <c r="G93" s="146" t="s">
        <v>81</v>
      </c>
      <c r="H93" s="147"/>
      <c r="I93" s="148"/>
      <c r="J93" s="148"/>
      <c r="K93" s="149" t="str">
        <f t="shared" si="12"/>
        <v xml:space="preserve"> </v>
      </c>
      <c r="L93" s="149" t="str">
        <f t="shared" si="12"/>
        <v xml:space="preserve"> </v>
      </c>
      <c r="M93" s="149" t="str">
        <f t="shared" si="12"/>
        <v xml:space="preserve"> </v>
      </c>
      <c r="N93" s="150" t="str">
        <f t="shared" si="7"/>
        <v xml:space="preserve"> </v>
      </c>
      <c r="O93" s="151" t="str">
        <f t="shared" si="8"/>
        <v xml:space="preserve"> </v>
      </c>
      <c r="P93" s="152" t="str">
        <f t="shared" si="9"/>
        <v xml:space="preserve"> </v>
      </c>
      <c r="Q93" s="150" t="str">
        <f t="shared" si="10"/>
        <v/>
      </c>
      <c r="R93" s="150" t="str">
        <f t="shared" si="11"/>
        <v/>
      </c>
      <c r="S93" s="153"/>
    </row>
    <row r="94" spans="1:19" ht="18" customHeight="1">
      <c r="A94" s="143"/>
      <c r="B94" s="157" t="s">
        <v>285</v>
      </c>
      <c r="C94" s="146" t="s">
        <v>73</v>
      </c>
      <c r="D94" s="145">
        <v>2.56</v>
      </c>
      <c r="E94" s="145">
        <v>0.04</v>
      </c>
      <c r="F94" s="145">
        <v>-0.03</v>
      </c>
      <c r="G94" s="146" t="s">
        <v>81</v>
      </c>
      <c r="H94" s="147"/>
      <c r="I94" s="148"/>
      <c r="J94" s="148"/>
      <c r="K94" s="149" t="str">
        <f t="shared" si="12"/>
        <v xml:space="preserve"> </v>
      </c>
      <c r="L94" s="149" t="str">
        <f t="shared" si="12"/>
        <v xml:space="preserve"> </v>
      </c>
      <c r="M94" s="149" t="str">
        <f t="shared" si="12"/>
        <v xml:space="preserve"> </v>
      </c>
      <c r="N94" s="150" t="str">
        <f t="shared" si="7"/>
        <v xml:space="preserve"> </v>
      </c>
      <c r="O94" s="151" t="str">
        <f t="shared" si="8"/>
        <v xml:space="preserve"> </v>
      </c>
      <c r="P94" s="152" t="str">
        <f t="shared" si="9"/>
        <v xml:space="preserve"> </v>
      </c>
      <c r="Q94" s="150" t="str">
        <f t="shared" si="10"/>
        <v/>
      </c>
      <c r="R94" s="150" t="str">
        <f t="shared" si="11"/>
        <v/>
      </c>
      <c r="S94" s="153"/>
    </row>
    <row r="95" spans="1:19" ht="18" customHeight="1">
      <c r="A95" s="143"/>
      <c r="B95" s="144" t="s">
        <v>286</v>
      </c>
      <c r="C95" s="146" t="s">
        <v>73</v>
      </c>
      <c r="D95" s="145">
        <v>14.63</v>
      </c>
      <c r="E95" s="145">
        <v>0.03</v>
      </c>
      <c r="F95" s="145">
        <v>-0.03</v>
      </c>
      <c r="G95" s="146" t="s">
        <v>81</v>
      </c>
      <c r="H95" s="147"/>
      <c r="I95" s="148"/>
      <c r="J95" s="148"/>
      <c r="K95" s="149" t="str">
        <f t="shared" si="12"/>
        <v xml:space="preserve"> </v>
      </c>
      <c r="L95" s="149" t="str">
        <f t="shared" si="12"/>
        <v xml:space="preserve"> </v>
      </c>
      <c r="M95" s="149" t="str">
        <f t="shared" si="12"/>
        <v xml:space="preserve"> </v>
      </c>
      <c r="N95" s="150" t="str">
        <f t="shared" si="7"/>
        <v xml:space="preserve"> </v>
      </c>
      <c r="O95" s="151" t="str">
        <f t="shared" si="8"/>
        <v xml:space="preserve"> </v>
      </c>
      <c r="P95" s="152" t="str">
        <f t="shared" si="9"/>
        <v xml:space="preserve"> </v>
      </c>
      <c r="Q95" s="150" t="str">
        <f t="shared" si="10"/>
        <v/>
      </c>
      <c r="R95" s="150" t="str">
        <f t="shared" si="11"/>
        <v/>
      </c>
      <c r="S95" s="153"/>
    </row>
    <row r="96" spans="1:19" ht="18" customHeight="1">
      <c r="A96" s="143"/>
      <c r="B96" s="144" t="s">
        <v>287</v>
      </c>
      <c r="C96" s="146" t="s">
        <v>73</v>
      </c>
      <c r="D96" s="145">
        <v>14.63</v>
      </c>
      <c r="E96" s="145">
        <v>0.03</v>
      </c>
      <c r="F96" s="145">
        <v>-0.03</v>
      </c>
      <c r="G96" s="146" t="s">
        <v>81</v>
      </c>
      <c r="H96" s="147"/>
      <c r="I96" s="148"/>
      <c r="J96" s="148"/>
      <c r="K96" s="149" t="str">
        <f t="shared" si="12"/>
        <v xml:space="preserve"> </v>
      </c>
      <c r="L96" s="149" t="str">
        <f t="shared" si="12"/>
        <v xml:space="preserve"> </v>
      </c>
      <c r="M96" s="149" t="str">
        <f t="shared" si="12"/>
        <v xml:space="preserve"> </v>
      </c>
      <c r="N96" s="150" t="str">
        <f t="shared" si="7"/>
        <v xml:space="preserve"> </v>
      </c>
      <c r="O96" s="151" t="str">
        <f t="shared" si="8"/>
        <v xml:space="preserve"> </v>
      </c>
      <c r="P96" s="152" t="str">
        <f t="shared" si="9"/>
        <v xml:space="preserve"> </v>
      </c>
      <c r="Q96" s="150" t="str">
        <f t="shared" si="10"/>
        <v/>
      </c>
      <c r="R96" s="150" t="str">
        <f t="shared" si="11"/>
        <v/>
      </c>
      <c r="S96" s="153"/>
    </row>
    <row r="97" spans="1:19" ht="18" customHeight="1">
      <c r="A97" s="143"/>
      <c r="B97" s="144" t="s">
        <v>288</v>
      </c>
      <c r="C97" s="146" t="s">
        <v>73</v>
      </c>
      <c r="D97" s="145">
        <v>7.2549999999999999</v>
      </c>
      <c r="E97" s="145">
        <v>0.03</v>
      </c>
      <c r="F97" s="145">
        <v>-0.03</v>
      </c>
      <c r="G97" s="146" t="s">
        <v>81</v>
      </c>
      <c r="H97" s="147"/>
      <c r="I97" s="148"/>
      <c r="J97" s="148"/>
      <c r="K97" s="149" t="str">
        <f t="shared" si="12"/>
        <v xml:space="preserve"> </v>
      </c>
      <c r="L97" s="149" t="str">
        <f t="shared" si="12"/>
        <v xml:space="preserve"> </v>
      </c>
      <c r="M97" s="149" t="str">
        <f t="shared" si="12"/>
        <v xml:space="preserve"> </v>
      </c>
      <c r="N97" s="150" t="str">
        <f t="shared" si="7"/>
        <v xml:space="preserve"> </v>
      </c>
      <c r="O97" s="151" t="str">
        <f t="shared" si="8"/>
        <v xml:space="preserve"> </v>
      </c>
      <c r="P97" s="152" t="str">
        <f t="shared" si="9"/>
        <v xml:space="preserve"> </v>
      </c>
      <c r="Q97" s="150" t="str">
        <f t="shared" si="10"/>
        <v/>
      </c>
      <c r="R97" s="150" t="str">
        <f t="shared" si="11"/>
        <v/>
      </c>
      <c r="S97" s="153"/>
    </row>
    <row r="98" spans="1:19" ht="18" customHeight="1">
      <c r="A98" s="143"/>
      <c r="B98" s="144" t="s">
        <v>289</v>
      </c>
      <c r="C98" s="146" t="s">
        <v>73</v>
      </c>
      <c r="D98" s="145">
        <v>0.89500000000000002</v>
      </c>
      <c r="E98" s="145">
        <v>0.03</v>
      </c>
      <c r="F98" s="145">
        <v>-0.03</v>
      </c>
      <c r="G98" s="146" t="s">
        <v>81</v>
      </c>
      <c r="H98" s="147"/>
      <c r="I98" s="148"/>
      <c r="J98" s="148"/>
      <c r="K98" s="149" t="str">
        <f t="shared" si="12"/>
        <v xml:space="preserve"> </v>
      </c>
      <c r="L98" s="149" t="str">
        <f t="shared" si="12"/>
        <v xml:space="preserve"> </v>
      </c>
      <c r="M98" s="149" t="str">
        <f t="shared" si="12"/>
        <v xml:space="preserve"> </v>
      </c>
      <c r="N98" s="150" t="str">
        <f t="shared" si="7"/>
        <v xml:space="preserve"> </v>
      </c>
      <c r="O98" s="151" t="str">
        <f t="shared" si="8"/>
        <v xml:space="preserve"> </v>
      </c>
      <c r="P98" s="152" t="str">
        <f t="shared" si="9"/>
        <v xml:space="preserve"> </v>
      </c>
      <c r="Q98" s="150" t="str">
        <f t="shared" si="10"/>
        <v/>
      </c>
      <c r="R98" s="150" t="str">
        <f t="shared" si="11"/>
        <v/>
      </c>
      <c r="S98" s="153"/>
    </row>
    <row r="99" spans="1:19" ht="18" customHeight="1">
      <c r="A99" s="143"/>
      <c r="B99" s="144" t="s">
        <v>290</v>
      </c>
      <c r="C99" s="146" t="s">
        <v>73</v>
      </c>
      <c r="D99" s="145">
        <v>0.89500000000000002</v>
      </c>
      <c r="E99" s="145">
        <v>0.03</v>
      </c>
      <c r="F99" s="145">
        <v>-0.03</v>
      </c>
      <c r="G99" s="146" t="s">
        <v>81</v>
      </c>
      <c r="H99" s="147"/>
      <c r="I99" s="148"/>
      <c r="J99" s="148"/>
      <c r="K99" s="149" t="str">
        <f t="shared" si="12"/>
        <v xml:space="preserve"> </v>
      </c>
      <c r="L99" s="149" t="str">
        <f t="shared" si="12"/>
        <v xml:space="preserve"> </v>
      </c>
      <c r="M99" s="149" t="str">
        <f t="shared" si="12"/>
        <v xml:space="preserve"> </v>
      </c>
      <c r="N99" s="150" t="str">
        <f t="shared" si="7"/>
        <v xml:space="preserve"> </v>
      </c>
      <c r="O99" s="151" t="str">
        <f t="shared" si="8"/>
        <v xml:space="preserve"> </v>
      </c>
      <c r="P99" s="152" t="str">
        <f t="shared" si="9"/>
        <v xml:space="preserve"> </v>
      </c>
      <c r="Q99" s="150" t="str">
        <f t="shared" si="10"/>
        <v/>
      </c>
      <c r="R99" s="150" t="str">
        <f t="shared" si="11"/>
        <v/>
      </c>
      <c r="S99" s="153"/>
    </row>
    <row r="100" spans="1:19" ht="18" customHeight="1">
      <c r="A100" s="143"/>
      <c r="B100" s="144" t="s">
        <v>291</v>
      </c>
      <c r="C100" s="146" t="s">
        <v>73</v>
      </c>
      <c r="D100" s="145">
        <v>5.96</v>
      </c>
      <c r="E100" s="145">
        <v>0.03</v>
      </c>
      <c r="F100" s="145">
        <v>-0.03</v>
      </c>
      <c r="G100" s="146" t="s">
        <v>81</v>
      </c>
      <c r="H100" s="147"/>
      <c r="I100" s="148"/>
      <c r="J100" s="148"/>
      <c r="K100" s="149" t="str">
        <f t="shared" si="12"/>
        <v xml:space="preserve"> </v>
      </c>
      <c r="L100" s="149" t="str">
        <f t="shared" si="12"/>
        <v xml:space="preserve"> </v>
      </c>
      <c r="M100" s="149" t="str">
        <f t="shared" si="12"/>
        <v xml:space="preserve"> </v>
      </c>
      <c r="N100" s="150" t="str">
        <f t="shared" si="7"/>
        <v xml:space="preserve"> </v>
      </c>
      <c r="O100" s="151" t="str">
        <f t="shared" si="8"/>
        <v xml:space="preserve"> </v>
      </c>
      <c r="P100" s="152" t="str">
        <f t="shared" si="9"/>
        <v xml:space="preserve"> </v>
      </c>
      <c r="Q100" s="150" t="str">
        <f t="shared" si="10"/>
        <v/>
      </c>
      <c r="R100" s="150" t="str">
        <f t="shared" si="11"/>
        <v/>
      </c>
      <c r="S100" s="153"/>
    </row>
    <row r="101" spans="1:19" ht="18" customHeight="1">
      <c r="A101" s="143"/>
      <c r="B101" s="144" t="s">
        <v>250</v>
      </c>
      <c r="C101" s="146" t="s">
        <v>73</v>
      </c>
      <c r="D101" s="145">
        <v>1.5049999999999999</v>
      </c>
      <c r="E101" s="145">
        <v>0.03</v>
      </c>
      <c r="F101" s="145">
        <v>-0.03</v>
      </c>
      <c r="G101" s="146" t="s">
        <v>81</v>
      </c>
      <c r="H101" s="147"/>
      <c r="I101" s="148"/>
      <c r="J101" s="148"/>
      <c r="K101" s="149" t="str">
        <f t="shared" si="12"/>
        <v xml:space="preserve"> </v>
      </c>
      <c r="L101" s="149" t="str">
        <f t="shared" si="12"/>
        <v xml:space="preserve"> </v>
      </c>
      <c r="M101" s="149" t="str">
        <f t="shared" si="12"/>
        <v xml:space="preserve"> </v>
      </c>
      <c r="N101" s="150" t="str">
        <f t="shared" si="7"/>
        <v xml:space="preserve"> </v>
      </c>
      <c r="O101" s="151" t="str">
        <f t="shared" si="8"/>
        <v xml:space="preserve"> </v>
      </c>
      <c r="P101" s="152" t="str">
        <f t="shared" si="9"/>
        <v xml:space="preserve"> </v>
      </c>
      <c r="Q101" s="150" t="str">
        <f t="shared" si="10"/>
        <v/>
      </c>
      <c r="R101" s="150" t="str">
        <f t="shared" si="11"/>
        <v/>
      </c>
      <c r="S101" s="153"/>
    </row>
    <row r="102" spans="1:19" ht="18" customHeight="1">
      <c r="A102" s="143"/>
      <c r="B102" s="144" t="s">
        <v>292</v>
      </c>
      <c r="C102" s="146" t="s">
        <v>73</v>
      </c>
      <c r="D102" s="145">
        <v>1.5049999999999999</v>
      </c>
      <c r="E102" s="145">
        <v>0.03</v>
      </c>
      <c r="F102" s="145">
        <v>-0.03</v>
      </c>
      <c r="G102" s="146" t="s">
        <v>81</v>
      </c>
      <c r="H102" s="147"/>
      <c r="I102" s="148"/>
      <c r="J102" s="148"/>
      <c r="K102" s="149" t="str">
        <f t="shared" si="12"/>
        <v xml:space="preserve"> </v>
      </c>
      <c r="L102" s="149" t="str">
        <f t="shared" si="12"/>
        <v xml:space="preserve"> </v>
      </c>
      <c r="M102" s="149" t="str">
        <f t="shared" si="12"/>
        <v xml:space="preserve"> </v>
      </c>
      <c r="N102" s="150" t="str">
        <f t="shared" si="7"/>
        <v xml:space="preserve"> </v>
      </c>
      <c r="O102" s="151" t="str">
        <f t="shared" si="8"/>
        <v xml:space="preserve"> </v>
      </c>
      <c r="P102" s="152" t="str">
        <f t="shared" si="9"/>
        <v xml:space="preserve"> </v>
      </c>
      <c r="Q102" s="150" t="str">
        <f t="shared" si="10"/>
        <v/>
      </c>
      <c r="R102" s="150" t="str">
        <f t="shared" si="11"/>
        <v/>
      </c>
      <c r="S102" s="153"/>
    </row>
    <row r="103" spans="1:19" ht="18" customHeight="1">
      <c r="A103" s="143"/>
      <c r="B103" s="144" t="s">
        <v>252</v>
      </c>
      <c r="C103" s="146" t="s">
        <v>73</v>
      </c>
      <c r="D103" s="145">
        <v>14</v>
      </c>
      <c r="E103" s="145">
        <v>0.03</v>
      </c>
      <c r="F103" s="145">
        <v>-0.03</v>
      </c>
      <c r="G103" s="146" t="s">
        <v>81</v>
      </c>
      <c r="H103" s="147"/>
      <c r="I103" s="148"/>
      <c r="J103" s="148"/>
      <c r="K103" s="149" t="str">
        <f t="shared" si="12"/>
        <v xml:space="preserve"> </v>
      </c>
      <c r="L103" s="149" t="str">
        <f t="shared" si="12"/>
        <v xml:space="preserve"> </v>
      </c>
      <c r="M103" s="149" t="str">
        <f t="shared" si="12"/>
        <v xml:space="preserve"> </v>
      </c>
      <c r="N103" s="150" t="str">
        <f t="shared" si="7"/>
        <v xml:space="preserve"> </v>
      </c>
      <c r="O103" s="151" t="str">
        <f t="shared" si="8"/>
        <v xml:space="preserve"> </v>
      </c>
      <c r="P103" s="152" t="str">
        <f t="shared" si="9"/>
        <v xml:space="preserve"> </v>
      </c>
      <c r="Q103" s="150" t="str">
        <f t="shared" si="10"/>
        <v/>
      </c>
      <c r="R103" s="150" t="str">
        <f t="shared" si="11"/>
        <v/>
      </c>
      <c r="S103" s="153"/>
    </row>
    <row r="104" spans="1:19" ht="18" customHeight="1">
      <c r="A104" s="143"/>
      <c r="B104" s="144" t="s">
        <v>293</v>
      </c>
      <c r="C104" s="146" t="s">
        <v>73</v>
      </c>
      <c r="D104" s="145">
        <v>14</v>
      </c>
      <c r="E104" s="145">
        <v>0.03</v>
      </c>
      <c r="F104" s="145">
        <v>-0.03</v>
      </c>
      <c r="G104" s="146" t="s">
        <v>81</v>
      </c>
      <c r="H104" s="147"/>
      <c r="I104" s="148"/>
      <c r="J104" s="148"/>
      <c r="K104" s="149" t="str">
        <f t="shared" si="12"/>
        <v xml:space="preserve"> </v>
      </c>
      <c r="L104" s="149" t="str">
        <f t="shared" si="12"/>
        <v xml:space="preserve"> </v>
      </c>
      <c r="M104" s="149" t="str">
        <f t="shared" si="12"/>
        <v xml:space="preserve"> </v>
      </c>
      <c r="N104" s="150" t="str">
        <f t="shared" si="7"/>
        <v xml:space="preserve"> </v>
      </c>
      <c r="O104" s="151" t="str">
        <f t="shared" si="8"/>
        <v xml:space="preserve"> </v>
      </c>
      <c r="P104" s="152" t="str">
        <f t="shared" si="9"/>
        <v xml:space="preserve"> </v>
      </c>
      <c r="Q104" s="150" t="str">
        <f t="shared" si="10"/>
        <v/>
      </c>
      <c r="R104" s="150" t="str">
        <f t="shared" si="11"/>
        <v/>
      </c>
      <c r="S104" s="153"/>
    </row>
    <row r="105" spans="1:19" ht="18" customHeight="1">
      <c r="A105" s="143"/>
      <c r="B105" s="144" t="s">
        <v>294</v>
      </c>
      <c r="C105" s="146" t="s">
        <v>73</v>
      </c>
      <c r="D105" s="145">
        <v>-0.45</v>
      </c>
      <c r="E105" s="145">
        <v>0.01</v>
      </c>
      <c r="F105" s="145">
        <v>-0.01</v>
      </c>
      <c r="G105" s="146" t="s">
        <v>140</v>
      </c>
      <c r="H105" s="147"/>
      <c r="I105" s="148"/>
      <c r="J105" s="148"/>
      <c r="K105" s="149" t="str">
        <f t="shared" si="12"/>
        <v xml:space="preserve"> </v>
      </c>
      <c r="L105" s="149" t="str">
        <f t="shared" si="12"/>
        <v xml:space="preserve"> </v>
      </c>
      <c r="M105" s="149" t="str">
        <f t="shared" si="12"/>
        <v xml:space="preserve"> </v>
      </c>
      <c r="N105" s="150" t="str">
        <f t="shared" si="7"/>
        <v xml:space="preserve"> </v>
      </c>
      <c r="O105" s="151" t="str">
        <f t="shared" si="8"/>
        <v xml:space="preserve"> </v>
      </c>
      <c r="P105" s="152" t="str">
        <f t="shared" si="9"/>
        <v xml:space="preserve"> </v>
      </c>
      <c r="Q105" s="150" t="str">
        <f t="shared" si="10"/>
        <v/>
      </c>
      <c r="R105" s="150" t="str">
        <f t="shared" si="11"/>
        <v/>
      </c>
      <c r="S105" s="153"/>
    </row>
    <row r="106" spans="1:19" ht="18" customHeight="1">
      <c r="A106" s="143"/>
      <c r="B106" s="144" t="s">
        <v>295</v>
      </c>
      <c r="C106" s="146" t="s">
        <v>73</v>
      </c>
      <c r="D106" s="145">
        <v>0</v>
      </c>
      <c r="E106" s="145">
        <v>3.0000000000000001E-3</v>
      </c>
      <c r="F106" s="145">
        <v>0</v>
      </c>
      <c r="G106" s="146" t="s">
        <v>140</v>
      </c>
      <c r="H106" s="147"/>
      <c r="I106" s="148"/>
      <c r="J106" s="148"/>
      <c r="K106" s="149" t="str">
        <f t="shared" si="12"/>
        <v xml:space="preserve"> </v>
      </c>
      <c r="L106" s="149" t="str">
        <f t="shared" si="12"/>
        <v xml:space="preserve"> </v>
      </c>
      <c r="M106" s="149" t="str">
        <f t="shared" si="12"/>
        <v xml:space="preserve"> </v>
      </c>
      <c r="N106" s="150" t="str">
        <f t="shared" si="7"/>
        <v xml:space="preserve"> </v>
      </c>
      <c r="O106" s="151" t="str">
        <f t="shared" si="8"/>
        <v xml:space="preserve"> </v>
      </c>
      <c r="P106" s="152" t="str">
        <f t="shared" si="9"/>
        <v xml:space="preserve"> </v>
      </c>
      <c r="Q106" s="150" t="str">
        <f t="shared" si="10"/>
        <v/>
      </c>
      <c r="R106" s="150" t="str">
        <f t="shared" si="11"/>
        <v/>
      </c>
      <c r="S106" s="153"/>
    </row>
    <row r="107" spans="1:19" ht="18" customHeight="1">
      <c r="A107" s="143"/>
      <c r="B107" s="144" t="s">
        <v>296</v>
      </c>
      <c r="C107" s="146" t="s">
        <v>73</v>
      </c>
      <c r="D107" s="145">
        <v>0</v>
      </c>
      <c r="E107" s="145">
        <v>5.0000000000000001E-3</v>
      </c>
      <c r="F107" s="145">
        <v>0</v>
      </c>
      <c r="G107" s="146" t="s">
        <v>140</v>
      </c>
      <c r="H107" s="147"/>
      <c r="I107" s="148"/>
      <c r="J107" s="148"/>
      <c r="K107" s="149" t="str">
        <f t="shared" si="12"/>
        <v xml:space="preserve"> </v>
      </c>
      <c r="L107" s="149" t="str">
        <f t="shared" si="12"/>
        <v xml:space="preserve"> </v>
      </c>
      <c r="M107" s="149" t="str">
        <f t="shared" si="12"/>
        <v xml:space="preserve"> </v>
      </c>
      <c r="N107" s="150" t="str">
        <f t="shared" si="7"/>
        <v xml:space="preserve"> </v>
      </c>
      <c r="O107" s="151" t="str">
        <f t="shared" si="8"/>
        <v xml:space="preserve"> </v>
      </c>
      <c r="P107" s="152" t="str">
        <f t="shared" si="9"/>
        <v xml:space="preserve"> </v>
      </c>
      <c r="Q107" s="150" t="str">
        <f t="shared" si="10"/>
        <v/>
      </c>
      <c r="R107" s="150" t="str">
        <f t="shared" si="11"/>
        <v/>
      </c>
      <c r="S107" s="153"/>
    </row>
    <row r="108" spans="1:19" ht="18" customHeight="1">
      <c r="A108" s="143"/>
      <c r="B108" s="158" t="s">
        <v>297</v>
      </c>
      <c r="C108" s="146" t="s">
        <v>73</v>
      </c>
      <c r="D108" s="145">
        <v>0</v>
      </c>
      <c r="E108" s="145">
        <v>8.9999999999999993E-3</v>
      </c>
      <c r="F108" s="145">
        <v>0</v>
      </c>
      <c r="G108" s="146" t="s">
        <v>140</v>
      </c>
      <c r="H108" s="147"/>
      <c r="I108" s="148"/>
      <c r="J108" s="148"/>
      <c r="K108" s="149" t="str">
        <f t="shared" si="12"/>
        <v xml:space="preserve"> </v>
      </c>
      <c r="L108" s="149" t="str">
        <f t="shared" si="12"/>
        <v xml:space="preserve"> </v>
      </c>
      <c r="M108" s="149" t="str">
        <f t="shared" si="12"/>
        <v xml:space="preserve"> </v>
      </c>
      <c r="N108" s="150" t="str">
        <f t="shared" si="7"/>
        <v xml:space="preserve"> </v>
      </c>
      <c r="O108" s="151" t="str">
        <f t="shared" si="8"/>
        <v xml:space="preserve"> </v>
      </c>
      <c r="P108" s="152" t="str">
        <f t="shared" si="9"/>
        <v xml:space="preserve"> </v>
      </c>
      <c r="Q108" s="150" t="str">
        <f t="shared" si="10"/>
        <v/>
      </c>
      <c r="R108" s="150" t="str">
        <f t="shared" si="11"/>
        <v/>
      </c>
      <c r="S108" s="153"/>
    </row>
    <row r="109" spans="1:19" ht="18" customHeight="1">
      <c r="A109" s="143"/>
      <c r="B109" s="158" t="s">
        <v>298</v>
      </c>
      <c r="C109" s="146" t="s">
        <v>73</v>
      </c>
      <c r="D109" s="145">
        <v>0</v>
      </c>
      <c r="E109" s="145">
        <v>1.2E-2</v>
      </c>
      <c r="F109" s="145">
        <v>0</v>
      </c>
      <c r="G109" s="146" t="s">
        <v>140</v>
      </c>
      <c r="H109" s="147"/>
      <c r="I109" s="148"/>
      <c r="J109" s="148"/>
      <c r="K109" s="149" t="str">
        <f t="shared" si="12"/>
        <v xml:space="preserve"> </v>
      </c>
      <c r="L109" s="149" t="str">
        <f t="shared" si="12"/>
        <v xml:space="preserve"> </v>
      </c>
      <c r="M109" s="149" t="str">
        <f t="shared" si="12"/>
        <v xml:space="preserve"> </v>
      </c>
      <c r="N109" s="150" t="str">
        <f t="shared" si="7"/>
        <v xml:space="preserve"> </v>
      </c>
      <c r="O109" s="151" t="str">
        <f t="shared" si="8"/>
        <v xml:space="preserve"> </v>
      </c>
      <c r="P109" s="152" t="str">
        <f t="shared" si="9"/>
        <v xml:space="preserve"> </v>
      </c>
      <c r="Q109" s="150" t="str">
        <f t="shared" si="10"/>
        <v/>
      </c>
      <c r="R109" s="150" t="str">
        <f t="shared" si="11"/>
        <v/>
      </c>
      <c r="S109" s="153"/>
    </row>
    <row r="110" spans="1:19" ht="18" customHeight="1">
      <c r="A110" s="143"/>
      <c r="B110" s="158" t="s">
        <v>299</v>
      </c>
      <c r="C110" s="146" t="s">
        <v>73</v>
      </c>
      <c r="D110" s="145">
        <v>-0.45</v>
      </c>
      <c r="E110" s="145">
        <v>0.01</v>
      </c>
      <c r="F110" s="145">
        <v>-0.01</v>
      </c>
      <c r="G110" s="146" t="s">
        <v>140</v>
      </c>
      <c r="H110" s="147"/>
      <c r="I110" s="148"/>
      <c r="J110" s="148"/>
      <c r="K110" s="149" t="str">
        <f t="shared" si="12"/>
        <v xml:space="preserve"> </v>
      </c>
      <c r="L110" s="149" t="str">
        <f t="shared" si="12"/>
        <v xml:space="preserve"> </v>
      </c>
      <c r="M110" s="149" t="str">
        <f t="shared" si="12"/>
        <v xml:space="preserve"> </v>
      </c>
      <c r="N110" s="150" t="str">
        <f t="shared" si="7"/>
        <v xml:space="preserve"> </v>
      </c>
      <c r="O110" s="151" t="str">
        <f t="shared" si="8"/>
        <v xml:space="preserve"> </v>
      </c>
      <c r="P110" s="152" t="str">
        <f t="shared" si="9"/>
        <v xml:space="preserve"> </v>
      </c>
      <c r="Q110" s="150" t="str">
        <f t="shared" si="10"/>
        <v/>
      </c>
      <c r="R110" s="150" t="str">
        <f t="shared" si="11"/>
        <v/>
      </c>
      <c r="S110" s="153"/>
    </row>
    <row r="111" spans="1:19" ht="18" customHeight="1">
      <c r="A111" s="143"/>
      <c r="B111" s="158" t="s">
        <v>300</v>
      </c>
      <c r="C111" s="146" t="s">
        <v>73</v>
      </c>
      <c r="D111" s="145">
        <v>0</v>
      </c>
      <c r="E111" s="145">
        <v>3.0000000000000001E-3</v>
      </c>
      <c r="F111" s="145">
        <v>0</v>
      </c>
      <c r="G111" s="146" t="s">
        <v>140</v>
      </c>
      <c r="H111" s="147"/>
      <c r="I111" s="148"/>
      <c r="J111" s="148"/>
      <c r="K111" s="149" t="str">
        <f t="shared" si="12"/>
        <v xml:space="preserve"> </v>
      </c>
      <c r="L111" s="149" t="str">
        <f t="shared" si="12"/>
        <v xml:space="preserve"> </v>
      </c>
      <c r="M111" s="149" t="str">
        <f t="shared" si="12"/>
        <v xml:space="preserve"> </v>
      </c>
      <c r="N111" s="150" t="str">
        <f t="shared" si="7"/>
        <v xml:space="preserve"> </v>
      </c>
      <c r="O111" s="151" t="str">
        <f t="shared" si="8"/>
        <v xml:space="preserve"> </v>
      </c>
      <c r="P111" s="152" t="str">
        <f t="shared" si="9"/>
        <v xml:space="preserve"> </v>
      </c>
      <c r="Q111" s="150" t="str">
        <f t="shared" si="10"/>
        <v/>
      </c>
      <c r="R111" s="150" t="str">
        <f t="shared" si="11"/>
        <v/>
      </c>
      <c r="S111" s="153"/>
    </row>
    <row r="112" spans="1:19" ht="18" customHeight="1">
      <c r="A112" s="143"/>
      <c r="B112" s="158" t="s">
        <v>301</v>
      </c>
      <c r="C112" s="146" t="s">
        <v>73</v>
      </c>
      <c r="D112" s="145">
        <v>0</v>
      </c>
      <c r="E112" s="145">
        <v>5.0000000000000001E-3</v>
      </c>
      <c r="F112" s="145">
        <v>0</v>
      </c>
      <c r="G112" s="146" t="s">
        <v>140</v>
      </c>
      <c r="H112" s="147"/>
      <c r="I112" s="148"/>
      <c r="J112" s="148"/>
      <c r="K112" s="149" t="str">
        <f t="shared" si="12"/>
        <v xml:space="preserve"> </v>
      </c>
      <c r="L112" s="149" t="str">
        <f t="shared" si="12"/>
        <v xml:space="preserve"> </v>
      </c>
      <c r="M112" s="149" t="str">
        <f t="shared" si="12"/>
        <v xml:space="preserve"> </v>
      </c>
      <c r="N112" s="150" t="str">
        <f t="shared" si="7"/>
        <v xml:space="preserve"> </v>
      </c>
      <c r="O112" s="151" t="str">
        <f t="shared" si="8"/>
        <v xml:space="preserve"> </v>
      </c>
      <c r="P112" s="152" t="str">
        <f t="shared" si="9"/>
        <v xml:space="preserve"> </v>
      </c>
      <c r="Q112" s="150" t="str">
        <f t="shared" si="10"/>
        <v/>
      </c>
      <c r="R112" s="150" t="str">
        <f t="shared" si="11"/>
        <v/>
      </c>
      <c r="S112" s="153"/>
    </row>
    <row r="113" spans="1:19" ht="18" customHeight="1">
      <c r="A113" s="143"/>
      <c r="B113" s="158" t="s">
        <v>302</v>
      </c>
      <c r="C113" s="146" t="s">
        <v>73</v>
      </c>
      <c r="D113" s="145">
        <v>0</v>
      </c>
      <c r="E113" s="145">
        <v>8.9999999999999993E-3</v>
      </c>
      <c r="F113" s="145">
        <v>0</v>
      </c>
      <c r="G113" s="146" t="s">
        <v>140</v>
      </c>
      <c r="H113" s="147"/>
      <c r="I113" s="148"/>
      <c r="J113" s="148"/>
      <c r="K113" s="149" t="str">
        <f t="shared" si="12"/>
        <v xml:space="preserve"> </v>
      </c>
      <c r="L113" s="149" t="str">
        <f t="shared" si="12"/>
        <v xml:space="preserve"> </v>
      </c>
      <c r="M113" s="149" t="str">
        <f t="shared" si="12"/>
        <v xml:space="preserve"> </v>
      </c>
      <c r="N113" s="150" t="str">
        <f t="shared" si="7"/>
        <v xml:space="preserve"> </v>
      </c>
      <c r="O113" s="151" t="str">
        <f t="shared" si="8"/>
        <v xml:space="preserve"> </v>
      </c>
      <c r="P113" s="152" t="str">
        <f t="shared" si="9"/>
        <v xml:space="preserve"> </v>
      </c>
      <c r="Q113" s="150" t="str">
        <f t="shared" si="10"/>
        <v/>
      </c>
      <c r="R113" s="150" t="str">
        <f t="shared" si="11"/>
        <v/>
      </c>
      <c r="S113" s="153"/>
    </row>
    <row r="114" spans="1:19" ht="18" customHeight="1">
      <c r="A114" s="143"/>
      <c r="B114" s="158" t="s">
        <v>303</v>
      </c>
      <c r="C114" s="146" t="s">
        <v>73</v>
      </c>
      <c r="D114" s="145">
        <v>0</v>
      </c>
      <c r="E114" s="145">
        <v>1.2E-2</v>
      </c>
      <c r="F114" s="145">
        <v>0</v>
      </c>
      <c r="G114" s="146" t="s">
        <v>140</v>
      </c>
      <c r="H114" s="147"/>
      <c r="I114" s="148"/>
      <c r="J114" s="148"/>
      <c r="K114" s="149" t="str">
        <f t="shared" si="12"/>
        <v xml:space="preserve"> </v>
      </c>
      <c r="L114" s="149" t="str">
        <f t="shared" si="12"/>
        <v xml:space="preserve"> </v>
      </c>
      <c r="M114" s="149" t="str">
        <f t="shared" si="12"/>
        <v xml:space="preserve"> </v>
      </c>
      <c r="N114" s="150" t="str">
        <f t="shared" si="7"/>
        <v xml:space="preserve"> </v>
      </c>
      <c r="O114" s="151" t="str">
        <f t="shared" si="8"/>
        <v xml:space="preserve"> </v>
      </c>
      <c r="P114" s="152" t="str">
        <f t="shared" si="9"/>
        <v xml:space="preserve"> </v>
      </c>
      <c r="Q114" s="150" t="str">
        <f t="shared" si="10"/>
        <v/>
      </c>
      <c r="R114" s="150" t="str">
        <f t="shared" si="11"/>
        <v/>
      </c>
      <c r="S114" s="153"/>
    </row>
    <row r="115" spans="1:19" ht="18" customHeight="1">
      <c r="A115" s="143"/>
      <c r="B115" s="158" t="s">
        <v>304</v>
      </c>
      <c r="C115" s="146" t="s">
        <v>73</v>
      </c>
      <c r="D115" s="145">
        <v>-0.45</v>
      </c>
      <c r="E115" s="145">
        <v>0.01</v>
      </c>
      <c r="F115" s="145">
        <v>-0.01</v>
      </c>
      <c r="G115" s="146" t="s">
        <v>140</v>
      </c>
      <c r="H115" s="147"/>
      <c r="I115" s="148"/>
      <c r="J115" s="148"/>
      <c r="K115" s="149" t="str">
        <f t="shared" si="12"/>
        <v xml:space="preserve"> </v>
      </c>
      <c r="L115" s="149" t="str">
        <f t="shared" si="12"/>
        <v xml:space="preserve"> </v>
      </c>
      <c r="M115" s="149" t="str">
        <f t="shared" si="12"/>
        <v xml:space="preserve"> </v>
      </c>
      <c r="N115" s="150" t="str">
        <f t="shared" si="7"/>
        <v xml:space="preserve"> </v>
      </c>
      <c r="O115" s="151" t="str">
        <f t="shared" si="8"/>
        <v xml:space="preserve"> </v>
      </c>
      <c r="P115" s="152" t="str">
        <f t="shared" si="9"/>
        <v xml:space="preserve"> </v>
      </c>
      <c r="Q115" s="150" t="str">
        <f t="shared" si="10"/>
        <v/>
      </c>
      <c r="R115" s="150" t="str">
        <f t="shared" si="11"/>
        <v/>
      </c>
      <c r="S115" s="153"/>
    </row>
    <row r="116" spans="1:19" ht="18" customHeight="1">
      <c r="A116" s="143"/>
      <c r="B116" s="158" t="s">
        <v>305</v>
      </c>
      <c r="C116" s="146" t="s">
        <v>73</v>
      </c>
      <c r="D116" s="145">
        <v>0</v>
      </c>
      <c r="E116" s="145">
        <v>0</v>
      </c>
      <c r="F116" s="145">
        <v>-3.0000000000000001E-3</v>
      </c>
      <c r="G116" s="146" t="s">
        <v>140</v>
      </c>
      <c r="H116" s="147"/>
      <c r="I116" s="148"/>
      <c r="J116" s="148"/>
      <c r="K116" s="149" t="str">
        <f t="shared" si="12"/>
        <v xml:space="preserve"> </v>
      </c>
      <c r="L116" s="149" t="str">
        <f t="shared" si="12"/>
        <v xml:space="preserve"> </v>
      </c>
      <c r="M116" s="149" t="str">
        <f t="shared" si="12"/>
        <v xml:space="preserve"> </v>
      </c>
      <c r="N116" s="150" t="str">
        <f t="shared" si="7"/>
        <v xml:space="preserve"> </v>
      </c>
      <c r="O116" s="151" t="str">
        <f t="shared" si="8"/>
        <v xml:space="preserve"> </v>
      </c>
      <c r="P116" s="152" t="str">
        <f t="shared" si="9"/>
        <v xml:space="preserve"> </v>
      </c>
      <c r="Q116" s="150" t="str">
        <f t="shared" si="10"/>
        <v/>
      </c>
      <c r="R116" s="150" t="str">
        <f t="shared" si="11"/>
        <v/>
      </c>
      <c r="S116" s="153"/>
    </row>
    <row r="117" spans="1:19" ht="18" customHeight="1">
      <c r="A117" s="143"/>
      <c r="B117" s="158" t="s">
        <v>306</v>
      </c>
      <c r="C117" s="146" t="s">
        <v>73</v>
      </c>
      <c r="D117" s="145">
        <v>0</v>
      </c>
      <c r="E117" s="145">
        <v>0</v>
      </c>
      <c r="F117" s="145">
        <v>-5.0000000000000001E-3</v>
      </c>
      <c r="G117" s="146" t="s">
        <v>140</v>
      </c>
      <c r="H117" s="147"/>
      <c r="I117" s="148"/>
      <c r="J117" s="148"/>
      <c r="K117" s="149" t="str">
        <f t="shared" si="12"/>
        <v xml:space="preserve"> </v>
      </c>
      <c r="L117" s="149" t="str">
        <f t="shared" si="12"/>
        <v xml:space="preserve"> </v>
      </c>
      <c r="M117" s="149" t="str">
        <f t="shared" si="12"/>
        <v xml:space="preserve"> </v>
      </c>
      <c r="N117" s="150" t="str">
        <f t="shared" si="7"/>
        <v xml:space="preserve"> </v>
      </c>
      <c r="O117" s="151" t="str">
        <f t="shared" si="8"/>
        <v xml:space="preserve"> </v>
      </c>
      <c r="P117" s="152" t="str">
        <f t="shared" si="9"/>
        <v xml:space="preserve"> </v>
      </c>
      <c r="Q117" s="150" t="str">
        <f t="shared" si="10"/>
        <v/>
      </c>
      <c r="R117" s="150" t="str">
        <f t="shared" si="11"/>
        <v/>
      </c>
      <c r="S117" s="153"/>
    </row>
    <row r="118" spans="1:19" ht="18" customHeight="1">
      <c r="A118" s="143"/>
      <c r="B118" s="144" t="s">
        <v>307</v>
      </c>
      <c r="C118" s="146" t="s">
        <v>73</v>
      </c>
      <c r="D118" s="145">
        <v>0</v>
      </c>
      <c r="E118" s="145">
        <v>0</v>
      </c>
      <c r="F118" s="145">
        <v>-0.01</v>
      </c>
      <c r="G118" s="146" t="s">
        <v>140</v>
      </c>
      <c r="H118" s="147"/>
      <c r="I118" s="148"/>
      <c r="J118" s="148"/>
      <c r="K118" s="149" t="str">
        <f t="shared" si="12"/>
        <v xml:space="preserve"> </v>
      </c>
      <c r="L118" s="149" t="str">
        <f t="shared" si="12"/>
        <v xml:space="preserve"> </v>
      </c>
      <c r="M118" s="149" t="str">
        <f t="shared" si="12"/>
        <v xml:space="preserve"> </v>
      </c>
      <c r="N118" s="150" t="str">
        <f t="shared" si="7"/>
        <v xml:space="preserve"> </v>
      </c>
      <c r="O118" s="151" t="str">
        <f t="shared" si="8"/>
        <v xml:space="preserve"> </v>
      </c>
      <c r="P118" s="152" t="str">
        <f t="shared" si="9"/>
        <v xml:space="preserve"> </v>
      </c>
      <c r="Q118" s="150" t="str">
        <f t="shared" si="10"/>
        <v/>
      </c>
      <c r="R118" s="150" t="str">
        <f t="shared" si="11"/>
        <v/>
      </c>
      <c r="S118" s="153"/>
    </row>
    <row r="119" spans="1:19" ht="18" customHeight="1">
      <c r="A119" s="143"/>
      <c r="B119" s="144" t="s">
        <v>308</v>
      </c>
      <c r="C119" s="146" t="s">
        <v>73</v>
      </c>
      <c r="D119" s="145">
        <v>0</v>
      </c>
      <c r="E119" s="145">
        <v>0</v>
      </c>
      <c r="F119" s="145">
        <v>-1.2E-2</v>
      </c>
      <c r="G119" s="146" t="s">
        <v>140</v>
      </c>
      <c r="H119" s="147"/>
      <c r="I119" s="148"/>
      <c r="J119" s="148"/>
      <c r="K119" s="149" t="str">
        <f t="shared" si="12"/>
        <v xml:space="preserve"> </v>
      </c>
      <c r="L119" s="149" t="str">
        <f t="shared" si="12"/>
        <v xml:space="preserve"> </v>
      </c>
      <c r="M119" s="149" t="str">
        <f t="shared" si="12"/>
        <v xml:space="preserve"> </v>
      </c>
      <c r="N119" s="150" t="str">
        <f t="shared" si="7"/>
        <v xml:space="preserve"> </v>
      </c>
      <c r="O119" s="151" t="str">
        <f t="shared" si="8"/>
        <v xml:space="preserve"> </v>
      </c>
      <c r="P119" s="152" t="str">
        <f t="shared" si="9"/>
        <v xml:space="preserve"> </v>
      </c>
      <c r="Q119" s="150" t="str">
        <f t="shared" si="10"/>
        <v/>
      </c>
      <c r="R119" s="150" t="str">
        <f t="shared" si="11"/>
        <v/>
      </c>
      <c r="S119" s="153"/>
    </row>
    <row r="120" spans="1:19" ht="18" customHeight="1">
      <c r="A120" s="143"/>
      <c r="B120" s="144" t="s">
        <v>309</v>
      </c>
      <c r="C120" s="146" t="s">
        <v>73</v>
      </c>
      <c r="D120" s="145">
        <v>-0.45</v>
      </c>
      <c r="E120" s="145">
        <v>0.01</v>
      </c>
      <c r="F120" s="145">
        <v>-0.01</v>
      </c>
      <c r="G120" s="146" t="s">
        <v>140</v>
      </c>
      <c r="H120" s="147"/>
      <c r="I120" s="148"/>
      <c r="J120" s="148"/>
      <c r="K120" s="149" t="str">
        <f t="shared" si="12"/>
        <v xml:space="preserve"> </v>
      </c>
      <c r="L120" s="149" t="str">
        <f t="shared" si="12"/>
        <v xml:space="preserve"> </v>
      </c>
      <c r="M120" s="149" t="str">
        <f t="shared" si="12"/>
        <v xml:space="preserve"> </v>
      </c>
      <c r="N120" s="150" t="str">
        <f t="shared" si="7"/>
        <v xml:space="preserve"> </v>
      </c>
      <c r="O120" s="151" t="str">
        <f t="shared" si="8"/>
        <v xml:space="preserve"> </v>
      </c>
      <c r="P120" s="152" t="str">
        <f t="shared" si="9"/>
        <v xml:space="preserve"> </v>
      </c>
      <c r="Q120" s="150" t="str">
        <f t="shared" si="10"/>
        <v/>
      </c>
      <c r="R120" s="150" t="str">
        <f t="shared" si="11"/>
        <v/>
      </c>
      <c r="S120" s="153"/>
    </row>
    <row r="121" spans="1:19" ht="18" customHeight="1">
      <c r="A121" s="143"/>
      <c r="B121" s="144" t="s">
        <v>310</v>
      </c>
      <c r="C121" s="146" t="s">
        <v>73</v>
      </c>
      <c r="D121" s="145">
        <v>0</v>
      </c>
      <c r="E121" s="145">
        <v>0</v>
      </c>
      <c r="F121" s="145">
        <v>-3.0000000000000001E-3</v>
      </c>
      <c r="G121" s="146" t="s">
        <v>140</v>
      </c>
      <c r="H121" s="147"/>
      <c r="I121" s="148"/>
      <c r="J121" s="148"/>
      <c r="K121" s="149" t="str">
        <f t="shared" si="12"/>
        <v xml:space="preserve"> </v>
      </c>
      <c r="L121" s="149" t="str">
        <f t="shared" si="12"/>
        <v xml:space="preserve"> </v>
      </c>
      <c r="M121" s="149" t="str">
        <f t="shared" si="12"/>
        <v xml:space="preserve"> </v>
      </c>
      <c r="N121" s="150" t="str">
        <f t="shared" si="7"/>
        <v xml:space="preserve"> </v>
      </c>
      <c r="O121" s="151" t="str">
        <f t="shared" si="8"/>
        <v xml:space="preserve"> </v>
      </c>
      <c r="P121" s="152" t="str">
        <f t="shared" si="9"/>
        <v xml:space="preserve"> </v>
      </c>
      <c r="Q121" s="150" t="str">
        <f t="shared" si="10"/>
        <v/>
      </c>
      <c r="R121" s="150" t="str">
        <f t="shared" si="11"/>
        <v/>
      </c>
      <c r="S121" s="153"/>
    </row>
    <row r="122" spans="1:19" ht="18" customHeight="1">
      <c r="A122" s="143"/>
      <c r="B122" s="144" t="s">
        <v>311</v>
      </c>
      <c r="C122" s="146" t="s">
        <v>73</v>
      </c>
      <c r="D122" s="145">
        <v>0</v>
      </c>
      <c r="E122" s="145">
        <v>0</v>
      </c>
      <c r="F122" s="145">
        <v>-5.0000000000000001E-3</v>
      </c>
      <c r="G122" s="146" t="s">
        <v>140</v>
      </c>
      <c r="H122" s="147"/>
      <c r="I122" s="148"/>
      <c r="J122" s="148"/>
      <c r="K122" s="149" t="str">
        <f t="shared" si="12"/>
        <v xml:space="preserve"> </v>
      </c>
      <c r="L122" s="149" t="str">
        <f t="shared" si="12"/>
        <v xml:space="preserve"> </v>
      </c>
      <c r="M122" s="149" t="str">
        <f t="shared" si="12"/>
        <v xml:space="preserve"> </v>
      </c>
      <c r="N122" s="150" t="str">
        <f t="shared" si="7"/>
        <v xml:space="preserve"> </v>
      </c>
      <c r="O122" s="151" t="str">
        <f t="shared" si="8"/>
        <v xml:space="preserve"> </v>
      </c>
      <c r="P122" s="152" t="str">
        <f t="shared" si="9"/>
        <v xml:space="preserve"> </v>
      </c>
      <c r="Q122" s="150" t="str">
        <f t="shared" si="10"/>
        <v/>
      </c>
      <c r="R122" s="150" t="str">
        <f t="shared" si="11"/>
        <v/>
      </c>
      <c r="S122" s="153"/>
    </row>
    <row r="123" spans="1:19" ht="18" customHeight="1">
      <c r="A123" s="143"/>
      <c r="B123" s="144" t="s">
        <v>312</v>
      </c>
      <c r="C123" s="146" t="s">
        <v>73</v>
      </c>
      <c r="D123" s="145">
        <v>0</v>
      </c>
      <c r="E123" s="145">
        <v>0</v>
      </c>
      <c r="F123" s="145">
        <v>-0.01</v>
      </c>
      <c r="G123" s="146" t="s">
        <v>140</v>
      </c>
      <c r="H123" s="147"/>
      <c r="I123" s="148"/>
      <c r="J123" s="148"/>
      <c r="K123" s="149" t="str">
        <f t="shared" si="12"/>
        <v xml:space="preserve"> </v>
      </c>
      <c r="L123" s="149" t="str">
        <f t="shared" si="12"/>
        <v xml:space="preserve"> </v>
      </c>
      <c r="M123" s="149" t="str">
        <f t="shared" si="12"/>
        <v xml:space="preserve"> </v>
      </c>
      <c r="N123" s="150" t="str">
        <f t="shared" si="7"/>
        <v xml:space="preserve"> </v>
      </c>
      <c r="O123" s="151" t="str">
        <f t="shared" si="8"/>
        <v xml:space="preserve"> </v>
      </c>
      <c r="P123" s="152" t="str">
        <f t="shared" si="9"/>
        <v xml:space="preserve"> </v>
      </c>
      <c r="Q123" s="150" t="str">
        <f t="shared" si="10"/>
        <v/>
      </c>
      <c r="R123" s="150" t="str">
        <f t="shared" si="11"/>
        <v/>
      </c>
      <c r="S123" s="153"/>
    </row>
    <row r="124" spans="1:19" ht="18" customHeight="1">
      <c r="A124" s="143"/>
      <c r="B124" s="144" t="s">
        <v>313</v>
      </c>
      <c r="C124" s="146" t="s">
        <v>73</v>
      </c>
      <c r="D124" s="145">
        <v>0</v>
      </c>
      <c r="E124" s="145">
        <v>0</v>
      </c>
      <c r="F124" s="145">
        <v>-1.2E-2</v>
      </c>
      <c r="G124" s="146" t="s">
        <v>140</v>
      </c>
      <c r="H124" s="147"/>
      <c r="I124" s="148"/>
      <c r="J124" s="148"/>
      <c r="K124" s="149" t="str">
        <f t="shared" si="12"/>
        <v xml:space="preserve"> </v>
      </c>
      <c r="L124" s="149" t="str">
        <f t="shared" si="12"/>
        <v xml:space="preserve"> </v>
      </c>
      <c r="M124" s="149" t="str">
        <f t="shared" si="12"/>
        <v xml:space="preserve"> </v>
      </c>
      <c r="N124" s="150" t="str">
        <f t="shared" si="7"/>
        <v xml:space="preserve"> </v>
      </c>
      <c r="O124" s="151" t="str">
        <f t="shared" si="8"/>
        <v xml:space="preserve"> </v>
      </c>
      <c r="P124" s="152" t="str">
        <f t="shared" si="9"/>
        <v xml:space="preserve"> </v>
      </c>
      <c r="Q124" s="150" t="str">
        <f t="shared" si="10"/>
        <v/>
      </c>
      <c r="R124" s="150" t="str">
        <f t="shared" si="11"/>
        <v/>
      </c>
      <c r="S124" s="153"/>
    </row>
    <row r="125" spans="1:19" ht="18" customHeight="1">
      <c r="A125" s="143"/>
    </row>
    <row r="126" spans="1:19" ht="18" customHeight="1">
      <c r="A126" s="143"/>
    </row>
    <row r="127" spans="1:19" ht="18" customHeight="1">
      <c r="A127" s="143"/>
    </row>
    <row r="128" spans="1:19" ht="18" customHeight="1">
      <c r="A128" s="143"/>
    </row>
    <row r="129" spans="1:1" ht="18" customHeight="1">
      <c r="A129" s="143"/>
    </row>
    <row r="130" spans="1:1" ht="18" customHeight="1">
      <c r="A130" s="143"/>
    </row>
    <row r="131" spans="1:1" ht="18" customHeight="1">
      <c r="A131" s="143"/>
    </row>
    <row r="132" spans="1:1" ht="18" customHeight="1">
      <c r="A132" s="143"/>
    </row>
    <row r="133" spans="1:1" ht="18" customHeight="1">
      <c r="A133" s="143"/>
    </row>
  </sheetData>
  <mergeCells count="14">
    <mergeCell ref="K4:M4"/>
    <mergeCell ref="S3:S5"/>
    <mergeCell ref="B3:G3"/>
    <mergeCell ref="A1:S1"/>
    <mergeCell ref="H3:M3"/>
    <mergeCell ref="N3:R3"/>
    <mergeCell ref="B4:B5"/>
    <mergeCell ref="N4:N5"/>
    <mergeCell ref="F4:F5"/>
    <mergeCell ref="E4:E5"/>
    <mergeCell ref="D4:D5"/>
    <mergeCell ref="C4:C5"/>
    <mergeCell ref="G4:G5"/>
    <mergeCell ref="H4:J4"/>
  </mergeCells>
  <phoneticPr fontId="16" type="noConversion"/>
  <dataValidations count="2">
    <dataValidation type="list" allowBlank="1" showInputMessage="1" showErrorMessage="1" sqref="I6:I18" xr:uid="{C2231932-B4FA-4027-AFC6-B6596F622416}">
      <formula1>gauging</formula1>
    </dataValidation>
    <dataValidation type="list" allowBlank="1" showInputMessage="1" showErrorMessage="1" sqref="H6:H18" xr:uid="{CEC109C6-4EA8-43DF-B2DE-C8B34C5AEC12}">
      <formula1>insp_meth</formula1>
    </dataValidation>
  </dataValidations>
  <pageMargins left="0.7" right="0.7" top="0.75" bottom="0.75" header="0.3" footer="0.3"/>
  <pageSetup paperSize="9" orientation="portrait" horizontalDpi="90" verticalDpi="9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7B38E-AC87-4D4D-9726-CAE8C419C5F1}">
  <sheetPr codeName="Sheet1"/>
  <dimension ref="A1:EDJ79"/>
  <sheetViews>
    <sheetView showGridLines="0" tabSelected="1" zoomScale="55" zoomScaleNormal="55" zoomScalePageLayoutView="125" workbookViewId="0">
      <pane xSplit="12" ySplit="1" topLeftCell="M2" activePane="bottomRight" state="frozen"/>
      <selection activeCell="P12" sqref="P12"/>
      <selection pane="topRight" activeCell="P12" sqref="P12"/>
      <selection pane="bottomLeft" activeCell="P12" sqref="P12"/>
      <selection pane="bottomRight" activeCell="AW18" sqref="AW18"/>
    </sheetView>
  </sheetViews>
  <sheetFormatPr defaultColWidth="8.81640625" defaultRowHeight="19.2"/>
  <cols>
    <col min="1" max="1" width="0.81640625" customWidth="1"/>
    <col min="2" max="2" width="7.81640625" customWidth="1"/>
    <col min="3" max="3" width="11.1796875" bestFit="1" customWidth="1"/>
    <col min="4" max="4" width="24" customWidth="1"/>
    <col min="5" max="5" width="7.81640625" customWidth="1"/>
    <col min="6" max="7" width="8.26953125" customWidth="1"/>
    <col min="8" max="8" width="7.81640625" customWidth="1"/>
    <col min="9" max="9" width="7.81640625" hidden="1" customWidth="1"/>
    <col min="10" max="11" width="7.81640625" customWidth="1"/>
    <col min="12" max="12" width="0.81640625" customWidth="1"/>
    <col min="13" max="16" width="7.81640625" customWidth="1"/>
    <col min="17" max="22" width="7.81640625" hidden="1" customWidth="1"/>
    <col min="23" max="23" width="7.81640625" customWidth="1"/>
    <col min="24" max="24" width="10" hidden="1" customWidth="1"/>
    <col min="25" max="27" width="9.453125" hidden="1" customWidth="1"/>
    <col min="28" max="28" width="7.81640625" customWidth="1"/>
    <col min="29" max="29" width="9" customWidth="1"/>
    <col min="30" max="30" width="22" customWidth="1"/>
    <col min="31" max="32" width="9" hidden="1" customWidth="1"/>
    <col min="33" max="33" width="7.54296875" hidden="1" customWidth="1"/>
    <col min="34" max="34" width="0.81640625" customWidth="1"/>
    <col min="35" max="66" width="7.81640625" customWidth="1"/>
  </cols>
  <sheetData>
    <row r="1" spans="1:1023 1025:2040 2061:3066 3097:3494" s="53" customFormat="1" ht="22.05" customHeight="1">
      <c r="A1" s="181" t="s">
        <v>99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54"/>
      <c r="AE1" s="54"/>
      <c r="AF1" s="54"/>
      <c r="AG1" s="54"/>
      <c r="AH1" s="54"/>
    </row>
    <row r="2" spans="1:1023 1025:2040 2061:3066 3097:3494" s="53" customFormat="1" ht="9" customHeight="1">
      <c r="B2" s="56"/>
      <c r="C2" s="56"/>
      <c r="D2" s="56"/>
      <c r="E2" s="56"/>
      <c r="F2" s="56"/>
      <c r="G2" s="56"/>
      <c r="H2" s="56"/>
      <c r="I2" s="56"/>
      <c r="J2" s="56"/>
      <c r="K2" s="56"/>
      <c r="M2" s="56"/>
      <c r="N2" s="56"/>
      <c r="O2" s="56"/>
      <c r="P2" s="56"/>
      <c r="Q2" s="56" t="s">
        <v>100</v>
      </c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I2" s="57"/>
    </row>
    <row r="3" spans="1:1023 1025:2040 2061:3066 3097:3494" s="55" customFormat="1" ht="15" customHeight="1">
      <c r="A3" s="59"/>
      <c r="B3" s="182" t="s">
        <v>88</v>
      </c>
      <c r="C3" s="183"/>
      <c r="D3" s="183"/>
      <c r="E3" s="183"/>
      <c r="F3" s="183"/>
      <c r="G3" s="183"/>
      <c r="H3" s="183"/>
      <c r="I3" s="183"/>
      <c r="J3" s="183"/>
      <c r="K3" s="184"/>
      <c r="L3" s="58"/>
      <c r="M3" s="182" t="s">
        <v>101</v>
      </c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  <c r="Z3" s="183"/>
      <c r="AA3" s="183"/>
      <c r="AB3" s="183"/>
      <c r="AC3" s="184"/>
      <c r="AD3" s="102"/>
      <c r="AE3" s="185" t="s">
        <v>102</v>
      </c>
      <c r="AF3" s="185"/>
      <c r="AG3" s="185"/>
      <c r="AH3" s="103"/>
      <c r="AI3" s="191" t="s">
        <v>319</v>
      </c>
      <c r="AJ3" s="191"/>
      <c r="AK3" s="191"/>
      <c r="AL3" s="191"/>
      <c r="AM3" s="191"/>
      <c r="AN3" s="191"/>
      <c r="AO3" s="191"/>
      <c r="AP3" s="191"/>
      <c r="AQ3" s="191"/>
      <c r="AR3" s="191"/>
      <c r="AS3" s="191"/>
      <c r="AT3" s="191"/>
      <c r="AU3" s="191"/>
      <c r="AV3" s="191"/>
      <c r="AW3" s="191"/>
      <c r="AX3" s="191"/>
      <c r="AY3" s="191"/>
      <c r="AZ3" s="191"/>
      <c r="BA3" s="191"/>
      <c r="BB3" s="191"/>
      <c r="BC3" s="191"/>
      <c r="BD3" s="191"/>
      <c r="BE3" s="191"/>
      <c r="BF3" s="191"/>
      <c r="BG3" s="191"/>
      <c r="BH3" s="191"/>
      <c r="BI3" s="191"/>
      <c r="BJ3" s="191"/>
      <c r="BK3" s="191"/>
      <c r="BL3" s="191"/>
      <c r="BM3" s="191"/>
      <c r="BN3" s="191"/>
    </row>
    <row r="4" spans="1:1023 1025:2040 2061:3066 3097:3494" s="55" customFormat="1" ht="25.05" customHeight="1">
      <c r="A4" s="59"/>
      <c r="B4" s="60"/>
      <c r="C4" s="60"/>
      <c r="D4" s="60"/>
      <c r="E4" s="61"/>
      <c r="F4" s="62" t="s">
        <v>103</v>
      </c>
      <c r="G4" s="62" t="s">
        <v>104</v>
      </c>
      <c r="H4" s="63"/>
      <c r="I4" s="63"/>
      <c r="J4" s="64"/>
      <c r="K4" s="64"/>
      <c r="L4" s="59"/>
      <c r="M4" s="65"/>
      <c r="N4" s="65"/>
      <c r="O4" s="66"/>
      <c r="P4" s="65"/>
      <c r="Q4" s="67"/>
      <c r="R4" s="67"/>
      <c r="S4" s="67"/>
      <c r="T4" s="67"/>
      <c r="U4" s="67"/>
      <c r="V4" s="67"/>
      <c r="W4" s="67"/>
      <c r="X4" s="179" t="s">
        <v>105</v>
      </c>
      <c r="Y4" s="180"/>
      <c r="Z4" s="111" t="s">
        <v>106</v>
      </c>
      <c r="AA4" s="68">
        <v>1.5</v>
      </c>
      <c r="AB4" s="69"/>
      <c r="AC4" s="69"/>
      <c r="AD4" s="70"/>
      <c r="AE4" s="71"/>
      <c r="AF4" s="71"/>
      <c r="AG4" s="72"/>
      <c r="AH4" s="59"/>
      <c r="AI4" s="191"/>
      <c r="AJ4" s="191"/>
      <c r="AK4" s="191"/>
      <c r="AL4" s="191"/>
      <c r="AM4" s="191"/>
      <c r="AN4" s="191"/>
      <c r="AO4" s="191"/>
      <c r="AP4" s="191"/>
      <c r="AQ4" s="191"/>
      <c r="AR4" s="191"/>
      <c r="AS4" s="191"/>
      <c r="AT4" s="191"/>
      <c r="AU4" s="191"/>
      <c r="AV4" s="191"/>
      <c r="AW4" s="191"/>
      <c r="AX4" s="191"/>
      <c r="AY4" s="191"/>
      <c r="AZ4" s="191"/>
      <c r="BA4" s="191"/>
      <c r="BB4" s="191"/>
      <c r="BC4" s="191"/>
      <c r="BD4" s="191"/>
      <c r="BE4" s="191"/>
      <c r="BF4" s="191"/>
      <c r="BG4" s="191"/>
      <c r="BH4" s="191"/>
      <c r="BI4" s="191"/>
      <c r="BJ4" s="191"/>
      <c r="BK4" s="191"/>
      <c r="BL4" s="191"/>
      <c r="BM4" s="191"/>
      <c r="BN4" s="191"/>
    </row>
    <row r="5" spans="1:1023 1025:2040 2061:3066 3097:3494" s="85" customFormat="1" ht="23.4">
      <c r="A5" s="73"/>
      <c r="B5" s="74" t="s">
        <v>107</v>
      </c>
      <c r="C5" s="74" t="s">
        <v>93</v>
      </c>
      <c r="D5" s="74" t="s">
        <v>108</v>
      </c>
      <c r="E5" s="75" t="s">
        <v>43</v>
      </c>
      <c r="F5" s="76" t="s">
        <v>109</v>
      </c>
      <c r="G5" s="76" t="s">
        <v>110</v>
      </c>
      <c r="H5" s="77" t="s">
        <v>54</v>
      </c>
      <c r="I5" s="77" t="s">
        <v>111</v>
      </c>
      <c r="J5" s="78" t="s">
        <v>91</v>
      </c>
      <c r="K5" s="78" t="s">
        <v>92</v>
      </c>
      <c r="L5" s="73"/>
      <c r="M5" s="79" t="s">
        <v>83</v>
      </c>
      <c r="N5" s="79" t="s">
        <v>84</v>
      </c>
      <c r="O5" s="80" t="s">
        <v>77</v>
      </c>
      <c r="P5" s="79" t="s">
        <v>112</v>
      </c>
      <c r="Q5" s="81" t="s">
        <v>48</v>
      </c>
      <c r="R5" s="81" t="s">
        <v>113</v>
      </c>
      <c r="S5" s="81" t="s">
        <v>114</v>
      </c>
      <c r="T5" s="81" t="s">
        <v>115</v>
      </c>
      <c r="U5" s="81" t="s">
        <v>116</v>
      </c>
      <c r="V5" s="81" t="s">
        <v>49</v>
      </c>
      <c r="W5" s="81" t="s">
        <v>47</v>
      </c>
      <c r="X5" s="82" t="s">
        <v>117</v>
      </c>
      <c r="Y5" s="82" t="s">
        <v>118</v>
      </c>
      <c r="Z5" s="82" t="s">
        <v>119</v>
      </c>
      <c r="AA5" s="83" t="s">
        <v>120</v>
      </c>
      <c r="AB5" s="84" t="s">
        <v>126</v>
      </c>
      <c r="AC5" s="84" t="s">
        <v>121</v>
      </c>
      <c r="AD5" s="84" t="s">
        <v>122</v>
      </c>
      <c r="AE5" s="71"/>
      <c r="AF5" s="71"/>
      <c r="AG5" s="72"/>
      <c r="AH5" s="110"/>
      <c r="AI5" s="114"/>
      <c r="AJ5" s="114"/>
      <c r="AK5" s="114"/>
      <c r="AL5" s="114"/>
      <c r="AM5" s="114"/>
      <c r="AN5" s="114"/>
      <c r="AO5" s="114"/>
      <c r="AP5" s="114"/>
      <c r="AQ5" s="114"/>
      <c r="AR5" s="114"/>
      <c r="AS5" s="114"/>
      <c r="AT5" s="114"/>
      <c r="AU5" s="114"/>
      <c r="AV5" s="114"/>
      <c r="AW5" s="114"/>
      <c r="AX5" s="114"/>
      <c r="AY5" s="114"/>
      <c r="AZ5" s="114"/>
      <c r="BA5" s="114"/>
      <c r="BB5" s="114"/>
      <c r="BC5" s="114"/>
      <c r="BD5" s="114"/>
      <c r="BE5" s="114"/>
      <c r="BF5" s="114"/>
      <c r="BG5" s="114"/>
      <c r="BH5" s="114"/>
      <c r="BI5" s="114"/>
      <c r="BJ5" s="114"/>
      <c r="BK5" s="114"/>
      <c r="BL5" s="114"/>
      <c r="BM5" s="114"/>
      <c r="BN5" s="114"/>
    </row>
    <row r="6" spans="1:1023 1025:2040 2061:3066 3097:3494" ht="19.05" customHeight="1">
      <c r="A6">
        <v>1</v>
      </c>
      <c r="B6" s="105" t="s">
        <v>141</v>
      </c>
      <c r="C6" s="105" t="s">
        <v>184</v>
      </c>
      <c r="D6" s="104" t="s">
        <v>137</v>
      </c>
      <c r="E6" s="100"/>
      <c r="F6" s="86">
        <v>1.2E-2</v>
      </c>
      <c r="G6" s="86"/>
      <c r="H6" s="87" t="s">
        <v>140</v>
      </c>
      <c r="I6" s="88" t="s">
        <v>123</v>
      </c>
      <c r="J6" s="51">
        <f t="shared" ref="J6:J69" si="0">IF(AND(E6="",F6=""),"",IF(E6="",F6,E6+F6))</f>
        <v>1.2E-2</v>
      </c>
      <c r="K6" s="51" t="str">
        <f t="shared" ref="K6:K69" si="1">IF(AND(E6="",G6=""),"",IF(E6="",G6,E6+G6))</f>
        <v/>
      </c>
      <c r="L6" s="89"/>
      <c r="M6" s="90">
        <f t="shared" ref="M6:M69" si="2">IF(OR($AI6=ISBLANK(TRUE),ISNUMBER($AI6)=FALSE),,MAX(AI6:BN6))</f>
        <v>0</v>
      </c>
      <c r="N6" s="90">
        <f t="shared" ref="N6:N69" si="3">IF(OR($AI6=ISBLANK(TRUE),ISNUMBER($AI6)=FALSE),,MIN(AI6:BN6))</f>
        <v>0</v>
      </c>
      <c r="O6" s="90">
        <f t="shared" ref="O6:O69" si="4">IF(OR($AI6=ISBLANK(TRUE),ISNUMBER($AI6)=FALSE),,AVERAGE(AI6:BN6))</f>
        <v>0</v>
      </c>
      <c r="P6" s="91">
        <f t="shared" ref="P6:P69" si="5">IF(OR($AI6=ISBLANK(TRUE),ISNUMBER($AI6)=FALSE),,STDEV(AI6:BN6))</f>
        <v>0</v>
      </c>
      <c r="Q6" s="92" t="str">
        <f t="shared" ref="Q6:Q69" si="6">IF(OR($AI6="",ISNUMBER($AI6)=FALSE),"",IF(AND(E6=0,G6=0),T6,IF(AND(E6="",F6=""),U6,(F6+ABS(G6))/(6*P6))))</f>
        <v/>
      </c>
      <c r="R6" s="93" t="str">
        <f>IF(OR($AI6="",ISNUMBER($AI6)=FALSE),"",IF(AND(#REF!="Tolerance",$E6&lt;&gt;""),($O6-$E6)/(($J6-$K6)/2),IF(AND(#REF!="GD&amp;T",$F6&lt;&gt;""),$O6/$F6,"")))</f>
        <v/>
      </c>
      <c r="S6" s="93" t="str">
        <f t="shared" ref="S6:S69" si="7">IF($R6="","",IF(ABS($R6)&lt;=0.125, "Level A",IF(AND(ABS($R6)&gt;0.125,ABS($R6)&lt;=0.25), "Level B",IF(AND(ABS($R6)&gt;0.25,ABS($R6)&lt;=0.5), "Level C", IF(ABS($R6)&gt;0.5, "Level D")))))</f>
        <v/>
      </c>
      <c r="T6" s="92" t="str">
        <f t="shared" ref="T6:T69" si="8">IF(OR($AI6="",ISNUMBER($AI6)=FALSE),"",IF(F6="","",(J6-O6)/(3*P6)))</f>
        <v/>
      </c>
      <c r="U6" s="92" t="str">
        <f t="shared" ref="U6:U69" si="9">IF(OR($AI6="",ISNUMBER($AI6)=FALSE),"",IF(G6="","",(O6-K6)/(3*P6)))</f>
        <v/>
      </c>
      <c r="V6" s="92" t="str">
        <f t="shared" ref="V6:V69" si="10">IF(OR($AI6="",ISNUMBER($AI6)=FALSE),"",IF(AND(E6=0,G6=0),((F6)-(O6))/(3*P6),MIN(T6:U6)))</f>
        <v/>
      </c>
      <c r="W6" s="112" t="str">
        <f t="shared" ref="W6:W69" si="11">IF(OR($AI6="",ISNUMBER($AI6)=FALSE),"",IF(AND(E6=0,G6=0),NORMSDIST(3*V6),NORMSDIST(3*V6)+NORMSDIST(6*Q6-3*V6)-1))</f>
        <v/>
      </c>
      <c r="X6" s="113" t="e">
        <f>IF($O6="","",IF(#REF!="Tolerance",IF((#REF!*3*P6+O6)-E6&lt;F6,"",(#REF!*3*P6+O6)-E6),IF(OR(#REF!="GD&amp;T",#REF!="MAX"),IF((#REF!*3*P6+O6)&lt;F6,"",(#REF!*3*P6+O6)),"")))</f>
        <v>#REF!</v>
      </c>
      <c r="Y6" s="113" t="e">
        <f>IF(O6="","",IF(#REF!="Tolerance",IF(-((#REF!*3*P6)-O6)-E6&gt;G6,"",-((#REF!*3*P6)-O6)-E6),IF(#REF!="MIN",IF(-((#REF!*3*P6)-O6)&gt;G6,"",-((#REF!*3*P6)-O6)),"")))</f>
        <v>#REF!</v>
      </c>
      <c r="Z6" s="113" t="str">
        <f t="shared" ref="Z6:Z69" si="12">IF(OR(E6="",O6=""),"",(J6+K6)/2-O6)</f>
        <v/>
      </c>
      <c r="AA6" s="113" t="str">
        <f t="shared" ref="AA6:AA69" si="13">IF(OR($Q6&gt;$AA$4,$P6=""),"",$AA$4*6*$P6)</f>
        <v/>
      </c>
      <c r="AB6" s="94"/>
      <c r="AC6" s="95" t="str">
        <f t="shared" ref="AC6:AC69" si="14">IF(AB6="","",IF(AB6&gt;=0.966,"Normal","Not Normal"))</f>
        <v/>
      </c>
      <c r="AD6" s="96"/>
      <c r="AE6" s="97"/>
      <c r="AF6" s="97"/>
      <c r="AG6" s="98"/>
      <c r="AH6">
        <v>1</v>
      </c>
      <c r="AI6" s="115"/>
      <c r="AJ6" s="115"/>
      <c r="AK6" s="115"/>
      <c r="AL6" s="115"/>
      <c r="AM6" s="115"/>
      <c r="AN6" s="115"/>
      <c r="AO6" s="115"/>
      <c r="AP6" s="115"/>
      <c r="AQ6" s="115"/>
      <c r="AR6" s="115"/>
      <c r="AS6" s="115"/>
      <c r="AT6" s="115"/>
      <c r="AU6" s="115"/>
      <c r="AV6" s="115"/>
      <c r="AW6" s="115"/>
      <c r="AX6" s="115"/>
      <c r="AY6" s="115"/>
      <c r="AZ6" s="115"/>
      <c r="BA6" s="115"/>
      <c r="BB6" s="115"/>
      <c r="BC6" s="115"/>
      <c r="BD6" s="115"/>
      <c r="BE6" s="115"/>
      <c r="BF6" s="115"/>
      <c r="BG6" s="115"/>
      <c r="BH6" s="115"/>
      <c r="BI6" s="115"/>
      <c r="BJ6" s="115"/>
      <c r="BK6" s="115"/>
      <c r="BL6" s="115"/>
      <c r="BM6" s="116"/>
      <c r="BN6" s="116"/>
      <c r="NC6" s="99"/>
      <c r="SV6" s="99"/>
      <c r="TR6" s="99"/>
      <c r="AJP6" s="99"/>
      <c r="AKV6" s="99"/>
      <c r="AXI6" s="99"/>
      <c r="AYA6" s="99"/>
      <c r="BCE6" s="99"/>
      <c r="BEA6" s="99"/>
      <c r="CKC6" s="99"/>
      <c r="CQD6" s="99"/>
      <c r="DJV6" s="99"/>
      <c r="DPF6" s="99"/>
      <c r="EBX6" s="99"/>
      <c r="EDB6" s="99"/>
    </row>
    <row r="7" spans="1:1023 1025:2040 2061:3066 3097:3494" ht="19.05" customHeight="1">
      <c r="A7">
        <v>2</v>
      </c>
      <c r="B7" s="105" t="s">
        <v>142</v>
      </c>
      <c r="C7" s="105" t="s">
        <v>185</v>
      </c>
      <c r="D7" s="104" t="s">
        <v>137</v>
      </c>
      <c r="E7" s="100"/>
      <c r="F7" s="86">
        <v>1.2E-2</v>
      </c>
      <c r="G7" s="86"/>
      <c r="H7" s="87" t="s">
        <v>140</v>
      </c>
      <c r="I7" s="88" t="s">
        <v>123</v>
      </c>
      <c r="J7" s="51">
        <f t="shared" si="0"/>
        <v>1.2E-2</v>
      </c>
      <c r="K7" s="51" t="str">
        <f t="shared" si="1"/>
        <v/>
      </c>
      <c r="L7" s="89"/>
      <c r="M7" s="90">
        <f t="shared" si="2"/>
        <v>0</v>
      </c>
      <c r="N7" s="90">
        <f t="shared" si="3"/>
        <v>0</v>
      </c>
      <c r="O7" s="90">
        <f t="shared" si="4"/>
        <v>0</v>
      </c>
      <c r="P7" s="91">
        <f t="shared" si="5"/>
        <v>0</v>
      </c>
      <c r="Q7" s="92" t="str">
        <f t="shared" si="6"/>
        <v/>
      </c>
      <c r="R7" s="93" t="str">
        <f>IF(OR($AI7="",ISNUMBER($AI7)=FALSE),"",IF(AND(#REF!="Tolerance",$E7&lt;&gt;""),($O7-$E7)/(($J7-$K7)/2),IF(AND(#REF!="GD&amp;T",$F7&lt;&gt;""),$O7/$F7,"")))</f>
        <v/>
      </c>
      <c r="S7" s="93" t="str">
        <f t="shared" si="7"/>
        <v/>
      </c>
      <c r="T7" s="92" t="str">
        <f t="shared" si="8"/>
        <v/>
      </c>
      <c r="U7" s="92" t="str">
        <f t="shared" si="9"/>
        <v/>
      </c>
      <c r="V7" s="92" t="str">
        <f t="shared" si="10"/>
        <v/>
      </c>
      <c r="W7" s="112" t="str">
        <f t="shared" si="11"/>
        <v/>
      </c>
      <c r="X7" s="113" t="e">
        <f>IF($O7="","",IF(#REF!="Tolerance",IF((#REF!*3*P7+O7)-E7&lt;F7,"",(#REF!*3*P7+O7)-E7),IF(OR(#REF!="GD&amp;T",#REF!="MAX"),IF((#REF!*3*P7+O7)&lt;F7,"",(#REF!*3*P7+O7)),"")))</f>
        <v>#REF!</v>
      </c>
      <c r="Y7" s="113" t="e">
        <f>IF(O7="","",IF(#REF!="Tolerance",IF(-((#REF!*3*P7)-O7)-E7&gt;G7,"",-((#REF!*3*P7)-O7)-E7),IF(#REF!="MIN",IF(-((#REF!*3*P7)-O7)&gt;G7,"",-((#REF!*3*P7)-O7)),"")))</f>
        <v>#REF!</v>
      </c>
      <c r="Z7" s="113" t="str">
        <f t="shared" si="12"/>
        <v/>
      </c>
      <c r="AA7" s="113" t="str">
        <f t="shared" si="13"/>
        <v/>
      </c>
      <c r="AB7" s="94"/>
      <c r="AC7" s="95" t="str">
        <f t="shared" si="14"/>
        <v/>
      </c>
      <c r="AD7" s="96"/>
      <c r="AE7" s="97"/>
      <c r="AF7" s="97"/>
      <c r="AG7" s="98"/>
      <c r="AH7">
        <v>2</v>
      </c>
      <c r="AI7" s="115"/>
      <c r="AJ7" s="115"/>
      <c r="AK7" s="115"/>
      <c r="AL7" s="115"/>
      <c r="AM7" s="115"/>
      <c r="AN7" s="115"/>
      <c r="AO7" s="115"/>
      <c r="AP7" s="115"/>
      <c r="AQ7" s="115"/>
      <c r="AR7" s="115"/>
      <c r="AS7" s="115"/>
      <c r="AT7" s="115"/>
      <c r="AU7" s="115"/>
      <c r="AV7" s="115"/>
      <c r="AW7" s="115"/>
      <c r="AX7" s="115"/>
      <c r="AY7" s="115"/>
      <c r="AZ7" s="115"/>
      <c r="BA7" s="115"/>
      <c r="BB7" s="115"/>
      <c r="BC7" s="115"/>
      <c r="BD7" s="115"/>
      <c r="BE7" s="115"/>
      <c r="BF7" s="115"/>
      <c r="BG7" s="115"/>
      <c r="BH7" s="115"/>
      <c r="BI7" s="115"/>
      <c r="BJ7" s="115"/>
      <c r="BK7" s="115"/>
      <c r="BL7" s="115"/>
      <c r="BM7" s="116"/>
      <c r="BN7" s="116"/>
      <c r="FU7" s="99"/>
      <c r="HC7" s="99"/>
      <c r="JW7" s="99"/>
      <c r="NQ7" s="99"/>
      <c r="SV7" s="99"/>
      <c r="AKV7" s="99"/>
      <c r="AOS7" s="99"/>
      <c r="AST7" s="99"/>
      <c r="AXQ7" s="99"/>
      <c r="BJF7" s="99"/>
      <c r="BME7" s="99"/>
      <c r="BOW7" s="99"/>
      <c r="BQE7" s="99"/>
      <c r="BQG7" s="99"/>
      <c r="BTU7" s="99"/>
      <c r="BUB7" s="99"/>
      <c r="BUV7" s="99"/>
      <c r="CAG7" s="99"/>
      <c r="CON7" s="99"/>
      <c r="COQ7" s="99"/>
      <c r="COT7" s="99"/>
      <c r="CVM7" s="99"/>
      <c r="CZO7" s="99"/>
      <c r="CZW7" s="99"/>
      <c r="DHX7" s="99"/>
      <c r="DJE7" s="99"/>
      <c r="DMF7" s="99"/>
      <c r="DTB7" s="99"/>
      <c r="DTF7" s="99"/>
      <c r="DUH7" s="99"/>
      <c r="DYR7" s="99"/>
      <c r="EBF7" s="99"/>
    </row>
    <row r="8" spans="1:1023 1025:2040 2061:3066 3097:3494" ht="19.05" customHeight="1">
      <c r="A8">
        <v>3</v>
      </c>
      <c r="B8" s="105" t="s">
        <v>143</v>
      </c>
      <c r="C8" s="105" t="s">
        <v>186</v>
      </c>
      <c r="D8" s="104" t="s">
        <v>137</v>
      </c>
      <c r="E8" s="100"/>
      <c r="F8" s="86">
        <v>1.2E-2</v>
      </c>
      <c r="G8" s="86"/>
      <c r="H8" s="87" t="s">
        <v>140</v>
      </c>
      <c r="I8" s="88" t="s">
        <v>123</v>
      </c>
      <c r="J8" s="51">
        <f t="shared" si="0"/>
        <v>1.2E-2</v>
      </c>
      <c r="K8" s="51" t="str">
        <f t="shared" si="1"/>
        <v/>
      </c>
      <c r="L8" s="89"/>
      <c r="M8" s="90">
        <f t="shared" si="2"/>
        <v>0</v>
      </c>
      <c r="N8" s="90">
        <f t="shared" si="3"/>
        <v>0</v>
      </c>
      <c r="O8" s="90">
        <f t="shared" si="4"/>
        <v>0</v>
      </c>
      <c r="P8" s="91">
        <f t="shared" si="5"/>
        <v>0</v>
      </c>
      <c r="Q8" s="92" t="str">
        <f t="shared" si="6"/>
        <v/>
      </c>
      <c r="R8" s="93" t="str">
        <f>IF(OR($AI8="",ISNUMBER($AI8)=FALSE),"",IF(AND(#REF!="Tolerance",$E8&lt;&gt;""),($O8-$E8)/(($J8-$K8)/2),IF(AND(#REF!="GD&amp;T",$F8&lt;&gt;""),$O8/$F8,"")))</f>
        <v/>
      </c>
      <c r="S8" s="93" t="str">
        <f t="shared" si="7"/>
        <v/>
      </c>
      <c r="T8" s="92" t="str">
        <f t="shared" si="8"/>
        <v/>
      </c>
      <c r="U8" s="92" t="str">
        <f t="shared" si="9"/>
        <v/>
      </c>
      <c r="V8" s="92" t="str">
        <f t="shared" si="10"/>
        <v/>
      </c>
      <c r="W8" s="112" t="str">
        <f t="shared" si="11"/>
        <v/>
      </c>
      <c r="X8" s="113" t="e">
        <f>IF($O8="","",IF(#REF!="Tolerance",IF((#REF!*3*P8+O8)-E8&lt;F8,"",(#REF!*3*P8+O8)-E8),IF(OR(#REF!="GD&amp;T",#REF!="MAX"),IF((#REF!*3*P8+O8)&lt;F8,"",(#REF!*3*P8+O8)),"")))</f>
        <v>#REF!</v>
      </c>
      <c r="Y8" s="113" t="e">
        <f>IF(O8="","",IF(#REF!="Tolerance",IF(-((#REF!*3*P8)-O8)-E8&gt;G8,"",-((#REF!*3*P8)-O8)-E8),IF(#REF!="MIN",IF(-((#REF!*3*P8)-O8)&gt;G8,"",-((#REF!*3*P8)-O8)),"")))</f>
        <v>#REF!</v>
      </c>
      <c r="Z8" s="113" t="str">
        <f t="shared" si="12"/>
        <v/>
      </c>
      <c r="AA8" s="113" t="str">
        <f t="shared" si="13"/>
        <v/>
      </c>
      <c r="AB8" s="94"/>
      <c r="AC8" s="95" t="str">
        <f t="shared" si="14"/>
        <v/>
      </c>
      <c r="AD8" s="96"/>
      <c r="AE8" s="97"/>
      <c r="AF8" s="97"/>
      <c r="AG8" s="98"/>
      <c r="AH8">
        <v>3</v>
      </c>
      <c r="AI8" s="115"/>
      <c r="AJ8" s="115"/>
      <c r="AK8" s="115"/>
      <c r="AL8" s="115"/>
      <c r="AM8" s="115"/>
      <c r="AN8" s="115"/>
      <c r="AO8" s="115"/>
      <c r="AP8" s="115"/>
      <c r="AQ8" s="115"/>
      <c r="AR8" s="115"/>
      <c r="AS8" s="115"/>
      <c r="AT8" s="115"/>
      <c r="AU8" s="115"/>
      <c r="AV8" s="115"/>
      <c r="AW8" s="115"/>
      <c r="AX8" s="115"/>
      <c r="AY8" s="115"/>
      <c r="AZ8" s="115"/>
      <c r="BA8" s="115"/>
      <c r="BB8" s="115"/>
      <c r="BC8" s="115"/>
      <c r="BD8" s="115"/>
      <c r="BE8" s="115"/>
      <c r="BF8" s="115"/>
      <c r="BG8" s="115"/>
      <c r="BH8" s="115"/>
      <c r="BI8" s="115"/>
      <c r="BJ8" s="115"/>
      <c r="BK8" s="115"/>
      <c r="BL8" s="115"/>
      <c r="BM8" s="116"/>
      <c r="BN8" s="116"/>
      <c r="FV8" s="99"/>
      <c r="JW8" s="99"/>
      <c r="AGG8" s="99"/>
      <c r="BFQ8" s="99"/>
      <c r="BKG8" s="99"/>
      <c r="BPJ8" s="99"/>
      <c r="BQE8" s="99"/>
      <c r="BSE8" s="99"/>
      <c r="BSK8" s="99"/>
      <c r="BUV8" s="99"/>
      <c r="BWJ8" s="99"/>
      <c r="BWR8" s="99"/>
      <c r="BZL8" s="99"/>
      <c r="CAG8" s="99"/>
      <c r="DIA8" s="99"/>
      <c r="DJE8" s="99"/>
      <c r="DPG8" s="99"/>
      <c r="ECE8" s="99"/>
    </row>
    <row r="9" spans="1:1023 1025:2040 2061:3066 3097:3494" ht="19.05" customHeight="1">
      <c r="A9">
        <v>4</v>
      </c>
      <c r="B9" s="105" t="s">
        <v>144</v>
      </c>
      <c r="C9" s="105" t="s">
        <v>187</v>
      </c>
      <c r="D9" s="104" t="s">
        <v>137</v>
      </c>
      <c r="E9" s="100"/>
      <c r="F9" s="86">
        <v>1.2E-2</v>
      </c>
      <c r="G9" s="86"/>
      <c r="H9" s="87" t="s">
        <v>140</v>
      </c>
      <c r="I9" s="88" t="s">
        <v>123</v>
      </c>
      <c r="J9" s="51">
        <f t="shared" si="0"/>
        <v>1.2E-2</v>
      </c>
      <c r="K9" s="51" t="str">
        <f t="shared" si="1"/>
        <v/>
      </c>
      <c r="L9" s="89"/>
      <c r="M9" s="90">
        <f t="shared" si="2"/>
        <v>0</v>
      </c>
      <c r="N9" s="90">
        <f t="shared" si="3"/>
        <v>0</v>
      </c>
      <c r="O9" s="90">
        <f t="shared" si="4"/>
        <v>0</v>
      </c>
      <c r="P9" s="91">
        <f t="shared" si="5"/>
        <v>0</v>
      </c>
      <c r="Q9" s="92" t="str">
        <f t="shared" si="6"/>
        <v/>
      </c>
      <c r="R9" s="93" t="str">
        <f>IF(OR($AI9="",ISNUMBER($AI9)=FALSE),"",IF(AND(#REF!="Tolerance",$E9&lt;&gt;""),($O9-$E9)/(($J9-$K9)/2),IF(AND(#REF!="GD&amp;T",$F9&lt;&gt;""),$O9/$F9,"")))</f>
        <v/>
      </c>
      <c r="S9" s="93" t="str">
        <f t="shared" si="7"/>
        <v/>
      </c>
      <c r="T9" s="92" t="str">
        <f t="shared" si="8"/>
        <v/>
      </c>
      <c r="U9" s="92" t="str">
        <f t="shared" si="9"/>
        <v/>
      </c>
      <c r="V9" s="92" t="str">
        <f t="shared" si="10"/>
        <v/>
      </c>
      <c r="W9" s="112" t="str">
        <f t="shared" si="11"/>
        <v/>
      </c>
      <c r="X9" s="113" t="e">
        <f>IF($O9="","",IF(#REF!="Tolerance",IF((#REF!*3*P9+O9)-E9&lt;F9,"",(#REF!*3*P9+O9)-E9),IF(OR(#REF!="GD&amp;T",#REF!="MAX"),IF((#REF!*3*P9+O9)&lt;F9,"",(#REF!*3*P9+O9)),"")))</f>
        <v>#REF!</v>
      </c>
      <c r="Y9" s="113" t="e">
        <f>IF(O9="","",IF(#REF!="Tolerance",IF(-((#REF!*3*P9)-O9)-E9&gt;G9,"",-((#REF!*3*P9)-O9)-E9),IF(#REF!="MIN",IF(-((#REF!*3*P9)-O9)&gt;G9,"",-((#REF!*3*P9)-O9)),"")))</f>
        <v>#REF!</v>
      </c>
      <c r="Z9" s="113" t="str">
        <f t="shared" si="12"/>
        <v/>
      </c>
      <c r="AA9" s="113" t="str">
        <f t="shared" si="13"/>
        <v/>
      </c>
      <c r="AB9" s="94"/>
      <c r="AC9" s="95" t="str">
        <f t="shared" si="14"/>
        <v/>
      </c>
      <c r="AD9" s="96"/>
      <c r="AE9" s="97"/>
      <c r="AF9" s="97"/>
      <c r="AG9" s="98"/>
      <c r="AH9">
        <v>4</v>
      </c>
      <c r="AI9" s="115"/>
      <c r="AJ9" s="115"/>
      <c r="AK9" s="115"/>
      <c r="AL9" s="115"/>
      <c r="AM9" s="115"/>
      <c r="AN9" s="115"/>
      <c r="AO9" s="115"/>
      <c r="AP9" s="115"/>
      <c r="AQ9" s="115"/>
      <c r="AR9" s="115"/>
      <c r="AS9" s="115"/>
      <c r="AT9" s="115"/>
      <c r="AU9" s="115"/>
      <c r="AV9" s="115"/>
      <c r="AW9" s="115"/>
      <c r="AX9" s="115"/>
      <c r="AY9" s="115"/>
      <c r="AZ9" s="115"/>
      <c r="BA9" s="115"/>
      <c r="BB9" s="115"/>
      <c r="BC9" s="115"/>
      <c r="BD9" s="115"/>
      <c r="BE9" s="115"/>
      <c r="BF9" s="115"/>
      <c r="BG9" s="115"/>
      <c r="BH9" s="115"/>
      <c r="BI9" s="115"/>
      <c r="BJ9" s="115"/>
      <c r="BK9" s="115"/>
      <c r="BL9" s="115"/>
      <c r="BM9" s="116"/>
      <c r="BN9" s="116"/>
      <c r="BW9" s="99"/>
      <c r="FA9" s="99"/>
      <c r="LE9" s="99"/>
      <c r="QT9" s="99"/>
      <c r="TS9" s="99"/>
      <c r="ABL9" s="99"/>
      <c r="ABZ9" s="99"/>
      <c r="AMI9" s="99"/>
      <c r="ANI9" s="99"/>
      <c r="AQR9" s="99"/>
      <c r="ARW9" s="99"/>
      <c r="AVL9" s="99"/>
      <c r="BAR9" s="99"/>
      <c r="BBB9" s="99"/>
      <c r="BHD9" s="99"/>
      <c r="BJR9" s="99"/>
      <c r="BPC9" s="99"/>
      <c r="BSV9" s="99"/>
      <c r="BTK9" s="99"/>
      <c r="BVZ9" s="99"/>
      <c r="BWE9" s="99"/>
      <c r="BWO9" s="99"/>
      <c r="BYE9" s="99"/>
      <c r="CDE9" s="99"/>
      <c r="CFB9" s="99"/>
      <c r="CFT9" s="99"/>
      <c r="CFU9" s="99"/>
      <c r="CKQ9" s="99"/>
      <c r="CMR9" s="99"/>
      <c r="COO9" s="99"/>
      <c r="CQE9" s="99"/>
      <c r="CRH9" s="99"/>
      <c r="CSC9" s="99"/>
      <c r="CTV9" s="99"/>
      <c r="CZS9" s="99"/>
      <c r="DDL9" s="99"/>
      <c r="DEW9" s="99"/>
      <c r="DIG9" s="99"/>
      <c r="DIP9" s="99"/>
      <c r="DMX9" s="99"/>
      <c r="DSX9" s="99"/>
      <c r="DSY9" s="99"/>
      <c r="DVO9" s="99"/>
      <c r="EBY9" s="99"/>
    </row>
    <row r="10" spans="1:1023 1025:2040 2061:3066 3097:3494" ht="19.05" customHeight="1">
      <c r="A10">
        <v>5</v>
      </c>
      <c r="B10" s="105" t="s">
        <v>145</v>
      </c>
      <c r="C10" s="105" t="s">
        <v>188</v>
      </c>
      <c r="D10" s="104" t="s">
        <v>138</v>
      </c>
      <c r="E10" s="100"/>
      <c r="F10" s="86">
        <v>8.0000000000000002E-3</v>
      </c>
      <c r="G10" s="86"/>
      <c r="H10" s="87" t="s">
        <v>140</v>
      </c>
      <c r="I10" s="88" t="s">
        <v>123</v>
      </c>
      <c r="J10" s="51">
        <f t="shared" si="0"/>
        <v>8.0000000000000002E-3</v>
      </c>
      <c r="K10" s="51" t="str">
        <f t="shared" si="1"/>
        <v/>
      </c>
      <c r="L10" s="89"/>
      <c r="M10" s="90">
        <f t="shared" si="2"/>
        <v>0</v>
      </c>
      <c r="N10" s="90">
        <f t="shared" si="3"/>
        <v>0</v>
      </c>
      <c r="O10" s="90">
        <f t="shared" si="4"/>
        <v>0</v>
      </c>
      <c r="P10" s="91">
        <f t="shared" si="5"/>
        <v>0</v>
      </c>
      <c r="Q10" s="92" t="str">
        <f t="shared" si="6"/>
        <v/>
      </c>
      <c r="R10" s="93" t="str">
        <f>IF(OR($AI10="",ISNUMBER($AI10)=FALSE),"",IF(AND(#REF!="Tolerance",$E10&lt;&gt;""),($O10-$E10)/(($J10-$K10)/2),IF(AND(#REF!="GD&amp;T",$F10&lt;&gt;""),$O10/$F10,"")))</f>
        <v/>
      </c>
      <c r="S10" s="93" t="str">
        <f t="shared" si="7"/>
        <v/>
      </c>
      <c r="T10" s="92" t="str">
        <f t="shared" si="8"/>
        <v/>
      </c>
      <c r="U10" s="92" t="str">
        <f t="shared" si="9"/>
        <v/>
      </c>
      <c r="V10" s="92" t="str">
        <f t="shared" si="10"/>
        <v/>
      </c>
      <c r="W10" s="112" t="str">
        <f t="shared" si="11"/>
        <v/>
      </c>
      <c r="X10" s="113" t="e">
        <f>IF($O10="","",IF(#REF!="Tolerance",IF((#REF!*3*P10+O10)-E10&lt;F10,"",(#REF!*3*P10+O10)-E10),IF(OR(#REF!="GD&amp;T",#REF!="MAX"),IF((#REF!*3*P10+O10)&lt;F10,"",(#REF!*3*P10+O10)),"")))</f>
        <v>#REF!</v>
      </c>
      <c r="Y10" s="113" t="e">
        <f>IF(O10="","",IF(#REF!="Tolerance",IF(-((#REF!*3*P10)-O10)-E10&gt;G10,"",-((#REF!*3*P10)-O10)-E10),IF(#REF!="MIN",IF(-((#REF!*3*P10)-O10)&gt;G10,"",-((#REF!*3*P10)-O10)),"")))</f>
        <v>#REF!</v>
      </c>
      <c r="Z10" s="113" t="str">
        <f t="shared" si="12"/>
        <v/>
      </c>
      <c r="AA10" s="113" t="str">
        <f t="shared" si="13"/>
        <v/>
      </c>
      <c r="AB10" s="94"/>
      <c r="AC10" s="95" t="str">
        <f t="shared" si="14"/>
        <v/>
      </c>
      <c r="AD10" s="96"/>
      <c r="AE10" s="97"/>
      <c r="AF10" s="97"/>
      <c r="AG10" s="98"/>
      <c r="AH10">
        <v>5</v>
      </c>
      <c r="AI10" s="115"/>
      <c r="AJ10" s="115"/>
      <c r="AK10" s="115"/>
      <c r="AL10" s="115"/>
      <c r="AM10" s="115"/>
      <c r="AN10" s="115"/>
      <c r="AO10" s="115"/>
      <c r="AP10" s="115"/>
      <c r="AQ10" s="115"/>
      <c r="AR10" s="115"/>
      <c r="AS10" s="115"/>
      <c r="AT10" s="115"/>
      <c r="AU10" s="115"/>
      <c r="AV10" s="115"/>
      <c r="AW10" s="115"/>
      <c r="AX10" s="115"/>
      <c r="AY10" s="115"/>
      <c r="AZ10" s="115"/>
      <c r="BA10" s="115"/>
      <c r="BB10" s="115"/>
      <c r="BC10" s="115"/>
      <c r="BD10" s="115"/>
      <c r="BE10" s="115"/>
      <c r="BF10" s="115"/>
      <c r="BG10" s="115"/>
      <c r="BH10" s="115"/>
      <c r="BI10" s="115"/>
      <c r="BJ10" s="115"/>
      <c r="BK10" s="115"/>
      <c r="BL10" s="115"/>
      <c r="BM10" s="116"/>
      <c r="BN10" s="116"/>
      <c r="DR10" s="99"/>
      <c r="DX10" s="99"/>
      <c r="FA10" s="99"/>
      <c r="FH10" s="99"/>
      <c r="FS10" s="99"/>
      <c r="GE10" s="99"/>
      <c r="UP10" s="99"/>
      <c r="XU10" s="99"/>
      <c r="YV10" s="99"/>
      <c r="ABL10" s="99"/>
      <c r="ALD10" s="99"/>
      <c r="BJR10" s="99"/>
      <c r="BKR10" s="99"/>
      <c r="BNF10" s="99"/>
      <c r="BPE10" s="99"/>
      <c r="BPH10" s="99"/>
      <c r="BPO10" s="99"/>
      <c r="BTK10" s="99"/>
      <c r="BWE10" s="99"/>
      <c r="BYL10" s="99"/>
      <c r="CFU10" s="99"/>
      <c r="CKU10" s="99"/>
      <c r="COK10" s="99"/>
      <c r="COO10" s="99"/>
      <c r="CQB10" s="99"/>
      <c r="CQL10" s="99"/>
      <c r="CQW10" s="99"/>
      <c r="CXY10" s="99"/>
      <c r="CZS10" s="99"/>
      <c r="DDL10" s="99"/>
      <c r="DGP10" s="99"/>
      <c r="DHC10" s="99"/>
      <c r="DHD10" s="99"/>
      <c r="DIA10" s="99"/>
      <c r="DIR10" s="99"/>
      <c r="DSY10" s="99"/>
      <c r="DUI10" s="99"/>
    </row>
    <row r="11" spans="1:1023 1025:2040 2061:3066 3097:3494" ht="19.05" customHeight="1">
      <c r="A11">
        <v>6</v>
      </c>
      <c r="B11" s="105" t="s">
        <v>146</v>
      </c>
      <c r="C11" s="105" t="s">
        <v>189</v>
      </c>
      <c r="D11" s="104" t="s">
        <v>138</v>
      </c>
      <c r="E11" s="100"/>
      <c r="F11" s="86">
        <v>8.0000000000000002E-3</v>
      </c>
      <c r="G11" s="86"/>
      <c r="H11" s="87" t="s">
        <v>140</v>
      </c>
      <c r="I11" s="88" t="s">
        <v>123</v>
      </c>
      <c r="J11" s="51">
        <f t="shared" si="0"/>
        <v>8.0000000000000002E-3</v>
      </c>
      <c r="K11" s="51" t="str">
        <f t="shared" si="1"/>
        <v/>
      </c>
      <c r="L11" s="89"/>
      <c r="M11" s="90">
        <f t="shared" si="2"/>
        <v>0</v>
      </c>
      <c r="N11" s="90">
        <f t="shared" si="3"/>
        <v>0</v>
      </c>
      <c r="O11" s="90">
        <f t="shared" si="4"/>
        <v>0</v>
      </c>
      <c r="P11" s="91">
        <f t="shared" si="5"/>
        <v>0</v>
      </c>
      <c r="Q11" s="92" t="str">
        <f t="shared" si="6"/>
        <v/>
      </c>
      <c r="R11" s="93" t="str">
        <f>IF(OR($AI11="",ISNUMBER($AI11)=FALSE),"",IF(AND(#REF!="Tolerance",$E11&lt;&gt;""),($O11-$E11)/(($J11-$K11)/2),IF(AND(#REF!="GD&amp;T",$F11&lt;&gt;""),$O11/$F11,"")))</f>
        <v/>
      </c>
      <c r="S11" s="93" t="str">
        <f t="shared" si="7"/>
        <v/>
      </c>
      <c r="T11" s="92" t="str">
        <f t="shared" si="8"/>
        <v/>
      </c>
      <c r="U11" s="92" t="str">
        <f t="shared" si="9"/>
        <v/>
      </c>
      <c r="V11" s="92" t="str">
        <f t="shared" si="10"/>
        <v/>
      </c>
      <c r="W11" s="112" t="str">
        <f t="shared" si="11"/>
        <v/>
      </c>
      <c r="X11" s="113" t="e">
        <f>IF($O11="","",IF(#REF!="Tolerance",IF((#REF!*3*P11+O11)-E11&lt;F11,"",(#REF!*3*P11+O11)-E11),IF(OR(#REF!="GD&amp;T",#REF!="MAX"),IF((#REF!*3*P11+O11)&lt;F11,"",(#REF!*3*P11+O11)),"")))</f>
        <v>#REF!</v>
      </c>
      <c r="Y11" s="113" t="e">
        <f>IF(O11="","",IF(#REF!="Tolerance",IF(-((#REF!*3*P11)-O11)-E11&gt;G11,"",-((#REF!*3*P11)-O11)-E11),IF(#REF!="MIN",IF(-((#REF!*3*P11)-O11)&gt;G11,"",-((#REF!*3*P11)-O11)),"")))</f>
        <v>#REF!</v>
      </c>
      <c r="Z11" s="113" t="str">
        <f t="shared" si="12"/>
        <v/>
      </c>
      <c r="AA11" s="113" t="str">
        <f t="shared" si="13"/>
        <v/>
      </c>
      <c r="AB11" s="94"/>
      <c r="AC11" s="95" t="str">
        <f t="shared" si="14"/>
        <v/>
      </c>
      <c r="AD11" s="96"/>
      <c r="AE11" s="97"/>
      <c r="AF11" s="97"/>
      <c r="AG11" s="98"/>
      <c r="AH11">
        <v>6</v>
      </c>
      <c r="AI11" s="115"/>
      <c r="AJ11" s="115"/>
      <c r="AK11" s="115"/>
      <c r="AL11" s="115"/>
      <c r="AM11" s="115"/>
      <c r="AN11" s="115"/>
      <c r="AO11" s="115"/>
      <c r="AP11" s="115"/>
      <c r="AQ11" s="115"/>
      <c r="AR11" s="115"/>
      <c r="AS11" s="115"/>
      <c r="AT11" s="115"/>
      <c r="AU11" s="115"/>
      <c r="AV11" s="115"/>
      <c r="AW11" s="115"/>
      <c r="AX11" s="115"/>
      <c r="AY11" s="115"/>
      <c r="AZ11" s="115"/>
      <c r="BA11" s="115"/>
      <c r="BB11" s="115"/>
      <c r="BC11" s="115"/>
      <c r="BD11" s="115"/>
      <c r="BE11" s="115"/>
      <c r="BF11" s="115"/>
      <c r="BG11" s="115"/>
      <c r="BH11" s="115"/>
      <c r="BI11" s="115"/>
      <c r="BJ11" s="115"/>
      <c r="BK11" s="115"/>
      <c r="BL11" s="115"/>
      <c r="BM11" s="116"/>
      <c r="BN11" s="116"/>
      <c r="DQ11" s="99"/>
      <c r="FU11" s="99"/>
      <c r="HC11" s="99"/>
      <c r="JW11" s="99"/>
      <c r="NQ11" s="99"/>
      <c r="PT11" s="99"/>
      <c r="SV11" s="99"/>
      <c r="AKV11" s="99"/>
      <c r="AOS11" s="99"/>
      <c r="AXQ11" s="99"/>
      <c r="BME11" s="99"/>
      <c r="BOW11" s="99"/>
      <c r="BQG11" s="99"/>
      <c r="BSV11" s="99"/>
      <c r="BUV11" s="99"/>
      <c r="CDA11" s="99"/>
      <c r="CHN11" s="99"/>
      <c r="CKC11" s="99"/>
      <c r="COT11" s="99"/>
      <c r="CZW11" s="99"/>
      <c r="DTF11" s="99"/>
    </row>
    <row r="12" spans="1:1023 1025:2040 2061:3066 3097:3494" ht="19.05" customHeight="1">
      <c r="A12">
        <v>7</v>
      </c>
      <c r="B12" s="105" t="s">
        <v>147</v>
      </c>
      <c r="C12" s="105" t="s">
        <v>190</v>
      </c>
      <c r="D12" s="104" t="s">
        <v>138</v>
      </c>
      <c r="E12" s="100"/>
      <c r="F12" s="86">
        <v>8.0000000000000002E-3</v>
      </c>
      <c r="G12" s="86"/>
      <c r="H12" s="87" t="s">
        <v>140</v>
      </c>
      <c r="I12" s="88" t="s">
        <v>123</v>
      </c>
      <c r="J12" s="51">
        <f t="shared" si="0"/>
        <v>8.0000000000000002E-3</v>
      </c>
      <c r="K12" s="51" t="str">
        <f t="shared" si="1"/>
        <v/>
      </c>
      <c r="L12" s="89"/>
      <c r="M12" s="90">
        <f t="shared" si="2"/>
        <v>0</v>
      </c>
      <c r="N12" s="90">
        <f t="shared" si="3"/>
        <v>0</v>
      </c>
      <c r="O12" s="90">
        <f t="shared" si="4"/>
        <v>0</v>
      </c>
      <c r="P12" s="91">
        <f t="shared" si="5"/>
        <v>0</v>
      </c>
      <c r="Q12" s="92" t="str">
        <f t="shared" si="6"/>
        <v/>
      </c>
      <c r="R12" s="93" t="str">
        <f>IF(OR($AI12="",ISNUMBER($AI12)=FALSE),"",IF(AND(#REF!="Tolerance",$E12&lt;&gt;""),($O12-$E12)/(($J12-$K12)/2),IF(AND(#REF!="GD&amp;T",$F12&lt;&gt;""),$O12/$F12,"")))</f>
        <v/>
      </c>
      <c r="S12" s="93" t="str">
        <f t="shared" si="7"/>
        <v/>
      </c>
      <c r="T12" s="92" t="str">
        <f t="shared" si="8"/>
        <v/>
      </c>
      <c r="U12" s="92" t="str">
        <f t="shared" si="9"/>
        <v/>
      </c>
      <c r="V12" s="92" t="str">
        <f t="shared" si="10"/>
        <v/>
      </c>
      <c r="W12" s="112" t="str">
        <f t="shared" si="11"/>
        <v/>
      </c>
      <c r="X12" s="113" t="e">
        <f>IF($O12="","",IF(#REF!="Tolerance",IF((#REF!*3*P12+O12)-E12&lt;F12,"",(#REF!*3*P12+O12)-E12),IF(OR(#REF!="GD&amp;T",#REF!="MAX"),IF((#REF!*3*P12+O12)&lt;F12,"",(#REF!*3*P12+O12)),"")))</f>
        <v>#REF!</v>
      </c>
      <c r="Y12" s="113" t="e">
        <f>IF(O12="","",IF(#REF!="Tolerance",IF(-((#REF!*3*P12)-O12)-E12&gt;G12,"",-((#REF!*3*P12)-O12)-E12),IF(#REF!="MIN",IF(-((#REF!*3*P12)-O12)&gt;G12,"",-((#REF!*3*P12)-O12)),"")))</f>
        <v>#REF!</v>
      </c>
      <c r="Z12" s="113" t="str">
        <f t="shared" si="12"/>
        <v/>
      </c>
      <c r="AA12" s="113" t="str">
        <f t="shared" si="13"/>
        <v/>
      </c>
      <c r="AB12" s="94"/>
      <c r="AC12" s="95" t="str">
        <f t="shared" si="14"/>
        <v/>
      </c>
      <c r="AD12" s="96"/>
      <c r="AE12" s="97"/>
      <c r="AF12" s="97"/>
      <c r="AG12" s="98"/>
      <c r="AH12">
        <v>7</v>
      </c>
      <c r="AI12" s="115"/>
      <c r="AJ12" s="115"/>
      <c r="AK12" s="115"/>
      <c r="AL12" s="115"/>
      <c r="AM12" s="115"/>
      <c r="AN12" s="115"/>
      <c r="AO12" s="115"/>
      <c r="AP12" s="115"/>
      <c r="AQ12" s="115"/>
      <c r="AR12" s="115"/>
      <c r="AS12" s="115"/>
      <c r="AT12" s="115"/>
      <c r="AU12" s="115"/>
      <c r="AV12" s="115"/>
      <c r="AW12" s="115"/>
      <c r="AX12" s="115"/>
      <c r="AY12" s="115"/>
      <c r="AZ12" s="115"/>
      <c r="BA12" s="115"/>
      <c r="BB12" s="115"/>
      <c r="BC12" s="115"/>
      <c r="BD12" s="115"/>
      <c r="BE12" s="115"/>
      <c r="BF12" s="115"/>
      <c r="BG12" s="115"/>
      <c r="BH12" s="115"/>
      <c r="BI12" s="115"/>
      <c r="BJ12" s="115"/>
      <c r="BK12" s="115"/>
      <c r="BL12" s="115"/>
      <c r="BM12" s="116"/>
      <c r="BN12" s="116"/>
      <c r="BT12" s="99"/>
      <c r="DB12" s="99"/>
      <c r="GD12" s="99"/>
      <c r="HR12" s="99"/>
      <c r="NL12" s="99"/>
      <c r="NY12" s="99"/>
      <c r="QO12" s="99"/>
      <c r="XF12" s="99"/>
      <c r="YF12" s="99"/>
      <c r="AAP12" s="99"/>
      <c r="ABZ12" s="99"/>
      <c r="ACN12" s="99"/>
      <c r="ADU12" s="99"/>
      <c r="AHX12" s="99"/>
      <c r="AJN12" s="99"/>
      <c r="ALK12" s="99"/>
      <c r="AMK12" s="99"/>
      <c r="ANZ12" s="99"/>
      <c r="AOX12" s="99"/>
      <c r="APB12" s="99"/>
      <c r="APR12" s="99"/>
      <c r="APY12" s="99"/>
      <c r="APZ12" s="99"/>
      <c r="ARB12" s="99"/>
      <c r="ATM12" s="99"/>
      <c r="AZL12" s="99"/>
      <c r="BBN12" s="99"/>
      <c r="BCN12" s="99"/>
      <c r="BEF12" s="99"/>
      <c r="BFA12" s="99"/>
      <c r="BRH12" s="99"/>
      <c r="BTG12" s="99"/>
      <c r="CEW12" s="99"/>
      <c r="CFT12" s="99"/>
      <c r="CLG12" s="99"/>
      <c r="CWR12" s="99"/>
      <c r="DMF12" s="99"/>
      <c r="DSN12" s="99"/>
      <c r="DSY12" s="99"/>
      <c r="DTX12" s="99"/>
      <c r="DVA12" s="99"/>
    </row>
    <row r="13" spans="1:1023 1025:2040 2061:3066 3097:3494" ht="19.05" customHeight="1">
      <c r="A13">
        <v>8</v>
      </c>
      <c r="B13" s="105" t="s">
        <v>148</v>
      </c>
      <c r="C13" s="105" t="s">
        <v>191</v>
      </c>
      <c r="D13" s="104" t="s">
        <v>138</v>
      </c>
      <c r="E13" s="100"/>
      <c r="F13" s="86">
        <v>8.0000000000000002E-3</v>
      </c>
      <c r="G13" s="86"/>
      <c r="H13" s="87" t="s">
        <v>140</v>
      </c>
      <c r="I13" s="88" t="s">
        <v>123</v>
      </c>
      <c r="J13" s="51">
        <f t="shared" si="0"/>
        <v>8.0000000000000002E-3</v>
      </c>
      <c r="K13" s="51" t="str">
        <f t="shared" si="1"/>
        <v/>
      </c>
      <c r="L13" s="89"/>
      <c r="M13" s="90">
        <f t="shared" si="2"/>
        <v>0</v>
      </c>
      <c r="N13" s="90">
        <f t="shared" si="3"/>
        <v>0</v>
      </c>
      <c r="O13" s="90">
        <f t="shared" si="4"/>
        <v>0</v>
      </c>
      <c r="P13" s="91">
        <f t="shared" si="5"/>
        <v>0</v>
      </c>
      <c r="Q13" s="92" t="str">
        <f t="shared" si="6"/>
        <v/>
      </c>
      <c r="R13" s="93" t="str">
        <f>IF(OR($AI13="",ISNUMBER($AI13)=FALSE),"",IF(AND(#REF!="Tolerance",$E13&lt;&gt;""),($O13-$E13)/(($J13-$K13)/2),IF(AND(#REF!="GD&amp;T",$F13&lt;&gt;""),$O13/$F13,"")))</f>
        <v/>
      </c>
      <c r="S13" s="93" t="str">
        <f t="shared" si="7"/>
        <v/>
      </c>
      <c r="T13" s="92" t="str">
        <f t="shared" si="8"/>
        <v/>
      </c>
      <c r="U13" s="92" t="str">
        <f t="shared" si="9"/>
        <v/>
      </c>
      <c r="V13" s="92" t="str">
        <f t="shared" si="10"/>
        <v/>
      </c>
      <c r="W13" s="112" t="str">
        <f t="shared" si="11"/>
        <v/>
      </c>
      <c r="X13" s="113" t="e">
        <f>IF($O13="","",IF(#REF!="Tolerance",IF((#REF!*3*P13+O13)-E13&lt;F13,"",(#REF!*3*P13+O13)-E13),IF(OR(#REF!="GD&amp;T",#REF!="MAX"),IF((#REF!*3*P13+O13)&lt;F13,"",(#REF!*3*P13+O13)),"")))</f>
        <v>#REF!</v>
      </c>
      <c r="Y13" s="113" t="e">
        <f>IF(O13="","",IF(#REF!="Tolerance",IF(-((#REF!*3*P13)-O13)-E13&gt;G13,"",-((#REF!*3*P13)-O13)-E13),IF(#REF!="MIN",IF(-((#REF!*3*P13)-O13)&gt;G13,"",-((#REF!*3*P13)-O13)),"")))</f>
        <v>#REF!</v>
      </c>
      <c r="Z13" s="113" t="str">
        <f t="shared" si="12"/>
        <v/>
      </c>
      <c r="AA13" s="113" t="str">
        <f t="shared" si="13"/>
        <v/>
      </c>
      <c r="AB13" s="94"/>
      <c r="AC13" s="95" t="str">
        <f t="shared" si="14"/>
        <v/>
      </c>
      <c r="AD13" s="96"/>
      <c r="AE13" s="97"/>
      <c r="AF13" s="97"/>
      <c r="AG13" s="98"/>
      <c r="AH13">
        <v>8</v>
      </c>
      <c r="AI13" s="115"/>
      <c r="AJ13" s="115"/>
      <c r="AK13" s="115"/>
      <c r="AL13" s="115"/>
      <c r="AM13" s="115"/>
      <c r="AN13" s="115"/>
      <c r="AO13" s="115"/>
      <c r="AP13" s="115"/>
      <c r="AQ13" s="115"/>
      <c r="AR13" s="115"/>
      <c r="AS13" s="115"/>
      <c r="AT13" s="115"/>
      <c r="AU13" s="115"/>
      <c r="AV13" s="115"/>
      <c r="AW13" s="115"/>
      <c r="AX13" s="115"/>
      <c r="AY13" s="115"/>
      <c r="AZ13" s="115"/>
      <c r="BA13" s="115"/>
      <c r="BB13" s="115"/>
      <c r="BC13" s="115"/>
      <c r="BD13" s="115"/>
      <c r="BE13" s="115"/>
      <c r="BF13" s="115"/>
      <c r="BG13" s="115"/>
      <c r="BH13" s="115"/>
      <c r="BI13" s="115"/>
      <c r="BJ13" s="115"/>
      <c r="BK13" s="115"/>
      <c r="BL13" s="115"/>
      <c r="BM13" s="116"/>
      <c r="BN13" s="116"/>
      <c r="BX13" s="99"/>
      <c r="CH13" s="99"/>
      <c r="JA13" s="99"/>
      <c r="JS13" s="99"/>
      <c r="AHY13" s="99"/>
      <c r="APB13" s="99"/>
      <c r="APQ13" s="99"/>
      <c r="APX13" s="99"/>
      <c r="ARL13" s="99"/>
      <c r="ASZ13" s="99"/>
      <c r="AUG13" s="99"/>
      <c r="AWU13" s="99"/>
      <c r="AYL13" s="99"/>
      <c r="BCW13" s="99"/>
      <c r="CCF13" s="99"/>
      <c r="CCK13" s="99"/>
      <c r="CHM13" s="99"/>
      <c r="CKG13" s="99"/>
      <c r="CLK13" s="99"/>
      <c r="DBD13" s="99"/>
      <c r="DCD13" s="99"/>
      <c r="DFM13" s="99"/>
      <c r="DQM13" s="99"/>
      <c r="DRB13" s="99"/>
      <c r="DWC13" s="99"/>
      <c r="EDJ13" s="99"/>
    </row>
    <row r="14" spans="1:1023 1025:2040 2061:3066 3097:3494" ht="19.05" customHeight="1">
      <c r="A14">
        <v>9</v>
      </c>
      <c r="B14" s="105" t="s">
        <v>192</v>
      </c>
      <c r="C14" s="105" t="s">
        <v>193</v>
      </c>
      <c r="D14" s="104" t="s">
        <v>82</v>
      </c>
      <c r="E14" s="100"/>
      <c r="F14" s="86">
        <v>0.03</v>
      </c>
      <c r="G14" s="86"/>
      <c r="H14" s="87" t="s">
        <v>81</v>
      </c>
      <c r="I14" s="88" t="s">
        <v>123</v>
      </c>
      <c r="J14" s="51">
        <f t="shared" si="0"/>
        <v>0.03</v>
      </c>
      <c r="K14" s="51" t="str">
        <f t="shared" si="1"/>
        <v/>
      </c>
      <c r="L14" s="89"/>
      <c r="M14" s="90">
        <f t="shared" si="2"/>
        <v>0</v>
      </c>
      <c r="N14" s="90">
        <f t="shared" si="3"/>
        <v>0</v>
      </c>
      <c r="O14" s="90">
        <f t="shared" si="4"/>
        <v>0</v>
      </c>
      <c r="P14" s="91">
        <f t="shared" si="5"/>
        <v>0</v>
      </c>
      <c r="Q14" s="92" t="str">
        <f t="shared" si="6"/>
        <v/>
      </c>
      <c r="R14" s="93" t="str">
        <f>IF(OR($AI14="",ISNUMBER($AI14)=FALSE),"",IF(AND(#REF!="Tolerance",$E14&lt;&gt;""),($O14-$E14)/(($J14-$K14)/2),IF(AND(#REF!="GD&amp;T",$F14&lt;&gt;""),$O14/$F14,"")))</f>
        <v/>
      </c>
      <c r="S14" s="93" t="str">
        <f t="shared" si="7"/>
        <v/>
      </c>
      <c r="T14" s="92" t="str">
        <f t="shared" si="8"/>
        <v/>
      </c>
      <c r="U14" s="92" t="str">
        <f t="shared" si="9"/>
        <v/>
      </c>
      <c r="V14" s="92" t="str">
        <f t="shared" si="10"/>
        <v/>
      </c>
      <c r="W14" s="112" t="str">
        <f t="shared" si="11"/>
        <v/>
      </c>
      <c r="X14" s="113" t="e">
        <f>IF($O14="","",IF(#REF!="Tolerance",IF((#REF!*3*P14+O14)-E14&lt;F14,"",(#REF!*3*P14+O14)-E14),IF(OR(#REF!="GD&amp;T",#REF!="MAX"),IF((#REF!*3*P14+O14)&lt;F14,"",(#REF!*3*P14+O14)),"")))</f>
        <v>#REF!</v>
      </c>
      <c r="Y14" s="113" t="e">
        <f>IF(O14="","",IF(#REF!="Tolerance",IF(-((#REF!*3*P14)-O14)-E14&gt;G14,"",-((#REF!*3*P14)-O14)-E14),IF(#REF!="MIN",IF(-((#REF!*3*P14)-O14)&gt;G14,"",-((#REF!*3*P14)-O14)),"")))</f>
        <v>#REF!</v>
      </c>
      <c r="Z14" s="113" t="str">
        <f t="shared" si="12"/>
        <v/>
      </c>
      <c r="AA14" s="113" t="str">
        <f t="shared" si="13"/>
        <v/>
      </c>
      <c r="AB14" s="94"/>
      <c r="AC14" s="95" t="str">
        <f t="shared" si="14"/>
        <v/>
      </c>
      <c r="AD14" s="96"/>
      <c r="AE14" s="97"/>
      <c r="AF14" s="97"/>
      <c r="AG14" s="98"/>
      <c r="AH14">
        <v>9</v>
      </c>
      <c r="AI14" s="115"/>
      <c r="AJ14" s="115"/>
      <c r="AK14" s="115"/>
      <c r="AL14" s="115"/>
      <c r="AM14" s="115"/>
      <c r="AN14" s="115"/>
      <c r="AO14" s="115"/>
      <c r="AP14" s="115"/>
      <c r="AQ14" s="115"/>
      <c r="AR14" s="115"/>
      <c r="AS14" s="115"/>
      <c r="AT14" s="115"/>
      <c r="AU14" s="115"/>
      <c r="AV14" s="115"/>
      <c r="AW14" s="115"/>
      <c r="AX14" s="115"/>
      <c r="AY14" s="115"/>
      <c r="AZ14" s="115"/>
      <c r="BA14" s="115"/>
      <c r="BB14" s="115"/>
      <c r="BC14" s="115"/>
      <c r="BD14" s="115"/>
      <c r="BE14" s="115"/>
      <c r="BF14" s="115"/>
      <c r="BG14" s="115"/>
      <c r="BH14" s="115"/>
      <c r="BI14" s="115"/>
      <c r="BJ14" s="115"/>
      <c r="BK14" s="115"/>
      <c r="BL14" s="115"/>
      <c r="BM14" s="116"/>
      <c r="BN14" s="116"/>
      <c r="EN14" s="99"/>
      <c r="HC14" s="99"/>
      <c r="KF14" s="99"/>
      <c r="LE14" s="99"/>
      <c r="PS14" s="99"/>
      <c r="WC14" s="99"/>
      <c r="XQ14" s="99"/>
      <c r="YV14" s="99"/>
      <c r="AIZ14" s="99"/>
      <c r="AKV14" s="99"/>
      <c r="ALG14" s="99"/>
      <c r="AMM14" s="99"/>
      <c r="ANE14" s="99"/>
      <c r="AQR14" s="99"/>
      <c r="ASC14" s="99"/>
      <c r="AWH14" s="99"/>
      <c r="AYY14" s="99"/>
      <c r="BCJ14" s="99"/>
      <c r="BEA14" s="99"/>
      <c r="BFP14" s="99"/>
      <c r="BOQ14" s="99"/>
      <c r="BRU14" s="99"/>
      <c r="BSP14" s="99"/>
      <c r="BTE14" s="99"/>
      <c r="BXY14" s="99"/>
      <c r="BYL14" s="99"/>
      <c r="CGR14" s="99"/>
      <c r="CGU14" s="99"/>
      <c r="CLX14" s="99"/>
      <c r="CNI14" s="99"/>
      <c r="CYL14" s="99"/>
      <c r="CYT14" s="99"/>
      <c r="DEK14" s="99"/>
      <c r="DHZ14" s="99"/>
      <c r="DIC14" s="99"/>
      <c r="DIS14" s="99"/>
      <c r="DJS14" s="99"/>
      <c r="DOC14" s="99"/>
      <c r="DPQ14" s="99"/>
      <c r="DPU14" s="99"/>
      <c r="DQX14" s="99"/>
      <c r="EAF14" s="99"/>
      <c r="ECT14" s="99"/>
    </row>
    <row r="15" spans="1:1023 1025:2040 2061:3066 3097:3494" ht="19.05" customHeight="1">
      <c r="A15">
        <v>10</v>
      </c>
      <c r="B15" s="105" t="s">
        <v>149</v>
      </c>
      <c r="C15" s="105" t="s">
        <v>194</v>
      </c>
      <c r="D15" s="104" t="s">
        <v>73</v>
      </c>
      <c r="E15" s="100">
        <v>0.49</v>
      </c>
      <c r="F15" s="86">
        <v>0.01</v>
      </c>
      <c r="G15" s="86">
        <v>-0.01</v>
      </c>
      <c r="H15" s="87" t="s">
        <v>81</v>
      </c>
      <c r="I15" s="88" t="s">
        <v>123</v>
      </c>
      <c r="J15" s="51">
        <f t="shared" si="0"/>
        <v>0.5</v>
      </c>
      <c r="K15" s="51">
        <f t="shared" si="1"/>
        <v>0.48</v>
      </c>
      <c r="L15" s="89"/>
      <c r="M15" s="90">
        <f t="shared" si="2"/>
        <v>0</v>
      </c>
      <c r="N15" s="90">
        <f t="shared" si="3"/>
        <v>0</v>
      </c>
      <c r="O15" s="90">
        <f t="shared" si="4"/>
        <v>0</v>
      </c>
      <c r="P15" s="91">
        <f t="shared" si="5"/>
        <v>0</v>
      </c>
      <c r="Q15" s="92" t="str">
        <f t="shared" si="6"/>
        <v/>
      </c>
      <c r="R15" s="93" t="str">
        <f>IF(OR($AI15="",ISNUMBER($AI15)=FALSE),"",IF(AND(#REF!="Tolerance",$E15&lt;&gt;""),($O15-$E15)/(($J15-$K15)/2),IF(AND(#REF!="GD&amp;T",$F15&lt;&gt;""),$O15/$F15,"")))</f>
        <v/>
      </c>
      <c r="S15" s="93" t="str">
        <f t="shared" si="7"/>
        <v/>
      </c>
      <c r="T15" s="92" t="str">
        <f t="shared" si="8"/>
        <v/>
      </c>
      <c r="U15" s="92" t="str">
        <f t="shared" si="9"/>
        <v/>
      </c>
      <c r="V15" s="92" t="str">
        <f t="shared" si="10"/>
        <v/>
      </c>
      <c r="W15" s="112" t="str">
        <f t="shared" si="11"/>
        <v/>
      </c>
      <c r="X15" s="113" t="e">
        <f>IF($O15="","",IF(#REF!="Tolerance",IF((#REF!*3*P15+O15)-E15&lt;F15,"",(#REF!*3*P15+O15)-E15),IF(OR(#REF!="GD&amp;T",#REF!="MAX"),IF((#REF!*3*P15+O15)&lt;F15,"",(#REF!*3*P15+O15)),"")))</f>
        <v>#REF!</v>
      </c>
      <c r="Y15" s="113" t="e">
        <f>IF(O15="","",IF(#REF!="Tolerance",IF(-((#REF!*3*P15)-O15)-E15&gt;G15,"",-((#REF!*3*P15)-O15)-E15),IF(#REF!="MIN",IF(-((#REF!*3*P15)-O15)&gt;G15,"",-((#REF!*3*P15)-O15)),"")))</f>
        <v>#REF!</v>
      </c>
      <c r="Z15" s="113">
        <f t="shared" si="12"/>
        <v>0.49</v>
      </c>
      <c r="AA15" s="113" t="str">
        <f t="shared" si="13"/>
        <v/>
      </c>
      <c r="AB15" s="94"/>
      <c r="AC15" s="95" t="str">
        <f t="shared" si="14"/>
        <v/>
      </c>
      <c r="AD15" s="96"/>
      <c r="AE15" s="97"/>
      <c r="AF15" s="97"/>
      <c r="AG15" s="98"/>
      <c r="AH15">
        <v>10</v>
      </c>
      <c r="AI15" s="115"/>
      <c r="AJ15" s="115"/>
      <c r="AK15" s="115"/>
      <c r="AL15" s="115"/>
      <c r="AM15" s="115"/>
      <c r="AN15" s="115"/>
      <c r="AO15" s="115"/>
      <c r="AP15" s="115"/>
      <c r="AQ15" s="115"/>
      <c r="AR15" s="115"/>
      <c r="AS15" s="115"/>
      <c r="AT15" s="115"/>
      <c r="AU15" s="115"/>
      <c r="AV15" s="115"/>
      <c r="AW15" s="115"/>
      <c r="AX15" s="115"/>
      <c r="AY15" s="115"/>
      <c r="AZ15" s="115"/>
      <c r="BA15" s="115"/>
      <c r="BB15" s="115"/>
      <c r="BC15" s="115"/>
      <c r="BD15" s="115"/>
      <c r="BE15" s="115"/>
      <c r="BF15" s="115"/>
      <c r="BG15" s="115"/>
      <c r="BH15" s="115"/>
      <c r="BI15" s="115"/>
      <c r="BJ15" s="115"/>
      <c r="BK15" s="115"/>
      <c r="BL15" s="115"/>
      <c r="BM15" s="116"/>
      <c r="BN15" s="116"/>
      <c r="EN15" s="99"/>
      <c r="HC15" s="99"/>
      <c r="KF15" s="99"/>
      <c r="LE15" s="99"/>
      <c r="PS15" s="99"/>
      <c r="WC15" s="99"/>
      <c r="XQ15" s="99"/>
      <c r="YV15" s="99"/>
      <c r="AIZ15" s="99"/>
      <c r="ALG15" s="99"/>
      <c r="AMM15" s="99"/>
      <c r="ANE15" s="99"/>
      <c r="AQE15" s="99"/>
      <c r="AQR15" s="99"/>
      <c r="ARG15" s="99"/>
      <c r="ASC15" s="99"/>
      <c r="AWH15" s="99"/>
      <c r="BCJ15" s="99"/>
      <c r="BEA15" s="99"/>
      <c r="BFP15" s="99"/>
      <c r="BJW15" s="99"/>
      <c r="BOQ15" s="99"/>
      <c r="BRU15" s="99"/>
      <c r="BSP15" s="99"/>
      <c r="BTE15" s="99"/>
      <c r="BXY15" s="99"/>
      <c r="BYL15" s="99"/>
      <c r="CGR15" s="99"/>
      <c r="CGU15" s="99"/>
      <c r="CLX15" s="99"/>
      <c r="CNI15" s="99"/>
      <c r="CWD15" s="99"/>
      <c r="CYT15" s="99"/>
      <c r="DHZ15" s="99"/>
      <c r="DIC15" s="99"/>
      <c r="DIS15" s="99"/>
      <c r="DJS15" s="99"/>
      <c r="DOQ15" s="99"/>
      <c r="DPQ15" s="99"/>
      <c r="DPU15" s="99"/>
      <c r="DQX15" s="99"/>
      <c r="DZL15" s="99"/>
      <c r="EAF15" s="99"/>
      <c r="EBX15" s="99"/>
      <c r="ECT15" s="99"/>
    </row>
    <row r="16" spans="1:1023 1025:2040 2061:3066 3097:3494" ht="19.05" customHeight="1">
      <c r="A16">
        <v>11</v>
      </c>
      <c r="B16" s="105" t="s">
        <v>150</v>
      </c>
      <c r="C16" s="105" t="s">
        <v>195</v>
      </c>
      <c r="D16" s="104" t="s">
        <v>73</v>
      </c>
      <c r="E16" s="100">
        <v>0.49</v>
      </c>
      <c r="F16" s="86">
        <v>0.01</v>
      </c>
      <c r="G16" s="86">
        <v>-0.01</v>
      </c>
      <c r="H16" s="87" t="s">
        <v>81</v>
      </c>
      <c r="I16" s="88" t="s">
        <v>123</v>
      </c>
      <c r="J16" s="51">
        <f t="shared" si="0"/>
        <v>0.5</v>
      </c>
      <c r="K16" s="51">
        <f t="shared" si="1"/>
        <v>0.48</v>
      </c>
      <c r="L16" s="89"/>
      <c r="M16" s="90">
        <f t="shared" si="2"/>
        <v>0</v>
      </c>
      <c r="N16" s="90">
        <f t="shared" si="3"/>
        <v>0</v>
      </c>
      <c r="O16" s="90">
        <f t="shared" si="4"/>
        <v>0</v>
      </c>
      <c r="P16" s="91">
        <f t="shared" si="5"/>
        <v>0</v>
      </c>
      <c r="Q16" s="92" t="str">
        <f t="shared" si="6"/>
        <v/>
      </c>
      <c r="R16" s="93" t="str">
        <f>IF(OR($AI16="",ISNUMBER($AI16)=FALSE),"",IF(AND(#REF!="Tolerance",$E16&lt;&gt;""),($O16-$E16)/(($J16-$K16)/2),IF(AND(#REF!="GD&amp;T",$F16&lt;&gt;""),$O16/$F16,"")))</f>
        <v/>
      </c>
      <c r="S16" s="93" t="str">
        <f t="shared" si="7"/>
        <v/>
      </c>
      <c r="T16" s="92" t="str">
        <f t="shared" si="8"/>
        <v/>
      </c>
      <c r="U16" s="92" t="str">
        <f t="shared" si="9"/>
        <v/>
      </c>
      <c r="V16" s="92" t="str">
        <f t="shared" si="10"/>
        <v/>
      </c>
      <c r="W16" s="112" t="str">
        <f t="shared" si="11"/>
        <v/>
      </c>
      <c r="X16" s="113" t="e">
        <f>IF($O16="","",IF(#REF!="Tolerance",IF((#REF!*3*P16+O16)-E16&lt;F16,"",(#REF!*3*P16+O16)-E16),IF(OR(#REF!="GD&amp;T",#REF!="MAX"),IF((#REF!*3*P16+O16)&lt;F16,"",(#REF!*3*P16+O16)),"")))</f>
        <v>#REF!</v>
      </c>
      <c r="Y16" s="113" t="e">
        <f>IF(O16="","",IF(#REF!="Tolerance",IF(-((#REF!*3*P16)-O16)-E16&gt;G16,"",-((#REF!*3*P16)-O16)-E16),IF(#REF!="MIN",IF(-((#REF!*3*P16)-O16)&gt;G16,"",-((#REF!*3*P16)-O16)),"")))</f>
        <v>#REF!</v>
      </c>
      <c r="Z16" s="113">
        <f t="shared" si="12"/>
        <v>0.49</v>
      </c>
      <c r="AA16" s="113" t="str">
        <f t="shared" si="13"/>
        <v/>
      </c>
      <c r="AB16" s="94"/>
      <c r="AC16" s="95" t="str">
        <f t="shared" si="14"/>
        <v/>
      </c>
      <c r="AD16" s="96"/>
      <c r="AE16" s="97"/>
      <c r="AF16" s="97"/>
      <c r="AG16" s="98"/>
      <c r="AH16">
        <v>11</v>
      </c>
      <c r="AI16" s="115"/>
      <c r="AJ16" s="115"/>
      <c r="AK16" s="115"/>
      <c r="AL16" s="115"/>
      <c r="AM16" s="115"/>
      <c r="AN16" s="115"/>
      <c r="AO16" s="115"/>
      <c r="AP16" s="115"/>
      <c r="AQ16" s="115"/>
      <c r="AR16" s="115"/>
      <c r="AS16" s="115"/>
      <c r="AT16" s="115"/>
      <c r="AU16" s="115"/>
      <c r="AV16" s="115"/>
      <c r="AW16" s="115"/>
      <c r="AX16" s="115"/>
      <c r="AY16" s="115"/>
      <c r="AZ16" s="115"/>
      <c r="BA16" s="115"/>
      <c r="BB16" s="115"/>
      <c r="BC16" s="115"/>
      <c r="BD16" s="115"/>
      <c r="BE16" s="115"/>
      <c r="BF16" s="115"/>
      <c r="BG16" s="115"/>
      <c r="BH16" s="115"/>
      <c r="BI16" s="115"/>
      <c r="BJ16" s="115"/>
      <c r="BK16" s="115"/>
      <c r="BL16" s="115"/>
      <c r="BM16" s="116"/>
      <c r="BN16" s="116"/>
      <c r="EN16" s="99"/>
      <c r="HC16" s="99"/>
      <c r="LE16" s="99"/>
      <c r="PS16" s="99"/>
      <c r="WC16" s="99"/>
      <c r="XQ16" s="99"/>
      <c r="YV16" s="99"/>
      <c r="AIZ16" s="99"/>
      <c r="ALG16" s="99"/>
      <c r="AMM16" s="99"/>
      <c r="ANE16" s="99"/>
      <c r="AQE16" s="99"/>
      <c r="ASC16" s="99"/>
      <c r="AWH16" s="99"/>
      <c r="BCJ16" s="99"/>
      <c r="BEA16" s="99"/>
      <c r="BFP16" s="99"/>
      <c r="BKT16" s="99"/>
      <c r="BOQ16" s="99"/>
      <c r="BRU16" s="99"/>
      <c r="BSP16" s="99"/>
      <c r="BTE16" s="99"/>
      <c r="BXY16" s="99"/>
      <c r="BYL16" s="99"/>
      <c r="CGR16" s="99"/>
      <c r="CGU16" s="99"/>
      <c r="CTV16" s="99"/>
      <c r="DHZ16" s="99"/>
      <c r="DIC16" s="99"/>
      <c r="DIS16" s="99"/>
      <c r="DJS16" s="99"/>
      <c r="DPQ16" s="99"/>
      <c r="DPU16" s="99"/>
      <c r="DQX16" s="99"/>
      <c r="DZL16" s="99"/>
      <c r="EAF16" s="99"/>
      <c r="ECT16" s="99"/>
    </row>
    <row r="17" spans="1:995 1027:2014 2228:2983 3137:3412" ht="19.05" customHeight="1">
      <c r="A17">
        <v>12</v>
      </c>
      <c r="B17" s="105" t="s">
        <v>151</v>
      </c>
      <c r="C17" s="105" t="s">
        <v>196</v>
      </c>
      <c r="D17" s="104" t="s">
        <v>73</v>
      </c>
      <c r="E17" s="100">
        <v>0.49</v>
      </c>
      <c r="F17" s="86">
        <v>0.01</v>
      </c>
      <c r="G17" s="86">
        <v>-0.01</v>
      </c>
      <c r="H17" s="87" t="s">
        <v>81</v>
      </c>
      <c r="I17" s="88" t="s">
        <v>123</v>
      </c>
      <c r="J17" s="51">
        <f t="shared" si="0"/>
        <v>0.5</v>
      </c>
      <c r="K17" s="51">
        <f t="shared" si="1"/>
        <v>0.48</v>
      </c>
      <c r="L17" s="89"/>
      <c r="M17" s="90">
        <f t="shared" si="2"/>
        <v>0</v>
      </c>
      <c r="N17" s="90">
        <f t="shared" si="3"/>
        <v>0</v>
      </c>
      <c r="O17" s="90">
        <f t="shared" si="4"/>
        <v>0</v>
      </c>
      <c r="P17" s="91">
        <f t="shared" si="5"/>
        <v>0</v>
      </c>
      <c r="Q17" s="92" t="str">
        <f t="shared" si="6"/>
        <v/>
      </c>
      <c r="R17" s="93" t="str">
        <f>IF(OR($AI17="",ISNUMBER($AI17)=FALSE),"",IF(AND(#REF!="Tolerance",$E17&lt;&gt;""),($O17-$E17)/(($J17-$K17)/2),IF(AND(#REF!="GD&amp;T",$F17&lt;&gt;""),$O17/$F17,"")))</f>
        <v/>
      </c>
      <c r="S17" s="93" t="str">
        <f t="shared" si="7"/>
        <v/>
      </c>
      <c r="T17" s="92" t="str">
        <f t="shared" si="8"/>
        <v/>
      </c>
      <c r="U17" s="92" t="str">
        <f t="shared" si="9"/>
        <v/>
      </c>
      <c r="V17" s="92" t="str">
        <f t="shared" si="10"/>
        <v/>
      </c>
      <c r="W17" s="112" t="str">
        <f t="shared" si="11"/>
        <v/>
      </c>
      <c r="X17" s="113" t="e">
        <f>IF($O17="","",IF(#REF!="Tolerance",IF((#REF!*3*P17+O17)-E17&lt;F17,"",(#REF!*3*P17+O17)-E17),IF(OR(#REF!="GD&amp;T",#REF!="MAX"),IF((#REF!*3*P17+O17)&lt;F17,"",(#REF!*3*P17+O17)),"")))</f>
        <v>#REF!</v>
      </c>
      <c r="Y17" s="113" t="e">
        <f>IF(O17="","",IF(#REF!="Tolerance",IF(-((#REF!*3*P17)-O17)-E17&gt;G17,"",-((#REF!*3*P17)-O17)-E17),IF(#REF!="MIN",IF(-((#REF!*3*P17)-O17)&gt;G17,"",-((#REF!*3*P17)-O17)),"")))</f>
        <v>#REF!</v>
      </c>
      <c r="Z17" s="113">
        <f t="shared" si="12"/>
        <v>0.49</v>
      </c>
      <c r="AA17" s="113" t="str">
        <f t="shared" si="13"/>
        <v/>
      </c>
      <c r="AB17" s="94"/>
      <c r="AC17" s="95" t="str">
        <f t="shared" si="14"/>
        <v/>
      </c>
      <c r="AD17" s="96"/>
      <c r="AE17" s="97"/>
      <c r="AF17" s="97"/>
      <c r="AG17" s="98"/>
      <c r="AH17">
        <v>12</v>
      </c>
      <c r="AI17" s="115"/>
      <c r="AJ17" s="115"/>
      <c r="AK17" s="115"/>
      <c r="AL17" s="115"/>
      <c r="AM17" s="115"/>
      <c r="AN17" s="115"/>
      <c r="AO17" s="115"/>
      <c r="AP17" s="115"/>
      <c r="AQ17" s="115"/>
      <c r="AR17" s="115"/>
      <c r="AS17" s="115"/>
      <c r="AT17" s="115"/>
      <c r="AU17" s="115"/>
      <c r="AV17" s="115"/>
      <c r="AW17" s="115"/>
      <c r="AX17" s="115"/>
      <c r="AY17" s="115"/>
      <c r="AZ17" s="115"/>
      <c r="BA17" s="115"/>
      <c r="BB17" s="115"/>
      <c r="BC17" s="115"/>
      <c r="BD17" s="115"/>
      <c r="BE17" s="115"/>
      <c r="BF17" s="115"/>
      <c r="BG17" s="115"/>
      <c r="BH17" s="115"/>
      <c r="BI17" s="115"/>
      <c r="BJ17" s="115"/>
      <c r="BK17" s="115"/>
      <c r="BL17" s="115"/>
      <c r="BM17" s="116"/>
      <c r="BN17" s="116"/>
      <c r="HC17" s="99"/>
      <c r="LE17" s="99"/>
      <c r="XQ17" s="99"/>
      <c r="YV17" s="99"/>
      <c r="AIZ17" s="99"/>
      <c r="AKV17" s="99"/>
      <c r="ALG17" s="99"/>
      <c r="AMM17" s="99"/>
      <c r="ANE17" s="99"/>
      <c r="AQE17" s="99"/>
      <c r="AQR17" s="99"/>
      <c r="ASC17" s="99"/>
      <c r="AWH17" s="99"/>
      <c r="AYY17" s="99"/>
      <c r="BCJ17" s="99"/>
      <c r="BEA17" s="99"/>
      <c r="BFP17" s="99"/>
      <c r="BJW17" s="99"/>
      <c r="BOQ17" s="99"/>
      <c r="BRU17" s="99"/>
      <c r="BSP17" s="99"/>
      <c r="BXY17" s="99"/>
      <c r="BYL17" s="99"/>
      <c r="CGR17" s="99"/>
      <c r="DHZ17" s="99"/>
      <c r="DIC17" s="99"/>
      <c r="DIS17" s="99"/>
      <c r="DJS17" s="99"/>
      <c r="DPQ17" s="99"/>
      <c r="DPU17" s="99"/>
      <c r="DQX17" s="99"/>
      <c r="DSN17" s="99"/>
      <c r="DZL17" s="99"/>
      <c r="EAF17" s="99"/>
    </row>
    <row r="18" spans="1:995 1027:2014 2228:2983 3137:3412" ht="19.05" customHeight="1">
      <c r="A18">
        <v>13</v>
      </c>
      <c r="B18" s="105" t="s">
        <v>165</v>
      </c>
      <c r="C18" s="105" t="s">
        <v>197</v>
      </c>
      <c r="D18" s="104" t="s">
        <v>73</v>
      </c>
      <c r="E18" s="100">
        <v>0.77</v>
      </c>
      <c r="F18" s="86">
        <v>0.02</v>
      </c>
      <c r="G18" s="86">
        <v>-0.02</v>
      </c>
      <c r="H18" s="87" t="s">
        <v>198</v>
      </c>
      <c r="I18" s="88" t="s">
        <v>123</v>
      </c>
      <c r="J18" s="51">
        <f t="shared" si="0"/>
        <v>0.79</v>
      </c>
      <c r="K18" s="51">
        <f t="shared" si="1"/>
        <v>0.75</v>
      </c>
      <c r="L18" s="89"/>
      <c r="M18" s="90">
        <f t="shared" si="2"/>
        <v>0</v>
      </c>
      <c r="N18" s="90">
        <f t="shared" si="3"/>
        <v>0</v>
      </c>
      <c r="O18" s="90">
        <f t="shared" si="4"/>
        <v>0</v>
      </c>
      <c r="P18" s="91">
        <f t="shared" si="5"/>
        <v>0</v>
      </c>
      <c r="Q18" s="92" t="str">
        <f t="shared" si="6"/>
        <v/>
      </c>
      <c r="R18" s="93" t="str">
        <f>IF(OR($AI18="",ISNUMBER($AI18)=FALSE),"",IF(AND(#REF!="Tolerance",$E18&lt;&gt;""),($O18-$E18)/(($J18-$K18)/2),IF(AND(#REF!="GD&amp;T",$F18&lt;&gt;""),$O18/$F18,"")))</f>
        <v/>
      </c>
      <c r="S18" s="93" t="str">
        <f t="shared" si="7"/>
        <v/>
      </c>
      <c r="T18" s="92" t="str">
        <f t="shared" si="8"/>
        <v/>
      </c>
      <c r="U18" s="92" t="str">
        <f t="shared" si="9"/>
        <v/>
      </c>
      <c r="V18" s="92" t="str">
        <f t="shared" si="10"/>
        <v/>
      </c>
      <c r="W18" s="112" t="str">
        <f t="shared" si="11"/>
        <v/>
      </c>
      <c r="X18" s="113" t="e">
        <f>IF($O18="","",IF(#REF!="Tolerance",IF((#REF!*3*P18+O18)-E18&lt;F18,"",(#REF!*3*P18+O18)-E18),IF(OR(#REF!="GD&amp;T",#REF!="MAX"),IF((#REF!*3*P18+O18)&lt;F18,"",(#REF!*3*P18+O18)),"")))</f>
        <v>#REF!</v>
      </c>
      <c r="Y18" s="113" t="e">
        <f>IF(O18="","",IF(#REF!="Tolerance",IF(-((#REF!*3*P18)-O18)-E18&gt;G18,"",-((#REF!*3*P18)-O18)-E18),IF(#REF!="MIN",IF(-((#REF!*3*P18)-O18)&gt;G18,"",-((#REF!*3*P18)-O18)),"")))</f>
        <v>#REF!</v>
      </c>
      <c r="Z18" s="113">
        <f t="shared" si="12"/>
        <v>0.77</v>
      </c>
      <c r="AA18" s="113" t="str">
        <f t="shared" si="13"/>
        <v/>
      </c>
      <c r="AB18" s="94"/>
      <c r="AC18" s="95" t="str">
        <f t="shared" si="14"/>
        <v/>
      </c>
      <c r="AD18" s="96"/>
      <c r="AE18" s="97"/>
      <c r="AF18" s="97"/>
      <c r="AG18" s="98"/>
      <c r="AH18">
        <v>13</v>
      </c>
      <c r="AI18" s="115"/>
      <c r="AJ18" s="115"/>
      <c r="AK18" s="115"/>
      <c r="AL18" s="115"/>
      <c r="AM18" s="115"/>
      <c r="AN18" s="115"/>
      <c r="AO18" s="115"/>
      <c r="AP18" s="115"/>
      <c r="AQ18" s="115"/>
      <c r="AR18" s="115"/>
      <c r="AS18" s="115"/>
      <c r="AT18" s="115"/>
      <c r="AU18" s="115"/>
      <c r="AV18" s="115"/>
      <c r="AW18" s="115"/>
      <c r="AX18" s="115"/>
      <c r="AY18" s="115"/>
      <c r="AZ18" s="115"/>
      <c r="BA18" s="115"/>
      <c r="BB18" s="115"/>
      <c r="BC18" s="115"/>
      <c r="BD18" s="115"/>
      <c r="BE18" s="115"/>
      <c r="BF18" s="115"/>
      <c r="BG18" s="115"/>
      <c r="BH18" s="115"/>
      <c r="BI18" s="115"/>
      <c r="BJ18" s="115"/>
      <c r="BK18" s="115"/>
      <c r="BL18" s="115"/>
      <c r="BM18" s="116"/>
      <c r="BN18" s="116"/>
      <c r="HC18" s="99"/>
      <c r="LE18" s="99"/>
      <c r="PS18" s="99"/>
      <c r="QC18" s="99"/>
      <c r="XQ18" s="99"/>
      <c r="YV18" s="99"/>
      <c r="AIZ18" s="99"/>
      <c r="ALG18" s="99"/>
      <c r="AMM18" s="99"/>
      <c r="ANE18" s="99"/>
      <c r="AQE18" s="99"/>
      <c r="AQR18" s="99"/>
      <c r="ASC18" s="99"/>
      <c r="AWH18" s="99"/>
      <c r="AYY18" s="99"/>
      <c r="BCJ18" s="99"/>
      <c r="BEA18" s="99"/>
      <c r="BFP18" s="99"/>
      <c r="BOQ18" s="99"/>
      <c r="BRU18" s="99"/>
      <c r="BSP18" s="99"/>
      <c r="BTE18" s="99"/>
      <c r="BXY18" s="99"/>
      <c r="BYL18" s="99"/>
      <c r="CGR18" s="99"/>
      <c r="DHZ18" s="99"/>
      <c r="DIC18" s="99"/>
      <c r="DIS18" s="99"/>
      <c r="DJS18" s="99"/>
      <c r="DPQ18" s="99"/>
      <c r="DPU18" s="99"/>
      <c r="DZL18" s="99"/>
      <c r="EAF18" s="99"/>
    </row>
    <row r="19" spans="1:995 1027:2014 2228:2983 3137:3412" ht="19.05" customHeight="1">
      <c r="B19" s="105" t="s">
        <v>166</v>
      </c>
      <c r="C19" s="105" t="s">
        <v>199</v>
      </c>
      <c r="D19" s="104" t="s">
        <v>73</v>
      </c>
      <c r="E19" s="100">
        <v>0.77</v>
      </c>
      <c r="F19" s="86">
        <v>0.02</v>
      </c>
      <c r="G19" s="86">
        <v>-0.02</v>
      </c>
      <c r="H19" s="87" t="s">
        <v>198</v>
      </c>
      <c r="I19" s="88"/>
      <c r="J19" s="51">
        <f t="shared" si="0"/>
        <v>0.79</v>
      </c>
      <c r="K19" s="51">
        <f t="shared" si="1"/>
        <v>0.75</v>
      </c>
      <c r="L19" s="89"/>
      <c r="M19" s="90">
        <f t="shared" si="2"/>
        <v>0</v>
      </c>
      <c r="N19" s="90">
        <f t="shared" si="3"/>
        <v>0</v>
      </c>
      <c r="O19" s="90">
        <f t="shared" si="4"/>
        <v>0</v>
      </c>
      <c r="P19" s="91">
        <f t="shared" si="5"/>
        <v>0</v>
      </c>
      <c r="Q19" s="92" t="str">
        <f t="shared" si="6"/>
        <v/>
      </c>
      <c r="R19" s="93" t="str">
        <f>IF(OR($AI19="",ISNUMBER($AI19)=FALSE),"",IF(AND(#REF!="Tolerance",$E19&lt;&gt;""),($O19-$E19)/(($J19-$K19)/2),IF(AND(#REF!="GD&amp;T",$F19&lt;&gt;""),$O19/$F19,"")))</f>
        <v/>
      </c>
      <c r="S19" s="93" t="str">
        <f t="shared" si="7"/>
        <v/>
      </c>
      <c r="T19" s="92" t="str">
        <f t="shared" si="8"/>
        <v/>
      </c>
      <c r="U19" s="92" t="str">
        <f t="shared" si="9"/>
        <v/>
      </c>
      <c r="V19" s="92" t="str">
        <f t="shared" si="10"/>
        <v/>
      </c>
      <c r="W19" s="112" t="str">
        <f t="shared" si="11"/>
        <v/>
      </c>
      <c r="X19" s="113" t="e">
        <f>IF($O19="","",IF(#REF!="Tolerance",IF((#REF!*3*P19+O19)-E19&lt;F19,"",(#REF!*3*P19+O19)-E19),IF(OR(#REF!="GD&amp;T",#REF!="MAX"),IF((#REF!*3*P19+O19)&lt;F19,"",(#REF!*3*P19+O19)),"")))</f>
        <v>#REF!</v>
      </c>
      <c r="Y19" s="113" t="e">
        <f>IF(O19="","",IF(#REF!="Tolerance",IF(-((#REF!*3*P19)-O19)-E19&gt;G19,"",-((#REF!*3*P19)-O19)-E19),IF(#REF!="MIN",IF(-((#REF!*3*P19)-O19)&gt;G19,"",-((#REF!*3*P19)-O19)),"")))</f>
        <v>#REF!</v>
      </c>
      <c r="Z19" s="113">
        <f t="shared" si="12"/>
        <v>0.77</v>
      </c>
      <c r="AA19" s="113" t="str">
        <f t="shared" si="13"/>
        <v/>
      </c>
      <c r="AB19" s="94"/>
      <c r="AC19" s="95" t="str">
        <f t="shared" si="14"/>
        <v/>
      </c>
      <c r="AD19" s="96"/>
      <c r="AE19" s="97"/>
      <c r="AF19" s="97"/>
      <c r="AG19" s="98"/>
      <c r="AI19" s="115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5"/>
      <c r="BF19" s="115"/>
      <c r="BG19" s="115"/>
      <c r="BH19" s="115"/>
      <c r="BI19" s="115"/>
      <c r="BJ19" s="115"/>
      <c r="BK19" s="115"/>
      <c r="BL19" s="115"/>
      <c r="BM19" s="116"/>
      <c r="BN19" s="116"/>
    </row>
    <row r="20" spans="1:995 1027:2014 2228:2983 3137:3412" ht="19.05" customHeight="1">
      <c r="B20" s="105" t="s">
        <v>167</v>
      </c>
      <c r="C20" s="105" t="s">
        <v>200</v>
      </c>
      <c r="D20" s="104" t="s">
        <v>73</v>
      </c>
      <c r="E20" s="100">
        <v>0.77</v>
      </c>
      <c r="F20" s="86">
        <v>0.02</v>
      </c>
      <c r="G20" s="86">
        <v>-0.02</v>
      </c>
      <c r="H20" s="87" t="s">
        <v>198</v>
      </c>
      <c r="I20" s="88"/>
      <c r="J20" s="51">
        <f t="shared" si="0"/>
        <v>0.79</v>
      </c>
      <c r="K20" s="51">
        <f t="shared" si="1"/>
        <v>0.75</v>
      </c>
      <c r="L20" s="89"/>
      <c r="M20" s="90">
        <f t="shared" si="2"/>
        <v>0</v>
      </c>
      <c r="N20" s="90">
        <f t="shared" si="3"/>
        <v>0</v>
      </c>
      <c r="O20" s="90">
        <f t="shared" si="4"/>
        <v>0</v>
      </c>
      <c r="P20" s="91">
        <f t="shared" si="5"/>
        <v>0</v>
      </c>
      <c r="Q20" s="92" t="str">
        <f t="shared" si="6"/>
        <v/>
      </c>
      <c r="R20" s="93" t="str">
        <f>IF(OR($AI20="",ISNUMBER($AI20)=FALSE),"",IF(AND(#REF!="Tolerance",$E20&lt;&gt;""),($O20-$E20)/(($J20-$K20)/2),IF(AND(#REF!="GD&amp;T",$F20&lt;&gt;""),$O20/$F20,"")))</f>
        <v/>
      </c>
      <c r="S20" s="93" t="str">
        <f t="shared" si="7"/>
        <v/>
      </c>
      <c r="T20" s="92" t="str">
        <f t="shared" si="8"/>
        <v/>
      </c>
      <c r="U20" s="92" t="str">
        <f t="shared" si="9"/>
        <v/>
      </c>
      <c r="V20" s="92" t="str">
        <f t="shared" si="10"/>
        <v/>
      </c>
      <c r="W20" s="112" t="str">
        <f t="shared" si="11"/>
        <v/>
      </c>
      <c r="X20" s="113" t="e">
        <f>IF($O20="","",IF(#REF!="Tolerance",IF((#REF!*3*P20+O20)-E20&lt;F20,"",(#REF!*3*P20+O20)-E20),IF(OR(#REF!="GD&amp;T",#REF!="MAX"),IF((#REF!*3*P20+O20)&lt;F20,"",(#REF!*3*P20+O20)),"")))</f>
        <v>#REF!</v>
      </c>
      <c r="Y20" s="113" t="e">
        <f>IF(O20="","",IF(#REF!="Tolerance",IF(-((#REF!*3*P20)-O20)-E20&gt;G20,"",-((#REF!*3*P20)-O20)-E20),IF(#REF!="MIN",IF(-((#REF!*3*P20)-O20)&gt;G20,"",-((#REF!*3*P20)-O20)),"")))</f>
        <v>#REF!</v>
      </c>
      <c r="Z20" s="113">
        <f t="shared" si="12"/>
        <v>0.77</v>
      </c>
      <c r="AA20" s="113" t="str">
        <f t="shared" si="13"/>
        <v/>
      </c>
      <c r="AB20" s="94"/>
      <c r="AC20" s="95" t="str">
        <f t="shared" si="14"/>
        <v/>
      </c>
      <c r="AD20" s="96"/>
      <c r="AE20" s="97"/>
      <c r="AF20" s="97"/>
      <c r="AG20" s="98"/>
      <c r="AI20" s="115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5"/>
      <c r="BF20" s="115"/>
      <c r="BG20" s="115"/>
      <c r="BH20" s="115"/>
      <c r="BI20" s="115"/>
      <c r="BJ20" s="115"/>
      <c r="BK20" s="115"/>
      <c r="BL20" s="115"/>
      <c r="BM20" s="116"/>
      <c r="BN20" s="116"/>
    </row>
    <row r="21" spans="1:995 1027:2014 2228:2983 3137:3412" ht="19.05" customHeight="1">
      <c r="B21" s="105" t="s">
        <v>130</v>
      </c>
      <c r="C21" s="105" t="s">
        <v>201</v>
      </c>
      <c r="D21" s="104" t="s">
        <v>73</v>
      </c>
      <c r="E21" s="100">
        <v>0.49</v>
      </c>
      <c r="F21" s="86">
        <v>1.4999999999999999E-2</v>
      </c>
      <c r="G21" s="86">
        <v>-1.4999999999999999E-2</v>
      </c>
      <c r="H21" s="87" t="s">
        <v>81</v>
      </c>
      <c r="I21" s="88"/>
      <c r="J21" s="51">
        <f t="shared" si="0"/>
        <v>0.505</v>
      </c>
      <c r="K21" s="51">
        <f t="shared" si="1"/>
        <v>0.47499999999999998</v>
      </c>
      <c r="L21" s="89"/>
      <c r="M21" s="90">
        <f t="shared" si="2"/>
        <v>0</v>
      </c>
      <c r="N21" s="90">
        <f t="shared" si="3"/>
        <v>0</v>
      </c>
      <c r="O21" s="90">
        <f t="shared" si="4"/>
        <v>0</v>
      </c>
      <c r="P21" s="91">
        <f t="shared" si="5"/>
        <v>0</v>
      </c>
      <c r="Q21" s="92" t="str">
        <f t="shared" si="6"/>
        <v/>
      </c>
      <c r="R21" s="93" t="str">
        <f>IF(OR($AI21="",ISNUMBER($AI21)=FALSE),"",IF(AND(#REF!="Tolerance",$E21&lt;&gt;""),($O21-$E21)/(($J21-$K21)/2),IF(AND(#REF!="GD&amp;T",$F21&lt;&gt;""),$O21/$F21,"")))</f>
        <v/>
      </c>
      <c r="S21" s="93" t="str">
        <f t="shared" si="7"/>
        <v/>
      </c>
      <c r="T21" s="92" t="str">
        <f t="shared" si="8"/>
        <v/>
      </c>
      <c r="U21" s="92" t="str">
        <f t="shared" si="9"/>
        <v/>
      </c>
      <c r="V21" s="92" t="str">
        <f t="shared" si="10"/>
        <v/>
      </c>
      <c r="W21" s="112" t="str">
        <f t="shared" si="11"/>
        <v/>
      </c>
      <c r="X21" s="113" t="e">
        <f>IF($O21="","",IF(#REF!="Tolerance",IF((#REF!*3*P21+O21)-E21&lt;F21,"",(#REF!*3*P21+O21)-E21),IF(OR(#REF!="GD&amp;T",#REF!="MAX"),IF((#REF!*3*P21+O21)&lt;F21,"",(#REF!*3*P21+O21)),"")))</f>
        <v>#REF!</v>
      </c>
      <c r="Y21" s="113" t="e">
        <f>IF(O21="","",IF(#REF!="Tolerance",IF(-((#REF!*3*P21)-O21)-E21&gt;G21,"",-((#REF!*3*P21)-O21)-E21),IF(#REF!="MIN",IF(-((#REF!*3*P21)-O21)&gt;G21,"",-((#REF!*3*P21)-O21)),"")))</f>
        <v>#REF!</v>
      </c>
      <c r="Z21" s="113">
        <f t="shared" si="12"/>
        <v>0.49</v>
      </c>
      <c r="AA21" s="113" t="str">
        <f t="shared" si="13"/>
        <v/>
      </c>
      <c r="AB21" s="94"/>
      <c r="AC21" s="95" t="str">
        <f t="shared" si="14"/>
        <v/>
      </c>
      <c r="AD21" s="96"/>
      <c r="AE21" s="97"/>
      <c r="AF21" s="97"/>
      <c r="AG21" s="98"/>
      <c r="AI21" s="115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5"/>
      <c r="BF21" s="115"/>
      <c r="BG21" s="115"/>
      <c r="BH21" s="115"/>
      <c r="BI21" s="115"/>
      <c r="BJ21" s="115"/>
      <c r="BK21" s="115"/>
      <c r="BL21" s="115"/>
      <c r="BM21" s="116"/>
      <c r="BN21" s="116"/>
    </row>
    <row r="22" spans="1:995 1027:2014 2228:2983 3137:3412" ht="19.05" customHeight="1">
      <c r="B22" s="105" t="s">
        <v>129</v>
      </c>
      <c r="C22" s="105" t="s">
        <v>202</v>
      </c>
      <c r="D22" s="104" t="s">
        <v>73</v>
      </c>
      <c r="E22" s="100">
        <v>0.49</v>
      </c>
      <c r="F22" s="86">
        <v>1.4999999999999999E-2</v>
      </c>
      <c r="G22" s="86">
        <v>-1.4999999999999999E-2</v>
      </c>
      <c r="H22" s="87" t="s">
        <v>81</v>
      </c>
      <c r="I22" s="88"/>
      <c r="J22" s="51">
        <f t="shared" si="0"/>
        <v>0.505</v>
      </c>
      <c r="K22" s="51">
        <f t="shared" si="1"/>
        <v>0.47499999999999998</v>
      </c>
      <c r="L22" s="89"/>
      <c r="M22" s="90">
        <f t="shared" si="2"/>
        <v>0</v>
      </c>
      <c r="N22" s="90">
        <f t="shared" si="3"/>
        <v>0</v>
      </c>
      <c r="O22" s="90">
        <f t="shared" si="4"/>
        <v>0</v>
      </c>
      <c r="P22" s="91">
        <f t="shared" si="5"/>
        <v>0</v>
      </c>
      <c r="Q22" s="92" t="str">
        <f t="shared" si="6"/>
        <v/>
      </c>
      <c r="R22" s="93" t="str">
        <f>IF(OR($AI22="",ISNUMBER($AI22)=FALSE),"",IF(AND(#REF!="Tolerance",$E22&lt;&gt;""),($O22-$E22)/(($J22-$K22)/2),IF(AND(#REF!="GD&amp;T",$F22&lt;&gt;""),$O22/$F22,"")))</f>
        <v/>
      </c>
      <c r="S22" s="93" t="str">
        <f t="shared" si="7"/>
        <v/>
      </c>
      <c r="T22" s="92" t="str">
        <f t="shared" si="8"/>
        <v/>
      </c>
      <c r="U22" s="92" t="str">
        <f t="shared" si="9"/>
        <v/>
      </c>
      <c r="V22" s="92" t="str">
        <f t="shared" si="10"/>
        <v/>
      </c>
      <c r="W22" s="112" t="str">
        <f t="shared" si="11"/>
        <v/>
      </c>
      <c r="X22" s="113" t="e">
        <f>IF($O22="","",IF(#REF!="Tolerance",IF((#REF!*3*P22+O22)-E22&lt;F22,"",(#REF!*3*P22+O22)-E22),IF(OR(#REF!="GD&amp;T",#REF!="MAX"),IF((#REF!*3*P22+O22)&lt;F22,"",(#REF!*3*P22+O22)),"")))</f>
        <v>#REF!</v>
      </c>
      <c r="Y22" s="113" t="e">
        <f>IF(O22="","",IF(#REF!="Tolerance",IF(-((#REF!*3*P22)-O22)-E22&gt;G22,"",-((#REF!*3*P22)-O22)-E22),IF(#REF!="MIN",IF(-((#REF!*3*P22)-O22)&gt;G22,"",-((#REF!*3*P22)-O22)),"")))</f>
        <v>#REF!</v>
      </c>
      <c r="Z22" s="113">
        <f t="shared" si="12"/>
        <v>0.49</v>
      </c>
      <c r="AA22" s="113" t="str">
        <f t="shared" si="13"/>
        <v/>
      </c>
      <c r="AB22" s="94"/>
      <c r="AC22" s="95" t="str">
        <f t="shared" si="14"/>
        <v/>
      </c>
      <c r="AD22" s="96"/>
      <c r="AE22" s="97"/>
      <c r="AF22" s="97"/>
      <c r="AG22" s="98"/>
      <c r="AI22" s="115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5"/>
      <c r="BF22" s="115"/>
      <c r="BG22" s="115"/>
      <c r="BH22" s="115"/>
      <c r="BI22" s="115"/>
      <c r="BJ22" s="115"/>
      <c r="BK22" s="115"/>
      <c r="BL22" s="115"/>
      <c r="BM22" s="116"/>
      <c r="BN22" s="116"/>
    </row>
    <row r="23" spans="1:995 1027:2014 2228:2983 3137:3412" ht="19.05" customHeight="1">
      <c r="B23" s="105" t="s">
        <v>203</v>
      </c>
      <c r="C23" s="105" t="s">
        <v>204</v>
      </c>
      <c r="D23" s="104" t="s">
        <v>139</v>
      </c>
      <c r="E23" s="100">
        <v>3.08</v>
      </c>
      <c r="F23" s="86">
        <v>0.03</v>
      </c>
      <c r="G23" s="86">
        <v>-0.03</v>
      </c>
      <c r="H23" s="87" t="s">
        <v>198</v>
      </c>
      <c r="I23" s="88"/>
      <c r="J23" s="51">
        <f t="shared" si="0"/>
        <v>3.11</v>
      </c>
      <c r="K23" s="51">
        <f t="shared" si="1"/>
        <v>3.0500000000000003</v>
      </c>
      <c r="L23" s="89"/>
      <c r="M23" s="90">
        <f t="shared" si="2"/>
        <v>0</v>
      </c>
      <c r="N23" s="90">
        <f t="shared" si="3"/>
        <v>0</v>
      </c>
      <c r="O23" s="90">
        <f t="shared" si="4"/>
        <v>0</v>
      </c>
      <c r="P23" s="91">
        <f t="shared" si="5"/>
        <v>0</v>
      </c>
      <c r="Q23" s="92" t="str">
        <f t="shared" si="6"/>
        <v/>
      </c>
      <c r="R23" s="93" t="str">
        <f>IF(OR($AI23="",ISNUMBER($AI23)=FALSE),"",IF(AND(#REF!="Tolerance",$E23&lt;&gt;""),($O23-$E23)/(($J23-$K23)/2),IF(AND(#REF!="GD&amp;T",$F23&lt;&gt;""),$O23/$F23,"")))</f>
        <v/>
      </c>
      <c r="S23" s="93" t="str">
        <f t="shared" si="7"/>
        <v/>
      </c>
      <c r="T23" s="92" t="str">
        <f t="shared" si="8"/>
        <v/>
      </c>
      <c r="U23" s="92" t="str">
        <f t="shared" si="9"/>
        <v/>
      </c>
      <c r="V23" s="92" t="str">
        <f t="shared" si="10"/>
        <v/>
      </c>
      <c r="W23" s="112" t="str">
        <f t="shared" si="11"/>
        <v/>
      </c>
      <c r="X23" s="113" t="e">
        <f>IF($O23="","",IF(#REF!="Tolerance",IF((#REF!*3*P23+O23)-E23&lt;F23,"",(#REF!*3*P23+O23)-E23),IF(OR(#REF!="GD&amp;T",#REF!="MAX"),IF((#REF!*3*P23+O23)&lt;F23,"",(#REF!*3*P23+O23)),"")))</f>
        <v>#REF!</v>
      </c>
      <c r="Y23" s="113" t="e">
        <f>IF(O23="","",IF(#REF!="Tolerance",IF(-((#REF!*3*P23)-O23)-E23&gt;G23,"",-((#REF!*3*P23)-O23)-E23),IF(#REF!="MIN",IF(-((#REF!*3*P23)-O23)&gt;G23,"",-((#REF!*3*P23)-O23)),"")))</f>
        <v>#REF!</v>
      </c>
      <c r="Z23" s="113">
        <f t="shared" si="12"/>
        <v>3.08</v>
      </c>
      <c r="AA23" s="113" t="str">
        <f t="shared" si="13"/>
        <v/>
      </c>
      <c r="AB23" s="94"/>
      <c r="AC23" s="95" t="str">
        <f t="shared" si="14"/>
        <v/>
      </c>
      <c r="AD23" s="96"/>
      <c r="AE23" s="97"/>
      <c r="AF23" s="97"/>
      <c r="AG23" s="98"/>
      <c r="AI23" s="115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5"/>
      <c r="BF23" s="115"/>
      <c r="BG23" s="115"/>
      <c r="BH23" s="115"/>
      <c r="BI23" s="115"/>
      <c r="BJ23" s="115"/>
      <c r="BK23" s="115"/>
      <c r="BL23" s="115"/>
      <c r="BM23" s="116"/>
      <c r="BN23" s="116"/>
    </row>
    <row r="24" spans="1:995 1027:2014 2228:2983 3137:3412" ht="19.05" customHeight="1">
      <c r="B24" s="105" t="s">
        <v>203</v>
      </c>
      <c r="C24" s="105" t="s">
        <v>205</v>
      </c>
      <c r="D24" s="104" t="s">
        <v>139</v>
      </c>
      <c r="E24" s="100">
        <v>3.08</v>
      </c>
      <c r="F24" s="86">
        <v>0.03</v>
      </c>
      <c r="G24" s="86">
        <v>-0.03</v>
      </c>
      <c r="H24" s="87" t="s">
        <v>198</v>
      </c>
      <c r="I24" s="88"/>
      <c r="J24" s="51">
        <f t="shared" si="0"/>
        <v>3.11</v>
      </c>
      <c r="K24" s="51">
        <f t="shared" si="1"/>
        <v>3.0500000000000003</v>
      </c>
      <c r="L24" s="89"/>
      <c r="M24" s="90">
        <f t="shared" si="2"/>
        <v>0</v>
      </c>
      <c r="N24" s="90">
        <f t="shared" si="3"/>
        <v>0</v>
      </c>
      <c r="O24" s="90">
        <f t="shared" si="4"/>
        <v>0</v>
      </c>
      <c r="P24" s="91">
        <f t="shared" si="5"/>
        <v>0</v>
      </c>
      <c r="Q24" s="92" t="str">
        <f t="shared" si="6"/>
        <v/>
      </c>
      <c r="R24" s="93" t="str">
        <f>IF(OR($AI24="",ISNUMBER($AI24)=FALSE),"",IF(AND(#REF!="Tolerance",$E24&lt;&gt;""),($O24-$E24)/(($J24-$K24)/2),IF(AND(#REF!="GD&amp;T",$F24&lt;&gt;""),$O24/$F24,"")))</f>
        <v/>
      </c>
      <c r="S24" s="93" t="str">
        <f t="shared" si="7"/>
        <v/>
      </c>
      <c r="T24" s="92" t="str">
        <f t="shared" si="8"/>
        <v/>
      </c>
      <c r="U24" s="92" t="str">
        <f t="shared" si="9"/>
        <v/>
      </c>
      <c r="V24" s="92" t="str">
        <f t="shared" si="10"/>
        <v/>
      </c>
      <c r="W24" s="112" t="str">
        <f t="shared" si="11"/>
        <v/>
      </c>
      <c r="X24" s="113" t="e">
        <f>IF($O24="","",IF(#REF!="Tolerance",IF((#REF!*3*P24+O24)-E24&lt;F24,"",(#REF!*3*P24+O24)-E24),IF(OR(#REF!="GD&amp;T",#REF!="MAX"),IF((#REF!*3*P24+O24)&lt;F24,"",(#REF!*3*P24+O24)),"")))</f>
        <v>#REF!</v>
      </c>
      <c r="Y24" s="113" t="e">
        <f>IF(O24="","",IF(#REF!="Tolerance",IF(-((#REF!*3*P24)-O24)-E24&gt;G24,"",-((#REF!*3*P24)-O24)-E24),IF(#REF!="MIN",IF(-((#REF!*3*P24)-O24)&gt;G24,"",-((#REF!*3*P24)-O24)),"")))</f>
        <v>#REF!</v>
      </c>
      <c r="Z24" s="113">
        <f t="shared" si="12"/>
        <v>3.08</v>
      </c>
      <c r="AA24" s="113" t="str">
        <f t="shared" si="13"/>
        <v/>
      </c>
      <c r="AB24" s="94"/>
      <c r="AC24" s="95" t="str">
        <f t="shared" si="14"/>
        <v/>
      </c>
      <c r="AD24" s="96"/>
      <c r="AE24" s="97"/>
      <c r="AF24" s="97"/>
      <c r="AG24" s="98"/>
      <c r="AI24" s="115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5"/>
      <c r="BF24" s="115"/>
      <c r="BG24" s="115"/>
      <c r="BH24" s="115"/>
      <c r="BI24" s="115"/>
      <c r="BJ24" s="115"/>
      <c r="BK24" s="115"/>
      <c r="BL24" s="115"/>
      <c r="BM24" s="116"/>
      <c r="BN24" s="116"/>
    </row>
    <row r="25" spans="1:995 1027:2014 2228:2983 3137:3412" ht="19.05" customHeight="1">
      <c r="B25" s="105" t="s">
        <v>203</v>
      </c>
      <c r="C25" s="105" t="s">
        <v>206</v>
      </c>
      <c r="D25" s="104" t="s">
        <v>139</v>
      </c>
      <c r="E25" s="100">
        <v>3.08</v>
      </c>
      <c r="F25" s="86">
        <v>0.03</v>
      </c>
      <c r="G25" s="86">
        <v>-0.03</v>
      </c>
      <c r="H25" s="87" t="s">
        <v>198</v>
      </c>
      <c r="I25" s="88"/>
      <c r="J25" s="51">
        <f t="shared" si="0"/>
        <v>3.11</v>
      </c>
      <c r="K25" s="51">
        <f t="shared" si="1"/>
        <v>3.0500000000000003</v>
      </c>
      <c r="L25" s="89"/>
      <c r="M25" s="90">
        <f t="shared" si="2"/>
        <v>0</v>
      </c>
      <c r="N25" s="90">
        <f t="shared" si="3"/>
        <v>0</v>
      </c>
      <c r="O25" s="90">
        <f t="shared" si="4"/>
        <v>0</v>
      </c>
      <c r="P25" s="91">
        <f t="shared" si="5"/>
        <v>0</v>
      </c>
      <c r="Q25" s="92" t="str">
        <f t="shared" si="6"/>
        <v/>
      </c>
      <c r="R25" s="93" t="str">
        <f>IF(OR($AI25="",ISNUMBER($AI25)=FALSE),"",IF(AND(#REF!="Tolerance",$E25&lt;&gt;""),($O25-$E25)/(($J25-$K25)/2),IF(AND(#REF!="GD&amp;T",$F25&lt;&gt;""),$O25/$F25,"")))</f>
        <v/>
      </c>
      <c r="S25" s="93" t="str">
        <f t="shared" si="7"/>
        <v/>
      </c>
      <c r="T25" s="92" t="str">
        <f t="shared" si="8"/>
        <v/>
      </c>
      <c r="U25" s="92" t="str">
        <f t="shared" si="9"/>
        <v/>
      </c>
      <c r="V25" s="92" t="str">
        <f t="shared" si="10"/>
        <v/>
      </c>
      <c r="W25" s="112" t="str">
        <f t="shared" si="11"/>
        <v/>
      </c>
      <c r="X25" s="113" t="e">
        <f>IF($O25="","",IF(#REF!="Tolerance",IF((#REF!*3*P25+O25)-E25&lt;F25,"",(#REF!*3*P25+O25)-E25),IF(OR(#REF!="GD&amp;T",#REF!="MAX"),IF((#REF!*3*P25+O25)&lt;F25,"",(#REF!*3*P25+O25)),"")))</f>
        <v>#REF!</v>
      </c>
      <c r="Y25" s="113" t="e">
        <f>IF(O25="","",IF(#REF!="Tolerance",IF(-((#REF!*3*P25)-O25)-E25&gt;G25,"",-((#REF!*3*P25)-O25)-E25),IF(#REF!="MIN",IF(-((#REF!*3*P25)-O25)&gt;G25,"",-((#REF!*3*P25)-O25)),"")))</f>
        <v>#REF!</v>
      </c>
      <c r="Z25" s="113">
        <f t="shared" si="12"/>
        <v>3.08</v>
      </c>
      <c r="AA25" s="113" t="str">
        <f t="shared" si="13"/>
        <v/>
      </c>
      <c r="AB25" s="94"/>
      <c r="AC25" s="95" t="str">
        <f t="shared" si="14"/>
        <v/>
      </c>
      <c r="AD25" s="96"/>
      <c r="AE25" s="97"/>
      <c r="AF25" s="97"/>
      <c r="AG25" s="98"/>
      <c r="AI25" s="115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5"/>
      <c r="BF25" s="115"/>
      <c r="BG25" s="115"/>
      <c r="BH25" s="115"/>
      <c r="BI25" s="115"/>
      <c r="BJ25" s="115"/>
      <c r="BK25" s="115"/>
      <c r="BL25" s="115"/>
      <c r="BM25" s="116"/>
      <c r="BN25" s="116"/>
    </row>
    <row r="26" spans="1:995 1027:2014 2228:2983 3137:3412" ht="19.05" customHeight="1">
      <c r="B26" s="105" t="s">
        <v>203</v>
      </c>
      <c r="C26" s="105" t="s">
        <v>207</v>
      </c>
      <c r="D26" s="104" t="s">
        <v>139</v>
      </c>
      <c r="E26" s="100">
        <v>3.08</v>
      </c>
      <c r="F26" s="86">
        <v>0.03</v>
      </c>
      <c r="G26" s="86">
        <v>-0.03</v>
      </c>
      <c r="H26" s="87" t="s">
        <v>198</v>
      </c>
      <c r="I26" s="88"/>
      <c r="J26" s="51">
        <f t="shared" si="0"/>
        <v>3.11</v>
      </c>
      <c r="K26" s="51">
        <f t="shared" si="1"/>
        <v>3.0500000000000003</v>
      </c>
      <c r="L26" s="89"/>
      <c r="M26" s="90">
        <f t="shared" si="2"/>
        <v>0</v>
      </c>
      <c r="N26" s="90">
        <f t="shared" si="3"/>
        <v>0</v>
      </c>
      <c r="O26" s="90">
        <f t="shared" si="4"/>
        <v>0</v>
      </c>
      <c r="P26" s="91">
        <f t="shared" si="5"/>
        <v>0</v>
      </c>
      <c r="Q26" s="92" t="str">
        <f t="shared" si="6"/>
        <v/>
      </c>
      <c r="R26" s="93" t="str">
        <f>IF(OR($AI26="",ISNUMBER($AI26)=FALSE),"",IF(AND(#REF!="Tolerance",$E26&lt;&gt;""),($O26-$E26)/(($J26-$K26)/2),IF(AND(#REF!="GD&amp;T",$F26&lt;&gt;""),$O26/$F26,"")))</f>
        <v/>
      </c>
      <c r="S26" s="93" t="str">
        <f t="shared" si="7"/>
        <v/>
      </c>
      <c r="T26" s="92" t="str">
        <f t="shared" si="8"/>
        <v/>
      </c>
      <c r="U26" s="92" t="str">
        <f t="shared" si="9"/>
        <v/>
      </c>
      <c r="V26" s="92" t="str">
        <f t="shared" si="10"/>
        <v/>
      </c>
      <c r="W26" s="112" t="str">
        <f t="shared" si="11"/>
        <v/>
      </c>
      <c r="X26" s="113" t="e">
        <f>IF($O26="","",IF(#REF!="Tolerance",IF((#REF!*3*P26+O26)-E26&lt;F26,"",(#REF!*3*P26+O26)-E26),IF(OR(#REF!="GD&amp;T",#REF!="MAX"),IF((#REF!*3*P26+O26)&lt;F26,"",(#REF!*3*P26+O26)),"")))</f>
        <v>#REF!</v>
      </c>
      <c r="Y26" s="113" t="e">
        <f>IF(O26="","",IF(#REF!="Tolerance",IF(-((#REF!*3*P26)-O26)-E26&gt;G26,"",-((#REF!*3*P26)-O26)-E26),IF(#REF!="MIN",IF(-((#REF!*3*P26)-O26)&gt;G26,"",-((#REF!*3*P26)-O26)),"")))</f>
        <v>#REF!</v>
      </c>
      <c r="Z26" s="113">
        <f t="shared" si="12"/>
        <v>3.08</v>
      </c>
      <c r="AA26" s="113" t="str">
        <f t="shared" si="13"/>
        <v/>
      </c>
      <c r="AB26" s="94"/>
      <c r="AC26" s="95" t="str">
        <f t="shared" si="14"/>
        <v/>
      </c>
      <c r="AD26" s="96"/>
      <c r="AE26" s="97"/>
      <c r="AF26" s="97"/>
      <c r="AG26" s="98"/>
      <c r="AI26" s="115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5"/>
      <c r="BF26" s="115"/>
      <c r="BG26" s="115"/>
      <c r="BH26" s="115"/>
      <c r="BI26" s="115"/>
      <c r="BJ26" s="115"/>
      <c r="BK26" s="115"/>
      <c r="BL26" s="115"/>
      <c r="BM26" s="116"/>
      <c r="BN26" s="116"/>
    </row>
    <row r="27" spans="1:995 1027:2014 2228:2983 3137:3412" ht="19.05" customHeight="1">
      <c r="B27" s="105" t="s">
        <v>203</v>
      </c>
      <c r="C27" s="105" t="s">
        <v>208</v>
      </c>
      <c r="D27" s="104" t="s">
        <v>139</v>
      </c>
      <c r="E27" s="100">
        <v>3.08</v>
      </c>
      <c r="F27" s="86">
        <v>0.03</v>
      </c>
      <c r="G27" s="86">
        <v>-0.03</v>
      </c>
      <c r="H27" s="87" t="s">
        <v>198</v>
      </c>
      <c r="I27" s="88"/>
      <c r="J27" s="51">
        <f t="shared" si="0"/>
        <v>3.11</v>
      </c>
      <c r="K27" s="51">
        <f t="shared" si="1"/>
        <v>3.0500000000000003</v>
      </c>
      <c r="L27" s="89"/>
      <c r="M27" s="90">
        <f t="shared" si="2"/>
        <v>0</v>
      </c>
      <c r="N27" s="90">
        <f t="shared" si="3"/>
        <v>0</v>
      </c>
      <c r="O27" s="90">
        <f t="shared" si="4"/>
        <v>0</v>
      </c>
      <c r="P27" s="91">
        <f t="shared" si="5"/>
        <v>0</v>
      </c>
      <c r="Q27" s="92" t="str">
        <f t="shared" si="6"/>
        <v/>
      </c>
      <c r="R27" s="93" t="str">
        <f>IF(OR($AI27="",ISNUMBER($AI27)=FALSE),"",IF(AND(#REF!="Tolerance",$E27&lt;&gt;""),($O27-$E27)/(($J27-$K27)/2),IF(AND(#REF!="GD&amp;T",$F27&lt;&gt;""),$O27/$F27,"")))</f>
        <v/>
      </c>
      <c r="S27" s="93" t="str">
        <f t="shared" si="7"/>
        <v/>
      </c>
      <c r="T27" s="92" t="str">
        <f t="shared" si="8"/>
        <v/>
      </c>
      <c r="U27" s="92" t="str">
        <f t="shared" si="9"/>
        <v/>
      </c>
      <c r="V27" s="92" t="str">
        <f t="shared" si="10"/>
        <v/>
      </c>
      <c r="W27" s="112" t="str">
        <f t="shared" si="11"/>
        <v/>
      </c>
      <c r="X27" s="113" t="e">
        <f>IF($O27="","",IF(#REF!="Tolerance",IF((#REF!*3*P27+O27)-E27&lt;F27,"",(#REF!*3*P27+O27)-E27),IF(OR(#REF!="GD&amp;T",#REF!="MAX"),IF((#REF!*3*P27+O27)&lt;F27,"",(#REF!*3*P27+O27)),"")))</f>
        <v>#REF!</v>
      </c>
      <c r="Y27" s="113" t="e">
        <f>IF(O27="","",IF(#REF!="Tolerance",IF(-((#REF!*3*P27)-O27)-E27&gt;G27,"",-((#REF!*3*P27)-O27)-E27),IF(#REF!="MIN",IF(-((#REF!*3*P27)-O27)&gt;G27,"",-((#REF!*3*P27)-O27)),"")))</f>
        <v>#REF!</v>
      </c>
      <c r="Z27" s="113">
        <f t="shared" si="12"/>
        <v>3.08</v>
      </c>
      <c r="AA27" s="113" t="str">
        <f t="shared" si="13"/>
        <v/>
      </c>
      <c r="AB27" s="94"/>
      <c r="AC27" s="95" t="str">
        <f t="shared" si="14"/>
        <v/>
      </c>
      <c r="AD27" s="96"/>
      <c r="AE27" s="97"/>
      <c r="AF27" s="97"/>
      <c r="AG27" s="98"/>
      <c r="AI27" s="115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5"/>
      <c r="BF27" s="115"/>
      <c r="BG27" s="115"/>
      <c r="BH27" s="115"/>
      <c r="BI27" s="115"/>
      <c r="BJ27" s="115"/>
      <c r="BK27" s="115"/>
      <c r="BL27" s="115"/>
      <c r="BM27" s="116"/>
      <c r="BN27" s="116"/>
    </row>
    <row r="28" spans="1:995 1027:2014 2228:2983 3137:3412" ht="19.05" customHeight="1">
      <c r="B28" s="105" t="s">
        <v>203</v>
      </c>
      <c r="C28" s="105" t="s">
        <v>209</v>
      </c>
      <c r="D28" s="104" t="s">
        <v>139</v>
      </c>
      <c r="E28" s="100">
        <v>3.08</v>
      </c>
      <c r="F28" s="86">
        <v>0.03</v>
      </c>
      <c r="G28" s="86">
        <v>-0.03</v>
      </c>
      <c r="H28" s="87" t="s">
        <v>198</v>
      </c>
      <c r="I28" s="88"/>
      <c r="J28" s="51">
        <f t="shared" si="0"/>
        <v>3.11</v>
      </c>
      <c r="K28" s="51">
        <f t="shared" si="1"/>
        <v>3.0500000000000003</v>
      </c>
      <c r="L28" s="89"/>
      <c r="M28" s="90">
        <f t="shared" si="2"/>
        <v>0</v>
      </c>
      <c r="N28" s="90">
        <f t="shared" si="3"/>
        <v>0</v>
      </c>
      <c r="O28" s="90">
        <f t="shared" si="4"/>
        <v>0</v>
      </c>
      <c r="P28" s="91">
        <f t="shared" si="5"/>
        <v>0</v>
      </c>
      <c r="Q28" s="92" t="str">
        <f t="shared" si="6"/>
        <v/>
      </c>
      <c r="R28" s="93" t="str">
        <f>IF(OR($AI28="",ISNUMBER($AI28)=FALSE),"",IF(AND(#REF!="Tolerance",$E28&lt;&gt;""),($O28-$E28)/(($J28-$K28)/2),IF(AND(#REF!="GD&amp;T",$F28&lt;&gt;""),$O28/$F28,"")))</f>
        <v/>
      </c>
      <c r="S28" s="93" t="str">
        <f t="shared" si="7"/>
        <v/>
      </c>
      <c r="T28" s="92" t="str">
        <f t="shared" si="8"/>
        <v/>
      </c>
      <c r="U28" s="92" t="str">
        <f t="shared" si="9"/>
        <v/>
      </c>
      <c r="V28" s="92" t="str">
        <f t="shared" si="10"/>
        <v/>
      </c>
      <c r="W28" s="112" t="str">
        <f t="shared" si="11"/>
        <v/>
      </c>
      <c r="X28" s="113" t="e">
        <f>IF($O28="","",IF(#REF!="Tolerance",IF((#REF!*3*P28+O28)-E28&lt;F28,"",(#REF!*3*P28+O28)-E28),IF(OR(#REF!="GD&amp;T",#REF!="MAX"),IF((#REF!*3*P28+O28)&lt;F28,"",(#REF!*3*P28+O28)),"")))</f>
        <v>#REF!</v>
      </c>
      <c r="Y28" s="113" t="e">
        <f>IF(O28="","",IF(#REF!="Tolerance",IF(-((#REF!*3*P28)-O28)-E28&gt;G28,"",-((#REF!*3*P28)-O28)-E28),IF(#REF!="MIN",IF(-((#REF!*3*P28)-O28)&gt;G28,"",-((#REF!*3*P28)-O28)),"")))</f>
        <v>#REF!</v>
      </c>
      <c r="Z28" s="113">
        <f t="shared" si="12"/>
        <v>3.08</v>
      </c>
      <c r="AA28" s="113" t="str">
        <f t="shared" si="13"/>
        <v/>
      </c>
      <c r="AB28" s="94"/>
      <c r="AC28" s="95" t="str">
        <f t="shared" si="14"/>
        <v/>
      </c>
      <c r="AD28" s="96"/>
      <c r="AE28" s="97"/>
      <c r="AF28" s="97"/>
      <c r="AG28" s="98"/>
      <c r="AI28" s="115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5"/>
      <c r="BF28" s="115"/>
      <c r="BG28" s="115"/>
      <c r="BH28" s="115"/>
      <c r="BI28" s="115"/>
      <c r="BJ28" s="115"/>
      <c r="BK28" s="115"/>
      <c r="BL28" s="115"/>
      <c r="BM28" s="116"/>
      <c r="BN28" s="116"/>
    </row>
    <row r="29" spans="1:995 1027:2014 2228:2983 3137:3412" ht="19.05" customHeight="1">
      <c r="B29" s="105" t="s">
        <v>131</v>
      </c>
      <c r="C29" s="105" t="s">
        <v>210</v>
      </c>
      <c r="D29" s="104" t="s">
        <v>80</v>
      </c>
      <c r="E29" s="100"/>
      <c r="F29" s="86">
        <v>0.03</v>
      </c>
      <c r="G29" s="86"/>
      <c r="H29" s="87" t="s">
        <v>81</v>
      </c>
      <c r="I29" s="88"/>
      <c r="J29" s="51">
        <f t="shared" si="0"/>
        <v>0.03</v>
      </c>
      <c r="K29" s="51" t="str">
        <f t="shared" si="1"/>
        <v/>
      </c>
      <c r="L29" s="89"/>
      <c r="M29" s="90">
        <f t="shared" si="2"/>
        <v>0</v>
      </c>
      <c r="N29" s="90">
        <f t="shared" si="3"/>
        <v>0</v>
      </c>
      <c r="O29" s="90">
        <f t="shared" si="4"/>
        <v>0</v>
      </c>
      <c r="P29" s="91">
        <f t="shared" si="5"/>
        <v>0</v>
      </c>
      <c r="Q29" s="92" t="str">
        <f t="shared" si="6"/>
        <v/>
      </c>
      <c r="R29" s="93" t="str">
        <f>IF(OR($AI29="",ISNUMBER($AI29)=FALSE),"",IF(AND(#REF!="Tolerance",$E29&lt;&gt;""),($O29-$E29)/(($J29-$K29)/2),IF(AND(#REF!="GD&amp;T",$F29&lt;&gt;""),$O29/$F29,"")))</f>
        <v/>
      </c>
      <c r="S29" s="93" t="str">
        <f t="shared" si="7"/>
        <v/>
      </c>
      <c r="T29" s="92" t="str">
        <f t="shared" si="8"/>
        <v/>
      </c>
      <c r="U29" s="92" t="str">
        <f t="shared" si="9"/>
        <v/>
      </c>
      <c r="V29" s="92" t="str">
        <f t="shared" si="10"/>
        <v/>
      </c>
      <c r="W29" s="112" t="str">
        <f t="shared" si="11"/>
        <v/>
      </c>
      <c r="X29" s="113" t="e">
        <f>IF($O29="","",IF(#REF!="Tolerance",IF((#REF!*3*P29+O29)-E29&lt;F29,"",(#REF!*3*P29+O29)-E29),IF(OR(#REF!="GD&amp;T",#REF!="MAX"),IF((#REF!*3*P29+O29)&lt;F29,"",(#REF!*3*P29+O29)),"")))</f>
        <v>#REF!</v>
      </c>
      <c r="Y29" s="113" t="e">
        <f>IF(O29="","",IF(#REF!="Tolerance",IF(-((#REF!*3*P29)-O29)-E29&gt;G29,"",-((#REF!*3*P29)-O29)-E29),IF(#REF!="MIN",IF(-((#REF!*3*P29)-O29)&gt;G29,"",-((#REF!*3*P29)-O29)),"")))</f>
        <v>#REF!</v>
      </c>
      <c r="Z29" s="113" t="str">
        <f t="shared" si="12"/>
        <v/>
      </c>
      <c r="AA29" s="113" t="str">
        <f t="shared" si="13"/>
        <v/>
      </c>
      <c r="AB29" s="94"/>
      <c r="AC29" s="95" t="str">
        <f t="shared" si="14"/>
        <v/>
      </c>
      <c r="AD29" s="96"/>
      <c r="AE29" s="97"/>
      <c r="AF29" s="97"/>
      <c r="AG29" s="98"/>
      <c r="AI29" s="115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5"/>
      <c r="BF29" s="115"/>
      <c r="BG29" s="115"/>
      <c r="BH29" s="115"/>
      <c r="BI29" s="115"/>
      <c r="BJ29" s="115"/>
      <c r="BK29" s="115"/>
      <c r="BL29" s="115"/>
      <c r="BM29" s="116"/>
      <c r="BN29" s="116"/>
    </row>
    <row r="30" spans="1:995 1027:2014 2228:2983 3137:3412" ht="19.05" customHeight="1">
      <c r="B30" s="105" t="s">
        <v>168</v>
      </c>
      <c r="C30" s="105" t="s">
        <v>211</v>
      </c>
      <c r="D30" s="104" t="s">
        <v>73</v>
      </c>
      <c r="E30" s="100">
        <v>0.55000000000000004</v>
      </c>
      <c r="F30" s="86">
        <v>0.03</v>
      </c>
      <c r="G30" s="86">
        <v>-0.03</v>
      </c>
      <c r="H30" s="87" t="s">
        <v>198</v>
      </c>
      <c r="I30" s="88"/>
      <c r="J30" s="51">
        <f t="shared" si="0"/>
        <v>0.58000000000000007</v>
      </c>
      <c r="K30" s="51">
        <f t="shared" si="1"/>
        <v>0.52</v>
      </c>
      <c r="L30" s="89"/>
      <c r="M30" s="90">
        <f t="shared" si="2"/>
        <v>0</v>
      </c>
      <c r="N30" s="90">
        <f t="shared" si="3"/>
        <v>0</v>
      </c>
      <c r="O30" s="90">
        <f t="shared" si="4"/>
        <v>0</v>
      </c>
      <c r="P30" s="91">
        <f t="shared" si="5"/>
        <v>0</v>
      </c>
      <c r="Q30" s="92" t="str">
        <f t="shared" si="6"/>
        <v/>
      </c>
      <c r="R30" s="93" t="str">
        <f>IF(OR($AI30="",ISNUMBER($AI30)=FALSE),"",IF(AND(#REF!="Tolerance",$E30&lt;&gt;""),($O30-$E30)/(($J30-$K30)/2),IF(AND(#REF!="GD&amp;T",$F30&lt;&gt;""),$O30/$F30,"")))</f>
        <v/>
      </c>
      <c r="S30" s="93" t="str">
        <f t="shared" si="7"/>
        <v/>
      </c>
      <c r="T30" s="92" t="str">
        <f t="shared" si="8"/>
        <v/>
      </c>
      <c r="U30" s="92" t="str">
        <f t="shared" si="9"/>
        <v/>
      </c>
      <c r="V30" s="92" t="str">
        <f t="shared" si="10"/>
        <v/>
      </c>
      <c r="W30" s="112" t="str">
        <f t="shared" si="11"/>
        <v/>
      </c>
      <c r="X30" s="113" t="e">
        <f>IF($O30="","",IF(#REF!="Tolerance",IF((#REF!*3*P30+O30)-E30&lt;F30,"",(#REF!*3*P30+O30)-E30),IF(OR(#REF!="GD&amp;T",#REF!="MAX"),IF((#REF!*3*P30+O30)&lt;F30,"",(#REF!*3*P30+O30)),"")))</f>
        <v>#REF!</v>
      </c>
      <c r="Y30" s="113" t="e">
        <f>IF(O30="","",IF(#REF!="Tolerance",IF(-((#REF!*3*P30)-O30)-E30&gt;G30,"",-((#REF!*3*P30)-O30)-E30),IF(#REF!="MIN",IF(-((#REF!*3*P30)-O30)&gt;G30,"",-((#REF!*3*P30)-O30)),"")))</f>
        <v>#REF!</v>
      </c>
      <c r="Z30" s="113">
        <f t="shared" si="12"/>
        <v>0.55000000000000004</v>
      </c>
      <c r="AA30" s="113" t="str">
        <f t="shared" si="13"/>
        <v/>
      </c>
      <c r="AB30" s="94"/>
      <c r="AC30" s="95" t="str">
        <f t="shared" si="14"/>
        <v/>
      </c>
      <c r="AD30" s="96"/>
      <c r="AE30" s="97"/>
      <c r="AF30" s="97"/>
      <c r="AG30" s="98"/>
      <c r="AI30" s="115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5"/>
      <c r="BF30" s="115"/>
      <c r="BG30" s="115"/>
      <c r="BH30" s="115"/>
      <c r="BI30" s="115"/>
      <c r="BJ30" s="115"/>
      <c r="BK30" s="115"/>
      <c r="BL30" s="115"/>
      <c r="BM30" s="116"/>
      <c r="BN30" s="116"/>
    </row>
    <row r="31" spans="1:995 1027:2014 2228:2983 3137:3412" ht="19.05" customHeight="1">
      <c r="B31" s="105" t="s">
        <v>169</v>
      </c>
      <c r="C31" s="105" t="s">
        <v>212</v>
      </c>
      <c r="D31" s="104" t="s">
        <v>73</v>
      </c>
      <c r="E31" s="100">
        <v>0.55000000000000004</v>
      </c>
      <c r="F31" s="86">
        <v>0.03</v>
      </c>
      <c r="G31" s="86">
        <v>-0.03</v>
      </c>
      <c r="H31" s="87" t="s">
        <v>198</v>
      </c>
      <c r="I31" s="88"/>
      <c r="J31" s="51">
        <f t="shared" si="0"/>
        <v>0.58000000000000007</v>
      </c>
      <c r="K31" s="51">
        <f t="shared" si="1"/>
        <v>0.52</v>
      </c>
      <c r="L31" s="89"/>
      <c r="M31" s="90">
        <f t="shared" si="2"/>
        <v>0</v>
      </c>
      <c r="N31" s="90">
        <f t="shared" si="3"/>
        <v>0</v>
      </c>
      <c r="O31" s="90">
        <f t="shared" si="4"/>
        <v>0</v>
      </c>
      <c r="P31" s="91">
        <f t="shared" si="5"/>
        <v>0</v>
      </c>
      <c r="Q31" s="92" t="str">
        <f t="shared" si="6"/>
        <v/>
      </c>
      <c r="R31" s="93" t="str">
        <f>IF(OR($AI31="",ISNUMBER($AI31)=FALSE),"",IF(AND(#REF!="Tolerance",$E31&lt;&gt;""),($O31-$E31)/(($J31-$K31)/2),IF(AND(#REF!="GD&amp;T",$F31&lt;&gt;""),$O31/$F31,"")))</f>
        <v/>
      </c>
      <c r="S31" s="93" t="str">
        <f t="shared" si="7"/>
        <v/>
      </c>
      <c r="T31" s="92" t="str">
        <f t="shared" si="8"/>
        <v/>
      </c>
      <c r="U31" s="92" t="str">
        <f t="shared" si="9"/>
        <v/>
      </c>
      <c r="V31" s="92" t="str">
        <f t="shared" si="10"/>
        <v/>
      </c>
      <c r="W31" s="112" t="str">
        <f t="shared" si="11"/>
        <v/>
      </c>
      <c r="X31" s="113" t="e">
        <f>IF($O31="","",IF(#REF!="Tolerance",IF((#REF!*3*P31+O31)-E31&lt;F31,"",(#REF!*3*P31+O31)-E31),IF(OR(#REF!="GD&amp;T",#REF!="MAX"),IF((#REF!*3*P31+O31)&lt;F31,"",(#REF!*3*P31+O31)),"")))</f>
        <v>#REF!</v>
      </c>
      <c r="Y31" s="113" t="e">
        <f>IF(O31="","",IF(#REF!="Tolerance",IF(-((#REF!*3*P31)-O31)-E31&gt;G31,"",-((#REF!*3*P31)-O31)-E31),IF(#REF!="MIN",IF(-((#REF!*3*P31)-O31)&gt;G31,"",-((#REF!*3*P31)-O31)),"")))</f>
        <v>#REF!</v>
      </c>
      <c r="Z31" s="113">
        <f t="shared" si="12"/>
        <v>0.55000000000000004</v>
      </c>
      <c r="AA31" s="113" t="str">
        <f t="shared" si="13"/>
        <v/>
      </c>
      <c r="AB31" s="94"/>
      <c r="AC31" s="95" t="str">
        <f t="shared" si="14"/>
        <v/>
      </c>
      <c r="AD31" s="96"/>
      <c r="AE31" s="97"/>
      <c r="AF31" s="97"/>
      <c r="AG31" s="98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 s="115"/>
      <c r="BH31" s="115"/>
      <c r="BI31" s="115"/>
      <c r="BJ31" s="115"/>
      <c r="BK31" s="115"/>
      <c r="BL31" s="115"/>
      <c r="BM31" s="116"/>
      <c r="BN31" s="116"/>
    </row>
    <row r="32" spans="1:995 1027:2014 2228:2983 3137:3412" ht="19.05" customHeight="1">
      <c r="B32" s="105" t="s">
        <v>170</v>
      </c>
      <c r="C32" s="105" t="s">
        <v>213</v>
      </c>
      <c r="D32" s="104" t="s">
        <v>73</v>
      </c>
      <c r="E32" s="100">
        <v>0.55000000000000004</v>
      </c>
      <c r="F32" s="86">
        <v>0.03</v>
      </c>
      <c r="G32" s="86">
        <v>-0.03</v>
      </c>
      <c r="H32" s="87" t="s">
        <v>198</v>
      </c>
      <c r="I32" s="88"/>
      <c r="J32" s="51">
        <f t="shared" si="0"/>
        <v>0.58000000000000007</v>
      </c>
      <c r="K32" s="51">
        <f t="shared" si="1"/>
        <v>0.52</v>
      </c>
      <c r="L32" s="89"/>
      <c r="M32" s="90">
        <f t="shared" si="2"/>
        <v>0</v>
      </c>
      <c r="N32" s="90">
        <f t="shared" si="3"/>
        <v>0</v>
      </c>
      <c r="O32" s="90">
        <f t="shared" si="4"/>
        <v>0</v>
      </c>
      <c r="P32" s="91">
        <f t="shared" si="5"/>
        <v>0</v>
      </c>
      <c r="Q32" s="92" t="str">
        <f t="shared" si="6"/>
        <v/>
      </c>
      <c r="R32" s="93" t="str">
        <f>IF(OR($AI32="",ISNUMBER($AI32)=FALSE),"",IF(AND(#REF!="Tolerance",$E32&lt;&gt;""),($O32-$E32)/(($J32-$K32)/2),IF(AND(#REF!="GD&amp;T",$F32&lt;&gt;""),$O32/$F32,"")))</f>
        <v/>
      </c>
      <c r="S32" s="93" t="str">
        <f t="shared" si="7"/>
        <v/>
      </c>
      <c r="T32" s="92" t="str">
        <f t="shared" si="8"/>
        <v/>
      </c>
      <c r="U32" s="92" t="str">
        <f t="shared" si="9"/>
        <v/>
      </c>
      <c r="V32" s="92" t="str">
        <f t="shared" si="10"/>
        <v/>
      </c>
      <c r="W32" s="112" t="str">
        <f t="shared" si="11"/>
        <v/>
      </c>
      <c r="X32" s="113" t="e">
        <f>IF($O32="","",IF(#REF!="Tolerance",IF((#REF!*3*P32+O32)-E32&lt;F32,"",(#REF!*3*P32+O32)-E32),IF(OR(#REF!="GD&amp;T",#REF!="MAX"),IF((#REF!*3*P32+O32)&lt;F32,"",(#REF!*3*P32+O32)),"")))</f>
        <v>#REF!</v>
      </c>
      <c r="Y32" s="113" t="e">
        <f>IF(O32="","",IF(#REF!="Tolerance",IF(-((#REF!*3*P32)-O32)-E32&gt;G32,"",-((#REF!*3*P32)-O32)-E32),IF(#REF!="MIN",IF(-((#REF!*3*P32)-O32)&gt;G32,"",-((#REF!*3*P32)-O32)),"")))</f>
        <v>#REF!</v>
      </c>
      <c r="Z32" s="113">
        <f t="shared" si="12"/>
        <v>0.55000000000000004</v>
      </c>
      <c r="AA32" s="113" t="str">
        <f t="shared" si="13"/>
        <v/>
      </c>
      <c r="AB32" s="94"/>
      <c r="AC32" s="95" t="str">
        <f t="shared" si="14"/>
        <v/>
      </c>
      <c r="AD32" s="96"/>
      <c r="AE32" s="97"/>
      <c r="AF32" s="97"/>
      <c r="AG32" s="98"/>
      <c r="AI32" s="115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5"/>
      <c r="BF32" s="115"/>
      <c r="BG32" s="115"/>
      <c r="BH32" s="115"/>
      <c r="BI32" s="115"/>
      <c r="BJ32" s="115"/>
      <c r="BK32" s="115"/>
      <c r="BL32" s="115"/>
      <c r="BM32" s="116"/>
      <c r="BN32" s="116"/>
    </row>
    <row r="33" spans="2:66" ht="19.05" customHeight="1">
      <c r="B33" s="105" t="s">
        <v>171</v>
      </c>
      <c r="C33" s="105" t="s">
        <v>214</v>
      </c>
      <c r="D33" s="104" t="s">
        <v>73</v>
      </c>
      <c r="E33" s="100">
        <v>0.55000000000000004</v>
      </c>
      <c r="F33" s="86">
        <v>0.03</v>
      </c>
      <c r="G33" s="86">
        <v>-0.03</v>
      </c>
      <c r="H33" s="87" t="s">
        <v>198</v>
      </c>
      <c r="I33" s="88"/>
      <c r="J33" s="51">
        <f t="shared" si="0"/>
        <v>0.58000000000000007</v>
      </c>
      <c r="K33" s="51">
        <f t="shared" si="1"/>
        <v>0.52</v>
      </c>
      <c r="L33" s="89"/>
      <c r="M33" s="90">
        <f t="shared" si="2"/>
        <v>0</v>
      </c>
      <c r="N33" s="90">
        <f t="shared" si="3"/>
        <v>0</v>
      </c>
      <c r="O33" s="90">
        <f t="shared" si="4"/>
        <v>0</v>
      </c>
      <c r="P33" s="91">
        <f t="shared" si="5"/>
        <v>0</v>
      </c>
      <c r="Q33" s="92" t="str">
        <f t="shared" si="6"/>
        <v/>
      </c>
      <c r="R33" s="93" t="str">
        <f>IF(OR($AI33="",ISNUMBER($AI33)=FALSE),"",IF(AND(#REF!="Tolerance",$E33&lt;&gt;""),($O33-$E33)/(($J33-$K33)/2),IF(AND(#REF!="GD&amp;T",$F33&lt;&gt;""),$O33/$F33,"")))</f>
        <v/>
      </c>
      <c r="S33" s="93" t="str">
        <f t="shared" si="7"/>
        <v/>
      </c>
      <c r="T33" s="92" t="str">
        <f t="shared" si="8"/>
        <v/>
      </c>
      <c r="U33" s="92" t="str">
        <f t="shared" si="9"/>
        <v/>
      </c>
      <c r="V33" s="92" t="str">
        <f t="shared" si="10"/>
        <v/>
      </c>
      <c r="W33" s="112" t="str">
        <f t="shared" si="11"/>
        <v/>
      </c>
      <c r="X33" s="113" t="e">
        <f>IF($O33="","",IF(#REF!="Tolerance",IF((#REF!*3*P33+O33)-E33&lt;F33,"",(#REF!*3*P33+O33)-E33),IF(OR(#REF!="GD&amp;T",#REF!="MAX"),IF((#REF!*3*P33+O33)&lt;F33,"",(#REF!*3*P33+O33)),"")))</f>
        <v>#REF!</v>
      </c>
      <c r="Y33" s="113" t="e">
        <f>IF(O33="","",IF(#REF!="Tolerance",IF(-((#REF!*3*P33)-O33)-E33&gt;G33,"",-((#REF!*3*P33)-O33)-E33),IF(#REF!="MIN",IF(-((#REF!*3*P33)-O33)&gt;G33,"",-((#REF!*3*P33)-O33)),"")))</f>
        <v>#REF!</v>
      </c>
      <c r="Z33" s="113">
        <f t="shared" si="12"/>
        <v>0.55000000000000004</v>
      </c>
      <c r="AA33" s="113" t="str">
        <f t="shared" si="13"/>
        <v/>
      </c>
      <c r="AB33" s="94"/>
      <c r="AC33" s="95" t="str">
        <f t="shared" si="14"/>
        <v/>
      </c>
      <c r="AD33" s="96"/>
      <c r="AE33" s="97"/>
      <c r="AF33" s="97"/>
      <c r="AG33" s="98"/>
      <c r="AI33" s="115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5"/>
      <c r="BF33" s="115"/>
      <c r="BG33" s="115"/>
      <c r="BH33" s="115"/>
      <c r="BI33" s="115"/>
      <c r="BJ33" s="115"/>
      <c r="BK33" s="115"/>
      <c r="BL33" s="115"/>
      <c r="BM33" s="116"/>
      <c r="BN33" s="116"/>
    </row>
    <row r="34" spans="2:66" ht="19.05" customHeight="1">
      <c r="B34" s="105" t="s">
        <v>152</v>
      </c>
      <c r="C34" s="105" t="s">
        <v>215</v>
      </c>
      <c r="D34" s="104" t="s">
        <v>73</v>
      </c>
      <c r="E34" s="100">
        <v>3.18</v>
      </c>
      <c r="F34" s="86">
        <v>0.02</v>
      </c>
      <c r="G34" s="86">
        <v>-0.03</v>
      </c>
      <c r="H34" s="87" t="s">
        <v>81</v>
      </c>
      <c r="I34" s="88"/>
      <c r="J34" s="51">
        <f t="shared" si="0"/>
        <v>3.2</v>
      </c>
      <c r="K34" s="51">
        <f t="shared" si="1"/>
        <v>3.1500000000000004</v>
      </c>
      <c r="L34" s="89"/>
      <c r="M34" s="90">
        <f t="shared" si="2"/>
        <v>0</v>
      </c>
      <c r="N34" s="90">
        <f t="shared" si="3"/>
        <v>0</v>
      </c>
      <c r="O34" s="90">
        <f t="shared" si="4"/>
        <v>0</v>
      </c>
      <c r="P34" s="91">
        <f t="shared" si="5"/>
        <v>0</v>
      </c>
      <c r="Q34" s="92" t="str">
        <f t="shared" si="6"/>
        <v/>
      </c>
      <c r="R34" s="93" t="str">
        <f>IF(OR($AI34="",ISNUMBER($AI34)=FALSE),"",IF(AND(#REF!="Tolerance",$E34&lt;&gt;""),($O34-$E34)/(($J34-$K34)/2),IF(AND(#REF!="GD&amp;T",$F34&lt;&gt;""),$O34/$F34,"")))</f>
        <v/>
      </c>
      <c r="S34" s="93" t="str">
        <f t="shared" si="7"/>
        <v/>
      </c>
      <c r="T34" s="92" t="str">
        <f t="shared" si="8"/>
        <v/>
      </c>
      <c r="U34" s="92" t="str">
        <f t="shared" si="9"/>
        <v/>
      </c>
      <c r="V34" s="92" t="str">
        <f t="shared" si="10"/>
        <v/>
      </c>
      <c r="W34" s="112" t="str">
        <f t="shared" si="11"/>
        <v/>
      </c>
      <c r="X34" s="113" t="e">
        <f>IF($O34="","",IF(#REF!="Tolerance",IF((#REF!*3*P34+O34)-E34&lt;F34,"",(#REF!*3*P34+O34)-E34),IF(OR(#REF!="GD&amp;T",#REF!="MAX"),IF((#REF!*3*P34+O34)&lt;F34,"",(#REF!*3*P34+O34)),"")))</f>
        <v>#REF!</v>
      </c>
      <c r="Y34" s="113" t="e">
        <f>IF(O34="","",IF(#REF!="Tolerance",IF(-((#REF!*3*P34)-O34)-E34&gt;G34,"",-((#REF!*3*P34)-O34)-E34),IF(#REF!="MIN",IF(-((#REF!*3*P34)-O34)&gt;G34,"",-((#REF!*3*P34)-O34)),"")))</f>
        <v>#REF!</v>
      </c>
      <c r="Z34" s="113">
        <f t="shared" si="12"/>
        <v>3.1750000000000003</v>
      </c>
      <c r="AA34" s="113" t="str">
        <f t="shared" si="13"/>
        <v/>
      </c>
      <c r="AB34" s="94"/>
      <c r="AC34" s="95" t="str">
        <f t="shared" si="14"/>
        <v/>
      </c>
      <c r="AD34" s="96"/>
      <c r="AE34" s="97"/>
      <c r="AF34" s="97"/>
      <c r="AG34" s="98"/>
      <c r="AI34" s="115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5"/>
      <c r="BJ34" s="115"/>
      <c r="BK34" s="115"/>
      <c r="BL34" s="115"/>
      <c r="BM34" s="116"/>
      <c r="BN34" s="116"/>
    </row>
    <row r="35" spans="2:66" ht="19.05" customHeight="1">
      <c r="B35" s="105" t="s">
        <v>153</v>
      </c>
      <c r="C35" s="105" t="s">
        <v>216</v>
      </c>
      <c r="D35" s="104" t="s">
        <v>73</v>
      </c>
      <c r="E35" s="100">
        <v>3.18</v>
      </c>
      <c r="F35" s="86">
        <v>0.02</v>
      </c>
      <c r="G35" s="86">
        <v>-0.03</v>
      </c>
      <c r="H35" s="87" t="s">
        <v>81</v>
      </c>
      <c r="I35" s="88"/>
      <c r="J35" s="51">
        <f t="shared" si="0"/>
        <v>3.2</v>
      </c>
      <c r="K35" s="51">
        <f t="shared" si="1"/>
        <v>3.1500000000000004</v>
      </c>
      <c r="L35" s="89"/>
      <c r="M35" s="90">
        <f t="shared" si="2"/>
        <v>0</v>
      </c>
      <c r="N35" s="90">
        <f t="shared" si="3"/>
        <v>0</v>
      </c>
      <c r="O35" s="90">
        <f t="shared" si="4"/>
        <v>0</v>
      </c>
      <c r="P35" s="91">
        <f t="shared" si="5"/>
        <v>0</v>
      </c>
      <c r="Q35" s="92" t="str">
        <f t="shared" si="6"/>
        <v/>
      </c>
      <c r="R35" s="93" t="str">
        <f>IF(OR($AI35="",ISNUMBER($AI35)=FALSE),"",IF(AND(#REF!="Tolerance",$E35&lt;&gt;""),($O35-$E35)/(($J35-$K35)/2),IF(AND(#REF!="GD&amp;T",$F35&lt;&gt;""),$O35/$F35,"")))</f>
        <v/>
      </c>
      <c r="S35" s="93" t="str">
        <f t="shared" si="7"/>
        <v/>
      </c>
      <c r="T35" s="92" t="str">
        <f t="shared" si="8"/>
        <v/>
      </c>
      <c r="U35" s="92" t="str">
        <f t="shared" si="9"/>
        <v/>
      </c>
      <c r="V35" s="92" t="str">
        <f t="shared" si="10"/>
        <v/>
      </c>
      <c r="W35" s="112" t="str">
        <f t="shared" si="11"/>
        <v/>
      </c>
      <c r="X35" s="113" t="e">
        <f>IF($O35="","",IF(#REF!="Tolerance",IF((#REF!*3*P35+O35)-E35&lt;F35,"",(#REF!*3*P35+O35)-E35),IF(OR(#REF!="GD&amp;T",#REF!="MAX"),IF((#REF!*3*P35+O35)&lt;F35,"",(#REF!*3*P35+O35)),"")))</f>
        <v>#REF!</v>
      </c>
      <c r="Y35" s="113" t="e">
        <f>IF(O35="","",IF(#REF!="Tolerance",IF(-((#REF!*3*P35)-O35)-E35&gt;G35,"",-((#REF!*3*P35)-O35)-E35),IF(#REF!="MIN",IF(-((#REF!*3*P35)-O35)&gt;G35,"",-((#REF!*3*P35)-O35)),"")))</f>
        <v>#REF!</v>
      </c>
      <c r="Z35" s="113">
        <f t="shared" si="12"/>
        <v>3.1750000000000003</v>
      </c>
      <c r="AA35" s="113" t="str">
        <f t="shared" si="13"/>
        <v/>
      </c>
      <c r="AB35" s="94"/>
      <c r="AC35" s="95" t="str">
        <f t="shared" si="14"/>
        <v/>
      </c>
      <c r="AD35" s="96"/>
      <c r="AE35" s="97"/>
      <c r="AF35" s="97"/>
      <c r="AG35" s="98"/>
      <c r="AI35" s="115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5"/>
      <c r="BF35" s="115"/>
      <c r="BG35" s="115"/>
      <c r="BH35" s="115"/>
      <c r="BI35" s="115"/>
      <c r="BJ35" s="115"/>
      <c r="BK35" s="115"/>
      <c r="BL35" s="115"/>
      <c r="BM35" s="116"/>
      <c r="BN35" s="116"/>
    </row>
    <row r="36" spans="2:66" ht="19.05" customHeight="1">
      <c r="B36" s="105" t="s">
        <v>172</v>
      </c>
      <c r="C36" s="105" t="s">
        <v>217</v>
      </c>
      <c r="D36" s="104" t="s">
        <v>73</v>
      </c>
      <c r="E36" s="100">
        <v>13.05</v>
      </c>
      <c r="F36" s="86">
        <v>0.03</v>
      </c>
      <c r="G36" s="86">
        <v>-0.03</v>
      </c>
      <c r="H36" s="87" t="s">
        <v>198</v>
      </c>
      <c r="I36" s="88"/>
      <c r="J36" s="51">
        <f t="shared" si="0"/>
        <v>13.08</v>
      </c>
      <c r="K36" s="51">
        <f t="shared" si="1"/>
        <v>13.020000000000001</v>
      </c>
      <c r="L36" s="89"/>
      <c r="M36" s="90">
        <f t="shared" si="2"/>
        <v>0</v>
      </c>
      <c r="N36" s="90">
        <f t="shared" si="3"/>
        <v>0</v>
      </c>
      <c r="O36" s="90">
        <f t="shared" si="4"/>
        <v>0</v>
      </c>
      <c r="P36" s="91">
        <f t="shared" si="5"/>
        <v>0</v>
      </c>
      <c r="Q36" s="92" t="str">
        <f t="shared" si="6"/>
        <v/>
      </c>
      <c r="R36" s="93" t="str">
        <f>IF(OR($AI36="",ISNUMBER($AI36)=FALSE),"",IF(AND(#REF!="Tolerance",$E36&lt;&gt;""),($O36-$E36)/(($J36-$K36)/2),IF(AND(#REF!="GD&amp;T",$F36&lt;&gt;""),$O36/$F36,"")))</f>
        <v/>
      </c>
      <c r="S36" s="93" t="str">
        <f t="shared" si="7"/>
        <v/>
      </c>
      <c r="T36" s="92" t="str">
        <f t="shared" si="8"/>
        <v/>
      </c>
      <c r="U36" s="92" t="str">
        <f t="shared" si="9"/>
        <v/>
      </c>
      <c r="V36" s="92" t="str">
        <f t="shared" si="10"/>
        <v/>
      </c>
      <c r="W36" s="112" t="str">
        <f t="shared" si="11"/>
        <v/>
      </c>
      <c r="X36" s="113" t="e">
        <f>IF($O36="","",IF(#REF!="Tolerance",IF((#REF!*3*P36+O36)-E36&lt;F36,"",(#REF!*3*P36+O36)-E36),IF(OR(#REF!="GD&amp;T",#REF!="MAX"),IF((#REF!*3*P36+O36)&lt;F36,"",(#REF!*3*P36+O36)),"")))</f>
        <v>#REF!</v>
      </c>
      <c r="Y36" s="113" t="e">
        <f>IF(O36="","",IF(#REF!="Tolerance",IF(-((#REF!*3*P36)-O36)-E36&gt;G36,"",-((#REF!*3*P36)-O36)-E36),IF(#REF!="MIN",IF(-((#REF!*3*P36)-O36)&gt;G36,"",-((#REF!*3*P36)-O36)),"")))</f>
        <v>#REF!</v>
      </c>
      <c r="Z36" s="113">
        <f t="shared" si="12"/>
        <v>13.05</v>
      </c>
      <c r="AA36" s="113" t="str">
        <f t="shared" si="13"/>
        <v/>
      </c>
      <c r="AB36" s="94"/>
      <c r="AC36" s="95" t="str">
        <f t="shared" si="14"/>
        <v/>
      </c>
      <c r="AD36" s="96"/>
      <c r="AE36" s="97"/>
      <c r="AF36" s="97"/>
      <c r="AG36" s="98"/>
      <c r="AI36" s="115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5"/>
      <c r="BF36" s="115"/>
      <c r="BG36" s="115"/>
      <c r="BH36" s="115"/>
      <c r="BI36" s="115"/>
      <c r="BJ36" s="115"/>
      <c r="BK36" s="115"/>
      <c r="BL36" s="115"/>
      <c r="BM36" s="116"/>
      <c r="BN36" s="116"/>
    </row>
    <row r="37" spans="2:66" ht="19.05" customHeight="1">
      <c r="B37" s="105" t="s">
        <v>173</v>
      </c>
      <c r="C37" s="105" t="s">
        <v>218</v>
      </c>
      <c r="D37" s="104" t="s">
        <v>73</v>
      </c>
      <c r="E37" s="100">
        <v>13.05</v>
      </c>
      <c r="F37" s="86">
        <v>0.03</v>
      </c>
      <c r="G37" s="86">
        <v>-0.03</v>
      </c>
      <c r="H37" s="87" t="s">
        <v>198</v>
      </c>
      <c r="I37" s="88"/>
      <c r="J37" s="51">
        <f t="shared" si="0"/>
        <v>13.08</v>
      </c>
      <c r="K37" s="51">
        <f t="shared" si="1"/>
        <v>13.020000000000001</v>
      </c>
      <c r="L37" s="89"/>
      <c r="M37" s="90">
        <f t="shared" si="2"/>
        <v>0</v>
      </c>
      <c r="N37" s="90">
        <f t="shared" si="3"/>
        <v>0</v>
      </c>
      <c r="O37" s="90">
        <f t="shared" si="4"/>
        <v>0</v>
      </c>
      <c r="P37" s="91">
        <f t="shared" si="5"/>
        <v>0</v>
      </c>
      <c r="Q37" s="92" t="str">
        <f t="shared" si="6"/>
        <v/>
      </c>
      <c r="R37" s="93" t="str">
        <f>IF(OR($AI37="",ISNUMBER($AI37)=FALSE),"",IF(AND(#REF!="Tolerance",$E37&lt;&gt;""),($O37-$E37)/(($J37-$K37)/2),IF(AND(#REF!="GD&amp;T",$F37&lt;&gt;""),$O37/$F37,"")))</f>
        <v/>
      </c>
      <c r="S37" s="93" t="str">
        <f t="shared" si="7"/>
        <v/>
      </c>
      <c r="T37" s="92" t="str">
        <f t="shared" si="8"/>
        <v/>
      </c>
      <c r="U37" s="92" t="str">
        <f t="shared" si="9"/>
        <v/>
      </c>
      <c r="V37" s="92" t="str">
        <f t="shared" si="10"/>
        <v/>
      </c>
      <c r="W37" s="112" t="str">
        <f t="shared" si="11"/>
        <v/>
      </c>
      <c r="X37" s="113" t="e">
        <f>IF($O37="","",IF(#REF!="Tolerance",IF((#REF!*3*P37+O37)-E37&lt;F37,"",(#REF!*3*P37+O37)-E37),IF(OR(#REF!="GD&amp;T",#REF!="MAX"),IF((#REF!*3*P37+O37)&lt;F37,"",(#REF!*3*P37+O37)),"")))</f>
        <v>#REF!</v>
      </c>
      <c r="Y37" s="113" t="e">
        <f>IF(O37="","",IF(#REF!="Tolerance",IF(-((#REF!*3*P37)-O37)-E37&gt;G37,"",-((#REF!*3*P37)-O37)-E37),IF(#REF!="MIN",IF(-((#REF!*3*P37)-O37)&gt;G37,"",-((#REF!*3*P37)-O37)),"")))</f>
        <v>#REF!</v>
      </c>
      <c r="Z37" s="113">
        <f t="shared" si="12"/>
        <v>13.05</v>
      </c>
      <c r="AA37" s="113" t="str">
        <f t="shared" si="13"/>
        <v/>
      </c>
      <c r="AB37" s="94"/>
      <c r="AC37" s="95" t="str">
        <f t="shared" si="14"/>
        <v/>
      </c>
      <c r="AD37" s="96"/>
      <c r="AE37" s="97"/>
      <c r="AF37" s="97"/>
      <c r="AG37" s="98"/>
      <c r="AI37" s="115"/>
      <c r="AJ37" s="115"/>
      <c r="AK37" s="115"/>
      <c r="AL37" s="115"/>
      <c r="AM37" s="115"/>
      <c r="AN37" s="115"/>
      <c r="AO37" s="115"/>
      <c r="AP37" s="115"/>
      <c r="AQ37" s="115"/>
      <c r="AR37" s="115"/>
      <c r="AS37" s="115"/>
      <c r="AT37" s="115"/>
      <c r="AU37" s="115"/>
      <c r="AV37" s="115"/>
      <c r="AW37" s="115"/>
      <c r="AX37" s="115"/>
      <c r="AY37" s="115"/>
      <c r="AZ37" s="115"/>
      <c r="BA37" s="115"/>
      <c r="BB37" s="115"/>
      <c r="BC37" s="115"/>
      <c r="BD37" s="115"/>
      <c r="BE37" s="115"/>
      <c r="BF37" s="115"/>
      <c r="BG37" s="115"/>
      <c r="BH37" s="115"/>
      <c r="BI37" s="115"/>
      <c r="BJ37" s="115"/>
      <c r="BK37" s="115"/>
      <c r="BL37" s="115"/>
      <c r="BM37" s="116"/>
      <c r="BN37" s="116"/>
    </row>
    <row r="38" spans="2:66" ht="19.05" customHeight="1">
      <c r="B38" s="105" t="s">
        <v>154</v>
      </c>
      <c r="C38" s="105" t="s">
        <v>219</v>
      </c>
      <c r="D38" s="104" t="s">
        <v>73</v>
      </c>
      <c r="E38" s="100">
        <v>1.79</v>
      </c>
      <c r="F38" s="86">
        <v>2.5000000000000001E-2</v>
      </c>
      <c r="G38" s="86">
        <v>-0.02</v>
      </c>
      <c r="H38" s="87" t="s">
        <v>81</v>
      </c>
      <c r="I38" s="88"/>
      <c r="J38" s="51">
        <f t="shared" si="0"/>
        <v>1.8149999999999999</v>
      </c>
      <c r="K38" s="51">
        <f t="shared" si="1"/>
        <v>1.77</v>
      </c>
      <c r="L38" s="89"/>
      <c r="M38" s="90">
        <f t="shared" si="2"/>
        <v>0</v>
      </c>
      <c r="N38" s="90">
        <f t="shared" si="3"/>
        <v>0</v>
      </c>
      <c r="O38" s="90">
        <f t="shared" si="4"/>
        <v>0</v>
      </c>
      <c r="P38" s="91">
        <f t="shared" si="5"/>
        <v>0</v>
      </c>
      <c r="Q38" s="92" t="str">
        <f t="shared" si="6"/>
        <v/>
      </c>
      <c r="R38" s="93" t="str">
        <f>IF(OR($AI38="",ISNUMBER($AI38)=FALSE),"",IF(AND(#REF!="Tolerance",$E38&lt;&gt;""),($O38-$E38)/(($J38-$K38)/2),IF(AND(#REF!="GD&amp;T",$F38&lt;&gt;""),$O38/$F38,"")))</f>
        <v/>
      </c>
      <c r="S38" s="93" t="str">
        <f t="shared" si="7"/>
        <v/>
      </c>
      <c r="T38" s="92" t="str">
        <f t="shared" si="8"/>
        <v/>
      </c>
      <c r="U38" s="92" t="str">
        <f t="shared" si="9"/>
        <v/>
      </c>
      <c r="V38" s="92" t="str">
        <f t="shared" si="10"/>
        <v/>
      </c>
      <c r="W38" s="112" t="str">
        <f t="shared" si="11"/>
        <v/>
      </c>
      <c r="X38" s="113" t="e">
        <f>IF($O38="","",IF(#REF!="Tolerance",IF((#REF!*3*P38+O38)-E38&lt;F38,"",(#REF!*3*P38+O38)-E38),IF(OR(#REF!="GD&amp;T",#REF!="MAX"),IF((#REF!*3*P38+O38)&lt;F38,"",(#REF!*3*P38+O38)),"")))</f>
        <v>#REF!</v>
      </c>
      <c r="Y38" s="113" t="e">
        <f>IF(O38="","",IF(#REF!="Tolerance",IF(-((#REF!*3*P38)-O38)-E38&gt;G38,"",-((#REF!*3*P38)-O38)-E38),IF(#REF!="MIN",IF(-((#REF!*3*P38)-O38)&gt;G38,"",-((#REF!*3*P38)-O38)),"")))</f>
        <v>#REF!</v>
      </c>
      <c r="Z38" s="113">
        <f t="shared" si="12"/>
        <v>1.7925</v>
      </c>
      <c r="AA38" s="113" t="str">
        <f t="shared" si="13"/>
        <v/>
      </c>
      <c r="AB38" s="94"/>
      <c r="AC38" s="95" t="str">
        <f t="shared" si="14"/>
        <v/>
      </c>
      <c r="AD38" s="96"/>
      <c r="AE38" s="97"/>
      <c r="AF38" s="97"/>
      <c r="AG38" s="98"/>
      <c r="AI38" s="115"/>
      <c r="AJ38" s="115"/>
      <c r="AK38" s="115"/>
      <c r="AL38" s="115"/>
      <c r="AM38" s="115"/>
      <c r="AN38" s="115"/>
      <c r="AO38" s="115"/>
      <c r="AP38" s="115"/>
      <c r="AQ38" s="115"/>
      <c r="AR38" s="115"/>
      <c r="AS38" s="115"/>
      <c r="AT38" s="115"/>
      <c r="AU38" s="115"/>
      <c r="AV38" s="115"/>
      <c r="AW38" s="115"/>
      <c r="AX38" s="115"/>
      <c r="AY38" s="115"/>
      <c r="AZ38" s="115"/>
      <c r="BA38" s="115"/>
      <c r="BB38" s="115"/>
      <c r="BC38" s="115"/>
      <c r="BD38" s="115"/>
      <c r="BE38" s="115"/>
      <c r="BF38" s="115"/>
      <c r="BG38" s="115"/>
      <c r="BH38" s="115"/>
      <c r="BI38" s="115"/>
      <c r="BJ38" s="115"/>
      <c r="BK38" s="115"/>
      <c r="BL38" s="115"/>
      <c r="BM38" s="116"/>
      <c r="BN38" s="116"/>
    </row>
    <row r="39" spans="2:66" ht="19.05" customHeight="1">
      <c r="B39" s="105" t="s">
        <v>155</v>
      </c>
      <c r="C39" s="105" t="s">
        <v>220</v>
      </c>
      <c r="D39" s="104" t="s">
        <v>73</v>
      </c>
      <c r="E39" s="100">
        <v>1.79</v>
      </c>
      <c r="F39" s="86">
        <v>2.5000000000000001E-2</v>
      </c>
      <c r="G39" s="86">
        <v>-0.02</v>
      </c>
      <c r="H39" s="87" t="s">
        <v>81</v>
      </c>
      <c r="I39" s="88"/>
      <c r="J39" s="51">
        <f t="shared" si="0"/>
        <v>1.8149999999999999</v>
      </c>
      <c r="K39" s="51">
        <f t="shared" si="1"/>
        <v>1.77</v>
      </c>
      <c r="L39" s="89"/>
      <c r="M39" s="90">
        <f t="shared" si="2"/>
        <v>0</v>
      </c>
      <c r="N39" s="90">
        <f t="shared" si="3"/>
        <v>0</v>
      </c>
      <c r="O39" s="90">
        <f t="shared" si="4"/>
        <v>0</v>
      </c>
      <c r="P39" s="91">
        <f t="shared" si="5"/>
        <v>0</v>
      </c>
      <c r="Q39" s="92" t="str">
        <f t="shared" si="6"/>
        <v/>
      </c>
      <c r="R39" s="93" t="str">
        <f>IF(OR($AI39="",ISNUMBER($AI39)=FALSE),"",IF(AND(#REF!="Tolerance",$E39&lt;&gt;""),($O39-$E39)/(($J39-$K39)/2),IF(AND(#REF!="GD&amp;T",$F39&lt;&gt;""),$O39/$F39,"")))</f>
        <v/>
      </c>
      <c r="S39" s="93" t="str">
        <f t="shared" si="7"/>
        <v/>
      </c>
      <c r="T39" s="92" t="str">
        <f t="shared" si="8"/>
        <v/>
      </c>
      <c r="U39" s="92" t="str">
        <f t="shared" si="9"/>
        <v/>
      </c>
      <c r="V39" s="92" t="str">
        <f t="shared" si="10"/>
        <v/>
      </c>
      <c r="W39" s="112" t="str">
        <f t="shared" si="11"/>
        <v/>
      </c>
      <c r="X39" s="113" t="e">
        <f>IF($O39="","",IF(#REF!="Tolerance",IF((#REF!*3*P39+O39)-E39&lt;F39,"",(#REF!*3*P39+O39)-E39),IF(OR(#REF!="GD&amp;T",#REF!="MAX"),IF((#REF!*3*P39+O39)&lt;F39,"",(#REF!*3*P39+O39)),"")))</f>
        <v>#REF!</v>
      </c>
      <c r="Y39" s="113" t="e">
        <f>IF(O39="","",IF(#REF!="Tolerance",IF(-((#REF!*3*P39)-O39)-E39&gt;G39,"",-((#REF!*3*P39)-O39)-E39),IF(#REF!="MIN",IF(-((#REF!*3*P39)-O39)&gt;G39,"",-((#REF!*3*P39)-O39)),"")))</f>
        <v>#REF!</v>
      </c>
      <c r="Z39" s="113">
        <f t="shared" si="12"/>
        <v>1.7925</v>
      </c>
      <c r="AA39" s="113" t="str">
        <f t="shared" si="13"/>
        <v/>
      </c>
      <c r="AB39" s="94"/>
      <c r="AC39" s="95" t="str">
        <f t="shared" si="14"/>
        <v/>
      </c>
      <c r="AD39" s="96"/>
      <c r="AE39" s="97"/>
      <c r="AF39" s="97"/>
      <c r="AG39" s="98"/>
      <c r="AI39" s="115"/>
      <c r="AJ39" s="115"/>
      <c r="AK39" s="115"/>
      <c r="AL39" s="115"/>
      <c r="AM39" s="115"/>
      <c r="AN39" s="115"/>
      <c r="AO39" s="115"/>
      <c r="AP39" s="115"/>
      <c r="AQ39" s="115"/>
      <c r="AR39" s="115"/>
      <c r="AS39" s="115"/>
      <c r="AT39" s="115"/>
      <c r="AU39" s="115"/>
      <c r="AV39" s="115"/>
      <c r="AW39" s="115"/>
      <c r="AX39" s="115"/>
      <c r="AY39" s="115"/>
      <c r="AZ39" s="115"/>
      <c r="BA39" s="115"/>
      <c r="BB39" s="115"/>
      <c r="BC39" s="115"/>
      <c r="BD39" s="115"/>
      <c r="BE39" s="115"/>
      <c r="BF39" s="115"/>
      <c r="BG39" s="115"/>
      <c r="BH39" s="115"/>
      <c r="BI39" s="115"/>
      <c r="BJ39" s="115"/>
      <c r="BK39" s="115"/>
      <c r="BL39" s="115"/>
      <c r="BM39" s="116"/>
      <c r="BN39" s="116"/>
    </row>
    <row r="40" spans="2:66" ht="19.05" customHeight="1">
      <c r="B40" s="105" t="s">
        <v>156</v>
      </c>
      <c r="C40" s="105" t="s">
        <v>221</v>
      </c>
      <c r="D40" s="104" t="s">
        <v>73</v>
      </c>
      <c r="E40" s="100">
        <v>1.79</v>
      </c>
      <c r="F40" s="86">
        <v>2.5000000000000001E-2</v>
      </c>
      <c r="G40" s="86">
        <v>-0.02</v>
      </c>
      <c r="H40" s="87" t="s">
        <v>81</v>
      </c>
      <c r="I40" s="88"/>
      <c r="J40" s="51">
        <f t="shared" si="0"/>
        <v>1.8149999999999999</v>
      </c>
      <c r="K40" s="51">
        <f t="shared" si="1"/>
        <v>1.77</v>
      </c>
      <c r="L40" s="89"/>
      <c r="M40" s="90">
        <f t="shared" si="2"/>
        <v>0</v>
      </c>
      <c r="N40" s="90">
        <f t="shared" si="3"/>
        <v>0</v>
      </c>
      <c r="O40" s="90">
        <f t="shared" si="4"/>
        <v>0</v>
      </c>
      <c r="P40" s="91">
        <f t="shared" si="5"/>
        <v>0</v>
      </c>
      <c r="Q40" s="92" t="str">
        <f t="shared" si="6"/>
        <v/>
      </c>
      <c r="R40" s="93" t="str">
        <f>IF(OR($AI40="",ISNUMBER($AI40)=FALSE),"",IF(AND(#REF!="Tolerance",$E40&lt;&gt;""),($O40-$E40)/(($J40-$K40)/2),IF(AND(#REF!="GD&amp;T",$F40&lt;&gt;""),$O40/$F40,"")))</f>
        <v/>
      </c>
      <c r="S40" s="93" t="str">
        <f t="shared" si="7"/>
        <v/>
      </c>
      <c r="T40" s="92" t="str">
        <f t="shared" si="8"/>
        <v/>
      </c>
      <c r="U40" s="92" t="str">
        <f t="shared" si="9"/>
        <v/>
      </c>
      <c r="V40" s="92" t="str">
        <f t="shared" si="10"/>
        <v/>
      </c>
      <c r="W40" s="112" t="str">
        <f t="shared" si="11"/>
        <v/>
      </c>
      <c r="X40" s="113" t="e">
        <f>IF($O40="","",IF(#REF!="Tolerance",IF((#REF!*3*P40+O40)-E40&lt;F40,"",(#REF!*3*P40+O40)-E40),IF(OR(#REF!="GD&amp;T",#REF!="MAX"),IF((#REF!*3*P40+O40)&lt;F40,"",(#REF!*3*P40+O40)),"")))</f>
        <v>#REF!</v>
      </c>
      <c r="Y40" s="113" t="e">
        <f>IF(O40="","",IF(#REF!="Tolerance",IF(-((#REF!*3*P40)-O40)-E40&gt;G40,"",-((#REF!*3*P40)-O40)-E40),IF(#REF!="MIN",IF(-((#REF!*3*P40)-O40)&gt;G40,"",-((#REF!*3*P40)-O40)),"")))</f>
        <v>#REF!</v>
      </c>
      <c r="Z40" s="113">
        <f t="shared" si="12"/>
        <v>1.7925</v>
      </c>
      <c r="AA40" s="113" t="str">
        <f t="shared" si="13"/>
        <v/>
      </c>
      <c r="AB40" s="94"/>
      <c r="AC40" s="95" t="str">
        <f t="shared" si="14"/>
        <v/>
      </c>
      <c r="AD40" s="96"/>
      <c r="AE40" s="97"/>
      <c r="AF40" s="97"/>
      <c r="AG40" s="98"/>
      <c r="AI40" s="115"/>
      <c r="AJ40" s="115"/>
      <c r="AK40" s="115"/>
      <c r="AL40" s="115"/>
      <c r="AM40" s="115"/>
      <c r="AN40" s="115"/>
      <c r="AO40" s="115"/>
      <c r="AP40" s="115"/>
      <c r="AQ40" s="115"/>
      <c r="AR40" s="115"/>
      <c r="AS40" s="115"/>
      <c r="AT40" s="115"/>
      <c r="AU40" s="115"/>
      <c r="AV40" s="115"/>
      <c r="AW40" s="115"/>
      <c r="AX40" s="115"/>
      <c r="AY40" s="115"/>
      <c r="AZ40" s="115"/>
      <c r="BA40" s="115"/>
      <c r="BB40" s="115"/>
      <c r="BC40" s="115"/>
      <c r="BD40" s="115"/>
      <c r="BE40" s="115"/>
      <c r="BF40" s="115"/>
      <c r="BG40" s="115"/>
      <c r="BH40" s="115"/>
      <c r="BI40" s="115"/>
      <c r="BJ40" s="115"/>
      <c r="BK40" s="115"/>
      <c r="BL40" s="115"/>
      <c r="BM40" s="116"/>
      <c r="BN40" s="116"/>
    </row>
    <row r="41" spans="2:66" ht="19.05" customHeight="1">
      <c r="B41" s="105" t="s">
        <v>157</v>
      </c>
      <c r="C41" s="105" t="s">
        <v>222</v>
      </c>
      <c r="D41" s="104" t="s">
        <v>73</v>
      </c>
      <c r="E41" s="100">
        <v>1.79</v>
      </c>
      <c r="F41" s="86">
        <v>2.5000000000000001E-2</v>
      </c>
      <c r="G41" s="86">
        <v>-0.02</v>
      </c>
      <c r="H41" s="87" t="s">
        <v>81</v>
      </c>
      <c r="I41" s="88"/>
      <c r="J41" s="51">
        <f t="shared" si="0"/>
        <v>1.8149999999999999</v>
      </c>
      <c r="K41" s="51">
        <f t="shared" si="1"/>
        <v>1.77</v>
      </c>
      <c r="L41" s="89"/>
      <c r="M41" s="90">
        <f t="shared" si="2"/>
        <v>0</v>
      </c>
      <c r="N41" s="90">
        <f t="shared" si="3"/>
        <v>0</v>
      </c>
      <c r="O41" s="90">
        <f t="shared" si="4"/>
        <v>0</v>
      </c>
      <c r="P41" s="91">
        <f t="shared" si="5"/>
        <v>0</v>
      </c>
      <c r="Q41" s="92" t="str">
        <f t="shared" si="6"/>
        <v/>
      </c>
      <c r="R41" s="93" t="str">
        <f>IF(OR($AI41="",ISNUMBER($AI41)=FALSE),"",IF(AND(#REF!="Tolerance",$E41&lt;&gt;""),($O41-$E41)/(($J41-$K41)/2),IF(AND(#REF!="GD&amp;T",$F41&lt;&gt;""),$O41/$F41,"")))</f>
        <v/>
      </c>
      <c r="S41" s="93" t="str">
        <f t="shared" si="7"/>
        <v/>
      </c>
      <c r="T41" s="92" t="str">
        <f t="shared" si="8"/>
        <v/>
      </c>
      <c r="U41" s="92" t="str">
        <f t="shared" si="9"/>
        <v/>
      </c>
      <c r="V41" s="92" t="str">
        <f t="shared" si="10"/>
        <v/>
      </c>
      <c r="W41" s="112" t="str">
        <f t="shared" si="11"/>
        <v/>
      </c>
      <c r="X41" s="113" t="e">
        <f>IF($O41="","",IF(#REF!="Tolerance",IF((#REF!*3*P41+O41)-E41&lt;F41,"",(#REF!*3*P41+O41)-E41),IF(OR(#REF!="GD&amp;T",#REF!="MAX"),IF((#REF!*3*P41+O41)&lt;F41,"",(#REF!*3*P41+O41)),"")))</f>
        <v>#REF!</v>
      </c>
      <c r="Y41" s="113" t="e">
        <f>IF(O41="","",IF(#REF!="Tolerance",IF(-((#REF!*3*P41)-O41)-E41&gt;G41,"",-((#REF!*3*P41)-O41)-E41),IF(#REF!="MIN",IF(-((#REF!*3*P41)-O41)&gt;G41,"",-((#REF!*3*P41)-O41)),"")))</f>
        <v>#REF!</v>
      </c>
      <c r="Z41" s="113">
        <f t="shared" si="12"/>
        <v>1.7925</v>
      </c>
      <c r="AA41" s="113" t="str">
        <f t="shared" si="13"/>
        <v/>
      </c>
      <c r="AB41" s="94"/>
      <c r="AC41" s="95" t="str">
        <f t="shared" si="14"/>
        <v/>
      </c>
      <c r="AD41" s="96"/>
      <c r="AE41" s="97"/>
      <c r="AF41" s="97"/>
      <c r="AG41" s="98"/>
      <c r="AI41" s="115"/>
      <c r="AJ41" s="115"/>
      <c r="AK41" s="115"/>
      <c r="AL41" s="115"/>
      <c r="AM41" s="115"/>
      <c r="AN41" s="115"/>
      <c r="AO41" s="115"/>
      <c r="AP41" s="115"/>
      <c r="AQ41" s="115"/>
      <c r="AR41" s="115"/>
      <c r="AS41" s="115"/>
      <c r="AT41" s="115"/>
      <c r="AU41" s="115"/>
      <c r="AV41" s="115"/>
      <c r="AW41" s="115"/>
      <c r="AX41" s="115"/>
      <c r="AY41" s="115"/>
      <c r="AZ41" s="115"/>
      <c r="BA41" s="115"/>
      <c r="BB41" s="115"/>
      <c r="BC41" s="115"/>
      <c r="BD41" s="115"/>
      <c r="BE41" s="115"/>
      <c r="BF41" s="115"/>
      <c r="BG41" s="115"/>
      <c r="BH41" s="115"/>
      <c r="BI41" s="115"/>
      <c r="BJ41" s="115"/>
      <c r="BK41" s="115"/>
      <c r="BL41" s="115"/>
      <c r="BM41" s="116"/>
      <c r="BN41" s="116"/>
    </row>
    <row r="42" spans="2:66" ht="19.05" customHeight="1">
      <c r="B42" s="105" t="s">
        <v>158</v>
      </c>
      <c r="C42" s="105" t="s">
        <v>223</v>
      </c>
      <c r="D42" s="104" t="s">
        <v>73</v>
      </c>
      <c r="E42" s="100">
        <v>12.22</v>
      </c>
      <c r="F42" s="86">
        <v>2.5000000000000001E-2</v>
      </c>
      <c r="G42" s="86">
        <v>-2.5000000000000001E-2</v>
      </c>
      <c r="H42" s="87" t="s">
        <v>81</v>
      </c>
      <c r="I42" s="88"/>
      <c r="J42" s="51">
        <f t="shared" si="0"/>
        <v>12.245000000000001</v>
      </c>
      <c r="K42" s="51">
        <f t="shared" si="1"/>
        <v>12.195</v>
      </c>
      <c r="L42" s="89"/>
      <c r="M42" s="90">
        <f t="shared" si="2"/>
        <v>0</v>
      </c>
      <c r="N42" s="90">
        <f t="shared" si="3"/>
        <v>0</v>
      </c>
      <c r="O42" s="90">
        <f t="shared" si="4"/>
        <v>0</v>
      </c>
      <c r="P42" s="91">
        <f t="shared" si="5"/>
        <v>0</v>
      </c>
      <c r="Q42" s="92" t="str">
        <f t="shared" si="6"/>
        <v/>
      </c>
      <c r="R42" s="93" t="str">
        <f>IF(OR($AI42="",ISNUMBER($AI42)=FALSE),"",IF(AND(#REF!="Tolerance",$E42&lt;&gt;""),($O42-$E42)/(($J42-$K42)/2),IF(AND(#REF!="GD&amp;T",$F42&lt;&gt;""),$O42/$F42,"")))</f>
        <v/>
      </c>
      <c r="S42" s="93" t="str">
        <f t="shared" si="7"/>
        <v/>
      </c>
      <c r="T42" s="92" t="str">
        <f t="shared" si="8"/>
        <v/>
      </c>
      <c r="U42" s="92" t="str">
        <f t="shared" si="9"/>
        <v/>
      </c>
      <c r="V42" s="92" t="str">
        <f t="shared" si="10"/>
        <v/>
      </c>
      <c r="W42" s="112" t="str">
        <f t="shared" si="11"/>
        <v/>
      </c>
      <c r="X42" s="113" t="e">
        <f>IF($O42="","",IF(#REF!="Tolerance",IF((#REF!*3*P42+O42)-E42&lt;F42,"",(#REF!*3*P42+O42)-E42),IF(OR(#REF!="GD&amp;T",#REF!="MAX"),IF((#REF!*3*P42+O42)&lt;F42,"",(#REF!*3*P42+O42)),"")))</f>
        <v>#REF!</v>
      </c>
      <c r="Y42" s="113" t="e">
        <f>IF(O42="","",IF(#REF!="Tolerance",IF(-((#REF!*3*P42)-O42)-E42&gt;G42,"",-((#REF!*3*P42)-O42)-E42),IF(#REF!="MIN",IF(-((#REF!*3*P42)-O42)&gt;G42,"",-((#REF!*3*P42)-O42)),"")))</f>
        <v>#REF!</v>
      </c>
      <c r="Z42" s="113">
        <f t="shared" si="12"/>
        <v>12.22</v>
      </c>
      <c r="AA42" s="113" t="str">
        <f t="shared" si="13"/>
        <v/>
      </c>
      <c r="AB42" s="94"/>
      <c r="AC42" s="95" t="str">
        <f t="shared" si="14"/>
        <v/>
      </c>
      <c r="AD42" s="96"/>
      <c r="AE42" s="97"/>
      <c r="AF42" s="97"/>
      <c r="AG42" s="98"/>
      <c r="AI42" s="115"/>
      <c r="AJ42" s="115"/>
      <c r="AK42" s="115"/>
      <c r="AL42" s="115"/>
      <c r="AM42" s="115"/>
      <c r="AN42" s="115"/>
      <c r="AO42" s="115"/>
      <c r="AP42" s="115"/>
      <c r="AQ42" s="115"/>
      <c r="AR42" s="115"/>
      <c r="AS42" s="115"/>
      <c r="AT42" s="115"/>
      <c r="AU42" s="115"/>
      <c r="AV42" s="115"/>
      <c r="AW42" s="115"/>
      <c r="AX42" s="115"/>
      <c r="AY42" s="115"/>
      <c r="AZ42" s="115"/>
      <c r="BA42" s="115"/>
      <c r="BB42" s="115"/>
      <c r="BC42" s="115"/>
      <c r="BD42" s="115"/>
      <c r="BE42" s="115"/>
      <c r="BF42" s="115"/>
      <c r="BG42" s="115"/>
      <c r="BH42" s="115"/>
      <c r="BI42" s="115"/>
      <c r="BJ42" s="115"/>
      <c r="BK42" s="115"/>
      <c r="BL42" s="115"/>
      <c r="BM42" s="116"/>
      <c r="BN42" s="116"/>
    </row>
    <row r="43" spans="2:66" ht="19.05" customHeight="1">
      <c r="B43" s="105" t="s">
        <v>159</v>
      </c>
      <c r="C43" s="105" t="s">
        <v>224</v>
      </c>
      <c r="D43" s="104" t="s">
        <v>73</v>
      </c>
      <c r="E43" s="100">
        <v>0.9</v>
      </c>
      <c r="F43" s="86">
        <v>1.4999999999999999E-2</v>
      </c>
      <c r="G43" s="86">
        <v>-1.4999999999999999E-2</v>
      </c>
      <c r="H43" s="87" t="s">
        <v>81</v>
      </c>
      <c r="I43" s="88"/>
      <c r="J43" s="51">
        <f t="shared" si="0"/>
        <v>0.91500000000000004</v>
      </c>
      <c r="K43" s="51">
        <f t="shared" si="1"/>
        <v>0.88500000000000001</v>
      </c>
      <c r="L43" s="89"/>
      <c r="M43" s="90">
        <f t="shared" si="2"/>
        <v>0</v>
      </c>
      <c r="N43" s="90">
        <f t="shared" si="3"/>
        <v>0</v>
      </c>
      <c r="O43" s="90">
        <f t="shared" si="4"/>
        <v>0</v>
      </c>
      <c r="P43" s="91">
        <f t="shared" si="5"/>
        <v>0</v>
      </c>
      <c r="Q43" s="92" t="str">
        <f t="shared" si="6"/>
        <v/>
      </c>
      <c r="R43" s="93" t="str">
        <f>IF(OR($AI43="",ISNUMBER($AI43)=FALSE),"",IF(AND(#REF!="Tolerance",$E43&lt;&gt;""),($O43-$E43)/(($J43-$K43)/2),IF(AND(#REF!="GD&amp;T",$F43&lt;&gt;""),$O43/$F43,"")))</f>
        <v/>
      </c>
      <c r="S43" s="93" t="str">
        <f t="shared" si="7"/>
        <v/>
      </c>
      <c r="T43" s="92" t="str">
        <f t="shared" si="8"/>
        <v/>
      </c>
      <c r="U43" s="92" t="str">
        <f t="shared" si="9"/>
        <v/>
      </c>
      <c r="V43" s="92" t="str">
        <f t="shared" si="10"/>
        <v/>
      </c>
      <c r="W43" s="112" t="str">
        <f t="shared" si="11"/>
        <v/>
      </c>
      <c r="X43" s="113" t="e">
        <f>IF($O43="","",IF(#REF!="Tolerance",IF((#REF!*3*P43+O43)-E43&lt;F43,"",(#REF!*3*P43+O43)-E43),IF(OR(#REF!="GD&amp;T",#REF!="MAX"),IF((#REF!*3*P43+O43)&lt;F43,"",(#REF!*3*P43+O43)),"")))</f>
        <v>#REF!</v>
      </c>
      <c r="Y43" s="113" t="e">
        <f>IF(O43="","",IF(#REF!="Tolerance",IF(-((#REF!*3*P43)-O43)-E43&gt;G43,"",-((#REF!*3*P43)-O43)-E43),IF(#REF!="MIN",IF(-((#REF!*3*P43)-O43)&gt;G43,"",-((#REF!*3*P43)-O43)),"")))</f>
        <v>#REF!</v>
      </c>
      <c r="Z43" s="113">
        <f t="shared" si="12"/>
        <v>0.9</v>
      </c>
      <c r="AA43" s="113" t="str">
        <f t="shared" si="13"/>
        <v/>
      </c>
      <c r="AB43" s="94"/>
      <c r="AC43" s="95" t="str">
        <f t="shared" si="14"/>
        <v/>
      </c>
      <c r="AD43" s="96"/>
      <c r="AE43" s="97"/>
      <c r="AF43" s="97"/>
      <c r="AG43" s="98"/>
      <c r="AI43" s="115"/>
      <c r="AJ43" s="115"/>
      <c r="AK43" s="115"/>
      <c r="AL43" s="115"/>
      <c r="AM43" s="115"/>
      <c r="AN43" s="115"/>
      <c r="AO43" s="115"/>
      <c r="AP43" s="115"/>
      <c r="AQ43" s="115"/>
      <c r="AR43" s="115"/>
      <c r="AS43" s="115"/>
      <c r="AT43" s="115"/>
      <c r="AU43" s="115"/>
      <c r="AV43" s="115"/>
      <c r="AW43" s="115"/>
      <c r="AX43" s="115"/>
      <c r="AY43" s="115"/>
      <c r="AZ43" s="115"/>
      <c r="BA43" s="115"/>
      <c r="BB43" s="115"/>
      <c r="BC43" s="115"/>
      <c r="BD43" s="115"/>
      <c r="BE43" s="115"/>
      <c r="BF43" s="115"/>
      <c r="BG43" s="115"/>
      <c r="BH43" s="115"/>
      <c r="BI43" s="115"/>
      <c r="BJ43" s="115"/>
      <c r="BK43" s="115"/>
      <c r="BL43" s="115"/>
      <c r="BM43" s="116"/>
      <c r="BN43" s="116"/>
    </row>
    <row r="44" spans="2:66" ht="19.05" customHeight="1">
      <c r="B44" s="105" t="s">
        <v>174</v>
      </c>
      <c r="C44" s="105" t="s">
        <v>225</v>
      </c>
      <c r="D44" s="104" t="s">
        <v>73</v>
      </c>
      <c r="E44" s="100">
        <v>14.22</v>
      </c>
      <c r="F44" s="86">
        <v>0.02</v>
      </c>
      <c r="G44" s="86">
        <v>-0.03</v>
      </c>
      <c r="H44" s="87" t="s">
        <v>198</v>
      </c>
      <c r="I44" s="88"/>
      <c r="J44" s="51">
        <f t="shared" si="0"/>
        <v>14.24</v>
      </c>
      <c r="K44" s="51">
        <f t="shared" si="1"/>
        <v>14.190000000000001</v>
      </c>
      <c r="L44" s="89"/>
      <c r="M44" s="90">
        <f t="shared" si="2"/>
        <v>0</v>
      </c>
      <c r="N44" s="90">
        <f t="shared" si="3"/>
        <v>0</v>
      </c>
      <c r="O44" s="90">
        <f t="shared" si="4"/>
        <v>0</v>
      </c>
      <c r="P44" s="91">
        <f t="shared" si="5"/>
        <v>0</v>
      </c>
      <c r="Q44" s="92" t="str">
        <f t="shared" si="6"/>
        <v/>
      </c>
      <c r="R44" s="93" t="str">
        <f>IF(OR($AI44="",ISNUMBER($AI44)=FALSE),"",IF(AND(#REF!="Tolerance",$E44&lt;&gt;""),($O44-$E44)/(($J44-$K44)/2),IF(AND(#REF!="GD&amp;T",$F44&lt;&gt;""),$O44/$F44,"")))</f>
        <v/>
      </c>
      <c r="S44" s="93" t="str">
        <f t="shared" si="7"/>
        <v/>
      </c>
      <c r="T44" s="92" t="str">
        <f t="shared" si="8"/>
        <v/>
      </c>
      <c r="U44" s="92" t="str">
        <f t="shared" si="9"/>
        <v/>
      </c>
      <c r="V44" s="92" t="str">
        <f t="shared" si="10"/>
        <v/>
      </c>
      <c r="W44" s="112" t="str">
        <f t="shared" si="11"/>
        <v/>
      </c>
      <c r="X44" s="113" t="e">
        <f>IF($O44="","",IF(#REF!="Tolerance",IF((#REF!*3*P44+O44)-E44&lt;F44,"",(#REF!*3*P44+O44)-E44),IF(OR(#REF!="GD&amp;T",#REF!="MAX"),IF((#REF!*3*P44+O44)&lt;F44,"",(#REF!*3*P44+O44)),"")))</f>
        <v>#REF!</v>
      </c>
      <c r="Y44" s="113" t="e">
        <f>IF(O44="","",IF(#REF!="Tolerance",IF(-((#REF!*3*P44)-O44)-E44&gt;G44,"",-((#REF!*3*P44)-O44)-E44),IF(#REF!="MIN",IF(-((#REF!*3*P44)-O44)&gt;G44,"",-((#REF!*3*P44)-O44)),"")))</f>
        <v>#REF!</v>
      </c>
      <c r="Z44" s="113">
        <f t="shared" si="12"/>
        <v>14.215</v>
      </c>
      <c r="AA44" s="113" t="str">
        <f t="shared" si="13"/>
        <v/>
      </c>
      <c r="AB44" s="94"/>
      <c r="AC44" s="95" t="str">
        <f t="shared" si="14"/>
        <v/>
      </c>
      <c r="AD44" s="96"/>
      <c r="AE44" s="97"/>
      <c r="AF44" s="97"/>
      <c r="AG44" s="98"/>
      <c r="AI44" s="115"/>
      <c r="AJ44" s="115"/>
      <c r="AK44" s="115"/>
      <c r="AL44" s="115"/>
      <c r="AM44" s="115"/>
      <c r="AN44" s="115"/>
      <c r="AO44" s="115"/>
      <c r="AP44" s="115"/>
      <c r="AQ44" s="115"/>
      <c r="AR44" s="115"/>
      <c r="AS44" s="115"/>
      <c r="AT44" s="115"/>
      <c r="AU44" s="115"/>
      <c r="AV44" s="115"/>
      <c r="AW44" s="115"/>
      <c r="AX44" s="115"/>
      <c r="AY44" s="115"/>
      <c r="AZ44" s="115"/>
      <c r="BA44" s="115"/>
      <c r="BB44" s="115"/>
      <c r="BC44" s="115"/>
      <c r="BD44" s="115"/>
      <c r="BE44" s="115"/>
      <c r="BF44" s="115"/>
      <c r="BG44" s="115"/>
      <c r="BH44" s="115"/>
      <c r="BI44" s="115"/>
      <c r="BJ44" s="115"/>
      <c r="BK44" s="115"/>
      <c r="BL44" s="115"/>
      <c r="BM44" s="116"/>
      <c r="BN44" s="116"/>
    </row>
    <row r="45" spans="2:66" ht="19.05" customHeight="1">
      <c r="B45" s="105" t="s">
        <v>175</v>
      </c>
      <c r="C45" s="105" t="s">
        <v>226</v>
      </c>
      <c r="D45" s="104" t="s">
        <v>73</v>
      </c>
      <c r="E45" s="100">
        <v>11.88</v>
      </c>
      <c r="F45" s="86">
        <v>0.03</v>
      </c>
      <c r="G45" s="86">
        <v>-0.02</v>
      </c>
      <c r="H45" s="87" t="s">
        <v>198</v>
      </c>
      <c r="I45" s="88"/>
      <c r="J45" s="51">
        <f t="shared" si="0"/>
        <v>11.91</v>
      </c>
      <c r="K45" s="51">
        <f t="shared" si="1"/>
        <v>11.860000000000001</v>
      </c>
      <c r="L45" s="89"/>
      <c r="M45" s="90">
        <f t="shared" si="2"/>
        <v>0</v>
      </c>
      <c r="N45" s="90">
        <f t="shared" si="3"/>
        <v>0</v>
      </c>
      <c r="O45" s="90">
        <f t="shared" si="4"/>
        <v>0</v>
      </c>
      <c r="P45" s="91">
        <f t="shared" si="5"/>
        <v>0</v>
      </c>
      <c r="Q45" s="92" t="str">
        <f t="shared" si="6"/>
        <v/>
      </c>
      <c r="R45" s="93" t="str">
        <f>IF(OR($AI45="",ISNUMBER($AI45)=FALSE),"",IF(AND(#REF!="Tolerance",$E45&lt;&gt;""),($O45-$E45)/(($J45-$K45)/2),IF(AND(#REF!="GD&amp;T",$F45&lt;&gt;""),$O45/$F45,"")))</f>
        <v/>
      </c>
      <c r="S45" s="93" t="str">
        <f t="shared" si="7"/>
        <v/>
      </c>
      <c r="T45" s="92" t="str">
        <f t="shared" si="8"/>
        <v/>
      </c>
      <c r="U45" s="92" t="str">
        <f t="shared" si="9"/>
        <v/>
      </c>
      <c r="V45" s="92" t="str">
        <f t="shared" si="10"/>
        <v/>
      </c>
      <c r="W45" s="112" t="str">
        <f t="shared" si="11"/>
        <v/>
      </c>
      <c r="X45" s="113" t="e">
        <f>IF($O45="","",IF(#REF!="Tolerance",IF((#REF!*3*P45+O45)-E45&lt;F45,"",(#REF!*3*P45+O45)-E45),IF(OR(#REF!="GD&amp;T",#REF!="MAX"),IF((#REF!*3*P45+O45)&lt;F45,"",(#REF!*3*P45+O45)),"")))</f>
        <v>#REF!</v>
      </c>
      <c r="Y45" s="113" t="e">
        <f>IF(O45="","",IF(#REF!="Tolerance",IF(-((#REF!*3*P45)-O45)-E45&gt;G45,"",-((#REF!*3*P45)-O45)-E45),IF(#REF!="MIN",IF(-((#REF!*3*P45)-O45)&gt;G45,"",-((#REF!*3*P45)-O45)),"")))</f>
        <v>#REF!</v>
      </c>
      <c r="Z45" s="113">
        <f t="shared" si="12"/>
        <v>11.885000000000002</v>
      </c>
      <c r="AA45" s="113" t="str">
        <f t="shared" si="13"/>
        <v/>
      </c>
      <c r="AB45" s="94"/>
      <c r="AC45" s="95" t="str">
        <f t="shared" si="14"/>
        <v/>
      </c>
      <c r="AD45" s="96"/>
      <c r="AE45" s="97"/>
      <c r="AF45" s="97"/>
      <c r="AG45" s="98"/>
      <c r="AI45" s="115"/>
      <c r="AJ45" s="115"/>
      <c r="AK45" s="115"/>
      <c r="AL45" s="115"/>
      <c r="AM45" s="115"/>
      <c r="AN45" s="115"/>
      <c r="AO45" s="115"/>
      <c r="AP45" s="115"/>
      <c r="AQ45" s="115"/>
      <c r="AR45" s="115"/>
      <c r="AS45" s="115"/>
      <c r="AT45" s="115"/>
      <c r="AU45" s="115"/>
      <c r="AV45" s="115"/>
      <c r="AW45" s="115"/>
      <c r="AX45" s="115"/>
      <c r="AY45" s="115"/>
      <c r="AZ45" s="115"/>
      <c r="BA45" s="115"/>
      <c r="BB45" s="115"/>
      <c r="BC45" s="115"/>
      <c r="BD45" s="115"/>
      <c r="BE45" s="115"/>
      <c r="BF45" s="115"/>
      <c r="BG45" s="115"/>
      <c r="BH45" s="115"/>
      <c r="BI45" s="115"/>
      <c r="BJ45" s="115"/>
      <c r="BK45" s="115"/>
      <c r="BL45" s="115"/>
      <c r="BM45" s="116"/>
      <c r="BN45" s="116"/>
    </row>
    <row r="46" spans="2:66" ht="19.05" customHeight="1">
      <c r="B46" s="105" t="s">
        <v>176</v>
      </c>
      <c r="C46" s="105" t="s">
        <v>227</v>
      </c>
      <c r="D46" s="104" t="s">
        <v>73</v>
      </c>
      <c r="E46" s="100">
        <v>12.13</v>
      </c>
      <c r="F46" s="86">
        <v>0.02</v>
      </c>
      <c r="G46" s="86">
        <v>-0.04</v>
      </c>
      <c r="H46" s="87" t="s">
        <v>198</v>
      </c>
      <c r="I46" s="88"/>
      <c r="J46" s="51">
        <f t="shared" si="0"/>
        <v>12.15</v>
      </c>
      <c r="K46" s="51">
        <f t="shared" si="1"/>
        <v>12.090000000000002</v>
      </c>
      <c r="L46" s="89"/>
      <c r="M46" s="90">
        <f t="shared" si="2"/>
        <v>0</v>
      </c>
      <c r="N46" s="90">
        <f t="shared" si="3"/>
        <v>0</v>
      </c>
      <c r="O46" s="90">
        <f t="shared" si="4"/>
        <v>0</v>
      </c>
      <c r="P46" s="91">
        <f t="shared" si="5"/>
        <v>0</v>
      </c>
      <c r="Q46" s="92" t="str">
        <f t="shared" si="6"/>
        <v/>
      </c>
      <c r="R46" s="93" t="str">
        <f>IF(OR($AI46="",ISNUMBER($AI46)=FALSE),"",IF(AND(#REF!="Tolerance",$E46&lt;&gt;""),($O46-$E46)/(($J46-$K46)/2),IF(AND(#REF!="GD&amp;T",$F46&lt;&gt;""),$O46/$F46,"")))</f>
        <v/>
      </c>
      <c r="S46" s="93" t="str">
        <f t="shared" si="7"/>
        <v/>
      </c>
      <c r="T46" s="92" t="str">
        <f t="shared" si="8"/>
        <v/>
      </c>
      <c r="U46" s="92" t="str">
        <f t="shared" si="9"/>
        <v/>
      </c>
      <c r="V46" s="92" t="str">
        <f t="shared" si="10"/>
        <v/>
      </c>
      <c r="W46" s="112" t="str">
        <f t="shared" si="11"/>
        <v/>
      </c>
      <c r="X46" s="113" t="e">
        <f>IF($O46="","",IF(#REF!="Tolerance",IF((#REF!*3*P46+O46)-E46&lt;F46,"",(#REF!*3*P46+O46)-E46),IF(OR(#REF!="GD&amp;T",#REF!="MAX"),IF((#REF!*3*P46+O46)&lt;F46,"",(#REF!*3*P46+O46)),"")))</f>
        <v>#REF!</v>
      </c>
      <c r="Y46" s="113" t="e">
        <f>IF(O46="","",IF(#REF!="Tolerance",IF(-((#REF!*3*P46)-O46)-E46&gt;G46,"",-((#REF!*3*P46)-O46)-E46),IF(#REF!="MIN",IF(-((#REF!*3*P46)-O46)&gt;G46,"",-((#REF!*3*P46)-O46)),"")))</f>
        <v>#REF!</v>
      </c>
      <c r="Z46" s="113">
        <f t="shared" si="12"/>
        <v>12.120000000000001</v>
      </c>
      <c r="AA46" s="113" t="str">
        <f t="shared" si="13"/>
        <v/>
      </c>
      <c r="AB46" s="94"/>
      <c r="AC46" s="95" t="str">
        <f t="shared" si="14"/>
        <v/>
      </c>
      <c r="AD46" s="96"/>
      <c r="AE46" s="97"/>
      <c r="AF46" s="97"/>
      <c r="AG46" s="98"/>
      <c r="AI46" s="115"/>
      <c r="AJ46" s="115"/>
      <c r="AK46" s="115"/>
      <c r="AL46" s="115"/>
      <c r="AM46" s="115"/>
      <c r="AN46" s="115"/>
      <c r="AO46" s="115"/>
      <c r="AP46" s="115"/>
      <c r="AQ46" s="115"/>
      <c r="AR46" s="115"/>
      <c r="AS46" s="115"/>
      <c r="AT46" s="115"/>
      <c r="AU46" s="115"/>
      <c r="AV46" s="115"/>
      <c r="AW46" s="115"/>
      <c r="AX46" s="115"/>
      <c r="AY46" s="115"/>
      <c r="AZ46" s="115"/>
      <c r="BA46" s="115"/>
      <c r="BB46" s="115"/>
      <c r="BC46" s="115"/>
      <c r="BD46" s="115"/>
      <c r="BE46" s="115"/>
      <c r="BF46" s="115"/>
      <c r="BG46" s="115"/>
      <c r="BH46" s="115"/>
      <c r="BI46" s="115"/>
      <c r="BJ46" s="115"/>
      <c r="BK46" s="115"/>
      <c r="BL46" s="115"/>
      <c r="BM46" s="116"/>
      <c r="BN46" s="116"/>
    </row>
    <row r="47" spans="2:66" ht="19.05" customHeight="1">
      <c r="B47" s="105" t="s">
        <v>177</v>
      </c>
      <c r="C47" s="105" t="s">
        <v>228</v>
      </c>
      <c r="D47" s="104" t="s">
        <v>73</v>
      </c>
      <c r="E47" s="100">
        <v>0.51</v>
      </c>
      <c r="F47" s="86">
        <v>0.02</v>
      </c>
      <c r="G47" s="86">
        <v>-0.02</v>
      </c>
      <c r="H47" s="87" t="s">
        <v>198</v>
      </c>
      <c r="I47" s="88"/>
      <c r="J47" s="51">
        <f t="shared" si="0"/>
        <v>0.53</v>
      </c>
      <c r="K47" s="51">
        <f t="shared" si="1"/>
        <v>0.49</v>
      </c>
      <c r="L47" s="89"/>
      <c r="M47" s="90">
        <f t="shared" si="2"/>
        <v>0</v>
      </c>
      <c r="N47" s="90">
        <f t="shared" si="3"/>
        <v>0</v>
      </c>
      <c r="O47" s="90">
        <f t="shared" si="4"/>
        <v>0</v>
      </c>
      <c r="P47" s="91">
        <f t="shared" si="5"/>
        <v>0</v>
      </c>
      <c r="Q47" s="92" t="str">
        <f t="shared" si="6"/>
        <v/>
      </c>
      <c r="R47" s="93" t="str">
        <f>IF(OR($AI47="",ISNUMBER($AI47)=FALSE),"",IF(AND(#REF!="Tolerance",$E47&lt;&gt;""),($O47-$E47)/(($J47-$K47)/2),IF(AND(#REF!="GD&amp;T",$F47&lt;&gt;""),$O47/$F47,"")))</f>
        <v/>
      </c>
      <c r="S47" s="93" t="str">
        <f t="shared" si="7"/>
        <v/>
      </c>
      <c r="T47" s="92" t="str">
        <f t="shared" si="8"/>
        <v/>
      </c>
      <c r="U47" s="92" t="str">
        <f t="shared" si="9"/>
        <v/>
      </c>
      <c r="V47" s="92" t="str">
        <f t="shared" si="10"/>
        <v/>
      </c>
      <c r="W47" s="112" t="str">
        <f t="shared" si="11"/>
        <v/>
      </c>
      <c r="X47" s="113" t="e">
        <f>IF($O47="","",IF(#REF!="Tolerance",IF((#REF!*3*P47+O47)-E47&lt;F47,"",(#REF!*3*P47+O47)-E47),IF(OR(#REF!="GD&amp;T",#REF!="MAX"),IF((#REF!*3*P47+O47)&lt;F47,"",(#REF!*3*P47+O47)),"")))</f>
        <v>#REF!</v>
      </c>
      <c r="Y47" s="113" t="e">
        <f>IF(O47="","",IF(#REF!="Tolerance",IF(-((#REF!*3*P47)-O47)-E47&gt;G47,"",-((#REF!*3*P47)-O47)-E47),IF(#REF!="MIN",IF(-((#REF!*3*P47)-O47)&gt;G47,"",-((#REF!*3*P47)-O47)),"")))</f>
        <v>#REF!</v>
      </c>
      <c r="Z47" s="113">
        <f t="shared" si="12"/>
        <v>0.51</v>
      </c>
      <c r="AA47" s="113" t="str">
        <f t="shared" si="13"/>
        <v/>
      </c>
      <c r="AB47" s="94"/>
      <c r="AC47" s="95" t="str">
        <f t="shared" si="14"/>
        <v/>
      </c>
      <c r="AD47" s="96"/>
      <c r="AE47" s="97"/>
      <c r="AF47" s="97"/>
      <c r="AG47" s="98"/>
      <c r="AI47" s="115"/>
      <c r="AJ47" s="115"/>
      <c r="AK47" s="115"/>
      <c r="AL47" s="115"/>
      <c r="AM47" s="115"/>
      <c r="AN47" s="115"/>
      <c r="AO47" s="115"/>
      <c r="AP47" s="115"/>
      <c r="AQ47" s="115"/>
      <c r="AR47" s="115"/>
      <c r="AS47" s="115"/>
      <c r="AT47" s="115"/>
      <c r="AU47" s="115"/>
      <c r="AV47" s="115"/>
      <c r="AW47" s="115"/>
      <c r="AX47" s="115"/>
      <c r="AY47" s="115"/>
      <c r="AZ47" s="115"/>
      <c r="BA47" s="115"/>
      <c r="BB47" s="115"/>
      <c r="BC47" s="115"/>
      <c r="BD47" s="115"/>
      <c r="BE47" s="115"/>
      <c r="BF47" s="115"/>
      <c r="BG47" s="115"/>
      <c r="BH47" s="115"/>
      <c r="BI47" s="115"/>
      <c r="BJ47" s="115"/>
      <c r="BK47" s="115"/>
      <c r="BL47" s="115"/>
      <c r="BM47" s="116"/>
      <c r="BN47" s="116"/>
    </row>
    <row r="48" spans="2:66" ht="19.05" customHeight="1">
      <c r="B48" s="105" t="s">
        <v>178</v>
      </c>
      <c r="C48" s="105" t="s">
        <v>229</v>
      </c>
      <c r="D48" s="104" t="s">
        <v>73</v>
      </c>
      <c r="E48" s="100">
        <v>0.51</v>
      </c>
      <c r="F48" s="86">
        <v>0.02</v>
      </c>
      <c r="G48" s="86">
        <v>-0.02</v>
      </c>
      <c r="H48" s="87" t="s">
        <v>198</v>
      </c>
      <c r="I48" s="88"/>
      <c r="J48" s="51">
        <f t="shared" si="0"/>
        <v>0.53</v>
      </c>
      <c r="K48" s="51">
        <f t="shared" si="1"/>
        <v>0.49</v>
      </c>
      <c r="L48" s="89"/>
      <c r="M48" s="90">
        <f t="shared" si="2"/>
        <v>0</v>
      </c>
      <c r="N48" s="90">
        <f t="shared" si="3"/>
        <v>0</v>
      </c>
      <c r="O48" s="90">
        <f t="shared" si="4"/>
        <v>0</v>
      </c>
      <c r="P48" s="91">
        <f t="shared" si="5"/>
        <v>0</v>
      </c>
      <c r="Q48" s="92" t="str">
        <f t="shared" si="6"/>
        <v/>
      </c>
      <c r="R48" s="93" t="str">
        <f>IF(OR($AI48="",ISNUMBER($AI48)=FALSE),"",IF(AND(#REF!="Tolerance",$E48&lt;&gt;""),($O48-$E48)/(($J48-$K48)/2),IF(AND(#REF!="GD&amp;T",$F48&lt;&gt;""),$O48/$F48,"")))</f>
        <v/>
      </c>
      <c r="S48" s="93" t="str">
        <f t="shared" si="7"/>
        <v/>
      </c>
      <c r="T48" s="92" t="str">
        <f t="shared" si="8"/>
        <v/>
      </c>
      <c r="U48" s="92" t="str">
        <f t="shared" si="9"/>
        <v/>
      </c>
      <c r="V48" s="92" t="str">
        <f t="shared" si="10"/>
        <v/>
      </c>
      <c r="W48" s="112" t="str">
        <f t="shared" si="11"/>
        <v/>
      </c>
      <c r="X48" s="113" t="e">
        <f>IF($O48="","",IF(#REF!="Tolerance",IF((#REF!*3*P48+O48)-E48&lt;F48,"",(#REF!*3*P48+O48)-E48),IF(OR(#REF!="GD&amp;T",#REF!="MAX"),IF((#REF!*3*P48+O48)&lt;F48,"",(#REF!*3*P48+O48)),"")))</f>
        <v>#REF!</v>
      </c>
      <c r="Y48" s="113" t="e">
        <f>IF(O48="","",IF(#REF!="Tolerance",IF(-((#REF!*3*P48)-O48)-E48&gt;G48,"",-((#REF!*3*P48)-O48)-E48),IF(#REF!="MIN",IF(-((#REF!*3*P48)-O48)&gt;G48,"",-((#REF!*3*P48)-O48)),"")))</f>
        <v>#REF!</v>
      </c>
      <c r="Z48" s="113">
        <f t="shared" si="12"/>
        <v>0.51</v>
      </c>
      <c r="AA48" s="113" t="str">
        <f t="shared" si="13"/>
        <v/>
      </c>
      <c r="AB48" s="94"/>
      <c r="AC48" s="95" t="str">
        <f t="shared" si="14"/>
        <v/>
      </c>
      <c r="AD48" s="96"/>
      <c r="AE48" s="97"/>
      <c r="AF48" s="97"/>
      <c r="AG48" s="98"/>
      <c r="AI48" s="115"/>
      <c r="AJ48" s="115"/>
      <c r="AK48" s="115"/>
      <c r="AL48" s="115"/>
      <c r="AM48" s="115"/>
      <c r="AN48" s="115"/>
      <c r="AO48" s="115"/>
      <c r="AP48" s="115"/>
      <c r="AQ48" s="115"/>
      <c r="AR48" s="115"/>
      <c r="AS48" s="115"/>
      <c r="AT48" s="115"/>
      <c r="AU48" s="115"/>
      <c r="AV48" s="115"/>
      <c r="AW48" s="115"/>
      <c r="AX48" s="115"/>
      <c r="AY48" s="115"/>
      <c r="AZ48" s="115"/>
      <c r="BA48" s="115"/>
      <c r="BB48" s="115"/>
      <c r="BC48" s="115"/>
      <c r="BD48" s="115"/>
      <c r="BE48" s="115"/>
      <c r="BF48" s="115"/>
      <c r="BG48" s="115"/>
      <c r="BH48" s="115"/>
      <c r="BI48" s="115"/>
      <c r="BJ48" s="115"/>
      <c r="BK48" s="115"/>
      <c r="BL48" s="115"/>
      <c r="BM48" s="116"/>
      <c r="BN48" s="116"/>
    </row>
    <row r="49" spans="2:66" ht="19.05" customHeight="1">
      <c r="B49" s="105" t="s">
        <v>179</v>
      </c>
      <c r="C49" s="105" t="s">
        <v>230</v>
      </c>
      <c r="D49" s="104" t="s">
        <v>73</v>
      </c>
      <c r="E49" s="100">
        <v>0.81</v>
      </c>
      <c r="F49" s="86">
        <v>0.03</v>
      </c>
      <c r="G49" s="86">
        <v>-0.02</v>
      </c>
      <c r="H49" s="87" t="s">
        <v>198</v>
      </c>
      <c r="I49" s="88"/>
      <c r="J49" s="51">
        <f t="shared" si="0"/>
        <v>0.84000000000000008</v>
      </c>
      <c r="K49" s="51">
        <f t="shared" si="1"/>
        <v>0.79</v>
      </c>
      <c r="L49" s="89"/>
      <c r="M49" s="90">
        <f t="shared" si="2"/>
        <v>0</v>
      </c>
      <c r="N49" s="90">
        <f t="shared" si="3"/>
        <v>0</v>
      </c>
      <c r="O49" s="90">
        <f t="shared" si="4"/>
        <v>0</v>
      </c>
      <c r="P49" s="91">
        <f t="shared" si="5"/>
        <v>0</v>
      </c>
      <c r="Q49" s="92" t="str">
        <f t="shared" si="6"/>
        <v/>
      </c>
      <c r="R49" s="93" t="str">
        <f>IF(OR($AI49="",ISNUMBER($AI49)=FALSE),"",IF(AND(#REF!="Tolerance",$E49&lt;&gt;""),($O49-$E49)/(($J49-$K49)/2),IF(AND(#REF!="GD&amp;T",$F49&lt;&gt;""),$O49/$F49,"")))</f>
        <v/>
      </c>
      <c r="S49" s="93" t="str">
        <f t="shared" si="7"/>
        <v/>
      </c>
      <c r="T49" s="92" t="str">
        <f t="shared" si="8"/>
        <v/>
      </c>
      <c r="U49" s="92" t="str">
        <f t="shared" si="9"/>
        <v/>
      </c>
      <c r="V49" s="92" t="str">
        <f t="shared" si="10"/>
        <v/>
      </c>
      <c r="W49" s="112" t="str">
        <f t="shared" si="11"/>
        <v/>
      </c>
      <c r="X49" s="113" t="e">
        <f>IF($O49="","",IF(#REF!="Tolerance",IF((#REF!*3*P49+O49)-E49&lt;F49,"",(#REF!*3*P49+O49)-E49),IF(OR(#REF!="GD&amp;T",#REF!="MAX"),IF((#REF!*3*P49+O49)&lt;F49,"",(#REF!*3*P49+O49)),"")))</f>
        <v>#REF!</v>
      </c>
      <c r="Y49" s="113" t="e">
        <f>IF(O49="","",IF(#REF!="Tolerance",IF(-((#REF!*3*P49)-O49)-E49&gt;G49,"",-((#REF!*3*P49)-O49)-E49),IF(#REF!="MIN",IF(-((#REF!*3*P49)-O49)&gt;G49,"",-((#REF!*3*P49)-O49)),"")))</f>
        <v>#REF!</v>
      </c>
      <c r="Z49" s="113">
        <f t="shared" si="12"/>
        <v>0.81500000000000006</v>
      </c>
      <c r="AA49" s="113" t="str">
        <f t="shared" si="13"/>
        <v/>
      </c>
      <c r="AB49" s="94"/>
      <c r="AC49" s="95" t="str">
        <f t="shared" si="14"/>
        <v/>
      </c>
      <c r="AD49" s="96"/>
      <c r="AE49" s="97"/>
      <c r="AF49" s="97"/>
      <c r="AG49" s="98"/>
      <c r="AI49" s="115"/>
      <c r="AJ49" s="115"/>
      <c r="AK49" s="115"/>
      <c r="AL49" s="115"/>
      <c r="AM49" s="115"/>
      <c r="AN49" s="115"/>
      <c r="AO49" s="115"/>
      <c r="AP49" s="115"/>
      <c r="AQ49" s="115"/>
      <c r="AR49" s="115"/>
      <c r="AS49" s="115"/>
      <c r="AT49" s="115"/>
      <c r="AU49" s="115"/>
      <c r="AV49" s="115"/>
      <c r="AW49" s="115"/>
      <c r="AX49" s="115"/>
      <c r="AY49" s="115"/>
      <c r="AZ49" s="115"/>
      <c r="BA49" s="115"/>
      <c r="BB49" s="115"/>
      <c r="BC49" s="115"/>
      <c r="BD49" s="115"/>
      <c r="BE49" s="115"/>
      <c r="BF49" s="115"/>
      <c r="BG49" s="115"/>
      <c r="BH49" s="115"/>
      <c r="BI49" s="115"/>
      <c r="BJ49" s="115"/>
      <c r="BK49" s="115"/>
      <c r="BL49" s="115"/>
      <c r="BM49" s="116"/>
      <c r="BN49" s="116"/>
    </row>
    <row r="50" spans="2:66" ht="19.05" customHeight="1">
      <c r="B50" s="105" t="s">
        <v>179</v>
      </c>
      <c r="C50" s="105" t="s">
        <v>231</v>
      </c>
      <c r="D50" s="104" t="s">
        <v>73</v>
      </c>
      <c r="E50" s="100">
        <v>0.81</v>
      </c>
      <c r="F50" s="86">
        <v>0.03</v>
      </c>
      <c r="G50" s="86">
        <v>-0.02</v>
      </c>
      <c r="H50" s="87" t="s">
        <v>198</v>
      </c>
      <c r="I50" s="88"/>
      <c r="J50" s="51">
        <f t="shared" si="0"/>
        <v>0.84000000000000008</v>
      </c>
      <c r="K50" s="51">
        <f t="shared" si="1"/>
        <v>0.79</v>
      </c>
      <c r="L50" s="89"/>
      <c r="M50" s="90">
        <f t="shared" si="2"/>
        <v>0</v>
      </c>
      <c r="N50" s="90">
        <f t="shared" si="3"/>
        <v>0</v>
      </c>
      <c r="O50" s="90">
        <f t="shared" si="4"/>
        <v>0</v>
      </c>
      <c r="P50" s="91">
        <f t="shared" si="5"/>
        <v>0</v>
      </c>
      <c r="Q50" s="92" t="str">
        <f t="shared" si="6"/>
        <v/>
      </c>
      <c r="R50" s="93" t="str">
        <f>IF(OR($AI50="",ISNUMBER($AI50)=FALSE),"",IF(AND(#REF!="Tolerance",$E50&lt;&gt;""),($O50-$E50)/(($J50-$K50)/2),IF(AND(#REF!="GD&amp;T",$F50&lt;&gt;""),$O50/$F50,"")))</f>
        <v/>
      </c>
      <c r="S50" s="93" t="str">
        <f t="shared" si="7"/>
        <v/>
      </c>
      <c r="T50" s="92" t="str">
        <f t="shared" si="8"/>
        <v/>
      </c>
      <c r="U50" s="92" t="str">
        <f t="shared" si="9"/>
        <v/>
      </c>
      <c r="V50" s="92" t="str">
        <f t="shared" si="10"/>
        <v/>
      </c>
      <c r="W50" s="112" t="str">
        <f t="shared" si="11"/>
        <v/>
      </c>
      <c r="X50" s="113" t="e">
        <f>IF($O50="","",IF(#REF!="Tolerance",IF((#REF!*3*P50+O50)-E50&lt;F50,"",(#REF!*3*P50+O50)-E50),IF(OR(#REF!="GD&amp;T",#REF!="MAX"),IF((#REF!*3*P50+O50)&lt;F50,"",(#REF!*3*P50+O50)),"")))</f>
        <v>#REF!</v>
      </c>
      <c r="Y50" s="113" t="e">
        <f>IF(O50="","",IF(#REF!="Tolerance",IF(-((#REF!*3*P50)-O50)-E50&gt;G50,"",-((#REF!*3*P50)-O50)-E50),IF(#REF!="MIN",IF(-((#REF!*3*P50)-O50)&gt;G50,"",-((#REF!*3*P50)-O50)),"")))</f>
        <v>#REF!</v>
      </c>
      <c r="Z50" s="113">
        <f t="shared" si="12"/>
        <v>0.81500000000000006</v>
      </c>
      <c r="AA50" s="113" t="str">
        <f t="shared" si="13"/>
        <v/>
      </c>
      <c r="AB50" s="94"/>
      <c r="AC50" s="95" t="str">
        <f t="shared" si="14"/>
        <v/>
      </c>
      <c r="AD50" s="96"/>
      <c r="AE50" s="97"/>
      <c r="AF50" s="97"/>
      <c r="AG50" s="98"/>
      <c r="AI50" s="115"/>
      <c r="AJ50" s="115"/>
      <c r="AK50" s="115"/>
      <c r="AL50" s="115"/>
      <c r="AM50" s="115"/>
      <c r="AN50" s="115"/>
      <c r="AO50" s="115"/>
      <c r="AP50" s="115"/>
      <c r="AQ50" s="115"/>
      <c r="AR50" s="115"/>
      <c r="AS50" s="115"/>
      <c r="AT50" s="115"/>
      <c r="AU50" s="115"/>
      <c r="AV50" s="115"/>
      <c r="AW50" s="115"/>
      <c r="AX50" s="115"/>
      <c r="AY50" s="115"/>
      <c r="AZ50" s="115"/>
      <c r="BA50" s="115"/>
      <c r="BB50" s="115"/>
      <c r="BC50" s="115"/>
      <c r="BD50" s="115"/>
      <c r="BE50" s="115"/>
      <c r="BF50" s="115"/>
      <c r="BG50" s="115"/>
      <c r="BH50" s="115"/>
      <c r="BI50" s="115"/>
      <c r="BJ50" s="115"/>
      <c r="BK50" s="115"/>
      <c r="BL50" s="115"/>
      <c r="BM50" s="116"/>
      <c r="BN50" s="116"/>
    </row>
    <row r="51" spans="2:66" ht="19.05" customHeight="1">
      <c r="B51" s="105" t="s">
        <v>179</v>
      </c>
      <c r="C51" s="105" t="s">
        <v>232</v>
      </c>
      <c r="D51" s="104" t="s">
        <v>73</v>
      </c>
      <c r="E51" s="100">
        <v>0.81</v>
      </c>
      <c r="F51" s="86">
        <v>0.03</v>
      </c>
      <c r="G51" s="86">
        <v>-0.02</v>
      </c>
      <c r="H51" s="87" t="s">
        <v>198</v>
      </c>
      <c r="I51" s="88"/>
      <c r="J51" s="51">
        <f t="shared" si="0"/>
        <v>0.84000000000000008</v>
      </c>
      <c r="K51" s="51">
        <f t="shared" si="1"/>
        <v>0.79</v>
      </c>
      <c r="L51" s="89"/>
      <c r="M51" s="90">
        <f t="shared" si="2"/>
        <v>0</v>
      </c>
      <c r="N51" s="90">
        <f t="shared" si="3"/>
        <v>0</v>
      </c>
      <c r="O51" s="90">
        <f t="shared" si="4"/>
        <v>0</v>
      </c>
      <c r="P51" s="91">
        <f t="shared" si="5"/>
        <v>0</v>
      </c>
      <c r="Q51" s="92" t="str">
        <f t="shared" si="6"/>
        <v/>
      </c>
      <c r="R51" s="93" t="str">
        <f>IF(OR($AI51="",ISNUMBER($AI51)=FALSE),"",IF(AND(#REF!="Tolerance",$E51&lt;&gt;""),($O51-$E51)/(($J51-$K51)/2),IF(AND(#REF!="GD&amp;T",$F51&lt;&gt;""),$O51/$F51,"")))</f>
        <v/>
      </c>
      <c r="S51" s="93" t="str">
        <f t="shared" si="7"/>
        <v/>
      </c>
      <c r="T51" s="92" t="str">
        <f t="shared" si="8"/>
        <v/>
      </c>
      <c r="U51" s="92" t="str">
        <f t="shared" si="9"/>
        <v/>
      </c>
      <c r="V51" s="92" t="str">
        <f t="shared" si="10"/>
        <v/>
      </c>
      <c r="W51" s="112" t="str">
        <f t="shared" si="11"/>
        <v/>
      </c>
      <c r="X51" s="113" t="e">
        <f>IF($O51="","",IF(#REF!="Tolerance",IF((#REF!*3*P51+O51)-E51&lt;F51,"",(#REF!*3*P51+O51)-E51),IF(OR(#REF!="GD&amp;T",#REF!="MAX"),IF((#REF!*3*P51+O51)&lt;F51,"",(#REF!*3*P51+O51)),"")))</f>
        <v>#REF!</v>
      </c>
      <c r="Y51" s="113" t="e">
        <f>IF(O51="","",IF(#REF!="Tolerance",IF(-((#REF!*3*P51)-O51)-E51&gt;G51,"",-((#REF!*3*P51)-O51)-E51),IF(#REF!="MIN",IF(-((#REF!*3*P51)-O51)&gt;G51,"",-((#REF!*3*P51)-O51)),"")))</f>
        <v>#REF!</v>
      </c>
      <c r="Z51" s="113">
        <f t="shared" si="12"/>
        <v>0.81500000000000006</v>
      </c>
      <c r="AA51" s="113" t="str">
        <f t="shared" si="13"/>
        <v/>
      </c>
      <c r="AB51" s="94"/>
      <c r="AC51" s="95" t="str">
        <f t="shared" si="14"/>
        <v/>
      </c>
      <c r="AD51" s="96"/>
      <c r="AE51" s="97"/>
      <c r="AF51" s="97"/>
      <c r="AG51" s="98"/>
      <c r="AI51" s="115"/>
      <c r="AJ51" s="115"/>
      <c r="AK51" s="115"/>
      <c r="AL51" s="115"/>
      <c r="AM51" s="115"/>
      <c r="AN51" s="115"/>
      <c r="AO51" s="115"/>
      <c r="AP51" s="115"/>
      <c r="AQ51" s="115"/>
      <c r="AR51" s="115"/>
      <c r="AS51" s="115"/>
      <c r="AT51" s="115"/>
      <c r="AU51" s="115"/>
      <c r="AV51" s="115"/>
      <c r="AW51" s="115"/>
      <c r="AX51" s="115"/>
      <c r="AY51" s="115"/>
      <c r="AZ51" s="115"/>
      <c r="BA51" s="115"/>
      <c r="BB51" s="115"/>
      <c r="BC51" s="115"/>
      <c r="BD51" s="115"/>
      <c r="BE51" s="115"/>
      <c r="BF51" s="115"/>
      <c r="BG51" s="115"/>
      <c r="BH51" s="115"/>
      <c r="BI51" s="115"/>
      <c r="BJ51" s="115"/>
      <c r="BK51" s="115"/>
      <c r="BL51" s="115"/>
      <c r="BM51" s="116"/>
      <c r="BN51" s="116"/>
    </row>
    <row r="52" spans="2:66" ht="19.05" customHeight="1">
      <c r="B52" s="105" t="s">
        <v>179</v>
      </c>
      <c r="C52" s="105" t="s">
        <v>233</v>
      </c>
      <c r="D52" s="104" t="s">
        <v>73</v>
      </c>
      <c r="E52" s="100">
        <v>0.81</v>
      </c>
      <c r="F52" s="86">
        <v>0.03</v>
      </c>
      <c r="G52" s="86">
        <v>-0.02</v>
      </c>
      <c r="H52" s="87" t="s">
        <v>198</v>
      </c>
      <c r="I52" s="88"/>
      <c r="J52" s="51">
        <f t="shared" si="0"/>
        <v>0.84000000000000008</v>
      </c>
      <c r="K52" s="51">
        <f t="shared" si="1"/>
        <v>0.79</v>
      </c>
      <c r="L52" s="89"/>
      <c r="M52" s="90">
        <f t="shared" si="2"/>
        <v>0</v>
      </c>
      <c r="N52" s="90">
        <f t="shared" si="3"/>
        <v>0</v>
      </c>
      <c r="O52" s="90">
        <f t="shared" si="4"/>
        <v>0</v>
      </c>
      <c r="P52" s="91">
        <f t="shared" si="5"/>
        <v>0</v>
      </c>
      <c r="Q52" s="92" t="str">
        <f t="shared" si="6"/>
        <v/>
      </c>
      <c r="R52" s="93" t="str">
        <f>IF(OR($AI52="",ISNUMBER($AI52)=FALSE),"",IF(AND(#REF!="Tolerance",$E52&lt;&gt;""),($O52-$E52)/(($J52-$K52)/2),IF(AND(#REF!="GD&amp;T",$F52&lt;&gt;""),$O52/$F52,"")))</f>
        <v/>
      </c>
      <c r="S52" s="93" t="str">
        <f t="shared" si="7"/>
        <v/>
      </c>
      <c r="T52" s="92" t="str">
        <f t="shared" si="8"/>
        <v/>
      </c>
      <c r="U52" s="92" t="str">
        <f t="shared" si="9"/>
        <v/>
      </c>
      <c r="V52" s="92" t="str">
        <f t="shared" si="10"/>
        <v/>
      </c>
      <c r="W52" s="112" t="str">
        <f t="shared" si="11"/>
        <v/>
      </c>
      <c r="X52" s="113" t="e">
        <f>IF($O52="","",IF(#REF!="Tolerance",IF((#REF!*3*P52+O52)-E52&lt;F52,"",(#REF!*3*P52+O52)-E52),IF(OR(#REF!="GD&amp;T",#REF!="MAX"),IF((#REF!*3*P52+O52)&lt;F52,"",(#REF!*3*P52+O52)),"")))</f>
        <v>#REF!</v>
      </c>
      <c r="Y52" s="113" t="e">
        <f>IF(O52="","",IF(#REF!="Tolerance",IF(-((#REF!*3*P52)-O52)-E52&gt;G52,"",-((#REF!*3*P52)-O52)-E52),IF(#REF!="MIN",IF(-((#REF!*3*P52)-O52)&gt;G52,"",-((#REF!*3*P52)-O52)),"")))</f>
        <v>#REF!</v>
      </c>
      <c r="Z52" s="113">
        <f t="shared" si="12"/>
        <v>0.81500000000000006</v>
      </c>
      <c r="AA52" s="113" t="str">
        <f t="shared" si="13"/>
        <v/>
      </c>
      <c r="AB52" s="94"/>
      <c r="AC52" s="95" t="str">
        <f t="shared" si="14"/>
        <v/>
      </c>
      <c r="AD52" s="96"/>
      <c r="AE52" s="97"/>
      <c r="AF52" s="97"/>
      <c r="AG52" s="98"/>
      <c r="AI52" s="115"/>
      <c r="AJ52" s="115"/>
      <c r="AK52" s="115"/>
      <c r="AL52" s="115"/>
      <c r="AM52" s="115"/>
      <c r="AN52" s="115"/>
      <c r="AO52" s="115"/>
      <c r="AP52" s="115"/>
      <c r="AQ52" s="115"/>
      <c r="AR52" s="115"/>
      <c r="AS52" s="115"/>
      <c r="AT52" s="115"/>
      <c r="AU52" s="115"/>
      <c r="AV52" s="115"/>
      <c r="AW52" s="115"/>
      <c r="AX52" s="115"/>
      <c r="AY52" s="115"/>
      <c r="AZ52" s="115"/>
      <c r="BA52" s="115"/>
      <c r="BB52" s="115"/>
      <c r="BC52" s="115"/>
      <c r="BD52" s="115"/>
      <c r="BE52" s="115"/>
      <c r="BF52" s="115"/>
      <c r="BG52" s="115"/>
      <c r="BH52" s="115"/>
      <c r="BI52" s="115"/>
      <c r="BJ52" s="115"/>
      <c r="BK52" s="115"/>
      <c r="BL52" s="115"/>
      <c r="BM52" s="116"/>
      <c r="BN52" s="116"/>
    </row>
    <row r="53" spans="2:66" ht="19.05" customHeight="1">
      <c r="B53" s="105" t="s">
        <v>180</v>
      </c>
      <c r="C53" s="105" t="s">
        <v>234</v>
      </c>
      <c r="D53" s="104" t="s">
        <v>73</v>
      </c>
      <c r="E53" s="100">
        <v>14</v>
      </c>
      <c r="F53" s="86">
        <v>3.5000000000000003E-2</v>
      </c>
      <c r="G53" s="86">
        <v>-0.02</v>
      </c>
      <c r="H53" s="87" t="s">
        <v>198</v>
      </c>
      <c r="I53" s="88"/>
      <c r="J53" s="51">
        <f t="shared" si="0"/>
        <v>14.035</v>
      </c>
      <c r="K53" s="51">
        <f t="shared" si="1"/>
        <v>13.98</v>
      </c>
      <c r="L53" s="89"/>
      <c r="M53" s="90">
        <f t="shared" si="2"/>
        <v>0</v>
      </c>
      <c r="N53" s="90">
        <f t="shared" si="3"/>
        <v>0</v>
      </c>
      <c r="O53" s="90">
        <f t="shared" si="4"/>
        <v>0</v>
      </c>
      <c r="P53" s="91">
        <f t="shared" si="5"/>
        <v>0</v>
      </c>
      <c r="Q53" s="92" t="str">
        <f t="shared" si="6"/>
        <v/>
      </c>
      <c r="R53" s="93" t="str">
        <f>IF(OR($AI53="",ISNUMBER($AI53)=FALSE),"",IF(AND(#REF!="Tolerance",$E53&lt;&gt;""),($O53-$E53)/(($J53-$K53)/2),IF(AND(#REF!="GD&amp;T",$F53&lt;&gt;""),$O53/$F53,"")))</f>
        <v/>
      </c>
      <c r="S53" s="93" t="str">
        <f t="shared" si="7"/>
        <v/>
      </c>
      <c r="T53" s="92" t="str">
        <f t="shared" si="8"/>
        <v/>
      </c>
      <c r="U53" s="92" t="str">
        <f t="shared" si="9"/>
        <v/>
      </c>
      <c r="V53" s="92" t="str">
        <f t="shared" si="10"/>
        <v/>
      </c>
      <c r="W53" s="112" t="str">
        <f t="shared" si="11"/>
        <v/>
      </c>
      <c r="X53" s="113" t="e">
        <f>IF($O53="","",IF(#REF!="Tolerance",IF((#REF!*3*P53+O53)-E53&lt;F53,"",(#REF!*3*P53+O53)-E53),IF(OR(#REF!="GD&amp;T",#REF!="MAX"),IF((#REF!*3*P53+O53)&lt;F53,"",(#REF!*3*P53+O53)),"")))</f>
        <v>#REF!</v>
      </c>
      <c r="Y53" s="113" t="e">
        <f>IF(O53="","",IF(#REF!="Tolerance",IF(-((#REF!*3*P53)-O53)-E53&gt;G53,"",-((#REF!*3*P53)-O53)-E53),IF(#REF!="MIN",IF(-((#REF!*3*P53)-O53)&gt;G53,"",-((#REF!*3*P53)-O53)),"")))</f>
        <v>#REF!</v>
      </c>
      <c r="Z53" s="113">
        <f t="shared" si="12"/>
        <v>14.0075</v>
      </c>
      <c r="AA53" s="113" t="str">
        <f t="shared" si="13"/>
        <v/>
      </c>
      <c r="AB53" s="94"/>
      <c r="AC53" s="95" t="str">
        <f t="shared" si="14"/>
        <v/>
      </c>
      <c r="AD53" s="96"/>
      <c r="AE53" s="97"/>
      <c r="AF53" s="97"/>
      <c r="AG53" s="98"/>
      <c r="AI53" s="115"/>
      <c r="AJ53" s="115"/>
      <c r="AK53" s="115"/>
      <c r="AL53" s="115"/>
      <c r="AM53" s="115"/>
      <c r="AN53" s="115"/>
      <c r="AO53" s="115"/>
      <c r="AP53" s="115"/>
      <c r="AQ53" s="115"/>
      <c r="AR53" s="115"/>
      <c r="AS53" s="115"/>
      <c r="AT53" s="115"/>
      <c r="AU53" s="115"/>
      <c r="AV53" s="115"/>
      <c r="AW53" s="115"/>
      <c r="AX53" s="115"/>
      <c r="AY53" s="115"/>
      <c r="AZ53" s="115"/>
      <c r="BA53" s="115"/>
      <c r="BB53" s="115"/>
      <c r="BC53" s="115"/>
      <c r="BD53" s="115"/>
      <c r="BE53" s="115"/>
      <c r="BF53" s="115"/>
      <c r="BG53" s="115"/>
      <c r="BH53" s="115"/>
      <c r="BI53" s="115"/>
      <c r="BJ53" s="115"/>
      <c r="BK53" s="115"/>
      <c r="BL53" s="115"/>
      <c r="BM53" s="116"/>
      <c r="BN53" s="116"/>
    </row>
    <row r="54" spans="2:66" ht="19.05" customHeight="1">
      <c r="B54" s="105" t="s">
        <v>181</v>
      </c>
      <c r="C54" s="105" t="s">
        <v>235</v>
      </c>
      <c r="D54" s="104" t="s">
        <v>73</v>
      </c>
      <c r="E54" s="100">
        <v>1.29</v>
      </c>
      <c r="F54" s="86">
        <v>0.02</v>
      </c>
      <c r="G54" s="86">
        <v>-0.03</v>
      </c>
      <c r="H54" s="87" t="s">
        <v>198</v>
      </c>
      <c r="I54" s="88"/>
      <c r="J54" s="51">
        <f t="shared" si="0"/>
        <v>1.31</v>
      </c>
      <c r="K54" s="51">
        <f t="shared" si="1"/>
        <v>1.26</v>
      </c>
      <c r="L54" s="89"/>
      <c r="M54" s="90">
        <f t="shared" si="2"/>
        <v>0</v>
      </c>
      <c r="N54" s="90">
        <f t="shared" si="3"/>
        <v>0</v>
      </c>
      <c r="O54" s="90">
        <f t="shared" si="4"/>
        <v>0</v>
      </c>
      <c r="P54" s="91">
        <f t="shared" si="5"/>
        <v>0</v>
      </c>
      <c r="Q54" s="92" t="str">
        <f t="shared" si="6"/>
        <v/>
      </c>
      <c r="R54" s="93" t="str">
        <f>IF(OR($AI54="",ISNUMBER($AI54)=FALSE),"",IF(AND(#REF!="Tolerance",$E54&lt;&gt;""),($O54-$E54)/(($J54-$K54)/2),IF(AND(#REF!="GD&amp;T",$F54&lt;&gt;""),$O54/$F54,"")))</f>
        <v/>
      </c>
      <c r="S54" s="93" t="str">
        <f t="shared" si="7"/>
        <v/>
      </c>
      <c r="T54" s="92" t="str">
        <f t="shared" si="8"/>
        <v/>
      </c>
      <c r="U54" s="92" t="str">
        <f t="shared" si="9"/>
        <v/>
      </c>
      <c r="V54" s="92" t="str">
        <f t="shared" si="10"/>
        <v/>
      </c>
      <c r="W54" s="112" t="str">
        <f t="shared" si="11"/>
        <v/>
      </c>
      <c r="X54" s="113" t="e">
        <f>IF($O54="","",IF(#REF!="Tolerance",IF((#REF!*3*P54+O54)-E54&lt;F54,"",(#REF!*3*P54+O54)-E54),IF(OR(#REF!="GD&amp;T",#REF!="MAX"),IF((#REF!*3*P54+O54)&lt;F54,"",(#REF!*3*P54+O54)),"")))</f>
        <v>#REF!</v>
      </c>
      <c r="Y54" s="113" t="e">
        <f>IF(O54="","",IF(#REF!="Tolerance",IF(-((#REF!*3*P54)-O54)-E54&gt;G54,"",-((#REF!*3*P54)-O54)-E54),IF(#REF!="MIN",IF(-((#REF!*3*P54)-O54)&gt;G54,"",-((#REF!*3*P54)-O54)),"")))</f>
        <v>#REF!</v>
      </c>
      <c r="Z54" s="113">
        <f t="shared" si="12"/>
        <v>1.2850000000000001</v>
      </c>
      <c r="AA54" s="113" t="str">
        <f t="shared" si="13"/>
        <v/>
      </c>
      <c r="AB54" s="94"/>
      <c r="AC54" s="95" t="str">
        <f t="shared" si="14"/>
        <v/>
      </c>
      <c r="AD54" s="96"/>
      <c r="AE54" s="97"/>
      <c r="AF54" s="97"/>
      <c r="AG54" s="98"/>
      <c r="AI54" s="115"/>
      <c r="AJ54" s="115"/>
      <c r="AK54" s="115"/>
      <c r="AL54" s="115"/>
      <c r="AM54" s="115"/>
      <c r="AN54" s="115"/>
      <c r="AO54" s="115"/>
      <c r="AP54" s="115"/>
      <c r="AQ54" s="115"/>
      <c r="AR54" s="115"/>
      <c r="AS54" s="115"/>
      <c r="AT54" s="115"/>
      <c r="AU54" s="115"/>
      <c r="AV54" s="115"/>
      <c r="AW54" s="115"/>
      <c r="AX54" s="115"/>
      <c r="AY54" s="115"/>
      <c r="AZ54" s="115"/>
      <c r="BA54" s="115"/>
      <c r="BB54" s="115"/>
      <c r="BC54" s="115"/>
      <c r="BD54" s="115"/>
      <c r="BE54" s="115"/>
      <c r="BF54" s="115"/>
      <c r="BG54" s="115"/>
      <c r="BH54" s="115"/>
      <c r="BI54" s="115"/>
      <c r="BJ54" s="115"/>
      <c r="BK54" s="115"/>
      <c r="BL54" s="115"/>
      <c r="BM54" s="116"/>
      <c r="BN54" s="116"/>
    </row>
    <row r="55" spans="2:66" ht="19.05" customHeight="1">
      <c r="B55" s="105" t="s">
        <v>182</v>
      </c>
      <c r="C55" s="105" t="s">
        <v>236</v>
      </c>
      <c r="D55" s="104" t="s">
        <v>73</v>
      </c>
      <c r="E55" s="100">
        <v>0.43</v>
      </c>
      <c r="F55" s="86">
        <v>0.02</v>
      </c>
      <c r="G55" s="86">
        <v>-0.02</v>
      </c>
      <c r="H55" s="87" t="s">
        <v>198</v>
      </c>
      <c r="I55" s="88"/>
      <c r="J55" s="51">
        <f t="shared" si="0"/>
        <v>0.45</v>
      </c>
      <c r="K55" s="51">
        <f t="shared" si="1"/>
        <v>0.41</v>
      </c>
      <c r="L55" s="89"/>
      <c r="M55" s="90">
        <f t="shared" si="2"/>
        <v>0</v>
      </c>
      <c r="N55" s="90">
        <f t="shared" si="3"/>
        <v>0</v>
      </c>
      <c r="O55" s="90">
        <f t="shared" si="4"/>
        <v>0</v>
      </c>
      <c r="P55" s="91">
        <f t="shared" si="5"/>
        <v>0</v>
      </c>
      <c r="Q55" s="92" t="str">
        <f t="shared" si="6"/>
        <v/>
      </c>
      <c r="R55" s="93" t="str">
        <f>IF(OR($AI55="",ISNUMBER($AI55)=FALSE),"",IF(AND(#REF!="Tolerance",$E55&lt;&gt;""),($O55-$E55)/(($J55-$K55)/2),IF(AND(#REF!="GD&amp;T",$F55&lt;&gt;""),$O55/$F55,"")))</f>
        <v/>
      </c>
      <c r="S55" s="93" t="str">
        <f t="shared" si="7"/>
        <v/>
      </c>
      <c r="T55" s="92" t="str">
        <f t="shared" si="8"/>
        <v/>
      </c>
      <c r="U55" s="92" t="str">
        <f t="shared" si="9"/>
        <v/>
      </c>
      <c r="V55" s="92" t="str">
        <f t="shared" si="10"/>
        <v/>
      </c>
      <c r="W55" s="112" t="str">
        <f t="shared" si="11"/>
        <v/>
      </c>
      <c r="X55" s="113" t="e">
        <f>IF($O55="","",IF(#REF!="Tolerance",IF((#REF!*3*P55+O55)-E55&lt;F55,"",(#REF!*3*P55+O55)-E55),IF(OR(#REF!="GD&amp;T",#REF!="MAX"),IF((#REF!*3*P55+O55)&lt;F55,"",(#REF!*3*P55+O55)),"")))</f>
        <v>#REF!</v>
      </c>
      <c r="Y55" s="113" t="e">
        <f>IF(O55="","",IF(#REF!="Tolerance",IF(-((#REF!*3*P55)-O55)-E55&gt;G55,"",-((#REF!*3*P55)-O55)-E55),IF(#REF!="MIN",IF(-((#REF!*3*P55)-O55)&gt;G55,"",-((#REF!*3*P55)-O55)),"")))</f>
        <v>#REF!</v>
      </c>
      <c r="Z55" s="113">
        <f t="shared" si="12"/>
        <v>0.43</v>
      </c>
      <c r="AA55" s="113" t="str">
        <f t="shared" si="13"/>
        <v/>
      </c>
      <c r="AB55" s="94"/>
      <c r="AC55" s="95" t="str">
        <f t="shared" si="14"/>
        <v/>
      </c>
      <c r="AD55" s="96"/>
      <c r="AE55" s="97"/>
      <c r="AF55" s="97"/>
      <c r="AG55" s="98"/>
      <c r="AI55" s="115"/>
      <c r="AJ55" s="115"/>
      <c r="AK55" s="115"/>
      <c r="AL55" s="115"/>
      <c r="AM55" s="115"/>
      <c r="AN55" s="115"/>
      <c r="AO55" s="115"/>
      <c r="AP55" s="115"/>
      <c r="AQ55" s="115"/>
      <c r="AR55" s="115"/>
      <c r="AS55" s="115"/>
      <c r="AT55" s="115"/>
      <c r="AU55" s="115"/>
      <c r="AV55" s="115"/>
      <c r="AW55" s="115"/>
      <c r="AX55" s="115"/>
      <c r="AY55" s="115"/>
      <c r="AZ55" s="115"/>
      <c r="BA55" s="115"/>
      <c r="BB55" s="115"/>
      <c r="BC55" s="115"/>
      <c r="BD55" s="115"/>
      <c r="BE55" s="115"/>
      <c r="BF55" s="115"/>
      <c r="BG55" s="115"/>
      <c r="BH55" s="115"/>
      <c r="BI55" s="115"/>
      <c r="BJ55" s="115"/>
      <c r="BK55" s="115"/>
      <c r="BL55" s="115"/>
      <c r="BM55" s="116"/>
      <c r="BN55" s="116"/>
    </row>
    <row r="56" spans="2:66" ht="19.05" customHeight="1">
      <c r="B56" s="105" t="s">
        <v>183</v>
      </c>
      <c r="C56" s="105" t="s">
        <v>237</v>
      </c>
      <c r="D56" s="104" t="s">
        <v>73</v>
      </c>
      <c r="E56" s="100">
        <v>2.0299999999999998</v>
      </c>
      <c r="F56" s="86">
        <v>0.02</v>
      </c>
      <c r="G56" s="86">
        <v>-0.02</v>
      </c>
      <c r="H56" s="87" t="s">
        <v>198</v>
      </c>
      <c r="I56" s="88"/>
      <c r="J56" s="51">
        <f t="shared" si="0"/>
        <v>2.0499999999999998</v>
      </c>
      <c r="K56" s="51">
        <f t="shared" si="1"/>
        <v>2.0099999999999998</v>
      </c>
      <c r="L56" s="89"/>
      <c r="M56" s="90">
        <f t="shared" si="2"/>
        <v>0</v>
      </c>
      <c r="N56" s="90">
        <f t="shared" si="3"/>
        <v>0</v>
      </c>
      <c r="O56" s="90">
        <f t="shared" si="4"/>
        <v>0</v>
      </c>
      <c r="P56" s="91">
        <f t="shared" si="5"/>
        <v>0</v>
      </c>
      <c r="Q56" s="92" t="str">
        <f t="shared" si="6"/>
        <v/>
      </c>
      <c r="R56" s="93" t="str">
        <f>IF(OR($AI56="",ISNUMBER($AI56)=FALSE),"",IF(AND(#REF!="Tolerance",$E56&lt;&gt;""),($O56-$E56)/(($J56-$K56)/2),IF(AND(#REF!="GD&amp;T",$F56&lt;&gt;""),$O56/$F56,"")))</f>
        <v/>
      </c>
      <c r="S56" s="93" t="str">
        <f t="shared" si="7"/>
        <v/>
      </c>
      <c r="T56" s="92" t="str">
        <f t="shared" si="8"/>
        <v/>
      </c>
      <c r="U56" s="92" t="str">
        <f t="shared" si="9"/>
        <v/>
      </c>
      <c r="V56" s="92" t="str">
        <f t="shared" si="10"/>
        <v/>
      </c>
      <c r="W56" s="112" t="str">
        <f t="shared" si="11"/>
        <v/>
      </c>
      <c r="X56" s="113" t="e">
        <f>IF($O56="","",IF(#REF!="Tolerance",IF((#REF!*3*P56+O56)-E56&lt;F56,"",(#REF!*3*P56+O56)-E56),IF(OR(#REF!="GD&amp;T",#REF!="MAX"),IF((#REF!*3*P56+O56)&lt;F56,"",(#REF!*3*P56+O56)),"")))</f>
        <v>#REF!</v>
      </c>
      <c r="Y56" s="113" t="e">
        <f>IF(O56="","",IF(#REF!="Tolerance",IF(-((#REF!*3*P56)-O56)-E56&gt;G56,"",-((#REF!*3*P56)-O56)-E56),IF(#REF!="MIN",IF(-((#REF!*3*P56)-O56)&gt;G56,"",-((#REF!*3*P56)-O56)),"")))</f>
        <v>#REF!</v>
      </c>
      <c r="Z56" s="113">
        <f t="shared" si="12"/>
        <v>2.0299999999999998</v>
      </c>
      <c r="AA56" s="113" t="str">
        <f t="shared" si="13"/>
        <v/>
      </c>
      <c r="AB56" s="94"/>
      <c r="AC56" s="95" t="str">
        <f t="shared" si="14"/>
        <v/>
      </c>
      <c r="AD56" s="96"/>
      <c r="AE56" s="97"/>
      <c r="AF56" s="97"/>
      <c r="AG56" s="98"/>
      <c r="AI56" s="115"/>
      <c r="AJ56" s="115"/>
      <c r="AK56" s="115"/>
      <c r="AL56" s="115"/>
      <c r="AM56" s="115"/>
      <c r="AN56" s="115"/>
      <c r="AO56" s="115"/>
      <c r="AP56" s="115"/>
      <c r="AQ56" s="115"/>
      <c r="AR56" s="115"/>
      <c r="AS56" s="115"/>
      <c r="AT56" s="115"/>
      <c r="AU56" s="115"/>
      <c r="AV56" s="115"/>
      <c r="AW56" s="115"/>
      <c r="AX56" s="115"/>
      <c r="AY56" s="115"/>
      <c r="AZ56" s="115"/>
      <c r="BA56" s="115"/>
      <c r="BB56" s="115"/>
      <c r="BC56" s="115"/>
      <c r="BD56" s="115"/>
      <c r="BE56" s="115"/>
      <c r="BF56" s="115"/>
      <c r="BG56" s="115"/>
      <c r="BH56" s="115"/>
      <c r="BI56" s="115"/>
      <c r="BJ56" s="115"/>
      <c r="BK56" s="115"/>
      <c r="BL56" s="115"/>
      <c r="BM56" s="116"/>
      <c r="BN56" s="116"/>
    </row>
    <row r="57" spans="2:66" ht="19.05" customHeight="1">
      <c r="B57" s="105" t="s">
        <v>133</v>
      </c>
      <c r="C57" s="105" t="s">
        <v>238</v>
      </c>
      <c r="D57" s="104" t="s">
        <v>73</v>
      </c>
      <c r="E57" s="100">
        <v>1.117</v>
      </c>
      <c r="F57" s="86">
        <v>2.5000000000000001E-2</v>
      </c>
      <c r="G57" s="86">
        <v>-2.5000000000000001E-2</v>
      </c>
      <c r="H57" s="87" t="s">
        <v>81</v>
      </c>
      <c r="I57" s="88"/>
      <c r="J57" s="51">
        <f t="shared" si="0"/>
        <v>1.1419999999999999</v>
      </c>
      <c r="K57" s="51">
        <f t="shared" si="1"/>
        <v>1.0920000000000001</v>
      </c>
      <c r="L57" s="89"/>
      <c r="M57" s="90">
        <f t="shared" si="2"/>
        <v>0</v>
      </c>
      <c r="N57" s="90">
        <f t="shared" si="3"/>
        <v>0</v>
      </c>
      <c r="O57" s="90">
        <f t="shared" si="4"/>
        <v>0</v>
      </c>
      <c r="P57" s="91">
        <f t="shared" si="5"/>
        <v>0</v>
      </c>
      <c r="Q57" s="92" t="str">
        <f t="shared" si="6"/>
        <v/>
      </c>
      <c r="R57" s="93" t="str">
        <f>IF(OR($AI57="",ISNUMBER($AI57)=FALSE),"",IF(AND(#REF!="Tolerance",$E57&lt;&gt;""),($O57-$E57)/(($J57-$K57)/2),IF(AND(#REF!="GD&amp;T",$F57&lt;&gt;""),$O57/$F57,"")))</f>
        <v/>
      </c>
      <c r="S57" s="93" t="str">
        <f t="shared" si="7"/>
        <v/>
      </c>
      <c r="T57" s="92" t="str">
        <f t="shared" si="8"/>
        <v/>
      </c>
      <c r="U57" s="92" t="str">
        <f t="shared" si="9"/>
        <v/>
      </c>
      <c r="V57" s="92" t="str">
        <f t="shared" si="10"/>
        <v/>
      </c>
      <c r="W57" s="112" t="str">
        <f t="shared" si="11"/>
        <v/>
      </c>
      <c r="X57" s="113" t="e">
        <f>IF($O57="","",IF(#REF!="Tolerance",IF((#REF!*3*P57+O57)-E57&lt;F57,"",(#REF!*3*P57+O57)-E57),IF(OR(#REF!="GD&amp;T",#REF!="MAX"),IF((#REF!*3*P57+O57)&lt;F57,"",(#REF!*3*P57+O57)),"")))</f>
        <v>#REF!</v>
      </c>
      <c r="Y57" s="113" t="e">
        <f>IF(O57="","",IF(#REF!="Tolerance",IF(-((#REF!*3*P57)-O57)-E57&gt;G57,"",-((#REF!*3*P57)-O57)-E57),IF(#REF!="MIN",IF(-((#REF!*3*P57)-O57)&gt;G57,"",-((#REF!*3*P57)-O57)),"")))</f>
        <v>#REF!</v>
      </c>
      <c r="Z57" s="113">
        <f t="shared" si="12"/>
        <v>1.117</v>
      </c>
      <c r="AA57" s="113" t="str">
        <f t="shared" si="13"/>
        <v/>
      </c>
      <c r="AB57" s="94"/>
      <c r="AC57" s="95" t="str">
        <f t="shared" si="14"/>
        <v/>
      </c>
      <c r="AD57" s="96"/>
      <c r="AE57" s="97"/>
      <c r="AF57" s="97"/>
      <c r="AG57" s="98"/>
      <c r="AI57" s="115"/>
      <c r="AJ57" s="115"/>
      <c r="AK57" s="115"/>
      <c r="AL57" s="115"/>
      <c r="AM57" s="115"/>
      <c r="AN57" s="115"/>
      <c r="AO57" s="115"/>
      <c r="AP57" s="115"/>
      <c r="AQ57" s="115"/>
      <c r="AR57" s="115"/>
      <c r="AS57" s="115"/>
      <c r="AT57" s="115"/>
      <c r="AU57" s="115"/>
      <c r="AV57" s="115"/>
      <c r="AW57" s="115"/>
      <c r="AX57" s="115"/>
      <c r="AY57" s="115"/>
      <c r="AZ57" s="115"/>
      <c r="BA57" s="115"/>
      <c r="BB57" s="115"/>
      <c r="BC57" s="115"/>
      <c r="BD57" s="115"/>
      <c r="BE57" s="115"/>
      <c r="BF57" s="115"/>
      <c r="BG57" s="115"/>
      <c r="BH57" s="115"/>
      <c r="BI57" s="115"/>
      <c r="BJ57" s="115"/>
      <c r="BK57" s="115"/>
      <c r="BL57" s="115"/>
      <c r="BM57" s="116"/>
      <c r="BN57" s="116"/>
    </row>
    <row r="58" spans="2:66" ht="19.05" customHeight="1">
      <c r="B58" s="105" t="s">
        <v>160</v>
      </c>
      <c r="C58" s="105" t="s">
        <v>239</v>
      </c>
      <c r="D58" s="104" t="s">
        <v>73</v>
      </c>
      <c r="E58" s="100">
        <v>0.32</v>
      </c>
      <c r="F58" s="86">
        <v>0.03</v>
      </c>
      <c r="G58" s="86">
        <v>-0.03</v>
      </c>
      <c r="H58" s="87" t="s">
        <v>81</v>
      </c>
      <c r="I58" s="88"/>
      <c r="J58" s="51">
        <f t="shared" si="0"/>
        <v>0.35</v>
      </c>
      <c r="K58" s="51">
        <f t="shared" si="1"/>
        <v>0.29000000000000004</v>
      </c>
      <c r="L58" s="89"/>
      <c r="M58" s="90">
        <f t="shared" si="2"/>
        <v>0</v>
      </c>
      <c r="N58" s="90">
        <f t="shared" si="3"/>
        <v>0</v>
      </c>
      <c r="O58" s="90">
        <f t="shared" si="4"/>
        <v>0</v>
      </c>
      <c r="P58" s="91">
        <f t="shared" si="5"/>
        <v>0</v>
      </c>
      <c r="Q58" s="92" t="str">
        <f t="shared" si="6"/>
        <v/>
      </c>
      <c r="R58" s="93" t="str">
        <f>IF(OR($AI58="",ISNUMBER($AI58)=FALSE),"",IF(AND(#REF!="Tolerance",$E58&lt;&gt;""),($O58-$E58)/(($J58-$K58)/2),IF(AND(#REF!="GD&amp;T",$F58&lt;&gt;""),$O58/$F58,"")))</f>
        <v/>
      </c>
      <c r="S58" s="93" t="str">
        <f t="shared" si="7"/>
        <v/>
      </c>
      <c r="T58" s="92" t="str">
        <f t="shared" si="8"/>
        <v/>
      </c>
      <c r="U58" s="92" t="str">
        <f t="shared" si="9"/>
        <v/>
      </c>
      <c r="V58" s="92" t="str">
        <f t="shared" si="10"/>
        <v/>
      </c>
      <c r="W58" s="112" t="str">
        <f t="shared" si="11"/>
        <v/>
      </c>
      <c r="X58" s="113" t="e">
        <f>IF($O58="","",IF(#REF!="Tolerance",IF((#REF!*3*P58+O58)-E58&lt;F58,"",(#REF!*3*P58+O58)-E58),IF(OR(#REF!="GD&amp;T",#REF!="MAX"),IF((#REF!*3*P58+O58)&lt;F58,"",(#REF!*3*P58+O58)),"")))</f>
        <v>#REF!</v>
      </c>
      <c r="Y58" s="113" t="e">
        <f>IF(O58="","",IF(#REF!="Tolerance",IF(-((#REF!*3*P58)-O58)-E58&gt;G58,"",-((#REF!*3*P58)-O58)-E58),IF(#REF!="MIN",IF(-((#REF!*3*P58)-O58)&gt;G58,"",-((#REF!*3*P58)-O58)),"")))</f>
        <v>#REF!</v>
      </c>
      <c r="Z58" s="113">
        <f t="shared" si="12"/>
        <v>0.32</v>
      </c>
      <c r="AA58" s="113" t="str">
        <f t="shared" si="13"/>
        <v/>
      </c>
      <c r="AB58" s="94"/>
      <c r="AC58" s="95" t="str">
        <f t="shared" si="14"/>
        <v/>
      </c>
      <c r="AD58" s="96"/>
      <c r="AE58" s="97"/>
      <c r="AF58" s="97"/>
      <c r="AG58" s="98"/>
      <c r="AI58" s="115"/>
      <c r="AJ58" s="115"/>
      <c r="AK58" s="115"/>
      <c r="AL58" s="115"/>
      <c r="AM58" s="115"/>
      <c r="AN58" s="115"/>
      <c r="AO58" s="115"/>
      <c r="AP58" s="115"/>
      <c r="AQ58" s="115"/>
      <c r="AR58" s="115"/>
      <c r="AS58" s="115"/>
      <c r="AT58" s="115"/>
      <c r="AU58" s="115"/>
      <c r="AV58" s="115"/>
      <c r="AW58" s="115"/>
      <c r="AX58" s="115"/>
      <c r="AY58" s="115"/>
      <c r="AZ58" s="115"/>
      <c r="BA58" s="115"/>
      <c r="BB58" s="115"/>
      <c r="BC58" s="115"/>
      <c r="BD58" s="115"/>
      <c r="BE58" s="115"/>
      <c r="BF58" s="115"/>
      <c r="BG58" s="115"/>
      <c r="BH58" s="115"/>
      <c r="BI58" s="115"/>
      <c r="BJ58" s="115"/>
      <c r="BK58" s="115"/>
      <c r="BL58" s="115"/>
      <c r="BM58" s="116"/>
      <c r="BN58" s="116"/>
    </row>
    <row r="59" spans="2:66" ht="19.05" customHeight="1">
      <c r="B59" s="105" t="s">
        <v>160</v>
      </c>
      <c r="C59" s="105" t="s">
        <v>240</v>
      </c>
      <c r="D59" s="104" t="s">
        <v>73</v>
      </c>
      <c r="E59" s="100">
        <v>0.32</v>
      </c>
      <c r="F59" s="86">
        <v>0.03</v>
      </c>
      <c r="G59" s="86">
        <v>-0.03</v>
      </c>
      <c r="H59" s="87" t="s">
        <v>81</v>
      </c>
      <c r="I59" s="88"/>
      <c r="J59" s="51">
        <f t="shared" si="0"/>
        <v>0.35</v>
      </c>
      <c r="K59" s="51">
        <f t="shared" si="1"/>
        <v>0.29000000000000004</v>
      </c>
      <c r="L59" s="89"/>
      <c r="M59" s="90">
        <f t="shared" si="2"/>
        <v>0</v>
      </c>
      <c r="N59" s="90">
        <f t="shared" si="3"/>
        <v>0</v>
      </c>
      <c r="O59" s="90">
        <f t="shared" si="4"/>
        <v>0</v>
      </c>
      <c r="P59" s="91">
        <f t="shared" si="5"/>
        <v>0</v>
      </c>
      <c r="Q59" s="92" t="str">
        <f t="shared" si="6"/>
        <v/>
      </c>
      <c r="R59" s="93" t="str">
        <f>IF(OR($AI59="",ISNUMBER($AI59)=FALSE),"",IF(AND(#REF!="Tolerance",$E59&lt;&gt;""),($O59-$E59)/(($J59-$K59)/2),IF(AND(#REF!="GD&amp;T",$F59&lt;&gt;""),$O59/$F59,"")))</f>
        <v/>
      </c>
      <c r="S59" s="93" t="str">
        <f t="shared" si="7"/>
        <v/>
      </c>
      <c r="T59" s="92" t="str">
        <f t="shared" si="8"/>
        <v/>
      </c>
      <c r="U59" s="92" t="str">
        <f t="shared" si="9"/>
        <v/>
      </c>
      <c r="V59" s="92" t="str">
        <f t="shared" si="10"/>
        <v/>
      </c>
      <c r="W59" s="112" t="str">
        <f t="shared" si="11"/>
        <v/>
      </c>
      <c r="X59" s="113" t="e">
        <f>IF($O59="","",IF(#REF!="Tolerance",IF((#REF!*3*P59+O59)-E59&lt;F59,"",(#REF!*3*P59+O59)-E59),IF(OR(#REF!="GD&amp;T",#REF!="MAX"),IF((#REF!*3*P59+O59)&lt;F59,"",(#REF!*3*P59+O59)),"")))</f>
        <v>#REF!</v>
      </c>
      <c r="Y59" s="113" t="e">
        <f>IF(O59="","",IF(#REF!="Tolerance",IF(-((#REF!*3*P59)-O59)-E59&gt;G59,"",-((#REF!*3*P59)-O59)-E59),IF(#REF!="MIN",IF(-((#REF!*3*P59)-O59)&gt;G59,"",-((#REF!*3*P59)-O59)),"")))</f>
        <v>#REF!</v>
      </c>
      <c r="Z59" s="113">
        <f t="shared" si="12"/>
        <v>0.32</v>
      </c>
      <c r="AA59" s="113" t="str">
        <f t="shared" si="13"/>
        <v/>
      </c>
      <c r="AB59" s="94"/>
      <c r="AC59" s="95" t="str">
        <f t="shared" si="14"/>
        <v/>
      </c>
      <c r="AD59" s="96"/>
      <c r="AE59" s="97"/>
      <c r="AF59" s="97"/>
      <c r="AG59" s="98"/>
      <c r="AI59" s="115"/>
      <c r="AJ59" s="115"/>
      <c r="AK59" s="115"/>
      <c r="AL59" s="115"/>
      <c r="AM59" s="115"/>
      <c r="AN59" s="115"/>
      <c r="AO59" s="115"/>
      <c r="AP59" s="115"/>
      <c r="AQ59" s="115"/>
      <c r="AR59" s="115"/>
      <c r="AS59" s="115"/>
      <c r="AT59" s="115"/>
      <c r="AU59" s="115"/>
      <c r="AV59" s="115"/>
      <c r="AW59" s="115"/>
      <c r="AX59" s="115"/>
      <c r="AY59" s="115"/>
      <c r="AZ59" s="115"/>
      <c r="BA59" s="115"/>
      <c r="BB59" s="115"/>
      <c r="BC59" s="115"/>
      <c r="BD59" s="115"/>
      <c r="BE59" s="115"/>
      <c r="BF59" s="115"/>
      <c r="BG59" s="115"/>
      <c r="BH59" s="115"/>
      <c r="BI59" s="115"/>
      <c r="BJ59" s="115"/>
      <c r="BK59" s="115"/>
      <c r="BL59" s="115"/>
      <c r="BM59" s="116"/>
      <c r="BN59" s="116"/>
    </row>
    <row r="60" spans="2:66" ht="19.05" customHeight="1">
      <c r="B60" s="105" t="s">
        <v>161</v>
      </c>
      <c r="C60" s="105" t="s">
        <v>241</v>
      </c>
      <c r="D60" s="104" t="s">
        <v>73</v>
      </c>
      <c r="E60" s="100">
        <v>0.32</v>
      </c>
      <c r="F60" s="86">
        <v>0.03</v>
      </c>
      <c r="G60" s="86">
        <v>-0.03</v>
      </c>
      <c r="H60" s="87" t="s">
        <v>81</v>
      </c>
      <c r="I60" s="88"/>
      <c r="J60" s="51">
        <f t="shared" si="0"/>
        <v>0.35</v>
      </c>
      <c r="K60" s="51">
        <f t="shared" si="1"/>
        <v>0.29000000000000004</v>
      </c>
      <c r="L60" s="89"/>
      <c r="M60" s="90">
        <f t="shared" si="2"/>
        <v>0</v>
      </c>
      <c r="N60" s="90">
        <f t="shared" si="3"/>
        <v>0</v>
      </c>
      <c r="O60" s="90">
        <f t="shared" si="4"/>
        <v>0</v>
      </c>
      <c r="P60" s="91">
        <f t="shared" si="5"/>
        <v>0</v>
      </c>
      <c r="Q60" s="92" t="str">
        <f t="shared" si="6"/>
        <v/>
      </c>
      <c r="R60" s="93" t="str">
        <f>IF(OR($AI60="",ISNUMBER($AI60)=FALSE),"",IF(AND(#REF!="Tolerance",$E60&lt;&gt;""),($O60-$E60)/(($J60-$K60)/2),IF(AND(#REF!="GD&amp;T",$F60&lt;&gt;""),$O60/$F60,"")))</f>
        <v/>
      </c>
      <c r="S60" s="93" t="str">
        <f t="shared" si="7"/>
        <v/>
      </c>
      <c r="T60" s="92" t="str">
        <f t="shared" si="8"/>
        <v/>
      </c>
      <c r="U60" s="92" t="str">
        <f t="shared" si="9"/>
        <v/>
      </c>
      <c r="V60" s="92" t="str">
        <f t="shared" si="10"/>
        <v/>
      </c>
      <c r="W60" s="112" t="str">
        <f t="shared" si="11"/>
        <v/>
      </c>
      <c r="X60" s="113" t="e">
        <f>IF($O60="","",IF(#REF!="Tolerance",IF((#REF!*3*P60+O60)-E60&lt;F60,"",(#REF!*3*P60+O60)-E60),IF(OR(#REF!="GD&amp;T",#REF!="MAX"),IF((#REF!*3*P60+O60)&lt;F60,"",(#REF!*3*P60+O60)),"")))</f>
        <v>#REF!</v>
      </c>
      <c r="Y60" s="113" t="e">
        <f>IF(O60="","",IF(#REF!="Tolerance",IF(-((#REF!*3*P60)-O60)-E60&gt;G60,"",-((#REF!*3*P60)-O60)-E60),IF(#REF!="MIN",IF(-((#REF!*3*P60)-O60)&gt;G60,"",-((#REF!*3*P60)-O60)),"")))</f>
        <v>#REF!</v>
      </c>
      <c r="Z60" s="113">
        <f t="shared" si="12"/>
        <v>0.32</v>
      </c>
      <c r="AA60" s="113" t="str">
        <f t="shared" si="13"/>
        <v/>
      </c>
      <c r="AB60" s="94"/>
      <c r="AC60" s="95" t="str">
        <f t="shared" si="14"/>
        <v/>
      </c>
      <c r="AD60" s="96"/>
      <c r="AE60" s="97"/>
      <c r="AF60" s="97"/>
      <c r="AG60" s="98"/>
      <c r="AI60" s="115"/>
      <c r="AJ60" s="115"/>
      <c r="AK60" s="115"/>
      <c r="AL60" s="115"/>
      <c r="AM60" s="115"/>
      <c r="AN60" s="115"/>
      <c r="AO60" s="115"/>
      <c r="AP60" s="115"/>
      <c r="AQ60" s="115"/>
      <c r="AR60" s="115"/>
      <c r="AS60" s="115"/>
      <c r="AT60" s="115"/>
      <c r="AU60" s="115"/>
      <c r="AV60" s="115"/>
      <c r="AW60" s="115"/>
      <c r="AX60" s="115"/>
      <c r="AY60" s="115"/>
      <c r="AZ60" s="115"/>
      <c r="BA60" s="115"/>
      <c r="BB60" s="115"/>
      <c r="BC60" s="115"/>
      <c r="BD60" s="115"/>
      <c r="BE60" s="115"/>
      <c r="BF60" s="115"/>
      <c r="BG60" s="115"/>
      <c r="BH60" s="115"/>
      <c r="BI60" s="115"/>
      <c r="BJ60" s="115"/>
      <c r="BK60" s="115"/>
      <c r="BL60" s="115"/>
      <c r="BM60" s="116"/>
      <c r="BN60" s="116"/>
    </row>
    <row r="61" spans="2:66" ht="19.05" customHeight="1">
      <c r="B61" s="105" t="s">
        <v>161</v>
      </c>
      <c r="C61" s="105" t="s">
        <v>242</v>
      </c>
      <c r="D61" s="104" t="s">
        <v>73</v>
      </c>
      <c r="E61" s="100">
        <v>0.32</v>
      </c>
      <c r="F61" s="86">
        <v>0.03</v>
      </c>
      <c r="G61" s="86">
        <v>-0.03</v>
      </c>
      <c r="H61" s="87" t="s">
        <v>81</v>
      </c>
      <c r="I61" s="88"/>
      <c r="J61" s="51">
        <f t="shared" si="0"/>
        <v>0.35</v>
      </c>
      <c r="K61" s="51">
        <f t="shared" si="1"/>
        <v>0.29000000000000004</v>
      </c>
      <c r="L61" s="89"/>
      <c r="M61" s="90">
        <f t="shared" si="2"/>
        <v>0</v>
      </c>
      <c r="N61" s="90">
        <f t="shared" si="3"/>
        <v>0</v>
      </c>
      <c r="O61" s="90">
        <f t="shared" si="4"/>
        <v>0</v>
      </c>
      <c r="P61" s="91">
        <f t="shared" si="5"/>
        <v>0</v>
      </c>
      <c r="Q61" s="92" t="str">
        <f t="shared" si="6"/>
        <v/>
      </c>
      <c r="R61" s="93" t="str">
        <f>IF(OR($AI61="",ISNUMBER($AI61)=FALSE),"",IF(AND(#REF!="Tolerance",$E61&lt;&gt;""),($O61-$E61)/(($J61-$K61)/2),IF(AND(#REF!="GD&amp;T",$F61&lt;&gt;""),$O61/$F61,"")))</f>
        <v/>
      </c>
      <c r="S61" s="93" t="str">
        <f t="shared" si="7"/>
        <v/>
      </c>
      <c r="T61" s="92" t="str">
        <f t="shared" si="8"/>
        <v/>
      </c>
      <c r="U61" s="92" t="str">
        <f t="shared" si="9"/>
        <v/>
      </c>
      <c r="V61" s="92" t="str">
        <f t="shared" si="10"/>
        <v/>
      </c>
      <c r="W61" s="112" t="str">
        <f t="shared" si="11"/>
        <v/>
      </c>
      <c r="X61" s="113" t="e">
        <f>IF($O61="","",IF(#REF!="Tolerance",IF((#REF!*3*P61+O61)-E61&lt;F61,"",(#REF!*3*P61+O61)-E61),IF(OR(#REF!="GD&amp;T",#REF!="MAX"),IF((#REF!*3*P61+O61)&lt;F61,"",(#REF!*3*P61+O61)),"")))</f>
        <v>#REF!</v>
      </c>
      <c r="Y61" s="113" t="e">
        <f>IF(O61="","",IF(#REF!="Tolerance",IF(-((#REF!*3*P61)-O61)-E61&gt;G61,"",-((#REF!*3*P61)-O61)-E61),IF(#REF!="MIN",IF(-((#REF!*3*P61)-O61)&gt;G61,"",-((#REF!*3*P61)-O61)),"")))</f>
        <v>#REF!</v>
      </c>
      <c r="Z61" s="113">
        <f t="shared" si="12"/>
        <v>0.32</v>
      </c>
      <c r="AA61" s="113" t="str">
        <f t="shared" si="13"/>
        <v/>
      </c>
      <c r="AB61" s="94"/>
      <c r="AC61" s="95" t="str">
        <f t="shared" si="14"/>
        <v/>
      </c>
      <c r="AD61" s="96"/>
      <c r="AE61" s="97"/>
      <c r="AF61" s="97"/>
      <c r="AG61" s="98"/>
      <c r="AI61" s="115"/>
      <c r="AJ61" s="115"/>
      <c r="AK61" s="115"/>
      <c r="AL61" s="115"/>
      <c r="AM61" s="115"/>
      <c r="AN61" s="115"/>
      <c r="AO61" s="115"/>
      <c r="AP61" s="115"/>
      <c r="AQ61" s="115"/>
      <c r="AR61" s="115"/>
      <c r="AS61" s="115"/>
      <c r="AT61" s="115"/>
      <c r="AU61" s="115"/>
      <c r="AV61" s="115"/>
      <c r="AW61" s="115"/>
      <c r="AX61" s="115"/>
      <c r="AY61" s="115"/>
      <c r="AZ61" s="115"/>
      <c r="BA61" s="115"/>
      <c r="BB61" s="115"/>
      <c r="BC61" s="115"/>
      <c r="BD61" s="115"/>
      <c r="BE61" s="115"/>
      <c r="BF61" s="115"/>
      <c r="BG61" s="115"/>
      <c r="BH61" s="115"/>
      <c r="BI61" s="115"/>
      <c r="BJ61" s="115"/>
      <c r="BK61" s="115"/>
      <c r="BL61" s="115"/>
      <c r="BM61" s="116"/>
      <c r="BN61" s="116"/>
    </row>
    <row r="62" spans="2:66" ht="19.05" customHeight="1">
      <c r="B62" s="105" t="s">
        <v>134</v>
      </c>
      <c r="C62" s="108" t="s">
        <v>243</v>
      </c>
      <c r="D62" s="104" t="s">
        <v>73</v>
      </c>
      <c r="E62" s="100">
        <v>15.45</v>
      </c>
      <c r="F62" s="86">
        <v>0.02</v>
      </c>
      <c r="G62" s="86">
        <v>-0.02</v>
      </c>
      <c r="H62" s="87" t="s">
        <v>81</v>
      </c>
      <c r="I62" s="88"/>
      <c r="J62" s="51">
        <f t="shared" si="0"/>
        <v>15.469999999999999</v>
      </c>
      <c r="K62" s="51">
        <f t="shared" si="1"/>
        <v>15.43</v>
      </c>
      <c r="L62" s="89"/>
      <c r="M62" s="90">
        <f t="shared" si="2"/>
        <v>0</v>
      </c>
      <c r="N62" s="90">
        <f t="shared" si="3"/>
        <v>0</v>
      </c>
      <c r="O62" s="90">
        <f t="shared" si="4"/>
        <v>0</v>
      </c>
      <c r="P62" s="91">
        <f t="shared" si="5"/>
        <v>0</v>
      </c>
      <c r="Q62" s="92" t="str">
        <f t="shared" si="6"/>
        <v/>
      </c>
      <c r="R62" s="93" t="str">
        <f>IF(OR($AI62="",ISNUMBER($AI62)=FALSE),"",IF(AND(#REF!="Tolerance",$E62&lt;&gt;""),($O62-$E62)/(($J62-$K62)/2),IF(AND(#REF!="GD&amp;T",$F62&lt;&gt;""),$O62/$F62,"")))</f>
        <v/>
      </c>
      <c r="S62" s="93" t="str">
        <f t="shared" si="7"/>
        <v/>
      </c>
      <c r="T62" s="92" t="str">
        <f t="shared" si="8"/>
        <v/>
      </c>
      <c r="U62" s="92" t="str">
        <f t="shared" si="9"/>
        <v/>
      </c>
      <c r="V62" s="92" t="str">
        <f t="shared" si="10"/>
        <v/>
      </c>
      <c r="W62" s="112" t="str">
        <f t="shared" si="11"/>
        <v/>
      </c>
      <c r="X62" s="113" t="e">
        <f>IF($O62="","",IF(#REF!="Tolerance",IF((#REF!*3*P62+O62)-E62&lt;F62,"",(#REF!*3*P62+O62)-E62),IF(OR(#REF!="GD&amp;T",#REF!="MAX"),IF((#REF!*3*P62+O62)&lt;F62,"",(#REF!*3*P62+O62)),"")))</f>
        <v>#REF!</v>
      </c>
      <c r="Y62" s="113" t="e">
        <f>IF(O62="","",IF(#REF!="Tolerance",IF(-((#REF!*3*P62)-O62)-E62&gt;G62,"",-((#REF!*3*P62)-O62)-E62),IF(#REF!="MIN",IF(-((#REF!*3*P62)-O62)&gt;G62,"",-((#REF!*3*P62)-O62)),"")))</f>
        <v>#REF!</v>
      </c>
      <c r="Z62" s="113">
        <f t="shared" si="12"/>
        <v>15.45</v>
      </c>
      <c r="AA62" s="113" t="str">
        <f t="shared" si="13"/>
        <v/>
      </c>
      <c r="AB62" s="94"/>
      <c r="AC62" s="95" t="str">
        <f t="shared" si="14"/>
        <v/>
      </c>
      <c r="AD62" s="96"/>
      <c r="AE62" s="97"/>
      <c r="AF62" s="97"/>
      <c r="AG62" s="98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0"/>
      <c r="AX62" s="50"/>
      <c r="AY62" s="50"/>
      <c r="AZ62" s="50"/>
      <c r="BA62" s="50"/>
      <c r="BB62" s="50"/>
      <c r="BC62" s="50"/>
      <c r="BD62" s="50"/>
      <c r="BE62" s="50"/>
      <c r="BF62" s="50"/>
      <c r="BG62" s="50"/>
      <c r="BH62" s="50"/>
      <c r="BI62" s="50"/>
      <c r="BJ62" s="50"/>
      <c r="BK62" s="50"/>
      <c r="BL62" s="50"/>
      <c r="BM62" s="116"/>
      <c r="BN62" s="116"/>
    </row>
    <row r="63" spans="2:66" ht="19.05" customHeight="1">
      <c r="B63" s="105" t="s">
        <v>162</v>
      </c>
      <c r="C63" s="108" t="s">
        <v>244</v>
      </c>
      <c r="D63" s="104" t="s">
        <v>73</v>
      </c>
      <c r="E63" s="100">
        <v>0.33</v>
      </c>
      <c r="F63" s="86">
        <v>0.03</v>
      </c>
      <c r="G63" s="86">
        <v>-0.03</v>
      </c>
      <c r="H63" s="87" t="s">
        <v>81</v>
      </c>
      <c r="I63" s="88"/>
      <c r="J63" s="51">
        <f t="shared" si="0"/>
        <v>0.36</v>
      </c>
      <c r="K63" s="51">
        <f t="shared" si="1"/>
        <v>0.30000000000000004</v>
      </c>
      <c r="L63" s="89"/>
      <c r="M63" s="90">
        <f t="shared" si="2"/>
        <v>0</v>
      </c>
      <c r="N63" s="90">
        <f t="shared" si="3"/>
        <v>0</v>
      </c>
      <c r="O63" s="90">
        <f t="shared" si="4"/>
        <v>0</v>
      </c>
      <c r="P63" s="91">
        <f t="shared" si="5"/>
        <v>0</v>
      </c>
      <c r="Q63" s="92" t="str">
        <f t="shared" si="6"/>
        <v/>
      </c>
      <c r="R63" s="93" t="str">
        <f>IF(OR($AI63="",ISNUMBER($AI63)=FALSE),"",IF(AND(#REF!="Tolerance",$E63&lt;&gt;""),($O63-$E63)/(($J63-$K63)/2),IF(AND(#REF!="GD&amp;T",$F63&lt;&gt;""),$O63/$F63,"")))</f>
        <v/>
      </c>
      <c r="S63" s="93" t="str">
        <f t="shared" si="7"/>
        <v/>
      </c>
      <c r="T63" s="92" t="str">
        <f t="shared" si="8"/>
        <v/>
      </c>
      <c r="U63" s="92" t="str">
        <f t="shared" si="9"/>
        <v/>
      </c>
      <c r="V63" s="92" t="str">
        <f t="shared" si="10"/>
        <v/>
      </c>
      <c r="W63" s="112" t="str">
        <f t="shared" si="11"/>
        <v/>
      </c>
      <c r="X63" s="113" t="e">
        <f>IF($O63="","",IF(#REF!="Tolerance",IF((#REF!*3*P63+O63)-E63&lt;F63,"",(#REF!*3*P63+O63)-E63),IF(OR(#REF!="GD&amp;T",#REF!="MAX"),IF((#REF!*3*P63+O63)&lt;F63,"",(#REF!*3*P63+O63)),"")))</f>
        <v>#REF!</v>
      </c>
      <c r="Y63" s="113" t="e">
        <f>IF(O63="","",IF(#REF!="Tolerance",IF(-((#REF!*3*P63)-O63)-E63&gt;G63,"",-((#REF!*3*P63)-O63)-E63),IF(#REF!="MIN",IF(-((#REF!*3*P63)-O63)&gt;G63,"",-((#REF!*3*P63)-O63)),"")))</f>
        <v>#REF!</v>
      </c>
      <c r="Z63" s="113">
        <f t="shared" si="12"/>
        <v>0.33</v>
      </c>
      <c r="AA63" s="113" t="str">
        <f t="shared" si="13"/>
        <v/>
      </c>
      <c r="AB63" s="94"/>
      <c r="AC63" s="95" t="str">
        <f t="shared" si="14"/>
        <v/>
      </c>
      <c r="AD63" s="96"/>
      <c r="AE63" s="97"/>
      <c r="AF63" s="97"/>
      <c r="AG63" s="98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50"/>
      <c r="BC63" s="50"/>
      <c r="BD63" s="50"/>
      <c r="BE63" s="50"/>
      <c r="BF63" s="50"/>
      <c r="BG63" s="50"/>
      <c r="BH63" s="50"/>
      <c r="BI63" s="50"/>
      <c r="BJ63" s="50"/>
      <c r="BK63" s="50"/>
      <c r="BL63" s="50"/>
      <c r="BM63" s="116"/>
      <c r="BN63" s="116"/>
    </row>
    <row r="64" spans="2:66" ht="19.05" customHeight="1">
      <c r="B64" s="106" t="s">
        <v>245</v>
      </c>
      <c r="C64" s="106" t="s">
        <v>246</v>
      </c>
      <c r="D64" s="104" t="s">
        <v>73</v>
      </c>
      <c r="E64" s="100">
        <v>2.44</v>
      </c>
      <c r="F64" s="86">
        <v>0.02</v>
      </c>
      <c r="G64" s="86">
        <v>-0.02</v>
      </c>
      <c r="H64" s="87" t="s">
        <v>81</v>
      </c>
      <c r="I64" s="88"/>
      <c r="J64" s="51">
        <f t="shared" si="0"/>
        <v>2.46</v>
      </c>
      <c r="K64" s="51">
        <f t="shared" si="1"/>
        <v>2.42</v>
      </c>
      <c r="L64" s="89"/>
      <c r="M64" s="90">
        <f t="shared" si="2"/>
        <v>0</v>
      </c>
      <c r="N64" s="90">
        <f t="shared" si="3"/>
        <v>0</v>
      </c>
      <c r="O64" s="90">
        <f t="shared" si="4"/>
        <v>0</v>
      </c>
      <c r="P64" s="91">
        <f t="shared" si="5"/>
        <v>0</v>
      </c>
      <c r="Q64" s="92" t="str">
        <f t="shared" si="6"/>
        <v/>
      </c>
      <c r="R64" s="93" t="str">
        <f>IF(OR($AI64="",ISNUMBER($AI64)=FALSE),"",IF(AND(#REF!="Tolerance",$E64&lt;&gt;""),($O64-$E64)/(($J64-$K64)/2),IF(AND(#REF!="GD&amp;T",$F64&lt;&gt;""),$O64/$F64,"")))</f>
        <v/>
      </c>
      <c r="S64" s="93" t="str">
        <f t="shared" si="7"/>
        <v/>
      </c>
      <c r="T64" s="92" t="str">
        <f t="shared" si="8"/>
        <v/>
      </c>
      <c r="U64" s="92" t="str">
        <f t="shared" si="9"/>
        <v/>
      </c>
      <c r="V64" s="92" t="str">
        <f t="shared" si="10"/>
        <v/>
      </c>
      <c r="W64" s="112" t="str">
        <f t="shared" si="11"/>
        <v/>
      </c>
      <c r="X64" s="113" t="e">
        <f>IF($O64="","",IF(#REF!="Tolerance",IF((#REF!*3*P64+O64)-E64&lt;F64,"",(#REF!*3*P64+O64)-E64),IF(OR(#REF!="GD&amp;T",#REF!="MAX"),IF((#REF!*3*P64+O64)&lt;F64,"",(#REF!*3*P64+O64)),"")))</f>
        <v>#REF!</v>
      </c>
      <c r="Y64" s="113" t="e">
        <f>IF(O64="","",IF(#REF!="Tolerance",IF(-((#REF!*3*P64)-O64)-E64&gt;G64,"",-((#REF!*3*P64)-O64)-E64),IF(#REF!="MIN",IF(-((#REF!*3*P64)-O64)&gt;G64,"",-((#REF!*3*P64)-O64)),"")))</f>
        <v>#REF!</v>
      </c>
      <c r="Z64" s="113">
        <f t="shared" si="12"/>
        <v>2.44</v>
      </c>
      <c r="AA64" s="113" t="str">
        <f t="shared" si="13"/>
        <v/>
      </c>
      <c r="AB64" s="94"/>
      <c r="AC64" s="95" t="str">
        <f t="shared" si="14"/>
        <v/>
      </c>
      <c r="AD64" s="96"/>
      <c r="AE64" s="97"/>
      <c r="AF64" s="97"/>
      <c r="AG64" s="98"/>
      <c r="AI64" s="115"/>
      <c r="AJ64" s="115"/>
      <c r="AK64" s="115"/>
      <c r="AL64" s="115"/>
      <c r="AM64" s="115"/>
      <c r="AN64" s="115"/>
      <c r="AO64" s="115"/>
      <c r="AP64" s="115"/>
      <c r="AQ64" s="115"/>
      <c r="AR64" s="115"/>
      <c r="AS64" s="115"/>
      <c r="AT64" s="115"/>
      <c r="AU64" s="115"/>
      <c r="AV64" s="115"/>
      <c r="AW64" s="115"/>
      <c r="AX64" s="115"/>
      <c r="AY64" s="115"/>
      <c r="AZ64" s="115"/>
      <c r="BA64" s="115"/>
      <c r="BB64" s="115"/>
      <c r="BC64" s="115"/>
      <c r="BD64" s="115"/>
      <c r="BE64" s="115"/>
      <c r="BF64" s="115"/>
      <c r="BG64" s="115"/>
      <c r="BH64" s="115"/>
      <c r="BI64" s="115"/>
      <c r="BJ64" s="115"/>
      <c r="BK64" s="115"/>
      <c r="BL64" s="115"/>
      <c r="BM64" s="116"/>
      <c r="BN64" s="116"/>
    </row>
    <row r="65" spans="2:66" ht="19.05" customHeight="1">
      <c r="B65" s="106" t="s">
        <v>135</v>
      </c>
      <c r="C65" s="109" t="s">
        <v>247</v>
      </c>
      <c r="D65" s="104" t="s">
        <v>73</v>
      </c>
      <c r="E65" s="100">
        <v>15.38</v>
      </c>
      <c r="F65" s="86">
        <v>0.02</v>
      </c>
      <c r="G65" s="86">
        <v>-0.03</v>
      </c>
      <c r="H65" s="87" t="s">
        <v>81</v>
      </c>
      <c r="I65" s="88"/>
      <c r="J65" s="51">
        <f t="shared" si="0"/>
        <v>15.4</v>
      </c>
      <c r="K65" s="51">
        <f t="shared" si="1"/>
        <v>15.350000000000001</v>
      </c>
      <c r="L65" s="89"/>
      <c r="M65" s="90">
        <f t="shared" si="2"/>
        <v>0</v>
      </c>
      <c r="N65" s="90">
        <f t="shared" si="3"/>
        <v>0</v>
      </c>
      <c r="O65" s="90">
        <f t="shared" si="4"/>
        <v>0</v>
      </c>
      <c r="P65" s="91">
        <f t="shared" si="5"/>
        <v>0</v>
      </c>
      <c r="Q65" s="92" t="str">
        <f t="shared" si="6"/>
        <v/>
      </c>
      <c r="R65" s="93" t="str">
        <f>IF(OR($AI65="",ISNUMBER($AI65)=FALSE),"",IF(AND(#REF!="Tolerance",$E65&lt;&gt;""),($O65-$E65)/(($J65-$K65)/2),IF(AND(#REF!="GD&amp;T",$F65&lt;&gt;""),$O65/$F65,"")))</f>
        <v/>
      </c>
      <c r="S65" s="93" t="str">
        <f t="shared" si="7"/>
        <v/>
      </c>
      <c r="T65" s="92" t="str">
        <f t="shared" si="8"/>
        <v/>
      </c>
      <c r="U65" s="92" t="str">
        <f t="shared" si="9"/>
        <v/>
      </c>
      <c r="V65" s="92" t="str">
        <f t="shared" si="10"/>
        <v/>
      </c>
      <c r="W65" s="112" t="str">
        <f t="shared" si="11"/>
        <v/>
      </c>
      <c r="X65" s="113" t="e">
        <f>IF($O65="","",IF(#REF!="Tolerance",IF((#REF!*3*P65+O65)-E65&lt;F65,"",(#REF!*3*P65+O65)-E65),IF(OR(#REF!="GD&amp;T",#REF!="MAX"),IF((#REF!*3*P65+O65)&lt;F65,"",(#REF!*3*P65+O65)),"")))</f>
        <v>#REF!</v>
      </c>
      <c r="Y65" s="113" t="e">
        <f>IF(O65="","",IF(#REF!="Tolerance",IF(-((#REF!*3*P65)-O65)-E65&gt;G65,"",-((#REF!*3*P65)-O65)-E65),IF(#REF!="MIN",IF(-((#REF!*3*P65)-O65)&gt;G65,"",-((#REF!*3*P65)-O65)),"")))</f>
        <v>#REF!</v>
      </c>
      <c r="Z65" s="113">
        <f t="shared" si="12"/>
        <v>15.375</v>
      </c>
      <c r="AA65" s="113" t="str">
        <f t="shared" si="13"/>
        <v/>
      </c>
      <c r="AB65" s="94"/>
      <c r="AC65" s="95" t="str">
        <f t="shared" si="14"/>
        <v/>
      </c>
      <c r="AD65" s="96"/>
      <c r="AE65" s="97"/>
      <c r="AF65" s="97"/>
      <c r="AG65" s="98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/>
      <c r="BB65" s="50"/>
      <c r="BC65" s="50"/>
      <c r="BD65" s="50"/>
      <c r="BE65" s="50"/>
      <c r="BF65" s="50"/>
      <c r="BG65" s="50"/>
      <c r="BH65" s="50"/>
      <c r="BI65" s="50"/>
      <c r="BJ65" s="50"/>
      <c r="BK65" s="50"/>
      <c r="BL65" s="50"/>
      <c r="BM65" s="116"/>
      <c r="BN65" s="116"/>
    </row>
    <row r="66" spans="2:66" ht="19.05" customHeight="1">
      <c r="B66" s="106" t="s">
        <v>132</v>
      </c>
      <c r="C66" s="109" t="s">
        <v>248</v>
      </c>
      <c r="D66" s="104" t="s">
        <v>73</v>
      </c>
      <c r="E66" s="100">
        <v>0.23</v>
      </c>
      <c r="F66" s="86">
        <v>0.02</v>
      </c>
      <c r="G66" s="86">
        <v>-0.02</v>
      </c>
      <c r="H66" s="87" t="s">
        <v>81</v>
      </c>
      <c r="I66" s="88"/>
      <c r="J66" s="51">
        <f t="shared" si="0"/>
        <v>0.25</v>
      </c>
      <c r="K66" s="51">
        <f t="shared" si="1"/>
        <v>0.21000000000000002</v>
      </c>
      <c r="L66" s="89"/>
      <c r="M66" s="90">
        <f t="shared" si="2"/>
        <v>0</v>
      </c>
      <c r="N66" s="90">
        <f t="shared" si="3"/>
        <v>0</v>
      </c>
      <c r="O66" s="90">
        <f t="shared" si="4"/>
        <v>0</v>
      </c>
      <c r="P66" s="91">
        <f t="shared" si="5"/>
        <v>0</v>
      </c>
      <c r="Q66" s="92" t="str">
        <f t="shared" si="6"/>
        <v/>
      </c>
      <c r="R66" s="93" t="str">
        <f>IF(OR($AI66="",ISNUMBER($AI66)=FALSE),"",IF(AND(#REF!="Tolerance",$E66&lt;&gt;""),($O66-$E66)/(($J66-$K66)/2),IF(AND(#REF!="GD&amp;T",$F66&lt;&gt;""),$O66/$F66,"")))</f>
        <v/>
      </c>
      <c r="S66" s="93" t="str">
        <f t="shared" si="7"/>
        <v/>
      </c>
      <c r="T66" s="92" t="str">
        <f t="shared" si="8"/>
        <v/>
      </c>
      <c r="U66" s="92" t="str">
        <f t="shared" si="9"/>
        <v/>
      </c>
      <c r="V66" s="92" t="str">
        <f t="shared" si="10"/>
        <v/>
      </c>
      <c r="W66" s="112" t="str">
        <f t="shared" si="11"/>
        <v/>
      </c>
      <c r="X66" s="113" t="e">
        <f>IF($O66="","",IF(#REF!="Tolerance",IF((#REF!*3*P66+O66)-E66&lt;F66,"",(#REF!*3*P66+O66)-E66),IF(OR(#REF!="GD&amp;T",#REF!="MAX"),IF((#REF!*3*P66+O66)&lt;F66,"",(#REF!*3*P66+O66)),"")))</f>
        <v>#REF!</v>
      </c>
      <c r="Y66" s="113" t="e">
        <f>IF(O66="","",IF(#REF!="Tolerance",IF(-((#REF!*3*P66)-O66)-E66&gt;G66,"",-((#REF!*3*P66)-O66)-E66),IF(#REF!="MIN",IF(-((#REF!*3*P66)-O66)&gt;G66,"",-((#REF!*3*P66)-O66)),"")))</f>
        <v>#REF!</v>
      </c>
      <c r="Z66" s="113">
        <f t="shared" si="12"/>
        <v>0.23</v>
      </c>
      <c r="AA66" s="113" t="str">
        <f t="shared" si="13"/>
        <v/>
      </c>
      <c r="AB66" s="94"/>
      <c r="AC66" s="95" t="str">
        <f t="shared" si="14"/>
        <v/>
      </c>
      <c r="AD66" s="96"/>
      <c r="AE66" s="97"/>
      <c r="AF66" s="97"/>
      <c r="AG66" s="98"/>
      <c r="AI66" s="50"/>
      <c r="AJ66" s="50"/>
      <c r="AK66" s="50"/>
      <c r="AL66" s="50"/>
      <c r="AM66" s="50"/>
      <c r="AN66" s="50"/>
      <c r="AO66" s="50"/>
      <c r="AP66" s="50"/>
      <c r="AQ66" s="50"/>
      <c r="AR66" s="50"/>
      <c r="AS66" s="50"/>
      <c r="AT66" s="50"/>
      <c r="AU66" s="50"/>
      <c r="AV66" s="50"/>
      <c r="AW66" s="50"/>
      <c r="AX66" s="50"/>
      <c r="AY66" s="50"/>
      <c r="AZ66" s="50"/>
      <c r="BA66" s="50"/>
      <c r="BB66" s="50"/>
      <c r="BC66" s="50"/>
      <c r="BD66" s="50"/>
      <c r="BE66" s="50"/>
      <c r="BF66" s="50"/>
      <c r="BG66" s="50"/>
      <c r="BH66" s="50"/>
      <c r="BI66" s="50"/>
      <c r="BJ66" s="50"/>
      <c r="BK66" s="50"/>
      <c r="BL66" s="50"/>
      <c r="BM66" s="116"/>
      <c r="BN66" s="116"/>
    </row>
    <row r="67" spans="2:66" ht="19.05" customHeight="1">
      <c r="B67" s="106" t="s">
        <v>132</v>
      </c>
      <c r="C67" s="106" t="s">
        <v>249</v>
      </c>
      <c r="D67" s="104" t="s">
        <v>73</v>
      </c>
      <c r="E67" s="100">
        <v>0.23</v>
      </c>
      <c r="F67" s="86">
        <v>0.02</v>
      </c>
      <c r="G67" s="86">
        <v>-0.02</v>
      </c>
      <c r="H67" s="87" t="s">
        <v>81</v>
      </c>
      <c r="I67" s="88"/>
      <c r="J67" s="51">
        <f t="shared" si="0"/>
        <v>0.25</v>
      </c>
      <c r="K67" s="51">
        <f t="shared" si="1"/>
        <v>0.21000000000000002</v>
      </c>
      <c r="L67" s="89"/>
      <c r="M67" s="90">
        <f t="shared" si="2"/>
        <v>0</v>
      </c>
      <c r="N67" s="90">
        <f t="shared" si="3"/>
        <v>0</v>
      </c>
      <c r="O67" s="90">
        <f t="shared" si="4"/>
        <v>0</v>
      </c>
      <c r="P67" s="91">
        <f t="shared" si="5"/>
        <v>0</v>
      </c>
      <c r="Q67" s="92" t="str">
        <f t="shared" si="6"/>
        <v/>
      </c>
      <c r="R67" s="93" t="str">
        <f>IF(OR($AI67="",ISNUMBER($AI67)=FALSE),"",IF(AND(#REF!="Tolerance",$E67&lt;&gt;""),($O67-$E67)/(($J67-$K67)/2),IF(AND(#REF!="GD&amp;T",$F67&lt;&gt;""),$O67/$F67,"")))</f>
        <v/>
      </c>
      <c r="S67" s="93" t="str">
        <f t="shared" si="7"/>
        <v/>
      </c>
      <c r="T67" s="92" t="str">
        <f t="shared" si="8"/>
        <v/>
      </c>
      <c r="U67" s="92" t="str">
        <f t="shared" si="9"/>
        <v/>
      </c>
      <c r="V67" s="92" t="str">
        <f t="shared" si="10"/>
        <v/>
      </c>
      <c r="W67" s="112" t="str">
        <f t="shared" si="11"/>
        <v/>
      </c>
      <c r="X67" s="113" t="e">
        <f>IF($O67="","",IF(#REF!="Tolerance",IF((#REF!*3*P67+O67)-E67&lt;F67,"",(#REF!*3*P67+O67)-E67),IF(OR(#REF!="GD&amp;T",#REF!="MAX"),IF((#REF!*3*P67+O67)&lt;F67,"",(#REF!*3*P67+O67)),"")))</f>
        <v>#REF!</v>
      </c>
      <c r="Y67" s="113" t="e">
        <f>IF(O67="","",IF(#REF!="Tolerance",IF(-((#REF!*3*P67)-O67)-E67&gt;G67,"",-((#REF!*3*P67)-O67)-E67),IF(#REF!="MIN",IF(-((#REF!*3*P67)-O67)&gt;G67,"",-((#REF!*3*P67)-O67)),"")))</f>
        <v>#REF!</v>
      </c>
      <c r="Z67" s="113">
        <f t="shared" si="12"/>
        <v>0.23</v>
      </c>
      <c r="AA67" s="113" t="str">
        <f t="shared" si="13"/>
        <v/>
      </c>
      <c r="AB67" s="94"/>
      <c r="AC67" s="95" t="str">
        <f t="shared" si="14"/>
        <v/>
      </c>
      <c r="AD67" s="96"/>
      <c r="AE67" s="97"/>
      <c r="AF67" s="97"/>
      <c r="AG67" s="98"/>
      <c r="AI67" s="115"/>
      <c r="AJ67" s="115"/>
      <c r="AK67" s="115"/>
      <c r="AL67" s="115"/>
      <c r="AM67" s="115"/>
      <c r="AN67" s="115"/>
      <c r="AO67" s="115"/>
      <c r="AP67" s="115"/>
      <c r="AQ67" s="115"/>
      <c r="AR67" s="115"/>
      <c r="AS67" s="115"/>
      <c r="AT67" s="115"/>
      <c r="AU67" s="115"/>
      <c r="AV67" s="115"/>
      <c r="AW67" s="115"/>
      <c r="AX67" s="115"/>
      <c r="AY67" s="115"/>
      <c r="AZ67" s="115"/>
      <c r="BA67" s="115"/>
      <c r="BB67" s="115"/>
      <c r="BC67" s="115"/>
      <c r="BD67" s="115"/>
      <c r="BE67" s="115"/>
      <c r="BF67" s="115"/>
      <c r="BG67" s="115"/>
      <c r="BH67" s="115"/>
      <c r="BI67" s="115"/>
      <c r="BJ67" s="115"/>
      <c r="BK67" s="115"/>
      <c r="BL67" s="115"/>
      <c r="BM67" s="116"/>
      <c r="BN67" s="116"/>
    </row>
    <row r="68" spans="2:66" ht="19.05" customHeight="1">
      <c r="B68" s="106" t="s">
        <v>163</v>
      </c>
      <c r="C68" s="106" t="s">
        <v>250</v>
      </c>
      <c r="D68" s="104" t="s">
        <v>73</v>
      </c>
      <c r="E68" s="100">
        <v>1.5049999999999999</v>
      </c>
      <c r="F68" s="86">
        <v>0.03</v>
      </c>
      <c r="G68" s="86">
        <v>-0.03</v>
      </c>
      <c r="H68" s="87" t="s">
        <v>81</v>
      </c>
      <c r="I68" s="88"/>
      <c r="J68" s="51">
        <f t="shared" si="0"/>
        <v>1.5349999999999999</v>
      </c>
      <c r="K68" s="51">
        <f t="shared" si="1"/>
        <v>1.4749999999999999</v>
      </c>
      <c r="L68" s="89"/>
      <c r="M68" s="90">
        <f t="shared" si="2"/>
        <v>0</v>
      </c>
      <c r="N68" s="90">
        <f t="shared" si="3"/>
        <v>0</v>
      </c>
      <c r="O68" s="90">
        <f t="shared" si="4"/>
        <v>0</v>
      </c>
      <c r="P68" s="91">
        <f t="shared" si="5"/>
        <v>0</v>
      </c>
      <c r="Q68" s="92" t="str">
        <f t="shared" si="6"/>
        <v/>
      </c>
      <c r="R68" s="93" t="str">
        <f>IF(OR($AI68="",ISNUMBER($AI68)=FALSE),"",IF(AND(#REF!="Tolerance",$E68&lt;&gt;""),($O68-$E68)/(($J68-$K68)/2),IF(AND(#REF!="GD&amp;T",$F68&lt;&gt;""),$O68/$F68,"")))</f>
        <v/>
      </c>
      <c r="S68" s="93" t="str">
        <f t="shared" si="7"/>
        <v/>
      </c>
      <c r="T68" s="92" t="str">
        <f t="shared" si="8"/>
        <v/>
      </c>
      <c r="U68" s="92" t="str">
        <f t="shared" si="9"/>
        <v/>
      </c>
      <c r="V68" s="92" t="str">
        <f t="shared" si="10"/>
        <v/>
      </c>
      <c r="W68" s="112" t="str">
        <f t="shared" si="11"/>
        <v/>
      </c>
      <c r="X68" s="113" t="e">
        <f>IF($O68="","",IF(#REF!="Tolerance",IF((#REF!*3*P68+O68)-E68&lt;F68,"",(#REF!*3*P68+O68)-E68),IF(OR(#REF!="GD&amp;T",#REF!="MAX"),IF((#REF!*3*P68+O68)&lt;F68,"",(#REF!*3*P68+O68)),"")))</f>
        <v>#REF!</v>
      </c>
      <c r="Y68" s="113" t="e">
        <f>IF(O68="","",IF(#REF!="Tolerance",IF(-((#REF!*3*P68)-O68)-E68&gt;G68,"",-((#REF!*3*P68)-O68)-E68),IF(#REF!="MIN",IF(-((#REF!*3*P68)-O68)&gt;G68,"",-((#REF!*3*P68)-O68)),"")))</f>
        <v>#REF!</v>
      </c>
      <c r="Z68" s="113">
        <f t="shared" si="12"/>
        <v>1.5049999999999999</v>
      </c>
      <c r="AA68" s="113" t="str">
        <f t="shared" si="13"/>
        <v/>
      </c>
      <c r="AB68" s="94"/>
      <c r="AC68" s="95" t="str">
        <f t="shared" si="14"/>
        <v/>
      </c>
      <c r="AD68" s="96"/>
      <c r="AE68" s="97"/>
      <c r="AF68" s="97"/>
      <c r="AG68" s="98"/>
      <c r="AI68" s="115"/>
      <c r="AJ68" s="115"/>
      <c r="AK68" s="115"/>
      <c r="AL68" s="115"/>
      <c r="AM68" s="115"/>
      <c r="AN68" s="115"/>
      <c r="AO68" s="115"/>
      <c r="AP68" s="115"/>
      <c r="AQ68" s="115"/>
      <c r="AR68" s="115"/>
      <c r="AS68" s="115"/>
      <c r="AT68" s="115"/>
      <c r="AU68" s="115"/>
      <c r="AV68" s="115"/>
      <c r="AW68" s="115"/>
      <c r="AX68" s="115"/>
      <c r="AY68" s="115"/>
      <c r="AZ68" s="115"/>
      <c r="BA68" s="115"/>
      <c r="BB68" s="115"/>
      <c r="BC68" s="115"/>
      <c r="BD68" s="115"/>
      <c r="BE68" s="115"/>
      <c r="BF68" s="115"/>
      <c r="BG68" s="115"/>
      <c r="BH68" s="115"/>
      <c r="BI68" s="115"/>
      <c r="BJ68" s="115"/>
      <c r="BK68" s="115"/>
      <c r="BL68" s="115"/>
      <c r="BM68" s="116"/>
      <c r="BN68" s="116"/>
    </row>
    <row r="69" spans="2:66" ht="19.05" customHeight="1">
      <c r="B69" s="106" t="s">
        <v>163</v>
      </c>
      <c r="C69" s="109" t="s">
        <v>251</v>
      </c>
      <c r="D69" s="52" t="s">
        <v>73</v>
      </c>
      <c r="E69" s="100">
        <v>1.5049999999999999</v>
      </c>
      <c r="F69" s="86">
        <v>0.03</v>
      </c>
      <c r="G69" s="86">
        <v>-0.03</v>
      </c>
      <c r="H69" s="87" t="s">
        <v>81</v>
      </c>
      <c r="I69" s="88"/>
      <c r="J69" s="51">
        <f t="shared" si="0"/>
        <v>1.5349999999999999</v>
      </c>
      <c r="K69" s="51">
        <f t="shared" si="1"/>
        <v>1.4749999999999999</v>
      </c>
      <c r="L69" s="89"/>
      <c r="M69" s="90">
        <f t="shared" si="2"/>
        <v>0</v>
      </c>
      <c r="N69" s="90">
        <f t="shared" si="3"/>
        <v>0</v>
      </c>
      <c r="O69" s="90">
        <f t="shared" si="4"/>
        <v>0</v>
      </c>
      <c r="P69" s="91">
        <f t="shared" si="5"/>
        <v>0</v>
      </c>
      <c r="Q69" s="92" t="str">
        <f t="shared" si="6"/>
        <v/>
      </c>
      <c r="R69" s="93" t="str">
        <f>IF(OR($AI69="",ISNUMBER($AI69)=FALSE),"",IF(AND(#REF!="Tolerance",$E69&lt;&gt;""),($O69-$E69)/(($J69-$K69)/2),IF(AND(#REF!="GD&amp;T",$F69&lt;&gt;""),$O69/$F69,"")))</f>
        <v/>
      </c>
      <c r="S69" s="93" t="str">
        <f t="shared" si="7"/>
        <v/>
      </c>
      <c r="T69" s="92" t="str">
        <f t="shared" si="8"/>
        <v/>
      </c>
      <c r="U69" s="92" t="str">
        <f t="shared" si="9"/>
        <v/>
      </c>
      <c r="V69" s="92" t="str">
        <f t="shared" si="10"/>
        <v/>
      </c>
      <c r="W69" s="112" t="str">
        <f t="shared" si="11"/>
        <v/>
      </c>
      <c r="X69" s="113" t="e">
        <f>IF($O69="","",IF(#REF!="Tolerance",IF((#REF!*3*P69+O69)-E69&lt;F69,"",(#REF!*3*P69+O69)-E69),IF(OR(#REF!="GD&amp;T",#REF!="MAX"),IF((#REF!*3*P69+O69)&lt;F69,"",(#REF!*3*P69+O69)),"")))</f>
        <v>#REF!</v>
      </c>
      <c r="Y69" s="113" t="e">
        <f>IF(O69="","",IF(#REF!="Tolerance",IF(-((#REF!*3*P69)-O69)-E69&gt;G69,"",-((#REF!*3*P69)-O69)-E69),IF(#REF!="MIN",IF(-((#REF!*3*P69)-O69)&gt;G69,"",-((#REF!*3*P69)-O69)),"")))</f>
        <v>#REF!</v>
      </c>
      <c r="Z69" s="113">
        <f t="shared" si="12"/>
        <v>1.5049999999999999</v>
      </c>
      <c r="AA69" s="113" t="str">
        <f t="shared" si="13"/>
        <v/>
      </c>
      <c r="AB69" s="94"/>
      <c r="AC69" s="95" t="str">
        <f t="shared" si="14"/>
        <v/>
      </c>
      <c r="AD69" s="96"/>
      <c r="AE69" s="97"/>
      <c r="AF69" s="97"/>
      <c r="AG69" s="98"/>
      <c r="AI69" s="50"/>
      <c r="AJ69" s="50"/>
      <c r="AK69" s="50"/>
      <c r="AL69" s="50"/>
      <c r="AM69" s="50"/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/>
      <c r="BB69" s="50"/>
      <c r="BC69" s="50"/>
      <c r="BD69" s="50"/>
      <c r="BE69" s="50"/>
      <c r="BF69" s="50"/>
      <c r="BG69" s="50"/>
      <c r="BH69" s="50"/>
      <c r="BI69" s="50"/>
      <c r="BJ69" s="50"/>
      <c r="BK69" s="50"/>
      <c r="BL69" s="50"/>
      <c r="BM69" s="116"/>
      <c r="BN69" s="116"/>
    </row>
    <row r="70" spans="2:66" ht="19.05" customHeight="1">
      <c r="B70" s="106" t="s">
        <v>164</v>
      </c>
      <c r="C70" s="109" t="s">
        <v>252</v>
      </c>
      <c r="D70" s="52" t="s">
        <v>73</v>
      </c>
      <c r="E70" s="100">
        <v>14</v>
      </c>
      <c r="F70" s="86">
        <v>0.03</v>
      </c>
      <c r="G70" s="86">
        <v>-0.03</v>
      </c>
      <c r="H70" s="87" t="s">
        <v>81</v>
      </c>
      <c r="I70" s="88"/>
      <c r="J70" s="51">
        <f t="shared" ref="J70:J71" si="15">IF(AND(E70="",F70=""),"",IF(E70="",F70,E70+F70))</f>
        <v>14.03</v>
      </c>
      <c r="K70" s="51">
        <f t="shared" ref="K70:K71" si="16">IF(AND(E70="",G70=""),"",IF(E70="",G70,E70+G70))</f>
        <v>13.97</v>
      </c>
      <c r="L70" s="89"/>
      <c r="M70" s="90">
        <f t="shared" ref="M70:M74" si="17">IF(OR($AI70=ISBLANK(TRUE),ISNUMBER($AI70)=FALSE),,MAX(AI70:BN70))</f>
        <v>0</v>
      </c>
      <c r="N70" s="90">
        <f t="shared" ref="N70:N74" si="18">IF(OR($AI70=ISBLANK(TRUE),ISNUMBER($AI70)=FALSE),,MIN(AI70:BN70))</f>
        <v>0</v>
      </c>
      <c r="O70" s="90">
        <f t="shared" ref="O70:O74" si="19">IF(OR($AI70=ISBLANK(TRUE),ISNUMBER($AI70)=FALSE),,AVERAGE(AI70:BN70))</f>
        <v>0</v>
      </c>
      <c r="P70" s="91">
        <f t="shared" ref="P70:P74" si="20">IF(OR($AI70=ISBLANK(TRUE),ISNUMBER($AI70)=FALSE),,STDEV(AI70:BN70))</f>
        <v>0</v>
      </c>
      <c r="Q70" s="92" t="str">
        <f t="shared" ref="Q70:Q71" si="21">IF(OR($AI70="",ISNUMBER($AI70)=FALSE),"",IF(AND(E70=0,G70=0),T70,IF(AND(E70="",F70=""),U70,(F70+ABS(G70))/(6*P70))))</f>
        <v/>
      </c>
      <c r="R70" s="93" t="str">
        <f>IF(OR($AI70="",ISNUMBER($AI70)=FALSE),"",IF(AND(#REF!="Tolerance",$E70&lt;&gt;""),($O70-$E70)/(($J70-$K70)/2),IF(AND(#REF!="GD&amp;T",$F70&lt;&gt;""),$O70/$F70,"")))</f>
        <v/>
      </c>
      <c r="S70" s="93" t="str">
        <f t="shared" ref="S70:S79" si="22">IF($R70="","",IF(ABS($R70)&lt;=0.125, "Level A",IF(AND(ABS($R70)&gt;0.125,ABS($R70)&lt;=0.25), "Level B",IF(AND(ABS($R70)&gt;0.25,ABS($R70)&lt;=0.5), "Level C", IF(ABS($R70)&gt;0.5, "Level D")))))</f>
        <v/>
      </c>
      <c r="T70" s="92" t="str">
        <f t="shared" ref="T70:T71" si="23">IF(OR($AI70="",ISNUMBER($AI70)=FALSE),"",IF(F70="","",(J70-O70)/(3*P70)))</f>
        <v/>
      </c>
      <c r="U70" s="92" t="str">
        <f t="shared" ref="U70:U71" si="24">IF(OR($AI70="",ISNUMBER($AI70)=FALSE),"",IF(G70="","",(O70-K70)/(3*P70)))</f>
        <v/>
      </c>
      <c r="V70" s="92" t="str">
        <f t="shared" ref="V70:V71" si="25">IF(OR($AI70="",ISNUMBER($AI70)=FALSE),"",IF(AND(E70=0,G70=0),((F70)-(O70))/(3*P70),MIN(T70:U70)))</f>
        <v/>
      </c>
      <c r="W70" s="112" t="str">
        <f t="shared" ref="W70:W71" si="26">IF(OR($AI70="",ISNUMBER($AI70)=FALSE),"",IF(AND(E70=0,G70=0),NORMSDIST(3*V70),NORMSDIST(3*V70)+NORMSDIST(6*Q70-3*V70)-1))</f>
        <v/>
      </c>
      <c r="X70" s="113" t="e">
        <f>IF($O70="","",IF(#REF!="Tolerance",IF((#REF!*3*P70+O70)-E70&lt;F70,"",(#REF!*3*P70+O70)-E70),IF(OR(#REF!="GD&amp;T",#REF!="MAX"),IF((#REF!*3*P70+O70)&lt;F70,"",(#REF!*3*P70+O70)),"")))</f>
        <v>#REF!</v>
      </c>
      <c r="Y70" s="113" t="e">
        <f>IF(O70="","",IF(#REF!="Tolerance",IF(-((#REF!*3*P70)-O70)-E70&gt;G70,"",-((#REF!*3*P70)-O70)-E70),IF(#REF!="MIN",IF(-((#REF!*3*P70)-O70)&gt;G70,"",-((#REF!*3*P70)-O70)),"")))</f>
        <v>#REF!</v>
      </c>
      <c r="Z70" s="113">
        <f t="shared" ref="Z70:Z71" si="27">IF(OR(E70="",O70=""),"",(J70+K70)/2-O70)</f>
        <v>14</v>
      </c>
      <c r="AA70" s="113" t="str">
        <f t="shared" ref="AA70:AA79" si="28">IF(OR($Q70&gt;$AA$4,$P70=""),"",$AA$4*6*$P70)</f>
        <v/>
      </c>
      <c r="AB70" s="94"/>
      <c r="AC70" s="95" t="str">
        <f t="shared" ref="AC70:AC71" si="29">IF(AB70="","",IF(AB70&gt;=0.966,"Normal","Not Normal"))</f>
        <v/>
      </c>
      <c r="AD70" s="96"/>
      <c r="AE70" s="97"/>
      <c r="AF70" s="97"/>
      <c r="AG70" s="98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s="50"/>
      <c r="AV70" s="50"/>
      <c r="AW70" s="50"/>
      <c r="AX70" s="50"/>
      <c r="AY70" s="50"/>
      <c r="AZ70" s="50"/>
      <c r="BA70" s="50"/>
      <c r="BB70" s="50"/>
      <c r="BC70" s="50"/>
      <c r="BD70" s="50"/>
      <c r="BE70" s="50"/>
      <c r="BF70" s="50"/>
      <c r="BG70" s="50"/>
      <c r="BH70" s="50"/>
      <c r="BI70" s="50"/>
      <c r="BJ70" s="50"/>
      <c r="BK70" s="50"/>
      <c r="BL70" s="50"/>
      <c r="BM70" s="116"/>
      <c r="BN70" s="116"/>
    </row>
    <row r="71" spans="2:66" ht="19.05" customHeight="1">
      <c r="B71" s="106" t="s">
        <v>164</v>
      </c>
      <c r="C71" s="109" t="s">
        <v>253</v>
      </c>
      <c r="D71" s="52" t="s">
        <v>73</v>
      </c>
      <c r="E71" s="100">
        <v>14</v>
      </c>
      <c r="F71" s="86">
        <v>0.03</v>
      </c>
      <c r="G71" s="86">
        <v>-0.03</v>
      </c>
      <c r="H71" s="87" t="s">
        <v>81</v>
      </c>
      <c r="I71" s="88"/>
      <c r="J71" s="51">
        <f t="shared" si="15"/>
        <v>14.03</v>
      </c>
      <c r="K71" s="51">
        <f t="shared" si="16"/>
        <v>13.97</v>
      </c>
      <c r="L71" s="89"/>
      <c r="M71" s="90">
        <f t="shared" si="17"/>
        <v>0</v>
      </c>
      <c r="N71" s="90">
        <f t="shared" si="18"/>
        <v>0</v>
      </c>
      <c r="O71" s="90">
        <f t="shared" si="19"/>
        <v>0</v>
      </c>
      <c r="P71" s="91">
        <f t="shared" si="20"/>
        <v>0</v>
      </c>
      <c r="Q71" s="92" t="str">
        <f t="shared" si="21"/>
        <v/>
      </c>
      <c r="R71" s="93" t="str">
        <f>IF(OR($AI71="",ISNUMBER($AI71)=FALSE),"",IF(AND(#REF!="Tolerance",$E71&lt;&gt;""),($O71-$E71)/(($J71-$K71)/2),IF(AND(#REF!="GD&amp;T",$F71&lt;&gt;""),$O71/$F71,"")))</f>
        <v/>
      </c>
      <c r="S71" s="93" t="str">
        <f t="shared" si="22"/>
        <v/>
      </c>
      <c r="T71" s="92" t="str">
        <f t="shared" si="23"/>
        <v/>
      </c>
      <c r="U71" s="92" t="str">
        <f t="shared" si="24"/>
        <v/>
      </c>
      <c r="V71" s="92" t="str">
        <f t="shared" si="25"/>
        <v/>
      </c>
      <c r="W71" s="112" t="str">
        <f t="shared" si="26"/>
        <v/>
      </c>
      <c r="X71" s="113" t="e">
        <f>IF($O71="","",IF(#REF!="Tolerance",IF((#REF!*3*P71+O71)-E71&lt;F71,"",(#REF!*3*P71+O71)-E71),IF(OR(#REF!="GD&amp;T",#REF!="MAX"),IF((#REF!*3*P71+O71)&lt;F71,"",(#REF!*3*P71+O71)),"")))</f>
        <v>#REF!</v>
      </c>
      <c r="Y71" s="113" t="e">
        <f>IF(O71="","",IF(#REF!="Tolerance",IF(-((#REF!*3*P71)-O71)-E71&gt;G71,"",-((#REF!*3*P71)-O71)-E71),IF(#REF!="MIN",IF(-((#REF!*3*P71)-O71)&gt;G71,"",-((#REF!*3*P71)-O71)),"")))</f>
        <v>#REF!</v>
      </c>
      <c r="Z71" s="113">
        <f t="shared" si="27"/>
        <v>14</v>
      </c>
      <c r="AA71" s="113" t="str">
        <f t="shared" si="28"/>
        <v/>
      </c>
      <c r="AB71" s="94"/>
      <c r="AC71" s="95" t="str">
        <f t="shared" si="29"/>
        <v/>
      </c>
      <c r="AD71" s="96"/>
      <c r="AE71" s="97"/>
      <c r="AF71" s="97"/>
      <c r="AG71" s="98"/>
      <c r="AI71" s="50"/>
      <c r="AJ71" s="50"/>
      <c r="AK71" s="50"/>
      <c r="AL71" s="50"/>
      <c r="AM71" s="50"/>
      <c r="AN71" s="50"/>
      <c r="AO71" s="50"/>
      <c r="AP71" s="50"/>
      <c r="AQ71" s="50"/>
      <c r="AR71" s="50"/>
      <c r="AS71" s="50"/>
      <c r="AT71" s="50"/>
      <c r="AU71" s="50"/>
      <c r="AV71" s="50"/>
      <c r="AW71" s="50"/>
      <c r="AX71" s="50"/>
      <c r="AY71" s="50"/>
      <c r="AZ71" s="50"/>
      <c r="BA71" s="50"/>
      <c r="BB71" s="50"/>
      <c r="BC71" s="50"/>
      <c r="BD71" s="50"/>
      <c r="BE71" s="50"/>
      <c r="BF71" s="50"/>
      <c r="BG71" s="50"/>
      <c r="BH71" s="50"/>
      <c r="BI71" s="50"/>
      <c r="BJ71" s="50"/>
      <c r="BK71" s="50"/>
      <c r="BL71" s="50"/>
      <c r="BM71" s="116"/>
      <c r="BN71" s="116"/>
    </row>
    <row r="72" spans="2:66">
      <c r="B72" s="106" t="s">
        <v>315</v>
      </c>
      <c r="C72" s="109" t="s">
        <v>333</v>
      </c>
      <c r="D72" s="52" t="s">
        <v>73</v>
      </c>
      <c r="E72" s="100">
        <v>-0.45</v>
      </c>
      <c r="F72" s="86">
        <v>0.01</v>
      </c>
      <c r="G72" s="86">
        <v>-0.01</v>
      </c>
      <c r="H72" s="87" t="s">
        <v>140</v>
      </c>
      <c r="I72" s="88"/>
      <c r="J72" s="51">
        <v>-0.44</v>
      </c>
      <c r="K72" s="51">
        <v>-0.46</v>
      </c>
      <c r="L72" s="89"/>
      <c r="M72" s="90">
        <f t="shared" si="17"/>
        <v>0</v>
      </c>
      <c r="N72" s="90">
        <f t="shared" si="18"/>
        <v>0</v>
      </c>
      <c r="O72" s="90">
        <f t="shared" si="19"/>
        <v>0</v>
      </c>
      <c r="P72" s="91">
        <f t="shared" si="20"/>
        <v>0</v>
      </c>
      <c r="Q72" s="92" t="str">
        <f>IF(OR($AI72="",ISNUMBER($AI72)=FALSE),"",IF(AND(E72=0,G72=0),T72,IF(AND(E72="",F72=""),U72,(F72+ABS(G72))/(6*P72))))</f>
        <v/>
      </c>
      <c r="R72" s="93" t="str">
        <f>IF(OR($AI72="",ISNUMBER($AI72)=FALSE),"",IF(AND(#REF!="Tolerance",$E72&lt;&gt;""),($O72-$E72)/(($J72-$K72)/2),IF(AND(#REF!="GD&amp;T",$F72&lt;&gt;""),$O72/$F72,"")))</f>
        <v/>
      </c>
      <c r="S72" s="93" t="str">
        <f t="shared" si="22"/>
        <v/>
      </c>
      <c r="T72" s="92" t="str">
        <f>IF(OR($AI72="",ISNUMBER($AI72)=FALSE),"",IF(F72="","",(J72-O72)/(3*P72)))</f>
        <v/>
      </c>
      <c r="U72" s="92" t="str">
        <f>IF(OR($AI72="",ISNUMBER($AI72)=FALSE),"",IF(G72="","",(O72-K72)/(3*P72)))</f>
        <v/>
      </c>
      <c r="V72" s="92" t="str">
        <f>IF(OR($AI72="",ISNUMBER($AI72)=FALSE),"",IF(AND(E72=0,G72=0),((F72)-(O72))/(3*P72),MIN(T72:U72)))</f>
        <v/>
      </c>
      <c r="W72" s="112" t="str">
        <f>IF(OR($AI72="",ISNUMBER($AI72)=FALSE),"",IF(AND(E72=0,G72=0),NORMSDIST(3*V72),NORMSDIST(3*V72)+NORMSDIST(6*Q72-3*V72)-1))</f>
        <v/>
      </c>
      <c r="X72" s="113" t="e">
        <f>IF($O72="","",IF(#REF!="Tolerance",IF((#REF!*3*P72+O72)-E72&lt;F72,"",(#REF!*3*P72+O72)-E72),IF(OR(#REF!="GD&amp;T",#REF!="MAX"),IF((#REF!*3*P72+O72)&lt;F72,"",(#REF!*3*P72+O72)),"")))</f>
        <v>#REF!</v>
      </c>
      <c r="Y72" s="113" t="e">
        <f>IF(O72="","",IF(#REF!="Tolerance",IF(-((#REF!*3*P72)-O72)-E72&gt;G72,"",-((#REF!*3*P72)-O72)-E72),IF(#REF!="MIN",IF(-((#REF!*3*P72)-O72)&gt;G72,"",-((#REF!*3*P72)-O72)),"")))</f>
        <v>#REF!</v>
      </c>
      <c r="Z72" s="113">
        <f>IF(OR(E72="",O72=""),"",(J72+K72)/2-O72)</f>
        <v>-0.45</v>
      </c>
      <c r="AA72" s="113" t="str">
        <f t="shared" si="28"/>
        <v/>
      </c>
      <c r="AB72" s="94"/>
      <c r="AC72" s="95" t="str">
        <f>IF(AB72="","",IF(AB72&gt;=0.966,"Normal","Not Normal"))</f>
        <v/>
      </c>
      <c r="AD72" s="96"/>
      <c r="AI72" s="101"/>
      <c r="AJ72" s="101"/>
      <c r="AK72" s="101"/>
      <c r="AL72" s="101"/>
      <c r="AM72" s="101"/>
      <c r="AN72" s="101"/>
      <c r="AO72" s="101"/>
      <c r="AP72" s="101"/>
      <c r="AQ72" s="101"/>
      <c r="AR72" s="101"/>
      <c r="AS72" s="101"/>
      <c r="AT72" s="101"/>
      <c r="AU72" s="101"/>
      <c r="AV72" s="101"/>
      <c r="AW72" s="101"/>
      <c r="AX72" s="101"/>
      <c r="AY72" s="101"/>
      <c r="AZ72" s="101"/>
      <c r="BA72" s="101"/>
      <c r="BB72" s="101"/>
      <c r="BC72" s="101"/>
      <c r="BD72" s="101"/>
      <c r="BE72" s="101"/>
      <c r="BF72" s="101"/>
      <c r="BG72" s="101"/>
      <c r="BH72" s="101"/>
      <c r="BI72" s="101"/>
      <c r="BJ72" s="101"/>
      <c r="BK72" s="101"/>
      <c r="BL72" s="101"/>
      <c r="BM72" s="117"/>
      <c r="BN72" s="117"/>
    </row>
    <row r="73" spans="2:66">
      <c r="B73" s="128" t="s">
        <v>330</v>
      </c>
      <c r="C73" s="128" t="s">
        <v>331</v>
      </c>
      <c r="D73" s="52" t="s">
        <v>73</v>
      </c>
      <c r="E73" s="129"/>
      <c r="F73" s="130">
        <v>1.2E-2</v>
      </c>
      <c r="G73" s="130"/>
      <c r="H73" s="87" t="s">
        <v>140</v>
      </c>
      <c r="I73" s="88"/>
      <c r="J73" s="51">
        <v>1.2E-2</v>
      </c>
      <c r="K73" s="51"/>
      <c r="L73" s="89"/>
      <c r="M73" s="90">
        <f t="shared" si="17"/>
        <v>0</v>
      </c>
      <c r="N73" s="90">
        <f t="shared" si="18"/>
        <v>0</v>
      </c>
      <c r="O73" s="90">
        <f t="shared" si="19"/>
        <v>0</v>
      </c>
      <c r="P73" s="91">
        <f t="shared" si="20"/>
        <v>0</v>
      </c>
      <c r="Q73" s="92" t="str">
        <f t="shared" ref="Q73" si="30">IF(OR($AI73="",ISNUMBER($AI73)=FALSE),"",IF(AND(E73=0,G73=0),T73,IF(AND(E73="",F73=""),U73,(F73+ABS(G73))/(6*P73))))</f>
        <v/>
      </c>
      <c r="R73" s="93" t="str">
        <f>IF(OR($AI73="",ISNUMBER($AI73)=FALSE),"",IF(AND(#REF!="Tolerance",$E73&lt;&gt;""),($O73-$E73)/(($J73-$K73)/2),IF(AND(#REF!="GD&amp;T",$F73&lt;&gt;""),$O73/$F73,"")))</f>
        <v/>
      </c>
      <c r="S73" s="93" t="str">
        <f t="shared" si="22"/>
        <v/>
      </c>
      <c r="T73" s="92" t="str">
        <f t="shared" ref="T73" si="31">IF(OR($AI73="",ISNUMBER($AI73)=FALSE),"",IF(F73="","",(J73-O73)/(3*P73)))</f>
        <v/>
      </c>
      <c r="U73" s="92" t="str">
        <f t="shared" ref="U73" si="32">IF(OR($AI73="",ISNUMBER($AI73)=FALSE),"",IF(G73="","",(O73-K73)/(3*P73)))</f>
        <v/>
      </c>
      <c r="V73" s="92" t="str">
        <f t="shared" ref="V73" si="33">IF(OR($AI73="",ISNUMBER($AI73)=FALSE),"",IF(AND(E73=0,G73=0),((F73)-(O73))/(3*P73),MIN(T73:U73)))</f>
        <v/>
      </c>
      <c r="W73" s="112" t="str">
        <f t="shared" ref="W73" si="34">IF(OR($AI73="",ISNUMBER($AI73)=FALSE),"",IF(AND(E73=0,G73=0),NORMSDIST(3*V73),NORMSDIST(3*V73)+NORMSDIST(6*Q73-3*V73)-1))</f>
        <v/>
      </c>
      <c r="X73" s="113" t="e">
        <f>IF($O73="","",IF(#REF!="Tolerance",IF((#REF!*3*P73+O73)-E73&lt;F73,"",(#REF!*3*P73+O73)-E73),IF(OR(#REF!="GD&amp;T",#REF!="MAX"),IF((#REF!*3*P73+O73)&lt;F73,"",(#REF!*3*P73+O73)),"")))</f>
        <v>#REF!</v>
      </c>
      <c r="Y73" s="113" t="e">
        <f>IF(O73="","",IF(#REF!="Tolerance",IF(-((#REF!*3*P73)-O73)-E73&gt;G73,"",-((#REF!*3*P73)-O73)-E73),IF(#REF!="MIN",IF(-((#REF!*3*P73)-O73)&gt;G73,"",-((#REF!*3*P73)-O73)),"")))</f>
        <v>#REF!</v>
      </c>
      <c r="Z73" s="113" t="str">
        <f t="shared" ref="Z73" si="35">IF(OR(E73="",O73=""),"",(J73+K73)/2-O73)</f>
        <v/>
      </c>
      <c r="AA73" s="113" t="str">
        <f t="shared" si="28"/>
        <v/>
      </c>
      <c r="AB73" s="94"/>
      <c r="AC73" s="95" t="str">
        <f t="shared" ref="AC73" si="36">IF(AB73="","",IF(AB73&gt;=0.966,"Normal","Not Normal"))</f>
        <v/>
      </c>
      <c r="AD73" s="96"/>
      <c r="AI73" s="131"/>
      <c r="AJ73" s="131"/>
      <c r="AK73" s="131"/>
      <c r="AL73" s="131"/>
      <c r="AM73" s="131"/>
      <c r="AN73" s="131"/>
      <c r="AO73" s="131"/>
      <c r="AP73" s="131"/>
      <c r="AQ73" s="131"/>
      <c r="AR73" s="131"/>
      <c r="AS73" s="131"/>
      <c r="AT73" s="131"/>
      <c r="AU73" s="131"/>
      <c r="AV73" s="131"/>
      <c r="AW73" s="131"/>
      <c r="AX73" s="131"/>
      <c r="AY73" s="131"/>
      <c r="AZ73" s="131"/>
      <c r="BA73" s="131"/>
      <c r="BB73" s="131"/>
      <c r="BC73" s="131"/>
      <c r="BD73" s="131"/>
      <c r="BE73" s="131"/>
      <c r="BF73" s="131"/>
      <c r="BG73" s="131"/>
      <c r="BH73" s="131"/>
      <c r="BI73" s="131"/>
      <c r="BJ73" s="131"/>
      <c r="BK73" s="131"/>
      <c r="BL73" s="131"/>
      <c r="BM73" s="132"/>
      <c r="BN73" s="132"/>
    </row>
    <row r="74" spans="2:66">
      <c r="B74" s="106" t="s">
        <v>315</v>
      </c>
      <c r="C74" s="109" t="s">
        <v>299</v>
      </c>
      <c r="D74" s="52" t="s">
        <v>73</v>
      </c>
      <c r="E74" s="100">
        <v>-0.45</v>
      </c>
      <c r="F74" s="86">
        <v>0.01</v>
      </c>
      <c r="G74" s="86">
        <v>-0.01</v>
      </c>
      <c r="H74" s="87" t="s">
        <v>140</v>
      </c>
      <c r="I74" s="88"/>
      <c r="J74" s="51">
        <v>-0.44</v>
      </c>
      <c r="K74" s="51">
        <v>-0.46</v>
      </c>
      <c r="L74" s="89"/>
      <c r="M74" s="90">
        <f t="shared" si="17"/>
        <v>0</v>
      </c>
      <c r="N74" s="90">
        <f t="shared" si="18"/>
        <v>0</v>
      </c>
      <c r="O74" s="90">
        <f t="shared" si="19"/>
        <v>0</v>
      </c>
      <c r="P74" s="91">
        <f t="shared" si="20"/>
        <v>0</v>
      </c>
      <c r="Q74" s="92" t="str">
        <f>IF(OR($AI74="",ISNUMBER($AI74)=FALSE),"",IF(AND(E74=0,G74=0),T74,IF(AND(E74="",F74=""),U74,(F74+ABS(G74))/(6*P74))))</f>
        <v/>
      </c>
      <c r="R74" s="93" t="str">
        <f>IF(OR($AI74="",ISNUMBER($AI74)=FALSE),"",IF(AND(#REF!="Tolerance",$E74&lt;&gt;""),($O74-$E74)/(($J74-$K74)/2),IF(AND(#REF!="GD&amp;T",$F74&lt;&gt;""),$O74/$F74,"")))</f>
        <v/>
      </c>
      <c r="S74" s="93" t="str">
        <f t="shared" si="22"/>
        <v/>
      </c>
      <c r="T74" s="92" t="str">
        <f>IF(OR($AI74="",ISNUMBER($AI74)=FALSE),"",IF(F74="","",(J74-O74)/(3*P74)))</f>
        <v/>
      </c>
      <c r="U74" s="92" t="str">
        <f>IF(OR($AI74="",ISNUMBER($AI74)=FALSE),"",IF(G74="","",(O74-K74)/(3*P74)))</f>
        <v/>
      </c>
      <c r="V74" s="92" t="str">
        <f>IF(OR($AI74="",ISNUMBER($AI74)=FALSE),"",IF(AND(E74=0,G74=0),((F74)-(O74))/(3*P74),MIN(T74:U74)))</f>
        <v/>
      </c>
      <c r="W74" s="112" t="str">
        <f>IF(OR($AI74="",ISNUMBER($AI74)=FALSE),"",IF(AND(E74=0,G74=0),NORMSDIST(3*V74),NORMSDIST(3*V74)+NORMSDIST(6*Q74-3*V74)-1))</f>
        <v/>
      </c>
      <c r="X74" s="113" t="e">
        <f>IF($O74="","",IF(#REF!="Tolerance",IF((#REF!*3*P74+O74)-E74&lt;F74,"",(#REF!*3*P74+O74)-E74),IF(OR(#REF!="GD&amp;T",#REF!="MAX"),IF((#REF!*3*P74+O74)&lt;F74,"",(#REF!*3*P74+O74)),"")))</f>
        <v>#REF!</v>
      </c>
      <c r="Y74" s="113" t="e">
        <f>IF(O74="","",IF(#REF!="Tolerance",IF(-((#REF!*3*P74)-O74)-E74&gt;G74,"",-((#REF!*3*P74)-O74)-E74),IF(#REF!="MIN",IF(-((#REF!*3*P74)-O74)&gt;G74,"",-((#REF!*3*P74)-O74)),"")))</f>
        <v>#REF!</v>
      </c>
      <c r="Z74" s="113">
        <f>IF(OR(E74="",O74=""),"",(J74+K74)/2-O74)</f>
        <v>-0.45</v>
      </c>
      <c r="AA74" s="113" t="str">
        <f t="shared" si="28"/>
        <v/>
      </c>
      <c r="AB74" s="94"/>
      <c r="AC74" s="95" t="str">
        <f>IF(AB74="","",IF(AB74&gt;=0.966,"Normal","Not Normal"))</f>
        <v/>
      </c>
      <c r="AD74" s="96"/>
      <c r="AI74" s="101"/>
      <c r="AJ74" s="101"/>
      <c r="AK74" s="101"/>
      <c r="AL74" s="101"/>
      <c r="AM74" s="101"/>
      <c r="AN74" s="101"/>
      <c r="AO74" s="101"/>
      <c r="AP74" s="101"/>
      <c r="AQ74" s="101"/>
      <c r="AR74" s="101"/>
      <c r="AS74" s="101"/>
      <c r="AT74" s="101"/>
      <c r="AU74" s="101"/>
      <c r="AV74" s="101"/>
      <c r="AW74" s="101"/>
      <c r="AX74" s="101"/>
      <c r="AY74" s="101"/>
      <c r="AZ74" s="101"/>
      <c r="BA74" s="101"/>
      <c r="BB74" s="101"/>
      <c r="BC74" s="101"/>
      <c r="BD74" s="101"/>
      <c r="BE74" s="101"/>
      <c r="BF74" s="101"/>
      <c r="BG74" s="101"/>
      <c r="BH74" s="101"/>
      <c r="BI74" s="101"/>
      <c r="BJ74" s="101"/>
      <c r="BK74" s="101"/>
      <c r="BL74" s="101"/>
      <c r="BM74" s="117"/>
      <c r="BN74" s="117"/>
    </row>
    <row r="75" spans="2:66">
      <c r="B75" s="128" t="s">
        <v>330</v>
      </c>
      <c r="C75" s="128" t="s">
        <v>303</v>
      </c>
      <c r="D75" s="52" t="s">
        <v>73</v>
      </c>
      <c r="E75" s="129"/>
      <c r="F75" s="130">
        <v>1.2E-2</v>
      </c>
      <c r="G75" s="130"/>
      <c r="H75" s="87" t="s">
        <v>140</v>
      </c>
      <c r="I75" s="88"/>
      <c r="J75" s="51">
        <v>1.2E-2</v>
      </c>
      <c r="K75" s="51"/>
      <c r="L75" s="89"/>
      <c r="M75" s="90">
        <f t="shared" ref="M75:M79" si="37">IF(OR($AI75=ISBLANK(TRUE),ISNUMBER($AI75)=FALSE),,MAX(AI75:BN75))</f>
        <v>0</v>
      </c>
      <c r="N75" s="90">
        <f t="shared" ref="N75:N79" si="38">IF(OR($AI75=ISBLANK(TRUE),ISNUMBER($AI75)=FALSE),,MIN(AI75:BN75))</f>
        <v>0</v>
      </c>
      <c r="O75" s="90">
        <f t="shared" ref="O75:O79" si="39">IF(OR($AI75=ISBLANK(TRUE),ISNUMBER($AI75)=FALSE),,AVERAGE(AI75:BN75))</f>
        <v>0</v>
      </c>
      <c r="P75" s="91">
        <f t="shared" ref="P75:P79" si="40">IF(OR($AI75=ISBLANK(TRUE),ISNUMBER($AI75)=FALSE),,STDEV(AI75:BN75))</f>
        <v>0</v>
      </c>
      <c r="Q75" s="92" t="str">
        <f t="shared" ref="Q75:Q79" si="41">IF(OR($AI75="",ISNUMBER($AI75)=FALSE),"",IF(AND(E75=0,G75=0),T75,IF(AND(E75="",F75=""),U75,(F75+ABS(G75))/(6*P75))))</f>
        <v/>
      </c>
      <c r="R75" s="93" t="str">
        <f>IF(OR($AI75="",ISNUMBER($AI75)=FALSE),"",IF(AND(#REF!="Tolerance",$E75&lt;&gt;""),($O75-$E75)/(($J75-$K75)/2),IF(AND(#REF!="GD&amp;T",$F75&lt;&gt;""),$O75/$F75,"")))</f>
        <v/>
      </c>
      <c r="S75" s="93" t="str">
        <f t="shared" si="22"/>
        <v/>
      </c>
      <c r="T75" s="92" t="str">
        <f t="shared" ref="T75:T79" si="42">IF(OR($AI75="",ISNUMBER($AI75)=FALSE),"",IF(F75="","",(J75-O75)/(3*P75)))</f>
        <v/>
      </c>
      <c r="U75" s="92" t="str">
        <f t="shared" ref="U75:U79" si="43">IF(OR($AI75="",ISNUMBER($AI75)=FALSE),"",IF(G75="","",(O75-K75)/(3*P75)))</f>
        <v/>
      </c>
      <c r="V75" s="92" t="str">
        <f t="shared" ref="V75:V79" si="44">IF(OR($AI75="",ISNUMBER($AI75)=FALSE),"",IF(AND(E75=0,G75=0),((F75)-(O75))/(3*P75),MIN(T75:U75)))</f>
        <v/>
      </c>
      <c r="W75" s="112" t="str">
        <f t="shared" ref="W75:W79" si="45">IF(OR($AI75="",ISNUMBER($AI75)=FALSE),"",IF(AND(E75=0,G75=0),NORMSDIST(3*V75),NORMSDIST(3*V75)+NORMSDIST(6*Q75-3*V75)-1))</f>
        <v/>
      </c>
      <c r="X75" s="113" t="e">
        <f>IF($O75="","",IF(#REF!="Tolerance",IF((#REF!*3*P75+O75)-E75&lt;F75,"",(#REF!*3*P75+O75)-E75),IF(OR(#REF!="GD&amp;T",#REF!="MAX"),IF((#REF!*3*P75+O75)&lt;F75,"",(#REF!*3*P75+O75)),"")))</f>
        <v>#REF!</v>
      </c>
      <c r="Y75" s="113" t="e">
        <f>IF(O75="","",IF(#REF!="Tolerance",IF(-((#REF!*3*P75)-O75)-E75&gt;G75,"",-((#REF!*3*P75)-O75)-E75),IF(#REF!="MIN",IF(-((#REF!*3*P75)-O75)&gt;G75,"",-((#REF!*3*P75)-O75)),"")))</f>
        <v>#REF!</v>
      </c>
      <c r="Z75" s="113" t="str">
        <f t="shared" ref="Z75:Z79" si="46">IF(OR(E75="",O75=""),"",(J75+K75)/2-O75)</f>
        <v/>
      </c>
      <c r="AA75" s="113" t="str">
        <f t="shared" si="28"/>
        <v/>
      </c>
      <c r="AB75" s="94"/>
      <c r="AC75" s="95" t="str">
        <f t="shared" ref="AC75:AC79" si="47">IF(AB75="","",IF(AB75&gt;=0.966,"Normal","Not Normal"))</f>
        <v/>
      </c>
      <c r="AD75" s="96"/>
      <c r="AI75" s="131"/>
      <c r="AJ75" s="131"/>
      <c r="AK75" s="131"/>
      <c r="AL75" s="131"/>
      <c r="AM75" s="131"/>
      <c r="AN75" s="131"/>
      <c r="AO75" s="131"/>
      <c r="AP75" s="131"/>
      <c r="AQ75" s="131"/>
      <c r="AR75" s="131"/>
      <c r="AS75" s="131"/>
      <c r="AT75" s="131"/>
      <c r="AU75" s="131"/>
      <c r="AV75" s="131"/>
      <c r="AW75" s="131"/>
      <c r="AX75" s="131"/>
      <c r="AY75" s="131"/>
      <c r="AZ75" s="131"/>
      <c r="BA75" s="131"/>
      <c r="BB75" s="131"/>
      <c r="BC75" s="131"/>
      <c r="BD75" s="131"/>
      <c r="BE75" s="131"/>
      <c r="BF75" s="131"/>
      <c r="BG75" s="131"/>
      <c r="BH75" s="131"/>
      <c r="BI75" s="131"/>
      <c r="BJ75" s="131"/>
      <c r="BK75" s="131"/>
      <c r="BL75" s="131"/>
      <c r="BM75" s="132"/>
      <c r="BN75" s="132"/>
    </row>
    <row r="76" spans="2:66">
      <c r="B76" s="106" t="s">
        <v>316</v>
      </c>
      <c r="C76" s="109" t="s">
        <v>317</v>
      </c>
      <c r="D76" s="52" t="s">
        <v>73</v>
      </c>
      <c r="E76" s="100">
        <v>-0.45</v>
      </c>
      <c r="F76" s="86">
        <v>0.01</v>
      </c>
      <c r="G76" s="86">
        <v>-0.01</v>
      </c>
      <c r="H76" s="87" t="s">
        <v>140</v>
      </c>
      <c r="I76" s="88"/>
      <c r="J76" s="51">
        <v>-0.44</v>
      </c>
      <c r="K76" s="51">
        <v>-0.46</v>
      </c>
      <c r="L76" s="89"/>
      <c r="M76" s="90">
        <f t="shared" si="37"/>
        <v>0</v>
      </c>
      <c r="N76" s="90">
        <f t="shared" si="38"/>
        <v>0</v>
      </c>
      <c r="O76" s="90">
        <f t="shared" si="39"/>
        <v>0</v>
      </c>
      <c r="P76" s="91">
        <f t="shared" si="40"/>
        <v>0</v>
      </c>
      <c r="Q76" s="92" t="str">
        <f t="shared" si="41"/>
        <v/>
      </c>
      <c r="R76" s="93" t="str">
        <f>IF(OR($AI76="",ISNUMBER($AI76)=FALSE),"",IF(AND(#REF!="Tolerance",$E76&lt;&gt;""),($O76-$E76)/(($J76-$K76)/2),IF(AND(#REF!="GD&amp;T",$F76&lt;&gt;""),$O76/$F76,"")))</f>
        <v/>
      </c>
      <c r="S76" s="93" t="str">
        <f t="shared" si="22"/>
        <v/>
      </c>
      <c r="T76" s="92" t="str">
        <f t="shared" si="42"/>
        <v/>
      </c>
      <c r="U76" s="92" t="str">
        <f t="shared" si="43"/>
        <v/>
      </c>
      <c r="V76" s="92" t="str">
        <f t="shared" si="44"/>
        <v/>
      </c>
      <c r="W76" s="112" t="str">
        <f t="shared" si="45"/>
        <v/>
      </c>
      <c r="X76" s="113" t="e">
        <f>IF($O76="","",IF(#REF!="Tolerance",IF((#REF!*3*P76+O76)-E76&lt;F76,"",(#REF!*3*P76+O76)-E76),IF(OR(#REF!="GD&amp;T",#REF!="MAX"),IF((#REF!*3*P76+O76)&lt;F76,"",(#REF!*3*P76+O76)),"")))</f>
        <v>#REF!</v>
      </c>
      <c r="Y76" s="113" t="e">
        <f>IF(O76="","",IF(#REF!="Tolerance",IF(-((#REF!*3*P76)-O76)-E76&gt;G76,"",-((#REF!*3*P76)-O76)-E76),IF(#REF!="MIN",IF(-((#REF!*3*P76)-O76)&gt;G76,"",-((#REF!*3*P76)-O76)),"")))</f>
        <v>#REF!</v>
      </c>
      <c r="Z76" s="113">
        <f t="shared" si="46"/>
        <v>-0.45</v>
      </c>
      <c r="AA76" s="113" t="str">
        <f t="shared" si="28"/>
        <v/>
      </c>
      <c r="AB76" s="94"/>
      <c r="AC76" s="95" t="str">
        <f t="shared" si="47"/>
        <v/>
      </c>
      <c r="AD76" s="96"/>
      <c r="AI76" s="101"/>
      <c r="AJ76" s="101"/>
      <c r="AK76" s="101"/>
      <c r="AL76" s="101"/>
      <c r="AM76" s="101"/>
      <c r="AN76" s="101"/>
      <c r="AO76" s="101"/>
      <c r="AP76" s="101"/>
      <c r="AQ76" s="101"/>
      <c r="AR76" s="101"/>
      <c r="AS76" s="101"/>
      <c r="AT76" s="101"/>
      <c r="AU76" s="101"/>
      <c r="AV76" s="101"/>
      <c r="AW76" s="101"/>
      <c r="AX76" s="101"/>
      <c r="AY76" s="101"/>
      <c r="AZ76" s="101"/>
      <c r="BA76" s="101"/>
      <c r="BB76" s="101"/>
      <c r="BC76" s="101"/>
      <c r="BD76" s="101"/>
      <c r="BE76" s="101"/>
      <c r="BF76" s="101"/>
      <c r="BG76" s="101"/>
      <c r="BH76" s="101"/>
      <c r="BI76" s="101"/>
      <c r="BJ76" s="101"/>
      <c r="BK76" s="101"/>
      <c r="BL76" s="101"/>
      <c r="BM76" s="117"/>
      <c r="BN76" s="117"/>
    </row>
    <row r="77" spans="2:66">
      <c r="B77" s="128" t="s">
        <v>330</v>
      </c>
      <c r="C77" s="128" t="s">
        <v>332</v>
      </c>
      <c r="D77" s="52" t="s">
        <v>73</v>
      </c>
      <c r="E77" s="129"/>
      <c r="F77" s="130">
        <v>1.2E-2</v>
      </c>
      <c r="G77" s="130"/>
      <c r="H77" s="87" t="s">
        <v>140</v>
      </c>
      <c r="I77" s="88"/>
      <c r="J77" s="51">
        <v>1.2E-2</v>
      </c>
      <c r="K77" s="51"/>
      <c r="L77" s="89"/>
      <c r="M77" s="90">
        <f t="shared" ref="M77" si="48">IF(OR($AI77=ISBLANK(TRUE),ISNUMBER($AI77)=FALSE),,MAX(AI77:BN77))</f>
        <v>0</v>
      </c>
      <c r="N77" s="90">
        <f t="shared" ref="N77" si="49">IF(OR($AI77=ISBLANK(TRUE),ISNUMBER($AI77)=FALSE),,MIN(AI77:BN77))</f>
        <v>0</v>
      </c>
      <c r="O77" s="90">
        <f t="shared" ref="O77" si="50">IF(OR($AI77=ISBLANK(TRUE),ISNUMBER($AI77)=FALSE),,AVERAGE(AI77:BN77))</f>
        <v>0</v>
      </c>
      <c r="P77" s="91">
        <f t="shared" ref="P77" si="51">IF(OR($AI77=ISBLANK(TRUE),ISNUMBER($AI77)=FALSE),,STDEV(AI77:BN77))</f>
        <v>0</v>
      </c>
      <c r="Q77" s="92" t="str">
        <f t="shared" ref="Q77" si="52">IF(OR($AI77="",ISNUMBER($AI77)=FALSE),"",IF(AND(E77=0,G77=0),T77,IF(AND(E77="",F77=""),U77,(F77+ABS(G77))/(6*P77))))</f>
        <v/>
      </c>
      <c r="R77" s="93" t="str">
        <f>IF(OR($AI77="",ISNUMBER($AI77)=FALSE),"",IF(AND(#REF!="Tolerance",$E77&lt;&gt;""),($O77-$E77)/(($J77-$K77)/2),IF(AND(#REF!="GD&amp;T",$F77&lt;&gt;""),$O77/$F77,"")))</f>
        <v/>
      </c>
      <c r="S77" s="93" t="str">
        <f t="shared" si="22"/>
        <v/>
      </c>
      <c r="T77" s="92" t="str">
        <f t="shared" ref="T77" si="53">IF(OR($AI77="",ISNUMBER($AI77)=FALSE),"",IF(F77="","",(J77-O77)/(3*P77)))</f>
        <v/>
      </c>
      <c r="U77" s="92" t="str">
        <f t="shared" ref="U77" si="54">IF(OR($AI77="",ISNUMBER($AI77)=FALSE),"",IF(G77="","",(O77-K77)/(3*P77)))</f>
        <v/>
      </c>
      <c r="V77" s="92" t="str">
        <f t="shared" ref="V77" si="55">IF(OR($AI77="",ISNUMBER($AI77)=FALSE),"",IF(AND(E77=0,G77=0),((F77)-(O77))/(3*P77),MIN(T77:U77)))</f>
        <v/>
      </c>
      <c r="W77" s="112" t="str">
        <f t="shared" ref="W77" si="56">IF(OR($AI77="",ISNUMBER($AI77)=FALSE),"",IF(AND(E77=0,G77=0),NORMSDIST(3*V77),NORMSDIST(3*V77)+NORMSDIST(6*Q77-3*V77)-1))</f>
        <v/>
      </c>
      <c r="X77" s="113" t="e">
        <f>IF($O77="","",IF(#REF!="Tolerance",IF((#REF!*3*P77+O77)-E77&lt;F77,"",(#REF!*3*P77+O77)-E77),IF(OR(#REF!="GD&amp;T",#REF!="MAX"),IF((#REF!*3*P77+O77)&lt;F77,"",(#REF!*3*P77+O77)),"")))</f>
        <v>#REF!</v>
      </c>
      <c r="Y77" s="113" t="e">
        <f>IF(O77="","",IF(#REF!="Tolerance",IF(-((#REF!*3*P77)-O77)-E77&gt;G77,"",-((#REF!*3*P77)-O77)-E77),IF(#REF!="MIN",IF(-((#REF!*3*P77)-O77)&gt;G77,"",-((#REF!*3*P77)-O77)),"")))</f>
        <v>#REF!</v>
      </c>
      <c r="Z77" s="113" t="str">
        <f t="shared" ref="Z77" si="57">IF(OR(E77="",O77=""),"",(J77+K77)/2-O77)</f>
        <v/>
      </c>
      <c r="AA77" s="113" t="str">
        <f t="shared" si="28"/>
        <v/>
      </c>
      <c r="AB77" s="94"/>
      <c r="AC77" s="95" t="str">
        <f t="shared" ref="AC77" si="58">IF(AB77="","",IF(AB77&gt;=0.966,"Normal","Not Normal"))</f>
        <v/>
      </c>
      <c r="AD77" s="96"/>
      <c r="AI77" s="131"/>
      <c r="AJ77" s="131"/>
      <c r="AK77" s="131"/>
      <c r="AL77" s="131"/>
      <c r="AM77" s="131"/>
      <c r="AN77" s="131"/>
      <c r="AO77" s="131"/>
      <c r="AP77" s="131"/>
      <c r="AQ77" s="131"/>
      <c r="AR77" s="131"/>
      <c r="AS77" s="131"/>
      <c r="AT77" s="131"/>
      <c r="AU77" s="131"/>
      <c r="AV77" s="131"/>
      <c r="AW77" s="131"/>
      <c r="AX77" s="131"/>
      <c r="AY77" s="131"/>
      <c r="AZ77" s="131"/>
      <c r="BA77" s="131"/>
      <c r="BB77" s="131"/>
      <c r="BC77" s="131"/>
      <c r="BD77" s="131"/>
      <c r="BE77" s="131"/>
      <c r="BF77" s="131"/>
      <c r="BG77" s="131"/>
      <c r="BH77" s="131"/>
      <c r="BI77" s="131"/>
      <c r="BJ77" s="131"/>
      <c r="BK77" s="131"/>
      <c r="BL77" s="131"/>
      <c r="BM77" s="132"/>
      <c r="BN77" s="132"/>
    </row>
    <row r="78" spans="2:66">
      <c r="B78" s="106" t="s">
        <v>316</v>
      </c>
      <c r="C78" s="109" t="s">
        <v>318</v>
      </c>
      <c r="D78" s="52" t="s">
        <v>73</v>
      </c>
      <c r="E78" s="100">
        <v>-0.45</v>
      </c>
      <c r="F78" s="86">
        <v>0.01</v>
      </c>
      <c r="G78" s="86">
        <v>-0.01</v>
      </c>
      <c r="H78" s="87" t="s">
        <v>140</v>
      </c>
      <c r="I78" s="88"/>
      <c r="J78" s="51">
        <v>-0.44</v>
      </c>
      <c r="K78" s="51">
        <v>-0.46</v>
      </c>
      <c r="L78" s="89"/>
      <c r="M78" s="90">
        <f t="shared" si="37"/>
        <v>0</v>
      </c>
      <c r="N78" s="90">
        <f t="shared" si="38"/>
        <v>0</v>
      </c>
      <c r="O78" s="90">
        <f t="shared" si="39"/>
        <v>0</v>
      </c>
      <c r="P78" s="91">
        <f t="shared" si="40"/>
        <v>0</v>
      </c>
      <c r="Q78" s="92" t="str">
        <f t="shared" si="41"/>
        <v/>
      </c>
      <c r="R78" s="93" t="str">
        <f>IF(OR($AI78="",ISNUMBER($AI78)=FALSE),"",IF(AND(#REF!="Tolerance",$E78&lt;&gt;""),($O78-$E78)/(($J78-$K78)/2),IF(AND(#REF!="GD&amp;T",$F78&lt;&gt;""),$O78/$F78,"")))</f>
        <v/>
      </c>
      <c r="S78" s="93" t="str">
        <f t="shared" si="22"/>
        <v/>
      </c>
      <c r="T78" s="92" t="str">
        <f t="shared" si="42"/>
        <v/>
      </c>
      <c r="U78" s="92" t="str">
        <f t="shared" si="43"/>
        <v/>
      </c>
      <c r="V78" s="92" t="str">
        <f t="shared" si="44"/>
        <v/>
      </c>
      <c r="W78" s="112" t="str">
        <f t="shared" si="45"/>
        <v/>
      </c>
      <c r="X78" s="113" t="e">
        <f>IF($O78="","",IF(#REF!="Tolerance",IF((#REF!*3*P78+O78)-E78&lt;F78,"",(#REF!*3*P78+O78)-E78),IF(OR(#REF!="GD&amp;T",#REF!="MAX"),IF((#REF!*3*P78+O78)&lt;F78,"",(#REF!*3*P78+O78)),"")))</f>
        <v>#REF!</v>
      </c>
      <c r="Y78" s="113" t="e">
        <f>IF(O78="","",IF(#REF!="Tolerance",IF(-((#REF!*3*P78)-O78)-E78&gt;G78,"",-((#REF!*3*P78)-O78)-E78),IF(#REF!="MIN",IF(-((#REF!*3*P78)-O78)&gt;G78,"",-((#REF!*3*P78)-O78)),"")))</f>
        <v>#REF!</v>
      </c>
      <c r="Z78" s="113">
        <f t="shared" si="46"/>
        <v>-0.45</v>
      </c>
      <c r="AA78" s="113" t="str">
        <f t="shared" si="28"/>
        <v/>
      </c>
      <c r="AB78" s="94"/>
      <c r="AC78" s="95" t="str">
        <f t="shared" si="47"/>
        <v/>
      </c>
      <c r="AD78" s="96"/>
      <c r="AI78" s="131"/>
      <c r="AJ78" s="131"/>
      <c r="AK78" s="131"/>
      <c r="AL78" s="131"/>
      <c r="AM78" s="131"/>
      <c r="AN78" s="131"/>
      <c r="AO78" s="131"/>
      <c r="AP78" s="131"/>
      <c r="AQ78" s="131"/>
      <c r="AR78" s="131"/>
      <c r="AS78" s="131"/>
      <c r="AT78" s="131"/>
      <c r="AU78" s="131"/>
      <c r="AV78" s="131"/>
      <c r="AW78" s="131"/>
      <c r="AX78" s="131"/>
      <c r="AY78" s="131"/>
      <c r="AZ78" s="131"/>
      <c r="BA78" s="131"/>
      <c r="BB78" s="131"/>
      <c r="BC78" s="131"/>
      <c r="BD78" s="131"/>
      <c r="BE78" s="131"/>
      <c r="BF78" s="131"/>
      <c r="BG78" s="131"/>
      <c r="BH78" s="131"/>
      <c r="BI78" s="131"/>
      <c r="BJ78" s="131"/>
      <c r="BK78" s="131"/>
      <c r="BL78" s="131"/>
      <c r="BM78" s="132"/>
      <c r="BN78" s="132"/>
    </row>
    <row r="79" spans="2:66">
      <c r="B79" s="109" t="s">
        <v>330</v>
      </c>
      <c r="C79" s="128" t="s">
        <v>313</v>
      </c>
      <c r="D79" s="52" t="s">
        <v>73</v>
      </c>
      <c r="E79" s="100"/>
      <c r="F79" s="86">
        <v>1.2E-2</v>
      </c>
      <c r="G79" s="86"/>
      <c r="H79" s="87" t="s">
        <v>140</v>
      </c>
      <c r="I79" s="88"/>
      <c r="J79" s="51">
        <v>1.2E-2</v>
      </c>
      <c r="K79" s="51"/>
      <c r="L79" s="89"/>
      <c r="M79" s="90">
        <f t="shared" si="37"/>
        <v>0</v>
      </c>
      <c r="N79" s="90">
        <f t="shared" si="38"/>
        <v>0</v>
      </c>
      <c r="O79" s="90">
        <f t="shared" si="39"/>
        <v>0</v>
      </c>
      <c r="P79" s="91">
        <f t="shared" si="40"/>
        <v>0</v>
      </c>
      <c r="Q79" s="92" t="str">
        <f t="shared" si="41"/>
        <v/>
      </c>
      <c r="R79" s="93" t="str">
        <f>IF(OR($AI79="",ISNUMBER($AI79)=FALSE),"",IF(AND(#REF!="Tolerance",$E79&lt;&gt;""),($O79-$E79)/(($J79-$K79)/2),IF(AND(#REF!="GD&amp;T",$F79&lt;&gt;""),$O79/$F79,"")))</f>
        <v/>
      </c>
      <c r="S79" s="93" t="str">
        <f t="shared" si="22"/>
        <v/>
      </c>
      <c r="T79" s="92" t="str">
        <f t="shared" si="42"/>
        <v/>
      </c>
      <c r="U79" s="92" t="str">
        <f t="shared" si="43"/>
        <v/>
      </c>
      <c r="V79" s="92" t="str">
        <f t="shared" si="44"/>
        <v/>
      </c>
      <c r="W79" s="112" t="str">
        <f t="shared" si="45"/>
        <v/>
      </c>
      <c r="X79" s="113" t="e">
        <f>IF($O79="","",IF(#REF!="Tolerance",IF((#REF!*3*P79+O79)-E79&lt;F79,"",(#REF!*3*P79+O79)-E79),IF(OR(#REF!="GD&amp;T",#REF!="MAX"),IF((#REF!*3*P79+O79)&lt;F79,"",(#REF!*3*P79+O79)),"")))</f>
        <v>#REF!</v>
      </c>
      <c r="Y79" s="113" t="e">
        <f>IF(O79="","",IF(#REF!="Tolerance",IF(-((#REF!*3*P79)-O79)-E79&gt;G79,"",-((#REF!*3*P79)-O79)-E79),IF(#REF!="MIN",IF(-((#REF!*3*P79)-O79)&gt;G79,"",-((#REF!*3*P79)-O79)),"")))</f>
        <v>#REF!</v>
      </c>
      <c r="Z79" s="113" t="str">
        <f t="shared" si="46"/>
        <v/>
      </c>
      <c r="AA79" s="113" t="str">
        <f t="shared" si="28"/>
        <v/>
      </c>
      <c r="AB79" s="94"/>
      <c r="AC79" s="95" t="str">
        <f t="shared" si="47"/>
        <v/>
      </c>
      <c r="AD79" s="96"/>
      <c r="AI79" s="101"/>
      <c r="AJ79" s="101"/>
      <c r="AK79" s="101"/>
      <c r="AL79" s="101"/>
      <c r="AM79" s="101"/>
      <c r="AN79" s="101"/>
      <c r="AO79" s="101"/>
      <c r="AP79" s="101"/>
      <c r="AQ79" s="101"/>
      <c r="AR79" s="101"/>
      <c r="AS79" s="101"/>
      <c r="AT79" s="101"/>
      <c r="AU79" s="101"/>
      <c r="AV79" s="101"/>
      <c r="AW79" s="101"/>
      <c r="AX79" s="101"/>
      <c r="AY79" s="101"/>
      <c r="AZ79" s="101"/>
      <c r="BA79" s="101"/>
      <c r="BB79" s="101"/>
      <c r="BC79" s="101"/>
      <c r="BD79" s="101"/>
      <c r="BE79" s="101"/>
      <c r="BF79" s="101"/>
      <c r="BG79" s="101"/>
      <c r="BH79" s="101"/>
      <c r="BI79" s="101"/>
      <c r="BJ79" s="101"/>
      <c r="BK79" s="101"/>
      <c r="BL79" s="101"/>
      <c r="BM79" s="117"/>
      <c r="BN79" s="117"/>
    </row>
  </sheetData>
  <mergeCells count="6">
    <mergeCell ref="AI3:BN4"/>
    <mergeCell ref="X4:Y4"/>
    <mergeCell ref="A1:AC1"/>
    <mergeCell ref="B3:K3"/>
    <mergeCell ref="M3:AC3"/>
    <mergeCell ref="AE3:AG3"/>
  </mergeCells>
  <phoneticPr fontId="50" type="noConversion"/>
  <conditionalFormatting sqref="AI6:BL61">
    <cfRule type="cellIs" dxfId="1" priority="2" operator="notBetween">
      <formula>$E6+$F6</formula>
      <formula>$E6+$G6</formula>
    </cfRule>
  </conditionalFormatting>
  <conditionalFormatting sqref="BM6:BN61">
    <cfRule type="cellIs" dxfId="0" priority="1" operator="notBetween">
      <formula>$E6+$F6</formula>
      <formula>$E6+$G6</formula>
    </cfRule>
  </conditionalFormatting>
  <dataValidations disablePrompts="1" count="2">
    <dataValidation type="list" allowBlank="1" showInputMessage="1" showErrorMessage="1" sqref="I6:I18" xr:uid="{12EFDB95-91F0-4E32-92D6-9EECAF48F0DC}">
      <formula1>gauging</formula1>
    </dataValidation>
    <dataValidation type="list" allowBlank="1" showInputMessage="1" showErrorMessage="1" sqref="H6:H18" xr:uid="{05A2144C-686F-4DDE-B88B-CC4B852BB0EA}">
      <formula1>insp_meth</formula1>
    </dataValidation>
  </dataValidations>
  <pageMargins left="0.75" right="0.75" top="1" bottom="1" header="0.5" footer="0.5"/>
  <pageSetup orientation="portrait" horizontalDpi="4294967292" verticalDpi="4294967292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B92D9-F680-5640-9B22-E6DA8A3893B6}">
  <sheetPr codeName="Sheet5"/>
  <dimension ref="B2:R16"/>
  <sheetViews>
    <sheetView showGridLines="0" zoomScaleNormal="70" workbookViewId="0">
      <selection activeCell="E16" sqref="E16"/>
    </sheetView>
  </sheetViews>
  <sheetFormatPr defaultColWidth="11" defaultRowHeight="17.399999999999999"/>
  <cols>
    <col min="1" max="1" width="1.453125" style="14" customWidth="1"/>
    <col min="2" max="2" width="7.36328125" style="14" customWidth="1"/>
    <col min="3" max="3" width="20.90625" style="13" customWidth="1"/>
    <col min="4" max="5" width="30.90625" style="14" customWidth="1"/>
    <col min="6" max="6" width="13" style="14" customWidth="1"/>
    <col min="7" max="7" width="13" style="13" customWidth="1"/>
    <col min="8" max="13" width="13" style="14" customWidth="1"/>
    <col min="14" max="14" width="60.90625" style="15" customWidth="1"/>
    <col min="15" max="15" width="60.90625" style="14" customWidth="1"/>
    <col min="16" max="18" width="29.90625" style="14" customWidth="1"/>
    <col min="19" max="19" width="11" style="14"/>
    <col min="20" max="20" width="27.6328125" style="14" bestFit="1" customWidth="1"/>
    <col min="21" max="16384" width="11" style="14"/>
  </cols>
  <sheetData>
    <row r="2" spans="2:18" ht="39.9" customHeight="1">
      <c r="B2" s="17" t="s">
        <v>14</v>
      </c>
      <c r="C2" s="12"/>
      <c r="D2" s="12"/>
      <c r="E2" s="12"/>
      <c r="F2" s="12"/>
    </row>
    <row r="3" spans="2:18" ht="18" customHeight="1">
      <c r="B3" s="12"/>
      <c r="C3" s="12"/>
      <c r="D3" s="12"/>
      <c r="E3" s="12"/>
      <c r="F3" s="12"/>
    </row>
    <row r="4" spans="2:18" s="18" customFormat="1" ht="18.899999999999999" customHeight="1">
      <c r="B4" s="187" t="s">
        <v>15</v>
      </c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8" t="s">
        <v>39</v>
      </c>
      <c r="Q4" s="188"/>
      <c r="R4" s="188"/>
    </row>
    <row r="5" spans="2:18" s="16" customFormat="1" ht="20.100000000000001" customHeight="1">
      <c r="B5" s="186" t="s">
        <v>16</v>
      </c>
      <c r="C5" s="186" t="s">
        <v>17</v>
      </c>
      <c r="D5" s="186" t="s">
        <v>34</v>
      </c>
      <c r="E5" s="186" t="s">
        <v>33</v>
      </c>
      <c r="F5" s="186" t="s">
        <v>18</v>
      </c>
      <c r="G5" s="186"/>
      <c r="H5" s="186" t="s">
        <v>19</v>
      </c>
      <c r="I5" s="186"/>
      <c r="J5" s="186" t="s">
        <v>20</v>
      </c>
      <c r="K5" s="186"/>
      <c r="L5" s="186"/>
      <c r="M5" s="186"/>
      <c r="N5" s="186" t="s">
        <v>21</v>
      </c>
      <c r="O5" s="186" t="s">
        <v>22</v>
      </c>
      <c r="P5" s="186" t="s">
        <v>23</v>
      </c>
      <c r="Q5" s="186" t="s">
        <v>24</v>
      </c>
      <c r="R5" s="186" t="s">
        <v>25</v>
      </c>
    </row>
    <row r="6" spans="2:18" s="16" customFormat="1" ht="20.100000000000001" customHeight="1">
      <c r="B6" s="186"/>
      <c r="C6" s="186"/>
      <c r="D6" s="186"/>
      <c r="E6" s="186"/>
      <c r="F6" s="40" t="s">
        <v>26</v>
      </c>
      <c r="G6" s="40" t="s">
        <v>27</v>
      </c>
      <c r="H6" s="40" t="s">
        <v>28</v>
      </c>
      <c r="I6" s="40" t="s">
        <v>27</v>
      </c>
      <c r="J6" s="40" t="s">
        <v>29</v>
      </c>
      <c r="K6" s="40" t="s">
        <v>30</v>
      </c>
      <c r="L6" s="40" t="s">
        <v>31</v>
      </c>
      <c r="M6" s="40" t="s">
        <v>32</v>
      </c>
      <c r="N6" s="186"/>
      <c r="O6" s="186"/>
      <c r="P6" s="186"/>
      <c r="Q6" s="186"/>
      <c r="R6" s="186"/>
    </row>
    <row r="7" spans="2:18" s="18" customFormat="1" ht="40.049999999999997" customHeight="1">
      <c r="B7" s="19">
        <v>1</v>
      </c>
      <c r="C7" s="28"/>
      <c r="D7" s="28"/>
      <c r="E7" s="22"/>
      <c r="F7" s="23"/>
      <c r="G7" s="23"/>
      <c r="H7" s="24"/>
      <c r="I7" s="23"/>
      <c r="J7" s="23"/>
      <c r="K7" s="23"/>
      <c r="L7" s="23"/>
      <c r="M7" s="23"/>
      <c r="N7" s="25"/>
      <c r="O7" s="49"/>
      <c r="P7" s="27"/>
      <c r="Q7" s="27"/>
      <c r="R7" s="27"/>
    </row>
    <row r="8" spans="2:18" s="18" customFormat="1" ht="39.9" customHeight="1">
      <c r="B8" s="19">
        <v>2</v>
      </c>
      <c r="C8" s="28"/>
      <c r="D8" s="21"/>
      <c r="E8" s="22"/>
      <c r="F8" s="23"/>
      <c r="G8" s="23"/>
      <c r="H8" s="24"/>
      <c r="I8" s="23"/>
      <c r="J8" s="23"/>
      <c r="K8" s="23"/>
      <c r="L8" s="23"/>
      <c r="M8" s="23"/>
      <c r="N8" s="25"/>
      <c r="O8" s="26"/>
      <c r="P8" s="27"/>
      <c r="Q8" s="27"/>
      <c r="R8" s="27"/>
    </row>
    <row r="9" spans="2:18" s="18" customFormat="1" ht="39.9" customHeight="1">
      <c r="B9" s="19">
        <v>3</v>
      </c>
      <c r="C9" s="28"/>
      <c r="D9" s="21"/>
      <c r="E9" s="22"/>
      <c r="F9" s="23"/>
      <c r="G9" s="23"/>
      <c r="H9" s="24"/>
      <c r="I9" s="23"/>
      <c r="J9" s="23"/>
      <c r="K9" s="23"/>
      <c r="L9" s="23"/>
      <c r="M9" s="23"/>
      <c r="N9" s="25"/>
      <c r="O9" s="26"/>
      <c r="P9" s="27"/>
      <c r="Q9" s="27"/>
      <c r="R9" s="27"/>
    </row>
    <row r="10" spans="2:18" s="18" customFormat="1" ht="39.9" customHeight="1">
      <c r="B10" s="19">
        <v>4</v>
      </c>
      <c r="C10" s="28"/>
      <c r="D10" s="21"/>
      <c r="E10" s="22"/>
      <c r="F10" s="23"/>
      <c r="G10" s="23"/>
      <c r="H10" s="24"/>
      <c r="I10" s="23"/>
      <c r="J10" s="23"/>
      <c r="K10" s="23"/>
      <c r="L10" s="23"/>
      <c r="M10" s="23"/>
      <c r="N10" s="25"/>
      <c r="O10" s="26"/>
      <c r="P10" s="27"/>
      <c r="Q10" s="27"/>
      <c r="R10" s="27"/>
    </row>
    <row r="11" spans="2:18" s="18" customFormat="1" ht="39.9" customHeight="1">
      <c r="B11" s="19">
        <v>5</v>
      </c>
      <c r="C11" s="28"/>
      <c r="D11" s="21"/>
      <c r="E11" s="22"/>
      <c r="F11" s="23"/>
      <c r="G11" s="23"/>
      <c r="H11" s="24"/>
      <c r="I11" s="23"/>
      <c r="J11" s="23"/>
      <c r="K11" s="23"/>
      <c r="L11" s="23"/>
      <c r="M11" s="23"/>
      <c r="N11" s="25"/>
      <c r="O11" s="26"/>
      <c r="P11" s="27"/>
      <c r="Q11" s="27"/>
      <c r="R11" s="27"/>
    </row>
    <row r="12" spans="2:18" s="18" customFormat="1" ht="39.9" customHeight="1">
      <c r="B12" s="19">
        <v>6</v>
      </c>
      <c r="C12" s="28"/>
      <c r="D12" s="21"/>
      <c r="E12" s="22"/>
      <c r="F12" s="23"/>
      <c r="G12" s="23"/>
      <c r="H12" s="24"/>
      <c r="I12" s="23"/>
      <c r="J12" s="23"/>
      <c r="K12" s="23"/>
      <c r="L12" s="23"/>
      <c r="M12" s="23"/>
      <c r="N12" s="25"/>
      <c r="O12" s="26"/>
      <c r="P12" s="27"/>
      <c r="Q12" s="27"/>
      <c r="R12" s="27"/>
    </row>
    <row r="13" spans="2:18" s="18" customFormat="1" ht="39.9" customHeight="1">
      <c r="B13" s="19">
        <v>7</v>
      </c>
      <c r="C13" s="28"/>
      <c r="D13" s="21"/>
      <c r="E13" s="22"/>
      <c r="F13" s="23"/>
      <c r="G13" s="23"/>
      <c r="H13" s="24"/>
      <c r="I13" s="23"/>
      <c r="J13" s="23"/>
      <c r="K13" s="23"/>
      <c r="L13" s="23"/>
      <c r="M13" s="23"/>
      <c r="N13" s="25"/>
      <c r="O13" s="26"/>
      <c r="P13" s="27"/>
      <c r="Q13" s="27"/>
      <c r="R13" s="27"/>
    </row>
    <row r="14" spans="2:18" s="18" customFormat="1" ht="39.9" customHeight="1">
      <c r="B14" s="19">
        <v>8</v>
      </c>
      <c r="C14" s="28"/>
      <c r="D14" s="21"/>
      <c r="E14" s="22"/>
      <c r="F14" s="23"/>
      <c r="G14" s="23"/>
      <c r="H14" s="24"/>
      <c r="I14" s="23"/>
      <c r="J14" s="23"/>
      <c r="K14" s="23"/>
      <c r="L14" s="23"/>
      <c r="M14" s="23"/>
      <c r="N14" s="25"/>
      <c r="O14" s="26"/>
      <c r="P14" s="27"/>
      <c r="Q14" s="27"/>
      <c r="R14" s="27"/>
    </row>
    <row r="15" spans="2:18" s="18" customFormat="1" ht="39.9" customHeight="1">
      <c r="B15" s="19">
        <v>9</v>
      </c>
      <c r="C15" s="28"/>
      <c r="D15" s="21"/>
      <c r="E15" s="22"/>
      <c r="F15" s="23"/>
      <c r="G15" s="23"/>
      <c r="H15" s="24"/>
      <c r="I15" s="23"/>
      <c r="J15" s="23"/>
      <c r="K15" s="23"/>
      <c r="L15" s="23"/>
      <c r="M15" s="23"/>
      <c r="N15" s="25"/>
      <c r="O15" s="26"/>
      <c r="P15" s="27"/>
      <c r="Q15" s="27"/>
      <c r="R15" s="27"/>
    </row>
    <row r="16" spans="2:18" s="18" customFormat="1" ht="39.9" customHeight="1">
      <c r="B16" s="19">
        <v>10</v>
      </c>
      <c r="C16" s="28"/>
      <c r="D16" s="21"/>
      <c r="E16" s="22"/>
      <c r="F16" s="23"/>
      <c r="G16" s="23"/>
      <c r="H16" s="24"/>
      <c r="I16" s="23"/>
      <c r="J16" s="23"/>
      <c r="K16" s="23"/>
      <c r="L16" s="23"/>
      <c r="M16" s="23"/>
      <c r="N16" s="25"/>
      <c r="O16" s="26"/>
      <c r="P16" s="27"/>
      <c r="Q16" s="27"/>
      <c r="R16" s="27"/>
    </row>
  </sheetData>
  <mergeCells count="14">
    <mergeCell ref="O5:O6"/>
    <mergeCell ref="P5:P6"/>
    <mergeCell ref="Q5:Q6"/>
    <mergeCell ref="R5:R6"/>
    <mergeCell ref="B4:O4"/>
    <mergeCell ref="P4:R4"/>
    <mergeCell ref="B5:B6"/>
    <mergeCell ref="C5:C6"/>
    <mergeCell ref="D5:D6"/>
    <mergeCell ref="E5:E6"/>
    <mergeCell ref="F5:G5"/>
    <mergeCell ref="H5:I5"/>
    <mergeCell ref="J5:M5"/>
    <mergeCell ref="N5:N6"/>
  </mergeCells>
  <phoneticPr fontId="1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5BCCC-C58F-EB47-91A3-76762C3301AA}">
  <sheetPr codeName="Sheet6"/>
  <dimension ref="B2:W207"/>
  <sheetViews>
    <sheetView showGridLines="0" zoomScale="70" zoomScaleNormal="70" workbookViewId="0">
      <selection activeCell="J16" sqref="J16"/>
    </sheetView>
  </sheetViews>
  <sheetFormatPr defaultColWidth="11" defaultRowHeight="17.399999999999999"/>
  <cols>
    <col min="1" max="1" width="1.453125" style="14" customWidth="1"/>
    <col min="2" max="2" width="7.36328125" style="14" customWidth="1"/>
    <col min="3" max="3" width="15.90625" style="13" customWidth="1"/>
    <col min="4" max="4" width="15.90625" style="14" customWidth="1"/>
    <col min="5" max="6" width="30.90625" style="14" customWidth="1"/>
    <col min="7" max="8" width="13" style="14" customWidth="1"/>
    <col min="9" max="9" width="13" style="13" customWidth="1"/>
    <col min="10" max="18" width="15.90625" style="14" customWidth="1"/>
    <col min="19" max="19" width="60.90625" style="15" customWidth="1"/>
    <col min="20" max="20" width="60.90625" style="14" customWidth="1"/>
    <col min="21" max="23" width="29.90625" style="14" hidden="1" customWidth="1"/>
    <col min="24" max="24" width="11" style="14"/>
    <col min="25" max="25" width="27.6328125" style="14" bestFit="1" customWidth="1"/>
    <col min="26" max="16384" width="11" style="14"/>
  </cols>
  <sheetData>
    <row r="2" spans="2:23" ht="39.9" customHeight="1">
      <c r="B2" s="17" t="s">
        <v>46</v>
      </c>
      <c r="C2" s="12"/>
      <c r="D2" s="12"/>
      <c r="E2" s="12"/>
      <c r="F2" s="12"/>
      <c r="G2" s="12"/>
      <c r="H2" s="12"/>
    </row>
    <row r="3" spans="2:23" ht="18" customHeight="1">
      <c r="B3" s="12"/>
      <c r="C3" s="12"/>
      <c r="D3" s="12"/>
      <c r="E3" s="12"/>
      <c r="F3" s="12"/>
      <c r="G3" s="12"/>
      <c r="H3" s="12"/>
    </row>
    <row r="4" spans="2:23" s="18" customFormat="1" ht="18.899999999999999" customHeight="1">
      <c r="B4" s="187" t="s">
        <v>15</v>
      </c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8" t="s">
        <v>39</v>
      </c>
      <c r="V4" s="188"/>
      <c r="W4" s="188"/>
    </row>
    <row r="5" spans="2:23" s="16" customFormat="1" ht="20.100000000000001" customHeight="1">
      <c r="B5" s="186" t="s">
        <v>16</v>
      </c>
      <c r="C5" s="186" t="s">
        <v>40</v>
      </c>
      <c r="D5" s="186" t="s">
        <v>41</v>
      </c>
      <c r="E5" s="186" t="s">
        <v>34</v>
      </c>
      <c r="F5" s="186" t="s">
        <v>53</v>
      </c>
      <c r="G5" s="186" t="s">
        <v>42</v>
      </c>
      <c r="H5" s="186"/>
      <c r="I5" s="186"/>
      <c r="J5" s="186" t="s">
        <v>47</v>
      </c>
      <c r="K5" s="186"/>
      <c r="L5" s="186"/>
      <c r="M5" s="186" t="s">
        <v>50</v>
      </c>
      <c r="N5" s="186"/>
      <c r="O5" s="186"/>
      <c r="P5" s="186"/>
      <c r="Q5" s="186"/>
      <c r="R5" s="186"/>
      <c r="S5" s="186" t="s">
        <v>21</v>
      </c>
      <c r="T5" s="186" t="s">
        <v>22</v>
      </c>
      <c r="U5" s="186" t="s">
        <v>23</v>
      </c>
      <c r="V5" s="186" t="s">
        <v>24</v>
      </c>
      <c r="W5" s="186" t="s">
        <v>25</v>
      </c>
    </row>
    <row r="6" spans="2:23" s="16" customFormat="1" ht="20.100000000000001" customHeight="1">
      <c r="B6" s="186"/>
      <c r="C6" s="186"/>
      <c r="D6" s="186"/>
      <c r="E6" s="186"/>
      <c r="F6" s="186"/>
      <c r="G6" s="40" t="s">
        <v>43</v>
      </c>
      <c r="H6" s="40" t="s">
        <v>44</v>
      </c>
      <c r="I6" s="40" t="s">
        <v>45</v>
      </c>
      <c r="J6" s="40" t="s">
        <v>48</v>
      </c>
      <c r="K6" s="40" t="s">
        <v>49</v>
      </c>
      <c r="L6" s="40" t="s">
        <v>52</v>
      </c>
      <c r="M6" s="40" t="s">
        <v>43</v>
      </c>
      <c r="N6" s="40" t="s">
        <v>44</v>
      </c>
      <c r="O6" s="40" t="s">
        <v>45</v>
      </c>
      <c r="P6" s="40" t="s">
        <v>48</v>
      </c>
      <c r="Q6" s="40" t="s">
        <v>49</v>
      </c>
      <c r="R6" s="40" t="s">
        <v>52</v>
      </c>
      <c r="S6" s="186"/>
      <c r="T6" s="186"/>
      <c r="U6" s="186"/>
      <c r="V6" s="186"/>
      <c r="W6" s="186"/>
    </row>
    <row r="7" spans="2:23" s="18" customFormat="1" ht="39.9" customHeight="1">
      <c r="B7" s="19">
        <v>1</v>
      </c>
      <c r="C7" s="28"/>
      <c r="D7" s="28"/>
      <c r="E7" s="28"/>
      <c r="F7" s="28"/>
      <c r="G7" s="44"/>
      <c r="H7" s="44"/>
      <c r="I7" s="44"/>
      <c r="J7" s="44"/>
      <c r="K7" s="44"/>
      <c r="L7" s="44"/>
      <c r="M7" s="23"/>
      <c r="N7" s="23"/>
      <c r="O7" s="23"/>
      <c r="P7" s="23"/>
      <c r="Q7" s="23"/>
      <c r="R7" s="23"/>
      <c r="S7" s="46"/>
      <c r="T7" s="26"/>
      <c r="U7" s="27"/>
      <c r="V7" s="27"/>
      <c r="W7" s="27"/>
    </row>
    <row r="8" spans="2:23" s="18" customFormat="1" ht="40.049999999999997" customHeight="1">
      <c r="B8" s="19">
        <v>2</v>
      </c>
      <c r="C8" s="28"/>
      <c r="D8" s="28"/>
      <c r="E8" s="28"/>
      <c r="F8" s="28"/>
      <c r="G8" s="44"/>
      <c r="H8" s="44"/>
      <c r="I8" s="44"/>
      <c r="J8" s="44"/>
      <c r="K8" s="44"/>
      <c r="L8" s="44"/>
      <c r="M8" s="23"/>
      <c r="N8" s="23"/>
      <c r="O8" s="23"/>
      <c r="P8" s="23"/>
      <c r="Q8" s="23"/>
      <c r="R8" s="23"/>
      <c r="S8" s="47"/>
      <c r="T8" s="26"/>
      <c r="U8" s="27"/>
      <c r="V8" s="27"/>
      <c r="W8" s="27"/>
    </row>
    <row r="9" spans="2:23" s="18" customFormat="1" ht="39.9" customHeight="1">
      <c r="B9" s="19">
        <v>3</v>
      </c>
      <c r="C9" s="28"/>
      <c r="D9" s="28"/>
      <c r="E9" s="28"/>
      <c r="F9" s="28"/>
      <c r="G9" s="21"/>
      <c r="H9" s="23"/>
      <c r="I9" s="23"/>
      <c r="J9" s="25"/>
      <c r="K9" s="26"/>
      <c r="L9" s="27"/>
      <c r="M9" s="27"/>
      <c r="N9" s="27"/>
      <c r="O9" s="27"/>
      <c r="P9" s="27"/>
      <c r="Q9" s="27"/>
      <c r="R9" s="27"/>
      <c r="S9" s="27"/>
      <c r="T9" s="27"/>
    </row>
    <row r="10" spans="2:23" s="18" customFormat="1" ht="39.9" customHeight="1">
      <c r="B10" s="19">
        <v>4</v>
      </c>
      <c r="C10" s="28"/>
      <c r="D10" s="28"/>
      <c r="E10" s="28"/>
      <c r="F10" s="28"/>
      <c r="G10" s="21"/>
      <c r="H10" s="23"/>
      <c r="I10" s="23"/>
      <c r="J10" s="25"/>
      <c r="K10" s="26"/>
      <c r="L10" s="27"/>
      <c r="M10" s="27"/>
      <c r="N10" s="27"/>
      <c r="O10" s="27"/>
      <c r="P10" s="27"/>
      <c r="Q10" s="27"/>
      <c r="R10" s="27"/>
      <c r="S10" s="27"/>
      <c r="T10" s="27"/>
    </row>
    <row r="11" spans="2:23" s="18" customFormat="1" ht="39.9" customHeight="1">
      <c r="B11" s="19">
        <v>5</v>
      </c>
      <c r="C11" s="28"/>
      <c r="D11" s="28"/>
      <c r="E11" s="28"/>
      <c r="F11" s="28"/>
      <c r="G11" s="21"/>
      <c r="H11" s="23"/>
      <c r="I11" s="23"/>
      <c r="J11" s="25"/>
      <c r="K11" s="26"/>
      <c r="L11" s="27"/>
      <c r="M11" s="27"/>
      <c r="N11" s="27"/>
      <c r="O11" s="27"/>
      <c r="P11" s="27"/>
      <c r="Q11" s="27"/>
      <c r="R11" s="27"/>
      <c r="S11" s="27"/>
      <c r="T11" s="27"/>
    </row>
    <row r="143" spans="11:14">
      <c r="K143" s="14">
        <v>2.3400000000000001E-2</v>
      </c>
      <c r="L143" s="14">
        <v>2.29E-2</v>
      </c>
      <c r="M143" s="14">
        <v>1.6299999999999999E-2</v>
      </c>
      <c r="N143" s="14">
        <v>2.1399999999999864E-2</v>
      </c>
    </row>
    <row r="144" spans="11:14">
      <c r="K144" s="14">
        <v>3.8043999999999998</v>
      </c>
      <c r="L144" s="14">
        <v>3.8050000000000002</v>
      </c>
      <c r="M144" s="14">
        <v>3.8065000000000002</v>
      </c>
      <c r="N144" s="14">
        <v>3.8069999999999999</v>
      </c>
    </row>
    <row r="145" spans="11:14">
      <c r="K145" s="14">
        <v>3.8022999999999998</v>
      </c>
      <c r="L145" s="14">
        <v>3.8048000000000002</v>
      </c>
      <c r="M145" s="14">
        <v>3.8027000000000002</v>
      </c>
      <c r="N145" s="14">
        <v>3.7972999999999999</v>
      </c>
    </row>
    <row r="146" spans="11:14">
      <c r="K146" s="14">
        <v>1.1999999999999999E-3</v>
      </c>
      <c r="L146" s="14">
        <v>1.8E-3</v>
      </c>
      <c r="M146" s="14">
        <v>1.1000000000000001E-3</v>
      </c>
      <c r="N146" s="14">
        <v>1.6000000000000001E-3</v>
      </c>
    </row>
    <row r="147" spans="11:14">
      <c r="K147" s="14">
        <v>3.8309000000000002</v>
      </c>
      <c r="L147" s="14">
        <v>3.8290000000000002</v>
      </c>
      <c r="M147" s="14">
        <v>3.8308</v>
      </c>
      <c r="N147" s="14">
        <v>3.8304999999999998</v>
      </c>
    </row>
    <row r="148" spans="11:14">
      <c r="K148" s="14">
        <v>3.8237000000000001</v>
      </c>
      <c r="L148" s="14">
        <v>3.8235999999999999</v>
      </c>
      <c r="M148" s="14">
        <v>3.8233999999999999</v>
      </c>
      <c r="N148" s="14">
        <v>3.8250000000000002</v>
      </c>
    </row>
    <row r="149" spans="11:14">
      <c r="K149" s="14">
        <v>3.7000000000000002E-3</v>
      </c>
      <c r="L149" s="14">
        <v>2.8E-3</v>
      </c>
      <c r="M149" s="14">
        <v>2.3E-3</v>
      </c>
      <c r="N149" s="14">
        <v>1.9E-3</v>
      </c>
    </row>
    <row r="150" spans="11:14">
      <c r="K150" s="14">
        <v>2.3E-3</v>
      </c>
      <c r="L150" s="14">
        <v>2E-3</v>
      </c>
      <c r="M150" s="14">
        <v>1.9E-3</v>
      </c>
      <c r="N150" s="14">
        <v>2.3E-3</v>
      </c>
    </row>
    <row r="151" spans="11:14">
      <c r="K151" s="14">
        <v>4.1000000000000003E-3</v>
      </c>
      <c r="L151" s="14">
        <v>3.3E-3</v>
      </c>
      <c r="M151" s="14">
        <v>4.0000000000000001E-3</v>
      </c>
      <c r="N151" s="14">
        <v>4.8999999999999998E-3</v>
      </c>
    </row>
    <row r="152" spans="11:14">
      <c r="K152" s="14">
        <v>1.9E-3</v>
      </c>
      <c r="L152" s="14">
        <v>2E-3</v>
      </c>
      <c r="M152" s="14">
        <v>2.3E-3</v>
      </c>
      <c r="N152" s="14">
        <v>1.6999999999999999E-3</v>
      </c>
    </row>
    <row r="153" spans="11:14">
      <c r="K153" s="14">
        <v>1.6000000000000001E-3</v>
      </c>
      <c r="L153" s="14">
        <v>1.6000000000000001E-3</v>
      </c>
      <c r="M153" s="14">
        <v>1.5E-3</v>
      </c>
      <c r="N153" s="14">
        <v>1.8E-3</v>
      </c>
    </row>
    <row r="154" spans="11:14">
      <c r="K154" s="14">
        <v>3.8999999999999998E-3</v>
      </c>
      <c r="L154" s="14">
        <v>3.2000000000000002E-3</v>
      </c>
      <c r="M154" s="14">
        <v>3.7000000000000002E-3</v>
      </c>
      <c r="N154" s="14">
        <v>3.8E-3</v>
      </c>
    </row>
    <row r="155" spans="11:14">
      <c r="K155" s="14">
        <v>8.5000000000000006E-3</v>
      </c>
      <c r="L155" s="14">
        <v>8.0999999999999996E-3</v>
      </c>
      <c r="M155" s="14">
        <v>8.0000000000000002E-3</v>
      </c>
      <c r="N155" s="14">
        <v>3.3999999999999998E-3</v>
      </c>
    </row>
    <row r="156" spans="11:14">
      <c r="K156" s="14">
        <v>1.8100000000000002E-2</v>
      </c>
      <c r="L156" s="14">
        <v>1.6899999999999998E-2</v>
      </c>
      <c r="M156" s="14">
        <v>1.7999999999999999E-2</v>
      </c>
      <c r="N156" s="14">
        <v>1.89E-2</v>
      </c>
    </row>
    <row r="157" spans="11:14">
      <c r="K157" s="14">
        <v>18.197800000000001</v>
      </c>
      <c r="L157" s="14">
        <v>18.203600000000002</v>
      </c>
      <c r="M157" s="14">
        <v>18.202000000000002</v>
      </c>
      <c r="N157" s="14">
        <v>18.2043</v>
      </c>
    </row>
    <row r="158" spans="11:14">
      <c r="K158" s="14">
        <v>18.195499999999999</v>
      </c>
      <c r="L158" s="14">
        <v>18.198699999999999</v>
      </c>
      <c r="M158" s="14">
        <v>18.1982</v>
      </c>
      <c r="N158" s="14">
        <v>18.199400000000001</v>
      </c>
    </row>
    <row r="159" spans="11:14">
      <c r="K159" s="14">
        <v>18.203800000000001</v>
      </c>
      <c r="L159" s="14">
        <v>18.204699999999999</v>
      </c>
      <c r="M159" s="14">
        <v>18.204599999999999</v>
      </c>
      <c r="N159" s="14">
        <v>18.207699999999999</v>
      </c>
    </row>
    <row r="160" spans="11:14">
      <c r="K160" s="14">
        <v>17.216000000000001</v>
      </c>
      <c r="L160" s="14">
        <v>17.2149</v>
      </c>
      <c r="M160" s="14">
        <v>17.213200000000001</v>
      </c>
      <c r="N160" s="14">
        <v>17.211500000000001</v>
      </c>
    </row>
    <row r="161" spans="11:14">
      <c r="K161" s="14">
        <v>14.5411</v>
      </c>
      <c r="L161" s="14">
        <v>14.541700000000001</v>
      </c>
      <c r="M161" s="14">
        <v>14.543200000000001</v>
      </c>
      <c r="N161" s="14">
        <v>14.5487</v>
      </c>
    </row>
    <row r="162" spans="11:14">
      <c r="K162" s="14">
        <v>3.8601999999999999</v>
      </c>
      <c r="L162" s="14">
        <v>3.8622999999999998</v>
      </c>
      <c r="M162" s="14">
        <v>3.8601000000000001</v>
      </c>
      <c r="N162" s="14">
        <v>3.8603000000000001</v>
      </c>
    </row>
    <row r="163" spans="11:14">
      <c r="K163" s="14">
        <v>7.7363999999999997</v>
      </c>
      <c r="L163" s="14">
        <v>7.7366999999999999</v>
      </c>
      <c r="M163" s="14">
        <v>7.7394999999999996</v>
      </c>
      <c r="N163" s="14">
        <v>7.7366000000000001</v>
      </c>
    </row>
    <row r="164" spans="11:14">
      <c r="K164" s="14">
        <v>7.7245999999999997</v>
      </c>
      <c r="L164" s="14">
        <v>7.7236000000000002</v>
      </c>
      <c r="M164" s="14">
        <v>7.7252999999999998</v>
      </c>
      <c r="N164" s="14">
        <v>7.7263000000000002</v>
      </c>
    </row>
    <row r="165" spans="11:14">
      <c r="K165" s="14">
        <v>9.0328999999999997</v>
      </c>
      <c r="L165" s="14">
        <v>9.0351999999999997</v>
      </c>
      <c r="M165" s="14">
        <v>9.0253999999999994</v>
      </c>
      <c r="N165" s="14">
        <v>9.0373999999999999</v>
      </c>
    </row>
    <row r="166" spans="11:14">
      <c r="K166" s="14">
        <v>22.351099999999999</v>
      </c>
      <c r="L166" s="14">
        <v>22.352799999999998</v>
      </c>
      <c r="M166" s="14">
        <v>22.3537</v>
      </c>
      <c r="N166" s="14">
        <v>22.365100000000002</v>
      </c>
    </row>
    <row r="167" spans="11:14">
      <c r="K167" s="14">
        <v>20.3459</v>
      </c>
      <c r="L167" s="14">
        <v>20.349699999999999</v>
      </c>
      <c r="M167" s="14">
        <v>20.345199999999998</v>
      </c>
      <c r="N167" s="14">
        <v>20.345800000000001</v>
      </c>
    </row>
    <row r="168" spans="11:14">
      <c r="K168" s="14">
        <v>21.7639</v>
      </c>
      <c r="L168" s="14">
        <v>21.763100000000001</v>
      </c>
      <c r="M168" s="14">
        <v>21.7637</v>
      </c>
      <c r="N168" s="14">
        <v>21.765999999999998</v>
      </c>
    </row>
    <row r="169" spans="11:14">
      <c r="K169" s="14">
        <v>7.8285</v>
      </c>
      <c r="L169" s="14">
        <v>7.8338999999999999</v>
      </c>
      <c r="M169" s="14">
        <v>7.8289999999999997</v>
      </c>
      <c r="N169" s="14">
        <v>7.8335999999999997</v>
      </c>
    </row>
    <row r="170" spans="11:14">
      <c r="K170" s="14">
        <v>7.8151000000000002</v>
      </c>
      <c r="L170" s="14">
        <v>7.8173000000000004</v>
      </c>
      <c r="M170" s="14">
        <v>7.8125999999999998</v>
      </c>
      <c r="N170" s="14">
        <v>7.8223000000000003</v>
      </c>
    </row>
    <row r="171" spans="11:14">
      <c r="K171" s="14">
        <v>21.118600000000001</v>
      </c>
      <c r="L171" s="14">
        <v>21.1264</v>
      </c>
      <c r="M171" s="14">
        <v>21.126899999999999</v>
      </c>
      <c r="N171" s="14">
        <v>21.134599999999999</v>
      </c>
    </row>
    <row r="172" spans="11:14">
      <c r="K172" s="14">
        <v>21.1295</v>
      </c>
      <c r="L172" s="14">
        <v>21.1295</v>
      </c>
      <c r="M172" s="14">
        <v>21.135100000000001</v>
      </c>
      <c r="N172" s="14">
        <v>21.133700000000001</v>
      </c>
    </row>
    <row r="173" spans="11:14">
      <c r="K173" s="14">
        <v>21.129100000000001</v>
      </c>
      <c r="L173" s="14">
        <v>21.128900000000002</v>
      </c>
      <c r="M173" s="14">
        <v>21.133099999999999</v>
      </c>
      <c r="N173" s="14">
        <v>21.128299999999999</v>
      </c>
    </row>
    <row r="174" spans="11:14">
      <c r="K174" s="14">
        <v>21.490200000000002</v>
      </c>
      <c r="L174" s="14">
        <v>21.495000000000001</v>
      </c>
      <c r="M174" s="14">
        <v>21.491399999999999</v>
      </c>
      <c r="N174" s="14">
        <v>21.490200000000002</v>
      </c>
    </row>
    <row r="175" spans="11:14">
      <c r="K175" s="14">
        <v>21.500399999999999</v>
      </c>
      <c r="L175" s="14">
        <v>21.504100000000001</v>
      </c>
      <c r="M175" s="14">
        <v>21.501000000000001</v>
      </c>
      <c r="N175" s="14">
        <v>21.506399999999999</v>
      </c>
    </row>
    <row r="176" spans="11:14">
      <c r="K176" s="14">
        <v>16.889800000000001</v>
      </c>
      <c r="L176" s="14">
        <v>16.8887</v>
      </c>
      <c r="M176" s="14">
        <v>16.888300000000001</v>
      </c>
      <c r="N176" s="14">
        <v>16.881699999999999</v>
      </c>
    </row>
    <row r="177" spans="11:14">
      <c r="K177" s="14">
        <v>16.883700000000001</v>
      </c>
      <c r="L177" s="14">
        <v>16.8843</v>
      </c>
      <c r="M177" s="14">
        <v>16.885400000000001</v>
      </c>
      <c r="N177" s="14">
        <v>16.8825</v>
      </c>
    </row>
    <row r="178" spans="11:14">
      <c r="K178" s="14">
        <v>16.8901</v>
      </c>
      <c r="L178" s="14">
        <v>16.892900000000001</v>
      </c>
      <c r="M178" s="14">
        <v>16.893000000000001</v>
      </c>
      <c r="N178" s="14">
        <v>16.893799999999999</v>
      </c>
    </row>
    <row r="179" spans="11:14">
      <c r="K179" s="14">
        <v>1.5369999999999999</v>
      </c>
      <c r="L179" s="14">
        <v>1.5390999999999999</v>
      </c>
      <c r="M179" s="14">
        <v>1.5366</v>
      </c>
      <c r="N179" s="14">
        <v>1.5319</v>
      </c>
    </row>
    <row r="180" spans="11:14">
      <c r="K180" s="14">
        <v>1.5287999999999999</v>
      </c>
      <c r="L180" s="14">
        <v>1.5324</v>
      </c>
      <c r="M180" s="14">
        <v>1.5294000000000001</v>
      </c>
      <c r="N180" s="14">
        <v>1.5378000000000001</v>
      </c>
    </row>
    <row r="181" spans="11:14">
      <c r="K181" s="14">
        <v>0.73799999999999999</v>
      </c>
      <c r="L181" s="14">
        <v>0.74129999999999996</v>
      </c>
      <c r="M181" s="14">
        <v>0.73870000000000002</v>
      </c>
      <c r="N181" s="14">
        <v>0.73460000000000003</v>
      </c>
    </row>
    <row r="182" spans="11:14">
      <c r="K182" s="14">
        <v>0.93440000000000001</v>
      </c>
      <c r="L182" s="14">
        <v>0.9355</v>
      </c>
      <c r="M182" s="14">
        <v>0.9345</v>
      </c>
      <c r="N182" s="14">
        <v>0.94310000000000005</v>
      </c>
    </row>
    <row r="183" spans="11:14">
      <c r="K183" s="14">
        <v>0.9304</v>
      </c>
      <c r="L183" s="14">
        <v>0.92859999999999998</v>
      </c>
      <c r="M183" s="14">
        <v>0.93100000000000005</v>
      </c>
      <c r="N183" s="14">
        <v>0.93159999999999998</v>
      </c>
    </row>
    <row r="184" spans="11:14">
      <c r="K184" s="14">
        <v>0.93</v>
      </c>
      <c r="L184" s="14">
        <v>0.92900000000000005</v>
      </c>
      <c r="M184" s="14">
        <v>0.93089999999999995</v>
      </c>
      <c r="N184" s="14">
        <v>0.93530000000000002</v>
      </c>
    </row>
    <row r="185" spans="11:14">
      <c r="K185" s="14">
        <v>0.93459999999999999</v>
      </c>
      <c r="L185" s="14">
        <v>0.93130000000000002</v>
      </c>
      <c r="M185" s="14">
        <v>0.93269999999999997</v>
      </c>
      <c r="N185" s="14">
        <v>0.93889999999999996</v>
      </c>
    </row>
    <row r="186" spans="11:14">
      <c r="K186" s="14">
        <v>0.93679999999999997</v>
      </c>
      <c r="L186" s="14">
        <v>0.93510000000000004</v>
      </c>
      <c r="M186" s="14">
        <v>0.93430000000000002</v>
      </c>
      <c r="N186" s="14">
        <v>0.94040000000000001</v>
      </c>
    </row>
    <row r="187" spans="11:14">
      <c r="K187" s="14">
        <v>16.815899999999999</v>
      </c>
      <c r="L187" s="14">
        <v>16.8157</v>
      </c>
      <c r="M187" s="14">
        <v>16.817</v>
      </c>
      <c r="N187" s="14">
        <v>16.815799999999999</v>
      </c>
    </row>
    <row r="188" spans="11:14">
      <c r="K188" s="14">
        <v>0.40550000000000003</v>
      </c>
      <c r="L188" s="14">
        <v>0.40579999999999999</v>
      </c>
      <c r="M188" s="14">
        <v>0.40479999999999999</v>
      </c>
      <c r="N188" s="14">
        <v>0.40649999999999997</v>
      </c>
    </row>
    <row r="189" spans="11:14">
      <c r="K189" s="14">
        <v>9.9000000000000008E-3</v>
      </c>
      <c r="L189" s="14">
        <v>1.04E-2</v>
      </c>
      <c r="M189" s="14">
        <v>2.4E-2</v>
      </c>
      <c r="N189" s="14">
        <v>1.34E-2</v>
      </c>
    </row>
    <row r="190" spans="11:14">
      <c r="K190" s="14">
        <v>14.1487</v>
      </c>
      <c r="L190" s="14">
        <v>14.1501</v>
      </c>
      <c r="M190" s="14">
        <v>14.148400000000001</v>
      </c>
      <c r="N190" s="14">
        <v>14.143599999999999</v>
      </c>
    </row>
    <row r="191" spans="11:14">
      <c r="K191" s="14">
        <v>4.4391999999999996</v>
      </c>
      <c r="L191" s="14">
        <v>4.4429999999999996</v>
      </c>
      <c r="M191" s="14">
        <v>4.4413999999999998</v>
      </c>
      <c r="N191" s="14">
        <v>4.4459999999999997</v>
      </c>
    </row>
    <row r="192" spans="11:14">
      <c r="K192" s="14">
        <v>18.284199999999998</v>
      </c>
      <c r="L192" s="14">
        <v>18.282800000000002</v>
      </c>
      <c r="M192" s="14">
        <v>18.282499999999999</v>
      </c>
      <c r="N192" s="14">
        <v>18.293600000000001</v>
      </c>
    </row>
    <row r="193" spans="11:14">
      <c r="K193" s="14">
        <v>4.3052999999999999</v>
      </c>
      <c r="L193" s="14">
        <v>4.3064999999999998</v>
      </c>
      <c r="M193" s="14">
        <v>4.3094999999999999</v>
      </c>
      <c r="N193" s="14">
        <v>4.3112000000000004</v>
      </c>
    </row>
    <row r="194" spans="11:14">
      <c r="K194" s="14">
        <v>4.3132999999999999</v>
      </c>
      <c r="L194" s="14">
        <v>4.3116000000000003</v>
      </c>
      <c r="M194" s="14">
        <v>4.3146000000000004</v>
      </c>
      <c r="N194" s="14">
        <v>4.3170000000000002</v>
      </c>
    </row>
    <row r="195" spans="11:14">
      <c r="K195" s="14">
        <v>4.3164999999999996</v>
      </c>
      <c r="L195" s="14">
        <v>4.3163</v>
      </c>
      <c r="M195" s="14">
        <v>4.3136999999999999</v>
      </c>
      <c r="N195" s="14">
        <v>4.3109999999999999</v>
      </c>
    </row>
    <row r="196" spans="11:14">
      <c r="K196" s="14">
        <v>4.3202999999999996</v>
      </c>
      <c r="L196" s="14">
        <v>4.3207000000000004</v>
      </c>
      <c r="M196" s="14">
        <v>4.3152999999999997</v>
      </c>
      <c r="N196" s="14">
        <v>4.3105000000000002</v>
      </c>
    </row>
    <row r="197" spans="11:14">
      <c r="K197" s="14">
        <v>4.3305999999999996</v>
      </c>
      <c r="L197" s="14">
        <v>4.3310000000000004</v>
      </c>
      <c r="M197" s="14">
        <v>4.3259999999999996</v>
      </c>
      <c r="N197" s="14">
        <v>4.3253000000000004</v>
      </c>
    </row>
    <row r="198" spans="11:14">
      <c r="K198" s="14">
        <v>4.3227000000000002</v>
      </c>
      <c r="L198" s="14">
        <v>4.3236999999999997</v>
      </c>
      <c r="M198" s="14">
        <v>4.3228</v>
      </c>
      <c r="N198" s="14">
        <v>4.3278999999999996</v>
      </c>
    </row>
    <row r="199" spans="11:14">
      <c r="K199" s="14">
        <v>0.2155</v>
      </c>
      <c r="L199" s="14">
        <v>0.21510000000000001</v>
      </c>
      <c r="M199" s="14">
        <v>0.21290000000000001</v>
      </c>
      <c r="N199" s="14">
        <v>0.20660000000000001</v>
      </c>
    </row>
    <row r="200" spans="11:14">
      <c r="K200" s="14">
        <v>21.387599999999999</v>
      </c>
      <c r="L200" s="14">
        <v>21.3857</v>
      </c>
      <c r="M200" s="14">
        <v>21.386700000000001</v>
      </c>
      <c r="N200" s="14">
        <v>21.3855</v>
      </c>
    </row>
    <row r="201" spans="11:14">
      <c r="K201" s="14">
        <v>3.9600000000000003E-2</v>
      </c>
      <c r="L201" s="14">
        <v>3.8199999999999998E-2</v>
      </c>
      <c r="M201" s="14">
        <v>4.0099999999999997E-2</v>
      </c>
      <c r="N201" s="14">
        <v>3.32E-2</v>
      </c>
    </row>
    <row r="202" spans="11:14">
      <c r="K202" s="14">
        <v>4.8399999999999999E-2</v>
      </c>
      <c r="L202" s="14">
        <v>4.2900000000000001E-2</v>
      </c>
      <c r="M202" s="14">
        <v>4.9000000000000002E-2</v>
      </c>
      <c r="N202" s="14">
        <v>4.6600000000000003E-2</v>
      </c>
    </row>
    <row r="203" spans="11:14">
      <c r="K203" s="14">
        <v>4.8500000000000001E-2</v>
      </c>
      <c r="L203" s="14">
        <v>4.5900000000000003E-2</v>
      </c>
      <c r="M203" s="14">
        <v>4.7E-2</v>
      </c>
      <c r="N203" s="14">
        <v>5.3100000000000001E-2</v>
      </c>
    </row>
    <row r="204" spans="11:14">
      <c r="K204" s="14">
        <v>4.3799999999999999E-2</v>
      </c>
      <c r="L204" s="14">
        <v>4.2999999999999997E-2</v>
      </c>
      <c r="M204" s="14">
        <v>4.1500000000000002E-2</v>
      </c>
      <c r="N204" s="14">
        <v>3.3399999999999999E-2</v>
      </c>
    </row>
    <row r="205" spans="11:14">
      <c r="K205" s="14">
        <v>5.3199999999999997E-2</v>
      </c>
      <c r="L205" s="14">
        <v>5.33E-2</v>
      </c>
      <c r="M205" s="14">
        <v>5.0900000000000001E-2</v>
      </c>
      <c r="N205" s="14">
        <v>4.6199999999999998E-2</v>
      </c>
    </row>
    <row r="206" spans="11:14">
      <c r="K206" s="14">
        <v>4.6899999999999997E-2</v>
      </c>
      <c r="L206" s="14">
        <v>4.7600000000000003E-2</v>
      </c>
      <c r="M206" s="14">
        <v>4.6600000000000003E-2</v>
      </c>
      <c r="N206" s="14">
        <v>5.0299999999999997E-2</v>
      </c>
    </row>
    <row r="207" spans="11:14">
      <c r="K207" s="14">
        <v>1.7894000000000001</v>
      </c>
      <c r="L207" s="14">
        <v>1.7887999999999999</v>
      </c>
      <c r="M207" s="14">
        <v>1.7878000000000001</v>
      </c>
      <c r="N207" s="14">
        <v>1.7855000000000001</v>
      </c>
    </row>
  </sheetData>
  <mergeCells count="15">
    <mergeCell ref="B4:T4"/>
    <mergeCell ref="U4:W4"/>
    <mergeCell ref="B5:B6"/>
    <mergeCell ref="C5:C6"/>
    <mergeCell ref="D5:D6"/>
    <mergeCell ref="E5:E6"/>
    <mergeCell ref="G5:I5"/>
    <mergeCell ref="J5:L5"/>
    <mergeCell ref="M5:R5"/>
    <mergeCell ref="S5:S6"/>
    <mergeCell ref="T5:T6"/>
    <mergeCell ref="U5:U6"/>
    <mergeCell ref="V5:V6"/>
    <mergeCell ref="W5:W6"/>
    <mergeCell ref="F5:F6"/>
  </mergeCells>
  <phoneticPr fontId="1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AB1D3-E63B-A540-9721-8DA1120BD80A}">
  <sheetPr codeName="Sheet7"/>
  <dimension ref="B2:W16"/>
  <sheetViews>
    <sheetView showGridLines="0" zoomScaleNormal="100" workbookViewId="0">
      <selection activeCell="F13" sqref="F13"/>
    </sheetView>
  </sheetViews>
  <sheetFormatPr defaultColWidth="11" defaultRowHeight="17.399999999999999"/>
  <cols>
    <col min="1" max="1" width="1.453125" style="14" customWidth="1"/>
    <col min="2" max="2" width="7.36328125" style="14" customWidth="1"/>
    <col min="3" max="3" width="15.90625" style="13" customWidth="1"/>
    <col min="4" max="4" width="15.90625" style="14" customWidth="1"/>
    <col min="5" max="6" width="30.90625" style="14" customWidth="1"/>
    <col min="7" max="8" width="13" style="14" customWidth="1"/>
    <col min="9" max="9" width="13" style="13" customWidth="1"/>
    <col min="10" max="18" width="15.90625" style="14" customWidth="1"/>
    <col min="19" max="19" width="60.90625" style="15" customWidth="1"/>
    <col min="20" max="20" width="60.90625" style="14" customWidth="1"/>
    <col min="21" max="23" width="29.90625" style="14" customWidth="1"/>
    <col min="24" max="24" width="11" style="14"/>
    <col min="25" max="25" width="27.6328125" style="14" bestFit="1" customWidth="1"/>
    <col min="26" max="16384" width="11" style="14"/>
  </cols>
  <sheetData>
    <row r="2" spans="2:23" ht="39.9" customHeight="1">
      <c r="B2" s="17" t="s">
        <v>51</v>
      </c>
      <c r="C2" s="12"/>
      <c r="D2" s="12"/>
      <c r="E2" s="12"/>
      <c r="F2" s="12"/>
      <c r="G2" s="12"/>
      <c r="H2" s="12"/>
    </row>
    <row r="3" spans="2:23" ht="18" customHeight="1">
      <c r="B3" s="12"/>
      <c r="C3" s="12"/>
      <c r="D3" s="12"/>
      <c r="E3" s="12"/>
      <c r="F3" s="12"/>
      <c r="G3" s="12"/>
      <c r="H3" s="12"/>
    </row>
    <row r="4" spans="2:23" s="18" customFormat="1" ht="18.899999999999999" customHeight="1">
      <c r="B4" s="187" t="s">
        <v>15</v>
      </c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8" t="s">
        <v>39</v>
      </c>
      <c r="V4" s="188"/>
      <c r="W4" s="188"/>
    </row>
    <row r="5" spans="2:23" s="16" customFormat="1" ht="20.100000000000001" customHeight="1">
      <c r="B5" s="186" t="s">
        <v>16</v>
      </c>
      <c r="C5" s="189" t="s">
        <v>40</v>
      </c>
      <c r="D5" s="189" t="s">
        <v>41</v>
      </c>
      <c r="E5" s="186" t="s">
        <v>34</v>
      </c>
      <c r="F5" s="186" t="s">
        <v>54</v>
      </c>
      <c r="G5" s="186" t="s">
        <v>42</v>
      </c>
      <c r="H5" s="186"/>
      <c r="I5" s="186"/>
      <c r="J5" s="186" t="s">
        <v>47</v>
      </c>
      <c r="K5" s="186"/>
      <c r="L5" s="186"/>
      <c r="M5" s="186" t="s">
        <v>50</v>
      </c>
      <c r="N5" s="186"/>
      <c r="O5" s="186"/>
      <c r="P5" s="186"/>
      <c r="Q5" s="186"/>
      <c r="R5" s="186"/>
      <c r="S5" s="186" t="s">
        <v>21</v>
      </c>
      <c r="T5" s="186" t="s">
        <v>22</v>
      </c>
      <c r="U5" s="186" t="s">
        <v>23</v>
      </c>
      <c r="V5" s="186" t="s">
        <v>24</v>
      </c>
      <c r="W5" s="186" t="s">
        <v>25</v>
      </c>
    </row>
    <row r="6" spans="2:23" s="16" customFormat="1" ht="20.100000000000001" customHeight="1">
      <c r="B6" s="186"/>
      <c r="C6" s="190"/>
      <c r="D6" s="190"/>
      <c r="E6" s="186"/>
      <c r="F6" s="186"/>
      <c r="G6" s="40" t="s">
        <v>43</v>
      </c>
      <c r="H6" s="40" t="s">
        <v>44</v>
      </c>
      <c r="I6" s="40" t="s">
        <v>45</v>
      </c>
      <c r="J6" s="40" t="s">
        <v>48</v>
      </c>
      <c r="K6" s="40" t="s">
        <v>49</v>
      </c>
      <c r="L6" s="40" t="s">
        <v>52</v>
      </c>
      <c r="M6" s="40" t="s">
        <v>43</v>
      </c>
      <c r="N6" s="40" t="s">
        <v>44</v>
      </c>
      <c r="O6" s="40" t="s">
        <v>45</v>
      </c>
      <c r="P6" s="40" t="s">
        <v>48</v>
      </c>
      <c r="Q6" s="40" t="s">
        <v>49</v>
      </c>
      <c r="R6" s="40" t="s">
        <v>52</v>
      </c>
      <c r="S6" s="186"/>
      <c r="T6" s="186"/>
      <c r="U6" s="186"/>
      <c r="V6" s="186"/>
      <c r="W6" s="186"/>
    </row>
    <row r="7" spans="2:23" s="18" customFormat="1" ht="39.9" customHeight="1">
      <c r="B7" s="19">
        <v>1</v>
      </c>
      <c r="C7" s="28"/>
      <c r="D7" s="21"/>
      <c r="E7" s="22"/>
      <c r="F7" s="22"/>
      <c r="G7" s="23"/>
      <c r="H7" s="23"/>
      <c r="I7" s="23"/>
      <c r="J7" s="24"/>
      <c r="K7" s="24"/>
      <c r="L7" s="23"/>
      <c r="M7" s="23"/>
      <c r="N7" s="23"/>
      <c r="O7" s="23"/>
      <c r="P7" s="23"/>
      <c r="Q7" s="23"/>
      <c r="R7" s="23"/>
      <c r="S7" s="25"/>
      <c r="T7" s="26"/>
      <c r="U7" s="27"/>
      <c r="V7" s="27"/>
      <c r="W7" s="27"/>
    </row>
    <row r="8" spans="2:23" s="18" customFormat="1" ht="39.9" customHeight="1">
      <c r="B8" s="19">
        <v>2</v>
      </c>
      <c r="C8" s="28"/>
      <c r="D8" s="21"/>
      <c r="E8" s="22"/>
      <c r="F8" s="22"/>
      <c r="G8" s="23"/>
      <c r="H8" s="23"/>
      <c r="I8" s="23"/>
      <c r="J8" s="24"/>
      <c r="K8" s="24"/>
      <c r="L8" s="23"/>
      <c r="M8" s="23"/>
      <c r="N8" s="23"/>
      <c r="O8" s="23"/>
      <c r="P8" s="23"/>
      <c r="Q8" s="23"/>
      <c r="R8" s="23"/>
      <c r="S8" s="25"/>
      <c r="T8" s="26"/>
      <c r="U8" s="27"/>
      <c r="V8" s="27"/>
      <c r="W8" s="27"/>
    </row>
    <row r="9" spans="2:23" s="18" customFormat="1" ht="39.9" customHeight="1">
      <c r="B9" s="19">
        <v>3</v>
      </c>
      <c r="C9" s="28"/>
      <c r="D9" s="21"/>
      <c r="E9" s="22"/>
      <c r="F9" s="22"/>
      <c r="G9" s="23"/>
      <c r="H9" s="23"/>
      <c r="I9" s="23"/>
      <c r="J9" s="24"/>
      <c r="K9" s="24"/>
      <c r="L9" s="23"/>
      <c r="M9" s="23"/>
      <c r="N9" s="23"/>
      <c r="O9" s="23"/>
      <c r="P9" s="23"/>
      <c r="Q9" s="23"/>
      <c r="R9" s="23"/>
      <c r="S9" s="25"/>
      <c r="T9" s="26"/>
      <c r="U9" s="27"/>
      <c r="V9" s="27"/>
      <c r="W9" s="27"/>
    </row>
    <row r="10" spans="2:23" s="18" customFormat="1" ht="39.9" customHeight="1">
      <c r="B10" s="19">
        <v>4</v>
      </c>
      <c r="C10" s="28"/>
      <c r="D10" s="21"/>
      <c r="E10" s="22"/>
      <c r="F10" s="22"/>
      <c r="G10" s="23"/>
      <c r="H10" s="23"/>
      <c r="I10" s="23"/>
      <c r="J10" s="24"/>
      <c r="K10" s="24"/>
      <c r="L10" s="23"/>
      <c r="M10" s="23"/>
      <c r="N10" s="23"/>
      <c r="O10" s="23"/>
      <c r="P10" s="23"/>
      <c r="Q10" s="23"/>
      <c r="R10" s="23"/>
      <c r="S10" s="25"/>
      <c r="T10" s="26"/>
      <c r="U10" s="27"/>
      <c r="V10" s="27"/>
      <c r="W10" s="27"/>
    </row>
    <row r="11" spans="2:23" s="18" customFormat="1" ht="39.9" customHeight="1">
      <c r="B11" s="19">
        <v>5</v>
      </c>
      <c r="C11" s="28"/>
      <c r="D11" s="21"/>
      <c r="E11" s="22"/>
      <c r="F11" s="22"/>
      <c r="G11" s="23"/>
      <c r="H11" s="23"/>
      <c r="I11" s="23"/>
      <c r="J11" s="24"/>
      <c r="K11" s="24"/>
      <c r="L11" s="23"/>
      <c r="M11" s="23"/>
      <c r="N11" s="23"/>
      <c r="O11" s="23"/>
      <c r="P11" s="23"/>
      <c r="Q11" s="23"/>
      <c r="R11" s="23"/>
      <c r="S11" s="25"/>
      <c r="T11" s="26"/>
      <c r="U11" s="27"/>
      <c r="V11" s="27"/>
      <c r="W11" s="27"/>
    </row>
    <row r="12" spans="2:23" s="18" customFormat="1" ht="39.9" customHeight="1">
      <c r="B12" s="19">
        <v>6</v>
      </c>
      <c r="C12" s="28"/>
      <c r="D12" s="21"/>
      <c r="E12" s="22"/>
      <c r="F12" s="22"/>
      <c r="G12" s="23"/>
      <c r="H12" s="23"/>
      <c r="I12" s="23"/>
      <c r="J12" s="24"/>
      <c r="K12" s="24"/>
      <c r="L12" s="23"/>
      <c r="M12" s="23"/>
      <c r="N12" s="23"/>
      <c r="O12" s="23"/>
      <c r="P12" s="23"/>
      <c r="Q12" s="23"/>
      <c r="R12" s="23"/>
      <c r="S12" s="25"/>
      <c r="T12" s="26"/>
      <c r="U12" s="27"/>
      <c r="V12" s="27"/>
      <c r="W12" s="27"/>
    </row>
    <row r="13" spans="2:23" s="18" customFormat="1" ht="39.9" customHeight="1">
      <c r="B13" s="19">
        <v>7</v>
      </c>
      <c r="C13" s="28"/>
      <c r="D13" s="21"/>
      <c r="E13" s="22"/>
      <c r="F13" s="22"/>
      <c r="G13" s="23"/>
      <c r="H13" s="23"/>
      <c r="I13" s="23"/>
      <c r="J13" s="24"/>
      <c r="K13" s="24"/>
      <c r="L13" s="23"/>
      <c r="M13" s="23"/>
      <c r="N13" s="23"/>
      <c r="O13" s="23"/>
      <c r="P13" s="23"/>
      <c r="Q13" s="23"/>
      <c r="R13" s="23"/>
      <c r="S13" s="25"/>
      <c r="T13" s="26"/>
      <c r="U13" s="27"/>
      <c r="V13" s="27"/>
      <c r="W13" s="27"/>
    </row>
    <row r="14" spans="2:23" s="18" customFormat="1" ht="39.9" customHeight="1">
      <c r="B14" s="19">
        <v>8</v>
      </c>
      <c r="C14" s="28"/>
      <c r="D14" s="21"/>
      <c r="E14" s="22"/>
      <c r="F14" s="22"/>
      <c r="G14" s="23"/>
      <c r="H14" s="23"/>
      <c r="I14" s="23"/>
      <c r="J14" s="24"/>
      <c r="K14" s="24"/>
      <c r="L14" s="23"/>
      <c r="M14" s="23"/>
      <c r="N14" s="23"/>
      <c r="O14" s="23"/>
      <c r="P14" s="23"/>
      <c r="Q14" s="23"/>
      <c r="R14" s="23"/>
      <c r="S14" s="25"/>
      <c r="T14" s="26"/>
      <c r="U14" s="27"/>
      <c r="V14" s="27"/>
      <c r="W14" s="27"/>
    </row>
    <row r="15" spans="2:23" s="18" customFormat="1" ht="39.9" customHeight="1">
      <c r="B15" s="19">
        <v>9</v>
      </c>
      <c r="C15" s="28"/>
      <c r="D15" s="21"/>
      <c r="E15" s="22"/>
      <c r="F15" s="22"/>
      <c r="G15" s="23"/>
      <c r="H15" s="23"/>
      <c r="I15" s="23"/>
      <c r="J15" s="24"/>
      <c r="K15" s="24"/>
      <c r="L15" s="23"/>
      <c r="M15" s="23"/>
      <c r="N15" s="23"/>
      <c r="O15" s="23"/>
      <c r="P15" s="23"/>
      <c r="Q15" s="23"/>
      <c r="R15" s="23"/>
      <c r="S15" s="25"/>
      <c r="T15" s="26"/>
      <c r="U15" s="27"/>
      <c r="V15" s="27"/>
      <c r="W15" s="27"/>
    </row>
    <row r="16" spans="2:23" s="18" customFormat="1" ht="39.9" customHeight="1">
      <c r="B16" s="19">
        <v>10</v>
      </c>
      <c r="C16" s="28"/>
      <c r="D16" s="21"/>
      <c r="E16" s="22"/>
      <c r="F16" s="22"/>
      <c r="G16" s="23"/>
      <c r="H16" s="23"/>
      <c r="I16" s="23"/>
      <c r="J16" s="24"/>
      <c r="K16" s="24"/>
      <c r="L16" s="23"/>
      <c r="M16" s="23"/>
      <c r="N16" s="23"/>
      <c r="O16" s="23"/>
      <c r="P16" s="23"/>
      <c r="Q16" s="23"/>
      <c r="R16" s="23"/>
      <c r="S16" s="25"/>
      <c r="T16" s="26"/>
      <c r="U16" s="27"/>
      <c r="V16" s="27"/>
      <c r="W16" s="27"/>
    </row>
  </sheetData>
  <mergeCells count="15">
    <mergeCell ref="B4:T4"/>
    <mergeCell ref="U4:W4"/>
    <mergeCell ref="B5:B6"/>
    <mergeCell ref="C5:C6"/>
    <mergeCell ref="D5:D6"/>
    <mergeCell ref="E5:E6"/>
    <mergeCell ref="G5:I5"/>
    <mergeCell ref="J5:L5"/>
    <mergeCell ref="M5:R5"/>
    <mergeCell ref="S5:S6"/>
    <mergeCell ref="T5:T6"/>
    <mergeCell ref="U5:U6"/>
    <mergeCell ref="V5:V6"/>
    <mergeCell ref="W5:W6"/>
    <mergeCell ref="F5:F6"/>
  </mergeCells>
  <phoneticPr fontId="1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E67AE-6B39-E042-B0D0-5A238E878898}">
  <sheetPr codeName="Sheet8"/>
  <dimension ref="B2:N10"/>
  <sheetViews>
    <sheetView showGridLines="0" zoomScaleNormal="100" workbookViewId="0">
      <selection activeCell="E18" sqref="E18"/>
    </sheetView>
  </sheetViews>
  <sheetFormatPr defaultColWidth="11" defaultRowHeight="17.399999999999999"/>
  <cols>
    <col min="1" max="1" width="1.453125" style="14" customWidth="1"/>
    <col min="2" max="2" width="7.36328125" style="14" customWidth="1"/>
    <col min="3" max="6" width="30.90625" style="13" customWidth="1"/>
    <col min="7" max="7" width="30.90625" style="14" customWidth="1"/>
    <col min="8" max="9" width="20.90625" style="14" customWidth="1"/>
    <col min="10" max="10" width="60.90625" style="15" customWidth="1"/>
    <col min="11" max="11" width="60.90625" style="14" customWidth="1"/>
    <col min="12" max="14" width="29.90625" style="14" customWidth="1"/>
    <col min="15" max="15" width="11" style="14"/>
    <col min="16" max="16" width="27.6328125" style="14" bestFit="1" customWidth="1"/>
    <col min="17" max="16384" width="11" style="14"/>
  </cols>
  <sheetData>
    <row r="2" spans="2:14" ht="39.9" customHeight="1">
      <c r="B2" s="17" t="s">
        <v>56</v>
      </c>
      <c r="C2" s="12"/>
      <c r="D2" s="12"/>
      <c r="E2" s="12"/>
      <c r="F2" s="12"/>
      <c r="G2" s="12"/>
      <c r="H2" s="12"/>
    </row>
    <row r="3" spans="2:14" ht="18" customHeight="1">
      <c r="B3" s="12"/>
      <c r="C3" s="12"/>
      <c r="D3" s="12"/>
      <c r="E3" s="12"/>
      <c r="F3" s="12"/>
      <c r="G3" s="12"/>
      <c r="H3" s="12"/>
    </row>
    <row r="4" spans="2:14" s="18" customFormat="1" ht="18.899999999999999" customHeight="1">
      <c r="B4" s="187" t="s">
        <v>15</v>
      </c>
      <c r="C4" s="187"/>
      <c r="D4" s="187"/>
      <c r="E4" s="187"/>
      <c r="F4" s="187"/>
      <c r="G4" s="187"/>
      <c r="H4" s="187"/>
      <c r="I4" s="187"/>
      <c r="J4" s="187"/>
      <c r="K4" s="187"/>
      <c r="L4" s="188" t="s">
        <v>39</v>
      </c>
      <c r="M4" s="188"/>
      <c r="N4" s="188"/>
    </row>
    <row r="5" spans="2:14" s="16" customFormat="1" ht="20.100000000000001" customHeight="1">
      <c r="B5" s="40" t="s">
        <v>16</v>
      </c>
      <c r="C5" s="41" t="s">
        <v>57</v>
      </c>
      <c r="D5" s="41" t="s">
        <v>59</v>
      </c>
      <c r="E5" s="41" t="s">
        <v>60</v>
      </c>
      <c r="F5" s="41" t="s">
        <v>61</v>
      </c>
      <c r="G5" s="41" t="s">
        <v>58</v>
      </c>
      <c r="H5" s="40" t="s">
        <v>42</v>
      </c>
      <c r="I5" s="40" t="s">
        <v>50</v>
      </c>
      <c r="J5" s="41" t="s">
        <v>21</v>
      </c>
      <c r="K5" s="41" t="s">
        <v>22</v>
      </c>
      <c r="L5" s="41" t="s">
        <v>23</v>
      </c>
      <c r="M5" s="41" t="s">
        <v>24</v>
      </c>
      <c r="N5" s="41" t="s">
        <v>25</v>
      </c>
    </row>
    <row r="6" spans="2:14" s="18" customFormat="1" ht="39.9" customHeight="1">
      <c r="B6" s="19">
        <v>1</v>
      </c>
      <c r="C6" s="20"/>
      <c r="D6" s="20"/>
      <c r="E6" s="20"/>
      <c r="F6" s="20"/>
      <c r="G6" s="21"/>
      <c r="H6" s="23"/>
      <c r="I6" s="23"/>
      <c r="J6" s="25"/>
      <c r="K6" s="26"/>
      <c r="L6" s="27"/>
      <c r="M6" s="27"/>
      <c r="N6" s="27"/>
    </row>
    <row r="7" spans="2:14" s="18" customFormat="1" ht="39.9" customHeight="1">
      <c r="B7" s="19">
        <v>2</v>
      </c>
      <c r="C7" s="28"/>
      <c r="D7" s="28"/>
      <c r="E7" s="28"/>
      <c r="F7" s="28"/>
      <c r="G7" s="21"/>
      <c r="H7" s="23"/>
      <c r="I7" s="23"/>
      <c r="J7" s="25"/>
      <c r="K7" s="26"/>
      <c r="L7" s="27"/>
      <c r="M7" s="27"/>
      <c r="N7" s="27"/>
    </row>
    <row r="8" spans="2:14" s="18" customFormat="1" ht="39.9" customHeight="1">
      <c r="B8" s="19">
        <v>3</v>
      </c>
      <c r="C8" s="28"/>
      <c r="D8" s="28"/>
      <c r="E8" s="28"/>
      <c r="F8" s="28"/>
      <c r="G8" s="21"/>
      <c r="H8" s="23"/>
      <c r="I8" s="23"/>
      <c r="J8" s="25"/>
      <c r="K8" s="26"/>
      <c r="L8" s="27"/>
      <c r="M8" s="27"/>
      <c r="N8" s="27"/>
    </row>
    <row r="9" spans="2:14" s="18" customFormat="1" ht="39.9" customHeight="1">
      <c r="B9" s="19">
        <v>4</v>
      </c>
      <c r="C9" s="28"/>
      <c r="D9" s="28"/>
      <c r="E9" s="28"/>
      <c r="F9" s="28"/>
      <c r="G9" s="21"/>
      <c r="H9" s="23"/>
      <c r="I9" s="23"/>
      <c r="J9" s="25"/>
      <c r="K9" s="26"/>
      <c r="L9" s="27"/>
      <c r="M9" s="27"/>
      <c r="N9" s="27"/>
    </row>
    <row r="10" spans="2:14" s="18" customFormat="1" ht="39.9" customHeight="1">
      <c r="B10" s="19">
        <v>5</v>
      </c>
      <c r="C10" s="28"/>
      <c r="D10" s="28"/>
      <c r="E10" s="28"/>
      <c r="F10" s="28"/>
      <c r="G10" s="21"/>
      <c r="H10" s="23"/>
      <c r="I10" s="23"/>
      <c r="J10" s="25"/>
      <c r="K10" s="26"/>
      <c r="L10" s="27"/>
      <c r="M10" s="27"/>
      <c r="N10" s="27"/>
    </row>
  </sheetData>
  <mergeCells count="2">
    <mergeCell ref="B4:K4"/>
    <mergeCell ref="L4:N4"/>
  </mergeCells>
  <phoneticPr fontId="1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8BCD0-18FC-2740-8B84-75776F8C6493}">
  <sheetPr codeName="Sheet9"/>
  <dimension ref="B2:E3"/>
  <sheetViews>
    <sheetView showGridLines="0" workbookViewId="0">
      <selection activeCell="E20" sqref="E20"/>
    </sheetView>
  </sheetViews>
  <sheetFormatPr defaultColWidth="11.54296875" defaultRowHeight="19.2"/>
  <cols>
    <col min="1" max="1" width="1.90625" customWidth="1"/>
    <col min="2" max="4" width="15.90625" customWidth="1"/>
    <col min="5" max="5" width="90.90625" customWidth="1"/>
  </cols>
  <sheetData>
    <row r="2" spans="2:5">
      <c r="B2" s="35" t="s">
        <v>62</v>
      </c>
      <c r="C2" s="35" t="s">
        <v>63</v>
      </c>
      <c r="D2" s="35" t="s">
        <v>64</v>
      </c>
      <c r="E2" s="35" t="s">
        <v>65</v>
      </c>
    </row>
    <row r="3" spans="2:5">
      <c r="B3" s="36">
        <v>1</v>
      </c>
      <c r="C3" s="39">
        <v>43315</v>
      </c>
      <c r="D3" s="37" t="s">
        <v>66</v>
      </c>
      <c r="E3" s="38" t="s">
        <v>67</v>
      </c>
    </row>
  </sheetData>
  <phoneticPr fontId="16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Waiver Summary</vt:lpstr>
      <vt:lpstr>Shipping Lot List</vt:lpstr>
      <vt:lpstr>FAI</vt:lpstr>
      <vt:lpstr>SPC</vt:lpstr>
      <vt:lpstr>Cosmetic Waivers</vt:lpstr>
      <vt:lpstr>Dimensional Waivers</vt:lpstr>
      <vt:lpstr>Functional Waivers</vt:lpstr>
      <vt:lpstr>Reliability Waivers</vt:lpstr>
      <vt:lpstr>Rev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user01</cp:lastModifiedBy>
  <dcterms:created xsi:type="dcterms:W3CDTF">2018-08-03T17:39:04Z</dcterms:created>
  <dcterms:modified xsi:type="dcterms:W3CDTF">2024-01-22T06:11:17Z</dcterms:modified>
</cp:coreProperties>
</file>