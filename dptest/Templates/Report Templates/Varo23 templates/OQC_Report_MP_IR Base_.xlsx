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\\192.168.1.135\품질\1. IT 사업부\Varo23-project\(Varo) 출하 검사 성적서\2.0\LGIT\양식\"/>
    </mc:Choice>
  </mc:AlternateContent>
  <xr:revisionPtr revIDLastSave="0" documentId="13_ncr:1_{445FAAED-AA19-435E-BBBB-82BEDEC05241}" xr6:coauthVersionLast="47" xr6:coauthVersionMax="47" xr10:uidLastSave="{00000000-0000-0000-0000-000000000000}"/>
  <bookViews>
    <workbookView xWindow="28680" yWindow="-120" windowWidth="29040" windowHeight="15720" activeTab="3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2" r:id="rId5"/>
    <sheet name="Dimensional Waivers" sheetId="6" r:id="rId6"/>
    <sheet name="Functional Waivers" sheetId="7" r:id="rId7"/>
    <sheet name="Reliability Waivers" sheetId="8" r:id="rId8"/>
    <sheet name="Rev History" sheetId="1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2" i="14" l="1"/>
  <c r="W72" i="14"/>
  <c r="V72" i="14"/>
  <c r="U72" i="14"/>
  <c r="T72" i="14"/>
  <c r="R72" i="14"/>
  <c r="S72" i="14" s="1"/>
  <c r="Q72" i="14"/>
  <c r="P72" i="14"/>
  <c r="O72" i="14"/>
  <c r="Z72" i="14" s="1"/>
  <c r="N72" i="14"/>
  <c r="M72" i="14"/>
  <c r="K72" i="14"/>
  <c r="J72" i="14"/>
  <c r="M74" i="14"/>
  <c r="N74" i="14"/>
  <c r="O74" i="14"/>
  <c r="Y74" i="14" s="1"/>
  <c r="P74" i="14"/>
  <c r="AA74" i="14" s="1"/>
  <c r="Q74" i="14"/>
  <c r="R74" i="14"/>
  <c r="S74" i="14" s="1"/>
  <c r="T74" i="14"/>
  <c r="U74" i="14"/>
  <c r="V74" i="14"/>
  <c r="W74" i="14"/>
  <c r="AC74" i="14"/>
  <c r="M75" i="14"/>
  <c r="N75" i="14"/>
  <c r="O75" i="14"/>
  <c r="Y75" i="14" s="1"/>
  <c r="P75" i="14"/>
  <c r="Q75" i="14"/>
  <c r="AA75" i="14" s="1"/>
  <c r="R75" i="14"/>
  <c r="S75" i="14" s="1"/>
  <c r="T75" i="14"/>
  <c r="U75" i="14"/>
  <c r="V75" i="14"/>
  <c r="W75" i="14"/>
  <c r="AC75" i="14"/>
  <c r="M76" i="14"/>
  <c r="N76" i="14"/>
  <c r="O76" i="14"/>
  <c r="X76" i="14" s="1"/>
  <c r="P76" i="14"/>
  <c r="Q76" i="14"/>
  <c r="AA76" i="14" s="1"/>
  <c r="R76" i="14"/>
  <c r="S76" i="14" s="1"/>
  <c r="T76" i="14"/>
  <c r="U76" i="14"/>
  <c r="V76" i="14"/>
  <c r="W76" i="14"/>
  <c r="AC76" i="14"/>
  <c r="J76" i="14"/>
  <c r="K76" i="14"/>
  <c r="K75" i="14"/>
  <c r="J75" i="14"/>
  <c r="J74" i="14"/>
  <c r="K74" i="14"/>
  <c r="J73" i="14"/>
  <c r="K73" i="14"/>
  <c r="M71" i="14"/>
  <c r="N71" i="14"/>
  <c r="O71" i="14"/>
  <c r="P71" i="14"/>
  <c r="T71" i="14" s="1"/>
  <c r="R71" i="14"/>
  <c r="S71" i="14" s="1"/>
  <c r="U71" i="14"/>
  <c r="AC71" i="14"/>
  <c r="M73" i="14"/>
  <c r="N73" i="14"/>
  <c r="O73" i="14"/>
  <c r="U73" i="14" s="1"/>
  <c r="P73" i="14"/>
  <c r="Q73" i="14"/>
  <c r="R73" i="14"/>
  <c r="S73" i="14" s="1"/>
  <c r="T73" i="14"/>
  <c r="V73" i="14" s="1"/>
  <c r="W73" i="14" s="1"/>
  <c r="AC73" i="14"/>
  <c r="K71" i="14"/>
  <c r="J71" i="14"/>
  <c r="E8" i="5"/>
  <c r="AC70" i="14"/>
  <c r="R70" i="14"/>
  <c r="S70" i="14" s="1"/>
  <c r="Q70" i="14"/>
  <c r="P70" i="14"/>
  <c r="O70" i="14"/>
  <c r="Y70" i="14" s="1"/>
  <c r="N70" i="14"/>
  <c r="M70" i="14"/>
  <c r="K70" i="14"/>
  <c r="J70" i="14"/>
  <c r="AC69" i="14"/>
  <c r="R69" i="14"/>
  <c r="S69" i="14" s="1"/>
  <c r="P69" i="14"/>
  <c r="Q69" i="14" s="1"/>
  <c r="O69" i="14"/>
  <c r="N69" i="14"/>
  <c r="M69" i="14"/>
  <c r="K69" i="14"/>
  <c r="J69" i="14"/>
  <c r="AC68" i="14"/>
  <c r="R68" i="14"/>
  <c r="S68" i="14" s="1"/>
  <c r="P68" i="14"/>
  <c r="Q68" i="14" s="1"/>
  <c r="AA68" i="14" s="1"/>
  <c r="O68" i="14"/>
  <c r="N68" i="14"/>
  <c r="M68" i="14"/>
  <c r="K68" i="14"/>
  <c r="U68" i="14" s="1"/>
  <c r="J68" i="14"/>
  <c r="T68" i="14" s="1"/>
  <c r="V68" i="14" s="1"/>
  <c r="AC67" i="14"/>
  <c r="R67" i="14"/>
  <c r="S67" i="14" s="1"/>
  <c r="P67" i="14"/>
  <c r="Q67" i="14" s="1"/>
  <c r="AA67" i="14" s="1"/>
  <c r="O67" i="14"/>
  <c r="Y67" i="14" s="1"/>
  <c r="N67" i="14"/>
  <c r="M67" i="14"/>
  <c r="K67" i="14"/>
  <c r="J67" i="14"/>
  <c r="AC66" i="14"/>
  <c r="R66" i="14"/>
  <c r="S66" i="14" s="1"/>
  <c r="P66" i="14"/>
  <c r="Q66" i="14" s="1"/>
  <c r="AA66" i="14" s="1"/>
  <c r="O66" i="14"/>
  <c r="N66" i="14"/>
  <c r="M66" i="14"/>
  <c r="K66" i="14"/>
  <c r="J66" i="14"/>
  <c r="AC65" i="14"/>
  <c r="R65" i="14"/>
  <c r="S65" i="14" s="1"/>
  <c r="Q65" i="14"/>
  <c r="P65" i="14"/>
  <c r="T65" i="14" s="1"/>
  <c r="V65" i="14" s="1"/>
  <c r="W65" i="14" s="1"/>
  <c r="O65" i="14"/>
  <c r="Y65" i="14" s="1"/>
  <c r="N65" i="14"/>
  <c r="M65" i="14"/>
  <c r="K65" i="14"/>
  <c r="U65" i="14" s="1"/>
  <c r="J65" i="14"/>
  <c r="AC64" i="14"/>
  <c r="R64" i="14"/>
  <c r="S64" i="14" s="1"/>
  <c r="P64" i="14"/>
  <c r="Q64" i="14" s="1"/>
  <c r="AA64" i="14" s="1"/>
  <c r="O64" i="14"/>
  <c r="X64" i="14" s="1"/>
  <c r="N64" i="14"/>
  <c r="M64" i="14"/>
  <c r="K64" i="14"/>
  <c r="J64" i="14"/>
  <c r="AC63" i="14"/>
  <c r="R63" i="14"/>
  <c r="S63" i="14" s="1"/>
  <c r="P63" i="14"/>
  <c r="O63" i="14"/>
  <c r="N63" i="14"/>
  <c r="M63" i="14"/>
  <c r="K63" i="14"/>
  <c r="J63" i="14"/>
  <c r="AC62" i="14"/>
  <c r="R62" i="14"/>
  <c r="S62" i="14" s="1"/>
  <c r="P62" i="14"/>
  <c r="Q62" i="14" s="1"/>
  <c r="AA62" i="14" s="1"/>
  <c r="O62" i="14"/>
  <c r="Y62" i="14" s="1"/>
  <c r="N62" i="14"/>
  <c r="M62" i="14"/>
  <c r="K62" i="14"/>
  <c r="J62" i="14"/>
  <c r="AC61" i="14"/>
  <c r="R61" i="14"/>
  <c r="S61" i="14" s="1"/>
  <c r="P61" i="14"/>
  <c r="Q61" i="14" s="1"/>
  <c r="O61" i="14"/>
  <c r="N61" i="14"/>
  <c r="M61" i="14"/>
  <c r="K61" i="14"/>
  <c r="J61" i="14"/>
  <c r="AC60" i="14"/>
  <c r="R60" i="14"/>
  <c r="S60" i="14" s="1"/>
  <c r="Q60" i="14"/>
  <c r="P60" i="14"/>
  <c r="O60" i="14"/>
  <c r="N60" i="14"/>
  <c r="M60" i="14"/>
  <c r="K60" i="14"/>
  <c r="U60" i="14" s="1"/>
  <c r="J60" i="14"/>
  <c r="T60" i="14" s="1"/>
  <c r="V60" i="14" s="1"/>
  <c r="W60" i="14" s="1"/>
  <c r="AC59" i="14"/>
  <c r="R59" i="14"/>
  <c r="S59" i="14" s="1"/>
  <c r="P59" i="14"/>
  <c r="Q59" i="14" s="1"/>
  <c r="AA59" i="14" s="1"/>
  <c r="O59" i="14"/>
  <c r="N59" i="14"/>
  <c r="M59" i="14"/>
  <c r="K59" i="14"/>
  <c r="J59" i="14"/>
  <c r="AC58" i="14"/>
  <c r="R58" i="14"/>
  <c r="S58" i="14" s="1"/>
  <c r="P58" i="14"/>
  <c r="Q58" i="14" s="1"/>
  <c r="AA58" i="14" s="1"/>
  <c r="O58" i="14"/>
  <c r="N58" i="14"/>
  <c r="M58" i="14"/>
  <c r="K58" i="14"/>
  <c r="J58" i="14"/>
  <c r="AC57" i="14"/>
  <c r="R57" i="14"/>
  <c r="S57" i="14" s="1"/>
  <c r="Q57" i="14"/>
  <c r="P57" i="14"/>
  <c r="O57" i="14"/>
  <c r="Y57" i="14" s="1"/>
  <c r="N57" i="14"/>
  <c r="M57" i="14"/>
  <c r="K57" i="14"/>
  <c r="J57" i="14"/>
  <c r="AC56" i="14"/>
  <c r="T56" i="14"/>
  <c r="R56" i="14"/>
  <c r="S56" i="14" s="1"/>
  <c r="P56" i="14"/>
  <c r="Q56" i="14" s="1"/>
  <c r="AA56" i="14" s="1"/>
  <c r="O56" i="14"/>
  <c r="X56" i="14" s="1"/>
  <c r="N56" i="14"/>
  <c r="M56" i="14"/>
  <c r="K56" i="14"/>
  <c r="U56" i="14" s="1"/>
  <c r="J56" i="14"/>
  <c r="AC55" i="14"/>
  <c r="R55" i="14"/>
  <c r="S55" i="14" s="1"/>
  <c r="P55" i="14"/>
  <c r="U55" i="14" s="1"/>
  <c r="O55" i="14"/>
  <c r="N55" i="14"/>
  <c r="M55" i="14"/>
  <c r="K55" i="14"/>
  <c r="J55" i="14"/>
  <c r="T55" i="14" s="1"/>
  <c r="AC54" i="14"/>
  <c r="R54" i="14"/>
  <c r="S54" i="14" s="1"/>
  <c r="P54" i="14"/>
  <c r="Q54" i="14" s="1"/>
  <c r="AA54" i="14" s="1"/>
  <c r="O54" i="14"/>
  <c r="Y54" i="14" s="1"/>
  <c r="N54" i="14"/>
  <c r="M54" i="14"/>
  <c r="K54" i="14"/>
  <c r="J54" i="14"/>
  <c r="T54" i="14" s="1"/>
  <c r="AC53" i="14"/>
  <c r="R53" i="14"/>
  <c r="S53" i="14" s="1"/>
  <c r="P53" i="14"/>
  <c r="Q53" i="14" s="1"/>
  <c r="AA53" i="14" s="1"/>
  <c r="O53" i="14"/>
  <c r="N53" i="14"/>
  <c r="M53" i="14"/>
  <c r="K53" i="14"/>
  <c r="J53" i="14"/>
  <c r="AC52" i="14"/>
  <c r="U52" i="14"/>
  <c r="R52" i="14"/>
  <c r="S52" i="14" s="1"/>
  <c r="P52" i="14"/>
  <c r="O52" i="14"/>
  <c r="Z52" i="14" s="1"/>
  <c r="N52" i="14"/>
  <c r="M52" i="14"/>
  <c r="K52" i="14"/>
  <c r="J52" i="14"/>
  <c r="T52" i="14" s="1"/>
  <c r="Q52" i="14" s="1"/>
  <c r="AC51" i="14"/>
  <c r="R51" i="14"/>
  <c r="S51" i="14" s="1"/>
  <c r="P51" i="14"/>
  <c r="Q51" i="14" s="1"/>
  <c r="AA51" i="14" s="1"/>
  <c r="O51" i="14"/>
  <c r="N51" i="14"/>
  <c r="M51" i="14"/>
  <c r="K51" i="14"/>
  <c r="J51" i="14"/>
  <c r="AC50" i="14"/>
  <c r="U50" i="14"/>
  <c r="R50" i="14"/>
  <c r="S50" i="14" s="1"/>
  <c r="P50" i="14"/>
  <c r="Q50" i="14" s="1"/>
  <c r="AA50" i="14" s="1"/>
  <c r="O50" i="14"/>
  <c r="T50" i="14" s="1"/>
  <c r="V50" i="14" s="1"/>
  <c r="N50" i="14"/>
  <c r="M50" i="14"/>
  <c r="K50" i="14"/>
  <c r="J50" i="14"/>
  <c r="AC49" i="14"/>
  <c r="T49" i="14"/>
  <c r="R49" i="14"/>
  <c r="S49" i="14" s="1"/>
  <c r="Q49" i="14"/>
  <c r="P49" i="14"/>
  <c r="O49" i="14"/>
  <c r="Y49" i="14" s="1"/>
  <c r="N49" i="14"/>
  <c r="M49" i="14"/>
  <c r="K49" i="14"/>
  <c r="U49" i="14" s="1"/>
  <c r="J49" i="14"/>
  <c r="AC48" i="14"/>
  <c r="R48" i="14"/>
  <c r="S48" i="14" s="1"/>
  <c r="P48" i="14"/>
  <c r="Q48" i="14" s="1"/>
  <c r="AA48" i="14" s="1"/>
  <c r="O48" i="14"/>
  <c r="Y48" i="14" s="1"/>
  <c r="N48" i="14"/>
  <c r="M48" i="14"/>
  <c r="K48" i="14"/>
  <c r="J48" i="14"/>
  <c r="AC47" i="14"/>
  <c r="R47" i="14"/>
  <c r="S47" i="14" s="1"/>
  <c r="P47" i="14"/>
  <c r="U47" i="14" s="1"/>
  <c r="O47" i="14"/>
  <c r="N47" i="14"/>
  <c r="M47" i="14"/>
  <c r="K47" i="14"/>
  <c r="J47" i="14"/>
  <c r="AC46" i="14"/>
  <c r="R46" i="14"/>
  <c r="S46" i="14" s="1"/>
  <c r="P46" i="14"/>
  <c r="Q46" i="14" s="1"/>
  <c r="AA46" i="14" s="1"/>
  <c r="O46" i="14"/>
  <c r="X46" i="14" s="1"/>
  <c r="N46" i="14"/>
  <c r="M46" i="14"/>
  <c r="K46" i="14"/>
  <c r="J46" i="14"/>
  <c r="AC45" i="14"/>
  <c r="R45" i="14"/>
  <c r="S45" i="14" s="1"/>
  <c r="P45" i="14"/>
  <c r="Q45" i="14" s="1"/>
  <c r="AA45" i="14" s="1"/>
  <c r="O45" i="14"/>
  <c r="N45" i="14"/>
  <c r="M45" i="14"/>
  <c r="K45" i="14"/>
  <c r="J45" i="14"/>
  <c r="AC44" i="14"/>
  <c r="R44" i="14"/>
  <c r="S44" i="14" s="1"/>
  <c r="Q44" i="14"/>
  <c r="P44" i="14"/>
  <c r="O44" i="14"/>
  <c r="Y44" i="14" s="1"/>
  <c r="N44" i="14"/>
  <c r="M44" i="14"/>
  <c r="K44" i="14"/>
  <c r="J44" i="14"/>
  <c r="AC43" i="14"/>
  <c r="R43" i="14"/>
  <c r="S43" i="14" s="1"/>
  <c r="P43" i="14"/>
  <c r="Q43" i="14" s="1"/>
  <c r="AA43" i="14" s="1"/>
  <c r="O43" i="14"/>
  <c r="N43" i="14"/>
  <c r="M43" i="14"/>
  <c r="K43" i="14"/>
  <c r="J43" i="14"/>
  <c r="AC42" i="14"/>
  <c r="U42" i="14"/>
  <c r="R42" i="14"/>
  <c r="S42" i="14" s="1"/>
  <c r="P42" i="14"/>
  <c r="Q42" i="14" s="1"/>
  <c r="AA42" i="14" s="1"/>
  <c r="O42" i="14"/>
  <c r="T42" i="14" s="1"/>
  <c r="N42" i="14"/>
  <c r="M42" i="14"/>
  <c r="K42" i="14"/>
  <c r="J42" i="14"/>
  <c r="AC41" i="14"/>
  <c r="R41" i="14"/>
  <c r="S41" i="14" s="1"/>
  <c r="P41" i="14"/>
  <c r="T41" i="14" s="1"/>
  <c r="V41" i="14" s="1"/>
  <c r="O41" i="14"/>
  <c r="X41" i="14" s="1"/>
  <c r="N41" i="14"/>
  <c r="M41" i="14"/>
  <c r="K41" i="14"/>
  <c r="U41" i="14" s="1"/>
  <c r="J41" i="14"/>
  <c r="AC40" i="14"/>
  <c r="U40" i="14"/>
  <c r="R40" i="14"/>
  <c r="S40" i="14" s="1"/>
  <c r="P40" i="14"/>
  <c r="Q40" i="14" s="1"/>
  <c r="AA40" i="14" s="1"/>
  <c r="O40" i="14"/>
  <c r="Y40" i="14" s="1"/>
  <c r="N40" i="14"/>
  <c r="M40" i="14"/>
  <c r="K40" i="14"/>
  <c r="J40" i="14"/>
  <c r="AC39" i="14"/>
  <c r="R39" i="14"/>
  <c r="S39" i="14" s="1"/>
  <c r="P39" i="14"/>
  <c r="U39" i="14" s="1"/>
  <c r="O39" i="14"/>
  <c r="N39" i="14"/>
  <c r="M39" i="14"/>
  <c r="K39" i="14"/>
  <c r="J39" i="14"/>
  <c r="AC38" i="14"/>
  <c r="R38" i="14"/>
  <c r="S38" i="14" s="1"/>
  <c r="P38" i="14"/>
  <c r="Q38" i="14" s="1"/>
  <c r="AA38" i="14" s="1"/>
  <c r="O38" i="14"/>
  <c r="N38" i="14"/>
  <c r="M38" i="14"/>
  <c r="K38" i="14"/>
  <c r="J38" i="14"/>
  <c r="AC37" i="14"/>
  <c r="R37" i="14"/>
  <c r="S37" i="14" s="1"/>
  <c r="P37" i="14"/>
  <c r="Q37" i="14" s="1"/>
  <c r="AA37" i="14" s="1"/>
  <c r="O37" i="14"/>
  <c r="N37" i="14"/>
  <c r="M37" i="14"/>
  <c r="K37" i="14"/>
  <c r="J37" i="14"/>
  <c r="AC36" i="14"/>
  <c r="R36" i="14"/>
  <c r="S36" i="14" s="1"/>
  <c r="P36" i="14"/>
  <c r="Q36" i="14" s="1"/>
  <c r="AA36" i="14" s="1"/>
  <c r="O36" i="14"/>
  <c r="Y36" i="14" s="1"/>
  <c r="N36" i="14"/>
  <c r="M36" i="14"/>
  <c r="K36" i="14"/>
  <c r="U36" i="14" s="1"/>
  <c r="J36" i="14"/>
  <c r="AC35" i="14"/>
  <c r="R35" i="14"/>
  <c r="S35" i="14" s="1"/>
  <c r="P35" i="14"/>
  <c r="Q35" i="14" s="1"/>
  <c r="AA35" i="14" s="1"/>
  <c r="O35" i="14"/>
  <c r="N35" i="14"/>
  <c r="M35" i="14"/>
  <c r="K35" i="14"/>
  <c r="J35" i="14"/>
  <c r="AC34" i="14"/>
  <c r="R34" i="14"/>
  <c r="S34" i="14" s="1"/>
  <c r="P34" i="14"/>
  <c r="Q34" i="14" s="1"/>
  <c r="AA34" i="14" s="1"/>
  <c r="O34" i="14"/>
  <c r="N34" i="14"/>
  <c r="M34" i="14"/>
  <c r="K34" i="14"/>
  <c r="J34" i="14"/>
  <c r="AC33" i="14"/>
  <c r="R33" i="14"/>
  <c r="S33" i="14" s="1"/>
  <c r="P33" i="14"/>
  <c r="Q33" i="14" s="1"/>
  <c r="AA33" i="14" s="1"/>
  <c r="O33" i="14"/>
  <c r="X33" i="14" s="1"/>
  <c r="N33" i="14"/>
  <c r="M33" i="14"/>
  <c r="K33" i="14"/>
  <c r="U33" i="14" s="1"/>
  <c r="J33" i="14"/>
  <c r="AC32" i="14"/>
  <c r="R32" i="14"/>
  <c r="S32" i="14" s="1"/>
  <c r="P32" i="14"/>
  <c r="Q32" i="14" s="1"/>
  <c r="AA32" i="14" s="1"/>
  <c r="O32" i="14"/>
  <c r="Y32" i="14" s="1"/>
  <c r="N32" i="14"/>
  <c r="M32" i="14"/>
  <c r="K32" i="14"/>
  <c r="J32" i="14"/>
  <c r="AC31" i="14"/>
  <c r="R31" i="14"/>
  <c r="S31" i="14" s="1"/>
  <c r="P31" i="14"/>
  <c r="U31" i="14" s="1"/>
  <c r="O31" i="14"/>
  <c r="Y31" i="14" s="1"/>
  <c r="N31" i="14"/>
  <c r="M31" i="14"/>
  <c r="K31" i="14"/>
  <c r="J31" i="14"/>
  <c r="AC30" i="14"/>
  <c r="R30" i="14"/>
  <c r="S30" i="14" s="1"/>
  <c r="P30" i="14"/>
  <c r="Q30" i="14" s="1"/>
  <c r="AA30" i="14" s="1"/>
  <c r="O30" i="14"/>
  <c r="Y30" i="14" s="1"/>
  <c r="N30" i="14"/>
  <c r="M30" i="14"/>
  <c r="K30" i="14"/>
  <c r="J30" i="14"/>
  <c r="AC29" i="14"/>
  <c r="R29" i="14"/>
  <c r="S29" i="14" s="1"/>
  <c r="P29" i="14"/>
  <c r="Q29" i="14" s="1"/>
  <c r="AA29" i="14" s="1"/>
  <c r="O29" i="14"/>
  <c r="N29" i="14"/>
  <c r="M29" i="14"/>
  <c r="K29" i="14"/>
  <c r="J29" i="14"/>
  <c r="AC28" i="14"/>
  <c r="R28" i="14"/>
  <c r="S28" i="14" s="1"/>
  <c r="P28" i="14"/>
  <c r="Q28" i="14" s="1"/>
  <c r="O28" i="14"/>
  <c r="Y28" i="14" s="1"/>
  <c r="N28" i="14"/>
  <c r="M28" i="14"/>
  <c r="K28" i="14"/>
  <c r="J28" i="14"/>
  <c r="AC27" i="14"/>
  <c r="R27" i="14"/>
  <c r="S27" i="14" s="1"/>
  <c r="P27" i="14"/>
  <c r="Q27" i="14" s="1"/>
  <c r="AA27" i="14" s="1"/>
  <c r="O27" i="14"/>
  <c r="N27" i="14"/>
  <c r="M27" i="14"/>
  <c r="K27" i="14"/>
  <c r="J27" i="14"/>
  <c r="AC26" i="14"/>
  <c r="R26" i="14"/>
  <c r="S26" i="14" s="1"/>
  <c r="P26" i="14"/>
  <c r="Q26" i="14" s="1"/>
  <c r="AA26" i="14" s="1"/>
  <c r="O26" i="14"/>
  <c r="T26" i="14" s="1"/>
  <c r="N26" i="14"/>
  <c r="M26" i="14"/>
  <c r="K26" i="14"/>
  <c r="J26" i="14"/>
  <c r="AC25" i="14"/>
  <c r="T25" i="14"/>
  <c r="R25" i="14"/>
  <c r="S25" i="14" s="1"/>
  <c r="Q25" i="14"/>
  <c r="P25" i="14"/>
  <c r="O25" i="14"/>
  <c r="Y25" i="14" s="1"/>
  <c r="N25" i="14"/>
  <c r="M25" i="14"/>
  <c r="K25" i="14"/>
  <c r="J25" i="14"/>
  <c r="AC24" i="14"/>
  <c r="R24" i="14"/>
  <c r="S24" i="14" s="1"/>
  <c r="P24" i="14"/>
  <c r="Q24" i="14" s="1"/>
  <c r="AA24" i="14" s="1"/>
  <c r="O24" i="14"/>
  <c r="Y24" i="14" s="1"/>
  <c r="N24" i="14"/>
  <c r="M24" i="14"/>
  <c r="K24" i="14"/>
  <c r="U24" i="14" s="1"/>
  <c r="J24" i="14"/>
  <c r="AC23" i="14"/>
  <c r="R23" i="14"/>
  <c r="S23" i="14" s="1"/>
  <c r="P23" i="14"/>
  <c r="O23" i="14"/>
  <c r="Y23" i="14" s="1"/>
  <c r="N23" i="14"/>
  <c r="M23" i="14"/>
  <c r="K23" i="14"/>
  <c r="J23" i="14"/>
  <c r="AC22" i="14"/>
  <c r="R22" i="14"/>
  <c r="S22" i="14" s="1"/>
  <c r="P22" i="14"/>
  <c r="Q22" i="14" s="1"/>
  <c r="AA22" i="14" s="1"/>
  <c r="O22" i="14"/>
  <c r="Y22" i="14" s="1"/>
  <c r="N22" i="14"/>
  <c r="M22" i="14"/>
  <c r="K22" i="14"/>
  <c r="J22" i="14"/>
  <c r="AC21" i="14"/>
  <c r="R21" i="14"/>
  <c r="S21" i="14" s="1"/>
  <c r="P21" i="14"/>
  <c r="Q21" i="14" s="1"/>
  <c r="AA21" i="14" s="1"/>
  <c r="O21" i="14"/>
  <c r="N21" i="14"/>
  <c r="M21" i="14"/>
  <c r="K21" i="14"/>
  <c r="J21" i="14"/>
  <c r="AC20" i="14"/>
  <c r="R20" i="14"/>
  <c r="S20" i="14" s="1"/>
  <c r="Q20" i="14"/>
  <c r="P20" i="14"/>
  <c r="O20" i="14"/>
  <c r="Y20" i="14" s="1"/>
  <c r="N20" i="14"/>
  <c r="M20" i="14"/>
  <c r="K20" i="14"/>
  <c r="J20" i="14"/>
  <c r="AC19" i="14"/>
  <c r="U19" i="14"/>
  <c r="R19" i="14"/>
  <c r="S19" i="14" s="1"/>
  <c r="P19" i="14"/>
  <c r="V19" i="14" s="1"/>
  <c r="W19" i="14" s="1"/>
  <c r="O19" i="14"/>
  <c r="Z19" i="14" s="1"/>
  <c r="N19" i="14"/>
  <c r="M19" i="14"/>
  <c r="K19" i="14"/>
  <c r="J19" i="14"/>
  <c r="AC18" i="14"/>
  <c r="U18" i="14"/>
  <c r="R18" i="14"/>
  <c r="S18" i="14" s="1"/>
  <c r="P18" i="14"/>
  <c r="O18" i="14"/>
  <c r="T18" i="14" s="1"/>
  <c r="Q18" i="14" s="1"/>
  <c r="N18" i="14"/>
  <c r="M18" i="14"/>
  <c r="K18" i="14"/>
  <c r="J18" i="14"/>
  <c r="AC17" i="14"/>
  <c r="U17" i="14"/>
  <c r="R17" i="14"/>
  <c r="S17" i="14" s="1"/>
  <c r="P17" i="14"/>
  <c r="O17" i="14"/>
  <c r="Z17" i="14" s="1"/>
  <c r="N17" i="14"/>
  <c r="M17" i="14"/>
  <c r="K17" i="14"/>
  <c r="J17" i="14"/>
  <c r="AC16" i="14"/>
  <c r="V16" i="14"/>
  <c r="W16" i="14" s="1"/>
  <c r="U16" i="14"/>
  <c r="T16" i="14"/>
  <c r="Q16" i="14" s="1"/>
  <c r="R16" i="14"/>
  <c r="S16" i="14" s="1"/>
  <c r="P16" i="14"/>
  <c r="O16" i="14"/>
  <c r="X16" i="14" s="1"/>
  <c r="N16" i="14"/>
  <c r="M16" i="14"/>
  <c r="K16" i="14"/>
  <c r="J16" i="14"/>
  <c r="AC15" i="14"/>
  <c r="U15" i="14"/>
  <c r="R15" i="14"/>
  <c r="S15" i="14" s="1"/>
  <c r="P15" i="14"/>
  <c r="O15" i="14"/>
  <c r="Y15" i="14" s="1"/>
  <c r="N15" i="14"/>
  <c r="M15" i="14"/>
  <c r="K15" i="14"/>
  <c r="J15" i="14"/>
  <c r="AC14" i="14"/>
  <c r="U14" i="14"/>
  <c r="R14" i="14"/>
  <c r="S14" i="14" s="1"/>
  <c r="P14" i="14"/>
  <c r="V14" i="14" s="1"/>
  <c r="W14" i="14" s="1"/>
  <c r="O14" i="14"/>
  <c r="N14" i="14"/>
  <c r="M14" i="14"/>
  <c r="K14" i="14"/>
  <c r="J14" i="14"/>
  <c r="AC13" i="14"/>
  <c r="U13" i="14"/>
  <c r="R13" i="14"/>
  <c r="S13" i="14" s="1"/>
  <c r="P13" i="14"/>
  <c r="O13" i="14"/>
  <c r="Z13" i="14" s="1"/>
  <c r="N13" i="14"/>
  <c r="M13" i="14"/>
  <c r="K13" i="14"/>
  <c r="J13" i="14"/>
  <c r="AC12" i="14"/>
  <c r="U12" i="14"/>
  <c r="R12" i="14"/>
  <c r="S12" i="14" s="1"/>
  <c r="P12" i="14"/>
  <c r="O12" i="14"/>
  <c r="V12" i="14" s="1"/>
  <c r="W12" i="14" s="1"/>
  <c r="N12" i="14"/>
  <c r="M12" i="14"/>
  <c r="K12" i="14"/>
  <c r="J12" i="14"/>
  <c r="T12" i="14" s="1"/>
  <c r="Q12" i="14" s="1"/>
  <c r="AC11" i="14"/>
  <c r="R11" i="14"/>
  <c r="S11" i="14" s="1"/>
  <c r="P11" i="14"/>
  <c r="Q11" i="14" s="1"/>
  <c r="AA11" i="14" s="1"/>
  <c r="O11" i="14"/>
  <c r="N11" i="14"/>
  <c r="M11" i="14"/>
  <c r="K11" i="14"/>
  <c r="J11" i="14"/>
  <c r="AC10" i="14"/>
  <c r="R10" i="14"/>
  <c r="S10" i="14" s="1"/>
  <c r="P10" i="14"/>
  <c r="Q10" i="14" s="1"/>
  <c r="AA10" i="14" s="1"/>
  <c r="O10" i="14"/>
  <c r="T10" i="14" s="1"/>
  <c r="N10" i="14"/>
  <c r="M10" i="14"/>
  <c r="K10" i="14"/>
  <c r="J10" i="14"/>
  <c r="AC9" i="14"/>
  <c r="U9" i="14"/>
  <c r="R9" i="14"/>
  <c r="S9" i="14" s="1"/>
  <c r="P9" i="14"/>
  <c r="O9" i="14"/>
  <c r="X9" i="14" s="1"/>
  <c r="N9" i="14"/>
  <c r="M9" i="14"/>
  <c r="K9" i="14"/>
  <c r="J9" i="14"/>
  <c r="AC8" i="14"/>
  <c r="R8" i="14"/>
  <c r="S8" i="14" s="1"/>
  <c r="P8" i="14"/>
  <c r="Q8" i="14" s="1"/>
  <c r="AA8" i="14" s="1"/>
  <c r="O8" i="14"/>
  <c r="X8" i="14" s="1"/>
  <c r="N8" i="14"/>
  <c r="M8" i="14"/>
  <c r="K8" i="14"/>
  <c r="J8" i="14"/>
  <c r="AC7" i="14"/>
  <c r="R7" i="14"/>
  <c r="S7" i="14" s="1"/>
  <c r="P7" i="14"/>
  <c r="O7" i="14"/>
  <c r="Y7" i="14" s="1"/>
  <c r="N7" i="14"/>
  <c r="M7" i="14"/>
  <c r="K7" i="14"/>
  <c r="J7" i="14"/>
  <c r="AC6" i="14"/>
  <c r="U6" i="14"/>
  <c r="R6" i="14"/>
  <c r="S6" i="14" s="1"/>
  <c r="P6" i="14"/>
  <c r="V6" i="14" s="1"/>
  <c r="W6" i="14" s="1"/>
  <c r="O6" i="14"/>
  <c r="N6" i="14"/>
  <c r="M6" i="14"/>
  <c r="K6" i="14"/>
  <c r="J6" i="14"/>
  <c r="P148" i="13"/>
  <c r="O148" i="13"/>
  <c r="Q148" i="13" s="1"/>
  <c r="N148" i="13"/>
  <c r="M148" i="13"/>
  <c r="L148" i="13"/>
  <c r="K148" i="13"/>
  <c r="P147" i="13"/>
  <c r="O147" i="13"/>
  <c r="Q147" i="13" s="1"/>
  <c r="N147" i="13"/>
  <c r="M147" i="13"/>
  <c r="L147" i="13"/>
  <c r="K147" i="13"/>
  <c r="P146" i="13"/>
  <c r="O146" i="13"/>
  <c r="Q146" i="13" s="1"/>
  <c r="N146" i="13"/>
  <c r="M146" i="13"/>
  <c r="L146" i="13"/>
  <c r="K146" i="13"/>
  <c r="P145" i="13"/>
  <c r="O145" i="13"/>
  <c r="Q145" i="13" s="1"/>
  <c r="N145" i="13"/>
  <c r="M145" i="13"/>
  <c r="L145" i="13"/>
  <c r="K145" i="13"/>
  <c r="P144" i="13"/>
  <c r="O144" i="13"/>
  <c r="Q144" i="13" s="1"/>
  <c r="N144" i="13"/>
  <c r="M144" i="13"/>
  <c r="L144" i="13"/>
  <c r="K144" i="13"/>
  <c r="P143" i="13"/>
  <c r="O143" i="13"/>
  <c r="Q143" i="13" s="1"/>
  <c r="N143" i="13"/>
  <c r="M143" i="13"/>
  <c r="L143" i="13"/>
  <c r="K143" i="13"/>
  <c r="P142" i="13"/>
  <c r="O142" i="13"/>
  <c r="Q142" i="13" s="1"/>
  <c r="N142" i="13"/>
  <c r="M142" i="13"/>
  <c r="L142" i="13"/>
  <c r="K142" i="13"/>
  <c r="P141" i="13"/>
  <c r="O141" i="13"/>
  <c r="Q141" i="13" s="1"/>
  <c r="N141" i="13"/>
  <c r="M141" i="13"/>
  <c r="L141" i="13"/>
  <c r="K141" i="13"/>
  <c r="P140" i="13"/>
  <c r="O140" i="13"/>
  <c r="Q140" i="13" s="1"/>
  <c r="N140" i="13"/>
  <c r="M140" i="13"/>
  <c r="L140" i="13"/>
  <c r="K140" i="13"/>
  <c r="P139" i="13"/>
  <c r="O139" i="13"/>
  <c r="Q139" i="13" s="1"/>
  <c r="N139" i="13"/>
  <c r="M139" i="13"/>
  <c r="L139" i="13"/>
  <c r="K139" i="13"/>
  <c r="P138" i="13"/>
  <c r="O138" i="13"/>
  <c r="Q138" i="13" s="1"/>
  <c r="N138" i="13"/>
  <c r="M138" i="13"/>
  <c r="L138" i="13"/>
  <c r="K138" i="13"/>
  <c r="P137" i="13"/>
  <c r="O137" i="13"/>
  <c r="Q137" i="13" s="1"/>
  <c r="N137" i="13"/>
  <c r="M137" i="13"/>
  <c r="L137" i="13"/>
  <c r="K137" i="13"/>
  <c r="P136" i="13"/>
  <c r="O136" i="13"/>
  <c r="Q136" i="13" s="1"/>
  <c r="N136" i="13"/>
  <c r="M136" i="13"/>
  <c r="L136" i="13"/>
  <c r="K136" i="13"/>
  <c r="P135" i="13"/>
  <c r="O135" i="13"/>
  <c r="Q135" i="13" s="1"/>
  <c r="N135" i="13"/>
  <c r="M135" i="13"/>
  <c r="L135" i="13"/>
  <c r="K135" i="13"/>
  <c r="P134" i="13"/>
  <c r="O134" i="13"/>
  <c r="Q134" i="13" s="1"/>
  <c r="N134" i="13"/>
  <c r="M134" i="13"/>
  <c r="L134" i="13"/>
  <c r="K134" i="13"/>
  <c r="P133" i="13"/>
  <c r="O133" i="13"/>
  <c r="Q133" i="13" s="1"/>
  <c r="N133" i="13"/>
  <c r="M133" i="13"/>
  <c r="L133" i="13"/>
  <c r="K133" i="13"/>
  <c r="P132" i="13"/>
  <c r="O132" i="13"/>
  <c r="Q132" i="13" s="1"/>
  <c r="N132" i="13"/>
  <c r="M132" i="13"/>
  <c r="L132" i="13"/>
  <c r="K132" i="13"/>
  <c r="P131" i="13"/>
  <c r="R131" i="13" s="1"/>
  <c r="O131" i="13"/>
  <c r="Q131" i="13" s="1"/>
  <c r="N131" i="13"/>
  <c r="M131" i="13"/>
  <c r="L131" i="13"/>
  <c r="K131" i="13"/>
  <c r="R130" i="13"/>
  <c r="P130" i="13"/>
  <c r="O130" i="13"/>
  <c r="Q130" i="13" s="1"/>
  <c r="N130" i="13"/>
  <c r="M130" i="13"/>
  <c r="L130" i="13"/>
  <c r="K130" i="13"/>
  <c r="P129" i="13"/>
  <c r="R129" i="13" s="1"/>
  <c r="O129" i="13"/>
  <c r="Q129" i="13" s="1"/>
  <c r="N129" i="13"/>
  <c r="M129" i="13"/>
  <c r="L129" i="13"/>
  <c r="K129" i="13"/>
  <c r="P128" i="13"/>
  <c r="R128" i="13" s="1"/>
  <c r="O128" i="13"/>
  <c r="Q128" i="13" s="1"/>
  <c r="N128" i="13"/>
  <c r="M128" i="13"/>
  <c r="L128" i="13"/>
  <c r="K128" i="13"/>
  <c r="P127" i="13"/>
  <c r="R127" i="13" s="1"/>
  <c r="O127" i="13"/>
  <c r="Q127" i="13" s="1"/>
  <c r="N127" i="13"/>
  <c r="M127" i="13"/>
  <c r="L127" i="13"/>
  <c r="K127" i="13"/>
  <c r="P126" i="13"/>
  <c r="R126" i="13" s="1"/>
  <c r="O126" i="13"/>
  <c r="Q126" i="13" s="1"/>
  <c r="N126" i="13"/>
  <c r="M126" i="13"/>
  <c r="L126" i="13"/>
  <c r="K126" i="13"/>
  <c r="P125" i="13"/>
  <c r="R125" i="13" s="1"/>
  <c r="O125" i="13"/>
  <c r="Q125" i="13" s="1"/>
  <c r="N125" i="13"/>
  <c r="M125" i="13"/>
  <c r="L125" i="13"/>
  <c r="K125" i="13"/>
  <c r="P124" i="13"/>
  <c r="R124" i="13" s="1"/>
  <c r="O124" i="13"/>
  <c r="Q124" i="13" s="1"/>
  <c r="N124" i="13"/>
  <c r="M124" i="13"/>
  <c r="L124" i="13"/>
  <c r="K124" i="13"/>
  <c r="P123" i="13"/>
  <c r="R123" i="13" s="1"/>
  <c r="O123" i="13"/>
  <c r="Q123" i="13" s="1"/>
  <c r="N123" i="13"/>
  <c r="M123" i="13"/>
  <c r="L123" i="13"/>
  <c r="K123" i="13"/>
  <c r="P122" i="13"/>
  <c r="R122" i="13" s="1"/>
  <c r="O122" i="13"/>
  <c r="Q122" i="13" s="1"/>
  <c r="N122" i="13"/>
  <c r="M122" i="13"/>
  <c r="L122" i="13"/>
  <c r="K122" i="13"/>
  <c r="R121" i="13"/>
  <c r="P121" i="13"/>
  <c r="O121" i="13"/>
  <c r="Q121" i="13" s="1"/>
  <c r="N121" i="13"/>
  <c r="M121" i="13"/>
  <c r="L121" i="13"/>
  <c r="K121" i="13"/>
  <c r="R120" i="13"/>
  <c r="P120" i="13"/>
  <c r="O120" i="13"/>
  <c r="Q120" i="13" s="1"/>
  <c r="N120" i="13"/>
  <c r="M120" i="13"/>
  <c r="L120" i="13"/>
  <c r="K120" i="13"/>
  <c r="P119" i="13"/>
  <c r="R119" i="13" s="1"/>
  <c r="O119" i="13"/>
  <c r="Q119" i="13" s="1"/>
  <c r="N119" i="13"/>
  <c r="M119" i="13"/>
  <c r="L119" i="13"/>
  <c r="K119" i="13"/>
  <c r="P118" i="13"/>
  <c r="R118" i="13" s="1"/>
  <c r="O118" i="13"/>
  <c r="Q118" i="13" s="1"/>
  <c r="N118" i="13"/>
  <c r="M118" i="13"/>
  <c r="L118" i="13"/>
  <c r="K118" i="13"/>
  <c r="P117" i="13"/>
  <c r="R117" i="13" s="1"/>
  <c r="O117" i="13"/>
  <c r="Q117" i="13" s="1"/>
  <c r="N117" i="13"/>
  <c r="M117" i="13"/>
  <c r="L117" i="13"/>
  <c r="K117" i="13"/>
  <c r="P116" i="13"/>
  <c r="R116" i="13" s="1"/>
  <c r="O116" i="13"/>
  <c r="Q116" i="13" s="1"/>
  <c r="N116" i="13"/>
  <c r="M116" i="13"/>
  <c r="L116" i="13"/>
  <c r="K116" i="13"/>
  <c r="P115" i="13"/>
  <c r="R115" i="13" s="1"/>
  <c r="O115" i="13"/>
  <c r="Q115" i="13" s="1"/>
  <c r="N115" i="13"/>
  <c r="M115" i="13"/>
  <c r="L115" i="13"/>
  <c r="K115" i="13"/>
  <c r="P114" i="13"/>
  <c r="O114" i="13"/>
  <c r="N114" i="13"/>
  <c r="M114" i="13"/>
  <c r="L114" i="13"/>
  <c r="K114" i="13"/>
  <c r="P113" i="13"/>
  <c r="R113" i="13" s="1"/>
  <c r="O113" i="13"/>
  <c r="Q113" i="13" s="1"/>
  <c r="N113" i="13"/>
  <c r="M113" i="13"/>
  <c r="L113" i="13"/>
  <c r="K113" i="13"/>
  <c r="P112" i="13"/>
  <c r="R112" i="13" s="1"/>
  <c r="O112" i="13"/>
  <c r="Q112" i="13" s="1"/>
  <c r="N112" i="13"/>
  <c r="M112" i="13"/>
  <c r="L112" i="13"/>
  <c r="K112" i="13"/>
  <c r="R111" i="13"/>
  <c r="P111" i="13"/>
  <c r="O111" i="13"/>
  <c r="Q111" i="13" s="1"/>
  <c r="N111" i="13"/>
  <c r="M111" i="13"/>
  <c r="L111" i="13"/>
  <c r="K111" i="13"/>
  <c r="R110" i="13"/>
  <c r="P110" i="13"/>
  <c r="O110" i="13"/>
  <c r="Q110" i="13" s="1"/>
  <c r="N110" i="13"/>
  <c r="M110" i="13"/>
  <c r="L110" i="13"/>
  <c r="K110" i="13"/>
  <c r="R109" i="13"/>
  <c r="P109" i="13"/>
  <c r="O109" i="13"/>
  <c r="Q109" i="13" s="1"/>
  <c r="N109" i="13"/>
  <c r="M109" i="13"/>
  <c r="L109" i="13"/>
  <c r="K109" i="13"/>
  <c r="P108" i="13"/>
  <c r="R108" i="13" s="1"/>
  <c r="O108" i="13"/>
  <c r="Q108" i="13" s="1"/>
  <c r="N108" i="13"/>
  <c r="M108" i="13"/>
  <c r="L108" i="13"/>
  <c r="K108" i="13"/>
  <c r="P107" i="13"/>
  <c r="R107" i="13" s="1"/>
  <c r="O107" i="13"/>
  <c r="Q107" i="13" s="1"/>
  <c r="N107" i="13"/>
  <c r="M107" i="13"/>
  <c r="L107" i="13"/>
  <c r="K107" i="13"/>
  <c r="R106" i="13"/>
  <c r="P106" i="13"/>
  <c r="O106" i="13"/>
  <c r="Q106" i="13" s="1"/>
  <c r="N106" i="13"/>
  <c r="M106" i="13"/>
  <c r="L106" i="13"/>
  <c r="K106" i="13"/>
  <c r="P105" i="13"/>
  <c r="R105" i="13" s="1"/>
  <c r="O105" i="13"/>
  <c r="Q105" i="13" s="1"/>
  <c r="N105" i="13"/>
  <c r="M105" i="13"/>
  <c r="L105" i="13"/>
  <c r="K105" i="13"/>
  <c r="R104" i="13"/>
  <c r="P104" i="13"/>
  <c r="O104" i="13"/>
  <c r="Q104" i="13" s="1"/>
  <c r="N104" i="13"/>
  <c r="M104" i="13"/>
  <c r="L104" i="13"/>
  <c r="K104" i="13"/>
  <c r="P103" i="13"/>
  <c r="R103" i="13" s="1"/>
  <c r="O103" i="13"/>
  <c r="Q103" i="13" s="1"/>
  <c r="N103" i="13"/>
  <c r="M103" i="13"/>
  <c r="L103" i="13"/>
  <c r="K103" i="13"/>
  <c r="P102" i="13"/>
  <c r="R102" i="13" s="1"/>
  <c r="O102" i="13"/>
  <c r="Q102" i="13" s="1"/>
  <c r="N102" i="13"/>
  <c r="M102" i="13"/>
  <c r="L102" i="13"/>
  <c r="K102" i="13"/>
  <c r="R101" i="13"/>
  <c r="P101" i="13"/>
  <c r="O101" i="13"/>
  <c r="Q101" i="13" s="1"/>
  <c r="N101" i="13"/>
  <c r="M101" i="13"/>
  <c r="L101" i="13"/>
  <c r="K101" i="13"/>
  <c r="P100" i="13"/>
  <c r="R100" i="13" s="1"/>
  <c r="O100" i="13"/>
  <c r="Q100" i="13" s="1"/>
  <c r="N100" i="13"/>
  <c r="M100" i="13"/>
  <c r="L100" i="13"/>
  <c r="K100" i="13"/>
  <c r="R99" i="13"/>
  <c r="P99" i="13"/>
  <c r="O99" i="13"/>
  <c r="Q99" i="13" s="1"/>
  <c r="N99" i="13"/>
  <c r="M99" i="13"/>
  <c r="L99" i="13"/>
  <c r="K99" i="13"/>
  <c r="P98" i="13"/>
  <c r="R98" i="13" s="1"/>
  <c r="O98" i="13"/>
  <c r="Q98" i="13" s="1"/>
  <c r="N98" i="13"/>
  <c r="M98" i="13"/>
  <c r="L98" i="13"/>
  <c r="K98" i="13"/>
  <c r="P97" i="13"/>
  <c r="R97" i="13" s="1"/>
  <c r="O97" i="13"/>
  <c r="Q97" i="13" s="1"/>
  <c r="N97" i="13"/>
  <c r="M97" i="13"/>
  <c r="L97" i="13"/>
  <c r="K97" i="13"/>
  <c r="R96" i="13"/>
  <c r="P96" i="13"/>
  <c r="O96" i="13"/>
  <c r="Q96" i="13" s="1"/>
  <c r="N96" i="13"/>
  <c r="M96" i="13"/>
  <c r="L96" i="13"/>
  <c r="K96" i="13"/>
  <c r="P95" i="13"/>
  <c r="R95" i="13" s="1"/>
  <c r="O95" i="13"/>
  <c r="Q95" i="13" s="1"/>
  <c r="N95" i="13"/>
  <c r="M95" i="13"/>
  <c r="L95" i="13"/>
  <c r="K95" i="13"/>
  <c r="R94" i="13"/>
  <c r="P94" i="13"/>
  <c r="O94" i="13"/>
  <c r="Q94" i="13" s="1"/>
  <c r="N94" i="13"/>
  <c r="M94" i="13"/>
  <c r="L94" i="13"/>
  <c r="K94" i="13"/>
  <c r="R93" i="13"/>
  <c r="P93" i="13"/>
  <c r="O93" i="13"/>
  <c r="Q93" i="13" s="1"/>
  <c r="N93" i="13"/>
  <c r="M93" i="13"/>
  <c r="L93" i="13"/>
  <c r="K93" i="13"/>
  <c r="P92" i="13"/>
  <c r="R92" i="13" s="1"/>
  <c r="O92" i="13"/>
  <c r="Q92" i="13" s="1"/>
  <c r="N92" i="13"/>
  <c r="M92" i="13"/>
  <c r="L92" i="13"/>
  <c r="K92" i="13"/>
  <c r="P91" i="13"/>
  <c r="R91" i="13" s="1"/>
  <c r="O91" i="13"/>
  <c r="Q91" i="13" s="1"/>
  <c r="N91" i="13"/>
  <c r="M91" i="13"/>
  <c r="L91" i="13"/>
  <c r="K91" i="13"/>
  <c r="R90" i="13"/>
  <c r="P90" i="13"/>
  <c r="O90" i="13"/>
  <c r="Q90" i="13" s="1"/>
  <c r="N90" i="13"/>
  <c r="M90" i="13"/>
  <c r="L90" i="13"/>
  <c r="K90" i="13"/>
  <c r="P89" i="13"/>
  <c r="R89" i="13" s="1"/>
  <c r="O89" i="13"/>
  <c r="Q89" i="13" s="1"/>
  <c r="N89" i="13"/>
  <c r="M89" i="13"/>
  <c r="L89" i="13"/>
  <c r="K89" i="13"/>
  <c r="R88" i="13"/>
  <c r="P88" i="13"/>
  <c r="O88" i="13"/>
  <c r="Q88" i="13" s="1"/>
  <c r="N88" i="13"/>
  <c r="M88" i="13"/>
  <c r="L88" i="13"/>
  <c r="K88" i="13"/>
  <c r="P87" i="13"/>
  <c r="R87" i="13" s="1"/>
  <c r="O87" i="13"/>
  <c r="Q87" i="13" s="1"/>
  <c r="N87" i="13"/>
  <c r="M87" i="13"/>
  <c r="L87" i="13"/>
  <c r="K87" i="13"/>
  <c r="P86" i="13"/>
  <c r="R86" i="13" s="1"/>
  <c r="O86" i="13"/>
  <c r="Q86" i="13" s="1"/>
  <c r="N86" i="13"/>
  <c r="M86" i="13"/>
  <c r="L86" i="13"/>
  <c r="K86" i="13"/>
  <c r="R85" i="13"/>
  <c r="P85" i="13"/>
  <c r="O85" i="13"/>
  <c r="Q85" i="13" s="1"/>
  <c r="N85" i="13"/>
  <c r="M85" i="13"/>
  <c r="L85" i="13"/>
  <c r="K85" i="13"/>
  <c r="P84" i="13"/>
  <c r="R84" i="13" s="1"/>
  <c r="O84" i="13"/>
  <c r="Q84" i="13" s="1"/>
  <c r="N84" i="13"/>
  <c r="M84" i="13"/>
  <c r="L84" i="13"/>
  <c r="K84" i="13"/>
  <c r="R83" i="13"/>
  <c r="P83" i="13"/>
  <c r="O83" i="13"/>
  <c r="Q83" i="13" s="1"/>
  <c r="N83" i="13"/>
  <c r="M83" i="13"/>
  <c r="L83" i="13"/>
  <c r="K83" i="13"/>
  <c r="P82" i="13"/>
  <c r="R82" i="13" s="1"/>
  <c r="O82" i="13"/>
  <c r="Q82" i="13" s="1"/>
  <c r="N82" i="13"/>
  <c r="M82" i="13"/>
  <c r="L82" i="13"/>
  <c r="K82" i="13"/>
  <c r="P81" i="13"/>
  <c r="R81" i="13" s="1"/>
  <c r="O81" i="13"/>
  <c r="Q81" i="13" s="1"/>
  <c r="N81" i="13"/>
  <c r="M81" i="13"/>
  <c r="L81" i="13"/>
  <c r="K81" i="13"/>
  <c r="R80" i="13"/>
  <c r="P80" i="13"/>
  <c r="O80" i="13"/>
  <c r="Q80" i="13" s="1"/>
  <c r="N80" i="13"/>
  <c r="M80" i="13"/>
  <c r="L80" i="13"/>
  <c r="K80" i="13"/>
  <c r="P79" i="13"/>
  <c r="R79" i="13" s="1"/>
  <c r="O79" i="13"/>
  <c r="Q79" i="13" s="1"/>
  <c r="N79" i="13"/>
  <c r="M79" i="13"/>
  <c r="L79" i="13"/>
  <c r="K79" i="13"/>
  <c r="R78" i="13"/>
  <c r="P78" i="13"/>
  <c r="O78" i="13"/>
  <c r="Q78" i="13" s="1"/>
  <c r="N78" i="13"/>
  <c r="M78" i="13"/>
  <c r="L78" i="13"/>
  <c r="K78" i="13"/>
  <c r="R77" i="13"/>
  <c r="P77" i="13"/>
  <c r="O77" i="13"/>
  <c r="Q77" i="13" s="1"/>
  <c r="N77" i="13"/>
  <c r="M77" i="13"/>
  <c r="L77" i="13"/>
  <c r="K77" i="13"/>
  <c r="R76" i="13"/>
  <c r="P76" i="13"/>
  <c r="O76" i="13"/>
  <c r="Q76" i="13" s="1"/>
  <c r="N76" i="13"/>
  <c r="M76" i="13"/>
  <c r="L76" i="13"/>
  <c r="K76" i="13"/>
  <c r="P75" i="13"/>
  <c r="R75" i="13" s="1"/>
  <c r="O75" i="13"/>
  <c r="Q75" i="13" s="1"/>
  <c r="N75" i="13"/>
  <c r="M75" i="13"/>
  <c r="L75" i="13"/>
  <c r="K75" i="13"/>
  <c r="R74" i="13"/>
  <c r="P74" i="13"/>
  <c r="O74" i="13"/>
  <c r="Q74" i="13" s="1"/>
  <c r="N74" i="13"/>
  <c r="M74" i="13"/>
  <c r="L74" i="13"/>
  <c r="K74" i="13"/>
  <c r="R73" i="13"/>
  <c r="P73" i="13"/>
  <c r="O73" i="13"/>
  <c r="Q73" i="13" s="1"/>
  <c r="N73" i="13"/>
  <c r="M73" i="13"/>
  <c r="L73" i="13"/>
  <c r="K73" i="13"/>
  <c r="P72" i="13"/>
  <c r="R72" i="13" s="1"/>
  <c r="O72" i="13"/>
  <c r="Q72" i="13" s="1"/>
  <c r="N72" i="13"/>
  <c r="M72" i="13"/>
  <c r="L72" i="13"/>
  <c r="K72" i="13"/>
  <c r="R71" i="13"/>
  <c r="P71" i="13"/>
  <c r="O71" i="13"/>
  <c r="Q71" i="13" s="1"/>
  <c r="N71" i="13"/>
  <c r="M71" i="13"/>
  <c r="L71" i="13"/>
  <c r="K71" i="13"/>
  <c r="R70" i="13"/>
  <c r="P70" i="13"/>
  <c r="O70" i="13"/>
  <c r="Q70" i="13" s="1"/>
  <c r="N70" i="13"/>
  <c r="M70" i="13"/>
  <c r="L70" i="13"/>
  <c r="K70" i="13"/>
  <c r="P69" i="13"/>
  <c r="R69" i="13" s="1"/>
  <c r="O69" i="13"/>
  <c r="Q69" i="13" s="1"/>
  <c r="N69" i="13"/>
  <c r="M69" i="13"/>
  <c r="L69" i="13"/>
  <c r="K69" i="13"/>
  <c r="P68" i="13"/>
  <c r="R68" i="13" s="1"/>
  <c r="O68" i="13"/>
  <c r="Q68" i="13" s="1"/>
  <c r="N68" i="13"/>
  <c r="M68" i="13"/>
  <c r="L68" i="13"/>
  <c r="K68" i="13"/>
  <c r="P67" i="13"/>
  <c r="R67" i="13" s="1"/>
  <c r="O67" i="13"/>
  <c r="Q67" i="13" s="1"/>
  <c r="N67" i="13"/>
  <c r="M67" i="13"/>
  <c r="L67" i="13"/>
  <c r="K67" i="13"/>
  <c r="R66" i="13"/>
  <c r="P66" i="13"/>
  <c r="O66" i="13"/>
  <c r="Q66" i="13" s="1"/>
  <c r="N66" i="13"/>
  <c r="M66" i="13"/>
  <c r="L66" i="13"/>
  <c r="K66" i="13"/>
  <c r="P65" i="13"/>
  <c r="R65" i="13" s="1"/>
  <c r="O65" i="13"/>
  <c r="Q65" i="13" s="1"/>
  <c r="N65" i="13"/>
  <c r="M65" i="13"/>
  <c r="L65" i="13"/>
  <c r="K65" i="13"/>
  <c r="R64" i="13"/>
  <c r="P64" i="13"/>
  <c r="O64" i="13"/>
  <c r="Q64" i="13" s="1"/>
  <c r="N64" i="13"/>
  <c r="M64" i="13"/>
  <c r="L64" i="13"/>
  <c r="K64" i="13"/>
  <c r="P63" i="13"/>
  <c r="R63" i="13" s="1"/>
  <c r="O63" i="13"/>
  <c r="Q63" i="13" s="1"/>
  <c r="N63" i="13"/>
  <c r="M63" i="13"/>
  <c r="L63" i="13"/>
  <c r="K63" i="13"/>
  <c r="R62" i="13"/>
  <c r="P62" i="13"/>
  <c r="O62" i="13"/>
  <c r="Q62" i="13" s="1"/>
  <c r="N62" i="13"/>
  <c r="M62" i="13"/>
  <c r="L62" i="13"/>
  <c r="K62" i="13"/>
  <c r="P61" i="13"/>
  <c r="R61" i="13" s="1"/>
  <c r="O61" i="13"/>
  <c r="Q61" i="13" s="1"/>
  <c r="N61" i="13"/>
  <c r="M61" i="13"/>
  <c r="L61" i="13"/>
  <c r="K61" i="13"/>
  <c r="R60" i="13"/>
  <c r="P60" i="13"/>
  <c r="O60" i="13"/>
  <c r="Q60" i="13" s="1"/>
  <c r="N60" i="13"/>
  <c r="M60" i="13"/>
  <c r="L60" i="13"/>
  <c r="K60" i="13"/>
  <c r="P59" i="13"/>
  <c r="R59" i="13" s="1"/>
  <c r="O59" i="13"/>
  <c r="Q59" i="13" s="1"/>
  <c r="N59" i="13"/>
  <c r="M59" i="13"/>
  <c r="L59" i="13"/>
  <c r="K59" i="13"/>
  <c r="P58" i="13"/>
  <c r="R58" i="13" s="1"/>
  <c r="O58" i="13"/>
  <c r="Q58" i="13" s="1"/>
  <c r="N58" i="13"/>
  <c r="M58" i="13"/>
  <c r="L58" i="13"/>
  <c r="K58" i="13"/>
  <c r="P57" i="13"/>
  <c r="R57" i="13" s="1"/>
  <c r="O57" i="13"/>
  <c r="Q57" i="13" s="1"/>
  <c r="N57" i="13"/>
  <c r="M57" i="13"/>
  <c r="L57" i="13"/>
  <c r="K57" i="13"/>
  <c r="R56" i="13"/>
  <c r="P56" i="13"/>
  <c r="O56" i="13"/>
  <c r="Q56" i="13" s="1"/>
  <c r="N56" i="13"/>
  <c r="M56" i="13"/>
  <c r="L56" i="13"/>
  <c r="K56" i="13"/>
  <c r="P55" i="13"/>
  <c r="R55" i="13" s="1"/>
  <c r="O55" i="13"/>
  <c r="Q55" i="13" s="1"/>
  <c r="N55" i="13"/>
  <c r="M55" i="13"/>
  <c r="L55" i="13"/>
  <c r="K55" i="13"/>
  <c r="P54" i="13"/>
  <c r="R54" i="13" s="1"/>
  <c r="O54" i="13"/>
  <c r="Q54" i="13" s="1"/>
  <c r="N54" i="13"/>
  <c r="M54" i="13"/>
  <c r="L54" i="13"/>
  <c r="K54" i="13"/>
  <c r="P53" i="13"/>
  <c r="R53" i="13" s="1"/>
  <c r="O53" i="13"/>
  <c r="Q53" i="13" s="1"/>
  <c r="N53" i="13"/>
  <c r="M53" i="13"/>
  <c r="L53" i="13"/>
  <c r="K53" i="13"/>
  <c r="P52" i="13"/>
  <c r="R52" i="13" s="1"/>
  <c r="O52" i="13"/>
  <c r="Q52" i="13" s="1"/>
  <c r="N52" i="13"/>
  <c r="M52" i="13"/>
  <c r="L52" i="13"/>
  <c r="K52" i="13"/>
  <c r="P51" i="13"/>
  <c r="R51" i="13" s="1"/>
  <c r="O51" i="13"/>
  <c r="Q51" i="13" s="1"/>
  <c r="N51" i="13"/>
  <c r="M51" i="13"/>
  <c r="L51" i="13"/>
  <c r="K51" i="13"/>
  <c r="P50" i="13"/>
  <c r="R50" i="13" s="1"/>
  <c r="O50" i="13"/>
  <c r="Q50" i="13" s="1"/>
  <c r="N50" i="13"/>
  <c r="M50" i="13"/>
  <c r="L50" i="13"/>
  <c r="K50" i="13"/>
  <c r="P49" i="13"/>
  <c r="R49" i="13" s="1"/>
  <c r="O49" i="13"/>
  <c r="Q49" i="13" s="1"/>
  <c r="N49" i="13"/>
  <c r="M49" i="13"/>
  <c r="L49" i="13"/>
  <c r="K49" i="13"/>
  <c r="P48" i="13"/>
  <c r="R48" i="13" s="1"/>
  <c r="O48" i="13"/>
  <c r="Q48" i="13" s="1"/>
  <c r="N48" i="13"/>
  <c r="M48" i="13"/>
  <c r="L48" i="13"/>
  <c r="K48" i="13"/>
  <c r="P47" i="13"/>
  <c r="R47" i="13" s="1"/>
  <c r="O47" i="13"/>
  <c r="Q47" i="13" s="1"/>
  <c r="N47" i="13"/>
  <c r="M47" i="13"/>
  <c r="L47" i="13"/>
  <c r="K47" i="13"/>
  <c r="P46" i="13"/>
  <c r="R46" i="13" s="1"/>
  <c r="O46" i="13"/>
  <c r="Q46" i="13" s="1"/>
  <c r="N46" i="13"/>
  <c r="M46" i="13"/>
  <c r="L46" i="13"/>
  <c r="K46" i="13"/>
  <c r="P45" i="13"/>
  <c r="R45" i="13" s="1"/>
  <c r="O45" i="13"/>
  <c r="Q45" i="13" s="1"/>
  <c r="N45" i="13"/>
  <c r="M45" i="13"/>
  <c r="L45" i="13"/>
  <c r="K45" i="13"/>
  <c r="P44" i="13"/>
  <c r="R44" i="13" s="1"/>
  <c r="O44" i="13"/>
  <c r="Q44" i="13" s="1"/>
  <c r="N44" i="13"/>
  <c r="M44" i="13"/>
  <c r="L44" i="13"/>
  <c r="K44" i="13"/>
  <c r="P43" i="13"/>
  <c r="R43" i="13" s="1"/>
  <c r="O43" i="13"/>
  <c r="Q43" i="13" s="1"/>
  <c r="N43" i="13"/>
  <c r="M43" i="13"/>
  <c r="L43" i="13"/>
  <c r="K43" i="13"/>
  <c r="P42" i="13"/>
  <c r="R42" i="13" s="1"/>
  <c r="O42" i="13"/>
  <c r="Q42" i="13" s="1"/>
  <c r="N42" i="13"/>
  <c r="M42" i="13"/>
  <c r="L42" i="13"/>
  <c r="K42" i="13"/>
  <c r="P41" i="13"/>
  <c r="R41" i="13" s="1"/>
  <c r="O41" i="13"/>
  <c r="Q41" i="13" s="1"/>
  <c r="N41" i="13"/>
  <c r="M41" i="13"/>
  <c r="L41" i="13"/>
  <c r="K41" i="13"/>
  <c r="P40" i="13"/>
  <c r="R40" i="13" s="1"/>
  <c r="O40" i="13"/>
  <c r="Q40" i="13" s="1"/>
  <c r="N40" i="13"/>
  <c r="M40" i="13"/>
  <c r="L40" i="13"/>
  <c r="K40" i="13"/>
  <c r="P39" i="13"/>
  <c r="R39" i="13" s="1"/>
  <c r="O39" i="13"/>
  <c r="Q39" i="13" s="1"/>
  <c r="N39" i="13"/>
  <c r="M39" i="13"/>
  <c r="L39" i="13"/>
  <c r="K39" i="13"/>
  <c r="P38" i="13"/>
  <c r="R38" i="13" s="1"/>
  <c r="O38" i="13"/>
  <c r="Q38" i="13" s="1"/>
  <c r="N38" i="13"/>
  <c r="M38" i="13"/>
  <c r="L38" i="13"/>
  <c r="K38" i="13"/>
  <c r="P37" i="13"/>
  <c r="R37" i="13" s="1"/>
  <c r="O37" i="13"/>
  <c r="Q37" i="13" s="1"/>
  <c r="N37" i="13"/>
  <c r="M37" i="13"/>
  <c r="L37" i="13"/>
  <c r="K37" i="13"/>
  <c r="P36" i="13"/>
  <c r="R36" i="13" s="1"/>
  <c r="O36" i="13"/>
  <c r="Q36" i="13" s="1"/>
  <c r="N36" i="13"/>
  <c r="M36" i="13"/>
  <c r="L36" i="13"/>
  <c r="K36" i="13"/>
  <c r="P35" i="13"/>
  <c r="R35" i="13" s="1"/>
  <c r="O35" i="13"/>
  <c r="Q35" i="13" s="1"/>
  <c r="N35" i="13"/>
  <c r="M35" i="13"/>
  <c r="L35" i="13"/>
  <c r="K35" i="13"/>
  <c r="P34" i="13"/>
  <c r="R34" i="13" s="1"/>
  <c r="O34" i="13"/>
  <c r="Q34" i="13" s="1"/>
  <c r="N34" i="13"/>
  <c r="M34" i="13"/>
  <c r="L34" i="13"/>
  <c r="K34" i="13"/>
  <c r="P33" i="13"/>
  <c r="R33" i="13" s="1"/>
  <c r="O33" i="13"/>
  <c r="Q33" i="13" s="1"/>
  <c r="N33" i="13"/>
  <c r="M33" i="13"/>
  <c r="L33" i="13"/>
  <c r="K33" i="13"/>
  <c r="P32" i="13"/>
  <c r="R32" i="13" s="1"/>
  <c r="O32" i="13"/>
  <c r="Q32" i="13" s="1"/>
  <c r="N32" i="13"/>
  <c r="M32" i="13"/>
  <c r="L32" i="13"/>
  <c r="K32" i="13"/>
  <c r="P31" i="13"/>
  <c r="R31" i="13" s="1"/>
  <c r="O31" i="13"/>
  <c r="Q31" i="13" s="1"/>
  <c r="N31" i="13"/>
  <c r="M31" i="13"/>
  <c r="L31" i="13"/>
  <c r="K31" i="13"/>
  <c r="P30" i="13"/>
  <c r="R30" i="13" s="1"/>
  <c r="O30" i="13"/>
  <c r="Q30" i="13" s="1"/>
  <c r="N30" i="13"/>
  <c r="M30" i="13"/>
  <c r="L30" i="13"/>
  <c r="K30" i="13"/>
  <c r="P29" i="13"/>
  <c r="R29" i="13" s="1"/>
  <c r="O29" i="13"/>
  <c r="Q29" i="13" s="1"/>
  <c r="N29" i="13"/>
  <c r="M29" i="13"/>
  <c r="L29" i="13"/>
  <c r="K29" i="13"/>
  <c r="P28" i="13"/>
  <c r="R28" i="13" s="1"/>
  <c r="O28" i="13"/>
  <c r="Q28" i="13" s="1"/>
  <c r="N28" i="13"/>
  <c r="M28" i="13"/>
  <c r="L28" i="13"/>
  <c r="K28" i="13"/>
  <c r="P27" i="13"/>
  <c r="R27" i="13" s="1"/>
  <c r="O27" i="13"/>
  <c r="Q27" i="13" s="1"/>
  <c r="N27" i="13"/>
  <c r="M27" i="13"/>
  <c r="L27" i="13"/>
  <c r="K27" i="13"/>
  <c r="P26" i="13"/>
  <c r="R26" i="13" s="1"/>
  <c r="O26" i="13"/>
  <c r="Q26" i="13" s="1"/>
  <c r="N26" i="13"/>
  <c r="M26" i="13"/>
  <c r="L26" i="13"/>
  <c r="K26" i="13"/>
  <c r="P25" i="13"/>
  <c r="R25" i="13" s="1"/>
  <c r="O25" i="13"/>
  <c r="Q25" i="13" s="1"/>
  <c r="N25" i="13"/>
  <c r="M25" i="13"/>
  <c r="L25" i="13"/>
  <c r="K25" i="13"/>
  <c r="P24" i="13"/>
  <c r="R24" i="13" s="1"/>
  <c r="O24" i="13"/>
  <c r="Q24" i="13" s="1"/>
  <c r="N24" i="13"/>
  <c r="M24" i="13"/>
  <c r="L24" i="13"/>
  <c r="K24" i="13"/>
  <c r="P23" i="13"/>
  <c r="R23" i="13" s="1"/>
  <c r="O23" i="13"/>
  <c r="Q23" i="13" s="1"/>
  <c r="N23" i="13"/>
  <c r="M23" i="13"/>
  <c r="L23" i="13"/>
  <c r="K23" i="13"/>
  <c r="P22" i="13"/>
  <c r="R22" i="13" s="1"/>
  <c r="O22" i="13"/>
  <c r="Q22" i="13" s="1"/>
  <c r="N22" i="13"/>
  <c r="M22" i="13"/>
  <c r="L22" i="13"/>
  <c r="K22" i="13"/>
  <c r="P21" i="13"/>
  <c r="R21" i="13" s="1"/>
  <c r="O21" i="13"/>
  <c r="Q21" i="13" s="1"/>
  <c r="N21" i="13"/>
  <c r="M21" i="13"/>
  <c r="L21" i="13"/>
  <c r="K21" i="13"/>
  <c r="R20" i="13"/>
  <c r="P20" i="13"/>
  <c r="O20" i="13"/>
  <c r="Q20" i="13" s="1"/>
  <c r="N20" i="13"/>
  <c r="M20" i="13"/>
  <c r="L20" i="13"/>
  <c r="K20" i="13"/>
  <c r="R19" i="13"/>
  <c r="P19" i="13"/>
  <c r="O19" i="13"/>
  <c r="Q19" i="13" s="1"/>
  <c r="N19" i="13"/>
  <c r="M19" i="13"/>
  <c r="L19" i="13"/>
  <c r="K19" i="13"/>
  <c r="R18" i="13"/>
  <c r="P18" i="13"/>
  <c r="O18" i="13"/>
  <c r="Q18" i="13" s="1"/>
  <c r="N18" i="13"/>
  <c r="M18" i="13"/>
  <c r="L18" i="13"/>
  <c r="K18" i="13"/>
  <c r="R17" i="13"/>
  <c r="P17" i="13"/>
  <c r="O17" i="13"/>
  <c r="Q17" i="13" s="1"/>
  <c r="N17" i="13"/>
  <c r="M17" i="13"/>
  <c r="L17" i="13"/>
  <c r="K17" i="13"/>
  <c r="R16" i="13"/>
  <c r="P16" i="13"/>
  <c r="O16" i="13"/>
  <c r="Q16" i="13" s="1"/>
  <c r="N16" i="13"/>
  <c r="M16" i="13"/>
  <c r="L16" i="13"/>
  <c r="K16" i="13"/>
  <c r="R15" i="13"/>
  <c r="P15" i="13"/>
  <c r="O15" i="13"/>
  <c r="Q15" i="13" s="1"/>
  <c r="N15" i="13"/>
  <c r="M15" i="13"/>
  <c r="L15" i="13"/>
  <c r="K15" i="13"/>
  <c r="R14" i="13"/>
  <c r="P14" i="13"/>
  <c r="O14" i="13"/>
  <c r="Q14" i="13" s="1"/>
  <c r="N14" i="13"/>
  <c r="M14" i="13"/>
  <c r="L14" i="13"/>
  <c r="K14" i="13"/>
  <c r="R13" i="13"/>
  <c r="P13" i="13"/>
  <c r="O13" i="13"/>
  <c r="Q13" i="13" s="1"/>
  <c r="N13" i="13"/>
  <c r="M13" i="13"/>
  <c r="L13" i="13"/>
  <c r="K13" i="13"/>
  <c r="P12" i="13"/>
  <c r="R12" i="13" s="1"/>
  <c r="O12" i="13"/>
  <c r="Q12" i="13" s="1"/>
  <c r="N12" i="13"/>
  <c r="M12" i="13"/>
  <c r="L12" i="13"/>
  <c r="K12" i="13"/>
  <c r="P11" i="13"/>
  <c r="R11" i="13" s="1"/>
  <c r="O11" i="13"/>
  <c r="Q11" i="13" s="1"/>
  <c r="N11" i="13"/>
  <c r="M11" i="13"/>
  <c r="L11" i="13"/>
  <c r="K11" i="13"/>
  <c r="R10" i="13"/>
  <c r="P10" i="13"/>
  <c r="O10" i="13"/>
  <c r="Q10" i="13" s="1"/>
  <c r="N10" i="13"/>
  <c r="M10" i="13"/>
  <c r="L10" i="13"/>
  <c r="K10" i="13"/>
  <c r="R9" i="13"/>
  <c r="P9" i="13"/>
  <c r="O9" i="13"/>
  <c r="Q9" i="13" s="1"/>
  <c r="N9" i="13"/>
  <c r="M9" i="13"/>
  <c r="L9" i="13"/>
  <c r="K9" i="13"/>
  <c r="P8" i="13"/>
  <c r="R8" i="13" s="1"/>
  <c r="O8" i="13"/>
  <c r="Q8" i="13" s="1"/>
  <c r="N8" i="13"/>
  <c r="M8" i="13"/>
  <c r="L8" i="13"/>
  <c r="K8" i="13"/>
  <c r="P7" i="13"/>
  <c r="R7" i="13" s="1"/>
  <c r="O7" i="13"/>
  <c r="Q7" i="13" s="1"/>
  <c r="N7" i="13"/>
  <c r="M7" i="13"/>
  <c r="L7" i="13"/>
  <c r="K7" i="13"/>
  <c r="R6" i="13"/>
  <c r="P6" i="13"/>
  <c r="O6" i="13"/>
  <c r="Q6" i="13" s="1"/>
  <c r="N6" i="13"/>
  <c r="M6" i="13"/>
  <c r="L6" i="13"/>
  <c r="K6" i="13"/>
  <c r="AA73" i="14" l="1"/>
  <c r="AA72" i="14"/>
  <c r="X75" i="14"/>
  <c r="Z76" i="14"/>
  <c r="Z74" i="14"/>
  <c r="X74" i="14"/>
  <c r="Y56" i="14"/>
  <c r="Y76" i="14"/>
  <c r="X72" i="14"/>
  <c r="Y72" i="14"/>
  <c r="Z75" i="14"/>
  <c r="Z69" i="14"/>
  <c r="X12" i="14"/>
  <c r="Z12" i="14"/>
  <c r="Z21" i="14"/>
  <c r="Z43" i="14"/>
  <c r="Z60" i="14"/>
  <c r="Z53" i="14"/>
  <c r="Z55" i="14"/>
  <c r="Z65" i="14"/>
  <c r="Z71" i="14"/>
  <c r="Z11" i="14"/>
  <c r="Z27" i="14"/>
  <c r="Z29" i="14"/>
  <c r="Z35" i="14"/>
  <c r="Z37" i="14"/>
  <c r="Z39" i="14"/>
  <c r="Z45" i="14"/>
  <c r="Z47" i="14"/>
  <c r="AA12" i="14"/>
  <c r="Z68" i="14"/>
  <c r="Z24" i="14"/>
  <c r="Y71" i="14"/>
  <c r="Z51" i="14"/>
  <c r="Z23" i="14"/>
  <c r="Z59" i="14"/>
  <c r="Z25" i="14"/>
  <c r="Z56" i="14"/>
  <c r="Z61" i="14"/>
  <c r="Z63" i="14"/>
  <c r="Z48" i="14"/>
  <c r="X59" i="14"/>
  <c r="X25" i="14"/>
  <c r="Y73" i="14"/>
  <c r="Y16" i="14"/>
  <c r="Y33" i="14"/>
  <c r="Z30" i="14"/>
  <c r="X73" i="14"/>
  <c r="X24" i="14"/>
  <c r="AA70" i="14"/>
  <c r="X19" i="14"/>
  <c r="AA65" i="14"/>
  <c r="AA16" i="14"/>
  <c r="X28" i="14"/>
  <c r="Z54" i="14"/>
  <c r="Z9" i="14"/>
  <c r="X30" i="14"/>
  <c r="X47" i="14"/>
  <c r="X65" i="14"/>
  <c r="AA18" i="14"/>
  <c r="Z67" i="14"/>
  <c r="Z73" i="14"/>
  <c r="AA20" i="14"/>
  <c r="Y64" i="14"/>
  <c r="AA52" i="14"/>
  <c r="Q71" i="14"/>
  <c r="AA71" i="14" s="1"/>
  <c r="X71" i="14"/>
  <c r="V71" i="14"/>
  <c r="W71" i="14" s="1"/>
  <c r="V9" i="14"/>
  <c r="W9" i="14" s="1"/>
  <c r="Y12" i="14"/>
  <c r="T14" i="14"/>
  <c r="Q14" i="14" s="1"/>
  <c r="AA14" i="14" s="1"/>
  <c r="U22" i="14"/>
  <c r="Z42" i="14"/>
  <c r="U46" i="14"/>
  <c r="V56" i="14"/>
  <c r="W56" i="14" s="1"/>
  <c r="T66" i="14"/>
  <c r="V66" i="14" s="1"/>
  <c r="W66" i="14" s="1"/>
  <c r="W68" i="14"/>
  <c r="T8" i="14"/>
  <c r="Y9" i="14"/>
  <c r="V17" i="14"/>
  <c r="W17" i="14" s="1"/>
  <c r="Z36" i="14"/>
  <c r="T58" i="14"/>
  <c r="V58" i="14" s="1"/>
  <c r="W58" i="14" s="1"/>
  <c r="U63" i="14"/>
  <c r="U66" i="14"/>
  <c r="Y8" i="14"/>
  <c r="T32" i="14"/>
  <c r="Z8" i="14"/>
  <c r="Z22" i="14"/>
  <c r="Z31" i="14"/>
  <c r="Q41" i="14"/>
  <c r="W41" i="14" s="1"/>
  <c r="X51" i="14"/>
  <c r="T15" i="14"/>
  <c r="Q15" i="14" s="1"/>
  <c r="AA15" i="14" s="1"/>
  <c r="T17" i="14"/>
  <c r="Q17" i="14" s="1"/>
  <c r="AA17" i="14" s="1"/>
  <c r="T24" i="14"/>
  <c r="V24" i="14" s="1"/>
  <c r="T34" i="14"/>
  <c r="V34" i="14" s="1"/>
  <c r="W34" i="14" s="1"/>
  <c r="Z40" i="14"/>
  <c r="T47" i="14"/>
  <c r="V47" i="14" s="1"/>
  <c r="T48" i="14"/>
  <c r="V48" i="14" s="1"/>
  <c r="W48" i="14" s="1"/>
  <c r="U57" i="14"/>
  <c r="U58" i="14"/>
  <c r="U48" i="14"/>
  <c r="U64" i="14"/>
  <c r="U7" i="14"/>
  <c r="U28" i="14"/>
  <c r="U34" i="14"/>
  <c r="U38" i="14"/>
  <c r="V26" i="14"/>
  <c r="W26" i="14" s="1"/>
  <c r="X43" i="14"/>
  <c r="V15" i="14"/>
  <c r="W15" i="14" s="1"/>
  <c r="X36" i="14"/>
  <c r="X62" i="14"/>
  <c r="V10" i="14"/>
  <c r="W10" i="14" s="1"/>
  <c r="Z16" i="14"/>
  <c r="Z20" i="14"/>
  <c r="U23" i="14"/>
  <c r="T40" i="14"/>
  <c r="V40" i="14" s="1"/>
  <c r="Z62" i="14"/>
  <c r="X70" i="14"/>
  <c r="U20" i="14"/>
  <c r="U26" i="14"/>
  <c r="T39" i="14"/>
  <c r="V39" i="14" s="1"/>
  <c r="V42" i="14"/>
  <c r="U44" i="14"/>
  <c r="T57" i="14"/>
  <c r="Z70" i="14"/>
  <c r="U10" i="14"/>
  <c r="X15" i="14"/>
  <c r="U25" i="14"/>
  <c r="V25" i="14" s="1"/>
  <c r="W25" i="14" s="1"/>
  <c r="Z26" i="14"/>
  <c r="U30" i="14"/>
  <c r="U32" i="14"/>
  <c r="T33" i="14"/>
  <c r="V33" i="14" s="1"/>
  <c r="W33" i="14" s="1"/>
  <c r="T63" i="14"/>
  <c r="T64" i="14"/>
  <c r="X67" i="14"/>
  <c r="U8" i="14"/>
  <c r="T6" i="14"/>
  <c r="Q6" i="14" s="1"/>
  <c r="AA6" i="14" s="1"/>
  <c r="T9" i="14"/>
  <c r="Q9" i="14" s="1"/>
  <c r="AA9" i="14" s="1"/>
  <c r="Z15" i="14"/>
  <c r="V52" i="14"/>
  <c r="W52" i="14" s="1"/>
  <c r="Z38" i="14"/>
  <c r="Z50" i="14"/>
  <c r="X63" i="14"/>
  <c r="Z58" i="14"/>
  <c r="AA69" i="14"/>
  <c r="X32" i="14"/>
  <c r="Y41" i="14"/>
  <c r="Y46" i="14"/>
  <c r="AA49" i="14"/>
  <c r="Z64" i="14"/>
  <c r="Z66" i="14"/>
  <c r="X6" i="14"/>
  <c r="Z18" i="14"/>
  <c r="Z28" i="14"/>
  <c r="X35" i="14"/>
  <c r="Z46" i="14"/>
  <c r="AA57" i="14"/>
  <c r="AA60" i="14"/>
  <c r="X55" i="14"/>
  <c r="Y14" i="14"/>
  <c r="X44" i="14"/>
  <c r="Z14" i="14"/>
  <c r="Z6" i="14"/>
  <c r="Z10" i="14"/>
  <c r="X40" i="14"/>
  <c r="X49" i="14"/>
  <c r="X54" i="14"/>
  <c r="X11" i="14"/>
  <c r="Y38" i="14"/>
  <c r="X27" i="14"/>
  <c r="Y6" i="14"/>
  <c r="X23" i="14"/>
  <c r="X57" i="14"/>
  <c r="Z7" i="14"/>
  <c r="Y17" i="14"/>
  <c r="X20" i="14"/>
  <c r="Z44" i="14"/>
  <c r="X48" i="14"/>
  <c r="X68" i="14"/>
  <c r="X17" i="14"/>
  <c r="X31" i="14"/>
  <c r="X22" i="14"/>
  <c r="AA25" i="14"/>
  <c r="AA28" i="14"/>
  <c r="Z34" i="14"/>
  <c r="X39" i="14"/>
  <c r="Y68" i="14"/>
  <c r="X14" i="14"/>
  <c r="AA61" i="14"/>
  <c r="X7" i="14"/>
  <c r="X38" i="14"/>
  <c r="AA44" i="14"/>
  <c r="V32" i="14"/>
  <c r="W32" i="14" s="1"/>
  <c r="W40" i="14"/>
  <c r="V49" i="14"/>
  <c r="W49" i="14" s="1"/>
  <c r="V8" i="14"/>
  <c r="W8" i="14" s="1"/>
  <c r="W42" i="14"/>
  <c r="V55" i="14"/>
  <c r="V64" i="14"/>
  <c r="W64" i="14" s="1"/>
  <c r="W50" i="14"/>
  <c r="W24" i="14"/>
  <c r="T11" i="14"/>
  <c r="V11" i="14" s="1"/>
  <c r="W11" i="14" s="1"/>
  <c r="V18" i="14"/>
  <c r="W18" i="14" s="1"/>
  <c r="T19" i="14"/>
  <c r="Q19" i="14" s="1"/>
  <c r="AA19" i="14" s="1"/>
  <c r="T27" i="14"/>
  <c r="Z32" i="14"/>
  <c r="T35" i="14"/>
  <c r="T43" i="14"/>
  <c r="T51" i="14"/>
  <c r="T59" i="14"/>
  <c r="T67" i="14"/>
  <c r="U11" i="14"/>
  <c r="U27" i="14"/>
  <c r="U35" i="14"/>
  <c r="U43" i="14"/>
  <c r="U51" i="14"/>
  <c r="U59" i="14"/>
  <c r="U67" i="14"/>
  <c r="X10" i="14"/>
  <c r="X18" i="14"/>
  <c r="T20" i="14"/>
  <c r="V20" i="14" s="1"/>
  <c r="W20" i="14" s="1"/>
  <c r="X26" i="14"/>
  <c r="T28" i="14"/>
  <c r="V28" i="14" s="1"/>
  <c r="W28" i="14" s="1"/>
  <c r="Z33" i="14"/>
  <c r="X34" i="14"/>
  <c r="T36" i="14"/>
  <c r="V36" i="14" s="1"/>
  <c r="W36" i="14" s="1"/>
  <c r="Z41" i="14"/>
  <c r="X42" i="14"/>
  <c r="T44" i="14"/>
  <c r="V44" i="14" s="1"/>
  <c r="W44" i="14" s="1"/>
  <c r="Z49" i="14"/>
  <c r="X50" i="14"/>
  <c r="Z57" i="14"/>
  <c r="X58" i="14"/>
  <c r="X66" i="14"/>
  <c r="Y10" i="14"/>
  <c r="Y18" i="14"/>
  <c r="Y26" i="14"/>
  <c r="Y34" i="14"/>
  <c r="Y42" i="14"/>
  <c r="Y50" i="14"/>
  <c r="Y58" i="14"/>
  <c r="Y66" i="14"/>
  <c r="T13" i="14"/>
  <c r="Q13" i="14" s="1"/>
  <c r="AA13" i="14" s="1"/>
  <c r="T29" i="14"/>
  <c r="T37" i="14"/>
  <c r="T45" i="14"/>
  <c r="T53" i="14"/>
  <c r="T61" i="14"/>
  <c r="T69" i="14"/>
  <c r="V69" i="14" s="1"/>
  <c r="W69" i="14" s="1"/>
  <c r="Q7" i="14"/>
  <c r="AA7" i="14" s="1"/>
  <c r="Y11" i="14"/>
  <c r="Y19" i="14"/>
  <c r="U21" i="14"/>
  <c r="Q23" i="14"/>
  <c r="AA23" i="14" s="1"/>
  <c r="Y27" i="14"/>
  <c r="U29" i="14"/>
  <c r="Q31" i="14"/>
  <c r="AA31" i="14" s="1"/>
  <c r="Y35" i="14"/>
  <c r="U37" i="14"/>
  <c r="Q39" i="14"/>
  <c r="AA39" i="14" s="1"/>
  <c r="Y43" i="14"/>
  <c r="U45" i="14"/>
  <c r="Q47" i="14"/>
  <c r="AA47" i="14" s="1"/>
  <c r="Y51" i="14"/>
  <c r="U53" i="14"/>
  <c r="Q55" i="14"/>
  <c r="AA55" i="14" s="1"/>
  <c r="Y59" i="14"/>
  <c r="U61" i="14"/>
  <c r="Q63" i="14"/>
  <c r="AA63" i="14" s="1"/>
  <c r="U69" i="14"/>
  <c r="V13" i="14"/>
  <c r="W13" i="14" s="1"/>
  <c r="T22" i="14"/>
  <c r="V22" i="14" s="1"/>
  <c r="W22" i="14" s="1"/>
  <c r="T30" i="14"/>
  <c r="T38" i="14"/>
  <c r="V38" i="14" s="1"/>
  <c r="W38" i="14" s="1"/>
  <c r="T46" i="14"/>
  <c r="V46" i="14" s="1"/>
  <c r="W46" i="14" s="1"/>
  <c r="X52" i="14"/>
  <c r="X60" i="14"/>
  <c r="T62" i="14"/>
  <c r="T70" i="14"/>
  <c r="Y52" i="14"/>
  <c r="U54" i="14"/>
  <c r="V54" i="14" s="1"/>
  <c r="W54" i="14" s="1"/>
  <c r="Y60" i="14"/>
  <c r="U62" i="14"/>
  <c r="U70" i="14"/>
  <c r="T21" i="14"/>
  <c r="V21" i="14" s="1"/>
  <c r="W21" i="14" s="1"/>
  <c r="T7" i="14"/>
  <c r="V7" i="14" s="1"/>
  <c r="X13" i="14"/>
  <c r="X21" i="14"/>
  <c r="T23" i="14"/>
  <c r="V23" i="14" s="1"/>
  <c r="X29" i="14"/>
  <c r="T31" i="14"/>
  <c r="V31" i="14" s="1"/>
  <c r="X37" i="14"/>
  <c r="X45" i="14"/>
  <c r="X53" i="14"/>
  <c r="X61" i="14"/>
  <c r="X69" i="14"/>
  <c r="Y13" i="14"/>
  <c r="Y21" i="14"/>
  <c r="Y29" i="14"/>
  <c r="Y37" i="14"/>
  <c r="Y45" i="14"/>
  <c r="Y53" i="14"/>
  <c r="Y61" i="14"/>
  <c r="Y69" i="14"/>
  <c r="Y39" i="14"/>
  <c r="Y47" i="14"/>
  <c r="Y55" i="14"/>
  <c r="Y63" i="14"/>
  <c r="AA41" i="14" l="1"/>
  <c r="V61" i="14"/>
  <c r="W61" i="14" s="1"/>
  <c r="V53" i="14"/>
  <c r="W53" i="14" s="1"/>
  <c r="V57" i="14"/>
  <c r="W57" i="14" s="1"/>
  <c r="V70" i="14"/>
  <c r="W70" i="14" s="1"/>
  <c r="W23" i="14"/>
  <c r="V30" i="14"/>
  <c r="W30" i="14" s="1"/>
  <c r="V63" i="14"/>
  <c r="V37" i="14"/>
  <c r="W37" i="14" s="1"/>
  <c r="W63" i="14"/>
  <c r="V62" i="14"/>
  <c r="W62" i="14" s="1"/>
  <c r="V45" i="14"/>
  <c r="W45" i="14" s="1"/>
  <c r="V29" i="14"/>
  <c r="W29" i="14" s="1"/>
  <c r="W55" i="14"/>
  <c r="V67" i="14"/>
  <c r="W67" i="14" s="1"/>
  <c r="W31" i="14"/>
  <c r="V59" i="14"/>
  <c r="W59" i="14" s="1"/>
  <c r="V51" i="14"/>
  <c r="W51" i="14" s="1"/>
  <c r="W47" i="14"/>
  <c r="V35" i="14"/>
  <c r="W35" i="14" s="1"/>
  <c r="V43" i="14"/>
  <c r="W43" i="14" s="1"/>
  <c r="V27" i="14"/>
  <c r="W27" i="14" s="1"/>
  <c r="W39" i="14"/>
  <c r="W7" i="14"/>
  <c r="E6" i="5" l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14CB9B6E-C688-4740-B461-FD17023271D0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986F31D9-3E04-4BE9-8900-14443DABF3F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A7D61D43-143A-4FF6-B8FA-7F94B6CC0823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<sst xmlns="http://schemas.openxmlformats.org/spreadsheetml/2006/main" count="980" uniqueCount="372">
  <si>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</si>
  <si>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</si>
  <si>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</si>
  <si>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</si>
  <si>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</si>
  <si>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</si>
  <si>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</si>
  <si>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</si>
  <si>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</si>
  <si>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</si>
  <si>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</si>
  <si>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</si>
  <si>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</si>
  <si>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</si>
  <si>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Cosmetic Waiver List</t>
  </si>
  <si>
    <t>Vendor Input</t>
  </si>
  <si>
    <t>No.</t>
  </si>
  <si>
    <t>Defect Name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</si>
  <si>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</si>
  <si>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</si>
  <si>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</si>
  <si>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</si>
  <si>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</si>
  <si>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</si>
  <si>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</si>
  <si>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</si>
  <si>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</si>
  <si>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</si>
  <si>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</si>
  <si>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</si>
  <si>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</si>
  <si>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</si>
  <si>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</si>
  <si>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Picture</t>
  </si>
  <si>
    <t>Description</t>
  </si>
  <si>
    <t>Defect Qty</t>
  </si>
  <si>
    <t>Defect</t>
  </si>
  <si>
    <t>Type</t>
  </si>
  <si>
    <t xml:space="preserve">Vendor Input </t>
  </si>
  <si>
    <t> Input</t>
  </si>
  <si>
    <t>FAI</t>
  </si>
  <si>
    <t>SPC</t>
  </si>
  <si>
    <t>Spec</t>
  </si>
  <si>
    <t>Nominal</t>
  </si>
  <si>
    <t>Tol+</t>
  </si>
  <si>
    <t>Tol-</t>
  </si>
  <si>
    <t>Dimensional Waiver List</t>
  </si>
  <si>
    <t>Yield</t>
  </si>
  <si>
    <t>Cp</t>
  </si>
  <si>
    <t>Cpk</t>
  </si>
  <si>
    <t>Waiver Proposal</t>
  </si>
  <si>
    <t>Functional Waiver List</t>
  </si>
  <si>
    <t>Yield %</t>
  </si>
  <si>
    <t>Inpsection Method</t>
  </si>
  <si>
    <t>Inspection Method</t>
  </si>
  <si>
    <t>Reliability</t>
  </si>
  <si>
    <t>Reliability Waiver List</t>
  </si>
  <si>
    <t>REL/ORT Test</t>
  </si>
  <si>
    <t>Failure Mode</t>
  </si>
  <si>
    <t>Checkpoint</t>
  </si>
  <si>
    <t>Input Qty</t>
  </si>
  <si>
    <t>NG Qty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</si>
  <si>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</si>
  <si>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</si>
  <si>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</si>
  <si>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</si>
  <si>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</si>
  <si>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</si>
  <si>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OQC Waiver Request</t>
  </si>
  <si>
    <t>Revision:</t>
  </si>
  <si>
    <t>Dpamstech</t>
    <phoneticPr fontId="15" type="noConversion"/>
  </si>
  <si>
    <t>Varo-Project</t>
    <phoneticPr fontId="15" type="noConversion"/>
  </si>
  <si>
    <t>-</t>
    <phoneticPr fontId="15" type="noConversion"/>
  </si>
  <si>
    <t>Distance</t>
  </si>
  <si>
    <t>Config:</t>
    <phoneticPr fontId="15" type="noConversion"/>
  </si>
  <si>
    <t>Sample Number</t>
  </si>
  <si>
    <t>Deviation from Nominal</t>
  </si>
  <si>
    <t>Mean</t>
  </si>
  <si>
    <t>% Tolerance</t>
  </si>
  <si>
    <t>Alert/Reject</t>
  </si>
  <si>
    <t>Parallelism</t>
  </si>
  <si>
    <t>OMM</t>
  </si>
  <si>
    <t>Flatness</t>
  </si>
  <si>
    <t>Perpendicularity</t>
  </si>
  <si>
    <t>CMM</t>
  </si>
  <si>
    <t>Straightness</t>
  </si>
  <si>
    <t>Diameter</t>
  </si>
  <si>
    <t>True position</t>
  </si>
  <si>
    <t>Maximum</t>
  </si>
  <si>
    <t>Minimum</t>
  </si>
  <si>
    <t>A</t>
  </si>
  <si>
    <t>AL</t>
  </si>
  <si>
    <t>C</t>
  </si>
  <si>
    <t>AM</t>
  </si>
  <si>
    <t>D-1</t>
  </si>
  <si>
    <t>D-2</t>
  </si>
  <si>
    <t>D-3</t>
  </si>
  <si>
    <t>E-1</t>
  </si>
  <si>
    <t>E-2</t>
  </si>
  <si>
    <t>E-3</t>
  </si>
  <si>
    <t>F</t>
  </si>
  <si>
    <t>G</t>
  </si>
  <si>
    <t>U</t>
  </si>
  <si>
    <t>AB</t>
  </si>
  <si>
    <t>AC</t>
  </si>
  <si>
    <t>AD</t>
  </si>
  <si>
    <t>Z-1</t>
  </si>
  <si>
    <t>Z-2</t>
  </si>
  <si>
    <t>AF</t>
  </si>
  <si>
    <t>T</t>
  </si>
  <si>
    <t>AE</t>
  </si>
  <si>
    <t>W</t>
  </si>
  <si>
    <t>Y-1</t>
  </si>
  <si>
    <t>Y-2</t>
  </si>
  <si>
    <t>X-1</t>
  </si>
  <si>
    <t>X-2</t>
  </si>
  <si>
    <t>X-3</t>
  </si>
  <si>
    <t>AG-1</t>
  </si>
  <si>
    <t>AG-2</t>
  </si>
  <si>
    <t>AK-1</t>
  </si>
  <si>
    <t>AK-2</t>
  </si>
  <si>
    <t>AK-3</t>
  </si>
  <si>
    <t>AH-1</t>
  </si>
  <si>
    <t>AH-2</t>
  </si>
  <si>
    <t>AN</t>
  </si>
  <si>
    <t>AI</t>
  </si>
  <si>
    <t>AJ</t>
  </si>
  <si>
    <t>M</t>
  </si>
  <si>
    <t>L</t>
  </si>
  <si>
    <t>AS</t>
  </si>
  <si>
    <t>AT</t>
  </si>
  <si>
    <t>AU</t>
  </si>
  <si>
    <t>V-1</t>
  </si>
  <si>
    <t>V-2</t>
  </si>
  <si>
    <t>V-3</t>
  </si>
  <si>
    <t>V-4</t>
  </si>
  <si>
    <t>V-5</t>
  </si>
  <si>
    <t>V-6</t>
  </si>
  <si>
    <t>AO</t>
  </si>
  <si>
    <t>AP</t>
  </si>
  <si>
    <t>AQ-1</t>
  </si>
  <si>
    <t>AQ-2</t>
  </si>
  <si>
    <t>AQ-3</t>
  </si>
  <si>
    <t>AQ-4</t>
  </si>
  <si>
    <t>AQ-5</t>
  </si>
  <si>
    <t>AQ-6</t>
  </si>
  <si>
    <t>AV</t>
  </si>
  <si>
    <t>817-09243</t>
    <phoneticPr fontId="15" type="noConversion"/>
  </si>
  <si>
    <t>Shipping Qty</t>
  </si>
  <si>
    <t>Unit</t>
  </si>
  <si>
    <t>FAI Data Sheet  Enclosures MD</t>
  </si>
  <si>
    <t>DRAWING SPECIFICATIONS</t>
  </si>
  <si>
    <t>INSPECTION RESULTS</t>
  </si>
  <si>
    <t>INSPECTION ANALYSIS</t>
  </si>
  <si>
    <t>USL</t>
  </si>
  <si>
    <t>LSL</t>
  </si>
  <si>
    <t>FAI#</t>
  </si>
  <si>
    <t>Description</t>
    <phoneticPr fontId="45" type="noConversion"/>
  </si>
  <si>
    <t>Upper</t>
  </si>
  <si>
    <t>Lower</t>
  </si>
  <si>
    <t>High</t>
  </si>
  <si>
    <t>Low</t>
  </si>
  <si>
    <t>Enhanced Cpk Data Sheet - Enclosures MD</t>
  </si>
  <si>
    <t xml:space="preserve">  </t>
    <phoneticPr fontId="51" type="noConversion"/>
  </si>
  <si>
    <t>CALCULATED RESULTS</t>
  </si>
  <si>
    <t>DO NOT DELETE COLUMNS</t>
  </si>
  <si>
    <t>(USL for one sided spec)</t>
  </si>
  <si>
    <t>(LSL for one sided spec)</t>
  </si>
  <si>
    <t>Tolerance needed to hit target Cpk</t>
  </si>
  <si>
    <t>Cp* =</t>
  </si>
  <si>
    <t>SPC</t>
    <phoneticPr fontId="54" type="noConversion"/>
  </si>
  <si>
    <t>Description</t>
    <phoneticPr fontId="55"/>
  </si>
  <si>
    <t>TOL+</t>
  </si>
  <si>
    <t>TOL-</t>
  </si>
  <si>
    <t>100% Gauged</t>
  </si>
  <si>
    <t>Std Dev</t>
    <phoneticPr fontId="51" type="noConversion"/>
  </si>
  <si>
    <t>Ca</t>
  </si>
  <si>
    <t>Ca Level</t>
  </si>
  <si>
    <t>UCPK</t>
    <phoneticPr fontId="56" type="noConversion"/>
  </si>
  <si>
    <t>LCPK</t>
    <phoneticPr fontId="56" type="noConversion"/>
  </si>
  <si>
    <t>+Tol =&gt; Cpk*</t>
  </si>
  <si>
    <t>-Tol =&gt; Cpk*</t>
  </si>
  <si>
    <t>Mean Shift</t>
    <phoneticPr fontId="51" type="noConversion"/>
  </si>
  <si>
    <t>Tol Range
=&gt; Cp*</t>
  </si>
  <si>
    <t>Normality Result</t>
  </si>
  <si>
    <t>Notes</t>
  </si>
  <si>
    <t>No</t>
  </si>
  <si>
    <t>+TOL</t>
    <phoneticPr fontId="15" type="noConversion"/>
  </si>
  <si>
    <t>TOL</t>
    <phoneticPr fontId="15" type="noConversion"/>
  </si>
  <si>
    <t>Normality Test</t>
    <phoneticPr fontId="15" type="noConversion"/>
  </si>
  <si>
    <t xml:space="preserve"> Supplier Comment</t>
    <phoneticPr fontId="15" type="noConversion"/>
  </si>
  <si>
    <t>DRAWING SPECIFICATIONS</t>
    <phoneticPr fontId="15" type="noConversion"/>
  </si>
  <si>
    <t>FAI 6-2</t>
  </si>
  <si>
    <t>FAI 7-2</t>
  </si>
  <si>
    <t>FAI 7-3</t>
  </si>
  <si>
    <t>FAI 8-2</t>
  </si>
  <si>
    <t>FAI 8-3</t>
  </si>
  <si>
    <t>FAI 10</t>
  </si>
  <si>
    <t>FAI 14_2</t>
  </si>
  <si>
    <t>FAI 17-2</t>
  </si>
  <si>
    <t>FAI 17-3</t>
  </si>
  <si>
    <t>FAI 19</t>
  </si>
  <si>
    <t>FAI 20</t>
  </si>
  <si>
    <t>FAI 21</t>
  </si>
  <si>
    <t>FAI 23</t>
  </si>
  <si>
    <t>FAI 27-2</t>
  </si>
  <si>
    <t>FAI 29</t>
  </si>
  <si>
    <t>FAI 30</t>
  </si>
  <si>
    <t>FAI 31</t>
  </si>
  <si>
    <t>FAI 32</t>
  </si>
  <si>
    <t>FAI 33</t>
  </si>
  <si>
    <t>FAI 35-2</t>
  </si>
  <si>
    <t>FAI 37_2</t>
  </si>
  <si>
    <t>FAI 37_3</t>
  </si>
  <si>
    <t>FAI 38-2</t>
  </si>
  <si>
    <t>FAI 40_2</t>
  </si>
  <si>
    <t>FAI 40_3</t>
  </si>
  <si>
    <t>FAI 43</t>
  </si>
  <si>
    <t>FAI 44</t>
  </si>
  <si>
    <t>FAI 46</t>
  </si>
  <si>
    <t>FAI 61</t>
  </si>
  <si>
    <t>FAI 64</t>
  </si>
  <si>
    <t>FAI 65</t>
  </si>
  <si>
    <t>FAI 66</t>
  </si>
  <si>
    <t>FAI 67</t>
  </si>
  <si>
    <t>FAI 68</t>
  </si>
  <si>
    <t>FAI 69</t>
  </si>
  <si>
    <t>FAI 70</t>
  </si>
  <si>
    <t>FAI 71</t>
  </si>
  <si>
    <t>FAI 72</t>
  </si>
  <si>
    <t>FAI 73</t>
  </si>
  <si>
    <t>FAI 74</t>
  </si>
  <si>
    <t>FAI 75</t>
  </si>
  <si>
    <t>FAI 76</t>
  </si>
  <si>
    <t>FAI 77</t>
  </si>
  <si>
    <t>FAI 78</t>
  </si>
  <si>
    <t>FAI 82-2</t>
  </si>
  <si>
    <t>FAI 82-3</t>
  </si>
  <si>
    <t>FAI 82-4</t>
  </si>
  <si>
    <t>FAI 82-5</t>
  </si>
  <si>
    <t>FAI 82-6</t>
  </si>
  <si>
    <t>FAI 86</t>
  </si>
  <si>
    <t>FAI 87</t>
  </si>
  <si>
    <t>FAI 88</t>
  </si>
  <si>
    <t>FAI 89</t>
  </si>
  <si>
    <t>FAI 98</t>
  </si>
  <si>
    <t>FAI 99</t>
  </si>
  <si>
    <t>FAI 100</t>
  </si>
  <si>
    <t>FAI 107-2</t>
  </si>
  <si>
    <t>FAI 107-3</t>
  </si>
  <si>
    <t>FAI 108-2</t>
  </si>
  <si>
    <t>FAI 109-2</t>
  </si>
  <si>
    <t>FAI 1</t>
    <phoneticPr fontId="15" type="noConversion"/>
  </si>
  <si>
    <t>FAI 3-1</t>
    <phoneticPr fontId="15" type="noConversion"/>
  </si>
  <si>
    <t>FAI 3-2</t>
    <phoneticPr fontId="15" type="noConversion"/>
  </si>
  <si>
    <t>FAI 4</t>
    <phoneticPr fontId="15" type="noConversion"/>
  </si>
  <si>
    <t>FAI 5</t>
    <phoneticPr fontId="15" type="noConversion"/>
  </si>
  <si>
    <t>FAI 6-1</t>
    <phoneticPr fontId="15" type="noConversion"/>
  </si>
  <si>
    <t>FAI 6-2</t>
    <phoneticPr fontId="15" type="noConversion"/>
  </si>
  <si>
    <t>FAI 7-1</t>
    <phoneticPr fontId="15" type="noConversion"/>
  </si>
  <si>
    <t>FAI 8-1</t>
    <phoneticPr fontId="15" type="noConversion"/>
  </si>
  <si>
    <t>FAI 9</t>
    <phoneticPr fontId="15" type="noConversion"/>
  </si>
  <si>
    <t>FAI 13</t>
    <phoneticPr fontId="15" type="noConversion"/>
  </si>
  <si>
    <t>FAI 14_1</t>
    <phoneticPr fontId="15" type="noConversion"/>
  </si>
  <si>
    <t>FAI 17-1</t>
    <phoneticPr fontId="15" type="noConversion"/>
  </si>
  <si>
    <t>FAI 18</t>
    <phoneticPr fontId="15" type="noConversion"/>
  </si>
  <si>
    <t>FAI 22</t>
    <phoneticPr fontId="15" type="noConversion"/>
  </si>
  <si>
    <t>FAI 25</t>
    <phoneticPr fontId="15" type="noConversion"/>
  </si>
  <si>
    <t>FAI 26</t>
    <phoneticPr fontId="15" type="noConversion"/>
  </si>
  <si>
    <t>FAI 27-1</t>
    <phoneticPr fontId="15" type="noConversion"/>
  </si>
  <si>
    <t>FAI 27-2</t>
    <phoneticPr fontId="15" type="noConversion"/>
  </si>
  <si>
    <t>FAI 28</t>
    <phoneticPr fontId="15" type="noConversion"/>
  </si>
  <si>
    <t>FAI 35-1</t>
    <phoneticPr fontId="15" type="noConversion"/>
  </si>
  <si>
    <t>FAI 35-2</t>
    <phoneticPr fontId="15" type="noConversion"/>
  </si>
  <si>
    <t>FAI 37_1</t>
    <phoneticPr fontId="15" type="noConversion"/>
  </si>
  <si>
    <t>FAI 38-1</t>
    <phoneticPr fontId="15" type="noConversion"/>
  </si>
  <si>
    <t>FAI 38-2</t>
    <phoneticPr fontId="15" type="noConversion"/>
  </si>
  <si>
    <t>FAI 39</t>
    <phoneticPr fontId="15" type="noConversion"/>
  </si>
  <si>
    <t>FAI 40_1</t>
    <phoneticPr fontId="15" type="noConversion"/>
  </si>
  <si>
    <t>FAI 41-1</t>
    <phoneticPr fontId="15" type="noConversion"/>
  </si>
  <si>
    <t>FAI 41-2</t>
    <phoneticPr fontId="15" type="noConversion"/>
  </si>
  <si>
    <t>FAI 42</t>
    <phoneticPr fontId="15" type="noConversion"/>
  </si>
  <si>
    <t>FAI 45</t>
    <phoneticPr fontId="15" type="noConversion"/>
  </si>
  <si>
    <t>FAI 54</t>
    <phoneticPr fontId="15" type="noConversion"/>
  </si>
  <si>
    <t>FAI 55</t>
    <phoneticPr fontId="15" type="noConversion"/>
  </si>
  <si>
    <t>FAI 60</t>
    <phoneticPr fontId="15" type="noConversion"/>
  </si>
  <si>
    <t>FAI 63</t>
    <phoneticPr fontId="15" type="noConversion"/>
  </si>
  <si>
    <t>FAI 82-1</t>
    <phoneticPr fontId="15" type="noConversion"/>
  </si>
  <si>
    <t>FAI 85</t>
    <phoneticPr fontId="15" type="noConversion"/>
  </si>
  <si>
    <t>FAI 94_e1</t>
    <phoneticPr fontId="15" type="noConversion"/>
  </si>
  <si>
    <t>FAI 94_e2</t>
  </si>
  <si>
    <t>FAI 94_e3</t>
  </si>
  <si>
    <t>FAI 94_e4</t>
  </si>
  <si>
    <t>FAI 94_e5</t>
  </si>
  <si>
    <t>FAI 94_e6</t>
  </si>
  <si>
    <t>FAI 96-1</t>
    <phoneticPr fontId="15" type="noConversion"/>
  </si>
  <si>
    <t>FAI 96-2</t>
    <phoneticPr fontId="15" type="noConversion"/>
  </si>
  <si>
    <t>FAI 97</t>
    <phoneticPr fontId="15" type="noConversion"/>
  </si>
  <si>
    <t>FAI 101_1</t>
    <phoneticPr fontId="15" type="noConversion"/>
  </si>
  <si>
    <t>FAI 101_2L</t>
    <phoneticPr fontId="15" type="noConversion"/>
  </si>
  <si>
    <t>FAI 101_2R</t>
    <phoneticPr fontId="15" type="noConversion"/>
  </si>
  <si>
    <t>FAI 101_3</t>
    <phoneticPr fontId="15" type="noConversion"/>
  </si>
  <si>
    <t>FAI 101_4</t>
    <phoneticPr fontId="15" type="noConversion"/>
  </si>
  <si>
    <t>FAI 101_5</t>
    <phoneticPr fontId="15" type="noConversion"/>
  </si>
  <si>
    <t>FAI 102</t>
    <phoneticPr fontId="15" type="noConversion"/>
  </si>
  <si>
    <t>FAI 103</t>
    <phoneticPr fontId="15" type="noConversion"/>
  </si>
  <si>
    <t>FAI 105</t>
    <phoneticPr fontId="15" type="noConversion"/>
  </si>
  <si>
    <t>FAI 106</t>
    <phoneticPr fontId="15" type="noConversion"/>
  </si>
  <si>
    <t>FAI 107-1</t>
    <phoneticPr fontId="15" type="noConversion"/>
  </si>
  <si>
    <t>FAI 108-1</t>
    <phoneticPr fontId="15" type="noConversion"/>
  </si>
  <si>
    <t>FAI 109-1</t>
    <phoneticPr fontId="15" type="noConversion"/>
  </si>
  <si>
    <t>FAI 110-1</t>
    <phoneticPr fontId="15" type="noConversion"/>
  </si>
  <si>
    <t>FAI 110-2</t>
    <phoneticPr fontId="15" type="noConversion"/>
  </si>
  <si>
    <t>FAI 111</t>
    <phoneticPr fontId="15" type="noConversion"/>
  </si>
  <si>
    <t>FAI 112-V1</t>
    <phoneticPr fontId="15" type="noConversion"/>
  </si>
  <si>
    <t>FAI 113-V1</t>
    <phoneticPr fontId="15" type="noConversion"/>
  </si>
  <si>
    <t>FAI 114-V1</t>
    <phoneticPr fontId="15" type="noConversion"/>
  </si>
  <si>
    <t>FAI 116-V1</t>
    <phoneticPr fontId="15" type="noConversion"/>
  </si>
  <si>
    <t>FAI 117-V1</t>
    <phoneticPr fontId="15" type="noConversion"/>
  </si>
  <si>
    <t>FAI 112-V2</t>
    <phoneticPr fontId="15" type="noConversion"/>
  </si>
  <si>
    <t>FAI 113-V2</t>
    <phoneticPr fontId="15" type="noConversion"/>
  </si>
  <si>
    <t>FAI 114-V2</t>
    <phoneticPr fontId="15" type="noConversion"/>
  </si>
  <si>
    <t>FAI 116-V2</t>
    <phoneticPr fontId="15" type="noConversion"/>
  </si>
  <si>
    <t>FAI 117-V2</t>
    <phoneticPr fontId="15" type="noConversion"/>
  </si>
  <si>
    <t>FAI 118-U</t>
    <phoneticPr fontId="15" type="noConversion"/>
  </si>
  <si>
    <t>FAI 119-U</t>
  </si>
  <si>
    <t>FAI 120-U</t>
  </si>
  <si>
    <t>FAI 122-U</t>
  </si>
  <si>
    <t>FAI 123-U</t>
  </si>
  <si>
    <t>FAI 124</t>
    <phoneticPr fontId="15" type="noConversion"/>
  </si>
  <si>
    <t>FAI 125</t>
    <phoneticPr fontId="15" type="noConversion"/>
  </si>
  <si>
    <t>FAI 10</t>
    <phoneticPr fontId="15" type="noConversion"/>
  </si>
  <si>
    <t>FAI 19</t>
    <phoneticPr fontId="15" type="noConversion"/>
  </si>
  <si>
    <t>FAI 20</t>
    <phoneticPr fontId="15" type="noConversion"/>
  </si>
  <si>
    <t>FAI 29</t>
    <phoneticPr fontId="15" type="noConversion"/>
  </si>
  <si>
    <t>FAI 30</t>
    <phoneticPr fontId="15" type="noConversion"/>
  </si>
  <si>
    <t>FAI 31</t>
    <phoneticPr fontId="15" type="noConversion"/>
  </si>
  <si>
    <t>FAI 44</t>
    <phoneticPr fontId="15" type="noConversion"/>
  </si>
  <si>
    <t>FAI 71</t>
    <phoneticPr fontId="15" type="noConversion"/>
  </si>
  <si>
    <t>FAI 72</t>
    <phoneticPr fontId="15" type="noConversion"/>
  </si>
  <si>
    <t>FAI 73</t>
    <phoneticPr fontId="15" type="noConversion"/>
  </si>
  <si>
    <t>FAI 88</t>
    <phoneticPr fontId="15" type="noConversion"/>
  </si>
  <si>
    <t>OMM</t>
    <phoneticPr fontId="15" type="noConversion"/>
  </si>
  <si>
    <t>CMM</t>
    <phoneticPr fontId="15" type="noConversion"/>
  </si>
  <si>
    <t>AOI</t>
  </si>
  <si>
    <t>AOI</t>
    <phoneticPr fontId="15" type="noConversion"/>
  </si>
  <si>
    <t>FAI 44-1</t>
    <phoneticPr fontId="15" type="noConversion"/>
  </si>
  <si>
    <t>FAI 44-2</t>
  </si>
  <si>
    <t>FAI 44-3</t>
  </si>
  <si>
    <t>FAI 44-4</t>
  </si>
  <si>
    <t>FAI 21-1</t>
    <phoneticPr fontId="15" type="noConversion"/>
  </si>
  <si>
    <t>FAI 21-2</t>
  </si>
  <si>
    <t>FAI 21-3</t>
  </si>
  <si>
    <t>FAI 21-4</t>
  </si>
  <si>
    <t>MCO Rev.A / MSoP Rev.A /
PGM Rev.L</t>
    <phoneticPr fontId="15" type="noConversion"/>
  </si>
  <si>
    <t xml:space="preserve">     MEASURED DATA</t>
    <phoneticPr fontId="15" type="noConversion"/>
  </si>
  <si>
    <t>Shipping Lot No</t>
  </si>
  <si>
    <t>OBA:</t>
    <phoneticPr fontId="0" type="noConversion"/>
  </si>
  <si>
    <t>OK</t>
    <phoneticPr fontId="15" type="noConversion"/>
  </si>
  <si>
    <t>APN</t>
  </si>
  <si>
    <t>Shipping Date</t>
  </si>
  <si>
    <t>Build</t>
  </si>
  <si>
    <t>Inner package</t>
  </si>
  <si>
    <t>Total Q'TY</t>
  </si>
  <si>
    <t>Cavitity</t>
  </si>
  <si>
    <t>AZ</t>
    <phoneticPr fontId="15" type="noConversion"/>
  </si>
  <si>
    <t>FAI 118</t>
    <phoneticPr fontId="15" type="noConversion"/>
  </si>
  <si>
    <t>AW-1</t>
    <phoneticPr fontId="15" type="noConversion"/>
  </si>
  <si>
    <t>AW-2</t>
    <phoneticPr fontId="15" type="noConversion"/>
  </si>
  <si>
    <t>FAI 117-V2</t>
  </si>
  <si>
    <t>MP</t>
    <phoneticPr fontId="15" type="noConversion"/>
  </si>
  <si>
    <t>FAI 123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</si>
</sst>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0.0%"/>
    <numFmt numFmtId="178" formatCode="m/d/yyyy;@"/>
    <numFmt numFmtId="179" formatCode="yyyy\-mm\-dd;@"/>
    <numFmt numFmtId="180" formatCode="0.000"/>
    <numFmt numFmtId="181" formatCode="[$-409]d/mmm;@"/>
    <numFmt numFmtId="182" formatCode="0_);[Red]\(0\)"/>
    <numFmt numFmtId="183" formatCode="0.000_ "/>
    <numFmt numFmtId="184" formatCode="#,##0.0000"/>
    <numFmt numFmtId="185" formatCode="0.00_);[Red]\(0.00\)"/>
    <numFmt numFmtId="186" formatCode="0.0000"/>
  </numFmts>
  <fonts count="67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Helvetica Neue"/>
      <family val="1"/>
    </font>
    <font>
      <sz val="10"/>
      <color theme="1"/>
      <name val="Meiryo UI"/>
      <family val="2"/>
      <charset val="128"/>
    </font>
    <font>
      <b/>
      <sz val="16"/>
      <name val="Arial"/>
      <family val="2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name val="맑은 고딕"/>
      <family val="3"/>
      <charset val="134"/>
      <scheme val="minor"/>
    </font>
    <font>
      <sz val="8"/>
      <name val="Arial"/>
      <family val="2"/>
    </font>
    <font>
      <sz val="10"/>
      <color theme="1"/>
      <name val="Arial"/>
      <family val="2"/>
    </font>
    <font>
      <sz val="11"/>
      <color rgb="FFFF0000"/>
      <name val="宋体"/>
      <family val="3"/>
      <charset val="134"/>
    </font>
    <font>
      <sz val="12"/>
      <color rgb="FFFF0000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theme="1"/>
      <name val="Helvetica Neue"/>
    </font>
    <font>
      <sz val="12"/>
      <color indexed="8"/>
      <name val="맑은 고딕"/>
      <family val="3"/>
      <charset val="129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89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11" fillId="0" borderId="0"/>
    <xf numFmtId="181" fontId="16" fillId="0" borderId="0"/>
    <xf numFmtId="181" fontId="16" fillId="0" borderId="0"/>
    <xf numFmtId="9" fontId="17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19" applyNumberFormat="0" applyAlignment="0" applyProtection="0">
      <alignment vertical="center"/>
    </xf>
    <xf numFmtId="0" fontId="35" fillId="10" borderId="20" applyNumberFormat="0" applyAlignment="0" applyProtection="0">
      <alignment vertical="center"/>
    </xf>
    <xf numFmtId="0" fontId="36" fillId="10" borderId="19" applyNumberFormat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11" borderId="22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0" fillId="0" borderId="0"/>
    <xf numFmtId="9" fontId="26" fillId="0" borderId="0" applyFont="0" applyFill="0" applyBorder="0" applyAlignment="0" applyProtection="0"/>
    <xf numFmtId="0" fontId="20" fillId="0" borderId="0"/>
    <xf numFmtId="9" fontId="10" fillId="0" borderId="0" applyFont="0" applyFill="0" applyBorder="0" applyAlignment="0" applyProtection="0"/>
    <xf numFmtId="0" fontId="19" fillId="0" borderId="0"/>
    <xf numFmtId="177" fontId="17" fillId="0" borderId="0" applyFill="0" applyBorder="0" applyAlignment="0"/>
    <xf numFmtId="184" fontId="17" fillId="0" borderId="0" applyFill="0" applyBorder="0" applyAlignment="0"/>
    <xf numFmtId="0" fontId="21" fillId="0" borderId="25" applyNumberFormat="0" applyAlignment="0" applyProtection="0">
      <alignment horizontal="left" vertical="center"/>
    </xf>
    <xf numFmtId="0" fontId="21" fillId="0" borderId="9">
      <alignment horizontal="left" vertical="center"/>
    </xf>
    <xf numFmtId="184" fontId="17" fillId="0" borderId="0" applyFill="0" applyBorder="0" applyAlignment="0"/>
    <xf numFmtId="0" fontId="20" fillId="0" borderId="0"/>
    <xf numFmtId="184" fontId="17" fillId="0" borderId="0" applyFill="0" applyBorder="0" applyAlignment="0"/>
    <xf numFmtId="49" fontId="18" fillId="0" borderId="0" applyFill="0" applyBorder="0" applyAlignment="0"/>
    <xf numFmtId="184" fontId="17" fillId="0" borderId="0" applyFill="0" applyBorder="0" applyAlignment="0"/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2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6" fillId="0" borderId="0"/>
    <xf numFmtId="0" fontId="60" fillId="0" borderId="0"/>
    <xf numFmtId="181" fontId="16" fillId="0" borderId="0"/>
    <xf numFmtId="176" fontId="24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</cellStyleXfs>
  <cellXfs count="19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177" fontId="4" fillId="0" borderId="1" xfId="2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center" vertical="center" wrapText="1"/>
    </xf>
    <xf numFmtId="9" fontId="4" fillId="4" borderId="1" xfId="2" applyFont="1" applyFill="1" applyBorder="1" applyAlignment="1">
      <alignment horizontal="center" vertical="center" wrapText="1"/>
    </xf>
    <xf numFmtId="10" fontId="4" fillId="4" borderId="1" xfId="2" applyNumberFormat="1" applyFont="1" applyFill="1" applyBorder="1" applyAlignment="1">
      <alignment horizontal="left" vertical="center" wrapText="1"/>
    </xf>
    <xf numFmtId="0" fontId="4" fillId="4" borderId="1" xfId="2" applyNumberFormat="1" applyFont="1" applyFill="1" applyBorder="1" applyAlignment="1">
      <alignment horizontal="left" vertical="center" wrapText="1"/>
    </xf>
    <xf numFmtId="9" fontId="4" fillId="4" borderId="1" xfId="2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2" fillId="5" borderId="1" xfId="3" applyFont="1" applyFill="1" applyBorder="1" applyAlignment="1">
      <alignment horizontal="center" vertical="center"/>
    </xf>
    <xf numFmtId="0" fontId="13" fillId="4" borderId="1" xfId="3" applyFont="1" applyFill="1" applyBorder="1" applyAlignment="1">
      <alignment horizontal="center" vertical="center"/>
    </xf>
    <xf numFmtId="178" fontId="14" fillId="4" borderId="1" xfId="3" applyNumberFormat="1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vertical="center" wrapText="1"/>
    </xf>
    <xf numFmtId="179" fontId="14" fillId="4" borderId="1" xfId="3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10" fontId="4" fillId="4" borderId="1" xfId="2" quotePrefix="1" applyNumberFormat="1" applyFont="1" applyFill="1" applyBorder="1" applyAlignment="1">
      <alignment horizontal="left" vertical="center" wrapText="1"/>
    </xf>
    <xf numFmtId="10" fontId="23" fillId="4" borderId="1" xfId="2" quotePrefix="1" applyNumberFormat="1" applyFont="1" applyFill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shrinkToFit="1"/>
    </xf>
    <xf numFmtId="0" fontId="4" fillId="4" borderId="1" xfId="2" quotePrefix="1" applyNumberFormat="1" applyFont="1" applyFill="1" applyBorder="1" applyAlignment="1">
      <alignment horizontal="left" vertical="center" wrapText="1"/>
    </xf>
    <xf numFmtId="180" fontId="17" fillId="0" borderId="13" xfId="0" applyNumberFormat="1" applyFont="1" applyBorder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0" fontId="25" fillId="0" borderId="0" xfId="0" applyFont="1" applyAlignment="1">
      <alignment horizontal="center"/>
    </xf>
    <xf numFmtId="0" fontId="17" fillId="0" borderId="0" xfId="0" applyFont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17" fillId="0" borderId="0" xfId="0" applyFont="1"/>
    <xf numFmtId="0" fontId="43" fillId="0" borderId="4" xfId="0" applyFont="1" applyBorder="1"/>
    <xf numFmtId="0" fontId="43" fillId="0" borderId="15" xfId="0" applyFont="1" applyBorder="1"/>
    <xf numFmtId="58" fontId="22" fillId="0" borderId="4" xfId="48" applyNumberFormat="1" applyFont="1" applyBorder="1" applyAlignment="1" applyProtection="1">
      <alignment wrapText="1"/>
      <protection locked="0"/>
    </xf>
    <xf numFmtId="2" fontId="22" fillId="0" borderId="4" xfId="48" applyNumberFormat="1" applyFont="1" applyBorder="1" applyAlignment="1" applyProtection="1">
      <alignment wrapText="1"/>
      <protection locked="0"/>
    </xf>
    <xf numFmtId="0" fontId="46" fillId="0" borderId="4" xfId="0" quotePrefix="1" applyFont="1" applyBorder="1" applyAlignment="1">
      <alignment horizontal="center" vertical="center" wrapText="1"/>
    </xf>
    <xf numFmtId="0" fontId="22" fillId="0" borderId="4" xfId="0" applyFont="1" applyBorder="1" applyAlignment="1">
      <alignment wrapText="1"/>
    </xf>
    <xf numFmtId="0" fontId="22" fillId="0" borderId="4" xfId="48" applyFont="1" applyBorder="1" applyAlignment="1">
      <alignment wrapText="1"/>
    </xf>
    <xf numFmtId="0" fontId="22" fillId="0" borderId="4" xfId="48" applyFont="1" applyBorder="1"/>
    <xf numFmtId="2" fontId="22" fillId="0" borderId="4" xfId="48" applyNumberFormat="1" applyFont="1" applyBorder="1"/>
    <xf numFmtId="180" fontId="22" fillId="0" borderId="4" xfId="48" applyNumberFormat="1" applyFont="1" applyBorder="1"/>
    <xf numFmtId="0" fontId="22" fillId="0" borderId="2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wrapText="1"/>
    </xf>
    <xf numFmtId="0" fontId="52" fillId="0" borderId="4" xfId="48" applyFont="1" applyBorder="1" applyAlignment="1" applyProtection="1">
      <alignment wrapText="1"/>
      <protection locked="0"/>
    </xf>
    <xf numFmtId="0" fontId="43" fillId="0" borderId="4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3" fillId="0" borderId="3" xfId="0" applyFont="1" applyBorder="1" applyAlignment="1">
      <alignment vertical="center"/>
    </xf>
    <xf numFmtId="0" fontId="53" fillId="0" borderId="15" xfId="0" applyFont="1" applyBorder="1"/>
    <xf numFmtId="58" fontId="22" fillId="0" borderId="5" xfId="48" applyNumberFormat="1" applyFont="1" applyBorder="1" applyAlignment="1" applyProtection="1">
      <alignment horizontal="center" vertical="center" wrapText="1"/>
      <protection locked="0"/>
    </xf>
    <xf numFmtId="2" fontId="22" fillId="0" borderId="5" xfId="48" applyNumberFormat="1" applyFont="1" applyBorder="1" applyAlignment="1" applyProtection="1">
      <alignment horizontal="center" vertical="center" wrapText="1"/>
      <protection locked="0"/>
    </xf>
    <xf numFmtId="49" fontId="22" fillId="0" borderId="5" xfId="0" quotePrefix="1" applyNumberFormat="1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5" xfId="48" applyFont="1" applyBorder="1" applyAlignment="1">
      <alignment horizontal="center" wrapText="1"/>
    </xf>
    <xf numFmtId="0" fontId="22" fillId="0" borderId="5" xfId="48" applyFont="1" applyBorder="1" applyAlignment="1">
      <alignment horizontal="center" vertical="center"/>
    </xf>
    <xf numFmtId="2" fontId="22" fillId="0" borderId="5" xfId="48" applyNumberFormat="1" applyFont="1" applyBorder="1" applyAlignment="1">
      <alignment horizontal="center" vertical="center"/>
    </xf>
    <xf numFmtId="180" fontId="22" fillId="0" borderId="5" xfId="48" applyNumberFormat="1" applyFont="1" applyBorder="1" applyAlignment="1">
      <alignment horizontal="center" vertical="center"/>
    </xf>
    <xf numFmtId="180" fontId="22" fillId="0" borderId="5" xfId="48" quotePrefix="1" applyNumberFormat="1" applyFont="1" applyBorder="1" applyAlignment="1">
      <alignment horizontal="center" vertical="center"/>
    </xf>
    <xf numFmtId="180" fontId="22" fillId="0" borderId="5" xfId="48" quotePrefix="1" applyNumberFormat="1" applyFont="1" applyBorder="1" applyAlignment="1">
      <alignment horizontal="center" vertical="center" wrapText="1"/>
    </xf>
    <xf numFmtId="0" fontId="22" fillId="0" borderId="5" xfId="48" applyFont="1" applyBorder="1" applyAlignment="1" applyProtection="1">
      <alignment horizontal="center" wrapText="1"/>
      <protection locked="0"/>
    </xf>
    <xf numFmtId="0" fontId="22" fillId="0" borderId="1" xfId="48" applyFont="1" applyBorder="1" applyAlignment="1" applyProtection="1">
      <alignment horizontal="center" vertical="center"/>
      <protection locked="0"/>
    </xf>
    <xf numFmtId="0" fontId="57" fillId="0" borderId="0" xfId="0" applyFont="1"/>
    <xf numFmtId="0" fontId="58" fillId="0" borderId="5" xfId="364" applyFont="1" applyBorder="1" applyAlignment="1" applyProtection="1">
      <alignment horizontal="center"/>
      <protection locked="0"/>
    </xf>
    <xf numFmtId="182" fontId="58" fillId="0" borderId="14" xfId="7" quotePrefix="1" applyNumberFormat="1" applyFont="1" applyFill="1" applyBorder="1" applyAlignment="1" applyProtection="1">
      <alignment horizontal="center" vertical="center"/>
      <protection locked="0"/>
    </xf>
    <xf numFmtId="0" fontId="59" fillId="0" borderId="5" xfId="364" applyFont="1" applyBorder="1" applyAlignment="1" applyProtection="1">
      <alignment horizontal="center"/>
      <protection locked="0"/>
    </xf>
    <xf numFmtId="180" fontId="17" fillId="0" borderId="1" xfId="365" applyNumberFormat="1" applyFont="1" applyBorder="1" applyAlignment="1" applyProtection="1">
      <alignment horizontal="center" wrapText="1"/>
      <protection locked="0"/>
    </xf>
    <xf numFmtId="49" fontId="17" fillId="0" borderId="1" xfId="365" applyNumberFormat="1" applyFont="1" applyBorder="1" applyAlignment="1" applyProtection="1">
      <alignment horizontal="center" vertical="center" wrapText="1"/>
      <protection locked="0"/>
    </xf>
    <xf numFmtId="49" fontId="17" fillId="0" borderId="13" xfId="365" applyNumberFormat="1" applyFont="1" applyBorder="1" applyAlignment="1" applyProtection="1">
      <alignment horizontal="center" vertical="center" wrapText="1"/>
      <protection locked="0"/>
    </xf>
    <xf numFmtId="0" fontId="59" fillId="0" borderId="15" xfId="0" applyFont="1" applyBorder="1"/>
    <xf numFmtId="183" fontId="17" fillId="0" borderId="1" xfId="365" applyNumberFormat="1" applyFont="1" applyBorder="1" applyAlignment="1">
      <alignment horizontal="center"/>
    </xf>
    <xf numFmtId="183" fontId="17" fillId="0" borderId="1" xfId="48" applyNumberFormat="1" applyFont="1" applyBorder="1" applyAlignment="1">
      <alignment horizontal="center"/>
    </xf>
    <xf numFmtId="180" fontId="17" fillId="0" borderId="1" xfId="48" applyNumberFormat="1" applyFont="1" applyBorder="1" applyAlignment="1">
      <alignment horizontal="center"/>
    </xf>
    <xf numFmtId="10" fontId="17" fillId="0" borderId="1" xfId="48" applyNumberFormat="1" applyFont="1" applyBorder="1" applyAlignment="1">
      <alignment horizontal="center"/>
    </xf>
    <xf numFmtId="9" fontId="17" fillId="0" borderId="2" xfId="49" applyFont="1" applyFill="1" applyBorder="1" applyAlignment="1">
      <alignment horizontal="center"/>
    </xf>
    <xf numFmtId="180" fontId="17" fillId="0" borderId="2" xfId="49" applyNumberFormat="1" applyFont="1" applyFill="1" applyBorder="1" applyAlignment="1">
      <alignment horizontal="center"/>
    </xf>
    <xf numFmtId="180" fontId="17" fillId="0" borderId="1" xfId="365" applyNumberFormat="1" applyFont="1" applyBorder="1" applyAlignment="1" applyProtection="1">
      <alignment horizontal="center"/>
      <protection locked="0"/>
    </xf>
    <xf numFmtId="0" fontId="22" fillId="0" borderId="1" xfId="365" applyFont="1" applyBorder="1" applyAlignment="1" applyProtection="1">
      <alignment horizontal="center"/>
      <protection locked="0"/>
    </xf>
    <xf numFmtId="0" fontId="22" fillId="0" borderId="1" xfId="365" applyFont="1" applyBorder="1" applyAlignment="1" applyProtection="1">
      <alignment horizontal="left"/>
      <protection locked="0"/>
    </xf>
    <xf numFmtId="0" fontId="22" fillId="0" borderId="0" xfId="365" applyFont="1" applyAlignment="1" applyProtection="1">
      <alignment horizontal="center"/>
      <protection locked="0"/>
    </xf>
    <xf numFmtId="0" fontId="22" fillId="0" borderId="3" xfId="365" applyFont="1" applyBorder="1" applyAlignment="1" applyProtection="1">
      <alignment horizontal="center"/>
      <protection locked="0"/>
    </xf>
    <xf numFmtId="0" fontId="61" fillId="0" borderId="0" xfId="0" applyFont="1"/>
    <xf numFmtId="0" fontId="58" fillId="0" borderId="14" xfId="364" applyFont="1" applyBorder="1" applyAlignment="1" applyProtection="1">
      <alignment horizontal="center"/>
      <protection locked="0"/>
    </xf>
    <xf numFmtId="0" fontId="62" fillId="0" borderId="15" xfId="0" applyFont="1" applyBorder="1"/>
    <xf numFmtId="177" fontId="17" fillId="0" borderId="2" xfId="49" applyNumberFormat="1" applyFont="1" applyFill="1" applyBorder="1" applyAlignment="1">
      <alignment horizontal="center"/>
    </xf>
    <xf numFmtId="180" fontId="17" fillId="0" borderId="1" xfId="364" applyNumberFormat="1" applyFont="1" applyBorder="1" applyAlignment="1" applyProtection="1">
      <alignment horizontal="center"/>
      <protection locked="0"/>
    </xf>
    <xf numFmtId="0" fontId="58" fillId="0" borderId="1" xfId="364" applyFont="1" applyBorder="1" applyAlignment="1" applyProtection="1">
      <alignment horizontal="center"/>
      <protection locked="0"/>
    </xf>
    <xf numFmtId="182" fontId="58" fillId="0" borderId="1" xfId="7" quotePrefix="1" applyNumberFormat="1" applyFont="1" applyFill="1" applyBorder="1" applyAlignment="1" applyProtection="1">
      <alignment horizontal="center" vertic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43" fillId="0" borderId="3" xfId="0" applyFont="1" applyBorder="1"/>
    <xf numFmtId="0" fontId="17" fillId="0" borderId="1" xfId="5" quotePrefix="1" applyNumberFormat="1" applyFont="1" applyBorder="1" applyAlignment="1">
      <alignment horizontal="center" vertical="center"/>
    </xf>
    <xf numFmtId="0" fontId="17" fillId="0" borderId="1" xfId="4" applyNumberFormat="1" applyFont="1" applyBorder="1" applyAlignment="1">
      <alignment horizontal="center" vertical="center"/>
    </xf>
    <xf numFmtId="186" fontId="17" fillId="0" borderId="1" xfId="366" applyNumberFormat="1" applyFont="1" applyBorder="1" applyAlignment="1">
      <alignment horizontal="center" vertical="center"/>
    </xf>
    <xf numFmtId="0" fontId="53" fillId="0" borderId="6" xfId="0" applyFont="1" applyBorder="1"/>
    <xf numFmtId="0" fontId="65" fillId="0" borderId="1" xfId="0" applyFont="1" applyBorder="1" applyAlignment="1">
      <alignment horizontal="center" vertical="center"/>
    </xf>
    <xf numFmtId="14" fontId="66" fillId="4" borderId="26" xfId="62" applyNumberFormat="1" applyFont="1" applyFill="1" applyBorder="1" applyAlignment="1">
      <alignment horizontal="center" vertical="center"/>
    </xf>
    <xf numFmtId="49" fontId="66" fillId="4" borderId="26" xfId="62" applyNumberFormat="1" applyFont="1" applyFill="1" applyBorder="1" applyAlignment="1">
      <alignment horizontal="center" vertical="center"/>
    </xf>
    <xf numFmtId="0" fontId="66" fillId="0" borderId="26" xfId="62" applyFont="1" applyBorder="1" applyAlignment="1">
      <alignment horizontal="center" vertical="center"/>
    </xf>
    <xf numFmtId="0" fontId="66" fillId="0" borderId="0" xfId="62" applyFont="1" applyAlignment="1">
      <alignment horizontal="center" vertical="center"/>
    </xf>
    <xf numFmtId="182" fontId="66" fillId="0" borderId="26" xfId="62" applyNumberFormat="1" applyFont="1" applyBorder="1" applyAlignment="1">
      <alignment horizontal="center" vertical="center"/>
    </xf>
    <xf numFmtId="182" fontId="66" fillId="0" borderId="0" xfId="62" applyNumberFormat="1" applyFont="1" applyAlignment="1">
      <alignment horizontal="center" vertical="center"/>
    </xf>
    <xf numFmtId="180" fontId="17" fillId="0" borderId="27" xfId="364" applyNumberFormat="1" applyFont="1" applyBorder="1" applyAlignment="1" applyProtection="1">
      <alignment horizontal="center"/>
      <protection locked="0"/>
    </xf>
    <xf numFmtId="180" fontId="17" fillId="0" borderId="27" xfId="365" applyNumberFormat="1" applyFont="1" applyBorder="1" applyAlignment="1" applyProtection="1">
      <alignment horizontal="center" wrapText="1"/>
      <protection locked="0"/>
    </xf>
    <xf numFmtId="49" fontId="17" fillId="0" borderId="27" xfId="365" applyNumberFormat="1" applyFont="1" applyBorder="1" applyAlignment="1" applyProtection="1">
      <alignment horizontal="center" vertical="center" wrapText="1"/>
      <protection locked="0"/>
    </xf>
    <xf numFmtId="0" fontId="22" fillId="0" borderId="27" xfId="365" applyFont="1" applyBorder="1" applyAlignment="1" applyProtection="1">
      <alignment horizontal="left"/>
      <protection locked="0"/>
    </xf>
    <xf numFmtId="186" fontId="17" fillId="0" borderId="27" xfId="366" applyNumberFormat="1" applyFont="1" applyBorder="1" applyAlignment="1">
      <alignment horizontal="center" vertical="center"/>
    </xf>
    <xf numFmtId="0" fontId="58" fillId="0" borderId="5" xfId="364" quotePrefix="1" applyFont="1" applyBorder="1" applyAlignment="1" applyProtection="1">
      <alignment horizontal="center"/>
      <protection locked="0"/>
    </xf>
    <xf numFmtId="0" fontId="25" fillId="0" borderId="0" xfId="0" applyFont="1" applyAlignment="1">
      <alignment horizontal="center" vertical="center"/>
    </xf>
    <xf numFmtId="0" fontId="17" fillId="0" borderId="0" xfId="0" applyFont="1" applyAlignment="1" applyProtection="1">
      <alignment vertical="center"/>
      <protection locked="0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180" fontId="17" fillId="0" borderId="0" xfId="0" applyNumberFormat="1" applyFont="1" applyAlignment="1" applyProtection="1">
      <alignment horizontal="center" vertical="center"/>
      <protection locked="0"/>
    </xf>
    <xf numFmtId="180" fontId="17" fillId="0" borderId="1" xfId="0" applyNumberFormat="1" applyFont="1" applyBorder="1" applyAlignment="1" applyProtection="1">
      <alignment horizontal="center" vertical="center"/>
      <protection locked="0"/>
    </xf>
    <xf numFmtId="49" fontId="17" fillId="0" borderId="1" xfId="0" applyNumberFormat="1" applyFont="1" applyBorder="1" applyAlignment="1" applyProtection="1">
      <alignment horizontal="center" vertical="center"/>
      <protection locked="0"/>
    </xf>
    <xf numFmtId="180" fontId="17" fillId="0" borderId="14" xfId="0" applyNumberFormat="1" applyFont="1" applyBorder="1" applyAlignment="1" applyProtection="1">
      <alignment horizontal="center" vertical="center"/>
      <protection locked="0"/>
    </xf>
    <xf numFmtId="180" fontId="17" fillId="0" borderId="5" xfId="0" applyNumberFormat="1" applyFont="1" applyBorder="1" applyAlignment="1" applyProtection="1">
      <alignment horizontal="center" vertical="center"/>
      <protection locked="0"/>
    </xf>
    <xf numFmtId="180" fontId="17" fillId="0" borderId="14" xfId="0" applyNumberFormat="1" applyFont="1" applyBorder="1" applyAlignment="1">
      <alignment horizontal="center" vertical="center"/>
    </xf>
    <xf numFmtId="180" fontId="17" fillId="0" borderId="5" xfId="0" applyNumberFormat="1" applyFont="1" applyBorder="1" applyAlignment="1">
      <alignment horizontal="center" vertical="center"/>
    </xf>
    <xf numFmtId="9" fontId="18" fillId="0" borderId="5" xfId="0" quotePrefix="1" applyNumberFormat="1" applyFont="1" applyBorder="1" applyAlignment="1">
      <alignment horizontal="center" vertical="center"/>
    </xf>
    <xf numFmtId="9" fontId="18" fillId="0" borderId="5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 applyProtection="1">
      <alignment horizontal="center" vertical="center" wrapText="1"/>
      <protection locked="0"/>
    </xf>
    <xf numFmtId="180" fontId="47" fillId="0" borderId="7" xfId="0" applyNumberFormat="1" applyFont="1" applyBorder="1" applyAlignment="1">
      <alignment horizontal="center" vertical="center"/>
    </xf>
    <xf numFmtId="180" fontId="47" fillId="0" borderId="1" xfId="0" applyNumberFormat="1" applyFont="1" applyBorder="1" applyAlignment="1">
      <alignment horizontal="center" vertical="center"/>
    </xf>
    <xf numFmtId="0" fontId="48" fillId="0" borderId="0" xfId="0" applyFont="1" applyAlignment="1" applyProtection="1">
      <alignment horizontal="right" vertical="center"/>
      <protection locked="0"/>
    </xf>
    <xf numFmtId="49" fontId="17" fillId="0" borderId="1" xfId="0" applyNumberFormat="1" applyFont="1" applyBorder="1" applyAlignment="1" applyProtection="1">
      <alignment horizontal="center" vertical="center" wrapText="1"/>
      <protection locked="0"/>
    </xf>
    <xf numFmtId="180" fontId="17" fillId="0" borderId="1" xfId="0" applyNumberFormat="1" applyFont="1" applyBorder="1" applyAlignment="1">
      <alignment horizontal="center" vertical="center"/>
    </xf>
    <xf numFmtId="9" fontId="18" fillId="0" borderId="1" xfId="0" quotePrefix="1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182" fontId="17" fillId="0" borderId="0" xfId="0" applyNumberFormat="1" applyFont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6" fillId="0" borderId="26" xfId="62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9" fillId="0" borderId="0" xfId="0" applyFont="1" applyAlignment="1" applyProtection="1">
      <alignment horizontal="center" vertical="center"/>
      <protection locked="0"/>
    </xf>
    <xf numFmtId="0" fontId="43" fillId="0" borderId="1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85" fontId="22" fillId="0" borderId="1" xfId="0" applyNumberFormat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43" fillId="0" borderId="2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</cellXfs>
  <cellStyles count="689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0" xr:uid="{0A547A0E-DE15-4C34-BDEF-DEF61BCBAC39}"/>
    <cellStyle name="20% - 강조색1 11" xfId="246" xr:uid="{A0133E03-4FF6-4773-83EB-E1C71755515E}"/>
    <cellStyle name="20% - 강조색1 11 2" xfId="570" xr:uid="{F53EAEA4-5C11-4B23-913E-85CE57C768F6}"/>
    <cellStyle name="20% - 강조색1 12" xfId="266" xr:uid="{69765A4B-5601-441F-932C-239E408BA924}"/>
    <cellStyle name="20% - 강조색1 12 2" xfId="590" xr:uid="{5E747B3B-10B8-4E77-82E5-B71DBA79F963}"/>
    <cellStyle name="20% - 강조색1 13" xfId="286" xr:uid="{2D93951E-88EE-4D56-A398-D06CE1F6EA5E}"/>
    <cellStyle name="20% - 강조색1 13 2" xfId="610" xr:uid="{F77A1F7C-4762-4623-BD72-546151B89AD8}"/>
    <cellStyle name="20% - 강조색1 14" xfId="306" xr:uid="{D2E72044-9889-43C0-AEC5-6EB1830CA591}"/>
    <cellStyle name="20% - 강조색1 14 2" xfId="630" xr:uid="{FE408787-BF49-486C-887C-EA279115CB29}"/>
    <cellStyle name="20% - 강조색1 15" xfId="326" xr:uid="{F699FD11-AFE7-4F15-B0D0-594A5B59A6DC}"/>
    <cellStyle name="20% - 강조색1 15 2" xfId="650" xr:uid="{52255B2B-7FE3-428C-859F-8B3D8167B6AD}"/>
    <cellStyle name="20% - 강조색1 16" xfId="346" xr:uid="{B2D40CCE-D2F7-47F4-A6D2-B2E79757B518}"/>
    <cellStyle name="20% - 강조색1 16 2" xfId="670" xr:uid="{C2CA1840-7311-4D18-B3D6-07E4B9D9B7E3}"/>
    <cellStyle name="20% - 강조색1 17" xfId="368" xr:uid="{F2C4966D-4DA3-4D20-B004-B9453B36B408}"/>
    <cellStyle name="20% - 강조색1 2" xfId="66" xr:uid="{C000C105-B9B6-4FCD-955D-5C51AE01AD63}"/>
    <cellStyle name="20% - 강조색1 2 2" xfId="390" xr:uid="{61B7B432-EE1D-41E8-AF8D-0016F8B6CACF}"/>
    <cellStyle name="20% - 강조색1 3" xfId="86" xr:uid="{F5A672B4-D06D-4DB2-937D-339516178143}"/>
    <cellStyle name="20% - 강조색1 3 2" xfId="410" xr:uid="{3B8CB025-F0ED-42E9-B8FE-19DF34D02E0E}"/>
    <cellStyle name="20% - 강조색1 4" xfId="106" xr:uid="{3C64C37A-44A9-4367-B271-41D2A0E02959}"/>
    <cellStyle name="20% - 강조색1 4 2" xfId="430" xr:uid="{D27C282D-A585-4653-8D67-DDE76B7DE4BD}"/>
    <cellStyle name="20% - 강조색1 5" xfId="126" xr:uid="{85AD6993-9104-4803-AB92-CF10796A4D3D}"/>
    <cellStyle name="20% - 강조색1 5 2" xfId="450" xr:uid="{60F91843-D4B7-4DCE-8FC7-F994CBB6635C}"/>
    <cellStyle name="20% - 강조색1 6" xfId="146" xr:uid="{72C18894-A5F7-4A98-BC89-75E38C4C69E0}"/>
    <cellStyle name="20% - 강조색1 6 2" xfId="470" xr:uid="{25257FB5-FDCD-4BE7-8140-F021BC399333}"/>
    <cellStyle name="20% - 강조색1 7" xfId="166" xr:uid="{3D432729-A8DE-423D-A1F2-8BB10728B8A7}"/>
    <cellStyle name="20% - 강조색1 7 2" xfId="490" xr:uid="{770C28AB-B434-4BEB-8C64-65C1CDEB436C}"/>
    <cellStyle name="20% - 강조색1 8" xfId="186" xr:uid="{EA8B51F4-DF1C-4AD3-B065-82345EB025A5}"/>
    <cellStyle name="20% - 강조색1 8 2" xfId="510" xr:uid="{F2FF0852-AAAC-41B7-B223-B27AD0EEE872}"/>
    <cellStyle name="20% - 강조색1 9" xfId="206" xr:uid="{3AF2B297-8D3F-4630-89A2-074B4220D709}"/>
    <cellStyle name="20% - 강조색1 9 2" xfId="530" xr:uid="{7515D995-EC9A-418D-A0AB-19BDBE360AC6}"/>
    <cellStyle name="20% - 강조색2" xfId="29" builtinId="34" customBuiltin="1"/>
    <cellStyle name="20% - 강조색2 10" xfId="229" xr:uid="{626F9513-4C92-4F94-B200-104CF2CD402B}"/>
    <cellStyle name="20% - 강조색2 10 2" xfId="553" xr:uid="{5D448411-A44B-4265-95FD-48AC7E211C93}"/>
    <cellStyle name="20% - 강조색2 11" xfId="249" xr:uid="{26249CFF-D7A2-4344-AF21-7004B903DE59}"/>
    <cellStyle name="20% - 강조색2 11 2" xfId="573" xr:uid="{5AD85DB0-1E81-41E0-9BD0-FAD0E296F56C}"/>
    <cellStyle name="20% - 강조색2 12" xfId="269" xr:uid="{4C7B131D-BF00-41A3-A47F-EF7251B28828}"/>
    <cellStyle name="20% - 강조색2 12 2" xfId="593" xr:uid="{3F055ADD-EBBE-420B-BB14-DE30C552D9E1}"/>
    <cellStyle name="20% - 강조색2 13" xfId="289" xr:uid="{DDA91409-2ECB-49B2-9139-3C4AB69E3086}"/>
    <cellStyle name="20% - 강조색2 13 2" xfId="613" xr:uid="{09D0F282-D8CE-46F2-B261-D394BE164DBF}"/>
    <cellStyle name="20% - 강조색2 14" xfId="309" xr:uid="{28A644DC-7FF4-4C83-BFE4-A6C26544894C}"/>
    <cellStyle name="20% - 강조색2 14 2" xfId="633" xr:uid="{A60CC75A-A6E5-4D3F-9E15-E3A810A0000B}"/>
    <cellStyle name="20% - 강조색2 15" xfId="329" xr:uid="{03343EA4-A181-4A6B-9013-D99EAEB9A7B5}"/>
    <cellStyle name="20% - 강조색2 15 2" xfId="653" xr:uid="{F1320918-76AD-4D5F-8704-7006236FA483}"/>
    <cellStyle name="20% - 강조색2 16" xfId="349" xr:uid="{90DF914E-13D3-42B4-90E8-30C7D1A3016E}"/>
    <cellStyle name="20% - 강조색2 16 2" xfId="673" xr:uid="{E7ECA958-8BF7-4B67-B71A-8E530B9318E0}"/>
    <cellStyle name="20% - 강조색2 17" xfId="371" xr:uid="{4CDF4843-D869-42BA-A5EC-124179FF33B4}"/>
    <cellStyle name="20% - 강조색2 2" xfId="69" xr:uid="{D6F77B8E-DA75-4D1F-84E3-B26EE1B4E3DC}"/>
    <cellStyle name="20% - 강조색2 2 2" xfId="393" xr:uid="{6566E0B5-C463-4B81-8A97-293538D221D7}"/>
    <cellStyle name="20% - 강조색2 3" xfId="89" xr:uid="{E95C3191-E88A-42C1-9017-12532ABFFD51}"/>
    <cellStyle name="20% - 강조색2 3 2" xfId="413" xr:uid="{BEEB7445-A25E-4095-8383-A33894FACADE}"/>
    <cellStyle name="20% - 강조색2 4" xfId="109" xr:uid="{D686A997-3988-4BCE-82AC-AEACBF73748C}"/>
    <cellStyle name="20% - 강조색2 4 2" xfId="433" xr:uid="{B61F602D-6B96-43B4-B736-3D3F1F449214}"/>
    <cellStyle name="20% - 강조색2 5" xfId="129" xr:uid="{0A64B3A1-8AA3-494D-9AD7-DACAB7C93F5B}"/>
    <cellStyle name="20% - 강조색2 5 2" xfId="453" xr:uid="{968C7BDE-1F56-40A0-923E-2BBF3AA11D12}"/>
    <cellStyle name="20% - 강조색2 6" xfId="149" xr:uid="{F82DB304-D754-4E19-ACEA-7104782A493D}"/>
    <cellStyle name="20% - 강조색2 6 2" xfId="473" xr:uid="{A76CB5B7-C1DE-42FA-9FBA-85531109DFA8}"/>
    <cellStyle name="20% - 강조색2 7" xfId="169" xr:uid="{3ACEDB0C-3AB5-42A9-8A54-0171BEA68931}"/>
    <cellStyle name="20% - 강조색2 7 2" xfId="493" xr:uid="{C6836B95-F025-4E0A-9627-F52EE965BF87}"/>
    <cellStyle name="20% - 강조색2 8" xfId="189" xr:uid="{92D06AA7-BD79-4A08-A0AC-19FAAE141A9A}"/>
    <cellStyle name="20% - 강조색2 8 2" xfId="513" xr:uid="{38F7C525-5B08-471C-A428-DE4E7DFF7E5E}"/>
    <cellStyle name="20% - 강조색2 9" xfId="209" xr:uid="{87FEFB61-F2A8-431E-926D-D0AA74DBDF54}"/>
    <cellStyle name="20% - 강조색2 9 2" xfId="533" xr:uid="{A8936713-ADA6-4BE8-97C5-92AA706A9394}"/>
    <cellStyle name="20% - 강조색3" xfId="33" builtinId="38" customBuiltin="1"/>
    <cellStyle name="20% - 강조색3 10" xfId="232" xr:uid="{61651A33-B832-41AE-9EBF-C4749E3E2278}"/>
    <cellStyle name="20% - 강조색3 10 2" xfId="556" xr:uid="{EA3EBF85-2969-4016-A032-933BA1FF2807}"/>
    <cellStyle name="20% - 강조색3 11" xfId="252" xr:uid="{E949058E-E0C6-4200-8EC6-DBEF142DAD18}"/>
    <cellStyle name="20% - 강조색3 11 2" xfId="576" xr:uid="{79AC3F23-C7B3-4903-9E0C-2D2F6E737FAC}"/>
    <cellStyle name="20% - 강조색3 12" xfId="272" xr:uid="{426D12DE-A4BE-4992-808E-7DC40B9718AD}"/>
    <cellStyle name="20% - 강조색3 12 2" xfId="596" xr:uid="{C7BE0475-527E-43A4-BE97-06BB86F25BEC}"/>
    <cellStyle name="20% - 강조색3 13" xfId="292" xr:uid="{0768D020-6E83-4F1E-AF32-AE5A782C18B5}"/>
    <cellStyle name="20% - 강조색3 13 2" xfId="616" xr:uid="{BE490AFF-39E8-437D-99E1-3A032F88983B}"/>
    <cellStyle name="20% - 강조색3 14" xfId="312" xr:uid="{1703ADAA-77C1-42AF-988A-62849F1C5366}"/>
    <cellStyle name="20% - 강조색3 14 2" xfId="636" xr:uid="{254F0D01-A10A-480D-992B-7D7C15CAE58B}"/>
    <cellStyle name="20% - 강조색3 15" xfId="332" xr:uid="{8893DAEB-8166-4103-ADD1-C300EA23E857}"/>
    <cellStyle name="20% - 강조색3 15 2" xfId="656" xr:uid="{93A207D4-F320-40B1-B724-4A629734318F}"/>
    <cellStyle name="20% - 강조색3 16" xfId="352" xr:uid="{A4F2511B-64D6-493B-AC77-889421CE3F84}"/>
    <cellStyle name="20% - 강조색3 16 2" xfId="676" xr:uid="{44B838A4-D071-43D7-9489-E8ABD1053FBE}"/>
    <cellStyle name="20% - 강조색3 17" xfId="374" xr:uid="{AC2C48F5-270C-45B3-9BA4-CB98FF20BF19}"/>
    <cellStyle name="20% - 강조색3 2" xfId="72" xr:uid="{DADA5BBF-655E-4DF7-8AF7-F67FAB006F70}"/>
    <cellStyle name="20% - 강조색3 2 2" xfId="396" xr:uid="{8560E511-02CE-46BD-BB69-A941D4BC6266}"/>
    <cellStyle name="20% - 강조색3 3" xfId="92" xr:uid="{8A2B4D20-D914-4DED-AD89-24BEA2F842A1}"/>
    <cellStyle name="20% - 강조색3 3 2" xfId="416" xr:uid="{0F32F8A7-70DD-4A81-9DF1-19A3115616AB}"/>
    <cellStyle name="20% - 강조색3 4" xfId="112" xr:uid="{D02C6126-C8BA-436E-A7C9-F01EB6D42534}"/>
    <cellStyle name="20% - 강조색3 4 2" xfId="436" xr:uid="{4A3E3A67-8035-47C2-AD9A-B556D52ACDF1}"/>
    <cellStyle name="20% - 강조색3 5" xfId="132" xr:uid="{0B27F645-BFC1-4271-97C7-A69C5A0D1187}"/>
    <cellStyle name="20% - 강조색3 5 2" xfId="456" xr:uid="{6F4F08C4-ACB5-4F1A-9F60-CBBD86F92AFA}"/>
    <cellStyle name="20% - 강조색3 6" xfId="152" xr:uid="{BC6E1FF5-9FA1-457C-807E-0DDB42F82165}"/>
    <cellStyle name="20% - 강조색3 6 2" xfId="476" xr:uid="{D19FF4D8-1798-42CF-89F7-DEE1C15B22D2}"/>
    <cellStyle name="20% - 강조색3 7" xfId="172" xr:uid="{FBCAFDFA-76DB-42D8-9AFC-73132063C498}"/>
    <cellStyle name="20% - 강조색3 7 2" xfId="496" xr:uid="{00516CFA-6223-4413-8704-C7725DE34CD1}"/>
    <cellStyle name="20% - 강조색3 8" xfId="192" xr:uid="{7B7916C4-7649-4B69-BBA1-586F1F8236AC}"/>
    <cellStyle name="20% - 강조색3 8 2" xfId="516" xr:uid="{1F940CA4-5441-4717-AC00-5DC0E95852A8}"/>
    <cellStyle name="20% - 강조색3 9" xfId="212" xr:uid="{B05A3FC1-2BD3-4D5D-BBD1-AF122FFA97D0}"/>
    <cellStyle name="20% - 강조색3 9 2" xfId="536" xr:uid="{8F813477-8A65-4450-935A-5E720A8BD06B}"/>
    <cellStyle name="20% - 강조색4" xfId="37" builtinId="42" customBuiltin="1"/>
    <cellStyle name="20% - 강조색4 10" xfId="235" xr:uid="{D7777BE9-BACF-476F-AC89-842F95EB340A}"/>
    <cellStyle name="20% - 강조색4 10 2" xfId="559" xr:uid="{503527EC-9DB0-47AB-8012-180DC9CA6FFD}"/>
    <cellStyle name="20% - 강조색4 11" xfId="255" xr:uid="{8CECB8CF-16A3-4C86-9941-19EB25997AC4}"/>
    <cellStyle name="20% - 강조색4 11 2" xfId="579" xr:uid="{503484B3-A939-46A0-AE4A-1E9C1DA16047}"/>
    <cellStyle name="20% - 강조색4 12" xfId="275" xr:uid="{11494E53-DE89-497B-B9CA-0A28AD5C723D}"/>
    <cellStyle name="20% - 강조색4 12 2" xfId="599" xr:uid="{2B808CC1-17EA-419D-BA4C-8F8D2F419F9F}"/>
    <cellStyle name="20% - 강조색4 13" xfId="295" xr:uid="{542C1C52-CA1D-4EBF-A46A-733955597A8B}"/>
    <cellStyle name="20% - 강조색4 13 2" xfId="619" xr:uid="{338CCEB5-74BB-4C2F-A51B-1D7EFED14E3E}"/>
    <cellStyle name="20% - 강조색4 14" xfId="315" xr:uid="{9865A804-0170-4131-AACE-8F585E2184FD}"/>
    <cellStyle name="20% - 강조색4 14 2" xfId="639" xr:uid="{C5C55A3C-53DB-4BA5-B80E-DC9F966AE508}"/>
    <cellStyle name="20% - 강조색4 15" xfId="335" xr:uid="{7574BF02-A4A9-44E1-BE7C-980F480A446B}"/>
    <cellStyle name="20% - 강조색4 15 2" xfId="659" xr:uid="{819DA80A-2347-4166-861A-DC74F2F13DDF}"/>
    <cellStyle name="20% - 강조색4 16" xfId="355" xr:uid="{90B0289A-96D5-4BC4-A0B4-357B6F7EC418}"/>
    <cellStyle name="20% - 강조색4 16 2" xfId="679" xr:uid="{2DA3F72D-6913-494D-B608-18F80CA2BA94}"/>
    <cellStyle name="20% - 강조색4 17" xfId="377" xr:uid="{020E6DCC-DFA4-46C8-B95A-471C5B3A4431}"/>
    <cellStyle name="20% - 강조색4 2" xfId="75" xr:uid="{05A71B88-BCC1-42C7-A0B3-5CF2BDB8026A}"/>
    <cellStyle name="20% - 강조색4 2 2" xfId="399" xr:uid="{DB2A5DC5-16CC-417F-8D29-22DAC25ED59D}"/>
    <cellStyle name="20% - 강조색4 3" xfId="95" xr:uid="{CEEC9913-54C2-470C-AD1F-B0DEF55F5A3D}"/>
    <cellStyle name="20% - 강조색4 3 2" xfId="419" xr:uid="{99E1CF59-6BC8-4D06-B993-9964888D40CD}"/>
    <cellStyle name="20% - 강조색4 4" xfId="115" xr:uid="{9D29B216-1327-471D-A20E-ACED39D6B564}"/>
    <cellStyle name="20% - 강조색4 4 2" xfId="439" xr:uid="{DAAC1B68-F1FE-4B3D-84F7-2A1A1501B7C1}"/>
    <cellStyle name="20% - 강조색4 5" xfId="135" xr:uid="{1F96C247-4CD8-4046-9DC3-CA3F66EB2D71}"/>
    <cellStyle name="20% - 강조색4 5 2" xfId="459" xr:uid="{C131C7BE-1EB1-4695-8D2F-024401FEB4D0}"/>
    <cellStyle name="20% - 강조색4 6" xfId="155" xr:uid="{45777F64-79FC-4C0E-B98D-EE32497B449E}"/>
    <cellStyle name="20% - 강조색4 6 2" xfId="479" xr:uid="{80565A3F-3701-4956-AF38-DDB08A153BF8}"/>
    <cellStyle name="20% - 강조색4 7" xfId="175" xr:uid="{D8023C2B-337C-4793-B1D3-453BF274B485}"/>
    <cellStyle name="20% - 강조색4 7 2" xfId="499" xr:uid="{90F404D6-AA7E-4F99-94A7-75F00F2E129D}"/>
    <cellStyle name="20% - 강조색4 8" xfId="195" xr:uid="{8113DDBD-D399-448B-B8ED-873D89E0096A}"/>
    <cellStyle name="20% - 강조색4 8 2" xfId="519" xr:uid="{C7AAB62E-0FA0-4902-B0E2-BCA79F3CF374}"/>
    <cellStyle name="20% - 강조색4 9" xfId="215" xr:uid="{14FB7DB9-C519-47BE-8EC1-AA255607A88C}"/>
    <cellStyle name="20% - 강조색4 9 2" xfId="539" xr:uid="{56761B2E-A180-454E-8F13-29F8F15FCA57}"/>
    <cellStyle name="20% - 강조색5" xfId="41" builtinId="46" customBuiltin="1"/>
    <cellStyle name="20% - 강조색5 10" xfId="238" xr:uid="{E411D9CE-490D-4DFD-94EE-328AACF8795E}"/>
    <cellStyle name="20% - 강조색5 10 2" xfId="562" xr:uid="{52D3A3CB-4BCF-4C6C-98E8-192D5A610F02}"/>
    <cellStyle name="20% - 강조색5 11" xfId="258" xr:uid="{A182F85F-D434-4461-A92A-139E7B12C467}"/>
    <cellStyle name="20% - 강조색5 11 2" xfId="582" xr:uid="{1FB7D163-0A8A-4671-835A-7FF583ECD95C}"/>
    <cellStyle name="20% - 강조색5 12" xfId="278" xr:uid="{EB7F973A-7A61-4F6E-A5B0-410E883B7724}"/>
    <cellStyle name="20% - 강조색5 12 2" xfId="602" xr:uid="{97C53B64-D473-44D3-B5FA-E3CCD82B3E5D}"/>
    <cellStyle name="20% - 강조색5 13" xfId="298" xr:uid="{E467C45C-A85E-4CBD-8151-8F87AEF39C33}"/>
    <cellStyle name="20% - 강조색5 13 2" xfId="622" xr:uid="{10A2985E-78C2-4BA5-AE2C-E0ED6E68F5A6}"/>
    <cellStyle name="20% - 강조색5 14" xfId="318" xr:uid="{BD4DAB35-D038-4546-91FD-449946C108CB}"/>
    <cellStyle name="20% - 강조색5 14 2" xfId="642" xr:uid="{2083F3F2-AED5-409A-9C9D-909EF35AF8F9}"/>
    <cellStyle name="20% - 강조색5 15" xfId="338" xr:uid="{C5DB7B8A-2BB1-4DD5-AC2D-C79121582DE1}"/>
    <cellStyle name="20% - 강조색5 15 2" xfId="662" xr:uid="{DE8A647A-26FC-4E69-85EA-210DCCED0DAF}"/>
    <cellStyle name="20% - 강조색5 16" xfId="358" xr:uid="{1937A4F5-0471-44D0-B2CD-DBF9CC2D59D1}"/>
    <cellStyle name="20% - 강조색5 16 2" xfId="682" xr:uid="{FFDADD4E-670A-4680-A104-F75D90025ECF}"/>
    <cellStyle name="20% - 강조색5 17" xfId="380" xr:uid="{69503A3B-A677-4384-8CE9-03D61139056D}"/>
    <cellStyle name="20% - 강조색5 2" xfId="78" xr:uid="{09E915A1-162C-49F6-8553-DBB874A046DF}"/>
    <cellStyle name="20% - 강조색5 2 2" xfId="402" xr:uid="{F5B6AACB-2D17-4777-A32A-64E0AED20817}"/>
    <cellStyle name="20% - 강조색5 3" xfId="98" xr:uid="{32594ED3-3038-4CDC-9C30-0B355FD9C119}"/>
    <cellStyle name="20% - 강조색5 3 2" xfId="422" xr:uid="{8B5CD952-BC4C-4A5C-A4E1-A65C8A3E5A09}"/>
    <cellStyle name="20% - 강조색5 4" xfId="118" xr:uid="{7C16B7F5-F116-4837-AC93-56230614F5EB}"/>
    <cellStyle name="20% - 강조색5 4 2" xfId="442" xr:uid="{601B6C0D-9B73-44DB-9D6E-D2694BD3D7AC}"/>
    <cellStyle name="20% - 강조색5 5" xfId="138" xr:uid="{AD61E653-6D02-4993-BE8B-BC8C624BE249}"/>
    <cellStyle name="20% - 강조색5 5 2" xfId="462" xr:uid="{C707BFC9-C244-4F48-9543-E39C295CD50B}"/>
    <cellStyle name="20% - 강조색5 6" xfId="158" xr:uid="{79AED299-6773-43D7-859D-1841B1C64F91}"/>
    <cellStyle name="20% - 강조색5 6 2" xfId="482" xr:uid="{8429B0AC-0A1B-41B7-92C3-546EA163865C}"/>
    <cellStyle name="20% - 강조색5 7" xfId="178" xr:uid="{4E271861-0A9C-4BD9-AA4B-8EC2BC60B6CD}"/>
    <cellStyle name="20% - 강조색5 7 2" xfId="502" xr:uid="{D0FA73C6-0C94-4B09-8E4E-68BC61B8447A}"/>
    <cellStyle name="20% - 강조색5 8" xfId="198" xr:uid="{065D2FA9-1C3F-4C00-BAA7-41A137662E55}"/>
    <cellStyle name="20% - 강조색5 8 2" xfId="522" xr:uid="{A2FAE56A-3A66-4731-A21A-8B9927C8C6CE}"/>
    <cellStyle name="20% - 강조색5 9" xfId="218" xr:uid="{772F6110-8CBC-401D-913D-DFF9BBD2E526}"/>
    <cellStyle name="20% - 강조색5 9 2" xfId="542" xr:uid="{4003F0F9-70EA-4136-9200-06503812C1D3}"/>
    <cellStyle name="20% - 강조색6" xfId="45" builtinId="50" customBuiltin="1"/>
    <cellStyle name="20% - 강조색6 10" xfId="241" xr:uid="{A9D7E7EF-A19E-4C1A-AB1C-96A3CDA2DCD8}"/>
    <cellStyle name="20% - 강조색6 10 2" xfId="565" xr:uid="{B81EC296-6E37-4E8B-9F2C-121FCA4BE3E9}"/>
    <cellStyle name="20% - 강조색6 11" xfId="261" xr:uid="{8D2F71CB-6051-471E-94A7-4CAE37718795}"/>
    <cellStyle name="20% - 강조색6 11 2" xfId="585" xr:uid="{C5DED93C-6948-4F6E-B395-2871FB885A63}"/>
    <cellStyle name="20% - 강조색6 12" xfId="281" xr:uid="{2976DA9E-E40C-4CBB-B753-8F3838D90FF5}"/>
    <cellStyle name="20% - 강조색6 12 2" xfId="605" xr:uid="{028BA3F0-709E-4590-B111-B2D197663BA3}"/>
    <cellStyle name="20% - 강조색6 13" xfId="301" xr:uid="{1CF5B089-D809-40CF-978F-C0726662BAD4}"/>
    <cellStyle name="20% - 강조색6 13 2" xfId="625" xr:uid="{77DB73C7-C212-45B8-8496-793A1C3F7806}"/>
    <cellStyle name="20% - 강조색6 14" xfId="321" xr:uid="{5C69464F-281D-4BAC-8941-618B90636E59}"/>
    <cellStyle name="20% - 강조색6 14 2" xfId="645" xr:uid="{BBD86845-9705-4C3C-8544-BA5F96642C88}"/>
    <cellStyle name="20% - 강조색6 15" xfId="341" xr:uid="{40F01361-CA31-4499-9DBE-6C6AB30963FF}"/>
    <cellStyle name="20% - 강조색6 15 2" xfId="665" xr:uid="{9E01F36D-4FAD-47FC-9651-4AAFF8425A3D}"/>
    <cellStyle name="20% - 강조색6 16" xfId="361" xr:uid="{F40D55B9-7FFD-4629-BBAC-33FEAF6B353F}"/>
    <cellStyle name="20% - 강조색6 16 2" xfId="685" xr:uid="{9BB6C68B-40FD-4C3F-8DE9-2AC9D4D7E118}"/>
    <cellStyle name="20% - 강조색6 17" xfId="383" xr:uid="{F9D4B07F-D48E-44F7-A7F2-64C8F53A3DFB}"/>
    <cellStyle name="20% - 강조색6 2" xfId="81" xr:uid="{E94A4951-3DCE-4107-A172-07961584A1EC}"/>
    <cellStyle name="20% - 강조색6 2 2" xfId="405" xr:uid="{1ABF52AE-C8ED-4EA2-AABE-13C7070BA4FF}"/>
    <cellStyle name="20% - 강조색6 3" xfId="101" xr:uid="{F0F6CE67-9038-4292-8AD0-D6B8B02E23D6}"/>
    <cellStyle name="20% - 강조색6 3 2" xfId="425" xr:uid="{A588072C-EF9C-483E-95FA-FC39DB833682}"/>
    <cellStyle name="20% - 강조색6 4" xfId="121" xr:uid="{CFE1F780-5DD4-4234-A16D-F6D66B1D0248}"/>
    <cellStyle name="20% - 강조색6 4 2" xfId="445" xr:uid="{802A15C7-B6B5-450B-B2B9-932BAF635A01}"/>
    <cellStyle name="20% - 강조색6 5" xfId="141" xr:uid="{5190C24C-3DB1-4404-98F9-AAA2ABDACE24}"/>
    <cellStyle name="20% - 강조색6 5 2" xfId="465" xr:uid="{C7B10730-1CEC-40CF-88E2-FC38BF65AE4F}"/>
    <cellStyle name="20% - 강조색6 6" xfId="161" xr:uid="{068ACF7A-B94A-4263-9EA3-BAD4356213EE}"/>
    <cellStyle name="20% - 강조색6 6 2" xfId="485" xr:uid="{1CB76CD2-1CF7-41C7-AD6A-2C9A95727FB8}"/>
    <cellStyle name="20% - 강조색6 7" xfId="181" xr:uid="{7F0E0991-186C-46D1-849C-F961850DAF91}"/>
    <cellStyle name="20% - 강조색6 7 2" xfId="505" xr:uid="{122D22AC-12B1-46C3-970F-F2A21E9ECF56}"/>
    <cellStyle name="20% - 강조색6 8" xfId="201" xr:uid="{25052CED-D218-4512-8F9B-138DD7092BA0}"/>
    <cellStyle name="20% - 강조색6 8 2" xfId="525" xr:uid="{767BB077-AA5D-442A-8390-270579C697A6}"/>
    <cellStyle name="20% - 강조색6 9" xfId="221" xr:uid="{CE3D1595-0958-48A2-B9EE-416DA293B80D}"/>
    <cellStyle name="20% - 강조색6 9 2" xfId="545" xr:uid="{7EC78534-B410-4145-A240-BC5B1F668D06}"/>
    <cellStyle name="40% - 강조색1" xfId="26" builtinId="31" customBuiltin="1"/>
    <cellStyle name="40% - 강조색1 10" xfId="227" xr:uid="{E08ED7FC-FA6B-4FD9-A116-0BE127A8255A}"/>
    <cellStyle name="40% - 강조색1 10 2" xfId="551" xr:uid="{F2468DE4-719D-4459-AC50-AD0C137E8514}"/>
    <cellStyle name="40% - 강조색1 11" xfId="247" xr:uid="{1995D369-4950-4911-8B5B-D6D1B63DABEC}"/>
    <cellStyle name="40% - 강조색1 11 2" xfId="571" xr:uid="{67795912-218F-487B-9939-7FB8A45CADEC}"/>
    <cellStyle name="40% - 강조색1 12" xfId="267" xr:uid="{28FA5F6C-C506-48F5-972A-4BD8254ECA20}"/>
    <cellStyle name="40% - 강조색1 12 2" xfId="591" xr:uid="{CCAF6414-6A20-41DB-89F7-0DB2913ACEA0}"/>
    <cellStyle name="40% - 강조색1 13" xfId="287" xr:uid="{DC801FBA-B5DC-4833-A0E5-0880E2C9FA75}"/>
    <cellStyle name="40% - 강조색1 13 2" xfId="611" xr:uid="{344EC2D2-8683-4489-B654-8C39693E3A6B}"/>
    <cellStyle name="40% - 강조색1 14" xfId="307" xr:uid="{D86DB530-F8E8-4256-A055-C4DCF24DF42B}"/>
    <cellStyle name="40% - 강조색1 14 2" xfId="631" xr:uid="{B69F137B-B9EE-4F05-B5B7-10E64AE1AB9A}"/>
    <cellStyle name="40% - 강조색1 15" xfId="327" xr:uid="{C6DEF322-810C-450F-8439-21E9E59A2120}"/>
    <cellStyle name="40% - 강조색1 15 2" xfId="651" xr:uid="{D6ECCF7F-E338-4F67-9DB1-6AB75C4E49E7}"/>
    <cellStyle name="40% - 강조색1 16" xfId="347" xr:uid="{7A654AAF-A51C-4D06-AD76-DDD5C11DEE5E}"/>
    <cellStyle name="40% - 강조색1 16 2" xfId="671" xr:uid="{C53D3C69-7AC3-48D3-BED7-45AF64C876E7}"/>
    <cellStyle name="40% - 강조색1 17" xfId="369" xr:uid="{1E230AF0-5B25-4303-9A20-EB92DADB9E89}"/>
    <cellStyle name="40% - 강조색1 2" xfId="67" xr:uid="{B3DEA3BC-2994-4847-AB57-CDE22DE2526D}"/>
    <cellStyle name="40% - 강조색1 2 2" xfId="391" xr:uid="{EA0B8C4B-D4FF-4753-8E5F-70E28D9D7DA9}"/>
    <cellStyle name="40% - 강조색1 3" xfId="87" xr:uid="{BC042DC4-BE1F-4C1C-B3E7-DAD07FE4A460}"/>
    <cellStyle name="40% - 강조색1 3 2" xfId="411" xr:uid="{DB969BBA-6EB5-4DDC-9BF3-41A17167502F}"/>
    <cellStyle name="40% - 강조색1 4" xfId="107" xr:uid="{0657A2DC-39FC-4EAF-86E3-357E212E02A7}"/>
    <cellStyle name="40% - 강조색1 4 2" xfId="431" xr:uid="{768479C3-E1F9-4DD2-A654-91FF6726A25E}"/>
    <cellStyle name="40% - 강조색1 5" xfId="127" xr:uid="{578BAB59-F1C4-40D9-A0B9-4F984791752D}"/>
    <cellStyle name="40% - 강조색1 5 2" xfId="451" xr:uid="{81FCD638-CCD0-4C3A-806E-C763190C060F}"/>
    <cellStyle name="40% - 강조색1 6" xfId="147" xr:uid="{8FFBF4F8-FB29-4DA6-9794-9A1398CED210}"/>
    <cellStyle name="40% - 강조색1 6 2" xfId="471" xr:uid="{2E53C8E8-A786-41D5-86D6-38798DBC18B0}"/>
    <cellStyle name="40% - 강조색1 7" xfId="167" xr:uid="{1927FD0E-4BE2-4492-BB2E-1966527C7123}"/>
    <cellStyle name="40% - 강조색1 7 2" xfId="491" xr:uid="{86EAB4AC-D315-4F79-8727-180272028340}"/>
    <cellStyle name="40% - 강조색1 8" xfId="187" xr:uid="{534FA0DC-8F7C-49E0-9E23-7705211A8717}"/>
    <cellStyle name="40% - 강조색1 8 2" xfId="511" xr:uid="{8AA1A8F5-FF74-4F71-ADF0-F616A86638AB}"/>
    <cellStyle name="40% - 강조색1 9" xfId="207" xr:uid="{3AE69E2A-7B92-4C93-BFD7-548085599299}"/>
    <cellStyle name="40% - 강조색1 9 2" xfId="531" xr:uid="{0C58BF15-4CBA-4C7D-BC1B-08346888B476}"/>
    <cellStyle name="40% - 강조색2" xfId="30" builtinId="35" customBuiltin="1"/>
    <cellStyle name="40% - 강조색2 10" xfId="230" xr:uid="{382D258B-D946-495B-BB96-23BC5A2A4906}"/>
    <cellStyle name="40% - 강조색2 10 2" xfId="554" xr:uid="{276E7ABA-4754-4829-B7E7-DCC046AA2419}"/>
    <cellStyle name="40% - 강조색2 11" xfId="250" xr:uid="{BCC6833B-7F37-4366-AB03-A4189D5D1A5C}"/>
    <cellStyle name="40% - 강조색2 11 2" xfId="574" xr:uid="{A87E7622-BFD1-4940-A3BC-9CACB1F930E4}"/>
    <cellStyle name="40% - 강조색2 12" xfId="270" xr:uid="{403E36EF-A38B-4C19-8BA7-DB8475CFAFF4}"/>
    <cellStyle name="40% - 강조색2 12 2" xfId="594" xr:uid="{1446F921-02FE-4F02-947E-2463167AC7D9}"/>
    <cellStyle name="40% - 강조색2 13" xfId="290" xr:uid="{A2F10307-2B51-454B-A85E-4616A0F5935B}"/>
    <cellStyle name="40% - 강조색2 13 2" xfId="614" xr:uid="{3180B65F-CC5C-4006-9889-CA5F61F41A00}"/>
    <cellStyle name="40% - 강조색2 14" xfId="310" xr:uid="{B4141A08-22E1-4CDC-BA81-C732B403F5E0}"/>
    <cellStyle name="40% - 강조색2 14 2" xfId="634" xr:uid="{AEC42967-E235-49F3-875F-2356112725AE}"/>
    <cellStyle name="40% - 강조색2 15" xfId="330" xr:uid="{33712066-8439-4FAC-8F5C-5F034E7A6D27}"/>
    <cellStyle name="40% - 강조색2 15 2" xfId="654" xr:uid="{0B5F732F-0A21-40F0-8745-1748DFF65BFB}"/>
    <cellStyle name="40% - 강조색2 16" xfId="350" xr:uid="{AFC6F076-90EA-4581-8BDE-36F03B53E5FA}"/>
    <cellStyle name="40% - 강조색2 16 2" xfId="674" xr:uid="{88F58ECE-6FB8-4A91-867B-DFE376B4E62F}"/>
    <cellStyle name="40% - 강조색2 17" xfId="372" xr:uid="{F53EDB2F-EFF0-41FC-AE06-9FE30B139294}"/>
    <cellStyle name="40% - 강조색2 2" xfId="70" xr:uid="{146568DE-76ED-412C-8120-A894E6D0A4B0}"/>
    <cellStyle name="40% - 강조색2 2 2" xfId="394" xr:uid="{FB64DC12-FFAE-45BC-A3D6-E4901D7AFF9F}"/>
    <cellStyle name="40% - 강조색2 3" xfId="90" xr:uid="{6937B661-ED94-4445-9C14-01D5D09A333C}"/>
    <cellStyle name="40% - 강조색2 3 2" xfId="414" xr:uid="{18E5C7E8-E238-470A-9E68-CB4644DA3FA9}"/>
    <cellStyle name="40% - 강조색2 4" xfId="110" xr:uid="{EF3AB1E6-F129-4803-A904-8F5D2B56F839}"/>
    <cellStyle name="40% - 강조색2 4 2" xfId="434" xr:uid="{06A5A411-F467-4062-9395-9DB623FE373C}"/>
    <cellStyle name="40% - 강조색2 5" xfId="130" xr:uid="{3B2608EE-CC80-4ED2-A47A-206D0C8833A2}"/>
    <cellStyle name="40% - 강조색2 5 2" xfId="454" xr:uid="{546A9ABD-B04D-4169-83AA-E05B7604A108}"/>
    <cellStyle name="40% - 강조색2 6" xfId="150" xr:uid="{3036EC20-0BD7-4FB0-9452-B74E026CC1F0}"/>
    <cellStyle name="40% - 강조색2 6 2" xfId="474" xr:uid="{F3FAE20D-643C-4500-BF24-11A488275EEC}"/>
    <cellStyle name="40% - 강조색2 7" xfId="170" xr:uid="{06D71241-9842-4FB1-92CC-B4734351DE63}"/>
    <cellStyle name="40% - 강조색2 7 2" xfId="494" xr:uid="{B50D23B4-AAAE-43D8-A773-6FB6E40EB436}"/>
    <cellStyle name="40% - 강조색2 8" xfId="190" xr:uid="{E4CD3BF1-0702-4D79-8779-88F0FB3618AE}"/>
    <cellStyle name="40% - 강조색2 8 2" xfId="514" xr:uid="{497C4CBC-63C8-413A-88EC-F176B47E5A7C}"/>
    <cellStyle name="40% - 강조색2 9" xfId="210" xr:uid="{132DE09A-2130-4280-B94F-352BF1679BB9}"/>
    <cellStyle name="40% - 강조색2 9 2" xfId="534" xr:uid="{FFE45AFE-7EFD-4C4B-917B-6F27AA6F48E0}"/>
    <cellStyle name="40% - 강조색3" xfId="34" builtinId="39" customBuiltin="1"/>
    <cellStyle name="40% - 강조색3 10" xfId="233" xr:uid="{5DCA0145-145D-477F-9C69-0E7D0BDAA8CE}"/>
    <cellStyle name="40% - 강조색3 10 2" xfId="557" xr:uid="{D3AD91BA-A3EE-4E37-8C41-56D3792FBEBD}"/>
    <cellStyle name="40% - 강조색3 11" xfId="253" xr:uid="{12DE31AC-58EA-478B-B2F8-EC3A4EF8B964}"/>
    <cellStyle name="40% - 강조색3 11 2" xfId="577" xr:uid="{B6F1F7B3-2903-4D5B-9437-4697218B4343}"/>
    <cellStyle name="40% - 강조색3 12" xfId="273" xr:uid="{4D7B6B2B-88B6-4009-9330-B8230883E09C}"/>
    <cellStyle name="40% - 강조색3 12 2" xfId="597" xr:uid="{B46BCCE1-D1F3-40CD-8756-690461C5D41B}"/>
    <cellStyle name="40% - 강조색3 13" xfId="293" xr:uid="{9D4232AF-38AE-4270-A53D-2285EF09B933}"/>
    <cellStyle name="40% - 강조색3 13 2" xfId="617" xr:uid="{05F56FCB-77D4-4E1F-AE88-ACBD237933E6}"/>
    <cellStyle name="40% - 강조색3 14" xfId="313" xr:uid="{4DD5EB19-A054-4F9C-BA8A-F25A1F5CA218}"/>
    <cellStyle name="40% - 강조색3 14 2" xfId="637" xr:uid="{E82A66D9-6170-493E-B5BD-96671BE6085B}"/>
    <cellStyle name="40% - 강조색3 15" xfId="333" xr:uid="{B100FFB5-33E8-41BF-8CBF-C81607218082}"/>
    <cellStyle name="40% - 강조색3 15 2" xfId="657" xr:uid="{0B686E47-B6E5-4114-92D2-C91C882A5641}"/>
    <cellStyle name="40% - 강조색3 16" xfId="353" xr:uid="{3A0E85DF-FC63-43E3-BC34-1401B1198215}"/>
    <cellStyle name="40% - 강조색3 16 2" xfId="677" xr:uid="{E1D4AF2C-F7DF-47A7-B5EE-A8013883227A}"/>
    <cellStyle name="40% - 강조색3 17" xfId="375" xr:uid="{56DB0CA3-1CD2-4A5A-92B5-33E6F15F47A6}"/>
    <cellStyle name="40% - 강조색3 2" xfId="73" xr:uid="{C705B1AE-544A-4371-ADBE-70B9BA64B990}"/>
    <cellStyle name="40% - 강조색3 2 2" xfId="397" xr:uid="{26F47A0A-DDD0-405B-B633-82000BB2FE26}"/>
    <cellStyle name="40% - 강조색3 3" xfId="93" xr:uid="{75AFCD94-0305-4697-A3EE-8E26414271F6}"/>
    <cellStyle name="40% - 강조색3 3 2" xfId="417" xr:uid="{EFE15868-A50D-472C-A897-27B350C7F0E2}"/>
    <cellStyle name="40% - 강조색3 4" xfId="113" xr:uid="{A46A58AF-ADF1-4CD5-8249-50FFE2BB1134}"/>
    <cellStyle name="40% - 강조색3 4 2" xfId="437" xr:uid="{A0302E1D-AA53-45F6-96EC-C3F53449A98B}"/>
    <cellStyle name="40% - 강조색3 5" xfId="133" xr:uid="{0800A894-E1D7-40D2-8B77-A8F344BA31E2}"/>
    <cellStyle name="40% - 강조색3 5 2" xfId="457" xr:uid="{700A5068-62B8-4DC3-AA6C-C61B9DFC54E2}"/>
    <cellStyle name="40% - 강조색3 6" xfId="153" xr:uid="{54F5813A-1F40-4B47-825B-478DA88788F1}"/>
    <cellStyle name="40% - 강조색3 6 2" xfId="477" xr:uid="{C2E429F5-3DC6-4E04-BF13-C28A85F533F7}"/>
    <cellStyle name="40% - 강조색3 7" xfId="173" xr:uid="{31D59DE3-E49F-462A-9662-80189E92696D}"/>
    <cellStyle name="40% - 강조색3 7 2" xfId="497" xr:uid="{2E24857A-A072-4F10-A75A-B773F58A0E73}"/>
    <cellStyle name="40% - 강조색3 8" xfId="193" xr:uid="{B9B7443B-9F0E-4C88-B960-D2AFA151E97E}"/>
    <cellStyle name="40% - 강조색3 8 2" xfId="517" xr:uid="{41C6DAA8-F46B-4806-AFF4-8496296DFBBC}"/>
    <cellStyle name="40% - 강조색3 9" xfId="213" xr:uid="{4A23610B-77CE-47A2-B2FB-E8C44A920724}"/>
    <cellStyle name="40% - 강조색3 9 2" xfId="537" xr:uid="{2C61293C-6673-469F-9AF9-BAE7B3C070AF}"/>
    <cellStyle name="40% - 강조색4" xfId="38" builtinId="43" customBuiltin="1"/>
    <cellStyle name="40% - 강조색4 10" xfId="236" xr:uid="{279AACC2-5F8A-4635-BD30-C38CC99F5BBF}"/>
    <cellStyle name="40% - 강조색4 10 2" xfId="560" xr:uid="{7CF28678-AEEC-47D6-8B61-B76B8FC49BEB}"/>
    <cellStyle name="40% - 강조색4 11" xfId="256" xr:uid="{9192174F-5DD8-40D2-8FBE-748F54596A66}"/>
    <cellStyle name="40% - 강조색4 11 2" xfId="580" xr:uid="{40C16C25-2C4E-4D31-935A-C82F28EF52E6}"/>
    <cellStyle name="40% - 강조색4 12" xfId="276" xr:uid="{E7D5EA16-D63E-4C1A-AF42-E59203C3D5BE}"/>
    <cellStyle name="40% - 강조색4 12 2" xfId="600" xr:uid="{B489116A-37D1-49C5-BFBD-55D3FCA8AD90}"/>
    <cellStyle name="40% - 강조색4 13" xfId="296" xr:uid="{CD315F74-634E-45B3-B400-D1F3A704B954}"/>
    <cellStyle name="40% - 강조색4 13 2" xfId="620" xr:uid="{E705C37E-499C-473E-8221-F6B80301B1BD}"/>
    <cellStyle name="40% - 강조색4 14" xfId="316" xr:uid="{AEE24686-1DFF-44DB-AACB-CB3518FE212E}"/>
    <cellStyle name="40% - 강조색4 14 2" xfId="640" xr:uid="{14604826-E1DE-4672-8446-0F9AE2CEBC00}"/>
    <cellStyle name="40% - 강조색4 15" xfId="336" xr:uid="{8AB618DB-58B6-4512-9B5B-DEFD00DF04CB}"/>
    <cellStyle name="40% - 강조색4 15 2" xfId="660" xr:uid="{E20120CA-FF8C-41A1-B51B-D7F50CD38291}"/>
    <cellStyle name="40% - 강조색4 16" xfId="356" xr:uid="{E771F947-75DA-4814-9184-2E49D604F767}"/>
    <cellStyle name="40% - 강조색4 16 2" xfId="680" xr:uid="{A015E56D-D00B-4A2C-91AA-EA7EF3117087}"/>
    <cellStyle name="40% - 강조색4 17" xfId="378" xr:uid="{3EACF906-1981-4A90-83CC-5432868E847D}"/>
    <cellStyle name="40% - 강조색4 2" xfId="76" xr:uid="{EB5178A4-8D44-4DCF-8595-8E58742034D4}"/>
    <cellStyle name="40% - 강조색4 2 2" xfId="400" xr:uid="{4E43AD49-6471-4741-90E8-DDD6291A7CE2}"/>
    <cellStyle name="40% - 강조색4 3" xfId="96" xr:uid="{7DDF99F7-62C4-4110-8149-7035429412C4}"/>
    <cellStyle name="40% - 강조색4 3 2" xfId="420" xr:uid="{81F66366-1F1D-484A-B28A-0545BC0D6B0C}"/>
    <cellStyle name="40% - 강조색4 4" xfId="116" xr:uid="{1E9F2364-AB0C-4410-BDC1-1AE32AB9EBB0}"/>
    <cellStyle name="40% - 강조색4 4 2" xfId="440" xr:uid="{4DC0F393-4CC9-4965-9C90-9B5B1927BDEC}"/>
    <cellStyle name="40% - 강조색4 5" xfId="136" xr:uid="{E68D7333-2DDE-4C3C-926E-5C42685FBF6F}"/>
    <cellStyle name="40% - 강조색4 5 2" xfId="460" xr:uid="{667BF0CF-2F14-4C1C-B222-FAAC05BE550C}"/>
    <cellStyle name="40% - 강조색4 6" xfId="156" xr:uid="{4ACE2520-D97A-432B-9F39-F4AEAB87806C}"/>
    <cellStyle name="40% - 강조색4 6 2" xfId="480" xr:uid="{3AA35603-5B77-4185-8CE9-3296DF15A9FB}"/>
    <cellStyle name="40% - 강조색4 7" xfId="176" xr:uid="{45C0AF15-E90B-4919-B72B-1328E7C285F5}"/>
    <cellStyle name="40% - 강조색4 7 2" xfId="500" xr:uid="{00019CA1-DF9D-4803-AD56-A693A7EC654B}"/>
    <cellStyle name="40% - 강조색4 8" xfId="196" xr:uid="{42FE4E23-137F-4281-896F-4A37A35DF536}"/>
    <cellStyle name="40% - 강조색4 8 2" xfId="520" xr:uid="{9A99CE01-8D47-4E94-A14C-D0AB937A2912}"/>
    <cellStyle name="40% - 강조색4 9" xfId="216" xr:uid="{5FE4A7DD-4F23-4F4B-9A91-26CA02F74E9F}"/>
    <cellStyle name="40% - 강조색4 9 2" xfId="540" xr:uid="{37FC5858-1789-4613-8AF5-0BD7C73470BB}"/>
    <cellStyle name="40% - 강조색5" xfId="42" builtinId="47" customBuiltin="1"/>
    <cellStyle name="40% - 강조색5 10" xfId="239" xr:uid="{BA76548E-7B5B-498D-8406-8634949E5754}"/>
    <cellStyle name="40% - 강조색5 10 2" xfId="563" xr:uid="{6BF93DE5-4B60-422D-B378-E6EB2D104413}"/>
    <cellStyle name="40% - 강조색5 11" xfId="259" xr:uid="{424F185F-7460-4E6C-A653-EFCCE0B5C804}"/>
    <cellStyle name="40% - 강조색5 11 2" xfId="583" xr:uid="{A4BCAF7E-BAF5-4E59-800D-D9D3E830D96D}"/>
    <cellStyle name="40% - 강조색5 12" xfId="279" xr:uid="{F5BD1F5E-3484-4B88-A4B4-9A38BB4DB575}"/>
    <cellStyle name="40% - 강조색5 12 2" xfId="603" xr:uid="{239DC0B0-9208-4D8A-B1C1-9BF123507721}"/>
    <cellStyle name="40% - 강조색5 13" xfId="299" xr:uid="{A664C5D0-FB12-4A05-B564-030B6E90913C}"/>
    <cellStyle name="40% - 강조색5 13 2" xfId="623" xr:uid="{754E395C-6FA2-41F1-9EA7-5FF1CA8C1C4A}"/>
    <cellStyle name="40% - 강조색5 14" xfId="319" xr:uid="{BE37C2E4-E4CE-499D-B8C6-1A2D96C594B2}"/>
    <cellStyle name="40% - 강조색5 14 2" xfId="643" xr:uid="{C341616D-2917-40C6-91D1-95945723E6E5}"/>
    <cellStyle name="40% - 강조색5 15" xfId="339" xr:uid="{A60B9A30-D593-48D8-B8B7-DA95F35BD562}"/>
    <cellStyle name="40% - 강조색5 15 2" xfId="663" xr:uid="{29DDA654-D6E6-4E67-AE71-7C32BBEC2BE5}"/>
    <cellStyle name="40% - 강조색5 16" xfId="359" xr:uid="{3572AD67-08C0-4CA1-9D33-A662BC77D774}"/>
    <cellStyle name="40% - 강조색5 16 2" xfId="683" xr:uid="{4BBF086D-7B9B-4EB1-84FE-3344D26DC86B}"/>
    <cellStyle name="40% - 강조색5 17" xfId="381" xr:uid="{690EC35F-1F4F-46EE-8BD2-ACB36B5AEB53}"/>
    <cellStyle name="40% - 강조색5 2" xfId="79" xr:uid="{2FD2444E-57DF-4113-B480-858C6A8D4451}"/>
    <cellStyle name="40% - 강조색5 2 2" xfId="403" xr:uid="{5A35D8E4-17FB-4F8B-A02B-862E9A976571}"/>
    <cellStyle name="40% - 강조색5 3" xfId="99" xr:uid="{F226EFB6-2501-4022-91DE-D0995D383E3C}"/>
    <cellStyle name="40% - 강조색5 3 2" xfId="423" xr:uid="{64AC277C-84DC-45FE-B5C9-6E8083E80047}"/>
    <cellStyle name="40% - 강조색5 4" xfId="119" xr:uid="{48F82457-8C9B-4497-BFC6-D40C30AE952B}"/>
    <cellStyle name="40% - 강조색5 4 2" xfId="443" xr:uid="{F2560F6F-3F80-41BC-88B6-2648E8E565BC}"/>
    <cellStyle name="40% - 강조색5 5" xfId="139" xr:uid="{5D18B759-CFA1-423A-8896-513E7463EA2D}"/>
    <cellStyle name="40% - 강조색5 5 2" xfId="463" xr:uid="{7654E42B-7EB8-469A-A46E-08E141AC3254}"/>
    <cellStyle name="40% - 강조색5 6" xfId="159" xr:uid="{92D981D6-A165-4648-B862-13C2C8AF5A2B}"/>
    <cellStyle name="40% - 강조색5 6 2" xfId="483" xr:uid="{7A4C387F-5A2C-4F4E-B1AB-FACEB767469C}"/>
    <cellStyle name="40% - 강조색5 7" xfId="179" xr:uid="{0E855858-D7BA-4E58-A50B-DF778967EFAA}"/>
    <cellStyle name="40% - 강조색5 7 2" xfId="503" xr:uid="{DF74DF0E-F57D-4844-8877-0D674FA3E48D}"/>
    <cellStyle name="40% - 강조색5 8" xfId="199" xr:uid="{4D7F1574-D752-49B6-892C-7686097E072D}"/>
    <cellStyle name="40% - 강조색5 8 2" xfId="523" xr:uid="{A018CAE4-CCE5-4DA0-92C2-7A2E6B5DD978}"/>
    <cellStyle name="40% - 강조색5 9" xfId="219" xr:uid="{C3599F2D-029D-43AC-A322-099F96CB9902}"/>
    <cellStyle name="40% - 강조색5 9 2" xfId="543" xr:uid="{7E1BF6D4-92E3-4936-B713-43A4C0E20835}"/>
    <cellStyle name="40% - 강조색6" xfId="46" builtinId="51" customBuiltin="1"/>
    <cellStyle name="40% - 강조색6 10" xfId="242" xr:uid="{E82BFB48-84FD-41B7-AB7F-3FC7DAD9B6DF}"/>
    <cellStyle name="40% - 강조색6 10 2" xfId="566" xr:uid="{ED49A43A-58BE-49C3-9665-2C9EA23DB063}"/>
    <cellStyle name="40% - 강조색6 11" xfId="262" xr:uid="{7F222311-21F8-4F52-86D3-B6BCB9F92164}"/>
    <cellStyle name="40% - 강조색6 11 2" xfId="586" xr:uid="{E1D8AAAD-B9BE-4E53-A9E3-042D3659C952}"/>
    <cellStyle name="40% - 강조색6 12" xfId="282" xr:uid="{620521F1-AF1F-4213-A635-B81EA35B4D80}"/>
    <cellStyle name="40% - 강조색6 12 2" xfId="606" xr:uid="{7DDBB7D8-18A4-4C37-A27D-B61C3F39E9D2}"/>
    <cellStyle name="40% - 강조색6 13" xfId="302" xr:uid="{918AA8C0-6591-4A67-A306-A8D34B2778DA}"/>
    <cellStyle name="40% - 강조색6 13 2" xfId="626" xr:uid="{E188C0D0-9C22-4ED2-8585-27510FB8E9A2}"/>
    <cellStyle name="40% - 강조색6 14" xfId="322" xr:uid="{0F489502-E054-437F-BAD6-962A518FFF7D}"/>
    <cellStyle name="40% - 강조색6 14 2" xfId="646" xr:uid="{86FBE123-636E-41F5-8CFA-BE388EEDC0A1}"/>
    <cellStyle name="40% - 강조색6 15" xfId="342" xr:uid="{D02158DF-36FE-4148-9949-1B565C11BBDF}"/>
    <cellStyle name="40% - 강조색6 15 2" xfId="666" xr:uid="{C96DC056-5D18-42BC-88E1-444F38B8D867}"/>
    <cellStyle name="40% - 강조색6 16" xfId="362" xr:uid="{0228A41F-3552-403A-BEB9-13D91F7107B5}"/>
    <cellStyle name="40% - 강조색6 16 2" xfId="686" xr:uid="{6581A0FB-154C-4AE9-A4D0-5FE447DCFBBA}"/>
    <cellStyle name="40% - 강조색6 17" xfId="384" xr:uid="{9361B117-AD92-42A0-9B63-F45520DFC68C}"/>
    <cellStyle name="40% - 강조색6 2" xfId="82" xr:uid="{ABAFEDE8-FFD6-42E3-AE21-8DF4E8E999CF}"/>
    <cellStyle name="40% - 강조색6 2 2" xfId="406" xr:uid="{B13C2740-0110-4377-88FD-E6AB2AAD4A16}"/>
    <cellStyle name="40% - 강조색6 3" xfId="102" xr:uid="{261FF799-21A4-4DFD-BC41-AD36A40AB6C0}"/>
    <cellStyle name="40% - 강조색6 3 2" xfId="426" xr:uid="{73267552-A3F3-4423-91CC-DC8E6E305A14}"/>
    <cellStyle name="40% - 강조색6 4" xfId="122" xr:uid="{6D2E5168-6F7B-4B98-A80D-3A36768628F3}"/>
    <cellStyle name="40% - 강조색6 4 2" xfId="446" xr:uid="{9A8DA1EC-2B9D-44D0-95B9-8F46E116F754}"/>
    <cellStyle name="40% - 강조색6 5" xfId="142" xr:uid="{4647BD6D-3215-4C41-8EF3-2645F2D1CA00}"/>
    <cellStyle name="40% - 강조색6 5 2" xfId="466" xr:uid="{46C8448A-7B55-497F-ADD0-E158077FA16C}"/>
    <cellStyle name="40% - 강조색6 6" xfId="162" xr:uid="{7E3D72B4-30A0-4B08-BDD0-18D2D7826858}"/>
    <cellStyle name="40% - 강조색6 6 2" xfId="486" xr:uid="{900580BC-C259-4BEC-B692-EB38114ACEDF}"/>
    <cellStyle name="40% - 강조색6 7" xfId="182" xr:uid="{05CFEC58-67B0-46E3-A580-AB3F892F5F02}"/>
    <cellStyle name="40% - 강조색6 7 2" xfId="506" xr:uid="{7B92808C-2ED3-4950-BA35-73A51626184C}"/>
    <cellStyle name="40% - 강조색6 8" xfId="202" xr:uid="{3DB6A435-9D18-41C8-A80C-5CA6BC3C8EC3}"/>
    <cellStyle name="40% - 강조색6 8 2" xfId="526" xr:uid="{F17E9E84-0F17-4E88-A1A3-14602233305F}"/>
    <cellStyle name="40% - 강조색6 9" xfId="222" xr:uid="{437FDFC9-C82F-4230-A465-4560C5905C74}"/>
    <cellStyle name="40% - 강조색6 9 2" xfId="546" xr:uid="{3A99AA22-1D5F-410C-AF54-C2927AE9160D}"/>
    <cellStyle name="60% - 강조색1" xfId="27" builtinId="32" customBuiltin="1"/>
    <cellStyle name="60% - 강조색1 10" xfId="228" xr:uid="{B2CB40AD-4A4F-4918-9765-E0E0363F2909}"/>
    <cellStyle name="60% - 강조색1 10 2" xfId="552" xr:uid="{226AA078-A7CA-455D-977D-6E9847453B88}"/>
    <cellStyle name="60% - 강조색1 11" xfId="248" xr:uid="{E4397767-24DE-4A4E-8808-6EE3AC7ADD6A}"/>
    <cellStyle name="60% - 강조색1 11 2" xfId="572" xr:uid="{EE7F782C-758B-4DB1-86B4-8961E4C9F7F4}"/>
    <cellStyle name="60% - 강조색1 12" xfId="268" xr:uid="{45163B68-6E14-49BA-BFA4-ECA510354E09}"/>
    <cellStyle name="60% - 강조색1 12 2" xfId="592" xr:uid="{9C2E11AC-8E3E-4DDF-B6E5-34059502E076}"/>
    <cellStyle name="60% - 강조색1 13" xfId="288" xr:uid="{4ECEC866-C940-4B1D-8E38-55A23D2D0542}"/>
    <cellStyle name="60% - 강조색1 13 2" xfId="612" xr:uid="{5D95F002-0F61-4AD9-A36C-F872CCAF612F}"/>
    <cellStyle name="60% - 강조색1 14" xfId="308" xr:uid="{DF8043AD-8773-4D93-B2C8-1B5C7502C135}"/>
    <cellStyle name="60% - 강조색1 14 2" xfId="632" xr:uid="{5E6AE065-5D0F-4606-AD0F-A385E01C3381}"/>
    <cellStyle name="60% - 강조색1 15" xfId="328" xr:uid="{AE574A2D-9FB0-4ACE-B888-47AD5434508A}"/>
    <cellStyle name="60% - 강조색1 15 2" xfId="652" xr:uid="{E844FF8F-7B16-4D38-9791-B828AC88DE95}"/>
    <cellStyle name="60% - 강조색1 16" xfId="348" xr:uid="{8CEA539B-6240-42C9-B368-161B9EDC0A45}"/>
    <cellStyle name="60% - 강조색1 16 2" xfId="672" xr:uid="{A924D966-D3E2-491C-8302-D3BB56DBD6F0}"/>
    <cellStyle name="60% - 강조색1 17" xfId="370" xr:uid="{D3E7C769-2610-416E-BDA9-5FF7A045D043}"/>
    <cellStyle name="60% - 강조색1 2" xfId="68" xr:uid="{D96F520C-0939-4D6D-A16E-E458CF2912C2}"/>
    <cellStyle name="60% - 강조색1 2 2" xfId="392" xr:uid="{124A6453-E12C-4FD9-BE81-1B9A906B965F}"/>
    <cellStyle name="60% - 강조색1 3" xfId="88" xr:uid="{F66CE541-3BD7-4504-AC6D-7AF378A3DEDA}"/>
    <cellStyle name="60% - 강조색1 3 2" xfId="412" xr:uid="{96C08A0F-46F6-4E35-8B3D-CAF0B6C669A0}"/>
    <cellStyle name="60% - 강조색1 4" xfId="108" xr:uid="{6FA34F41-E20A-49FA-BFCA-CD52598158FD}"/>
    <cellStyle name="60% - 강조색1 4 2" xfId="432" xr:uid="{5F330657-5350-4E0E-BB91-BEAC90ECF3FC}"/>
    <cellStyle name="60% - 강조색1 5" xfId="128" xr:uid="{3463E9EE-F8EC-4E54-834C-9B81B7FECD98}"/>
    <cellStyle name="60% - 강조색1 5 2" xfId="452" xr:uid="{9556724A-E7E4-4EED-932B-61F20E12A4ED}"/>
    <cellStyle name="60% - 강조색1 6" xfId="148" xr:uid="{5B333DEA-5B17-48AA-B16F-C66878B0742C}"/>
    <cellStyle name="60% - 강조색1 6 2" xfId="472" xr:uid="{81AC11E7-D8F5-4C75-A436-72648F3D75E7}"/>
    <cellStyle name="60% - 강조색1 7" xfId="168" xr:uid="{8212DAC3-9A02-42BE-8CA2-BF85CA1F7FF5}"/>
    <cellStyle name="60% - 강조색1 7 2" xfId="492" xr:uid="{04472860-D3EA-4EB0-BCD2-3F8E80E50369}"/>
    <cellStyle name="60% - 강조색1 8" xfId="188" xr:uid="{C4DD9030-1D5F-45AE-A9B8-68EA671C2427}"/>
    <cellStyle name="60% - 강조색1 8 2" xfId="512" xr:uid="{F9B73576-AC08-4822-BE5A-9F4AA1EB8856}"/>
    <cellStyle name="60% - 강조색1 9" xfId="208" xr:uid="{17F085EB-9BA6-42BC-90C0-6F0174349845}"/>
    <cellStyle name="60% - 강조색1 9 2" xfId="532" xr:uid="{A2A70C79-9001-4235-9584-6FC76A19F8C1}"/>
    <cellStyle name="60% - 강조색2" xfId="31" builtinId="36" customBuiltin="1"/>
    <cellStyle name="60% - 강조색2 10" xfId="231" xr:uid="{14C597ED-74A6-41A0-B9C3-84CD44CA0D59}"/>
    <cellStyle name="60% - 강조색2 10 2" xfId="555" xr:uid="{9626A822-DB4E-4041-8B4F-A99E1ED8AF8E}"/>
    <cellStyle name="60% - 강조색2 11" xfId="251" xr:uid="{8C1F64DB-16E4-48E9-A735-71A04F737194}"/>
    <cellStyle name="60% - 강조색2 11 2" xfId="575" xr:uid="{558DDD58-721B-4402-A940-081A9528C513}"/>
    <cellStyle name="60% - 강조색2 12" xfId="271" xr:uid="{8AF8D59B-02D0-4311-9B00-197848AD0A13}"/>
    <cellStyle name="60% - 강조색2 12 2" xfId="595" xr:uid="{B7A41D7D-0286-481B-8269-764D11A3B473}"/>
    <cellStyle name="60% - 강조색2 13" xfId="291" xr:uid="{092D3EDE-EB8C-4BC8-A3E3-6F8586AFA4F1}"/>
    <cellStyle name="60% - 강조색2 13 2" xfId="615" xr:uid="{783C1C23-0945-45F1-9229-F424A9C7C8AA}"/>
    <cellStyle name="60% - 강조색2 14" xfId="311" xr:uid="{67D6E8F6-6671-4854-A51D-68A4D4178F79}"/>
    <cellStyle name="60% - 강조색2 14 2" xfId="635" xr:uid="{09792AEC-C150-4525-9563-0D58C72FA82D}"/>
    <cellStyle name="60% - 강조색2 15" xfId="331" xr:uid="{AFB5EB0C-80FD-4EB2-B8A6-C7F9EA67F76F}"/>
    <cellStyle name="60% - 강조색2 15 2" xfId="655" xr:uid="{CA7D3D20-AF95-43AE-859D-6B0B4A09BE83}"/>
    <cellStyle name="60% - 강조색2 16" xfId="351" xr:uid="{509739BE-ABF1-4169-8BB8-402FA881B622}"/>
    <cellStyle name="60% - 강조색2 16 2" xfId="675" xr:uid="{F843F0E9-63F6-4794-A15C-9753A6FD42A1}"/>
    <cellStyle name="60% - 강조색2 17" xfId="373" xr:uid="{7CC534F9-5549-4084-AA27-FC32E2F94A3E}"/>
    <cellStyle name="60% - 강조색2 2" xfId="71" xr:uid="{644D7E5D-D95D-4561-AA7D-F03E99268569}"/>
    <cellStyle name="60% - 강조색2 2 2" xfId="395" xr:uid="{57AE420D-92DF-480F-87D2-641C8DE0AA41}"/>
    <cellStyle name="60% - 강조색2 3" xfId="91" xr:uid="{6D8DD7CB-BAD5-42BD-8CAA-D865CE7EE7B0}"/>
    <cellStyle name="60% - 강조색2 3 2" xfId="415" xr:uid="{04C9892B-FF69-4DD4-8A00-265A382D48E4}"/>
    <cellStyle name="60% - 강조색2 4" xfId="111" xr:uid="{EB7CA402-BA71-47F3-AA96-0364DD842CDA}"/>
    <cellStyle name="60% - 강조색2 4 2" xfId="435" xr:uid="{0264EE76-411E-4D8B-AF07-7B200A5B5254}"/>
    <cellStyle name="60% - 강조색2 5" xfId="131" xr:uid="{F4E8DAEC-7A51-4F25-AF51-75342EDBB9BF}"/>
    <cellStyle name="60% - 강조색2 5 2" xfId="455" xr:uid="{FDBA7477-D177-4D4E-B309-790D433EF525}"/>
    <cellStyle name="60% - 강조색2 6" xfId="151" xr:uid="{232C6D60-F69C-4131-BA00-A2518A57C92F}"/>
    <cellStyle name="60% - 강조색2 6 2" xfId="475" xr:uid="{3C47D0EE-448F-4C25-ACE0-2E31F112A0FF}"/>
    <cellStyle name="60% - 강조색2 7" xfId="171" xr:uid="{54B6E76E-4A23-423C-A58F-0036EF4BD218}"/>
    <cellStyle name="60% - 강조색2 7 2" xfId="495" xr:uid="{82854D90-89B6-44A5-901B-DCCAD9A7E344}"/>
    <cellStyle name="60% - 강조색2 8" xfId="191" xr:uid="{CAB13629-03F9-4D57-B12A-3727FBAF4666}"/>
    <cellStyle name="60% - 강조색2 8 2" xfId="515" xr:uid="{35B00465-F878-4678-AA63-F6D53D7A6E3B}"/>
    <cellStyle name="60% - 강조색2 9" xfId="211" xr:uid="{A63107D2-B5A6-4F95-8B93-DE528608944A}"/>
    <cellStyle name="60% - 강조색2 9 2" xfId="535" xr:uid="{B80405B5-483A-4584-8DB7-9DF7C38C02C6}"/>
    <cellStyle name="60% - 강조색3" xfId="35" builtinId="40" customBuiltin="1"/>
    <cellStyle name="60% - 강조색3 10" xfId="234" xr:uid="{ED75E9BB-902D-42DB-AF09-843CCDFA3E09}"/>
    <cellStyle name="60% - 강조색3 10 2" xfId="558" xr:uid="{52F98000-1292-4372-8DBB-74F04636EF17}"/>
    <cellStyle name="60% - 강조색3 11" xfId="254" xr:uid="{EA1454C4-3A62-4C0E-9767-7776B2D9DF0C}"/>
    <cellStyle name="60% - 강조색3 11 2" xfId="578" xr:uid="{38117D70-5741-4E60-A726-37F17D45D0FC}"/>
    <cellStyle name="60% - 강조색3 12" xfId="274" xr:uid="{758273EF-D7DF-41A3-A017-443AF2472E7F}"/>
    <cellStyle name="60% - 강조색3 12 2" xfId="598" xr:uid="{662DB5E2-51B5-4821-81F5-C4E4B36466EC}"/>
    <cellStyle name="60% - 강조색3 13" xfId="294" xr:uid="{9D1FA834-CFEF-4C9E-A7EE-EB66B3C4C5F0}"/>
    <cellStyle name="60% - 강조색3 13 2" xfId="618" xr:uid="{C88D46D5-4F3D-4A1C-8A6A-64CE425118C5}"/>
    <cellStyle name="60% - 강조색3 14" xfId="314" xr:uid="{8A0584AF-AF63-476E-9C0B-405244535428}"/>
    <cellStyle name="60% - 강조색3 14 2" xfId="638" xr:uid="{94C3E690-F13A-4A93-9881-7DE1CDDFC8BA}"/>
    <cellStyle name="60% - 강조색3 15" xfId="334" xr:uid="{814BFB90-17CB-4D6B-A673-DDF213A4D15F}"/>
    <cellStyle name="60% - 강조색3 15 2" xfId="658" xr:uid="{676DE628-8201-4DE6-A036-82C5BD0FF36B}"/>
    <cellStyle name="60% - 강조색3 16" xfId="354" xr:uid="{37125019-D4FC-4E93-9440-04BD06B12DCE}"/>
    <cellStyle name="60% - 강조색3 16 2" xfId="678" xr:uid="{A345DAF3-642D-477E-B380-B2EE5CE9B9B2}"/>
    <cellStyle name="60% - 강조색3 17" xfId="376" xr:uid="{70E143B6-F868-40A5-A195-7F118E330C32}"/>
    <cellStyle name="60% - 강조색3 2" xfId="74" xr:uid="{8A119AEB-6E38-4FDE-B0BF-D55711F2A704}"/>
    <cellStyle name="60% - 강조색3 2 2" xfId="398" xr:uid="{082435B6-7ED2-433F-98FD-AB11B1F59128}"/>
    <cellStyle name="60% - 강조색3 3" xfId="94" xr:uid="{3C8C73D0-4078-4609-BAB5-8A20ADB91724}"/>
    <cellStyle name="60% - 강조색3 3 2" xfId="418" xr:uid="{DFE6514F-7DA4-4C28-B8B7-1B94CEDFE188}"/>
    <cellStyle name="60% - 강조색3 4" xfId="114" xr:uid="{EC9E5DEB-280D-4710-9F22-874497065958}"/>
    <cellStyle name="60% - 강조색3 4 2" xfId="438" xr:uid="{5A3D0079-2963-4463-A196-E35900538C47}"/>
    <cellStyle name="60% - 강조색3 5" xfId="134" xr:uid="{CBEAA6D1-B501-4E4F-92F6-55490AEBEF24}"/>
    <cellStyle name="60% - 강조색3 5 2" xfId="458" xr:uid="{8DD25804-26EB-4CB8-9A27-555C23F1C4AE}"/>
    <cellStyle name="60% - 강조색3 6" xfId="154" xr:uid="{BF2604A9-F699-4508-B09F-0FCF998B8E7C}"/>
    <cellStyle name="60% - 강조색3 6 2" xfId="478" xr:uid="{51A6C343-0C4E-40CE-9FBD-63A1AED1093F}"/>
    <cellStyle name="60% - 강조색3 7" xfId="174" xr:uid="{CC34085C-2DF9-4B63-BC74-48FB0D0B41C0}"/>
    <cellStyle name="60% - 강조색3 7 2" xfId="498" xr:uid="{5366EB41-0FD3-427C-AE07-8736858E850D}"/>
    <cellStyle name="60% - 강조색3 8" xfId="194" xr:uid="{92B4DA0C-F19C-4089-8BF9-BBEE225A05A5}"/>
    <cellStyle name="60% - 강조색3 8 2" xfId="518" xr:uid="{AACD3D2D-C9FB-4D49-97A8-657258CC7346}"/>
    <cellStyle name="60% - 강조색3 9" xfId="214" xr:uid="{FB8BE683-8343-4BEB-9B06-CDF01B070856}"/>
    <cellStyle name="60% - 강조색3 9 2" xfId="538" xr:uid="{126CBF39-F085-4DC5-812C-ED8E291CCE57}"/>
    <cellStyle name="60% - 강조색4" xfId="39" builtinId="44" customBuiltin="1"/>
    <cellStyle name="60% - 강조색4 10" xfId="237" xr:uid="{70E89AC4-5EED-43E7-9ED8-EF9FC159426C}"/>
    <cellStyle name="60% - 강조색4 10 2" xfId="561" xr:uid="{76A87FAA-9D83-4088-B99D-0B1603288CA5}"/>
    <cellStyle name="60% - 강조색4 11" xfId="257" xr:uid="{069866A3-60DC-46EA-9CD7-FBE3CA7D5DA3}"/>
    <cellStyle name="60% - 강조색4 11 2" xfId="581" xr:uid="{5DB512B9-9E5E-41C0-8EEE-CC6C859621FC}"/>
    <cellStyle name="60% - 강조색4 12" xfId="277" xr:uid="{D7C60D16-EB4F-4F13-94C9-22FBC38F668A}"/>
    <cellStyle name="60% - 강조색4 12 2" xfId="601" xr:uid="{AEE9E6F8-8D1D-426E-B167-60834CB36227}"/>
    <cellStyle name="60% - 강조색4 13" xfId="297" xr:uid="{6F27FC83-76D1-46F7-B3AD-56241F0BE553}"/>
    <cellStyle name="60% - 강조색4 13 2" xfId="621" xr:uid="{5EF1BBC6-4631-4CC1-BBC2-8F8053AEF10A}"/>
    <cellStyle name="60% - 강조색4 14" xfId="317" xr:uid="{E2708639-9E78-49CB-99B9-C5695C11F1AA}"/>
    <cellStyle name="60% - 강조색4 14 2" xfId="641" xr:uid="{20325AD9-9FF8-4FB2-862F-A108129DF773}"/>
    <cellStyle name="60% - 강조색4 15" xfId="337" xr:uid="{C85AEFAC-1A27-465A-808B-FF9B657C1459}"/>
    <cellStyle name="60% - 강조색4 15 2" xfId="661" xr:uid="{D83AA492-26E2-48A0-AB83-554444440ED1}"/>
    <cellStyle name="60% - 강조색4 16" xfId="357" xr:uid="{19EA790D-267E-40B1-9477-DADE12FD25CC}"/>
    <cellStyle name="60% - 강조색4 16 2" xfId="681" xr:uid="{0BEB6191-3B5C-4438-9A64-46CFE3DC53CC}"/>
    <cellStyle name="60% - 강조색4 17" xfId="379" xr:uid="{FA137CBD-69A8-4A87-B21E-8AA1645AA65A}"/>
    <cellStyle name="60% - 강조색4 2" xfId="77" xr:uid="{1792CD84-041D-468B-B354-D747C2D04C1D}"/>
    <cellStyle name="60% - 강조색4 2 2" xfId="401" xr:uid="{F79E2706-B5F5-4639-BB50-E25E175837A1}"/>
    <cellStyle name="60% - 강조색4 3" xfId="97" xr:uid="{A1937497-621F-41D7-853F-4DF5D3F9421B}"/>
    <cellStyle name="60% - 강조색4 3 2" xfId="421" xr:uid="{22A9D7D9-703E-46F4-BB21-4A8142C2494A}"/>
    <cellStyle name="60% - 강조색4 4" xfId="117" xr:uid="{77FD045A-28DE-49C3-9FED-388E253D598A}"/>
    <cellStyle name="60% - 강조색4 4 2" xfId="441" xr:uid="{B93F9A4D-6A9A-40CD-9924-F09340E8CE39}"/>
    <cellStyle name="60% - 강조색4 5" xfId="137" xr:uid="{990E823D-6CD7-4AD7-A165-238769E1884C}"/>
    <cellStyle name="60% - 강조색4 5 2" xfId="461" xr:uid="{6E531401-D100-4389-A8DF-1F7B7B39B8FD}"/>
    <cellStyle name="60% - 강조색4 6" xfId="157" xr:uid="{DEC53E00-AB73-4777-A99B-B832E160D84A}"/>
    <cellStyle name="60% - 강조색4 6 2" xfId="481" xr:uid="{5C09BEB1-281F-4D99-8D28-803F1F6612CA}"/>
    <cellStyle name="60% - 강조색4 7" xfId="177" xr:uid="{98FF8F1B-C298-4C4F-8370-A09AC3F2FFB8}"/>
    <cellStyle name="60% - 강조색4 7 2" xfId="501" xr:uid="{71B50942-4059-450C-8BD9-2BA1972C2A52}"/>
    <cellStyle name="60% - 강조색4 8" xfId="197" xr:uid="{5C8022D0-2716-4511-BCE5-F749E9A7505F}"/>
    <cellStyle name="60% - 강조색4 8 2" xfId="521" xr:uid="{7120E12F-BC89-4459-86A4-7126A75667E4}"/>
    <cellStyle name="60% - 강조색4 9" xfId="217" xr:uid="{398F5B73-4152-4111-A6C1-88930B304A8F}"/>
    <cellStyle name="60% - 강조색4 9 2" xfId="541" xr:uid="{642AC58F-6741-4B16-9C62-A5839FF316AB}"/>
    <cellStyle name="60% - 강조색5" xfId="43" builtinId="48" customBuiltin="1"/>
    <cellStyle name="60% - 강조색5 10" xfId="240" xr:uid="{A4732F92-E2E7-47F7-8962-09A53158E49E}"/>
    <cellStyle name="60% - 강조색5 10 2" xfId="564" xr:uid="{3D71DF23-06D9-45D7-B483-619A9A0A4D24}"/>
    <cellStyle name="60% - 강조색5 11" xfId="260" xr:uid="{833A5587-5E37-4DDD-A9A7-B9B835D4EEC6}"/>
    <cellStyle name="60% - 강조색5 11 2" xfId="584" xr:uid="{3572B3DD-ACEA-4F43-8032-F7355C2A3500}"/>
    <cellStyle name="60% - 강조색5 12" xfId="280" xr:uid="{0CF639C7-E6D7-4838-8BD1-2A7DDFC35C69}"/>
    <cellStyle name="60% - 강조색5 12 2" xfId="604" xr:uid="{914473E3-431E-4AE5-8866-E8E05E405FE5}"/>
    <cellStyle name="60% - 강조색5 13" xfId="300" xr:uid="{DD9DC0D0-B0AA-4409-BC18-73F74EE6DC64}"/>
    <cellStyle name="60% - 강조색5 13 2" xfId="624" xr:uid="{AA6DBD84-28E3-4013-B41E-F5077169E11A}"/>
    <cellStyle name="60% - 강조색5 14" xfId="320" xr:uid="{509A9514-662E-4223-8C47-3AF46E407071}"/>
    <cellStyle name="60% - 강조색5 14 2" xfId="644" xr:uid="{BC473931-00E4-461C-94D0-0DD14FCF89E8}"/>
    <cellStyle name="60% - 강조색5 15" xfId="340" xr:uid="{9B28C65F-3F16-43C9-9433-48DBF0EA6B76}"/>
    <cellStyle name="60% - 강조색5 15 2" xfId="664" xr:uid="{666A56C4-1845-4326-8065-0BBDB5554EB3}"/>
    <cellStyle name="60% - 강조색5 16" xfId="360" xr:uid="{77D17A4D-0892-4BC2-B936-5A54501FA2FF}"/>
    <cellStyle name="60% - 강조색5 16 2" xfId="684" xr:uid="{3CFB1F87-8061-4F54-85E9-9B1E3589F4E5}"/>
    <cellStyle name="60% - 강조색5 17" xfId="382" xr:uid="{86163038-B504-4C2C-961D-1BC4B26667A7}"/>
    <cellStyle name="60% - 강조색5 2" xfId="80" xr:uid="{83C87137-7D9D-4435-8D26-FB3DD7FDD5B2}"/>
    <cellStyle name="60% - 강조색5 2 2" xfId="404" xr:uid="{23403AE6-751E-452C-8079-191B3B24DA49}"/>
    <cellStyle name="60% - 강조색5 3" xfId="100" xr:uid="{8A3FC43A-9273-4EDE-A3D4-12656ACA2B00}"/>
    <cellStyle name="60% - 강조색5 3 2" xfId="424" xr:uid="{D3774C12-B4C1-4C99-82DE-D8324A630CA6}"/>
    <cellStyle name="60% - 강조색5 4" xfId="120" xr:uid="{8C64B1C1-5D00-4464-8C70-D32A97402830}"/>
    <cellStyle name="60% - 강조색5 4 2" xfId="444" xr:uid="{D3384D00-6B9D-413B-8E67-33D3887E59DA}"/>
    <cellStyle name="60% - 강조색5 5" xfId="140" xr:uid="{CEEB8C43-7F0B-422B-AD7B-CFAA54FDBE61}"/>
    <cellStyle name="60% - 강조색5 5 2" xfId="464" xr:uid="{89A7A7C8-174C-4BEE-B84A-545BD892F8FD}"/>
    <cellStyle name="60% - 강조색5 6" xfId="160" xr:uid="{7CAA41A2-41F0-4F2A-852C-9148935AF173}"/>
    <cellStyle name="60% - 강조색5 6 2" xfId="484" xr:uid="{65CC74CB-108F-4644-9988-5E197869E7F1}"/>
    <cellStyle name="60% - 강조색5 7" xfId="180" xr:uid="{B8F7E0E2-4C83-4F44-B59F-356F510E044A}"/>
    <cellStyle name="60% - 강조색5 7 2" xfId="504" xr:uid="{E43B05C2-8298-4FE3-B3E2-79BE73CB91A3}"/>
    <cellStyle name="60% - 강조색5 8" xfId="200" xr:uid="{6D2D570D-EC52-4E0C-B1E9-5D2AB26D118B}"/>
    <cellStyle name="60% - 강조색5 8 2" xfId="524" xr:uid="{1B71AE00-DD9C-4E18-A4AA-4B1C215E6482}"/>
    <cellStyle name="60% - 강조색5 9" xfId="220" xr:uid="{922B3494-236E-4C09-974D-F60AAF6C7BE7}"/>
    <cellStyle name="60% - 강조색5 9 2" xfId="544" xr:uid="{B6A5FB62-C68C-4221-9FEF-C84F0B59D739}"/>
    <cellStyle name="60% - 강조색6" xfId="47" builtinId="52" customBuiltin="1"/>
    <cellStyle name="60% - 강조색6 10" xfId="243" xr:uid="{45C2A6A0-CD21-437A-82CA-BC3AD53B6A17}"/>
    <cellStyle name="60% - 강조색6 10 2" xfId="567" xr:uid="{41396949-3555-4CBC-BB2B-76F34FF8F14B}"/>
    <cellStyle name="60% - 강조색6 11" xfId="263" xr:uid="{A320767B-703A-471C-8140-F1287F2FFA6B}"/>
    <cellStyle name="60% - 강조색6 11 2" xfId="587" xr:uid="{450B58D4-53B0-4DEA-AEA9-F7C1FB1A8104}"/>
    <cellStyle name="60% - 강조색6 12" xfId="283" xr:uid="{089059AD-EDC4-453B-8BF0-CD3801C452E4}"/>
    <cellStyle name="60% - 강조색6 12 2" xfId="607" xr:uid="{A4156B4B-2347-4D02-B48B-FFB3514DFCD7}"/>
    <cellStyle name="60% - 강조색6 13" xfId="303" xr:uid="{DF5BB59F-4766-4740-8D6D-9EFC37439CE9}"/>
    <cellStyle name="60% - 강조색6 13 2" xfId="627" xr:uid="{A3457365-5C3E-42AE-BBFB-CB900F62745E}"/>
    <cellStyle name="60% - 강조색6 14" xfId="323" xr:uid="{7F342A78-9A20-4FA7-A393-60C2CB5924F1}"/>
    <cellStyle name="60% - 강조색6 14 2" xfId="647" xr:uid="{270EB786-D2CD-48D0-B7BD-D655C4B8D205}"/>
    <cellStyle name="60% - 강조색6 15" xfId="343" xr:uid="{ED88BECD-6E0C-45E7-99FA-A4CDF3CF7ADD}"/>
    <cellStyle name="60% - 강조색6 15 2" xfId="667" xr:uid="{749F4FC9-74D0-4690-A9FA-9B4789CE1E56}"/>
    <cellStyle name="60% - 강조색6 16" xfId="363" xr:uid="{606700C0-23F4-4BB8-B081-FB2BDB824788}"/>
    <cellStyle name="60% - 강조색6 16 2" xfId="687" xr:uid="{A4C8F1E2-E5AE-4948-B97D-29008ADB8386}"/>
    <cellStyle name="60% - 강조색6 17" xfId="385" xr:uid="{A403B04E-17FA-4EE5-844A-3EA55123C132}"/>
    <cellStyle name="60% - 강조색6 2" xfId="83" xr:uid="{17B91430-62BE-4134-AC04-1D7C5943D02F}"/>
    <cellStyle name="60% - 강조색6 2 2" xfId="407" xr:uid="{930C05EC-9822-4F37-99CC-57F23CC57749}"/>
    <cellStyle name="60% - 강조색6 3" xfId="103" xr:uid="{9331A509-0875-4C0F-8C3D-D5FB52FB4174}"/>
    <cellStyle name="60% - 강조색6 3 2" xfId="427" xr:uid="{09E6CDEC-BE66-4466-81BE-53B7AFD43C7D}"/>
    <cellStyle name="60% - 강조색6 4" xfId="123" xr:uid="{B9658C44-09E3-424D-B22E-7C3FCC9C0806}"/>
    <cellStyle name="60% - 강조색6 4 2" xfId="447" xr:uid="{931C8844-A297-4B7C-879E-C2861435457B}"/>
    <cellStyle name="60% - 강조색6 5" xfId="143" xr:uid="{C1BAFC03-FA40-4450-840A-F36FB1A6041B}"/>
    <cellStyle name="60% - 강조색6 5 2" xfId="467" xr:uid="{480D01F9-51C7-41DE-B042-228FF155FF9C}"/>
    <cellStyle name="60% - 강조색6 6" xfId="163" xr:uid="{1089B983-8593-4207-A1CE-09349D3C4605}"/>
    <cellStyle name="60% - 강조색6 6 2" xfId="487" xr:uid="{49B2E4CD-2FC1-44FB-B814-6D3AA4CD73C4}"/>
    <cellStyle name="60% - 강조색6 7" xfId="183" xr:uid="{FF60C2DA-079A-4EE1-A9B5-1AD3A9A8D643}"/>
    <cellStyle name="60% - 강조색6 7 2" xfId="507" xr:uid="{3F07AC87-CD2E-4C64-AC11-0A698FD89184}"/>
    <cellStyle name="60% - 강조색6 8" xfId="203" xr:uid="{1DBB24E1-EC94-4394-B3EB-483F05503DF3}"/>
    <cellStyle name="60% - 강조색6 8 2" xfId="527" xr:uid="{8561C566-1FCA-4CF4-9510-182430BF86E2}"/>
    <cellStyle name="60% - 강조색6 9" xfId="223" xr:uid="{3EA00A76-CBFA-49F9-B4AE-8BB59E2AEFE3}"/>
    <cellStyle name="60% - 강조색6 9 2" xfId="547" xr:uid="{71E7C857-2BDD-4EEA-A3FD-0EC1DB8CB539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6" xr:uid="{643EF72A-F845-4687-8925-B544E4657FFB}"/>
    <cellStyle name="Normal_Capability Study - IPEG EVT1 0713a.xls" xfId="365" xr:uid="{4BE65ECC-7831-412C-9A31-A68BB6652E63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메모 10" xfId="205" xr:uid="{F1E6B1A6-DFCC-43B5-938B-AC4EA38735C0}"/>
    <cellStyle name="메모 10 2" xfId="529" xr:uid="{A226075C-3D3A-480E-B94D-AB7F524FBDEB}"/>
    <cellStyle name="메모 11" xfId="225" xr:uid="{96156C23-3B33-4EC6-904C-30CD9C6AE460}"/>
    <cellStyle name="메모 11 2" xfId="549" xr:uid="{C9334ACA-7CEB-467E-81AA-0B22FC409BE8}"/>
    <cellStyle name="메모 12" xfId="245" xr:uid="{5CB831BA-C7F1-474B-BA74-58288726F36E}"/>
    <cellStyle name="메모 12 2" xfId="569" xr:uid="{09904E7A-DDAF-441C-B165-E1C67D33F79B}"/>
    <cellStyle name="메모 13" xfId="265" xr:uid="{91BBAD60-6ED6-4715-A410-BA21B2B80F9B}"/>
    <cellStyle name="메모 13 2" xfId="589" xr:uid="{A56D01A3-060D-4806-8E05-9A46BAD7129F}"/>
    <cellStyle name="메모 14" xfId="285" xr:uid="{72C31025-9F67-4651-9FD6-55D175EBD059}"/>
    <cellStyle name="메모 14 2" xfId="609" xr:uid="{D02395D6-70A4-4E74-842F-EF1A78EF527E}"/>
    <cellStyle name="메모 15" xfId="305" xr:uid="{64142A57-8907-4EB8-81F0-21D0FC161584}"/>
    <cellStyle name="메모 15 2" xfId="629" xr:uid="{BA54053C-CEB1-4D74-B5CF-95141059188B}"/>
    <cellStyle name="메모 16" xfId="325" xr:uid="{429D3280-652F-41CC-BE36-941A19F819E6}"/>
    <cellStyle name="메모 16 2" xfId="649" xr:uid="{F514BF9D-1B2A-4041-BBE2-51440819B3E6}"/>
    <cellStyle name="메모 17" xfId="345" xr:uid="{42ECB233-434C-45FD-A02B-764D46565700}"/>
    <cellStyle name="메모 17 2" xfId="669" xr:uid="{B1B4CC07-2EF2-4066-9F76-AE927D233B1B}"/>
    <cellStyle name="메모 2" xfId="63" xr:uid="{C5E085BA-2B59-45F4-9A7F-16FA145D7B84}"/>
    <cellStyle name="메모 2 2" xfId="387" xr:uid="{55FC75F2-3408-4923-9BC9-4592247188CF}"/>
    <cellStyle name="메모 3" xfId="65" xr:uid="{CF354A69-28DB-401C-A63E-3F347A572426}"/>
    <cellStyle name="메모 3 2" xfId="389" xr:uid="{9B4CC2BA-6719-496A-944D-8A4BD78A48D2}"/>
    <cellStyle name="메모 4" xfId="85" xr:uid="{775D36BA-F6FE-4815-AEDB-99DCD30B3F80}"/>
    <cellStyle name="메모 4 2" xfId="409" xr:uid="{E6F5E45C-FF8A-49D2-9E65-BC33594AE3F6}"/>
    <cellStyle name="메모 5" xfId="105" xr:uid="{A16EE7B9-2783-46EF-847B-5843EB9314E0}"/>
    <cellStyle name="메모 5 2" xfId="429" xr:uid="{673DD5F8-02AB-4AE0-A490-BDD6E4565387}"/>
    <cellStyle name="메모 6" xfId="125" xr:uid="{99D5518B-558D-4D06-8223-349768351A5B}"/>
    <cellStyle name="메모 6 2" xfId="449" xr:uid="{808F6D9C-45E0-4C62-827C-41D5EC4203EF}"/>
    <cellStyle name="메모 7" xfId="145" xr:uid="{46215A0F-5D5F-4A1E-AE77-6F7125E3F5FD}"/>
    <cellStyle name="메모 7 2" xfId="469" xr:uid="{D7A0A9B3-7FC7-45AD-B130-0CAE93442850}"/>
    <cellStyle name="메모 8" xfId="165" xr:uid="{3F7FA357-98BF-476F-AC6F-5346764332E9}"/>
    <cellStyle name="메모 8 2" xfId="489" xr:uid="{20513D92-689C-48FE-B688-6A3BCE7E01D7}"/>
    <cellStyle name="메모 9" xfId="185" xr:uid="{3BDA0B01-7855-47A6-943B-A22238ECF36D}"/>
    <cellStyle name="메모 9 2" xfId="509" xr:uid="{F89D1217-19FE-4AB8-AF1A-7EA0D88C8366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7" xr:uid="{579210B8-D319-4875-91D3-62BD837C4DA7}"/>
    <cellStyle name="쉼표 [0] 3" xfId="688" xr:uid="{9ED07F7B-9111-45ED-9074-33FDC1BA9732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28" xr:uid="{69005105-5F77-4EDD-B6E2-8E81AA0B4710}"/>
    <cellStyle name="표준 11" xfId="224" xr:uid="{DCBD210C-C26C-487C-AAFF-E96EFCCBF417}"/>
    <cellStyle name="표준 11 2" xfId="548" xr:uid="{6A4F39FE-77EE-49F0-9D2F-59152F313609}"/>
    <cellStyle name="표준 12" xfId="244" xr:uid="{88A20BFC-BAA2-4A3D-B20F-C81594BE5818}"/>
    <cellStyle name="표준 12 2" xfId="568" xr:uid="{D83F1A04-7AFF-4154-8787-8477A956FD0A}"/>
    <cellStyle name="표준 13" xfId="264" xr:uid="{5A98D856-1E8E-4B48-AB04-D5F9C62DEF9B}"/>
    <cellStyle name="표준 13 2" xfId="588" xr:uid="{3E76A19D-05D0-4D5C-A02A-330F29FAFF13}"/>
    <cellStyle name="표준 14" xfId="284" xr:uid="{C1185FA1-2FFE-424F-966F-F35568CDFD2A}"/>
    <cellStyle name="표준 14 2" xfId="608" xr:uid="{03BB551B-C1E5-48EB-94DB-3D0C81810C65}"/>
    <cellStyle name="표준 15" xfId="304" xr:uid="{34CB0A49-8C75-4926-9182-6D33642A8364}"/>
    <cellStyle name="표준 15 2" xfId="628" xr:uid="{624E3A79-A777-42DF-9CC6-E9D6DCEAD265}"/>
    <cellStyle name="표준 16" xfId="324" xr:uid="{2AF502FC-B8DF-40F3-8A1B-C5F51B61B3E9}"/>
    <cellStyle name="표준 16 2" xfId="648" xr:uid="{85E154FF-8949-4532-8922-05437AFD162C}"/>
    <cellStyle name="표준 17" xfId="344" xr:uid="{C24D31C8-5BE4-420F-9B14-38B86A495FDF}"/>
    <cellStyle name="표준 17 2" xfId="668" xr:uid="{A6C3CD27-225C-4616-9FF2-B3A3801A626C}"/>
    <cellStyle name="표준 2" xfId="62" xr:uid="{2BCC682B-7B18-403A-8898-3D72D1F92BEA}"/>
    <cellStyle name="표준 2 2" xfId="386" xr:uid="{720D61F0-0441-42A6-9AA5-16316A4AD444}"/>
    <cellStyle name="표준 3" xfId="64" xr:uid="{8A91C379-9E86-4ECE-8FC9-502778FF8674}"/>
    <cellStyle name="표준 3 2" xfId="388" xr:uid="{0A478D3A-9B2A-4768-8518-70ADDC09E1BB}"/>
    <cellStyle name="표준 4" xfId="84" xr:uid="{D49317C4-0983-47D2-9FEE-B35901E022C0}"/>
    <cellStyle name="표준 4 2" xfId="408" xr:uid="{2E95C395-8AC4-45DA-973B-DAB29042E97C}"/>
    <cellStyle name="표준 5" xfId="104" xr:uid="{C846E875-D831-4D02-8B7F-240014E6224A}"/>
    <cellStyle name="표준 5 2" xfId="428" xr:uid="{1BDED0EA-80FE-4311-9D33-A1D7ED777E60}"/>
    <cellStyle name="표준 6" xfId="124" xr:uid="{96BBFF81-0E0D-49A8-8075-BE29211F8FD1}"/>
    <cellStyle name="표준 6 2" xfId="448" xr:uid="{CF0C162F-23C0-48B4-92C0-9F1B70250063}"/>
    <cellStyle name="표준 7" xfId="144" xr:uid="{CCEE4C6D-6860-49F6-BD89-D6BFB3C97F52}"/>
    <cellStyle name="표준 7 2" xfId="468" xr:uid="{F2C86038-958D-4039-B5F6-3E22C04F5D1A}"/>
    <cellStyle name="표준 8" xfId="164" xr:uid="{C8006356-40C1-4BB8-AE4A-A787D7EEC51F}"/>
    <cellStyle name="표준 8 2" xfId="488" xr:uid="{FEAFD6FC-5EA1-4D35-A559-5397B3E6E379}"/>
    <cellStyle name="표준 9" xfId="184" xr:uid="{546D25E5-03AC-4E09-9A2E-CEA11BAB5BC9}"/>
    <cellStyle name="표준 9 2" xfId="508" xr:uid="{02738768-BDD9-484D-96FD-CFBFA7179F27}"/>
  </cellStyles>
  <dxfs count="23"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</dxfs>
  <tableStyles count="0" defaultTableStyle="TableStyleMedium2" defaultPivotStyle="PivotStyleLight16"/>
  <colors>
    <mruColors>
      <color rgb="FFFFC1B7"/>
      <color rgb="FFF94949"/>
      <color rgb="FFF95151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zoomScale="115" zoomScaleNormal="115" workbookViewId="0">
      <selection activeCell="E8" sqref="E8"/>
    </sheetView>
  </sheetViews>
  <sheetFormatPr defaultColWidth="10.90625" defaultRowHeight="19.2"/>
  <cols>
    <col min="1" max="1" width="10.90625" style="33"/>
    <col min="2" max="2" width="13.90625" style="33" customWidth="1"/>
    <col min="3" max="3" width="30.90625" style="33" customWidth="1"/>
    <col min="4" max="5" width="25.90625" style="33" customWidth="1"/>
    <col min="6" max="6" width="13.90625" style="32" customWidth="1"/>
    <col min="7" max="7" width="10.90625" style="33"/>
    <col min="8" max="9" width="10.90625" style="33" customWidth="1"/>
    <col min="10" max="16384" width="10.90625" style="33"/>
  </cols>
  <sheetData>
    <row r="2" spans="1:10" ht="39.9" customHeight="1">
      <c r="A2" s="9"/>
      <c r="B2" s="161" t="s">
        <v>68</v>
      </c>
      <c r="C2" s="161"/>
      <c r="D2" s="161"/>
      <c r="E2" s="161"/>
      <c r="F2" s="161"/>
      <c r="G2" s="9"/>
      <c r="H2" s="9"/>
      <c r="I2" s="9"/>
      <c r="J2" s="9"/>
    </row>
    <row r="3" spans="1:10" ht="15.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" customHeight="1">
      <c r="A4" s="9"/>
      <c r="B4" s="9"/>
      <c r="C4" s="29" t="s">
        <v>38</v>
      </c>
      <c r="D4" s="9"/>
      <c r="E4" s="29" t="s">
        <v>38</v>
      </c>
      <c r="F4" s="1"/>
      <c r="G4" s="9"/>
      <c r="H4" s="9"/>
      <c r="I4" s="9"/>
      <c r="J4" s="9"/>
    </row>
    <row r="5" spans="1:10" ht="15.9" customHeight="1">
      <c r="A5" s="9"/>
      <c r="B5" s="2" t="s">
        <v>6</v>
      </c>
      <c r="C5" s="3" t="s">
        <v>71</v>
      </c>
      <c r="D5" s="2" t="s">
        <v>7</v>
      </c>
      <c r="E5" s="5" t="s">
        <v>72</v>
      </c>
      <c r="H5" s="9"/>
      <c r="I5" s="9"/>
      <c r="J5" s="9"/>
    </row>
    <row r="6" spans="1:10" ht="15.9" customHeight="1">
      <c r="A6" s="1"/>
      <c r="B6" s="2" t="s">
        <v>0</v>
      </c>
      <c r="C6" s="3" t="s">
        <v>70</v>
      </c>
      <c r="D6" s="2" t="s">
        <v>8</v>
      </c>
      <c r="E6" s="5">
        <f>'Shipping Lot List'!B2</f>
        <v>0</v>
      </c>
      <c r="H6" s="1"/>
      <c r="I6" s="1"/>
      <c r="J6" s="1"/>
    </row>
    <row r="7" spans="1:10">
      <c r="A7" s="4"/>
      <c r="B7" s="2" t="s">
        <v>5</v>
      </c>
      <c r="C7" s="3" t="s">
        <v>147</v>
      </c>
      <c r="D7" s="2" t="s">
        <v>357</v>
      </c>
      <c r="E7" s="118" t="s">
        <v>358</v>
      </c>
      <c r="H7" s="4"/>
      <c r="I7" s="4"/>
      <c r="J7" s="4"/>
    </row>
    <row r="8" spans="1:10" ht="30">
      <c r="A8" s="4"/>
      <c r="B8" s="2" t="s">
        <v>69</v>
      </c>
      <c r="C8" s="45" t="s">
        <v>354</v>
      </c>
      <c r="D8" s="2" t="s">
        <v>4</v>
      </c>
      <c r="E8" s="46">
        <f>SUM('Shipping Lot List'!H2:H92743)</f>
        <v>0</v>
      </c>
      <c r="F8" s="30" t="s">
        <v>38</v>
      </c>
      <c r="H8" s="4"/>
      <c r="I8" s="4"/>
      <c r="J8" s="4"/>
    </row>
    <row r="9" spans="1:10">
      <c r="A9" s="4"/>
      <c r="B9" s="2" t="s">
        <v>1</v>
      </c>
      <c r="C9" s="3" t="s">
        <v>370</v>
      </c>
      <c r="D9" s="2" t="s">
        <v>3</v>
      </c>
      <c r="E9" s="46">
        <v>0</v>
      </c>
      <c r="F9" s="162" t="s">
        <v>39</v>
      </c>
      <c r="H9" s="4"/>
      <c r="I9" s="4"/>
      <c r="J9" s="4"/>
    </row>
    <row r="10" spans="1:10">
      <c r="A10" s="4"/>
      <c r="B10" s="2" t="s">
        <v>74</v>
      </c>
      <c r="C10" s="3"/>
      <c r="D10" s="2" t="s">
        <v>2</v>
      </c>
      <c r="E10" s="46">
        <f>E8</f>
        <v>0</v>
      </c>
      <c r="F10" s="162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63" t="s">
        <v>38</v>
      </c>
      <c r="C12" s="163"/>
      <c r="D12" s="163"/>
      <c r="E12" s="163"/>
      <c r="F12" s="163"/>
      <c r="G12" s="4"/>
      <c r="H12" s="4"/>
      <c r="I12" s="4"/>
      <c r="J12" s="4"/>
    </row>
    <row r="13" spans="1:10">
      <c r="A13" s="4"/>
      <c r="B13" s="42" t="s">
        <v>37</v>
      </c>
      <c r="C13" s="42" t="s">
        <v>36</v>
      </c>
      <c r="D13" s="42" t="s">
        <v>9</v>
      </c>
      <c r="E13" s="42" t="s">
        <v>10</v>
      </c>
      <c r="F13" s="42" t="s">
        <v>35</v>
      </c>
      <c r="G13" s="4"/>
      <c r="H13" s="4"/>
      <c r="I13" s="6"/>
      <c r="J13" s="6"/>
    </row>
    <row r="14" spans="1:10">
      <c r="A14" s="11"/>
      <c r="B14" s="160" t="s">
        <v>11</v>
      </c>
      <c r="C14" s="7"/>
      <c r="D14" s="31"/>
      <c r="E14" s="43"/>
      <c r="F14" s="49"/>
    </row>
    <row r="15" spans="1:10">
      <c r="A15" s="11"/>
      <c r="B15" s="160"/>
      <c r="C15" s="7"/>
      <c r="D15" s="8"/>
      <c r="E15" s="10"/>
      <c r="F15" s="31"/>
    </row>
    <row r="16" spans="1:10">
      <c r="A16" s="11"/>
      <c r="B16" s="160"/>
      <c r="C16" s="7"/>
      <c r="D16" s="8"/>
      <c r="E16" s="10"/>
      <c r="F16" s="31"/>
    </row>
    <row r="17" spans="1:6">
      <c r="A17" s="11"/>
      <c r="B17" s="160"/>
      <c r="C17" s="7"/>
      <c r="D17" s="8"/>
      <c r="E17" s="10"/>
      <c r="F17" s="31"/>
    </row>
    <row r="18" spans="1:6">
      <c r="A18" s="11"/>
      <c r="B18" s="160"/>
      <c r="C18" s="7"/>
      <c r="D18" s="8"/>
      <c r="E18" s="10"/>
      <c r="F18" s="31"/>
    </row>
    <row r="19" spans="1:6">
      <c r="A19" s="11"/>
      <c r="B19" s="160"/>
      <c r="C19" s="7"/>
      <c r="D19" s="8"/>
      <c r="E19" s="10"/>
      <c r="F19" s="31"/>
    </row>
    <row r="20" spans="1:6">
      <c r="A20" s="11"/>
      <c r="B20" s="160"/>
      <c r="C20" s="7"/>
      <c r="D20" s="8"/>
      <c r="E20" s="10"/>
      <c r="F20" s="31"/>
    </row>
    <row r="21" spans="1:6">
      <c r="A21" s="11"/>
      <c r="B21" s="160"/>
      <c r="C21" s="7"/>
      <c r="D21" s="8"/>
      <c r="E21" s="10"/>
      <c r="F21" s="31"/>
    </row>
    <row r="22" spans="1:6">
      <c r="A22" s="11"/>
      <c r="B22" s="160"/>
      <c r="C22" s="7"/>
      <c r="D22" s="8"/>
      <c r="E22" s="10"/>
      <c r="F22" s="31"/>
    </row>
    <row r="23" spans="1:6">
      <c r="A23" s="11"/>
      <c r="B23" s="160"/>
      <c r="C23" s="7"/>
      <c r="D23" s="8"/>
      <c r="E23" s="10"/>
      <c r="F23" s="31"/>
    </row>
    <row r="24" spans="1:6">
      <c r="A24" s="11"/>
      <c r="B24" s="160" t="s">
        <v>12</v>
      </c>
      <c r="C24" s="7"/>
      <c r="D24" s="31"/>
      <c r="E24" s="43"/>
      <c r="F24" s="49"/>
    </row>
    <row r="25" spans="1:6">
      <c r="A25" s="11"/>
      <c r="B25" s="160"/>
      <c r="C25" s="7"/>
      <c r="D25" s="31"/>
      <c r="E25" s="43"/>
      <c r="F25" s="49"/>
    </row>
    <row r="26" spans="1:6">
      <c r="A26" s="11"/>
      <c r="B26" s="160"/>
      <c r="C26" s="7"/>
      <c r="D26" s="31"/>
      <c r="E26" s="43"/>
      <c r="F26" s="31"/>
    </row>
    <row r="27" spans="1:6">
      <c r="A27" s="34"/>
      <c r="B27" s="160"/>
      <c r="C27" s="7"/>
      <c r="D27" s="31"/>
      <c r="E27" s="43"/>
      <c r="F27" s="31"/>
    </row>
    <row r="28" spans="1:6">
      <c r="A28" s="34"/>
      <c r="B28" s="160"/>
      <c r="C28" s="7"/>
      <c r="D28" s="31"/>
      <c r="E28" s="43"/>
      <c r="F28" s="31"/>
    </row>
    <row r="29" spans="1:6">
      <c r="A29" s="34"/>
      <c r="B29" s="160"/>
      <c r="C29" s="7"/>
      <c r="D29" s="31"/>
      <c r="E29" s="43"/>
      <c r="F29" s="31"/>
    </row>
    <row r="30" spans="1:6">
      <c r="A30" s="34"/>
      <c r="B30" s="160"/>
      <c r="C30" s="7"/>
      <c r="D30" s="31"/>
      <c r="E30" s="43"/>
      <c r="F30" s="31"/>
    </row>
    <row r="31" spans="1:6">
      <c r="A31" s="34"/>
      <c r="B31" s="160"/>
      <c r="C31" s="7"/>
      <c r="D31" s="31"/>
      <c r="E31" s="43"/>
      <c r="F31" s="31"/>
    </row>
    <row r="32" spans="1:6">
      <c r="A32" s="34"/>
      <c r="B32" s="160"/>
      <c r="C32" s="7"/>
      <c r="D32" s="31"/>
      <c r="E32" s="43"/>
      <c r="F32" s="31"/>
    </row>
    <row r="33" spans="1:6">
      <c r="A33" s="34"/>
      <c r="B33" s="160"/>
      <c r="C33" s="7"/>
      <c r="D33" s="31"/>
      <c r="E33" s="43"/>
      <c r="F33" s="31"/>
    </row>
    <row r="34" spans="1:6">
      <c r="A34" s="34"/>
      <c r="B34" s="160" t="s">
        <v>13</v>
      </c>
      <c r="C34" s="7"/>
      <c r="D34" s="8"/>
      <c r="E34" s="8"/>
      <c r="F34" s="31"/>
    </row>
    <row r="35" spans="1:6">
      <c r="A35" s="34"/>
      <c r="B35" s="160"/>
      <c r="C35" s="7"/>
      <c r="D35" s="8"/>
      <c r="E35" s="8"/>
      <c r="F35" s="31"/>
    </row>
    <row r="36" spans="1:6">
      <c r="A36" s="34"/>
      <c r="B36" s="160"/>
      <c r="C36" s="7"/>
      <c r="D36" s="8"/>
      <c r="E36" s="8"/>
      <c r="F36" s="31"/>
    </row>
    <row r="37" spans="1:6">
      <c r="A37" s="34"/>
      <c r="B37" s="160"/>
      <c r="C37" s="7"/>
      <c r="D37" s="8"/>
      <c r="E37" s="8"/>
      <c r="F37" s="31"/>
    </row>
    <row r="38" spans="1:6">
      <c r="A38" s="34"/>
      <c r="B38" s="160"/>
      <c r="C38" s="7"/>
      <c r="D38" s="8"/>
      <c r="E38" s="8"/>
      <c r="F38" s="31"/>
    </row>
    <row r="39" spans="1:6">
      <c r="A39" s="34"/>
      <c r="B39" s="160"/>
      <c r="C39" s="7"/>
      <c r="D39" s="8"/>
      <c r="E39" s="8"/>
      <c r="F39" s="31"/>
    </row>
    <row r="40" spans="1:6">
      <c r="A40" s="34"/>
      <c r="B40" s="160"/>
      <c r="C40" s="7"/>
      <c r="D40" s="8"/>
      <c r="E40" s="8"/>
      <c r="F40" s="31"/>
    </row>
    <row r="41" spans="1:6">
      <c r="A41" s="34"/>
      <c r="B41" s="160"/>
      <c r="C41" s="7"/>
      <c r="D41" s="8"/>
      <c r="E41" s="8"/>
      <c r="F41" s="31"/>
    </row>
    <row r="42" spans="1:6">
      <c r="A42" s="34"/>
      <c r="B42" s="160"/>
      <c r="C42" s="7"/>
      <c r="D42" s="8"/>
      <c r="E42" s="8"/>
      <c r="F42" s="31"/>
    </row>
    <row r="43" spans="1:6">
      <c r="A43" s="34"/>
      <c r="B43" s="160"/>
      <c r="C43" s="7"/>
      <c r="D43" s="8"/>
      <c r="E43" s="8"/>
      <c r="F43" s="31"/>
    </row>
    <row r="44" spans="1:6">
      <c r="B44" s="159" t="s">
        <v>55</v>
      </c>
      <c r="C44" s="7"/>
      <c r="D44" s="8"/>
      <c r="E44" s="8"/>
      <c r="F44" s="31"/>
    </row>
    <row r="45" spans="1:6">
      <c r="B45" s="159"/>
      <c r="C45" s="7"/>
      <c r="D45" s="8"/>
      <c r="E45" s="8"/>
      <c r="F45" s="31"/>
    </row>
    <row r="46" spans="1:6">
      <c r="B46" s="159"/>
      <c r="C46" s="7"/>
      <c r="D46" s="8"/>
      <c r="E46" s="8"/>
      <c r="F46" s="31"/>
    </row>
    <row r="47" spans="1:6">
      <c r="B47" s="159"/>
      <c r="C47" s="7"/>
      <c r="D47" s="8"/>
      <c r="E47" s="8"/>
      <c r="F47" s="31"/>
    </row>
    <row r="48" spans="1:6">
      <c r="B48" s="159"/>
      <c r="C48" s="7"/>
      <c r="D48" s="8"/>
      <c r="E48" s="8"/>
      <c r="F48" s="31"/>
    </row>
    <row r="49" spans="2:6">
      <c r="B49" s="159"/>
      <c r="C49" s="7"/>
      <c r="D49" s="8"/>
      <c r="E49" s="8"/>
      <c r="F49" s="31"/>
    </row>
    <row r="50" spans="2:6">
      <c r="B50" s="159"/>
      <c r="C50" s="7"/>
      <c r="D50" s="8"/>
      <c r="E50" s="8"/>
      <c r="F50" s="31"/>
    </row>
    <row r="51" spans="2:6">
      <c r="B51" s="159"/>
      <c r="C51" s="7"/>
      <c r="D51" s="8"/>
      <c r="E51" s="8"/>
      <c r="F51" s="31"/>
    </row>
    <row r="52" spans="2:6">
      <c r="B52" s="159"/>
      <c r="C52" s="7"/>
      <c r="D52" s="8"/>
      <c r="E52" s="8"/>
      <c r="F52" s="31"/>
    </row>
    <row r="53" spans="2:6">
      <c r="B53" s="159"/>
      <c r="C53" s="7"/>
      <c r="D53" s="8"/>
      <c r="E53" s="8"/>
      <c r="F53" s="31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541"/>
  <sheetViews>
    <sheetView showGridLines="0" zoomScale="70" zoomScaleNormal="70" workbookViewId="0">
      <selection activeCell="D22" sqref="D22"/>
    </sheetView>
  </sheetViews>
  <sheetFormatPr defaultColWidth="10.90625" defaultRowHeight="19.2"/>
  <cols>
    <col min="1" max="2" width="17.6328125" style="122" customWidth="1"/>
    <col min="3" max="3" width="12.6328125" style="122" customWidth="1"/>
    <col min="4" max="4" width="35.6328125" style="122" customWidth="1"/>
    <col min="5" max="5" width="17.6328125" style="122" customWidth="1"/>
    <col min="6" max="6" width="12.6328125" style="122" customWidth="1"/>
    <col min="7" max="7" width="12.6328125" style="124" customWidth="1"/>
    <col min="8" max="8" width="12.6328125" style="122" customWidth="1"/>
    <col min="9" max="9" width="11.6328125" style="122" customWidth="1"/>
    <col min="10" max="16384" width="10.90625" style="122"/>
  </cols>
  <sheetData>
    <row r="1" spans="1:9">
      <c r="A1" s="119" t="s">
        <v>359</v>
      </c>
      <c r="B1" s="119" t="s">
        <v>360</v>
      </c>
      <c r="C1" s="120" t="s">
        <v>361</v>
      </c>
      <c r="D1" s="121" t="s">
        <v>362</v>
      </c>
      <c r="E1" s="121" t="s">
        <v>356</v>
      </c>
      <c r="F1" s="121" t="s">
        <v>363</v>
      </c>
      <c r="G1" s="121" t="s">
        <v>364</v>
      </c>
      <c r="H1" s="121" t="s">
        <v>148</v>
      </c>
      <c r="I1" s="121" t="s">
        <v>149</v>
      </c>
    </row>
    <row r="2" spans="1:9">
      <c r="A2" s="119"/>
      <c r="B2" s="119"/>
      <c r="C2" s="120"/>
      <c r="D2" s="121"/>
      <c r="E2" s="164"/>
      <c r="F2" s="164"/>
      <c r="G2" s="121"/>
      <c r="H2" s="121"/>
      <c r="I2" s="121"/>
    </row>
    <row r="3" spans="1:9">
      <c r="A3" s="119"/>
      <c r="B3" s="119"/>
      <c r="C3" s="120"/>
      <c r="D3" s="121"/>
      <c r="E3" s="164"/>
      <c r="F3" s="164"/>
      <c r="G3" s="123"/>
      <c r="H3" s="121"/>
      <c r="I3" s="121"/>
    </row>
    <row r="4" spans="1:9">
      <c r="A4" s="119"/>
      <c r="B4" s="119"/>
      <c r="C4" s="120"/>
      <c r="D4" s="121"/>
      <c r="E4" s="164"/>
      <c r="F4" s="164"/>
      <c r="G4" s="123"/>
      <c r="H4" s="121"/>
      <c r="I4" s="121"/>
    </row>
    <row r="5" spans="1:9">
      <c r="A5" s="119"/>
      <c r="B5" s="119"/>
      <c r="C5" s="120"/>
      <c r="D5" s="121"/>
      <c r="E5" s="164"/>
      <c r="F5" s="164"/>
      <c r="G5" s="123"/>
      <c r="H5" s="121"/>
      <c r="I5" s="121"/>
    </row>
    <row r="6" spans="1:9">
      <c r="A6" s="119"/>
      <c r="B6" s="119"/>
      <c r="C6" s="120"/>
      <c r="D6" s="121"/>
      <c r="E6" s="164"/>
      <c r="F6" s="164"/>
      <c r="G6" s="123"/>
      <c r="H6" s="121"/>
      <c r="I6" s="121"/>
    </row>
    <row r="7" spans="1:9">
      <c r="A7" s="119"/>
      <c r="B7" s="119"/>
      <c r="C7" s="120"/>
      <c r="D7" s="121"/>
      <c r="E7" s="164"/>
      <c r="F7" s="164"/>
      <c r="G7" s="123"/>
      <c r="H7" s="121"/>
      <c r="I7" s="121"/>
    </row>
    <row r="8" spans="1:9">
      <c r="A8" s="119"/>
      <c r="B8" s="119"/>
      <c r="C8" s="120"/>
      <c r="D8" s="121"/>
      <c r="E8" s="164"/>
      <c r="F8" s="164"/>
      <c r="G8" s="123"/>
      <c r="H8" s="121"/>
      <c r="I8" s="121"/>
    </row>
    <row r="9" spans="1:9">
      <c r="A9" s="119"/>
      <c r="B9" s="119"/>
      <c r="C9" s="120"/>
      <c r="D9" s="121"/>
      <c r="E9" s="164"/>
      <c r="F9" s="164"/>
      <c r="G9" s="123"/>
      <c r="H9" s="121"/>
      <c r="I9" s="121"/>
    </row>
    <row r="10" spans="1:9">
      <c r="A10" s="119"/>
      <c r="B10" s="119"/>
      <c r="C10" s="120"/>
      <c r="D10" s="121"/>
      <c r="E10" s="164"/>
      <c r="F10" s="164"/>
      <c r="G10" s="123"/>
      <c r="H10" s="121"/>
      <c r="I10" s="121"/>
    </row>
    <row r="11" spans="1:9">
      <c r="A11" s="119"/>
      <c r="B11" s="119"/>
      <c r="C11" s="120"/>
      <c r="D11" s="121"/>
      <c r="E11" s="164"/>
      <c r="F11" s="164"/>
      <c r="G11" s="123"/>
      <c r="H11" s="121"/>
      <c r="I11" s="121"/>
    </row>
    <row r="12" spans="1:9">
      <c r="A12" s="119"/>
      <c r="B12" s="119"/>
      <c r="C12" s="120"/>
      <c r="D12" s="121"/>
      <c r="E12" s="164"/>
      <c r="F12" s="164"/>
      <c r="G12" s="123"/>
      <c r="H12" s="121"/>
      <c r="I12" s="121"/>
    </row>
    <row r="13" spans="1:9">
      <c r="A13" s="119"/>
      <c r="B13" s="119"/>
      <c r="C13" s="120"/>
      <c r="D13" s="121"/>
      <c r="E13" s="164"/>
      <c r="F13" s="164"/>
      <c r="G13" s="123"/>
      <c r="H13" s="121"/>
      <c r="I13" s="121"/>
    </row>
    <row r="14" spans="1:9">
      <c r="A14" s="119"/>
      <c r="B14" s="119"/>
      <c r="C14" s="120"/>
      <c r="D14" s="121"/>
      <c r="E14" s="164"/>
      <c r="F14" s="164"/>
      <c r="G14" s="123"/>
      <c r="H14" s="121"/>
      <c r="I14" s="121"/>
    </row>
    <row r="15" spans="1:9">
      <c r="A15" s="119"/>
      <c r="B15" s="119"/>
      <c r="C15" s="120"/>
      <c r="D15" s="121"/>
      <c r="E15" s="164"/>
      <c r="F15" s="164"/>
      <c r="G15" s="123"/>
      <c r="H15" s="121"/>
      <c r="I15" s="121"/>
    </row>
    <row r="16" spans="1:9">
      <c r="A16" s="119"/>
      <c r="B16" s="119"/>
      <c r="C16" s="120"/>
      <c r="D16" s="121"/>
      <c r="E16" s="164"/>
      <c r="F16" s="164"/>
      <c r="G16" s="123"/>
      <c r="H16" s="121"/>
      <c r="I16" s="121"/>
    </row>
    <row r="17" spans="1:9">
      <c r="A17" s="119"/>
      <c r="B17" s="119"/>
      <c r="C17" s="120"/>
      <c r="D17" s="121"/>
      <c r="E17" s="164"/>
      <c r="F17" s="164"/>
      <c r="G17" s="123"/>
      <c r="H17" s="121"/>
      <c r="I17" s="121"/>
    </row>
    <row r="18" spans="1:9">
      <c r="A18" s="119"/>
      <c r="B18" s="119"/>
      <c r="C18" s="120"/>
      <c r="D18" s="121"/>
      <c r="E18" s="164"/>
      <c r="F18" s="164"/>
      <c r="G18" s="123"/>
      <c r="H18" s="121"/>
      <c r="I18" s="121"/>
    </row>
    <row r="19" spans="1:9">
      <c r="A19" s="119"/>
      <c r="B19" s="119"/>
      <c r="C19" s="120"/>
      <c r="D19" s="121"/>
      <c r="E19" s="164"/>
      <c r="F19" s="164"/>
      <c r="G19" s="123"/>
      <c r="H19" s="121"/>
      <c r="I19" s="121"/>
    </row>
    <row r="20" spans="1:9">
      <c r="A20" s="119"/>
      <c r="B20" s="119"/>
      <c r="C20" s="120"/>
      <c r="D20" s="121"/>
      <c r="E20" s="164"/>
      <c r="F20" s="164"/>
      <c r="G20" s="123"/>
      <c r="H20" s="121"/>
      <c r="I20" s="121"/>
    </row>
    <row r="21" spans="1:9">
      <c r="A21" s="119"/>
      <c r="B21" s="119"/>
      <c r="C21" s="120"/>
      <c r="D21" s="121"/>
      <c r="E21" s="164"/>
      <c r="F21" s="164"/>
      <c r="G21" s="123"/>
      <c r="H21" s="121"/>
      <c r="I21" s="121"/>
    </row>
    <row r="22" spans="1:9">
      <c r="A22" s="119"/>
      <c r="B22" s="119"/>
      <c r="C22" s="120"/>
      <c r="D22" s="121"/>
      <c r="E22" s="164"/>
      <c r="F22" s="164"/>
      <c r="G22" s="123"/>
      <c r="H22" s="121"/>
      <c r="I22" s="121"/>
    </row>
    <row r="23" spans="1:9">
      <c r="A23" s="119"/>
      <c r="B23" s="119"/>
      <c r="C23" s="120"/>
      <c r="D23" s="121"/>
      <c r="E23" s="164"/>
      <c r="F23" s="164"/>
      <c r="G23" s="123"/>
      <c r="H23" s="121"/>
      <c r="I23" s="121"/>
    </row>
    <row r="24" spans="1:9">
      <c r="A24" s="119"/>
      <c r="B24" s="119"/>
      <c r="C24" s="120"/>
      <c r="D24" s="121"/>
      <c r="E24" s="164"/>
      <c r="F24" s="164"/>
      <c r="G24" s="123"/>
      <c r="H24" s="121"/>
      <c r="I24" s="121"/>
    </row>
    <row r="25" spans="1:9">
      <c r="A25" s="119"/>
      <c r="B25" s="119"/>
      <c r="C25" s="120"/>
      <c r="D25" s="121"/>
      <c r="E25" s="164"/>
      <c r="F25" s="164"/>
      <c r="G25" s="123"/>
      <c r="H25" s="121"/>
      <c r="I25" s="121"/>
    </row>
    <row r="26" spans="1:9">
      <c r="A26" s="119"/>
      <c r="B26" s="119"/>
      <c r="C26" s="120"/>
      <c r="D26" s="121"/>
      <c r="E26" s="164"/>
      <c r="F26" s="164"/>
      <c r="G26" s="123"/>
      <c r="H26" s="121"/>
      <c r="I26" s="121"/>
    </row>
    <row r="27" spans="1:9">
      <c r="A27" s="119"/>
      <c r="B27" s="119"/>
      <c r="C27" s="120"/>
      <c r="D27" s="121"/>
      <c r="E27" s="164"/>
      <c r="F27" s="164"/>
      <c r="G27" s="123"/>
      <c r="H27" s="121"/>
      <c r="I27" s="121"/>
    </row>
    <row r="28" spans="1:9">
      <c r="A28" s="119"/>
      <c r="B28" s="119"/>
      <c r="C28" s="120"/>
      <c r="D28" s="121"/>
      <c r="E28" s="164"/>
      <c r="F28" s="164"/>
      <c r="G28" s="123"/>
      <c r="H28" s="121"/>
      <c r="I28" s="121"/>
    </row>
    <row r="29" spans="1:9">
      <c r="A29" s="119"/>
      <c r="B29" s="119"/>
      <c r="C29" s="120"/>
      <c r="D29" s="121"/>
      <c r="E29" s="164"/>
      <c r="F29" s="164"/>
      <c r="G29" s="123"/>
      <c r="H29" s="121"/>
      <c r="I29" s="121"/>
    </row>
    <row r="30" spans="1:9">
      <c r="A30" s="119"/>
      <c r="B30" s="119"/>
      <c r="C30" s="120"/>
      <c r="D30" s="121"/>
      <c r="E30" s="164"/>
      <c r="F30" s="164"/>
      <c r="G30" s="123"/>
      <c r="H30" s="121"/>
      <c r="I30" s="121"/>
    </row>
    <row r="31" spans="1:9">
      <c r="A31" s="119"/>
      <c r="B31" s="119"/>
      <c r="C31" s="120"/>
      <c r="D31" s="121"/>
      <c r="E31" s="164"/>
      <c r="F31" s="164"/>
      <c r="G31" s="123"/>
      <c r="H31" s="121"/>
      <c r="I31" s="121"/>
    </row>
    <row r="32" spans="1:9">
      <c r="A32" s="119"/>
      <c r="B32" s="119"/>
      <c r="C32" s="120"/>
      <c r="D32" s="121"/>
      <c r="E32" s="164"/>
      <c r="F32" s="164"/>
      <c r="G32" s="123"/>
      <c r="H32" s="121"/>
      <c r="I32" s="121"/>
    </row>
    <row r="33" spans="1:9">
      <c r="A33" s="119"/>
      <c r="B33" s="119"/>
      <c r="C33" s="120"/>
      <c r="D33" s="121"/>
      <c r="E33" s="164"/>
      <c r="F33" s="164"/>
      <c r="G33" s="123"/>
      <c r="H33" s="121"/>
      <c r="I33" s="121"/>
    </row>
    <row r="34" spans="1:9">
      <c r="A34" s="119"/>
      <c r="B34" s="119"/>
      <c r="C34" s="120"/>
      <c r="D34" s="121"/>
      <c r="E34" s="164"/>
      <c r="F34" s="164"/>
      <c r="G34" s="123"/>
      <c r="H34" s="121"/>
      <c r="I34" s="121"/>
    </row>
    <row r="35" spans="1:9">
      <c r="A35" s="119"/>
      <c r="B35" s="119"/>
      <c r="C35" s="120"/>
      <c r="D35" s="121"/>
      <c r="E35" s="164"/>
      <c r="F35" s="164"/>
      <c r="G35" s="123"/>
      <c r="H35" s="121"/>
      <c r="I35" s="121"/>
    </row>
    <row r="36" spans="1:9">
      <c r="A36" s="119"/>
      <c r="B36" s="119"/>
      <c r="C36" s="120"/>
      <c r="D36" s="121"/>
      <c r="E36" s="164"/>
      <c r="F36" s="164"/>
      <c r="G36" s="123"/>
      <c r="H36" s="121"/>
      <c r="I36" s="121"/>
    </row>
    <row r="37" spans="1:9">
      <c r="A37" s="119"/>
      <c r="B37" s="119"/>
      <c r="C37" s="120"/>
      <c r="D37" s="121"/>
      <c r="E37" s="164"/>
      <c r="F37" s="164"/>
      <c r="G37" s="123"/>
      <c r="H37" s="121"/>
      <c r="I37" s="121"/>
    </row>
    <row r="38" spans="1:9">
      <c r="A38" s="119"/>
      <c r="B38" s="119"/>
      <c r="C38" s="120"/>
      <c r="D38" s="121"/>
      <c r="E38" s="164"/>
      <c r="F38" s="164"/>
      <c r="G38" s="123"/>
      <c r="H38" s="121"/>
      <c r="I38" s="121"/>
    </row>
    <row r="39" spans="1:9">
      <c r="A39" s="119"/>
      <c r="B39" s="119"/>
      <c r="C39" s="120"/>
      <c r="D39" s="121"/>
      <c r="E39" s="164"/>
      <c r="F39" s="164"/>
      <c r="G39" s="123"/>
      <c r="H39" s="121"/>
      <c r="I39" s="121"/>
    </row>
    <row r="40" spans="1:9">
      <c r="A40" s="119"/>
      <c r="B40" s="119"/>
      <c r="C40" s="120"/>
      <c r="D40" s="121"/>
      <c r="E40" s="164"/>
      <c r="F40" s="164"/>
      <c r="G40" s="123"/>
      <c r="H40" s="121"/>
      <c r="I40" s="121"/>
    </row>
    <row r="41" spans="1:9">
      <c r="A41" s="119"/>
      <c r="B41" s="119"/>
      <c r="C41" s="120"/>
      <c r="D41" s="121"/>
      <c r="E41" s="164"/>
      <c r="F41" s="164"/>
      <c r="G41" s="123"/>
      <c r="H41" s="121"/>
      <c r="I41" s="121"/>
    </row>
    <row r="42" spans="1:9">
      <c r="A42" s="119"/>
      <c r="B42" s="119"/>
      <c r="C42" s="120"/>
      <c r="D42" s="121"/>
      <c r="E42" s="164"/>
      <c r="F42" s="164"/>
      <c r="G42" s="123"/>
      <c r="H42" s="121"/>
      <c r="I42" s="121"/>
    </row>
    <row r="43" spans="1:9">
      <c r="A43" s="119"/>
      <c r="B43" s="119"/>
      <c r="C43" s="120"/>
      <c r="D43" s="121"/>
      <c r="E43" s="164"/>
      <c r="F43" s="164"/>
      <c r="G43" s="123"/>
      <c r="H43" s="121"/>
      <c r="I43" s="121"/>
    </row>
    <row r="44" spans="1:9">
      <c r="A44" s="119"/>
      <c r="B44" s="119"/>
      <c r="C44" s="120"/>
      <c r="D44" s="121"/>
      <c r="E44" s="164"/>
      <c r="F44" s="164"/>
      <c r="G44" s="123"/>
      <c r="H44" s="121"/>
      <c r="I44" s="121"/>
    </row>
    <row r="45" spans="1:9">
      <c r="A45" s="119"/>
      <c r="B45" s="119"/>
      <c r="C45" s="120"/>
      <c r="D45" s="121"/>
      <c r="E45" s="164"/>
      <c r="F45" s="164"/>
      <c r="G45" s="123"/>
      <c r="H45" s="121"/>
      <c r="I45" s="121"/>
    </row>
    <row r="46" spans="1:9">
      <c r="A46" s="119"/>
      <c r="B46" s="119"/>
      <c r="C46" s="120"/>
      <c r="D46" s="121"/>
      <c r="E46" s="164"/>
      <c r="F46" s="164"/>
      <c r="G46" s="123"/>
      <c r="H46" s="121"/>
      <c r="I46" s="121"/>
    </row>
    <row r="47" spans="1:9">
      <c r="A47" s="119"/>
      <c r="B47" s="119"/>
      <c r="C47" s="120"/>
      <c r="D47" s="121"/>
      <c r="E47" s="164"/>
      <c r="F47" s="164"/>
      <c r="G47" s="123"/>
      <c r="H47" s="121"/>
      <c r="I47" s="121"/>
    </row>
    <row r="48" spans="1:9">
      <c r="A48" s="119"/>
      <c r="B48" s="119"/>
      <c r="C48" s="120"/>
      <c r="D48" s="121"/>
      <c r="E48" s="164"/>
      <c r="F48" s="164"/>
      <c r="G48" s="123"/>
      <c r="H48" s="121"/>
      <c r="I48" s="121"/>
    </row>
    <row r="49" spans="1:9">
      <c r="A49" s="119"/>
      <c r="B49" s="119"/>
      <c r="C49" s="120"/>
      <c r="D49" s="121"/>
      <c r="E49" s="164"/>
      <c r="F49" s="164"/>
      <c r="G49" s="123"/>
      <c r="H49" s="121"/>
      <c r="I49" s="121"/>
    </row>
    <row r="50" spans="1:9">
      <c r="A50" s="119"/>
      <c r="B50" s="119"/>
      <c r="C50" s="120"/>
      <c r="D50" s="121"/>
      <c r="E50" s="164"/>
      <c r="F50" s="164"/>
      <c r="G50" s="123"/>
      <c r="H50" s="121"/>
      <c r="I50" s="121"/>
    </row>
    <row r="51" spans="1:9">
      <c r="A51" s="119"/>
      <c r="B51" s="119"/>
      <c r="C51" s="120"/>
      <c r="D51" s="121"/>
      <c r="E51" s="164"/>
      <c r="F51" s="164"/>
      <c r="G51" s="123"/>
      <c r="H51" s="121"/>
      <c r="I51" s="121"/>
    </row>
    <row r="52" spans="1:9">
      <c r="A52" s="119"/>
      <c r="B52" s="119"/>
      <c r="C52" s="120"/>
      <c r="D52" s="121"/>
      <c r="E52" s="164"/>
      <c r="F52" s="164"/>
      <c r="G52" s="123"/>
      <c r="H52" s="121"/>
      <c r="I52" s="121"/>
    </row>
    <row r="53" spans="1:9">
      <c r="A53" s="119"/>
      <c r="B53" s="119"/>
      <c r="C53" s="120"/>
      <c r="D53" s="121"/>
      <c r="E53" s="164"/>
      <c r="F53" s="164"/>
      <c r="G53" s="123"/>
      <c r="H53" s="121"/>
      <c r="I53" s="121"/>
    </row>
    <row r="54" spans="1:9">
      <c r="A54" s="119"/>
      <c r="B54" s="119"/>
      <c r="C54" s="120"/>
      <c r="D54" s="121"/>
      <c r="E54" s="164"/>
      <c r="F54" s="164"/>
      <c r="G54" s="123"/>
      <c r="H54" s="121"/>
      <c r="I54" s="121"/>
    </row>
    <row r="55" spans="1:9">
      <c r="A55" s="119"/>
      <c r="B55" s="119"/>
      <c r="C55" s="120"/>
      <c r="D55" s="121"/>
      <c r="E55" s="164"/>
      <c r="F55" s="164"/>
      <c r="G55" s="123"/>
      <c r="H55" s="121"/>
      <c r="I55" s="121"/>
    </row>
    <row r="56" spans="1:9">
      <c r="A56" s="119"/>
      <c r="B56" s="119"/>
      <c r="C56" s="120"/>
      <c r="D56" s="121"/>
      <c r="E56" s="164"/>
      <c r="F56" s="164"/>
      <c r="G56" s="123"/>
      <c r="H56" s="121"/>
      <c r="I56" s="121"/>
    </row>
    <row r="57" spans="1:9">
      <c r="A57" s="119"/>
      <c r="B57" s="119"/>
      <c r="C57" s="120"/>
      <c r="D57" s="121"/>
      <c r="E57" s="164"/>
      <c r="F57" s="164"/>
      <c r="G57" s="123"/>
      <c r="H57" s="121"/>
      <c r="I57" s="121"/>
    </row>
    <row r="58" spans="1:9">
      <c r="A58" s="119"/>
      <c r="B58" s="119"/>
      <c r="C58" s="120"/>
      <c r="D58" s="121"/>
      <c r="E58" s="164"/>
      <c r="F58" s="164"/>
      <c r="G58" s="123"/>
      <c r="H58" s="121"/>
      <c r="I58" s="121"/>
    </row>
    <row r="59" spans="1:9">
      <c r="A59" s="119"/>
      <c r="B59" s="119"/>
      <c r="C59" s="120"/>
      <c r="D59" s="121"/>
      <c r="E59" s="164"/>
      <c r="F59" s="164"/>
      <c r="G59" s="123"/>
      <c r="H59" s="121"/>
      <c r="I59" s="121"/>
    </row>
    <row r="60" spans="1:9">
      <c r="A60" s="119"/>
      <c r="B60" s="119"/>
      <c r="C60" s="120"/>
      <c r="D60" s="121"/>
      <c r="E60" s="164"/>
      <c r="F60" s="164"/>
      <c r="G60" s="123"/>
      <c r="H60" s="121"/>
      <c r="I60" s="121"/>
    </row>
    <row r="61" spans="1:9">
      <c r="A61" s="119"/>
      <c r="B61" s="119"/>
      <c r="C61" s="120"/>
      <c r="D61" s="121"/>
      <c r="E61" s="164"/>
      <c r="F61" s="164"/>
      <c r="G61" s="123"/>
      <c r="H61" s="121"/>
      <c r="I61" s="121"/>
    </row>
    <row r="62" spans="1:9">
      <c r="A62" s="119"/>
      <c r="B62" s="119"/>
      <c r="C62" s="120"/>
      <c r="D62" s="121"/>
      <c r="E62" s="164"/>
      <c r="F62" s="164"/>
      <c r="G62" s="123"/>
      <c r="H62" s="121"/>
      <c r="I62" s="121"/>
    </row>
    <row r="63" spans="1:9">
      <c r="A63" s="119"/>
      <c r="B63" s="119"/>
      <c r="C63" s="120"/>
      <c r="D63" s="121"/>
      <c r="E63" s="164"/>
      <c r="F63" s="164"/>
      <c r="G63" s="123"/>
      <c r="H63" s="121"/>
      <c r="I63" s="121"/>
    </row>
    <row r="64" spans="1:9">
      <c r="A64" s="119"/>
      <c r="B64" s="119"/>
      <c r="C64" s="120"/>
      <c r="D64" s="121"/>
      <c r="E64" s="164"/>
      <c r="F64" s="164"/>
      <c r="G64" s="123"/>
      <c r="H64" s="121"/>
      <c r="I64" s="121"/>
    </row>
    <row r="65" spans="1:9">
      <c r="A65" s="119"/>
      <c r="B65" s="119"/>
      <c r="C65" s="120"/>
      <c r="D65" s="121"/>
      <c r="E65" s="164"/>
      <c r="F65" s="164"/>
      <c r="G65" s="123"/>
      <c r="H65" s="121"/>
      <c r="I65" s="121"/>
    </row>
    <row r="66" spans="1:9">
      <c r="A66" s="119"/>
      <c r="B66" s="119"/>
      <c r="C66" s="120"/>
      <c r="D66" s="121"/>
      <c r="E66" s="164"/>
      <c r="F66" s="164"/>
      <c r="G66" s="123"/>
      <c r="H66" s="121"/>
      <c r="I66" s="121"/>
    </row>
    <row r="67" spans="1:9">
      <c r="A67" s="119"/>
      <c r="B67" s="119"/>
      <c r="C67" s="120"/>
      <c r="D67" s="121"/>
      <c r="E67" s="164"/>
      <c r="F67" s="164"/>
      <c r="G67" s="123"/>
      <c r="H67" s="121"/>
      <c r="I67" s="121"/>
    </row>
    <row r="68" spans="1:9">
      <c r="A68" s="119"/>
      <c r="B68" s="119"/>
      <c r="C68" s="120"/>
      <c r="D68" s="121"/>
      <c r="E68" s="164"/>
      <c r="F68" s="164"/>
      <c r="G68" s="123"/>
      <c r="H68" s="121"/>
      <c r="I68" s="121"/>
    </row>
    <row r="69" spans="1:9">
      <c r="A69" s="119"/>
      <c r="B69" s="119"/>
      <c r="C69" s="120"/>
      <c r="D69" s="121"/>
      <c r="E69" s="164"/>
      <c r="F69" s="164"/>
      <c r="G69" s="123"/>
      <c r="H69" s="121"/>
      <c r="I69" s="121"/>
    </row>
    <row r="70" spans="1:9">
      <c r="A70" s="119"/>
      <c r="B70" s="119"/>
      <c r="C70" s="120"/>
      <c r="D70" s="121"/>
      <c r="E70" s="164"/>
      <c r="F70" s="164"/>
      <c r="G70" s="123"/>
      <c r="H70" s="121"/>
      <c r="I70" s="121"/>
    </row>
    <row r="71" spans="1:9">
      <c r="A71" s="119"/>
      <c r="B71" s="119"/>
      <c r="C71" s="120"/>
      <c r="D71" s="121"/>
      <c r="E71" s="164"/>
      <c r="F71" s="164"/>
      <c r="G71" s="123"/>
      <c r="H71" s="121"/>
      <c r="I71" s="121"/>
    </row>
    <row r="72" spans="1:9">
      <c r="A72" s="119"/>
      <c r="B72" s="119"/>
      <c r="C72" s="120"/>
      <c r="D72" s="121"/>
      <c r="E72" s="164"/>
      <c r="F72" s="164"/>
      <c r="G72" s="123"/>
      <c r="H72" s="121"/>
      <c r="I72" s="121"/>
    </row>
    <row r="73" spans="1:9">
      <c r="A73" s="119"/>
      <c r="B73" s="119"/>
      <c r="C73" s="120"/>
      <c r="D73" s="121"/>
      <c r="E73" s="164"/>
      <c r="F73" s="164"/>
      <c r="G73" s="123"/>
      <c r="H73" s="121"/>
      <c r="I73" s="121"/>
    </row>
    <row r="74" spans="1:9">
      <c r="A74" s="119"/>
      <c r="B74" s="119"/>
      <c r="C74" s="120"/>
      <c r="D74" s="121"/>
      <c r="E74" s="164"/>
      <c r="F74" s="164"/>
      <c r="G74" s="123"/>
      <c r="H74" s="121"/>
      <c r="I74" s="121"/>
    </row>
    <row r="75" spans="1:9">
      <c r="A75" s="119"/>
      <c r="B75" s="119"/>
      <c r="C75" s="120"/>
      <c r="D75" s="121"/>
      <c r="E75" s="164"/>
      <c r="F75" s="164"/>
      <c r="G75" s="123"/>
      <c r="H75" s="121"/>
      <c r="I75" s="121"/>
    </row>
    <row r="76" spans="1:9">
      <c r="A76" s="119"/>
      <c r="B76" s="119"/>
      <c r="C76" s="120"/>
      <c r="D76" s="121"/>
      <c r="E76" s="164"/>
      <c r="F76" s="164"/>
      <c r="G76" s="123"/>
      <c r="H76" s="121"/>
      <c r="I76" s="121"/>
    </row>
    <row r="77" spans="1:9">
      <c r="A77" s="119"/>
      <c r="B77" s="119"/>
      <c r="C77" s="120"/>
      <c r="D77" s="121"/>
      <c r="E77" s="164"/>
      <c r="F77" s="164"/>
      <c r="G77" s="123"/>
      <c r="H77" s="121"/>
      <c r="I77" s="121"/>
    </row>
    <row r="78" spans="1:9">
      <c r="A78" s="119"/>
      <c r="B78" s="119"/>
      <c r="C78" s="120"/>
      <c r="D78" s="121"/>
      <c r="E78" s="164"/>
      <c r="F78" s="164"/>
      <c r="G78" s="123"/>
      <c r="H78" s="121"/>
      <c r="I78" s="121"/>
    </row>
    <row r="79" spans="1:9">
      <c r="A79" s="119"/>
      <c r="B79" s="119"/>
      <c r="C79" s="120"/>
      <c r="D79" s="121"/>
      <c r="E79" s="164"/>
      <c r="F79" s="164"/>
      <c r="G79" s="123"/>
      <c r="H79" s="121"/>
      <c r="I79" s="121"/>
    </row>
    <row r="80" spans="1:9">
      <c r="A80" s="119"/>
      <c r="B80" s="119"/>
      <c r="C80" s="120"/>
      <c r="D80" s="121"/>
      <c r="E80" s="164"/>
      <c r="F80" s="164"/>
      <c r="G80" s="123"/>
      <c r="H80" s="121"/>
      <c r="I80" s="121"/>
    </row>
    <row r="81" spans="1:9">
      <c r="A81" s="119"/>
      <c r="B81" s="119"/>
      <c r="C81" s="120"/>
      <c r="D81" s="121"/>
      <c r="E81" s="164"/>
      <c r="F81" s="164"/>
      <c r="G81" s="123"/>
      <c r="H81" s="121"/>
      <c r="I81" s="121"/>
    </row>
    <row r="82" spans="1:9">
      <c r="A82" s="119"/>
      <c r="B82" s="119"/>
      <c r="C82" s="120"/>
      <c r="D82" s="121"/>
      <c r="E82" s="164"/>
      <c r="F82" s="164"/>
      <c r="G82" s="123"/>
      <c r="H82" s="121"/>
      <c r="I82" s="121"/>
    </row>
    <row r="83" spans="1:9">
      <c r="A83" s="119"/>
      <c r="B83" s="119"/>
      <c r="C83" s="120"/>
      <c r="D83" s="121"/>
      <c r="E83" s="164"/>
      <c r="F83" s="164"/>
      <c r="G83" s="123"/>
      <c r="H83" s="121"/>
      <c r="I83" s="121"/>
    </row>
    <row r="84" spans="1:9">
      <c r="A84" s="119"/>
      <c r="B84" s="119"/>
      <c r="C84" s="120"/>
      <c r="D84" s="121"/>
      <c r="E84" s="164"/>
      <c r="F84" s="164"/>
      <c r="G84" s="123"/>
      <c r="H84" s="121"/>
      <c r="I84" s="121"/>
    </row>
    <row r="85" spans="1:9">
      <c r="A85" s="119"/>
      <c r="B85" s="119"/>
      <c r="C85" s="120"/>
      <c r="D85" s="121"/>
      <c r="E85" s="164"/>
      <c r="F85" s="164"/>
      <c r="G85" s="123"/>
      <c r="H85" s="121"/>
      <c r="I85" s="121"/>
    </row>
    <row r="86" spans="1:9">
      <c r="A86" s="119"/>
      <c r="B86" s="119"/>
      <c r="C86" s="120"/>
      <c r="D86" s="121"/>
      <c r="E86" s="164"/>
      <c r="F86" s="164"/>
      <c r="G86" s="123"/>
      <c r="H86" s="121"/>
      <c r="I86" s="121"/>
    </row>
    <row r="87" spans="1:9">
      <c r="A87" s="119"/>
      <c r="B87" s="119"/>
      <c r="C87" s="120"/>
      <c r="D87" s="121"/>
      <c r="E87" s="164"/>
      <c r="F87" s="164"/>
      <c r="G87" s="123"/>
      <c r="H87" s="121"/>
      <c r="I87" s="121"/>
    </row>
    <row r="88" spans="1:9">
      <c r="A88" s="119"/>
      <c r="B88" s="119"/>
      <c r="C88" s="120"/>
      <c r="D88" s="121"/>
      <c r="E88" s="164"/>
      <c r="F88" s="164"/>
      <c r="G88" s="123"/>
      <c r="H88" s="121"/>
      <c r="I88" s="121"/>
    </row>
    <row r="89" spans="1:9">
      <c r="A89" s="119"/>
      <c r="B89" s="119"/>
      <c r="C89" s="120"/>
      <c r="D89" s="121"/>
      <c r="E89" s="164"/>
      <c r="F89" s="164"/>
      <c r="G89" s="123"/>
      <c r="H89" s="121"/>
      <c r="I89" s="121"/>
    </row>
    <row r="90" spans="1:9">
      <c r="A90" s="119"/>
      <c r="B90" s="119"/>
      <c r="C90" s="120"/>
      <c r="D90" s="121"/>
      <c r="E90" s="164"/>
      <c r="F90" s="164"/>
      <c r="G90" s="123"/>
      <c r="H90" s="121"/>
      <c r="I90" s="121"/>
    </row>
    <row r="91" spans="1:9">
      <c r="A91" s="119"/>
      <c r="B91" s="119"/>
      <c r="C91" s="120"/>
      <c r="D91" s="121"/>
      <c r="E91" s="164"/>
      <c r="F91" s="164"/>
      <c r="G91" s="123"/>
      <c r="H91" s="121"/>
      <c r="I91" s="121"/>
    </row>
    <row r="92" spans="1:9">
      <c r="A92" s="119"/>
      <c r="B92" s="119"/>
      <c r="C92" s="120"/>
      <c r="D92" s="121"/>
      <c r="E92" s="164"/>
      <c r="F92" s="164"/>
      <c r="G92" s="123"/>
      <c r="H92" s="121"/>
      <c r="I92" s="121"/>
    </row>
    <row r="93" spans="1:9">
      <c r="A93" s="119"/>
      <c r="B93" s="119"/>
      <c r="C93" s="120"/>
      <c r="D93" s="121"/>
      <c r="E93" s="164"/>
      <c r="F93" s="164"/>
      <c r="G93" s="123"/>
      <c r="H93" s="121"/>
      <c r="I93" s="121"/>
    </row>
    <row r="94" spans="1:9">
      <c r="A94" s="119"/>
      <c r="B94" s="119"/>
      <c r="C94" s="120"/>
      <c r="D94" s="121"/>
      <c r="E94" s="164"/>
      <c r="F94" s="164"/>
      <c r="G94" s="123"/>
      <c r="H94" s="121"/>
      <c r="I94" s="121"/>
    </row>
    <row r="95" spans="1:9">
      <c r="A95" s="119"/>
      <c r="B95" s="119"/>
      <c r="C95" s="120"/>
      <c r="D95" s="121"/>
      <c r="E95" s="164"/>
      <c r="F95" s="164"/>
      <c r="G95" s="123"/>
      <c r="H95" s="121"/>
      <c r="I95" s="121"/>
    </row>
    <row r="96" spans="1:9">
      <c r="A96" s="119"/>
      <c r="B96" s="119"/>
      <c r="C96" s="120"/>
      <c r="D96" s="121"/>
      <c r="E96" s="164"/>
      <c r="F96" s="164"/>
      <c r="G96" s="123"/>
      <c r="H96" s="121"/>
      <c r="I96" s="121"/>
    </row>
    <row r="97" spans="1:9">
      <c r="A97" s="119"/>
      <c r="B97" s="119"/>
      <c r="C97" s="120"/>
      <c r="D97" s="121"/>
      <c r="E97" s="164"/>
      <c r="F97" s="164"/>
      <c r="G97" s="123"/>
      <c r="H97" s="121"/>
      <c r="I97" s="121"/>
    </row>
    <row r="98" spans="1:9">
      <c r="A98" s="119"/>
      <c r="B98" s="119"/>
      <c r="C98" s="120"/>
      <c r="D98" s="121"/>
      <c r="E98" s="164"/>
      <c r="F98" s="164"/>
      <c r="G98" s="123"/>
      <c r="H98" s="121"/>
      <c r="I98" s="121"/>
    </row>
    <row r="99" spans="1:9">
      <c r="A99" s="119"/>
      <c r="B99" s="119"/>
      <c r="C99" s="120"/>
      <c r="D99" s="121"/>
      <c r="E99" s="164"/>
      <c r="F99" s="164"/>
      <c r="G99" s="123"/>
      <c r="H99" s="121"/>
      <c r="I99" s="121"/>
    </row>
    <row r="100" spans="1:9">
      <c r="A100" s="119"/>
      <c r="B100" s="119"/>
      <c r="C100" s="120"/>
      <c r="D100" s="121"/>
      <c r="E100" s="164"/>
      <c r="F100" s="164"/>
      <c r="G100" s="123"/>
      <c r="H100" s="121"/>
      <c r="I100" s="121"/>
    </row>
    <row r="101" spans="1:9">
      <c r="A101" s="119"/>
      <c r="B101" s="119"/>
      <c r="C101" s="120"/>
      <c r="D101" s="121"/>
      <c r="E101" s="164"/>
      <c r="F101" s="164"/>
      <c r="G101" s="123"/>
      <c r="H101" s="121"/>
      <c r="I101" s="121"/>
    </row>
    <row r="102" spans="1:9">
      <c r="A102" s="119"/>
      <c r="B102" s="119"/>
      <c r="C102" s="120"/>
      <c r="D102" s="121"/>
      <c r="E102" s="164"/>
      <c r="F102" s="164"/>
      <c r="G102" s="123"/>
      <c r="H102" s="121"/>
      <c r="I102" s="121"/>
    </row>
    <row r="103" spans="1:9">
      <c r="A103" s="119"/>
      <c r="B103" s="119"/>
      <c r="C103" s="120"/>
      <c r="D103" s="121"/>
      <c r="E103" s="164"/>
      <c r="F103" s="164"/>
      <c r="G103" s="123"/>
      <c r="H103" s="121"/>
      <c r="I103" s="121"/>
    </row>
    <row r="104" spans="1:9">
      <c r="A104" s="119"/>
      <c r="B104" s="119"/>
      <c r="C104" s="120"/>
      <c r="D104" s="121"/>
      <c r="E104" s="164"/>
      <c r="F104" s="164"/>
      <c r="G104" s="123"/>
      <c r="H104" s="121"/>
      <c r="I104" s="121"/>
    </row>
    <row r="105" spans="1:9">
      <c r="A105" s="119"/>
      <c r="B105" s="119"/>
      <c r="C105" s="120"/>
      <c r="D105" s="121"/>
      <c r="E105" s="164"/>
      <c r="F105" s="164"/>
      <c r="G105" s="123"/>
      <c r="H105" s="121"/>
      <c r="I105" s="121"/>
    </row>
    <row r="106" spans="1:9">
      <c r="A106" s="119"/>
      <c r="B106" s="119"/>
      <c r="C106" s="120"/>
      <c r="D106" s="121"/>
      <c r="E106" s="164"/>
      <c r="F106" s="164"/>
      <c r="G106" s="123"/>
      <c r="H106" s="121"/>
      <c r="I106" s="121"/>
    </row>
    <row r="107" spans="1:9">
      <c r="A107" s="119"/>
      <c r="B107" s="119"/>
      <c r="C107" s="120"/>
      <c r="D107" s="121"/>
      <c r="E107" s="164"/>
      <c r="F107" s="164"/>
      <c r="G107" s="123"/>
      <c r="H107" s="121"/>
      <c r="I107" s="121"/>
    </row>
    <row r="108" spans="1:9">
      <c r="A108" s="119"/>
      <c r="B108" s="119"/>
      <c r="C108" s="120"/>
      <c r="D108" s="121"/>
      <c r="E108" s="164"/>
      <c r="F108" s="164"/>
      <c r="G108" s="123"/>
      <c r="H108" s="121"/>
      <c r="I108" s="121"/>
    </row>
    <row r="109" spans="1:9">
      <c r="A109" s="119"/>
      <c r="B109" s="119"/>
      <c r="C109" s="120"/>
      <c r="D109" s="121"/>
      <c r="E109" s="164"/>
      <c r="F109" s="164"/>
      <c r="G109" s="123"/>
      <c r="H109" s="121"/>
      <c r="I109" s="121"/>
    </row>
    <row r="110" spans="1:9">
      <c r="A110" s="119"/>
      <c r="B110" s="119"/>
      <c r="C110" s="120"/>
      <c r="D110" s="121"/>
      <c r="E110" s="164"/>
      <c r="F110" s="164"/>
      <c r="G110" s="123"/>
      <c r="H110" s="121"/>
      <c r="I110" s="121"/>
    </row>
    <row r="111" spans="1:9">
      <c r="A111" s="119"/>
      <c r="B111" s="119"/>
      <c r="C111" s="120"/>
      <c r="D111" s="121"/>
      <c r="E111" s="164"/>
      <c r="F111" s="164"/>
      <c r="G111" s="123"/>
      <c r="H111" s="121"/>
      <c r="I111" s="121"/>
    </row>
    <row r="112" spans="1:9">
      <c r="A112" s="119"/>
      <c r="B112" s="119"/>
      <c r="C112" s="120"/>
      <c r="D112" s="121"/>
      <c r="E112" s="164"/>
      <c r="F112" s="164"/>
      <c r="G112" s="123"/>
      <c r="H112" s="121"/>
      <c r="I112" s="121"/>
    </row>
    <row r="113" spans="1:9">
      <c r="A113" s="119"/>
      <c r="B113" s="119"/>
      <c r="C113" s="120"/>
      <c r="D113" s="121"/>
      <c r="E113" s="164"/>
      <c r="F113" s="164"/>
      <c r="G113" s="123"/>
      <c r="H113" s="121"/>
      <c r="I113" s="121"/>
    </row>
    <row r="114" spans="1:9">
      <c r="A114" s="119"/>
      <c r="B114" s="119"/>
      <c r="C114" s="120"/>
      <c r="D114" s="121"/>
      <c r="E114" s="164"/>
      <c r="F114" s="164"/>
      <c r="G114" s="123"/>
      <c r="H114" s="121"/>
      <c r="I114" s="121"/>
    </row>
    <row r="115" spans="1:9">
      <c r="A115" s="119"/>
      <c r="B115" s="119"/>
      <c r="C115" s="120"/>
      <c r="D115" s="121"/>
      <c r="E115" s="164"/>
      <c r="F115" s="164"/>
      <c r="G115" s="123"/>
      <c r="H115" s="121"/>
      <c r="I115" s="121"/>
    </row>
    <row r="116" spans="1:9">
      <c r="A116" s="119"/>
      <c r="B116" s="119"/>
      <c r="C116" s="120"/>
      <c r="D116" s="121"/>
      <c r="E116" s="164"/>
      <c r="F116" s="164"/>
      <c r="G116" s="123"/>
      <c r="H116" s="121"/>
      <c r="I116" s="121"/>
    </row>
    <row r="117" spans="1:9">
      <c r="A117" s="119"/>
      <c r="B117" s="119"/>
      <c r="C117" s="120"/>
      <c r="D117" s="121"/>
      <c r="E117" s="164"/>
      <c r="F117" s="164"/>
      <c r="G117" s="123"/>
      <c r="H117" s="121"/>
      <c r="I117" s="121"/>
    </row>
    <row r="118" spans="1:9">
      <c r="A118" s="119"/>
      <c r="B118" s="119"/>
      <c r="C118" s="120"/>
      <c r="D118" s="121"/>
      <c r="E118" s="164"/>
      <c r="F118" s="164"/>
      <c r="G118" s="123"/>
      <c r="H118" s="121"/>
      <c r="I118" s="121"/>
    </row>
    <row r="119" spans="1:9">
      <c r="A119" s="119"/>
      <c r="B119" s="119"/>
      <c r="C119" s="120"/>
      <c r="D119" s="121"/>
      <c r="E119" s="164"/>
      <c r="F119" s="164"/>
      <c r="G119" s="123"/>
      <c r="H119" s="121"/>
      <c r="I119" s="121"/>
    </row>
    <row r="120" spans="1:9">
      <c r="A120" s="119"/>
      <c r="B120" s="119"/>
      <c r="C120" s="120"/>
      <c r="D120" s="121"/>
      <c r="E120" s="164"/>
      <c r="F120" s="164"/>
      <c r="G120" s="123"/>
      <c r="H120" s="121"/>
      <c r="I120" s="121"/>
    </row>
    <row r="121" spans="1:9">
      <c r="A121" s="119"/>
      <c r="B121" s="119"/>
      <c r="C121" s="120"/>
      <c r="D121" s="121"/>
      <c r="E121" s="164"/>
      <c r="F121" s="164"/>
      <c r="G121" s="123"/>
      <c r="H121" s="121"/>
      <c r="I121" s="121"/>
    </row>
    <row r="122" spans="1:9">
      <c r="A122" s="119"/>
      <c r="B122" s="119"/>
      <c r="C122" s="120"/>
      <c r="D122" s="121"/>
      <c r="E122" s="164"/>
      <c r="F122" s="164"/>
      <c r="G122" s="123"/>
      <c r="H122" s="121"/>
      <c r="I122" s="121"/>
    </row>
    <row r="123" spans="1:9">
      <c r="A123" s="119"/>
      <c r="B123" s="119"/>
      <c r="C123" s="120"/>
      <c r="D123" s="121"/>
      <c r="E123" s="164"/>
      <c r="F123" s="164"/>
      <c r="G123" s="123"/>
      <c r="H123" s="121"/>
      <c r="I123" s="121"/>
    </row>
    <row r="124" spans="1:9">
      <c r="A124" s="119"/>
      <c r="B124" s="119"/>
      <c r="C124" s="120"/>
      <c r="D124" s="121"/>
      <c r="E124" s="164"/>
      <c r="F124" s="164"/>
      <c r="G124" s="123"/>
      <c r="H124" s="121"/>
      <c r="I124" s="121"/>
    </row>
    <row r="125" spans="1:9">
      <c r="A125" s="119"/>
      <c r="B125" s="119"/>
      <c r="C125" s="120"/>
      <c r="D125" s="121"/>
      <c r="E125" s="164"/>
      <c r="F125" s="164"/>
      <c r="G125" s="123"/>
      <c r="H125" s="121"/>
      <c r="I125" s="121"/>
    </row>
    <row r="126" spans="1:9">
      <c r="A126" s="119"/>
      <c r="B126" s="119"/>
      <c r="C126" s="120"/>
      <c r="D126" s="121"/>
      <c r="E126" s="164"/>
      <c r="F126" s="164"/>
      <c r="G126" s="123"/>
      <c r="H126" s="121"/>
      <c r="I126" s="121"/>
    </row>
    <row r="127" spans="1:9">
      <c r="A127" s="119"/>
      <c r="B127" s="119"/>
      <c r="C127" s="120"/>
      <c r="D127" s="121"/>
      <c r="E127" s="164"/>
      <c r="F127" s="164"/>
      <c r="G127" s="123"/>
      <c r="H127" s="121"/>
      <c r="I127" s="121"/>
    </row>
    <row r="128" spans="1:9">
      <c r="A128" s="119"/>
      <c r="B128" s="119"/>
      <c r="C128" s="120"/>
      <c r="D128" s="121"/>
      <c r="E128" s="164"/>
      <c r="F128" s="164"/>
      <c r="G128" s="123"/>
      <c r="H128" s="121"/>
      <c r="I128" s="121"/>
    </row>
    <row r="129" spans="1:9">
      <c r="A129" s="119"/>
      <c r="B129" s="119"/>
      <c r="C129" s="120"/>
      <c r="D129" s="121"/>
      <c r="E129" s="164"/>
      <c r="F129" s="164"/>
      <c r="G129" s="123"/>
      <c r="H129" s="121"/>
      <c r="I129" s="121"/>
    </row>
    <row r="130" spans="1:9">
      <c r="A130" s="119"/>
      <c r="B130" s="119"/>
      <c r="C130" s="120"/>
      <c r="D130" s="121"/>
      <c r="E130" s="164"/>
      <c r="F130" s="164"/>
      <c r="G130" s="123"/>
      <c r="H130" s="121"/>
      <c r="I130" s="121"/>
    </row>
    <row r="131" spans="1:9">
      <c r="A131" s="119"/>
      <c r="B131" s="119"/>
      <c r="C131" s="120"/>
      <c r="D131" s="121"/>
      <c r="E131" s="164"/>
      <c r="F131" s="164"/>
      <c r="G131" s="123"/>
      <c r="H131" s="121"/>
      <c r="I131" s="121"/>
    </row>
    <row r="132" spans="1:9">
      <c r="A132" s="119"/>
      <c r="B132" s="119"/>
      <c r="C132" s="120"/>
      <c r="D132" s="121"/>
      <c r="E132" s="164"/>
      <c r="F132" s="164"/>
      <c r="G132" s="123"/>
      <c r="H132" s="121"/>
      <c r="I132" s="121"/>
    </row>
    <row r="133" spans="1:9">
      <c r="A133" s="119"/>
      <c r="B133" s="119"/>
      <c r="C133" s="120"/>
      <c r="D133" s="121"/>
      <c r="E133" s="164"/>
      <c r="F133" s="164"/>
      <c r="G133" s="123"/>
      <c r="H133" s="121"/>
      <c r="I133" s="121"/>
    </row>
    <row r="134" spans="1:9">
      <c r="A134" s="119"/>
      <c r="B134" s="119"/>
      <c r="C134" s="120"/>
      <c r="D134" s="121"/>
      <c r="E134" s="164"/>
      <c r="F134" s="164"/>
      <c r="G134" s="123"/>
      <c r="H134" s="121"/>
      <c r="I134" s="121"/>
    </row>
    <row r="135" spans="1:9">
      <c r="A135" s="119"/>
      <c r="B135" s="119"/>
      <c r="C135" s="120"/>
      <c r="D135" s="121"/>
      <c r="E135" s="164"/>
      <c r="F135" s="164"/>
      <c r="G135" s="123"/>
      <c r="H135" s="121"/>
      <c r="I135" s="121"/>
    </row>
    <row r="136" spans="1:9">
      <c r="A136" s="119"/>
      <c r="B136" s="119"/>
      <c r="C136" s="120"/>
      <c r="D136" s="121"/>
      <c r="E136" s="164"/>
      <c r="F136" s="164"/>
      <c r="G136" s="123"/>
      <c r="H136" s="121"/>
      <c r="I136" s="121"/>
    </row>
    <row r="137" spans="1:9">
      <c r="A137" s="119"/>
      <c r="B137" s="119"/>
      <c r="C137" s="120"/>
      <c r="D137" s="121"/>
      <c r="E137" s="164"/>
      <c r="F137" s="164"/>
      <c r="G137" s="123"/>
      <c r="H137" s="121"/>
      <c r="I137" s="121"/>
    </row>
    <row r="138" spans="1:9">
      <c r="A138" s="119"/>
      <c r="B138" s="119"/>
      <c r="C138" s="120"/>
      <c r="D138" s="121"/>
      <c r="E138" s="164"/>
      <c r="F138" s="164"/>
      <c r="G138" s="123"/>
      <c r="H138" s="121"/>
      <c r="I138" s="121"/>
    </row>
    <row r="139" spans="1:9">
      <c r="A139" s="119"/>
      <c r="B139" s="119"/>
      <c r="C139" s="120"/>
      <c r="D139" s="121"/>
      <c r="E139" s="164"/>
      <c r="F139" s="164"/>
      <c r="G139" s="123"/>
      <c r="H139" s="121"/>
      <c r="I139" s="121"/>
    </row>
    <row r="140" spans="1:9">
      <c r="A140" s="119"/>
      <c r="B140" s="119"/>
      <c r="C140" s="120"/>
      <c r="D140" s="121"/>
      <c r="E140" s="164"/>
      <c r="F140" s="164"/>
      <c r="G140" s="123"/>
      <c r="H140" s="121"/>
      <c r="I140" s="121"/>
    </row>
    <row r="141" spans="1:9">
      <c r="A141" s="119"/>
      <c r="B141" s="119"/>
      <c r="C141" s="120"/>
      <c r="D141" s="121"/>
      <c r="E141" s="164"/>
      <c r="F141" s="164"/>
      <c r="G141" s="123"/>
      <c r="H141" s="121"/>
      <c r="I141" s="121"/>
    </row>
    <row r="142" spans="1:9">
      <c r="A142" s="119"/>
      <c r="B142" s="119"/>
      <c r="C142" s="120"/>
      <c r="D142" s="121"/>
      <c r="E142" s="164"/>
      <c r="F142" s="164"/>
      <c r="G142" s="123"/>
      <c r="H142" s="121"/>
      <c r="I142" s="121"/>
    </row>
    <row r="143" spans="1:9">
      <c r="A143" s="119"/>
      <c r="B143" s="119"/>
      <c r="C143" s="120"/>
      <c r="D143" s="121"/>
      <c r="E143" s="164"/>
      <c r="F143" s="164"/>
      <c r="G143" s="123"/>
      <c r="H143" s="121"/>
      <c r="I143" s="121"/>
    </row>
    <row r="144" spans="1:9">
      <c r="A144" s="119"/>
      <c r="B144" s="119"/>
      <c r="C144" s="120"/>
      <c r="D144" s="121"/>
      <c r="E144" s="164"/>
      <c r="F144" s="164"/>
      <c r="G144" s="123"/>
      <c r="H144" s="121"/>
      <c r="I144" s="121"/>
    </row>
    <row r="145" spans="1:9">
      <c r="A145" s="119"/>
      <c r="B145" s="119"/>
      <c r="C145" s="120"/>
      <c r="D145" s="121"/>
      <c r="E145" s="164"/>
      <c r="F145" s="164"/>
      <c r="G145" s="123"/>
      <c r="H145" s="121"/>
      <c r="I145" s="121"/>
    </row>
    <row r="146" spans="1:9">
      <c r="A146" s="119"/>
      <c r="B146" s="119"/>
      <c r="C146" s="120"/>
      <c r="D146" s="121"/>
      <c r="E146" s="164"/>
      <c r="F146" s="164"/>
      <c r="G146" s="123"/>
      <c r="H146" s="121"/>
      <c r="I146" s="121"/>
    </row>
    <row r="147" spans="1:9">
      <c r="A147" s="119"/>
      <c r="B147" s="119"/>
      <c r="C147" s="120"/>
      <c r="D147" s="121"/>
      <c r="E147" s="164"/>
      <c r="F147" s="164"/>
      <c r="G147" s="123"/>
      <c r="H147" s="121"/>
      <c r="I147" s="121"/>
    </row>
    <row r="148" spans="1:9">
      <c r="A148" s="119"/>
      <c r="B148" s="119"/>
      <c r="C148" s="120"/>
      <c r="D148" s="121"/>
      <c r="E148" s="164"/>
      <c r="F148" s="164"/>
      <c r="G148" s="123"/>
      <c r="H148" s="121"/>
      <c r="I148" s="121"/>
    </row>
    <row r="149" spans="1:9">
      <c r="A149" s="119"/>
      <c r="B149" s="119"/>
      <c r="C149" s="120"/>
      <c r="D149" s="121"/>
      <c r="E149" s="164"/>
      <c r="F149" s="164"/>
      <c r="G149" s="123"/>
      <c r="H149" s="121"/>
      <c r="I149" s="121"/>
    </row>
    <row r="150" spans="1:9">
      <c r="A150" s="119"/>
      <c r="B150" s="119"/>
      <c r="C150" s="120"/>
      <c r="D150" s="121"/>
      <c r="E150" s="164"/>
      <c r="F150" s="164"/>
      <c r="G150" s="123"/>
      <c r="H150" s="121"/>
      <c r="I150" s="121"/>
    </row>
    <row r="151" spans="1:9">
      <c r="A151" s="119"/>
      <c r="B151" s="119"/>
      <c r="C151" s="120"/>
      <c r="D151" s="121"/>
      <c r="E151" s="164"/>
      <c r="F151" s="164"/>
      <c r="G151" s="123"/>
      <c r="H151" s="121"/>
      <c r="I151" s="121"/>
    </row>
    <row r="152" spans="1:9">
      <c r="A152" s="119"/>
      <c r="B152" s="119"/>
      <c r="C152" s="120"/>
      <c r="D152" s="121"/>
      <c r="E152" s="164"/>
      <c r="F152" s="164"/>
      <c r="G152" s="123"/>
      <c r="H152" s="121"/>
      <c r="I152" s="121"/>
    </row>
    <row r="153" spans="1:9">
      <c r="A153" s="119"/>
      <c r="B153" s="119"/>
      <c r="C153" s="120"/>
      <c r="D153" s="121"/>
      <c r="E153" s="164"/>
      <c r="F153" s="164"/>
      <c r="G153" s="123"/>
      <c r="H153" s="121"/>
      <c r="I153" s="121"/>
    </row>
    <row r="154" spans="1:9">
      <c r="A154" s="119"/>
      <c r="B154" s="119"/>
      <c r="C154" s="120"/>
      <c r="D154" s="121"/>
      <c r="E154" s="164"/>
      <c r="F154" s="164"/>
      <c r="G154" s="123"/>
      <c r="H154" s="121"/>
      <c r="I154" s="121"/>
    </row>
    <row r="155" spans="1:9">
      <c r="A155" s="119"/>
      <c r="B155" s="119"/>
      <c r="C155" s="120"/>
      <c r="D155" s="121"/>
      <c r="E155" s="164"/>
      <c r="F155" s="164"/>
      <c r="G155" s="123"/>
      <c r="H155" s="121"/>
      <c r="I155" s="121"/>
    </row>
    <row r="156" spans="1:9">
      <c r="A156" s="119"/>
      <c r="B156" s="119"/>
      <c r="C156" s="120"/>
      <c r="D156" s="121"/>
      <c r="E156" s="164"/>
      <c r="F156" s="164"/>
      <c r="G156" s="123"/>
      <c r="H156" s="121"/>
      <c r="I156" s="121"/>
    </row>
    <row r="157" spans="1:9">
      <c r="A157" s="119"/>
      <c r="B157" s="119"/>
      <c r="C157" s="120"/>
      <c r="D157" s="121"/>
      <c r="E157" s="164"/>
      <c r="F157" s="164"/>
      <c r="G157" s="123"/>
      <c r="H157" s="121"/>
      <c r="I157" s="121"/>
    </row>
    <row r="158" spans="1:9">
      <c r="A158" s="119"/>
      <c r="B158" s="119"/>
      <c r="C158" s="120"/>
      <c r="D158" s="121"/>
      <c r="E158" s="164"/>
      <c r="F158" s="164"/>
      <c r="G158" s="123"/>
      <c r="H158" s="121"/>
      <c r="I158" s="121"/>
    </row>
    <row r="159" spans="1:9">
      <c r="A159" s="119"/>
      <c r="B159" s="119"/>
      <c r="C159" s="120"/>
      <c r="D159" s="121"/>
      <c r="E159" s="164"/>
      <c r="F159" s="164"/>
      <c r="G159" s="123"/>
      <c r="H159" s="121"/>
      <c r="I159" s="121"/>
    </row>
    <row r="160" spans="1:9">
      <c r="A160" s="119"/>
      <c r="B160" s="119"/>
      <c r="C160" s="120"/>
      <c r="D160" s="121"/>
      <c r="E160" s="164"/>
      <c r="F160" s="164"/>
      <c r="G160" s="123"/>
      <c r="H160" s="121"/>
      <c r="I160" s="121"/>
    </row>
    <row r="161" spans="1:9">
      <c r="A161" s="119"/>
      <c r="B161" s="119"/>
      <c r="C161" s="120"/>
      <c r="D161" s="121"/>
      <c r="E161" s="164"/>
      <c r="F161" s="164"/>
      <c r="G161" s="123"/>
      <c r="H161" s="121"/>
      <c r="I161" s="121"/>
    </row>
    <row r="162" spans="1:9">
      <c r="A162" s="119"/>
      <c r="B162" s="119"/>
      <c r="C162" s="120"/>
      <c r="D162" s="121"/>
      <c r="E162" s="164"/>
      <c r="F162" s="164"/>
      <c r="G162" s="123"/>
      <c r="H162" s="121"/>
      <c r="I162" s="121"/>
    </row>
    <row r="163" spans="1:9">
      <c r="A163" s="119"/>
      <c r="B163" s="119"/>
      <c r="C163" s="120"/>
      <c r="D163" s="121"/>
      <c r="E163" s="164"/>
      <c r="F163" s="164"/>
      <c r="G163" s="123"/>
      <c r="H163" s="121"/>
      <c r="I163" s="121"/>
    </row>
    <row r="164" spans="1:9">
      <c r="A164" s="119"/>
      <c r="B164" s="119"/>
      <c r="C164" s="120"/>
      <c r="D164" s="121"/>
      <c r="E164" s="164"/>
      <c r="F164" s="164"/>
      <c r="G164" s="123"/>
      <c r="H164" s="121"/>
      <c r="I164" s="121"/>
    </row>
    <row r="165" spans="1:9">
      <c r="A165" s="119"/>
      <c r="B165" s="119"/>
      <c r="C165" s="120"/>
      <c r="D165" s="121"/>
      <c r="E165" s="164"/>
      <c r="F165" s="164"/>
      <c r="G165" s="123"/>
      <c r="H165" s="121"/>
      <c r="I165" s="121"/>
    </row>
    <row r="166" spans="1:9">
      <c r="A166" s="119"/>
      <c r="B166" s="119"/>
      <c r="C166" s="120"/>
      <c r="D166" s="121"/>
      <c r="E166" s="164"/>
      <c r="F166" s="164"/>
      <c r="G166" s="123"/>
      <c r="H166" s="121"/>
      <c r="I166" s="121"/>
    </row>
    <row r="167" spans="1:9">
      <c r="A167" s="119"/>
      <c r="B167" s="119"/>
      <c r="C167" s="120"/>
      <c r="D167" s="121"/>
      <c r="E167" s="164"/>
      <c r="F167" s="164"/>
      <c r="G167" s="123"/>
      <c r="H167" s="121"/>
      <c r="I167" s="121"/>
    </row>
    <row r="168" spans="1:9">
      <c r="A168" s="119"/>
      <c r="B168" s="119"/>
      <c r="C168" s="120"/>
      <c r="D168" s="121"/>
      <c r="E168" s="164"/>
      <c r="F168" s="164"/>
      <c r="G168" s="123"/>
      <c r="H168" s="121"/>
      <c r="I168" s="121"/>
    </row>
    <row r="169" spans="1:9">
      <c r="A169" s="119"/>
      <c r="B169" s="119"/>
      <c r="C169" s="120"/>
      <c r="D169" s="121"/>
      <c r="E169" s="164"/>
      <c r="F169" s="164"/>
      <c r="G169" s="123"/>
      <c r="H169" s="121"/>
      <c r="I169" s="121"/>
    </row>
    <row r="170" spans="1:9">
      <c r="A170" s="119"/>
      <c r="B170" s="119"/>
      <c r="C170" s="120"/>
      <c r="D170" s="121"/>
      <c r="E170" s="164"/>
      <c r="F170" s="164"/>
      <c r="G170" s="123"/>
      <c r="H170" s="121"/>
      <c r="I170" s="121"/>
    </row>
    <row r="171" spans="1:9">
      <c r="A171" s="119"/>
      <c r="B171" s="119"/>
      <c r="C171" s="120"/>
      <c r="D171" s="121"/>
      <c r="E171" s="164"/>
      <c r="F171" s="164"/>
      <c r="G171" s="123"/>
      <c r="H171" s="121"/>
      <c r="I171" s="121"/>
    </row>
    <row r="172" spans="1:9">
      <c r="A172" s="119"/>
      <c r="B172" s="119"/>
      <c r="C172" s="120"/>
      <c r="D172" s="121"/>
      <c r="E172" s="164"/>
      <c r="F172" s="164"/>
      <c r="G172" s="123"/>
      <c r="H172" s="121"/>
      <c r="I172" s="121"/>
    </row>
    <row r="173" spans="1:9">
      <c r="A173" s="119"/>
      <c r="B173" s="119"/>
      <c r="C173" s="120"/>
      <c r="D173" s="121"/>
      <c r="E173" s="164"/>
      <c r="F173" s="164"/>
      <c r="G173" s="123"/>
      <c r="H173" s="121"/>
      <c r="I173" s="121"/>
    </row>
    <row r="174" spans="1:9">
      <c r="A174" s="119"/>
      <c r="B174" s="119"/>
      <c r="C174" s="120"/>
      <c r="D174" s="121"/>
      <c r="E174" s="164"/>
      <c r="F174" s="164"/>
      <c r="G174" s="123"/>
      <c r="H174" s="121"/>
      <c r="I174" s="121"/>
    </row>
    <row r="175" spans="1:9">
      <c r="A175" s="119"/>
      <c r="B175" s="119"/>
      <c r="C175" s="120"/>
      <c r="D175" s="121"/>
      <c r="E175" s="164"/>
      <c r="F175" s="164"/>
      <c r="G175" s="123"/>
      <c r="H175" s="121"/>
      <c r="I175" s="121"/>
    </row>
    <row r="176" spans="1:9">
      <c r="A176" s="119"/>
      <c r="B176" s="119"/>
      <c r="C176" s="120"/>
      <c r="D176" s="121"/>
      <c r="E176" s="164"/>
      <c r="F176" s="164"/>
      <c r="G176" s="123"/>
      <c r="H176" s="121"/>
      <c r="I176" s="121"/>
    </row>
    <row r="177" spans="1:9">
      <c r="A177" s="119"/>
      <c r="B177" s="119"/>
      <c r="C177" s="120"/>
      <c r="D177" s="121"/>
      <c r="E177" s="164"/>
      <c r="F177" s="164"/>
      <c r="G177" s="123"/>
      <c r="H177" s="121"/>
      <c r="I177" s="121"/>
    </row>
    <row r="178" spans="1:9">
      <c r="A178" s="119"/>
      <c r="B178" s="119"/>
      <c r="C178" s="120"/>
      <c r="D178" s="121"/>
      <c r="E178" s="164"/>
      <c r="F178" s="164"/>
      <c r="G178" s="123"/>
      <c r="H178" s="121"/>
      <c r="I178" s="121"/>
    </row>
    <row r="179" spans="1:9">
      <c r="A179" s="119"/>
      <c r="B179" s="119"/>
      <c r="C179" s="120"/>
      <c r="D179" s="121"/>
      <c r="E179" s="164"/>
      <c r="F179" s="164"/>
      <c r="G179" s="123"/>
      <c r="H179" s="121"/>
      <c r="I179" s="121"/>
    </row>
    <row r="180" spans="1:9">
      <c r="A180" s="119"/>
      <c r="B180" s="119"/>
      <c r="C180" s="120"/>
      <c r="D180" s="121"/>
      <c r="E180" s="164"/>
      <c r="F180" s="164"/>
      <c r="G180" s="123"/>
      <c r="H180" s="121"/>
      <c r="I180" s="121"/>
    </row>
    <row r="181" spans="1:9">
      <c r="A181" s="119"/>
      <c r="B181" s="119"/>
      <c r="C181" s="120"/>
      <c r="D181" s="121"/>
      <c r="E181" s="164"/>
      <c r="F181" s="164"/>
      <c r="G181" s="123"/>
      <c r="H181" s="121"/>
      <c r="I181" s="121"/>
    </row>
    <row r="182" spans="1:9">
      <c r="A182" s="119"/>
      <c r="B182" s="119"/>
      <c r="C182" s="120"/>
      <c r="D182" s="121"/>
      <c r="E182" s="164"/>
      <c r="F182" s="164"/>
      <c r="G182" s="123"/>
      <c r="H182" s="121"/>
      <c r="I182" s="121"/>
    </row>
    <row r="183" spans="1:9">
      <c r="A183" s="119"/>
      <c r="B183" s="119"/>
      <c r="C183" s="120"/>
      <c r="D183" s="121"/>
      <c r="E183" s="164"/>
      <c r="F183" s="164"/>
      <c r="G183" s="123"/>
      <c r="H183" s="121"/>
      <c r="I183" s="121"/>
    </row>
    <row r="184" spans="1:9">
      <c r="A184" s="119"/>
      <c r="B184" s="119"/>
      <c r="C184" s="120"/>
      <c r="D184" s="121"/>
      <c r="E184" s="164"/>
      <c r="F184" s="164"/>
      <c r="G184" s="123"/>
      <c r="H184" s="121"/>
      <c r="I184" s="121"/>
    </row>
    <row r="185" spans="1:9">
      <c r="A185" s="119"/>
      <c r="B185" s="119"/>
      <c r="C185" s="120"/>
      <c r="D185" s="121"/>
      <c r="E185" s="164"/>
      <c r="F185" s="164"/>
      <c r="G185" s="123"/>
      <c r="H185" s="121"/>
      <c r="I185" s="121"/>
    </row>
    <row r="186" spans="1:9">
      <c r="A186" s="119"/>
      <c r="B186" s="119"/>
      <c r="C186" s="120"/>
      <c r="D186" s="121"/>
      <c r="E186" s="164"/>
      <c r="F186" s="164"/>
      <c r="G186" s="123"/>
      <c r="H186" s="121"/>
      <c r="I186" s="121"/>
    </row>
    <row r="187" spans="1:9">
      <c r="A187" s="119"/>
      <c r="B187" s="119"/>
      <c r="C187" s="120"/>
      <c r="D187" s="121"/>
      <c r="E187" s="164"/>
      <c r="F187" s="164"/>
      <c r="G187" s="123"/>
      <c r="H187" s="121"/>
      <c r="I187" s="121"/>
    </row>
    <row r="188" spans="1:9">
      <c r="A188" s="119"/>
      <c r="B188" s="119"/>
      <c r="C188" s="120"/>
      <c r="D188" s="121"/>
      <c r="E188" s="164"/>
      <c r="F188" s="164"/>
      <c r="G188" s="123"/>
      <c r="H188" s="121"/>
      <c r="I188" s="121"/>
    </row>
    <row r="189" spans="1:9">
      <c r="A189" s="119"/>
      <c r="B189" s="119"/>
      <c r="C189" s="120"/>
      <c r="D189" s="121"/>
      <c r="E189" s="164"/>
      <c r="F189" s="164"/>
      <c r="G189" s="123"/>
      <c r="H189" s="121"/>
      <c r="I189" s="121"/>
    </row>
    <row r="190" spans="1:9">
      <c r="A190" s="119"/>
      <c r="B190" s="119"/>
      <c r="C190" s="120"/>
      <c r="D190" s="121"/>
      <c r="E190" s="164"/>
      <c r="F190" s="164"/>
      <c r="G190" s="123"/>
      <c r="H190" s="121"/>
      <c r="I190" s="121"/>
    </row>
    <row r="191" spans="1:9">
      <c r="A191" s="119"/>
      <c r="B191" s="119"/>
      <c r="C191" s="120"/>
      <c r="D191" s="121"/>
      <c r="E191" s="164"/>
      <c r="F191" s="164"/>
      <c r="G191" s="123"/>
      <c r="H191" s="121"/>
      <c r="I191" s="121"/>
    </row>
    <row r="192" spans="1:9">
      <c r="A192" s="119"/>
      <c r="B192" s="119"/>
      <c r="C192" s="120"/>
      <c r="D192" s="121"/>
      <c r="E192" s="164"/>
      <c r="F192" s="164"/>
      <c r="G192" s="123"/>
      <c r="H192" s="121"/>
      <c r="I192" s="121"/>
    </row>
    <row r="193" spans="1:9">
      <c r="A193" s="119"/>
      <c r="B193" s="119"/>
      <c r="C193" s="120"/>
      <c r="D193" s="121"/>
      <c r="E193" s="164"/>
      <c r="F193" s="164"/>
      <c r="G193" s="123"/>
      <c r="H193" s="121"/>
      <c r="I193" s="121"/>
    </row>
    <row r="194" spans="1:9">
      <c r="A194" s="119"/>
      <c r="B194" s="119"/>
      <c r="C194" s="120"/>
      <c r="D194" s="121"/>
      <c r="E194" s="164"/>
      <c r="F194" s="164"/>
      <c r="G194" s="123"/>
      <c r="H194" s="121"/>
      <c r="I194" s="121"/>
    </row>
    <row r="195" spans="1:9">
      <c r="A195" s="119"/>
      <c r="B195" s="119"/>
      <c r="C195" s="120"/>
      <c r="D195" s="121"/>
      <c r="E195" s="164"/>
      <c r="F195" s="164"/>
      <c r="G195" s="123"/>
      <c r="H195" s="121"/>
      <c r="I195" s="121"/>
    </row>
    <row r="196" spans="1:9">
      <c r="A196" s="119"/>
      <c r="B196" s="119"/>
      <c r="C196" s="120"/>
      <c r="D196" s="121"/>
      <c r="E196" s="164"/>
      <c r="F196" s="164"/>
      <c r="G196" s="123"/>
      <c r="H196" s="121"/>
      <c r="I196" s="121"/>
    </row>
    <row r="197" spans="1:9">
      <c r="A197" s="119"/>
      <c r="B197" s="119"/>
      <c r="C197" s="120"/>
      <c r="D197" s="121"/>
      <c r="E197" s="164"/>
      <c r="F197" s="164"/>
      <c r="G197" s="123"/>
      <c r="H197" s="121"/>
      <c r="I197" s="121"/>
    </row>
    <row r="198" spans="1:9">
      <c r="A198" s="119"/>
      <c r="B198" s="119"/>
      <c r="C198" s="120"/>
      <c r="D198" s="121"/>
      <c r="E198" s="164"/>
      <c r="F198" s="164"/>
      <c r="G198" s="123"/>
      <c r="H198" s="121"/>
      <c r="I198" s="121"/>
    </row>
    <row r="199" spans="1:9">
      <c r="A199" s="119"/>
      <c r="B199" s="119"/>
      <c r="C199" s="120"/>
      <c r="D199" s="121"/>
      <c r="E199" s="164"/>
      <c r="F199" s="164"/>
      <c r="G199" s="123"/>
      <c r="H199" s="121"/>
      <c r="I199" s="121"/>
    </row>
    <row r="200" spans="1:9">
      <c r="A200" s="119"/>
      <c r="B200" s="119"/>
      <c r="C200" s="120"/>
      <c r="D200" s="121"/>
      <c r="E200" s="164"/>
      <c r="F200" s="164"/>
      <c r="G200" s="123"/>
      <c r="H200" s="121"/>
      <c r="I200" s="121"/>
    </row>
    <row r="201" spans="1:9">
      <c r="A201" s="119"/>
      <c r="B201" s="119"/>
      <c r="C201" s="120"/>
      <c r="D201" s="121"/>
      <c r="E201" s="164"/>
      <c r="F201" s="164"/>
      <c r="G201" s="123"/>
      <c r="H201" s="121"/>
      <c r="I201" s="121"/>
    </row>
    <row r="202" spans="1:9">
      <c r="A202" s="119"/>
      <c r="B202" s="119"/>
      <c r="C202" s="120"/>
      <c r="D202" s="121"/>
      <c r="E202" s="164"/>
      <c r="F202" s="164"/>
      <c r="G202" s="123"/>
      <c r="H202" s="121"/>
      <c r="I202" s="121"/>
    </row>
    <row r="203" spans="1:9">
      <c r="A203" s="119"/>
      <c r="B203" s="119"/>
      <c r="C203" s="120"/>
      <c r="D203" s="121"/>
      <c r="E203" s="164"/>
      <c r="F203" s="164"/>
      <c r="G203" s="123"/>
      <c r="H203" s="121"/>
      <c r="I203" s="121"/>
    </row>
    <row r="204" spans="1:9">
      <c r="A204" s="119"/>
      <c r="B204" s="119"/>
      <c r="C204" s="120"/>
      <c r="D204" s="121"/>
      <c r="E204" s="164"/>
      <c r="F204" s="164"/>
      <c r="G204" s="123"/>
      <c r="H204" s="121"/>
      <c r="I204" s="121"/>
    </row>
    <row r="205" spans="1:9">
      <c r="A205" s="119"/>
      <c r="B205" s="119"/>
      <c r="C205" s="120"/>
      <c r="D205" s="121"/>
      <c r="E205" s="164"/>
      <c r="F205" s="164"/>
      <c r="G205" s="123"/>
      <c r="H205" s="121"/>
      <c r="I205" s="121"/>
    </row>
    <row r="206" spans="1:9">
      <c r="A206" s="119"/>
      <c r="B206" s="119"/>
      <c r="C206" s="120"/>
      <c r="D206" s="121"/>
      <c r="E206" s="164"/>
      <c r="F206" s="164"/>
      <c r="G206" s="123"/>
      <c r="H206" s="121"/>
      <c r="I206" s="121"/>
    </row>
    <row r="207" spans="1:9">
      <c r="A207" s="119"/>
      <c r="B207" s="119"/>
      <c r="C207" s="120"/>
      <c r="D207" s="121"/>
      <c r="E207" s="164"/>
      <c r="F207" s="164"/>
      <c r="G207" s="123"/>
      <c r="H207" s="121"/>
      <c r="I207" s="121"/>
    </row>
    <row r="208" spans="1:9">
      <c r="A208" s="119"/>
      <c r="B208" s="119"/>
      <c r="C208" s="120"/>
      <c r="D208" s="121"/>
      <c r="E208" s="164"/>
      <c r="F208" s="164"/>
      <c r="G208" s="123"/>
      <c r="H208" s="121"/>
      <c r="I208" s="121"/>
    </row>
    <row r="209" spans="1:9">
      <c r="A209" s="119"/>
      <c r="B209" s="119"/>
      <c r="C209" s="120"/>
      <c r="D209" s="121"/>
      <c r="E209" s="164"/>
      <c r="F209" s="164"/>
      <c r="G209" s="123"/>
      <c r="H209" s="121"/>
      <c r="I209" s="121"/>
    </row>
    <row r="210" spans="1:9">
      <c r="A210" s="119"/>
      <c r="B210" s="119"/>
      <c r="C210" s="120"/>
      <c r="D210" s="121"/>
      <c r="E210" s="164"/>
      <c r="F210" s="164"/>
      <c r="G210" s="123"/>
      <c r="H210" s="121"/>
      <c r="I210" s="121"/>
    </row>
    <row r="211" spans="1:9">
      <c r="A211" s="119"/>
      <c r="B211" s="119"/>
      <c r="C211" s="120"/>
      <c r="D211" s="121"/>
      <c r="E211" s="164"/>
      <c r="F211" s="164"/>
      <c r="G211" s="123"/>
      <c r="H211" s="121"/>
      <c r="I211" s="121"/>
    </row>
    <row r="212" spans="1:9">
      <c r="A212" s="119"/>
      <c r="B212" s="119"/>
      <c r="C212" s="120"/>
      <c r="D212" s="121"/>
      <c r="E212" s="164"/>
      <c r="F212" s="164"/>
      <c r="G212" s="123"/>
      <c r="H212" s="121"/>
      <c r="I212" s="121"/>
    </row>
    <row r="213" spans="1:9">
      <c r="A213" s="119"/>
      <c r="B213" s="119"/>
      <c r="C213" s="120"/>
      <c r="D213" s="121"/>
      <c r="E213" s="164"/>
      <c r="F213" s="164"/>
      <c r="G213" s="123"/>
      <c r="H213" s="121"/>
      <c r="I213" s="121"/>
    </row>
    <row r="214" spans="1:9">
      <c r="A214" s="119"/>
      <c r="B214" s="119"/>
      <c r="C214" s="120"/>
      <c r="D214" s="121"/>
      <c r="E214" s="164"/>
      <c r="F214" s="164"/>
      <c r="G214" s="123"/>
      <c r="H214" s="121"/>
      <c r="I214" s="121"/>
    </row>
    <row r="215" spans="1:9">
      <c r="A215" s="119"/>
      <c r="B215" s="119"/>
      <c r="C215" s="120"/>
      <c r="D215" s="121"/>
      <c r="E215" s="164"/>
      <c r="F215" s="164"/>
      <c r="G215" s="123"/>
      <c r="H215" s="121"/>
      <c r="I215" s="121"/>
    </row>
    <row r="216" spans="1:9">
      <c r="A216" s="119"/>
      <c r="B216" s="119"/>
      <c r="C216" s="120"/>
      <c r="D216" s="121"/>
      <c r="E216" s="164"/>
      <c r="F216" s="164"/>
      <c r="G216" s="123"/>
      <c r="H216" s="121"/>
      <c r="I216" s="121"/>
    </row>
    <row r="217" spans="1:9">
      <c r="A217" s="119"/>
      <c r="B217" s="119"/>
      <c r="C217" s="120"/>
      <c r="D217" s="121"/>
      <c r="E217" s="164"/>
      <c r="F217" s="164"/>
      <c r="G217" s="123"/>
      <c r="H217" s="121"/>
      <c r="I217" s="121"/>
    </row>
    <row r="218" spans="1:9">
      <c r="A218" s="119"/>
      <c r="B218" s="119"/>
      <c r="C218" s="120"/>
      <c r="D218" s="121"/>
      <c r="E218" s="164"/>
      <c r="F218" s="164"/>
      <c r="G218" s="123"/>
      <c r="H218" s="121"/>
      <c r="I218" s="121"/>
    </row>
    <row r="219" spans="1:9">
      <c r="A219" s="119"/>
      <c r="B219" s="119"/>
      <c r="C219" s="120"/>
      <c r="D219" s="121"/>
      <c r="E219" s="164"/>
      <c r="F219" s="164"/>
      <c r="G219" s="123"/>
      <c r="H219" s="121"/>
      <c r="I219" s="121"/>
    </row>
    <row r="220" spans="1:9">
      <c r="A220" s="119"/>
      <c r="B220" s="119"/>
      <c r="C220" s="120"/>
      <c r="D220" s="121"/>
      <c r="E220" s="164"/>
      <c r="F220" s="164"/>
      <c r="G220" s="123"/>
      <c r="H220" s="121"/>
      <c r="I220" s="121"/>
    </row>
    <row r="221" spans="1:9">
      <c r="A221" s="119"/>
      <c r="B221" s="119"/>
      <c r="C221" s="120"/>
      <c r="D221" s="121"/>
      <c r="E221" s="164"/>
      <c r="F221" s="164"/>
      <c r="G221" s="123"/>
      <c r="H221" s="121"/>
      <c r="I221" s="121"/>
    </row>
    <row r="222" spans="1:9">
      <c r="A222" s="119"/>
      <c r="B222" s="119"/>
      <c r="C222" s="120"/>
      <c r="D222" s="121"/>
      <c r="E222" s="164"/>
      <c r="F222" s="164"/>
      <c r="G222" s="123"/>
      <c r="H222" s="121"/>
      <c r="I222" s="121"/>
    </row>
    <row r="223" spans="1:9">
      <c r="A223" s="119"/>
      <c r="B223" s="119"/>
      <c r="C223" s="120"/>
      <c r="D223" s="121"/>
      <c r="E223" s="164"/>
      <c r="F223" s="164"/>
      <c r="G223" s="123"/>
      <c r="H223" s="121"/>
      <c r="I223" s="121"/>
    </row>
    <row r="224" spans="1:9">
      <c r="A224" s="119"/>
      <c r="B224" s="119"/>
      <c r="C224" s="120"/>
      <c r="D224" s="121"/>
      <c r="E224" s="164"/>
      <c r="F224" s="164"/>
      <c r="G224" s="123"/>
      <c r="H224" s="121"/>
      <c r="I224" s="121"/>
    </row>
    <row r="225" spans="1:9">
      <c r="A225" s="119"/>
      <c r="B225" s="119"/>
      <c r="C225" s="120"/>
      <c r="D225" s="121"/>
      <c r="E225" s="164"/>
      <c r="F225" s="164"/>
      <c r="G225" s="123"/>
      <c r="H225" s="121"/>
      <c r="I225" s="121"/>
    </row>
    <row r="226" spans="1:9">
      <c r="A226" s="119"/>
      <c r="B226" s="119"/>
      <c r="C226" s="120"/>
      <c r="D226" s="121"/>
      <c r="E226" s="164"/>
      <c r="F226" s="164"/>
      <c r="G226" s="123"/>
      <c r="H226" s="121"/>
      <c r="I226" s="121"/>
    </row>
    <row r="227" spans="1:9">
      <c r="A227" s="119"/>
      <c r="B227" s="119"/>
      <c r="C227" s="120"/>
      <c r="D227" s="121"/>
      <c r="E227" s="164"/>
      <c r="F227" s="164"/>
      <c r="G227" s="123"/>
      <c r="H227" s="121"/>
      <c r="I227" s="121"/>
    </row>
    <row r="228" spans="1:9">
      <c r="A228" s="119"/>
      <c r="B228" s="119"/>
      <c r="C228" s="120"/>
      <c r="D228" s="121"/>
      <c r="E228" s="164"/>
      <c r="F228" s="164"/>
      <c r="G228" s="123"/>
      <c r="H228" s="121"/>
      <c r="I228" s="121"/>
    </row>
    <row r="229" spans="1:9">
      <c r="A229" s="119"/>
      <c r="B229" s="119"/>
      <c r="C229" s="120"/>
      <c r="D229" s="121"/>
      <c r="E229" s="164"/>
      <c r="F229" s="164"/>
      <c r="G229" s="123"/>
      <c r="H229" s="121"/>
      <c r="I229" s="121"/>
    </row>
    <row r="230" spans="1:9">
      <c r="A230" s="119"/>
      <c r="B230" s="119"/>
      <c r="C230" s="120"/>
      <c r="D230" s="121"/>
      <c r="E230" s="164"/>
      <c r="F230" s="164"/>
      <c r="G230" s="123"/>
      <c r="H230" s="121"/>
      <c r="I230" s="121"/>
    </row>
    <row r="231" spans="1:9">
      <c r="A231" s="119"/>
      <c r="B231" s="119"/>
      <c r="C231" s="120"/>
      <c r="D231" s="121"/>
      <c r="E231" s="164"/>
      <c r="F231" s="164"/>
      <c r="G231" s="123"/>
      <c r="H231" s="121"/>
      <c r="I231" s="121"/>
    </row>
    <row r="232" spans="1:9">
      <c r="A232" s="119"/>
      <c r="B232" s="119"/>
      <c r="C232" s="120"/>
      <c r="D232" s="121"/>
      <c r="E232" s="164"/>
      <c r="F232" s="164"/>
      <c r="G232" s="123"/>
      <c r="H232" s="121"/>
      <c r="I232" s="121"/>
    </row>
    <row r="233" spans="1:9">
      <c r="A233" s="119"/>
      <c r="B233" s="119"/>
      <c r="C233" s="120"/>
      <c r="D233" s="121"/>
      <c r="E233" s="164"/>
      <c r="F233" s="164"/>
      <c r="G233" s="123"/>
      <c r="H233" s="121"/>
      <c r="I233" s="121"/>
    </row>
    <row r="234" spans="1:9">
      <c r="A234" s="119"/>
      <c r="B234" s="119"/>
      <c r="C234" s="120"/>
      <c r="D234" s="121"/>
      <c r="E234" s="164"/>
      <c r="F234" s="164"/>
      <c r="G234" s="123"/>
      <c r="H234" s="121"/>
      <c r="I234" s="121"/>
    </row>
    <row r="235" spans="1:9">
      <c r="A235" s="119"/>
      <c r="B235" s="119"/>
      <c r="C235" s="120"/>
      <c r="D235" s="121"/>
      <c r="E235" s="164"/>
      <c r="F235" s="164"/>
      <c r="G235" s="123"/>
      <c r="H235" s="121"/>
      <c r="I235" s="121"/>
    </row>
    <row r="236" spans="1:9">
      <c r="A236" s="119"/>
      <c r="B236" s="119"/>
      <c r="C236" s="120"/>
      <c r="D236" s="121"/>
      <c r="E236" s="164"/>
      <c r="F236" s="164"/>
      <c r="G236" s="123"/>
      <c r="H236" s="121"/>
      <c r="I236" s="121"/>
    </row>
    <row r="237" spans="1:9">
      <c r="A237" s="119"/>
      <c r="B237" s="119"/>
      <c r="C237" s="120"/>
      <c r="D237" s="121"/>
      <c r="E237" s="164"/>
      <c r="F237" s="164"/>
      <c r="G237" s="123"/>
      <c r="H237" s="121"/>
      <c r="I237" s="121"/>
    </row>
    <row r="238" spans="1:9">
      <c r="A238" s="119"/>
      <c r="B238" s="119"/>
      <c r="C238" s="120"/>
      <c r="D238" s="121"/>
      <c r="E238" s="164"/>
      <c r="F238" s="164"/>
      <c r="G238" s="123"/>
      <c r="H238" s="121"/>
      <c r="I238" s="121"/>
    </row>
    <row r="239" spans="1:9">
      <c r="A239" s="119"/>
      <c r="B239" s="119"/>
      <c r="C239" s="120"/>
      <c r="D239" s="121"/>
      <c r="E239" s="164"/>
      <c r="F239" s="164"/>
      <c r="G239" s="123"/>
      <c r="H239" s="121"/>
      <c r="I239" s="121"/>
    </row>
    <row r="240" spans="1:9">
      <c r="A240" s="119"/>
      <c r="B240" s="119"/>
      <c r="C240" s="120"/>
      <c r="D240" s="121"/>
      <c r="E240" s="164"/>
      <c r="F240" s="164"/>
      <c r="G240" s="123"/>
      <c r="H240" s="121"/>
      <c r="I240" s="121"/>
    </row>
    <row r="241" spans="1:9">
      <c r="A241" s="119"/>
      <c r="B241" s="119"/>
      <c r="C241" s="120"/>
      <c r="D241" s="121"/>
      <c r="E241" s="164"/>
      <c r="F241" s="164"/>
      <c r="G241" s="123"/>
      <c r="H241" s="121"/>
      <c r="I241" s="121"/>
    </row>
    <row r="242" spans="1:9">
      <c r="A242" s="119"/>
      <c r="B242" s="119"/>
      <c r="C242" s="120"/>
      <c r="D242" s="121"/>
      <c r="E242" s="164"/>
      <c r="F242" s="164"/>
      <c r="G242" s="123"/>
      <c r="H242" s="121"/>
      <c r="I242" s="121"/>
    </row>
    <row r="243" spans="1:9">
      <c r="A243" s="119"/>
      <c r="B243" s="119"/>
      <c r="C243" s="120"/>
      <c r="D243" s="121"/>
      <c r="E243" s="164"/>
      <c r="F243" s="164"/>
      <c r="G243" s="123"/>
      <c r="H243" s="121"/>
      <c r="I243" s="121"/>
    </row>
    <row r="244" spans="1:9">
      <c r="A244" s="119"/>
      <c r="B244" s="119"/>
      <c r="C244" s="120"/>
      <c r="D244" s="121"/>
      <c r="E244" s="164"/>
      <c r="F244" s="164"/>
      <c r="G244" s="123"/>
      <c r="H244" s="121"/>
      <c r="I244" s="121"/>
    </row>
    <row r="245" spans="1:9">
      <c r="A245" s="119"/>
      <c r="B245" s="119"/>
      <c r="C245" s="120"/>
      <c r="D245" s="121"/>
      <c r="E245" s="164"/>
      <c r="F245" s="164"/>
      <c r="G245" s="123"/>
      <c r="H245" s="121"/>
      <c r="I245" s="121"/>
    </row>
    <row r="246" spans="1:9">
      <c r="A246" s="119"/>
      <c r="B246" s="119"/>
      <c r="C246" s="120"/>
      <c r="D246" s="121"/>
      <c r="E246" s="164"/>
      <c r="F246" s="164"/>
      <c r="G246" s="123"/>
      <c r="H246" s="121"/>
      <c r="I246" s="121"/>
    </row>
    <row r="247" spans="1:9">
      <c r="A247" s="119"/>
      <c r="B247" s="119"/>
      <c r="C247" s="120"/>
      <c r="D247" s="121"/>
      <c r="E247" s="164"/>
      <c r="F247" s="164"/>
      <c r="G247" s="123"/>
      <c r="H247" s="121"/>
      <c r="I247" s="121"/>
    </row>
    <row r="248" spans="1:9">
      <c r="A248" s="119"/>
      <c r="B248" s="119"/>
      <c r="C248" s="120"/>
      <c r="D248" s="121"/>
      <c r="E248" s="164"/>
      <c r="F248" s="164"/>
      <c r="G248" s="123"/>
      <c r="H248" s="121"/>
      <c r="I248" s="121"/>
    </row>
    <row r="249" spans="1:9">
      <c r="A249" s="119"/>
      <c r="B249" s="119"/>
      <c r="C249" s="120"/>
      <c r="D249" s="121"/>
      <c r="E249" s="164"/>
      <c r="F249" s="164"/>
      <c r="G249" s="123"/>
      <c r="H249" s="121"/>
      <c r="I249" s="121"/>
    </row>
    <row r="250" spans="1:9">
      <c r="A250" s="119"/>
      <c r="B250" s="119"/>
      <c r="C250" s="120"/>
      <c r="D250" s="121"/>
      <c r="E250" s="164"/>
      <c r="F250" s="164"/>
      <c r="G250" s="123"/>
      <c r="H250" s="121"/>
      <c r="I250" s="121"/>
    </row>
    <row r="251" spans="1:9">
      <c r="A251" s="119"/>
      <c r="B251" s="119"/>
      <c r="C251" s="120"/>
      <c r="D251" s="121"/>
      <c r="E251" s="164"/>
      <c r="F251" s="164"/>
      <c r="G251" s="123"/>
      <c r="H251" s="121"/>
      <c r="I251" s="121"/>
    </row>
    <row r="252" spans="1:9">
      <c r="A252" s="119"/>
      <c r="B252" s="119"/>
      <c r="C252" s="120"/>
      <c r="D252" s="121"/>
      <c r="E252" s="164"/>
      <c r="F252" s="164"/>
      <c r="G252" s="123"/>
      <c r="H252" s="121"/>
      <c r="I252" s="121"/>
    </row>
    <row r="253" spans="1:9">
      <c r="A253" s="119"/>
      <c r="B253" s="119"/>
      <c r="C253" s="120"/>
      <c r="D253" s="121"/>
      <c r="E253" s="164"/>
      <c r="F253" s="164"/>
      <c r="G253" s="123"/>
      <c r="H253" s="121"/>
      <c r="I253" s="121"/>
    </row>
    <row r="254" spans="1:9">
      <c r="A254" s="119"/>
      <c r="B254" s="119"/>
      <c r="C254" s="120"/>
      <c r="D254" s="121"/>
      <c r="E254" s="164"/>
      <c r="F254" s="164"/>
      <c r="G254" s="123"/>
      <c r="H254" s="121"/>
      <c r="I254" s="121"/>
    </row>
    <row r="255" spans="1:9">
      <c r="A255" s="119"/>
      <c r="B255" s="119"/>
      <c r="C255" s="120"/>
      <c r="D255" s="121"/>
      <c r="E255" s="164"/>
      <c r="F255" s="164"/>
      <c r="G255" s="123"/>
      <c r="H255" s="121"/>
      <c r="I255" s="121"/>
    </row>
    <row r="256" spans="1:9">
      <c r="A256" s="119"/>
      <c r="B256" s="119"/>
      <c r="C256" s="120"/>
      <c r="D256" s="121"/>
      <c r="E256" s="164"/>
      <c r="F256" s="164"/>
      <c r="G256" s="123"/>
      <c r="H256" s="121"/>
      <c r="I256" s="121"/>
    </row>
    <row r="257" spans="1:9">
      <c r="A257" s="119"/>
      <c r="B257" s="119"/>
      <c r="C257" s="120"/>
      <c r="D257" s="121"/>
      <c r="E257" s="164"/>
      <c r="F257" s="164"/>
      <c r="G257" s="123"/>
      <c r="H257" s="121"/>
      <c r="I257" s="121"/>
    </row>
    <row r="258" spans="1:9">
      <c r="A258" s="119"/>
      <c r="B258" s="119"/>
      <c r="C258" s="120"/>
      <c r="D258" s="121"/>
      <c r="E258" s="164"/>
      <c r="F258" s="164"/>
      <c r="G258" s="123"/>
      <c r="H258" s="121"/>
      <c r="I258" s="121"/>
    </row>
    <row r="259" spans="1:9">
      <c r="A259" s="119"/>
      <c r="B259" s="119"/>
      <c r="C259" s="120"/>
      <c r="D259" s="121"/>
      <c r="E259" s="164"/>
      <c r="F259" s="164"/>
      <c r="G259" s="123"/>
      <c r="H259" s="121"/>
      <c r="I259" s="121"/>
    </row>
    <row r="260" spans="1:9">
      <c r="A260" s="119"/>
      <c r="B260" s="119"/>
      <c r="C260" s="120"/>
      <c r="D260" s="121"/>
      <c r="E260" s="164"/>
      <c r="F260" s="164"/>
      <c r="G260" s="123"/>
      <c r="H260" s="121"/>
      <c r="I260" s="121"/>
    </row>
    <row r="261" spans="1:9">
      <c r="A261" s="119"/>
      <c r="B261" s="119"/>
      <c r="C261" s="120"/>
      <c r="D261" s="121"/>
      <c r="E261" s="164"/>
      <c r="F261" s="164"/>
      <c r="G261" s="123"/>
      <c r="H261" s="121"/>
      <c r="I261" s="121"/>
    </row>
    <row r="262" spans="1:9">
      <c r="A262" s="119"/>
      <c r="B262" s="119"/>
      <c r="C262" s="120"/>
      <c r="D262" s="121"/>
      <c r="E262" s="164"/>
      <c r="F262" s="164"/>
      <c r="G262" s="123"/>
      <c r="H262" s="121"/>
      <c r="I262" s="121"/>
    </row>
    <row r="263" spans="1:9">
      <c r="A263" s="119"/>
      <c r="B263" s="119"/>
      <c r="C263" s="120"/>
      <c r="D263" s="121"/>
      <c r="E263" s="164"/>
      <c r="F263" s="164"/>
      <c r="G263" s="123"/>
      <c r="H263" s="121"/>
      <c r="I263" s="121"/>
    </row>
    <row r="264" spans="1:9">
      <c r="A264" s="119"/>
      <c r="B264" s="119"/>
      <c r="C264" s="120"/>
      <c r="D264" s="121"/>
      <c r="E264" s="164"/>
      <c r="F264" s="164"/>
      <c r="G264" s="123"/>
      <c r="H264" s="121"/>
      <c r="I264" s="121"/>
    </row>
    <row r="265" spans="1:9">
      <c r="A265" s="119"/>
      <c r="B265" s="119"/>
      <c r="C265" s="120"/>
      <c r="D265" s="121"/>
      <c r="E265" s="164"/>
      <c r="F265" s="164"/>
      <c r="G265" s="123"/>
      <c r="H265" s="121"/>
      <c r="I265" s="121"/>
    </row>
    <row r="266" spans="1:9">
      <c r="A266" s="119"/>
      <c r="B266" s="119"/>
      <c r="C266" s="120"/>
      <c r="D266" s="121"/>
      <c r="E266" s="164"/>
      <c r="F266" s="164"/>
      <c r="G266" s="123"/>
      <c r="H266" s="121"/>
      <c r="I266" s="121"/>
    </row>
    <row r="267" spans="1:9">
      <c r="A267" s="119"/>
      <c r="B267" s="119"/>
      <c r="C267" s="120"/>
      <c r="D267" s="121"/>
      <c r="E267" s="164"/>
      <c r="F267" s="164"/>
      <c r="G267" s="123"/>
      <c r="H267" s="121"/>
      <c r="I267" s="121"/>
    </row>
    <row r="268" spans="1:9">
      <c r="A268" s="119"/>
      <c r="B268" s="119"/>
      <c r="C268" s="120"/>
      <c r="D268" s="121"/>
      <c r="E268" s="164"/>
      <c r="F268" s="164"/>
      <c r="G268" s="123"/>
      <c r="H268" s="121"/>
      <c r="I268" s="121"/>
    </row>
    <row r="269" spans="1:9">
      <c r="A269" s="119"/>
      <c r="B269" s="119"/>
      <c r="C269" s="120"/>
      <c r="D269" s="121"/>
      <c r="E269" s="164"/>
      <c r="F269" s="164"/>
      <c r="G269" s="123"/>
      <c r="H269" s="121"/>
      <c r="I269" s="121"/>
    </row>
    <row r="270" spans="1:9">
      <c r="A270" s="119"/>
      <c r="B270" s="119"/>
      <c r="C270" s="120"/>
      <c r="D270" s="121"/>
      <c r="E270" s="164"/>
      <c r="F270" s="164"/>
      <c r="G270" s="123"/>
      <c r="H270" s="121"/>
      <c r="I270" s="121"/>
    </row>
    <row r="271" spans="1:9">
      <c r="A271" s="119"/>
      <c r="B271" s="119"/>
      <c r="C271" s="120"/>
      <c r="D271" s="121"/>
      <c r="E271" s="164"/>
      <c r="F271" s="164"/>
      <c r="G271" s="123"/>
      <c r="H271" s="121"/>
      <c r="I271" s="121"/>
    </row>
    <row r="272" spans="1:9">
      <c r="A272" s="119"/>
      <c r="B272" s="119"/>
      <c r="C272" s="120"/>
      <c r="D272" s="121"/>
      <c r="E272" s="164"/>
      <c r="F272" s="164"/>
      <c r="G272" s="123"/>
      <c r="H272" s="121"/>
      <c r="I272" s="121"/>
    </row>
    <row r="273" spans="1:9">
      <c r="A273" s="119"/>
      <c r="B273" s="119"/>
      <c r="C273" s="120"/>
      <c r="D273" s="121"/>
      <c r="E273" s="164"/>
      <c r="F273" s="164"/>
      <c r="G273" s="123"/>
      <c r="H273" s="121"/>
      <c r="I273" s="121"/>
    </row>
    <row r="274" spans="1:9">
      <c r="A274" s="119"/>
      <c r="B274" s="119"/>
      <c r="C274" s="120"/>
      <c r="D274" s="121"/>
      <c r="E274" s="164"/>
      <c r="F274" s="164"/>
      <c r="G274" s="123"/>
      <c r="H274" s="121"/>
      <c r="I274" s="121"/>
    </row>
    <row r="275" spans="1:9">
      <c r="A275" s="119"/>
      <c r="B275" s="119"/>
      <c r="C275" s="120"/>
      <c r="D275" s="121"/>
      <c r="E275" s="164"/>
      <c r="F275" s="164"/>
      <c r="G275" s="123"/>
      <c r="H275" s="121"/>
      <c r="I275" s="121"/>
    </row>
    <row r="276" spans="1:9">
      <c r="A276" s="119"/>
      <c r="B276" s="119"/>
      <c r="C276" s="120"/>
      <c r="D276" s="121"/>
      <c r="E276" s="164"/>
      <c r="F276" s="164"/>
      <c r="G276" s="123"/>
      <c r="H276" s="121"/>
      <c r="I276" s="121"/>
    </row>
    <row r="277" spans="1:9">
      <c r="A277" s="119"/>
      <c r="B277" s="119"/>
      <c r="C277" s="120"/>
      <c r="D277" s="121"/>
      <c r="E277" s="164"/>
      <c r="F277" s="164"/>
      <c r="G277" s="123"/>
      <c r="H277" s="121"/>
      <c r="I277" s="121"/>
    </row>
    <row r="278" spans="1:9">
      <c r="A278" s="119"/>
      <c r="B278" s="119"/>
      <c r="C278" s="120"/>
      <c r="D278" s="121"/>
      <c r="E278" s="164"/>
      <c r="F278" s="164"/>
      <c r="G278" s="123"/>
      <c r="H278" s="121"/>
      <c r="I278" s="121"/>
    </row>
    <row r="279" spans="1:9">
      <c r="A279" s="119"/>
      <c r="B279" s="119"/>
      <c r="C279" s="120"/>
      <c r="D279" s="121"/>
      <c r="E279" s="164"/>
      <c r="F279" s="164"/>
      <c r="G279" s="123"/>
      <c r="H279" s="121"/>
      <c r="I279" s="121"/>
    </row>
    <row r="280" spans="1:9">
      <c r="A280" s="119"/>
      <c r="B280" s="119"/>
      <c r="C280" s="120"/>
      <c r="D280" s="121"/>
      <c r="E280" s="164"/>
      <c r="F280" s="164"/>
      <c r="G280" s="123"/>
      <c r="H280" s="121"/>
      <c r="I280" s="121"/>
    </row>
    <row r="281" spans="1:9">
      <c r="A281" s="119"/>
      <c r="B281" s="119"/>
      <c r="C281" s="120"/>
      <c r="D281" s="121"/>
      <c r="E281" s="164"/>
      <c r="F281" s="164"/>
      <c r="G281" s="123"/>
      <c r="H281" s="121"/>
      <c r="I281" s="121"/>
    </row>
    <row r="282" spans="1:9">
      <c r="A282" s="119"/>
      <c r="B282" s="119"/>
      <c r="C282" s="120"/>
      <c r="D282" s="121"/>
      <c r="E282" s="164"/>
      <c r="F282" s="164"/>
      <c r="G282" s="123"/>
      <c r="H282" s="121"/>
      <c r="I282" s="121"/>
    </row>
    <row r="283" spans="1:9">
      <c r="A283" s="119"/>
      <c r="B283" s="119"/>
      <c r="C283" s="120"/>
      <c r="D283" s="121"/>
      <c r="E283" s="164"/>
      <c r="F283" s="164"/>
      <c r="G283" s="123"/>
      <c r="H283" s="121"/>
      <c r="I283" s="121"/>
    </row>
    <row r="284" spans="1:9">
      <c r="A284" s="119"/>
      <c r="B284" s="119"/>
      <c r="C284" s="120"/>
      <c r="D284" s="121"/>
      <c r="E284" s="164"/>
      <c r="F284" s="164"/>
      <c r="G284" s="123"/>
      <c r="H284" s="121"/>
      <c r="I284" s="121"/>
    </row>
    <row r="285" spans="1:9">
      <c r="A285" s="119"/>
      <c r="B285" s="119"/>
      <c r="C285" s="120"/>
      <c r="D285" s="121"/>
      <c r="E285" s="164"/>
      <c r="F285" s="164"/>
      <c r="G285" s="123"/>
      <c r="H285" s="121"/>
      <c r="I285" s="121"/>
    </row>
    <row r="286" spans="1:9">
      <c r="A286" s="119"/>
      <c r="B286" s="119"/>
      <c r="C286" s="120"/>
      <c r="D286" s="121"/>
      <c r="E286" s="164"/>
      <c r="F286" s="164"/>
      <c r="G286" s="123"/>
      <c r="H286" s="121"/>
      <c r="I286" s="121"/>
    </row>
    <row r="287" spans="1:9">
      <c r="A287" s="119"/>
      <c r="B287" s="119"/>
      <c r="C287" s="120"/>
      <c r="D287" s="121"/>
      <c r="E287" s="164"/>
      <c r="F287" s="164"/>
      <c r="G287" s="123"/>
      <c r="H287" s="121"/>
      <c r="I287" s="121"/>
    </row>
    <row r="288" spans="1:9">
      <c r="A288" s="119"/>
      <c r="B288" s="119"/>
      <c r="C288" s="120"/>
      <c r="D288" s="121"/>
      <c r="E288" s="164"/>
      <c r="F288" s="164"/>
      <c r="G288" s="123"/>
      <c r="H288" s="121"/>
      <c r="I288" s="121"/>
    </row>
    <row r="289" spans="1:9">
      <c r="A289" s="119"/>
      <c r="B289" s="119"/>
      <c r="C289" s="120"/>
      <c r="D289" s="121"/>
      <c r="E289" s="164"/>
      <c r="F289" s="164"/>
      <c r="G289" s="123"/>
      <c r="H289" s="121"/>
      <c r="I289" s="121"/>
    </row>
    <row r="290" spans="1:9">
      <c r="A290" s="119"/>
      <c r="B290" s="119"/>
      <c r="C290" s="120"/>
      <c r="D290" s="121"/>
      <c r="E290" s="164"/>
      <c r="F290" s="164"/>
      <c r="G290" s="123"/>
      <c r="H290" s="121"/>
      <c r="I290" s="121"/>
    </row>
    <row r="291" spans="1:9">
      <c r="A291" s="119"/>
      <c r="B291" s="119"/>
      <c r="C291" s="120"/>
      <c r="D291" s="121"/>
      <c r="E291" s="164"/>
      <c r="F291" s="164"/>
      <c r="G291" s="123"/>
      <c r="H291" s="121"/>
      <c r="I291" s="121"/>
    </row>
    <row r="292" spans="1:9">
      <c r="A292" s="119"/>
      <c r="B292" s="119"/>
      <c r="C292" s="120"/>
      <c r="D292" s="121"/>
      <c r="E292" s="164"/>
      <c r="F292" s="164"/>
      <c r="G292" s="123"/>
      <c r="H292" s="121"/>
      <c r="I292" s="121"/>
    </row>
    <row r="293" spans="1:9">
      <c r="A293" s="119"/>
      <c r="B293" s="119"/>
      <c r="C293" s="120"/>
      <c r="D293" s="121"/>
      <c r="E293" s="164"/>
      <c r="F293" s="164"/>
      <c r="G293" s="123"/>
      <c r="H293" s="121"/>
      <c r="I293" s="121"/>
    </row>
    <row r="294" spans="1:9">
      <c r="A294" s="119"/>
      <c r="B294" s="119"/>
      <c r="C294" s="120"/>
      <c r="D294" s="121"/>
      <c r="E294" s="164"/>
      <c r="F294" s="164"/>
      <c r="G294" s="123"/>
      <c r="H294" s="121"/>
      <c r="I294" s="121"/>
    </row>
    <row r="295" spans="1:9">
      <c r="A295" s="119"/>
      <c r="B295" s="119"/>
      <c r="C295" s="120"/>
      <c r="D295" s="121"/>
      <c r="E295" s="164"/>
      <c r="F295" s="164"/>
      <c r="G295" s="123"/>
      <c r="H295" s="121"/>
      <c r="I295" s="121"/>
    </row>
    <row r="296" spans="1:9">
      <c r="A296" s="119"/>
      <c r="B296" s="119"/>
      <c r="C296" s="120"/>
      <c r="D296" s="121"/>
      <c r="E296" s="164"/>
      <c r="F296" s="164"/>
      <c r="G296" s="123"/>
      <c r="H296" s="121"/>
      <c r="I296" s="121"/>
    </row>
    <row r="297" spans="1:9">
      <c r="A297" s="119"/>
      <c r="B297" s="119"/>
      <c r="C297" s="120"/>
      <c r="D297" s="121"/>
      <c r="E297" s="164"/>
      <c r="F297" s="164"/>
      <c r="G297" s="123"/>
      <c r="H297" s="121"/>
      <c r="I297" s="121"/>
    </row>
    <row r="298" spans="1:9">
      <c r="A298" s="119"/>
      <c r="B298" s="119"/>
      <c r="C298" s="120"/>
      <c r="D298" s="121"/>
      <c r="E298" s="164"/>
      <c r="F298" s="164"/>
      <c r="G298" s="123"/>
      <c r="H298" s="121"/>
      <c r="I298" s="121"/>
    </row>
    <row r="299" spans="1:9">
      <c r="A299" s="119"/>
      <c r="B299" s="119"/>
      <c r="C299" s="120"/>
      <c r="D299" s="121"/>
      <c r="E299" s="164"/>
      <c r="F299" s="164"/>
      <c r="G299" s="123"/>
      <c r="H299" s="121"/>
      <c r="I299" s="121"/>
    </row>
    <row r="300" spans="1:9">
      <c r="A300" s="119"/>
      <c r="B300" s="119"/>
      <c r="C300" s="120"/>
      <c r="D300" s="121"/>
      <c r="E300" s="164"/>
      <c r="F300" s="164"/>
      <c r="G300" s="123"/>
      <c r="H300" s="121"/>
      <c r="I300" s="121"/>
    </row>
    <row r="301" spans="1:9">
      <c r="A301" s="119"/>
      <c r="B301" s="119"/>
      <c r="C301" s="120"/>
      <c r="D301" s="121"/>
      <c r="E301" s="164"/>
      <c r="F301" s="164"/>
      <c r="G301" s="123"/>
      <c r="H301" s="121"/>
      <c r="I301" s="121"/>
    </row>
    <row r="302" spans="1:9">
      <c r="A302" s="119"/>
      <c r="B302" s="119"/>
      <c r="C302" s="120"/>
      <c r="D302" s="121"/>
      <c r="E302" s="164"/>
      <c r="F302" s="164"/>
      <c r="G302" s="123"/>
      <c r="H302" s="121"/>
      <c r="I302" s="121"/>
    </row>
    <row r="303" spans="1:9">
      <c r="A303" s="119"/>
      <c r="B303" s="119"/>
      <c r="C303" s="120"/>
      <c r="D303" s="121"/>
      <c r="E303" s="164"/>
      <c r="F303" s="164"/>
      <c r="G303" s="123"/>
      <c r="H303" s="121"/>
      <c r="I303" s="121"/>
    </row>
    <row r="304" spans="1:9">
      <c r="A304" s="119"/>
      <c r="B304" s="119"/>
      <c r="C304" s="120"/>
      <c r="D304" s="121"/>
      <c r="E304" s="164"/>
      <c r="F304" s="164"/>
      <c r="G304" s="123"/>
      <c r="H304" s="121"/>
      <c r="I304" s="121"/>
    </row>
    <row r="305" spans="1:9">
      <c r="A305" s="119"/>
      <c r="B305" s="119"/>
      <c r="C305" s="120"/>
      <c r="D305" s="121"/>
      <c r="E305" s="164"/>
      <c r="F305" s="164"/>
      <c r="G305" s="123"/>
      <c r="H305" s="121"/>
      <c r="I305" s="121"/>
    </row>
    <row r="306" spans="1:9">
      <c r="A306" s="119"/>
      <c r="B306" s="119"/>
      <c r="C306" s="120"/>
      <c r="D306" s="121"/>
      <c r="E306" s="164"/>
      <c r="F306" s="164"/>
      <c r="G306" s="123"/>
      <c r="H306" s="121"/>
      <c r="I306" s="121"/>
    </row>
    <row r="307" spans="1:9">
      <c r="A307" s="119"/>
      <c r="B307" s="119"/>
      <c r="C307" s="120"/>
      <c r="D307" s="121"/>
      <c r="E307" s="164"/>
      <c r="F307" s="164"/>
      <c r="G307" s="123"/>
      <c r="H307" s="121"/>
      <c r="I307" s="121"/>
    </row>
    <row r="308" spans="1:9">
      <c r="A308" s="119"/>
      <c r="B308" s="119"/>
      <c r="C308" s="120"/>
      <c r="D308" s="121"/>
      <c r="E308" s="164"/>
      <c r="F308" s="164"/>
      <c r="G308" s="123"/>
      <c r="H308" s="121"/>
      <c r="I308" s="121"/>
    </row>
    <row r="309" spans="1:9">
      <c r="A309" s="119"/>
      <c r="B309" s="119"/>
      <c r="C309" s="120"/>
      <c r="D309" s="121"/>
      <c r="E309" s="164"/>
      <c r="F309" s="164"/>
      <c r="G309" s="123"/>
      <c r="H309" s="121"/>
      <c r="I309" s="121"/>
    </row>
    <row r="310" spans="1:9">
      <c r="A310" s="119"/>
      <c r="B310" s="119"/>
      <c r="C310" s="120"/>
      <c r="D310" s="121"/>
      <c r="E310" s="164"/>
      <c r="F310" s="164"/>
      <c r="G310" s="123"/>
      <c r="H310" s="121"/>
      <c r="I310" s="121"/>
    </row>
    <row r="311" spans="1:9">
      <c r="A311" s="119"/>
      <c r="B311" s="119"/>
      <c r="C311" s="120"/>
      <c r="D311" s="121"/>
      <c r="E311" s="164"/>
      <c r="F311" s="164"/>
      <c r="G311" s="123"/>
      <c r="H311" s="121"/>
      <c r="I311" s="121"/>
    </row>
    <row r="312" spans="1:9">
      <c r="A312" s="119"/>
      <c r="B312" s="119"/>
      <c r="C312" s="120"/>
      <c r="D312" s="121"/>
      <c r="E312" s="164"/>
      <c r="F312" s="164"/>
      <c r="G312" s="123"/>
      <c r="H312" s="121"/>
      <c r="I312" s="121"/>
    </row>
    <row r="313" spans="1:9">
      <c r="A313" s="119"/>
      <c r="B313" s="119"/>
      <c r="C313" s="120"/>
      <c r="D313" s="121"/>
      <c r="E313" s="164"/>
      <c r="F313" s="164"/>
      <c r="G313" s="123"/>
      <c r="H313" s="121"/>
      <c r="I313" s="121"/>
    </row>
    <row r="314" spans="1:9">
      <c r="A314" s="119"/>
      <c r="B314" s="119"/>
      <c r="C314" s="120"/>
      <c r="D314" s="121"/>
      <c r="E314" s="164"/>
      <c r="F314" s="164"/>
      <c r="G314" s="123"/>
      <c r="H314" s="121"/>
      <c r="I314" s="121"/>
    </row>
    <row r="315" spans="1:9">
      <c r="A315" s="119"/>
      <c r="B315" s="119"/>
      <c r="C315" s="120"/>
      <c r="D315" s="121"/>
      <c r="E315" s="164"/>
      <c r="F315" s="164"/>
      <c r="G315" s="123"/>
      <c r="H315" s="121"/>
      <c r="I315" s="121"/>
    </row>
    <row r="316" spans="1:9">
      <c r="A316" s="119"/>
      <c r="B316" s="119"/>
      <c r="C316" s="120"/>
      <c r="D316" s="121"/>
      <c r="E316" s="164"/>
      <c r="F316" s="164"/>
      <c r="G316" s="123"/>
      <c r="H316" s="121"/>
      <c r="I316" s="121"/>
    </row>
    <row r="317" spans="1:9">
      <c r="A317" s="119"/>
      <c r="B317" s="119"/>
      <c r="C317" s="120"/>
      <c r="D317" s="121"/>
      <c r="E317" s="164"/>
      <c r="F317" s="164"/>
      <c r="G317" s="123"/>
      <c r="H317" s="121"/>
      <c r="I317" s="121"/>
    </row>
    <row r="318" spans="1:9">
      <c r="A318" s="119"/>
      <c r="B318" s="119"/>
      <c r="C318" s="120"/>
      <c r="D318" s="121"/>
      <c r="E318" s="164"/>
      <c r="F318" s="164"/>
      <c r="G318" s="123"/>
      <c r="H318" s="121"/>
      <c r="I318" s="121"/>
    </row>
    <row r="319" spans="1:9">
      <c r="A319" s="119"/>
      <c r="B319" s="119"/>
      <c r="C319" s="120"/>
      <c r="D319" s="121"/>
      <c r="E319" s="164"/>
      <c r="F319" s="164"/>
      <c r="G319" s="123"/>
      <c r="H319" s="121"/>
      <c r="I319" s="121"/>
    </row>
    <row r="320" spans="1:9">
      <c r="A320" s="119"/>
      <c r="B320" s="119"/>
      <c r="C320" s="120"/>
      <c r="D320" s="121"/>
      <c r="E320" s="164"/>
      <c r="F320" s="164"/>
      <c r="G320" s="123"/>
      <c r="H320" s="121"/>
      <c r="I320" s="121"/>
    </row>
    <row r="321" spans="1:9">
      <c r="A321" s="119"/>
      <c r="B321" s="119"/>
      <c r="C321" s="120"/>
      <c r="D321" s="121"/>
      <c r="E321" s="164"/>
      <c r="F321" s="164"/>
      <c r="G321" s="123"/>
      <c r="H321" s="121"/>
      <c r="I321" s="121"/>
    </row>
    <row r="322" spans="1:9">
      <c r="A322" s="119"/>
      <c r="B322" s="119"/>
      <c r="C322" s="120"/>
      <c r="D322" s="121"/>
      <c r="E322" s="164"/>
      <c r="F322" s="164"/>
      <c r="G322" s="123"/>
      <c r="H322" s="121"/>
      <c r="I322" s="121"/>
    </row>
    <row r="323" spans="1:9">
      <c r="A323" s="119"/>
      <c r="B323" s="119"/>
      <c r="C323" s="120"/>
      <c r="D323" s="121"/>
      <c r="E323" s="164"/>
      <c r="F323" s="164"/>
      <c r="G323" s="123"/>
      <c r="H323" s="121"/>
      <c r="I323" s="121"/>
    </row>
    <row r="324" spans="1:9">
      <c r="A324" s="119"/>
      <c r="B324" s="119"/>
      <c r="C324" s="120"/>
      <c r="D324" s="121"/>
      <c r="E324" s="164"/>
      <c r="F324" s="164"/>
      <c r="G324" s="123"/>
      <c r="H324" s="121"/>
      <c r="I324" s="121"/>
    </row>
    <row r="325" spans="1:9">
      <c r="A325" s="119"/>
      <c r="B325" s="119"/>
      <c r="C325" s="120"/>
      <c r="D325" s="121"/>
      <c r="E325" s="164"/>
      <c r="F325" s="164"/>
      <c r="G325" s="123"/>
      <c r="H325" s="121"/>
      <c r="I325" s="121"/>
    </row>
    <row r="326" spans="1:9">
      <c r="A326" s="119"/>
      <c r="B326" s="119"/>
      <c r="C326" s="120"/>
      <c r="D326" s="121"/>
      <c r="E326" s="164"/>
      <c r="F326" s="164"/>
      <c r="G326" s="123"/>
      <c r="H326" s="121"/>
      <c r="I326" s="121"/>
    </row>
    <row r="327" spans="1:9">
      <c r="A327" s="119"/>
      <c r="B327" s="119"/>
      <c r="C327" s="120"/>
      <c r="D327" s="121"/>
      <c r="E327" s="164"/>
      <c r="F327" s="164"/>
      <c r="G327" s="123"/>
      <c r="H327" s="121"/>
      <c r="I327" s="121"/>
    </row>
    <row r="328" spans="1:9">
      <c r="A328" s="119"/>
      <c r="B328" s="119"/>
      <c r="C328" s="120"/>
      <c r="D328" s="121"/>
      <c r="E328" s="164"/>
      <c r="F328" s="164"/>
      <c r="G328" s="123"/>
      <c r="H328" s="121"/>
      <c r="I328" s="121"/>
    </row>
    <row r="329" spans="1:9">
      <c r="A329" s="119"/>
      <c r="B329" s="119"/>
      <c r="C329" s="120"/>
      <c r="D329" s="121"/>
      <c r="E329" s="164"/>
      <c r="F329" s="164"/>
      <c r="G329" s="123"/>
      <c r="H329" s="121"/>
      <c r="I329" s="121"/>
    </row>
    <row r="330" spans="1:9">
      <c r="A330" s="119"/>
      <c r="B330" s="119"/>
      <c r="C330" s="120"/>
      <c r="D330" s="121"/>
      <c r="E330" s="164"/>
      <c r="F330" s="164"/>
      <c r="G330" s="123"/>
      <c r="H330" s="121"/>
      <c r="I330" s="121"/>
    </row>
    <row r="331" spans="1:9">
      <c r="A331" s="119"/>
      <c r="B331" s="119"/>
      <c r="C331" s="120"/>
      <c r="D331" s="121"/>
      <c r="E331" s="164"/>
      <c r="F331" s="164"/>
      <c r="G331" s="123"/>
      <c r="H331" s="121"/>
      <c r="I331" s="121"/>
    </row>
    <row r="332" spans="1:9">
      <c r="A332" s="119"/>
      <c r="B332" s="119"/>
      <c r="C332" s="120"/>
      <c r="D332" s="121"/>
      <c r="E332" s="164"/>
      <c r="F332" s="164"/>
      <c r="G332" s="123"/>
      <c r="H332" s="121"/>
      <c r="I332" s="121"/>
    </row>
    <row r="333" spans="1:9">
      <c r="A333" s="119"/>
      <c r="B333" s="119"/>
      <c r="C333" s="120"/>
      <c r="D333" s="121"/>
      <c r="E333" s="164"/>
      <c r="F333" s="164"/>
      <c r="G333" s="123"/>
      <c r="H333" s="121"/>
      <c r="I333" s="121"/>
    </row>
    <row r="334" spans="1:9">
      <c r="A334" s="119"/>
      <c r="B334" s="119"/>
      <c r="C334" s="120"/>
      <c r="D334" s="121"/>
      <c r="E334" s="164"/>
      <c r="F334" s="164"/>
      <c r="G334" s="123"/>
      <c r="H334" s="121"/>
      <c r="I334" s="121"/>
    </row>
    <row r="335" spans="1:9">
      <c r="A335" s="119"/>
      <c r="B335" s="119"/>
      <c r="C335" s="120"/>
      <c r="D335" s="121"/>
      <c r="E335" s="164"/>
      <c r="F335" s="164"/>
      <c r="G335" s="123"/>
      <c r="H335" s="121"/>
      <c r="I335" s="121"/>
    </row>
    <row r="336" spans="1:9">
      <c r="A336" s="119"/>
      <c r="B336" s="119"/>
      <c r="C336" s="120"/>
      <c r="D336" s="121"/>
      <c r="E336" s="164"/>
      <c r="F336" s="164"/>
      <c r="G336" s="123"/>
      <c r="H336" s="121"/>
      <c r="I336" s="121"/>
    </row>
    <row r="337" spans="1:9">
      <c r="A337" s="119"/>
      <c r="B337" s="119"/>
      <c r="C337" s="120"/>
      <c r="D337" s="121"/>
      <c r="E337" s="164"/>
      <c r="F337" s="164"/>
      <c r="G337" s="123"/>
      <c r="H337" s="121"/>
      <c r="I337" s="121"/>
    </row>
    <row r="338" spans="1:9">
      <c r="A338" s="119"/>
      <c r="B338" s="119"/>
      <c r="C338" s="120"/>
      <c r="D338" s="121"/>
      <c r="E338" s="164"/>
      <c r="F338" s="164"/>
      <c r="G338" s="123"/>
      <c r="H338" s="121"/>
      <c r="I338" s="121"/>
    </row>
    <row r="339" spans="1:9">
      <c r="A339" s="119"/>
      <c r="B339" s="119"/>
      <c r="C339" s="120"/>
      <c r="D339" s="121"/>
      <c r="E339" s="164"/>
      <c r="F339" s="164"/>
      <c r="G339" s="123"/>
      <c r="H339" s="121"/>
      <c r="I339" s="121"/>
    </row>
    <row r="340" spans="1:9">
      <c r="A340" s="119"/>
      <c r="B340" s="119"/>
      <c r="C340" s="120"/>
      <c r="D340" s="121"/>
      <c r="E340" s="164"/>
      <c r="F340" s="164"/>
      <c r="G340" s="123"/>
      <c r="H340" s="121"/>
      <c r="I340" s="121"/>
    </row>
    <row r="341" spans="1:9">
      <c r="A341" s="119"/>
      <c r="B341" s="119"/>
      <c r="C341" s="120"/>
      <c r="D341" s="121"/>
      <c r="E341" s="164"/>
      <c r="F341" s="164"/>
      <c r="G341" s="123"/>
      <c r="H341" s="121"/>
      <c r="I341" s="121"/>
    </row>
    <row r="342" spans="1:9">
      <c r="A342" s="119"/>
      <c r="B342" s="119"/>
      <c r="C342" s="120"/>
      <c r="D342" s="121"/>
      <c r="E342" s="164"/>
      <c r="F342" s="164"/>
      <c r="G342" s="123"/>
      <c r="H342" s="121"/>
      <c r="I342" s="121"/>
    </row>
    <row r="343" spans="1:9">
      <c r="A343" s="119"/>
      <c r="B343" s="119"/>
      <c r="C343" s="120"/>
      <c r="D343" s="121"/>
      <c r="E343" s="164"/>
      <c r="F343" s="164"/>
      <c r="G343" s="123"/>
      <c r="H343" s="121"/>
      <c r="I343" s="121"/>
    </row>
    <row r="344" spans="1:9">
      <c r="A344" s="119"/>
      <c r="B344" s="119"/>
      <c r="C344" s="120"/>
      <c r="D344" s="121"/>
      <c r="E344" s="164"/>
      <c r="F344" s="164"/>
      <c r="G344" s="123"/>
      <c r="H344" s="121"/>
      <c r="I344" s="121"/>
    </row>
    <row r="345" spans="1:9">
      <c r="A345" s="119"/>
      <c r="B345" s="119"/>
      <c r="C345" s="120"/>
      <c r="D345" s="121"/>
      <c r="E345" s="164"/>
      <c r="F345" s="164"/>
      <c r="G345" s="123"/>
      <c r="H345" s="121"/>
      <c r="I345" s="121"/>
    </row>
    <row r="346" spans="1:9">
      <c r="A346" s="119"/>
      <c r="B346" s="119"/>
      <c r="C346" s="120"/>
      <c r="D346" s="121"/>
      <c r="E346" s="164"/>
      <c r="F346" s="164"/>
      <c r="G346" s="123"/>
      <c r="H346" s="121"/>
      <c r="I346" s="121"/>
    </row>
    <row r="347" spans="1:9">
      <c r="A347" s="119"/>
      <c r="B347" s="119"/>
      <c r="C347" s="120"/>
      <c r="D347" s="121"/>
      <c r="E347" s="164"/>
      <c r="F347" s="164"/>
      <c r="G347" s="123"/>
      <c r="H347" s="121"/>
      <c r="I347" s="121"/>
    </row>
    <row r="348" spans="1:9">
      <c r="A348" s="119"/>
      <c r="B348" s="119"/>
      <c r="C348" s="120"/>
      <c r="D348" s="121"/>
      <c r="E348" s="164"/>
      <c r="F348" s="164"/>
      <c r="G348" s="123"/>
      <c r="H348" s="121"/>
      <c r="I348" s="121"/>
    </row>
    <row r="349" spans="1:9">
      <c r="A349" s="119"/>
      <c r="B349" s="119"/>
      <c r="C349" s="120"/>
      <c r="D349" s="121"/>
      <c r="E349" s="164"/>
      <c r="F349" s="164"/>
      <c r="G349" s="123"/>
      <c r="H349" s="121"/>
      <c r="I349" s="121"/>
    </row>
    <row r="350" spans="1:9">
      <c r="A350" s="119"/>
      <c r="B350" s="119"/>
      <c r="C350" s="120"/>
      <c r="D350" s="121"/>
      <c r="E350" s="164"/>
      <c r="F350" s="164"/>
      <c r="G350" s="123"/>
      <c r="H350" s="121"/>
      <c r="I350" s="121"/>
    </row>
    <row r="351" spans="1:9">
      <c r="A351" s="119"/>
      <c r="B351" s="119"/>
      <c r="C351" s="120"/>
      <c r="D351" s="121"/>
      <c r="E351" s="164"/>
      <c r="F351" s="164"/>
      <c r="G351" s="123"/>
      <c r="H351" s="121"/>
      <c r="I351" s="121"/>
    </row>
    <row r="352" spans="1:9">
      <c r="A352" s="119"/>
      <c r="B352" s="119"/>
      <c r="C352" s="120"/>
      <c r="D352" s="121"/>
      <c r="E352" s="164"/>
      <c r="F352" s="164"/>
      <c r="G352" s="123"/>
      <c r="H352" s="121"/>
      <c r="I352" s="121"/>
    </row>
    <row r="353" spans="1:9">
      <c r="A353" s="119"/>
      <c r="B353" s="119"/>
      <c r="C353" s="120"/>
      <c r="D353" s="121"/>
      <c r="E353" s="164"/>
      <c r="F353" s="164"/>
      <c r="G353" s="123"/>
      <c r="H353" s="121"/>
      <c r="I353" s="121"/>
    </row>
    <row r="354" spans="1:9">
      <c r="A354" s="119"/>
      <c r="B354" s="119"/>
      <c r="C354" s="120"/>
      <c r="D354" s="121"/>
      <c r="E354" s="164"/>
      <c r="F354" s="164"/>
      <c r="G354" s="123"/>
      <c r="H354" s="121"/>
      <c r="I354" s="121"/>
    </row>
    <row r="355" spans="1:9">
      <c r="A355" s="119"/>
      <c r="B355" s="119"/>
      <c r="C355" s="120"/>
      <c r="D355" s="121"/>
      <c r="E355" s="164"/>
      <c r="F355" s="164"/>
      <c r="G355" s="123"/>
      <c r="H355" s="121"/>
      <c r="I355" s="121"/>
    </row>
    <row r="356" spans="1:9">
      <c r="A356" s="119"/>
      <c r="B356" s="119"/>
      <c r="C356" s="120"/>
      <c r="D356" s="121"/>
      <c r="E356" s="164"/>
      <c r="F356" s="164"/>
      <c r="G356" s="123"/>
      <c r="H356" s="121"/>
      <c r="I356" s="121"/>
    </row>
    <row r="357" spans="1:9">
      <c r="A357" s="119"/>
      <c r="B357" s="119"/>
      <c r="C357" s="120"/>
      <c r="D357" s="121"/>
      <c r="E357" s="164"/>
      <c r="F357" s="164"/>
      <c r="G357" s="123"/>
      <c r="H357" s="121"/>
      <c r="I357" s="121"/>
    </row>
    <row r="358" spans="1:9">
      <c r="A358" s="119"/>
      <c r="B358" s="119"/>
      <c r="C358" s="120"/>
      <c r="D358" s="121"/>
      <c r="E358" s="164"/>
      <c r="F358" s="164"/>
      <c r="G358" s="123"/>
      <c r="H358" s="121"/>
      <c r="I358" s="121"/>
    </row>
    <row r="359" spans="1:9">
      <c r="A359" s="119"/>
      <c r="B359" s="119"/>
      <c r="C359" s="120"/>
      <c r="D359" s="121"/>
      <c r="E359" s="164"/>
      <c r="F359" s="164"/>
      <c r="G359" s="123"/>
      <c r="H359" s="121"/>
      <c r="I359" s="121"/>
    </row>
    <row r="360" spans="1:9">
      <c r="A360" s="119"/>
      <c r="B360" s="119"/>
      <c r="C360" s="120"/>
      <c r="D360" s="121"/>
      <c r="E360" s="164"/>
      <c r="F360" s="164"/>
      <c r="G360" s="123"/>
      <c r="H360" s="121"/>
      <c r="I360" s="121"/>
    </row>
    <row r="361" spans="1:9">
      <c r="A361" s="119"/>
      <c r="B361" s="119"/>
      <c r="C361" s="120"/>
      <c r="D361" s="121"/>
      <c r="E361" s="164"/>
      <c r="F361" s="164"/>
      <c r="G361" s="123"/>
      <c r="H361" s="121"/>
      <c r="I361" s="121"/>
    </row>
    <row r="362" spans="1:9">
      <c r="A362" s="119"/>
      <c r="B362" s="119"/>
      <c r="C362" s="120"/>
      <c r="D362" s="121"/>
      <c r="E362" s="164"/>
      <c r="F362" s="164"/>
      <c r="G362" s="123"/>
      <c r="H362" s="121"/>
      <c r="I362" s="121"/>
    </row>
    <row r="363" spans="1:9">
      <c r="A363" s="119"/>
      <c r="B363" s="119"/>
      <c r="C363" s="120"/>
      <c r="D363" s="121"/>
      <c r="E363" s="164"/>
      <c r="F363" s="164"/>
      <c r="G363" s="123"/>
      <c r="H363" s="121"/>
      <c r="I363" s="121"/>
    </row>
    <row r="364" spans="1:9">
      <c r="A364" s="119"/>
      <c r="B364" s="119"/>
      <c r="C364" s="120"/>
      <c r="D364" s="121"/>
      <c r="E364" s="164"/>
      <c r="F364" s="164"/>
      <c r="G364" s="123"/>
      <c r="H364" s="121"/>
      <c r="I364" s="121"/>
    </row>
    <row r="365" spans="1:9">
      <c r="A365" s="119"/>
      <c r="B365" s="119"/>
      <c r="C365" s="120"/>
      <c r="D365" s="121"/>
      <c r="E365" s="164"/>
      <c r="F365" s="164"/>
      <c r="G365" s="123"/>
      <c r="H365" s="121"/>
      <c r="I365" s="121"/>
    </row>
    <row r="366" spans="1:9">
      <c r="A366" s="119"/>
      <c r="B366" s="119"/>
      <c r="C366" s="120"/>
      <c r="D366" s="121"/>
      <c r="E366" s="164"/>
      <c r="F366" s="164"/>
      <c r="G366" s="123"/>
      <c r="H366" s="121"/>
      <c r="I366" s="121"/>
    </row>
    <row r="367" spans="1:9">
      <c r="A367" s="119"/>
      <c r="B367" s="119"/>
      <c r="C367" s="120"/>
      <c r="D367" s="121"/>
      <c r="E367" s="164"/>
      <c r="F367" s="164"/>
      <c r="G367" s="123"/>
      <c r="H367" s="121"/>
      <c r="I367" s="121"/>
    </row>
    <row r="368" spans="1:9">
      <c r="A368" s="119"/>
      <c r="B368" s="119"/>
      <c r="C368" s="120"/>
      <c r="D368" s="121"/>
      <c r="E368" s="164"/>
      <c r="F368" s="164"/>
      <c r="G368" s="123"/>
      <c r="H368" s="121"/>
      <c r="I368" s="121"/>
    </row>
    <row r="369" spans="1:9">
      <c r="A369" s="119"/>
      <c r="B369" s="119"/>
      <c r="C369" s="120"/>
      <c r="D369" s="121"/>
      <c r="E369" s="164"/>
      <c r="F369" s="164"/>
      <c r="G369" s="123"/>
      <c r="H369" s="121"/>
      <c r="I369" s="121"/>
    </row>
    <row r="370" spans="1:9">
      <c r="A370" s="119"/>
      <c r="B370" s="119"/>
      <c r="C370" s="120"/>
      <c r="D370" s="121"/>
      <c r="E370" s="164"/>
      <c r="F370" s="164"/>
      <c r="G370" s="123"/>
      <c r="H370" s="121"/>
      <c r="I370" s="121"/>
    </row>
    <row r="371" spans="1:9">
      <c r="A371" s="119"/>
      <c r="B371" s="119"/>
      <c r="C371" s="120"/>
      <c r="D371" s="121"/>
      <c r="E371" s="164"/>
      <c r="F371" s="164"/>
      <c r="G371" s="123"/>
      <c r="H371" s="121"/>
      <c r="I371" s="121"/>
    </row>
    <row r="372" spans="1:9">
      <c r="A372" s="119"/>
      <c r="B372" s="119"/>
      <c r="C372" s="120"/>
      <c r="D372" s="121"/>
      <c r="E372" s="164"/>
      <c r="F372" s="164"/>
      <c r="G372" s="123"/>
      <c r="H372" s="121"/>
      <c r="I372" s="121"/>
    </row>
    <row r="373" spans="1:9">
      <c r="A373" s="119"/>
      <c r="B373" s="119"/>
      <c r="C373" s="120"/>
      <c r="D373" s="121"/>
      <c r="E373" s="164"/>
      <c r="F373" s="164"/>
      <c r="G373" s="123"/>
      <c r="H373" s="121"/>
      <c r="I373" s="121"/>
    </row>
    <row r="374" spans="1:9">
      <c r="A374" s="119"/>
      <c r="B374" s="119"/>
      <c r="C374" s="120"/>
      <c r="D374" s="121"/>
      <c r="E374" s="164"/>
      <c r="F374" s="164"/>
      <c r="G374" s="123"/>
      <c r="H374" s="121"/>
      <c r="I374" s="121"/>
    </row>
    <row r="375" spans="1:9">
      <c r="A375" s="119"/>
      <c r="B375" s="119"/>
      <c r="C375" s="120"/>
      <c r="D375" s="121"/>
      <c r="E375" s="164"/>
      <c r="F375" s="164"/>
      <c r="G375" s="123"/>
      <c r="H375" s="121"/>
      <c r="I375" s="121"/>
    </row>
    <row r="376" spans="1:9">
      <c r="A376" s="119"/>
      <c r="B376" s="119"/>
      <c r="C376" s="120"/>
      <c r="D376" s="121"/>
      <c r="E376" s="164"/>
      <c r="F376" s="164"/>
      <c r="G376" s="123"/>
      <c r="H376" s="121"/>
      <c r="I376" s="121"/>
    </row>
    <row r="377" spans="1:9">
      <c r="A377" s="119"/>
      <c r="B377" s="119"/>
      <c r="C377" s="120"/>
      <c r="D377" s="121"/>
      <c r="E377" s="164"/>
      <c r="F377" s="164"/>
      <c r="G377" s="123"/>
      <c r="H377" s="121"/>
      <c r="I377" s="121"/>
    </row>
    <row r="378" spans="1:9">
      <c r="A378" s="119"/>
      <c r="B378" s="119"/>
      <c r="C378" s="120"/>
      <c r="D378" s="121"/>
      <c r="E378" s="164"/>
      <c r="F378" s="164"/>
      <c r="G378" s="123"/>
      <c r="H378" s="121"/>
      <c r="I378" s="121"/>
    </row>
    <row r="379" spans="1:9">
      <c r="A379" s="119"/>
      <c r="B379" s="119"/>
      <c r="C379" s="120"/>
      <c r="D379" s="121"/>
      <c r="E379" s="164"/>
      <c r="F379" s="164"/>
      <c r="G379" s="123"/>
      <c r="H379" s="121"/>
      <c r="I379" s="121"/>
    </row>
    <row r="380" spans="1:9">
      <c r="A380" s="119"/>
      <c r="B380" s="119"/>
      <c r="C380" s="120"/>
      <c r="D380" s="121"/>
      <c r="E380" s="164"/>
      <c r="F380" s="164"/>
      <c r="G380" s="123"/>
      <c r="H380" s="121"/>
      <c r="I380" s="121"/>
    </row>
    <row r="381" spans="1:9">
      <c r="A381" s="119"/>
      <c r="B381" s="119"/>
      <c r="C381" s="120"/>
      <c r="D381" s="121"/>
      <c r="E381" s="164"/>
      <c r="F381" s="164"/>
      <c r="G381" s="123"/>
      <c r="H381" s="121"/>
      <c r="I381" s="121"/>
    </row>
    <row r="382" spans="1:9">
      <c r="A382" s="119"/>
      <c r="B382" s="119"/>
      <c r="C382" s="120"/>
      <c r="D382" s="121"/>
      <c r="E382" s="164"/>
      <c r="F382" s="164"/>
      <c r="G382" s="123"/>
      <c r="H382" s="121"/>
      <c r="I382" s="121"/>
    </row>
    <row r="383" spans="1:9">
      <c r="A383" s="119"/>
      <c r="B383" s="119"/>
      <c r="C383" s="120"/>
      <c r="D383" s="121"/>
      <c r="E383" s="164"/>
      <c r="F383" s="164"/>
      <c r="G383" s="123"/>
      <c r="H383" s="121"/>
      <c r="I383" s="121"/>
    </row>
    <row r="384" spans="1:9">
      <c r="A384" s="119"/>
      <c r="B384" s="119"/>
      <c r="C384" s="120"/>
      <c r="D384" s="121"/>
      <c r="E384" s="164"/>
      <c r="F384" s="164"/>
      <c r="G384" s="123"/>
      <c r="H384" s="121"/>
      <c r="I384" s="121"/>
    </row>
    <row r="385" spans="1:9">
      <c r="A385" s="119"/>
      <c r="B385" s="119"/>
      <c r="C385" s="120"/>
      <c r="D385" s="121"/>
      <c r="E385" s="164"/>
      <c r="F385" s="164"/>
      <c r="G385" s="123"/>
      <c r="H385" s="121"/>
      <c r="I385" s="121"/>
    </row>
    <row r="386" spans="1:9">
      <c r="A386" s="119"/>
      <c r="B386" s="119"/>
      <c r="C386" s="120"/>
      <c r="D386" s="121"/>
      <c r="E386" s="164"/>
      <c r="F386" s="164"/>
      <c r="G386" s="123"/>
      <c r="H386" s="121"/>
      <c r="I386" s="121"/>
    </row>
    <row r="387" spans="1:9">
      <c r="A387" s="119"/>
      <c r="B387" s="119"/>
      <c r="C387" s="120"/>
      <c r="D387" s="121"/>
      <c r="E387" s="164"/>
      <c r="F387" s="164"/>
      <c r="G387" s="123"/>
      <c r="H387" s="121"/>
      <c r="I387" s="121"/>
    </row>
    <row r="388" spans="1:9">
      <c r="A388" s="119"/>
      <c r="B388" s="119"/>
      <c r="C388" s="120"/>
      <c r="D388" s="121"/>
      <c r="E388" s="164"/>
      <c r="F388" s="164"/>
      <c r="G388" s="123"/>
      <c r="H388" s="121"/>
      <c r="I388" s="121"/>
    </row>
    <row r="389" spans="1:9">
      <c r="A389" s="119"/>
      <c r="B389" s="119"/>
      <c r="C389" s="120"/>
      <c r="D389" s="121"/>
      <c r="E389" s="164"/>
      <c r="F389" s="164"/>
      <c r="G389" s="123"/>
      <c r="H389" s="121"/>
      <c r="I389" s="121"/>
    </row>
    <row r="390" spans="1:9">
      <c r="A390" s="119"/>
      <c r="B390" s="119"/>
      <c r="C390" s="120"/>
      <c r="D390" s="121"/>
      <c r="E390" s="164"/>
      <c r="F390" s="164"/>
      <c r="G390" s="123"/>
      <c r="H390" s="121"/>
      <c r="I390" s="121"/>
    </row>
    <row r="391" spans="1:9">
      <c r="A391" s="119"/>
      <c r="B391" s="119"/>
      <c r="C391" s="120"/>
      <c r="D391" s="121"/>
      <c r="E391" s="164"/>
      <c r="F391" s="164"/>
      <c r="G391" s="123"/>
      <c r="H391" s="121"/>
      <c r="I391" s="121"/>
    </row>
    <row r="392" spans="1:9">
      <c r="A392" s="119"/>
      <c r="B392" s="119"/>
      <c r="C392" s="120"/>
      <c r="D392" s="121"/>
      <c r="E392" s="164"/>
      <c r="F392" s="164"/>
      <c r="G392" s="123"/>
      <c r="H392" s="121"/>
      <c r="I392" s="121"/>
    </row>
    <row r="393" spans="1:9">
      <c r="A393" s="119"/>
      <c r="B393" s="119"/>
      <c r="C393" s="120"/>
      <c r="D393" s="121"/>
      <c r="E393" s="164"/>
      <c r="F393" s="164"/>
      <c r="G393" s="123"/>
      <c r="H393" s="121"/>
      <c r="I393" s="121"/>
    </row>
    <row r="394" spans="1:9">
      <c r="A394" s="119"/>
      <c r="B394" s="119"/>
      <c r="C394" s="120"/>
      <c r="D394" s="121"/>
      <c r="E394" s="164"/>
      <c r="F394" s="164"/>
      <c r="G394" s="123"/>
      <c r="H394" s="121"/>
      <c r="I394" s="121"/>
    </row>
    <row r="395" spans="1:9">
      <c r="A395" s="119"/>
      <c r="B395" s="119"/>
      <c r="C395" s="120"/>
      <c r="D395" s="121"/>
      <c r="E395" s="164"/>
      <c r="F395" s="164"/>
      <c r="G395" s="123"/>
      <c r="H395" s="121"/>
      <c r="I395" s="121"/>
    </row>
    <row r="396" spans="1:9">
      <c r="A396" s="119"/>
      <c r="B396" s="119"/>
      <c r="C396" s="120"/>
      <c r="D396" s="121"/>
      <c r="E396" s="164"/>
      <c r="F396" s="164"/>
      <c r="G396" s="123"/>
      <c r="H396" s="121"/>
      <c r="I396" s="121"/>
    </row>
    <row r="397" spans="1:9">
      <c r="A397" s="119"/>
      <c r="B397" s="119"/>
      <c r="C397" s="120"/>
      <c r="D397" s="121"/>
      <c r="E397" s="164"/>
      <c r="F397" s="164"/>
      <c r="G397" s="123"/>
      <c r="H397" s="121"/>
      <c r="I397" s="121"/>
    </row>
    <row r="398" spans="1:9">
      <c r="A398" s="119"/>
      <c r="B398" s="119"/>
      <c r="C398" s="120"/>
      <c r="D398" s="121"/>
      <c r="E398" s="164"/>
      <c r="F398" s="164"/>
      <c r="G398" s="123"/>
      <c r="H398" s="121"/>
      <c r="I398" s="121"/>
    </row>
    <row r="399" spans="1:9">
      <c r="A399" s="119"/>
      <c r="B399" s="119"/>
      <c r="C399" s="120"/>
      <c r="D399" s="121"/>
      <c r="E399" s="164"/>
      <c r="F399" s="164"/>
      <c r="G399" s="123"/>
      <c r="H399" s="121"/>
      <c r="I399" s="121"/>
    </row>
    <row r="400" spans="1:9">
      <c r="A400" s="119"/>
      <c r="B400" s="119"/>
      <c r="C400" s="120"/>
      <c r="D400" s="121"/>
      <c r="E400" s="164"/>
      <c r="F400" s="164"/>
      <c r="G400" s="123"/>
      <c r="H400" s="121"/>
      <c r="I400" s="121"/>
    </row>
    <row r="401" spans="1:9">
      <c r="A401" s="119"/>
      <c r="B401" s="119"/>
      <c r="C401" s="120"/>
      <c r="D401" s="121"/>
      <c r="E401" s="164"/>
      <c r="F401" s="164"/>
      <c r="G401" s="123"/>
      <c r="H401" s="121"/>
      <c r="I401" s="121"/>
    </row>
    <row r="402" spans="1:9">
      <c r="A402" s="119"/>
      <c r="B402" s="119"/>
      <c r="C402" s="120"/>
      <c r="D402" s="121"/>
      <c r="E402" s="164"/>
      <c r="F402" s="164"/>
      <c r="G402" s="123"/>
      <c r="H402" s="121"/>
      <c r="I402" s="121"/>
    </row>
    <row r="403" spans="1:9">
      <c r="A403" s="119"/>
      <c r="B403" s="119"/>
      <c r="C403" s="120"/>
      <c r="D403" s="121"/>
      <c r="E403" s="164"/>
      <c r="F403" s="164"/>
      <c r="G403" s="123"/>
      <c r="H403" s="121"/>
      <c r="I403" s="121"/>
    </row>
    <row r="404" spans="1:9">
      <c r="A404" s="119"/>
      <c r="B404" s="119"/>
      <c r="C404" s="120"/>
      <c r="D404" s="121"/>
      <c r="E404" s="164"/>
      <c r="F404" s="164"/>
      <c r="G404" s="123"/>
      <c r="H404" s="121"/>
      <c r="I404" s="121"/>
    </row>
    <row r="405" spans="1:9">
      <c r="A405" s="119"/>
      <c r="B405" s="119"/>
      <c r="C405" s="120"/>
      <c r="D405" s="121"/>
      <c r="E405" s="164"/>
      <c r="F405" s="164"/>
      <c r="G405" s="123"/>
      <c r="H405" s="121"/>
      <c r="I405" s="121"/>
    </row>
    <row r="406" spans="1:9">
      <c r="A406" s="119"/>
      <c r="B406" s="119"/>
      <c r="C406" s="120"/>
      <c r="D406" s="121"/>
      <c r="E406" s="164"/>
      <c r="F406" s="164"/>
      <c r="G406" s="123"/>
      <c r="H406" s="121"/>
      <c r="I406" s="121"/>
    </row>
    <row r="407" spans="1:9">
      <c r="A407" s="119"/>
      <c r="B407" s="119"/>
      <c r="C407" s="120"/>
      <c r="D407" s="121"/>
      <c r="E407" s="164"/>
      <c r="F407" s="164"/>
      <c r="G407" s="123"/>
      <c r="H407" s="121"/>
      <c r="I407" s="121"/>
    </row>
    <row r="408" spans="1:9">
      <c r="A408" s="119"/>
      <c r="B408" s="119"/>
      <c r="C408" s="120"/>
      <c r="D408" s="121"/>
      <c r="E408" s="164"/>
      <c r="F408" s="164"/>
      <c r="G408" s="123"/>
      <c r="H408" s="121"/>
      <c r="I408" s="121"/>
    </row>
    <row r="409" spans="1:9">
      <c r="A409" s="119"/>
      <c r="B409" s="119"/>
      <c r="C409" s="120"/>
      <c r="D409" s="121"/>
      <c r="E409" s="164"/>
      <c r="F409" s="164"/>
      <c r="G409" s="123"/>
      <c r="H409" s="121"/>
      <c r="I409" s="121"/>
    </row>
    <row r="410" spans="1:9">
      <c r="A410" s="119"/>
      <c r="B410" s="119"/>
      <c r="C410" s="120"/>
      <c r="D410" s="121"/>
      <c r="E410" s="164"/>
      <c r="F410" s="164"/>
      <c r="G410" s="123"/>
      <c r="H410" s="121"/>
      <c r="I410" s="121"/>
    </row>
    <row r="411" spans="1:9">
      <c r="A411" s="119"/>
      <c r="B411" s="119"/>
      <c r="C411" s="120"/>
      <c r="D411" s="121"/>
      <c r="E411" s="164"/>
      <c r="F411" s="164"/>
      <c r="G411" s="123"/>
      <c r="H411" s="121"/>
      <c r="I411" s="121"/>
    </row>
    <row r="412" spans="1:9">
      <c r="A412" s="119"/>
      <c r="B412" s="119"/>
      <c r="C412" s="120"/>
      <c r="D412" s="121"/>
      <c r="E412" s="164"/>
      <c r="F412" s="164"/>
      <c r="G412" s="123"/>
      <c r="H412" s="121"/>
      <c r="I412" s="121"/>
    </row>
    <row r="413" spans="1:9">
      <c r="A413" s="119"/>
      <c r="B413" s="119"/>
      <c r="C413" s="120"/>
      <c r="D413" s="121"/>
      <c r="E413" s="164"/>
      <c r="F413" s="164"/>
      <c r="G413" s="123"/>
      <c r="H413" s="121"/>
      <c r="I413" s="121"/>
    </row>
    <row r="414" spans="1:9">
      <c r="A414" s="119"/>
      <c r="B414" s="119"/>
      <c r="C414" s="120"/>
      <c r="D414" s="121"/>
      <c r="E414" s="164"/>
      <c r="F414" s="164"/>
      <c r="G414" s="123"/>
      <c r="H414" s="121"/>
      <c r="I414" s="121"/>
    </row>
    <row r="415" spans="1:9">
      <c r="A415" s="119"/>
      <c r="B415" s="119"/>
      <c r="C415" s="120"/>
      <c r="D415" s="121"/>
      <c r="E415" s="164"/>
      <c r="F415" s="164"/>
      <c r="G415" s="123"/>
      <c r="H415" s="121"/>
      <c r="I415" s="121"/>
    </row>
    <row r="416" spans="1:9">
      <c r="A416" s="119"/>
      <c r="B416" s="119"/>
      <c r="C416" s="120"/>
      <c r="D416" s="121"/>
      <c r="E416" s="164"/>
      <c r="F416" s="164"/>
      <c r="G416" s="123"/>
      <c r="H416" s="121"/>
      <c r="I416" s="121"/>
    </row>
    <row r="417" spans="1:9">
      <c r="A417" s="119"/>
      <c r="B417" s="119"/>
      <c r="C417" s="120"/>
      <c r="D417" s="121"/>
      <c r="E417" s="164"/>
      <c r="F417" s="164"/>
      <c r="G417" s="123"/>
      <c r="H417" s="121"/>
      <c r="I417" s="121"/>
    </row>
    <row r="418" spans="1:9">
      <c r="A418" s="119"/>
      <c r="B418" s="119"/>
      <c r="C418" s="120"/>
      <c r="D418" s="121"/>
      <c r="E418" s="164"/>
      <c r="F418" s="164"/>
      <c r="G418" s="123"/>
      <c r="H418" s="121"/>
      <c r="I418" s="121"/>
    </row>
    <row r="419" spans="1:9">
      <c r="A419" s="119"/>
      <c r="B419" s="119"/>
      <c r="C419" s="120"/>
      <c r="D419" s="121"/>
      <c r="E419" s="164"/>
      <c r="F419" s="164"/>
      <c r="G419" s="123"/>
      <c r="H419" s="121"/>
      <c r="I419" s="121"/>
    </row>
    <row r="420" spans="1:9">
      <c r="A420" s="119"/>
      <c r="B420" s="119"/>
      <c r="C420" s="120"/>
      <c r="D420" s="121"/>
      <c r="E420" s="164"/>
      <c r="F420" s="164"/>
      <c r="G420" s="123"/>
      <c r="H420" s="121"/>
      <c r="I420" s="121"/>
    </row>
    <row r="421" spans="1:9">
      <c r="A421" s="119"/>
      <c r="B421" s="119"/>
      <c r="C421" s="120"/>
      <c r="D421" s="121"/>
      <c r="E421" s="164"/>
      <c r="F421" s="164"/>
      <c r="G421" s="123"/>
      <c r="H421" s="121"/>
      <c r="I421" s="121"/>
    </row>
    <row r="422" spans="1:9">
      <c r="A422" s="119"/>
      <c r="B422" s="119"/>
      <c r="C422" s="120"/>
      <c r="D422" s="121"/>
      <c r="E422" s="164"/>
      <c r="F422" s="164"/>
      <c r="G422" s="123"/>
      <c r="H422" s="121"/>
      <c r="I422" s="121"/>
    </row>
    <row r="423" spans="1:9">
      <c r="A423" s="119"/>
      <c r="B423" s="119"/>
      <c r="C423" s="120"/>
      <c r="D423" s="121"/>
      <c r="E423" s="164"/>
      <c r="F423" s="164"/>
      <c r="G423" s="123"/>
      <c r="H423" s="121"/>
      <c r="I423" s="121"/>
    </row>
    <row r="424" spans="1:9">
      <c r="A424" s="119"/>
      <c r="B424" s="119"/>
      <c r="C424" s="120"/>
      <c r="D424" s="121"/>
      <c r="E424" s="164"/>
      <c r="F424" s="164"/>
      <c r="G424" s="123"/>
      <c r="H424" s="121"/>
      <c r="I424" s="121"/>
    </row>
    <row r="425" spans="1:9">
      <c r="A425" s="119"/>
      <c r="B425" s="119"/>
      <c r="C425" s="120"/>
      <c r="D425" s="121"/>
      <c r="E425" s="164"/>
      <c r="F425" s="164"/>
      <c r="G425" s="123"/>
      <c r="H425" s="121"/>
      <c r="I425" s="121"/>
    </row>
    <row r="426" spans="1:9">
      <c r="A426" s="119"/>
      <c r="B426" s="119"/>
      <c r="C426" s="120"/>
      <c r="D426" s="121"/>
      <c r="E426" s="164"/>
      <c r="F426" s="164"/>
      <c r="G426" s="123"/>
      <c r="H426" s="121"/>
      <c r="I426" s="121"/>
    </row>
    <row r="427" spans="1:9">
      <c r="A427" s="119"/>
      <c r="B427" s="119"/>
      <c r="C427" s="120"/>
      <c r="D427" s="121"/>
      <c r="E427" s="164"/>
      <c r="F427" s="164"/>
      <c r="G427" s="123"/>
      <c r="H427" s="121"/>
      <c r="I427" s="121"/>
    </row>
    <row r="428" spans="1:9">
      <c r="A428" s="119"/>
      <c r="B428" s="119"/>
      <c r="C428" s="120"/>
      <c r="D428" s="121"/>
      <c r="E428" s="164"/>
      <c r="F428" s="164"/>
      <c r="G428" s="123"/>
      <c r="H428" s="121"/>
      <c r="I428" s="121"/>
    </row>
    <row r="429" spans="1:9">
      <c r="A429" s="119"/>
      <c r="B429" s="119"/>
      <c r="C429" s="120"/>
      <c r="D429" s="121"/>
      <c r="E429" s="164"/>
      <c r="F429" s="164"/>
      <c r="G429" s="123"/>
      <c r="H429" s="121"/>
      <c r="I429" s="121"/>
    </row>
    <row r="430" spans="1:9">
      <c r="A430" s="119"/>
      <c r="B430" s="119"/>
      <c r="C430" s="120"/>
      <c r="D430" s="121"/>
      <c r="E430" s="164"/>
      <c r="F430" s="164"/>
      <c r="G430" s="123"/>
      <c r="H430" s="121"/>
      <c r="I430" s="121"/>
    </row>
    <row r="431" spans="1:9">
      <c r="A431" s="119"/>
      <c r="B431" s="119"/>
      <c r="C431" s="120"/>
      <c r="D431" s="121"/>
      <c r="E431" s="164"/>
      <c r="F431" s="164"/>
      <c r="G431" s="123"/>
      <c r="H431" s="121"/>
      <c r="I431" s="121"/>
    </row>
    <row r="432" spans="1:9">
      <c r="A432" s="119"/>
      <c r="B432" s="119"/>
      <c r="C432" s="120"/>
      <c r="D432" s="121"/>
      <c r="E432" s="164"/>
      <c r="F432" s="164"/>
      <c r="G432" s="123"/>
      <c r="H432" s="121"/>
      <c r="I432" s="121"/>
    </row>
    <row r="433" spans="1:9">
      <c r="A433" s="119"/>
      <c r="B433" s="119"/>
      <c r="C433" s="120"/>
      <c r="D433" s="121"/>
      <c r="E433" s="164"/>
      <c r="F433" s="164"/>
      <c r="G433" s="123"/>
      <c r="H433" s="121"/>
      <c r="I433" s="121"/>
    </row>
    <row r="434" spans="1:9">
      <c r="A434" s="119"/>
      <c r="B434" s="119"/>
      <c r="C434" s="120"/>
      <c r="D434" s="121"/>
      <c r="E434" s="164"/>
      <c r="F434" s="164"/>
      <c r="G434" s="123"/>
      <c r="H434" s="121"/>
      <c r="I434" s="121"/>
    </row>
    <row r="435" spans="1:9">
      <c r="A435" s="119"/>
      <c r="B435" s="119"/>
      <c r="C435" s="120"/>
      <c r="D435" s="121"/>
      <c r="E435" s="164"/>
      <c r="F435" s="164"/>
      <c r="G435" s="123"/>
      <c r="H435" s="121"/>
      <c r="I435" s="121"/>
    </row>
    <row r="436" spans="1:9">
      <c r="A436" s="119"/>
      <c r="B436" s="119"/>
      <c r="C436" s="120"/>
      <c r="D436" s="121"/>
      <c r="E436" s="164"/>
      <c r="F436" s="164"/>
      <c r="G436" s="123"/>
      <c r="H436" s="121"/>
      <c r="I436" s="121"/>
    </row>
    <row r="437" spans="1:9">
      <c r="A437" s="119"/>
      <c r="B437" s="119"/>
      <c r="C437" s="120"/>
      <c r="D437" s="121"/>
      <c r="E437" s="164"/>
      <c r="F437" s="164"/>
      <c r="G437" s="123"/>
      <c r="H437" s="121"/>
      <c r="I437" s="121"/>
    </row>
    <row r="438" spans="1:9">
      <c r="A438" s="119"/>
      <c r="B438" s="119"/>
      <c r="C438" s="120"/>
      <c r="D438" s="121"/>
      <c r="E438" s="164"/>
      <c r="F438" s="164"/>
      <c r="G438" s="123"/>
      <c r="H438" s="121"/>
      <c r="I438" s="121"/>
    </row>
    <row r="439" spans="1:9">
      <c r="A439" s="119"/>
      <c r="B439" s="119"/>
      <c r="C439" s="120"/>
      <c r="D439" s="121"/>
      <c r="E439" s="164"/>
      <c r="F439" s="164"/>
      <c r="G439" s="123"/>
      <c r="H439" s="121"/>
      <c r="I439" s="121"/>
    </row>
    <row r="440" spans="1:9">
      <c r="A440" s="119"/>
      <c r="B440" s="119"/>
      <c r="C440" s="120"/>
      <c r="D440" s="121"/>
      <c r="E440" s="164"/>
      <c r="F440" s="164"/>
      <c r="G440" s="123"/>
      <c r="H440" s="121"/>
      <c r="I440" s="121"/>
    </row>
    <row r="441" spans="1:9">
      <c r="A441" s="119"/>
      <c r="B441" s="119"/>
      <c r="C441" s="120"/>
      <c r="D441" s="121"/>
      <c r="E441" s="164"/>
      <c r="F441" s="164"/>
      <c r="G441" s="123"/>
      <c r="H441" s="121"/>
      <c r="I441" s="121"/>
    </row>
    <row r="442" spans="1:9">
      <c r="A442" s="119"/>
      <c r="B442" s="119"/>
      <c r="C442" s="120"/>
      <c r="D442" s="121"/>
      <c r="E442" s="164"/>
      <c r="F442" s="164"/>
      <c r="G442" s="123"/>
      <c r="H442" s="121"/>
      <c r="I442" s="121"/>
    </row>
    <row r="443" spans="1:9">
      <c r="A443" s="119"/>
      <c r="B443" s="119"/>
      <c r="C443" s="120"/>
      <c r="D443" s="121"/>
      <c r="E443" s="164"/>
      <c r="F443" s="164"/>
      <c r="G443" s="123"/>
      <c r="H443" s="121"/>
      <c r="I443" s="121"/>
    </row>
    <row r="444" spans="1:9">
      <c r="A444" s="119"/>
      <c r="B444" s="119"/>
      <c r="C444" s="120"/>
      <c r="D444" s="121"/>
      <c r="E444" s="164"/>
      <c r="F444" s="164"/>
      <c r="G444" s="123"/>
      <c r="H444" s="121"/>
      <c r="I444" s="121"/>
    </row>
    <row r="445" spans="1:9">
      <c r="A445" s="119"/>
      <c r="B445" s="119"/>
      <c r="C445" s="120"/>
      <c r="D445" s="121"/>
      <c r="E445" s="164"/>
      <c r="F445" s="164"/>
      <c r="G445" s="123"/>
      <c r="H445" s="121"/>
      <c r="I445" s="121"/>
    </row>
    <row r="446" spans="1:9">
      <c r="A446" s="119"/>
      <c r="B446" s="119"/>
      <c r="C446" s="120"/>
      <c r="D446" s="121"/>
      <c r="E446" s="164"/>
      <c r="F446" s="164"/>
      <c r="G446" s="123"/>
      <c r="H446" s="121"/>
      <c r="I446" s="121"/>
    </row>
    <row r="447" spans="1:9">
      <c r="A447" s="119"/>
      <c r="B447" s="119"/>
      <c r="C447" s="120"/>
      <c r="D447" s="121"/>
      <c r="E447" s="164"/>
      <c r="F447" s="164"/>
      <c r="G447" s="123"/>
      <c r="H447" s="121"/>
      <c r="I447" s="121"/>
    </row>
    <row r="448" spans="1:9">
      <c r="A448" s="119"/>
      <c r="B448" s="119"/>
      <c r="C448" s="120"/>
      <c r="D448" s="121"/>
      <c r="E448" s="164"/>
      <c r="F448" s="164"/>
      <c r="G448" s="123"/>
      <c r="H448" s="121"/>
      <c r="I448" s="121"/>
    </row>
    <row r="449" spans="1:9">
      <c r="A449" s="119"/>
      <c r="B449" s="119"/>
      <c r="C449" s="120"/>
      <c r="D449" s="121"/>
      <c r="E449" s="164"/>
      <c r="F449" s="164"/>
      <c r="G449" s="123"/>
      <c r="H449" s="121"/>
      <c r="I449" s="121"/>
    </row>
    <row r="450" spans="1:9">
      <c r="A450" s="119"/>
      <c r="B450" s="119"/>
      <c r="C450" s="120"/>
      <c r="D450" s="121"/>
      <c r="E450" s="164"/>
      <c r="F450" s="164"/>
      <c r="G450" s="123"/>
      <c r="H450" s="121"/>
      <c r="I450" s="121"/>
    </row>
    <row r="451" spans="1:9">
      <c r="A451" s="119"/>
      <c r="B451" s="119"/>
      <c r="C451" s="120"/>
      <c r="D451" s="121"/>
      <c r="E451" s="164"/>
      <c r="F451" s="164"/>
      <c r="G451" s="123"/>
      <c r="H451" s="121"/>
      <c r="I451" s="121"/>
    </row>
    <row r="452" spans="1:9">
      <c r="A452" s="119"/>
      <c r="B452" s="119"/>
      <c r="C452" s="120"/>
      <c r="D452" s="121"/>
      <c r="E452" s="164"/>
      <c r="F452" s="164"/>
      <c r="G452" s="123"/>
      <c r="H452" s="121"/>
      <c r="I452" s="121"/>
    </row>
    <row r="453" spans="1:9">
      <c r="A453" s="119"/>
      <c r="B453" s="119"/>
      <c r="C453" s="120"/>
      <c r="D453" s="121"/>
      <c r="E453" s="164"/>
      <c r="F453" s="164"/>
      <c r="G453" s="123"/>
      <c r="H453" s="121"/>
      <c r="I453" s="121"/>
    </row>
    <row r="454" spans="1:9">
      <c r="A454" s="119"/>
      <c r="B454" s="119"/>
      <c r="C454" s="120"/>
      <c r="D454" s="121"/>
      <c r="E454" s="164"/>
      <c r="F454" s="164"/>
      <c r="G454" s="123"/>
      <c r="H454" s="121"/>
      <c r="I454" s="121"/>
    </row>
    <row r="455" spans="1:9">
      <c r="A455" s="119"/>
      <c r="B455" s="119"/>
      <c r="C455" s="120"/>
      <c r="D455" s="121"/>
      <c r="E455" s="164"/>
      <c r="F455" s="164"/>
      <c r="G455" s="123"/>
      <c r="H455" s="121"/>
      <c r="I455" s="121"/>
    </row>
    <row r="456" spans="1:9">
      <c r="A456" s="119"/>
      <c r="B456" s="119"/>
      <c r="C456" s="120"/>
      <c r="D456" s="121"/>
      <c r="E456" s="164"/>
      <c r="F456" s="164"/>
      <c r="G456" s="123"/>
      <c r="H456" s="121"/>
      <c r="I456" s="121"/>
    </row>
    <row r="457" spans="1:9">
      <c r="A457" s="119"/>
      <c r="B457" s="119"/>
      <c r="C457" s="120"/>
      <c r="D457" s="121"/>
      <c r="E457" s="164"/>
      <c r="F457" s="164"/>
      <c r="G457" s="123"/>
      <c r="H457" s="121"/>
      <c r="I457" s="121"/>
    </row>
    <row r="458" spans="1:9">
      <c r="A458" s="119"/>
      <c r="B458" s="119"/>
      <c r="C458" s="120"/>
      <c r="D458" s="121"/>
      <c r="E458" s="164"/>
      <c r="F458" s="164"/>
      <c r="G458" s="123"/>
      <c r="H458" s="121"/>
      <c r="I458" s="121"/>
    </row>
    <row r="459" spans="1:9">
      <c r="A459" s="119"/>
      <c r="B459" s="119"/>
      <c r="C459" s="120"/>
      <c r="D459" s="121"/>
      <c r="E459" s="164"/>
      <c r="F459" s="164"/>
      <c r="G459" s="123"/>
      <c r="H459" s="121"/>
      <c r="I459" s="121"/>
    </row>
    <row r="460" spans="1:9">
      <c r="A460" s="119"/>
      <c r="B460" s="119"/>
      <c r="C460" s="120"/>
      <c r="D460" s="121"/>
      <c r="E460" s="164"/>
      <c r="F460" s="164"/>
      <c r="G460" s="123"/>
      <c r="H460" s="121"/>
      <c r="I460" s="121"/>
    </row>
    <row r="461" spans="1:9">
      <c r="A461" s="119"/>
      <c r="B461" s="119"/>
      <c r="C461" s="120"/>
      <c r="D461" s="121"/>
      <c r="E461" s="164"/>
      <c r="F461" s="164"/>
      <c r="G461" s="123"/>
      <c r="H461" s="121"/>
      <c r="I461" s="121"/>
    </row>
    <row r="462" spans="1:9">
      <c r="A462" s="119"/>
      <c r="B462" s="119"/>
      <c r="C462" s="120"/>
      <c r="D462" s="121"/>
      <c r="E462" s="164"/>
      <c r="F462" s="164"/>
      <c r="G462" s="123"/>
      <c r="H462" s="121"/>
      <c r="I462" s="121"/>
    </row>
    <row r="463" spans="1:9">
      <c r="A463" s="119"/>
      <c r="B463" s="119"/>
      <c r="C463" s="120"/>
      <c r="D463" s="121"/>
      <c r="E463" s="164"/>
      <c r="F463" s="164"/>
      <c r="G463" s="123"/>
      <c r="H463" s="121"/>
      <c r="I463" s="121"/>
    </row>
    <row r="464" spans="1:9">
      <c r="A464" s="119"/>
      <c r="B464" s="119"/>
      <c r="C464" s="120"/>
      <c r="D464" s="121"/>
      <c r="E464" s="164"/>
      <c r="F464" s="164"/>
      <c r="G464" s="123"/>
      <c r="H464" s="121"/>
      <c r="I464" s="121"/>
    </row>
    <row r="465" spans="1:9">
      <c r="A465" s="119"/>
      <c r="B465" s="119"/>
      <c r="C465" s="120"/>
      <c r="D465" s="121"/>
      <c r="E465" s="164"/>
      <c r="F465" s="164"/>
      <c r="G465" s="123"/>
      <c r="H465" s="121"/>
      <c r="I465" s="121"/>
    </row>
    <row r="466" spans="1:9">
      <c r="A466" s="119"/>
      <c r="B466" s="119"/>
      <c r="C466" s="120"/>
      <c r="D466" s="121"/>
      <c r="E466" s="164"/>
      <c r="F466" s="164"/>
      <c r="G466" s="123"/>
      <c r="H466" s="121"/>
      <c r="I466" s="121"/>
    </row>
    <row r="467" spans="1:9">
      <c r="A467" s="119"/>
      <c r="B467" s="119"/>
      <c r="C467" s="120"/>
      <c r="D467" s="121"/>
      <c r="E467" s="164"/>
      <c r="F467" s="164"/>
      <c r="G467" s="123"/>
      <c r="H467" s="121"/>
      <c r="I467" s="121"/>
    </row>
    <row r="468" spans="1:9">
      <c r="A468" s="119"/>
      <c r="B468" s="119"/>
      <c r="C468" s="120"/>
      <c r="D468" s="121"/>
      <c r="E468" s="164"/>
      <c r="F468" s="164"/>
      <c r="G468" s="123"/>
      <c r="H468" s="121"/>
      <c r="I468" s="121"/>
    </row>
    <row r="469" spans="1:9">
      <c r="A469" s="119"/>
      <c r="B469" s="119"/>
      <c r="C469" s="120"/>
      <c r="D469" s="121"/>
      <c r="E469" s="164"/>
      <c r="F469" s="164"/>
      <c r="G469" s="123"/>
      <c r="H469" s="121"/>
      <c r="I469" s="121"/>
    </row>
    <row r="470" spans="1:9">
      <c r="A470" s="119"/>
      <c r="B470" s="119"/>
      <c r="C470" s="120"/>
      <c r="D470" s="121"/>
      <c r="E470" s="164"/>
      <c r="F470" s="164"/>
      <c r="G470" s="123"/>
      <c r="H470" s="121"/>
      <c r="I470" s="121"/>
    </row>
    <row r="471" spans="1:9">
      <c r="A471" s="119"/>
      <c r="B471" s="119"/>
      <c r="C471" s="120"/>
      <c r="D471" s="121"/>
      <c r="E471" s="164"/>
      <c r="F471" s="164"/>
      <c r="G471" s="123"/>
      <c r="H471" s="121"/>
      <c r="I471" s="121"/>
    </row>
    <row r="472" spans="1:9">
      <c r="A472" s="119"/>
      <c r="B472" s="119"/>
      <c r="C472" s="120"/>
      <c r="D472" s="121"/>
      <c r="E472" s="164"/>
      <c r="F472" s="164"/>
      <c r="G472" s="123"/>
      <c r="H472" s="121"/>
      <c r="I472" s="121"/>
    </row>
    <row r="473" spans="1:9">
      <c r="A473" s="119"/>
      <c r="B473" s="119"/>
      <c r="C473" s="120"/>
      <c r="D473" s="121"/>
      <c r="E473" s="164"/>
      <c r="F473" s="164"/>
      <c r="G473" s="123"/>
      <c r="H473" s="121"/>
      <c r="I473" s="121"/>
    </row>
    <row r="474" spans="1:9">
      <c r="A474" s="119"/>
      <c r="B474" s="119"/>
      <c r="C474" s="120"/>
      <c r="D474" s="121"/>
      <c r="E474" s="164"/>
      <c r="F474" s="164"/>
      <c r="G474" s="123"/>
      <c r="H474" s="121"/>
      <c r="I474" s="121"/>
    </row>
    <row r="475" spans="1:9">
      <c r="A475" s="119"/>
      <c r="B475" s="119"/>
      <c r="C475" s="120"/>
      <c r="D475" s="121"/>
      <c r="E475" s="164"/>
      <c r="F475" s="164"/>
      <c r="G475" s="123"/>
      <c r="H475" s="121"/>
      <c r="I475" s="121"/>
    </row>
    <row r="476" spans="1:9">
      <c r="A476" s="119"/>
      <c r="B476" s="119"/>
      <c r="C476" s="120"/>
      <c r="D476" s="121"/>
      <c r="E476" s="164"/>
      <c r="F476" s="164"/>
      <c r="G476" s="123"/>
      <c r="H476" s="121"/>
      <c r="I476" s="121"/>
    </row>
    <row r="477" spans="1:9">
      <c r="A477" s="119"/>
      <c r="B477" s="119"/>
      <c r="C477" s="120"/>
      <c r="D477" s="121"/>
      <c r="E477" s="164"/>
      <c r="F477" s="164"/>
      <c r="G477" s="123"/>
      <c r="H477" s="121"/>
      <c r="I477" s="121"/>
    </row>
    <row r="478" spans="1:9">
      <c r="A478" s="119"/>
      <c r="B478" s="119"/>
      <c r="C478" s="120"/>
      <c r="D478" s="121"/>
      <c r="E478" s="164"/>
      <c r="F478" s="164"/>
      <c r="G478" s="123"/>
      <c r="H478" s="121"/>
      <c r="I478" s="121"/>
    </row>
    <row r="479" spans="1:9">
      <c r="A479" s="119"/>
      <c r="B479" s="119"/>
      <c r="C479" s="120"/>
      <c r="D479" s="121"/>
      <c r="E479" s="164"/>
      <c r="F479" s="164"/>
      <c r="G479" s="123"/>
      <c r="H479" s="121"/>
      <c r="I479" s="121"/>
    </row>
    <row r="480" spans="1:9">
      <c r="A480" s="119"/>
      <c r="B480" s="119"/>
      <c r="C480" s="120"/>
      <c r="D480" s="121"/>
      <c r="E480" s="164"/>
      <c r="F480" s="164"/>
      <c r="G480" s="123"/>
      <c r="H480" s="121"/>
      <c r="I480" s="121"/>
    </row>
    <row r="481" spans="1:9">
      <c r="A481" s="119"/>
      <c r="B481" s="119"/>
      <c r="C481" s="120"/>
      <c r="D481" s="121"/>
      <c r="E481" s="164"/>
      <c r="F481" s="164"/>
      <c r="G481" s="123"/>
      <c r="H481" s="121"/>
      <c r="I481" s="121"/>
    </row>
    <row r="482" spans="1:9">
      <c r="A482" s="119"/>
      <c r="B482" s="119"/>
      <c r="C482" s="120"/>
      <c r="D482" s="121"/>
      <c r="E482" s="164"/>
      <c r="F482" s="164"/>
      <c r="G482" s="123"/>
      <c r="H482" s="121"/>
      <c r="I482" s="121"/>
    </row>
    <row r="483" spans="1:9">
      <c r="A483" s="119"/>
      <c r="B483" s="119"/>
      <c r="C483" s="120"/>
      <c r="D483" s="121"/>
      <c r="E483" s="164"/>
      <c r="F483" s="164"/>
      <c r="G483" s="123"/>
      <c r="H483" s="121"/>
      <c r="I483" s="121"/>
    </row>
    <row r="484" spans="1:9">
      <c r="A484" s="119"/>
      <c r="B484" s="119"/>
      <c r="C484" s="120"/>
      <c r="D484" s="121"/>
      <c r="E484" s="164"/>
      <c r="F484" s="164"/>
      <c r="G484" s="123"/>
      <c r="H484" s="121"/>
      <c r="I484" s="121"/>
    </row>
    <row r="485" spans="1:9">
      <c r="A485" s="119"/>
      <c r="B485" s="119"/>
      <c r="C485" s="120"/>
      <c r="D485" s="121"/>
      <c r="E485" s="164"/>
      <c r="F485" s="164"/>
      <c r="G485" s="123"/>
      <c r="H485" s="121"/>
      <c r="I485" s="121"/>
    </row>
    <row r="486" spans="1:9">
      <c r="A486" s="119"/>
      <c r="B486" s="119"/>
      <c r="C486" s="120"/>
      <c r="D486" s="121"/>
      <c r="E486" s="164"/>
      <c r="F486" s="164"/>
      <c r="G486" s="123"/>
      <c r="H486" s="121"/>
      <c r="I486" s="121"/>
    </row>
    <row r="487" spans="1:9">
      <c r="A487" s="119"/>
      <c r="B487" s="119"/>
      <c r="C487" s="120"/>
      <c r="D487" s="121"/>
      <c r="E487" s="164"/>
      <c r="F487" s="164"/>
      <c r="G487" s="123"/>
      <c r="H487" s="121"/>
      <c r="I487" s="121"/>
    </row>
    <row r="488" spans="1:9">
      <c r="A488" s="119"/>
      <c r="B488" s="119"/>
      <c r="C488" s="120"/>
      <c r="D488" s="121"/>
      <c r="E488" s="164"/>
      <c r="F488" s="164"/>
      <c r="G488" s="123"/>
      <c r="H488" s="121"/>
      <c r="I488" s="121"/>
    </row>
    <row r="489" spans="1:9">
      <c r="A489" s="119"/>
      <c r="B489" s="119"/>
      <c r="C489" s="120"/>
      <c r="D489" s="121"/>
      <c r="E489" s="164"/>
      <c r="F489" s="164"/>
      <c r="G489" s="123"/>
      <c r="H489" s="121"/>
      <c r="I489" s="121"/>
    </row>
    <row r="490" spans="1:9">
      <c r="A490" s="119"/>
      <c r="B490" s="119"/>
      <c r="C490" s="120"/>
      <c r="D490" s="121"/>
      <c r="E490" s="164"/>
      <c r="F490" s="164"/>
      <c r="G490" s="123"/>
      <c r="H490" s="121"/>
      <c r="I490" s="121"/>
    </row>
    <row r="491" spans="1:9">
      <c r="A491" s="119"/>
      <c r="B491" s="119"/>
      <c r="C491" s="120"/>
      <c r="D491" s="121"/>
      <c r="E491" s="164"/>
      <c r="F491" s="164"/>
      <c r="G491" s="123"/>
      <c r="H491" s="121"/>
      <c r="I491" s="121"/>
    </row>
    <row r="492" spans="1:9">
      <c r="A492" s="119"/>
      <c r="B492" s="119"/>
      <c r="C492" s="120"/>
      <c r="D492" s="121"/>
      <c r="E492" s="164"/>
      <c r="F492" s="164"/>
      <c r="G492" s="123"/>
      <c r="H492" s="121"/>
      <c r="I492" s="121"/>
    </row>
    <row r="493" spans="1:9">
      <c r="A493" s="119"/>
      <c r="B493" s="119"/>
      <c r="C493" s="120"/>
      <c r="D493" s="121"/>
      <c r="E493" s="164"/>
      <c r="F493" s="164"/>
      <c r="G493" s="123"/>
      <c r="H493" s="121"/>
      <c r="I493" s="121"/>
    </row>
    <row r="494" spans="1:9">
      <c r="A494" s="119"/>
      <c r="B494" s="119"/>
      <c r="C494" s="120"/>
      <c r="D494" s="121"/>
      <c r="E494" s="164"/>
      <c r="F494" s="164"/>
      <c r="G494" s="123"/>
      <c r="H494" s="121"/>
      <c r="I494" s="121"/>
    </row>
    <row r="495" spans="1:9">
      <c r="A495" s="119"/>
      <c r="B495" s="119"/>
      <c r="C495" s="120"/>
      <c r="D495" s="121"/>
      <c r="E495" s="164"/>
      <c r="F495" s="164"/>
      <c r="G495" s="123"/>
      <c r="H495" s="121"/>
      <c r="I495" s="121"/>
    </row>
    <row r="496" spans="1:9">
      <c r="A496" s="119"/>
      <c r="B496" s="119"/>
      <c r="C496" s="120"/>
      <c r="D496" s="121"/>
      <c r="E496" s="164"/>
      <c r="F496" s="164"/>
      <c r="G496" s="123"/>
      <c r="H496" s="121"/>
      <c r="I496" s="121"/>
    </row>
    <row r="497" spans="1:9">
      <c r="A497" s="119"/>
      <c r="B497" s="119"/>
      <c r="C497" s="120"/>
      <c r="D497" s="121"/>
      <c r="E497" s="164"/>
      <c r="F497" s="164"/>
      <c r="G497" s="123"/>
      <c r="H497" s="121"/>
      <c r="I497" s="121"/>
    </row>
    <row r="498" spans="1:9">
      <c r="A498" s="119"/>
      <c r="B498" s="119"/>
      <c r="C498" s="120"/>
      <c r="D498" s="121"/>
      <c r="E498" s="164"/>
      <c r="F498" s="164"/>
      <c r="G498" s="123"/>
      <c r="H498" s="121"/>
      <c r="I498" s="121"/>
    </row>
    <row r="499" spans="1:9">
      <c r="A499" s="119"/>
      <c r="B499" s="119"/>
      <c r="C499" s="120"/>
      <c r="D499" s="121"/>
      <c r="E499" s="164"/>
      <c r="F499" s="164"/>
      <c r="G499" s="123"/>
      <c r="H499" s="121"/>
      <c r="I499" s="121"/>
    </row>
    <row r="500" spans="1:9">
      <c r="A500" s="119"/>
      <c r="B500" s="119"/>
      <c r="C500" s="120"/>
      <c r="D500" s="121"/>
      <c r="E500" s="164"/>
      <c r="F500" s="164"/>
      <c r="G500" s="123"/>
      <c r="H500" s="121"/>
      <c r="I500" s="121"/>
    </row>
    <row r="501" spans="1:9">
      <c r="A501" s="119"/>
      <c r="B501" s="119"/>
      <c r="C501" s="120"/>
      <c r="D501" s="121"/>
      <c r="E501" s="164"/>
      <c r="F501" s="164"/>
      <c r="G501" s="123"/>
      <c r="H501" s="121"/>
      <c r="I501" s="121"/>
    </row>
    <row r="502" spans="1:9">
      <c r="A502" s="119"/>
      <c r="B502" s="119"/>
      <c r="C502" s="120"/>
      <c r="D502" s="121"/>
      <c r="E502" s="164"/>
      <c r="F502" s="164"/>
      <c r="G502" s="123"/>
      <c r="H502" s="121"/>
      <c r="I502" s="121"/>
    </row>
    <row r="503" spans="1:9">
      <c r="A503" s="119"/>
      <c r="B503" s="119"/>
      <c r="C503" s="120"/>
      <c r="D503" s="121"/>
      <c r="E503" s="164"/>
      <c r="F503" s="164"/>
      <c r="G503" s="123"/>
      <c r="H503" s="121"/>
      <c r="I503" s="121"/>
    </row>
    <row r="504" spans="1:9">
      <c r="A504" s="119"/>
      <c r="B504" s="119"/>
      <c r="C504" s="120"/>
      <c r="D504" s="121"/>
      <c r="E504" s="164"/>
      <c r="F504" s="164"/>
      <c r="G504" s="123"/>
      <c r="H504" s="121"/>
      <c r="I504" s="121"/>
    </row>
    <row r="505" spans="1:9">
      <c r="A505" s="119"/>
      <c r="B505" s="119"/>
      <c r="C505" s="120"/>
      <c r="D505" s="121"/>
      <c r="E505" s="164"/>
      <c r="F505" s="164"/>
      <c r="G505" s="123"/>
      <c r="H505" s="121"/>
      <c r="I505" s="121"/>
    </row>
    <row r="506" spans="1:9">
      <c r="A506" s="119"/>
      <c r="B506" s="119"/>
      <c r="C506" s="120"/>
      <c r="D506" s="121"/>
      <c r="E506" s="164"/>
      <c r="F506" s="164"/>
      <c r="G506" s="123"/>
      <c r="H506" s="121"/>
      <c r="I506" s="121"/>
    </row>
    <row r="507" spans="1:9">
      <c r="A507" s="119"/>
      <c r="B507" s="119"/>
      <c r="C507" s="120"/>
      <c r="D507" s="121"/>
      <c r="E507" s="164"/>
      <c r="F507" s="164"/>
      <c r="G507" s="123"/>
      <c r="H507" s="121"/>
      <c r="I507" s="121"/>
    </row>
    <row r="508" spans="1:9">
      <c r="A508" s="119"/>
      <c r="B508" s="119"/>
      <c r="C508" s="120"/>
      <c r="D508" s="121"/>
      <c r="E508" s="164"/>
      <c r="F508" s="164"/>
      <c r="G508" s="123"/>
      <c r="H508" s="121"/>
      <c r="I508" s="121"/>
    </row>
    <row r="509" spans="1:9">
      <c r="A509" s="119"/>
      <c r="B509" s="119"/>
      <c r="C509" s="120"/>
      <c r="D509" s="121"/>
      <c r="E509" s="164"/>
      <c r="F509" s="164"/>
      <c r="G509" s="123"/>
      <c r="H509" s="121"/>
      <c r="I509" s="121"/>
    </row>
    <row r="510" spans="1:9">
      <c r="A510" s="119"/>
      <c r="B510" s="119"/>
      <c r="C510" s="120"/>
      <c r="D510" s="121"/>
      <c r="E510" s="164"/>
      <c r="F510" s="164"/>
      <c r="G510" s="123"/>
      <c r="H510" s="121"/>
      <c r="I510" s="121"/>
    </row>
    <row r="511" spans="1:9">
      <c r="A511" s="119"/>
      <c r="B511" s="119"/>
      <c r="C511" s="120"/>
      <c r="D511" s="121"/>
      <c r="E511" s="164"/>
      <c r="F511" s="164"/>
      <c r="G511" s="123"/>
      <c r="H511" s="121"/>
      <c r="I511" s="121"/>
    </row>
    <row r="512" spans="1:9">
      <c r="A512" s="119"/>
      <c r="B512" s="119"/>
      <c r="C512" s="120"/>
      <c r="D512" s="121"/>
      <c r="E512" s="164"/>
      <c r="F512" s="164"/>
      <c r="G512" s="123"/>
      <c r="H512" s="121"/>
      <c r="I512" s="121"/>
    </row>
    <row r="513" spans="1:9">
      <c r="A513" s="119"/>
      <c r="B513" s="119"/>
      <c r="C513" s="120"/>
      <c r="D513" s="121"/>
      <c r="E513" s="164"/>
      <c r="F513" s="164"/>
      <c r="G513" s="123"/>
      <c r="H513" s="121"/>
      <c r="I513" s="121"/>
    </row>
    <row r="514" spans="1:9">
      <c r="A514" s="119"/>
      <c r="B514" s="119"/>
      <c r="C514" s="120"/>
      <c r="D514" s="121"/>
      <c r="E514" s="164"/>
      <c r="F514" s="164"/>
      <c r="G514" s="123"/>
      <c r="H514" s="121"/>
      <c r="I514" s="121"/>
    </row>
    <row r="515" spans="1:9">
      <c r="A515" s="119"/>
      <c r="B515" s="119"/>
      <c r="C515" s="120"/>
      <c r="D515" s="121"/>
      <c r="E515" s="164"/>
      <c r="F515" s="164"/>
      <c r="G515" s="123"/>
      <c r="H515" s="121"/>
      <c r="I515" s="121"/>
    </row>
    <row r="516" spans="1:9">
      <c r="A516" s="119"/>
      <c r="B516" s="119"/>
      <c r="C516" s="120"/>
      <c r="D516" s="121"/>
      <c r="E516" s="164"/>
      <c r="F516" s="164"/>
      <c r="G516" s="123"/>
      <c r="H516" s="121"/>
      <c r="I516" s="121"/>
    </row>
    <row r="517" spans="1:9">
      <c r="A517" s="119"/>
      <c r="B517" s="119"/>
      <c r="C517" s="120"/>
      <c r="D517" s="121"/>
      <c r="E517" s="164"/>
      <c r="F517" s="164"/>
      <c r="G517" s="123"/>
      <c r="H517" s="121"/>
      <c r="I517" s="121"/>
    </row>
    <row r="518" spans="1:9">
      <c r="A518" s="119"/>
      <c r="B518" s="119"/>
      <c r="C518" s="120"/>
      <c r="D518" s="121"/>
      <c r="E518" s="164"/>
      <c r="F518" s="164"/>
      <c r="G518" s="123"/>
      <c r="H518" s="121"/>
      <c r="I518" s="121"/>
    </row>
    <row r="519" spans="1:9">
      <c r="A519" s="119"/>
      <c r="B519" s="119"/>
      <c r="C519" s="120"/>
      <c r="D519" s="121"/>
      <c r="E519" s="164"/>
      <c r="F519" s="164"/>
      <c r="G519" s="123"/>
      <c r="H519" s="121"/>
      <c r="I519" s="121"/>
    </row>
    <row r="520" spans="1:9">
      <c r="A520" s="119"/>
      <c r="B520" s="119"/>
      <c r="C520" s="120"/>
      <c r="D520" s="121"/>
      <c r="E520" s="164"/>
      <c r="F520" s="164"/>
      <c r="G520" s="123"/>
      <c r="H520" s="121"/>
      <c r="I520" s="121"/>
    </row>
    <row r="521" spans="1:9">
      <c r="A521" s="119"/>
      <c r="B521" s="119"/>
      <c r="C521" s="120"/>
      <c r="D521" s="121"/>
      <c r="E521" s="164"/>
      <c r="F521" s="164"/>
      <c r="G521" s="123"/>
      <c r="H521" s="121"/>
      <c r="I521" s="121"/>
    </row>
    <row r="522" spans="1:9">
      <c r="A522" s="119"/>
      <c r="B522" s="119"/>
      <c r="C522" s="120"/>
      <c r="D522" s="121"/>
      <c r="E522" s="164"/>
      <c r="F522" s="164"/>
      <c r="G522" s="123"/>
      <c r="H522" s="121"/>
      <c r="I522" s="121"/>
    </row>
    <row r="523" spans="1:9">
      <c r="A523" s="119"/>
      <c r="B523" s="119"/>
      <c r="C523" s="120"/>
      <c r="D523" s="121"/>
      <c r="E523" s="164"/>
      <c r="F523" s="164"/>
      <c r="G523" s="123"/>
      <c r="H523" s="121"/>
      <c r="I523" s="121"/>
    </row>
    <row r="524" spans="1:9">
      <c r="A524" s="119"/>
      <c r="B524" s="119"/>
      <c r="C524" s="120"/>
      <c r="D524" s="121"/>
      <c r="E524" s="164"/>
      <c r="F524" s="164"/>
      <c r="G524" s="123"/>
      <c r="H524" s="121"/>
      <c r="I524" s="121"/>
    </row>
    <row r="525" spans="1:9">
      <c r="A525" s="119"/>
      <c r="B525" s="119"/>
      <c r="C525" s="120"/>
      <c r="D525" s="121"/>
      <c r="E525" s="164"/>
      <c r="F525" s="164"/>
      <c r="G525" s="123"/>
      <c r="H525" s="121"/>
      <c r="I525" s="121"/>
    </row>
    <row r="526" spans="1:9">
      <c r="A526" s="119"/>
      <c r="B526" s="119"/>
      <c r="C526" s="120"/>
      <c r="D526" s="121"/>
      <c r="E526" s="164"/>
      <c r="F526" s="164"/>
      <c r="G526" s="123"/>
      <c r="H526" s="121"/>
      <c r="I526" s="121"/>
    </row>
    <row r="527" spans="1:9">
      <c r="A527" s="119"/>
      <c r="B527" s="119"/>
      <c r="C527" s="120"/>
      <c r="D527" s="121"/>
      <c r="E527" s="164"/>
      <c r="F527" s="164"/>
      <c r="G527" s="123"/>
      <c r="H527" s="121"/>
      <c r="I527" s="121"/>
    </row>
    <row r="528" spans="1:9">
      <c r="A528" s="119"/>
      <c r="B528" s="119"/>
      <c r="C528" s="120"/>
      <c r="D528" s="121"/>
      <c r="E528" s="164"/>
      <c r="F528" s="164"/>
      <c r="G528" s="123"/>
      <c r="H528" s="121"/>
      <c r="I528" s="121"/>
    </row>
    <row r="529" spans="1:9">
      <c r="A529" s="119"/>
      <c r="B529" s="119"/>
      <c r="C529" s="120"/>
      <c r="D529" s="121"/>
      <c r="E529" s="164"/>
      <c r="F529" s="164"/>
      <c r="G529" s="123"/>
      <c r="H529" s="121"/>
      <c r="I529" s="121"/>
    </row>
    <row r="530" spans="1:9">
      <c r="A530" s="119"/>
      <c r="B530" s="119"/>
      <c r="C530" s="120"/>
      <c r="D530" s="121"/>
      <c r="E530" s="164"/>
      <c r="F530" s="164"/>
      <c r="G530" s="123"/>
      <c r="H530" s="121"/>
      <c r="I530" s="121"/>
    </row>
    <row r="531" spans="1:9">
      <c r="A531" s="119"/>
      <c r="B531" s="119"/>
      <c r="C531" s="120"/>
      <c r="D531" s="121"/>
      <c r="E531" s="164"/>
      <c r="F531" s="164"/>
      <c r="G531" s="123"/>
      <c r="H531" s="121"/>
      <c r="I531" s="121"/>
    </row>
    <row r="532" spans="1:9">
      <c r="A532" s="119"/>
      <c r="B532" s="119"/>
      <c r="C532" s="120"/>
      <c r="D532" s="121"/>
      <c r="E532" s="164"/>
      <c r="F532" s="164"/>
      <c r="G532" s="123"/>
      <c r="H532" s="121"/>
      <c r="I532" s="121"/>
    </row>
    <row r="533" spans="1:9">
      <c r="A533" s="119"/>
      <c r="B533" s="119"/>
      <c r="C533" s="120"/>
      <c r="D533" s="121"/>
      <c r="E533" s="164"/>
      <c r="F533" s="164"/>
      <c r="G533" s="123"/>
      <c r="H533" s="121"/>
      <c r="I533" s="121"/>
    </row>
    <row r="534" spans="1:9">
      <c r="A534" s="119"/>
      <c r="B534" s="119"/>
      <c r="C534" s="120"/>
      <c r="D534" s="121"/>
      <c r="E534" s="164"/>
      <c r="F534" s="164"/>
      <c r="G534" s="123"/>
      <c r="H534" s="121"/>
      <c r="I534" s="121"/>
    </row>
    <row r="535" spans="1:9">
      <c r="A535" s="119"/>
      <c r="B535" s="119"/>
      <c r="C535" s="120"/>
      <c r="D535" s="121"/>
      <c r="E535" s="164"/>
      <c r="F535" s="164"/>
      <c r="G535" s="123"/>
      <c r="H535" s="121"/>
      <c r="I535" s="121"/>
    </row>
    <row r="536" spans="1:9">
      <c r="A536" s="119"/>
      <c r="B536" s="119"/>
      <c r="C536" s="120"/>
      <c r="D536" s="121"/>
      <c r="E536" s="164"/>
      <c r="F536" s="164"/>
      <c r="G536" s="123"/>
      <c r="H536" s="121"/>
      <c r="I536" s="121"/>
    </row>
    <row r="537" spans="1:9">
      <c r="A537" s="119"/>
      <c r="B537" s="119"/>
      <c r="C537" s="120"/>
      <c r="D537" s="121"/>
      <c r="E537" s="164"/>
      <c r="F537" s="164"/>
      <c r="G537" s="123"/>
      <c r="H537" s="121"/>
      <c r="I537" s="121"/>
    </row>
    <row r="538" spans="1:9">
      <c r="A538" s="119"/>
      <c r="B538" s="119"/>
      <c r="C538" s="120"/>
      <c r="D538" s="121"/>
      <c r="E538" s="164"/>
      <c r="F538" s="164"/>
      <c r="G538" s="123"/>
      <c r="H538" s="121"/>
      <c r="I538" s="121"/>
    </row>
    <row r="539" spans="1:9">
      <c r="A539" s="119"/>
      <c r="B539" s="119"/>
      <c r="C539" s="120"/>
      <c r="D539" s="121"/>
      <c r="E539" s="164"/>
      <c r="F539" s="164"/>
      <c r="G539" s="123"/>
      <c r="H539" s="121"/>
      <c r="I539" s="121"/>
    </row>
    <row r="540" spans="1:9">
      <c r="A540" s="119"/>
      <c r="B540" s="119"/>
      <c r="C540" s="120"/>
      <c r="D540" s="121"/>
      <c r="E540" s="164"/>
      <c r="F540" s="164"/>
      <c r="G540" s="123"/>
      <c r="H540" s="121"/>
      <c r="I540" s="121"/>
    </row>
    <row r="541" spans="1:9">
      <c r="A541" s="119"/>
      <c r="B541" s="119"/>
      <c r="C541" s="120"/>
      <c r="D541" s="121"/>
      <c r="E541" s="164"/>
      <c r="F541" s="164"/>
      <c r="G541" s="123"/>
      <c r="H541" s="121"/>
      <c r="I541" s="121"/>
    </row>
  </sheetData>
  <mergeCells count="120">
    <mergeCell ref="E29:E37"/>
    <mergeCell ref="F29:F37"/>
    <mergeCell ref="E38:E46"/>
    <mergeCell ref="F38:F46"/>
    <mergeCell ref="E47:E55"/>
    <mergeCell ref="F47:F55"/>
    <mergeCell ref="E2:E10"/>
    <mergeCell ref="F2:F10"/>
    <mergeCell ref="E11:E19"/>
    <mergeCell ref="F11:F19"/>
    <mergeCell ref="E20:E28"/>
    <mergeCell ref="F20:F28"/>
    <mergeCell ref="E83:E91"/>
    <mergeCell ref="F83:F91"/>
    <mergeCell ref="E92:E100"/>
    <mergeCell ref="F92:F100"/>
    <mergeCell ref="E101:E109"/>
    <mergeCell ref="F101:F109"/>
    <mergeCell ref="E56:E64"/>
    <mergeCell ref="F56:F64"/>
    <mergeCell ref="E65:E73"/>
    <mergeCell ref="F65:F73"/>
    <mergeCell ref="E74:E82"/>
    <mergeCell ref="F74:F82"/>
    <mergeCell ref="E137:E145"/>
    <mergeCell ref="F137:F145"/>
    <mergeCell ref="E146:E154"/>
    <mergeCell ref="F146:F154"/>
    <mergeCell ref="E155:E163"/>
    <mergeCell ref="F155:F163"/>
    <mergeCell ref="E110:E118"/>
    <mergeCell ref="F110:F118"/>
    <mergeCell ref="E119:E127"/>
    <mergeCell ref="F119:F127"/>
    <mergeCell ref="E128:E136"/>
    <mergeCell ref="F128:F136"/>
    <mergeCell ref="E191:E199"/>
    <mergeCell ref="F191:F199"/>
    <mergeCell ref="E200:E208"/>
    <mergeCell ref="F200:F208"/>
    <mergeCell ref="E209:E217"/>
    <mergeCell ref="F209:F217"/>
    <mergeCell ref="E164:E172"/>
    <mergeCell ref="F164:F172"/>
    <mergeCell ref="E173:E181"/>
    <mergeCell ref="F173:F181"/>
    <mergeCell ref="E182:E190"/>
    <mergeCell ref="F182:F190"/>
    <mergeCell ref="E245:E253"/>
    <mergeCell ref="F245:F253"/>
    <mergeCell ref="E254:E262"/>
    <mergeCell ref="F254:F262"/>
    <mergeCell ref="E263:E271"/>
    <mergeCell ref="F263:F271"/>
    <mergeCell ref="E218:E226"/>
    <mergeCell ref="F218:F226"/>
    <mergeCell ref="E227:E235"/>
    <mergeCell ref="F227:F235"/>
    <mergeCell ref="E236:E244"/>
    <mergeCell ref="F236:F244"/>
    <mergeCell ref="E299:E307"/>
    <mergeCell ref="F299:F307"/>
    <mergeCell ref="E308:E316"/>
    <mergeCell ref="F308:F316"/>
    <mergeCell ref="E317:E325"/>
    <mergeCell ref="F317:F325"/>
    <mergeCell ref="E272:E280"/>
    <mergeCell ref="F272:F280"/>
    <mergeCell ref="E281:E289"/>
    <mergeCell ref="F281:F289"/>
    <mergeCell ref="E290:E298"/>
    <mergeCell ref="F290:F298"/>
    <mergeCell ref="E353:E361"/>
    <mergeCell ref="F353:F361"/>
    <mergeCell ref="E362:E370"/>
    <mergeCell ref="F362:F370"/>
    <mergeCell ref="E371:E379"/>
    <mergeCell ref="F371:F379"/>
    <mergeCell ref="E326:E334"/>
    <mergeCell ref="F326:F334"/>
    <mergeCell ref="E335:E343"/>
    <mergeCell ref="F335:F343"/>
    <mergeCell ref="E344:E352"/>
    <mergeCell ref="F344:F352"/>
    <mergeCell ref="E407:E415"/>
    <mergeCell ref="F407:F415"/>
    <mergeCell ref="E416:E424"/>
    <mergeCell ref="F416:F424"/>
    <mergeCell ref="E425:E433"/>
    <mergeCell ref="F425:F433"/>
    <mergeCell ref="E380:E388"/>
    <mergeCell ref="F380:F388"/>
    <mergeCell ref="E389:E397"/>
    <mergeCell ref="F389:F397"/>
    <mergeCell ref="E398:E406"/>
    <mergeCell ref="F398:F406"/>
    <mergeCell ref="E461:E469"/>
    <mergeCell ref="F461:F469"/>
    <mergeCell ref="E470:E478"/>
    <mergeCell ref="F470:F478"/>
    <mergeCell ref="E479:E487"/>
    <mergeCell ref="F479:F487"/>
    <mergeCell ref="E434:E442"/>
    <mergeCell ref="F434:F442"/>
    <mergeCell ref="E443:E451"/>
    <mergeCell ref="F443:F451"/>
    <mergeCell ref="E452:E460"/>
    <mergeCell ref="F452:F460"/>
    <mergeCell ref="E515:E523"/>
    <mergeCell ref="F515:F523"/>
    <mergeCell ref="E524:E532"/>
    <mergeCell ref="F524:F532"/>
    <mergeCell ref="E533:E541"/>
    <mergeCell ref="F533:F541"/>
    <mergeCell ref="E488:E496"/>
    <mergeCell ref="F488:F496"/>
    <mergeCell ref="E497:E505"/>
    <mergeCell ref="F497:F505"/>
    <mergeCell ref="E506:E514"/>
    <mergeCell ref="F506:F514"/>
  </mergeCells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EC09-E2D0-4027-9DAD-752452286E2F}">
  <sheetPr codeName="Sheet4"/>
  <dimension ref="A1:W148"/>
  <sheetViews>
    <sheetView topLeftCell="A133" zoomScale="85" zoomScaleNormal="85" workbookViewId="0">
      <selection activeCell="D111" sqref="D111"/>
    </sheetView>
  </sheetViews>
  <sheetFormatPr defaultColWidth="12.453125" defaultRowHeight="13.2"/>
  <cols>
    <col min="1" max="1" width="0.81640625" style="132" customWidth="1"/>
    <col min="2" max="2" width="11.36328125" style="132" bestFit="1" customWidth="1"/>
    <col min="3" max="3" width="13.1796875" style="132" bestFit="1" customWidth="1"/>
    <col min="4" max="7" width="9" style="132" customWidth="1"/>
    <col min="8" max="10" width="9" style="158" customWidth="1"/>
    <col min="11" max="18" width="9" style="132" customWidth="1"/>
    <col min="19" max="19" width="36" style="132" customWidth="1"/>
    <col min="20" max="16384" width="12.453125" style="132"/>
  </cols>
  <sheetData>
    <row r="1" spans="1:19" ht="21">
      <c r="A1" s="165" t="s">
        <v>150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</row>
    <row r="2" spans="1:19" ht="10.050000000000001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</row>
    <row r="3" spans="1:19" s="134" customFormat="1" ht="15" customHeight="1">
      <c r="A3" s="71"/>
      <c r="B3" s="167" t="s">
        <v>191</v>
      </c>
      <c r="C3" s="167"/>
      <c r="D3" s="167"/>
      <c r="E3" s="167"/>
      <c r="F3" s="167"/>
      <c r="G3" s="167"/>
      <c r="H3" s="168" t="s">
        <v>152</v>
      </c>
      <c r="I3" s="168"/>
      <c r="J3" s="168"/>
      <c r="K3" s="168"/>
      <c r="L3" s="168"/>
      <c r="M3" s="168"/>
      <c r="N3" s="169" t="s">
        <v>153</v>
      </c>
      <c r="O3" s="168"/>
      <c r="P3" s="168"/>
      <c r="Q3" s="168"/>
      <c r="R3" s="170"/>
      <c r="S3" s="171" t="s">
        <v>190</v>
      </c>
    </row>
    <row r="4" spans="1:19" ht="15" customHeight="1">
      <c r="A4" s="135"/>
      <c r="B4" s="171" t="s">
        <v>156</v>
      </c>
      <c r="C4" s="171" t="s">
        <v>157</v>
      </c>
      <c r="D4" s="172" t="s">
        <v>43</v>
      </c>
      <c r="E4" s="173" t="s">
        <v>187</v>
      </c>
      <c r="F4" s="173" t="s">
        <v>188</v>
      </c>
      <c r="G4" s="174" t="s">
        <v>54</v>
      </c>
      <c r="H4" s="175" t="s">
        <v>75</v>
      </c>
      <c r="I4" s="175"/>
      <c r="J4" s="175"/>
      <c r="K4" s="176" t="s">
        <v>76</v>
      </c>
      <c r="L4" s="175"/>
      <c r="M4" s="175"/>
      <c r="N4" s="177" t="s">
        <v>77</v>
      </c>
      <c r="O4" s="136" t="s">
        <v>78</v>
      </c>
      <c r="P4" s="137"/>
      <c r="Q4" s="138" t="s">
        <v>79</v>
      </c>
      <c r="R4" s="137"/>
      <c r="S4" s="171"/>
    </row>
    <row r="5" spans="1:19" ht="18" customHeight="1">
      <c r="A5" s="139"/>
      <c r="B5" s="171"/>
      <c r="C5" s="171"/>
      <c r="D5" s="172"/>
      <c r="E5" s="173"/>
      <c r="F5" s="173"/>
      <c r="G5" s="174"/>
      <c r="H5" s="140"/>
      <c r="I5" s="133"/>
      <c r="J5" s="133"/>
      <c r="K5" s="133">
        <v>1</v>
      </c>
      <c r="L5" s="133">
        <v>2</v>
      </c>
      <c r="M5" s="133">
        <v>3</v>
      </c>
      <c r="N5" s="178"/>
      <c r="O5" s="133" t="s">
        <v>158</v>
      </c>
      <c r="P5" s="137" t="s">
        <v>159</v>
      </c>
      <c r="Q5" s="133" t="s">
        <v>160</v>
      </c>
      <c r="R5" s="137" t="s">
        <v>161</v>
      </c>
      <c r="S5" s="171"/>
    </row>
    <row r="6" spans="1:19" ht="18" customHeight="1">
      <c r="A6" s="141"/>
      <c r="B6" s="114" t="s">
        <v>252</v>
      </c>
      <c r="C6" s="115" t="s">
        <v>80</v>
      </c>
      <c r="D6" s="142"/>
      <c r="E6" s="142">
        <v>0.04</v>
      </c>
      <c r="F6" s="142"/>
      <c r="G6" s="143" t="s">
        <v>342</v>
      </c>
      <c r="H6" s="144"/>
      <c r="I6" s="145"/>
      <c r="J6" s="145"/>
      <c r="K6" s="146" t="str">
        <f t="shared" ref="K6:M37" si="0">IF(ISERR(H6/H6)=TRUE," ",H6-$D6)</f>
        <v xml:space="preserve"> </v>
      </c>
      <c r="L6" s="146" t="str">
        <f t="shared" si="0"/>
        <v xml:space="preserve"> </v>
      </c>
      <c r="M6" s="146" t="str">
        <f t="shared" si="0"/>
        <v xml:space="preserve"> </v>
      </c>
      <c r="N6" s="147" t="str">
        <f t="shared" ref="N6:N69" si="1">IF(ISERR(H6/H6)=TRUE," ",AVERAGE(H6:J6))</f>
        <v xml:space="preserve"> </v>
      </c>
      <c r="O6" s="148" t="str">
        <f t="shared" ref="O6:O69" si="2">IF(ISERR(E6/E6)=TRUE," ",IF(ISERR(H6/H6)=TRUE," ",IF(ISNUMBER($H6)=FALSE," ",IF(MAX($H6:$J6)&lt;$D6,0,(MAX($H6:$J6)-$D6)/$E6))))</f>
        <v xml:space="preserve"> </v>
      </c>
      <c r="P6" s="149" t="str">
        <f t="shared" ref="P6:P69" si="3">IF(ISERR(F6/D6)=TRUE," ",IF(ISERR(F6/F6)=TRUE," ",IF(ISERR(H6/H6)=TRUE," ",IF(ISNUMBER(H6)=FALSE," ",IF(MIN(H6:J6)&gt;$D6,0,($D6-MIN(H6:J6))/-F6)))))</f>
        <v xml:space="preserve"> </v>
      </c>
      <c r="Q6" s="147" t="str">
        <f t="shared" ref="Q6:Q69" si="4">IF(ISNUMBER($O6)=TRUE,IF($O6&gt;0.651,IF($O6&gt;1.001,"Reject","Alert"),""),"")</f>
        <v/>
      </c>
      <c r="R6" s="147" t="str">
        <f t="shared" ref="R6:R69" si="5">IF(H6="","",IF(ISERR(F6/F6)=TRUE,"",IF(ISERR(F6/D6)=TRUE,IF((F6-MIN(H6:J6))&gt;0.001,"Reject",""),IF(ISNUMBER($P6)=TRUE,IF($P6&gt;0.651,IF($P6&gt;1.001,"Reject","Alert"),""),""))))</f>
        <v/>
      </c>
      <c r="S6" s="150"/>
    </row>
    <row r="7" spans="1:19" ht="18" customHeight="1">
      <c r="A7" s="141"/>
      <c r="B7" s="114" t="s">
        <v>253</v>
      </c>
      <c r="C7" s="115" t="s">
        <v>73</v>
      </c>
      <c r="D7" s="142">
        <v>3.798</v>
      </c>
      <c r="E7" s="142">
        <v>2.5000000000000001E-2</v>
      </c>
      <c r="F7" s="142">
        <v>-0.02</v>
      </c>
      <c r="G7" s="143" t="s">
        <v>345</v>
      </c>
      <c r="H7" s="144"/>
      <c r="I7" s="145"/>
      <c r="J7" s="145"/>
      <c r="K7" s="146" t="str">
        <f t="shared" si="0"/>
        <v xml:space="preserve"> </v>
      </c>
      <c r="L7" s="146" t="str">
        <f t="shared" si="0"/>
        <v xml:space="preserve"> </v>
      </c>
      <c r="M7" s="146" t="str">
        <f t="shared" si="0"/>
        <v xml:space="preserve"> </v>
      </c>
      <c r="N7" s="147" t="str">
        <f t="shared" si="1"/>
        <v xml:space="preserve"> </v>
      </c>
      <c r="O7" s="148" t="str">
        <f t="shared" si="2"/>
        <v xml:space="preserve"> </v>
      </c>
      <c r="P7" s="149" t="str">
        <f t="shared" si="3"/>
        <v xml:space="preserve"> </v>
      </c>
      <c r="Q7" s="147" t="str">
        <f t="shared" si="4"/>
        <v/>
      </c>
      <c r="R7" s="147" t="str">
        <f t="shared" si="5"/>
        <v/>
      </c>
      <c r="S7" s="150"/>
    </row>
    <row r="8" spans="1:19" ht="18" customHeight="1">
      <c r="A8" s="141"/>
      <c r="B8" s="114" t="s">
        <v>254</v>
      </c>
      <c r="C8" s="115" t="s">
        <v>73</v>
      </c>
      <c r="D8" s="142">
        <v>3.798</v>
      </c>
      <c r="E8" s="142">
        <v>2.5000000000000001E-2</v>
      </c>
      <c r="F8" s="142">
        <v>-0.02</v>
      </c>
      <c r="G8" s="143" t="s">
        <v>345</v>
      </c>
      <c r="H8" s="144"/>
      <c r="I8" s="145"/>
      <c r="J8" s="145"/>
      <c r="K8" s="146" t="str">
        <f t="shared" si="0"/>
        <v xml:space="preserve"> </v>
      </c>
      <c r="L8" s="146" t="str">
        <f t="shared" si="0"/>
        <v xml:space="preserve"> </v>
      </c>
      <c r="M8" s="146" t="str">
        <f t="shared" si="0"/>
        <v xml:space="preserve"> </v>
      </c>
      <c r="N8" s="147" t="str">
        <f t="shared" si="1"/>
        <v xml:space="preserve"> </v>
      </c>
      <c r="O8" s="148" t="str">
        <f t="shared" si="2"/>
        <v xml:space="preserve"> </v>
      </c>
      <c r="P8" s="149" t="str">
        <f t="shared" si="3"/>
        <v xml:space="preserve"> </v>
      </c>
      <c r="Q8" s="147" t="str">
        <f t="shared" si="4"/>
        <v/>
      </c>
      <c r="R8" s="147" t="str">
        <f t="shared" si="5"/>
        <v/>
      </c>
      <c r="S8" s="150"/>
    </row>
    <row r="9" spans="1:19" ht="18" customHeight="1">
      <c r="A9" s="141"/>
      <c r="B9" s="114" t="s">
        <v>255</v>
      </c>
      <c r="C9" s="115" t="s">
        <v>82</v>
      </c>
      <c r="D9" s="142"/>
      <c r="E9" s="142">
        <v>1.4999999999999999E-2</v>
      </c>
      <c r="F9" s="142"/>
      <c r="G9" s="143" t="s">
        <v>345</v>
      </c>
      <c r="H9" s="144"/>
      <c r="I9" s="145"/>
      <c r="J9" s="145"/>
      <c r="K9" s="146" t="str">
        <f t="shared" si="0"/>
        <v xml:space="preserve"> </v>
      </c>
      <c r="L9" s="146" t="str">
        <f t="shared" si="0"/>
        <v xml:space="preserve"> </v>
      </c>
      <c r="M9" s="146" t="str">
        <f t="shared" si="0"/>
        <v xml:space="preserve"> </v>
      </c>
      <c r="N9" s="147" t="str">
        <f t="shared" si="1"/>
        <v xml:space="preserve"> </v>
      </c>
      <c r="O9" s="148" t="str">
        <f t="shared" si="2"/>
        <v xml:space="preserve"> </v>
      </c>
      <c r="P9" s="149" t="str">
        <f t="shared" si="3"/>
        <v xml:space="preserve"> </v>
      </c>
      <c r="Q9" s="147" t="str">
        <f t="shared" si="4"/>
        <v/>
      </c>
      <c r="R9" s="147" t="str">
        <f t="shared" si="5"/>
        <v/>
      </c>
      <c r="S9" s="150"/>
    </row>
    <row r="10" spans="1:19" ht="18" customHeight="1">
      <c r="A10" s="141"/>
      <c r="B10" s="114" t="s">
        <v>256</v>
      </c>
      <c r="C10" s="115" t="s">
        <v>82</v>
      </c>
      <c r="D10" s="142"/>
      <c r="E10" s="142">
        <v>1.4999999999999999E-2</v>
      </c>
      <c r="F10" s="142"/>
      <c r="G10" s="143" t="s">
        <v>342</v>
      </c>
      <c r="H10" s="144"/>
      <c r="I10" s="145"/>
      <c r="J10" s="145"/>
      <c r="K10" s="146" t="str">
        <f t="shared" si="0"/>
        <v xml:space="preserve"> </v>
      </c>
      <c r="L10" s="146" t="str">
        <f t="shared" si="0"/>
        <v xml:space="preserve"> </v>
      </c>
      <c r="M10" s="146" t="str">
        <f t="shared" si="0"/>
        <v xml:space="preserve"> </v>
      </c>
      <c r="N10" s="147" t="str">
        <f t="shared" si="1"/>
        <v xml:space="preserve"> </v>
      </c>
      <c r="O10" s="148" t="str">
        <f t="shared" si="2"/>
        <v xml:space="preserve"> </v>
      </c>
      <c r="P10" s="149" t="str">
        <f t="shared" si="3"/>
        <v xml:space="preserve"> </v>
      </c>
      <c r="Q10" s="147" t="str">
        <f t="shared" si="4"/>
        <v/>
      </c>
      <c r="R10" s="147" t="str">
        <f t="shared" si="5"/>
        <v/>
      </c>
      <c r="S10" s="150"/>
    </row>
    <row r="11" spans="1:19" ht="18" customHeight="1">
      <c r="A11" s="141"/>
      <c r="B11" s="114" t="s">
        <v>257</v>
      </c>
      <c r="C11" s="115" t="s">
        <v>73</v>
      </c>
      <c r="D11" s="142">
        <v>3.8180000000000001</v>
      </c>
      <c r="E11" s="142">
        <v>0.02</v>
      </c>
      <c r="F11" s="142">
        <v>-0.02</v>
      </c>
      <c r="G11" s="143" t="s">
        <v>345</v>
      </c>
      <c r="H11" s="144"/>
      <c r="I11" s="145"/>
      <c r="J11" s="145"/>
      <c r="K11" s="146" t="str">
        <f t="shared" si="0"/>
        <v xml:space="preserve"> </v>
      </c>
      <c r="L11" s="146" t="str">
        <f t="shared" si="0"/>
        <v xml:space="preserve"> </v>
      </c>
      <c r="M11" s="146" t="str">
        <f t="shared" si="0"/>
        <v xml:space="preserve"> </v>
      </c>
      <c r="N11" s="147" t="str">
        <f t="shared" si="1"/>
        <v xml:space="preserve"> </v>
      </c>
      <c r="O11" s="148" t="str">
        <f t="shared" si="2"/>
        <v xml:space="preserve"> </v>
      </c>
      <c r="P11" s="149" t="str">
        <f t="shared" si="3"/>
        <v xml:space="preserve"> </v>
      </c>
      <c r="Q11" s="147" t="str">
        <f t="shared" si="4"/>
        <v/>
      </c>
      <c r="R11" s="147" t="str">
        <f t="shared" si="5"/>
        <v/>
      </c>
      <c r="S11" s="150"/>
    </row>
    <row r="12" spans="1:19" ht="18" customHeight="1">
      <c r="A12" s="141"/>
      <c r="B12" s="114" t="s">
        <v>258</v>
      </c>
      <c r="C12" s="115" t="s">
        <v>73</v>
      </c>
      <c r="D12" s="142">
        <v>3.8180000000000001</v>
      </c>
      <c r="E12" s="142">
        <v>0.02</v>
      </c>
      <c r="F12" s="142">
        <v>-0.02</v>
      </c>
      <c r="G12" s="143" t="s">
        <v>345</v>
      </c>
      <c r="H12" s="144"/>
      <c r="I12" s="145"/>
      <c r="J12" s="145"/>
      <c r="K12" s="146" t="str">
        <f t="shared" si="0"/>
        <v xml:space="preserve"> </v>
      </c>
      <c r="L12" s="146" t="str">
        <f t="shared" si="0"/>
        <v xml:space="preserve"> </v>
      </c>
      <c r="M12" s="146" t="str">
        <f t="shared" si="0"/>
        <v xml:space="preserve"> </v>
      </c>
      <c r="N12" s="147" t="str">
        <f t="shared" si="1"/>
        <v xml:space="preserve"> </v>
      </c>
      <c r="O12" s="148" t="str">
        <f t="shared" si="2"/>
        <v xml:space="preserve"> </v>
      </c>
      <c r="P12" s="149" t="str">
        <f t="shared" si="3"/>
        <v xml:space="preserve"> </v>
      </c>
      <c r="Q12" s="147" t="str">
        <f t="shared" si="4"/>
        <v/>
      </c>
      <c r="R12" s="147" t="str">
        <f t="shared" si="5"/>
        <v/>
      </c>
      <c r="S12" s="150"/>
    </row>
    <row r="13" spans="1:19" ht="18" customHeight="1">
      <c r="A13" s="141"/>
      <c r="B13" s="114" t="s">
        <v>259</v>
      </c>
      <c r="C13" s="115" t="s">
        <v>83</v>
      </c>
      <c r="D13" s="142"/>
      <c r="E13" s="142">
        <v>6.7999999999999996E-3</v>
      </c>
      <c r="F13" s="142"/>
      <c r="G13" s="143" t="s">
        <v>343</v>
      </c>
      <c r="H13" s="144"/>
      <c r="I13" s="145"/>
      <c r="J13" s="145"/>
      <c r="K13" s="146" t="str">
        <f t="shared" si="0"/>
        <v xml:space="preserve"> </v>
      </c>
      <c r="L13" s="146" t="str">
        <f t="shared" si="0"/>
        <v xml:space="preserve"> </v>
      </c>
      <c r="M13" s="146" t="str">
        <f t="shared" si="0"/>
        <v xml:space="preserve"> </v>
      </c>
      <c r="N13" s="147" t="str">
        <f t="shared" si="1"/>
        <v xml:space="preserve"> </v>
      </c>
      <c r="O13" s="148" t="str">
        <f t="shared" si="2"/>
        <v xml:space="preserve"> </v>
      </c>
      <c r="P13" s="149" t="str">
        <f t="shared" si="3"/>
        <v xml:space="preserve"> </v>
      </c>
      <c r="Q13" s="147" t="str">
        <f t="shared" si="4"/>
        <v/>
      </c>
      <c r="R13" s="147" t="str">
        <f t="shared" si="5"/>
        <v/>
      </c>
      <c r="S13" s="150"/>
    </row>
    <row r="14" spans="1:19" ht="18" customHeight="1">
      <c r="A14" s="141"/>
      <c r="B14" s="114" t="s">
        <v>193</v>
      </c>
      <c r="C14" s="115" t="s">
        <v>83</v>
      </c>
      <c r="D14" s="142"/>
      <c r="E14" s="142">
        <v>6.7999999999999996E-3</v>
      </c>
      <c r="F14" s="142"/>
      <c r="G14" s="143" t="s">
        <v>343</v>
      </c>
      <c r="H14" s="144"/>
      <c r="I14" s="145"/>
      <c r="J14" s="145"/>
      <c r="K14" s="146" t="str">
        <f t="shared" si="0"/>
        <v xml:space="preserve"> </v>
      </c>
      <c r="L14" s="146" t="str">
        <f t="shared" si="0"/>
        <v xml:space="preserve"> </v>
      </c>
      <c r="M14" s="146" t="str">
        <f t="shared" si="0"/>
        <v xml:space="preserve"> </v>
      </c>
      <c r="N14" s="147" t="str">
        <f t="shared" si="1"/>
        <v xml:space="preserve"> </v>
      </c>
      <c r="O14" s="148" t="str">
        <f t="shared" si="2"/>
        <v xml:space="preserve"> </v>
      </c>
      <c r="P14" s="149" t="str">
        <f t="shared" si="3"/>
        <v xml:space="preserve"> </v>
      </c>
      <c r="Q14" s="147" t="str">
        <f t="shared" si="4"/>
        <v/>
      </c>
      <c r="R14" s="147" t="str">
        <f t="shared" si="5"/>
        <v/>
      </c>
      <c r="S14" s="150"/>
    </row>
    <row r="15" spans="1:19" ht="18" customHeight="1">
      <c r="A15" s="141"/>
      <c r="B15" s="114" t="s">
        <v>194</v>
      </c>
      <c r="C15" s="115" t="s">
        <v>83</v>
      </c>
      <c r="D15" s="142"/>
      <c r="E15" s="142">
        <v>6.7999999999999996E-3</v>
      </c>
      <c r="F15" s="142"/>
      <c r="G15" s="143" t="s">
        <v>343</v>
      </c>
      <c r="H15" s="144"/>
      <c r="I15" s="145"/>
      <c r="J15" s="145"/>
      <c r="K15" s="146" t="str">
        <f t="shared" si="0"/>
        <v xml:space="preserve"> </v>
      </c>
      <c r="L15" s="146" t="str">
        <f t="shared" si="0"/>
        <v xml:space="preserve"> </v>
      </c>
      <c r="M15" s="146" t="str">
        <f t="shared" si="0"/>
        <v xml:space="preserve"> </v>
      </c>
      <c r="N15" s="147" t="str">
        <f t="shared" si="1"/>
        <v xml:space="preserve"> </v>
      </c>
      <c r="O15" s="148" t="str">
        <f t="shared" si="2"/>
        <v xml:space="preserve"> </v>
      </c>
      <c r="P15" s="149" t="str">
        <f t="shared" si="3"/>
        <v xml:space="preserve"> </v>
      </c>
      <c r="Q15" s="147" t="str">
        <f t="shared" si="4"/>
        <v/>
      </c>
      <c r="R15" s="147" t="str">
        <f t="shared" si="5"/>
        <v/>
      </c>
      <c r="S15" s="150"/>
    </row>
    <row r="16" spans="1:19" ht="18" customHeight="1">
      <c r="A16" s="141"/>
      <c r="B16" s="114" t="s">
        <v>260</v>
      </c>
      <c r="C16" s="115" t="s">
        <v>85</v>
      </c>
      <c r="D16" s="142"/>
      <c r="E16" s="142">
        <v>6.7999999999999996E-3</v>
      </c>
      <c r="F16" s="142"/>
      <c r="G16" s="143" t="s">
        <v>343</v>
      </c>
      <c r="H16" s="144"/>
      <c r="I16" s="145"/>
      <c r="J16" s="145"/>
      <c r="K16" s="146" t="str">
        <f t="shared" si="0"/>
        <v xml:space="preserve"> </v>
      </c>
      <c r="L16" s="146" t="str">
        <f t="shared" si="0"/>
        <v xml:space="preserve"> </v>
      </c>
      <c r="M16" s="146" t="str">
        <f t="shared" si="0"/>
        <v xml:space="preserve"> </v>
      </c>
      <c r="N16" s="147" t="str">
        <f t="shared" si="1"/>
        <v xml:space="preserve"> </v>
      </c>
      <c r="O16" s="148" t="str">
        <f t="shared" si="2"/>
        <v xml:space="preserve"> </v>
      </c>
      <c r="P16" s="149" t="str">
        <f t="shared" si="3"/>
        <v xml:space="preserve"> </v>
      </c>
      <c r="Q16" s="147" t="str">
        <f t="shared" si="4"/>
        <v/>
      </c>
      <c r="R16" s="147" t="str">
        <f t="shared" si="5"/>
        <v/>
      </c>
      <c r="S16" s="150"/>
    </row>
    <row r="17" spans="1:19" ht="18" customHeight="1">
      <c r="A17" s="141"/>
      <c r="B17" s="114" t="s">
        <v>195</v>
      </c>
      <c r="C17" s="115" t="s">
        <v>85</v>
      </c>
      <c r="D17" s="142"/>
      <c r="E17" s="142">
        <v>6.7999999999999996E-3</v>
      </c>
      <c r="F17" s="142"/>
      <c r="G17" s="143" t="s">
        <v>343</v>
      </c>
      <c r="H17" s="144"/>
      <c r="I17" s="145"/>
      <c r="J17" s="145"/>
      <c r="K17" s="146" t="str">
        <f t="shared" si="0"/>
        <v xml:space="preserve"> </v>
      </c>
      <c r="L17" s="146" t="str">
        <f t="shared" si="0"/>
        <v xml:space="preserve"> </v>
      </c>
      <c r="M17" s="146" t="str">
        <f t="shared" si="0"/>
        <v xml:space="preserve"> </v>
      </c>
      <c r="N17" s="147" t="str">
        <f t="shared" si="1"/>
        <v xml:space="preserve"> </v>
      </c>
      <c r="O17" s="148" t="str">
        <f t="shared" si="2"/>
        <v xml:space="preserve"> </v>
      </c>
      <c r="P17" s="149" t="str">
        <f t="shared" si="3"/>
        <v xml:space="preserve"> </v>
      </c>
      <c r="Q17" s="147" t="str">
        <f t="shared" si="4"/>
        <v/>
      </c>
      <c r="R17" s="147" t="str">
        <f t="shared" si="5"/>
        <v/>
      </c>
      <c r="S17" s="150"/>
    </row>
    <row r="18" spans="1:19" ht="18" customHeight="1">
      <c r="A18" s="141"/>
      <c r="B18" s="114" t="s">
        <v>196</v>
      </c>
      <c r="C18" s="115" t="s">
        <v>85</v>
      </c>
      <c r="D18" s="142"/>
      <c r="E18" s="142">
        <v>6.7999999999999996E-3</v>
      </c>
      <c r="F18" s="142"/>
      <c r="G18" s="143" t="s">
        <v>343</v>
      </c>
      <c r="H18" s="144"/>
      <c r="I18" s="145"/>
      <c r="J18" s="145"/>
      <c r="K18" s="146" t="str">
        <f t="shared" si="0"/>
        <v xml:space="preserve"> </v>
      </c>
      <c r="L18" s="146" t="str">
        <f t="shared" si="0"/>
        <v xml:space="preserve"> </v>
      </c>
      <c r="M18" s="146" t="str">
        <f t="shared" si="0"/>
        <v xml:space="preserve"> </v>
      </c>
      <c r="N18" s="147" t="str">
        <f t="shared" si="1"/>
        <v xml:space="preserve"> </v>
      </c>
      <c r="O18" s="148" t="str">
        <f t="shared" si="2"/>
        <v xml:space="preserve"> </v>
      </c>
      <c r="P18" s="149" t="str">
        <f t="shared" si="3"/>
        <v xml:space="preserve"> </v>
      </c>
      <c r="Q18" s="147" t="str">
        <f t="shared" si="4"/>
        <v/>
      </c>
      <c r="R18" s="147" t="str">
        <f t="shared" si="5"/>
        <v/>
      </c>
      <c r="S18" s="150"/>
    </row>
    <row r="19" spans="1:19" ht="18" customHeight="1">
      <c r="A19" s="141"/>
      <c r="B19" s="114" t="s">
        <v>261</v>
      </c>
      <c r="C19" s="115" t="s">
        <v>82</v>
      </c>
      <c r="D19" s="142"/>
      <c r="E19" s="142">
        <v>0.06</v>
      </c>
      <c r="F19" s="142"/>
      <c r="G19" s="143" t="s">
        <v>345</v>
      </c>
      <c r="H19" s="144"/>
      <c r="I19" s="145"/>
      <c r="J19" s="145"/>
      <c r="K19" s="146" t="str">
        <f t="shared" si="0"/>
        <v xml:space="preserve"> </v>
      </c>
      <c r="L19" s="146" t="str">
        <f t="shared" si="0"/>
        <v xml:space="preserve"> </v>
      </c>
      <c r="M19" s="146" t="str">
        <f t="shared" si="0"/>
        <v xml:space="preserve"> </v>
      </c>
      <c r="N19" s="147" t="str">
        <f t="shared" si="1"/>
        <v xml:space="preserve"> </v>
      </c>
      <c r="O19" s="148" t="str">
        <f t="shared" si="2"/>
        <v xml:space="preserve"> </v>
      </c>
      <c r="P19" s="149" t="str">
        <f t="shared" si="3"/>
        <v xml:space="preserve"> </v>
      </c>
      <c r="Q19" s="147" t="str">
        <f t="shared" si="4"/>
        <v/>
      </c>
      <c r="R19" s="147" t="str">
        <f t="shared" si="5"/>
        <v/>
      </c>
      <c r="S19" s="150"/>
    </row>
    <row r="20" spans="1:19" ht="18" customHeight="1">
      <c r="A20" s="141"/>
      <c r="B20" s="114" t="s">
        <v>197</v>
      </c>
      <c r="C20" s="115" t="s">
        <v>82</v>
      </c>
      <c r="D20" s="142"/>
      <c r="E20" s="142">
        <v>0.06</v>
      </c>
      <c r="F20" s="142"/>
      <c r="G20" s="143" t="s">
        <v>345</v>
      </c>
      <c r="H20" s="144"/>
      <c r="I20" s="145"/>
      <c r="J20" s="145"/>
      <c r="K20" s="146" t="str">
        <f t="shared" si="0"/>
        <v xml:space="preserve"> </v>
      </c>
      <c r="L20" s="146" t="str">
        <f t="shared" si="0"/>
        <v xml:space="preserve"> </v>
      </c>
      <c r="M20" s="146" t="str">
        <f t="shared" si="0"/>
        <v xml:space="preserve"> </v>
      </c>
      <c r="N20" s="147" t="str">
        <f t="shared" si="1"/>
        <v xml:space="preserve"> </v>
      </c>
      <c r="O20" s="148" t="str">
        <f t="shared" si="2"/>
        <v xml:space="preserve"> </v>
      </c>
      <c r="P20" s="149" t="str">
        <f t="shared" si="3"/>
        <v xml:space="preserve"> </v>
      </c>
      <c r="Q20" s="147" t="str">
        <f t="shared" si="4"/>
        <v/>
      </c>
      <c r="R20" s="147" t="str">
        <f t="shared" si="5"/>
        <v/>
      </c>
      <c r="S20" s="150"/>
    </row>
    <row r="21" spans="1:19" ht="18" customHeight="1">
      <c r="A21" s="141"/>
      <c r="B21" s="114" t="s">
        <v>262</v>
      </c>
      <c r="C21" s="115" t="s">
        <v>73</v>
      </c>
      <c r="D21" s="142">
        <v>0.48499999999999999</v>
      </c>
      <c r="E21" s="142">
        <v>0.03</v>
      </c>
      <c r="F21" s="142">
        <v>-0.03</v>
      </c>
      <c r="G21" s="143" t="s">
        <v>342</v>
      </c>
      <c r="H21" s="144"/>
      <c r="I21" s="145"/>
      <c r="J21" s="145"/>
      <c r="K21" s="146" t="str">
        <f t="shared" si="0"/>
        <v xml:space="preserve"> </v>
      </c>
      <c r="L21" s="146" t="str">
        <f t="shared" si="0"/>
        <v xml:space="preserve"> </v>
      </c>
      <c r="M21" s="146" t="str">
        <f t="shared" si="0"/>
        <v xml:space="preserve"> </v>
      </c>
      <c r="N21" s="147" t="str">
        <f t="shared" si="1"/>
        <v xml:space="preserve"> </v>
      </c>
      <c r="O21" s="148" t="str">
        <f t="shared" si="2"/>
        <v xml:space="preserve"> </v>
      </c>
      <c r="P21" s="149" t="str">
        <f t="shared" si="3"/>
        <v xml:space="preserve"> </v>
      </c>
      <c r="Q21" s="147" t="str">
        <f t="shared" si="4"/>
        <v/>
      </c>
      <c r="R21" s="147" t="str">
        <f t="shared" si="5"/>
        <v/>
      </c>
      <c r="S21" s="150"/>
    </row>
    <row r="22" spans="1:19" ht="18" customHeight="1">
      <c r="A22" s="141"/>
      <c r="B22" s="114" t="s">
        <v>263</v>
      </c>
      <c r="C22" s="115" t="s">
        <v>73</v>
      </c>
      <c r="D22" s="142">
        <v>4.04</v>
      </c>
      <c r="E22" s="142">
        <v>0.05</v>
      </c>
      <c r="F22" s="142">
        <v>-0.03</v>
      </c>
      <c r="G22" s="143" t="s">
        <v>342</v>
      </c>
      <c r="H22" s="144"/>
      <c r="I22" s="145"/>
      <c r="J22" s="145"/>
      <c r="K22" s="146" t="str">
        <f t="shared" si="0"/>
        <v xml:space="preserve"> </v>
      </c>
      <c r="L22" s="146" t="str">
        <f t="shared" si="0"/>
        <v xml:space="preserve"> </v>
      </c>
      <c r="M22" s="146" t="str">
        <f t="shared" si="0"/>
        <v xml:space="preserve"> </v>
      </c>
      <c r="N22" s="147" t="str">
        <f t="shared" si="1"/>
        <v xml:space="preserve"> </v>
      </c>
      <c r="O22" s="148" t="str">
        <f t="shared" si="2"/>
        <v xml:space="preserve"> </v>
      </c>
      <c r="P22" s="149" t="str">
        <f t="shared" si="3"/>
        <v xml:space="preserve"> </v>
      </c>
      <c r="Q22" s="147" t="str">
        <f t="shared" si="4"/>
        <v/>
      </c>
      <c r="R22" s="147" t="str">
        <f t="shared" si="5"/>
        <v/>
      </c>
      <c r="S22" s="150"/>
    </row>
    <row r="23" spans="1:19" ht="18" customHeight="1">
      <c r="A23" s="141"/>
      <c r="B23" s="114" t="s">
        <v>198</v>
      </c>
      <c r="C23" s="115" t="s">
        <v>73</v>
      </c>
      <c r="D23" s="142">
        <v>4.04</v>
      </c>
      <c r="E23" s="142">
        <v>0.05</v>
      </c>
      <c r="F23" s="142">
        <v>-0.03</v>
      </c>
      <c r="G23" s="143" t="s">
        <v>342</v>
      </c>
      <c r="H23" s="144"/>
      <c r="I23" s="145"/>
      <c r="J23" s="145"/>
      <c r="K23" s="146" t="str">
        <f t="shared" si="0"/>
        <v xml:space="preserve"> </v>
      </c>
      <c r="L23" s="146" t="str">
        <f t="shared" si="0"/>
        <v xml:space="preserve"> </v>
      </c>
      <c r="M23" s="146" t="str">
        <f t="shared" si="0"/>
        <v xml:space="preserve"> </v>
      </c>
      <c r="N23" s="147" t="str">
        <f t="shared" si="1"/>
        <v xml:space="preserve"> </v>
      </c>
      <c r="O23" s="148" t="str">
        <f t="shared" si="2"/>
        <v xml:space="preserve"> </v>
      </c>
      <c r="P23" s="149" t="str">
        <f t="shared" si="3"/>
        <v xml:space="preserve"> </v>
      </c>
      <c r="Q23" s="147" t="str">
        <f t="shared" si="4"/>
        <v/>
      </c>
      <c r="R23" s="147" t="str">
        <f t="shared" si="5"/>
        <v/>
      </c>
      <c r="S23" s="150"/>
    </row>
    <row r="24" spans="1:19" ht="18" customHeight="1">
      <c r="A24" s="141"/>
      <c r="B24" s="114" t="s">
        <v>264</v>
      </c>
      <c r="C24" s="115" t="s">
        <v>73</v>
      </c>
      <c r="D24" s="142">
        <v>18.215</v>
      </c>
      <c r="E24" s="142">
        <v>3.5000000000000003E-2</v>
      </c>
      <c r="F24" s="142">
        <v>-3.5000000000000003E-2</v>
      </c>
      <c r="G24" s="143" t="s">
        <v>345</v>
      </c>
      <c r="H24" s="144"/>
      <c r="I24" s="145"/>
      <c r="J24" s="145"/>
      <c r="K24" s="146" t="str">
        <f t="shared" si="0"/>
        <v xml:space="preserve"> </v>
      </c>
      <c r="L24" s="146" t="str">
        <f t="shared" si="0"/>
        <v xml:space="preserve"> </v>
      </c>
      <c r="M24" s="146" t="str">
        <f t="shared" si="0"/>
        <v xml:space="preserve"> </v>
      </c>
      <c r="N24" s="147" t="str">
        <f t="shared" si="1"/>
        <v xml:space="preserve"> </v>
      </c>
      <c r="O24" s="148" t="str">
        <f t="shared" si="2"/>
        <v xml:space="preserve"> </v>
      </c>
      <c r="P24" s="149" t="str">
        <f t="shared" si="3"/>
        <v xml:space="preserve"> </v>
      </c>
      <c r="Q24" s="147" t="str">
        <f t="shared" si="4"/>
        <v/>
      </c>
      <c r="R24" s="147" t="str">
        <f t="shared" si="5"/>
        <v/>
      </c>
      <c r="S24" s="150"/>
    </row>
    <row r="25" spans="1:19" ht="18" customHeight="1">
      <c r="A25" s="141"/>
      <c r="B25" s="114" t="s">
        <v>199</v>
      </c>
      <c r="C25" s="115" t="s">
        <v>73</v>
      </c>
      <c r="D25" s="142">
        <v>18.215</v>
      </c>
      <c r="E25" s="142">
        <v>3.5000000000000003E-2</v>
      </c>
      <c r="F25" s="142">
        <v>-3.5000000000000003E-2</v>
      </c>
      <c r="G25" s="143" t="s">
        <v>345</v>
      </c>
      <c r="H25" s="144"/>
      <c r="I25" s="145"/>
      <c r="J25" s="145"/>
      <c r="K25" s="146" t="str">
        <f t="shared" si="0"/>
        <v xml:space="preserve"> </v>
      </c>
      <c r="L25" s="146" t="str">
        <f t="shared" si="0"/>
        <v xml:space="preserve"> </v>
      </c>
      <c r="M25" s="146" t="str">
        <f t="shared" si="0"/>
        <v xml:space="preserve"> </v>
      </c>
      <c r="N25" s="147" t="str">
        <f t="shared" si="1"/>
        <v xml:space="preserve"> </v>
      </c>
      <c r="O25" s="148" t="str">
        <f t="shared" si="2"/>
        <v xml:space="preserve"> </v>
      </c>
      <c r="P25" s="149" t="str">
        <f t="shared" si="3"/>
        <v xml:space="preserve"> </v>
      </c>
      <c r="Q25" s="147" t="str">
        <f t="shared" si="4"/>
        <v/>
      </c>
      <c r="R25" s="147" t="str">
        <f t="shared" si="5"/>
        <v/>
      </c>
      <c r="S25" s="150"/>
    </row>
    <row r="26" spans="1:19" ht="18" customHeight="1">
      <c r="A26" s="141"/>
      <c r="B26" s="114" t="s">
        <v>200</v>
      </c>
      <c r="C26" s="115" t="s">
        <v>73</v>
      </c>
      <c r="D26" s="142">
        <v>18.215</v>
      </c>
      <c r="E26" s="142">
        <v>3.5000000000000003E-2</v>
      </c>
      <c r="F26" s="142">
        <v>-3.5000000000000003E-2</v>
      </c>
      <c r="G26" s="143" t="s">
        <v>345</v>
      </c>
      <c r="H26" s="144"/>
      <c r="I26" s="145"/>
      <c r="J26" s="145"/>
      <c r="K26" s="146" t="str">
        <f t="shared" si="0"/>
        <v xml:space="preserve"> </v>
      </c>
      <c r="L26" s="146" t="str">
        <f t="shared" si="0"/>
        <v xml:space="preserve"> </v>
      </c>
      <c r="M26" s="146" t="str">
        <f t="shared" si="0"/>
        <v xml:space="preserve"> </v>
      </c>
      <c r="N26" s="147" t="str">
        <f t="shared" si="1"/>
        <v xml:space="preserve"> </v>
      </c>
      <c r="O26" s="148" t="str">
        <f t="shared" si="2"/>
        <v xml:space="preserve"> </v>
      </c>
      <c r="P26" s="149" t="str">
        <f t="shared" si="3"/>
        <v xml:space="preserve"> </v>
      </c>
      <c r="Q26" s="147" t="str">
        <f t="shared" si="4"/>
        <v/>
      </c>
      <c r="R26" s="147" t="str">
        <f t="shared" si="5"/>
        <v/>
      </c>
      <c r="S26" s="150"/>
    </row>
    <row r="27" spans="1:19" ht="18" customHeight="1">
      <c r="A27" s="141"/>
      <c r="B27" s="114" t="s">
        <v>265</v>
      </c>
      <c r="C27" s="115" t="s">
        <v>73</v>
      </c>
      <c r="D27" s="142">
        <v>17.225000000000001</v>
      </c>
      <c r="E27" s="142">
        <v>0.03</v>
      </c>
      <c r="F27" s="142">
        <v>-0.03</v>
      </c>
      <c r="G27" s="143" t="s">
        <v>345</v>
      </c>
      <c r="H27" s="151"/>
      <c r="I27" s="152"/>
      <c r="J27" s="152"/>
      <c r="K27" s="146" t="str">
        <f t="shared" si="0"/>
        <v xml:space="preserve"> </v>
      </c>
      <c r="L27" s="146" t="str">
        <f t="shared" si="0"/>
        <v xml:space="preserve"> </v>
      </c>
      <c r="M27" s="146" t="str">
        <f t="shared" si="0"/>
        <v xml:space="preserve"> </v>
      </c>
      <c r="N27" s="147" t="str">
        <f t="shared" si="1"/>
        <v xml:space="preserve"> </v>
      </c>
      <c r="O27" s="148" t="str">
        <f t="shared" si="2"/>
        <v xml:space="preserve"> </v>
      </c>
      <c r="P27" s="149" t="str">
        <f t="shared" si="3"/>
        <v xml:space="preserve"> </v>
      </c>
      <c r="Q27" s="147" t="str">
        <f t="shared" si="4"/>
        <v/>
      </c>
      <c r="R27" s="147" t="str">
        <f t="shared" si="5"/>
        <v/>
      </c>
      <c r="S27" s="150"/>
    </row>
    <row r="28" spans="1:19" ht="18" customHeight="1">
      <c r="A28" s="141"/>
      <c r="B28" s="114" t="s">
        <v>201</v>
      </c>
      <c r="C28" s="115" t="s">
        <v>73</v>
      </c>
      <c r="D28" s="142">
        <v>14.529</v>
      </c>
      <c r="E28" s="142">
        <v>0.03</v>
      </c>
      <c r="F28" s="142">
        <v>-0.03</v>
      </c>
      <c r="G28" s="143" t="s">
        <v>345</v>
      </c>
      <c r="H28" s="144"/>
      <c r="I28" s="145"/>
      <c r="J28" s="145"/>
      <c r="K28" s="146" t="str">
        <f t="shared" si="0"/>
        <v xml:space="preserve"> </v>
      </c>
      <c r="L28" s="146" t="str">
        <f t="shared" si="0"/>
        <v xml:space="preserve"> </v>
      </c>
      <c r="M28" s="146" t="str">
        <f t="shared" si="0"/>
        <v xml:space="preserve"> </v>
      </c>
      <c r="N28" s="147" t="str">
        <f t="shared" si="1"/>
        <v xml:space="preserve"> </v>
      </c>
      <c r="O28" s="148" t="str">
        <f t="shared" si="2"/>
        <v xml:space="preserve"> </v>
      </c>
      <c r="P28" s="149" t="str">
        <f t="shared" si="3"/>
        <v xml:space="preserve"> </v>
      </c>
      <c r="Q28" s="147" t="str">
        <f t="shared" si="4"/>
        <v/>
      </c>
      <c r="R28" s="147" t="str">
        <f t="shared" si="5"/>
        <v/>
      </c>
      <c r="S28" s="150"/>
    </row>
    <row r="29" spans="1:19" ht="18" customHeight="1">
      <c r="A29" s="141"/>
      <c r="B29" s="114" t="s">
        <v>202</v>
      </c>
      <c r="C29" s="115" t="s">
        <v>73</v>
      </c>
      <c r="D29" s="142">
        <v>3.8740000000000001</v>
      </c>
      <c r="E29" s="142">
        <v>0.03</v>
      </c>
      <c r="F29" s="142">
        <v>-0.03</v>
      </c>
      <c r="G29" s="143" t="s">
        <v>345</v>
      </c>
      <c r="H29" s="144"/>
      <c r="I29" s="145"/>
      <c r="J29" s="145"/>
      <c r="K29" s="146" t="str">
        <f t="shared" si="0"/>
        <v xml:space="preserve"> </v>
      </c>
      <c r="L29" s="146" t="str">
        <f t="shared" si="0"/>
        <v xml:space="preserve"> </v>
      </c>
      <c r="M29" s="146" t="str">
        <f t="shared" si="0"/>
        <v xml:space="preserve"> </v>
      </c>
      <c r="N29" s="147" t="str">
        <f t="shared" si="1"/>
        <v xml:space="preserve"> </v>
      </c>
      <c r="O29" s="148" t="str">
        <f t="shared" si="2"/>
        <v xml:space="preserve"> </v>
      </c>
      <c r="P29" s="149" t="str">
        <f t="shared" si="3"/>
        <v xml:space="preserve"> </v>
      </c>
      <c r="Q29" s="147" t="str">
        <f t="shared" si="4"/>
        <v/>
      </c>
      <c r="R29" s="147" t="str">
        <f t="shared" si="5"/>
        <v/>
      </c>
      <c r="S29" s="150"/>
    </row>
    <row r="30" spans="1:19" ht="18" customHeight="1">
      <c r="A30" s="141"/>
      <c r="B30" s="114" t="s">
        <v>203</v>
      </c>
      <c r="C30" s="115" t="s">
        <v>73</v>
      </c>
      <c r="D30" s="142">
        <v>1.125</v>
      </c>
      <c r="E30" s="142">
        <v>0.03</v>
      </c>
      <c r="F30" s="142">
        <v>-0.02</v>
      </c>
      <c r="G30" s="143" t="s">
        <v>342</v>
      </c>
      <c r="H30" s="144"/>
      <c r="I30" s="145"/>
      <c r="J30" s="145"/>
      <c r="K30" s="146" t="str">
        <f t="shared" si="0"/>
        <v xml:space="preserve"> </v>
      </c>
      <c r="L30" s="146" t="str">
        <f t="shared" si="0"/>
        <v xml:space="preserve"> </v>
      </c>
      <c r="M30" s="146" t="str">
        <f t="shared" si="0"/>
        <v xml:space="preserve"> </v>
      </c>
      <c r="N30" s="147" t="str">
        <f t="shared" si="1"/>
        <v xml:space="preserve"> </v>
      </c>
      <c r="O30" s="148" t="str">
        <f t="shared" si="2"/>
        <v xml:space="preserve"> </v>
      </c>
      <c r="P30" s="149" t="str">
        <f t="shared" si="3"/>
        <v xml:space="preserve"> </v>
      </c>
      <c r="Q30" s="147" t="str">
        <f t="shared" si="4"/>
        <v/>
      </c>
      <c r="R30" s="147" t="str">
        <f t="shared" si="5"/>
        <v/>
      </c>
      <c r="S30" s="150"/>
    </row>
    <row r="31" spans="1:19" ht="18" customHeight="1">
      <c r="A31" s="141"/>
      <c r="B31" s="114" t="s">
        <v>350</v>
      </c>
      <c r="C31" s="115" t="s">
        <v>73</v>
      </c>
      <c r="D31" s="142">
        <v>1.125</v>
      </c>
      <c r="E31" s="142">
        <v>0.03</v>
      </c>
      <c r="F31" s="142">
        <v>-0.02</v>
      </c>
      <c r="G31" s="143" t="s">
        <v>343</v>
      </c>
      <c r="H31" s="144"/>
      <c r="I31" s="145"/>
      <c r="J31" s="145"/>
      <c r="K31" s="146" t="str">
        <f t="shared" si="0"/>
        <v xml:space="preserve"> </v>
      </c>
      <c r="L31" s="146" t="str">
        <f t="shared" si="0"/>
        <v xml:space="preserve"> </v>
      </c>
      <c r="M31" s="146" t="str">
        <f t="shared" si="0"/>
        <v xml:space="preserve"> </v>
      </c>
      <c r="N31" s="147" t="str">
        <f t="shared" si="1"/>
        <v xml:space="preserve"> </v>
      </c>
      <c r="O31" s="148" t="str">
        <f t="shared" si="2"/>
        <v xml:space="preserve"> </v>
      </c>
      <c r="P31" s="149" t="str">
        <f t="shared" si="3"/>
        <v xml:space="preserve"> </v>
      </c>
      <c r="Q31" s="147" t="str">
        <f t="shared" si="4"/>
        <v/>
      </c>
      <c r="R31" s="147" t="str">
        <f t="shared" si="5"/>
        <v/>
      </c>
      <c r="S31" s="150"/>
    </row>
    <row r="32" spans="1:19" ht="18" customHeight="1">
      <c r="A32" s="141"/>
      <c r="B32" s="114" t="s">
        <v>351</v>
      </c>
      <c r="C32" s="115" t="s">
        <v>73</v>
      </c>
      <c r="D32" s="142">
        <v>1.125</v>
      </c>
      <c r="E32" s="142">
        <v>0.03</v>
      </c>
      <c r="F32" s="142">
        <v>-0.02</v>
      </c>
      <c r="G32" s="143" t="s">
        <v>343</v>
      </c>
      <c r="H32" s="144"/>
      <c r="I32" s="145"/>
      <c r="J32" s="145"/>
      <c r="K32" s="146" t="str">
        <f t="shared" si="0"/>
        <v xml:space="preserve"> </v>
      </c>
      <c r="L32" s="146" t="str">
        <f t="shared" si="0"/>
        <v xml:space="preserve"> </v>
      </c>
      <c r="M32" s="146" t="str">
        <f t="shared" si="0"/>
        <v xml:space="preserve"> </v>
      </c>
      <c r="N32" s="147" t="str">
        <f t="shared" si="1"/>
        <v xml:space="preserve"> </v>
      </c>
      <c r="O32" s="148" t="str">
        <f t="shared" si="2"/>
        <v xml:space="preserve"> </v>
      </c>
      <c r="P32" s="149" t="str">
        <f t="shared" si="3"/>
        <v xml:space="preserve"> </v>
      </c>
      <c r="Q32" s="147" t="str">
        <f t="shared" si="4"/>
        <v/>
      </c>
      <c r="R32" s="147" t="str">
        <f t="shared" si="5"/>
        <v/>
      </c>
      <c r="S32" s="150"/>
    </row>
    <row r="33" spans="1:19" ht="18" customHeight="1">
      <c r="A33" s="141"/>
      <c r="B33" s="114" t="s">
        <v>352</v>
      </c>
      <c r="C33" s="115" t="s">
        <v>73</v>
      </c>
      <c r="D33" s="142">
        <v>1.125</v>
      </c>
      <c r="E33" s="142">
        <v>0.03</v>
      </c>
      <c r="F33" s="142">
        <v>-0.02</v>
      </c>
      <c r="G33" s="143" t="s">
        <v>343</v>
      </c>
      <c r="H33" s="144"/>
      <c r="I33" s="145"/>
      <c r="J33" s="145"/>
      <c r="K33" s="146" t="str">
        <f t="shared" si="0"/>
        <v xml:space="preserve"> </v>
      </c>
      <c r="L33" s="146" t="str">
        <f t="shared" si="0"/>
        <v xml:space="preserve"> </v>
      </c>
      <c r="M33" s="146" t="str">
        <f t="shared" si="0"/>
        <v xml:space="preserve"> </v>
      </c>
      <c r="N33" s="147" t="str">
        <f t="shared" si="1"/>
        <v xml:space="preserve"> </v>
      </c>
      <c r="O33" s="148" t="str">
        <f t="shared" si="2"/>
        <v xml:space="preserve"> </v>
      </c>
      <c r="P33" s="149" t="str">
        <f t="shared" si="3"/>
        <v xml:space="preserve"> </v>
      </c>
      <c r="Q33" s="147" t="str">
        <f t="shared" si="4"/>
        <v/>
      </c>
      <c r="R33" s="147" t="str">
        <f t="shared" si="5"/>
        <v/>
      </c>
      <c r="S33" s="150"/>
    </row>
    <row r="34" spans="1:19" ht="18" customHeight="1">
      <c r="A34" s="141"/>
      <c r="B34" s="114" t="s">
        <v>353</v>
      </c>
      <c r="C34" s="115" t="s">
        <v>73</v>
      </c>
      <c r="D34" s="142">
        <v>1.125</v>
      </c>
      <c r="E34" s="142">
        <v>0.03</v>
      </c>
      <c r="F34" s="142">
        <v>-0.02</v>
      </c>
      <c r="G34" s="143" t="s">
        <v>343</v>
      </c>
      <c r="H34" s="144"/>
      <c r="I34" s="145"/>
      <c r="J34" s="145"/>
      <c r="K34" s="146" t="str">
        <f t="shared" si="0"/>
        <v xml:space="preserve"> </v>
      </c>
      <c r="L34" s="146" t="str">
        <f t="shared" si="0"/>
        <v xml:space="preserve"> </v>
      </c>
      <c r="M34" s="146" t="str">
        <f t="shared" si="0"/>
        <v xml:space="preserve"> </v>
      </c>
      <c r="N34" s="147" t="str">
        <f t="shared" si="1"/>
        <v xml:space="preserve"> </v>
      </c>
      <c r="O34" s="148" t="str">
        <f t="shared" si="2"/>
        <v xml:space="preserve"> </v>
      </c>
      <c r="P34" s="149" t="str">
        <f t="shared" si="3"/>
        <v xml:space="preserve"> </v>
      </c>
      <c r="Q34" s="147" t="str">
        <f t="shared" si="4"/>
        <v/>
      </c>
      <c r="R34" s="147" t="str">
        <f t="shared" si="5"/>
        <v/>
      </c>
      <c r="S34" s="150"/>
    </row>
    <row r="35" spans="1:19" ht="18" customHeight="1">
      <c r="A35" s="141"/>
      <c r="B35" s="114" t="s">
        <v>266</v>
      </c>
      <c r="C35" s="115" t="s">
        <v>73</v>
      </c>
      <c r="D35" s="142">
        <v>0.27500000000000002</v>
      </c>
      <c r="E35" s="142">
        <v>0.03</v>
      </c>
      <c r="F35" s="142">
        <v>-0.03</v>
      </c>
      <c r="G35" s="143" t="s">
        <v>342</v>
      </c>
      <c r="H35" s="144"/>
      <c r="I35" s="145"/>
      <c r="J35" s="145"/>
      <c r="K35" s="146" t="str">
        <f t="shared" si="0"/>
        <v xml:space="preserve"> </v>
      </c>
      <c r="L35" s="146" t="str">
        <f t="shared" si="0"/>
        <v xml:space="preserve"> </v>
      </c>
      <c r="M35" s="146" t="str">
        <f t="shared" si="0"/>
        <v xml:space="preserve"> </v>
      </c>
      <c r="N35" s="147" t="str">
        <f t="shared" si="1"/>
        <v xml:space="preserve"> </v>
      </c>
      <c r="O35" s="148" t="str">
        <f t="shared" si="2"/>
        <v xml:space="preserve"> </v>
      </c>
      <c r="P35" s="149" t="str">
        <f t="shared" si="3"/>
        <v xml:space="preserve"> </v>
      </c>
      <c r="Q35" s="147" t="str">
        <f t="shared" si="4"/>
        <v/>
      </c>
      <c r="R35" s="147" t="str">
        <f t="shared" si="5"/>
        <v/>
      </c>
      <c r="S35" s="150"/>
    </row>
    <row r="36" spans="1:19" ht="18" customHeight="1">
      <c r="A36" s="141"/>
      <c r="B36" s="114" t="s">
        <v>204</v>
      </c>
      <c r="C36" s="115" t="s">
        <v>73</v>
      </c>
      <c r="D36" s="142">
        <v>0.27500000000000002</v>
      </c>
      <c r="E36" s="142">
        <v>1.4999999999999999E-2</v>
      </c>
      <c r="F36" s="142">
        <v>-1.4999999999999999E-2</v>
      </c>
      <c r="G36" s="143" t="s">
        <v>342</v>
      </c>
      <c r="H36" s="144"/>
      <c r="I36" s="145"/>
      <c r="J36" s="145"/>
      <c r="K36" s="146" t="str">
        <f t="shared" si="0"/>
        <v xml:space="preserve"> </v>
      </c>
      <c r="L36" s="146" t="str">
        <f t="shared" si="0"/>
        <v xml:space="preserve"> </v>
      </c>
      <c r="M36" s="146" t="str">
        <f t="shared" si="0"/>
        <v xml:space="preserve"> </v>
      </c>
      <c r="N36" s="147" t="str">
        <f t="shared" si="1"/>
        <v xml:space="preserve"> </v>
      </c>
      <c r="O36" s="148" t="str">
        <f t="shared" si="2"/>
        <v xml:space="preserve"> </v>
      </c>
      <c r="P36" s="149" t="str">
        <f t="shared" si="3"/>
        <v xml:space="preserve"> </v>
      </c>
      <c r="Q36" s="147" t="str">
        <f t="shared" si="4"/>
        <v/>
      </c>
      <c r="R36" s="147" t="str">
        <f t="shared" si="5"/>
        <v/>
      </c>
      <c r="S36" s="150"/>
    </row>
    <row r="37" spans="1:19" ht="18" customHeight="1">
      <c r="A37" s="141"/>
      <c r="B37" s="114" t="s">
        <v>267</v>
      </c>
      <c r="C37" s="115" t="s">
        <v>73</v>
      </c>
      <c r="D37" s="142">
        <v>1.7849999999999999</v>
      </c>
      <c r="E37" s="142">
        <v>0.03</v>
      </c>
      <c r="F37" s="142">
        <v>-0.03</v>
      </c>
      <c r="G37" s="143" t="s">
        <v>342</v>
      </c>
      <c r="H37" s="144"/>
      <c r="I37" s="145"/>
      <c r="J37" s="145"/>
      <c r="K37" s="146" t="str">
        <f t="shared" si="0"/>
        <v xml:space="preserve"> </v>
      </c>
      <c r="L37" s="146" t="str">
        <f t="shared" si="0"/>
        <v xml:space="preserve"> </v>
      </c>
      <c r="M37" s="146" t="str">
        <f t="shared" si="0"/>
        <v xml:space="preserve"> </v>
      </c>
      <c r="N37" s="147" t="str">
        <f t="shared" si="1"/>
        <v xml:space="preserve"> </v>
      </c>
      <c r="O37" s="148" t="str">
        <f t="shared" si="2"/>
        <v xml:space="preserve"> </v>
      </c>
      <c r="P37" s="149" t="str">
        <f t="shared" si="3"/>
        <v xml:space="preserve"> </v>
      </c>
      <c r="Q37" s="147" t="str">
        <f t="shared" si="4"/>
        <v/>
      </c>
      <c r="R37" s="147" t="str">
        <f t="shared" si="5"/>
        <v/>
      </c>
      <c r="S37" s="150"/>
    </row>
    <row r="38" spans="1:19" ht="18" customHeight="1">
      <c r="A38" s="141"/>
      <c r="B38" s="114" t="s">
        <v>268</v>
      </c>
      <c r="C38" s="115" t="s">
        <v>73</v>
      </c>
      <c r="D38" s="142">
        <v>5.8760000000000003</v>
      </c>
      <c r="E38" s="142">
        <v>0.03</v>
      </c>
      <c r="F38" s="142">
        <v>-0.03</v>
      </c>
      <c r="G38" s="143" t="s">
        <v>342</v>
      </c>
      <c r="H38" s="144"/>
      <c r="I38" s="145"/>
      <c r="J38" s="145"/>
      <c r="K38" s="146" t="str">
        <f t="shared" ref="K38:M69" si="6">IF(ISERR(H38/H38)=TRUE," ",H38-$D38)</f>
        <v xml:space="preserve"> </v>
      </c>
      <c r="L38" s="146" t="str">
        <f t="shared" si="6"/>
        <v xml:space="preserve"> </v>
      </c>
      <c r="M38" s="146" t="str">
        <f t="shared" si="6"/>
        <v xml:space="preserve"> </v>
      </c>
      <c r="N38" s="147" t="str">
        <f t="shared" si="1"/>
        <v xml:space="preserve"> </v>
      </c>
      <c r="O38" s="148" t="str">
        <f t="shared" si="2"/>
        <v xml:space="preserve"> </v>
      </c>
      <c r="P38" s="149" t="str">
        <f t="shared" si="3"/>
        <v xml:space="preserve"> </v>
      </c>
      <c r="Q38" s="147" t="str">
        <f t="shared" si="4"/>
        <v/>
      </c>
      <c r="R38" s="147" t="str">
        <f t="shared" si="5"/>
        <v/>
      </c>
      <c r="S38" s="150"/>
    </row>
    <row r="39" spans="1:19" ht="18" customHeight="1">
      <c r="A39" s="141"/>
      <c r="B39" s="114" t="s">
        <v>269</v>
      </c>
      <c r="C39" s="115" t="s">
        <v>73</v>
      </c>
      <c r="D39" s="142">
        <v>7.7249999999999996</v>
      </c>
      <c r="E39" s="142">
        <v>0.03</v>
      </c>
      <c r="F39" s="142">
        <v>-0.03</v>
      </c>
      <c r="G39" s="143" t="s">
        <v>342</v>
      </c>
      <c r="H39" s="144"/>
      <c r="I39" s="145"/>
      <c r="J39" s="145"/>
      <c r="K39" s="146" t="str">
        <f t="shared" si="6"/>
        <v xml:space="preserve"> </v>
      </c>
      <c r="L39" s="146" t="str">
        <f t="shared" si="6"/>
        <v xml:space="preserve"> </v>
      </c>
      <c r="M39" s="146" t="str">
        <f t="shared" si="6"/>
        <v xml:space="preserve"> </v>
      </c>
      <c r="N39" s="147" t="str">
        <f t="shared" si="1"/>
        <v xml:space="preserve"> </v>
      </c>
      <c r="O39" s="148" t="str">
        <f t="shared" si="2"/>
        <v xml:space="preserve"> </v>
      </c>
      <c r="P39" s="149" t="str">
        <f t="shared" si="3"/>
        <v xml:space="preserve"> </v>
      </c>
      <c r="Q39" s="147" t="str">
        <f t="shared" si="4"/>
        <v/>
      </c>
      <c r="R39" s="147" t="str">
        <f t="shared" si="5"/>
        <v/>
      </c>
      <c r="S39" s="150"/>
    </row>
    <row r="40" spans="1:19" ht="18" customHeight="1">
      <c r="A40" s="141"/>
      <c r="B40" s="114" t="s">
        <v>270</v>
      </c>
      <c r="C40" s="115" t="s">
        <v>73</v>
      </c>
      <c r="D40" s="142">
        <v>7.7249999999999996</v>
      </c>
      <c r="E40" s="142">
        <v>0.03</v>
      </c>
      <c r="F40" s="142">
        <v>-0.03</v>
      </c>
      <c r="G40" s="143" t="s">
        <v>342</v>
      </c>
      <c r="H40" s="144"/>
      <c r="I40" s="145"/>
      <c r="J40" s="145"/>
      <c r="K40" s="146" t="str">
        <f t="shared" si="6"/>
        <v xml:space="preserve"> </v>
      </c>
      <c r="L40" s="146" t="str">
        <f t="shared" si="6"/>
        <v xml:space="preserve"> </v>
      </c>
      <c r="M40" s="146" t="str">
        <f t="shared" si="6"/>
        <v xml:space="preserve"> </v>
      </c>
      <c r="N40" s="147" t="str">
        <f t="shared" si="1"/>
        <v xml:space="preserve"> </v>
      </c>
      <c r="O40" s="148" t="str">
        <f t="shared" si="2"/>
        <v xml:space="preserve"> </v>
      </c>
      <c r="P40" s="149" t="str">
        <f t="shared" si="3"/>
        <v xml:space="preserve"> </v>
      </c>
      <c r="Q40" s="147" t="str">
        <f t="shared" si="4"/>
        <v/>
      </c>
      <c r="R40" s="147" t="str">
        <f t="shared" si="5"/>
        <v/>
      </c>
      <c r="S40" s="150"/>
    </row>
    <row r="41" spans="1:19" ht="18" customHeight="1">
      <c r="A41" s="141"/>
      <c r="B41" s="114" t="s">
        <v>271</v>
      </c>
      <c r="C41" s="115" t="s">
        <v>73</v>
      </c>
      <c r="D41" s="142">
        <v>18.411000000000001</v>
      </c>
      <c r="E41" s="142">
        <v>0.03</v>
      </c>
      <c r="F41" s="142">
        <v>-0.03</v>
      </c>
      <c r="G41" s="143" t="s">
        <v>342</v>
      </c>
      <c r="H41" s="144"/>
      <c r="I41" s="145"/>
      <c r="J41" s="145"/>
      <c r="K41" s="146" t="str">
        <f t="shared" si="6"/>
        <v xml:space="preserve"> </v>
      </c>
      <c r="L41" s="146" t="str">
        <f t="shared" si="6"/>
        <v xml:space="preserve"> </v>
      </c>
      <c r="M41" s="146" t="str">
        <f t="shared" si="6"/>
        <v xml:space="preserve"> </v>
      </c>
      <c r="N41" s="147" t="str">
        <f t="shared" si="1"/>
        <v xml:space="preserve"> </v>
      </c>
      <c r="O41" s="148" t="str">
        <f t="shared" si="2"/>
        <v xml:space="preserve"> </v>
      </c>
      <c r="P41" s="149" t="str">
        <f t="shared" si="3"/>
        <v xml:space="preserve"> </v>
      </c>
      <c r="Q41" s="147" t="str">
        <f t="shared" si="4"/>
        <v/>
      </c>
      <c r="R41" s="147" t="str">
        <f t="shared" si="5"/>
        <v/>
      </c>
      <c r="S41" s="150"/>
    </row>
    <row r="42" spans="1:19" ht="18" customHeight="1">
      <c r="A42" s="141"/>
      <c r="B42" s="114" t="s">
        <v>206</v>
      </c>
      <c r="C42" s="115" t="s">
        <v>73</v>
      </c>
      <c r="D42" s="142">
        <v>9.0350000000000001</v>
      </c>
      <c r="E42" s="142">
        <v>0.03</v>
      </c>
      <c r="F42" s="142">
        <v>-0.03</v>
      </c>
      <c r="G42" s="143" t="s">
        <v>345</v>
      </c>
      <c r="H42" s="144"/>
      <c r="I42" s="145"/>
      <c r="J42" s="145"/>
      <c r="K42" s="146" t="str">
        <f t="shared" si="6"/>
        <v xml:space="preserve"> </v>
      </c>
      <c r="L42" s="146" t="str">
        <f t="shared" si="6"/>
        <v xml:space="preserve"> </v>
      </c>
      <c r="M42" s="146" t="str">
        <f t="shared" si="6"/>
        <v xml:space="preserve"> </v>
      </c>
      <c r="N42" s="147" t="str">
        <f t="shared" si="1"/>
        <v xml:space="preserve"> </v>
      </c>
      <c r="O42" s="148" t="str">
        <f t="shared" si="2"/>
        <v xml:space="preserve"> </v>
      </c>
      <c r="P42" s="149" t="str">
        <f t="shared" si="3"/>
        <v xml:space="preserve"> </v>
      </c>
      <c r="Q42" s="147" t="str">
        <f t="shared" si="4"/>
        <v/>
      </c>
      <c r="R42" s="147" t="str">
        <f t="shared" si="5"/>
        <v/>
      </c>
      <c r="S42" s="150"/>
    </row>
    <row r="43" spans="1:19" ht="18" customHeight="1">
      <c r="A43" s="141"/>
      <c r="B43" s="114" t="s">
        <v>207</v>
      </c>
      <c r="C43" s="115" t="s">
        <v>73</v>
      </c>
      <c r="D43" s="142">
        <v>22.353000000000002</v>
      </c>
      <c r="E43" s="142">
        <v>0.03</v>
      </c>
      <c r="F43" s="142">
        <v>-0.03</v>
      </c>
      <c r="G43" s="143" t="s">
        <v>345</v>
      </c>
      <c r="H43" s="144"/>
      <c r="I43" s="145"/>
      <c r="J43" s="145"/>
      <c r="K43" s="146" t="str">
        <f t="shared" si="6"/>
        <v xml:space="preserve"> </v>
      </c>
      <c r="L43" s="146" t="str">
        <f t="shared" si="6"/>
        <v xml:space="preserve"> </v>
      </c>
      <c r="M43" s="146" t="str">
        <f t="shared" si="6"/>
        <v xml:space="preserve"> </v>
      </c>
      <c r="N43" s="147" t="str">
        <f t="shared" si="1"/>
        <v xml:space="preserve"> </v>
      </c>
      <c r="O43" s="148" t="str">
        <f t="shared" si="2"/>
        <v xml:space="preserve"> </v>
      </c>
      <c r="P43" s="149" t="str">
        <f t="shared" si="3"/>
        <v xml:space="preserve"> </v>
      </c>
      <c r="Q43" s="147" t="str">
        <f t="shared" si="4"/>
        <v/>
      </c>
      <c r="R43" s="147" t="str">
        <f t="shared" si="5"/>
        <v/>
      </c>
      <c r="S43" s="150"/>
    </row>
    <row r="44" spans="1:19" ht="18" customHeight="1">
      <c r="A44" s="141"/>
      <c r="B44" s="114" t="s">
        <v>208</v>
      </c>
      <c r="C44" s="115" t="s">
        <v>73</v>
      </c>
      <c r="D44" s="142">
        <v>20.355</v>
      </c>
      <c r="E44" s="142">
        <v>0.03</v>
      </c>
      <c r="F44" s="142">
        <v>-0.03</v>
      </c>
      <c r="G44" s="143" t="s">
        <v>345</v>
      </c>
      <c r="H44" s="144"/>
      <c r="I44" s="145"/>
      <c r="J44" s="145"/>
      <c r="K44" s="146" t="str">
        <f t="shared" si="6"/>
        <v xml:space="preserve"> </v>
      </c>
      <c r="L44" s="146" t="str">
        <f t="shared" si="6"/>
        <v xml:space="preserve"> </v>
      </c>
      <c r="M44" s="146" t="str">
        <f t="shared" si="6"/>
        <v xml:space="preserve"> </v>
      </c>
      <c r="N44" s="147" t="str">
        <f t="shared" si="1"/>
        <v xml:space="preserve"> </v>
      </c>
      <c r="O44" s="148" t="str">
        <f t="shared" si="2"/>
        <v xml:space="preserve"> </v>
      </c>
      <c r="P44" s="149" t="str">
        <f t="shared" si="3"/>
        <v xml:space="preserve"> </v>
      </c>
      <c r="Q44" s="147" t="str">
        <f t="shared" si="4"/>
        <v/>
      </c>
      <c r="R44" s="147" t="str">
        <f t="shared" si="5"/>
        <v/>
      </c>
      <c r="S44" s="150"/>
    </row>
    <row r="45" spans="1:19" ht="18" customHeight="1">
      <c r="A45" s="141"/>
      <c r="B45" s="114" t="s">
        <v>209</v>
      </c>
      <c r="C45" s="115" t="s">
        <v>73</v>
      </c>
      <c r="D45" s="142">
        <v>21.785</v>
      </c>
      <c r="E45" s="142">
        <v>0.03</v>
      </c>
      <c r="F45" s="142">
        <v>-0.03</v>
      </c>
      <c r="G45" s="143" t="s">
        <v>345</v>
      </c>
      <c r="H45" s="144"/>
      <c r="I45" s="145"/>
      <c r="J45" s="145"/>
      <c r="K45" s="146" t="str">
        <f t="shared" si="6"/>
        <v xml:space="preserve"> </v>
      </c>
      <c r="L45" s="146" t="str">
        <f t="shared" si="6"/>
        <v xml:space="preserve"> </v>
      </c>
      <c r="M45" s="146" t="str">
        <f t="shared" si="6"/>
        <v xml:space="preserve"> </v>
      </c>
      <c r="N45" s="147" t="str">
        <f t="shared" si="1"/>
        <v xml:space="preserve"> </v>
      </c>
      <c r="O45" s="148" t="str">
        <f t="shared" si="2"/>
        <v xml:space="preserve"> </v>
      </c>
      <c r="P45" s="149" t="str">
        <f t="shared" si="3"/>
        <v xml:space="preserve"> </v>
      </c>
      <c r="Q45" s="147" t="str">
        <f t="shared" si="4"/>
        <v/>
      </c>
      <c r="R45" s="147" t="str">
        <f t="shared" si="5"/>
        <v/>
      </c>
      <c r="S45" s="150"/>
    </row>
    <row r="46" spans="1:19" ht="18" customHeight="1">
      <c r="A46" s="141"/>
      <c r="B46" s="114" t="s">
        <v>210</v>
      </c>
      <c r="C46" s="115" t="s">
        <v>73</v>
      </c>
      <c r="D46" s="142">
        <v>22.152999999999999</v>
      </c>
      <c r="E46" s="142">
        <v>0.03</v>
      </c>
      <c r="F46" s="142">
        <v>-0.03</v>
      </c>
      <c r="G46" s="143" t="s">
        <v>345</v>
      </c>
      <c r="H46" s="144"/>
      <c r="I46" s="145"/>
      <c r="J46" s="145"/>
      <c r="K46" s="146" t="str">
        <f t="shared" si="6"/>
        <v xml:space="preserve"> </v>
      </c>
      <c r="L46" s="146" t="str">
        <f t="shared" si="6"/>
        <v xml:space="preserve"> </v>
      </c>
      <c r="M46" s="146" t="str">
        <f t="shared" si="6"/>
        <v xml:space="preserve"> </v>
      </c>
      <c r="N46" s="147" t="str">
        <f t="shared" si="1"/>
        <v xml:space="preserve"> </v>
      </c>
      <c r="O46" s="148" t="str">
        <f t="shared" si="2"/>
        <v xml:space="preserve"> </v>
      </c>
      <c r="P46" s="149" t="str">
        <f t="shared" si="3"/>
        <v xml:space="preserve"> </v>
      </c>
      <c r="Q46" s="147" t="str">
        <f t="shared" si="4"/>
        <v/>
      </c>
      <c r="R46" s="147" t="str">
        <f t="shared" si="5"/>
        <v/>
      </c>
      <c r="S46" s="150"/>
    </row>
    <row r="47" spans="1:19" ht="17.25" customHeight="1">
      <c r="A47" s="141"/>
      <c r="B47" s="114" t="s">
        <v>272</v>
      </c>
      <c r="C47" s="115" t="s">
        <v>73</v>
      </c>
      <c r="D47" s="142">
        <v>7.8250000000000002</v>
      </c>
      <c r="E47" s="142">
        <v>0.03</v>
      </c>
      <c r="F47" s="142">
        <v>-0.03</v>
      </c>
      <c r="G47" s="143" t="s">
        <v>345</v>
      </c>
      <c r="H47" s="144"/>
      <c r="I47" s="145"/>
      <c r="J47" s="145"/>
      <c r="K47" s="146" t="str">
        <f t="shared" si="6"/>
        <v xml:space="preserve"> </v>
      </c>
      <c r="L47" s="146" t="str">
        <f t="shared" si="6"/>
        <v xml:space="preserve"> </v>
      </c>
      <c r="M47" s="146" t="str">
        <f t="shared" si="6"/>
        <v xml:space="preserve"> </v>
      </c>
      <c r="N47" s="147" t="str">
        <f t="shared" si="1"/>
        <v xml:space="preserve"> </v>
      </c>
      <c r="O47" s="148" t="str">
        <f t="shared" si="2"/>
        <v xml:space="preserve"> </v>
      </c>
      <c r="P47" s="149" t="str">
        <f t="shared" si="3"/>
        <v xml:space="preserve"> </v>
      </c>
      <c r="Q47" s="147" t="str">
        <f t="shared" si="4"/>
        <v/>
      </c>
      <c r="R47" s="147" t="str">
        <f t="shared" si="5"/>
        <v/>
      </c>
      <c r="S47" s="150"/>
    </row>
    <row r="48" spans="1:19" ht="18" customHeight="1">
      <c r="A48" s="141"/>
      <c r="B48" s="114" t="s">
        <v>273</v>
      </c>
      <c r="C48" s="115" t="s">
        <v>73</v>
      </c>
      <c r="D48" s="142">
        <v>7.8250000000000002</v>
      </c>
      <c r="E48" s="142">
        <v>0.03</v>
      </c>
      <c r="F48" s="142">
        <v>-0.03</v>
      </c>
      <c r="G48" s="143" t="s">
        <v>345</v>
      </c>
      <c r="H48" s="144"/>
      <c r="I48" s="145"/>
      <c r="J48" s="145"/>
      <c r="K48" s="146" t="str">
        <f t="shared" si="6"/>
        <v xml:space="preserve"> </v>
      </c>
      <c r="L48" s="146" t="str">
        <f t="shared" si="6"/>
        <v xml:space="preserve"> </v>
      </c>
      <c r="M48" s="146" t="str">
        <f t="shared" si="6"/>
        <v xml:space="preserve"> </v>
      </c>
      <c r="N48" s="147" t="str">
        <f t="shared" si="1"/>
        <v xml:space="preserve"> </v>
      </c>
      <c r="O48" s="148" t="str">
        <f t="shared" si="2"/>
        <v xml:space="preserve"> </v>
      </c>
      <c r="P48" s="149" t="str">
        <f t="shared" si="3"/>
        <v xml:space="preserve"> </v>
      </c>
      <c r="Q48" s="147" t="str">
        <f t="shared" si="4"/>
        <v/>
      </c>
      <c r="R48" s="147" t="str">
        <f t="shared" si="5"/>
        <v/>
      </c>
      <c r="S48" s="150"/>
    </row>
    <row r="49" spans="1:23" ht="18" customHeight="1">
      <c r="A49" s="141"/>
      <c r="B49" s="114" t="s">
        <v>274</v>
      </c>
      <c r="C49" s="115" t="s">
        <v>73</v>
      </c>
      <c r="D49" s="142">
        <v>21.125</v>
      </c>
      <c r="E49" s="142">
        <v>0.03</v>
      </c>
      <c r="F49" s="142">
        <v>-0.03</v>
      </c>
      <c r="G49" s="143" t="s">
        <v>342</v>
      </c>
      <c r="H49" s="144"/>
      <c r="I49" s="145"/>
      <c r="J49" s="145"/>
      <c r="K49" s="146" t="str">
        <f t="shared" si="6"/>
        <v xml:space="preserve"> </v>
      </c>
      <c r="L49" s="146" t="str">
        <f t="shared" si="6"/>
        <v xml:space="preserve"> </v>
      </c>
      <c r="M49" s="146" t="str">
        <f t="shared" si="6"/>
        <v xml:space="preserve"> </v>
      </c>
      <c r="N49" s="147" t="str">
        <f t="shared" si="1"/>
        <v xml:space="preserve"> </v>
      </c>
      <c r="O49" s="148" t="str">
        <f t="shared" si="2"/>
        <v xml:space="preserve"> </v>
      </c>
      <c r="P49" s="149" t="str">
        <f t="shared" si="3"/>
        <v xml:space="preserve"> </v>
      </c>
      <c r="Q49" s="147" t="str">
        <f t="shared" si="4"/>
        <v/>
      </c>
      <c r="R49" s="147" t="str">
        <f t="shared" si="5"/>
        <v/>
      </c>
      <c r="S49" s="150"/>
    </row>
    <row r="50" spans="1:23" ht="18" customHeight="1">
      <c r="A50" s="141"/>
      <c r="B50" s="114" t="s">
        <v>212</v>
      </c>
      <c r="C50" s="115" t="s">
        <v>73</v>
      </c>
      <c r="D50" s="142">
        <v>21.125</v>
      </c>
      <c r="E50" s="142">
        <v>0.03</v>
      </c>
      <c r="F50" s="142">
        <v>-0.03</v>
      </c>
      <c r="G50" s="143" t="s">
        <v>342</v>
      </c>
      <c r="H50" s="144"/>
      <c r="I50" s="145"/>
      <c r="J50" s="145"/>
      <c r="K50" s="146" t="str">
        <f t="shared" si="6"/>
        <v xml:space="preserve"> </v>
      </c>
      <c r="L50" s="146" t="str">
        <f t="shared" si="6"/>
        <v xml:space="preserve"> </v>
      </c>
      <c r="M50" s="146" t="str">
        <f t="shared" si="6"/>
        <v xml:space="preserve"> </v>
      </c>
      <c r="N50" s="147" t="str">
        <f t="shared" si="1"/>
        <v xml:space="preserve"> </v>
      </c>
      <c r="O50" s="148" t="str">
        <f t="shared" si="2"/>
        <v xml:space="preserve"> </v>
      </c>
      <c r="P50" s="149" t="str">
        <f t="shared" si="3"/>
        <v xml:space="preserve"> </v>
      </c>
      <c r="Q50" s="147" t="str">
        <f t="shared" si="4"/>
        <v/>
      </c>
      <c r="R50" s="147" t="str">
        <f t="shared" si="5"/>
        <v/>
      </c>
      <c r="S50" s="150"/>
    </row>
    <row r="51" spans="1:23" ht="18" customHeight="1">
      <c r="A51" s="141"/>
      <c r="B51" s="114" t="s">
        <v>213</v>
      </c>
      <c r="C51" s="115" t="s">
        <v>73</v>
      </c>
      <c r="D51" s="142">
        <v>21.125</v>
      </c>
      <c r="E51" s="142">
        <v>0.03</v>
      </c>
      <c r="F51" s="142">
        <v>-0.03</v>
      </c>
      <c r="G51" s="143" t="s">
        <v>342</v>
      </c>
      <c r="H51" s="144"/>
      <c r="I51" s="145"/>
      <c r="J51" s="145"/>
      <c r="K51" s="146" t="str">
        <f t="shared" si="6"/>
        <v xml:space="preserve"> </v>
      </c>
      <c r="L51" s="146" t="str">
        <f t="shared" si="6"/>
        <v xml:space="preserve"> </v>
      </c>
      <c r="M51" s="146" t="str">
        <f t="shared" si="6"/>
        <v xml:space="preserve"> </v>
      </c>
      <c r="N51" s="147" t="str">
        <f t="shared" si="1"/>
        <v xml:space="preserve"> </v>
      </c>
      <c r="O51" s="148" t="str">
        <f t="shared" si="2"/>
        <v xml:space="preserve"> </v>
      </c>
      <c r="P51" s="149" t="str">
        <f t="shared" si="3"/>
        <v xml:space="preserve"> </v>
      </c>
      <c r="Q51" s="147" t="str">
        <f t="shared" si="4"/>
        <v/>
      </c>
      <c r="R51" s="147" t="str">
        <f t="shared" si="5"/>
        <v/>
      </c>
      <c r="S51" s="150"/>
    </row>
    <row r="52" spans="1:23" ht="18" customHeight="1">
      <c r="A52" s="141"/>
      <c r="B52" s="114" t="s">
        <v>275</v>
      </c>
      <c r="C52" s="115" t="s">
        <v>73</v>
      </c>
      <c r="D52" s="142">
        <v>21.504999999999999</v>
      </c>
      <c r="E52" s="142">
        <v>3.5000000000000003E-2</v>
      </c>
      <c r="F52" s="142">
        <v>-3.5000000000000003E-2</v>
      </c>
      <c r="G52" s="143" t="s">
        <v>345</v>
      </c>
      <c r="H52" s="144"/>
      <c r="I52" s="145"/>
      <c r="J52" s="145"/>
      <c r="K52" s="146" t="str">
        <f t="shared" si="6"/>
        <v xml:space="preserve"> </v>
      </c>
      <c r="L52" s="146" t="str">
        <f t="shared" si="6"/>
        <v xml:space="preserve"> </v>
      </c>
      <c r="M52" s="146" t="str">
        <f t="shared" si="6"/>
        <v xml:space="preserve"> </v>
      </c>
      <c r="N52" s="147" t="str">
        <f t="shared" si="1"/>
        <v xml:space="preserve"> </v>
      </c>
      <c r="O52" s="148" t="str">
        <f t="shared" si="2"/>
        <v xml:space="preserve"> </v>
      </c>
      <c r="P52" s="149" t="str">
        <f t="shared" si="3"/>
        <v xml:space="preserve"> </v>
      </c>
      <c r="Q52" s="147" t="str">
        <f t="shared" si="4"/>
        <v/>
      </c>
      <c r="R52" s="147" t="str">
        <f t="shared" si="5"/>
        <v/>
      </c>
      <c r="S52" s="150"/>
    </row>
    <row r="53" spans="1:23" ht="18" customHeight="1">
      <c r="A53" s="141"/>
      <c r="B53" s="114" t="s">
        <v>276</v>
      </c>
      <c r="C53" s="115" t="s">
        <v>73</v>
      </c>
      <c r="D53" s="142">
        <v>21.504999999999999</v>
      </c>
      <c r="E53" s="142">
        <v>3.5000000000000003E-2</v>
      </c>
      <c r="F53" s="142">
        <v>-3.5000000000000003E-2</v>
      </c>
      <c r="G53" s="143" t="s">
        <v>345</v>
      </c>
      <c r="H53" s="144"/>
      <c r="I53" s="145"/>
      <c r="J53" s="145"/>
      <c r="K53" s="146" t="str">
        <f t="shared" si="6"/>
        <v xml:space="preserve"> </v>
      </c>
      <c r="L53" s="146" t="str">
        <f t="shared" si="6"/>
        <v xml:space="preserve"> </v>
      </c>
      <c r="M53" s="146" t="str">
        <f t="shared" si="6"/>
        <v xml:space="preserve"> </v>
      </c>
      <c r="N53" s="147" t="str">
        <f t="shared" si="1"/>
        <v xml:space="preserve"> </v>
      </c>
      <c r="O53" s="148" t="str">
        <f t="shared" si="2"/>
        <v xml:space="preserve"> </v>
      </c>
      <c r="P53" s="149" t="str">
        <f t="shared" si="3"/>
        <v xml:space="preserve"> </v>
      </c>
      <c r="Q53" s="147" t="str">
        <f t="shared" si="4"/>
        <v/>
      </c>
      <c r="R53" s="147" t="str">
        <f t="shared" si="5"/>
        <v/>
      </c>
      <c r="S53" s="150"/>
    </row>
    <row r="54" spans="1:23" ht="18" customHeight="1">
      <c r="A54" s="141"/>
      <c r="B54" s="114" t="s">
        <v>277</v>
      </c>
      <c r="C54" s="115" t="s">
        <v>73</v>
      </c>
      <c r="D54" s="142">
        <v>14.356</v>
      </c>
      <c r="E54" s="142">
        <v>0.03</v>
      </c>
      <c r="F54" s="142">
        <v>-0.03</v>
      </c>
      <c r="G54" s="143" t="s">
        <v>342</v>
      </c>
      <c r="H54" s="144"/>
      <c r="I54" s="145"/>
      <c r="J54" s="145"/>
      <c r="K54" s="146" t="str">
        <f t="shared" si="6"/>
        <v xml:space="preserve"> </v>
      </c>
      <c r="L54" s="146" t="str">
        <f t="shared" si="6"/>
        <v xml:space="preserve"> </v>
      </c>
      <c r="M54" s="146" t="str">
        <f t="shared" si="6"/>
        <v xml:space="preserve"> </v>
      </c>
      <c r="N54" s="147" t="str">
        <f t="shared" si="1"/>
        <v xml:space="preserve"> </v>
      </c>
      <c r="O54" s="148" t="str">
        <f t="shared" si="2"/>
        <v xml:space="preserve"> </v>
      </c>
      <c r="P54" s="149" t="str">
        <f t="shared" si="3"/>
        <v xml:space="preserve"> </v>
      </c>
      <c r="Q54" s="147" t="str">
        <f t="shared" si="4"/>
        <v/>
      </c>
      <c r="R54" s="147" t="str">
        <f t="shared" si="5"/>
        <v/>
      </c>
      <c r="S54" s="150"/>
    </row>
    <row r="55" spans="1:23" ht="18" customHeight="1">
      <c r="A55" s="141"/>
      <c r="B55" s="114" t="s">
        <v>278</v>
      </c>
      <c r="C55" s="115" t="s">
        <v>73</v>
      </c>
      <c r="D55" s="142">
        <v>16.905000000000001</v>
      </c>
      <c r="E55" s="142">
        <v>3.5000000000000003E-2</v>
      </c>
      <c r="F55" s="142">
        <v>-3.5000000000000003E-2</v>
      </c>
      <c r="G55" s="143" t="s">
        <v>345</v>
      </c>
      <c r="H55" s="144"/>
      <c r="I55" s="145"/>
      <c r="J55" s="145"/>
      <c r="K55" s="146" t="str">
        <f t="shared" si="6"/>
        <v xml:space="preserve"> </v>
      </c>
      <c r="L55" s="146" t="str">
        <f t="shared" si="6"/>
        <v xml:space="preserve"> </v>
      </c>
      <c r="M55" s="146" t="str">
        <f t="shared" si="6"/>
        <v xml:space="preserve"> </v>
      </c>
      <c r="N55" s="147" t="str">
        <f t="shared" si="1"/>
        <v xml:space="preserve"> </v>
      </c>
      <c r="O55" s="148" t="str">
        <f t="shared" si="2"/>
        <v xml:space="preserve"> </v>
      </c>
      <c r="P55" s="149" t="str">
        <f t="shared" si="3"/>
        <v xml:space="preserve"> </v>
      </c>
      <c r="Q55" s="147" t="str">
        <f t="shared" si="4"/>
        <v/>
      </c>
      <c r="R55" s="147" t="str">
        <f t="shared" si="5"/>
        <v/>
      </c>
      <c r="S55" s="150"/>
    </row>
    <row r="56" spans="1:23" ht="18" customHeight="1">
      <c r="A56" s="141"/>
      <c r="B56" s="114" t="s">
        <v>215</v>
      </c>
      <c r="C56" s="115" t="s">
        <v>73</v>
      </c>
      <c r="D56" s="142">
        <v>16.905000000000001</v>
      </c>
      <c r="E56" s="142">
        <v>3.5000000000000003E-2</v>
      </c>
      <c r="F56" s="142">
        <v>-3.5000000000000003E-2</v>
      </c>
      <c r="G56" s="143" t="s">
        <v>345</v>
      </c>
      <c r="H56" s="144"/>
      <c r="I56" s="145"/>
      <c r="J56" s="145"/>
      <c r="K56" s="146" t="str">
        <f t="shared" si="6"/>
        <v xml:space="preserve"> </v>
      </c>
      <c r="L56" s="146" t="str">
        <f t="shared" si="6"/>
        <v xml:space="preserve"> </v>
      </c>
      <c r="M56" s="146" t="str">
        <f t="shared" si="6"/>
        <v xml:space="preserve"> </v>
      </c>
      <c r="N56" s="147" t="str">
        <f t="shared" si="1"/>
        <v xml:space="preserve"> </v>
      </c>
      <c r="O56" s="148" t="str">
        <f t="shared" si="2"/>
        <v xml:space="preserve"> </v>
      </c>
      <c r="P56" s="149" t="str">
        <f t="shared" si="3"/>
        <v xml:space="preserve"> </v>
      </c>
      <c r="Q56" s="147" t="str">
        <f t="shared" si="4"/>
        <v/>
      </c>
      <c r="R56" s="147" t="str">
        <f t="shared" si="5"/>
        <v/>
      </c>
      <c r="S56" s="150"/>
    </row>
    <row r="57" spans="1:23" ht="18" customHeight="1">
      <c r="A57" s="141"/>
      <c r="B57" s="114" t="s">
        <v>216</v>
      </c>
      <c r="C57" s="115" t="s">
        <v>73</v>
      </c>
      <c r="D57" s="142">
        <v>16.905000000000001</v>
      </c>
      <c r="E57" s="142">
        <v>3.5000000000000003E-2</v>
      </c>
      <c r="F57" s="142">
        <v>-3.5000000000000003E-2</v>
      </c>
      <c r="G57" s="143" t="s">
        <v>345</v>
      </c>
      <c r="H57" s="144"/>
      <c r="I57" s="145"/>
      <c r="J57" s="145"/>
      <c r="K57" s="146" t="str">
        <f t="shared" si="6"/>
        <v xml:space="preserve"> </v>
      </c>
      <c r="L57" s="146" t="str">
        <f t="shared" si="6"/>
        <v xml:space="preserve"> </v>
      </c>
      <c r="M57" s="146" t="str">
        <f t="shared" si="6"/>
        <v xml:space="preserve"> </v>
      </c>
      <c r="N57" s="147" t="str">
        <f t="shared" si="1"/>
        <v xml:space="preserve"> </v>
      </c>
      <c r="O57" s="148" t="str">
        <f t="shared" si="2"/>
        <v xml:space="preserve"> </v>
      </c>
      <c r="P57" s="149" t="str">
        <f t="shared" si="3"/>
        <v xml:space="preserve"> </v>
      </c>
      <c r="Q57" s="147" t="str">
        <f t="shared" si="4"/>
        <v/>
      </c>
      <c r="R57" s="147" t="str">
        <f t="shared" si="5"/>
        <v/>
      </c>
      <c r="S57" s="150"/>
    </row>
    <row r="58" spans="1:23" ht="18" customHeight="1">
      <c r="A58" s="141"/>
      <c r="B58" s="114" t="s">
        <v>279</v>
      </c>
      <c r="C58" s="115" t="s">
        <v>73</v>
      </c>
      <c r="D58" s="142">
        <v>1.5349999999999999</v>
      </c>
      <c r="E58" s="142">
        <v>0.03</v>
      </c>
      <c r="F58" s="142">
        <v>-0.03</v>
      </c>
      <c r="G58" s="143" t="s">
        <v>345</v>
      </c>
      <c r="H58" s="144"/>
      <c r="I58" s="145"/>
      <c r="J58" s="145"/>
      <c r="K58" s="146" t="str">
        <f t="shared" si="6"/>
        <v xml:space="preserve"> </v>
      </c>
      <c r="L58" s="146" t="str">
        <f t="shared" si="6"/>
        <v xml:space="preserve"> </v>
      </c>
      <c r="M58" s="146" t="str">
        <f t="shared" si="6"/>
        <v xml:space="preserve"> </v>
      </c>
      <c r="N58" s="147" t="str">
        <f t="shared" si="1"/>
        <v xml:space="preserve"> </v>
      </c>
      <c r="O58" s="148" t="str">
        <f t="shared" si="2"/>
        <v xml:space="preserve"> </v>
      </c>
      <c r="P58" s="149" t="str">
        <f t="shared" si="3"/>
        <v xml:space="preserve"> </v>
      </c>
      <c r="Q58" s="147" t="str">
        <f t="shared" si="4"/>
        <v/>
      </c>
      <c r="R58" s="147" t="str">
        <f t="shared" si="5"/>
        <v/>
      </c>
      <c r="S58" s="150"/>
    </row>
    <row r="59" spans="1:23" ht="18" customHeight="1">
      <c r="A59" s="141"/>
      <c r="B59" s="114" t="s">
        <v>280</v>
      </c>
      <c r="C59" s="115" t="s">
        <v>73</v>
      </c>
      <c r="D59" s="142">
        <v>1.5349999999999999</v>
      </c>
      <c r="E59" s="142">
        <v>0.03</v>
      </c>
      <c r="F59" s="142">
        <v>-0.03</v>
      </c>
      <c r="G59" s="143" t="s">
        <v>345</v>
      </c>
      <c r="H59" s="144"/>
      <c r="I59" s="145"/>
      <c r="J59" s="145"/>
      <c r="K59" s="146" t="str">
        <f t="shared" si="6"/>
        <v xml:space="preserve"> </v>
      </c>
      <c r="L59" s="146" t="str">
        <f t="shared" si="6"/>
        <v xml:space="preserve"> </v>
      </c>
      <c r="M59" s="146" t="str">
        <f t="shared" si="6"/>
        <v xml:space="preserve"> </v>
      </c>
      <c r="N59" s="147" t="str">
        <f t="shared" si="1"/>
        <v xml:space="preserve"> </v>
      </c>
      <c r="O59" s="148" t="str">
        <f t="shared" si="2"/>
        <v xml:space="preserve"> </v>
      </c>
      <c r="P59" s="149" t="str">
        <f t="shared" si="3"/>
        <v xml:space="preserve"> </v>
      </c>
      <c r="Q59" s="147" t="str">
        <f t="shared" si="4"/>
        <v/>
      </c>
      <c r="R59" s="147" t="str">
        <f t="shared" si="5"/>
        <v/>
      </c>
      <c r="S59" s="150"/>
    </row>
    <row r="60" spans="1:23" ht="18" customHeight="1">
      <c r="A60" s="141"/>
      <c r="B60" s="114" t="s">
        <v>281</v>
      </c>
      <c r="C60" s="115" t="s">
        <v>73</v>
      </c>
      <c r="D60" s="142">
        <v>0.72499999999999998</v>
      </c>
      <c r="E60" s="142">
        <v>0.03</v>
      </c>
      <c r="F60" s="142">
        <v>-0.03</v>
      </c>
      <c r="G60" s="143" t="s">
        <v>345</v>
      </c>
      <c r="H60" s="144"/>
      <c r="I60" s="145"/>
      <c r="J60" s="145"/>
      <c r="K60" s="146" t="str">
        <f t="shared" si="6"/>
        <v xml:space="preserve"> </v>
      </c>
      <c r="L60" s="146" t="str">
        <f t="shared" si="6"/>
        <v xml:space="preserve"> </v>
      </c>
      <c r="M60" s="146" t="str">
        <f t="shared" si="6"/>
        <v xml:space="preserve"> </v>
      </c>
      <c r="N60" s="147" t="str">
        <f t="shared" si="1"/>
        <v xml:space="preserve"> </v>
      </c>
      <c r="O60" s="148" t="str">
        <f t="shared" si="2"/>
        <v xml:space="preserve"> </v>
      </c>
      <c r="P60" s="149" t="str">
        <f t="shared" si="3"/>
        <v xml:space="preserve"> </v>
      </c>
      <c r="Q60" s="147" t="str">
        <f t="shared" si="4"/>
        <v/>
      </c>
      <c r="R60" s="147" t="str">
        <f t="shared" si="5"/>
        <v/>
      </c>
      <c r="S60" s="150"/>
      <c r="U60" s="153"/>
    </row>
    <row r="61" spans="1:23" ht="18" customHeight="1">
      <c r="A61" s="141"/>
      <c r="B61" s="114" t="s">
        <v>217</v>
      </c>
      <c r="C61" s="115" t="s">
        <v>73</v>
      </c>
      <c r="D61" s="142">
        <v>17.155000000000001</v>
      </c>
      <c r="E61" s="142">
        <v>0.03</v>
      </c>
      <c r="F61" s="142">
        <v>-0.03</v>
      </c>
      <c r="G61" s="143" t="s">
        <v>342</v>
      </c>
      <c r="H61" s="144"/>
      <c r="I61" s="145"/>
      <c r="J61" s="145"/>
      <c r="K61" s="146" t="str">
        <f t="shared" si="6"/>
        <v xml:space="preserve"> </v>
      </c>
      <c r="L61" s="146" t="str">
        <f t="shared" si="6"/>
        <v xml:space="preserve"> </v>
      </c>
      <c r="M61" s="146" t="str">
        <f t="shared" si="6"/>
        <v xml:space="preserve"> </v>
      </c>
      <c r="N61" s="147" t="str">
        <f t="shared" si="1"/>
        <v xml:space="preserve"> </v>
      </c>
      <c r="O61" s="148" t="str">
        <f t="shared" si="2"/>
        <v xml:space="preserve"> </v>
      </c>
      <c r="P61" s="149" t="str">
        <f t="shared" si="3"/>
        <v xml:space="preserve"> </v>
      </c>
      <c r="Q61" s="147" t="str">
        <f t="shared" si="4"/>
        <v/>
      </c>
      <c r="R61" s="147" t="str">
        <f t="shared" si="5"/>
        <v/>
      </c>
      <c r="S61" s="150"/>
      <c r="V61" s="166"/>
      <c r="W61" s="166"/>
    </row>
    <row r="62" spans="1:23" ht="18" customHeight="1">
      <c r="A62" s="141"/>
      <c r="B62" s="114" t="s">
        <v>218</v>
      </c>
      <c r="C62" s="115" t="s">
        <v>73</v>
      </c>
      <c r="D62" s="142">
        <v>0.93899999999999995</v>
      </c>
      <c r="E62" s="142">
        <v>0.03</v>
      </c>
      <c r="F62" s="142">
        <v>-0.02</v>
      </c>
      <c r="G62" s="143" t="s">
        <v>345</v>
      </c>
      <c r="H62" s="144"/>
      <c r="I62" s="145"/>
      <c r="J62" s="145"/>
      <c r="K62" s="146" t="str">
        <f t="shared" si="6"/>
        <v xml:space="preserve"> </v>
      </c>
      <c r="L62" s="146" t="str">
        <f t="shared" si="6"/>
        <v xml:space="preserve"> </v>
      </c>
      <c r="M62" s="146" t="str">
        <f t="shared" si="6"/>
        <v xml:space="preserve"> </v>
      </c>
      <c r="N62" s="147" t="str">
        <f t="shared" si="1"/>
        <v xml:space="preserve"> </v>
      </c>
      <c r="O62" s="148" t="str">
        <f t="shared" si="2"/>
        <v xml:space="preserve"> </v>
      </c>
      <c r="P62" s="149" t="str">
        <f t="shared" si="3"/>
        <v xml:space="preserve"> </v>
      </c>
      <c r="Q62" s="147" t="str">
        <f t="shared" si="4"/>
        <v/>
      </c>
      <c r="R62" s="147" t="str">
        <f t="shared" si="5"/>
        <v/>
      </c>
      <c r="S62" s="150"/>
      <c r="V62" s="166"/>
      <c r="W62" s="166"/>
    </row>
    <row r="63" spans="1:23" ht="18" customHeight="1">
      <c r="A63" s="141"/>
      <c r="B63" s="114" t="s">
        <v>346</v>
      </c>
      <c r="C63" s="115" t="s">
        <v>73</v>
      </c>
      <c r="D63" s="142">
        <v>0.93899999999999995</v>
      </c>
      <c r="E63" s="142">
        <v>0.03</v>
      </c>
      <c r="F63" s="142">
        <v>-0.02</v>
      </c>
      <c r="G63" s="143" t="s">
        <v>343</v>
      </c>
      <c r="H63" s="144"/>
      <c r="I63" s="145"/>
      <c r="J63" s="145"/>
      <c r="K63" s="146" t="str">
        <f t="shared" si="6"/>
        <v xml:space="preserve"> </v>
      </c>
      <c r="L63" s="146" t="str">
        <f t="shared" si="6"/>
        <v xml:space="preserve"> </v>
      </c>
      <c r="M63" s="146" t="str">
        <f t="shared" si="6"/>
        <v xml:space="preserve"> </v>
      </c>
      <c r="N63" s="147" t="str">
        <f t="shared" si="1"/>
        <v xml:space="preserve"> </v>
      </c>
      <c r="O63" s="148" t="str">
        <f t="shared" si="2"/>
        <v xml:space="preserve"> </v>
      </c>
      <c r="P63" s="149" t="str">
        <f t="shared" si="3"/>
        <v xml:space="preserve"> </v>
      </c>
      <c r="Q63" s="147" t="str">
        <f t="shared" si="4"/>
        <v/>
      </c>
      <c r="R63" s="147" t="str">
        <f t="shared" si="5"/>
        <v/>
      </c>
      <c r="S63" s="150"/>
    </row>
    <row r="64" spans="1:23" ht="18" customHeight="1">
      <c r="A64" s="141"/>
      <c r="B64" s="114" t="s">
        <v>347</v>
      </c>
      <c r="C64" s="115" t="s">
        <v>73</v>
      </c>
      <c r="D64" s="142">
        <v>0.93899999999999995</v>
      </c>
      <c r="E64" s="142">
        <v>0.03</v>
      </c>
      <c r="F64" s="142">
        <v>-0.02</v>
      </c>
      <c r="G64" s="143" t="s">
        <v>343</v>
      </c>
      <c r="H64" s="144"/>
      <c r="I64" s="145"/>
      <c r="J64" s="145"/>
      <c r="K64" s="146" t="str">
        <f t="shared" si="6"/>
        <v xml:space="preserve"> </v>
      </c>
      <c r="L64" s="146" t="str">
        <f t="shared" si="6"/>
        <v xml:space="preserve"> </v>
      </c>
      <c r="M64" s="146" t="str">
        <f t="shared" si="6"/>
        <v xml:space="preserve"> </v>
      </c>
      <c r="N64" s="147" t="str">
        <f t="shared" si="1"/>
        <v xml:space="preserve"> </v>
      </c>
      <c r="O64" s="148" t="str">
        <f t="shared" si="2"/>
        <v xml:space="preserve"> </v>
      </c>
      <c r="P64" s="149" t="str">
        <f t="shared" si="3"/>
        <v xml:space="preserve"> </v>
      </c>
      <c r="Q64" s="147" t="str">
        <f t="shared" si="4"/>
        <v/>
      </c>
      <c r="R64" s="147" t="str">
        <f t="shared" si="5"/>
        <v/>
      </c>
      <c r="S64" s="150"/>
    </row>
    <row r="65" spans="1:19" ht="18" customHeight="1">
      <c r="A65" s="141"/>
      <c r="B65" s="114" t="s">
        <v>348</v>
      </c>
      <c r="C65" s="115" t="s">
        <v>73</v>
      </c>
      <c r="D65" s="142">
        <v>0.93899999999999995</v>
      </c>
      <c r="E65" s="142">
        <v>0.03</v>
      </c>
      <c r="F65" s="142">
        <v>-0.02</v>
      </c>
      <c r="G65" s="143" t="s">
        <v>343</v>
      </c>
      <c r="H65" s="144"/>
      <c r="I65" s="145"/>
      <c r="J65" s="145"/>
      <c r="K65" s="146" t="str">
        <f t="shared" si="6"/>
        <v xml:space="preserve"> </v>
      </c>
      <c r="L65" s="146" t="str">
        <f t="shared" si="6"/>
        <v xml:space="preserve"> </v>
      </c>
      <c r="M65" s="146" t="str">
        <f t="shared" si="6"/>
        <v xml:space="preserve"> </v>
      </c>
      <c r="N65" s="147" t="str">
        <f t="shared" si="1"/>
        <v xml:space="preserve"> </v>
      </c>
      <c r="O65" s="148" t="str">
        <f t="shared" si="2"/>
        <v xml:space="preserve"> </v>
      </c>
      <c r="P65" s="149" t="str">
        <f t="shared" si="3"/>
        <v xml:space="preserve"> </v>
      </c>
      <c r="Q65" s="147" t="str">
        <f t="shared" si="4"/>
        <v/>
      </c>
      <c r="R65" s="147" t="str">
        <f t="shared" si="5"/>
        <v/>
      </c>
      <c r="S65" s="150"/>
    </row>
    <row r="66" spans="1:19" ht="18" customHeight="1">
      <c r="A66" s="141"/>
      <c r="B66" s="114" t="s">
        <v>349</v>
      </c>
      <c r="C66" s="115" t="s">
        <v>73</v>
      </c>
      <c r="D66" s="142">
        <v>0.93899999999999995</v>
      </c>
      <c r="E66" s="142">
        <v>0.03</v>
      </c>
      <c r="F66" s="142">
        <v>-0.02</v>
      </c>
      <c r="G66" s="143" t="s">
        <v>343</v>
      </c>
      <c r="H66" s="144"/>
      <c r="I66" s="145"/>
      <c r="J66" s="145"/>
      <c r="K66" s="146" t="str">
        <f t="shared" si="6"/>
        <v xml:space="preserve"> </v>
      </c>
      <c r="L66" s="146" t="str">
        <f t="shared" si="6"/>
        <v xml:space="preserve"> </v>
      </c>
      <c r="M66" s="146" t="str">
        <f t="shared" si="6"/>
        <v xml:space="preserve"> </v>
      </c>
      <c r="N66" s="147" t="str">
        <f t="shared" si="1"/>
        <v xml:space="preserve"> </v>
      </c>
      <c r="O66" s="148" t="str">
        <f t="shared" si="2"/>
        <v xml:space="preserve"> </v>
      </c>
      <c r="P66" s="149" t="str">
        <f t="shared" si="3"/>
        <v xml:space="preserve"> </v>
      </c>
      <c r="Q66" s="147" t="str">
        <f t="shared" si="4"/>
        <v/>
      </c>
      <c r="R66" s="147" t="str">
        <f t="shared" si="5"/>
        <v/>
      </c>
      <c r="S66" s="150"/>
    </row>
    <row r="67" spans="1:19" ht="18" customHeight="1">
      <c r="A67" s="141"/>
      <c r="B67" s="114" t="s">
        <v>282</v>
      </c>
      <c r="C67" s="115" t="s">
        <v>73</v>
      </c>
      <c r="D67" s="142">
        <v>16.84</v>
      </c>
      <c r="E67" s="142">
        <v>0.03</v>
      </c>
      <c r="F67" s="142">
        <v>-0.03</v>
      </c>
      <c r="G67" s="143" t="s">
        <v>345</v>
      </c>
      <c r="H67" s="144"/>
      <c r="I67" s="145"/>
      <c r="J67" s="145"/>
      <c r="K67" s="146" t="str">
        <f t="shared" si="6"/>
        <v xml:space="preserve"> </v>
      </c>
      <c r="L67" s="146" t="str">
        <f t="shared" si="6"/>
        <v xml:space="preserve"> </v>
      </c>
      <c r="M67" s="146" t="str">
        <f t="shared" si="6"/>
        <v xml:space="preserve"> </v>
      </c>
      <c r="N67" s="147" t="str">
        <f t="shared" si="1"/>
        <v xml:space="preserve"> </v>
      </c>
      <c r="O67" s="148" t="str">
        <f t="shared" si="2"/>
        <v xml:space="preserve"> </v>
      </c>
      <c r="P67" s="149" t="str">
        <f t="shared" si="3"/>
        <v xml:space="preserve"> </v>
      </c>
      <c r="Q67" s="147" t="str">
        <f t="shared" si="4"/>
        <v/>
      </c>
      <c r="R67" s="147" t="str">
        <f t="shared" si="5"/>
        <v/>
      </c>
      <c r="S67" s="150"/>
    </row>
    <row r="68" spans="1:19" ht="18" customHeight="1">
      <c r="A68" s="141"/>
      <c r="B68" s="114" t="s">
        <v>219</v>
      </c>
      <c r="C68" s="115" t="s">
        <v>73</v>
      </c>
      <c r="D68" s="142">
        <v>4.2370000000000001</v>
      </c>
      <c r="E68" s="142">
        <v>0.03</v>
      </c>
      <c r="F68" s="142">
        <v>-0.03</v>
      </c>
      <c r="G68" s="143" t="s">
        <v>342</v>
      </c>
      <c r="H68" s="144"/>
      <c r="I68" s="145"/>
      <c r="J68" s="145"/>
      <c r="K68" s="146" t="str">
        <f t="shared" si="6"/>
        <v xml:space="preserve"> </v>
      </c>
      <c r="L68" s="146" t="str">
        <f t="shared" si="6"/>
        <v xml:space="preserve"> </v>
      </c>
      <c r="M68" s="146" t="str">
        <f t="shared" si="6"/>
        <v xml:space="preserve"> </v>
      </c>
      <c r="N68" s="147" t="str">
        <f t="shared" si="1"/>
        <v xml:space="preserve"> </v>
      </c>
      <c r="O68" s="148" t="str">
        <f t="shared" si="2"/>
        <v xml:space="preserve"> </v>
      </c>
      <c r="P68" s="149" t="str">
        <f t="shared" si="3"/>
        <v xml:space="preserve"> </v>
      </c>
      <c r="Q68" s="147" t="str">
        <f t="shared" si="4"/>
        <v/>
      </c>
      <c r="R68" s="147" t="str">
        <f t="shared" si="5"/>
        <v/>
      </c>
      <c r="S68" s="150"/>
    </row>
    <row r="69" spans="1:19" ht="18" customHeight="1">
      <c r="A69" s="141"/>
      <c r="B69" s="114" t="s">
        <v>283</v>
      </c>
      <c r="C69" s="115" t="s">
        <v>86</v>
      </c>
      <c r="D69" s="142">
        <v>0.4</v>
      </c>
      <c r="E69" s="142">
        <v>0.03</v>
      </c>
      <c r="F69" s="142">
        <v>-0.03</v>
      </c>
      <c r="G69" s="143" t="s">
        <v>342</v>
      </c>
      <c r="H69" s="144"/>
      <c r="I69" s="145"/>
      <c r="J69" s="145"/>
      <c r="K69" s="146" t="str">
        <f t="shared" si="6"/>
        <v xml:space="preserve"> </v>
      </c>
      <c r="L69" s="146" t="str">
        <f t="shared" si="6"/>
        <v xml:space="preserve"> </v>
      </c>
      <c r="M69" s="146" t="str">
        <f t="shared" si="6"/>
        <v xml:space="preserve"> </v>
      </c>
      <c r="N69" s="147" t="str">
        <f t="shared" si="1"/>
        <v xml:space="preserve"> </v>
      </c>
      <c r="O69" s="148" t="str">
        <f t="shared" si="2"/>
        <v xml:space="preserve"> </v>
      </c>
      <c r="P69" s="149" t="str">
        <f t="shared" si="3"/>
        <v xml:space="preserve"> </v>
      </c>
      <c r="Q69" s="147" t="str">
        <f t="shared" si="4"/>
        <v/>
      </c>
      <c r="R69" s="147" t="str">
        <f t="shared" si="5"/>
        <v/>
      </c>
      <c r="S69" s="150"/>
    </row>
    <row r="70" spans="1:19" ht="18" customHeight="1">
      <c r="A70" s="141"/>
      <c r="B70" s="114" t="s">
        <v>284</v>
      </c>
      <c r="C70" s="115" t="s">
        <v>87</v>
      </c>
      <c r="D70" s="142"/>
      <c r="E70" s="142">
        <v>0.08</v>
      </c>
      <c r="F70" s="142"/>
      <c r="G70" s="143" t="s">
        <v>342</v>
      </c>
      <c r="H70" s="144"/>
      <c r="I70" s="145"/>
      <c r="J70" s="145"/>
      <c r="K70" s="146" t="str">
        <f t="shared" ref="K70:M101" si="7">IF(ISERR(H70/H70)=TRUE," ",H70-$D70)</f>
        <v xml:space="preserve"> </v>
      </c>
      <c r="L70" s="146" t="str">
        <f t="shared" si="7"/>
        <v xml:space="preserve"> </v>
      </c>
      <c r="M70" s="146" t="str">
        <f t="shared" si="7"/>
        <v xml:space="preserve"> </v>
      </c>
      <c r="N70" s="147" t="str">
        <f t="shared" ref="N70:N133" si="8">IF(ISERR(H70/H70)=TRUE," ",AVERAGE(H70:J70))</f>
        <v xml:space="preserve"> </v>
      </c>
      <c r="O70" s="148" t="str">
        <f t="shared" ref="O70:O133" si="9">IF(ISERR(E70/E70)=TRUE," ",IF(ISERR(H70/H70)=TRUE," ",IF(ISNUMBER($H70)=FALSE," ",IF(MAX($H70:$J70)&lt;$D70,0,(MAX($H70:$J70)-$D70)/$E70))))</f>
        <v xml:space="preserve"> </v>
      </c>
      <c r="P70" s="149" t="str">
        <f t="shared" ref="P70:P133" si="10">IF(ISERR(F70/D70)=TRUE," ",IF(ISERR(F70/F70)=TRUE," ",IF(ISERR(H70/H70)=TRUE," ",IF(ISNUMBER(H70)=FALSE," ",IF(MIN(H70:J70)&gt;$D70,0,($D70-MIN(H70:J70))/-F70)))))</f>
        <v xml:space="preserve"> </v>
      </c>
      <c r="Q70" s="147" t="str">
        <f t="shared" ref="Q70:Q133" si="11">IF(ISNUMBER($O70)=TRUE,IF($O70&gt;0.651,IF($O70&gt;1.001,"Reject","Alert"),""),"")</f>
        <v/>
      </c>
      <c r="R70" s="147" t="str">
        <f t="shared" ref="R70:R113" si="12">IF(H70="","",IF(ISERR(F70/F70)=TRUE,"",IF(ISERR(F70/D70)=TRUE,IF((F70-MIN(H70:J70))&gt;0.001,"Reject",""),IF(ISNUMBER($P70)=TRUE,IF($P70&gt;0.651,IF($P70&gt;1.001,"Reject","Alert"),""),""))))</f>
        <v/>
      </c>
      <c r="S70" s="150"/>
    </row>
    <row r="71" spans="1:19" ht="18" customHeight="1">
      <c r="A71" s="141"/>
      <c r="B71" s="114" t="s">
        <v>285</v>
      </c>
      <c r="C71" s="115" t="s">
        <v>87</v>
      </c>
      <c r="D71" s="142"/>
      <c r="E71" s="142">
        <v>0.05</v>
      </c>
      <c r="F71" s="142"/>
      <c r="G71" s="143" t="s">
        <v>342</v>
      </c>
      <c r="H71" s="144"/>
      <c r="I71" s="145"/>
      <c r="J71" s="145"/>
      <c r="K71" s="146" t="str">
        <f t="shared" si="7"/>
        <v xml:space="preserve"> </v>
      </c>
      <c r="L71" s="146" t="str">
        <f t="shared" si="7"/>
        <v xml:space="preserve"> </v>
      </c>
      <c r="M71" s="146" t="str">
        <f t="shared" si="7"/>
        <v xml:space="preserve"> </v>
      </c>
      <c r="N71" s="147" t="str">
        <f t="shared" si="8"/>
        <v xml:space="preserve"> </v>
      </c>
      <c r="O71" s="148" t="str">
        <f t="shared" si="9"/>
        <v xml:space="preserve"> </v>
      </c>
      <c r="P71" s="149" t="str">
        <f t="shared" si="10"/>
        <v xml:space="preserve"> </v>
      </c>
      <c r="Q71" s="147" t="str">
        <f t="shared" si="11"/>
        <v/>
      </c>
      <c r="R71" s="147" t="str">
        <f t="shared" si="12"/>
        <v/>
      </c>
      <c r="S71" s="150"/>
    </row>
    <row r="72" spans="1:19" ht="18" customHeight="1">
      <c r="A72" s="141"/>
      <c r="B72" s="114" t="s">
        <v>220</v>
      </c>
      <c r="C72" s="115" t="s">
        <v>73</v>
      </c>
      <c r="D72" s="142">
        <v>8.1300000000000008</v>
      </c>
      <c r="E72" s="142">
        <v>0.02</v>
      </c>
      <c r="F72" s="142">
        <v>-0.02</v>
      </c>
      <c r="G72" s="143" t="s">
        <v>342</v>
      </c>
      <c r="H72" s="144"/>
      <c r="I72" s="145"/>
      <c r="J72" s="145"/>
      <c r="K72" s="146" t="str">
        <f t="shared" si="7"/>
        <v xml:space="preserve"> </v>
      </c>
      <c r="L72" s="146" t="str">
        <f t="shared" si="7"/>
        <v xml:space="preserve"> </v>
      </c>
      <c r="M72" s="146" t="str">
        <f t="shared" si="7"/>
        <v xml:space="preserve"> </v>
      </c>
      <c r="N72" s="147" t="str">
        <f t="shared" si="8"/>
        <v xml:space="preserve"> </v>
      </c>
      <c r="O72" s="148" t="str">
        <f t="shared" si="9"/>
        <v xml:space="preserve"> </v>
      </c>
      <c r="P72" s="149" t="str">
        <f t="shared" si="10"/>
        <v xml:space="preserve"> </v>
      </c>
      <c r="Q72" s="147" t="str">
        <f t="shared" si="11"/>
        <v/>
      </c>
      <c r="R72" s="147" t="str">
        <f t="shared" si="12"/>
        <v/>
      </c>
      <c r="S72" s="150"/>
    </row>
    <row r="73" spans="1:19" ht="18" customHeight="1">
      <c r="A73" s="141"/>
      <c r="B73" s="114" t="s">
        <v>286</v>
      </c>
      <c r="C73" s="115" t="s">
        <v>73</v>
      </c>
      <c r="D73" s="142"/>
      <c r="E73" s="142">
        <v>0.05</v>
      </c>
      <c r="F73" s="142"/>
      <c r="G73" s="143" t="s">
        <v>342</v>
      </c>
      <c r="H73" s="144"/>
      <c r="I73" s="145"/>
      <c r="J73" s="145"/>
      <c r="K73" s="146" t="str">
        <f t="shared" si="7"/>
        <v xml:space="preserve"> </v>
      </c>
      <c r="L73" s="146" t="str">
        <f t="shared" si="7"/>
        <v xml:space="preserve"> </v>
      </c>
      <c r="M73" s="146" t="str">
        <f t="shared" si="7"/>
        <v xml:space="preserve"> </v>
      </c>
      <c r="N73" s="147" t="str">
        <f t="shared" si="8"/>
        <v xml:space="preserve"> </v>
      </c>
      <c r="O73" s="148" t="str">
        <f t="shared" si="9"/>
        <v xml:space="preserve"> </v>
      </c>
      <c r="P73" s="149" t="str">
        <f t="shared" si="10"/>
        <v xml:space="preserve"> </v>
      </c>
      <c r="Q73" s="147" t="str">
        <f t="shared" si="11"/>
        <v/>
      </c>
      <c r="R73" s="147" t="str">
        <f t="shared" si="12"/>
        <v/>
      </c>
      <c r="S73" s="150"/>
    </row>
    <row r="74" spans="1:19" ht="18" customHeight="1">
      <c r="A74" s="141"/>
      <c r="B74" s="114" t="s">
        <v>221</v>
      </c>
      <c r="C74" s="115" t="s">
        <v>73</v>
      </c>
      <c r="D74" s="142">
        <v>8.1300000000000008</v>
      </c>
      <c r="E74" s="142">
        <v>0.02</v>
      </c>
      <c r="F74" s="142">
        <v>-0.02</v>
      </c>
      <c r="G74" s="143" t="s">
        <v>342</v>
      </c>
      <c r="H74" s="144"/>
      <c r="I74" s="145"/>
      <c r="J74" s="145"/>
      <c r="K74" s="146" t="str">
        <f t="shared" si="7"/>
        <v xml:space="preserve"> </v>
      </c>
      <c r="L74" s="146" t="str">
        <f t="shared" si="7"/>
        <v xml:space="preserve"> </v>
      </c>
      <c r="M74" s="146" t="str">
        <f t="shared" si="7"/>
        <v xml:space="preserve"> </v>
      </c>
      <c r="N74" s="147" t="str">
        <f t="shared" si="8"/>
        <v xml:space="preserve"> </v>
      </c>
      <c r="O74" s="148" t="str">
        <f t="shared" si="9"/>
        <v xml:space="preserve"> </v>
      </c>
      <c r="P74" s="149" t="str">
        <f t="shared" si="10"/>
        <v xml:space="preserve"> </v>
      </c>
      <c r="Q74" s="147" t="str">
        <f t="shared" si="11"/>
        <v/>
      </c>
      <c r="R74" s="147" t="str">
        <f t="shared" si="12"/>
        <v/>
      </c>
      <c r="S74" s="150"/>
    </row>
    <row r="75" spans="1:19" ht="18" customHeight="1">
      <c r="A75" s="141"/>
      <c r="B75" s="114" t="s">
        <v>222</v>
      </c>
      <c r="C75" s="115" t="s">
        <v>73</v>
      </c>
      <c r="D75" s="142">
        <v>8.0250000000000004</v>
      </c>
      <c r="E75" s="142">
        <v>0.02</v>
      </c>
      <c r="F75" s="142">
        <v>-0.02</v>
      </c>
      <c r="G75" s="143" t="s">
        <v>342</v>
      </c>
      <c r="H75" s="144"/>
      <c r="I75" s="145"/>
      <c r="J75" s="145"/>
      <c r="K75" s="146" t="str">
        <f t="shared" si="7"/>
        <v xml:space="preserve"> </v>
      </c>
      <c r="L75" s="146" t="str">
        <f t="shared" si="7"/>
        <v xml:space="preserve"> </v>
      </c>
      <c r="M75" s="146" t="str">
        <f t="shared" si="7"/>
        <v xml:space="preserve"> </v>
      </c>
      <c r="N75" s="147" t="str">
        <f t="shared" si="8"/>
        <v xml:space="preserve"> </v>
      </c>
      <c r="O75" s="148" t="str">
        <f t="shared" si="9"/>
        <v xml:space="preserve"> </v>
      </c>
      <c r="P75" s="149" t="str">
        <f t="shared" si="10"/>
        <v xml:space="preserve"> </v>
      </c>
      <c r="Q75" s="147" t="str">
        <f t="shared" si="11"/>
        <v/>
      </c>
      <c r="R75" s="147" t="str">
        <f t="shared" si="12"/>
        <v/>
      </c>
      <c r="S75" s="150"/>
    </row>
    <row r="76" spans="1:19" ht="18" customHeight="1">
      <c r="A76" s="141"/>
      <c r="B76" s="114" t="s">
        <v>223</v>
      </c>
      <c r="C76" s="115" t="s">
        <v>87</v>
      </c>
      <c r="D76" s="142"/>
      <c r="E76" s="142">
        <v>0.05</v>
      </c>
      <c r="F76" s="142"/>
      <c r="G76" s="143" t="s">
        <v>342</v>
      </c>
      <c r="H76" s="144"/>
      <c r="I76" s="145"/>
      <c r="J76" s="145"/>
      <c r="K76" s="146" t="str">
        <f t="shared" si="7"/>
        <v xml:space="preserve"> </v>
      </c>
      <c r="L76" s="146" t="str">
        <f t="shared" si="7"/>
        <v xml:space="preserve"> </v>
      </c>
      <c r="M76" s="146" t="str">
        <f t="shared" si="7"/>
        <v xml:space="preserve"> </v>
      </c>
      <c r="N76" s="147" t="str">
        <f t="shared" si="8"/>
        <v xml:space="preserve"> </v>
      </c>
      <c r="O76" s="148" t="str">
        <f t="shared" si="9"/>
        <v xml:space="preserve"> </v>
      </c>
      <c r="P76" s="149" t="str">
        <f t="shared" si="10"/>
        <v xml:space="preserve"> </v>
      </c>
      <c r="Q76" s="147" t="str">
        <f t="shared" si="11"/>
        <v/>
      </c>
      <c r="R76" s="147" t="str">
        <f t="shared" si="12"/>
        <v/>
      </c>
      <c r="S76" s="150"/>
    </row>
    <row r="77" spans="1:19" ht="18" customHeight="1">
      <c r="A77" s="141"/>
      <c r="B77" s="114" t="s">
        <v>224</v>
      </c>
      <c r="C77" s="115" t="s">
        <v>87</v>
      </c>
      <c r="D77" s="142"/>
      <c r="E77" s="142">
        <v>0.05</v>
      </c>
      <c r="F77" s="142"/>
      <c r="G77" s="143" t="s">
        <v>342</v>
      </c>
      <c r="H77" s="144"/>
      <c r="I77" s="145"/>
      <c r="J77" s="145"/>
      <c r="K77" s="146" t="str">
        <f t="shared" si="7"/>
        <v xml:space="preserve"> </v>
      </c>
      <c r="L77" s="146" t="str">
        <f t="shared" si="7"/>
        <v xml:space="preserve"> </v>
      </c>
      <c r="M77" s="146" t="str">
        <f t="shared" si="7"/>
        <v xml:space="preserve"> </v>
      </c>
      <c r="N77" s="147" t="str">
        <f t="shared" si="8"/>
        <v xml:space="preserve"> </v>
      </c>
      <c r="O77" s="148" t="str">
        <f t="shared" si="9"/>
        <v xml:space="preserve"> </v>
      </c>
      <c r="P77" s="149" t="str">
        <f t="shared" si="10"/>
        <v xml:space="preserve"> </v>
      </c>
      <c r="Q77" s="147" t="str">
        <f t="shared" si="11"/>
        <v/>
      </c>
      <c r="R77" s="147" t="str">
        <f t="shared" si="12"/>
        <v/>
      </c>
      <c r="S77" s="150"/>
    </row>
    <row r="78" spans="1:19" ht="18" customHeight="1">
      <c r="A78" s="141"/>
      <c r="B78" s="114" t="s">
        <v>225</v>
      </c>
      <c r="C78" s="115" t="s">
        <v>73</v>
      </c>
      <c r="D78" s="142">
        <v>2.7149999999999999</v>
      </c>
      <c r="E78" s="142">
        <v>0.02</v>
      </c>
      <c r="F78" s="142">
        <v>-0.02</v>
      </c>
      <c r="G78" s="143" t="s">
        <v>342</v>
      </c>
      <c r="H78" s="144"/>
      <c r="I78" s="145"/>
      <c r="J78" s="145"/>
      <c r="K78" s="146" t="str">
        <f t="shared" si="7"/>
        <v xml:space="preserve"> </v>
      </c>
      <c r="L78" s="146" t="str">
        <f t="shared" si="7"/>
        <v xml:space="preserve"> </v>
      </c>
      <c r="M78" s="146" t="str">
        <f t="shared" si="7"/>
        <v xml:space="preserve"> </v>
      </c>
      <c r="N78" s="147" t="str">
        <f t="shared" si="8"/>
        <v xml:space="preserve"> </v>
      </c>
      <c r="O78" s="148" t="str">
        <f t="shared" si="9"/>
        <v xml:space="preserve"> </v>
      </c>
      <c r="P78" s="149" t="str">
        <f t="shared" si="10"/>
        <v xml:space="preserve"> </v>
      </c>
      <c r="Q78" s="147" t="str">
        <f t="shared" si="11"/>
        <v/>
      </c>
      <c r="R78" s="147" t="str">
        <f t="shared" si="12"/>
        <v/>
      </c>
      <c r="S78" s="150"/>
    </row>
    <row r="79" spans="1:19" ht="18" customHeight="1">
      <c r="A79" s="141"/>
      <c r="B79" s="114" t="s">
        <v>226</v>
      </c>
      <c r="C79" s="115" t="s">
        <v>73</v>
      </c>
      <c r="D79" s="142">
        <v>3.0049999999999999</v>
      </c>
      <c r="E79" s="142">
        <v>0.02</v>
      </c>
      <c r="F79" s="142">
        <v>-0.02</v>
      </c>
      <c r="G79" s="143" t="s">
        <v>342</v>
      </c>
      <c r="H79" s="144"/>
      <c r="I79" s="145"/>
      <c r="J79" s="145"/>
      <c r="K79" s="146" t="str">
        <f t="shared" si="7"/>
        <v xml:space="preserve"> </v>
      </c>
      <c r="L79" s="146" t="str">
        <f t="shared" si="7"/>
        <v xml:space="preserve"> </v>
      </c>
      <c r="M79" s="146" t="str">
        <f t="shared" si="7"/>
        <v xml:space="preserve"> </v>
      </c>
      <c r="N79" s="147" t="str">
        <f t="shared" si="8"/>
        <v xml:space="preserve"> </v>
      </c>
      <c r="O79" s="148" t="str">
        <f t="shared" si="9"/>
        <v xml:space="preserve"> </v>
      </c>
      <c r="P79" s="149" t="str">
        <f t="shared" si="10"/>
        <v xml:space="preserve"> </v>
      </c>
      <c r="Q79" s="147" t="str">
        <f t="shared" si="11"/>
        <v/>
      </c>
      <c r="R79" s="147" t="str">
        <f t="shared" si="12"/>
        <v/>
      </c>
      <c r="S79" s="150"/>
    </row>
    <row r="80" spans="1:19" ht="18" customHeight="1">
      <c r="A80" s="141"/>
      <c r="B80" s="114" t="s">
        <v>227</v>
      </c>
      <c r="C80" s="115" t="s">
        <v>87</v>
      </c>
      <c r="D80" s="142"/>
      <c r="E80" s="142">
        <v>0.05</v>
      </c>
      <c r="F80" s="142"/>
      <c r="G80" s="143" t="s">
        <v>342</v>
      </c>
      <c r="H80" s="144"/>
      <c r="I80" s="145"/>
      <c r="J80" s="145"/>
      <c r="K80" s="146" t="str">
        <f t="shared" si="7"/>
        <v xml:space="preserve"> </v>
      </c>
      <c r="L80" s="146" t="str">
        <f t="shared" si="7"/>
        <v xml:space="preserve"> </v>
      </c>
      <c r="M80" s="146" t="str">
        <f t="shared" si="7"/>
        <v xml:space="preserve"> </v>
      </c>
      <c r="N80" s="147" t="str">
        <f t="shared" si="8"/>
        <v xml:space="preserve"> </v>
      </c>
      <c r="O80" s="148" t="str">
        <f t="shared" si="9"/>
        <v xml:space="preserve"> </v>
      </c>
      <c r="P80" s="149" t="str">
        <f t="shared" si="10"/>
        <v xml:space="preserve"> </v>
      </c>
      <c r="Q80" s="147" t="str">
        <f t="shared" si="11"/>
        <v/>
      </c>
      <c r="R80" s="147" t="str">
        <f t="shared" si="12"/>
        <v/>
      </c>
      <c r="S80" s="150"/>
    </row>
    <row r="81" spans="1:19" ht="18" customHeight="1">
      <c r="A81" s="141"/>
      <c r="B81" s="114" t="s">
        <v>228</v>
      </c>
      <c r="C81" s="115" t="s">
        <v>73</v>
      </c>
      <c r="D81" s="142">
        <v>14.13</v>
      </c>
      <c r="E81" s="142">
        <v>0.03</v>
      </c>
      <c r="F81" s="142">
        <v>-0.03</v>
      </c>
      <c r="G81" s="143" t="s">
        <v>345</v>
      </c>
      <c r="H81" s="144"/>
      <c r="I81" s="145"/>
      <c r="J81" s="145"/>
      <c r="K81" s="146" t="str">
        <f t="shared" si="7"/>
        <v xml:space="preserve"> </v>
      </c>
      <c r="L81" s="146" t="str">
        <f t="shared" si="7"/>
        <v xml:space="preserve"> </v>
      </c>
      <c r="M81" s="146" t="str">
        <f t="shared" si="7"/>
        <v xml:space="preserve"> </v>
      </c>
      <c r="N81" s="147" t="str">
        <f t="shared" si="8"/>
        <v xml:space="preserve"> </v>
      </c>
      <c r="O81" s="148" t="str">
        <f t="shared" si="9"/>
        <v xml:space="preserve"> </v>
      </c>
      <c r="P81" s="149" t="str">
        <f t="shared" si="10"/>
        <v xml:space="preserve"> </v>
      </c>
      <c r="Q81" s="147" t="str">
        <f t="shared" si="11"/>
        <v/>
      </c>
      <c r="R81" s="147" t="str">
        <f t="shared" si="12"/>
        <v/>
      </c>
      <c r="S81" s="150"/>
    </row>
    <row r="82" spans="1:19" ht="18" customHeight="1">
      <c r="A82" s="141"/>
      <c r="B82" s="114" t="s">
        <v>229</v>
      </c>
      <c r="C82" s="115" t="s">
        <v>73</v>
      </c>
      <c r="D82" s="142">
        <v>4.46</v>
      </c>
      <c r="E82" s="142">
        <v>0.04</v>
      </c>
      <c r="F82" s="142">
        <v>-0.04</v>
      </c>
      <c r="G82" s="143" t="s">
        <v>345</v>
      </c>
      <c r="H82" s="144"/>
      <c r="I82" s="145"/>
      <c r="J82" s="145"/>
      <c r="K82" s="146" t="str">
        <f t="shared" si="7"/>
        <v xml:space="preserve"> </v>
      </c>
      <c r="L82" s="146" t="str">
        <f t="shared" si="7"/>
        <v xml:space="preserve"> </v>
      </c>
      <c r="M82" s="146" t="str">
        <f t="shared" si="7"/>
        <v xml:space="preserve"> </v>
      </c>
      <c r="N82" s="147" t="str">
        <f t="shared" si="8"/>
        <v xml:space="preserve"> </v>
      </c>
      <c r="O82" s="148" t="str">
        <f t="shared" si="9"/>
        <v xml:space="preserve"> </v>
      </c>
      <c r="P82" s="149" t="str">
        <f t="shared" si="10"/>
        <v xml:space="preserve"> </v>
      </c>
      <c r="Q82" s="147" t="str">
        <f t="shared" si="11"/>
        <v/>
      </c>
      <c r="R82" s="147" t="str">
        <f t="shared" si="12"/>
        <v/>
      </c>
      <c r="S82" s="150"/>
    </row>
    <row r="83" spans="1:19" ht="18" customHeight="1">
      <c r="A83" s="141"/>
      <c r="B83" s="114" t="s">
        <v>230</v>
      </c>
      <c r="C83" s="115" t="s">
        <v>73</v>
      </c>
      <c r="D83" s="142">
        <v>18.285</v>
      </c>
      <c r="E83" s="142">
        <v>0.03</v>
      </c>
      <c r="F83" s="142">
        <v>-0.03</v>
      </c>
      <c r="G83" s="143" t="s">
        <v>345</v>
      </c>
      <c r="H83" s="144"/>
      <c r="I83" s="145"/>
      <c r="J83" s="145"/>
      <c r="K83" s="146" t="str">
        <f t="shared" si="7"/>
        <v xml:space="preserve"> </v>
      </c>
      <c r="L83" s="146" t="str">
        <f t="shared" si="7"/>
        <v xml:space="preserve"> </v>
      </c>
      <c r="M83" s="146" t="str">
        <f t="shared" si="7"/>
        <v xml:space="preserve"> </v>
      </c>
      <c r="N83" s="147" t="str">
        <f t="shared" si="8"/>
        <v xml:space="preserve"> </v>
      </c>
      <c r="O83" s="148" t="str">
        <f t="shared" si="9"/>
        <v xml:space="preserve"> </v>
      </c>
      <c r="P83" s="149" t="str">
        <f t="shared" si="10"/>
        <v xml:space="preserve"> </v>
      </c>
      <c r="Q83" s="147" t="str">
        <f t="shared" si="11"/>
        <v/>
      </c>
      <c r="R83" s="147" t="str">
        <f t="shared" si="12"/>
        <v/>
      </c>
      <c r="S83" s="150"/>
    </row>
    <row r="84" spans="1:19" ht="18" customHeight="1">
      <c r="A84" s="141"/>
      <c r="B84" s="114" t="s">
        <v>231</v>
      </c>
      <c r="C84" s="115" t="s">
        <v>73</v>
      </c>
      <c r="D84" s="142">
        <v>7.4749999999999996</v>
      </c>
      <c r="E84" s="142">
        <v>0.03</v>
      </c>
      <c r="F84" s="142">
        <v>-0.03</v>
      </c>
      <c r="G84" s="143" t="s">
        <v>342</v>
      </c>
      <c r="H84" s="144"/>
      <c r="I84" s="145"/>
      <c r="J84" s="145"/>
      <c r="K84" s="146" t="str">
        <f t="shared" si="7"/>
        <v xml:space="preserve"> </v>
      </c>
      <c r="L84" s="146" t="str">
        <f t="shared" si="7"/>
        <v xml:space="preserve"> </v>
      </c>
      <c r="M84" s="146" t="str">
        <f t="shared" si="7"/>
        <v xml:space="preserve"> </v>
      </c>
      <c r="N84" s="147" t="str">
        <f t="shared" si="8"/>
        <v xml:space="preserve"> </v>
      </c>
      <c r="O84" s="148" t="str">
        <f t="shared" si="9"/>
        <v xml:space="preserve"> </v>
      </c>
      <c r="P84" s="149" t="str">
        <f t="shared" si="10"/>
        <v xml:space="preserve"> </v>
      </c>
      <c r="Q84" s="147" t="str">
        <f t="shared" si="11"/>
        <v/>
      </c>
      <c r="R84" s="147" t="str">
        <f t="shared" si="12"/>
        <v/>
      </c>
      <c r="S84" s="150"/>
    </row>
    <row r="85" spans="1:19" ht="18" customHeight="1">
      <c r="A85" s="141"/>
      <c r="B85" s="114" t="s">
        <v>232</v>
      </c>
      <c r="C85" s="115" t="s">
        <v>73</v>
      </c>
      <c r="D85" s="142">
        <v>2.1629999999999998</v>
      </c>
      <c r="E85" s="142">
        <v>0.03</v>
      </c>
      <c r="F85" s="142">
        <v>-0.03</v>
      </c>
      <c r="G85" s="143" t="s">
        <v>342</v>
      </c>
      <c r="H85" s="144"/>
      <c r="I85" s="145"/>
      <c r="J85" s="145"/>
      <c r="K85" s="146" t="str">
        <f t="shared" si="7"/>
        <v xml:space="preserve"> </v>
      </c>
      <c r="L85" s="146" t="str">
        <f t="shared" si="7"/>
        <v xml:space="preserve"> </v>
      </c>
      <c r="M85" s="146" t="str">
        <f t="shared" si="7"/>
        <v xml:space="preserve"> </v>
      </c>
      <c r="N85" s="147" t="str">
        <f t="shared" si="8"/>
        <v xml:space="preserve"> </v>
      </c>
      <c r="O85" s="148" t="str">
        <f t="shared" si="9"/>
        <v xml:space="preserve"> </v>
      </c>
      <c r="P85" s="149" t="str">
        <f t="shared" si="10"/>
        <v xml:space="preserve"> </v>
      </c>
      <c r="Q85" s="147" t="str">
        <f t="shared" si="11"/>
        <v/>
      </c>
      <c r="R85" s="147" t="str">
        <f t="shared" si="12"/>
        <v/>
      </c>
      <c r="S85" s="150"/>
    </row>
    <row r="86" spans="1:19" ht="18" customHeight="1">
      <c r="A86" s="141"/>
      <c r="B86" s="114" t="s">
        <v>233</v>
      </c>
      <c r="C86" s="115" t="s">
        <v>73</v>
      </c>
      <c r="D86" s="142">
        <v>3.4660000000000002</v>
      </c>
      <c r="E86" s="142">
        <v>0.03</v>
      </c>
      <c r="F86" s="142">
        <v>-0.03</v>
      </c>
      <c r="G86" s="143" t="s">
        <v>342</v>
      </c>
      <c r="H86" s="144"/>
      <c r="I86" s="145"/>
      <c r="J86" s="145"/>
      <c r="K86" s="146" t="str">
        <f t="shared" si="7"/>
        <v xml:space="preserve"> </v>
      </c>
      <c r="L86" s="146" t="str">
        <f t="shared" si="7"/>
        <v xml:space="preserve"> </v>
      </c>
      <c r="M86" s="146" t="str">
        <f t="shared" si="7"/>
        <v xml:space="preserve"> </v>
      </c>
      <c r="N86" s="147" t="str">
        <f t="shared" si="8"/>
        <v xml:space="preserve"> </v>
      </c>
      <c r="O86" s="148" t="str">
        <f t="shared" si="9"/>
        <v xml:space="preserve"> </v>
      </c>
      <c r="P86" s="149" t="str">
        <f t="shared" si="10"/>
        <v xml:space="preserve"> </v>
      </c>
      <c r="Q86" s="147" t="str">
        <f t="shared" si="11"/>
        <v/>
      </c>
      <c r="R86" s="147" t="str">
        <f t="shared" si="12"/>
        <v/>
      </c>
      <c r="S86" s="150"/>
    </row>
    <row r="87" spans="1:19" ht="18" customHeight="1">
      <c r="A87" s="141"/>
      <c r="B87" s="114" t="s">
        <v>234</v>
      </c>
      <c r="C87" s="115" t="s">
        <v>73</v>
      </c>
      <c r="D87" s="142">
        <v>15.128</v>
      </c>
      <c r="E87" s="142">
        <v>0.03</v>
      </c>
      <c r="F87" s="142">
        <v>-0.03</v>
      </c>
      <c r="G87" s="143" t="s">
        <v>342</v>
      </c>
      <c r="H87" s="144"/>
      <c r="I87" s="145"/>
      <c r="J87" s="145"/>
      <c r="K87" s="146" t="str">
        <f t="shared" si="7"/>
        <v xml:space="preserve"> </v>
      </c>
      <c r="L87" s="146" t="str">
        <f t="shared" si="7"/>
        <v xml:space="preserve"> </v>
      </c>
      <c r="M87" s="146" t="str">
        <f t="shared" si="7"/>
        <v xml:space="preserve"> </v>
      </c>
      <c r="N87" s="147" t="str">
        <f t="shared" si="8"/>
        <v xml:space="preserve"> </v>
      </c>
      <c r="O87" s="148" t="str">
        <f t="shared" si="9"/>
        <v xml:space="preserve"> </v>
      </c>
      <c r="P87" s="149" t="str">
        <f t="shared" si="10"/>
        <v xml:space="preserve"> </v>
      </c>
      <c r="Q87" s="147" t="str">
        <f t="shared" si="11"/>
        <v/>
      </c>
      <c r="R87" s="147" t="str">
        <f t="shared" si="12"/>
        <v/>
      </c>
      <c r="S87" s="150"/>
    </row>
    <row r="88" spans="1:19" ht="18" customHeight="1">
      <c r="A88" s="141"/>
      <c r="B88" s="114" t="s">
        <v>235</v>
      </c>
      <c r="C88" s="115" t="s">
        <v>73</v>
      </c>
      <c r="D88" s="142">
        <v>22.35</v>
      </c>
      <c r="E88" s="142">
        <v>0.03</v>
      </c>
      <c r="F88" s="142">
        <v>-0.05</v>
      </c>
      <c r="G88" s="143" t="s">
        <v>342</v>
      </c>
      <c r="H88" s="144"/>
      <c r="I88" s="145"/>
      <c r="J88" s="145"/>
      <c r="K88" s="146" t="str">
        <f t="shared" si="7"/>
        <v xml:space="preserve"> </v>
      </c>
      <c r="L88" s="146" t="str">
        <f t="shared" si="7"/>
        <v xml:space="preserve"> </v>
      </c>
      <c r="M88" s="146" t="str">
        <f t="shared" si="7"/>
        <v xml:space="preserve"> </v>
      </c>
      <c r="N88" s="147" t="str">
        <f t="shared" si="8"/>
        <v xml:space="preserve"> </v>
      </c>
      <c r="O88" s="148" t="str">
        <f t="shared" si="9"/>
        <v xml:space="preserve"> </v>
      </c>
      <c r="P88" s="149" t="str">
        <f t="shared" si="10"/>
        <v xml:space="preserve"> </v>
      </c>
      <c r="Q88" s="147" t="str">
        <f t="shared" si="11"/>
        <v/>
      </c>
      <c r="R88" s="147" t="str">
        <f t="shared" si="12"/>
        <v/>
      </c>
      <c r="S88" s="150"/>
    </row>
    <row r="89" spans="1:19" ht="18" customHeight="1">
      <c r="A89" s="141"/>
      <c r="B89" s="114" t="s">
        <v>287</v>
      </c>
      <c r="C89" s="115" t="s">
        <v>73</v>
      </c>
      <c r="D89" s="142">
        <v>4.3250000000000002</v>
      </c>
      <c r="E89" s="142">
        <v>0.03</v>
      </c>
      <c r="F89" s="142">
        <v>-0.03</v>
      </c>
      <c r="G89" s="143" t="s">
        <v>345</v>
      </c>
      <c r="H89" s="144"/>
      <c r="I89" s="145"/>
      <c r="J89" s="145"/>
      <c r="K89" s="146" t="str">
        <f t="shared" si="7"/>
        <v xml:space="preserve"> </v>
      </c>
      <c r="L89" s="146" t="str">
        <f t="shared" si="7"/>
        <v xml:space="preserve"> </v>
      </c>
      <c r="M89" s="146" t="str">
        <f t="shared" si="7"/>
        <v xml:space="preserve"> </v>
      </c>
      <c r="N89" s="147" t="str">
        <f t="shared" si="8"/>
        <v xml:space="preserve"> </v>
      </c>
      <c r="O89" s="148" t="str">
        <f t="shared" si="9"/>
        <v xml:space="preserve"> </v>
      </c>
      <c r="P89" s="149" t="str">
        <f t="shared" si="10"/>
        <v xml:space="preserve"> </v>
      </c>
      <c r="Q89" s="147" t="str">
        <f t="shared" si="11"/>
        <v/>
      </c>
      <c r="R89" s="147" t="str">
        <f t="shared" si="12"/>
        <v/>
      </c>
      <c r="S89" s="150"/>
    </row>
    <row r="90" spans="1:19" ht="18" customHeight="1">
      <c r="A90" s="141"/>
      <c r="B90" s="114" t="s">
        <v>236</v>
      </c>
      <c r="C90" s="115" t="s">
        <v>73</v>
      </c>
      <c r="D90" s="142">
        <v>4.3250000000000002</v>
      </c>
      <c r="E90" s="142">
        <v>0.03</v>
      </c>
      <c r="F90" s="142">
        <v>-0.03</v>
      </c>
      <c r="G90" s="143" t="s">
        <v>345</v>
      </c>
      <c r="H90" s="144"/>
      <c r="I90" s="145"/>
      <c r="J90" s="145"/>
      <c r="K90" s="146" t="str">
        <f t="shared" si="7"/>
        <v xml:space="preserve"> </v>
      </c>
      <c r="L90" s="146" t="str">
        <f t="shared" si="7"/>
        <v xml:space="preserve"> </v>
      </c>
      <c r="M90" s="146" t="str">
        <f t="shared" si="7"/>
        <v xml:space="preserve"> </v>
      </c>
      <c r="N90" s="147" t="str">
        <f t="shared" si="8"/>
        <v xml:space="preserve"> </v>
      </c>
      <c r="O90" s="148" t="str">
        <f t="shared" si="9"/>
        <v xml:space="preserve"> </v>
      </c>
      <c r="P90" s="149" t="str">
        <f t="shared" si="10"/>
        <v xml:space="preserve"> </v>
      </c>
      <c r="Q90" s="147" t="str">
        <f t="shared" si="11"/>
        <v/>
      </c>
      <c r="R90" s="147" t="str">
        <f t="shared" si="12"/>
        <v/>
      </c>
      <c r="S90" s="150"/>
    </row>
    <row r="91" spans="1:19" ht="18" customHeight="1">
      <c r="A91" s="141"/>
      <c r="B91" s="114" t="s">
        <v>237</v>
      </c>
      <c r="C91" s="115" t="s">
        <v>73</v>
      </c>
      <c r="D91" s="142">
        <v>4.3250000000000002</v>
      </c>
      <c r="E91" s="142">
        <v>0.03</v>
      </c>
      <c r="F91" s="142">
        <v>-0.03</v>
      </c>
      <c r="G91" s="143" t="s">
        <v>345</v>
      </c>
      <c r="H91" s="144"/>
      <c r="I91" s="145"/>
      <c r="J91" s="145"/>
      <c r="K91" s="146" t="str">
        <f t="shared" si="7"/>
        <v xml:space="preserve"> </v>
      </c>
      <c r="L91" s="146" t="str">
        <f t="shared" si="7"/>
        <v xml:space="preserve"> </v>
      </c>
      <c r="M91" s="146" t="str">
        <f t="shared" si="7"/>
        <v xml:space="preserve"> </v>
      </c>
      <c r="N91" s="147" t="str">
        <f t="shared" si="8"/>
        <v xml:space="preserve"> </v>
      </c>
      <c r="O91" s="148" t="str">
        <f t="shared" si="9"/>
        <v xml:space="preserve"> </v>
      </c>
      <c r="P91" s="149" t="str">
        <f t="shared" si="10"/>
        <v xml:space="preserve"> </v>
      </c>
      <c r="Q91" s="147" t="str">
        <f t="shared" si="11"/>
        <v/>
      </c>
      <c r="R91" s="147" t="str">
        <f t="shared" si="12"/>
        <v/>
      </c>
      <c r="S91" s="150"/>
    </row>
    <row r="92" spans="1:19" ht="18" customHeight="1">
      <c r="A92" s="141"/>
      <c r="B92" s="114" t="s">
        <v>238</v>
      </c>
      <c r="C92" s="115" t="s">
        <v>73</v>
      </c>
      <c r="D92" s="142">
        <v>4.3250000000000002</v>
      </c>
      <c r="E92" s="142">
        <v>0.03</v>
      </c>
      <c r="F92" s="142">
        <v>-0.03</v>
      </c>
      <c r="G92" s="143" t="s">
        <v>345</v>
      </c>
      <c r="H92" s="144"/>
      <c r="I92" s="145"/>
      <c r="J92" s="145"/>
      <c r="K92" s="146" t="str">
        <f t="shared" si="7"/>
        <v xml:space="preserve"> </v>
      </c>
      <c r="L92" s="146" t="str">
        <f t="shared" si="7"/>
        <v xml:space="preserve"> </v>
      </c>
      <c r="M92" s="146" t="str">
        <f t="shared" si="7"/>
        <v xml:space="preserve"> </v>
      </c>
      <c r="N92" s="147" t="str">
        <f t="shared" si="8"/>
        <v xml:space="preserve"> </v>
      </c>
      <c r="O92" s="148" t="str">
        <f t="shared" si="9"/>
        <v xml:space="preserve"> </v>
      </c>
      <c r="P92" s="149" t="str">
        <f t="shared" si="10"/>
        <v xml:space="preserve"> </v>
      </c>
      <c r="Q92" s="147" t="str">
        <f t="shared" si="11"/>
        <v/>
      </c>
      <c r="R92" s="147" t="str">
        <f t="shared" si="12"/>
        <v/>
      </c>
      <c r="S92" s="150"/>
    </row>
    <row r="93" spans="1:19" ht="17.25" customHeight="1">
      <c r="A93" s="141"/>
      <c r="B93" s="114" t="s">
        <v>239</v>
      </c>
      <c r="C93" s="115" t="s">
        <v>73</v>
      </c>
      <c r="D93" s="142">
        <v>4.3250000000000002</v>
      </c>
      <c r="E93" s="142">
        <v>0.03</v>
      </c>
      <c r="F93" s="142">
        <v>-0.03</v>
      </c>
      <c r="G93" s="143" t="s">
        <v>345</v>
      </c>
      <c r="H93" s="144"/>
      <c r="I93" s="145"/>
      <c r="J93" s="145"/>
      <c r="K93" s="146" t="str">
        <f t="shared" si="7"/>
        <v xml:space="preserve"> </v>
      </c>
      <c r="L93" s="146" t="str">
        <f t="shared" si="7"/>
        <v xml:space="preserve"> </v>
      </c>
      <c r="M93" s="146" t="str">
        <f t="shared" si="7"/>
        <v xml:space="preserve"> </v>
      </c>
      <c r="N93" s="147" t="str">
        <f t="shared" si="8"/>
        <v xml:space="preserve"> </v>
      </c>
      <c r="O93" s="148" t="str">
        <f t="shared" si="9"/>
        <v xml:space="preserve"> </v>
      </c>
      <c r="P93" s="149" t="str">
        <f t="shared" si="10"/>
        <v xml:space="preserve"> </v>
      </c>
      <c r="Q93" s="147" t="str">
        <f t="shared" si="11"/>
        <v/>
      </c>
      <c r="R93" s="147" t="str">
        <f t="shared" si="12"/>
        <v/>
      </c>
      <c r="S93" s="150"/>
    </row>
    <row r="94" spans="1:19" ht="18" customHeight="1">
      <c r="A94" s="141"/>
      <c r="B94" s="114" t="s">
        <v>240</v>
      </c>
      <c r="C94" s="115" t="s">
        <v>73</v>
      </c>
      <c r="D94" s="142">
        <v>4.3250000000000002</v>
      </c>
      <c r="E94" s="142">
        <v>0.03</v>
      </c>
      <c r="F94" s="142">
        <v>-0.03</v>
      </c>
      <c r="G94" s="143" t="s">
        <v>345</v>
      </c>
      <c r="H94" s="144"/>
      <c r="I94" s="145"/>
      <c r="J94" s="145"/>
      <c r="K94" s="146" t="str">
        <f t="shared" si="7"/>
        <v xml:space="preserve"> </v>
      </c>
      <c r="L94" s="146" t="str">
        <f t="shared" si="7"/>
        <v xml:space="preserve"> </v>
      </c>
      <c r="M94" s="146" t="str">
        <f t="shared" si="7"/>
        <v xml:space="preserve"> </v>
      </c>
      <c r="N94" s="147" t="str">
        <f t="shared" si="8"/>
        <v xml:space="preserve"> </v>
      </c>
      <c r="O94" s="148" t="str">
        <f t="shared" si="9"/>
        <v xml:space="preserve"> </v>
      </c>
      <c r="P94" s="149" t="str">
        <f t="shared" si="10"/>
        <v xml:space="preserve"> </v>
      </c>
      <c r="Q94" s="147" t="str">
        <f t="shared" si="11"/>
        <v/>
      </c>
      <c r="R94" s="147" t="str">
        <f t="shared" si="12"/>
        <v/>
      </c>
      <c r="S94" s="150"/>
    </row>
    <row r="95" spans="1:19" ht="18" customHeight="1">
      <c r="A95" s="141"/>
      <c r="B95" s="114" t="s">
        <v>288</v>
      </c>
      <c r="C95" s="115" t="s">
        <v>73</v>
      </c>
      <c r="D95" s="142">
        <v>0.22500000000000001</v>
      </c>
      <c r="E95" s="142">
        <v>0.03</v>
      </c>
      <c r="F95" s="142">
        <v>-0.03</v>
      </c>
      <c r="G95" s="143" t="s">
        <v>345</v>
      </c>
      <c r="H95" s="144"/>
      <c r="I95" s="145"/>
      <c r="J95" s="145"/>
      <c r="K95" s="146" t="str">
        <f t="shared" si="7"/>
        <v xml:space="preserve"> </v>
      </c>
      <c r="L95" s="146" t="str">
        <f t="shared" si="7"/>
        <v xml:space="preserve"> </v>
      </c>
      <c r="M95" s="146" t="str">
        <f t="shared" si="7"/>
        <v xml:space="preserve"> </v>
      </c>
      <c r="N95" s="147" t="str">
        <f t="shared" si="8"/>
        <v xml:space="preserve"> </v>
      </c>
      <c r="O95" s="148" t="str">
        <f t="shared" si="9"/>
        <v xml:space="preserve"> </v>
      </c>
      <c r="P95" s="149" t="str">
        <f t="shared" si="10"/>
        <v xml:space="preserve"> </v>
      </c>
      <c r="Q95" s="147" t="str">
        <f t="shared" si="11"/>
        <v/>
      </c>
      <c r="R95" s="147" t="str">
        <f t="shared" si="12"/>
        <v/>
      </c>
      <c r="S95" s="150"/>
    </row>
    <row r="96" spans="1:19" ht="18" customHeight="1">
      <c r="A96" s="141"/>
      <c r="B96" s="114" t="s">
        <v>241</v>
      </c>
      <c r="C96" s="115" t="s">
        <v>73</v>
      </c>
      <c r="D96" s="142"/>
      <c r="E96" s="142">
        <v>0.05</v>
      </c>
      <c r="F96" s="142"/>
      <c r="G96" s="143" t="s">
        <v>342</v>
      </c>
      <c r="H96" s="144"/>
      <c r="I96" s="145"/>
      <c r="J96" s="145"/>
      <c r="K96" s="146" t="str">
        <f t="shared" si="7"/>
        <v xml:space="preserve"> </v>
      </c>
      <c r="L96" s="146" t="str">
        <f t="shared" si="7"/>
        <v xml:space="preserve"> </v>
      </c>
      <c r="M96" s="146" t="str">
        <f t="shared" si="7"/>
        <v xml:space="preserve"> </v>
      </c>
      <c r="N96" s="147" t="str">
        <f t="shared" si="8"/>
        <v xml:space="preserve"> </v>
      </c>
      <c r="O96" s="148" t="str">
        <f t="shared" si="9"/>
        <v xml:space="preserve"> </v>
      </c>
      <c r="P96" s="149" t="str">
        <f t="shared" si="10"/>
        <v xml:space="preserve"> </v>
      </c>
      <c r="Q96" s="147" t="str">
        <f t="shared" si="11"/>
        <v/>
      </c>
      <c r="R96" s="147" t="str">
        <f t="shared" si="12"/>
        <v/>
      </c>
      <c r="S96" s="150"/>
    </row>
    <row r="97" spans="1:19" ht="18" customHeight="1">
      <c r="A97" s="141"/>
      <c r="B97" s="114" t="s">
        <v>242</v>
      </c>
      <c r="C97" s="115" t="s">
        <v>73</v>
      </c>
      <c r="D97" s="142">
        <v>2.7149999999999999</v>
      </c>
      <c r="E97" s="142">
        <v>0.02</v>
      </c>
      <c r="F97" s="142">
        <v>-0.02</v>
      </c>
      <c r="G97" s="143" t="s">
        <v>342</v>
      </c>
      <c r="H97" s="144"/>
      <c r="I97" s="145"/>
      <c r="J97" s="145"/>
      <c r="K97" s="146" t="str">
        <f t="shared" si="7"/>
        <v xml:space="preserve"> </v>
      </c>
      <c r="L97" s="146" t="str">
        <f t="shared" si="7"/>
        <v xml:space="preserve"> </v>
      </c>
      <c r="M97" s="146" t="str">
        <f t="shared" si="7"/>
        <v xml:space="preserve"> </v>
      </c>
      <c r="N97" s="147" t="str">
        <f t="shared" si="8"/>
        <v xml:space="preserve"> </v>
      </c>
      <c r="O97" s="148" t="str">
        <f t="shared" si="9"/>
        <v xml:space="preserve"> </v>
      </c>
      <c r="P97" s="149" t="str">
        <f t="shared" si="10"/>
        <v xml:space="preserve"> </v>
      </c>
      <c r="Q97" s="147" t="str">
        <f t="shared" si="11"/>
        <v/>
      </c>
      <c r="R97" s="147" t="str">
        <f t="shared" si="12"/>
        <v/>
      </c>
      <c r="S97" s="150"/>
    </row>
    <row r="98" spans="1:19" ht="18" customHeight="1">
      <c r="A98" s="141"/>
      <c r="B98" s="114" t="s">
        <v>243</v>
      </c>
      <c r="C98" s="115" t="s">
        <v>73</v>
      </c>
      <c r="D98" s="142">
        <v>21.405000000000001</v>
      </c>
      <c r="E98" s="142">
        <v>0.03</v>
      </c>
      <c r="F98" s="142">
        <v>-0.03</v>
      </c>
      <c r="G98" s="143" t="s">
        <v>345</v>
      </c>
      <c r="H98" s="144"/>
      <c r="I98" s="145"/>
      <c r="J98" s="145"/>
      <c r="K98" s="146" t="str">
        <f t="shared" si="7"/>
        <v xml:space="preserve"> </v>
      </c>
      <c r="L98" s="146" t="str">
        <f t="shared" si="7"/>
        <v xml:space="preserve"> </v>
      </c>
      <c r="M98" s="146" t="str">
        <f t="shared" si="7"/>
        <v xml:space="preserve"> </v>
      </c>
      <c r="N98" s="147" t="str">
        <f t="shared" si="8"/>
        <v xml:space="preserve"> </v>
      </c>
      <c r="O98" s="148" t="str">
        <f t="shared" si="9"/>
        <v xml:space="preserve"> </v>
      </c>
      <c r="P98" s="149" t="str">
        <f t="shared" si="10"/>
        <v xml:space="preserve"> </v>
      </c>
      <c r="Q98" s="147" t="str">
        <f t="shared" si="11"/>
        <v/>
      </c>
      <c r="R98" s="147" t="str">
        <f t="shared" si="12"/>
        <v/>
      </c>
      <c r="S98" s="150"/>
    </row>
    <row r="99" spans="1:19" ht="18" customHeight="1">
      <c r="A99" s="141"/>
      <c r="B99" s="114" t="s">
        <v>244</v>
      </c>
      <c r="C99" s="115" t="s">
        <v>73</v>
      </c>
      <c r="D99" s="142">
        <v>17.739999999999998</v>
      </c>
      <c r="E99" s="142">
        <v>0.03</v>
      </c>
      <c r="F99" s="142">
        <v>-0.03</v>
      </c>
      <c r="G99" s="143" t="s">
        <v>342</v>
      </c>
      <c r="H99" s="144"/>
      <c r="I99" s="145"/>
      <c r="J99" s="145"/>
      <c r="K99" s="146" t="str">
        <f t="shared" si="7"/>
        <v xml:space="preserve"> </v>
      </c>
      <c r="L99" s="146" t="str">
        <f t="shared" si="7"/>
        <v xml:space="preserve"> </v>
      </c>
      <c r="M99" s="146" t="str">
        <f t="shared" si="7"/>
        <v xml:space="preserve"> </v>
      </c>
      <c r="N99" s="147" t="str">
        <f t="shared" si="8"/>
        <v xml:space="preserve"> </v>
      </c>
      <c r="O99" s="148" t="str">
        <f t="shared" si="9"/>
        <v xml:space="preserve"> </v>
      </c>
      <c r="P99" s="149" t="str">
        <f t="shared" si="10"/>
        <v xml:space="preserve"> </v>
      </c>
      <c r="Q99" s="147" t="str">
        <f t="shared" si="11"/>
        <v/>
      </c>
      <c r="R99" s="147" t="str">
        <f t="shared" si="12"/>
        <v/>
      </c>
      <c r="S99" s="150"/>
    </row>
    <row r="100" spans="1:19" ht="18" customHeight="1">
      <c r="A100" s="141"/>
      <c r="B100" s="114" t="s">
        <v>289</v>
      </c>
      <c r="C100" s="115" t="s">
        <v>73</v>
      </c>
      <c r="D100" s="142">
        <v>0.04</v>
      </c>
      <c r="E100" s="142">
        <v>0.03</v>
      </c>
      <c r="F100" s="142">
        <v>-0.02</v>
      </c>
      <c r="G100" s="143" t="s">
        <v>345</v>
      </c>
      <c r="H100" s="144"/>
      <c r="I100" s="145"/>
      <c r="J100" s="145"/>
      <c r="K100" s="146" t="str">
        <f t="shared" si="7"/>
        <v xml:space="preserve"> </v>
      </c>
      <c r="L100" s="146" t="str">
        <f t="shared" si="7"/>
        <v xml:space="preserve"> </v>
      </c>
      <c r="M100" s="146" t="str">
        <f t="shared" si="7"/>
        <v xml:space="preserve"> </v>
      </c>
      <c r="N100" s="147" t="str">
        <f t="shared" si="8"/>
        <v xml:space="preserve"> </v>
      </c>
      <c r="O100" s="148" t="str">
        <f t="shared" si="9"/>
        <v xml:space="preserve"> </v>
      </c>
      <c r="P100" s="149" t="str">
        <f t="shared" si="10"/>
        <v xml:space="preserve"> </v>
      </c>
      <c r="Q100" s="147" t="str">
        <f t="shared" si="11"/>
        <v/>
      </c>
      <c r="R100" s="147" t="str">
        <f t="shared" si="12"/>
        <v/>
      </c>
      <c r="S100" s="150"/>
    </row>
    <row r="101" spans="1:19" ht="18" customHeight="1">
      <c r="A101" s="141"/>
      <c r="B101" s="114" t="s">
        <v>290</v>
      </c>
      <c r="C101" s="115" t="s">
        <v>73</v>
      </c>
      <c r="D101" s="142">
        <v>0.04</v>
      </c>
      <c r="E101" s="142">
        <v>0.03</v>
      </c>
      <c r="F101" s="142">
        <v>-0.02</v>
      </c>
      <c r="G101" s="143" t="s">
        <v>345</v>
      </c>
      <c r="H101" s="144"/>
      <c r="I101" s="145"/>
      <c r="J101" s="145"/>
      <c r="K101" s="146" t="str">
        <f t="shared" si="7"/>
        <v xml:space="preserve"> </v>
      </c>
      <c r="L101" s="146" t="str">
        <f t="shared" si="7"/>
        <v xml:space="preserve"> </v>
      </c>
      <c r="M101" s="146" t="str">
        <f t="shared" si="7"/>
        <v xml:space="preserve"> </v>
      </c>
      <c r="N101" s="147" t="str">
        <f t="shared" si="8"/>
        <v xml:space="preserve"> </v>
      </c>
      <c r="O101" s="148" t="str">
        <f t="shared" si="9"/>
        <v xml:space="preserve"> </v>
      </c>
      <c r="P101" s="149" t="str">
        <f t="shared" si="10"/>
        <v xml:space="preserve"> </v>
      </c>
      <c r="Q101" s="147" t="str">
        <f t="shared" si="11"/>
        <v/>
      </c>
      <c r="R101" s="147" t="str">
        <f t="shared" si="12"/>
        <v/>
      </c>
      <c r="S101" s="150"/>
    </row>
    <row r="102" spans="1:19" ht="18" customHeight="1">
      <c r="A102" s="141"/>
      <c r="B102" s="114" t="s">
        <v>291</v>
      </c>
      <c r="C102" s="115" t="s">
        <v>73</v>
      </c>
      <c r="D102" s="142">
        <v>0.04</v>
      </c>
      <c r="E102" s="142">
        <v>0.03</v>
      </c>
      <c r="F102" s="142">
        <v>-0.02</v>
      </c>
      <c r="G102" s="143" t="s">
        <v>345</v>
      </c>
      <c r="H102" s="144"/>
      <c r="I102" s="145"/>
      <c r="J102" s="145"/>
      <c r="K102" s="146" t="str">
        <f t="shared" ref="K102:M131" si="13">IF(ISERR(H102/H102)=TRUE," ",H102-$D102)</f>
        <v xml:space="preserve"> </v>
      </c>
      <c r="L102" s="146" t="str">
        <f t="shared" si="13"/>
        <v xml:space="preserve"> </v>
      </c>
      <c r="M102" s="146" t="str">
        <f t="shared" si="13"/>
        <v xml:space="preserve"> </v>
      </c>
      <c r="N102" s="147" t="str">
        <f t="shared" si="8"/>
        <v xml:space="preserve"> </v>
      </c>
      <c r="O102" s="148" t="str">
        <f t="shared" si="9"/>
        <v xml:space="preserve"> </v>
      </c>
      <c r="P102" s="149" t="str">
        <f t="shared" si="10"/>
        <v xml:space="preserve"> </v>
      </c>
      <c r="Q102" s="147" t="str">
        <f t="shared" si="11"/>
        <v/>
      </c>
      <c r="R102" s="147" t="str">
        <f t="shared" si="12"/>
        <v/>
      </c>
      <c r="S102" s="150"/>
    </row>
    <row r="103" spans="1:19" ht="18" customHeight="1">
      <c r="A103" s="141"/>
      <c r="B103" s="114" t="s">
        <v>292</v>
      </c>
      <c r="C103" s="115" t="s">
        <v>73</v>
      </c>
      <c r="D103" s="142">
        <v>0.04</v>
      </c>
      <c r="E103" s="142">
        <v>0.03</v>
      </c>
      <c r="F103" s="142">
        <v>-0.02</v>
      </c>
      <c r="G103" s="143" t="s">
        <v>345</v>
      </c>
      <c r="H103" s="144"/>
      <c r="I103" s="145"/>
      <c r="J103" s="145"/>
      <c r="K103" s="146" t="str">
        <f t="shared" si="13"/>
        <v xml:space="preserve"> </v>
      </c>
      <c r="L103" s="146" t="str">
        <f t="shared" si="13"/>
        <v xml:space="preserve"> </v>
      </c>
      <c r="M103" s="146" t="str">
        <f t="shared" si="13"/>
        <v xml:space="preserve"> </v>
      </c>
      <c r="N103" s="147" t="str">
        <f t="shared" si="8"/>
        <v xml:space="preserve"> </v>
      </c>
      <c r="O103" s="148" t="str">
        <f t="shared" si="9"/>
        <v xml:space="preserve"> </v>
      </c>
      <c r="P103" s="149" t="str">
        <f t="shared" si="10"/>
        <v xml:space="preserve"> </v>
      </c>
      <c r="Q103" s="147" t="str">
        <f t="shared" si="11"/>
        <v/>
      </c>
      <c r="R103" s="147" t="str">
        <f t="shared" si="12"/>
        <v/>
      </c>
      <c r="S103" s="150"/>
    </row>
    <row r="104" spans="1:19" ht="18" customHeight="1">
      <c r="A104" s="141"/>
      <c r="B104" s="114" t="s">
        <v>293</v>
      </c>
      <c r="C104" s="115" t="s">
        <v>73</v>
      </c>
      <c r="D104" s="142">
        <v>0.04</v>
      </c>
      <c r="E104" s="142">
        <v>0.03</v>
      </c>
      <c r="F104" s="142">
        <v>-0.02</v>
      </c>
      <c r="G104" s="143" t="s">
        <v>345</v>
      </c>
      <c r="H104" s="144"/>
      <c r="I104" s="145"/>
      <c r="J104" s="145"/>
      <c r="K104" s="146" t="str">
        <f t="shared" si="13"/>
        <v xml:space="preserve"> </v>
      </c>
      <c r="L104" s="146" t="str">
        <f t="shared" si="13"/>
        <v xml:space="preserve"> </v>
      </c>
      <c r="M104" s="146" t="str">
        <f t="shared" si="13"/>
        <v xml:space="preserve"> </v>
      </c>
      <c r="N104" s="147" t="str">
        <f t="shared" si="8"/>
        <v xml:space="preserve"> </v>
      </c>
      <c r="O104" s="148" t="str">
        <f t="shared" si="9"/>
        <v xml:space="preserve"> </v>
      </c>
      <c r="P104" s="149" t="str">
        <f t="shared" si="10"/>
        <v xml:space="preserve"> </v>
      </c>
      <c r="Q104" s="147" t="str">
        <f t="shared" si="11"/>
        <v/>
      </c>
      <c r="R104" s="147" t="str">
        <f t="shared" si="12"/>
        <v/>
      </c>
      <c r="S104" s="150"/>
    </row>
    <row r="105" spans="1:19" ht="18" customHeight="1">
      <c r="A105" s="141"/>
      <c r="B105" s="114" t="s">
        <v>294</v>
      </c>
      <c r="C105" s="115" t="s">
        <v>73</v>
      </c>
      <c r="D105" s="142">
        <v>0.04</v>
      </c>
      <c r="E105" s="142">
        <v>0.03</v>
      </c>
      <c r="F105" s="142">
        <v>-0.02</v>
      </c>
      <c r="G105" s="143" t="s">
        <v>345</v>
      </c>
      <c r="H105" s="144"/>
      <c r="I105" s="145"/>
      <c r="J105" s="145"/>
      <c r="K105" s="146" t="str">
        <f t="shared" si="13"/>
        <v xml:space="preserve"> </v>
      </c>
      <c r="L105" s="146" t="str">
        <f t="shared" si="13"/>
        <v xml:space="preserve"> </v>
      </c>
      <c r="M105" s="146" t="str">
        <f t="shared" si="13"/>
        <v xml:space="preserve"> </v>
      </c>
      <c r="N105" s="147" t="str">
        <f t="shared" si="8"/>
        <v xml:space="preserve"> </v>
      </c>
      <c r="O105" s="148" t="str">
        <f t="shared" si="9"/>
        <v xml:space="preserve"> </v>
      </c>
      <c r="P105" s="149" t="str">
        <f t="shared" si="10"/>
        <v xml:space="preserve"> </v>
      </c>
      <c r="Q105" s="147" t="str">
        <f t="shared" si="11"/>
        <v/>
      </c>
      <c r="R105" s="147" t="str">
        <f t="shared" si="12"/>
        <v/>
      </c>
      <c r="S105" s="150"/>
    </row>
    <row r="106" spans="1:19" ht="18" customHeight="1">
      <c r="A106" s="141"/>
      <c r="B106" s="114" t="s">
        <v>295</v>
      </c>
      <c r="C106" s="115" t="s">
        <v>73</v>
      </c>
      <c r="D106" s="142">
        <v>0.02</v>
      </c>
      <c r="E106" s="142">
        <v>0.01</v>
      </c>
      <c r="F106" s="142">
        <v>-0.01</v>
      </c>
      <c r="G106" s="143" t="s">
        <v>342</v>
      </c>
      <c r="H106" s="144"/>
      <c r="I106" s="145"/>
      <c r="J106" s="145"/>
      <c r="K106" s="146" t="str">
        <f t="shared" si="13"/>
        <v xml:space="preserve"> </v>
      </c>
      <c r="L106" s="146" t="str">
        <f t="shared" si="13"/>
        <v xml:space="preserve"> </v>
      </c>
      <c r="M106" s="146" t="str">
        <f t="shared" si="13"/>
        <v xml:space="preserve"> </v>
      </c>
      <c r="N106" s="147" t="str">
        <f t="shared" si="8"/>
        <v xml:space="preserve"> </v>
      </c>
      <c r="O106" s="148" t="str">
        <f t="shared" si="9"/>
        <v xml:space="preserve"> </v>
      </c>
      <c r="P106" s="149" t="str">
        <f t="shared" si="10"/>
        <v xml:space="preserve"> </v>
      </c>
      <c r="Q106" s="147" t="str">
        <f t="shared" si="11"/>
        <v/>
      </c>
      <c r="R106" s="147" t="str">
        <f t="shared" si="12"/>
        <v/>
      </c>
      <c r="S106" s="150"/>
    </row>
    <row r="107" spans="1:19" ht="18" customHeight="1">
      <c r="A107" s="141"/>
      <c r="B107" s="114" t="s">
        <v>296</v>
      </c>
      <c r="C107" s="115" t="s">
        <v>73</v>
      </c>
      <c r="D107" s="142">
        <v>0.02</v>
      </c>
      <c r="E107" s="142">
        <v>0.01</v>
      </c>
      <c r="F107" s="142">
        <v>-0.01</v>
      </c>
      <c r="G107" s="143" t="s">
        <v>342</v>
      </c>
      <c r="H107" s="144"/>
      <c r="I107" s="145"/>
      <c r="J107" s="145"/>
      <c r="K107" s="146" t="str">
        <f t="shared" si="13"/>
        <v xml:space="preserve"> </v>
      </c>
      <c r="L107" s="146" t="str">
        <f t="shared" si="13"/>
        <v xml:space="preserve"> </v>
      </c>
      <c r="M107" s="146" t="str">
        <f t="shared" si="13"/>
        <v xml:space="preserve"> </v>
      </c>
      <c r="N107" s="147" t="str">
        <f t="shared" si="8"/>
        <v xml:space="preserve"> </v>
      </c>
      <c r="O107" s="148" t="str">
        <f t="shared" si="9"/>
        <v xml:space="preserve"> </v>
      </c>
      <c r="P107" s="149" t="str">
        <f t="shared" si="10"/>
        <v xml:space="preserve"> </v>
      </c>
      <c r="Q107" s="147" t="str">
        <f t="shared" si="11"/>
        <v/>
      </c>
      <c r="R107" s="147" t="str">
        <f t="shared" si="12"/>
        <v/>
      </c>
      <c r="S107" s="150"/>
    </row>
    <row r="108" spans="1:19" ht="18" customHeight="1">
      <c r="A108" s="141"/>
      <c r="B108" s="114" t="s">
        <v>297</v>
      </c>
      <c r="C108" s="115" t="s">
        <v>73</v>
      </c>
      <c r="D108" s="142">
        <v>1.78</v>
      </c>
      <c r="E108" s="142">
        <v>2.5000000000000001E-2</v>
      </c>
      <c r="F108" s="142">
        <v>-2.5000000000000001E-2</v>
      </c>
      <c r="G108" s="143" t="s">
        <v>342</v>
      </c>
      <c r="H108" s="144"/>
      <c r="I108" s="145"/>
      <c r="J108" s="145"/>
      <c r="K108" s="146" t="str">
        <f t="shared" si="13"/>
        <v xml:space="preserve"> </v>
      </c>
      <c r="L108" s="146" t="str">
        <f t="shared" si="13"/>
        <v xml:space="preserve"> </v>
      </c>
      <c r="M108" s="146" t="str">
        <f t="shared" si="13"/>
        <v xml:space="preserve"> </v>
      </c>
      <c r="N108" s="147" t="str">
        <f t="shared" si="8"/>
        <v xml:space="preserve"> </v>
      </c>
      <c r="O108" s="148" t="str">
        <f t="shared" si="9"/>
        <v xml:space="preserve"> </v>
      </c>
      <c r="P108" s="149" t="str">
        <f t="shared" si="10"/>
        <v xml:space="preserve"> </v>
      </c>
      <c r="Q108" s="147" t="str">
        <f t="shared" si="11"/>
        <v/>
      </c>
      <c r="R108" s="147" t="str">
        <f t="shared" si="12"/>
        <v/>
      </c>
      <c r="S108" s="150"/>
    </row>
    <row r="109" spans="1:19" ht="18" customHeight="1">
      <c r="A109" s="141"/>
      <c r="B109" s="114" t="s">
        <v>245</v>
      </c>
      <c r="C109" s="115" t="s">
        <v>73</v>
      </c>
      <c r="D109" s="142">
        <v>4.5999999999999996</v>
      </c>
      <c r="E109" s="142">
        <v>0.3</v>
      </c>
      <c r="F109" s="142">
        <v>-0.3</v>
      </c>
      <c r="G109" s="143" t="s">
        <v>342</v>
      </c>
      <c r="H109" s="144"/>
      <c r="I109" s="145"/>
      <c r="J109" s="145"/>
      <c r="K109" s="146" t="str">
        <f t="shared" si="13"/>
        <v xml:space="preserve"> </v>
      </c>
      <c r="L109" s="146" t="str">
        <f t="shared" si="13"/>
        <v xml:space="preserve"> </v>
      </c>
      <c r="M109" s="146" t="str">
        <f t="shared" si="13"/>
        <v xml:space="preserve"> </v>
      </c>
      <c r="N109" s="147" t="str">
        <f t="shared" si="8"/>
        <v xml:space="preserve"> </v>
      </c>
      <c r="O109" s="148" t="str">
        <f t="shared" si="9"/>
        <v xml:space="preserve"> </v>
      </c>
      <c r="P109" s="149" t="str">
        <f t="shared" si="10"/>
        <v xml:space="preserve"> </v>
      </c>
      <c r="Q109" s="147" t="str">
        <f t="shared" si="11"/>
        <v/>
      </c>
      <c r="R109" s="147" t="str">
        <f t="shared" si="12"/>
        <v/>
      </c>
      <c r="S109" s="150"/>
    </row>
    <row r="110" spans="1:19" ht="18" customHeight="1">
      <c r="A110" s="141"/>
      <c r="B110" s="114" t="s">
        <v>246</v>
      </c>
      <c r="C110" s="115" t="s">
        <v>73</v>
      </c>
      <c r="D110" s="142">
        <v>9.3000000000000007</v>
      </c>
      <c r="E110" s="142">
        <v>0.6</v>
      </c>
      <c r="F110" s="142">
        <v>-0.6</v>
      </c>
      <c r="G110" s="143" t="s">
        <v>342</v>
      </c>
      <c r="H110" s="144"/>
      <c r="I110" s="145"/>
      <c r="J110" s="145"/>
      <c r="K110" s="146" t="str">
        <f t="shared" si="13"/>
        <v xml:space="preserve"> </v>
      </c>
      <c r="L110" s="146" t="str">
        <f t="shared" si="13"/>
        <v xml:space="preserve"> </v>
      </c>
      <c r="M110" s="146" t="str">
        <f t="shared" si="13"/>
        <v xml:space="preserve"> </v>
      </c>
      <c r="N110" s="147" t="str">
        <f t="shared" si="8"/>
        <v xml:space="preserve"> </v>
      </c>
      <c r="O110" s="148" t="str">
        <f t="shared" si="9"/>
        <v xml:space="preserve"> </v>
      </c>
      <c r="P110" s="149" t="str">
        <f t="shared" si="10"/>
        <v xml:space="preserve"> </v>
      </c>
      <c r="Q110" s="147" t="str">
        <f t="shared" si="11"/>
        <v/>
      </c>
      <c r="R110" s="147" t="str">
        <f t="shared" si="12"/>
        <v/>
      </c>
      <c r="S110" s="150"/>
    </row>
    <row r="111" spans="1:19" ht="18" customHeight="1">
      <c r="A111" s="141"/>
      <c r="B111" s="114" t="s">
        <v>247</v>
      </c>
      <c r="C111" s="115" t="s">
        <v>73</v>
      </c>
      <c r="D111" s="142"/>
      <c r="E111" s="142">
        <v>1</v>
      </c>
      <c r="F111" s="142">
        <v>-1</v>
      </c>
      <c r="G111" s="143" t="s">
        <v>342</v>
      </c>
      <c r="H111" s="144"/>
      <c r="I111" s="145"/>
      <c r="J111" s="145"/>
      <c r="K111" s="146" t="str">
        <f t="shared" si="13"/>
        <v xml:space="preserve"> </v>
      </c>
      <c r="L111" s="146" t="str">
        <f t="shared" si="13"/>
        <v xml:space="preserve"> </v>
      </c>
      <c r="M111" s="146" t="str">
        <f t="shared" si="13"/>
        <v xml:space="preserve"> </v>
      </c>
      <c r="N111" s="147" t="str">
        <f t="shared" si="8"/>
        <v xml:space="preserve"> </v>
      </c>
      <c r="O111" s="148" t="str">
        <f t="shared" si="9"/>
        <v xml:space="preserve"> </v>
      </c>
      <c r="P111" s="149" t="str">
        <f t="shared" si="10"/>
        <v xml:space="preserve"> </v>
      </c>
      <c r="Q111" s="147" t="str">
        <f t="shared" si="11"/>
        <v/>
      </c>
      <c r="R111" s="147" t="str">
        <f t="shared" si="12"/>
        <v/>
      </c>
      <c r="S111" s="150"/>
    </row>
    <row r="112" spans="1:19" ht="18" customHeight="1">
      <c r="A112" s="141"/>
      <c r="B112" s="114" t="s">
        <v>298</v>
      </c>
      <c r="C112" s="115" t="s">
        <v>73</v>
      </c>
      <c r="D112" s="142">
        <v>0.05</v>
      </c>
      <c r="E112" s="142">
        <v>2.5000000000000001E-2</v>
      </c>
      <c r="F112" s="142">
        <v>-0.02</v>
      </c>
      <c r="G112" s="143" t="s">
        <v>342</v>
      </c>
      <c r="H112" s="144"/>
      <c r="I112" s="145"/>
      <c r="J112" s="145"/>
      <c r="K112" s="146" t="str">
        <f t="shared" si="13"/>
        <v xml:space="preserve"> </v>
      </c>
      <c r="L112" s="146" t="str">
        <f t="shared" si="13"/>
        <v xml:space="preserve"> </v>
      </c>
      <c r="M112" s="146" t="str">
        <f t="shared" si="13"/>
        <v xml:space="preserve"> </v>
      </c>
      <c r="N112" s="147" t="str">
        <f t="shared" si="8"/>
        <v xml:space="preserve"> </v>
      </c>
      <c r="O112" s="148" t="str">
        <f t="shared" si="9"/>
        <v xml:space="preserve"> </v>
      </c>
      <c r="P112" s="149" t="str">
        <f t="shared" si="10"/>
        <v xml:space="preserve"> </v>
      </c>
      <c r="Q112" s="147" t="str">
        <f t="shared" si="11"/>
        <v/>
      </c>
      <c r="R112" s="147" t="str">
        <f t="shared" si="12"/>
        <v/>
      </c>
      <c r="S112" s="154"/>
    </row>
    <row r="113" spans="1:19" ht="18" customHeight="1">
      <c r="A113" s="141"/>
      <c r="B113" s="114" t="s">
        <v>299</v>
      </c>
      <c r="C113" s="115" t="s">
        <v>73</v>
      </c>
      <c r="D113" s="142">
        <v>0.05</v>
      </c>
      <c r="E113" s="142">
        <v>2.5000000000000001E-2</v>
      </c>
      <c r="F113" s="142">
        <v>-0.02</v>
      </c>
      <c r="G113" s="143" t="s">
        <v>342</v>
      </c>
      <c r="H113" s="144"/>
      <c r="I113" s="145"/>
      <c r="J113" s="145"/>
      <c r="K113" s="146" t="str">
        <f t="shared" si="13"/>
        <v xml:space="preserve"> </v>
      </c>
      <c r="L113" s="146" t="str">
        <f t="shared" si="13"/>
        <v xml:space="preserve"> </v>
      </c>
      <c r="M113" s="146" t="str">
        <f t="shared" si="13"/>
        <v xml:space="preserve"> </v>
      </c>
      <c r="N113" s="147" t="str">
        <f t="shared" si="8"/>
        <v xml:space="preserve"> </v>
      </c>
      <c r="O113" s="148" t="str">
        <f t="shared" si="9"/>
        <v xml:space="preserve"> </v>
      </c>
      <c r="P113" s="149" t="str">
        <f t="shared" si="10"/>
        <v xml:space="preserve"> </v>
      </c>
      <c r="Q113" s="147" t="str">
        <f t="shared" si="11"/>
        <v/>
      </c>
      <c r="R113" s="147" t="str">
        <f t="shared" si="12"/>
        <v/>
      </c>
      <c r="S113" s="154"/>
    </row>
    <row r="114" spans="1:19" ht="18" customHeight="1">
      <c r="A114" s="141"/>
      <c r="B114" s="114" t="s">
        <v>300</v>
      </c>
      <c r="C114" s="115" t="s">
        <v>73</v>
      </c>
      <c r="D114" s="142">
        <v>0.05</v>
      </c>
      <c r="E114" s="142">
        <v>2.5000000000000001E-2</v>
      </c>
      <c r="F114" s="142">
        <v>-0.02</v>
      </c>
      <c r="G114" s="143" t="s">
        <v>342</v>
      </c>
      <c r="H114" s="144"/>
      <c r="I114" s="145"/>
      <c r="J114" s="145"/>
      <c r="K114" s="146" t="str">
        <f t="shared" si="13"/>
        <v xml:space="preserve"> </v>
      </c>
      <c r="L114" s="146" t="str">
        <f t="shared" si="13"/>
        <v xml:space="preserve"> </v>
      </c>
      <c r="M114" s="146" t="str">
        <f t="shared" si="13"/>
        <v xml:space="preserve"> </v>
      </c>
      <c r="N114" s="147" t="str">
        <f t="shared" si="8"/>
        <v xml:space="preserve"> </v>
      </c>
      <c r="O114" s="148" t="str">
        <f t="shared" si="9"/>
        <v xml:space="preserve"> </v>
      </c>
      <c r="P114" s="149" t="str">
        <f t="shared" si="10"/>
        <v xml:space="preserve"> </v>
      </c>
      <c r="Q114" s="147"/>
      <c r="R114" s="147"/>
      <c r="S114" s="154"/>
    </row>
    <row r="115" spans="1:19" ht="18" customHeight="1">
      <c r="A115" s="141"/>
      <c r="B115" s="114" t="s">
        <v>301</v>
      </c>
      <c r="C115" s="115" t="s">
        <v>73</v>
      </c>
      <c r="D115" s="142">
        <v>0.05</v>
      </c>
      <c r="E115" s="142">
        <v>2.5000000000000001E-2</v>
      </c>
      <c r="F115" s="142">
        <v>-0.02</v>
      </c>
      <c r="G115" s="143" t="s">
        <v>342</v>
      </c>
      <c r="H115" s="144"/>
      <c r="I115" s="145"/>
      <c r="J115" s="145"/>
      <c r="K115" s="146" t="str">
        <f t="shared" si="13"/>
        <v xml:space="preserve"> </v>
      </c>
      <c r="L115" s="146" t="str">
        <f t="shared" si="13"/>
        <v xml:space="preserve"> </v>
      </c>
      <c r="M115" s="146" t="str">
        <f t="shared" si="13"/>
        <v xml:space="preserve"> </v>
      </c>
      <c r="N115" s="147" t="str">
        <f t="shared" si="8"/>
        <v xml:space="preserve"> </v>
      </c>
      <c r="O115" s="148" t="str">
        <f t="shared" si="9"/>
        <v xml:space="preserve"> </v>
      </c>
      <c r="P115" s="149" t="str">
        <f t="shared" si="10"/>
        <v xml:space="preserve"> </v>
      </c>
      <c r="Q115" s="147" t="str">
        <f t="shared" si="11"/>
        <v/>
      </c>
      <c r="R115" s="147" t="str">
        <f t="shared" ref="R115:R131" si="14">IF(H115="","",IF(ISERR(F115/F115)=TRUE,"",IF(ISERR(F115/D115)=TRUE,IF((F115-MIN(H115:J115))&gt;0.001,"Reject",""),IF(ISNUMBER($P115)=TRUE,IF($P115&gt;0.651,IF($P115&gt;1.001,"Reject","Alert"),""),""))))</f>
        <v/>
      </c>
      <c r="S115" s="154"/>
    </row>
    <row r="116" spans="1:19" ht="18" customHeight="1">
      <c r="A116" s="141"/>
      <c r="B116" s="114" t="s">
        <v>302</v>
      </c>
      <c r="C116" s="115" t="s">
        <v>73</v>
      </c>
      <c r="D116" s="142">
        <v>0.05</v>
      </c>
      <c r="E116" s="142">
        <v>2.5000000000000001E-2</v>
      </c>
      <c r="F116" s="142">
        <v>-0.02</v>
      </c>
      <c r="G116" s="143" t="s">
        <v>342</v>
      </c>
      <c r="H116" s="144"/>
      <c r="I116" s="145"/>
      <c r="J116" s="145"/>
      <c r="K116" s="146" t="str">
        <f t="shared" si="13"/>
        <v xml:space="preserve"> </v>
      </c>
      <c r="L116" s="146" t="str">
        <f t="shared" si="13"/>
        <v xml:space="preserve"> </v>
      </c>
      <c r="M116" s="146" t="str">
        <f t="shared" si="13"/>
        <v xml:space="preserve"> </v>
      </c>
      <c r="N116" s="147" t="str">
        <f t="shared" si="8"/>
        <v xml:space="preserve"> </v>
      </c>
      <c r="O116" s="148" t="str">
        <f t="shared" si="9"/>
        <v xml:space="preserve"> </v>
      </c>
      <c r="P116" s="149" t="str">
        <f t="shared" si="10"/>
        <v xml:space="preserve"> </v>
      </c>
      <c r="Q116" s="147" t="str">
        <f t="shared" si="11"/>
        <v/>
      </c>
      <c r="R116" s="147" t="str">
        <f t="shared" si="14"/>
        <v/>
      </c>
      <c r="S116" s="154"/>
    </row>
    <row r="117" spans="1:19" ht="18" customHeight="1">
      <c r="A117" s="141"/>
      <c r="B117" s="114" t="s">
        <v>303</v>
      </c>
      <c r="C117" s="115" t="s">
        <v>73</v>
      </c>
      <c r="D117" s="142">
        <v>0.05</v>
      </c>
      <c r="E117" s="142">
        <v>2.5000000000000001E-2</v>
      </c>
      <c r="F117" s="142">
        <v>-0.02</v>
      </c>
      <c r="G117" s="143" t="s">
        <v>342</v>
      </c>
      <c r="H117" s="144"/>
      <c r="I117" s="145"/>
      <c r="J117" s="145"/>
      <c r="K117" s="146" t="str">
        <f t="shared" si="13"/>
        <v xml:space="preserve"> </v>
      </c>
      <c r="L117" s="146" t="str">
        <f t="shared" si="13"/>
        <v xml:space="preserve"> </v>
      </c>
      <c r="M117" s="146" t="str">
        <f t="shared" si="13"/>
        <v xml:space="preserve"> </v>
      </c>
      <c r="N117" s="147" t="str">
        <f t="shared" si="8"/>
        <v xml:space="preserve"> </v>
      </c>
      <c r="O117" s="148" t="str">
        <f t="shared" si="9"/>
        <v xml:space="preserve"> </v>
      </c>
      <c r="P117" s="149" t="str">
        <f t="shared" si="10"/>
        <v xml:space="preserve"> </v>
      </c>
      <c r="Q117" s="147" t="str">
        <f t="shared" si="11"/>
        <v/>
      </c>
      <c r="R117" s="147" t="str">
        <f t="shared" si="14"/>
        <v/>
      </c>
      <c r="S117" s="154"/>
    </row>
    <row r="118" spans="1:19" ht="18" customHeight="1">
      <c r="A118" s="141"/>
      <c r="B118" s="114" t="s">
        <v>304</v>
      </c>
      <c r="C118" s="115" t="s">
        <v>73</v>
      </c>
      <c r="D118" s="142">
        <v>7.7370000000000001</v>
      </c>
      <c r="E118" s="142">
        <v>0.03</v>
      </c>
      <c r="F118" s="142">
        <v>-0.03</v>
      </c>
      <c r="G118" s="143" t="s">
        <v>342</v>
      </c>
      <c r="H118" s="144"/>
      <c r="I118" s="145"/>
      <c r="J118" s="145"/>
      <c r="K118" s="146" t="str">
        <f t="shared" si="13"/>
        <v xml:space="preserve"> </v>
      </c>
      <c r="L118" s="146" t="str">
        <f t="shared" si="13"/>
        <v xml:space="preserve"> </v>
      </c>
      <c r="M118" s="146" t="str">
        <f t="shared" si="13"/>
        <v xml:space="preserve"> </v>
      </c>
      <c r="N118" s="147" t="str">
        <f t="shared" si="8"/>
        <v xml:space="preserve"> </v>
      </c>
      <c r="O118" s="148" t="str">
        <f t="shared" si="9"/>
        <v xml:space="preserve"> </v>
      </c>
      <c r="P118" s="149" t="str">
        <f t="shared" si="10"/>
        <v xml:space="preserve"> </v>
      </c>
      <c r="Q118" s="147" t="str">
        <f t="shared" si="11"/>
        <v/>
      </c>
      <c r="R118" s="147" t="str">
        <f t="shared" si="14"/>
        <v/>
      </c>
      <c r="S118" s="154"/>
    </row>
    <row r="119" spans="1:19" ht="18" customHeight="1">
      <c r="A119" s="141"/>
      <c r="B119" s="114" t="s">
        <v>305</v>
      </c>
      <c r="C119" s="115" t="s">
        <v>73</v>
      </c>
      <c r="D119" s="142">
        <v>10.324999999999999</v>
      </c>
      <c r="E119" s="142">
        <v>0.03</v>
      </c>
      <c r="F119" s="142">
        <v>-0.03</v>
      </c>
      <c r="G119" s="143" t="s">
        <v>342</v>
      </c>
      <c r="H119" s="144"/>
      <c r="I119" s="145"/>
      <c r="J119" s="145"/>
      <c r="K119" s="146" t="str">
        <f t="shared" si="13"/>
        <v xml:space="preserve"> </v>
      </c>
      <c r="L119" s="146" t="str">
        <f t="shared" si="13"/>
        <v xml:space="preserve"> </v>
      </c>
      <c r="M119" s="146" t="str">
        <f t="shared" si="13"/>
        <v xml:space="preserve"> </v>
      </c>
      <c r="N119" s="147" t="str">
        <f t="shared" si="8"/>
        <v xml:space="preserve"> </v>
      </c>
      <c r="O119" s="148" t="str">
        <f t="shared" si="9"/>
        <v xml:space="preserve"> </v>
      </c>
      <c r="P119" s="149" t="str">
        <f t="shared" si="10"/>
        <v xml:space="preserve"> </v>
      </c>
      <c r="Q119" s="147" t="str">
        <f t="shared" si="11"/>
        <v/>
      </c>
      <c r="R119" s="147" t="str">
        <f t="shared" si="14"/>
        <v/>
      </c>
      <c r="S119" s="154"/>
    </row>
    <row r="120" spans="1:19" ht="18" customHeight="1">
      <c r="A120" s="141"/>
      <c r="B120" s="114" t="s">
        <v>306</v>
      </c>
      <c r="C120" s="115" t="s">
        <v>73</v>
      </c>
      <c r="D120" s="142"/>
      <c r="E120" s="142">
        <v>0.03</v>
      </c>
      <c r="F120" s="142">
        <v>-7.0000000000000007E-2</v>
      </c>
      <c r="G120" s="143" t="s">
        <v>343</v>
      </c>
      <c r="H120" s="144"/>
      <c r="I120" s="145"/>
      <c r="J120" s="145"/>
      <c r="K120" s="146" t="str">
        <f t="shared" si="13"/>
        <v xml:space="preserve"> </v>
      </c>
      <c r="L120" s="146" t="str">
        <f t="shared" si="13"/>
        <v xml:space="preserve"> </v>
      </c>
      <c r="M120" s="146" t="str">
        <f t="shared" si="13"/>
        <v xml:space="preserve"> </v>
      </c>
      <c r="N120" s="147" t="str">
        <f t="shared" si="8"/>
        <v xml:space="preserve"> </v>
      </c>
      <c r="O120" s="148" t="str">
        <f t="shared" si="9"/>
        <v xml:space="preserve"> </v>
      </c>
      <c r="P120" s="149" t="str">
        <f t="shared" si="10"/>
        <v xml:space="preserve"> </v>
      </c>
      <c r="Q120" s="147" t="str">
        <f t="shared" si="11"/>
        <v/>
      </c>
      <c r="R120" s="147" t="str">
        <f t="shared" si="14"/>
        <v/>
      </c>
      <c r="S120" s="154"/>
    </row>
    <row r="121" spans="1:19" ht="18" customHeight="1">
      <c r="A121" s="141"/>
      <c r="B121" s="114" t="s">
        <v>307</v>
      </c>
      <c r="C121" s="115" t="s">
        <v>73</v>
      </c>
      <c r="D121" s="142"/>
      <c r="E121" s="142">
        <v>0.03</v>
      </c>
      <c r="F121" s="142">
        <v>-7.0000000000000007E-2</v>
      </c>
      <c r="G121" s="143" t="s">
        <v>343</v>
      </c>
      <c r="H121" s="144"/>
      <c r="I121" s="145"/>
      <c r="J121" s="145"/>
      <c r="K121" s="146" t="str">
        <f t="shared" si="13"/>
        <v xml:space="preserve"> </v>
      </c>
      <c r="L121" s="146" t="str">
        <f t="shared" si="13"/>
        <v xml:space="preserve"> </v>
      </c>
      <c r="M121" s="146" t="str">
        <f t="shared" si="13"/>
        <v xml:space="preserve"> </v>
      </c>
      <c r="N121" s="147" t="str">
        <f t="shared" si="8"/>
        <v xml:space="preserve"> </v>
      </c>
      <c r="O121" s="148" t="str">
        <f t="shared" si="9"/>
        <v xml:space="preserve"> </v>
      </c>
      <c r="P121" s="149" t="str">
        <f t="shared" si="10"/>
        <v xml:space="preserve"> </v>
      </c>
      <c r="Q121" s="147" t="str">
        <f t="shared" si="11"/>
        <v/>
      </c>
      <c r="R121" s="147" t="str">
        <f t="shared" si="14"/>
        <v/>
      </c>
      <c r="S121" s="154"/>
    </row>
    <row r="122" spans="1:19" ht="18" customHeight="1">
      <c r="A122" s="141"/>
      <c r="B122" s="114" t="s">
        <v>308</v>
      </c>
      <c r="C122" s="115" t="s">
        <v>73</v>
      </c>
      <c r="D122" s="142">
        <v>1.125</v>
      </c>
      <c r="E122" s="142">
        <v>0.05</v>
      </c>
      <c r="F122" s="142">
        <v>-0.05</v>
      </c>
      <c r="G122" s="143" t="s">
        <v>342</v>
      </c>
      <c r="H122" s="144"/>
      <c r="I122" s="145"/>
      <c r="J122" s="145"/>
      <c r="K122" s="146" t="str">
        <f t="shared" si="13"/>
        <v xml:space="preserve"> </v>
      </c>
      <c r="L122" s="146" t="str">
        <f t="shared" si="13"/>
        <v xml:space="preserve"> </v>
      </c>
      <c r="M122" s="146" t="str">
        <f t="shared" si="13"/>
        <v xml:space="preserve"> </v>
      </c>
      <c r="N122" s="147" t="str">
        <f t="shared" si="8"/>
        <v xml:space="preserve"> </v>
      </c>
      <c r="O122" s="148" t="str">
        <f t="shared" si="9"/>
        <v xml:space="preserve"> </v>
      </c>
      <c r="P122" s="149" t="str">
        <f t="shared" si="10"/>
        <v xml:space="preserve"> </v>
      </c>
      <c r="Q122" s="147" t="str">
        <f t="shared" si="11"/>
        <v/>
      </c>
      <c r="R122" s="147" t="str">
        <f t="shared" si="14"/>
        <v/>
      </c>
      <c r="S122" s="154"/>
    </row>
    <row r="123" spans="1:19" ht="18" customHeight="1">
      <c r="A123" s="141"/>
      <c r="B123" s="114" t="s">
        <v>248</v>
      </c>
      <c r="C123" s="115" t="s">
        <v>73</v>
      </c>
      <c r="D123" s="142">
        <v>1.125</v>
      </c>
      <c r="E123" s="142">
        <v>0.05</v>
      </c>
      <c r="F123" s="142">
        <v>-0.05</v>
      </c>
      <c r="G123" s="143" t="s">
        <v>342</v>
      </c>
      <c r="H123" s="144"/>
      <c r="I123" s="145"/>
      <c r="J123" s="145"/>
      <c r="K123" s="146" t="str">
        <f t="shared" si="13"/>
        <v xml:space="preserve"> </v>
      </c>
      <c r="L123" s="146" t="str">
        <f t="shared" si="13"/>
        <v xml:space="preserve"> </v>
      </c>
      <c r="M123" s="146" t="str">
        <f t="shared" si="13"/>
        <v xml:space="preserve"> </v>
      </c>
      <c r="N123" s="147" t="str">
        <f t="shared" si="8"/>
        <v xml:space="preserve"> </v>
      </c>
      <c r="O123" s="148" t="str">
        <f t="shared" si="9"/>
        <v xml:space="preserve"> </v>
      </c>
      <c r="P123" s="149" t="str">
        <f t="shared" si="10"/>
        <v xml:space="preserve"> </v>
      </c>
      <c r="Q123" s="147" t="str">
        <f t="shared" si="11"/>
        <v/>
      </c>
      <c r="R123" s="147" t="str">
        <f t="shared" si="14"/>
        <v/>
      </c>
      <c r="S123" s="154"/>
    </row>
    <row r="124" spans="1:19" ht="18" customHeight="1">
      <c r="A124" s="141"/>
      <c r="B124" s="114" t="s">
        <v>249</v>
      </c>
      <c r="C124" s="115" t="s">
        <v>73</v>
      </c>
      <c r="D124" s="142">
        <v>1.125</v>
      </c>
      <c r="E124" s="142">
        <v>0.05</v>
      </c>
      <c r="F124" s="142">
        <v>-0.05</v>
      </c>
      <c r="G124" s="143" t="s">
        <v>342</v>
      </c>
      <c r="H124" s="144"/>
      <c r="I124" s="145"/>
      <c r="J124" s="145"/>
      <c r="K124" s="146" t="str">
        <f t="shared" si="13"/>
        <v xml:space="preserve"> </v>
      </c>
      <c r="L124" s="146" t="str">
        <f t="shared" si="13"/>
        <v xml:space="preserve"> </v>
      </c>
      <c r="M124" s="146" t="str">
        <f t="shared" si="13"/>
        <v xml:space="preserve"> </v>
      </c>
      <c r="N124" s="147" t="str">
        <f t="shared" si="8"/>
        <v xml:space="preserve"> </v>
      </c>
      <c r="O124" s="148" t="str">
        <f t="shared" si="9"/>
        <v xml:space="preserve"> </v>
      </c>
      <c r="P124" s="149" t="str">
        <f t="shared" si="10"/>
        <v xml:space="preserve"> </v>
      </c>
      <c r="Q124" s="147" t="str">
        <f t="shared" si="11"/>
        <v/>
      </c>
      <c r="R124" s="147" t="str">
        <f t="shared" si="14"/>
        <v/>
      </c>
      <c r="S124" s="154"/>
    </row>
    <row r="125" spans="1:19" ht="18" customHeight="1">
      <c r="A125" s="141"/>
      <c r="B125" s="114" t="s">
        <v>309</v>
      </c>
      <c r="C125" s="115" t="s">
        <v>73</v>
      </c>
      <c r="D125" s="142">
        <v>0.35</v>
      </c>
      <c r="E125" s="142">
        <v>0.03</v>
      </c>
      <c r="F125" s="142">
        <v>-0.03</v>
      </c>
      <c r="G125" s="143" t="s">
        <v>342</v>
      </c>
      <c r="H125" s="144"/>
      <c r="I125" s="145"/>
      <c r="J125" s="145"/>
      <c r="K125" s="146" t="str">
        <f t="shared" si="13"/>
        <v xml:space="preserve"> </v>
      </c>
      <c r="L125" s="146" t="str">
        <f t="shared" si="13"/>
        <v xml:space="preserve"> </v>
      </c>
      <c r="M125" s="146" t="str">
        <f t="shared" si="13"/>
        <v xml:space="preserve"> </v>
      </c>
      <c r="N125" s="147" t="str">
        <f t="shared" si="8"/>
        <v xml:space="preserve"> </v>
      </c>
      <c r="O125" s="148" t="str">
        <f t="shared" si="9"/>
        <v xml:space="preserve"> </v>
      </c>
      <c r="P125" s="149" t="str">
        <f t="shared" si="10"/>
        <v xml:space="preserve"> </v>
      </c>
      <c r="Q125" s="147" t="str">
        <f t="shared" si="11"/>
        <v/>
      </c>
      <c r="R125" s="147" t="str">
        <f t="shared" si="14"/>
        <v/>
      </c>
      <c r="S125" s="154"/>
    </row>
    <row r="126" spans="1:19" ht="18" customHeight="1">
      <c r="A126" s="141"/>
      <c r="B126" s="114" t="s">
        <v>250</v>
      </c>
      <c r="C126" s="115" t="s">
        <v>73</v>
      </c>
      <c r="D126" s="142">
        <v>0.35</v>
      </c>
      <c r="E126" s="142">
        <v>0.03</v>
      </c>
      <c r="F126" s="142">
        <v>-0.03</v>
      </c>
      <c r="G126" s="143" t="s">
        <v>342</v>
      </c>
      <c r="H126" s="144"/>
      <c r="I126" s="145"/>
      <c r="J126" s="145"/>
      <c r="K126" s="146" t="str">
        <f t="shared" si="13"/>
        <v xml:space="preserve"> </v>
      </c>
      <c r="L126" s="146" t="str">
        <f t="shared" si="13"/>
        <v xml:space="preserve"> </v>
      </c>
      <c r="M126" s="146" t="str">
        <f t="shared" si="13"/>
        <v xml:space="preserve"> </v>
      </c>
      <c r="N126" s="147" t="str">
        <f t="shared" si="8"/>
        <v xml:space="preserve"> </v>
      </c>
      <c r="O126" s="148" t="str">
        <f t="shared" si="9"/>
        <v xml:space="preserve"> </v>
      </c>
      <c r="P126" s="149" t="str">
        <f t="shared" si="10"/>
        <v xml:space="preserve"> </v>
      </c>
      <c r="Q126" s="147" t="str">
        <f t="shared" si="11"/>
        <v/>
      </c>
      <c r="R126" s="147" t="str">
        <f t="shared" si="14"/>
        <v/>
      </c>
      <c r="S126" s="154"/>
    </row>
    <row r="127" spans="1:19" ht="18" customHeight="1">
      <c r="A127" s="141"/>
      <c r="B127" s="114" t="s">
        <v>310</v>
      </c>
      <c r="C127" s="115" t="s">
        <v>73</v>
      </c>
      <c r="D127" s="142">
        <v>0.35</v>
      </c>
      <c r="E127" s="142">
        <v>0.03</v>
      </c>
      <c r="F127" s="142">
        <v>-0.03</v>
      </c>
      <c r="G127" s="143" t="s">
        <v>342</v>
      </c>
      <c r="H127" s="144"/>
      <c r="I127" s="145"/>
      <c r="J127" s="145"/>
      <c r="K127" s="146" t="str">
        <f t="shared" si="13"/>
        <v xml:space="preserve"> </v>
      </c>
      <c r="L127" s="146" t="str">
        <f t="shared" si="13"/>
        <v xml:space="preserve"> </v>
      </c>
      <c r="M127" s="146" t="str">
        <f t="shared" si="13"/>
        <v xml:space="preserve"> </v>
      </c>
      <c r="N127" s="147" t="str">
        <f t="shared" si="8"/>
        <v xml:space="preserve"> </v>
      </c>
      <c r="O127" s="148" t="str">
        <f t="shared" si="9"/>
        <v xml:space="preserve"> </v>
      </c>
      <c r="P127" s="149" t="str">
        <f t="shared" si="10"/>
        <v xml:space="preserve"> </v>
      </c>
      <c r="Q127" s="147" t="str">
        <f t="shared" si="11"/>
        <v/>
      </c>
      <c r="R127" s="147" t="str">
        <f t="shared" si="14"/>
        <v/>
      </c>
      <c r="S127" s="154"/>
    </row>
    <row r="128" spans="1:19" ht="18" customHeight="1">
      <c r="A128" s="141"/>
      <c r="B128" s="114" t="s">
        <v>251</v>
      </c>
      <c r="C128" s="115" t="s">
        <v>73</v>
      </c>
      <c r="D128" s="142">
        <v>0.35</v>
      </c>
      <c r="E128" s="142">
        <v>0.03</v>
      </c>
      <c r="F128" s="142">
        <v>-0.03</v>
      </c>
      <c r="G128" s="143" t="s">
        <v>342</v>
      </c>
      <c r="H128" s="144"/>
      <c r="I128" s="145"/>
      <c r="J128" s="145"/>
      <c r="K128" s="146" t="str">
        <f t="shared" si="13"/>
        <v xml:space="preserve"> </v>
      </c>
      <c r="L128" s="146" t="str">
        <f t="shared" si="13"/>
        <v xml:space="preserve"> </v>
      </c>
      <c r="M128" s="146" t="str">
        <f t="shared" si="13"/>
        <v xml:space="preserve"> </v>
      </c>
      <c r="N128" s="147" t="str">
        <f t="shared" si="8"/>
        <v xml:space="preserve"> </v>
      </c>
      <c r="O128" s="148" t="str">
        <f t="shared" si="9"/>
        <v xml:space="preserve"> </v>
      </c>
      <c r="P128" s="149" t="str">
        <f t="shared" si="10"/>
        <v xml:space="preserve"> </v>
      </c>
      <c r="Q128" s="147" t="str">
        <f t="shared" si="11"/>
        <v/>
      </c>
      <c r="R128" s="147" t="str">
        <f t="shared" si="14"/>
        <v/>
      </c>
      <c r="S128" s="154"/>
    </row>
    <row r="129" spans="1:19" ht="18" customHeight="1">
      <c r="A129" s="141"/>
      <c r="B129" s="114" t="s">
        <v>311</v>
      </c>
      <c r="C129" s="115" t="s">
        <v>73</v>
      </c>
      <c r="D129" s="142">
        <v>0.25</v>
      </c>
      <c r="E129" s="142">
        <v>0.03</v>
      </c>
      <c r="F129" s="142">
        <v>-0.03</v>
      </c>
      <c r="G129" s="143" t="s">
        <v>342</v>
      </c>
      <c r="H129" s="144"/>
      <c r="I129" s="145"/>
      <c r="J129" s="145"/>
      <c r="K129" s="146" t="str">
        <f t="shared" si="13"/>
        <v xml:space="preserve"> </v>
      </c>
      <c r="L129" s="146" t="str">
        <f t="shared" si="13"/>
        <v xml:space="preserve"> </v>
      </c>
      <c r="M129" s="146" t="str">
        <f t="shared" si="13"/>
        <v xml:space="preserve"> </v>
      </c>
      <c r="N129" s="147" t="str">
        <f t="shared" si="8"/>
        <v xml:space="preserve"> </v>
      </c>
      <c r="O129" s="148" t="str">
        <f t="shared" si="9"/>
        <v xml:space="preserve"> </v>
      </c>
      <c r="P129" s="149" t="str">
        <f t="shared" si="10"/>
        <v xml:space="preserve"> </v>
      </c>
      <c r="Q129" s="147" t="str">
        <f t="shared" si="11"/>
        <v/>
      </c>
      <c r="R129" s="147" t="str">
        <f t="shared" si="14"/>
        <v/>
      </c>
      <c r="S129" s="154"/>
    </row>
    <row r="130" spans="1:19" ht="18" customHeight="1">
      <c r="A130" s="141"/>
      <c r="B130" s="114" t="s">
        <v>312</v>
      </c>
      <c r="C130" s="115" t="s">
        <v>73</v>
      </c>
      <c r="D130" s="142">
        <v>0.25</v>
      </c>
      <c r="E130" s="142">
        <v>0.03</v>
      </c>
      <c r="F130" s="142">
        <v>-0.03</v>
      </c>
      <c r="G130" s="143" t="s">
        <v>342</v>
      </c>
      <c r="H130" s="142"/>
      <c r="I130" s="142"/>
      <c r="J130" s="142"/>
      <c r="K130" s="155" t="str">
        <f t="shared" si="13"/>
        <v xml:space="preserve"> </v>
      </c>
      <c r="L130" s="155" t="str">
        <f t="shared" si="13"/>
        <v xml:space="preserve"> </v>
      </c>
      <c r="M130" s="155" t="str">
        <f t="shared" si="13"/>
        <v xml:space="preserve"> </v>
      </c>
      <c r="N130" s="155" t="str">
        <f t="shared" si="8"/>
        <v xml:space="preserve"> </v>
      </c>
      <c r="O130" s="156" t="str">
        <f t="shared" si="9"/>
        <v xml:space="preserve"> </v>
      </c>
      <c r="P130" s="157" t="str">
        <f t="shared" si="10"/>
        <v xml:space="preserve"> </v>
      </c>
      <c r="Q130" s="147" t="str">
        <f t="shared" si="11"/>
        <v/>
      </c>
      <c r="R130" s="155" t="str">
        <f t="shared" si="14"/>
        <v/>
      </c>
      <c r="S130" s="154"/>
    </row>
    <row r="131" spans="1:19" ht="18" customHeight="1">
      <c r="A131" s="141"/>
      <c r="B131" s="114" t="s">
        <v>313</v>
      </c>
      <c r="C131" s="115" t="s">
        <v>73</v>
      </c>
      <c r="D131" s="142">
        <v>3.375</v>
      </c>
      <c r="E131" s="142">
        <v>0.03</v>
      </c>
      <c r="F131" s="142">
        <v>-4.4999999999999998E-2</v>
      </c>
      <c r="G131" s="143" t="s">
        <v>342</v>
      </c>
      <c r="H131" s="142"/>
      <c r="I131" s="142"/>
      <c r="J131" s="142"/>
      <c r="K131" s="155" t="str">
        <f t="shared" si="13"/>
        <v xml:space="preserve"> </v>
      </c>
      <c r="L131" s="155" t="str">
        <f t="shared" si="13"/>
        <v xml:space="preserve"> </v>
      </c>
      <c r="M131" s="155" t="str">
        <f t="shared" si="13"/>
        <v xml:space="preserve"> </v>
      </c>
      <c r="N131" s="155" t="str">
        <f t="shared" si="8"/>
        <v xml:space="preserve"> </v>
      </c>
      <c r="O131" s="156" t="str">
        <f t="shared" si="9"/>
        <v xml:space="preserve"> </v>
      </c>
      <c r="P131" s="157" t="str">
        <f t="shared" si="10"/>
        <v xml:space="preserve"> </v>
      </c>
      <c r="Q131" s="147" t="str">
        <f t="shared" si="11"/>
        <v/>
      </c>
      <c r="R131" s="155" t="str">
        <f t="shared" si="14"/>
        <v/>
      </c>
      <c r="S131" s="154"/>
    </row>
    <row r="132" spans="1:19" ht="18" customHeight="1">
      <c r="A132" s="141"/>
      <c r="B132" s="114" t="s">
        <v>314</v>
      </c>
      <c r="C132" s="115" t="s">
        <v>73</v>
      </c>
      <c r="D132" s="142">
        <v>-0.45</v>
      </c>
      <c r="E132" s="142">
        <v>1.4999999999999999E-2</v>
      </c>
      <c r="F132" s="142">
        <v>-1.4999999999999999E-2</v>
      </c>
      <c r="G132" s="143" t="s">
        <v>343</v>
      </c>
      <c r="H132" s="142"/>
      <c r="I132" s="142"/>
      <c r="J132" s="142"/>
      <c r="K132" s="155" t="str">
        <f t="shared" ref="K132:M147" si="15">IF(ISERR(H132/H132)=TRUE," ",H132-$D132)</f>
        <v xml:space="preserve"> </v>
      </c>
      <c r="L132" s="155" t="str">
        <f t="shared" si="15"/>
        <v xml:space="preserve"> </v>
      </c>
      <c r="M132" s="155" t="str">
        <f t="shared" si="15"/>
        <v xml:space="preserve"> </v>
      </c>
      <c r="N132" s="155" t="str">
        <f t="shared" si="8"/>
        <v xml:space="preserve"> </v>
      </c>
      <c r="O132" s="156" t="str">
        <f t="shared" si="9"/>
        <v xml:space="preserve"> </v>
      </c>
      <c r="P132" s="157" t="str">
        <f t="shared" si="10"/>
        <v xml:space="preserve"> </v>
      </c>
      <c r="Q132" s="147" t="str">
        <f t="shared" si="11"/>
        <v/>
      </c>
      <c r="R132" s="155"/>
      <c r="S132" s="154"/>
    </row>
    <row r="133" spans="1:19" ht="18" customHeight="1">
      <c r="A133" s="141"/>
      <c r="B133" s="114" t="s">
        <v>315</v>
      </c>
      <c r="C133" s="115" t="s">
        <v>73</v>
      </c>
      <c r="D133" s="142"/>
      <c r="E133" s="142">
        <v>3.0000000000000001E-3</v>
      </c>
      <c r="F133" s="142">
        <v>-3.0000000000000001E-3</v>
      </c>
      <c r="G133" s="143" t="s">
        <v>343</v>
      </c>
      <c r="H133" s="142"/>
      <c r="I133" s="142"/>
      <c r="J133" s="142"/>
      <c r="K133" s="155" t="str">
        <f t="shared" si="15"/>
        <v xml:space="preserve"> </v>
      </c>
      <c r="L133" s="155" t="str">
        <f t="shared" si="15"/>
        <v xml:space="preserve"> </v>
      </c>
      <c r="M133" s="155" t="str">
        <f t="shared" si="15"/>
        <v xml:space="preserve"> </v>
      </c>
      <c r="N133" s="155" t="str">
        <f t="shared" si="8"/>
        <v xml:space="preserve"> </v>
      </c>
      <c r="O133" s="156" t="str">
        <f t="shared" si="9"/>
        <v xml:space="preserve"> </v>
      </c>
      <c r="P133" s="157" t="str">
        <f t="shared" si="10"/>
        <v xml:space="preserve"> </v>
      </c>
      <c r="Q133" s="147" t="str">
        <f t="shared" si="11"/>
        <v/>
      </c>
      <c r="R133" s="155"/>
      <c r="S133" s="154"/>
    </row>
    <row r="134" spans="1:19" ht="18" customHeight="1">
      <c r="A134" s="141"/>
      <c r="B134" s="114" t="s">
        <v>316</v>
      </c>
      <c r="C134" s="115" t="s">
        <v>73</v>
      </c>
      <c r="D134" s="142"/>
      <c r="E134" s="142">
        <v>3.0000000000000001E-3</v>
      </c>
      <c r="F134" s="142">
        <v>-3.0000000000000001E-3</v>
      </c>
      <c r="G134" s="143" t="s">
        <v>343</v>
      </c>
      <c r="H134" s="142"/>
      <c r="I134" s="142"/>
      <c r="J134" s="142"/>
      <c r="K134" s="155" t="str">
        <f t="shared" si="15"/>
        <v xml:space="preserve"> </v>
      </c>
      <c r="L134" s="155" t="str">
        <f t="shared" si="15"/>
        <v xml:space="preserve"> </v>
      </c>
      <c r="M134" s="155" t="str">
        <f t="shared" si="15"/>
        <v xml:space="preserve"> </v>
      </c>
      <c r="N134" s="155" t="str">
        <f t="shared" ref="N134:N148" si="16">IF(ISERR(H134/H134)=TRUE," ",AVERAGE(H134:J134))</f>
        <v xml:space="preserve"> </v>
      </c>
      <c r="O134" s="156" t="str">
        <f t="shared" ref="O134:O148" si="17">IF(ISERR(E134/E134)=TRUE," ",IF(ISERR(H134/H134)=TRUE," ",IF(ISNUMBER($H134)=FALSE," ",IF(MAX($H134:$J134)&lt;$D134,0,(MAX($H134:$J134)-$D134)/$E134))))</f>
        <v xml:space="preserve"> </v>
      </c>
      <c r="P134" s="157" t="str">
        <f t="shared" ref="P134:P148" si="18">IF(ISERR(F134/D134)=TRUE," ",IF(ISERR(F134/F134)=TRUE," ",IF(ISERR(H134/H134)=TRUE," ",IF(ISNUMBER(H134)=FALSE," ",IF(MIN(H134:J134)&gt;$D134,0,($D134-MIN(H134:J134))/-F134)))))</f>
        <v xml:space="preserve"> </v>
      </c>
      <c r="Q134" s="147" t="str">
        <f t="shared" ref="Q134:Q148" si="19">IF(ISNUMBER($O134)=TRUE,IF($O134&gt;0.651,IF($O134&gt;1.001,"Reject","Alert"),""),"")</f>
        <v/>
      </c>
      <c r="R134" s="155"/>
      <c r="S134" s="154"/>
    </row>
    <row r="135" spans="1:19" ht="18" customHeight="1">
      <c r="A135" s="141"/>
      <c r="B135" s="114" t="s">
        <v>317</v>
      </c>
      <c r="C135" s="115" t="s">
        <v>73</v>
      </c>
      <c r="D135" s="142"/>
      <c r="E135" s="142">
        <v>7.0000000000000001E-3</v>
      </c>
      <c r="F135" s="142">
        <v>-7.0000000000000001E-3</v>
      </c>
      <c r="G135" s="143" t="s">
        <v>343</v>
      </c>
      <c r="H135" s="142"/>
      <c r="I135" s="142"/>
      <c r="J135" s="142"/>
      <c r="K135" s="155" t="str">
        <f t="shared" si="15"/>
        <v xml:space="preserve"> </v>
      </c>
      <c r="L135" s="155" t="str">
        <f t="shared" si="15"/>
        <v xml:space="preserve"> </v>
      </c>
      <c r="M135" s="155" t="str">
        <f t="shared" si="15"/>
        <v xml:space="preserve"> </v>
      </c>
      <c r="N135" s="155" t="str">
        <f t="shared" si="16"/>
        <v xml:space="preserve"> </v>
      </c>
      <c r="O135" s="156" t="str">
        <f t="shared" si="17"/>
        <v xml:space="preserve"> </v>
      </c>
      <c r="P135" s="157" t="str">
        <f t="shared" si="18"/>
        <v xml:space="preserve"> </v>
      </c>
      <c r="Q135" s="147" t="str">
        <f t="shared" si="19"/>
        <v/>
      </c>
      <c r="R135" s="155"/>
      <c r="S135" s="154"/>
    </row>
    <row r="136" spans="1:19" ht="18" customHeight="1">
      <c r="A136" s="141"/>
      <c r="B136" s="114" t="s">
        <v>318</v>
      </c>
      <c r="C136" s="115" t="s">
        <v>73</v>
      </c>
      <c r="D136" s="142"/>
      <c r="E136" s="142">
        <v>8.0000000000000002E-3</v>
      </c>
      <c r="F136" s="142">
        <v>-8.0000000000000002E-3</v>
      </c>
      <c r="G136" s="143" t="s">
        <v>343</v>
      </c>
      <c r="H136" s="142"/>
      <c r="I136" s="142"/>
      <c r="J136" s="142"/>
      <c r="K136" s="155" t="str">
        <f t="shared" si="15"/>
        <v xml:space="preserve"> </v>
      </c>
      <c r="L136" s="155" t="str">
        <f t="shared" si="15"/>
        <v xml:space="preserve"> </v>
      </c>
      <c r="M136" s="155" t="str">
        <f t="shared" si="15"/>
        <v xml:space="preserve"> </v>
      </c>
      <c r="N136" s="155" t="str">
        <f t="shared" si="16"/>
        <v xml:space="preserve"> </v>
      </c>
      <c r="O136" s="156" t="str">
        <f t="shared" si="17"/>
        <v xml:space="preserve"> </v>
      </c>
      <c r="P136" s="157" t="str">
        <f t="shared" si="18"/>
        <v xml:space="preserve"> </v>
      </c>
      <c r="Q136" s="147" t="str">
        <f t="shared" si="19"/>
        <v/>
      </c>
      <c r="R136" s="155"/>
      <c r="S136" s="154"/>
    </row>
    <row r="137" spans="1:19" ht="18" customHeight="1">
      <c r="A137" s="141"/>
      <c r="B137" s="114" t="s">
        <v>319</v>
      </c>
      <c r="C137" s="115" t="s">
        <v>73</v>
      </c>
      <c r="D137" s="142">
        <v>-0.45</v>
      </c>
      <c r="E137" s="142">
        <v>1.4999999999999999E-2</v>
      </c>
      <c r="F137" s="142">
        <v>-1.4999999999999999E-2</v>
      </c>
      <c r="G137" s="143" t="s">
        <v>343</v>
      </c>
      <c r="H137" s="142"/>
      <c r="I137" s="142"/>
      <c r="J137" s="142"/>
      <c r="K137" s="155" t="str">
        <f t="shared" si="15"/>
        <v xml:space="preserve"> </v>
      </c>
      <c r="L137" s="155" t="str">
        <f t="shared" si="15"/>
        <v xml:space="preserve"> </v>
      </c>
      <c r="M137" s="155" t="str">
        <f t="shared" si="15"/>
        <v xml:space="preserve"> </v>
      </c>
      <c r="N137" s="155" t="str">
        <f t="shared" si="16"/>
        <v xml:space="preserve"> </v>
      </c>
      <c r="O137" s="156" t="str">
        <f t="shared" si="17"/>
        <v xml:space="preserve"> </v>
      </c>
      <c r="P137" s="157" t="str">
        <f t="shared" si="18"/>
        <v xml:space="preserve"> </v>
      </c>
      <c r="Q137" s="147" t="str">
        <f t="shared" si="19"/>
        <v/>
      </c>
      <c r="R137" s="155"/>
      <c r="S137" s="154"/>
    </row>
    <row r="138" spans="1:19" ht="18" customHeight="1">
      <c r="A138" s="141"/>
      <c r="B138" s="114" t="s">
        <v>320</v>
      </c>
      <c r="C138" s="115" t="s">
        <v>73</v>
      </c>
      <c r="D138" s="142"/>
      <c r="E138" s="142">
        <v>3.0000000000000001E-3</v>
      </c>
      <c r="F138" s="142">
        <v>-3.0000000000000001E-3</v>
      </c>
      <c r="G138" s="143" t="s">
        <v>343</v>
      </c>
      <c r="H138" s="142"/>
      <c r="I138" s="142"/>
      <c r="J138" s="142"/>
      <c r="K138" s="155" t="str">
        <f t="shared" si="15"/>
        <v xml:space="preserve"> </v>
      </c>
      <c r="L138" s="155" t="str">
        <f t="shared" si="15"/>
        <v xml:space="preserve"> </v>
      </c>
      <c r="M138" s="155" t="str">
        <f t="shared" si="15"/>
        <v xml:space="preserve"> </v>
      </c>
      <c r="N138" s="155" t="str">
        <f t="shared" si="16"/>
        <v xml:space="preserve"> </v>
      </c>
      <c r="O138" s="156" t="str">
        <f t="shared" si="17"/>
        <v xml:space="preserve"> </v>
      </c>
      <c r="P138" s="157" t="str">
        <f t="shared" si="18"/>
        <v xml:space="preserve"> </v>
      </c>
      <c r="Q138" s="147" t="str">
        <f t="shared" si="19"/>
        <v/>
      </c>
      <c r="R138" s="155"/>
      <c r="S138" s="154"/>
    </row>
    <row r="139" spans="1:19" ht="18" customHeight="1">
      <c r="A139" s="141"/>
      <c r="B139" s="114" t="s">
        <v>321</v>
      </c>
      <c r="C139" s="115" t="s">
        <v>73</v>
      </c>
      <c r="D139" s="142"/>
      <c r="E139" s="142">
        <v>3.0000000000000001E-3</v>
      </c>
      <c r="F139" s="142">
        <v>-3.0000000000000001E-3</v>
      </c>
      <c r="G139" s="143" t="s">
        <v>343</v>
      </c>
      <c r="H139" s="142"/>
      <c r="I139" s="142"/>
      <c r="J139" s="142"/>
      <c r="K139" s="155" t="str">
        <f t="shared" si="15"/>
        <v xml:space="preserve"> </v>
      </c>
      <c r="L139" s="155" t="str">
        <f t="shared" si="15"/>
        <v xml:space="preserve"> </v>
      </c>
      <c r="M139" s="155" t="str">
        <f t="shared" si="15"/>
        <v xml:space="preserve"> </v>
      </c>
      <c r="N139" s="155" t="str">
        <f t="shared" si="16"/>
        <v xml:space="preserve"> </v>
      </c>
      <c r="O139" s="156" t="str">
        <f t="shared" si="17"/>
        <v xml:space="preserve"> </v>
      </c>
      <c r="P139" s="157" t="str">
        <f t="shared" si="18"/>
        <v xml:space="preserve"> </v>
      </c>
      <c r="Q139" s="147" t="str">
        <f t="shared" si="19"/>
        <v/>
      </c>
      <c r="R139" s="155"/>
      <c r="S139" s="154"/>
    </row>
    <row r="140" spans="1:19" ht="18" customHeight="1">
      <c r="A140" s="141"/>
      <c r="B140" s="114" t="s">
        <v>322</v>
      </c>
      <c r="C140" s="115" t="s">
        <v>73</v>
      </c>
      <c r="D140" s="142"/>
      <c r="E140" s="142">
        <v>7.0000000000000001E-3</v>
      </c>
      <c r="F140" s="142">
        <v>-7.0000000000000001E-3</v>
      </c>
      <c r="G140" s="143" t="s">
        <v>343</v>
      </c>
      <c r="H140" s="142"/>
      <c r="I140" s="142"/>
      <c r="J140" s="142"/>
      <c r="K140" s="155" t="str">
        <f t="shared" si="15"/>
        <v xml:space="preserve"> </v>
      </c>
      <c r="L140" s="155" t="str">
        <f t="shared" si="15"/>
        <v xml:space="preserve"> </v>
      </c>
      <c r="M140" s="155" t="str">
        <f t="shared" si="15"/>
        <v xml:space="preserve"> </v>
      </c>
      <c r="N140" s="155" t="str">
        <f t="shared" si="16"/>
        <v xml:space="preserve"> </v>
      </c>
      <c r="O140" s="156" t="str">
        <f t="shared" si="17"/>
        <v xml:space="preserve"> </v>
      </c>
      <c r="P140" s="157" t="str">
        <f t="shared" si="18"/>
        <v xml:space="preserve"> </v>
      </c>
      <c r="Q140" s="147" t="str">
        <f t="shared" si="19"/>
        <v/>
      </c>
      <c r="R140" s="155"/>
      <c r="S140" s="154"/>
    </row>
    <row r="141" spans="1:19" ht="18" customHeight="1">
      <c r="A141" s="141"/>
      <c r="B141" s="114" t="s">
        <v>323</v>
      </c>
      <c r="C141" s="115" t="s">
        <v>73</v>
      </c>
      <c r="D141" s="142"/>
      <c r="E141" s="142">
        <v>8.0000000000000002E-3</v>
      </c>
      <c r="F141" s="142">
        <v>-8.0000000000000002E-3</v>
      </c>
      <c r="G141" s="143" t="s">
        <v>343</v>
      </c>
      <c r="H141" s="142"/>
      <c r="I141" s="142"/>
      <c r="J141" s="142"/>
      <c r="K141" s="155" t="str">
        <f t="shared" si="15"/>
        <v xml:space="preserve"> </v>
      </c>
      <c r="L141" s="155" t="str">
        <f t="shared" si="15"/>
        <v xml:space="preserve"> </v>
      </c>
      <c r="M141" s="155" t="str">
        <f t="shared" si="15"/>
        <v xml:space="preserve"> </v>
      </c>
      <c r="N141" s="155" t="str">
        <f t="shared" si="16"/>
        <v xml:space="preserve"> </v>
      </c>
      <c r="O141" s="156" t="str">
        <f t="shared" si="17"/>
        <v xml:space="preserve"> </v>
      </c>
      <c r="P141" s="157" t="str">
        <f t="shared" si="18"/>
        <v xml:space="preserve"> </v>
      </c>
      <c r="Q141" s="147" t="str">
        <f t="shared" si="19"/>
        <v/>
      </c>
      <c r="R141" s="155"/>
      <c r="S141" s="154"/>
    </row>
    <row r="142" spans="1:19" ht="18" customHeight="1">
      <c r="A142" s="141"/>
      <c r="B142" s="114" t="s">
        <v>324</v>
      </c>
      <c r="C142" s="115" t="s">
        <v>73</v>
      </c>
      <c r="D142" s="142">
        <v>-0.45</v>
      </c>
      <c r="E142" s="142">
        <v>1.4999999999999999E-2</v>
      </c>
      <c r="F142" s="142">
        <v>-1.4999999999999999E-2</v>
      </c>
      <c r="G142" s="143" t="s">
        <v>343</v>
      </c>
      <c r="H142" s="142"/>
      <c r="I142" s="142"/>
      <c r="J142" s="142"/>
      <c r="K142" s="155" t="str">
        <f t="shared" si="15"/>
        <v xml:space="preserve"> </v>
      </c>
      <c r="L142" s="155" t="str">
        <f t="shared" si="15"/>
        <v xml:space="preserve"> </v>
      </c>
      <c r="M142" s="155" t="str">
        <f t="shared" si="15"/>
        <v xml:space="preserve"> </v>
      </c>
      <c r="N142" s="155" t="str">
        <f t="shared" si="16"/>
        <v xml:space="preserve"> </v>
      </c>
      <c r="O142" s="156" t="str">
        <f t="shared" si="17"/>
        <v xml:space="preserve"> </v>
      </c>
      <c r="P142" s="157" t="str">
        <f t="shared" si="18"/>
        <v xml:space="preserve"> </v>
      </c>
      <c r="Q142" s="147" t="str">
        <f t="shared" si="19"/>
        <v/>
      </c>
      <c r="R142" s="155"/>
      <c r="S142" s="154"/>
    </row>
    <row r="143" spans="1:19" ht="18" customHeight="1">
      <c r="A143" s="141"/>
      <c r="B143" s="114" t="s">
        <v>325</v>
      </c>
      <c r="C143" s="115" t="s">
        <v>73</v>
      </c>
      <c r="D143" s="142"/>
      <c r="E143" s="142"/>
      <c r="F143" s="142">
        <v>-3.0000000000000001E-3</v>
      </c>
      <c r="G143" s="143" t="s">
        <v>343</v>
      </c>
      <c r="H143" s="142"/>
      <c r="I143" s="142"/>
      <c r="J143" s="142"/>
      <c r="K143" s="155" t="str">
        <f t="shared" si="15"/>
        <v xml:space="preserve"> </v>
      </c>
      <c r="L143" s="155" t="str">
        <f t="shared" si="15"/>
        <v xml:space="preserve"> </v>
      </c>
      <c r="M143" s="155" t="str">
        <f t="shared" si="15"/>
        <v xml:space="preserve"> </v>
      </c>
      <c r="N143" s="155" t="str">
        <f t="shared" si="16"/>
        <v xml:space="preserve"> </v>
      </c>
      <c r="O143" s="156" t="str">
        <f t="shared" si="17"/>
        <v xml:space="preserve"> </v>
      </c>
      <c r="P143" s="157" t="str">
        <f t="shared" si="18"/>
        <v xml:space="preserve"> </v>
      </c>
      <c r="Q143" s="147" t="str">
        <f t="shared" si="19"/>
        <v/>
      </c>
      <c r="R143" s="155"/>
      <c r="S143" s="154"/>
    </row>
    <row r="144" spans="1:19" ht="18" customHeight="1">
      <c r="A144" s="141"/>
      <c r="B144" s="114" t="s">
        <v>326</v>
      </c>
      <c r="C144" s="115" t="s">
        <v>73</v>
      </c>
      <c r="D144" s="142"/>
      <c r="E144" s="142"/>
      <c r="F144" s="142">
        <v>-3.0000000000000001E-3</v>
      </c>
      <c r="G144" s="143" t="s">
        <v>343</v>
      </c>
      <c r="H144" s="142"/>
      <c r="I144" s="142"/>
      <c r="J144" s="142"/>
      <c r="K144" s="155" t="str">
        <f t="shared" si="15"/>
        <v xml:space="preserve"> </v>
      </c>
      <c r="L144" s="155" t="str">
        <f t="shared" si="15"/>
        <v xml:space="preserve"> </v>
      </c>
      <c r="M144" s="155" t="str">
        <f t="shared" si="15"/>
        <v xml:space="preserve"> </v>
      </c>
      <c r="N144" s="155" t="str">
        <f t="shared" si="16"/>
        <v xml:space="preserve"> </v>
      </c>
      <c r="O144" s="156" t="str">
        <f t="shared" si="17"/>
        <v xml:space="preserve"> </v>
      </c>
      <c r="P144" s="157" t="str">
        <f t="shared" si="18"/>
        <v xml:space="preserve"> </v>
      </c>
      <c r="Q144" s="147" t="str">
        <f t="shared" si="19"/>
        <v/>
      </c>
      <c r="R144" s="155"/>
      <c r="S144" s="154"/>
    </row>
    <row r="145" spans="1:19" ht="18" customHeight="1">
      <c r="A145" s="141"/>
      <c r="B145" s="114" t="s">
        <v>327</v>
      </c>
      <c r="C145" s="115" t="s">
        <v>73</v>
      </c>
      <c r="D145" s="142"/>
      <c r="E145" s="142"/>
      <c r="F145" s="142">
        <v>-7.0000000000000001E-3</v>
      </c>
      <c r="G145" s="143" t="s">
        <v>343</v>
      </c>
      <c r="H145" s="142"/>
      <c r="I145" s="142"/>
      <c r="J145" s="142"/>
      <c r="K145" s="155" t="str">
        <f t="shared" si="15"/>
        <v xml:space="preserve"> </v>
      </c>
      <c r="L145" s="155" t="str">
        <f t="shared" si="15"/>
        <v xml:space="preserve"> </v>
      </c>
      <c r="M145" s="155" t="str">
        <f t="shared" si="15"/>
        <v xml:space="preserve"> </v>
      </c>
      <c r="N145" s="155" t="str">
        <f t="shared" si="16"/>
        <v xml:space="preserve"> </v>
      </c>
      <c r="O145" s="156" t="str">
        <f t="shared" si="17"/>
        <v xml:space="preserve"> </v>
      </c>
      <c r="P145" s="157" t="str">
        <f t="shared" si="18"/>
        <v xml:space="preserve"> </v>
      </c>
      <c r="Q145" s="147" t="str">
        <f t="shared" si="19"/>
        <v/>
      </c>
      <c r="R145" s="155"/>
      <c r="S145" s="154"/>
    </row>
    <row r="146" spans="1:19" ht="18" customHeight="1">
      <c r="A146" s="141"/>
      <c r="B146" s="114" t="s">
        <v>328</v>
      </c>
      <c r="C146" s="115" t="s">
        <v>73</v>
      </c>
      <c r="D146" s="142"/>
      <c r="E146" s="142">
        <v>6.0000000000000001E-3</v>
      </c>
      <c r="F146" s="142">
        <v>-0.01</v>
      </c>
      <c r="G146" s="143" t="s">
        <v>343</v>
      </c>
      <c r="H146" s="142"/>
      <c r="I146" s="142"/>
      <c r="J146" s="142"/>
      <c r="K146" s="155" t="str">
        <f t="shared" si="15"/>
        <v xml:space="preserve"> </v>
      </c>
      <c r="L146" s="155" t="str">
        <f t="shared" si="15"/>
        <v xml:space="preserve"> </v>
      </c>
      <c r="M146" s="155" t="str">
        <f t="shared" si="15"/>
        <v xml:space="preserve"> </v>
      </c>
      <c r="N146" s="155" t="str">
        <f t="shared" si="16"/>
        <v xml:space="preserve"> </v>
      </c>
      <c r="O146" s="156" t="str">
        <f t="shared" si="17"/>
        <v xml:space="preserve"> </v>
      </c>
      <c r="P146" s="157" t="str">
        <f t="shared" si="18"/>
        <v xml:space="preserve"> </v>
      </c>
      <c r="Q146" s="147" t="str">
        <f t="shared" si="19"/>
        <v/>
      </c>
      <c r="R146" s="155"/>
      <c r="S146" s="154"/>
    </row>
    <row r="147" spans="1:19" ht="18" customHeight="1">
      <c r="A147" s="141"/>
      <c r="B147" s="114" t="s">
        <v>329</v>
      </c>
      <c r="C147" s="115" t="s">
        <v>73</v>
      </c>
      <c r="D147" s="142">
        <v>92</v>
      </c>
      <c r="E147" s="142">
        <v>3</v>
      </c>
      <c r="F147" s="142">
        <v>-3</v>
      </c>
      <c r="G147" s="143" t="s">
        <v>342</v>
      </c>
      <c r="H147" s="142"/>
      <c r="I147" s="142"/>
      <c r="J147" s="142"/>
      <c r="K147" s="155" t="str">
        <f t="shared" si="15"/>
        <v xml:space="preserve"> </v>
      </c>
      <c r="L147" s="155" t="str">
        <f t="shared" si="15"/>
        <v xml:space="preserve"> </v>
      </c>
      <c r="M147" s="155" t="str">
        <f t="shared" si="15"/>
        <v xml:space="preserve"> </v>
      </c>
      <c r="N147" s="155" t="str">
        <f t="shared" si="16"/>
        <v xml:space="preserve"> </v>
      </c>
      <c r="O147" s="156" t="str">
        <f t="shared" si="17"/>
        <v xml:space="preserve"> </v>
      </c>
      <c r="P147" s="157" t="str">
        <f t="shared" si="18"/>
        <v xml:space="preserve"> </v>
      </c>
      <c r="Q147" s="147" t="str">
        <f t="shared" si="19"/>
        <v/>
      </c>
      <c r="R147" s="155"/>
      <c r="S147" s="154"/>
    </row>
    <row r="148" spans="1:19" ht="18" customHeight="1">
      <c r="A148" s="141"/>
      <c r="B148" s="114" t="s">
        <v>330</v>
      </c>
      <c r="C148" s="115" t="s">
        <v>73</v>
      </c>
      <c r="D148" s="142">
        <v>91.8</v>
      </c>
      <c r="E148" s="142">
        <v>3</v>
      </c>
      <c r="F148" s="142">
        <v>-3</v>
      </c>
      <c r="G148" s="143" t="s">
        <v>342</v>
      </c>
      <c r="H148" s="142"/>
      <c r="I148" s="142"/>
      <c r="J148" s="142"/>
      <c r="K148" s="155" t="str">
        <f t="shared" ref="K148:M148" si="20">IF(ISERR(H148/H148)=TRUE," ",H148-$D148)</f>
        <v xml:space="preserve"> </v>
      </c>
      <c r="L148" s="155" t="str">
        <f t="shared" si="20"/>
        <v xml:space="preserve"> </v>
      </c>
      <c r="M148" s="155" t="str">
        <f t="shared" si="20"/>
        <v xml:space="preserve"> </v>
      </c>
      <c r="N148" s="155" t="str">
        <f t="shared" si="16"/>
        <v xml:space="preserve"> </v>
      </c>
      <c r="O148" s="156" t="str">
        <f t="shared" si="17"/>
        <v xml:space="preserve"> </v>
      </c>
      <c r="P148" s="157" t="str">
        <f t="shared" si="18"/>
        <v xml:space="preserve"> </v>
      </c>
      <c r="Q148" s="147" t="str">
        <f t="shared" si="19"/>
        <v/>
      </c>
      <c r="R148" s="155"/>
      <c r="S148" s="154"/>
    </row>
  </sheetData>
  <mergeCells count="15">
    <mergeCell ref="A1:S1"/>
    <mergeCell ref="V61:W62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G4:G5"/>
    <mergeCell ref="H4:J4"/>
    <mergeCell ref="K4:M4"/>
    <mergeCell ref="N4:N5"/>
  </mergeCells>
  <phoneticPr fontId="15" type="noConversion"/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B38E-AC87-4D4D-9726-CAE8C419C5F1}">
  <sheetPr codeName="Sheet1"/>
  <dimension ref="A1:EDK76"/>
  <sheetViews>
    <sheetView showGridLines="0" tabSelected="1" zoomScaleNormal="100" zoomScalePageLayoutView="125" workbookViewId="0">
      <pane xSplit="12" ySplit="1" topLeftCell="M44" activePane="bottomRight" state="frozen"/>
      <selection activeCell="M22" sqref="M22"/>
      <selection pane="topRight" activeCell="M22" sqref="M22"/>
      <selection pane="bottomLeft" activeCell="M22" sqref="M22"/>
      <selection pane="bottomRight" activeCell="D77" sqref="D77"/>
    </sheetView>
  </sheetViews>
  <sheetFormatPr defaultColWidth="8.81640625" defaultRowHeight="19.2"/>
  <cols>
    <col min="1" max="1" width="0.81640625" customWidth="1"/>
    <col min="2" max="2" width="7.81640625" customWidth="1"/>
    <col min="3" max="3" width="11.1796875" bestFit="1" customWidth="1"/>
    <col min="4" max="4" width="24" customWidth="1"/>
    <col min="5" max="5" width="7.81640625" customWidth="1"/>
    <col min="6" max="7" width="8.26953125" customWidth="1"/>
    <col min="8" max="8" width="7.81640625" customWidth="1"/>
    <col min="9" max="9" width="7.81640625" hidden="1" customWidth="1"/>
    <col min="10" max="11" width="7.81640625" customWidth="1"/>
    <col min="12" max="12" width="0.81640625" customWidth="1"/>
    <col min="13" max="16" width="7.81640625" customWidth="1"/>
    <col min="17" max="22" width="7.81640625" hidden="1" customWidth="1"/>
    <col min="23" max="23" width="7.81640625" customWidth="1"/>
    <col min="24" max="24" width="10" hidden="1" customWidth="1"/>
    <col min="25" max="27" width="9.453125" hidden="1" customWidth="1"/>
    <col min="28" max="28" width="7.81640625" customWidth="1"/>
    <col min="29" max="29" width="9" customWidth="1"/>
    <col min="30" max="30" width="22" customWidth="1"/>
    <col min="31" max="32" width="9" hidden="1" customWidth="1"/>
    <col min="33" max="33" width="7.54296875" hidden="1" customWidth="1"/>
    <col min="34" max="34" width="0.81640625" customWidth="1"/>
    <col min="35" max="66" width="7.81640625" customWidth="1"/>
  </cols>
  <sheetData>
    <row r="1" spans="1:1023 1025:2040 2061:3066 3097:3494" s="52" customFormat="1" ht="22.05" customHeight="1">
      <c r="A1" s="187" t="s">
        <v>162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53"/>
      <c r="AE1" s="53"/>
      <c r="AF1" s="53"/>
      <c r="AG1" s="53"/>
      <c r="AH1" s="53"/>
    </row>
    <row r="2" spans="1:1023 1025:2040 2061:3066 3097:3494" s="52" customFormat="1" ht="9" customHeight="1">
      <c r="B2" s="55"/>
      <c r="C2" s="55"/>
      <c r="D2" s="55"/>
      <c r="E2" s="55"/>
      <c r="F2" s="55"/>
      <c r="G2" s="55"/>
      <c r="H2" s="55"/>
      <c r="I2" s="55"/>
      <c r="J2" s="55"/>
      <c r="K2" s="55"/>
      <c r="M2" s="55"/>
      <c r="N2" s="55"/>
      <c r="O2" s="55"/>
      <c r="P2" s="55"/>
      <c r="Q2" s="55" t="s">
        <v>163</v>
      </c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I2" s="56"/>
    </row>
    <row r="3" spans="1:1023 1025:2040 2061:3066 3097:3494" s="54" customFormat="1" ht="15" customHeight="1">
      <c r="A3" s="58"/>
      <c r="B3" s="188" t="s">
        <v>151</v>
      </c>
      <c r="C3" s="189"/>
      <c r="D3" s="189"/>
      <c r="E3" s="189"/>
      <c r="F3" s="189"/>
      <c r="G3" s="189"/>
      <c r="H3" s="189"/>
      <c r="I3" s="189"/>
      <c r="J3" s="189"/>
      <c r="K3" s="190"/>
      <c r="L3" s="57"/>
      <c r="M3" s="188" t="s">
        <v>164</v>
      </c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90"/>
      <c r="AD3" s="112"/>
      <c r="AE3" s="191" t="s">
        <v>165</v>
      </c>
      <c r="AF3" s="191"/>
      <c r="AG3" s="191"/>
      <c r="AH3" s="113"/>
      <c r="AI3" s="179" t="s">
        <v>355</v>
      </c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1"/>
    </row>
    <row r="4" spans="1:1023 1025:2040 2061:3066 3097:3494" s="54" customFormat="1" ht="25.05" customHeight="1">
      <c r="A4" s="58"/>
      <c r="B4" s="59"/>
      <c r="C4" s="59"/>
      <c r="D4" s="59"/>
      <c r="E4" s="60"/>
      <c r="F4" s="61" t="s">
        <v>166</v>
      </c>
      <c r="G4" s="61" t="s">
        <v>167</v>
      </c>
      <c r="H4" s="62"/>
      <c r="I4" s="62"/>
      <c r="J4" s="63"/>
      <c r="K4" s="63"/>
      <c r="L4" s="58"/>
      <c r="M4" s="64"/>
      <c r="N4" s="64"/>
      <c r="O4" s="65"/>
      <c r="P4" s="64"/>
      <c r="Q4" s="66"/>
      <c r="R4" s="66"/>
      <c r="S4" s="66"/>
      <c r="T4" s="66"/>
      <c r="U4" s="66"/>
      <c r="V4" s="66"/>
      <c r="W4" s="66"/>
      <c r="X4" s="185" t="s">
        <v>168</v>
      </c>
      <c r="Y4" s="186"/>
      <c r="Z4" s="67" t="s">
        <v>169</v>
      </c>
      <c r="AA4" s="68">
        <v>1.5</v>
      </c>
      <c r="AB4" s="69"/>
      <c r="AC4" s="69"/>
      <c r="AD4" s="70"/>
      <c r="AE4" s="71"/>
      <c r="AF4" s="71"/>
      <c r="AG4" s="72"/>
      <c r="AH4" s="58"/>
      <c r="AI4" s="182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4"/>
    </row>
    <row r="5" spans="1:1023 1025:2040 2061:3066 3097:3494" s="86" customFormat="1" ht="23.4">
      <c r="A5" s="73"/>
      <c r="B5" s="74" t="s">
        <v>170</v>
      </c>
      <c r="C5" s="74" t="s">
        <v>156</v>
      </c>
      <c r="D5" s="74" t="s">
        <v>171</v>
      </c>
      <c r="E5" s="75" t="s">
        <v>43</v>
      </c>
      <c r="F5" s="76" t="s">
        <v>172</v>
      </c>
      <c r="G5" s="76" t="s">
        <v>173</v>
      </c>
      <c r="H5" s="77" t="s">
        <v>54</v>
      </c>
      <c r="I5" s="77" t="s">
        <v>174</v>
      </c>
      <c r="J5" s="78" t="s">
        <v>154</v>
      </c>
      <c r="K5" s="78" t="s">
        <v>155</v>
      </c>
      <c r="L5" s="73"/>
      <c r="M5" s="79" t="s">
        <v>88</v>
      </c>
      <c r="N5" s="79" t="s">
        <v>89</v>
      </c>
      <c r="O5" s="80" t="s">
        <v>77</v>
      </c>
      <c r="P5" s="79" t="s">
        <v>175</v>
      </c>
      <c r="Q5" s="81" t="s">
        <v>48</v>
      </c>
      <c r="R5" s="81" t="s">
        <v>176</v>
      </c>
      <c r="S5" s="81" t="s">
        <v>177</v>
      </c>
      <c r="T5" s="81" t="s">
        <v>178</v>
      </c>
      <c r="U5" s="81" t="s">
        <v>179</v>
      </c>
      <c r="V5" s="81" t="s">
        <v>49</v>
      </c>
      <c r="W5" s="81" t="s">
        <v>47</v>
      </c>
      <c r="X5" s="82" t="s">
        <v>180</v>
      </c>
      <c r="Y5" s="82" t="s">
        <v>181</v>
      </c>
      <c r="Z5" s="82" t="s">
        <v>182</v>
      </c>
      <c r="AA5" s="83" t="s">
        <v>183</v>
      </c>
      <c r="AB5" s="84" t="s">
        <v>189</v>
      </c>
      <c r="AC5" s="84" t="s">
        <v>184</v>
      </c>
      <c r="AD5" s="84" t="s">
        <v>185</v>
      </c>
      <c r="AE5" s="71"/>
      <c r="AF5" s="71"/>
      <c r="AG5" s="72"/>
      <c r="AH5" s="117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</row>
    <row r="6" spans="1:1023 1025:2040 2061:3066 3097:3494" ht="15" customHeight="1">
      <c r="A6">
        <v>1</v>
      </c>
      <c r="B6" s="87" t="s">
        <v>90</v>
      </c>
      <c r="C6" s="88" t="s">
        <v>252</v>
      </c>
      <c r="D6" s="89" t="s">
        <v>80</v>
      </c>
      <c r="E6" s="109"/>
      <c r="F6" s="90">
        <v>0.04</v>
      </c>
      <c r="G6" s="90"/>
      <c r="H6" s="91" t="s">
        <v>81</v>
      </c>
      <c r="I6" s="92" t="s">
        <v>186</v>
      </c>
      <c r="J6" s="51">
        <f>IF(AND(E6="",F6=""),"",IF(E6="",F6,E6+F6))</f>
        <v>0.04</v>
      </c>
      <c r="K6" s="51" t="str">
        <f>IF(AND(E6="",G6=""),"",IF(E6="",G6,E6+G6))</f>
        <v/>
      </c>
      <c r="L6" s="93"/>
      <c r="M6" s="94">
        <f t="shared" ref="M6:M69" si="0">IF(OR($AI6=ISBLANK(TRUE),ISNUMBER($AI6)=FALSE),,MAX(AI6:BN6))</f>
        <v>0</v>
      </c>
      <c r="N6" s="94">
        <f t="shared" ref="N6:N69" si="1">IF(OR($AI6=ISBLANK(TRUE),ISNUMBER($AI6)=FALSE),,MIN(AI6:BN6))</f>
        <v>0</v>
      </c>
      <c r="O6" s="94">
        <f t="shared" ref="O6:O69" si="2">IF(OR($AI6=ISBLANK(TRUE),ISNUMBER($AI6)=FALSE),,AVERAGE(AI6:BN6))</f>
        <v>0</v>
      </c>
      <c r="P6" s="95">
        <f t="shared" ref="P6:P69" si="3">IF(OR($AI6=ISBLANK(TRUE),ISNUMBER($AI6)=FALSE),,STDEV(AI6:BN6))</f>
        <v>0</v>
      </c>
      <c r="Q6" s="96" t="str">
        <f t="shared" ref="Q6:Q69" si="4">IF(OR($AI6="",ISNUMBER($AI6)=FALSE),"",IF(AND(E6=0,G6=0),T6,IF(AND(E6="",F6=""),U6,(F6+ABS(G6))/(6*P6))))</f>
        <v/>
      </c>
      <c r="R6" s="97" t="str">
        <f>IF(OR($AI6="",ISNUMBER($AI6)=FALSE),"",IF(AND(#REF!="Tolerance",$E6&lt;&gt;""),($O6-$E6)/(($J6-$K6)/2),IF(AND(#REF!="GD&amp;T",$F6&lt;&gt;""),$O6/$F6,"")))</f>
        <v/>
      </c>
      <c r="S6" s="97" t="str">
        <f>IF($R6="","",IF(ABS($R6)&lt;=0.125, "Level A",IF(AND(ABS($R6)&gt;0.125,ABS($R6)&lt;=0.25), "Level B",IF(AND(ABS($R6)&gt;0.25,ABS($R6)&lt;=0.5), "Level C", IF(ABS($R6)&gt;0.5, "Level D")))))</f>
        <v/>
      </c>
      <c r="T6" s="96" t="str">
        <f t="shared" ref="T6:T69" si="5">IF(OR($AI6="",ISNUMBER($AI6)=FALSE),"",IF(F6="","",(J6-O6)/(3*P6)))</f>
        <v/>
      </c>
      <c r="U6" s="96" t="str">
        <f t="shared" ref="U6:U69" si="6">IF(OR($AI6="",ISNUMBER($AI6)=FALSE),"",IF(G6="","",(O6-K6)/(3*P6)))</f>
        <v/>
      </c>
      <c r="V6" s="96" t="str">
        <f t="shared" ref="V6:V69" si="7">IF(OR($AI6="",ISNUMBER($AI6)=FALSE),"",IF(AND(E6=0,G6=0),((F6)-(O6))/(3*P6),MIN(T6:U6)))</f>
        <v/>
      </c>
      <c r="W6" s="98" t="str">
        <f t="shared" ref="W6:W69" si="8">IF(OR($AI6="",ISNUMBER($AI6)=FALSE),"",IF(AND(E6=0,G6=0),NORMSDIST(3*V6),NORMSDIST(3*V6)+NORMSDIST(6*Q6-3*V6)-1))</f>
        <v/>
      </c>
      <c r="X6" s="99" t="e">
        <f>IF($O6="","",IF(#REF!="Tolerance",IF((#REF!*3*P6+O6)-E6&lt;F6,"",(#REF!*3*P6+O6)-E6),IF(OR(#REF!="GD&amp;T",#REF!="MAX"),IF((#REF!*3*P6+O6)&lt;F6,"",(#REF!*3*P6+O6)),"")))</f>
        <v>#REF!</v>
      </c>
      <c r="Y6" s="99" t="e">
        <f>IF(O6="","",IF(#REF!="Tolerance",IF(-((#REF!*3*P6)-O6)-E6&gt;G6,"",-((#REF!*3*P6)-O6)-E6),IF(#REF!="MIN",IF(-((#REF!*3*P6)-O6)&gt;G6,"",-((#REF!*3*P6)-O6)),"")))</f>
        <v>#REF!</v>
      </c>
      <c r="Z6" s="99" t="str">
        <f>IF(OR(E6="",O6=""),"",(J6+K6)/2-O6)</f>
        <v/>
      </c>
      <c r="AA6" s="99" t="str">
        <f t="shared" ref="AA6:AA69" si="9">IF(OR($Q6&gt;$AA$4,$P6=""),"",$AA$4*6*$P6)</f>
        <v/>
      </c>
      <c r="AB6" s="100"/>
      <c r="AC6" s="101" t="str">
        <f>IF(AB6="","",IF(AB6&gt;=0.966,"Normal","Not Normal"))</f>
        <v/>
      </c>
      <c r="AD6" s="102"/>
      <c r="AE6" s="103"/>
      <c r="AF6" s="103"/>
      <c r="AG6" s="104"/>
      <c r="AH6">
        <v>1</v>
      </c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NC6" s="105"/>
      <c r="SV6" s="105"/>
      <c r="TR6" s="105"/>
      <c r="AJP6" s="105"/>
      <c r="AKV6" s="105"/>
      <c r="AXI6" s="105"/>
      <c r="AYA6" s="105"/>
      <c r="BCE6" s="105"/>
      <c r="BEA6" s="105"/>
      <c r="CKC6" s="105"/>
      <c r="CQD6" s="105"/>
      <c r="DJV6" s="105"/>
      <c r="DPF6" s="105"/>
      <c r="EBX6" s="105"/>
      <c r="EDB6" s="105"/>
    </row>
    <row r="7" spans="1:1023 1025:2040 2061:3066 3097:3494" ht="15" customHeight="1">
      <c r="A7">
        <v>2</v>
      </c>
      <c r="B7" s="87" t="s">
        <v>91</v>
      </c>
      <c r="C7" s="88" t="s">
        <v>253</v>
      </c>
      <c r="D7" s="106" t="s">
        <v>73</v>
      </c>
      <c r="E7" s="109">
        <v>3.798</v>
      </c>
      <c r="F7" s="90">
        <v>2.5000000000000001E-2</v>
      </c>
      <c r="G7" s="90">
        <v>-0.02</v>
      </c>
      <c r="H7" s="91" t="s">
        <v>344</v>
      </c>
      <c r="I7" s="92" t="s">
        <v>186</v>
      </c>
      <c r="J7" s="51">
        <f t="shared" ref="J7:J71" si="10">IF(AND(E7="",F7=""),"",IF(E7="",F7,E7+F7))</f>
        <v>3.823</v>
      </c>
      <c r="K7" s="51">
        <f t="shared" ref="K7:K71" si="11">IF(AND(E7="",G7=""),"",IF(E7="",G7,E7+G7))</f>
        <v>3.778</v>
      </c>
      <c r="L7" s="93"/>
      <c r="M7" s="94">
        <f t="shared" si="0"/>
        <v>0</v>
      </c>
      <c r="N7" s="94">
        <f t="shared" si="1"/>
        <v>0</v>
      </c>
      <c r="O7" s="94">
        <f t="shared" si="2"/>
        <v>0</v>
      </c>
      <c r="P7" s="95">
        <f t="shared" si="3"/>
        <v>0</v>
      </c>
      <c r="Q7" s="96" t="str">
        <f t="shared" si="4"/>
        <v/>
      </c>
      <c r="R7" s="97" t="str">
        <f>IF(OR($AI7="",ISNUMBER($AI7)=FALSE),"",IF(AND(#REF!="Tolerance",$E7&lt;&gt;""),($O7-$E7)/(($J7-$K7)/2),IF(AND(#REF!="GD&amp;T",$F7&lt;&gt;""),$O7/$F7,"")))</f>
        <v/>
      </c>
      <c r="S7" s="97" t="str">
        <f t="shared" ref="S7:S76" si="12">IF($R7="","",IF(ABS($R7)&lt;=0.125, "Level A",IF(AND(ABS($R7)&gt;0.125,ABS($R7)&lt;=0.25), "Level B",IF(AND(ABS($R7)&gt;0.25,ABS($R7)&lt;=0.5), "Level C", IF(ABS($R7)&gt;0.5, "Level D")))))</f>
        <v/>
      </c>
      <c r="T7" s="96" t="str">
        <f t="shared" si="5"/>
        <v/>
      </c>
      <c r="U7" s="96" t="str">
        <f t="shared" si="6"/>
        <v/>
      </c>
      <c r="V7" s="96" t="str">
        <f t="shared" si="7"/>
        <v/>
      </c>
      <c r="W7" s="98" t="str">
        <f t="shared" si="8"/>
        <v/>
      </c>
      <c r="X7" s="99" t="e">
        <f>IF($O7="","",IF(#REF!="Tolerance",IF((#REF!*3*P7+O7)-E7&lt;F7,"",(#REF!*3*P7+O7)-E7),IF(OR(#REF!="GD&amp;T",#REF!="MAX"),IF((#REF!*3*P7+O7)&lt;F7,"",(#REF!*3*P7+O7)),"")))</f>
        <v>#REF!</v>
      </c>
      <c r="Y7" s="99" t="e">
        <f>IF(O7="","",IF(#REF!="Tolerance",IF(-((#REF!*3*P7)-O7)-E7&gt;G7,"",-((#REF!*3*P7)-O7)-E7),IF(#REF!="MIN",IF(-((#REF!*3*P7)-O7)&gt;G7,"",-((#REF!*3*P7)-O7)),"")))</f>
        <v>#REF!</v>
      </c>
      <c r="Z7" s="99">
        <f t="shared" ref="Z7:Z70" si="13">IF(OR(E7="",O7=""),"",(J7+K7)/2-O7)</f>
        <v>3.8005</v>
      </c>
      <c r="AA7" s="99" t="str">
        <f t="shared" si="9"/>
        <v/>
      </c>
      <c r="AB7" s="100"/>
      <c r="AC7" s="101" t="str">
        <f t="shared" ref="AC7:AC70" si="14">IF(AB7="","",IF(AB7&gt;=0.966,"Normal","Not Normal"))</f>
        <v/>
      </c>
      <c r="AD7" s="102"/>
      <c r="AE7" s="103"/>
      <c r="AF7" s="103"/>
      <c r="AG7" s="104"/>
      <c r="AH7">
        <v>2</v>
      </c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FU7" s="105"/>
      <c r="HC7" s="105"/>
      <c r="JW7" s="105"/>
      <c r="NQ7" s="105"/>
      <c r="SV7" s="105"/>
      <c r="AKV7" s="105"/>
      <c r="AOS7" s="105"/>
      <c r="AST7" s="105"/>
      <c r="AXQ7" s="105"/>
      <c r="BJF7" s="105"/>
      <c r="BME7" s="105"/>
      <c r="BOW7" s="105"/>
      <c r="BQE7" s="105"/>
      <c r="BQG7" s="105"/>
      <c r="BTU7" s="105"/>
      <c r="BUB7" s="105"/>
      <c r="BUV7" s="105"/>
      <c r="CAG7" s="105"/>
      <c r="CON7" s="105"/>
      <c r="COQ7" s="105"/>
      <c r="COT7" s="105"/>
      <c r="CVM7" s="105"/>
      <c r="CZO7" s="105"/>
      <c r="CZW7" s="105"/>
      <c r="DHX7" s="105"/>
      <c r="DJE7" s="105"/>
      <c r="DMF7" s="105"/>
      <c r="DTB7" s="105"/>
      <c r="DTF7" s="105"/>
      <c r="DUH7" s="105"/>
      <c r="DYR7" s="105"/>
      <c r="EBF7" s="105"/>
    </row>
    <row r="8" spans="1:1023 1025:2040 2061:3066 3097:3494" ht="15" customHeight="1">
      <c r="A8">
        <v>3</v>
      </c>
      <c r="B8" s="87" t="s">
        <v>91</v>
      </c>
      <c r="C8" s="88" t="s">
        <v>254</v>
      </c>
      <c r="D8" s="89" t="s">
        <v>73</v>
      </c>
      <c r="E8" s="109">
        <v>3.798</v>
      </c>
      <c r="F8" s="90">
        <v>2.5000000000000001E-2</v>
      </c>
      <c r="G8" s="90">
        <v>-0.02</v>
      </c>
      <c r="H8" s="91" t="s">
        <v>344</v>
      </c>
      <c r="I8" s="92" t="s">
        <v>186</v>
      </c>
      <c r="J8" s="51">
        <f t="shared" si="10"/>
        <v>3.823</v>
      </c>
      <c r="K8" s="51">
        <f t="shared" si="11"/>
        <v>3.778</v>
      </c>
      <c r="L8" s="93"/>
      <c r="M8" s="94">
        <f t="shared" si="0"/>
        <v>0</v>
      </c>
      <c r="N8" s="94">
        <f t="shared" si="1"/>
        <v>0</v>
      </c>
      <c r="O8" s="94">
        <f t="shared" si="2"/>
        <v>0</v>
      </c>
      <c r="P8" s="95">
        <f t="shared" si="3"/>
        <v>0</v>
      </c>
      <c r="Q8" s="96" t="str">
        <f t="shared" si="4"/>
        <v/>
      </c>
      <c r="R8" s="97" t="str">
        <f>IF(OR($AI8="",ISNUMBER($AI8)=FALSE),"",IF(AND(#REF!="Tolerance",$E8&lt;&gt;""),($O8-$E8)/(($J8-$K8)/2),IF(AND(#REF!="GD&amp;T",$F8&lt;&gt;""),$O8/$F8,"")))</f>
        <v/>
      </c>
      <c r="S8" s="97" t="str">
        <f t="shared" si="12"/>
        <v/>
      </c>
      <c r="T8" s="96" t="str">
        <f t="shared" si="5"/>
        <v/>
      </c>
      <c r="U8" s="96" t="str">
        <f t="shared" si="6"/>
        <v/>
      </c>
      <c r="V8" s="96" t="str">
        <f t="shared" si="7"/>
        <v/>
      </c>
      <c r="W8" s="98" t="str">
        <f t="shared" si="8"/>
        <v/>
      </c>
      <c r="X8" s="99" t="e">
        <f>IF($O8="","",IF(#REF!="Tolerance",IF((#REF!*3*P8+O8)-E8&lt;F8,"",(#REF!*3*P8+O8)-E8),IF(OR(#REF!="GD&amp;T",#REF!="MAX"),IF((#REF!*3*P8+O8)&lt;F8,"",(#REF!*3*P8+O8)),"")))</f>
        <v>#REF!</v>
      </c>
      <c r="Y8" s="99" t="e">
        <f>IF(O8="","",IF(#REF!="Tolerance",IF(-((#REF!*3*P8)-O8)-E8&gt;G8,"",-((#REF!*3*P8)-O8)-E8),IF(#REF!="MIN",IF(-((#REF!*3*P8)-O8)&gt;G8,"",-((#REF!*3*P8)-O8)),"")))</f>
        <v>#REF!</v>
      </c>
      <c r="Z8" s="99">
        <f t="shared" si="13"/>
        <v>3.8005</v>
      </c>
      <c r="AA8" s="99" t="str">
        <f t="shared" si="9"/>
        <v/>
      </c>
      <c r="AB8" s="100"/>
      <c r="AC8" s="101" t="str">
        <f t="shared" si="14"/>
        <v/>
      </c>
      <c r="AD8" s="102"/>
      <c r="AE8" s="103"/>
      <c r="AF8" s="103"/>
      <c r="AG8" s="104"/>
      <c r="AH8">
        <v>3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FV8" s="105"/>
      <c r="JW8" s="105"/>
      <c r="AGG8" s="105"/>
      <c r="BFQ8" s="105"/>
      <c r="BKG8" s="105"/>
      <c r="BPJ8" s="105"/>
      <c r="BQE8" s="105"/>
      <c r="BSE8" s="105"/>
      <c r="BSK8" s="105"/>
      <c r="BUV8" s="105"/>
      <c r="BWJ8" s="105"/>
      <c r="BWR8" s="105"/>
      <c r="BZL8" s="105"/>
      <c r="CAG8" s="105"/>
      <c r="DIA8" s="105"/>
      <c r="DJE8" s="105"/>
      <c r="DPG8" s="105"/>
      <c r="ECE8" s="105"/>
    </row>
    <row r="9" spans="1:1023 1025:2040 2061:3066 3097:3494" ht="15" customHeight="1">
      <c r="A9">
        <v>4</v>
      </c>
      <c r="B9" s="87" t="s">
        <v>92</v>
      </c>
      <c r="C9" s="88" t="s">
        <v>255</v>
      </c>
      <c r="D9" s="89" t="s">
        <v>82</v>
      </c>
      <c r="E9" s="109"/>
      <c r="F9" s="90">
        <v>1.4999999999999999E-2</v>
      </c>
      <c r="G9" s="90"/>
      <c r="H9" s="91" t="s">
        <v>344</v>
      </c>
      <c r="I9" s="92" t="s">
        <v>186</v>
      </c>
      <c r="J9" s="51">
        <f t="shared" si="10"/>
        <v>1.4999999999999999E-2</v>
      </c>
      <c r="K9" s="51" t="str">
        <f t="shared" si="11"/>
        <v/>
      </c>
      <c r="L9" s="93"/>
      <c r="M9" s="94">
        <f t="shared" si="0"/>
        <v>0</v>
      </c>
      <c r="N9" s="94">
        <f t="shared" si="1"/>
        <v>0</v>
      </c>
      <c r="O9" s="94">
        <f t="shared" si="2"/>
        <v>0</v>
      </c>
      <c r="P9" s="95">
        <f t="shared" si="3"/>
        <v>0</v>
      </c>
      <c r="Q9" s="96" t="str">
        <f t="shared" si="4"/>
        <v/>
      </c>
      <c r="R9" s="97" t="str">
        <f>IF(OR($AI9="",ISNUMBER($AI9)=FALSE),"",IF(AND(#REF!="Tolerance",$E9&lt;&gt;""),($O9-$E9)/(($J9-$K9)/2),IF(AND(#REF!="GD&amp;T",$F9&lt;&gt;""),$O9/$F9,"")))</f>
        <v/>
      </c>
      <c r="S9" s="97" t="str">
        <f t="shared" si="12"/>
        <v/>
      </c>
      <c r="T9" s="96" t="str">
        <f t="shared" si="5"/>
        <v/>
      </c>
      <c r="U9" s="96" t="str">
        <f t="shared" si="6"/>
        <v/>
      </c>
      <c r="V9" s="96" t="str">
        <f t="shared" si="7"/>
        <v/>
      </c>
      <c r="W9" s="98" t="str">
        <f t="shared" si="8"/>
        <v/>
      </c>
      <c r="X9" s="99" t="e">
        <f>IF($O9="","",IF(#REF!="Tolerance",IF((#REF!*3*P9+O9)-E9&lt;F9,"",(#REF!*3*P9+O9)-E9),IF(OR(#REF!="GD&amp;T",#REF!="MAX"),IF((#REF!*3*P9+O9)&lt;F9,"",(#REF!*3*P9+O9)),"")))</f>
        <v>#REF!</v>
      </c>
      <c r="Y9" s="99" t="e">
        <f>IF(O9="","",IF(#REF!="Tolerance",IF(-((#REF!*3*P9)-O9)-E9&gt;G9,"",-((#REF!*3*P9)-O9)-E9),IF(#REF!="MIN",IF(-((#REF!*3*P9)-O9)&gt;G9,"",-((#REF!*3*P9)-O9)),"")))</f>
        <v>#REF!</v>
      </c>
      <c r="Z9" s="99" t="str">
        <f t="shared" si="13"/>
        <v/>
      </c>
      <c r="AA9" s="99" t="str">
        <f t="shared" si="9"/>
        <v/>
      </c>
      <c r="AB9" s="100"/>
      <c r="AC9" s="101" t="str">
        <f t="shared" si="14"/>
        <v/>
      </c>
      <c r="AD9" s="102"/>
      <c r="AE9" s="103"/>
      <c r="AF9" s="103"/>
      <c r="AG9" s="104"/>
      <c r="AH9">
        <v>4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W9" s="105"/>
      <c r="FA9" s="105"/>
      <c r="LE9" s="105"/>
      <c r="QT9" s="105"/>
      <c r="TS9" s="105"/>
      <c r="ABL9" s="105"/>
      <c r="ABZ9" s="105"/>
      <c r="AMI9" s="105"/>
      <c r="ANI9" s="105"/>
      <c r="AQR9" s="105"/>
      <c r="ARW9" s="105"/>
      <c r="AVL9" s="105"/>
      <c r="BAR9" s="105"/>
      <c r="BBB9" s="105"/>
      <c r="BHD9" s="105"/>
      <c r="BJR9" s="105"/>
      <c r="BPC9" s="105"/>
      <c r="BSV9" s="105"/>
      <c r="BTK9" s="105"/>
      <c r="BVZ9" s="105"/>
      <c r="BWE9" s="105"/>
      <c r="BWO9" s="105"/>
      <c r="BYE9" s="105"/>
      <c r="CDE9" s="105"/>
      <c r="CFB9" s="105"/>
      <c r="CFT9" s="105"/>
      <c r="CFU9" s="105"/>
      <c r="CKQ9" s="105"/>
      <c r="CMR9" s="105"/>
      <c r="COO9" s="105"/>
      <c r="CQE9" s="105"/>
      <c r="CRH9" s="105"/>
      <c r="CSC9" s="105"/>
      <c r="CTV9" s="105"/>
      <c r="CZS9" s="105"/>
      <c r="DDL9" s="105"/>
      <c r="DEW9" s="105"/>
      <c r="DIG9" s="105"/>
      <c r="DIP9" s="105"/>
      <c r="DMX9" s="105"/>
      <c r="DSX9" s="105"/>
      <c r="DSY9" s="105"/>
      <c r="DVO9" s="105"/>
      <c r="EBY9" s="105"/>
    </row>
    <row r="10" spans="1:1023 1025:2040 2061:3066 3097:3494" ht="15" customHeight="1">
      <c r="A10">
        <v>5</v>
      </c>
      <c r="B10" s="87" t="s">
        <v>93</v>
      </c>
      <c r="C10" s="88" t="s">
        <v>257</v>
      </c>
      <c r="D10" s="106" t="s">
        <v>73</v>
      </c>
      <c r="E10" s="109">
        <v>3.8180000000000001</v>
      </c>
      <c r="F10" s="90">
        <v>0.02</v>
      </c>
      <c r="G10" s="90">
        <v>-0.02</v>
      </c>
      <c r="H10" s="91" t="s">
        <v>344</v>
      </c>
      <c r="I10" s="92" t="s">
        <v>186</v>
      </c>
      <c r="J10" s="51">
        <f t="shared" si="10"/>
        <v>3.8380000000000001</v>
      </c>
      <c r="K10" s="51">
        <f t="shared" si="11"/>
        <v>3.798</v>
      </c>
      <c r="L10" s="93"/>
      <c r="M10" s="94">
        <f t="shared" si="0"/>
        <v>0</v>
      </c>
      <c r="N10" s="94">
        <f t="shared" si="1"/>
        <v>0</v>
      </c>
      <c r="O10" s="94">
        <f t="shared" si="2"/>
        <v>0</v>
      </c>
      <c r="P10" s="95">
        <f t="shared" si="3"/>
        <v>0</v>
      </c>
      <c r="Q10" s="96" t="str">
        <f t="shared" si="4"/>
        <v/>
      </c>
      <c r="R10" s="97" t="str">
        <f>IF(OR($AI10="",ISNUMBER($AI10)=FALSE),"",IF(AND(#REF!="Tolerance",$E10&lt;&gt;""),($O10-$E10)/(($J10-$K10)/2),IF(AND(#REF!="GD&amp;T",$F10&lt;&gt;""),$O10/$F10,"")))</f>
        <v/>
      </c>
      <c r="S10" s="97" t="str">
        <f t="shared" si="12"/>
        <v/>
      </c>
      <c r="T10" s="96" t="str">
        <f t="shared" si="5"/>
        <v/>
      </c>
      <c r="U10" s="96" t="str">
        <f t="shared" si="6"/>
        <v/>
      </c>
      <c r="V10" s="96" t="str">
        <f t="shared" si="7"/>
        <v/>
      </c>
      <c r="W10" s="98" t="str">
        <f t="shared" si="8"/>
        <v/>
      </c>
      <c r="X10" s="99" t="e">
        <f>IF($O10="","",IF(#REF!="Tolerance",IF((#REF!*3*P10+O10)-E10&lt;F10,"",(#REF!*3*P10+O10)-E10),IF(OR(#REF!="GD&amp;T",#REF!="MAX"),IF((#REF!*3*P10+O10)&lt;F10,"",(#REF!*3*P10+O10)),"")))</f>
        <v>#REF!</v>
      </c>
      <c r="Y10" s="99" t="e">
        <f>IF(O10="","",IF(#REF!="Tolerance",IF(-((#REF!*3*P10)-O10)-E10&gt;G10,"",-((#REF!*3*P10)-O10)-E10),IF(#REF!="MIN",IF(-((#REF!*3*P10)-O10)&gt;G10,"",-((#REF!*3*P10)-O10)),"")))</f>
        <v>#REF!</v>
      </c>
      <c r="Z10" s="99">
        <f t="shared" si="13"/>
        <v>3.8180000000000001</v>
      </c>
      <c r="AA10" s="99" t="str">
        <f t="shared" si="9"/>
        <v/>
      </c>
      <c r="AB10" s="100"/>
      <c r="AC10" s="101" t="str">
        <f t="shared" si="14"/>
        <v/>
      </c>
      <c r="AD10" s="102"/>
      <c r="AE10" s="103"/>
      <c r="AF10" s="103"/>
      <c r="AG10" s="104"/>
      <c r="AH10">
        <v>5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DR10" s="105"/>
      <c r="DX10" s="105"/>
      <c r="FA10" s="105"/>
      <c r="FH10" s="105"/>
      <c r="FS10" s="105"/>
      <c r="GE10" s="105"/>
      <c r="UP10" s="105"/>
      <c r="XU10" s="105"/>
      <c r="YV10" s="105"/>
      <c r="ABL10" s="105"/>
      <c r="ALD10" s="105"/>
      <c r="BJR10" s="105"/>
      <c r="BKR10" s="105"/>
      <c r="BNF10" s="105"/>
      <c r="BPE10" s="105"/>
      <c r="BPH10" s="105"/>
      <c r="BPO10" s="105"/>
      <c r="BTK10" s="105"/>
      <c r="BWE10" s="105"/>
      <c r="BYL10" s="105"/>
      <c r="CFU10" s="105"/>
      <c r="CKU10" s="105"/>
      <c r="COK10" s="105"/>
      <c r="COO10" s="105"/>
      <c r="CQB10" s="105"/>
      <c r="CQL10" s="105"/>
      <c r="CQW10" s="105"/>
      <c r="CXY10" s="105"/>
      <c r="CZS10" s="105"/>
      <c r="DDL10" s="105"/>
      <c r="DGP10" s="105"/>
      <c r="DHC10" s="105"/>
      <c r="DHD10" s="105"/>
      <c r="DIA10" s="105"/>
      <c r="DIR10" s="105"/>
      <c r="DSY10" s="105"/>
      <c r="DUI10" s="105"/>
    </row>
    <row r="11" spans="1:1023 1025:2040 2061:3066 3097:3494" ht="15" customHeight="1">
      <c r="A11">
        <v>6</v>
      </c>
      <c r="B11" s="87" t="s">
        <v>93</v>
      </c>
      <c r="C11" s="88" t="s">
        <v>192</v>
      </c>
      <c r="D11" s="106" t="s">
        <v>73</v>
      </c>
      <c r="E11" s="109">
        <v>3.8180000000000001</v>
      </c>
      <c r="F11" s="90">
        <v>0.02</v>
      </c>
      <c r="G11" s="90">
        <v>-0.02</v>
      </c>
      <c r="H11" s="91" t="s">
        <v>344</v>
      </c>
      <c r="I11" s="92" t="s">
        <v>186</v>
      </c>
      <c r="J11" s="51">
        <f t="shared" si="10"/>
        <v>3.8380000000000001</v>
      </c>
      <c r="K11" s="51">
        <f t="shared" si="11"/>
        <v>3.798</v>
      </c>
      <c r="L11" s="93"/>
      <c r="M11" s="94">
        <f t="shared" si="0"/>
        <v>0</v>
      </c>
      <c r="N11" s="94">
        <f t="shared" si="1"/>
        <v>0</v>
      </c>
      <c r="O11" s="94">
        <f t="shared" si="2"/>
        <v>0</v>
      </c>
      <c r="P11" s="95">
        <f t="shared" si="3"/>
        <v>0</v>
      </c>
      <c r="Q11" s="96" t="str">
        <f t="shared" si="4"/>
        <v/>
      </c>
      <c r="R11" s="97" t="str">
        <f>IF(OR($AI11="",ISNUMBER($AI11)=FALSE),"",IF(AND(#REF!="Tolerance",$E11&lt;&gt;""),($O11-$E11)/(($J11-$K11)/2),IF(AND(#REF!="GD&amp;T",$F11&lt;&gt;""),$O11/$F11,"")))</f>
        <v/>
      </c>
      <c r="S11" s="97" t="str">
        <f t="shared" si="12"/>
        <v/>
      </c>
      <c r="T11" s="96" t="str">
        <f t="shared" si="5"/>
        <v/>
      </c>
      <c r="U11" s="96" t="str">
        <f t="shared" si="6"/>
        <v/>
      </c>
      <c r="V11" s="96" t="str">
        <f t="shared" si="7"/>
        <v/>
      </c>
      <c r="W11" s="98" t="str">
        <f t="shared" si="8"/>
        <v/>
      </c>
      <c r="X11" s="99" t="e">
        <f>IF($O11="","",IF(#REF!="Tolerance",IF((#REF!*3*P11+O11)-E11&lt;F11,"",(#REF!*3*P11+O11)-E11),IF(OR(#REF!="GD&amp;T",#REF!="MAX"),IF((#REF!*3*P11+O11)&lt;F11,"",(#REF!*3*P11+O11)),"")))</f>
        <v>#REF!</v>
      </c>
      <c r="Y11" s="99" t="e">
        <f>IF(O11="","",IF(#REF!="Tolerance",IF(-((#REF!*3*P11)-O11)-E11&gt;G11,"",-((#REF!*3*P11)-O11)-E11),IF(#REF!="MIN",IF(-((#REF!*3*P11)-O11)&gt;G11,"",-((#REF!*3*P11)-O11)),"")))</f>
        <v>#REF!</v>
      </c>
      <c r="Z11" s="99">
        <f t="shared" si="13"/>
        <v>3.8180000000000001</v>
      </c>
      <c r="AA11" s="99" t="str">
        <f t="shared" si="9"/>
        <v/>
      </c>
      <c r="AB11" s="100"/>
      <c r="AC11" s="101" t="str">
        <f t="shared" si="14"/>
        <v/>
      </c>
      <c r="AD11" s="102"/>
      <c r="AE11" s="103"/>
      <c r="AF11" s="103"/>
      <c r="AG11" s="104"/>
      <c r="AH11">
        <v>6</v>
      </c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DQ11" s="105"/>
      <c r="FU11" s="105"/>
      <c r="HC11" s="105"/>
      <c r="JW11" s="105"/>
      <c r="NQ11" s="105"/>
      <c r="PT11" s="105"/>
      <c r="SV11" s="105"/>
      <c r="AKV11" s="105"/>
      <c r="AOS11" s="105"/>
      <c r="AXQ11" s="105"/>
      <c r="BME11" s="105"/>
      <c r="BOW11" s="105"/>
      <c r="BQG11" s="105"/>
      <c r="BSV11" s="105"/>
      <c r="BUV11" s="105"/>
      <c r="CDA11" s="105"/>
      <c r="CHN11" s="105"/>
      <c r="CKC11" s="105"/>
      <c r="COT11" s="105"/>
      <c r="CZW11" s="105"/>
      <c r="DTF11" s="105"/>
    </row>
    <row r="12" spans="1:1023 1025:2040 2061:3066 3097:3494" ht="15" customHeight="1">
      <c r="A12">
        <v>7</v>
      </c>
      <c r="B12" s="87" t="s">
        <v>94</v>
      </c>
      <c r="C12" s="88" t="s">
        <v>259</v>
      </c>
      <c r="D12" s="106" t="s">
        <v>83</v>
      </c>
      <c r="E12" s="109"/>
      <c r="F12" s="90">
        <v>8.0000000000000002E-3</v>
      </c>
      <c r="G12" s="90"/>
      <c r="H12" s="91" t="s">
        <v>84</v>
      </c>
      <c r="I12" s="92" t="s">
        <v>186</v>
      </c>
      <c r="J12" s="51">
        <f t="shared" si="10"/>
        <v>8.0000000000000002E-3</v>
      </c>
      <c r="K12" s="51" t="str">
        <f t="shared" si="11"/>
        <v/>
      </c>
      <c r="L12" s="93"/>
      <c r="M12" s="94">
        <f t="shared" si="0"/>
        <v>0</v>
      </c>
      <c r="N12" s="94">
        <f t="shared" si="1"/>
        <v>0</v>
      </c>
      <c r="O12" s="94">
        <f t="shared" si="2"/>
        <v>0</v>
      </c>
      <c r="P12" s="95">
        <f t="shared" si="3"/>
        <v>0</v>
      </c>
      <c r="Q12" s="96" t="str">
        <f t="shared" si="4"/>
        <v/>
      </c>
      <c r="R12" s="97" t="str">
        <f>IF(OR($AI12="",ISNUMBER($AI12)=FALSE),"",IF(AND(#REF!="Tolerance",$E12&lt;&gt;""),($O12-$E12)/(($J12-$K12)/2),IF(AND(#REF!="GD&amp;T",$F12&lt;&gt;""),$O12/$F12,"")))</f>
        <v/>
      </c>
      <c r="S12" s="97" t="str">
        <f t="shared" si="12"/>
        <v/>
      </c>
      <c r="T12" s="96" t="str">
        <f t="shared" si="5"/>
        <v/>
      </c>
      <c r="U12" s="96" t="str">
        <f t="shared" si="6"/>
        <v/>
      </c>
      <c r="V12" s="96" t="str">
        <f t="shared" si="7"/>
        <v/>
      </c>
      <c r="W12" s="98" t="str">
        <f t="shared" si="8"/>
        <v/>
      </c>
      <c r="X12" s="99" t="e">
        <f>IF($O12="","",IF(#REF!="Tolerance",IF((#REF!*3*P12+O12)-E12&lt;F12,"",(#REF!*3*P12+O12)-E12),IF(OR(#REF!="GD&amp;T",#REF!="MAX"),IF((#REF!*3*P12+O12)&lt;F12,"",(#REF!*3*P12+O12)),"")))</f>
        <v>#REF!</v>
      </c>
      <c r="Y12" s="99" t="e">
        <f>IF(O12="","",IF(#REF!="Tolerance",IF(-((#REF!*3*P12)-O12)-E12&gt;G12,"",-((#REF!*3*P12)-O12)-E12),IF(#REF!="MIN",IF(-((#REF!*3*P12)-O12)&gt;G12,"",-((#REF!*3*P12)-O12)),"")))</f>
        <v>#REF!</v>
      </c>
      <c r="Z12" s="99" t="str">
        <f t="shared" si="13"/>
        <v/>
      </c>
      <c r="AA12" s="99" t="str">
        <f t="shared" si="9"/>
        <v/>
      </c>
      <c r="AB12" s="100"/>
      <c r="AC12" s="101" t="str">
        <f t="shared" si="14"/>
        <v/>
      </c>
      <c r="AD12" s="102"/>
      <c r="AE12" s="103"/>
      <c r="AF12" s="103"/>
      <c r="AG12" s="104"/>
      <c r="AH12">
        <v>7</v>
      </c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T12" s="105"/>
      <c r="DB12" s="105"/>
      <c r="GD12" s="105"/>
      <c r="HR12" s="105"/>
      <c r="NL12" s="105"/>
      <c r="NY12" s="105"/>
      <c r="QO12" s="105"/>
      <c r="XF12" s="105"/>
      <c r="YF12" s="105"/>
      <c r="AAP12" s="105"/>
      <c r="ABZ12" s="105"/>
      <c r="ACN12" s="105"/>
      <c r="ADU12" s="105"/>
      <c r="AHX12" s="105"/>
      <c r="AJN12" s="105"/>
      <c r="ALK12" s="105"/>
      <c r="AMK12" s="105"/>
      <c r="ANZ12" s="105"/>
      <c r="AOX12" s="105"/>
      <c r="APB12" s="105"/>
      <c r="APR12" s="105"/>
      <c r="APY12" s="105"/>
      <c r="APZ12" s="105"/>
      <c r="ARB12" s="105"/>
      <c r="ATM12" s="105"/>
      <c r="AZL12" s="105"/>
      <c r="BBN12" s="105"/>
      <c r="BCN12" s="105"/>
      <c r="BEF12" s="105"/>
      <c r="BFA12" s="105"/>
      <c r="BRH12" s="105"/>
      <c r="BTG12" s="105"/>
      <c r="CEW12" s="105"/>
      <c r="CFT12" s="105"/>
      <c r="CLG12" s="105"/>
      <c r="CWR12" s="105"/>
      <c r="DMF12" s="105"/>
      <c r="DSN12" s="105"/>
      <c r="DSY12" s="105"/>
      <c r="DTX12" s="105"/>
      <c r="DVA12" s="105"/>
    </row>
    <row r="13" spans="1:1023 1025:2040 2061:3066 3097:3494" ht="15" customHeight="1">
      <c r="A13">
        <v>8</v>
      </c>
      <c r="B13" s="87" t="s">
        <v>95</v>
      </c>
      <c r="C13" s="88" t="s">
        <v>193</v>
      </c>
      <c r="D13" s="106" t="s">
        <v>83</v>
      </c>
      <c r="E13" s="109"/>
      <c r="F13" s="90">
        <v>8.0000000000000002E-3</v>
      </c>
      <c r="G13" s="90"/>
      <c r="H13" s="91" t="s">
        <v>84</v>
      </c>
      <c r="I13" s="92" t="s">
        <v>186</v>
      </c>
      <c r="J13" s="51">
        <f t="shared" si="10"/>
        <v>8.0000000000000002E-3</v>
      </c>
      <c r="K13" s="51" t="str">
        <f t="shared" si="11"/>
        <v/>
      </c>
      <c r="L13" s="93"/>
      <c r="M13" s="94">
        <f t="shared" si="0"/>
        <v>0</v>
      </c>
      <c r="N13" s="94">
        <f t="shared" si="1"/>
        <v>0</v>
      </c>
      <c r="O13" s="94">
        <f t="shared" si="2"/>
        <v>0</v>
      </c>
      <c r="P13" s="95">
        <f t="shared" si="3"/>
        <v>0</v>
      </c>
      <c r="Q13" s="96" t="str">
        <f t="shared" si="4"/>
        <v/>
      </c>
      <c r="R13" s="97" t="str">
        <f>IF(OR($AI13="",ISNUMBER($AI13)=FALSE),"",IF(AND(#REF!="Tolerance",$E13&lt;&gt;""),($O13-$E13)/(($J13-$K13)/2),IF(AND(#REF!="GD&amp;T",$F13&lt;&gt;""),$O13/$F13,"")))</f>
        <v/>
      </c>
      <c r="S13" s="97" t="str">
        <f t="shared" si="12"/>
        <v/>
      </c>
      <c r="T13" s="96" t="str">
        <f t="shared" si="5"/>
        <v/>
      </c>
      <c r="U13" s="96" t="str">
        <f t="shared" si="6"/>
        <v/>
      </c>
      <c r="V13" s="96" t="str">
        <f t="shared" si="7"/>
        <v/>
      </c>
      <c r="W13" s="98" t="str">
        <f t="shared" si="8"/>
        <v/>
      </c>
      <c r="X13" s="99" t="e">
        <f>IF($O13="","",IF(#REF!="Tolerance",IF((#REF!*3*P13+O13)-E13&lt;F13,"",(#REF!*3*P13+O13)-E13),IF(OR(#REF!="GD&amp;T",#REF!="MAX"),IF((#REF!*3*P13+O13)&lt;F13,"",(#REF!*3*P13+O13)),"")))</f>
        <v>#REF!</v>
      </c>
      <c r="Y13" s="99" t="e">
        <f>IF(O13="","",IF(#REF!="Tolerance",IF(-((#REF!*3*P13)-O13)-E13&gt;G13,"",-((#REF!*3*P13)-O13)-E13),IF(#REF!="MIN",IF(-((#REF!*3*P13)-O13)&gt;G13,"",-((#REF!*3*P13)-O13)),"")))</f>
        <v>#REF!</v>
      </c>
      <c r="Z13" s="99" t="str">
        <f t="shared" si="13"/>
        <v/>
      </c>
      <c r="AA13" s="99" t="str">
        <f t="shared" si="9"/>
        <v/>
      </c>
      <c r="AB13" s="100"/>
      <c r="AC13" s="101" t="str">
        <f t="shared" si="14"/>
        <v/>
      </c>
      <c r="AD13" s="102"/>
      <c r="AE13" s="103"/>
      <c r="AF13" s="103"/>
      <c r="AG13" s="104"/>
      <c r="AH13">
        <v>8</v>
      </c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X13" s="105"/>
      <c r="CH13" s="105"/>
      <c r="JA13" s="105"/>
      <c r="JS13" s="105"/>
      <c r="AHY13" s="105"/>
      <c r="APB13" s="105"/>
      <c r="APQ13" s="105"/>
      <c r="APX13" s="105"/>
      <c r="ARL13" s="105"/>
      <c r="ASZ13" s="105"/>
      <c r="AUG13" s="105"/>
      <c r="AWU13" s="105"/>
      <c r="AYL13" s="105"/>
      <c r="BCW13" s="105"/>
      <c r="CCF13" s="105"/>
      <c r="CCK13" s="105"/>
      <c r="CHM13" s="105"/>
      <c r="CKG13" s="105"/>
      <c r="CLK13" s="105"/>
      <c r="DBD13" s="105"/>
      <c r="DCD13" s="105"/>
      <c r="DFM13" s="105"/>
      <c r="DQM13" s="105"/>
      <c r="DRB13" s="105"/>
      <c r="DWC13" s="105"/>
      <c r="EDJ13" s="105"/>
    </row>
    <row r="14" spans="1:1023 1025:2040 2061:3066 3097:3494" ht="15" customHeight="1">
      <c r="A14">
        <v>9</v>
      </c>
      <c r="B14" s="87" t="s">
        <v>96</v>
      </c>
      <c r="C14" s="88" t="s">
        <v>194</v>
      </c>
      <c r="D14" s="106" t="s">
        <v>83</v>
      </c>
      <c r="E14" s="109"/>
      <c r="F14" s="90">
        <v>8.0000000000000002E-3</v>
      </c>
      <c r="G14" s="90"/>
      <c r="H14" s="91" t="s">
        <v>84</v>
      </c>
      <c r="I14" s="92" t="s">
        <v>186</v>
      </c>
      <c r="J14" s="51">
        <f t="shared" si="10"/>
        <v>8.0000000000000002E-3</v>
      </c>
      <c r="K14" s="51" t="str">
        <f t="shared" si="11"/>
        <v/>
      </c>
      <c r="L14" s="107"/>
      <c r="M14" s="94">
        <f t="shared" si="0"/>
        <v>0</v>
      </c>
      <c r="N14" s="94">
        <f t="shared" si="1"/>
        <v>0</v>
      </c>
      <c r="O14" s="94">
        <f t="shared" si="2"/>
        <v>0</v>
      </c>
      <c r="P14" s="95">
        <f t="shared" si="3"/>
        <v>0</v>
      </c>
      <c r="Q14" s="96" t="str">
        <f t="shared" si="4"/>
        <v/>
      </c>
      <c r="R14" s="97" t="str">
        <f>IF(OR($AI14="",ISNUMBER($AI14)=FALSE),"",IF(AND(#REF!="Tolerance",$E14&lt;&gt;""),($O14-$E14)/(($J14-$K14)/2),IF(AND(#REF!="GD&amp;T",$F14&lt;&gt;""),$O14/$F14,"")))</f>
        <v/>
      </c>
      <c r="S14" s="97" t="str">
        <f t="shared" si="12"/>
        <v/>
      </c>
      <c r="T14" s="96" t="str">
        <f t="shared" si="5"/>
        <v/>
      </c>
      <c r="U14" s="96" t="str">
        <f t="shared" si="6"/>
        <v/>
      </c>
      <c r="V14" s="96" t="str">
        <f t="shared" si="7"/>
        <v/>
      </c>
      <c r="W14" s="98" t="str">
        <f t="shared" si="8"/>
        <v/>
      </c>
      <c r="X14" s="99" t="e">
        <f>IF($O14="","",IF(#REF!="Tolerance",IF((#REF!*3*P14+O14)-E14&lt;F14,"",(#REF!*3*P14+O14)-E14),IF(OR(#REF!="GD&amp;T",#REF!="MAX"),IF((#REF!*3*P14+O14)&lt;F14,"",(#REF!*3*P14+O14)),"")))</f>
        <v>#REF!</v>
      </c>
      <c r="Y14" s="99" t="e">
        <f>IF(O14="","",IF(#REF!="Tolerance",IF(-((#REF!*3*P14)-O14)-E14&gt;G14,"",-((#REF!*3*P14)-O14)-E14),IF(#REF!="MIN",IF(-((#REF!*3*P14)-O14)&gt;G14,"",-((#REF!*3*P14)-O14)),"")))</f>
        <v>#REF!</v>
      </c>
      <c r="Z14" s="99" t="str">
        <f t="shared" si="13"/>
        <v/>
      </c>
      <c r="AA14" s="99" t="str">
        <f t="shared" si="9"/>
        <v/>
      </c>
      <c r="AB14" s="100"/>
      <c r="AC14" s="101" t="str">
        <f t="shared" si="14"/>
        <v/>
      </c>
      <c r="AD14" s="102"/>
      <c r="AE14" s="103"/>
      <c r="AF14" s="103"/>
      <c r="AG14" s="104"/>
      <c r="AH14">
        <v>9</v>
      </c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EN14" s="105"/>
      <c r="HC14" s="105"/>
      <c r="KF14" s="105"/>
      <c r="LE14" s="105"/>
      <c r="PS14" s="105"/>
      <c r="WC14" s="105"/>
      <c r="XQ14" s="105"/>
      <c r="YV14" s="105"/>
      <c r="AIZ14" s="105"/>
      <c r="AKV14" s="105"/>
      <c r="ALG14" s="105"/>
      <c r="AMM14" s="105"/>
      <c r="ANE14" s="105"/>
      <c r="AQR14" s="105"/>
      <c r="ASC14" s="105"/>
      <c r="AWH14" s="105"/>
      <c r="AYY14" s="105"/>
      <c r="BCJ14" s="105"/>
      <c r="BEA14" s="105"/>
      <c r="BFP14" s="105"/>
      <c r="BOQ14" s="105"/>
      <c r="BRU14" s="105"/>
      <c r="BSP14" s="105"/>
      <c r="BTE14" s="105"/>
      <c r="BXY14" s="105"/>
      <c r="BYL14" s="105"/>
      <c r="CGR14" s="105"/>
      <c r="CGU14" s="105"/>
      <c r="CLX14" s="105"/>
      <c r="CNI14" s="105"/>
      <c r="CYL14" s="105"/>
      <c r="CYT14" s="105"/>
      <c r="DEK14" s="105"/>
      <c r="DHZ14" s="105"/>
      <c r="DIC14" s="105"/>
      <c r="DIS14" s="105"/>
      <c r="DJS14" s="105"/>
      <c r="DOC14" s="105"/>
      <c r="DPQ14" s="105"/>
      <c r="DPU14" s="105"/>
      <c r="DQX14" s="105"/>
      <c r="EAF14" s="105"/>
      <c r="ECT14" s="105"/>
    </row>
    <row r="15" spans="1:1023 1025:2040 2061:3066 3097:3494" ht="15" customHeight="1">
      <c r="A15">
        <v>10</v>
      </c>
      <c r="B15" s="87" t="s">
        <v>97</v>
      </c>
      <c r="C15" s="88" t="s">
        <v>260</v>
      </c>
      <c r="D15" s="106" t="s">
        <v>85</v>
      </c>
      <c r="E15" s="109"/>
      <c r="F15" s="90">
        <v>8.0000000000000002E-3</v>
      </c>
      <c r="G15" s="90"/>
      <c r="H15" s="91" t="s">
        <v>84</v>
      </c>
      <c r="I15" s="92" t="s">
        <v>186</v>
      </c>
      <c r="J15" s="51">
        <f t="shared" si="10"/>
        <v>8.0000000000000002E-3</v>
      </c>
      <c r="K15" s="51" t="str">
        <f t="shared" si="11"/>
        <v/>
      </c>
      <c r="L15" s="93"/>
      <c r="M15" s="94">
        <f t="shared" si="0"/>
        <v>0</v>
      </c>
      <c r="N15" s="94">
        <f t="shared" si="1"/>
        <v>0</v>
      </c>
      <c r="O15" s="94">
        <f t="shared" si="2"/>
        <v>0</v>
      </c>
      <c r="P15" s="95">
        <f t="shared" si="3"/>
        <v>0</v>
      </c>
      <c r="Q15" s="96" t="str">
        <f t="shared" si="4"/>
        <v/>
      </c>
      <c r="R15" s="97" t="str">
        <f>IF(OR($AI15="",ISNUMBER($AI15)=FALSE),"",IF(AND(#REF!="Tolerance",$E15&lt;&gt;""),($O15-$E15)/(($J15-$K15)/2),IF(AND(#REF!="GD&amp;T",$F15&lt;&gt;""),$O15/$F15,"")))</f>
        <v/>
      </c>
      <c r="S15" s="97" t="str">
        <f t="shared" si="12"/>
        <v/>
      </c>
      <c r="T15" s="96" t="str">
        <f t="shared" si="5"/>
        <v/>
      </c>
      <c r="U15" s="96" t="str">
        <f t="shared" si="6"/>
        <v/>
      </c>
      <c r="V15" s="96" t="str">
        <f t="shared" si="7"/>
        <v/>
      </c>
      <c r="W15" s="98" t="str">
        <f t="shared" si="8"/>
        <v/>
      </c>
      <c r="X15" s="99" t="e">
        <f>IF($O15="","",IF(#REF!="Tolerance",IF((#REF!*3*P15+O15)-E15&lt;F15,"",(#REF!*3*P15+O15)-E15),IF(OR(#REF!="GD&amp;T",#REF!="MAX"),IF((#REF!*3*P15+O15)&lt;F15,"",(#REF!*3*P15+O15)),"")))</f>
        <v>#REF!</v>
      </c>
      <c r="Y15" s="99" t="e">
        <f>IF(O15="","",IF(#REF!="Tolerance",IF(-((#REF!*3*P15)-O15)-E15&gt;G15,"",-((#REF!*3*P15)-O15)-E15),IF(#REF!="MIN",IF(-((#REF!*3*P15)-O15)&gt;G15,"",-((#REF!*3*P15)-O15)),"")))</f>
        <v>#REF!</v>
      </c>
      <c r="Z15" s="99" t="str">
        <f t="shared" si="13"/>
        <v/>
      </c>
      <c r="AA15" s="99" t="str">
        <f t="shared" si="9"/>
        <v/>
      </c>
      <c r="AB15" s="100"/>
      <c r="AC15" s="101" t="str">
        <f t="shared" si="14"/>
        <v/>
      </c>
      <c r="AD15" s="102"/>
      <c r="AE15" s="103"/>
      <c r="AF15" s="103"/>
      <c r="AG15" s="104"/>
      <c r="AH15">
        <v>10</v>
      </c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EN15" s="105"/>
      <c r="HC15" s="105"/>
      <c r="KF15" s="105"/>
      <c r="LE15" s="105"/>
      <c r="PS15" s="105"/>
      <c r="WC15" s="105"/>
      <c r="XQ15" s="105"/>
      <c r="YV15" s="105"/>
      <c r="AIZ15" s="105"/>
      <c r="ALG15" s="105"/>
      <c r="AMM15" s="105"/>
      <c r="ANE15" s="105"/>
      <c r="AQE15" s="105"/>
      <c r="AQR15" s="105"/>
      <c r="ARG15" s="105"/>
      <c r="ASC15" s="105"/>
      <c r="AWH15" s="105"/>
      <c r="BCJ15" s="105"/>
      <c r="BEA15" s="105"/>
      <c r="BFP15" s="105"/>
      <c r="BJW15" s="105"/>
      <c r="BOQ15" s="105"/>
      <c r="BRU15" s="105"/>
      <c r="BSP15" s="105"/>
      <c r="BTE15" s="105"/>
      <c r="BXY15" s="105"/>
      <c r="BYL15" s="105"/>
      <c r="CGR15" s="105"/>
      <c r="CGU15" s="105"/>
      <c r="CLX15" s="105"/>
      <c r="CNI15" s="105"/>
      <c r="CWD15" s="105"/>
      <c r="CYT15" s="105"/>
      <c r="DHZ15" s="105"/>
      <c r="DIC15" s="105"/>
      <c r="DIS15" s="105"/>
      <c r="DJS15" s="105"/>
      <c r="DOQ15" s="105"/>
      <c r="DPQ15" s="105"/>
      <c r="DPU15" s="105"/>
      <c r="DQX15" s="105"/>
      <c r="DZL15" s="105"/>
      <c r="EAF15" s="105"/>
      <c r="EBX15" s="105"/>
      <c r="ECT15" s="105"/>
    </row>
    <row r="16" spans="1:1023 1025:2040 2061:3066 3097:3494" ht="15" customHeight="1">
      <c r="A16">
        <v>11</v>
      </c>
      <c r="B16" s="87" t="s">
        <v>98</v>
      </c>
      <c r="C16" s="88" t="s">
        <v>195</v>
      </c>
      <c r="D16" s="106" t="s">
        <v>85</v>
      </c>
      <c r="E16" s="109"/>
      <c r="F16" s="90">
        <v>8.0000000000000002E-3</v>
      </c>
      <c r="G16" s="90"/>
      <c r="H16" s="91" t="s">
        <v>84</v>
      </c>
      <c r="I16" s="92" t="s">
        <v>186</v>
      </c>
      <c r="J16" s="51">
        <f t="shared" si="10"/>
        <v>8.0000000000000002E-3</v>
      </c>
      <c r="K16" s="51" t="str">
        <f t="shared" si="11"/>
        <v/>
      </c>
      <c r="L16" s="93"/>
      <c r="M16" s="94">
        <f t="shared" si="0"/>
        <v>0</v>
      </c>
      <c r="N16" s="94">
        <f t="shared" si="1"/>
        <v>0</v>
      </c>
      <c r="O16" s="94">
        <f t="shared" si="2"/>
        <v>0</v>
      </c>
      <c r="P16" s="95">
        <f t="shared" si="3"/>
        <v>0</v>
      </c>
      <c r="Q16" s="96" t="str">
        <f t="shared" si="4"/>
        <v/>
      </c>
      <c r="R16" s="97" t="str">
        <f>IF(OR($AI16="",ISNUMBER($AI16)=FALSE),"",IF(AND(#REF!="Tolerance",$E16&lt;&gt;""),($O16-$E16)/(($J16-$K16)/2),IF(AND(#REF!="GD&amp;T",$F16&lt;&gt;""),$O16/$F16,"")))</f>
        <v/>
      </c>
      <c r="S16" s="97" t="str">
        <f t="shared" si="12"/>
        <v/>
      </c>
      <c r="T16" s="96" t="str">
        <f t="shared" si="5"/>
        <v/>
      </c>
      <c r="U16" s="96" t="str">
        <f t="shared" si="6"/>
        <v/>
      </c>
      <c r="V16" s="96" t="str">
        <f t="shared" si="7"/>
        <v/>
      </c>
      <c r="W16" s="98" t="str">
        <f t="shared" si="8"/>
        <v/>
      </c>
      <c r="X16" s="99" t="e">
        <f>IF($O16="","",IF(#REF!="Tolerance",IF((#REF!*3*P16+O16)-E16&lt;F16,"",(#REF!*3*P16+O16)-E16),IF(OR(#REF!="GD&amp;T",#REF!="MAX"),IF((#REF!*3*P16+O16)&lt;F16,"",(#REF!*3*P16+O16)),"")))</f>
        <v>#REF!</v>
      </c>
      <c r="Y16" s="99" t="e">
        <f>IF(O16="","",IF(#REF!="Tolerance",IF(-((#REF!*3*P16)-O16)-E16&gt;G16,"",-((#REF!*3*P16)-O16)-E16),IF(#REF!="MIN",IF(-((#REF!*3*P16)-O16)&gt;G16,"",-((#REF!*3*P16)-O16)),"")))</f>
        <v>#REF!</v>
      </c>
      <c r="Z16" s="99" t="str">
        <f t="shared" si="13"/>
        <v/>
      </c>
      <c r="AA16" s="99" t="str">
        <f t="shared" si="9"/>
        <v/>
      </c>
      <c r="AB16" s="100"/>
      <c r="AC16" s="101" t="str">
        <f t="shared" si="14"/>
        <v/>
      </c>
      <c r="AD16" s="102"/>
      <c r="AE16" s="103"/>
      <c r="AF16" s="103"/>
      <c r="AG16" s="104"/>
      <c r="AH16">
        <v>11</v>
      </c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EN16" s="105"/>
      <c r="HC16" s="105"/>
      <c r="LE16" s="105"/>
      <c r="PS16" s="105"/>
      <c r="WC16" s="105"/>
      <c r="XQ16" s="105"/>
      <c r="YV16" s="105"/>
      <c r="AIZ16" s="105"/>
      <c r="ALG16" s="105"/>
      <c r="AMM16" s="105"/>
      <c r="ANE16" s="105"/>
      <c r="AQE16" s="105"/>
      <c r="ASC16" s="105"/>
      <c r="AWH16" s="105"/>
      <c r="BCJ16" s="105"/>
      <c r="BEA16" s="105"/>
      <c r="BFP16" s="105"/>
      <c r="BKT16" s="105"/>
      <c r="BOQ16" s="105"/>
      <c r="BRU16" s="105"/>
      <c r="BSP16" s="105"/>
      <c r="BTE16" s="105"/>
      <c r="BXY16" s="105"/>
      <c r="BYL16" s="105"/>
      <c r="CGR16" s="105"/>
      <c r="CGU16" s="105"/>
      <c r="CTV16" s="105"/>
      <c r="DHZ16" s="105"/>
      <c r="DIC16" s="105"/>
      <c r="DIS16" s="105"/>
      <c r="DJS16" s="105"/>
      <c r="DPQ16" s="105"/>
      <c r="DPU16" s="105"/>
      <c r="DQX16" s="105"/>
      <c r="DZL16" s="105"/>
      <c r="EAF16" s="105"/>
      <c r="ECT16" s="105"/>
    </row>
    <row r="17" spans="1:1023 1027:2047 2057:3070 3082:3495" ht="15" customHeight="1">
      <c r="A17">
        <v>12</v>
      </c>
      <c r="B17" s="87" t="s">
        <v>99</v>
      </c>
      <c r="C17" s="88" t="s">
        <v>196</v>
      </c>
      <c r="D17" s="106" t="s">
        <v>85</v>
      </c>
      <c r="E17" s="109"/>
      <c r="F17" s="90">
        <v>8.0000000000000002E-3</v>
      </c>
      <c r="G17" s="90"/>
      <c r="H17" s="91" t="s">
        <v>84</v>
      </c>
      <c r="I17" s="92" t="s">
        <v>186</v>
      </c>
      <c r="J17" s="51">
        <f t="shared" si="10"/>
        <v>8.0000000000000002E-3</v>
      </c>
      <c r="K17" s="51" t="str">
        <f t="shared" si="11"/>
        <v/>
      </c>
      <c r="L17" s="107"/>
      <c r="M17" s="94">
        <f t="shared" si="0"/>
        <v>0</v>
      </c>
      <c r="N17" s="94">
        <f t="shared" si="1"/>
        <v>0</v>
      </c>
      <c r="O17" s="94">
        <f t="shared" si="2"/>
        <v>0</v>
      </c>
      <c r="P17" s="95">
        <f t="shared" si="3"/>
        <v>0</v>
      </c>
      <c r="Q17" s="96" t="str">
        <f t="shared" si="4"/>
        <v/>
      </c>
      <c r="R17" s="97" t="str">
        <f>IF(OR($AI17="",ISNUMBER($AI17)=FALSE),"",IF(AND(#REF!="Tolerance",$E17&lt;&gt;""),($O17-$E17)/(($J17-$K17)/2),IF(AND(#REF!="GD&amp;T",$F17&lt;&gt;""),$O17/$F17,"")))</f>
        <v/>
      </c>
      <c r="S17" s="97" t="str">
        <f t="shared" si="12"/>
        <v/>
      </c>
      <c r="T17" s="96" t="str">
        <f t="shared" si="5"/>
        <v/>
      </c>
      <c r="U17" s="96" t="str">
        <f t="shared" si="6"/>
        <v/>
      </c>
      <c r="V17" s="96" t="str">
        <f t="shared" si="7"/>
        <v/>
      </c>
      <c r="W17" s="98" t="str">
        <f t="shared" si="8"/>
        <v/>
      </c>
      <c r="X17" s="99" t="e">
        <f>IF($O17="","",IF(#REF!="Tolerance",IF((#REF!*3*P17+O17)-E17&lt;F17,"",(#REF!*3*P17+O17)-E17),IF(OR(#REF!="GD&amp;T",#REF!="MAX"),IF((#REF!*3*P17+O17)&lt;F17,"",(#REF!*3*P17+O17)),"")))</f>
        <v>#REF!</v>
      </c>
      <c r="Y17" s="99" t="e">
        <f>IF(O17="","",IF(#REF!="Tolerance",IF(-((#REF!*3*P17)-O17)-E17&gt;G17,"",-((#REF!*3*P17)-O17)-E17),IF(#REF!="MIN",IF(-((#REF!*3*P17)-O17)&gt;G17,"",-((#REF!*3*P17)-O17)),"")))</f>
        <v>#REF!</v>
      </c>
      <c r="Z17" s="99" t="str">
        <f t="shared" si="13"/>
        <v/>
      </c>
      <c r="AA17" s="99" t="str">
        <f t="shared" si="9"/>
        <v/>
      </c>
      <c r="AB17" s="100"/>
      <c r="AC17" s="101" t="str">
        <f t="shared" si="14"/>
        <v/>
      </c>
      <c r="AD17" s="102"/>
      <c r="AE17" s="103"/>
      <c r="AF17" s="103"/>
      <c r="AG17" s="104"/>
      <c r="AH17">
        <v>12</v>
      </c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HC17" s="105"/>
      <c r="LE17" s="105"/>
      <c r="XQ17" s="105"/>
      <c r="YV17" s="105"/>
      <c r="AIZ17" s="105"/>
      <c r="AKV17" s="105"/>
      <c r="ALG17" s="105"/>
      <c r="AMM17" s="105"/>
      <c r="ANE17" s="105"/>
      <c r="AQE17" s="105"/>
      <c r="AQR17" s="105"/>
      <c r="ASC17" s="105"/>
      <c r="AWH17" s="105"/>
      <c r="AYY17" s="105"/>
      <c r="BCJ17" s="105"/>
      <c r="BEA17" s="105"/>
      <c r="BFP17" s="105"/>
      <c r="BJW17" s="105"/>
      <c r="BOQ17" s="105"/>
      <c r="BRU17" s="105"/>
      <c r="BSP17" s="105"/>
      <c r="BXY17" s="105"/>
      <c r="BYL17" s="105"/>
      <c r="CGR17" s="105"/>
      <c r="DHZ17" s="105"/>
      <c r="DIC17" s="105"/>
      <c r="DIS17" s="105"/>
      <c r="DJS17" s="105"/>
      <c r="DPQ17" s="105"/>
      <c r="DPU17" s="105"/>
      <c r="DQX17" s="105"/>
      <c r="DSN17" s="105"/>
      <c r="DZL17" s="105"/>
      <c r="EAF17" s="105"/>
    </row>
    <row r="18" spans="1:1023 1027:2047 2057:3070 3082:3495" ht="15" customHeight="1">
      <c r="A18">
        <v>13</v>
      </c>
      <c r="B18" s="87" t="s">
        <v>100</v>
      </c>
      <c r="C18" s="88" t="s">
        <v>261</v>
      </c>
      <c r="D18" s="89" t="s">
        <v>82</v>
      </c>
      <c r="E18" s="109"/>
      <c r="F18" s="90">
        <v>0.06</v>
      </c>
      <c r="G18" s="90"/>
      <c r="H18" s="91" t="s">
        <v>344</v>
      </c>
      <c r="I18" s="92" t="s">
        <v>186</v>
      </c>
      <c r="J18" s="51">
        <f t="shared" si="10"/>
        <v>0.06</v>
      </c>
      <c r="K18" s="51" t="str">
        <f t="shared" si="11"/>
        <v/>
      </c>
      <c r="L18" s="107"/>
      <c r="M18" s="94">
        <f t="shared" si="0"/>
        <v>0</v>
      </c>
      <c r="N18" s="94">
        <f t="shared" si="1"/>
        <v>0</v>
      </c>
      <c r="O18" s="94">
        <f t="shared" si="2"/>
        <v>0</v>
      </c>
      <c r="P18" s="95">
        <f t="shared" si="3"/>
        <v>0</v>
      </c>
      <c r="Q18" s="96" t="str">
        <f t="shared" si="4"/>
        <v/>
      </c>
      <c r="R18" s="97" t="str">
        <f>IF(OR($AI18="",ISNUMBER($AI18)=FALSE),"",IF(AND(#REF!="Tolerance",$E18&lt;&gt;""),($O18-$E18)/(($J18-$K18)/2),IF(AND(#REF!="GD&amp;T",$F18&lt;&gt;""),$O18/$F18,"")))</f>
        <v/>
      </c>
      <c r="S18" s="97" t="str">
        <f t="shared" si="12"/>
        <v/>
      </c>
      <c r="T18" s="96" t="str">
        <f t="shared" si="5"/>
        <v/>
      </c>
      <c r="U18" s="96" t="str">
        <f t="shared" si="6"/>
        <v/>
      </c>
      <c r="V18" s="96" t="str">
        <f t="shared" si="7"/>
        <v/>
      </c>
      <c r="W18" s="98" t="str">
        <f t="shared" si="8"/>
        <v/>
      </c>
      <c r="X18" s="99" t="e">
        <f>IF($O18="","",IF(#REF!="Tolerance",IF((#REF!*3*P18+O18)-E18&lt;F18,"",(#REF!*3*P18+O18)-E18),IF(OR(#REF!="GD&amp;T",#REF!="MAX"),IF((#REF!*3*P18+O18)&lt;F18,"",(#REF!*3*P18+O18)),"")))</f>
        <v>#REF!</v>
      </c>
      <c r="Y18" s="99" t="e">
        <f>IF(O18="","",IF(#REF!="Tolerance",IF(-((#REF!*3*P18)-O18)-E18&gt;G18,"",-((#REF!*3*P18)-O18)-E18),IF(#REF!="MIN",IF(-((#REF!*3*P18)-O18)&gt;G18,"",-((#REF!*3*P18)-O18)),"")))</f>
        <v>#REF!</v>
      </c>
      <c r="Z18" s="99" t="str">
        <f t="shared" si="13"/>
        <v/>
      </c>
      <c r="AA18" s="99" t="str">
        <f t="shared" si="9"/>
        <v/>
      </c>
      <c r="AB18" s="100"/>
      <c r="AC18" s="101" t="str">
        <f t="shared" si="14"/>
        <v/>
      </c>
      <c r="AD18" s="102"/>
      <c r="AE18" s="103"/>
      <c r="AF18" s="103"/>
      <c r="AG18" s="104"/>
      <c r="AH18">
        <v>13</v>
      </c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HC18" s="105"/>
      <c r="LE18" s="105"/>
      <c r="PS18" s="105"/>
      <c r="QC18" s="105"/>
      <c r="XQ18" s="105"/>
      <c r="YV18" s="105"/>
      <c r="AIZ18" s="105"/>
      <c r="ALG18" s="105"/>
      <c r="AMM18" s="105"/>
      <c r="ANE18" s="105"/>
      <c r="AQE18" s="105"/>
      <c r="AQR18" s="105"/>
      <c r="ASC18" s="105"/>
      <c r="AWH18" s="105"/>
      <c r="AYY18" s="105"/>
      <c r="BCJ18" s="105"/>
      <c r="BEA18" s="105"/>
      <c r="BFP18" s="105"/>
      <c r="BOQ18" s="105"/>
      <c r="BRU18" s="105"/>
      <c r="BSP18" s="105"/>
      <c r="BTE18" s="105"/>
      <c r="BXY18" s="105"/>
      <c r="BYL18" s="105"/>
      <c r="CGR18" s="105"/>
      <c r="DHZ18" s="105"/>
      <c r="DIC18" s="105"/>
      <c r="DIS18" s="105"/>
      <c r="DJS18" s="105"/>
      <c r="DPQ18" s="105"/>
      <c r="DPU18" s="105"/>
      <c r="DZL18" s="105"/>
      <c r="EAF18" s="105"/>
    </row>
    <row r="19" spans="1:1023 1027:2047 2057:3070 3082:3495" ht="15" customHeight="1">
      <c r="A19">
        <v>14</v>
      </c>
      <c r="B19" s="87" t="s">
        <v>101</v>
      </c>
      <c r="C19" s="88" t="s">
        <v>331</v>
      </c>
      <c r="D19" s="89" t="s">
        <v>82</v>
      </c>
      <c r="E19" s="109"/>
      <c r="F19" s="90">
        <v>0.06</v>
      </c>
      <c r="G19" s="90"/>
      <c r="H19" s="91" t="s">
        <v>344</v>
      </c>
      <c r="I19" s="92" t="s">
        <v>186</v>
      </c>
      <c r="J19" s="51">
        <f t="shared" si="10"/>
        <v>0.06</v>
      </c>
      <c r="K19" s="51" t="str">
        <f t="shared" si="11"/>
        <v/>
      </c>
      <c r="L19" s="93"/>
      <c r="M19" s="94">
        <f t="shared" si="0"/>
        <v>0</v>
      </c>
      <c r="N19" s="94">
        <f t="shared" si="1"/>
        <v>0</v>
      </c>
      <c r="O19" s="94">
        <f t="shared" si="2"/>
        <v>0</v>
      </c>
      <c r="P19" s="95">
        <f t="shared" si="3"/>
        <v>0</v>
      </c>
      <c r="Q19" s="96" t="str">
        <f t="shared" si="4"/>
        <v/>
      </c>
      <c r="R19" s="97" t="str">
        <f>IF(OR($AI19="",ISNUMBER($AI19)=FALSE),"",IF(AND(#REF!="Tolerance",$E19&lt;&gt;""),($O19-$E19)/(($J19-$K19)/2),IF(AND(#REF!="GD&amp;T",$F19&lt;&gt;""),$O19/$F19,"")))</f>
        <v/>
      </c>
      <c r="S19" s="97" t="str">
        <f t="shared" si="12"/>
        <v/>
      </c>
      <c r="T19" s="96" t="str">
        <f t="shared" si="5"/>
        <v/>
      </c>
      <c r="U19" s="96" t="str">
        <f t="shared" si="6"/>
        <v/>
      </c>
      <c r="V19" s="96" t="str">
        <f t="shared" si="7"/>
        <v/>
      </c>
      <c r="W19" s="98" t="str">
        <f t="shared" si="8"/>
        <v/>
      </c>
      <c r="X19" s="99" t="e">
        <f>IF($O19="","",IF(#REF!="Tolerance",IF((#REF!*3*P19+O19)-E19&lt;F19,"",(#REF!*3*P19+O19)-E19),IF(OR(#REF!="GD&amp;T",#REF!="MAX"),IF((#REF!*3*P19+O19)&lt;F19,"",(#REF!*3*P19+O19)),"")))</f>
        <v>#REF!</v>
      </c>
      <c r="Y19" s="99" t="e">
        <f>IF(O19="","",IF(#REF!="Tolerance",IF(-((#REF!*3*P19)-O19)-E19&gt;G19,"",-((#REF!*3*P19)-O19)-E19),IF(#REF!="MIN",IF(-((#REF!*3*P19)-O19)&gt;G19,"",-((#REF!*3*P19)-O19)),"")))</f>
        <v>#REF!</v>
      </c>
      <c r="Z19" s="99" t="str">
        <f t="shared" si="13"/>
        <v/>
      </c>
      <c r="AA19" s="99" t="str">
        <f t="shared" si="9"/>
        <v/>
      </c>
      <c r="AB19" s="100"/>
      <c r="AC19" s="101" t="str">
        <f t="shared" si="14"/>
        <v/>
      </c>
      <c r="AD19" s="102"/>
      <c r="AE19" s="103"/>
      <c r="AF19" s="103"/>
      <c r="AG19" s="104"/>
      <c r="AH19">
        <v>14</v>
      </c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CJ19" s="105"/>
      <c r="HC19" s="105"/>
      <c r="IO19" s="105"/>
      <c r="KF19" s="105"/>
      <c r="QK19" s="105"/>
      <c r="WC19" s="105"/>
      <c r="XG19" s="105"/>
      <c r="XJ19" s="105"/>
      <c r="AAC19" s="105"/>
      <c r="AIZ19" s="105"/>
      <c r="AKV19" s="105"/>
      <c r="AUE19" s="105"/>
      <c r="BCJ19" s="105"/>
      <c r="BFP19" s="105"/>
      <c r="BUU19" s="105"/>
      <c r="BXX19" s="105"/>
      <c r="CAD19" s="105"/>
      <c r="CGU19" s="105"/>
      <c r="CHH19" s="105"/>
      <c r="CIA19" s="105"/>
      <c r="CKW19" s="105"/>
      <c r="CLX19" s="105"/>
      <c r="CMH19" s="105"/>
      <c r="CNR19" s="105"/>
      <c r="CRI19" s="105"/>
      <c r="DEK19" s="105"/>
      <c r="DHZ19" s="105"/>
      <c r="DIC19" s="105"/>
      <c r="DIS19" s="105"/>
      <c r="DPJ19" s="105"/>
      <c r="EAF19" s="105"/>
    </row>
    <row r="20" spans="1:1023 1027:2047 2057:3070 3082:3495" ht="15" customHeight="1">
      <c r="A20">
        <v>15</v>
      </c>
      <c r="B20" s="87" t="s">
        <v>102</v>
      </c>
      <c r="C20" s="88" t="s">
        <v>264</v>
      </c>
      <c r="D20" s="89" t="s">
        <v>73</v>
      </c>
      <c r="E20" s="109">
        <v>18.215</v>
      </c>
      <c r="F20" s="90">
        <v>3.5000000000000003E-2</v>
      </c>
      <c r="G20" s="90">
        <v>-3.5000000000000003E-2</v>
      </c>
      <c r="H20" s="91" t="s">
        <v>344</v>
      </c>
      <c r="I20" s="92" t="s">
        <v>186</v>
      </c>
      <c r="J20" s="51">
        <f t="shared" si="10"/>
        <v>18.25</v>
      </c>
      <c r="K20" s="51">
        <f t="shared" si="11"/>
        <v>18.18</v>
      </c>
      <c r="L20" s="93"/>
      <c r="M20" s="94">
        <f t="shared" si="0"/>
        <v>0</v>
      </c>
      <c r="N20" s="94">
        <f t="shared" si="1"/>
        <v>0</v>
      </c>
      <c r="O20" s="94">
        <f t="shared" si="2"/>
        <v>0</v>
      </c>
      <c r="P20" s="95">
        <f t="shared" si="3"/>
        <v>0</v>
      </c>
      <c r="Q20" s="96" t="str">
        <f t="shared" si="4"/>
        <v/>
      </c>
      <c r="R20" s="97" t="str">
        <f>IF(OR($AI20="",ISNUMBER($AI20)=FALSE),"",IF(AND(#REF!="Tolerance",$E20&lt;&gt;""),($O20-$E20)/(($J20-$K20)/2),IF(AND(#REF!="GD&amp;T",$F20&lt;&gt;""),$O20/$F20,"")))</f>
        <v/>
      </c>
      <c r="S20" s="97" t="str">
        <f t="shared" si="12"/>
        <v/>
      </c>
      <c r="T20" s="96" t="str">
        <f t="shared" si="5"/>
        <v/>
      </c>
      <c r="U20" s="96" t="str">
        <f t="shared" si="6"/>
        <v/>
      </c>
      <c r="V20" s="96" t="str">
        <f t="shared" si="7"/>
        <v/>
      </c>
      <c r="W20" s="98" t="str">
        <f t="shared" si="8"/>
        <v/>
      </c>
      <c r="X20" s="99" t="e">
        <f>IF($O20="","",IF(#REF!="Tolerance",IF((#REF!*3*P20+O20)-E20&lt;F20,"",(#REF!*3*P20+O20)-E20),IF(OR(#REF!="GD&amp;T",#REF!="MAX"),IF((#REF!*3*P20+O20)&lt;F20,"",(#REF!*3*P20+O20)),"")))</f>
        <v>#REF!</v>
      </c>
      <c r="Y20" s="99" t="e">
        <f>IF(O20="","",IF(#REF!="Tolerance",IF(-((#REF!*3*P20)-O20)-E20&gt;G20,"",-((#REF!*3*P20)-O20)-E20),IF(#REF!="MIN",IF(-((#REF!*3*P20)-O20)&gt;G20,"",-((#REF!*3*P20)-O20)),"")))</f>
        <v>#REF!</v>
      </c>
      <c r="Z20" s="99">
        <f t="shared" si="13"/>
        <v>18.215</v>
      </c>
      <c r="AA20" s="99" t="str">
        <f t="shared" si="9"/>
        <v/>
      </c>
      <c r="AB20" s="100"/>
      <c r="AC20" s="101" t="str">
        <f t="shared" si="14"/>
        <v/>
      </c>
      <c r="AD20" s="102"/>
      <c r="AE20" s="103"/>
      <c r="AF20" s="103"/>
      <c r="AG20" s="104"/>
      <c r="AH20">
        <v>15</v>
      </c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CJ20" s="105"/>
      <c r="GL20" s="105"/>
      <c r="HC20" s="105"/>
      <c r="IO20" s="105"/>
      <c r="KF20" s="105"/>
      <c r="QK20" s="105"/>
      <c r="VV20" s="105"/>
      <c r="WC20" s="105"/>
      <c r="XG20" s="105"/>
      <c r="XJ20" s="105"/>
      <c r="AAC20" s="105"/>
      <c r="AIZ20" s="105"/>
      <c r="AKV20" s="105"/>
      <c r="AUE20" s="105"/>
      <c r="AZQ20" s="105"/>
      <c r="BCJ20" s="105"/>
      <c r="BFP20" s="105"/>
      <c r="BQX20" s="105"/>
      <c r="BSP20" s="105"/>
      <c r="BUU20" s="105"/>
      <c r="BXX20" s="105"/>
      <c r="CAD20" s="105"/>
      <c r="CGU20" s="105"/>
      <c r="CHH20" s="105"/>
      <c r="CIA20" s="105"/>
      <c r="CKX20" s="105"/>
      <c r="CLX20" s="105"/>
      <c r="CMH20" s="105"/>
      <c r="CNR20" s="105"/>
      <c r="CRI20" s="105"/>
      <c r="CYT20" s="105"/>
      <c r="DBH20" s="105"/>
      <c r="DEK20" s="105"/>
      <c r="DEU20" s="105"/>
      <c r="DHZ20" s="105"/>
      <c r="DIC20" s="105"/>
      <c r="DIF20" s="105"/>
      <c r="DIM20" s="105"/>
      <c r="DIS20" s="105"/>
      <c r="DJY20" s="105"/>
      <c r="DOK20" s="105"/>
      <c r="DPJ20" s="105"/>
      <c r="EAF20" s="105"/>
    </row>
    <row r="21" spans="1:1023 1027:2047 2057:3070 3082:3495" ht="15" customHeight="1">
      <c r="A21">
        <v>15</v>
      </c>
      <c r="B21" s="87" t="s">
        <v>102</v>
      </c>
      <c r="C21" s="88" t="s">
        <v>199</v>
      </c>
      <c r="D21" s="89" t="s">
        <v>73</v>
      </c>
      <c r="E21" s="109">
        <v>18.215</v>
      </c>
      <c r="F21" s="90">
        <v>3.5000000000000003E-2</v>
      </c>
      <c r="G21" s="90">
        <v>-3.5000000000000003E-2</v>
      </c>
      <c r="H21" s="91" t="s">
        <v>344</v>
      </c>
      <c r="I21" s="92" t="s">
        <v>186</v>
      </c>
      <c r="J21" s="51">
        <f t="shared" si="10"/>
        <v>18.25</v>
      </c>
      <c r="K21" s="51">
        <f t="shared" si="11"/>
        <v>18.18</v>
      </c>
      <c r="L21" s="93"/>
      <c r="M21" s="94">
        <f t="shared" si="0"/>
        <v>0</v>
      </c>
      <c r="N21" s="94">
        <f t="shared" si="1"/>
        <v>0</v>
      </c>
      <c r="O21" s="94">
        <f t="shared" si="2"/>
        <v>0</v>
      </c>
      <c r="P21" s="95">
        <f t="shared" si="3"/>
        <v>0</v>
      </c>
      <c r="Q21" s="96" t="str">
        <f t="shared" si="4"/>
        <v/>
      </c>
      <c r="R21" s="97" t="str">
        <f>IF(OR($AI21="",ISNUMBER($AI21)=FALSE),"",IF(AND(#REF!="Tolerance",$E21&lt;&gt;""),($O21-$E21)/(($J21-$K21)/2),IF(AND(#REF!="GD&amp;T",$F21&lt;&gt;""),$O21/$F21,"")))</f>
        <v/>
      </c>
      <c r="S21" s="97" t="str">
        <f t="shared" si="12"/>
        <v/>
      </c>
      <c r="T21" s="96" t="str">
        <f t="shared" si="5"/>
        <v/>
      </c>
      <c r="U21" s="96" t="str">
        <f t="shared" si="6"/>
        <v/>
      </c>
      <c r="V21" s="96" t="str">
        <f t="shared" si="7"/>
        <v/>
      </c>
      <c r="W21" s="98" t="str">
        <f t="shared" si="8"/>
        <v/>
      </c>
      <c r="X21" s="99" t="e">
        <f>IF($O21="","",IF(#REF!="Tolerance",IF((#REF!*3*P21+O21)-E21&lt;F21,"",(#REF!*3*P21+O21)-E21),IF(OR(#REF!="GD&amp;T",#REF!="MAX"),IF((#REF!*3*P21+O21)&lt;F21,"",(#REF!*3*P21+O21)),"")))</f>
        <v>#REF!</v>
      </c>
      <c r="Y21" s="99" t="e">
        <f>IF(O21="","",IF(#REF!="Tolerance",IF(-((#REF!*3*P21)-O21)-E21&gt;G21,"",-((#REF!*3*P21)-O21)-E21),IF(#REF!="MIN",IF(-((#REF!*3*P21)-O21)&gt;G21,"",-((#REF!*3*P21)-O21)),"")))</f>
        <v>#REF!</v>
      </c>
      <c r="Z21" s="99">
        <f>IF(OR(E21="",O21=""),"",(J21+K21)/2-O21)</f>
        <v>18.215</v>
      </c>
      <c r="AA21" s="99" t="str">
        <f t="shared" si="9"/>
        <v/>
      </c>
      <c r="AB21" s="100"/>
      <c r="AC21" s="101" t="str">
        <f t="shared" si="14"/>
        <v/>
      </c>
      <c r="AD21" s="102"/>
      <c r="AE21" s="103"/>
      <c r="AF21" s="103"/>
      <c r="AG21" s="104"/>
      <c r="AH21">
        <v>15</v>
      </c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CJ21" s="105"/>
      <c r="IN21" s="105"/>
      <c r="IO21" s="105"/>
      <c r="KF21" s="105"/>
      <c r="PD21" s="105"/>
      <c r="WC21" s="105"/>
      <c r="XG21" s="105"/>
      <c r="AAC21" s="105"/>
      <c r="AAZ21" s="105"/>
      <c r="AIZ21" s="105"/>
      <c r="AKV21" s="105"/>
      <c r="ALG21" s="105"/>
      <c r="AUE21" s="105"/>
      <c r="BCJ21" s="105"/>
      <c r="BFP21" s="105"/>
      <c r="BSP21" s="105"/>
      <c r="BUU21" s="105"/>
      <c r="CAD21" s="105"/>
      <c r="CGU21" s="105"/>
      <c r="CIA21" s="105"/>
      <c r="CKX21" s="105"/>
      <c r="CLX21" s="105"/>
      <c r="CNR21" s="105"/>
      <c r="CRI21" s="105"/>
      <c r="CYT21" s="105"/>
      <c r="DBH21" s="105"/>
      <c r="DEK21" s="105"/>
      <c r="DHZ21" s="105"/>
      <c r="DIA21" s="105"/>
      <c r="DIC21" s="105"/>
      <c r="DIF21" s="105"/>
      <c r="DIM21" s="105"/>
      <c r="DIS21" s="105"/>
      <c r="DMF21" s="105"/>
      <c r="DOK21" s="105"/>
      <c r="DPJ21" s="105"/>
      <c r="EAF21" s="105"/>
    </row>
    <row r="22" spans="1:1023 1027:2047 2057:3070 3082:3495" ht="15" customHeight="1">
      <c r="A22">
        <v>17</v>
      </c>
      <c r="B22" s="87" t="s">
        <v>102</v>
      </c>
      <c r="C22" s="88" t="s">
        <v>200</v>
      </c>
      <c r="D22" s="89" t="s">
        <v>73</v>
      </c>
      <c r="E22" s="109">
        <v>18.215</v>
      </c>
      <c r="F22" s="90">
        <v>3.5000000000000003E-2</v>
      </c>
      <c r="G22" s="90">
        <v>-3.5000000000000003E-2</v>
      </c>
      <c r="H22" s="91" t="s">
        <v>344</v>
      </c>
      <c r="I22" s="92" t="s">
        <v>186</v>
      </c>
      <c r="J22" s="51">
        <f t="shared" si="10"/>
        <v>18.25</v>
      </c>
      <c r="K22" s="51">
        <f t="shared" si="11"/>
        <v>18.18</v>
      </c>
      <c r="L22" s="107"/>
      <c r="M22" s="94">
        <f t="shared" si="0"/>
        <v>0</v>
      </c>
      <c r="N22" s="94">
        <f t="shared" si="1"/>
        <v>0</v>
      </c>
      <c r="O22" s="94">
        <f t="shared" si="2"/>
        <v>0</v>
      </c>
      <c r="P22" s="95">
        <f t="shared" si="3"/>
        <v>0</v>
      </c>
      <c r="Q22" s="96" t="str">
        <f t="shared" si="4"/>
        <v/>
      </c>
      <c r="R22" s="97" t="str">
        <f>IF(OR($AI22="",ISNUMBER($AI22)=FALSE),"",IF(AND(#REF!="Tolerance",$E22&lt;&gt;""),($O22-$E22)/(($J22-$K22)/2),IF(AND(#REF!="GD&amp;T",$F22&lt;&gt;""),$O22/$F22,"")))</f>
        <v/>
      </c>
      <c r="S22" s="97" t="str">
        <f t="shared" si="12"/>
        <v/>
      </c>
      <c r="T22" s="96" t="str">
        <f t="shared" si="5"/>
        <v/>
      </c>
      <c r="U22" s="96" t="str">
        <f t="shared" si="6"/>
        <v/>
      </c>
      <c r="V22" s="96" t="str">
        <f t="shared" si="7"/>
        <v/>
      </c>
      <c r="W22" s="98" t="str">
        <f t="shared" si="8"/>
        <v/>
      </c>
      <c r="X22" s="99" t="e">
        <f>IF($O22="","",IF(#REF!="Tolerance",IF((#REF!*3*P22+O22)-E22&lt;F22,"",(#REF!*3*P22+O22)-E22),IF(OR(#REF!="GD&amp;T",#REF!="MAX"),IF((#REF!*3*P22+O22)&lt;F22,"",(#REF!*3*P22+O22)),"")))</f>
        <v>#REF!</v>
      </c>
      <c r="Y22" s="99" t="e">
        <f>IF(O22="","",IF(#REF!="Tolerance",IF(-((#REF!*3*P22)-O22)-E22&gt;G22,"",-((#REF!*3*P22)-O22)-E22),IF(#REF!="MIN",IF(-((#REF!*3*P22)-O22)&gt;G22,"",-((#REF!*3*P22)-O22)),"")))</f>
        <v>#REF!</v>
      </c>
      <c r="Z22" s="99">
        <f t="shared" si="13"/>
        <v>18.215</v>
      </c>
      <c r="AA22" s="99" t="str">
        <f t="shared" si="9"/>
        <v/>
      </c>
      <c r="AB22" s="100"/>
      <c r="AC22" s="101" t="str">
        <f t="shared" si="14"/>
        <v/>
      </c>
      <c r="AD22" s="102"/>
      <c r="AE22" s="103"/>
      <c r="AF22" s="103"/>
      <c r="AG22" s="104"/>
      <c r="AH22">
        <v>17</v>
      </c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CJ22" s="105"/>
      <c r="HC22" s="105"/>
      <c r="IO22" s="105"/>
      <c r="KF22" s="105"/>
      <c r="QK22" s="105"/>
      <c r="WC22" s="105"/>
      <c r="XJ22" s="105"/>
      <c r="AAC22" s="105"/>
      <c r="AAZ22" s="105"/>
      <c r="AIZ22" s="105"/>
      <c r="AKV22" s="105"/>
      <c r="ALG22" s="105"/>
      <c r="BCJ22" s="105"/>
      <c r="BFP22" s="105"/>
      <c r="BRU22" s="105"/>
      <c r="BSP22" s="105"/>
      <c r="BUU22" s="105"/>
      <c r="BXX22" s="105"/>
      <c r="CAD22" s="105"/>
      <c r="CGU22" s="105"/>
      <c r="CHG22" s="105"/>
      <c r="CIA22" s="105"/>
      <c r="CLX22" s="105"/>
      <c r="CNR22" s="105"/>
      <c r="CRI22" s="105"/>
      <c r="CYT22" s="105"/>
      <c r="DBH22" s="105"/>
      <c r="DEK22" s="105"/>
      <c r="DHZ22" s="105"/>
      <c r="DIC22" s="105"/>
      <c r="DIS22" s="105"/>
      <c r="DOK22" s="105"/>
      <c r="DPJ22" s="105"/>
      <c r="EAF22" s="105"/>
    </row>
    <row r="23" spans="1:1023 1027:2047 2057:3070 3082:3495" ht="15" customHeight="1">
      <c r="A23">
        <v>18</v>
      </c>
      <c r="B23" s="87" t="s">
        <v>103</v>
      </c>
      <c r="C23" s="88" t="s">
        <v>265</v>
      </c>
      <c r="D23" s="89" t="s">
        <v>73</v>
      </c>
      <c r="E23" s="109">
        <v>17.225000000000001</v>
      </c>
      <c r="F23" s="90">
        <v>0.03</v>
      </c>
      <c r="G23" s="90">
        <v>-0.03</v>
      </c>
      <c r="H23" s="91" t="s">
        <v>344</v>
      </c>
      <c r="I23" s="92" t="s">
        <v>186</v>
      </c>
      <c r="J23" s="51">
        <f t="shared" si="10"/>
        <v>17.255000000000003</v>
      </c>
      <c r="K23" s="51">
        <f t="shared" si="11"/>
        <v>17.195</v>
      </c>
      <c r="L23" s="107"/>
      <c r="M23" s="94">
        <f t="shared" si="0"/>
        <v>0</v>
      </c>
      <c r="N23" s="94">
        <f t="shared" si="1"/>
        <v>0</v>
      </c>
      <c r="O23" s="94">
        <f t="shared" si="2"/>
        <v>0</v>
      </c>
      <c r="P23" s="95">
        <f t="shared" si="3"/>
        <v>0</v>
      </c>
      <c r="Q23" s="96" t="str">
        <f t="shared" si="4"/>
        <v/>
      </c>
      <c r="R23" s="97" t="str">
        <f>IF(OR($AI23="",ISNUMBER($AI23)=FALSE),"",IF(AND(#REF!="Tolerance",$E23&lt;&gt;""),($O23-$E23)/(($J23-$K23)/2),IF(AND(#REF!="GD&amp;T",$F23&lt;&gt;""),$O23/$F23,"")))</f>
        <v/>
      </c>
      <c r="S23" s="97" t="str">
        <f t="shared" si="12"/>
        <v/>
      </c>
      <c r="T23" s="96" t="str">
        <f t="shared" si="5"/>
        <v/>
      </c>
      <c r="U23" s="96" t="str">
        <f t="shared" si="6"/>
        <v/>
      </c>
      <c r="V23" s="96" t="str">
        <f t="shared" si="7"/>
        <v/>
      </c>
      <c r="W23" s="98" t="str">
        <f t="shared" si="8"/>
        <v/>
      </c>
      <c r="X23" s="99" t="e">
        <f>IF($O23="","",IF(#REF!="Tolerance",IF((#REF!*3*P23+O23)-E23&lt;F23,"",(#REF!*3*P23+O23)-E23),IF(OR(#REF!="GD&amp;T",#REF!="MAX"),IF((#REF!*3*P23+O23)&lt;F23,"",(#REF!*3*P23+O23)),"")))</f>
        <v>#REF!</v>
      </c>
      <c r="Y23" s="99" t="e">
        <f>IF(O23="","",IF(#REF!="Tolerance",IF(-((#REF!*3*P23)-O23)-E23&gt;G23,"",-((#REF!*3*P23)-O23)-E23),IF(#REF!="MIN",IF(-((#REF!*3*P23)-O23)&gt;G23,"",-((#REF!*3*P23)-O23)),"")))</f>
        <v>#REF!</v>
      </c>
      <c r="Z23" s="99">
        <f t="shared" si="13"/>
        <v>17.225000000000001</v>
      </c>
      <c r="AA23" s="99" t="str">
        <f t="shared" si="9"/>
        <v/>
      </c>
      <c r="AB23" s="100"/>
      <c r="AC23" s="101" t="str">
        <f t="shared" si="14"/>
        <v/>
      </c>
      <c r="AD23" s="102"/>
      <c r="AE23" s="103"/>
      <c r="AF23" s="103"/>
      <c r="AG23" s="104"/>
      <c r="AH23">
        <v>18</v>
      </c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CJ23" s="105"/>
      <c r="HC23" s="105"/>
      <c r="IO23" s="105"/>
      <c r="KF23" s="105"/>
      <c r="WC23" s="105"/>
      <c r="XJ23" s="105"/>
      <c r="AAC23" s="105"/>
      <c r="AAZ23" s="105"/>
      <c r="AIS23" s="105"/>
      <c r="AIZ23" s="105"/>
      <c r="AKV23" s="105"/>
      <c r="ALG23" s="105"/>
      <c r="APJ23" s="105"/>
      <c r="BCJ23" s="105"/>
      <c r="BFP23" s="105"/>
      <c r="BSP23" s="105"/>
      <c r="BUU23" s="105"/>
      <c r="BYL23" s="105"/>
      <c r="CAD23" s="105"/>
      <c r="CGU23" s="105"/>
      <c r="CLX23" s="105"/>
      <c r="CNR23" s="105"/>
      <c r="CRI23" s="105"/>
      <c r="CYT23" s="105"/>
      <c r="DEK23" s="105"/>
      <c r="DHZ23" s="105"/>
      <c r="DIC23" s="105"/>
      <c r="DIS23" s="105"/>
      <c r="DOK23" s="105"/>
      <c r="DPJ23" s="105"/>
      <c r="DRA23" s="105"/>
      <c r="EAF23" s="105"/>
    </row>
    <row r="24" spans="1:1023 1027:2047 2057:3070 3082:3495" ht="15" customHeight="1">
      <c r="A24">
        <v>19</v>
      </c>
      <c r="B24" s="87" t="s">
        <v>104</v>
      </c>
      <c r="C24" s="88" t="s">
        <v>332</v>
      </c>
      <c r="D24" s="89" t="s">
        <v>73</v>
      </c>
      <c r="E24" s="109">
        <v>14.529</v>
      </c>
      <c r="F24" s="90">
        <v>0.03</v>
      </c>
      <c r="G24" s="90">
        <v>-0.03</v>
      </c>
      <c r="H24" s="91" t="s">
        <v>344</v>
      </c>
      <c r="I24" s="92" t="s">
        <v>186</v>
      </c>
      <c r="J24" s="51">
        <f t="shared" si="10"/>
        <v>14.558999999999999</v>
      </c>
      <c r="K24" s="51">
        <f t="shared" si="11"/>
        <v>14.499000000000001</v>
      </c>
      <c r="L24" s="107"/>
      <c r="M24" s="94">
        <f t="shared" si="0"/>
        <v>0</v>
      </c>
      <c r="N24" s="94">
        <f t="shared" si="1"/>
        <v>0</v>
      </c>
      <c r="O24" s="94">
        <f t="shared" si="2"/>
        <v>0</v>
      </c>
      <c r="P24" s="95">
        <f t="shared" si="3"/>
        <v>0</v>
      </c>
      <c r="Q24" s="96" t="str">
        <f t="shared" si="4"/>
        <v/>
      </c>
      <c r="R24" s="97" t="str">
        <f>IF(OR($AI24="",ISNUMBER($AI24)=FALSE),"",IF(AND(#REF!="Tolerance",$E24&lt;&gt;""),($O24-$E24)/(($J24-$K24)/2),IF(AND(#REF!="GD&amp;T",$F24&lt;&gt;""),$O24/$F24,"")))</f>
        <v/>
      </c>
      <c r="S24" s="97" t="str">
        <f t="shared" si="12"/>
        <v/>
      </c>
      <c r="T24" s="96" t="str">
        <f t="shared" si="5"/>
        <v/>
      </c>
      <c r="U24" s="96" t="str">
        <f t="shared" si="6"/>
        <v/>
      </c>
      <c r="V24" s="96" t="str">
        <f t="shared" si="7"/>
        <v/>
      </c>
      <c r="W24" s="98" t="str">
        <f t="shared" si="8"/>
        <v/>
      </c>
      <c r="X24" s="99" t="e">
        <f>IF($O24="","",IF(#REF!="Tolerance",IF((#REF!*3*P24+O24)-E24&lt;F24,"",(#REF!*3*P24+O24)-E24),IF(OR(#REF!="GD&amp;T",#REF!="MAX"),IF((#REF!*3*P24+O24)&lt;F24,"",(#REF!*3*P24+O24)),"")))</f>
        <v>#REF!</v>
      </c>
      <c r="Y24" s="99" t="e">
        <f>IF(O24="","",IF(#REF!="Tolerance",IF(-((#REF!*3*P24)-O24)-E24&gt;G24,"",-((#REF!*3*P24)-O24)-E24),IF(#REF!="MIN",IF(-((#REF!*3*P24)-O24)&gt;G24,"",-((#REF!*3*P24)-O24)),"")))</f>
        <v>#REF!</v>
      </c>
      <c r="Z24" s="99">
        <f t="shared" si="13"/>
        <v>14.529</v>
      </c>
      <c r="AA24" s="99" t="str">
        <f t="shared" si="9"/>
        <v/>
      </c>
      <c r="AB24" s="100"/>
      <c r="AC24" s="101" t="str">
        <f t="shared" si="14"/>
        <v/>
      </c>
      <c r="AD24" s="102"/>
      <c r="AE24" s="103"/>
      <c r="AF24" s="103"/>
      <c r="AG24" s="104"/>
      <c r="AH24">
        <v>19</v>
      </c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05"/>
      <c r="EM24" s="105"/>
      <c r="GG24" s="105"/>
      <c r="PO24" s="105"/>
      <c r="PU24" s="105"/>
      <c r="UZ24" s="105"/>
      <c r="WQ24" s="105"/>
      <c r="WV24" s="105"/>
      <c r="ZG24" s="105"/>
      <c r="ADH24" s="105"/>
      <c r="ADK24" s="105"/>
      <c r="AFV24" s="105"/>
      <c r="AGF24" s="105"/>
      <c r="AGO24" s="105"/>
      <c r="AGV24" s="105"/>
      <c r="AHI24" s="105"/>
      <c r="AHT24" s="105"/>
      <c r="AIC24" s="105"/>
      <c r="AIV24" s="105"/>
      <c r="AOH24" s="105"/>
      <c r="AOV24" s="105"/>
      <c r="AQH24" s="105"/>
      <c r="BUN24" s="105"/>
      <c r="DNB24" s="105"/>
      <c r="DSQ24" s="105"/>
    </row>
    <row r="25" spans="1:1023 1027:2047 2057:3070 3082:3495" ht="15" customHeight="1">
      <c r="A25">
        <v>20</v>
      </c>
      <c r="B25" s="87" t="s">
        <v>105</v>
      </c>
      <c r="C25" s="88" t="s">
        <v>333</v>
      </c>
      <c r="D25" s="89" t="s">
        <v>73</v>
      </c>
      <c r="E25" s="109">
        <v>3.8740000000000001</v>
      </c>
      <c r="F25" s="90">
        <v>0.03</v>
      </c>
      <c r="G25" s="90">
        <v>-0.03</v>
      </c>
      <c r="H25" s="91" t="s">
        <v>344</v>
      </c>
      <c r="I25" s="92" t="s">
        <v>186</v>
      </c>
      <c r="J25" s="51">
        <f t="shared" si="10"/>
        <v>3.9039999999999999</v>
      </c>
      <c r="K25" s="51">
        <f t="shared" si="11"/>
        <v>3.8440000000000003</v>
      </c>
      <c r="L25" s="107"/>
      <c r="M25" s="94">
        <f t="shared" si="0"/>
        <v>0</v>
      </c>
      <c r="N25" s="94">
        <f t="shared" si="1"/>
        <v>0</v>
      </c>
      <c r="O25" s="94">
        <f t="shared" si="2"/>
        <v>0</v>
      </c>
      <c r="P25" s="95">
        <f t="shared" si="3"/>
        <v>0</v>
      </c>
      <c r="Q25" s="96" t="str">
        <f t="shared" si="4"/>
        <v/>
      </c>
      <c r="R25" s="97" t="str">
        <f>IF(OR($AI25="",ISNUMBER($AI25)=FALSE),"",IF(AND(#REF!="Tolerance",$E25&lt;&gt;""),($O25-$E25)/(($J25-$K25)/2),IF(AND(#REF!="GD&amp;T",$F25&lt;&gt;""),$O25/$F25,"")))</f>
        <v/>
      </c>
      <c r="S25" s="97" t="str">
        <f t="shared" si="12"/>
        <v/>
      </c>
      <c r="T25" s="96" t="str">
        <f t="shared" si="5"/>
        <v/>
      </c>
      <c r="U25" s="96" t="str">
        <f t="shared" si="6"/>
        <v/>
      </c>
      <c r="V25" s="96" t="str">
        <f t="shared" si="7"/>
        <v/>
      </c>
      <c r="W25" s="98" t="str">
        <f t="shared" si="8"/>
        <v/>
      </c>
      <c r="X25" s="99" t="e">
        <f>IF($O25="","",IF(#REF!="Tolerance",IF((#REF!*3*P25+O25)-E25&lt;F25,"",(#REF!*3*P25+O25)-E25),IF(OR(#REF!="GD&amp;T",#REF!="MAX"),IF((#REF!*3*P25+O25)&lt;F25,"",(#REF!*3*P25+O25)),"")))</f>
        <v>#REF!</v>
      </c>
      <c r="Y25" s="99" t="e">
        <f>IF(O25="","",IF(#REF!="Tolerance",IF(-((#REF!*3*P25)-O25)-E25&gt;G25,"",-((#REF!*3*P25)-O25)-E25),IF(#REF!="MIN",IF(-((#REF!*3*P25)-O25)&gt;G25,"",-((#REF!*3*P25)-O25)),"")))</f>
        <v>#REF!</v>
      </c>
      <c r="Z25" s="99">
        <f t="shared" si="13"/>
        <v>3.8740000000000001</v>
      </c>
      <c r="AA25" s="99" t="str">
        <f t="shared" si="9"/>
        <v/>
      </c>
      <c r="AB25" s="100"/>
      <c r="AC25" s="101" t="str">
        <f t="shared" si="14"/>
        <v/>
      </c>
      <c r="AD25" s="102"/>
      <c r="AE25" s="103"/>
      <c r="AF25" s="103"/>
      <c r="AG25" s="104"/>
      <c r="AH25">
        <v>20</v>
      </c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Z25" s="105"/>
      <c r="IB25" s="105"/>
      <c r="TP25" s="105"/>
      <c r="UJ25" s="105"/>
      <c r="XJ25" s="105"/>
      <c r="XQ25" s="105"/>
      <c r="XZ25" s="105"/>
      <c r="YI25" s="105"/>
      <c r="AAZ25" s="105"/>
      <c r="ABN25" s="105"/>
      <c r="ACP25" s="105"/>
      <c r="ADK25" s="105"/>
      <c r="ADQ25" s="105"/>
      <c r="AGO25" s="105"/>
      <c r="AGY25" s="105"/>
      <c r="AHK25" s="105"/>
      <c r="ALG25" s="105"/>
      <c r="AUJ25" s="105"/>
      <c r="AUX25" s="105"/>
      <c r="BDE25" s="105"/>
      <c r="BIK25" s="105"/>
      <c r="BLL25" s="105"/>
      <c r="BPW25" s="105"/>
      <c r="BYK25" s="105"/>
      <c r="BYN25" s="105"/>
      <c r="BZQ25" s="105"/>
      <c r="CDW25" s="105"/>
      <c r="CEH25" s="105"/>
      <c r="DAN25" s="105"/>
      <c r="DCZ25" s="105"/>
      <c r="DIM25" s="105"/>
      <c r="DLZ25" s="105"/>
      <c r="DUY25" s="105"/>
    </row>
    <row r="26" spans="1:1023 1027:2047 2057:3070 3082:3495" ht="15" customHeight="1">
      <c r="A26">
        <v>21</v>
      </c>
      <c r="B26" s="87" t="s">
        <v>106</v>
      </c>
      <c r="C26" s="88" t="s">
        <v>269</v>
      </c>
      <c r="D26" s="89" t="s">
        <v>73</v>
      </c>
      <c r="E26" s="109">
        <v>7.7249999999999996</v>
      </c>
      <c r="F26" s="90">
        <v>0.03</v>
      </c>
      <c r="G26" s="90">
        <v>-0.03</v>
      </c>
      <c r="H26" s="91" t="s">
        <v>81</v>
      </c>
      <c r="I26" s="92" t="s">
        <v>186</v>
      </c>
      <c r="J26" s="51">
        <f t="shared" si="10"/>
        <v>7.7549999999999999</v>
      </c>
      <c r="K26" s="51">
        <f t="shared" si="11"/>
        <v>7.6949999999999994</v>
      </c>
      <c r="L26" s="107"/>
      <c r="M26" s="94">
        <f t="shared" si="0"/>
        <v>0</v>
      </c>
      <c r="N26" s="94">
        <f t="shared" si="1"/>
        <v>0</v>
      </c>
      <c r="O26" s="94">
        <f t="shared" si="2"/>
        <v>0</v>
      </c>
      <c r="P26" s="95">
        <f t="shared" si="3"/>
        <v>0</v>
      </c>
      <c r="Q26" s="96" t="str">
        <f t="shared" si="4"/>
        <v/>
      </c>
      <c r="R26" s="97" t="str">
        <f>IF(OR($AI26="",ISNUMBER($AI26)=FALSE),"",IF(AND(#REF!="Tolerance",$E26&lt;&gt;""),($O26-$E26)/(($J26-$K26)/2),IF(AND(#REF!="GD&amp;T",$F26&lt;&gt;""),$O26/$F26,"")))</f>
        <v/>
      </c>
      <c r="S26" s="97" t="str">
        <f t="shared" si="12"/>
        <v/>
      </c>
      <c r="T26" s="96" t="str">
        <f t="shared" si="5"/>
        <v/>
      </c>
      <c r="U26" s="96" t="str">
        <f t="shared" si="6"/>
        <v/>
      </c>
      <c r="V26" s="96" t="str">
        <f t="shared" si="7"/>
        <v/>
      </c>
      <c r="W26" s="98" t="str">
        <f t="shared" si="8"/>
        <v/>
      </c>
      <c r="X26" s="99" t="e">
        <f>IF($O26="","",IF(#REF!="Tolerance",IF((#REF!*3*P26+O26)-E26&lt;F26,"",(#REF!*3*P26+O26)-E26),IF(OR(#REF!="GD&amp;T",#REF!="MAX"),IF((#REF!*3*P26+O26)&lt;F26,"",(#REF!*3*P26+O26)),"")))</f>
        <v>#REF!</v>
      </c>
      <c r="Y26" s="99" t="e">
        <f>IF(O26="","",IF(#REF!="Tolerance",IF(-((#REF!*3*P26)-O26)-E26&gt;G26,"",-((#REF!*3*P26)-O26)-E26),IF(#REF!="MIN",IF(-((#REF!*3*P26)-O26)&gt;G26,"",-((#REF!*3*P26)-O26)),"")))</f>
        <v>#REF!</v>
      </c>
      <c r="Z26" s="99">
        <f t="shared" si="13"/>
        <v>7.7249999999999996</v>
      </c>
      <c r="AA26" s="99" t="str">
        <f t="shared" si="9"/>
        <v/>
      </c>
      <c r="AB26" s="100"/>
      <c r="AC26" s="101" t="str">
        <f t="shared" si="14"/>
        <v/>
      </c>
      <c r="AD26" s="102"/>
      <c r="AE26" s="103"/>
      <c r="AF26" s="103"/>
      <c r="AG26" s="104"/>
      <c r="AH26">
        <v>21</v>
      </c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DV26" s="105"/>
      <c r="GA26" s="105"/>
      <c r="LF26" s="105"/>
      <c r="LK26" s="105"/>
      <c r="QZ26" s="105"/>
      <c r="TY26" s="105"/>
      <c r="WC26" s="105"/>
      <c r="YQ26" s="105"/>
      <c r="ZO26" s="105"/>
      <c r="AOZ26" s="105"/>
      <c r="ATO26" s="105"/>
      <c r="AZT26" s="105"/>
      <c r="BGS26" s="105"/>
      <c r="BIX26" s="105"/>
      <c r="BPN26" s="105"/>
      <c r="BQG26" s="105"/>
      <c r="BTM26" s="105"/>
      <c r="CAC26" s="105"/>
      <c r="CBQ26" s="105"/>
      <c r="CNA26" s="105"/>
      <c r="COJ26" s="105"/>
      <c r="CVO26" s="105"/>
      <c r="DAF26" s="105"/>
      <c r="DCA26" s="105"/>
      <c r="DEB26" s="105"/>
      <c r="DGU26" s="105"/>
      <c r="DHK26" s="105"/>
      <c r="DIC26" s="105"/>
      <c r="DKL26" s="105"/>
      <c r="DMB26" s="105"/>
      <c r="DTF26" s="105"/>
      <c r="DVR26" s="105"/>
      <c r="DYL26" s="105"/>
      <c r="EBB26" s="105"/>
    </row>
    <row r="27" spans="1:1023 1027:2047 2057:3070 3082:3495" ht="15" customHeight="1">
      <c r="A27">
        <v>22</v>
      </c>
      <c r="B27" s="87" t="s">
        <v>107</v>
      </c>
      <c r="C27" s="88" t="s">
        <v>205</v>
      </c>
      <c r="D27" s="89" t="s">
        <v>73</v>
      </c>
      <c r="E27" s="109">
        <v>7.7249999999999996</v>
      </c>
      <c r="F27" s="90">
        <v>0.03</v>
      </c>
      <c r="G27" s="90">
        <v>-0.03</v>
      </c>
      <c r="H27" s="91" t="s">
        <v>81</v>
      </c>
      <c r="I27" s="92" t="s">
        <v>186</v>
      </c>
      <c r="J27" s="51">
        <f t="shared" si="10"/>
        <v>7.7549999999999999</v>
      </c>
      <c r="K27" s="51">
        <f t="shared" si="11"/>
        <v>7.6949999999999994</v>
      </c>
      <c r="L27" s="107"/>
      <c r="M27" s="94">
        <f t="shared" si="0"/>
        <v>0</v>
      </c>
      <c r="N27" s="94">
        <f t="shared" si="1"/>
        <v>0</v>
      </c>
      <c r="O27" s="94">
        <f t="shared" si="2"/>
        <v>0</v>
      </c>
      <c r="P27" s="95">
        <f t="shared" si="3"/>
        <v>0</v>
      </c>
      <c r="Q27" s="96" t="str">
        <f t="shared" si="4"/>
        <v/>
      </c>
      <c r="R27" s="97" t="str">
        <f>IF(OR($AI27="",ISNUMBER($AI27)=FALSE),"",IF(AND(#REF!="Tolerance",$E27&lt;&gt;""),($O27-$E27)/(($J27-$K27)/2),IF(AND(#REF!="GD&amp;T",$F27&lt;&gt;""),$O27/$F27,"")))</f>
        <v/>
      </c>
      <c r="S27" s="97" t="str">
        <f t="shared" si="12"/>
        <v/>
      </c>
      <c r="T27" s="96" t="str">
        <f t="shared" si="5"/>
        <v/>
      </c>
      <c r="U27" s="96" t="str">
        <f t="shared" si="6"/>
        <v/>
      </c>
      <c r="V27" s="96" t="str">
        <f t="shared" si="7"/>
        <v/>
      </c>
      <c r="W27" s="98" t="str">
        <f t="shared" si="8"/>
        <v/>
      </c>
      <c r="X27" s="99" t="e">
        <f>IF($O27="","",IF(#REF!="Tolerance",IF((#REF!*3*P27+O27)-E27&lt;F27,"",(#REF!*3*P27+O27)-E27),IF(OR(#REF!="GD&amp;T",#REF!="MAX"),IF((#REF!*3*P27+O27)&lt;F27,"",(#REF!*3*P27+O27)),"")))</f>
        <v>#REF!</v>
      </c>
      <c r="Y27" s="99" t="e">
        <f>IF(O27="","",IF(#REF!="Tolerance",IF(-((#REF!*3*P27)-O27)-E27&gt;G27,"",-((#REF!*3*P27)-O27)-E27),IF(#REF!="MIN",IF(-((#REF!*3*P27)-O27)&gt;G27,"",-((#REF!*3*P27)-O27)),"")))</f>
        <v>#REF!</v>
      </c>
      <c r="Z27" s="99">
        <f t="shared" si="13"/>
        <v>7.7249999999999996</v>
      </c>
      <c r="AA27" s="99" t="str">
        <f t="shared" si="9"/>
        <v/>
      </c>
      <c r="AB27" s="100"/>
      <c r="AC27" s="101" t="str">
        <f t="shared" si="14"/>
        <v/>
      </c>
      <c r="AD27" s="102"/>
      <c r="AE27" s="103"/>
      <c r="AF27" s="103"/>
      <c r="AG27" s="104"/>
      <c r="AH27">
        <v>22</v>
      </c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EQ27" s="105"/>
      <c r="PP27" s="105"/>
      <c r="VX27" s="105"/>
      <c r="WH27" s="105"/>
      <c r="WO27" s="105"/>
      <c r="ZD27" s="105"/>
      <c r="AAR27" s="105"/>
      <c r="AHJ27" s="105"/>
      <c r="AMI27" s="105"/>
      <c r="AON27" s="105"/>
      <c r="AVG27" s="105"/>
      <c r="BGS27" s="105"/>
      <c r="BLW27" s="105"/>
      <c r="BNM27" s="105"/>
      <c r="BOE27" s="105"/>
      <c r="BTM27" s="105"/>
      <c r="BZS27" s="105"/>
      <c r="CDZ27" s="105"/>
      <c r="COM27" s="105"/>
      <c r="CRM27" s="105"/>
      <c r="CXB27" s="105"/>
      <c r="CYS27" s="105"/>
      <c r="CYX27" s="105"/>
      <c r="CZZ27" s="105"/>
      <c r="DIP27" s="105"/>
      <c r="DKV27" s="105"/>
      <c r="DNN27" s="105"/>
      <c r="DOM27" s="105"/>
      <c r="DOR27" s="105"/>
      <c r="DSQ27" s="105"/>
      <c r="EDK27" s="105"/>
    </row>
    <row r="28" spans="1:1023 1027:2047 2057:3070 3082:3495" ht="15" customHeight="1">
      <c r="A28">
        <v>23</v>
      </c>
      <c r="B28" s="87" t="s">
        <v>108</v>
      </c>
      <c r="C28" s="88" t="s">
        <v>334</v>
      </c>
      <c r="D28" s="89" t="s">
        <v>73</v>
      </c>
      <c r="E28" s="109">
        <v>9.0350000000000001</v>
      </c>
      <c r="F28" s="90">
        <v>0.03</v>
      </c>
      <c r="G28" s="90">
        <v>-0.03</v>
      </c>
      <c r="H28" s="91" t="s">
        <v>344</v>
      </c>
      <c r="I28" s="92" t="s">
        <v>186</v>
      </c>
      <c r="J28" s="51">
        <f t="shared" si="10"/>
        <v>9.0649999999999995</v>
      </c>
      <c r="K28" s="51">
        <f t="shared" si="11"/>
        <v>9.0050000000000008</v>
      </c>
      <c r="L28" s="107"/>
      <c r="M28" s="94">
        <f t="shared" si="0"/>
        <v>0</v>
      </c>
      <c r="N28" s="94">
        <f t="shared" si="1"/>
        <v>0</v>
      </c>
      <c r="O28" s="94">
        <f t="shared" si="2"/>
        <v>0</v>
      </c>
      <c r="P28" s="95">
        <f t="shared" si="3"/>
        <v>0</v>
      </c>
      <c r="Q28" s="96" t="str">
        <f t="shared" si="4"/>
        <v/>
      </c>
      <c r="R28" s="97" t="str">
        <f>IF(OR($AI28="",ISNUMBER($AI28)=FALSE),"",IF(AND(#REF!="Tolerance",$E28&lt;&gt;""),($O28-$E28)/(($J28-$K28)/2),IF(AND(#REF!="GD&amp;T",$F28&lt;&gt;""),$O28/$F28,"")))</f>
        <v/>
      </c>
      <c r="S28" s="97" t="str">
        <f t="shared" si="12"/>
        <v/>
      </c>
      <c r="T28" s="96" t="str">
        <f t="shared" si="5"/>
        <v/>
      </c>
      <c r="U28" s="96" t="str">
        <f t="shared" si="6"/>
        <v/>
      </c>
      <c r="V28" s="96" t="str">
        <f t="shared" si="7"/>
        <v/>
      </c>
      <c r="W28" s="98" t="str">
        <f t="shared" si="8"/>
        <v/>
      </c>
      <c r="X28" s="99" t="e">
        <f>IF($O28="","",IF(#REF!="Tolerance",IF((#REF!*3*P28+O28)-E28&lt;F28,"",(#REF!*3*P28+O28)-E28),IF(OR(#REF!="GD&amp;T",#REF!="MAX"),IF((#REF!*3*P28+O28)&lt;F28,"",(#REF!*3*P28+O28)),"")))</f>
        <v>#REF!</v>
      </c>
      <c r="Y28" s="99" t="e">
        <f>IF(O28="","",IF(#REF!="Tolerance",IF(-((#REF!*3*P28)-O28)-E28&gt;G28,"",-((#REF!*3*P28)-O28)-E28),IF(#REF!="MIN",IF(-((#REF!*3*P28)-O28)&gt;G28,"",-((#REF!*3*P28)-O28)),"")))</f>
        <v>#REF!</v>
      </c>
      <c r="Z28" s="99">
        <f t="shared" si="13"/>
        <v>9.0350000000000001</v>
      </c>
      <c r="AA28" s="99" t="str">
        <f t="shared" si="9"/>
        <v/>
      </c>
      <c r="AB28" s="100"/>
      <c r="AC28" s="101" t="str">
        <f t="shared" si="14"/>
        <v/>
      </c>
      <c r="AD28" s="102"/>
      <c r="AE28" s="103"/>
      <c r="AF28" s="103"/>
      <c r="AG28" s="104"/>
      <c r="AH28">
        <v>23</v>
      </c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</row>
    <row r="29" spans="1:1023 1027:2047 2057:3070 3082:3495" ht="15" customHeight="1">
      <c r="A29">
        <v>24</v>
      </c>
      <c r="B29" s="87" t="s">
        <v>109</v>
      </c>
      <c r="C29" s="88" t="s">
        <v>335</v>
      </c>
      <c r="D29" s="89" t="s">
        <v>73</v>
      </c>
      <c r="E29" s="109">
        <v>22.353000000000002</v>
      </c>
      <c r="F29" s="90">
        <v>0.03</v>
      </c>
      <c r="G29" s="90">
        <v>-0.03</v>
      </c>
      <c r="H29" s="91" t="s">
        <v>344</v>
      </c>
      <c r="I29" s="92" t="s">
        <v>186</v>
      </c>
      <c r="J29" s="51">
        <f t="shared" si="10"/>
        <v>22.383000000000003</v>
      </c>
      <c r="K29" s="51">
        <f t="shared" si="11"/>
        <v>22.323</v>
      </c>
      <c r="L29" s="107"/>
      <c r="M29" s="94">
        <f t="shared" si="0"/>
        <v>0</v>
      </c>
      <c r="N29" s="94">
        <f t="shared" si="1"/>
        <v>0</v>
      </c>
      <c r="O29" s="94">
        <f t="shared" si="2"/>
        <v>0</v>
      </c>
      <c r="P29" s="95">
        <f t="shared" si="3"/>
        <v>0</v>
      </c>
      <c r="Q29" s="96" t="str">
        <f t="shared" si="4"/>
        <v/>
      </c>
      <c r="R29" s="97" t="str">
        <f>IF(OR($AI29="",ISNUMBER($AI29)=FALSE),"",IF(AND(#REF!="Tolerance",$E29&lt;&gt;""),($O29-$E29)/(($J29-$K29)/2),IF(AND(#REF!="GD&amp;T",$F29&lt;&gt;""),$O29/$F29,"")))</f>
        <v/>
      </c>
      <c r="S29" s="97" t="str">
        <f t="shared" si="12"/>
        <v/>
      </c>
      <c r="T29" s="96" t="str">
        <f t="shared" si="5"/>
        <v/>
      </c>
      <c r="U29" s="96" t="str">
        <f t="shared" si="6"/>
        <v/>
      </c>
      <c r="V29" s="96" t="str">
        <f t="shared" si="7"/>
        <v/>
      </c>
      <c r="W29" s="98" t="str">
        <f t="shared" si="8"/>
        <v/>
      </c>
      <c r="X29" s="99" t="e">
        <f>IF($O29="","",IF(#REF!="Tolerance",IF((#REF!*3*P29+O29)-E29&lt;F29,"",(#REF!*3*P29+O29)-E29),IF(OR(#REF!="GD&amp;T",#REF!="MAX"),IF((#REF!*3*P29+O29)&lt;F29,"",(#REF!*3*P29+O29)),"")))</f>
        <v>#REF!</v>
      </c>
      <c r="Y29" s="99" t="e">
        <f>IF(O29="","",IF(#REF!="Tolerance",IF(-((#REF!*3*P29)-O29)-E29&gt;G29,"",-((#REF!*3*P29)-O29)-E29),IF(#REF!="MIN",IF(-((#REF!*3*P29)-O29)&gt;G29,"",-((#REF!*3*P29)-O29)),"")))</f>
        <v>#REF!</v>
      </c>
      <c r="Z29" s="99">
        <f t="shared" si="13"/>
        <v>22.353000000000002</v>
      </c>
      <c r="AA29" s="99" t="str">
        <f t="shared" si="9"/>
        <v/>
      </c>
      <c r="AB29" s="100"/>
      <c r="AC29" s="101" t="str">
        <f t="shared" si="14"/>
        <v/>
      </c>
      <c r="AD29" s="102"/>
      <c r="AE29" s="103"/>
      <c r="AF29" s="103"/>
      <c r="AG29" s="104"/>
      <c r="AH29">
        <v>24</v>
      </c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</row>
    <row r="30" spans="1:1023 1027:2047 2057:3070 3082:3495" ht="15" customHeight="1">
      <c r="A30">
        <v>25</v>
      </c>
      <c r="B30" s="87" t="s">
        <v>110</v>
      </c>
      <c r="C30" s="88" t="s">
        <v>336</v>
      </c>
      <c r="D30" s="89" t="s">
        <v>73</v>
      </c>
      <c r="E30" s="109">
        <v>20.355</v>
      </c>
      <c r="F30" s="90">
        <v>0.03</v>
      </c>
      <c r="G30" s="90">
        <v>-0.03</v>
      </c>
      <c r="H30" s="91" t="s">
        <v>344</v>
      </c>
      <c r="I30" s="92" t="s">
        <v>186</v>
      </c>
      <c r="J30" s="51">
        <f t="shared" si="10"/>
        <v>20.385000000000002</v>
      </c>
      <c r="K30" s="51">
        <f t="shared" si="11"/>
        <v>20.324999999999999</v>
      </c>
      <c r="L30" s="107"/>
      <c r="M30" s="94">
        <f t="shared" si="0"/>
        <v>0</v>
      </c>
      <c r="N30" s="94">
        <f t="shared" si="1"/>
        <v>0</v>
      </c>
      <c r="O30" s="94">
        <f t="shared" si="2"/>
        <v>0</v>
      </c>
      <c r="P30" s="95">
        <f t="shared" si="3"/>
        <v>0</v>
      </c>
      <c r="Q30" s="96" t="str">
        <f t="shared" si="4"/>
        <v/>
      </c>
      <c r="R30" s="97" t="str">
        <f>IF(OR($AI30="",ISNUMBER($AI30)=FALSE),"",IF(AND(#REF!="Tolerance",$E30&lt;&gt;""),($O30-$E30)/(($J30-$K30)/2),IF(AND(#REF!="GD&amp;T",$F30&lt;&gt;""),$O30/$F30,"")))</f>
        <v/>
      </c>
      <c r="S30" s="97" t="str">
        <f t="shared" si="12"/>
        <v/>
      </c>
      <c r="T30" s="96" t="str">
        <f t="shared" si="5"/>
        <v/>
      </c>
      <c r="U30" s="96" t="str">
        <f t="shared" si="6"/>
        <v/>
      </c>
      <c r="V30" s="96" t="str">
        <f t="shared" si="7"/>
        <v/>
      </c>
      <c r="W30" s="98" t="str">
        <f t="shared" si="8"/>
        <v/>
      </c>
      <c r="X30" s="99" t="e">
        <f>IF($O30="","",IF(#REF!="Tolerance",IF((#REF!*3*P30+O30)-E30&lt;F30,"",(#REF!*3*P30+O30)-E30),IF(OR(#REF!="GD&amp;T",#REF!="MAX"),IF((#REF!*3*P30+O30)&lt;F30,"",(#REF!*3*P30+O30)),"")))</f>
        <v>#REF!</v>
      </c>
      <c r="Y30" s="99" t="e">
        <f>IF(O30="","",IF(#REF!="Tolerance",IF(-((#REF!*3*P30)-O30)-E30&gt;G30,"",-((#REF!*3*P30)-O30)-E30),IF(#REF!="MIN",IF(-((#REF!*3*P30)-O30)&gt;G30,"",-((#REF!*3*P30)-O30)),"")))</f>
        <v>#REF!</v>
      </c>
      <c r="Z30" s="99">
        <f t="shared" si="13"/>
        <v>20.355</v>
      </c>
      <c r="AA30" s="99" t="str">
        <f t="shared" si="9"/>
        <v/>
      </c>
      <c r="AB30" s="100"/>
      <c r="AC30" s="101" t="str">
        <f t="shared" si="14"/>
        <v/>
      </c>
      <c r="AD30" s="102"/>
      <c r="AE30" s="103"/>
      <c r="AF30" s="103"/>
      <c r="AG30" s="104"/>
      <c r="AH30">
        <v>25</v>
      </c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</row>
    <row r="31" spans="1:1023 1027:2047 2057:3070 3082:3495" ht="15" customHeight="1">
      <c r="A31">
        <v>26</v>
      </c>
      <c r="B31" s="87" t="s">
        <v>111</v>
      </c>
      <c r="C31" s="88" t="s">
        <v>209</v>
      </c>
      <c r="D31" s="89" t="s">
        <v>73</v>
      </c>
      <c r="E31" s="109">
        <v>21.785</v>
      </c>
      <c r="F31" s="90">
        <v>0.03</v>
      </c>
      <c r="G31" s="90">
        <v>-0.03</v>
      </c>
      <c r="H31" s="91" t="s">
        <v>344</v>
      </c>
      <c r="I31" s="92" t="s">
        <v>186</v>
      </c>
      <c r="J31" s="51">
        <f t="shared" si="10"/>
        <v>21.815000000000001</v>
      </c>
      <c r="K31" s="51">
        <f t="shared" si="11"/>
        <v>21.754999999999999</v>
      </c>
      <c r="L31" s="107"/>
      <c r="M31" s="94">
        <f t="shared" si="0"/>
        <v>0</v>
      </c>
      <c r="N31" s="94">
        <f t="shared" si="1"/>
        <v>0</v>
      </c>
      <c r="O31" s="94">
        <f t="shared" si="2"/>
        <v>0</v>
      </c>
      <c r="P31" s="95">
        <f t="shared" si="3"/>
        <v>0</v>
      </c>
      <c r="Q31" s="96" t="str">
        <f t="shared" si="4"/>
        <v/>
      </c>
      <c r="R31" s="97" t="str">
        <f>IF(OR($AI31="",ISNUMBER($AI31)=FALSE),"",IF(AND(#REF!="Tolerance",$E31&lt;&gt;""),($O31-$E31)/(($J31-$K31)/2),IF(AND(#REF!="GD&amp;T",$F31&lt;&gt;""),$O31/$F31,"")))</f>
        <v/>
      </c>
      <c r="S31" s="97" t="str">
        <f t="shared" si="12"/>
        <v/>
      </c>
      <c r="T31" s="96" t="str">
        <f t="shared" si="5"/>
        <v/>
      </c>
      <c r="U31" s="96" t="str">
        <f t="shared" si="6"/>
        <v/>
      </c>
      <c r="V31" s="96" t="str">
        <f t="shared" si="7"/>
        <v/>
      </c>
      <c r="W31" s="108" t="str">
        <f t="shared" si="8"/>
        <v/>
      </c>
      <c r="X31" s="99" t="e">
        <f>IF($O31="","",IF(#REF!="Tolerance",IF((#REF!*3*P31+O31)-E31&lt;F31,"",(#REF!*3*P31+O31)-E31),IF(OR(#REF!="GD&amp;T",#REF!="MAX"),IF((#REF!*3*P31+O31)&lt;F31,"",(#REF!*3*P31+O31)),"")))</f>
        <v>#REF!</v>
      </c>
      <c r="Y31" s="99" t="e">
        <f>IF(O31="","",IF(#REF!="Tolerance",IF(-((#REF!*3*P31)-O31)-E31&gt;G31,"",-((#REF!*3*P31)-O31)-E31),IF(#REF!="MIN",IF(-((#REF!*3*P31)-O31)&gt;G31,"",-((#REF!*3*P31)-O31)),"")))</f>
        <v>#REF!</v>
      </c>
      <c r="Z31" s="99">
        <f t="shared" si="13"/>
        <v>21.785</v>
      </c>
      <c r="AA31" s="99" t="str">
        <f t="shared" si="9"/>
        <v/>
      </c>
      <c r="AB31" s="100"/>
      <c r="AC31" s="101" t="str">
        <f t="shared" si="14"/>
        <v/>
      </c>
      <c r="AD31" s="102"/>
      <c r="AE31" s="103"/>
      <c r="AF31" s="103"/>
      <c r="AG31" s="104"/>
      <c r="AH31">
        <v>26</v>
      </c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</row>
    <row r="32" spans="1:1023 1027:2047 2057:3070 3082:3495" ht="15" customHeight="1">
      <c r="A32">
        <v>27</v>
      </c>
      <c r="B32" s="87" t="s">
        <v>112</v>
      </c>
      <c r="C32" s="88" t="s">
        <v>272</v>
      </c>
      <c r="D32" s="89" t="s">
        <v>73</v>
      </c>
      <c r="E32" s="109">
        <v>7.8250000000000002</v>
      </c>
      <c r="F32" s="90">
        <v>0.03</v>
      </c>
      <c r="G32" s="90">
        <v>-0.03</v>
      </c>
      <c r="H32" s="91" t="s">
        <v>344</v>
      </c>
      <c r="I32" s="92" t="s">
        <v>186</v>
      </c>
      <c r="J32" s="51">
        <f t="shared" si="10"/>
        <v>7.8550000000000004</v>
      </c>
      <c r="K32" s="51">
        <f t="shared" si="11"/>
        <v>7.7949999999999999</v>
      </c>
      <c r="L32" s="107"/>
      <c r="M32" s="94">
        <f t="shared" si="0"/>
        <v>0</v>
      </c>
      <c r="N32" s="94">
        <f t="shared" si="1"/>
        <v>0</v>
      </c>
      <c r="O32" s="94">
        <f t="shared" si="2"/>
        <v>0</v>
      </c>
      <c r="P32" s="95">
        <f t="shared" si="3"/>
        <v>0</v>
      </c>
      <c r="Q32" s="96" t="str">
        <f t="shared" si="4"/>
        <v/>
      </c>
      <c r="R32" s="97" t="str">
        <f>IF(OR($AI32="",ISNUMBER($AI32)=FALSE),"",IF(AND(#REF!="Tolerance",$E32&lt;&gt;""),($O32-$E32)/(($J32-$K32)/2),IF(AND(#REF!="GD&amp;T",$F32&lt;&gt;""),$O32/$F32,"")))</f>
        <v/>
      </c>
      <c r="S32" s="97" t="str">
        <f t="shared" si="12"/>
        <v/>
      </c>
      <c r="T32" s="96" t="str">
        <f t="shared" si="5"/>
        <v/>
      </c>
      <c r="U32" s="96" t="str">
        <f t="shared" si="6"/>
        <v/>
      </c>
      <c r="V32" s="96" t="str">
        <f t="shared" si="7"/>
        <v/>
      </c>
      <c r="W32" s="108" t="str">
        <f t="shared" si="8"/>
        <v/>
      </c>
      <c r="X32" s="99" t="e">
        <f>IF($O32="","",IF(#REF!="Tolerance",IF((#REF!*3*P32+O32)-E32&lt;F32,"",(#REF!*3*P32+O32)-E32),IF(OR(#REF!="GD&amp;T",#REF!="MAX"),IF((#REF!*3*P32+O32)&lt;F32,"",(#REF!*3*P32+O32)),"")))</f>
        <v>#REF!</v>
      </c>
      <c r="Y32" s="99" t="e">
        <f>IF(O32="","",IF(#REF!="Tolerance",IF(-((#REF!*3*P32)-O32)-E32&gt;G32,"",-((#REF!*3*P32)-O32)-E32),IF(#REF!="MIN",IF(-((#REF!*3*P32)-O32)&gt;G32,"",-((#REF!*3*P32)-O32)),"")))</f>
        <v>#REF!</v>
      </c>
      <c r="Z32" s="99">
        <f t="shared" si="13"/>
        <v>7.8250000000000002</v>
      </c>
      <c r="AA32" s="99" t="str">
        <f t="shared" si="9"/>
        <v/>
      </c>
      <c r="AB32" s="100"/>
      <c r="AC32" s="101" t="str">
        <f t="shared" si="14"/>
        <v/>
      </c>
      <c r="AD32" s="102"/>
      <c r="AE32" s="103"/>
      <c r="AF32" s="103"/>
      <c r="AG32" s="104"/>
      <c r="AH32">
        <v>27</v>
      </c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</row>
    <row r="33" spans="1:66" ht="15" customHeight="1">
      <c r="A33">
        <v>28</v>
      </c>
      <c r="B33" s="87" t="s">
        <v>113</v>
      </c>
      <c r="C33" s="88" t="s">
        <v>211</v>
      </c>
      <c r="D33" s="89" t="s">
        <v>73</v>
      </c>
      <c r="E33" s="109">
        <v>7.8250000000000002</v>
      </c>
      <c r="F33" s="90">
        <v>0.03</v>
      </c>
      <c r="G33" s="90">
        <v>-0.03</v>
      </c>
      <c r="H33" s="91" t="s">
        <v>344</v>
      </c>
      <c r="I33" s="92" t="s">
        <v>186</v>
      </c>
      <c r="J33" s="51">
        <f t="shared" si="10"/>
        <v>7.8550000000000004</v>
      </c>
      <c r="K33" s="51">
        <f t="shared" si="11"/>
        <v>7.7949999999999999</v>
      </c>
      <c r="L33" s="107"/>
      <c r="M33" s="94">
        <f t="shared" si="0"/>
        <v>0</v>
      </c>
      <c r="N33" s="94">
        <f t="shared" si="1"/>
        <v>0</v>
      </c>
      <c r="O33" s="94">
        <f t="shared" si="2"/>
        <v>0</v>
      </c>
      <c r="P33" s="95">
        <f t="shared" si="3"/>
        <v>0</v>
      </c>
      <c r="Q33" s="96" t="str">
        <f t="shared" si="4"/>
        <v/>
      </c>
      <c r="R33" s="97" t="str">
        <f>IF(OR($AI33="",ISNUMBER($AI33)=FALSE),"",IF(AND(#REF!="Tolerance",$E33&lt;&gt;""),($O33-$E33)/(($J33-$K33)/2),IF(AND(#REF!="GD&amp;T",$F33&lt;&gt;""),$O33/$F33,"")))</f>
        <v/>
      </c>
      <c r="S33" s="97" t="str">
        <f t="shared" si="12"/>
        <v/>
      </c>
      <c r="T33" s="96" t="str">
        <f t="shared" si="5"/>
        <v/>
      </c>
      <c r="U33" s="96" t="str">
        <f t="shared" si="6"/>
        <v/>
      </c>
      <c r="V33" s="96" t="str">
        <f t="shared" si="7"/>
        <v/>
      </c>
      <c r="W33" s="108" t="str">
        <f t="shared" si="8"/>
        <v/>
      </c>
      <c r="X33" s="99" t="e">
        <f>IF($O33="","",IF(#REF!="Tolerance",IF((#REF!*3*P33+O33)-E33&lt;F33,"",(#REF!*3*P33+O33)-E33),IF(OR(#REF!="GD&amp;T",#REF!="MAX"),IF((#REF!*3*P33+O33)&lt;F33,"",(#REF!*3*P33+O33)),"")))</f>
        <v>#REF!</v>
      </c>
      <c r="Y33" s="99" t="e">
        <f>IF(O33="","",IF(#REF!="Tolerance",IF(-((#REF!*3*P33)-O33)-E33&gt;G33,"",-((#REF!*3*P33)-O33)-E33),IF(#REF!="MIN",IF(-((#REF!*3*P33)-O33)&gt;G33,"",-((#REF!*3*P33)-O33)),"")))</f>
        <v>#REF!</v>
      </c>
      <c r="Z33" s="99">
        <f t="shared" si="13"/>
        <v>7.8250000000000002</v>
      </c>
      <c r="AA33" s="99" t="str">
        <f t="shared" si="9"/>
        <v/>
      </c>
      <c r="AB33" s="100"/>
      <c r="AC33" s="101" t="str">
        <f t="shared" si="14"/>
        <v/>
      </c>
      <c r="AD33" s="102"/>
      <c r="AE33" s="103"/>
      <c r="AF33" s="103"/>
      <c r="AG33" s="104"/>
      <c r="AH33">
        <v>28</v>
      </c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</row>
    <row r="34" spans="1:66" ht="15" customHeight="1">
      <c r="A34">
        <v>29</v>
      </c>
      <c r="B34" s="87" t="s">
        <v>114</v>
      </c>
      <c r="C34" s="88" t="s">
        <v>274</v>
      </c>
      <c r="D34" s="89" t="s">
        <v>73</v>
      </c>
      <c r="E34" s="109">
        <v>21.125</v>
      </c>
      <c r="F34" s="90">
        <v>0.03</v>
      </c>
      <c r="G34" s="90">
        <v>-0.03</v>
      </c>
      <c r="H34" s="91" t="s">
        <v>81</v>
      </c>
      <c r="I34" s="92" t="s">
        <v>186</v>
      </c>
      <c r="J34" s="51">
        <f t="shared" si="10"/>
        <v>21.155000000000001</v>
      </c>
      <c r="K34" s="51">
        <f t="shared" si="11"/>
        <v>21.094999999999999</v>
      </c>
      <c r="L34" s="107"/>
      <c r="M34" s="94">
        <f t="shared" si="0"/>
        <v>0</v>
      </c>
      <c r="N34" s="94">
        <f t="shared" si="1"/>
        <v>0</v>
      </c>
      <c r="O34" s="94">
        <f t="shared" si="2"/>
        <v>0</v>
      </c>
      <c r="P34" s="95">
        <f t="shared" si="3"/>
        <v>0</v>
      </c>
      <c r="Q34" s="96" t="str">
        <f t="shared" si="4"/>
        <v/>
      </c>
      <c r="R34" s="97" t="str">
        <f>IF(OR($AI34="",ISNUMBER($AI34)=FALSE),"",IF(AND(#REF!="Tolerance",$E34&lt;&gt;""),($O34-$E34)/(($J34-$K34)/2),IF(AND(#REF!="GD&amp;T",$F34&lt;&gt;""),$O34/$F34,"")))</f>
        <v/>
      </c>
      <c r="S34" s="97" t="str">
        <f t="shared" si="12"/>
        <v/>
      </c>
      <c r="T34" s="96" t="str">
        <f t="shared" si="5"/>
        <v/>
      </c>
      <c r="U34" s="96" t="str">
        <f t="shared" si="6"/>
        <v/>
      </c>
      <c r="V34" s="96" t="str">
        <f t="shared" si="7"/>
        <v/>
      </c>
      <c r="W34" s="108" t="str">
        <f t="shared" si="8"/>
        <v/>
      </c>
      <c r="X34" s="99" t="e">
        <f>IF($O34="","",IF(#REF!="Tolerance",IF((#REF!*3*P34+O34)-E34&lt;F34,"",(#REF!*3*P34+O34)-E34),IF(OR(#REF!="GD&amp;T",#REF!="MAX"),IF((#REF!*3*P34+O34)&lt;F34,"",(#REF!*3*P34+O34)),"")))</f>
        <v>#REF!</v>
      </c>
      <c r="Y34" s="99" t="e">
        <f>IF(O34="","",IF(#REF!="Tolerance",IF(-((#REF!*3*P34)-O34)-E34&gt;G34,"",-((#REF!*3*P34)-O34)-E34),IF(#REF!="MIN",IF(-((#REF!*3*P34)-O34)&gt;G34,"",-((#REF!*3*P34)-O34)),"")))</f>
        <v>#REF!</v>
      </c>
      <c r="Z34" s="99">
        <f t="shared" si="13"/>
        <v>21.125</v>
      </c>
      <c r="AA34" s="99" t="str">
        <f t="shared" si="9"/>
        <v/>
      </c>
      <c r="AB34" s="100"/>
      <c r="AC34" s="101" t="str">
        <f t="shared" si="14"/>
        <v/>
      </c>
      <c r="AD34" s="102"/>
      <c r="AE34" s="103"/>
      <c r="AF34" s="103"/>
      <c r="AG34" s="104"/>
      <c r="AH34">
        <v>29</v>
      </c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</row>
    <row r="35" spans="1:66" ht="15" customHeight="1">
      <c r="A35">
        <v>30</v>
      </c>
      <c r="B35" s="87" t="s">
        <v>115</v>
      </c>
      <c r="C35" s="88" t="s">
        <v>212</v>
      </c>
      <c r="D35" s="89" t="s">
        <v>73</v>
      </c>
      <c r="E35" s="109">
        <v>21.125</v>
      </c>
      <c r="F35" s="90">
        <v>0.03</v>
      </c>
      <c r="G35" s="90">
        <v>-0.03</v>
      </c>
      <c r="H35" s="91" t="s">
        <v>81</v>
      </c>
      <c r="I35" s="92" t="s">
        <v>186</v>
      </c>
      <c r="J35" s="51">
        <f t="shared" si="10"/>
        <v>21.155000000000001</v>
      </c>
      <c r="K35" s="51">
        <f t="shared" si="11"/>
        <v>21.094999999999999</v>
      </c>
      <c r="L35" s="107"/>
      <c r="M35" s="94">
        <f t="shared" si="0"/>
        <v>0</v>
      </c>
      <c r="N35" s="94">
        <f t="shared" si="1"/>
        <v>0</v>
      </c>
      <c r="O35" s="94">
        <f t="shared" si="2"/>
        <v>0</v>
      </c>
      <c r="P35" s="95">
        <f t="shared" si="3"/>
        <v>0</v>
      </c>
      <c r="Q35" s="96" t="str">
        <f t="shared" si="4"/>
        <v/>
      </c>
      <c r="R35" s="97" t="str">
        <f>IF(OR($AI35="",ISNUMBER($AI35)=FALSE),"",IF(AND(#REF!="Tolerance",$E35&lt;&gt;""),($O35-$E35)/(($J35-$K35)/2),IF(AND(#REF!="GD&amp;T",$F35&lt;&gt;""),$O35/$F35,"")))</f>
        <v/>
      </c>
      <c r="S35" s="97" t="str">
        <f t="shared" si="12"/>
        <v/>
      </c>
      <c r="T35" s="96" t="str">
        <f t="shared" si="5"/>
        <v/>
      </c>
      <c r="U35" s="96" t="str">
        <f t="shared" si="6"/>
        <v/>
      </c>
      <c r="V35" s="96" t="str">
        <f t="shared" si="7"/>
        <v/>
      </c>
      <c r="W35" s="108" t="str">
        <f t="shared" si="8"/>
        <v/>
      </c>
      <c r="X35" s="99" t="e">
        <f>IF($O35="","",IF(#REF!="Tolerance",IF((#REF!*3*P35+O35)-E35&lt;F35,"",(#REF!*3*P35+O35)-E35),IF(OR(#REF!="GD&amp;T",#REF!="MAX"),IF((#REF!*3*P35+O35)&lt;F35,"",(#REF!*3*P35+O35)),"")))</f>
        <v>#REF!</v>
      </c>
      <c r="Y35" s="99" t="e">
        <f>IF(O35="","",IF(#REF!="Tolerance",IF(-((#REF!*3*P35)-O35)-E35&gt;G35,"",-((#REF!*3*P35)-O35)-E35),IF(#REF!="MIN",IF(-((#REF!*3*P35)-O35)&gt;G35,"",-((#REF!*3*P35)-O35)),"")))</f>
        <v>#REF!</v>
      </c>
      <c r="Z35" s="99">
        <f t="shared" si="13"/>
        <v>21.125</v>
      </c>
      <c r="AA35" s="99" t="str">
        <f t="shared" si="9"/>
        <v/>
      </c>
      <c r="AB35" s="100"/>
      <c r="AC35" s="101" t="str">
        <f t="shared" si="14"/>
        <v/>
      </c>
      <c r="AD35" s="102"/>
      <c r="AE35" s="103"/>
      <c r="AF35" s="103"/>
      <c r="AG35" s="104"/>
      <c r="AH35">
        <v>30</v>
      </c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</row>
    <row r="36" spans="1:66" ht="15" customHeight="1">
      <c r="A36">
        <v>31</v>
      </c>
      <c r="B36" s="87" t="s">
        <v>116</v>
      </c>
      <c r="C36" s="88" t="s">
        <v>213</v>
      </c>
      <c r="D36" s="89" t="s">
        <v>73</v>
      </c>
      <c r="E36" s="109">
        <v>21.125</v>
      </c>
      <c r="F36" s="90">
        <v>0.03</v>
      </c>
      <c r="G36" s="90">
        <v>-0.03</v>
      </c>
      <c r="H36" s="91" t="s">
        <v>81</v>
      </c>
      <c r="I36" s="92" t="s">
        <v>186</v>
      </c>
      <c r="J36" s="51">
        <f t="shared" si="10"/>
        <v>21.155000000000001</v>
      </c>
      <c r="K36" s="51">
        <f t="shared" si="11"/>
        <v>21.094999999999999</v>
      </c>
      <c r="L36" s="107"/>
      <c r="M36" s="94">
        <f t="shared" si="0"/>
        <v>0</v>
      </c>
      <c r="N36" s="94">
        <f t="shared" si="1"/>
        <v>0</v>
      </c>
      <c r="O36" s="94">
        <f t="shared" si="2"/>
        <v>0</v>
      </c>
      <c r="P36" s="95">
        <f t="shared" si="3"/>
        <v>0</v>
      </c>
      <c r="Q36" s="96" t="str">
        <f t="shared" si="4"/>
        <v/>
      </c>
      <c r="R36" s="97" t="str">
        <f>IF(OR($AI36="",ISNUMBER($AI36)=FALSE),"",IF(AND(#REF!="Tolerance",$E36&lt;&gt;""),($O36-$E36)/(($J36-$K36)/2),IF(AND(#REF!="GD&amp;T",$F36&lt;&gt;""),$O36/$F36,"")))</f>
        <v/>
      </c>
      <c r="S36" s="97" t="str">
        <f t="shared" si="12"/>
        <v/>
      </c>
      <c r="T36" s="96" t="str">
        <f t="shared" si="5"/>
        <v/>
      </c>
      <c r="U36" s="96" t="str">
        <f t="shared" si="6"/>
        <v/>
      </c>
      <c r="V36" s="96" t="str">
        <f t="shared" si="7"/>
        <v/>
      </c>
      <c r="W36" s="108" t="str">
        <f t="shared" si="8"/>
        <v/>
      </c>
      <c r="X36" s="99" t="e">
        <f>IF($O36="","",IF(#REF!="Tolerance",IF((#REF!*3*P36+O36)-E36&lt;F36,"",(#REF!*3*P36+O36)-E36),IF(OR(#REF!="GD&amp;T",#REF!="MAX"),IF((#REF!*3*P36+O36)&lt;F36,"",(#REF!*3*P36+O36)),"")))</f>
        <v>#REF!</v>
      </c>
      <c r="Y36" s="99" t="e">
        <f>IF(O36="","",IF(#REF!="Tolerance",IF(-((#REF!*3*P36)-O36)-E36&gt;G36,"",-((#REF!*3*P36)-O36)-E36),IF(#REF!="MIN",IF(-((#REF!*3*P36)-O36)&gt;G36,"",-((#REF!*3*P36)-O36)),"")))</f>
        <v>#REF!</v>
      </c>
      <c r="Z36" s="99">
        <f t="shared" si="13"/>
        <v>21.125</v>
      </c>
      <c r="AA36" s="99" t="str">
        <f t="shared" si="9"/>
        <v/>
      </c>
      <c r="AB36" s="100"/>
      <c r="AC36" s="101" t="str">
        <f t="shared" si="14"/>
        <v/>
      </c>
      <c r="AD36" s="102"/>
      <c r="AE36" s="103"/>
      <c r="AF36" s="103"/>
      <c r="AG36" s="104"/>
      <c r="AH36">
        <v>31</v>
      </c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</row>
    <row r="37" spans="1:66" ht="15" customHeight="1">
      <c r="A37">
        <v>32</v>
      </c>
      <c r="B37" s="87" t="s">
        <v>117</v>
      </c>
      <c r="C37" s="88" t="s">
        <v>275</v>
      </c>
      <c r="D37" s="89" t="s">
        <v>73</v>
      </c>
      <c r="E37" s="109">
        <v>21.504999999999999</v>
      </c>
      <c r="F37" s="90">
        <v>3.5000000000000003E-2</v>
      </c>
      <c r="G37" s="90">
        <v>-3.5000000000000003E-2</v>
      </c>
      <c r="H37" s="91" t="s">
        <v>344</v>
      </c>
      <c r="I37" s="92" t="s">
        <v>186</v>
      </c>
      <c r="J37" s="51">
        <f t="shared" si="10"/>
        <v>21.54</v>
      </c>
      <c r="K37" s="51">
        <f t="shared" si="11"/>
        <v>21.47</v>
      </c>
      <c r="L37" s="107"/>
      <c r="M37" s="94">
        <f t="shared" si="0"/>
        <v>0</v>
      </c>
      <c r="N37" s="94">
        <f t="shared" si="1"/>
        <v>0</v>
      </c>
      <c r="O37" s="94">
        <f t="shared" si="2"/>
        <v>0</v>
      </c>
      <c r="P37" s="95">
        <f t="shared" si="3"/>
        <v>0</v>
      </c>
      <c r="Q37" s="96" t="str">
        <f t="shared" si="4"/>
        <v/>
      </c>
      <c r="R37" s="97" t="str">
        <f>IF(OR($AI37="",ISNUMBER($AI37)=FALSE),"",IF(AND(#REF!="Tolerance",$E37&lt;&gt;""),($O37-$E37)/(($J37-$K37)/2),IF(AND(#REF!="GD&amp;T",$F37&lt;&gt;""),$O37/$F37,"")))</f>
        <v/>
      </c>
      <c r="S37" s="97" t="str">
        <f t="shared" si="12"/>
        <v/>
      </c>
      <c r="T37" s="96" t="str">
        <f t="shared" si="5"/>
        <v/>
      </c>
      <c r="U37" s="96" t="str">
        <f t="shared" si="6"/>
        <v/>
      </c>
      <c r="V37" s="96" t="str">
        <f t="shared" si="7"/>
        <v/>
      </c>
      <c r="W37" s="108" t="str">
        <f t="shared" si="8"/>
        <v/>
      </c>
      <c r="X37" s="99" t="e">
        <f>IF($O37="","",IF(#REF!="Tolerance",IF((#REF!*3*P37+O37)-E37&lt;F37,"",(#REF!*3*P37+O37)-E37),IF(OR(#REF!="GD&amp;T",#REF!="MAX"),IF((#REF!*3*P37+O37)&lt;F37,"",(#REF!*3*P37+O37)),"")))</f>
        <v>#REF!</v>
      </c>
      <c r="Y37" s="99" t="e">
        <f>IF(O37="","",IF(#REF!="Tolerance",IF(-((#REF!*3*P37)-O37)-E37&gt;G37,"",-((#REF!*3*P37)-O37)-E37),IF(#REF!="MIN",IF(-((#REF!*3*P37)-O37)&gt;G37,"",-((#REF!*3*P37)-O37)),"")))</f>
        <v>#REF!</v>
      </c>
      <c r="Z37" s="99">
        <f t="shared" si="13"/>
        <v>21.504999999999999</v>
      </c>
      <c r="AA37" s="99" t="str">
        <f t="shared" si="9"/>
        <v/>
      </c>
      <c r="AB37" s="100"/>
      <c r="AC37" s="101" t="str">
        <f t="shared" si="14"/>
        <v/>
      </c>
      <c r="AD37" s="102"/>
      <c r="AE37" s="103"/>
      <c r="AF37" s="103"/>
      <c r="AG37" s="104"/>
      <c r="AH37">
        <v>32</v>
      </c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</row>
    <row r="38" spans="1:66" ht="15" customHeight="1">
      <c r="A38">
        <v>33</v>
      </c>
      <c r="B38" s="87" t="s">
        <v>118</v>
      </c>
      <c r="C38" s="88" t="s">
        <v>214</v>
      </c>
      <c r="D38" s="89" t="s">
        <v>73</v>
      </c>
      <c r="E38" s="109">
        <v>21.504999999999999</v>
      </c>
      <c r="F38" s="90">
        <v>3.5000000000000003E-2</v>
      </c>
      <c r="G38" s="90">
        <v>-3.5000000000000003E-2</v>
      </c>
      <c r="H38" s="91" t="s">
        <v>344</v>
      </c>
      <c r="I38" s="92" t="s">
        <v>186</v>
      </c>
      <c r="J38" s="51">
        <f t="shared" si="10"/>
        <v>21.54</v>
      </c>
      <c r="K38" s="51">
        <f t="shared" si="11"/>
        <v>21.47</v>
      </c>
      <c r="L38" s="107"/>
      <c r="M38" s="94">
        <f t="shared" si="0"/>
        <v>0</v>
      </c>
      <c r="N38" s="94">
        <f t="shared" si="1"/>
        <v>0</v>
      </c>
      <c r="O38" s="94">
        <f t="shared" si="2"/>
        <v>0</v>
      </c>
      <c r="P38" s="95">
        <f t="shared" si="3"/>
        <v>0</v>
      </c>
      <c r="Q38" s="96" t="str">
        <f t="shared" si="4"/>
        <v/>
      </c>
      <c r="R38" s="97" t="str">
        <f>IF(OR($AI38="",ISNUMBER($AI38)=FALSE),"",IF(AND(#REF!="Tolerance",$E38&lt;&gt;""),($O38-$E38)/(($J38-$K38)/2),IF(AND(#REF!="GD&amp;T",$F38&lt;&gt;""),$O38/$F38,"")))</f>
        <v/>
      </c>
      <c r="S38" s="97" t="str">
        <f t="shared" si="12"/>
        <v/>
      </c>
      <c r="T38" s="96" t="str">
        <f t="shared" si="5"/>
        <v/>
      </c>
      <c r="U38" s="96" t="str">
        <f t="shared" si="6"/>
        <v/>
      </c>
      <c r="V38" s="96" t="str">
        <f t="shared" si="7"/>
        <v/>
      </c>
      <c r="W38" s="108" t="str">
        <f t="shared" si="8"/>
        <v/>
      </c>
      <c r="X38" s="99" t="e">
        <f>IF($O38="","",IF(#REF!="Tolerance",IF((#REF!*3*P38+O38)-E38&lt;F38,"",(#REF!*3*P38+O38)-E38),IF(OR(#REF!="GD&amp;T",#REF!="MAX"),IF((#REF!*3*P38+O38)&lt;F38,"",(#REF!*3*P38+O38)),"")))</f>
        <v>#REF!</v>
      </c>
      <c r="Y38" s="99" t="e">
        <f>IF(O38="","",IF(#REF!="Tolerance",IF(-((#REF!*3*P38)-O38)-E38&gt;G38,"",-((#REF!*3*P38)-O38)-E38),IF(#REF!="MIN",IF(-((#REF!*3*P38)-O38)&gt;G38,"",-((#REF!*3*P38)-O38)),"")))</f>
        <v>#REF!</v>
      </c>
      <c r="Z38" s="99">
        <f t="shared" si="13"/>
        <v>21.504999999999999</v>
      </c>
      <c r="AA38" s="99" t="str">
        <f t="shared" si="9"/>
        <v/>
      </c>
      <c r="AB38" s="100"/>
      <c r="AC38" s="101" t="str">
        <f t="shared" si="14"/>
        <v/>
      </c>
      <c r="AD38" s="102"/>
      <c r="AE38" s="103"/>
      <c r="AF38" s="103"/>
      <c r="AG38" s="104"/>
      <c r="AH38">
        <v>33</v>
      </c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</row>
    <row r="39" spans="1:66" ht="15" customHeight="1">
      <c r="A39">
        <v>34</v>
      </c>
      <c r="B39" s="87" t="s">
        <v>119</v>
      </c>
      <c r="C39" s="88" t="s">
        <v>278</v>
      </c>
      <c r="D39" s="89" t="s">
        <v>73</v>
      </c>
      <c r="E39" s="109">
        <v>16.905000000000001</v>
      </c>
      <c r="F39" s="90">
        <v>3.5000000000000003E-2</v>
      </c>
      <c r="G39" s="90">
        <v>-3.5000000000000003E-2</v>
      </c>
      <c r="H39" s="91" t="s">
        <v>344</v>
      </c>
      <c r="I39" s="92" t="s">
        <v>186</v>
      </c>
      <c r="J39" s="51">
        <f t="shared" si="10"/>
        <v>16.940000000000001</v>
      </c>
      <c r="K39" s="51">
        <f t="shared" si="11"/>
        <v>16.87</v>
      </c>
      <c r="L39" s="107"/>
      <c r="M39" s="94">
        <f t="shared" si="0"/>
        <v>0</v>
      </c>
      <c r="N39" s="94">
        <f t="shared" si="1"/>
        <v>0</v>
      </c>
      <c r="O39" s="94">
        <f t="shared" si="2"/>
        <v>0</v>
      </c>
      <c r="P39" s="95">
        <f t="shared" si="3"/>
        <v>0</v>
      </c>
      <c r="Q39" s="96" t="str">
        <f t="shared" si="4"/>
        <v/>
      </c>
      <c r="R39" s="97" t="str">
        <f>IF(OR($AI39="",ISNUMBER($AI39)=FALSE),"",IF(AND(#REF!="Tolerance",$E39&lt;&gt;""),($O39-$E39)/(($J39-$K39)/2),IF(AND(#REF!="GD&amp;T",$F39&lt;&gt;""),$O39/$F39,"")))</f>
        <v/>
      </c>
      <c r="S39" s="97" t="str">
        <f t="shared" si="12"/>
        <v/>
      </c>
      <c r="T39" s="96" t="str">
        <f t="shared" si="5"/>
        <v/>
      </c>
      <c r="U39" s="96" t="str">
        <f t="shared" si="6"/>
        <v/>
      </c>
      <c r="V39" s="96" t="str">
        <f t="shared" si="7"/>
        <v/>
      </c>
      <c r="W39" s="108" t="str">
        <f t="shared" si="8"/>
        <v/>
      </c>
      <c r="X39" s="99" t="e">
        <f>IF($O39="","",IF(#REF!="Tolerance",IF((#REF!*3*P39+O39)-E39&lt;F39,"",(#REF!*3*P39+O39)-E39),IF(OR(#REF!="GD&amp;T",#REF!="MAX"),IF((#REF!*3*P39+O39)&lt;F39,"",(#REF!*3*P39+O39)),"")))</f>
        <v>#REF!</v>
      </c>
      <c r="Y39" s="99" t="e">
        <f>IF(O39="","",IF(#REF!="Tolerance",IF(-((#REF!*3*P39)-O39)-E39&gt;G39,"",-((#REF!*3*P39)-O39)-E39),IF(#REF!="MIN",IF(-((#REF!*3*P39)-O39)&gt;G39,"",-((#REF!*3*P39)-O39)),"")))</f>
        <v>#REF!</v>
      </c>
      <c r="Z39" s="99">
        <f t="shared" si="13"/>
        <v>16.905000000000001</v>
      </c>
      <c r="AA39" s="99" t="str">
        <f t="shared" si="9"/>
        <v/>
      </c>
      <c r="AB39" s="100"/>
      <c r="AC39" s="101" t="str">
        <f t="shared" si="14"/>
        <v/>
      </c>
      <c r="AD39" s="102"/>
      <c r="AE39" s="103"/>
      <c r="AF39" s="103"/>
      <c r="AG39" s="104"/>
      <c r="AH39">
        <v>34</v>
      </c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</row>
    <row r="40" spans="1:66" ht="15" customHeight="1">
      <c r="A40">
        <v>43</v>
      </c>
      <c r="B40" s="87" t="s">
        <v>120</v>
      </c>
      <c r="C40" s="88" t="s">
        <v>215</v>
      </c>
      <c r="D40" s="89" t="s">
        <v>73</v>
      </c>
      <c r="E40" s="109">
        <v>16.905000000000001</v>
      </c>
      <c r="F40" s="90">
        <v>3.5000000000000003E-2</v>
      </c>
      <c r="G40" s="90">
        <v>-3.5000000000000003E-2</v>
      </c>
      <c r="H40" s="91" t="s">
        <v>344</v>
      </c>
      <c r="I40" s="92" t="s">
        <v>186</v>
      </c>
      <c r="J40" s="51">
        <f t="shared" si="10"/>
        <v>16.940000000000001</v>
      </c>
      <c r="K40" s="51">
        <f t="shared" si="11"/>
        <v>16.87</v>
      </c>
      <c r="L40" s="107"/>
      <c r="M40" s="94">
        <f t="shared" si="0"/>
        <v>0</v>
      </c>
      <c r="N40" s="94">
        <f t="shared" si="1"/>
        <v>0</v>
      </c>
      <c r="O40" s="94">
        <f t="shared" si="2"/>
        <v>0</v>
      </c>
      <c r="P40" s="95">
        <f t="shared" si="3"/>
        <v>0</v>
      </c>
      <c r="Q40" s="96" t="str">
        <f t="shared" si="4"/>
        <v/>
      </c>
      <c r="R40" s="97" t="str">
        <f>IF(OR($AI40="",ISNUMBER($AI40)=FALSE),"",IF(AND(#REF!="Tolerance",$E40&lt;&gt;""),($O40-$E40)/(($J40-$K40)/2),IF(AND(#REF!="GD&amp;T",$F40&lt;&gt;""),$O40/$F40,"")))</f>
        <v/>
      </c>
      <c r="S40" s="97" t="str">
        <f t="shared" si="12"/>
        <v/>
      </c>
      <c r="T40" s="96" t="str">
        <f t="shared" si="5"/>
        <v/>
      </c>
      <c r="U40" s="96" t="str">
        <f t="shared" si="6"/>
        <v/>
      </c>
      <c r="V40" s="96" t="str">
        <f t="shared" si="7"/>
        <v/>
      </c>
      <c r="W40" s="108" t="str">
        <f t="shared" si="8"/>
        <v/>
      </c>
      <c r="X40" s="99" t="e">
        <f>IF($O40="","",IF(#REF!="Tolerance",IF((#REF!*3*P40+O40)-E40&lt;F40,"",(#REF!*3*P40+O40)-E40),IF(OR(#REF!="GD&amp;T",#REF!="MAX"),IF((#REF!*3*P40+O40)&lt;F40,"",(#REF!*3*P40+O40)),"")))</f>
        <v>#REF!</v>
      </c>
      <c r="Y40" s="99" t="e">
        <f>IF(O40="","",IF(#REF!="Tolerance",IF(-((#REF!*3*P40)-O40)-E40&gt;G40,"",-((#REF!*3*P40)-O40)-E40),IF(#REF!="MIN",IF(-((#REF!*3*P40)-O40)&gt;G40,"",-((#REF!*3*P40)-O40)),"")))</f>
        <v>#REF!</v>
      </c>
      <c r="Z40" s="99">
        <f t="shared" si="13"/>
        <v>16.905000000000001</v>
      </c>
      <c r="AA40" s="99" t="str">
        <f t="shared" si="9"/>
        <v/>
      </c>
      <c r="AB40" s="100"/>
      <c r="AC40" s="101" t="str">
        <f t="shared" si="14"/>
        <v/>
      </c>
      <c r="AD40" s="102"/>
      <c r="AE40" s="103"/>
      <c r="AF40" s="103"/>
      <c r="AG40" s="104"/>
      <c r="AH40">
        <v>43</v>
      </c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</row>
    <row r="41" spans="1:66" ht="15" customHeight="1">
      <c r="A41">
        <v>44</v>
      </c>
      <c r="B41" s="87" t="s">
        <v>121</v>
      </c>
      <c r="C41" s="88" t="s">
        <v>216</v>
      </c>
      <c r="D41" s="89" t="s">
        <v>73</v>
      </c>
      <c r="E41" s="109">
        <v>16.905000000000001</v>
      </c>
      <c r="F41" s="90">
        <v>3.5000000000000003E-2</v>
      </c>
      <c r="G41" s="90">
        <v>-3.5000000000000003E-2</v>
      </c>
      <c r="H41" s="91" t="s">
        <v>344</v>
      </c>
      <c r="I41" s="92" t="s">
        <v>186</v>
      </c>
      <c r="J41" s="51">
        <f t="shared" si="10"/>
        <v>16.940000000000001</v>
      </c>
      <c r="K41" s="51">
        <f t="shared" si="11"/>
        <v>16.87</v>
      </c>
      <c r="L41" s="107"/>
      <c r="M41" s="94">
        <f t="shared" si="0"/>
        <v>0</v>
      </c>
      <c r="N41" s="94">
        <f t="shared" si="1"/>
        <v>0</v>
      </c>
      <c r="O41" s="94">
        <f t="shared" si="2"/>
        <v>0</v>
      </c>
      <c r="P41" s="95">
        <f t="shared" si="3"/>
        <v>0</v>
      </c>
      <c r="Q41" s="96" t="str">
        <f t="shared" si="4"/>
        <v/>
      </c>
      <c r="R41" s="97" t="str">
        <f>IF(OR($AI41="",ISNUMBER($AI41)=FALSE),"",IF(AND(#REF!="Tolerance",$E41&lt;&gt;""),($O41-$E41)/(($J41-$K41)/2),IF(AND(#REF!="GD&amp;T",$F41&lt;&gt;""),$O41/$F41,"")))</f>
        <v/>
      </c>
      <c r="S41" s="97" t="str">
        <f t="shared" si="12"/>
        <v/>
      </c>
      <c r="T41" s="96" t="str">
        <f t="shared" si="5"/>
        <v/>
      </c>
      <c r="U41" s="96" t="str">
        <f t="shared" si="6"/>
        <v/>
      </c>
      <c r="V41" s="96" t="str">
        <f t="shared" si="7"/>
        <v/>
      </c>
      <c r="W41" s="108" t="str">
        <f t="shared" si="8"/>
        <v/>
      </c>
      <c r="X41" s="99" t="e">
        <f>IF($O41="","",IF(#REF!="Tolerance",IF((#REF!*3*P41+O41)-E41&lt;F41,"",(#REF!*3*P41+O41)-E41),IF(OR(#REF!="GD&amp;T",#REF!="MAX"),IF((#REF!*3*P41+O41)&lt;F41,"",(#REF!*3*P41+O41)),"")))</f>
        <v>#REF!</v>
      </c>
      <c r="Y41" s="99" t="e">
        <f>IF(O41="","",IF(#REF!="Tolerance",IF(-((#REF!*3*P41)-O41)-E41&gt;G41,"",-((#REF!*3*P41)-O41)-E41),IF(#REF!="MIN",IF(-((#REF!*3*P41)-O41)&gt;G41,"",-((#REF!*3*P41)-O41)),"")))</f>
        <v>#REF!</v>
      </c>
      <c r="Z41" s="99">
        <f t="shared" si="13"/>
        <v>16.905000000000001</v>
      </c>
      <c r="AA41" s="99" t="str">
        <f t="shared" si="9"/>
        <v/>
      </c>
      <c r="AB41" s="100"/>
      <c r="AC41" s="101" t="str">
        <f t="shared" si="14"/>
        <v/>
      </c>
      <c r="AD41" s="102"/>
      <c r="AE41" s="103"/>
      <c r="AF41" s="103"/>
      <c r="AG41" s="104"/>
      <c r="AH41">
        <v>44</v>
      </c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</row>
    <row r="42" spans="1:66" ht="15" customHeight="1">
      <c r="A42">
        <v>45</v>
      </c>
      <c r="B42" s="87" t="s">
        <v>122</v>
      </c>
      <c r="C42" s="88" t="s">
        <v>279</v>
      </c>
      <c r="D42" s="89" t="s">
        <v>73</v>
      </c>
      <c r="E42" s="109">
        <v>1.5349999999999999</v>
      </c>
      <c r="F42" s="90">
        <v>0.03</v>
      </c>
      <c r="G42" s="90">
        <v>-0.03</v>
      </c>
      <c r="H42" s="91" t="s">
        <v>344</v>
      </c>
      <c r="I42" s="92" t="s">
        <v>186</v>
      </c>
      <c r="J42" s="51">
        <f t="shared" si="10"/>
        <v>1.5649999999999999</v>
      </c>
      <c r="K42" s="51">
        <f t="shared" si="11"/>
        <v>1.5049999999999999</v>
      </c>
      <c r="L42" s="107"/>
      <c r="M42" s="94">
        <f t="shared" si="0"/>
        <v>0</v>
      </c>
      <c r="N42" s="94">
        <f t="shared" si="1"/>
        <v>0</v>
      </c>
      <c r="O42" s="94">
        <f t="shared" si="2"/>
        <v>0</v>
      </c>
      <c r="P42" s="95">
        <f t="shared" si="3"/>
        <v>0</v>
      </c>
      <c r="Q42" s="96" t="str">
        <f t="shared" si="4"/>
        <v/>
      </c>
      <c r="R42" s="97" t="str">
        <f>IF(OR($AI42="",ISNUMBER($AI42)=FALSE),"",IF(AND(#REF!="Tolerance",$E42&lt;&gt;""),($O42-$E42)/(($J42-$K42)/2),IF(AND(#REF!="GD&amp;T",$F42&lt;&gt;""),$O42/$F42,"")))</f>
        <v/>
      </c>
      <c r="S42" s="97" t="str">
        <f t="shared" si="12"/>
        <v/>
      </c>
      <c r="T42" s="96" t="str">
        <f t="shared" si="5"/>
        <v/>
      </c>
      <c r="U42" s="96" t="str">
        <f t="shared" si="6"/>
        <v/>
      </c>
      <c r="V42" s="96" t="str">
        <f t="shared" si="7"/>
        <v/>
      </c>
      <c r="W42" s="108" t="str">
        <f t="shared" si="8"/>
        <v/>
      </c>
      <c r="X42" s="99" t="e">
        <f>IF($O42="","",IF(#REF!="Tolerance",IF((#REF!*3*P42+O42)-E42&lt;F42,"",(#REF!*3*P42+O42)-E42),IF(OR(#REF!="GD&amp;T",#REF!="MAX"),IF((#REF!*3*P42+O42)&lt;F42,"",(#REF!*3*P42+O42)),"")))</f>
        <v>#REF!</v>
      </c>
      <c r="Y42" s="99" t="e">
        <f>IF(O42="","",IF(#REF!="Tolerance",IF(-((#REF!*3*P42)-O42)-E42&gt;G42,"",-((#REF!*3*P42)-O42)-E42),IF(#REF!="MIN",IF(-((#REF!*3*P42)-O42)&gt;G42,"",-((#REF!*3*P42)-O42)),"")))</f>
        <v>#REF!</v>
      </c>
      <c r="Z42" s="99">
        <f t="shared" si="13"/>
        <v>1.5349999999999999</v>
      </c>
      <c r="AA42" s="99" t="str">
        <f t="shared" si="9"/>
        <v/>
      </c>
      <c r="AB42" s="100"/>
      <c r="AC42" s="101" t="str">
        <f t="shared" si="14"/>
        <v/>
      </c>
      <c r="AD42" s="102"/>
      <c r="AE42" s="103"/>
      <c r="AF42" s="103"/>
      <c r="AG42" s="104"/>
      <c r="AH42">
        <v>45</v>
      </c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</row>
    <row r="43" spans="1:66" ht="15" customHeight="1">
      <c r="A43">
        <v>46</v>
      </c>
      <c r="B43" s="87" t="s">
        <v>123</v>
      </c>
      <c r="C43" s="88" t="s">
        <v>280</v>
      </c>
      <c r="D43" s="89" t="s">
        <v>73</v>
      </c>
      <c r="E43" s="109">
        <v>1.5349999999999999</v>
      </c>
      <c r="F43" s="90">
        <v>0.03</v>
      </c>
      <c r="G43" s="90">
        <v>-0.03</v>
      </c>
      <c r="H43" s="91" t="s">
        <v>344</v>
      </c>
      <c r="I43" s="92" t="s">
        <v>186</v>
      </c>
      <c r="J43" s="51">
        <f t="shared" si="10"/>
        <v>1.5649999999999999</v>
      </c>
      <c r="K43" s="51">
        <f t="shared" si="11"/>
        <v>1.5049999999999999</v>
      </c>
      <c r="L43" s="107"/>
      <c r="M43" s="94">
        <f t="shared" si="0"/>
        <v>0</v>
      </c>
      <c r="N43" s="94">
        <f t="shared" si="1"/>
        <v>0</v>
      </c>
      <c r="O43" s="94">
        <f t="shared" si="2"/>
        <v>0</v>
      </c>
      <c r="P43" s="95">
        <f t="shared" si="3"/>
        <v>0</v>
      </c>
      <c r="Q43" s="96" t="str">
        <f t="shared" si="4"/>
        <v/>
      </c>
      <c r="R43" s="97" t="str">
        <f>IF(OR($AI43="",ISNUMBER($AI43)=FALSE),"",IF(AND(#REF!="Tolerance",$E43&lt;&gt;""),($O43-$E43)/(($J43-$K43)/2),IF(AND(#REF!="GD&amp;T",$F43&lt;&gt;""),$O43/$F43,"")))</f>
        <v/>
      </c>
      <c r="S43" s="97" t="str">
        <f t="shared" si="12"/>
        <v/>
      </c>
      <c r="T43" s="96" t="str">
        <f t="shared" si="5"/>
        <v/>
      </c>
      <c r="U43" s="96" t="str">
        <f t="shared" si="6"/>
        <v/>
      </c>
      <c r="V43" s="96" t="str">
        <f t="shared" si="7"/>
        <v/>
      </c>
      <c r="W43" s="108" t="str">
        <f t="shared" si="8"/>
        <v/>
      </c>
      <c r="X43" s="99" t="e">
        <f>IF($O43="","",IF(#REF!="Tolerance",IF((#REF!*3*P43+O43)-E43&lt;F43,"",(#REF!*3*P43+O43)-E43),IF(OR(#REF!="GD&amp;T",#REF!="MAX"),IF((#REF!*3*P43+O43)&lt;F43,"",(#REF!*3*P43+O43)),"")))</f>
        <v>#REF!</v>
      </c>
      <c r="Y43" s="99" t="e">
        <f>IF(O43="","",IF(#REF!="Tolerance",IF(-((#REF!*3*P43)-O43)-E43&gt;G43,"",-((#REF!*3*P43)-O43)-E43),IF(#REF!="MIN",IF(-((#REF!*3*P43)-O43)&gt;G43,"",-((#REF!*3*P43)-O43)),"")))</f>
        <v>#REF!</v>
      </c>
      <c r="Z43" s="99">
        <f t="shared" si="13"/>
        <v>1.5349999999999999</v>
      </c>
      <c r="AA43" s="99" t="str">
        <f t="shared" si="9"/>
        <v/>
      </c>
      <c r="AB43" s="100"/>
      <c r="AC43" s="101" t="str">
        <f t="shared" si="14"/>
        <v/>
      </c>
      <c r="AD43" s="102"/>
      <c r="AE43" s="103"/>
      <c r="AF43" s="103"/>
      <c r="AG43" s="104"/>
      <c r="AH43">
        <v>46</v>
      </c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</row>
    <row r="44" spans="1:66" ht="15" customHeight="1">
      <c r="A44">
        <v>47</v>
      </c>
      <c r="B44" s="87" t="s">
        <v>124</v>
      </c>
      <c r="C44" s="88" t="s">
        <v>281</v>
      </c>
      <c r="D44" s="89" t="s">
        <v>73</v>
      </c>
      <c r="E44" s="109">
        <v>0.72499999999999998</v>
      </c>
      <c r="F44" s="90">
        <v>0.03</v>
      </c>
      <c r="G44" s="90">
        <v>-0.03</v>
      </c>
      <c r="H44" s="91" t="s">
        <v>344</v>
      </c>
      <c r="I44" s="92" t="s">
        <v>186</v>
      </c>
      <c r="J44" s="51">
        <f t="shared" si="10"/>
        <v>0.755</v>
      </c>
      <c r="K44" s="51">
        <f t="shared" si="11"/>
        <v>0.69499999999999995</v>
      </c>
      <c r="L44" s="107"/>
      <c r="M44" s="94">
        <f t="shared" si="0"/>
        <v>0</v>
      </c>
      <c r="N44" s="94">
        <f t="shared" si="1"/>
        <v>0</v>
      </c>
      <c r="O44" s="94">
        <f t="shared" si="2"/>
        <v>0</v>
      </c>
      <c r="P44" s="95">
        <f t="shared" si="3"/>
        <v>0</v>
      </c>
      <c r="Q44" s="96" t="str">
        <f t="shared" si="4"/>
        <v/>
      </c>
      <c r="R44" s="97" t="str">
        <f>IF(OR($AI44="",ISNUMBER($AI44)=FALSE),"",IF(AND(#REF!="Tolerance",$E44&lt;&gt;""),($O44-$E44)/(($J44-$K44)/2),IF(AND(#REF!="GD&amp;T",$F44&lt;&gt;""),$O44/$F44,"")))</f>
        <v/>
      </c>
      <c r="S44" s="97" t="str">
        <f t="shared" si="12"/>
        <v/>
      </c>
      <c r="T44" s="96" t="str">
        <f t="shared" si="5"/>
        <v/>
      </c>
      <c r="U44" s="96" t="str">
        <f t="shared" si="6"/>
        <v/>
      </c>
      <c r="V44" s="96" t="str">
        <f t="shared" si="7"/>
        <v/>
      </c>
      <c r="W44" s="108" t="str">
        <f t="shared" si="8"/>
        <v/>
      </c>
      <c r="X44" s="99" t="e">
        <f>IF($O44="","",IF(#REF!="Tolerance",IF((#REF!*3*P44+O44)-E44&lt;F44,"",(#REF!*3*P44+O44)-E44),IF(OR(#REF!="GD&amp;T",#REF!="MAX"),IF((#REF!*3*P44+O44)&lt;F44,"",(#REF!*3*P44+O44)),"")))</f>
        <v>#REF!</v>
      </c>
      <c r="Y44" s="99" t="e">
        <f>IF(O44="","",IF(#REF!="Tolerance",IF(-((#REF!*3*P44)-O44)-E44&gt;G44,"",-((#REF!*3*P44)-O44)-E44),IF(#REF!="MIN",IF(-((#REF!*3*P44)-O44)&gt;G44,"",-((#REF!*3*P44)-O44)),"")))</f>
        <v>#REF!</v>
      </c>
      <c r="Z44" s="99">
        <f t="shared" si="13"/>
        <v>0.72499999999999998</v>
      </c>
      <c r="AA44" s="99" t="str">
        <f t="shared" si="9"/>
        <v/>
      </c>
      <c r="AB44" s="100"/>
      <c r="AC44" s="101" t="str">
        <f t="shared" si="14"/>
        <v/>
      </c>
      <c r="AD44" s="102"/>
      <c r="AE44" s="103"/>
      <c r="AF44" s="103"/>
      <c r="AG44" s="104"/>
      <c r="AH44">
        <v>47</v>
      </c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</row>
    <row r="45" spans="1:66" ht="15" customHeight="1">
      <c r="A45">
        <v>48</v>
      </c>
      <c r="B45" s="87" t="s">
        <v>125</v>
      </c>
      <c r="C45" s="88" t="s">
        <v>337</v>
      </c>
      <c r="D45" s="89" t="s">
        <v>73</v>
      </c>
      <c r="E45" s="109">
        <v>0.93899999999999995</v>
      </c>
      <c r="F45" s="90">
        <v>0.03</v>
      </c>
      <c r="G45" s="90">
        <v>-0.02</v>
      </c>
      <c r="H45" s="91" t="s">
        <v>344</v>
      </c>
      <c r="I45" s="92" t="s">
        <v>186</v>
      </c>
      <c r="J45" s="51">
        <f t="shared" si="10"/>
        <v>0.96899999999999997</v>
      </c>
      <c r="K45" s="51">
        <f t="shared" si="11"/>
        <v>0.91899999999999993</v>
      </c>
      <c r="L45" s="107"/>
      <c r="M45" s="94">
        <f t="shared" si="0"/>
        <v>0</v>
      </c>
      <c r="N45" s="94">
        <f t="shared" si="1"/>
        <v>0</v>
      </c>
      <c r="O45" s="94">
        <f t="shared" si="2"/>
        <v>0</v>
      </c>
      <c r="P45" s="95">
        <f t="shared" si="3"/>
        <v>0</v>
      </c>
      <c r="Q45" s="96" t="str">
        <f t="shared" si="4"/>
        <v/>
      </c>
      <c r="R45" s="97" t="str">
        <f>IF(OR($AI45="",ISNUMBER($AI45)=FALSE),"",IF(AND(#REF!="Tolerance",$E45&lt;&gt;""),($O45-$E45)/(($J45-$K45)/2),IF(AND(#REF!="GD&amp;T",$F45&lt;&gt;""),$O45/$F45,"")))</f>
        <v/>
      </c>
      <c r="S45" s="97" t="str">
        <f t="shared" si="12"/>
        <v/>
      </c>
      <c r="T45" s="96" t="str">
        <f t="shared" si="5"/>
        <v/>
      </c>
      <c r="U45" s="96" t="str">
        <f t="shared" si="6"/>
        <v/>
      </c>
      <c r="V45" s="96" t="str">
        <f t="shared" si="7"/>
        <v/>
      </c>
      <c r="W45" s="108" t="str">
        <f t="shared" si="8"/>
        <v/>
      </c>
      <c r="X45" s="99" t="e">
        <f>IF($O45="","",IF(#REF!="Tolerance",IF((#REF!*3*P45+O45)-E45&lt;F45,"",(#REF!*3*P45+O45)-E45),IF(OR(#REF!="GD&amp;T",#REF!="MAX"),IF((#REF!*3*P45+O45)&lt;F45,"",(#REF!*3*P45+O45)),"")))</f>
        <v>#REF!</v>
      </c>
      <c r="Y45" s="99" t="e">
        <f>IF(O45="","",IF(#REF!="Tolerance",IF(-((#REF!*3*P45)-O45)-E45&gt;G45,"",-((#REF!*3*P45)-O45)-E45),IF(#REF!="MIN",IF(-((#REF!*3*P45)-O45)&gt;G45,"",-((#REF!*3*P45)-O45)),"")))</f>
        <v>#REF!</v>
      </c>
      <c r="Z45" s="99">
        <f t="shared" si="13"/>
        <v>0.94399999999999995</v>
      </c>
      <c r="AA45" s="99" t="str">
        <f t="shared" si="9"/>
        <v/>
      </c>
      <c r="AB45" s="100"/>
      <c r="AC45" s="101" t="str">
        <f t="shared" si="14"/>
        <v/>
      </c>
      <c r="AD45" s="102"/>
      <c r="AE45" s="103"/>
      <c r="AF45" s="103"/>
      <c r="AG45" s="104"/>
      <c r="AH45">
        <v>48</v>
      </c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</row>
    <row r="46" spans="1:66" ht="15" customHeight="1">
      <c r="A46">
        <v>2</v>
      </c>
      <c r="B46" s="87" t="s">
        <v>125</v>
      </c>
      <c r="C46" s="88" t="s">
        <v>346</v>
      </c>
      <c r="D46" s="89" t="s">
        <v>73</v>
      </c>
      <c r="E46" s="109">
        <v>0.93899999999999995</v>
      </c>
      <c r="F46" s="90">
        <v>0.03</v>
      </c>
      <c r="G46" s="90">
        <v>-0.02</v>
      </c>
      <c r="H46" s="91" t="s">
        <v>84</v>
      </c>
      <c r="I46" s="92" t="s">
        <v>186</v>
      </c>
      <c r="J46" s="51">
        <f t="shared" si="10"/>
        <v>0.96899999999999997</v>
      </c>
      <c r="K46" s="51">
        <f t="shared" si="11"/>
        <v>0.91899999999999993</v>
      </c>
      <c r="L46" s="93"/>
      <c r="M46" s="94">
        <f t="shared" si="0"/>
        <v>0</v>
      </c>
      <c r="N46" s="94">
        <f t="shared" si="1"/>
        <v>0</v>
      </c>
      <c r="O46" s="94">
        <f t="shared" si="2"/>
        <v>0</v>
      </c>
      <c r="P46" s="95">
        <f t="shared" si="3"/>
        <v>0</v>
      </c>
      <c r="Q46" s="96" t="str">
        <f t="shared" si="4"/>
        <v/>
      </c>
      <c r="R46" s="97" t="str">
        <f>IF(OR($AI46="",ISNUMBER($AI46)=FALSE),"",IF(AND(#REF!="Tolerance",$E46&lt;&gt;""),($O46-$E46)/(($J46-$K46)/2),IF(AND(#REF!="GD&amp;T",$F46&lt;&gt;""),$O46/$F46,"")))</f>
        <v/>
      </c>
      <c r="S46" s="97" t="str">
        <f t="shared" si="12"/>
        <v/>
      </c>
      <c r="T46" s="96" t="str">
        <f t="shared" si="5"/>
        <v/>
      </c>
      <c r="U46" s="96" t="str">
        <f t="shared" si="6"/>
        <v/>
      </c>
      <c r="V46" s="96" t="str">
        <f t="shared" si="7"/>
        <v/>
      </c>
      <c r="W46" s="98" t="str">
        <f t="shared" si="8"/>
        <v/>
      </c>
      <c r="X46" s="99" t="e">
        <f>IF($O46="","",IF(#REF!="Tolerance",IF((#REF!*3*P46+O46)-E46&lt;F46,"",(#REF!*3*P46+O46)-E46),IF(OR(#REF!="GD&amp;T",#REF!="MAX"),IF((#REF!*3*P46+O46)&lt;F46,"",(#REF!*3*P46+O46)),"")))</f>
        <v>#REF!</v>
      </c>
      <c r="Y46" s="99" t="e">
        <f>IF(O46="","",IF(#REF!="Tolerance",IF(-((#REF!*3*P46)-O46)-E46&gt;G46,"",-((#REF!*3*P46)-O46)-E46),IF(#REF!="MIN",IF(-((#REF!*3*P46)-O46)&gt;G46,"",-((#REF!*3*P46)-O46)),"")))</f>
        <v>#REF!</v>
      </c>
      <c r="Z46" s="99">
        <f t="shared" si="13"/>
        <v>0.94399999999999995</v>
      </c>
      <c r="AA46" s="99" t="str">
        <f t="shared" si="9"/>
        <v/>
      </c>
      <c r="AB46" s="100"/>
      <c r="AC46" s="101" t="str">
        <f t="shared" si="14"/>
        <v/>
      </c>
      <c r="AD46" s="102"/>
      <c r="AE46" s="103"/>
      <c r="AF46" s="103"/>
      <c r="AG46" s="104"/>
      <c r="AH46">
        <v>2</v>
      </c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</row>
    <row r="47" spans="1:66" ht="15" customHeight="1">
      <c r="A47">
        <v>2</v>
      </c>
      <c r="B47" s="87" t="s">
        <v>125</v>
      </c>
      <c r="C47" s="88" t="s">
        <v>347</v>
      </c>
      <c r="D47" s="89" t="s">
        <v>73</v>
      </c>
      <c r="E47" s="109">
        <v>0.93899999999999995</v>
      </c>
      <c r="F47" s="90">
        <v>0.03</v>
      </c>
      <c r="G47" s="90">
        <v>-0.02</v>
      </c>
      <c r="H47" s="91" t="s">
        <v>84</v>
      </c>
      <c r="I47" s="92" t="s">
        <v>186</v>
      </c>
      <c r="J47" s="51">
        <f t="shared" si="10"/>
        <v>0.96899999999999997</v>
      </c>
      <c r="K47" s="51">
        <f t="shared" si="11"/>
        <v>0.91899999999999993</v>
      </c>
      <c r="L47" s="93"/>
      <c r="M47" s="94">
        <f t="shared" si="0"/>
        <v>0</v>
      </c>
      <c r="N47" s="94">
        <f t="shared" si="1"/>
        <v>0</v>
      </c>
      <c r="O47" s="94">
        <f t="shared" si="2"/>
        <v>0</v>
      </c>
      <c r="P47" s="95">
        <f t="shared" si="3"/>
        <v>0</v>
      </c>
      <c r="Q47" s="96" t="str">
        <f t="shared" si="4"/>
        <v/>
      </c>
      <c r="R47" s="97" t="str">
        <f>IF(OR($AI47="",ISNUMBER($AI47)=FALSE),"",IF(AND(#REF!="Tolerance",$E47&lt;&gt;""),($O47-$E47)/(($J47-$K47)/2),IF(AND(#REF!="GD&amp;T",$F47&lt;&gt;""),$O47/$F47,"")))</f>
        <v/>
      </c>
      <c r="S47" s="97" t="str">
        <f t="shared" si="12"/>
        <v/>
      </c>
      <c r="T47" s="96" t="str">
        <f t="shared" si="5"/>
        <v/>
      </c>
      <c r="U47" s="96" t="str">
        <f t="shared" si="6"/>
        <v/>
      </c>
      <c r="V47" s="96" t="str">
        <f t="shared" si="7"/>
        <v/>
      </c>
      <c r="W47" s="98" t="str">
        <f t="shared" si="8"/>
        <v/>
      </c>
      <c r="X47" s="99" t="e">
        <f>IF($O47="","",IF(#REF!="Tolerance",IF((#REF!*3*P47+O47)-E47&lt;F47,"",(#REF!*3*P47+O47)-E47),IF(OR(#REF!="GD&amp;T",#REF!="MAX"),IF((#REF!*3*P47+O47)&lt;F47,"",(#REF!*3*P47+O47)),"")))</f>
        <v>#REF!</v>
      </c>
      <c r="Y47" s="99" t="e">
        <f>IF(O47="","",IF(#REF!="Tolerance",IF(-((#REF!*3*P47)-O47)-E47&gt;G47,"",-((#REF!*3*P47)-O47)-E47),IF(#REF!="MIN",IF(-((#REF!*3*P47)-O47)&gt;G47,"",-((#REF!*3*P47)-O47)),"")))</f>
        <v>#REF!</v>
      </c>
      <c r="Z47" s="99">
        <f t="shared" si="13"/>
        <v>0.94399999999999995</v>
      </c>
      <c r="AA47" s="99" t="str">
        <f t="shared" si="9"/>
        <v/>
      </c>
      <c r="AB47" s="100"/>
      <c r="AC47" s="101" t="str">
        <f t="shared" si="14"/>
        <v/>
      </c>
      <c r="AD47" s="102"/>
      <c r="AE47" s="103"/>
      <c r="AF47" s="103"/>
      <c r="AG47" s="104"/>
      <c r="AH47">
        <v>2</v>
      </c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</row>
    <row r="48" spans="1:66" ht="15" customHeight="1">
      <c r="A48">
        <v>12</v>
      </c>
      <c r="B48" s="87" t="s">
        <v>125</v>
      </c>
      <c r="C48" s="88" t="s">
        <v>348</v>
      </c>
      <c r="D48" s="89" t="s">
        <v>73</v>
      </c>
      <c r="E48" s="109">
        <v>0.93899999999999995</v>
      </c>
      <c r="F48" s="90">
        <v>0.03</v>
      </c>
      <c r="G48" s="90">
        <v>-0.02</v>
      </c>
      <c r="H48" s="91" t="s">
        <v>84</v>
      </c>
      <c r="I48" s="92" t="s">
        <v>186</v>
      </c>
      <c r="J48" s="51">
        <f t="shared" si="10"/>
        <v>0.96899999999999997</v>
      </c>
      <c r="K48" s="51">
        <f t="shared" si="11"/>
        <v>0.91899999999999993</v>
      </c>
      <c r="L48" s="107"/>
      <c r="M48" s="94">
        <f t="shared" si="0"/>
        <v>0</v>
      </c>
      <c r="N48" s="94">
        <f t="shared" si="1"/>
        <v>0</v>
      </c>
      <c r="O48" s="94">
        <f t="shared" si="2"/>
        <v>0</v>
      </c>
      <c r="P48" s="95">
        <f t="shared" si="3"/>
        <v>0</v>
      </c>
      <c r="Q48" s="96" t="str">
        <f t="shared" si="4"/>
        <v/>
      </c>
      <c r="R48" s="97" t="str">
        <f>IF(OR($AI48="",ISNUMBER($AI48)=FALSE),"",IF(AND(#REF!="Tolerance",$E48&lt;&gt;""),($O48-$E48)/(($J48-$K48)/2),IF(AND(#REF!="GD&amp;T",$F48&lt;&gt;""),$O48/$F48,"")))</f>
        <v/>
      </c>
      <c r="S48" s="97" t="str">
        <f t="shared" si="12"/>
        <v/>
      </c>
      <c r="T48" s="96" t="str">
        <f t="shared" si="5"/>
        <v/>
      </c>
      <c r="U48" s="96" t="str">
        <f t="shared" si="6"/>
        <v/>
      </c>
      <c r="V48" s="96" t="str">
        <f t="shared" si="7"/>
        <v/>
      </c>
      <c r="W48" s="98" t="str">
        <f t="shared" si="8"/>
        <v/>
      </c>
      <c r="X48" s="99" t="e">
        <f>IF($O48="","",IF(#REF!="Tolerance",IF((#REF!*3*P48+O48)-E48&lt;F48,"",(#REF!*3*P48+O48)-E48),IF(OR(#REF!="GD&amp;T",#REF!="MAX"),IF((#REF!*3*P48+O48)&lt;F48,"",(#REF!*3*P48+O48)),"")))</f>
        <v>#REF!</v>
      </c>
      <c r="Y48" s="99" t="e">
        <f>IF(O48="","",IF(#REF!="Tolerance",IF(-((#REF!*3*P48)-O48)-E48&gt;G48,"",-((#REF!*3*P48)-O48)-E48),IF(#REF!="MIN",IF(-((#REF!*3*P48)-O48)&gt;G48,"",-((#REF!*3*P48)-O48)),"")))</f>
        <v>#REF!</v>
      </c>
      <c r="Z48" s="99">
        <f t="shared" si="13"/>
        <v>0.94399999999999995</v>
      </c>
      <c r="AA48" s="99" t="str">
        <f t="shared" si="9"/>
        <v/>
      </c>
      <c r="AB48" s="100"/>
      <c r="AC48" s="101" t="str">
        <f t="shared" si="14"/>
        <v/>
      </c>
      <c r="AD48" s="102"/>
      <c r="AE48" s="103"/>
      <c r="AF48" s="103"/>
      <c r="AG48" s="104"/>
      <c r="AH48">
        <v>12</v>
      </c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</row>
    <row r="49" spans="1:66" ht="15" customHeight="1">
      <c r="A49">
        <v>13</v>
      </c>
      <c r="B49" s="87" t="s">
        <v>125</v>
      </c>
      <c r="C49" s="88" t="s">
        <v>349</v>
      </c>
      <c r="D49" s="89" t="s">
        <v>73</v>
      </c>
      <c r="E49" s="109">
        <v>0.93899999999999995</v>
      </c>
      <c r="F49" s="90">
        <v>0.03</v>
      </c>
      <c r="G49" s="90">
        <v>-0.02</v>
      </c>
      <c r="H49" s="91" t="s">
        <v>84</v>
      </c>
      <c r="I49" s="92" t="s">
        <v>186</v>
      </c>
      <c r="J49" s="51">
        <f t="shared" si="10"/>
        <v>0.96899999999999997</v>
      </c>
      <c r="K49" s="51">
        <f t="shared" si="11"/>
        <v>0.91899999999999993</v>
      </c>
      <c r="L49" s="107"/>
      <c r="M49" s="94">
        <f t="shared" si="0"/>
        <v>0</v>
      </c>
      <c r="N49" s="94">
        <f t="shared" si="1"/>
        <v>0</v>
      </c>
      <c r="O49" s="94">
        <f t="shared" si="2"/>
        <v>0</v>
      </c>
      <c r="P49" s="95">
        <f t="shared" si="3"/>
        <v>0</v>
      </c>
      <c r="Q49" s="96" t="str">
        <f t="shared" si="4"/>
        <v/>
      </c>
      <c r="R49" s="97" t="str">
        <f>IF(OR($AI49="",ISNUMBER($AI49)=FALSE),"",IF(AND(#REF!="Tolerance",$E49&lt;&gt;""),($O49-$E49)/(($J49-$K49)/2),IF(AND(#REF!="GD&amp;T",$F49&lt;&gt;""),$O49/$F49,"")))</f>
        <v/>
      </c>
      <c r="S49" s="97" t="str">
        <f t="shared" si="12"/>
        <v/>
      </c>
      <c r="T49" s="96" t="str">
        <f t="shared" si="5"/>
        <v/>
      </c>
      <c r="U49" s="96" t="str">
        <f t="shared" si="6"/>
        <v/>
      </c>
      <c r="V49" s="96" t="str">
        <f t="shared" si="7"/>
        <v/>
      </c>
      <c r="W49" s="98" t="str">
        <f t="shared" si="8"/>
        <v/>
      </c>
      <c r="X49" s="99" t="e">
        <f>IF($O49="","",IF(#REF!="Tolerance",IF((#REF!*3*P49+O49)-E49&lt;F49,"",(#REF!*3*P49+O49)-E49),IF(OR(#REF!="GD&amp;T",#REF!="MAX"),IF((#REF!*3*P49+O49)&lt;F49,"",(#REF!*3*P49+O49)),"")))</f>
        <v>#REF!</v>
      </c>
      <c r="Y49" s="99" t="e">
        <f>IF(O49="","",IF(#REF!="Tolerance",IF(-((#REF!*3*P49)-O49)-E49&gt;G49,"",-((#REF!*3*P49)-O49)-E49),IF(#REF!="MIN",IF(-((#REF!*3*P49)-O49)&gt;G49,"",-((#REF!*3*P49)-O49)),"")))</f>
        <v>#REF!</v>
      </c>
      <c r="Z49" s="99">
        <f t="shared" si="13"/>
        <v>0.94399999999999995</v>
      </c>
      <c r="AA49" s="99" t="str">
        <f t="shared" si="9"/>
        <v/>
      </c>
      <c r="AB49" s="100"/>
      <c r="AC49" s="101" t="str">
        <f t="shared" si="14"/>
        <v/>
      </c>
      <c r="AD49" s="102"/>
      <c r="AE49" s="103"/>
      <c r="AF49" s="103"/>
      <c r="AG49" s="104"/>
      <c r="AH49">
        <v>13</v>
      </c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</row>
    <row r="50" spans="1:66" ht="15" customHeight="1">
      <c r="A50">
        <v>14</v>
      </c>
      <c r="B50" s="110" t="s">
        <v>126</v>
      </c>
      <c r="C50" s="88" t="s">
        <v>282</v>
      </c>
      <c r="D50" s="89" t="s">
        <v>73</v>
      </c>
      <c r="E50" s="109">
        <v>16.84</v>
      </c>
      <c r="F50" s="90">
        <v>0.03</v>
      </c>
      <c r="G50" s="90">
        <v>-0.03</v>
      </c>
      <c r="H50" s="91" t="s">
        <v>344</v>
      </c>
      <c r="I50" s="92" t="s">
        <v>186</v>
      </c>
      <c r="J50" s="51">
        <f t="shared" si="10"/>
        <v>16.87</v>
      </c>
      <c r="K50" s="51">
        <f t="shared" si="11"/>
        <v>16.809999999999999</v>
      </c>
      <c r="L50" s="93"/>
      <c r="M50" s="94">
        <f t="shared" si="0"/>
        <v>0</v>
      </c>
      <c r="N50" s="94">
        <f t="shared" si="1"/>
        <v>0</v>
      </c>
      <c r="O50" s="94">
        <f t="shared" si="2"/>
        <v>0</v>
      </c>
      <c r="P50" s="95">
        <f t="shared" si="3"/>
        <v>0</v>
      </c>
      <c r="Q50" s="96" t="str">
        <f t="shared" si="4"/>
        <v/>
      </c>
      <c r="R50" s="97" t="str">
        <f>IF(OR($AI50="",ISNUMBER($AI50)=FALSE),"",IF(AND(#REF!="Tolerance",$E50&lt;&gt;""),($O50-$E50)/(($J50-$K50)/2),IF(AND(#REF!="GD&amp;T",$F50&lt;&gt;""),$O50/$F50,"")))</f>
        <v/>
      </c>
      <c r="S50" s="97" t="str">
        <f t="shared" si="12"/>
        <v/>
      </c>
      <c r="T50" s="96" t="str">
        <f t="shared" si="5"/>
        <v/>
      </c>
      <c r="U50" s="96" t="str">
        <f t="shared" si="6"/>
        <v/>
      </c>
      <c r="V50" s="96" t="str">
        <f t="shared" si="7"/>
        <v/>
      </c>
      <c r="W50" s="98" t="str">
        <f t="shared" si="8"/>
        <v/>
      </c>
      <c r="X50" s="99" t="e">
        <f>IF($O50="","",IF(#REF!="Tolerance",IF((#REF!*3*P50+O50)-E50&lt;F50,"",(#REF!*3*P50+O50)-E50),IF(OR(#REF!="GD&amp;T",#REF!="MAX"),IF((#REF!*3*P50+O50)&lt;F50,"",(#REF!*3*P50+O50)),"")))</f>
        <v>#REF!</v>
      </c>
      <c r="Y50" s="99" t="e">
        <f>IF(O50="","",IF(#REF!="Tolerance",IF(-((#REF!*3*P50)-O50)-E50&gt;G50,"",-((#REF!*3*P50)-O50)-E50),IF(#REF!="MIN",IF(-((#REF!*3*P50)-O50)&gt;G50,"",-((#REF!*3*P50)-O50)),"")))</f>
        <v>#REF!</v>
      </c>
      <c r="Z50" s="99">
        <f t="shared" si="13"/>
        <v>16.84</v>
      </c>
      <c r="AA50" s="99" t="str">
        <f t="shared" si="9"/>
        <v/>
      </c>
      <c r="AB50" s="100"/>
      <c r="AC50" s="101" t="str">
        <f t="shared" si="14"/>
        <v/>
      </c>
      <c r="AD50" s="102"/>
      <c r="AE50" s="103"/>
      <c r="AF50" s="103"/>
      <c r="AG50" s="104"/>
      <c r="AH50">
        <v>14</v>
      </c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</row>
    <row r="51" spans="1:66" ht="15" customHeight="1">
      <c r="A51">
        <v>15</v>
      </c>
      <c r="B51" s="111" t="s">
        <v>127</v>
      </c>
      <c r="C51" s="88" t="s">
        <v>283</v>
      </c>
      <c r="D51" s="89" t="s">
        <v>86</v>
      </c>
      <c r="E51" s="109">
        <v>0.4</v>
      </c>
      <c r="F51" s="90">
        <v>0.03</v>
      </c>
      <c r="G51" s="90">
        <v>-0.03</v>
      </c>
      <c r="H51" s="91" t="s">
        <v>81</v>
      </c>
      <c r="I51" s="92" t="s">
        <v>186</v>
      </c>
      <c r="J51" s="51">
        <f t="shared" si="10"/>
        <v>0.43000000000000005</v>
      </c>
      <c r="K51" s="51">
        <f t="shared" si="11"/>
        <v>0.37</v>
      </c>
      <c r="L51" s="93"/>
      <c r="M51" s="94">
        <f t="shared" si="0"/>
        <v>0</v>
      </c>
      <c r="N51" s="94">
        <f t="shared" si="1"/>
        <v>0</v>
      </c>
      <c r="O51" s="94">
        <f t="shared" si="2"/>
        <v>0</v>
      </c>
      <c r="P51" s="95">
        <f t="shared" si="3"/>
        <v>0</v>
      </c>
      <c r="Q51" s="96" t="str">
        <f t="shared" si="4"/>
        <v/>
      </c>
      <c r="R51" s="97" t="str">
        <f>IF(OR($AI51="",ISNUMBER($AI51)=FALSE),"",IF(AND(#REF!="Tolerance",$E51&lt;&gt;""),($O51-$E51)/(($J51-$K51)/2),IF(AND(#REF!="GD&amp;T",$F51&lt;&gt;""),$O51/$F51,"")))</f>
        <v/>
      </c>
      <c r="S51" s="97" t="str">
        <f t="shared" si="12"/>
        <v/>
      </c>
      <c r="T51" s="96" t="str">
        <f t="shared" si="5"/>
        <v/>
      </c>
      <c r="U51" s="96" t="str">
        <f t="shared" si="6"/>
        <v/>
      </c>
      <c r="V51" s="96" t="str">
        <f t="shared" si="7"/>
        <v/>
      </c>
      <c r="W51" s="98" t="str">
        <f t="shared" si="8"/>
        <v/>
      </c>
      <c r="X51" s="99" t="e">
        <f>IF($O51="","",IF(#REF!="Tolerance",IF((#REF!*3*P51+O51)-E51&lt;F51,"",(#REF!*3*P51+O51)-E51),IF(OR(#REF!="GD&amp;T",#REF!="MAX"),IF((#REF!*3*P51+O51)&lt;F51,"",(#REF!*3*P51+O51)),"")))</f>
        <v>#REF!</v>
      </c>
      <c r="Y51" s="99" t="e">
        <f>IF(O51="","",IF(#REF!="Tolerance",IF(-((#REF!*3*P51)-O51)-E51&gt;G51,"",-((#REF!*3*P51)-O51)-E51),IF(#REF!="MIN",IF(-((#REF!*3*P51)-O51)&gt;G51,"",-((#REF!*3*P51)-O51)),"")))</f>
        <v>#REF!</v>
      </c>
      <c r="Z51" s="99">
        <f t="shared" si="13"/>
        <v>0.4</v>
      </c>
      <c r="AA51" s="99" t="str">
        <f t="shared" si="9"/>
        <v/>
      </c>
      <c r="AB51" s="100"/>
      <c r="AC51" s="101" t="str">
        <f t="shared" si="14"/>
        <v/>
      </c>
      <c r="AD51" s="102"/>
      <c r="AE51" s="103"/>
      <c r="AF51" s="103"/>
      <c r="AG51" s="104"/>
      <c r="AH51">
        <v>15</v>
      </c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</row>
    <row r="52" spans="1:66" ht="15" customHeight="1">
      <c r="A52">
        <v>15</v>
      </c>
      <c r="B52" s="111" t="s">
        <v>128</v>
      </c>
      <c r="C52" s="88" t="s">
        <v>284</v>
      </c>
      <c r="D52" s="89" t="s">
        <v>87</v>
      </c>
      <c r="E52" s="109"/>
      <c r="F52" s="90">
        <v>0.08</v>
      </c>
      <c r="G52" s="90"/>
      <c r="H52" s="91" t="s">
        <v>81</v>
      </c>
      <c r="I52" s="92" t="s">
        <v>186</v>
      </c>
      <c r="J52" s="51">
        <f t="shared" si="10"/>
        <v>0.08</v>
      </c>
      <c r="K52" s="51" t="str">
        <f t="shared" si="11"/>
        <v/>
      </c>
      <c r="L52" s="93"/>
      <c r="M52" s="94">
        <f t="shared" si="0"/>
        <v>0</v>
      </c>
      <c r="N52" s="94">
        <f t="shared" si="1"/>
        <v>0</v>
      </c>
      <c r="O52" s="94">
        <f t="shared" si="2"/>
        <v>0</v>
      </c>
      <c r="P52" s="95">
        <f t="shared" si="3"/>
        <v>0</v>
      </c>
      <c r="Q52" s="96" t="str">
        <f t="shared" si="4"/>
        <v/>
      </c>
      <c r="R52" s="97" t="str">
        <f>IF(OR($AI52="",ISNUMBER($AI52)=FALSE),"",IF(AND(#REF!="Tolerance",$E52&lt;&gt;""),($O52-$E52)/(($J52-$K52)/2),IF(AND(#REF!="GD&amp;T",$F52&lt;&gt;""),$O52/$F52,"")))</f>
        <v/>
      </c>
      <c r="S52" s="97" t="str">
        <f t="shared" si="12"/>
        <v/>
      </c>
      <c r="T52" s="96" t="str">
        <f t="shared" si="5"/>
        <v/>
      </c>
      <c r="U52" s="96" t="str">
        <f t="shared" si="6"/>
        <v/>
      </c>
      <c r="V52" s="96" t="str">
        <f t="shared" si="7"/>
        <v/>
      </c>
      <c r="W52" s="98" t="str">
        <f t="shared" si="8"/>
        <v/>
      </c>
      <c r="X52" s="99" t="e">
        <f>IF($O52="","",IF(#REF!="Tolerance",IF((#REF!*3*P52+O52)-E52&lt;F52,"",(#REF!*3*P52+O52)-E52),IF(OR(#REF!="GD&amp;T",#REF!="MAX"),IF((#REF!*3*P52+O52)&lt;F52,"",(#REF!*3*P52+O52)),"")))</f>
        <v>#REF!</v>
      </c>
      <c r="Y52" s="99" t="e">
        <f>IF(O52="","",IF(#REF!="Tolerance",IF(-((#REF!*3*P52)-O52)-E52&gt;G52,"",-((#REF!*3*P52)-O52)-E52),IF(#REF!="MIN",IF(-((#REF!*3*P52)-O52)&gt;G52,"",-((#REF!*3*P52)-O52)),"")))</f>
        <v>#REF!</v>
      </c>
      <c r="Z52" s="99" t="str">
        <f t="shared" si="13"/>
        <v/>
      </c>
      <c r="AA52" s="99" t="str">
        <f t="shared" si="9"/>
        <v/>
      </c>
      <c r="AB52" s="100"/>
      <c r="AC52" s="101" t="str">
        <f t="shared" si="14"/>
        <v/>
      </c>
      <c r="AD52" s="102"/>
      <c r="AE52" s="103"/>
      <c r="AF52" s="103"/>
      <c r="AG52" s="104"/>
      <c r="AH52">
        <v>15</v>
      </c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</row>
    <row r="53" spans="1:66" ht="15" customHeight="1">
      <c r="A53">
        <v>17</v>
      </c>
      <c r="B53" s="111" t="s">
        <v>129</v>
      </c>
      <c r="C53" s="88" t="s">
        <v>338</v>
      </c>
      <c r="D53" s="89" t="s">
        <v>73</v>
      </c>
      <c r="E53" s="109">
        <v>14.13</v>
      </c>
      <c r="F53" s="90">
        <v>0.03</v>
      </c>
      <c r="G53" s="90">
        <v>-0.03</v>
      </c>
      <c r="H53" s="91" t="s">
        <v>344</v>
      </c>
      <c r="I53" s="92" t="s">
        <v>186</v>
      </c>
      <c r="J53" s="51">
        <f t="shared" si="10"/>
        <v>14.16</v>
      </c>
      <c r="K53" s="51">
        <f t="shared" si="11"/>
        <v>14.100000000000001</v>
      </c>
      <c r="L53" s="107"/>
      <c r="M53" s="94">
        <f t="shared" si="0"/>
        <v>0</v>
      </c>
      <c r="N53" s="94">
        <f t="shared" si="1"/>
        <v>0</v>
      </c>
      <c r="O53" s="94">
        <f t="shared" si="2"/>
        <v>0</v>
      </c>
      <c r="P53" s="95">
        <f t="shared" si="3"/>
        <v>0</v>
      </c>
      <c r="Q53" s="96" t="str">
        <f t="shared" si="4"/>
        <v/>
      </c>
      <c r="R53" s="97" t="str">
        <f>IF(OR($AI53="",ISNUMBER($AI53)=FALSE),"",IF(AND(#REF!="Tolerance",$E53&lt;&gt;""),($O53-$E53)/(($J53-$K53)/2),IF(AND(#REF!="GD&amp;T",$F53&lt;&gt;""),$O53/$F53,"")))</f>
        <v/>
      </c>
      <c r="S53" s="97" t="str">
        <f t="shared" si="12"/>
        <v/>
      </c>
      <c r="T53" s="96" t="str">
        <f t="shared" si="5"/>
        <v/>
      </c>
      <c r="U53" s="96" t="str">
        <f t="shared" si="6"/>
        <v/>
      </c>
      <c r="V53" s="96" t="str">
        <f t="shared" si="7"/>
        <v/>
      </c>
      <c r="W53" s="98" t="str">
        <f t="shared" si="8"/>
        <v/>
      </c>
      <c r="X53" s="99" t="e">
        <f>IF($O53="","",IF(#REF!="Tolerance",IF((#REF!*3*P53+O53)-E53&lt;F53,"",(#REF!*3*P53+O53)-E53),IF(OR(#REF!="GD&amp;T",#REF!="MAX"),IF((#REF!*3*P53+O53)&lt;F53,"",(#REF!*3*P53+O53)),"")))</f>
        <v>#REF!</v>
      </c>
      <c r="Y53" s="99" t="e">
        <f>IF(O53="","",IF(#REF!="Tolerance",IF(-((#REF!*3*P53)-O53)-E53&gt;G53,"",-((#REF!*3*P53)-O53)-E53),IF(#REF!="MIN",IF(-((#REF!*3*P53)-O53)&gt;G53,"",-((#REF!*3*P53)-O53)),"")))</f>
        <v>#REF!</v>
      </c>
      <c r="Z53" s="99">
        <f t="shared" si="13"/>
        <v>14.13</v>
      </c>
      <c r="AA53" s="99" t="str">
        <f t="shared" si="9"/>
        <v/>
      </c>
      <c r="AB53" s="100"/>
      <c r="AC53" s="101" t="str">
        <f t="shared" si="14"/>
        <v/>
      </c>
      <c r="AD53" s="102"/>
      <c r="AE53" s="103"/>
      <c r="AF53" s="103"/>
      <c r="AG53" s="104"/>
      <c r="AH53">
        <v>17</v>
      </c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</row>
    <row r="54" spans="1:66" ht="15" customHeight="1">
      <c r="A54">
        <v>18</v>
      </c>
      <c r="B54" s="111" t="s">
        <v>130</v>
      </c>
      <c r="C54" s="88" t="s">
        <v>339</v>
      </c>
      <c r="D54" s="89" t="s">
        <v>73</v>
      </c>
      <c r="E54" s="109">
        <v>4.46</v>
      </c>
      <c r="F54" s="90">
        <v>0.04</v>
      </c>
      <c r="G54" s="90">
        <v>-0.04</v>
      </c>
      <c r="H54" s="91" t="s">
        <v>344</v>
      </c>
      <c r="I54" s="92" t="s">
        <v>186</v>
      </c>
      <c r="J54" s="51">
        <f t="shared" si="10"/>
        <v>4.5</v>
      </c>
      <c r="K54" s="51">
        <f t="shared" si="11"/>
        <v>4.42</v>
      </c>
      <c r="L54" s="107"/>
      <c r="M54" s="94">
        <f t="shared" si="0"/>
        <v>0</v>
      </c>
      <c r="N54" s="94">
        <f t="shared" si="1"/>
        <v>0</v>
      </c>
      <c r="O54" s="94">
        <f t="shared" si="2"/>
        <v>0</v>
      </c>
      <c r="P54" s="95">
        <f t="shared" si="3"/>
        <v>0</v>
      </c>
      <c r="Q54" s="96" t="str">
        <f t="shared" si="4"/>
        <v/>
      </c>
      <c r="R54" s="97" t="str">
        <f>IF(OR($AI54="",ISNUMBER($AI54)=FALSE),"",IF(AND(#REF!="Tolerance",$E54&lt;&gt;""),($O54-$E54)/(($J54-$K54)/2),IF(AND(#REF!="GD&amp;T",$F54&lt;&gt;""),$O54/$F54,"")))</f>
        <v/>
      </c>
      <c r="S54" s="97" t="str">
        <f t="shared" si="12"/>
        <v/>
      </c>
      <c r="T54" s="96" t="str">
        <f t="shared" si="5"/>
        <v/>
      </c>
      <c r="U54" s="96" t="str">
        <f t="shared" si="6"/>
        <v/>
      </c>
      <c r="V54" s="96" t="str">
        <f t="shared" si="7"/>
        <v/>
      </c>
      <c r="W54" s="98" t="str">
        <f t="shared" si="8"/>
        <v/>
      </c>
      <c r="X54" s="99" t="e">
        <f>IF($O54="","",IF(#REF!="Tolerance",IF((#REF!*3*P54+O54)-E54&lt;F54,"",(#REF!*3*P54+O54)-E54),IF(OR(#REF!="GD&amp;T",#REF!="MAX"),IF((#REF!*3*P54+O54)&lt;F54,"",(#REF!*3*P54+O54)),"")))</f>
        <v>#REF!</v>
      </c>
      <c r="Y54" s="99" t="e">
        <f>IF(O54="","",IF(#REF!="Tolerance",IF(-((#REF!*3*P54)-O54)-E54&gt;G54,"",-((#REF!*3*P54)-O54)-E54),IF(#REF!="MIN",IF(-((#REF!*3*P54)-O54)&gt;G54,"",-((#REF!*3*P54)-O54)),"")))</f>
        <v>#REF!</v>
      </c>
      <c r="Z54" s="99">
        <f t="shared" si="13"/>
        <v>4.46</v>
      </c>
      <c r="AA54" s="99" t="str">
        <f t="shared" si="9"/>
        <v/>
      </c>
      <c r="AB54" s="100"/>
      <c r="AC54" s="101" t="str">
        <f t="shared" si="14"/>
        <v/>
      </c>
      <c r="AD54" s="102"/>
      <c r="AE54" s="103"/>
      <c r="AF54" s="103"/>
      <c r="AG54" s="104"/>
      <c r="AH54">
        <v>18</v>
      </c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</row>
    <row r="55" spans="1:66" ht="15" customHeight="1">
      <c r="A55">
        <v>19</v>
      </c>
      <c r="B55" s="111" t="s">
        <v>131</v>
      </c>
      <c r="C55" s="88" t="s">
        <v>340</v>
      </c>
      <c r="D55" s="89" t="s">
        <v>73</v>
      </c>
      <c r="E55" s="109">
        <v>18.285</v>
      </c>
      <c r="F55" s="90">
        <v>0.03</v>
      </c>
      <c r="G55" s="90">
        <v>-0.03</v>
      </c>
      <c r="H55" s="91" t="s">
        <v>344</v>
      </c>
      <c r="I55" s="92" t="s">
        <v>186</v>
      </c>
      <c r="J55" s="51">
        <f t="shared" si="10"/>
        <v>18.315000000000001</v>
      </c>
      <c r="K55" s="51">
        <f t="shared" si="11"/>
        <v>18.254999999999999</v>
      </c>
      <c r="L55" s="107"/>
      <c r="M55" s="94">
        <f t="shared" si="0"/>
        <v>0</v>
      </c>
      <c r="N55" s="94">
        <f t="shared" si="1"/>
        <v>0</v>
      </c>
      <c r="O55" s="94">
        <f t="shared" si="2"/>
        <v>0</v>
      </c>
      <c r="P55" s="95">
        <f t="shared" si="3"/>
        <v>0</v>
      </c>
      <c r="Q55" s="96" t="str">
        <f t="shared" si="4"/>
        <v/>
      </c>
      <c r="R55" s="97" t="str">
        <f>IF(OR($AI55="",ISNUMBER($AI55)=FALSE),"",IF(AND(#REF!="Tolerance",$E55&lt;&gt;""),($O55-$E55)/(($J55-$K55)/2),IF(AND(#REF!="GD&amp;T",$F55&lt;&gt;""),$O55/$F55,"")))</f>
        <v/>
      </c>
      <c r="S55" s="97" t="str">
        <f t="shared" si="12"/>
        <v/>
      </c>
      <c r="T55" s="96" t="str">
        <f t="shared" si="5"/>
        <v/>
      </c>
      <c r="U55" s="96" t="str">
        <f t="shared" si="6"/>
        <v/>
      </c>
      <c r="V55" s="96" t="str">
        <f t="shared" si="7"/>
        <v/>
      </c>
      <c r="W55" s="98" t="str">
        <f t="shared" si="8"/>
        <v/>
      </c>
      <c r="X55" s="99" t="e">
        <f>IF($O55="","",IF(#REF!="Tolerance",IF((#REF!*3*P55+O55)-E55&lt;F55,"",(#REF!*3*P55+O55)-E55),IF(OR(#REF!="GD&amp;T",#REF!="MAX"),IF((#REF!*3*P55+O55)&lt;F55,"",(#REF!*3*P55+O55)),"")))</f>
        <v>#REF!</v>
      </c>
      <c r="Y55" s="99" t="e">
        <f>IF(O55="","",IF(#REF!="Tolerance",IF(-((#REF!*3*P55)-O55)-E55&gt;G55,"",-((#REF!*3*P55)-O55)-E55),IF(#REF!="MIN",IF(-((#REF!*3*P55)-O55)&gt;G55,"",-((#REF!*3*P55)-O55)),"")))</f>
        <v>#REF!</v>
      </c>
      <c r="Z55" s="99">
        <f t="shared" si="13"/>
        <v>18.285</v>
      </c>
      <c r="AA55" s="99" t="str">
        <f t="shared" si="9"/>
        <v/>
      </c>
      <c r="AB55" s="100"/>
      <c r="AC55" s="101" t="str">
        <f t="shared" si="14"/>
        <v/>
      </c>
      <c r="AD55" s="102"/>
      <c r="AE55" s="103"/>
      <c r="AF55" s="103"/>
      <c r="AG55" s="104"/>
      <c r="AH55">
        <v>19</v>
      </c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</row>
    <row r="56" spans="1:66" ht="15" customHeight="1">
      <c r="A56">
        <v>20</v>
      </c>
      <c r="B56" s="111" t="s">
        <v>132</v>
      </c>
      <c r="C56" s="88" t="s">
        <v>287</v>
      </c>
      <c r="D56" s="89" t="s">
        <v>73</v>
      </c>
      <c r="E56" s="109">
        <v>4.3250000000000002</v>
      </c>
      <c r="F56" s="90">
        <v>0.03</v>
      </c>
      <c r="G56" s="90">
        <v>-0.03</v>
      </c>
      <c r="H56" s="91" t="s">
        <v>344</v>
      </c>
      <c r="I56" s="92" t="s">
        <v>186</v>
      </c>
      <c r="J56" s="51">
        <f t="shared" si="10"/>
        <v>4.3550000000000004</v>
      </c>
      <c r="K56" s="51">
        <f t="shared" si="11"/>
        <v>4.2949999999999999</v>
      </c>
      <c r="L56" s="107"/>
      <c r="M56" s="94">
        <f t="shared" si="0"/>
        <v>0</v>
      </c>
      <c r="N56" s="94">
        <f t="shared" si="1"/>
        <v>0</v>
      </c>
      <c r="O56" s="94">
        <f t="shared" si="2"/>
        <v>0</v>
      </c>
      <c r="P56" s="95">
        <f t="shared" si="3"/>
        <v>0</v>
      </c>
      <c r="Q56" s="96" t="str">
        <f t="shared" si="4"/>
        <v/>
      </c>
      <c r="R56" s="97" t="str">
        <f>IF(OR($AI56="",ISNUMBER($AI56)=FALSE),"",IF(AND(#REF!="Tolerance",$E56&lt;&gt;""),($O56-$E56)/(($J56-$K56)/2),IF(AND(#REF!="GD&amp;T",$F56&lt;&gt;""),$O56/$F56,"")))</f>
        <v/>
      </c>
      <c r="S56" s="97" t="str">
        <f t="shared" si="12"/>
        <v/>
      </c>
      <c r="T56" s="96" t="str">
        <f t="shared" si="5"/>
        <v/>
      </c>
      <c r="U56" s="96" t="str">
        <f t="shared" si="6"/>
        <v/>
      </c>
      <c r="V56" s="96" t="str">
        <f t="shared" si="7"/>
        <v/>
      </c>
      <c r="W56" s="98" t="str">
        <f t="shared" si="8"/>
        <v/>
      </c>
      <c r="X56" s="99" t="e">
        <f>IF($O56="","",IF(#REF!="Tolerance",IF((#REF!*3*P56+O56)-E56&lt;F56,"",(#REF!*3*P56+O56)-E56),IF(OR(#REF!="GD&amp;T",#REF!="MAX"),IF((#REF!*3*P56+O56)&lt;F56,"",(#REF!*3*P56+O56)),"")))</f>
        <v>#REF!</v>
      </c>
      <c r="Y56" s="99" t="e">
        <f>IF(O56="","",IF(#REF!="Tolerance",IF(-((#REF!*3*P56)-O56)-E56&gt;G56,"",-((#REF!*3*P56)-O56)-E56),IF(#REF!="MIN",IF(-((#REF!*3*P56)-O56)&gt;G56,"",-((#REF!*3*P56)-O56)),"")))</f>
        <v>#REF!</v>
      </c>
      <c r="Z56" s="99">
        <f t="shared" si="13"/>
        <v>4.3250000000000002</v>
      </c>
      <c r="AA56" s="99" t="str">
        <f t="shared" si="9"/>
        <v/>
      </c>
      <c r="AB56" s="100"/>
      <c r="AC56" s="101" t="str">
        <f t="shared" si="14"/>
        <v/>
      </c>
      <c r="AD56" s="102"/>
      <c r="AE56" s="103"/>
      <c r="AF56" s="103"/>
      <c r="AG56" s="104"/>
      <c r="AH56">
        <v>20</v>
      </c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</row>
    <row r="57" spans="1:66" ht="15" customHeight="1">
      <c r="A57">
        <v>21</v>
      </c>
      <c r="B57" s="111" t="s">
        <v>133</v>
      </c>
      <c r="C57" s="88" t="s">
        <v>236</v>
      </c>
      <c r="D57" s="89" t="s">
        <v>73</v>
      </c>
      <c r="E57" s="109">
        <v>4.3250000000000002</v>
      </c>
      <c r="F57" s="90">
        <v>0.03</v>
      </c>
      <c r="G57" s="90">
        <v>-0.03</v>
      </c>
      <c r="H57" s="91" t="s">
        <v>344</v>
      </c>
      <c r="I57" s="92" t="s">
        <v>186</v>
      </c>
      <c r="J57" s="51">
        <f t="shared" si="10"/>
        <v>4.3550000000000004</v>
      </c>
      <c r="K57" s="51">
        <f t="shared" si="11"/>
        <v>4.2949999999999999</v>
      </c>
      <c r="L57" s="107"/>
      <c r="M57" s="94">
        <f t="shared" si="0"/>
        <v>0</v>
      </c>
      <c r="N57" s="94">
        <f t="shared" si="1"/>
        <v>0</v>
      </c>
      <c r="O57" s="94">
        <f t="shared" si="2"/>
        <v>0</v>
      </c>
      <c r="P57" s="95">
        <f t="shared" si="3"/>
        <v>0</v>
      </c>
      <c r="Q57" s="96" t="str">
        <f t="shared" si="4"/>
        <v/>
      </c>
      <c r="R57" s="97" t="str">
        <f>IF(OR($AI57="",ISNUMBER($AI57)=FALSE),"",IF(AND(#REF!="Tolerance",$E57&lt;&gt;""),($O57-$E57)/(($J57-$K57)/2),IF(AND(#REF!="GD&amp;T",$F57&lt;&gt;""),$O57/$F57,"")))</f>
        <v/>
      </c>
      <c r="S57" s="97" t="str">
        <f t="shared" si="12"/>
        <v/>
      </c>
      <c r="T57" s="96" t="str">
        <f t="shared" si="5"/>
        <v/>
      </c>
      <c r="U57" s="96" t="str">
        <f t="shared" si="6"/>
        <v/>
      </c>
      <c r="V57" s="96" t="str">
        <f t="shared" si="7"/>
        <v/>
      </c>
      <c r="W57" s="98" t="str">
        <f t="shared" si="8"/>
        <v/>
      </c>
      <c r="X57" s="99" t="e">
        <f>IF($O57="","",IF(#REF!="Tolerance",IF((#REF!*3*P57+O57)-E57&lt;F57,"",(#REF!*3*P57+O57)-E57),IF(OR(#REF!="GD&amp;T",#REF!="MAX"),IF((#REF!*3*P57+O57)&lt;F57,"",(#REF!*3*P57+O57)),"")))</f>
        <v>#REF!</v>
      </c>
      <c r="Y57" s="99" t="e">
        <f>IF(O57="","",IF(#REF!="Tolerance",IF(-((#REF!*3*P57)-O57)-E57&gt;G57,"",-((#REF!*3*P57)-O57)-E57),IF(#REF!="MIN",IF(-((#REF!*3*P57)-O57)&gt;G57,"",-((#REF!*3*P57)-O57)),"")))</f>
        <v>#REF!</v>
      </c>
      <c r="Z57" s="99">
        <f t="shared" si="13"/>
        <v>4.3250000000000002</v>
      </c>
      <c r="AA57" s="99" t="str">
        <f t="shared" si="9"/>
        <v/>
      </c>
      <c r="AB57" s="100"/>
      <c r="AC57" s="101" t="str">
        <f t="shared" si="14"/>
        <v/>
      </c>
      <c r="AD57" s="102"/>
      <c r="AE57" s="103"/>
      <c r="AF57" s="103"/>
      <c r="AG57" s="104"/>
      <c r="AH57">
        <v>21</v>
      </c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</row>
    <row r="58" spans="1:66" ht="15" customHeight="1">
      <c r="A58">
        <v>22</v>
      </c>
      <c r="B58" s="111" t="s">
        <v>134</v>
      </c>
      <c r="C58" s="88" t="s">
        <v>237</v>
      </c>
      <c r="D58" s="89" t="s">
        <v>73</v>
      </c>
      <c r="E58" s="109">
        <v>4.3250000000000002</v>
      </c>
      <c r="F58" s="90">
        <v>0.03</v>
      </c>
      <c r="G58" s="90">
        <v>-0.03</v>
      </c>
      <c r="H58" s="91" t="s">
        <v>344</v>
      </c>
      <c r="I58" s="92" t="s">
        <v>186</v>
      </c>
      <c r="J58" s="51">
        <f t="shared" si="10"/>
        <v>4.3550000000000004</v>
      </c>
      <c r="K58" s="51">
        <f t="shared" si="11"/>
        <v>4.2949999999999999</v>
      </c>
      <c r="L58" s="107"/>
      <c r="M58" s="94">
        <f t="shared" si="0"/>
        <v>0</v>
      </c>
      <c r="N58" s="94">
        <f t="shared" si="1"/>
        <v>0</v>
      </c>
      <c r="O58" s="94">
        <f t="shared" si="2"/>
        <v>0</v>
      </c>
      <c r="P58" s="95">
        <f t="shared" si="3"/>
        <v>0</v>
      </c>
      <c r="Q58" s="96" t="str">
        <f t="shared" si="4"/>
        <v/>
      </c>
      <c r="R58" s="97" t="str">
        <f>IF(OR($AI58="",ISNUMBER($AI58)=FALSE),"",IF(AND(#REF!="Tolerance",$E58&lt;&gt;""),($O58-$E58)/(($J58-$K58)/2),IF(AND(#REF!="GD&amp;T",$F58&lt;&gt;""),$O58/$F58,"")))</f>
        <v/>
      </c>
      <c r="S58" s="97" t="str">
        <f t="shared" si="12"/>
        <v/>
      </c>
      <c r="T58" s="96" t="str">
        <f t="shared" si="5"/>
        <v/>
      </c>
      <c r="U58" s="96" t="str">
        <f t="shared" si="6"/>
        <v/>
      </c>
      <c r="V58" s="96" t="str">
        <f t="shared" si="7"/>
        <v/>
      </c>
      <c r="W58" s="98" t="str">
        <f t="shared" si="8"/>
        <v/>
      </c>
      <c r="X58" s="99" t="e">
        <f>IF($O58="","",IF(#REF!="Tolerance",IF((#REF!*3*P58+O58)-E58&lt;F58,"",(#REF!*3*P58+O58)-E58),IF(OR(#REF!="GD&amp;T",#REF!="MAX"),IF((#REF!*3*P58+O58)&lt;F58,"",(#REF!*3*P58+O58)),"")))</f>
        <v>#REF!</v>
      </c>
      <c r="Y58" s="99" t="e">
        <f>IF(O58="","",IF(#REF!="Tolerance",IF(-((#REF!*3*P58)-O58)-E58&gt;G58,"",-((#REF!*3*P58)-O58)-E58),IF(#REF!="MIN",IF(-((#REF!*3*P58)-O58)&gt;G58,"",-((#REF!*3*P58)-O58)),"")))</f>
        <v>#REF!</v>
      </c>
      <c r="Z58" s="99">
        <f t="shared" si="13"/>
        <v>4.3250000000000002</v>
      </c>
      <c r="AA58" s="99" t="str">
        <f t="shared" si="9"/>
        <v/>
      </c>
      <c r="AB58" s="100"/>
      <c r="AC58" s="101" t="str">
        <f t="shared" si="14"/>
        <v/>
      </c>
      <c r="AD58" s="102"/>
      <c r="AE58" s="103"/>
      <c r="AF58" s="103"/>
      <c r="AG58" s="104"/>
      <c r="AH58">
        <v>22</v>
      </c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</row>
    <row r="59" spans="1:66" ht="15" customHeight="1">
      <c r="A59">
        <v>23</v>
      </c>
      <c r="B59" s="111" t="s">
        <v>135</v>
      </c>
      <c r="C59" s="88" t="s">
        <v>238</v>
      </c>
      <c r="D59" s="89" t="s">
        <v>73</v>
      </c>
      <c r="E59" s="109">
        <v>4.3250000000000002</v>
      </c>
      <c r="F59" s="90">
        <v>0.03</v>
      </c>
      <c r="G59" s="90">
        <v>-0.03</v>
      </c>
      <c r="H59" s="91" t="s">
        <v>344</v>
      </c>
      <c r="I59" s="92" t="s">
        <v>186</v>
      </c>
      <c r="J59" s="51">
        <f t="shared" si="10"/>
        <v>4.3550000000000004</v>
      </c>
      <c r="K59" s="51">
        <f t="shared" si="11"/>
        <v>4.2949999999999999</v>
      </c>
      <c r="L59" s="107"/>
      <c r="M59" s="94">
        <f t="shared" si="0"/>
        <v>0</v>
      </c>
      <c r="N59" s="94">
        <f t="shared" si="1"/>
        <v>0</v>
      </c>
      <c r="O59" s="94">
        <f t="shared" si="2"/>
        <v>0</v>
      </c>
      <c r="P59" s="95">
        <f t="shared" si="3"/>
        <v>0</v>
      </c>
      <c r="Q59" s="96" t="str">
        <f t="shared" si="4"/>
        <v/>
      </c>
      <c r="R59" s="97" t="str">
        <f>IF(OR($AI59="",ISNUMBER($AI59)=FALSE),"",IF(AND(#REF!="Tolerance",$E59&lt;&gt;""),($O59-$E59)/(($J59-$K59)/2),IF(AND(#REF!="GD&amp;T",$F59&lt;&gt;""),$O59/$F59,"")))</f>
        <v/>
      </c>
      <c r="S59" s="97" t="str">
        <f t="shared" si="12"/>
        <v/>
      </c>
      <c r="T59" s="96" t="str">
        <f t="shared" si="5"/>
        <v/>
      </c>
      <c r="U59" s="96" t="str">
        <f t="shared" si="6"/>
        <v/>
      </c>
      <c r="V59" s="96" t="str">
        <f t="shared" si="7"/>
        <v/>
      </c>
      <c r="W59" s="98" t="str">
        <f t="shared" si="8"/>
        <v/>
      </c>
      <c r="X59" s="99" t="e">
        <f>IF($O59="","",IF(#REF!="Tolerance",IF((#REF!*3*P59+O59)-E59&lt;F59,"",(#REF!*3*P59+O59)-E59),IF(OR(#REF!="GD&amp;T",#REF!="MAX"),IF((#REF!*3*P59+O59)&lt;F59,"",(#REF!*3*P59+O59)),"")))</f>
        <v>#REF!</v>
      </c>
      <c r="Y59" s="99" t="e">
        <f>IF(O59="","",IF(#REF!="Tolerance",IF(-((#REF!*3*P59)-O59)-E59&gt;G59,"",-((#REF!*3*P59)-O59)-E59),IF(#REF!="MIN",IF(-((#REF!*3*P59)-O59)&gt;G59,"",-((#REF!*3*P59)-O59)),"")))</f>
        <v>#REF!</v>
      </c>
      <c r="Z59" s="99">
        <f t="shared" si="13"/>
        <v>4.3250000000000002</v>
      </c>
      <c r="AA59" s="99" t="str">
        <f t="shared" si="9"/>
        <v/>
      </c>
      <c r="AB59" s="100"/>
      <c r="AC59" s="101" t="str">
        <f t="shared" si="14"/>
        <v/>
      </c>
      <c r="AD59" s="102"/>
      <c r="AE59" s="103"/>
      <c r="AF59" s="103"/>
      <c r="AG59" s="104"/>
      <c r="AH59">
        <v>23</v>
      </c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</row>
    <row r="60" spans="1:66" ht="15" customHeight="1">
      <c r="A60">
        <v>24</v>
      </c>
      <c r="B60" s="111" t="s">
        <v>136</v>
      </c>
      <c r="C60" s="88" t="s">
        <v>239</v>
      </c>
      <c r="D60" s="89" t="s">
        <v>73</v>
      </c>
      <c r="E60" s="109">
        <v>4.3250000000000002</v>
      </c>
      <c r="F60" s="90">
        <v>0.03</v>
      </c>
      <c r="G60" s="90">
        <v>-0.03</v>
      </c>
      <c r="H60" s="91" t="s">
        <v>344</v>
      </c>
      <c r="I60" s="92" t="s">
        <v>186</v>
      </c>
      <c r="J60" s="51">
        <f t="shared" si="10"/>
        <v>4.3550000000000004</v>
      </c>
      <c r="K60" s="51">
        <f t="shared" si="11"/>
        <v>4.2949999999999999</v>
      </c>
      <c r="L60" s="107"/>
      <c r="M60" s="94">
        <f t="shared" si="0"/>
        <v>0</v>
      </c>
      <c r="N60" s="94">
        <f t="shared" si="1"/>
        <v>0</v>
      </c>
      <c r="O60" s="94">
        <f t="shared" si="2"/>
        <v>0</v>
      </c>
      <c r="P60" s="95">
        <f t="shared" si="3"/>
        <v>0</v>
      </c>
      <c r="Q60" s="96" t="str">
        <f t="shared" si="4"/>
        <v/>
      </c>
      <c r="R60" s="97" t="str">
        <f>IF(OR($AI60="",ISNUMBER($AI60)=FALSE),"",IF(AND(#REF!="Tolerance",$E60&lt;&gt;""),($O60-$E60)/(($J60-$K60)/2),IF(AND(#REF!="GD&amp;T",$F60&lt;&gt;""),$O60/$F60,"")))</f>
        <v/>
      </c>
      <c r="S60" s="97" t="str">
        <f t="shared" si="12"/>
        <v/>
      </c>
      <c r="T60" s="96" t="str">
        <f t="shared" si="5"/>
        <v/>
      </c>
      <c r="U60" s="96" t="str">
        <f t="shared" si="6"/>
        <v/>
      </c>
      <c r="V60" s="96" t="str">
        <f t="shared" si="7"/>
        <v/>
      </c>
      <c r="W60" s="98" t="str">
        <f t="shared" si="8"/>
        <v/>
      </c>
      <c r="X60" s="99" t="e">
        <f>IF($O60="","",IF(#REF!="Tolerance",IF((#REF!*3*P60+O60)-E60&lt;F60,"",(#REF!*3*P60+O60)-E60),IF(OR(#REF!="GD&amp;T",#REF!="MAX"),IF((#REF!*3*P60+O60)&lt;F60,"",(#REF!*3*P60+O60)),"")))</f>
        <v>#REF!</v>
      </c>
      <c r="Y60" s="99" t="e">
        <f>IF(O60="","",IF(#REF!="Tolerance",IF(-((#REF!*3*P60)-O60)-E60&gt;G60,"",-((#REF!*3*P60)-O60)-E60),IF(#REF!="MIN",IF(-((#REF!*3*P60)-O60)&gt;G60,"",-((#REF!*3*P60)-O60)),"")))</f>
        <v>#REF!</v>
      </c>
      <c r="Z60" s="99">
        <f t="shared" si="13"/>
        <v>4.3250000000000002</v>
      </c>
      <c r="AA60" s="99" t="str">
        <f t="shared" si="9"/>
        <v/>
      </c>
      <c r="AB60" s="100"/>
      <c r="AC60" s="101" t="str">
        <f t="shared" si="14"/>
        <v/>
      </c>
      <c r="AD60" s="102"/>
      <c r="AE60" s="103"/>
      <c r="AF60" s="103"/>
      <c r="AG60" s="104"/>
      <c r="AH60">
        <v>24</v>
      </c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</row>
    <row r="61" spans="1:66" ht="15" customHeight="1">
      <c r="A61">
        <v>25</v>
      </c>
      <c r="B61" s="111" t="s">
        <v>137</v>
      </c>
      <c r="C61" s="88" t="s">
        <v>240</v>
      </c>
      <c r="D61" s="89" t="s">
        <v>73</v>
      </c>
      <c r="E61" s="109">
        <v>4.3250000000000002</v>
      </c>
      <c r="F61" s="90">
        <v>0.03</v>
      </c>
      <c r="G61" s="90">
        <v>-0.03</v>
      </c>
      <c r="H61" s="91" t="s">
        <v>344</v>
      </c>
      <c r="I61" s="92" t="s">
        <v>186</v>
      </c>
      <c r="J61" s="51">
        <f t="shared" si="10"/>
        <v>4.3550000000000004</v>
      </c>
      <c r="K61" s="51">
        <f t="shared" si="11"/>
        <v>4.2949999999999999</v>
      </c>
      <c r="L61" s="107"/>
      <c r="M61" s="94">
        <f t="shared" si="0"/>
        <v>0</v>
      </c>
      <c r="N61" s="94">
        <f t="shared" si="1"/>
        <v>0</v>
      </c>
      <c r="O61" s="94">
        <f t="shared" si="2"/>
        <v>0</v>
      </c>
      <c r="P61" s="95">
        <f t="shared" si="3"/>
        <v>0</v>
      </c>
      <c r="Q61" s="96" t="str">
        <f t="shared" si="4"/>
        <v/>
      </c>
      <c r="R61" s="97" t="str">
        <f>IF(OR($AI61="",ISNUMBER($AI61)=FALSE),"",IF(AND(#REF!="Tolerance",$E61&lt;&gt;""),($O61-$E61)/(($J61-$K61)/2),IF(AND(#REF!="GD&amp;T",$F61&lt;&gt;""),$O61/$F61,"")))</f>
        <v/>
      </c>
      <c r="S61" s="97" t="str">
        <f t="shared" si="12"/>
        <v/>
      </c>
      <c r="T61" s="96" t="str">
        <f t="shared" si="5"/>
        <v/>
      </c>
      <c r="U61" s="96" t="str">
        <f t="shared" si="6"/>
        <v/>
      </c>
      <c r="V61" s="96" t="str">
        <f t="shared" si="7"/>
        <v/>
      </c>
      <c r="W61" s="98" t="str">
        <f t="shared" si="8"/>
        <v/>
      </c>
      <c r="X61" s="99" t="e">
        <f>IF($O61="","",IF(#REF!="Tolerance",IF((#REF!*3*P61+O61)-E61&lt;F61,"",(#REF!*3*P61+O61)-E61),IF(OR(#REF!="GD&amp;T",#REF!="MAX"),IF((#REF!*3*P61+O61)&lt;F61,"",(#REF!*3*P61+O61)),"")))</f>
        <v>#REF!</v>
      </c>
      <c r="Y61" s="99" t="e">
        <f>IF(O61="","",IF(#REF!="Tolerance",IF(-((#REF!*3*P61)-O61)-E61&gt;G61,"",-((#REF!*3*P61)-O61)-E61),IF(#REF!="MIN",IF(-((#REF!*3*P61)-O61)&gt;G61,"",-((#REF!*3*P61)-O61)),"")))</f>
        <v>#REF!</v>
      </c>
      <c r="Z61" s="99">
        <f t="shared" si="13"/>
        <v>4.3250000000000002</v>
      </c>
      <c r="AA61" s="99" t="str">
        <f t="shared" si="9"/>
        <v/>
      </c>
      <c r="AB61" s="100"/>
      <c r="AC61" s="101" t="str">
        <f t="shared" si="14"/>
        <v/>
      </c>
      <c r="AD61" s="102"/>
      <c r="AE61" s="103"/>
      <c r="AF61" s="103"/>
      <c r="AG61" s="104"/>
      <c r="AH61">
        <v>25</v>
      </c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</row>
    <row r="62" spans="1:66" ht="15" customHeight="1">
      <c r="A62">
        <v>26</v>
      </c>
      <c r="B62" s="111" t="s">
        <v>138</v>
      </c>
      <c r="C62" s="88" t="s">
        <v>288</v>
      </c>
      <c r="D62" s="89" t="s">
        <v>73</v>
      </c>
      <c r="E62" s="109">
        <v>0.22500000000000001</v>
      </c>
      <c r="F62" s="90">
        <v>0.03</v>
      </c>
      <c r="G62" s="90">
        <v>-0.03</v>
      </c>
      <c r="H62" s="91" t="s">
        <v>344</v>
      </c>
      <c r="I62" s="92" t="s">
        <v>186</v>
      </c>
      <c r="J62" s="51">
        <f t="shared" si="10"/>
        <v>0.255</v>
      </c>
      <c r="K62" s="51">
        <f t="shared" si="11"/>
        <v>0.19500000000000001</v>
      </c>
      <c r="L62" s="107"/>
      <c r="M62" s="94">
        <f t="shared" si="0"/>
        <v>0</v>
      </c>
      <c r="N62" s="94">
        <f t="shared" si="1"/>
        <v>0</v>
      </c>
      <c r="O62" s="94">
        <f t="shared" si="2"/>
        <v>0</v>
      </c>
      <c r="P62" s="95">
        <f t="shared" si="3"/>
        <v>0</v>
      </c>
      <c r="Q62" s="96" t="str">
        <f t="shared" si="4"/>
        <v/>
      </c>
      <c r="R62" s="97" t="str">
        <f>IF(OR($AI62="",ISNUMBER($AI62)=FALSE),"",IF(AND(#REF!="Tolerance",$E62&lt;&gt;""),($O62-$E62)/(($J62-$K62)/2),IF(AND(#REF!="GD&amp;T",$F62&lt;&gt;""),$O62/$F62,"")))</f>
        <v/>
      </c>
      <c r="S62" s="97" t="str">
        <f t="shared" si="12"/>
        <v/>
      </c>
      <c r="T62" s="96" t="str">
        <f t="shared" si="5"/>
        <v/>
      </c>
      <c r="U62" s="96" t="str">
        <f t="shared" si="6"/>
        <v/>
      </c>
      <c r="V62" s="96" t="str">
        <f t="shared" si="7"/>
        <v/>
      </c>
      <c r="W62" s="108" t="str">
        <f t="shared" si="8"/>
        <v/>
      </c>
      <c r="X62" s="99" t="e">
        <f>IF($O62="","",IF(#REF!="Tolerance",IF((#REF!*3*P62+O62)-E62&lt;F62,"",(#REF!*3*P62+O62)-E62),IF(OR(#REF!="GD&amp;T",#REF!="MAX"),IF((#REF!*3*P62+O62)&lt;F62,"",(#REF!*3*P62+O62)),"")))</f>
        <v>#REF!</v>
      </c>
      <c r="Y62" s="99" t="e">
        <f>IF(O62="","",IF(#REF!="Tolerance",IF(-((#REF!*3*P62)-O62)-E62&gt;G62,"",-((#REF!*3*P62)-O62)-E62),IF(#REF!="MIN",IF(-((#REF!*3*P62)-O62)&gt;G62,"",-((#REF!*3*P62)-O62)),"")))</f>
        <v>#REF!</v>
      </c>
      <c r="Z62" s="99">
        <f t="shared" si="13"/>
        <v>0.22500000000000001</v>
      </c>
      <c r="AA62" s="99" t="str">
        <f t="shared" si="9"/>
        <v/>
      </c>
      <c r="AB62" s="100"/>
      <c r="AC62" s="101" t="str">
        <f t="shared" si="14"/>
        <v/>
      </c>
      <c r="AD62" s="102"/>
      <c r="AE62" s="103"/>
      <c r="AF62" s="103"/>
      <c r="AG62" s="104"/>
      <c r="AH62">
        <v>26</v>
      </c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</row>
    <row r="63" spans="1:66" ht="15" customHeight="1">
      <c r="A63">
        <v>27</v>
      </c>
      <c r="B63" s="111" t="s">
        <v>139</v>
      </c>
      <c r="C63" s="88" t="s">
        <v>341</v>
      </c>
      <c r="D63" s="89" t="s">
        <v>73</v>
      </c>
      <c r="E63" s="109">
        <v>21.405000000000001</v>
      </c>
      <c r="F63" s="90">
        <v>0.03</v>
      </c>
      <c r="G63" s="90">
        <v>-0.03</v>
      </c>
      <c r="H63" s="91" t="s">
        <v>344</v>
      </c>
      <c r="I63" s="92" t="s">
        <v>186</v>
      </c>
      <c r="J63" s="51">
        <f t="shared" si="10"/>
        <v>21.435000000000002</v>
      </c>
      <c r="K63" s="51">
        <f t="shared" si="11"/>
        <v>21.375</v>
      </c>
      <c r="L63" s="107"/>
      <c r="M63" s="94">
        <f t="shared" si="0"/>
        <v>0</v>
      </c>
      <c r="N63" s="94">
        <f t="shared" si="1"/>
        <v>0</v>
      </c>
      <c r="O63" s="94">
        <f t="shared" si="2"/>
        <v>0</v>
      </c>
      <c r="P63" s="95">
        <f t="shared" si="3"/>
        <v>0</v>
      </c>
      <c r="Q63" s="96" t="str">
        <f t="shared" si="4"/>
        <v/>
      </c>
      <c r="R63" s="97" t="str">
        <f>IF(OR($AI63="",ISNUMBER($AI63)=FALSE),"",IF(AND(#REF!="Tolerance",$E63&lt;&gt;""),($O63-$E63)/(($J63-$K63)/2),IF(AND(#REF!="GD&amp;T",$F63&lt;&gt;""),$O63/$F63,"")))</f>
        <v/>
      </c>
      <c r="S63" s="97" t="str">
        <f t="shared" si="12"/>
        <v/>
      </c>
      <c r="T63" s="96" t="str">
        <f t="shared" si="5"/>
        <v/>
      </c>
      <c r="U63" s="96" t="str">
        <f t="shared" si="6"/>
        <v/>
      </c>
      <c r="V63" s="96" t="str">
        <f t="shared" si="7"/>
        <v/>
      </c>
      <c r="W63" s="108" t="str">
        <f t="shared" si="8"/>
        <v/>
      </c>
      <c r="X63" s="99" t="e">
        <f>IF($O63="","",IF(#REF!="Tolerance",IF((#REF!*3*P63+O63)-E63&lt;F63,"",(#REF!*3*P63+O63)-E63),IF(OR(#REF!="GD&amp;T",#REF!="MAX"),IF((#REF!*3*P63+O63)&lt;F63,"",(#REF!*3*P63+O63)),"")))</f>
        <v>#REF!</v>
      </c>
      <c r="Y63" s="99" t="e">
        <f>IF(O63="","",IF(#REF!="Tolerance",IF(-((#REF!*3*P63)-O63)-E63&gt;G63,"",-((#REF!*3*P63)-O63)-E63),IF(#REF!="MIN",IF(-((#REF!*3*P63)-O63)&gt;G63,"",-((#REF!*3*P63)-O63)),"")))</f>
        <v>#REF!</v>
      </c>
      <c r="Z63" s="99">
        <f t="shared" si="13"/>
        <v>21.405000000000001</v>
      </c>
      <c r="AA63" s="99" t="str">
        <f t="shared" si="9"/>
        <v/>
      </c>
      <c r="AB63" s="100"/>
      <c r="AC63" s="101" t="str">
        <f t="shared" si="14"/>
        <v/>
      </c>
      <c r="AD63" s="102"/>
      <c r="AE63" s="103"/>
      <c r="AF63" s="103"/>
      <c r="AG63" s="104"/>
      <c r="AH63">
        <v>27</v>
      </c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</row>
    <row r="64" spans="1:66" ht="15" customHeight="1">
      <c r="A64">
        <v>28</v>
      </c>
      <c r="B64" s="111" t="s">
        <v>140</v>
      </c>
      <c r="C64" s="88" t="s">
        <v>289</v>
      </c>
      <c r="D64" s="89" t="s">
        <v>73</v>
      </c>
      <c r="E64" s="109">
        <v>0.04</v>
      </c>
      <c r="F64" s="90">
        <v>0.03</v>
      </c>
      <c r="G64" s="90">
        <v>-0.02</v>
      </c>
      <c r="H64" s="91" t="s">
        <v>344</v>
      </c>
      <c r="I64" s="92" t="s">
        <v>186</v>
      </c>
      <c r="J64" s="51">
        <f t="shared" si="10"/>
        <v>7.0000000000000007E-2</v>
      </c>
      <c r="K64" s="51">
        <f t="shared" si="11"/>
        <v>0.02</v>
      </c>
      <c r="L64" s="107"/>
      <c r="M64" s="94">
        <f t="shared" si="0"/>
        <v>0</v>
      </c>
      <c r="N64" s="94">
        <f t="shared" si="1"/>
        <v>0</v>
      </c>
      <c r="O64" s="94">
        <f t="shared" si="2"/>
        <v>0</v>
      </c>
      <c r="P64" s="95">
        <f t="shared" si="3"/>
        <v>0</v>
      </c>
      <c r="Q64" s="96" t="str">
        <f t="shared" si="4"/>
        <v/>
      </c>
      <c r="R64" s="97" t="str">
        <f>IF(OR($AI64="",ISNUMBER($AI64)=FALSE),"",IF(AND(#REF!="Tolerance",$E64&lt;&gt;""),($O64-$E64)/(($J64-$K64)/2),IF(AND(#REF!="GD&amp;T",$F64&lt;&gt;""),$O64/$F64,"")))</f>
        <v/>
      </c>
      <c r="S64" s="97" t="str">
        <f t="shared" si="12"/>
        <v/>
      </c>
      <c r="T64" s="96" t="str">
        <f t="shared" si="5"/>
        <v/>
      </c>
      <c r="U64" s="96" t="str">
        <f t="shared" si="6"/>
        <v/>
      </c>
      <c r="V64" s="96" t="str">
        <f t="shared" si="7"/>
        <v/>
      </c>
      <c r="W64" s="108" t="str">
        <f t="shared" si="8"/>
        <v/>
      </c>
      <c r="X64" s="99" t="e">
        <f>IF($O64="","",IF(#REF!="Tolerance",IF((#REF!*3*P64+O64)-E64&lt;F64,"",(#REF!*3*P64+O64)-E64),IF(OR(#REF!="GD&amp;T",#REF!="MAX"),IF((#REF!*3*P64+O64)&lt;F64,"",(#REF!*3*P64+O64)),"")))</f>
        <v>#REF!</v>
      </c>
      <c r="Y64" s="99" t="e">
        <f>IF(O64="","",IF(#REF!="Tolerance",IF(-((#REF!*3*P64)-O64)-E64&gt;G64,"",-((#REF!*3*P64)-O64)-E64),IF(#REF!="MIN",IF(-((#REF!*3*P64)-O64)&gt;G64,"",-((#REF!*3*P64)-O64)),"")))</f>
        <v>#REF!</v>
      </c>
      <c r="Z64" s="99">
        <f t="shared" si="13"/>
        <v>4.5000000000000005E-2</v>
      </c>
      <c r="AA64" s="99" t="str">
        <f t="shared" si="9"/>
        <v/>
      </c>
      <c r="AB64" s="100"/>
      <c r="AC64" s="101" t="str">
        <f t="shared" si="14"/>
        <v/>
      </c>
      <c r="AD64" s="102"/>
      <c r="AE64" s="103"/>
      <c r="AF64" s="103"/>
      <c r="AG64" s="104"/>
      <c r="AH64">
        <v>28</v>
      </c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</row>
    <row r="65" spans="1:66" ht="15" customHeight="1">
      <c r="A65">
        <v>29</v>
      </c>
      <c r="B65" s="111" t="s">
        <v>141</v>
      </c>
      <c r="C65" s="88" t="s">
        <v>290</v>
      </c>
      <c r="D65" s="89" t="s">
        <v>73</v>
      </c>
      <c r="E65" s="109">
        <v>0.04</v>
      </c>
      <c r="F65" s="90">
        <v>0.03</v>
      </c>
      <c r="G65" s="90">
        <v>-0.02</v>
      </c>
      <c r="H65" s="91" t="s">
        <v>344</v>
      </c>
      <c r="I65" s="92" t="s">
        <v>186</v>
      </c>
      <c r="J65" s="51">
        <f t="shared" si="10"/>
        <v>7.0000000000000007E-2</v>
      </c>
      <c r="K65" s="51">
        <f t="shared" si="11"/>
        <v>0.02</v>
      </c>
      <c r="L65" s="107"/>
      <c r="M65" s="94">
        <f t="shared" si="0"/>
        <v>0</v>
      </c>
      <c r="N65" s="94">
        <f t="shared" si="1"/>
        <v>0</v>
      </c>
      <c r="O65" s="94">
        <f t="shared" si="2"/>
        <v>0</v>
      </c>
      <c r="P65" s="95">
        <f t="shared" si="3"/>
        <v>0</v>
      </c>
      <c r="Q65" s="96" t="str">
        <f t="shared" si="4"/>
        <v/>
      </c>
      <c r="R65" s="97" t="str">
        <f>IF(OR($AI65="",ISNUMBER($AI65)=FALSE),"",IF(AND(#REF!="Tolerance",$E65&lt;&gt;""),($O65-$E65)/(($J65-$K65)/2),IF(AND(#REF!="GD&amp;T",$F65&lt;&gt;""),$O65/$F65,"")))</f>
        <v/>
      </c>
      <c r="S65" s="97" t="str">
        <f t="shared" si="12"/>
        <v/>
      </c>
      <c r="T65" s="96" t="str">
        <f t="shared" si="5"/>
        <v/>
      </c>
      <c r="U65" s="96" t="str">
        <f t="shared" si="6"/>
        <v/>
      </c>
      <c r="V65" s="96" t="str">
        <f t="shared" si="7"/>
        <v/>
      </c>
      <c r="W65" s="108" t="str">
        <f t="shared" si="8"/>
        <v/>
      </c>
      <c r="X65" s="99" t="e">
        <f>IF($O65="","",IF(#REF!="Tolerance",IF((#REF!*3*P65+O65)-E65&lt;F65,"",(#REF!*3*P65+O65)-E65),IF(OR(#REF!="GD&amp;T",#REF!="MAX"),IF((#REF!*3*P65+O65)&lt;F65,"",(#REF!*3*P65+O65)),"")))</f>
        <v>#REF!</v>
      </c>
      <c r="Y65" s="99" t="e">
        <f>IF(O65="","",IF(#REF!="Tolerance",IF(-((#REF!*3*P65)-O65)-E65&gt;G65,"",-((#REF!*3*P65)-O65)-E65),IF(#REF!="MIN",IF(-((#REF!*3*P65)-O65)&gt;G65,"",-((#REF!*3*P65)-O65)),"")))</f>
        <v>#REF!</v>
      </c>
      <c r="Z65" s="99">
        <f t="shared" si="13"/>
        <v>4.5000000000000005E-2</v>
      </c>
      <c r="AA65" s="99" t="str">
        <f t="shared" si="9"/>
        <v/>
      </c>
      <c r="AB65" s="100"/>
      <c r="AC65" s="101" t="str">
        <f t="shared" si="14"/>
        <v/>
      </c>
      <c r="AD65" s="102"/>
      <c r="AE65" s="103"/>
      <c r="AF65" s="103"/>
      <c r="AG65" s="104"/>
      <c r="AH65">
        <v>29</v>
      </c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</row>
    <row r="66" spans="1:66" ht="15" customHeight="1">
      <c r="A66">
        <v>29</v>
      </c>
      <c r="B66" s="87" t="s">
        <v>142</v>
      </c>
      <c r="C66" s="88" t="s">
        <v>291</v>
      </c>
      <c r="D66" s="89" t="s">
        <v>73</v>
      </c>
      <c r="E66" s="109">
        <v>0.04</v>
      </c>
      <c r="F66" s="90">
        <v>0.03</v>
      </c>
      <c r="G66" s="90">
        <v>-0.02</v>
      </c>
      <c r="H66" s="91" t="s">
        <v>344</v>
      </c>
      <c r="I66" s="92" t="s">
        <v>186</v>
      </c>
      <c r="J66" s="51">
        <f>IF(AND(E66="",F66=""),"",IF(E66="",F66,E66+F66))</f>
        <v>7.0000000000000007E-2</v>
      </c>
      <c r="K66" s="51">
        <f>IF(AND(E66="",G66=""),"",IF(E66="",G66,E66+G66))</f>
        <v>0.02</v>
      </c>
      <c r="L66" s="107"/>
      <c r="M66" s="94">
        <f t="shared" si="0"/>
        <v>0</v>
      </c>
      <c r="N66" s="94">
        <f t="shared" si="1"/>
        <v>0</v>
      </c>
      <c r="O66" s="94">
        <f t="shared" si="2"/>
        <v>0</v>
      </c>
      <c r="P66" s="95">
        <f t="shared" si="3"/>
        <v>0</v>
      </c>
      <c r="Q66" s="96" t="str">
        <f t="shared" si="4"/>
        <v/>
      </c>
      <c r="R66" s="97" t="str">
        <f>IF(OR($AI66="",ISNUMBER($AI66)=FALSE),"",IF(AND(#REF!="Tolerance",$E66&lt;&gt;""),($O66-$E66)/(($J66-$K66)/2),IF(AND(#REF!="GD&amp;T",$F66&lt;&gt;""),$O66/$F66,"")))</f>
        <v/>
      </c>
      <c r="S66" s="97" t="str">
        <f t="shared" si="12"/>
        <v/>
      </c>
      <c r="T66" s="96" t="str">
        <f t="shared" si="5"/>
        <v/>
      </c>
      <c r="U66" s="96" t="str">
        <f t="shared" si="6"/>
        <v/>
      </c>
      <c r="V66" s="96" t="str">
        <f t="shared" si="7"/>
        <v/>
      </c>
      <c r="W66" s="108" t="str">
        <f t="shared" si="8"/>
        <v/>
      </c>
      <c r="X66" s="99" t="e">
        <f>IF($O66="","",IF(#REF!="Tolerance",IF((#REF!*3*P66+O66)-E66&lt;F66,"",(#REF!*3*P66+O66)-E66),IF(OR(#REF!="GD&amp;T",#REF!="MAX"),IF((#REF!*3*P66+O66)&lt;F66,"",(#REF!*3*P66+O66)),"")))</f>
        <v>#REF!</v>
      </c>
      <c r="Y66" s="99" t="e">
        <f>IF(O66="","",IF(#REF!="Tolerance",IF(-((#REF!*3*P66)-O66)-E66&gt;G66,"",-((#REF!*3*P66)-O66)-E66),IF(#REF!="MIN",IF(-((#REF!*3*P66)-O66)&gt;G66,"",-((#REF!*3*P66)-O66)),"")))</f>
        <v>#REF!</v>
      </c>
      <c r="Z66" s="99">
        <f>IF(OR(E66="",O66=""),"",(J66+K66)/2-O66)</f>
        <v>4.5000000000000005E-2</v>
      </c>
      <c r="AA66" s="99" t="str">
        <f t="shared" si="9"/>
        <v/>
      </c>
      <c r="AB66" s="100"/>
      <c r="AC66" s="101" t="str">
        <f>IF(AB66="","",IF(AB66&gt;=0.966,"Normal","Not Normal"))</f>
        <v/>
      </c>
      <c r="AD66" s="102"/>
      <c r="AE66" s="103"/>
      <c r="AF66" s="103"/>
      <c r="AG66" s="104"/>
      <c r="AH66">
        <v>29</v>
      </c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</row>
    <row r="67" spans="1:66" ht="15" customHeight="1">
      <c r="A67">
        <v>29</v>
      </c>
      <c r="B67" s="87" t="s">
        <v>143</v>
      </c>
      <c r="C67" s="88" t="s">
        <v>292</v>
      </c>
      <c r="D67" s="89" t="s">
        <v>73</v>
      </c>
      <c r="E67" s="109">
        <v>0.04</v>
      </c>
      <c r="F67" s="90">
        <v>0.03</v>
      </c>
      <c r="G67" s="90">
        <v>-0.02</v>
      </c>
      <c r="H67" s="91" t="s">
        <v>344</v>
      </c>
      <c r="I67" s="92" t="s">
        <v>186</v>
      </c>
      <c r="J67" s="51">
        <f>IF(AND(E67="",F67=""),"",IF(E67="",F67,E67+F67))</f>
        <v>7.0000000000000007E-2</v>
      </c>
      <c r="K67" s="51">
        <f>IF(AND(E67="",G67=""),"",IF(E67="",G67,E67+G67))</f>
        <v>0.02</v>
      </c>
      <c r="L67" s="107"/>
      <c r="M67" s="94">
        <f t="shared" si="0"/>
        <v>0</v>
      </c>
      <c r="N67" s="94">
        <f t="shared" si="1"/>
        <v>0</v>
      </c>
      <c r="O67" s="94">
        <f t="shared" si="2"/>
        <v>0</v>
      </c>
      <c r="P67" s="95">
        <f t="shared" si="3"/>
        <v>0</v>
      </c>
      <c r="Q67" s="96" t="str">
        <f t="shared" si="4"/>
        <v/>
      </c>
      <c r="R67" s="97" t="str">
        <f>IF(OR($AI67="",ISNUMBER($AI67)=FALSE),"",IF(AND(#REF!="Tolerance",$E67&lt;&gt;""),($O67-$E67)/(($J67-$K67)/2),IF(AND(#REF!="GD&amp;T",$F67&lt;&gt;""),$O67/$F67,"")))</f>
        <v/>
      </c>
      <c r="S67" s="97" t="str">
        <f t="shared" si="12"/>
        <v/>
      </c>
      <c r="T67" s="96" t="str">
        <f t="shared" si="5"/>
        <v/>
      </c>
      <c r="U67" s="96" t="str">
        <f t="shared" si="6"/>
        <v/>
      </c>
      <c r="V67" s="96" t="str">
        <f t="shared" si="7"/>
        <v/>
      </c>
      <c r="W67" s="108" t="str">
        <f t="shared" si="8"/>
        <v/>
      </c>
      <c r="X67" s="99" t="e">
        <f>IF($O67="","",IF(#REF!="Tolerance",IF((#REF!*3*P67+O67)-E67&lt;F67,"",(#REF!*3*P67+O67)-E67),IF(OR(#REF!="GD&amp;T",#REF!="MAX"),IF((#REF!*3*P67+O67)&lt;F67,"",(#REF!*3*P67+O67)),"")))</f>
        <v>#REF!</v>
      </c>
      <c r="Y67" s="99" t="e">
        <f>IF(O67="","",IF(#REF!="Tolerance",IF(-((#REF!*3*P67)-O67)-E67&gt;G67,"",-((#REF!*3*P67)-O67)-E67),IF(#REF!="MIN",IF(-((#REF!*3*P67)-O67)&gt;G67,"",-((#REF!*3*P67)-O67)),"")))</f>
        <v>#REF!</v>
      </c>
      <c r="Z67" s="99">
        <f>IF(OR(E67="",O67=""),"",(J67+K67)/2-O67)</f>
        <v>4.5000000000000005E-2</v>
      </c>
      <c r="AA67" s="99" t="str">
        <f t="shared" si="9"/>
        <v/>
      </c>
      <c r="AB67" s="100"/>
      <c r="AC67" s="101" t="str">
        <f>IF(AB67="","",IF(AB67&gt;=0.966,"Normal","Not Normal"))</f>
        <v/>
      </c>
      <c r="AD67" s="102"/>
      <c r="AE67" s="103"/>
      <c r="AF67" s="103"/>
      <c r="AG67" s="104"/>
      <c r="AH67">
        <v>29</v>
      </c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</row>
    <row r="68" spans="1:66" ht="15" customHeight="1">
      <c r="A68">
        <v>29</v>
      </c>
      <c r="B68" s="87" t="s">
        <v>144</v>
      </c>
      <c r="C68" s="88" t="s">
        <v>293</v>
      </c>
      <c r="D68" s="106" t="s">
        <v>73</v>
      </c>
      <c r="E68" s="109">
        <v>0.04</v>
      </c>
      <c r="F68" s="90">
        <v>0.03</v>
      </c>
      <c r="G68" s="90">
        <v>-0.02</v>
      </c>
      <c r="H68" s="91" t="s">
        <v>344</v>
      </c>
      <c r="I68" s="92" t="s">
        <v>186</v>
      </c>
      <c r="J68" s="51">
        <f>IF(AND(E68="",F68=""),"",IF(E68="",F68,E68+F68))</f>
        <v>7.0000000000000007E-2</v>
      </c>
      <c r="K68" s="51">
        <f>IF(AND(E68="",G68=""),"",IF(E68="",G68,E68+G68))</f>
        <v>0.02</v>
      </c>
      <c r="L68" s="107"/>
      <c r="M68" s="94">
        <f t="shared" si="0"/>
        <v>0</v>
      </c>
      <c r="N68" s="94">
        <f t="shared" si="1"/>
        <v>0</v>
      </c>
      <c r="O68" s="94">
        <f t="shared" si="2"/>
        <v>0</v>
      </c>
      <c r="P68" s="95">
        <f t="shared" si="3"/>
        <v>0</v>
      </c>
      <c r="Q68" s="96" t="str">
        <f t="shared" si="4"/>
        <v/>
      </c>
      <c r="R68" s="97" t="str">
        <f>IF(OR($AI68="",ISNUMBER($AI68)=FALSE),"",IF(AND(#REF!="Tolerance",$E68&lt;&gt;""),($O68-$E68)/(($J68-$K68)/2),IF(AND(#REF!="GD&amp;T",$F68&lt;&gt;""),$O68/$F68,"")))</f>
        <v/>
      </c>
      <c r="S68" s="97" t="str">
        <f t="shared" si="12"/>
        <v/>
      </c>
      <c r="T68" s="96" t="str">
        <f t="shared" si="5"/>
        <v/>
      </c>
      <c r="U68" s="96" t="str">
        <f t="shared" si="6"/>
        <v/>
      </c>
      <c r="V68" s="96" t="str">
        <f t="shared" si="7"/>
        <v/>
      </c>
      <c r="W68" s="108" t="str">
        <f t="shared" si="8"/>
        <v/>
      </c>
      <c r="X68" s="99" t="e">
        <f>IF($O68="","",IF(#REF!="Tolerance",IF((#REF!*3*P68+O68)-E68&lt;F68,"",(#REF!*3*P68+O68)-E68),IF(OR(#REF!="GD&amp;T",#REF!="MAX"),IF((#REF!*3*P68+O68)&lt;F68,"",(#REF!*3*P68+O68)),"")))</f>
        <v>#REF!</v>
      </c>
      <c r="Y68" s="99" t="e">
        <f>IF(O68="","",IF(#REF!="Tolerance",IF(-((#REF!*3*P68)-O68)-E68&gt;G68,"",-((#REF!*3*P68)-O68)-E68),IF(#REF!="MIN",IF(-((#REF!*3*P68)-O68)&gt;G68,"",-((#REF!*3*P68)-O68)),"")))</f>
        <v>#REF!</v>
      </c>
      <c r="Z68" s="99">
        <f>IF(OR(E68="",O68=""),"",(J68+K68)/2-O68)</f>
        <v>4.5000000000000005E-2</v>
      </c>
      <c r="AA68" s="99" t="str">
        <f t="shared" si="9"/>
        <v/>
      </c>
      <c r="AB68" s="100"/>
      <c r="AC68" s="101" t="str">
        <f>IF(AB68="","",IF(AB68&gt;=0.966,"Normal","Not Normal"))</f>
        <v/>
      </c>
      <c r="AD68" s="102"/>
      <c r="AE68" s="103"/>
      <c r="AF68" s="103"/>
      <c r="AG68" s="104"/>
      <c r="AH68">
        <v>29</v>
      </c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</row>
    <row r="69" spans="1:66" ht="15" customHeight="1">
      <c r="A69">
        <v>30</v>
      </c>
      <c r="B69" s="87" t="s">
        <v>145</v>
      </c>
      <c r="C69" s="88" t="s">
        <v>294</v>
      </c>
      <c r="D69" s="106" t="s">
        <v>73</v>
      </c>
      <c r="E69" s="109">
        <v>0.04</v>
      </c>
      <c r="F69" s="90">
        <v>0.03</v>
      </c>
      <c r="G69" s="90">
        <v>-0.02</v>
      </c>
      <c r="H69" s="91" t="s">
        <v>344</v>
      </c>
      <c r="I69" s="92" t="s">
        <v>186</v>
      </c>
      <c r="J69" s="51">
        <f t="shared" si="10"/>
        <v>7.0000000000000007E-2</v>
      </c>
      <c r="K69" s="51">
        <f t="shared" si="11"/>
        <v>0.02</v>
      </c>
      <c r="L69" s="107"/>
      <c r="M69" s="94">
        <f t="shared" si="0"/>
        <v>0</v>
      </c>
      <c r="N69" s="94">
        <f t="shared" si="1"/>
        <v>0</v>
      </c>
      <c r="O69" s="94">
        <f t="shared" si="2"/>
        <v>0</v>
      </c>
      <c r="P69" s="95">
        <f t="shared" si="3"/>
        <v>0</v>
      </c>
      <c r="Q69" s="96" t="str">
        <f t="shared" si="4"/>
        <v/>
      </c>
      <c r="R69" s="97" t="str">
        <f>IF(OR($AI69="",ISNUMBER($AI69)=FALSE),"",IF(AND(#REF!="Tolerance",$E69&lt;&gt;""),($O69-$E69)/(($J69-$K69)/2),IF(AND(#REF!="GD&amp;T",$F69&lt;&gt;""),$O69/$F69,"")))</f>
        <v/>
      </c>
      <c r="S69" s="97" t="str">
        <f t="shared" si="12"/>
        <v/>
      </c>
      <c r="T69" s="96" t="str">
        <f t="shared" si="5"/>
        <v/>
      </c>
      <c r="U69" s="96" t="str">
        <f t="shared" si="6"/>
        <v/>
      </c>
      <c r="V69" s="96" t="str">
        <f t="shared" si="7"/>
        <v/>
      </c>
      <c r="W69" s="108" t="str">
        <f t="shared" si="8"/>
        <v/>
      </c>
      <c r="X69" s="99" t="e">
        <f>IF($O69="","",IF(#REF!="Tolerance",IF((#REF!*3*P69+O69)-E69&lt;F69,"",(#REF!*3*P69+O69)-E69),IF(OR(#REF!="GD&amp;T",#REF!="MAX"),IF((#REF!*3*P69+O69)&lt;F69,"",(#REF!*3*P69+O69)),"")))</f>
        <v>#REF!</v>
      </c>
      <c r="Y69" s="99" t="e">
        <f>IF(O69="","",IF(#REF!="Tolerance",IF(-((#REF!*3*P69)-O69)-E69&gt;G69,"",-((#REF!*3*P69)-O69)-E69),IF(#REF!="MIN",IF(-((#REF!*3*P69)-O69)&gt;G69,"",-((#REF!*3*P69)-O69)),"")))</f>
        <v>#REF!</v>
      </c>
      <c r="Z69" s="99">
        <f t="shared" si="13"/>
        <v>4.5000000000000005E-2</v>
      </c>
      <c r="AA69" s="99" t="str">
        <f t="shared" si="9"/>
        <v/>
      </c>
      <c r="AB69" s="100"/>
      <c r="AC69" s="101" t="str">
        <f t="shared" si="14"/>
        <v/>
      </c>
      <c r="AD69" s="102"/>
      <c r="AE69" s="103"/>
      <c r="AF69" s="103"/>
      <c r="AG69" s="104"/>
      <c r="AH69">
        <v>30</v>
      </c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</row>
    <row r="70" spans="1:66" ht="15" customHeight="1">
      <c r="A70">
        <v>35</v>
      </c>
      <c r="B70" s="87" t="s">
        <v>146</v>
      </c>
      <c r="C70" s="88" t="s">
        <v>297</v>
      </c>
      <c r="D70" s="106" t="s">
        <v>73</v>
      </c>
      <c r="E70" s="109">
        <v>1.78</v>
      </c>
      <c r="F70" s="90">
        <v>2.5000000000000001E-2</v>
      </c>
      <c r="G70" s="90">
        <v>-2.5000000000000001E-2</v>
      </c>
      <c r="H70" s="91" t="s">
        <v>81</v>
      </c>
      <c r="I70" s="92" t="s">
        <v>186</v>
      </c>
      <c r="J70" s="51">
        <f t="shared" si="10"/>
        <v>1.8049999999999999</v>
      </c>
      <c r="K70" s="51">
        <f t="shared" si="11"/>
        <v>1.7550000000000001</v>
      </c>
      <c r="L70" s="107"/>
      <c r="M70" s="94">
        <f t="shared" ref="M70" si="15">IF(OR($AI70=ISBLANK(TRUE),ISNUMBER($AI70)=FALSE),,MAX(AI70:BN70))</f>
        <v>0</v>
      </c>
      <c r="N70" s="94">
        <f t="shared" ref="N70" si="16">IF(OR($AI70=ISBLANK(TRUE),ISNUMBER($AI70)=FALSE),,MIN(AI70:BN70))</f>
        <v>0</v>
      </c>
      <c r="O70" s="94">
        <f t="shared" ref="O70" si="17">IF(OR($AI70=ISBLANK(TRUE),ISNUMBER($AI70)=FALSE),,AVERAGE(AI70:BN70))</f>
        <v>0</v>
      </c>
      <c r="P70" s="95">
        <f t="shared" ref="P70" si="18">IF(OR($AI70=ISBLANK(TRUE),ISNUMBER($AI70)=FALSE),,STDEV(AI70:BN70))</f>
        <v>0</v>
      </c>
      <c r="Q70" s="96" t="str">
        <f t="shared" ref="Q70" si="19">IF(OR($AI70="",ISNUMBER($AI70)=FALSE),"",IF(AND(E70=0,G70=0),T70,IF(AND(E70="",F70=""),U70,(F70+ABS(G70))/(6*P70))))</f>
        <v/>
      </c>
      <c r="R70" s="97" t="str">
        <f>IF(OR($AI70="",ISNUMBER($AI70)=FALSE),"",IF(AND(#REF!="Tolerance",$E70&lt;&gt;""),($O70-$E70)/(($J70-$K70)/2),IF(AND(#REF!="GD&amp;T",$F70&lt;&gt;""),$O70/$F70,"")))</f>
        <v/>
      </c>
      <c r="S70" s="97" t="str">
        <f t="shared" si="12"/>
        <v/>
      </c>
      <c r="T70" s="96" t="str">
        <f t="shared" ref="T70" si="20">IF(OR($AI70="",ISNUMBER($AI70)=FALSE),"",IF(F70="","",(J70-O70)/(3*P70)))</f>
        <v/>
      </c>
      <c r="U70" s="96" t="str">
        <f t="shared" ref="U70" si="21">IF(OR($AI70="",ISNUMBER($AI70)=FALSE),"",IF(G70="","",(O70-K70)/(3*P70)))</f>
        <v/>
      </c>
      <c r="V70" s="96" t="str">
        <f t="shared" ref="V70" si="22">IF(OR($AI70="",ISNUMBER($AI70)=FALSE),"",IF(AND(E70=0,G70=0),((F70)-(O70))/(3*P70),MIN(T70:U70)))</f>
        <v/>
      </c>
      <c r="W70" s="108" t="str">
        <f t="shared" ref="W70" si="23">IF(OR($AI70="",ISNUMBER($AI70)=FALSE),"",IF(AND(E70=0,G70=0),NORMSDIST(3*V70),NORMSDIST(3*V70)+NORMSDIST(6*Q70-3*V70)-1))</f>
        <v/>
      </c>
      <c r="X70" s="99" t="e">
        <f>IF($O70="","",IF(#REF!="Tolerance",IF((#REF!*3*P70+O70)-E70&lt;F70,"",(#REF!*3*P70+O70)-E70),IF(OR(#REF!="GD&amp;T",#REF!="MAX"),IF((#REF!*3*P70+O70)&lt;F70,"",(#REF!*3*P70+O70)),"")))</f>
        <v>#REF!</v>
      </c>
      <c r="Y70" s="99" t="e">
        <f>IF(O70="","",IF(#REF!="Tolerance",IF(-((#REF!*3*P70)-O70)-E70&gt;G70,"",-((#REF!*3*P70)-O70)-E70),IF(#REF!="MIN",IF(-((#REF!*3*P70)-O70)&gt;G70,"",-((#REF!*3*P70)-O70)),"")))</f>
        <v>#REF!</v>
      </c>
      <c r="Z70" s="99">
        <f t="shared" si="13"/>
        <v>1.78</v>
      </c>
      <c r="AA70" s="99" t="str">
        <f t="shared" ref="AA70:AA76" si="24">IF(OR($Q70&gt;$AA$4,$P70=""),"",$AA$4*6*$P70)</f>
        <v/>
      </c>
      <c r="AB70" s="100"/>
      <c r="AC70" s="101" t="str">
        <f t="shared" si="14"/>
        <v/>
      </c>
      <c r="AD70" s="102"/>
      <c r="AE70" s="103"/>
      <c r="AF70" s="103"/>
      <c r="AG70" s="104"/>
      <c r="AH70">
        <v>35</v>
      </c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</row>
    <row r="71" spans="1:66" ht="15" customHeight="1">
      <c r="A71">
        <v>35</v>
      </c>
      <c r="B71" s="87" t="s">
        <v>367</v>
      </c>
      <c r="C71" s="88" t="s">
        <v>314</v>
      </c>
      <c r="D71" s="106" t="s">
        <v>73</v>
      </c>
      <c r="E71" s="109">
        <v>-0.45</v>
      </c>
      <c r="F71" s="90">
        <v>1.4999999999999999E-2</v>
      </c>
      <c r="G71" s="90">
        <v>-1.4999999999999999E-2</v>
      </c>
      <c r="H71" s="91" t="s">
        <v>343</v>
      </c>
      <c r="I71" s="92"/>
      <c r="J71" s="51">
        <f t="shared" si="10"/>
        <v>-0.435</v>
      </c>
      <c r="K71" s="51">
        <f t="shared" si="11"/>
        <v>-0.46500000000000002</v>
      </c>
      <c r="L71" s="107"/>
      <c r="M71" s="94">
        <f t="shared" ref="M71:M73" si="25">IF(OR($AI71=ISBLANK(TRUE),ISNUMBER($AI71)=FALSE),,MAX(AI71:BN71))</f>
        <v>0</v>
      </c>
      <c r="N71" s="94">
        <f t="shared" ref="N71:N73" si="26">IF(OR($AI71=ISBLANK(TRUE),ISNUMBER($AI71)=FALSE),,MIN(AI71:BN71))</f>
        <v>0</v>
      </c>
      <c r="O71" s="94">
        <f t="shared" ref="O71:O73" si="27">IF(OR($AI71=ISBLANK(TRUE),ISNUMBER($AI71)=FALSE),,AVERAGE(AI71:BN71))</f>
        <v>0</v>
      </c>
      <c r="P71" s="95">
        <f t="shared" ref="P71:P73" si="28">IF(OR($AI71=ISBLANK(TRUE),ISNUMBER($AI71)=FALSE),,STDEV(AI71:BN71))</f>
        <v>0</v>
      </c>
      <c r="Q71" s="96" t="str">
        <f t="shared" ref="Q71:Q73" si="29">IF(OR($AI71="",ISNUMBER($AI71)=FALSE),"",IF(AND(E71=0,G71=0),T71,IF(AND(E71="",F71=""),U71,(F71+ABS(G71))/(6*P71))))</f>
        <v/>
      </c>
      <c r="R71" s="97" t="str">
        <f>IF(OR($AI71="",ISNUMBER($AI71)=FALSE),"",IF(AND(#REF!="Tolerance",$E71&lt;&gt;""),($O71-$E71)/(($J71-$K71)/2),IF(AND(#REF!="GD&amp;T",$F71&lt;&gt;""),$O71/$F71,"")))</f>
        <v/>
      </c>
      <c r="S71" s="97" t="str">
        <f t="shared" si="12"/>
        <v/>
      </c>
      <c r="T71" s="96" t="str">
        <f t="shared" ref="T71:T73" si="30">IF(OR($AI71="",ISNUMBER($AI71)=FALSE),"",IF(F71="","",(J71-O71)/(3*P71)))</f>
        <v/>
      </c>
      <c r="U71" s="96" t="str">
        <f t="shared" ref="U71:U73" si="31">IF(OR($AI71="",ISNUMBER($AI71)=FALSE),"",IF(G71="","",(O71-K71)/(3*P71)))</f>
        <v/>
      </c>
      <c r="V71" s="96" t="str">
        <f t="shared" ref="V71:V73" si="32">IF(OR($AI71="",ISNUMBER($AI71)=FALSE),"",IF(AND(E71=0,G71=0),((F71)-(O71))/(3*P71),MIN(T71:U71)))</f>
        <v/>
      </c>
      <c r="W71" s="108" t="str">
        <f t="shared" ref="W71:W73" si="33">IF(OR($AI71="",ISNUMBER($AI71)=FALSE),"",IF(AND(E71=0,G71=0),NORMSDIST(3*V71),NORMSDIST(3*V71)+NORMSDIST(6*Q71-3*V71)-1))</f>
        <v/>
      </c>
      <c r="X71" s="99" t="e">
        <f>IF($O71="","",IF(#REF!="Tolerance",IF((#REF!*3*P71+O71)-E71&lt;F71,"",(#REF!*3*P71+O71)-E71),IF(OR(#REF!="GD&amp;T",#REF!="MAX"),IF((#REF!*3*P71+O71)&lt;F71,"",(#REF!*3*P71+O71)),"")))</f>
        <v>#REF!</v>
      </c>
      <c r="Y71" s="99" t="e">
        <f>IF(O71="","",IF(#REF!="Tolerance",IF(-((#REF!*3*P71)-O71)-E71&gt;G71,"",-((#REF!*3*P71)-O71)-E71),IF(#REF!="MIN",IF(-((#REF!*3*P71)-O71)&gt;G71,"",-((#REF!*3*P71)-O71)),"")))</f>
        <v>#REF!</v>
      </c>
      <c r="Z71" s="99">
        <f t="shared" ref="Z71:Z73" si="34">IF(OR(E71="",O71=""),"",(J71+K71)/2-O71)</f>
        <v>-0.45</v>
      </c>
      <c r="AA71" s="99" t="str">
        <f t="shared" si="24"/>
        <v/>
      </c>
      <c r="AB71" s="100"/>
      <c r="AC71" s="101" t="str">
        <f t="shared" ref="AC71:AC73" si="35">IF(AB71="","",IF(AB71&gt;=0.966,"Normal","Not Normal"))</f>
        <v/>
      </c>
      <c r="AD71" s="102"/>
      <c r="AE71" s="103"/>
      <c r="AF71" s="103"/>
      <c r="AG71" s="104"/>
      <c r="AH71">
        <v>35</v>
      </c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</row>
    <row r="72" spans="1:66" ht="15" customHeight="1">
      <c r="B72" s="130" t="s">
        <v>72</v>
      </c>
      <c r="C72" s="88" t="s">
        <v>318</v>
      </c>
      <c r="D72" s="106" t="s">
        <v>73</v>
      </c>
      <c r="E72" s="125"/>
      <c r="F72" s="126">
        <v>8.0000000000000002E-3</v>
      </c>
      <c r="G72" s="126">
        <v>-8.0000000000000002E-3</v>
      </c>
      <c r="H72" s="127" t="s">
        <v>343</v>
      </c>
      <c r="I72" s="92"/>
      <c r="J72" s="51">
        <f t="shared" ref="J72" si="36">IF(AND(E72="",F72=""),"",IF(E72="",F72,E72+F72))</f>
        <v>8.0000000000000002E-3</v>
      </c>
      <c r="K72" s="51">
        <f t="shared" ref="K72" si="37">IF(AND(E72="",G72=""),"",IF(E72="",G72,E72+G72))</f>
        <v>-8.0000000000000002E-3</v>
      </c>
      <c r="L72" s="107"/>
      <c r="M72" s="94">
        <f t="shared" si="25"/>
        <v>0</v>
      </c>
      <c r="N72" s="94">
        <f t="shared" si="26"/>
        <v>0</v>
      </c>
      <c r="O72" s="94">
        <f t="shared" si="27"/>
        <v>0</v>
      </c>
      <c r="P72" s="95">
        <f t="shared" si="28"/>
        <v>0</v>
      </c>
      <c r="Q72" s="96" t="str">
        <f t="shared" si="29"/>
        <v/>
      </c>
      <c r="R72" s="97" t="str">
        <f>IF(OR($AI72="",ISNUMBER($AI72)=FALSE),"",IF(AND(#REF!="Tolerance",$E72&lt;&gt;""),($O72-$E72)/(($J72-$K72)/2),IF(AND(#REF!="GD&amp;T",$F72&lt;&gt;""),$O72/$F72,"")))</f>
        <v/>
      </c>
      <c r="S72" s="97" t="str">
        <f t="shared" si="12"/>
        <v/>
      </c>
      <c r="T72" s="96" t="str">
        <f t="shared" si="30"/>
        <v/>
      </c>
      <c r="U72" s="96" t="str">
        <f t="shared" si="31"/>
        <v/>
      </c>
      <c r="V72" s="96" t="str">
        <f t="shared" si="32"/>
        <v/>
      </c>
      <c r="W72" s="108" t="str">
        <f t="shared" si="33"/>
        <v/>
      </c>
      <c r="X72" s="99" t="e">
        <f>IF($O72="","",IF(#REF!="Tolerance",IF((#REF!*3*P72+O72)-E72&lt;F72,"",(#REF!*3*P72+O72)-E72),IF(OR(#REF!="GD&amp;T",#REF!="MAX"),IF((#REF!*3*P72+O72)&lt;F72,"",(#REF!*3*P72+O72)),"")))</f>
        <v>#REF!</v>
      </c>
      <c r="Y72" s="99" t="e">
        <f>IF(O72="","",IF(#REF!="Tolerance",IF(-((#REF!*3*P72)-O72)-E72&gt;G72,"",-((#REF!*3*P72)-O72)-E72),IF(#REF!="MIN",IF(-((#REF!*3*P72)-O72)&gt;G72,"",-((#REF!*3*P72)-O72)),"")))</f>
        <v>#REF!</v>
      </c>
      <c r="Z72" s="99" t="str">
        <f t="shared" si="34"/>
        <v/>
      </c>
      <c r="AA72" s="99" t="str">
        <f t="shared" si="24"/>
        <v/>
      </c>
      <c r="AB72" s="100"/>
      <c r="AC72" s="101" t="str">
        <f t="shared" si="35"/>
        <v/>
      </c>
      <c r="AD72" s="128"/>
      <c r="AE72" s="103"/>
      <c r="AF72" s="103"/>
      <c r="AG72" s="104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29"/>
    </row>
    <row r="73" spans="1:66" ht="15" customHeight="1">
      <c r="A73">
        <v>35</v>
      </c>
      <c r="B73" s="87" t="s">
        <v>368</v>
      </c>
      <c r="C73" s="88" t="s">
        <v>319</v>
      </c>
      <c r="D73" s="106" t="s">
        <v>73</v>
      </c>
      <c r="E73" s="109">
        <v>-0.45</v>
      </c>
      <c r="F73" s="90">
        <v>1.4999999999999999E-2</v>
      </c>
      <c r="G73" s="90">
        <v>-1.4999999999999999E-2</v>
      </c>
      <c r="H73" s="91" t="s">
        <v>343</v>
      </c>
      <c r="I73" s="92"/>
      <c r="J73" s="51">
        <f t="shared" ref="J73" si="38">IF(AND(E73="",F73=""),"",IF(E73="",F73,E73+F73))</f>
        <v>-0.435</v>
      </c>
      <c r="K73" s="51">
        <f t="shared" ref="K73" si="39">IF(AND(E73="",G73=""),"",IF(E73="",G73,E73+G73))</f>
        <v>-0.46500000000000002</v>
      </c>
      <c r="L73" s="107"/>
      <c r="M73" s="94">
        <f t="shared" si="25"/>
        <v>0</v>
      </c>
      <c r="N73" s="94">
        <f t="shared" si="26"/>
        <v>0</v>
      </c>
      <c r="O73" s="94">
        <f t="shared" si="27"/>
        <v>0</v>
      </c>
      <c r="P73" s="95">
        <f t="shared" si="28"/>
        <v>0</v>
      </c>
      <c r="Q73" s="96" t="str">
        <f t="shared" si="29"/>
        <v/>
      </c>
      <c r="R73" s="97" t="str">
        <f>IF(OR($AI73="",ISNUMBER($AI73)=FALSE),"",IF(AND(#REF!="Tolerance",$E73&lt;&gt;""),($O73-$E73)/(($J73-$K73)/2),IF(AND(#REF!="GD&amp;T",$F73&lt;&gt;""),$O73/$F73,"")))</f>
        <v/>
      </c>
      <c r="S73" s="97" t="str">
        <f t="shared" si="12"/>
        <v/>
      </c>
      <c r="T73" s="96" t="str">
        <f t="shared" si="30"/>
        <v/>
      </c>
      <c r="U73" s="96" t="str">
        <f t="shared" si="31"/>
        <v/>
      </c>
      <c r="V73" s="96" t="str">
        <f t="shared" si="32"/>
        <v/>
      </c>
      <c r="W73" s="108" t="str">
        <f t="shared" si="33"/>
        <v/>
      </c>
      <c r="X73" s="99" t="e">
        <f>IF($O73="","",IF(#REF!="Tolerance",IF((#REF!*3*P73+O73)-E73&lt;F73,"",(#REF!*3*P73+O73)-E73),IF(OR(#REF!="GD&amp;T",#REF!="MAX"),IF((#REF!*3*P73+O73)&lt;F73,"",(#REF!*3*P73+O73)),"")))</f>
        <v>#REF!</v>
      </c>
      <c r="Y73" s="99" t="e">
        <f>IF(O73="","",IF(#REF!="Tolerance",IF(-((#REF!*3*P73)-O73)-E73&gt;G73,"",-((#REF!*3*P73)-O73)-E73),IF(#REF!="MIN",IF(-((#REF!*3*P73)-O73)&gt;G73,"",-((#REF!*3*P73)-O73)),"")))</f>
        <v>#REF!</v>
      </c>
      <c r="Z73" s="99">
        <f t="shared" si="34"/>
        <v>-0.45</v>
      </c>
      <c r="AA73" s="99" t="str">
        <f t="shared" si="24"/>
        <v/>
      </c>
      <c r="AB73" s="100"/>
      <c r="AC73" s="101" t="str">
        <f t="shared" si="35"/>
        <v/>
      </c>
      <c r="AD73" s="102"/>
      <c r="AE73" s="103"/>
      <c r="AF73" s="103"/>
      <c r="AG73" s="104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</row>
    <row r="74" spans="1:66" ht="15" customHeight="1">
      <c r="B74" s="130" t="s">
        <v>72</v>
      </c>
      <c r="C74" s="88" t="s">
        <v>369</v>
      </c>
      <c r="D74" s="106" t="s">
        <v>73</v>
      </c>
      <c r="E74" s="125"/>
      <c r="F74" s="126">
        <v>8.0000000000000002E-3</v>
      </c>
      <c r="G74" s="126">
        <v>-8.0000000000000002E-3</v>
      </c>
      <c r="H74" s="127" t="s">
        <v>343</v>
      </c>
      <c r="I74" s="92"/>
      <c r="J74" s="51">
        <f t="shared" ref="J74:J75" si="40">IF(AND(E74="",F74=""),"",IF(E74="",F74,E74+F74))</f>
        <v>8.0000000000000002E-3</v>
      </c>
      <c r="K74" s="51">
        <f t="shared" ref="K74:K75" si="41">IF(AND(E74="",G74=""),"",IF(E74="",G74,E74+G74))</f>
        <v>-8.0000000000000002E-3</v>
      </c>
      <c r="L74" s="107"/>
      <c r="M74" s="94">
        <f t="shared" ref="M74:M76" si="42">IF(OR($AI74=ISBLANK(TRUE),ISNUMBER($AI74)=FALSE),,MAX(AI74:BN74))</f>
        <v>0</v>
      </c>
      <c r="N74" s="94">
        <f t="shared" ref="N74:N76" si="43">IF(OR($AI74=ISBLANK(TRUE),ISNUMBER($AI74)=FALSE),,MIN(AI74:BN74))</f>
        <v>0</v>
      </c>
      <c r="O74" s="94">
        <f t="shared" ref="O74:O76" si="44">IF(OR($AI74=ISBLANK(TRUE),ISNUMBER($AI74)=FALSE),,AVERAGE(AI74:BN74))</f>
        <v>0</v>
      </c>
      <c r="P74" s="95">
        <f t="shared" ref="P74:P76" si="45">IF(OR($AI74=ISBLANK(TRUE),ISNUMBER($AI74)=FALSE),,STDEV(AI74:BN74))</f>
        <v>0</v>
      </c>
      <c r="Q74" s="96" t="str">
        <f t="shared" ref="Q74:Q76" si="46">IF(OR($AI74="",ISNUMBER($AI74)=FALSE),"",IF(AND(E74=0,G74=0),T74,IF(AND(E74="",F74=""),U74,(F74+ABS(G74))/(6*P74))))</f>
        <v/>
      </c>
      <c r="R74" s="97" t="str">
        <f>IF(OR($AI74="",ISNUMBER($AI74)=FALSE),"",IF(AND(#REF!="Tolerance",$E74&lt;&gt;""),($O74-$E74)/(($J74-$K74)/2),IF(AND(#REF!="GD&amp;T",$F74&lt;&gt;""),$O74/$F74,"")))</f>
        <v/>
      </c>
      <c r="S74" s="97" t="str">
        <f t="shared" si="12"/>
        <v/>
      </c>
      <c r="T74" s="96" t="str">
        <f t="shared" ref="T74:T76" si="47">IF(OR($AI74="",ISNUMBER($AI74)=FALSE),"",IF(F74="","",(J74-O74)/(3*P74)))</f>
        <v/>
      </c>
      <c r="U74" s="96" t="str">
        <f t="shared" ref="U74:U76" si="48">IF(OR($AI74="",ISNUMBER($AI74)=FALSE),"",IF(G74="","",(O74-K74)/(3*P74)))</f>
        <v/>
      </c>
      <c r="V74" s="96" t="str">
        <f t="shared" ref="V74:V76" si="49">IF(OR($AI74="",ISNUMBER($AI74)=FALSE),"",IF(AND(E74=0,G74=0),((F74)-(O74))/(3*P74),MIN(T74:U74)))</f>
        <v/>
      </c>
      <c r="W74" s="108" t="str">
        <f t="shared" ref="W74:W76" si="50">IF(OR($AI74="",ISNUMBER($AI74)=FALSE),"",IF(AND(E74=0,G74=0),NORMSDIST(3*V74),NORMSDIST(3*V74)+NORMSDIST(6*Q74-3*V74)-1))</f>
        <v/>
      </c>
      <c r="X74" s="99" t="e">
        <f>IF($O74="","",IF(#REF!="Tolerance",IF((#REF!*3*P74+O74)-E74&lt;F74,"",(#REF!*3*P74+O74)-E74),IF(OR(#REF!="GD&amp;T",#REF!="MAX"),IF((#REF!*3*P74+O74)&lt;F74,"",(#REF!*3*P74+O74)),"")))</f>
        <v>#REF!</v>
      </c>
      <c r="Y74" s="99" t="e">
        <f>IF(O74="","",IF(#REF!="Tolerance",IF(-((#REF!*3*P74)-O74)-E74&gt;G74,"",-((#REF!*3*P74)-O74)-E74),IF(#REF!="MIN",IF(-((#REF!*3*P74)-O74)&gt;G74,"",-((#REF!*3*P74)-O74)),"")))</f>
        <v>#REF!</v>
      </c>
      <c r="Z74" s="99" t="str">
        <f t="shared" ref="Z74:Z76" si="51">IF(OR(E74="",O74=""),"",(J74+K74)/2-O74)</f>
        <v/>
      </c>
      <c r="AA74" s="99" t="str">
        <f t="shared" si="24"/>
        <v/>
      </c>
      <c r="AB74" s="100"/>
      <c r="AC74" s="101" t="str">
        <f t="shared" ref="AC74:AC76" si="52">IF(AB74="","",IF(AB74&gt;=0.966,"Normal","Not Normal"))</f>
        <v/>
      </c>
      <c r="AD74" s="128"/>
      <c r="AE74" s="103"/>
      <c r="AF74" s="103"/>
      <c r="AG74" s="104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</row>
    <row r="75" spans="1:66" ht="15" customHeight="1">
      <c r="B75" s="87" t="s">
        <v>365</v>
      </c>
      <c r="C75" s="88" t="s">
        <v>366</v>
      </c>
      <c r="D75" s="106" t="s">
        <v>73</v>
      </c>
      <c r="E75" s="109">
        <v>-0.45</v>
      </c>
      <c r="F75" s="90">
        <v>1.4999999999999999E-2</v>
      </c>
      <c r="G75" s="90">
        <v>-1.4999999999999999E-2</v>
      </c>
      <c r="H75" s="91" t="s">
        <v>343</v>
      </c>
      <c r="I75" s="92"/>
      <c r="J75" s="51">
        <f t="shared" si="40"/>
        <v>-0.435</v>
      </c>
      <c r="K75" s="51">
        <f t="shared" si="41"/>
        <v>-0.46500000000000002</v>
      </c>
      <c r="L75" s="107"/>
      <c r="M75" s="94">
        <f t="shared" si="42"/>
        <v>0</v>
      </c>
      <c r="N75" s="94">
        <f t="shared" si="43"/>
        <v>0</v>
      </c>
      <c r="O75" s="94">
        <f t="shared" si="44"/>
        <v>0</v>
      </c>
      <c r="P75" s="95">
        <f t="shared" si="45"/>
        <v>0</v>
      </c>
      <c r="Q75" s="96" t="str">
        <f t="shared" si="46"/>
        <v/>
      </c>
      <c r="R75" s="97" t="str">
        <f>IF(OR($AI75="",ISNUMBER($AI75)=FALSE),"",IF(AND(#REF!="Tolerance",$E75&lt;&gt;""),($O75-$E75)/(($J75-$K75)/2),IF(AND(#REF!="GD&amp;T",$F75&lt;&gt;""),$O75/$F75,"")))</f>
        <v/>
      </c>
      <c r="S75" s="97" t="str">
        <f t="shared" si="12"/>
        <v/>
      </c>
      <c r="T75" s="96" t="str">
        <f t="shared" si="47"/>
        <v/>
      </c>
      <c r="U75" s="96" t="str">
        <f t="shared" si="48"/>
        <v/>
      </c>
      <c r="V75" s="96" t="str">
        <f t="shared" si="49"/>
        <v/>
      </c>
      <c r="W75" s="108" t="str">
        <f t="shared" si="50"/>
        <v/>
      </c>
      <c r="X75" s="99" t="e">
        <f>IF($O75="","",IF(#REF!="Tolerance",IF((#REF!*3*P75+O75)-E75&lt;F75,"",(#REF!*3*P75+O75)-E75),IF(OR(#REF!="GD&amp;T",#REF!="MAX"),IF((#REF!*3*P75+O75)&lt;F75,"",(#REF!*3*P75+O75)),"")))</f>
        <v>#REF!</v>
      </c>
      <c r="Y75" s="99" t="e">
        <f>IF(O75="","",IF(#REF!="Tolerance",IF(-((#REF!*3*P75)-O75)-E75&gt;G75,"",-((#REF!*3*P75)-O75)-E75),IF(#REF!="MIN",IF(-((#REF!*3*P75)-O75)&gt;G75,"",-((#REF!*3*P75)-O75)),"")))</f>
        <v>#REF!</v>
      </c>
      <c r="Z75" s="99">
        <f t="shared" si="51"/>
        <v>-0.45</v>
      </c>
      <c r="AA75" s="99" t="str">
        <f t="shared" si="24"/>
        <v/>
      </c>
      <c r="AB75" s="100"/>
      <c r="AC75" s="101" t="str">
        <f t="shared" si="52"/>
        <v/>
      </c>
      <c r="AD75" s="128"/>
      <c r="AE75" s="103"/>
      <c r="AF75" s="103"/>
      <c r="AG75" s="104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</row>
    <row r="76" spans="1:66" ht="15" customHeight="1">
      <c r="A76">
        <v>35</v>
      </c>
      <c r="B76" s="130" t="s">
        <v>72</v>
      </c>
      <c r="C76" s="88" t="s">
        <v>371</v>
      </c>
      <c r="D76" s="106" t="s">
        <v>73</v>
      </c>
      <c r="E76" s="109"/>
      <c r="F76" s="90">
        <v>6.0000000000000001E-3</v>
      </c>
      <c r="G76" s="90">
        <v>-0.1</v>
      </c>
      <c r="H76" s="91" t="s">
        <v>343</v>
      </c>
      <c r="I76" s="92"/>
      <c r="J76" s="51">
        <f t="shared" ref="J76" si="53">IF(AND(E76="",F76=""),"",IF(E76="",F76,E76+F76))</f>
        <v>6.0000000000000001E-3</v>
      </c>
      <c r="K76" s="51">
        <f t="shared" ref="K76" si="54">IF(AND(E76="",G76=""),"",IF(E76="",G76,E76+G76))</f>
        <v>-0.1</v>
      </c>
      <c r="L76" s="107"/>
      <c r="M76" s="94">
        <f t="shared" si="42"/>
        <v>0</v>
      </c>
      <c r="N76" s="94">
        <f t="shared" si="43"/>
        <v>0</v>
      </c>
      <c r="O76" s="94">
        <f t="shared" si="44"/>
        <v>0</v>
      </c>
      <c r="P76" s="95">
        <f t="shared" si="45"/>
        <v>0</v>
      </c>
      <c r="Q76" s="96" t="str">
        <f t="shared" si="46"/>
        <v/>
      </c>
      <c r="R76" s="97" t="str">
        <f>IF(OR($AI76="",ISNUMBER($AI76)=FALSE),"",IF(AND(#REF!="Tolerance",$E76&lt;&gt;""),($O76-$E76)/(($J76-$K76)/2),IF(AND(#REF!="GD&amp;T",$F76&lt;&gt;""),$O76/$F76,"")))</f>
        <v/>
      </c>
      <c r="S76" s="97" t="str">
        <f t="shared" si="12"/>
        <v/>
      </c>
      <c r="T76" s="96" t="str">
        <f t="shared" si="47"/>
        <v/>
      </c>
      <c r="U76" s="96" t="str">
        <f t="shared" si="48"/>
        <v/>
      </c>
      <c r="V76" s="96" t="str">
        <f t="shared" si="49"/>
        <v/>
      </c>
      <c r="W76" s="108" t="str">
        <f t="shared" si="50"/>
        <v/>
      </c>
      <c r="X76" s="99" t="e">
        <f>IF($O76="","",IF(#REF!="Tolerance",IF((#REF!*3*P76+O76)-E76&lt;F76,"",(#REF!*3*P76+O76)-E76),IF(OR(#REF!="GD&amp;T",#REF!="MAX"),IF((#REF!*3*P76+O76)&lt;F76,"",(#REF!*3*P76+O76)),"")))</f>
        <v>#REF!</v>
      </c>
      <c r="Y76" s="99" t="e">
        <f>IF(O76="","",IF(#REF!="Tolerance",IF(-((#REF!*3*P76)-O76)-E76&gt;G76,"",-((#REF!*3*P76)-O76)-E76),IF(#REF!="MIN",IF(-((#REF!*3*P76)-O76)&gt;G76,"",-((#REF!*3*P76)-O76)),"")))</f>
        <v>#REF!</v>
      </c>
      <c r="Z76" s="99" t="str">
        <f t="shared" si="51"/>
        <v/>
      </c>
      <c r="AA76" s="99" t="str">
        <f t="shared" si="24"/>
        <v/>
      </c>
      <c r="AB76" s="100"/>
      <c r="AC76" s="101" t="str">
        <f t="shared" si="52"/>
        <v/>
      </c>
      <c r="AD76" s="102"/>
      <c r="AE76" s="103"/>
      <c r="AF76" s="103"/>
      <c r="AG76" s="104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</row>
  </sheetData>
  <mergeCells count="6">
    <mergeCell ref="AI3:BN4"/>
    <mergeCell ref="X4:Y4"/>
    <mergeCell ref="A1:AC1"/>
    <mergeCell ref="B3:K3"/>
    <mergeCell ref="M3:AC3"/>
    <mergeCell ref="AE3:AG3"/>
  </mergeCells>
  <phoneticPr fontId="15" type="noConversion"/>
  <conditionalFormatting sqref="AI6:AI70 AJ7:AP70 AQ7:AU50 AJ6:BN6 AQ70:AU70 AV7:BN70 AI73:BN75">
    <cfRule type="cellIs" dxfId="22" priority="24" operator="notBetween">
      <formula>$E6+$F6</formula>
      <formula>$E6+$G6</formula>
    </cfRule>
  </conditionalFormatting>
  <conditionalFormatting sqref="AQ51:AU51">
    <cfRule type="cellIs" dxfId="21" priority="23" operator="notBetween">
      <formula>$E51+$F51</formula>
      <formula>$E51+$G51</formula>
    </cfRule>
  </conditionalFormatting>
  <conditionalFormatting sqref="AQ52:AU52">
    <cfRule type="cellIs" dxfId="20" priority="22" operator="notBetween">
      <formula>$E52+$F52</formula>
      <formula>$E52+$G52</formula>
    </cfRule>
  </conditionalFormatting>
  <conditionalFormatting sqref="AQ53:AU53">
    <cfRule type="cellIs" dxfId="19" priority="21" operator="notBetween">
      <formula>$E53+$F53</formula>
      <formula>$E53+$G53</formula>
    </cfRule>
  </conditionalFormatting>
  <conditionalFormatting sqref="AQ54:AU54">
    <cfRule type="cellIs" dxfId="18" priority="20" operator="notBetween">
      <formula>$E54+$F54</formula>
      <formula>$E54+$G54</formula>
    </cfRule>
  </conditionalFormatting>
  <conditionalFormatting sqref="AQ55:AU55">
    <cfRule type="cellIs" dxfId="17" priority="19" operator="notBetween">
      <formula>$E55+$F55</formula>
      <formula>$E55+$G55</formula>
    </cfRule>
  </conditionalFormatting>
  <conditionalFormatting sqref="AQ56:AU56">
    <cfRule type="cellIs" dxfId="16" priority="18" operator="notBetween">
      <formula>$E56+$F56</formula>
      <formula>$E56+$G56</formula>
    </cfRule>
  </conditionalFormatting>
  <conditionalFormatting sqref="AQ57:AU57">
    <cfRule type="cellIs" dxfId="15" priority="17" operator="notBetween">
      <formula>$E57+$F57</formula>
      <formula>$E57+$G57</formula>
    </cfRule>
  </conditionalFormatting>
  <conditionalFormatting sqref="AQ58:AU58">
    <cfRule type="cellIs" dxfId="14" priority="16" operator="notBetween">
      <formula>$E58+$F58</formula>
      <formula>$E58+$G58</formula>
    </cfRule>
  </conditionalFormatting>
  <conditionalFormatting sqref="AQ59:AU59">
    <cfRule type="cellIs" dxfId="13" priority="15" operator="notBetween">
      <formula>$E59+$F59</formula>
      <formula>$E59+$G59</formula>
    </cfRule>
  </conditionalFormatting>
  <conditionalFormatting sqref="AQ60:AU60">
    <cfRule type="cellIs" dxfId="12" priority="14" operator="notBetween">
      <formula>$E60+$F60</formula>
      <formula>$E60+$G60</formula>
    </cfRule>
  </conditionalFormatting>
  <conditionalFormatting sqref="AQ61:AU61">
    <cfRule type="cellIs" dxfId="11" priority="13" operator="notBetween">
      <formula>$E61+$F61</formula>
      <formula>$E61+$G61</formula>
    </cfRule>
  </conditionalFormatting>
  <conditionalFormatting sqref="AQ62:AU62">
    <cfRule type="cellIs" dxfId="10" priority="12" operator="notBetween">
      <formula>$E62+$F62</formula>
      <formula>$E62+$G62</formula>
    </cfRule>
  </conditionalFormatting>
  <conditionalFormatting sqref="AQ63:AU63">
    <cfRule type="cellIs" dxfId="9" priority="11" operator="notBetween">
      <formula>$E63+$F63</formula>
      <formula>$E63+$G63</formula>
    </cfRule>
  </conditionalFormatting>
  <conditionalFormatting sqref="AQ64:AU64">
    <cfRule type="cellIs" dxfId="8" priority="10" operator="notBetween">
      <formula>$E64+$F64</formula>
      <formula>$E64+$G64</formula>
    </cfRule>
  </conditionalFormatting>
  <conditionalFormatting sqref="AQ65:AU65">
    <cfRule type="cellIs" dxfId="7" priority="9" operator="notBetween">
      <formula>$E65+$F65</formula>
      <formula>$E65+$G65</formula>
    </cfRule>
  </conditionalFormatting>
  <conditionalFormatting sqref="AQ66:AU66">
    <cfRule type="cellIs" dxfId="6" priority="8" operator="notBetween">
      <formula>$E66+$F66</formula>
      <formula>$E66+$G66</formula>
    </cfRule>
  </conditionalFormatting>
  <conditionalFormatting sqref="AQ67:AU67">
    <cfRule type="cellIs" dxfId="5" priority="7" operator="notBetween">
      <formula>$E67+$F67</formula>
      <formula>$E67+$G67</formula>
    </cfRule>
  </conditionalFormatting>
  <conditionalFormatting sqref="AQ68:AU68">
    <cfRule type="cellIs" dxfId="4" priority="6" operator="notBetween">
      <formula>$E68+$F68</formula>
      <formula>$E68+$G68</formula>
    </cfRule>
  </conditionalFormatting>
  <conditionalFormatting sqref="AQ69:AU69">
    <cfRule type="cellIs" dxfId="3" priority="5" operator="notBetween">
      <formula>$E69+$F69</formula>
      <formula>$E69+$G69</formula>
    </cfRule>
  </conditionalFormatting>
  <conditionalFormatting sqref="AI71:BN71">
    <cfRule type="cellIs" dxfId="2" priority="4" operator="notBetween">
      <formula>$E71+$F71</formula>
      <formula>$E71+$G71</formula>
    </cfRule>
  </conditionalFormatting>
  <conditionalFormatting sqref="AI76:BN76">
    <cfRule type="cellIs" dxfId="1" priority="2" operator="notBetween">
      <formula>$E76+$F76</formula>
      <formula>$E76+$G76</formula>
    </cfRule>
  </conditionalFormatting>
  <conditionalFormatting sqref="AI72:BN72">
    <cfRule type="cellIs" dxfId="0" priority="1" operator="notBetween">
      <formula>$E72+$F72</formula>
      <formula>$E72+$G72</formula>
    </cfRule>
  </conditionalFormatting>
  <dataValidations disablePrompts="1" count="2">
    <dataValidation type="list" allowBlank="1" showInputMessage="1" showErrorMessage="1" sqref="H6:H76" xr:uid="{6E53F2AD-1D57-4A65-9015-12F131C831B2}">
      <formula1>insp_meth</formula1>
    </dataValidation>
    <dataValidation type="list" allowBlank="1" showInputMessage="1" showErrorMessage="1" sqref="I6:I76" xr:uid="{51BB908A-E4AE-4DED-ABF5-472F538A2816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92D9-F680-5640-9B22-E6DA8A3893B6}">
  <sheetPr codeName="Sheet5"/>
  <dimension ref="B2:R16"/>
  <sheetViews>
    <sheetView showGridLines="0" zoomScaleNormal="70" workbookViewId="0">
      <selection activeCell="M22" sqref="M22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20.90625" style="13" customWidth="1"/>
    <col min="4" max="5" width="30.90625" style="14" customWidth="1"/>
    <col min="6" max="6" width="13" style="14" customWidth="1"/>
    <col min="7" max="7" width="13" style="13" customWidth="1"/>
    <col min="8" max="13" width="13" style="14" customWidth="1"/>
    <col min="14" max="14" width="60.90625" style="15" customWidth="1"/>
    <col min="15" max="15" width="60.90625" style="14" customWidth="1"/>
    <col min="16" max="18" width="29.90625" style="14" customWidth="1"/>
    <col min="19" max="19" width="11" style="14"/>
    <col min="20" max="20" width="27.6328125" style="14" bestFit="1" customWidth="1"/>
    <col min="21" max="16384" width="11" style="14"/>
  </cols>
  <sheetData>
    <row r="2" spans="2:18" ht="39.9" customHeight="1">
      <c r="B2" s="17" t="s">
        <v>14</v>
      </c>
      <c r="C2" s="12"/>
      <c r="D2" s="12"/>
      <c r="E2" s="12"/>
      <c r="F2" s="12"/>
    </row>
    <row r="3" spans="2:18" ht="18" customHeight="1">
      <c r="B3" s="12"/>
      <c r="C3" s="12"/>
      <c r="D3" s="12"/>
      <c r="E3" s="12"/>
      <c r="F3" s="12"/>
    </row>
    <row r="4" spans="2:18" s="18" customFormat="1" ht="18.899999999999999" customHeight="1">
      <c r="B4" s="193" t="s">
        <v>15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4" t="s">
        <v>39</v>
      </c>
      <c r="Q4" s="194"/>
      <c r="R4" s="194"/>
    </row>
    <row r="5" spans="2:18" s="16" customFormat="1" ht="20.100000000000001" customHeight="1">
      <c r="B5" s="192" t="s">
        <v>16</v>
      </c>
      <c r="C5" s="192" t="s">
        <v>17</v>
      </c>
      <c r="D5" s="192" t="s">
        <v>34</v>
      </c>
      <c r="E5" s="192" t="s">
        <v>33</v>
      </c>
      <c r="F5" s="192" t="s">
        <v>18</v>
      </c>
      <c r="G5" s="192"/>
      <c r="H5" s="192" t="s">
        <v>19</v>
      </c>
      <c r="I5" s="192"/>
      <c r="J5" s="192" t="s">
        <v>20</v>
      </c>
      <c r="K5" s="192"/>
      <c r="L5" s="192"/>
      <c r="M5" s="192"/>
      <c r="N5" s="192" t="s">
        <v>21</v>
      </c>
      <c r="O5" s="192" t="s">
        <v>22</v>
      </c>
      <c r="P5" s="192" t="s">
        <v>23</v>
      </c>
      <c r="Q5" s="192" t="s">
        <v>24</v>
      </c>
      <c r="R5" s="192" t="s">
        <v>25</v>
      </c>
    </row>
    <row r="6" spans="2:18" s="16" customFormat="1" ht="20.100000000000001" customHeight="1">
      <c r="B6" s="192"/>
      <c r="C6" s="192"/>
      <c r="D6" s="192"/>
      <c r="E6" s="192"/>
      <c r="F6" s="40" t="s">
        <v>26</v>
      </c>
      <c r="G6" s="40" t="s">
        <v>27</v>
      </c>
      <c r="H6" s="40" t="s">
        <v>28</v>
      </c>
      <c r="I6" s="40" t="s">
        <v>27</v>
      </c>
      <c r="J6" s="40" t="s">
        <v>29</v>
      </c>
      <c r="K6" s="40" t="s">
        <v>30</v>
      </c>
      <c r="L6" s="40" t="s">
        <v>31</v>
      </c>
      <c r="M6" s="40" t="s">
        <v>32</v>
      </c>
      <c r="N6" s="192"/>
      <c r="O6" s="192"/>
      <c r="P6" s="192"/>
      <c r="Q6" s="192"/>
      <c r="R6" s="192"/>
    </row>
    <row r="7" spans="2:18" s="18" customFormat="1" ht="40.049999999999997" customHeight="1">
      <c r="B7" s="19">
        <v>1</v>
      </c>
      <c r="C7" s="28"/>
      <c r="D7" s="28"/>
      <c r="E7" s="22"/>
      <c r="F7" s="23"/>
      <c r="G7" s="23"/>
      <c r="H7" s="24"/>
      <c r="I7" s="23"/>
      <c r="J7" s="23"/>
      <c r="K7" s="23"/>
      <c r="L7" s="23"/>
      <c r="M7" s="23"/>
      <c r="N7" s="25"/>
      <c r="O7" s="50"/>
      <c r="P7" s="27"/>
      <c r="Q7" s="27"/>
      <c r="R7" s="27"/>
    </row>
    <row r="8" spans="2:18" s="18" customFormat="1" ht="39.9" customHeight="1">
      <c r="B8" s="19">
        <v>2</v>
      </c>
      <c r="C8" s="28"/>
      <c r="D8" s="21"/>
      <c r="E8" s="22"/>
      <c r="F8" s="23"/>
      <c r="G8" s="23"/>
      <c r="H8" s="24"/>
      <c r="I8" s="23"/>
      <c r="J8" s="23"/>
      <c r="K8" s="23"/>
      <c r="L8" s="23"/>
      <c r="M8" s="23"/>
      <c r="N8" s="25"/>
      <c r="O8" s="26"/>
      <c r="P8" s="27"/>
      <c r="Q8" s="27"/>
      <c r="R8" s="27"/>
    </row>
    <row r="9" spans="2:18" s="18" customFormat="1" ht="39.9" customHeight="1">
      <c r="B9" s="19">
        <v>3</v>
      </c>
      <c r="C9" s="28"/>
      <c r="D9" s="21"/>
      <c r="E9" s="22"/>
      <c r="F9" s="23"/>
      <c r="G9" s="23"/>
      <c r="H9" s="24"/>
      <c r="I9" s="23"/>
      <c r="J9" s="23"/>
      <c r="K9" s="23"/>
      <c r="L9" s="23"/>
      <c r="M9" s="23"/>
      <c r="N9" s="25"/>
      <c r="O9" s="26"/>
      <c r="P9" s="27"/>
      <c r="Q9" s="27"/>
      <c r="R9" s="27"/>
    </row>
    <row r="10" spans="2:18" s="18" customFormat="1" ht="39.9" customHeight="1">
      <c r="B10" s="19">
        <v>4</v>
      </c>
      <c r="C10" s="28"/>
      <c r="D10" s="21"/>
      <c r="E10" s="22"/>
      <c r="F10" s="23"/>
      <c r="G10" s="23"/>
      <c r="H10" s="24"/>
      <c r="I10" s="23"/>
      <c r="J10" s="23"/>
      <c r="K10" s="23"/>
      <c r="L10" s="23"/>
      <c r="M10" s="23"/>
      <c r="N10" s="25"/>
      <c r="O10" s="26"/>
      <c r="P10" s="27"/>
      <c r="Q10" s="27"/>
      <c r="R10" s="27"/>
    </row>
    <row r="11" spans="2:18" s="18" customFormat="1" ht="39.9" customHeight="1">
      <c r="B11" s="19">
        <v>5</v>
      </c>
      <c r="C11" s="28"/>
      <c r="D11" s="21"/>
      <c r="E11" s="22"/>
      <c r="F11" s="23"/>
      <c r="G11" s="23"/>
      <c r="H11" s="24"/>
      <c r="I11" s="23"/>
      <c r="J11" s="23"/>
      <c r="K11" s="23"/>
      <c r="L11" s="23"/>
      <c r="M11" s="23"/>
      <c r="N11" s="25"/>
      <c r="O11" s="26"/>
      <c r="P11" s="27"/>
      <c r="Q11" s="27"/>
      <c r="R11" s="27"/>
    </row>
    <row r="12" spans="2:18" s="18" customFormat="1" ht="39.9" customHeight="1">
      <c r="B12" s="19">
        <v>6</v>
      </c>
      <c r="C12" s="28"/>
      <c r="D12" s="21"/>
      <c r="E12" s="22"/>
      <c r="F12" s="23"/>
      <c r="G12" s="23"/>
      <c r="H12" s="24"/>
      <c r="I12" s="23"/>
      <c r="J12" s="23"/>
      <c r="K12" s="23"/>
      <c r="L12" s="23"/>
      <c r="M12" s="23"/>
      <c r="N12" s="25"/>
      <c r="O12" s="26"/>
      <c r="P12" s="27"/>
      <c r="Q12" s="27"/>
      <c r="R12" s="27"/>
    </row>
    <row r="13" spans="2:18" s="18" customFormat="1" ht="39.9" customHeight="1">
      <c r="B13" s="19">
        <v>7</v>
      </c>
      <c r="C13" s="28"/>
      <c r="D13" s="21"/>
      <c r="E13" s="22"/>
      <c r="F13" s="23"/>
      <c r="G13" s="23"/>
      <c r="H13" s="24"/>
      <c r="I13" s="23"/>
      <c r="J13" s="23"/>
      <c r="K13" s="23"/>
      <c r="L13" s="23"/>
      <c r="M13" s="23"/>
      <c r="N13" s="25"/>
      <c r="O13" s="26"/>
      <c r="P13" s="27"/>
      <c r="Q13" s="27"/>
      <c r="R13" s="27"/>
    </row>
    <row r="14" spans="2:18" s="18" customFormat="1" ht="39.9" customHeight="1">
      <c r="B14" s="19">
        <v>8</v>
      </c>
      <c r="C14" s="28"/>
      <c r="D14" s="21"/>
      <c r="E14" s="22"/>
      <c r="F14" s="23"/>
      <c r="G14" s="23"/>
      <c r="H14" s="24"/>
      <c r="I14" s="23"/>
      <c r="J14" s="23"/>
      <c r="K14" s="23"/>
      <c r="L14" s="23"/>
      <c r="M14" s="23"/>
      <c r="N14" s="25"/>
      <c r="O14" s="26"/>
      <c r="P14" s="27"/>
      <c r="Q14" s="27"/>
      <c r="R14" s="27"/>
    </row>
    <row r="15" spans="2:18" s="18" customFormat="1" ht="39.9" customHeight="1">
      <c r="B15" s="19">
        <v>9</v>
      </c>
      <c r="C15" s="28"/>
      <c r="D15" s="21"/>
      <c r="E15" s="22"/>
      <c r="F15" s="23"/>
      <c r="G15" s="23"/>
      <c r="H15" s="24"/>
      <c r="I15" s="23"/>
      <c r="J15" s="23"/>
      <c r="K15" s="23"/>
      <c r="L15" s="23"/>
      <c r="M15" s="23"/>
      <c r="N15" s="25"/>
      <c r="O15" s="26"/>
      <c r="P15" s="27"/>
      <c r="Q15" s="27"/>
      <c r="R15" s="27"/>
    </row>
    <row r="16" spans="2:18" s="18" customFormat="1" ht="39.9" customHeight="1">
      <c r="B16" s="19">
        <v>10</v>
      </c>
      <c r="C16" s="28"/>
      <c r="D16" s="21"/>
      <c r="E16" s="22"/>
      <c r="F16" s="23"/>
      <c r="G16" s="23"/>
      <c r="H16" s="24"/>
      <c r="I16" s="23"/>
      <c r="J16" s="23"/>
      <c r="K16" s="23"/>
      <c r="L16" s="23"/>
      <c r="M16" s="23"/>
      <c r="N16" s="25"/>
      <c r="O16" s="26"/>
      <c r="P16" s="27"/>
      <c r="Q16" s="27"/>
      <c r="R16" s="27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BCCC-C58F-EB47-91A3-76762C3301AA}">
  <sheetPr codeName="Sheet6"/>
  <dimension ref="B2:W207"/>
  <sheetViews>
    <sheetView showGridLines="0" zoomScale="70" zoomScaleNormal="70" workbookViewId="0">
      <selection activeCell="M22" sqref="M22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hidden="1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46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93" t="s">
        <v>15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4" t="s">
        <v>39</v>
      </c>
      <c r="V4" s="194"/>
      <c r="W4" s="194"/>
    </row>
    <row r="5" spans="2:23" s="16" customFormat="1" ht="20.100000000000001" customHeight="1">
      <c r="B5" s="192" t="s">
        <v>16</v>
      </c>
      <c r="C5" s="192" t="s">
        <v>40</v>
      </c>
      <c r="D5" s="192" t="s">
        <v>41</v>
      </c>
      <c r="E5" s="192" t="s">
        <v>34</v>
      </c>
      <c r="F5" s="192" t="s">
        <v>53</v>
      </c>
      <c r="G5" s="192" t="s">
        <v>42</v>
      </c>
      <c r="H5" s="192"/>
      <c r="I5" s="192"/>
      <c r="J5" s="192" t="s">
        <v>47</v>
      </c>
      <c r="K5" s="192"/>
      <c r="L5" s="192"/>
      <c r="M5" s="192" t="s">
        <v>50</v>
      </c>
      <c r="N5" s="192"/>
      <c r="O5" s="192"/>
      <c r="P5" s="192"/>
      <c r="Q5" s="192"/>
      <c r="R5" s="192"/>
      <c r="S5" s="192" t="s">
        <v>21</v>
      </c>
      <c r="T5" s="192" t="s">
        <v>22</v>
      </c>
      <c r="U5" s="192" t="s">
        <v>23</v>
      </c>
      <c r="V5" s="192" t="s">
        <v>24</v>
      </c>
      <c r="W5" s="192" t="s">
        <v>25</v>
      </c>
    </row>
    <row r="6" spans="2:23" s="16" customFormat="1" ht="20.100000000000001" customHeight="1">
      <c r="B6" s="192"/>
      <c r="C6" s="192"/>
      <c r="D6" s="192"/>
      <c r="E6" s="192"/>
      <c r="F6" s="192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92"/>
      <c r="T6" s="192"/>
      <c r="U6" s="192"/>
      <c r="V6" s="192"/>
      <c r="W6" s="192"/>
    </row>
    <row r="7" spans="2:23" s="18" customFormat="1" ht="39.9" customHeight="1">
      <c r="B7" s="19">
        <v>1</v>
      </c>
      <c r="C7" s="28"/>
      <c r="D7" s="28"/>
      <c r="E7" s="28"/>
      <c r="F7" s="28"/>
      <c r="G7" s="44"/>
      <c r="H7" s="44"/>
      <c r="I7" s="44"/>
      <c r="J7" s="44"/>
      <c r="K7" s="44"/>
      <c r="L7" s="44"/>
      <c r="M7" s="23"/>
      <c r="N7" s="23"/>
      <c r="O7" s="23"/>
      <c r="P7" s="23"/>
      <c r="Q7" s="23"/>
      <c r="R7" s="23"/>
      <c r="S7" s="47"/>
      <c r="T7" s="26"/>
      <c r="U7" s="27"/>
      <c r="V7" s="27"/>
      <c r="W7" s="27"/>
    </row>
    <row r="8" spans="2:23" s="18" customFormat="1" ht="40.049999999999997" customHeight="1">
      <c r="B8" s="19">
        <v>2</v>
      </c>
      <c r="C8" s="28"/>
      <c r="D8" s="28"/>
      <c r="E8" s="28"/>
      <c r="F8" s="28"/>
      <c r="G8" s="44"/>
      <c r="H8" s="44"/>
      <c r="I8" s="44"/>
      <c r="J8" s="44"/>
      <c r="K8" s="44"/>
      <c r="L8" s="44"/>
      <c r="M8" s="23"/>
      <c r="N8" s="23"/>
      <c r="O8" s="23"/>
      <c r="P8" s="23"/>
      <c r="Q8" s="23"/>
      <c r="R8" s="23"/>
      <c r="S8" s="48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  <c r="O9" s="27"/>
      <c r="P9" s="27"/>
      <c r="Q9" s="27"/>
      <c r="R9" s="27"/>
      <c r="S9" s="27"/>
      <c r="T9" s="27"/>
    </row>
    <row r="10" spans="2:23" s="18" customFormat="1" ht="39.9" customHeight="1">
      <c r="B10" s="19">
        <v>4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  <c r="O10" s="27"/>
      <c r="P10" s="27"/>
      <c r="Q10" s="27"/>
      <c r="R10" s="27"/>
      <c r="S10" s="27"/>
      <c r="T10" s="27"/>
    </row>
    <row r="11" spans="2:23" s="18" customFormat="1" ht="39.9" customHeight="1">
      <c r="B11" s="19">
        <v>5</v>
      </c>
      <c r="C11" s="28"/>
      <c r="D11" s="28"/>
      <c r="E11" s="28"/>
      <c r="F11" s="28"/>
      <c r="G11" s="21"/>
      <c r="H11" s="23"/>
      <c r="I11" s="23"/>
      <c r="J11" s="25"/>
      <c r="K11" s="26"/>
      <c r="L11" s="27"/>
      <c r="M11" s="27"/>
      <c r="N11" s="27"/>
      <c r="O11" s="27"/>
      <c r="P11" s="27"/>
      <c r="Q11" s="27"/>
      <c r="R11" s="27"/>
      <c r="S11" s="27"/>
      <c r="T11" s="27"/>
    </row>
    <row r="143" spans="11:14">
      <c r="K143" s="14">
        <v>2.3400000000000001E-2</v>
      </c>
      <c r="L143" s="14">
        <v>2.29E-2</v>
      </c>
      <c r="M143" s="14">
        <v>1.6299999999999999E-2</v>
      </c>
      <c r="N143" s="14">
        <v>2.1399999999999864E-2</v>
      </c>
    </row>
    <row r="144" spans="11:14">
      <c r="K144" s="14">
        <v>3.8043999999999998</v>
      </c>
      <c r="L144" s="14">
        <v>3.8050000000000002</v>
      </c>
      <c r="M144" s="14">
        <v>3.8065000000000002</v>
      </c>
      <c r="N144" s="14">
        <v>3.8069999999999999</v>
      </c>
    </row>
    <row r="145" spans="11:14">
      <c r="K145" s="14">
        <v>3.8022999999999998</v>
      </c>
      <c r="L145" s="14">
        <v>3.8048000000000002</v>
      </c>
      <c r="M145" s="14">
        <v>3.8027000000000002</v>
      </c>
      <c r="N145" s="14">
        <v>3.7972999999999999</v>
      </c>
    </row>
    <row r="146" spans="11:14">
      <c r="K146" s="14">
        <v>1.1999999999999999E-3</v>
      </c>
      <c r="L146" s="14">
        <v>1.8E-3</v>
      </c>
      <c r="M146" s="14">
        <v>1.1000000000000001E-3</v>
      </c>
      <c r="N146" s="14">
        <v>1.6000000000000001E-3</v>
      </c>
    </row>
    <row r="147" spans="11:14">
      <c r="K147" s="14">
        <v>3.8309000000000002</v>
      </c>
      <c r="L147" s="14">
        <v>3.8290000000000002</v>
      </c>
      <c r="M147" s="14">
        <v>3.8308</v>
      </c>
      <c r="N147" s="14">
        <v>3.8304999999999998</v>
      </c>
    </row>
    <row r="148" spans="11:14">
      <c r="K148" s="14">
        <v>3.8237000000000001</v>
      </c>
      <c r="L148" s="14">
        <v>3.8235999999999999</v>
      </c>
      <c r="M148" s="14">
        <v>3.8233999999999999</v>
      </c>
      <c r="N148" s="14">
        <v>3.8250000000000002</v>
      </c>
    </row>
    <row r="149" spans="11:14">
      <c r="K149" s="14">
        <v>3.7000000000000002E-3</v>
      </c>
      <c r="L149" s="14">
        <v>2.8E-3</v>
      </c>
      <c r="M149" s="14">
        <v>2.3E-3</v>
      </c>
      <c r="N149" s="14">
        <v>1.9E-3</v>
      </c>
    </row>
    <row r="150" spans="11:14">
      <c r="K150" s="14">
        <v>2.3E-3</v>
      </c>
      <c r="L150" s="14">
        <v>2E-3</v>
      </c>
      <c r="M150" s="14">
        <v>1.9E-3</v>
      </c>
      <c r="N150" s="14">
        <v>2.3E-3</v>
      </c>
    </row>
    <row r="151" spans="11:14">
      <c r="K151" s="14">
        <v>4.1000000000000003E-3</v>
      </c>
      <c r="L151" s="14">
        <v>3.3E-3</v>
      </c>
      <c r="M151" s="14">
        <v>4.0000000000000001E-3</v>
      </c>
      <c r="N151" s="14">
        <v>4.8999999999999998E-3</v>
      </c>
    </row>
    <row r="152" spans="11:14">
      <c r="K152" s="14">
        <v>1.9E-3</v>
      </c>
      <c r="L152" s="14">
        <v>2E-3</v>
      </c>
      <c r="M152" s="14">
        <v>2.3E-3</v>
      </c>
      <c r="N152" s="14">
        <v>1.6999999999999999E-3</v>
      </c>
    </row>
    <row r="153" spans="11:14">
      <c r="K153" s="14">
        <v>1.6000000000000001E-3</v>
      </c>
      <c r="L153" s="14">
        <v>1.6000000000000001E-3</v>
      </c>
      <c r="M153" s="14">
        <v>1.5E-3</v>
      </c>
      <c r="N153" s="14">
        <v>1.8E-3</v>
      </c>
    </row>
    <row r="154" spans="11:14">
      <c r="K154" s="14">
        <v>3.8999999999999998E-3</v>
      </c>
      <c r="L154" s="14">
        <v>3.2000000000000002E-3</v>
      </c>
      <c r="M154" s="14">
        <v>3.7000000000000002E-3</v>
      </c>
      <c r="N154" s="14">
        <v>3.8E-3</v>
      </c>
    </row>
    <row r="155" spans="11:14">
      <c r="K155" s="14">
        <v>8.5000000000000006E-3</v>
      </c>
      <c r="L155" s="14">
        <v>8.0999999999999996E-3</v>
      </c>
      <c r="M155" s="14">
        <v>8.0000000000000002E-3</v>
      </c>
      <c r="N155" s="14">
        <v>3.3999999999999998E-3</v>
      </c>
    </row>
    <row r="156" spans="11:14">
      <c r="K156" s="14">
        <v>1.8100000000000002E-2</v>
      </c>
      <c r="L156" s="14">
        <v>1.6899999999999998E-2</v>
      </c>
      <c r="M156" s="14">
        <v>1.7999999999999999E-2</v>
      </c>
      <c r="N156" s="14">
        <v>1.89E-2</v>
      </c>
    </row>
    <row r="157" spans="11:14">
      <c r="K157" s="14">
        <v>18.197800000000001</v>
      </c>
      <c r="L157" s="14">
        <v>18.203600000000002</v>
      </c>
      <c r="M157" s="14">
        <v>18.202000000000002</v>
      </c>
      <c r="N157" s="14">
        <v>18.2043</v>
      </c>
    </row>
    <row r="158" spans="11:14">
      <c r="K158" s="14">
        <v>18.195499999999999</v>
      </c>
      <c r="L158" s="14">
        <v>18.198699999999999</v>
      </c>
      <c r="M158" s="14">
        <v>18.1982</v>
      </c>
      <c r="N158" s="14">
        <v>18.199400000000001</v>
      </c>
    </row>
    <row r="159" spans="11:14">
      <c r="K159" s="14">
        <v>18.203800000000001</v>
      </c>
      <c r="L159" s="14">
        <v>18.204699999999999</v>
      </c>
      <c r="M159" s="14">
        <v>18.204599999999999</v>
      </c>
      <c r="N159" s="14">
        <v>18.207699999999999</v>
      </c>
    </row>
    <row r="160" spans="11:14">
      <c r="K160" s="14">
        <v>17.216000000000001</v>
      </c>
      <c r="L160" s="14">
        <v>17.2149</v>
      </c>
      <c r="M160" s="14">
        <v>17.213200000000001</v>
      </c>
      <c r="N160" s="14">
        <v>17.211500000000001</v>
      </c>
    </row>
    <row r="161" spans="11:14">
      <c r="K161" s="14">
        <v>14.5411</v>
      </c>
      <c r="L161" s="14">
        <v>14.541700000000001</v>
      </c>
      <c r="M161" s="14">
        <v>14.543200000000001</v>
      </c>
      <c r="N161" s="14">
        <v>14.5487</v>
      </c>
    </row>
    <row r="162" spans="11:14">
      <c r="K162" s="14">
        <v>3.8601999999999999</v>
      </c>
      <c r="L162" s="14">
        <v>3.8622999999999998</v>
      </c>
      <c r="M162" s="14">
        <v>3.8601000000000001</v>
      </c>
      <c r="N162" s="14">
        <v>3.8603000000000001</v>
      </c>
    </row>
    <row r="163" spans="11:14">
      <c r="K163" s="14">
        <v>7.7363999999999997</v>
      </c>
      <c r="L163" s="14">
        <v>7.7366999999999999</v>
      </c>
      <c r="M163" s="14">
        <v>7.7394999999999996</v>
      </c>
      <c r="N163" s="14">
        <v>7.7366000000000001</v>
      </c>
    </row>
    <row r="164" spans="11:14">
      <c r="K164" s="14">
        <v>7.7245999999999997</v>
      </c>
      <c r="L164" s="14">
        <v>7.7236000000000002</v>
      </c>
      <c r="M164" s="14">
        <v>7.7252999999999998</v>
      </c>
      <c r="N164" s="14">
        <v>7.7263000000000002</v>
      </c>
    </row>
    <row r="165" spans="11:14">
      <c r="K165" s="14">
        <v>9.0328999999999997</v>
      </c>
      <c r="L165" s="14">
        <v>9.0351999999999997</v>
      </c>
      <c r="M165" s="14">
        <v>9.0253999999999994</v>
      </c>
      <c r="N165" s="14">
        <v>9.0373999999999999</v>
      </c>
    </row>
    <row r="166" spans="11:14">
      <c r="K166" s="14">
        <v>22.351099999999999</v>
      </c>
      <c r="L166" s="14">
        <v>22.352799999999998</v>
      </c>
      <c r="M166" s="14">
        <v>22.3537</v>
      </c>
      <c r="N166" s="14">
        <v>22.365100000000002</v>
      </c>
    </row>
    <row r="167" spans="11:14">
      <c r="K167" s="14">
        <v>20.3459</v>
      </c>
      <c r="L167" s="14">
        <v>20.349699999999999</v>
      </c>
      <c r="M167" s="14">
        <v>20.345199999999998</v>
      </c>
      <c r="N167" s="14">
        <v>20.345800000000001</v>
      </c>
    </row>
    <row r="168" spans="11:14">
      <c r="K168" s="14">
        <v>21.7639</v>
      </c>
      <c r="L168" s="14">
        <v>21.763100000000001</v>
      </c>
      <c r="M168" s="14">
        <v>21.7637</v>
      </c>
      <c r="N168" s="14">
        <v>21.765999999999998</v>
      </c>
    </row>
    <row r="169" spans="11:14">
      <c r="K169" s="14">
        <v>7.8285</v>
      </c>
      <c r="L169" s="14">
        <v>7.8338999999999999</v>
      </c>
      <c r="M169" s="14">
        <v>7.8289999999999997</v>
      </c>
      <c r="N169" s="14">
        <v>7.8335999999999997</v>
      </c>
    </row>
    <row r="170" spans="11:14">
      <c r="K170" s="14">
        <v>7.8151000000000002</v>
      </c>
      <c r="L170" s="14">
        <v>7.8173000000000004</v>
      </c>
      <c r="M170" s="14">
        <v>7.8125999999999998</v>
      </c>
      <c r="N170" s="14">
        <v>7.8223000000000003</v>
      </c>
    </row>
    <row r="171" spans="11:14">
      <c r="K171" s="14">
        <v>21.118600000000001</v>
      </c>
      <c r="L171" s="14">
        <v>21.1264</v>
      </c>
      <c r="M171" s="14">
        <v>21.126899999999999</v>
      </c>
      <c r="N171" s="14">
        <v>21.134599999999999</v>
      </c>
    </row>
    <row r="172" spans="11:14">
      <c r="K172" s="14">
        <v>21.1295</v>
      </c>
      <c r="L172" s="14">
        <v>21.1295</v>
      </c>
      <c r="M172" s="14">
        <v>21.135100000000001</v>
      </c>
      <c r="N172" s="14">
        <v>21.133700000000001</v>
      </c>
    </row>
    <row r="173" spans="11:14">
      <c r="K173" s="14">
        <v>21.129100000000001</v>
      </c>
      <c r="L173" s="14">
        <v>21.128900000000002</v>
      </c>
      <c r="M173" s="14">
        <v>21.133099999999999</v>
      </c>
      <c r="N173" s="14">
        <v>21.128299999999999</v>
      </c>
    </row>
    <row r="174" spans="11:14">
      <c r="K174" s="14">
        <v>21.490200000000002</v>
      </c>
      <c r="L174" s="14">
        <v>21.495000000000001</v>
      </c>
      <c r="M174" s="14">
        <v>21.491399999999999</v>
      </c>
      <c r="N174" s="14">
        <v>21.490200000000002</v>
      </c>
    </row>
    <row r="175" spans="11:14">
      <c r="K175" s="14">
        <v>21.500399999999999</v>
      </c>
      <c r="L175" s="14">
        <v>21.504100000000001</v>
      </c>
      <c r="M175" s="14">
        <v>21.501000000000001</v>
      </c>
      <c r="N175" s="14">
        <v>21.506399999999999</v>
      </c>
    </row>
    <row r="176" spans="11:14">
      <c r="K176" s="14">
        <v>16.889800000000001</v>
      </c>
      <c r="L176" s="14">
        <v>16.8887</v>
      </c>
      <c r="M176" s="14">
        <v>16.888300000000001</v>
      </c>
      <c r="N176" s="14">
        <v>16.881699999999999</v>
      </c>
    </row>
    <row r="177" spans="11:14">
      <c r="K177" s="14">
        <v>16.883700000000001</v>
      </c>
      <c r="L177" s="14">
        <v>16.8843</v>
      </c>
      <c r="M177" s="14">
        <v>16.885400000000001</v>
      </c>
      <c r="N177" s="14">
        <v>16.8825</v>
      </c>
    </row>
    <row r="178" spans="11:14">
      <c r="K178" s="14">
        <v>16.8901</v>
      </c>
      <c r="L178" s="14">
        <v>16.892900000000001</v>
      </c>
      <c r="M178" s="14">
        <v>16.893000000000001</v>
      </c>
      <c r="N178" s="14">
        <v>16.893799999999999</v>
      </c>
    </row>
    <row r="179" spans="11:14">
      <c r="K179" s="14">
        <v>1.5369999999999999</v>
      </c>
      <c r="L179" s="14">
        <v>1.5390999999999999</v>
      </c>
      <c r="M179" s="14">
        <v>1.5366</v>
      </c>
      <c r="N179" s="14">
        <v>1.5319</v>
      </c>
    </row>
    <row r="180" spans="11:14">
      <c r="K180" s="14">
        <v>1.5287999999999999</v>
      </c>
      <c r="L180" s="14">
        <v>1.5324</v>
      </c>
      <c r="M180" s="14">
        <v>1.5294000000000001</v>
      </c>
      <c r="N180" s="14">
        <v>1.5378000000000001</v>
      </c>
    </row>
    <row r="181" spans="11:14">
      <c r="K181" s="14">
        <v>0.73799999999999999</v>
      </c>
      <c r="L181" s="14">
        <v>0.74129999999999996</v>
      </c>
      <c r="M181" s="14">
        <v>0.73870000000000002</v>
      </c>
      <c r="N181" s="14">
        <v>0.73460000000000003</v>
      </c>
    </row>
    <row r="182" spans="11:14">
      <c r="K182" s="14">
        <v>0.93440000000000001</v>
      </c>
      <c r="L182" s="14">
        <v>0.9355</v>
      </c>
      <c r="M182" s="14">
        <v>0.9345</v>
      </c>
      <c r="N182" s="14">
        <v>0.94310000000000005</v>
      </c>
    </row>
    <row r="183" spans="11:14">
      <c r="K183" s="14">
        <v>0.9304</v>
      </c>
      <c r="L183" s="14">
        <v>0.92859999999999998</v>
      </c>
      <c r="M183" s="14">
        <v>0.93100000000000005</v>
      </c>
      <c r="N183" s="14">
        <v>0.93159999999999998</v>
      </c>
    </row>
    <row r="184" spans="11:14">
      <c r="K184" s="14">
        <v>0.93</v>
      </c>
      <c r="L184" s="14">
        <v>0.92900000000000005</v>
      </c>
      <c r="M184" s="14">
        <v>0.93089999999999995</v>
      </c>
      <c r="N184" s="14">
        <v>0.93530000000000002</v>
      </c>
    </row>
    <row r="185" spans="11:14">
      <c r="K185" s="14">
        <v>0.93459999999999999</v>
      </c>
      <c r="L185" s="14">
        <v>0.93130000000000002</v>
      </c>
      <c r="M185" s="14">
        <v>0.93269999999999997</v>
      </c>
      <c r="N185" s="14">
        <v>0.93889999999999996</v>
      </c>
    </row>
    <row r="186" spans="11:14">
      <c r="K186" s="14">
        <v>0.93679999999999997</v>
      </c>
      <c r="L186" s="14">
        <v>0.93510000000000004</v>
      </c>
      <c r="M186" s="14">
        <v>0.93430000000000002</v>
      </c>
      <c r="N186" s="14">
        <v>0.94040000000000001</v>
      </c>
    </row>
    <row r="187" spans="11:14">
      <c r="K187" s="14">
        <v>16.815899999999999</v>
      </c>
      <c r="L187" s="14">
        <v>16.8157</v>
      </c>
      <c r="M187" s="14">
        <v>16.817</v>
      </c>
      <c r="N187" s="14">
        <v>16.815799999999999</v>
      </c>
    </row>
    <row r="188" spans="11:14">
      <c r="K188" s="14">
        <v>0.40550000000000003</v>
      </c>
      <c r="L188" s="14">
        <v>0.40579999999999999</v>
      </c>
      <c r="M188" s="14">
        <v>0.40479999999999999</v>
      </c>
      <c r="N188" s="14">
        <v>0.40649999999999997</v>
      </c>
    </row>
    <row r="189" spans="11:14">
      <c r="K189" s="14">
        <v>9.9000000000000008E-3</v>
      </c>
      <c r="L189" s="14">
        <v>1.04E-2</v>
      </c>
      <c r="M189" s="14">
        <v>2.4E-2</v>
      </c>
      <c r="N189" s="14">
        <v>1.34E-2</v>
      </c>
    </row>
    <row r="190" spans="11:14">
      <c r="K190" s="14">
        <v>14.1487</v>
      </c>
      <c r="L190" s="14">
        <v>14.1501</v>
      </c>
      <c r="M190" s="14">
        <v>14.148400000000001</v>
      </c>
      <c r="N190" s="14">
        <v>14.143599999999999</v>
      </c>
    </row>
    <row r="191" spans="11:14">
      <c r="K191" s="14">
        <v>4.4391999999999996</v>
      </c>
      <c r="L191" s="14">
        <v>4.4429999999999996</v>
      </c>
      <c r="M191" s="14">
        <v>4.4413999999999998</v>
      </c>
      <c r="N191" s="14">
        <v>4.4459999999999997</v>
      </c>
    </row>
    <row r="192" spans="11:14">
      <c r="K192" s="14">
        <v>18.284199999999998</v>
      </c>
      <c r="L192" s="14">
        <v>18.282800000000002</v>
      </c>
      <c r="M192" s="14">
        <v>18.282499999999999</v>
      </c>
      <c r="N192" s="14">
        <v>18.293600000000001</v>
      </c>
    </row>
    <row r="193" spans="11:14">
      <c r="K193" s="14">
        <v>4.3052999999999999</v>
      </c>
      <c r="L193" s="14">
        <v>4.3064999999999998</v>
      </c>
      <c r="M193" s="14">
        <v>4.3094999999999999</v>
      </c>
      <c r="N193" s="14">
        <v>4.3112000000000004</v>
      </c>
    </row>
    <row r="194" spans="11:14">
      <c r="K194" s="14">
        <v>4.3132999999999999</v>
      </c>
      <c r="L194" s="14">
        <v>4.3116000000000003</v>
      </c>
      <c r="M194" s="14">
        <v>4.3146000000000004</v>
      </c>
      <c r="N194" s="14">
        <v>4.3170000000000002</v>
      </c>
    </row>
    <row r="195" spans="11:14">
      <c r="K195" s="14">
        <v>4.3164999999999996</v>
      </c>
      <c r="L195" s="14">
        <v>4.3163</v>
      </c>
      <c r="M195" s="14">
        <v>4.3136999999999999</v>
      </c>
      <c r="N195" s="14">
        <v>4.3109999999999999</v>
      </c>
    </row>
    <row r="196" spans="11:14">
      <c r="K196" s="14">
        <v>4.3202999999999996</v>
      </c>
      <c r="L196" s="14">
        <v>4.3207000000000004</v>
      </c>
      <c r="M196" s="14">
        <v>4.3152999999999997</v>
      </c>
      <c r="N196" s="14">
        <v>4.3105000000000002</v>
      </c>
    </row>
    <row r="197" spans="11:14">
      <c r="K197" s="14">
        <v>4.3305999999999996</v>
      </c>
      <c r="L197" s="14">
        <v>4.3310000000000004</v>
      </c>
      <c r="M197" s="14">
        <v>4.3259999999999996</v>
      </c>
      <c r="N197" s="14">
        <v>4.3253000000000004</v>
      </c>
    </row>
    <row r="198" spans="11:14">
      <c r="K198" s="14">
        <v>4.3227000000000002</v>
      </c>
      <c r="L198" s="14">
        <v>4.3236999999999997</v>
      </c>
      <c r="M198" s="14">
        <v>4.3228</v>
      </c>
      <c r="N198" s="14">
        <v>4.3278999999999996</v>
      </c>
    </row>
    <row r="199" spans="11:14">
      <c r="K199" s="14">
        <v>0.2155</v>
      </c>
      <c r="L199" s="14">
        <v>0.21510000000000001</v>
      </c>
      <c r="M199" s="14">
        <v>0.21290000000000001</v>
      </c>
      <c r="N199" s="14">
        <v>0.20660000000000001</v>
      </c>
    </row>
    <row r="200" spans="11:14">
      <c r="K200" s="14">
        <v>21.387599999999999</v>
      </c>
      <c r="L200" s="14">
        <v>21.3857</v>
      </c>
      <c r="M200" s="14">
        <v>21.386700000000001</v>
      </c>
      <c r="N200" s="14">
        <v>21.3855</v>
      </c>
    </row>
    <row r="201" spans="11:14">
      <c r="K201" s="14">
        <v>3.9600000000000003E-2</v>
      </c>
      <c r="L201" s="14">
        <v>3.8199999999999998E-2</v>
      </c>
      <c r="M201" s="14">
        <v>4.0099999999999997E-2</v>
      </c>
      <c r="N201" s="14">
        <v>3.32E-2</v>
      </c>
    </row>
    <row r="202" spans="11:14">
      <c r="K202" s="14">
        <v>4.8399999999999999E-2</v>
      </c>
      <c r="L202" s="14">
        <v>4.2900000000000001E-2</v>
      </c>
      <c r="M202" s="14">
        <v>4.9000000000000002E-2</v>
      </c>
      <c r="N202" s="14">
        <v>4.6600000000000003E-2</v>
      </c>
    </row>
    <row r="203" spans="11:14">
      <c r="K203" s="14">
        <v>4.8500000000000001E-2</v>
      </c>
      <c r="L203" s="14">
        <v>4.5900000000000003E-2</v>
      </c>
      <c r="M203" s="14">
        <v>4.7E-2</v>
      </c>
      <c r="N203" s="14">
        <v>5.3100000000000001E-2</v>
      </c>
    </row>
    <row r="204" spans="11:14">
      <c r="K204" s="14">
        <v>4.3799999999999999E-2</v>
      </c>
      <c r="L204" s="14">
        <v>4.2999999999999997E-2</v>
      </c>
      <c r="M204" s="14">
        <v>4.1500000000000002E-2</v>
      </c>
      <c r="N204" s="14">
        <v>3.3399999999999999E-2</v>
      </c>
    </row>
    <row r="205" spans="11:14">
      <c r="K205" s="14">
        <v>5.3199999999999997E-2</v>
      </c>
      <c r="L205" s="14">
        <v>5.33E-2</v>
      </c>
      <c r="M205" s="14">
        <v>5.0900000000000001E-2</v>
      </c>
      <c r="N205" s="14">
        <v>4.6199999999999998E-2</v>
      </c>
    </row>
    <row r="206" spans="11:14">
      <c r="K206" s="14">
        <v>4.6899999999999997E-2</v>
      </c>
      <c r="L206" s="14">
        <v>4.7600000000000003E-2</v>
      </c>
      <c r="M206" s="14">
        <v>4.6600000000000003E-2</v>
      </c>
      <c r="N206" s="14">
        <v>5.0299999999999997E-2</v>
      </c>
    </row>
    <row r="207" spans="11:14">
      <c r="K207" s="14">
        <v>1.7894000000000001</v>
      </c>
      <c r="L207" s="14">
        <v>1.7887999999999999</v>
      </c>
      <c r="M207" s="14">
        <v>1.7878000000000001</v>
      </c>
      <c r="N207" s="14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B1D3-E63B-A540-9721-8DA1120BD80A}">
  <sheetPr codeName="Sheet7"/>
  <dimension ref="B2:W16"/>
  <sheetViews>
    <sheetView showGridLines="0" zoomScaleNormal="100" workbookViewId="0">
      <selection activeCell="F13" sqref="F13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51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93" t="s">
        <v>15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4" t="s">
        <v>39</v>
      </c>
      <c r="V4" s="194"/>
      <c r="W4" s="194"/>
    </row>
    <row r="5" spans="2:23" s="16" customFormat="1" ht="20.100000000000001" customHeight="1">
      <c r="B5" s="192" t="s">
        <v>16</v>
      </c>
      <c r="C5" s="195" t="s">
        <v>40</v>
      </c>
      <c r="D5" s="195" t="s">
        <v>41</v>
      </c>
      <c r="E5" s="192" t="s">
        <v>34</v>
      </c>
      <c r="F5" s="192" t="s">
        <v>54</v>
      </c>
      <c r="G5" s="192" t="s">
        <v>42</v>
      </c>
      <c r="H5" s="192"/>
      <c r="I5" s="192"/>
      <c r="J5" s="192" t="s">
        <v>47</v>
      </c>
      <c r="K5" s="192"/>
      <c r="L5" s="192"/>
      <c r="M5" s="192" t="s">
        <v>50</v>
      </c>
      <c r="N5" s="192"/>
      <c r="O5" s="192"/>
      <c r="P5" s="192"/>
      <c r="Q5" s="192"/>
      <c r="R5" s="192"/>
      <c r="S5" s="192" t="s">
        <v>21</v>
      </c>
      <c r="T5" s="192" t="s">
        <v>22</v>
      </c>
      <c r="U5" s="192" t="s">
        <v>23</v>
      </c>
      <c r="V5" s="192" t="s">
        <v>24</v>
      </c>
      <c r="W5" s="192" t="s">
        <v>25</v>
      </c>
    </row>
    <row r="6" spans="2:23" s="16" customFormat="1" ht="20.100000000000001" customHeight="1">
      <c r="B6" s="192"/>
      <c r="C6" s="196"/>
      <c r="D6" s="196"/>
      <c r="E6" s="192"/>
      <c r="F6" s="192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92"/>
      <c r="T6" s="192"/>
      <c r="U6" s="192"/>
      <c r="V6" s="192"/>
      <c r="W6" s="192"/>
    </row>
    <row r="7" spans="2:23" s="18" customFormat="1" ht="39.9" customHeight="1">
      <c r="B7" s="19">
        <v>1</v>
      </c>
      <c r="C7" s="28"/>
      <c r="D7" s="21"/>
      <c r="E7" s="22"/>
      <c r="F7" s="22"/>
      <c r="G7" s="23"/>
      <c r="H7" s="23"/>
      <c r="I7" s="23"/>
      <c r="J7" s="24"/>
      <c r="K7" s="24"/>
      <c r="L7" s="23"/>
      <c r="M7" s="23"/>
      <c r="N7" s="23"/>
      <c r="O7" s="23"/>
      <c r="P7" s="23"/>
      <c r="Q7" s="23"/>
      <c r="R7" s="23"/>
      <c r="S7" s="25"/>
      <c r="T7" s="26"/>
      <c r="U7" s="27"/>
      <c r="V7" s="27"/>
      <c r="W7" s="27"/>
    </row>
    <row r="8" spans="2:23" s="18" customFormat="1" ht="39.9" customHeight="1">
      <c r="B8" s="19">
        <v>2</v>
      </c>
      <c r="C8" s="28"/>
      <c r="D8" s="21"/>
      <c r="E8" s="22"/>
      <c r="F8" s="22"/>
      <c r="G8" s="23"/>
      <c r="H8" s="23"/>
      <c r="I8" s="23"/>
      <c r="J8" s="24"/>
      <c r="K8" s="24"/>
      <c r="L8" s="23"/>
      <c r="M8" s="23"/>
      <c r="N8" s="23"/>
      <c r="O8" s="23"/>
      <c r="P8" s="23"/>
      <c r="Q8" s="23"/>
      <c r="R8" s="23"/>
      <c r="S8" s="25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1"/>
      <c r="E9" s="22"/>
      <c r="F9" s="22"/>
      <c r="G9" s="23"/>
      <c r="H9" s="23"/>
      <c r="I9" s="23"/>
      <c r="J9" s="24"/>
      <c r="K9" s="24"/>
      <c r="L9" s="23"/>
      <c r="M9" s="23"/>
      <c r="N9" s="23"/>
      <c r="O9" s="23"/>
      <c r="P9" s="23"/>
      <c r="Q9" s="23"/>
      <c r="R9" s="23"/>
      <c r="S9" s="25"/>
      <c r="T9" s="26"/>
      <c r="U9" s="27"/>
      <c r="V9" s="27"/>
      <c r="W9" s="27"/>
    </row>
    <row r="10" spans="2:23" s="18" customFormat="1" ht="39.9" customHeight="1">
      <c r="B10" s="19">
        <v>4</v>
      </c>
      <c r="C10" s="28"/>
      <c r="D10" s="21"/>
      <c r="E10" s="22"/>
      <c r="F10" s="22"/>
      <c r="G10" s="23"/>
      <c r="H10" s="23"/>
      <c r="I10" s="23"/>
      <c r="J10" s="24"/>
      <c r="K10" s="24"/>
      <c r="L10" s="23"/>
      <c r="M10" s="23"/>
      <c r="N10" s="23"/>
      <c r="O10" s="23"/>
      <c r="P10" s="23"/>
      <c r="Q10" s="23"/>
      <c r="R10" s="23"/>
      <c r="S10" s="25"/>
      <c r="T10" s="26"/>
      <c r="U10" s="27"/>
      <c r="V10" s="27"/>
      <c r="W10" s="27"/>
    </row>
    <row r="11" spans="2:23" s="18" customFormat="1" ht="39.9" customHeight="1">
      <c r="B11" s="19">
        <v>5</v>
      </c>
      <c r="C11" s="28"/>
      <c r="D11" s="21"/>
      <c r="E11" s="22"/>
      <c r="F11" s="22"/>
      <c r="G11" s="23"/>
      <c r="H11" s="23"/>
      <c r="I11" s="23"/>
      <c r="J11" s="24"/>
      <c r="K11" s="24"/>
      <c r="L11" s="23"/>
      <c r="M11" s="23"/>
      <c r="N11" s="23"/>
      <c r="O11" s="23"/>
      <c r="P11" s="23"/>
      <c r="Q11" s="23"/>
      <c r="R11" s="23"/>
      <c r="S11" s="25"/>
      <c r="T11" s="26"/>
      <c r="U11" s="27"/>
      <c r="V11" s="27"/>
      <c r="W11" s="27"/>
    </row>
    <row r="12" spans="2:23" s="18" customFormat="1" ht="39.9" customHeight="1">
      <c r="B12" s="19">
        <v>6</v>
      </c>
      <c r="C12" s="28"/>
      <c r="D12" s="21"/>
      <c r="E12" s="22"/>
      <c r="F12" s="22"/>
      <c r="G12" s="23"/>
      <c r="H12" s="23"/>
      <c r="I12" s="23"/>
      <c r="J12" s="24"/>
      <c r="K12" s="24"/>
      <c r="L12" s="23"/>
      <c r="M12" s="23"/>
      <c r="N12" s="23"/>
      <c r="O12" s="23"/>
      <c r="P12" s="23"/>
      <c r="Q12" s="23"/>
      <c r="R12" s="23"/>
      <c r="S12" s="25"/>
      <c r="T12" s="26"/>
      <c r="U12" s="27"/>
      <c r="V12" s="27"/>
      <c r="W12" s="27"/>
    </row>
    <row r="13" spans="2:23" s="18" customFormat="1" ht="39.9" customHeight="1">
      <c r="B13" s="19">
        <v>7</v>
      </c>
      <c r="C13" s="28"/>
      <c r="D13" s="21"/>
      <c r="E13" s="22"/>
      <c r="F13" s="22"/>
      <c r="G13" s="23"/>
      <c r="H13" s="23"/>
      <c r="I13" s="23"/>
      <c r="J13" s="24"/>
      <c r="K13" s="24"/>
      <c r="L13" s="23"/>
      <c r="M13" s="23"/>
      <c r="N13" s="23"/>
      <c r="O13" s="23"/>
      <c r="P13" s="23"/>
      <c r="Q13" s="23"/>
      <c r="R13" s="23"/>
      <c r="S13" s="25"/>
      <c r="T13" s="26"/>
      <c r="U13" s="27"/>
      <c r="V13" s="27"/>
      <c r="W13" s="27"/>
    </row>
    <row r="14" spans="2:23" s="18" customFormat="1" ht="39.9" customHeight="1">
      <c r="B14" s="19">
        <v>8</v>
      </c>
      <c r="C14" s="28"/>
      <c r="D14" s="21"/>
      <c r="E14" s="22"/>
      <c r="F14" s="22"/>
      <c r="G14" s="23"/>
      <c r="H14" s="23"/>
      <c r="I14" s="23"/>
      <c r="J14" s="24"/>
      <c r="K14" s="24"/>
      <c r="L14" s="23"/>
      <c r="M14" s="23"/>
      <c r="N14" s="23"/>
      <c r="O14" s="23"/>
      <c r="P14" s="23"/>
      <c r="Q14" s="23"/>
      <c r="R14" s="23"/>
      <c r="S14" s="25"/>
      <c r="T14" s="26"/>
      <c r="U14" s="27"/>
      <c r="V14" s="27"/>
      <c r="W14" s="27"/>
    </row>
    <row r="15" spans="2:23" s="18" customFormat="1" ht="39.9" customHeight="1">
      <c r="B15" s="19">
        <v>9</v>
      </c>
      <c r="C15" s="28"/>
      <c r="D15" s="21"/>
      <c r="E15" s="22"/>
      <c r="F15" s="22"/>
      <c r="G15" s="23"/>
      <c r="H15" s="23"/>
      <c r="I15" s="23"/>
      <c r="J15" s="24"/>
      <c r="K15" s="24"/>
      <c r="L15" s="23"/>
      <c r="M15" s="23"/>
      <c r="N15" s="23"/>
      <c r="O15" s="23"/>
      <c r="P15" s="23"/>
      <c r="Q15" s="23"/>
      <c r="R15" s="23"/>
      <c r="S15" s="25"/>
      <c r="T15" s="26"/>
      <c r="U15" s="27"/>
      <c r="V15" s="27"/>
      <c r="W15" s="27"/>
    </row>
    <row r="16" spans="2:23" s="18" customFormat="1" ht="39.9" customHeight="1">
      <c r="B16" s="19">
        <v>10</v>
      </c>
      <c r="C16" s="28"/>
      <c r="D16" s="21"/>
      <c r="E16" s="22"/>
      <c r="F16" s="22"/>
      <c r="G16" s="23"/>
      <c r="H16" s="23"/>
      <c r="I16" s="23"/>
      <c r="J16" s="24"/>
      <c r="K16" s="24"/>
      <c r="L16" s="23"/>
      <c r="M16" s="23"/>
      <c r="N16" s="23"/>
      <c r="O16" s="23"/>
      <c r="P16" s="23"/>
      <c r="Q16" s="23"/>
      <c r="R16" s="23"/>
      <c r="S16" s="25"/>
      <c r="T16" s="26"/>
      <c r="U16" s="27"/>
      <c r="V16" s="27"/>
      <c r="W16" s="27"/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67AE-6B39-E042-B0D0-5A238E878898}">
  <sheetPr codeName="Sheet8"/>
  <dimension ref="B2:N10"/>
  <sheetViews>
    <sheetView showGridLines="0" zoomScaleNormal="100" workbookViewId="0">
      <selection activeCell="E18" sqref="E18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6" width="30.90625" style="13" customWidth="1"/>
    <col min="7" max="7" width="30.90625" style="14" customWidth="1"/>
    <col min="8" max="9" width="20.90625" style="14" customWidth="1"/>
    <col min="10" max="10" width="60.90625" style="15" customWidth="1"/>
    <col min="11" max="11" width="60.90625" style="14" customWidth="1"/>
    <col min="12" max="14" width="29.90625" style="14" customWidth="1"/>
    <col min="15" max="15" width="11" style="14"/>
    <col min="16" max="16" width="27.6328125" style="14" bestFit="1" customWidth="1"/>
    <col min="17" max="16384" width="11" style="14"/>
  </cols>
  <sheetData>
    <row r="2" spans="2:14" ht="39.9" customHeight="1">
      <c r="B2" s="17" t="s">
        <v>56</v>
      </c>
      <c r="C2" s="12"/>
      <c r="D2" s="12"/>
      <c r="E2" s="12"/>
      <c r="F2" s="12"/>
      <c r="G2" s="12"/>
      <c r="H2" s="12"/>
    </row>
    <row r="3" spans="2:14" ht="18" customHeight="1">
      <c r="B3" s="12"/>
      <c r="C3" s="12"/>
      <c r="D3" s="12"/>
      <c r="E3" s="12"/>
      <c r="F3" s="12"/>
      <c r="G3" s="12"/>
      <c r="H3" s="12"/>
    </row>
    <row r="4" spans="2:14" s="18" customFormat="1" ht="18.899999999999999" customHeight="1">
      <c r="B4" s="193" t="s">
        <v>15</v>
      </c>
      <c r="C4" s="193"/>
      <c r="D4" s="193"/>
      <c r="E4" s="193"/>
      <c r="F4" s="193"/>
      <c r="G4" s="193"/>
      <c r="H4" s="193"/>
      <c r="I4" s="193"/>
      <c r="J4" s="193"/>
      <c r="K4" s="193"/>
      <c r="L4" s="194" t="s">
        <v>39</v>
      </c>
      <c r="M4" s="194"/>
      <c r="N4" s="194"/>
    </row>
    <row r="5" spans="2:14" s="16" customFormat="1" ht="20.100000000000001" customHeight="1">
      <c r="B5" s="40" t="s">
        <v>16</v>
      </c>
      <c r="C5" s="41" t="s">
        <v>57</v>
      </c>
      <c r="D5" s="41" t="s">
        <v>59</v>
      </c>
      <c r="E5" s="41" t="s">
        <v>60</v>
      </c>
      <c r="F5" s="41" t="s">
        <v>61</v>
      </c>
      <c r="G5" s="41" t="s">
        <v>58</v>
      </c>
      <c r="H5" s="40" t="s">
        <v>42</v>
      </c>
      <c r="I5" s="40" t="s">
        <v>50</v>
      </c>
      <c r="J5" s="41" t="s">
        <v>21</v>
      </c>
      <c r="K5" s="41" t="s">
        <v>22</v>
      </c>
      <c r="L5" s="41" t="s">
        <v>23</v>
      </c>
      <c r="M5" s="41" t="s">
        <v>24</v>
      </c>
      <c r="N5" s="41" t="s">
        <v>25</v>
      </c>
    </row>
    <row r="6" spans="2:14" s="18" customFormat="1" ht="39.9" customHeight="1">
      <c r="B6" s="19">
        <v>1</v>
      </c>
      <c r="C6" s="20"/>
      <c r="D6" s="20"/>
      <c r="E6" s="20"/>
      <c r="F6" s="20"/>
      <c r="G6" s="21"/>
      <c r="H6" s="23"/>
      <c r="I6" s="23"/>
      <c r="J6" s="25"/>
      <c r="K6" s="26"/>
      <c r="L6" s="27"/>
      <c r="M6" s="27"/>
      <c r="N6" s="27"/>
    </row>
    <row r="7" spans="2:14" s="18" customFormat="1" ht="39.9" customHeight="1">
      <c r="B7" s="19">
        <v>2</v>
      </c>
      <c r="C7" s="28"/>
      <c r="D7" s="28"/>
      <c r="E7" s="28"/>
      <c r="F7" s="28"/>
      <c r="G7" s="21"/>
      <c r="H7" s="23"/>
      <c r="I7" s="23"/>
      <c r="J7" s="25"/>
      <c r="K7" s="26"/>
      <c r="L7" s="27"/>
      <c r="M7" s="27"/>
      <c r="N7" s="27"/>
    </row>
    <row r="8" spans="2:14" s="18" customFormat="1" ht="39.9" customHeight="1">
      <c r="B8" s="19">
        <v>3</v>
      </c>
      <c r="C8" s="28"/>
      <c r="D8" s="28"/>
      <c r="E8" s="28"/>
      <c r="F8" s="28"/>
      <c r="G8" s="21"/>
      <c r="H8" s="23"/>
      <c r="I8" s="23"/>
      <c r="J8" s="25"/>
      <c r="K8" s="26"/>
      <c r="L8" s="27"/>
      <c r="M8" s="27"/>
      <c r="N8" s="27"/>
    </row>
    <row r="9" spans="2:14" s="18" customFormat="1" ht="39.9" customHeight="1">
      <c r="B9" s="19">
        <v>4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</row>
    <row r="10" spans="2:14" s="18" customFormat="1" ht="39.9" customHeight="1">
      <c r="B10" s="19">
        <v>5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</row>
  </sheetData>
  <mergeCells count="2">
    <mergeCell ref="B4:K4"/>
    <mergeCell ref="L4:N4"/>
  </mergeCells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BCD0-18FC-2740-8B84-75776F8C6493}">
  <sheetPr codeName="Sheet9"/>
  <dimension ref="B2:E3"/>
  <sheetViews>
    <sheetView showGridLines="0" workbookViewId="0">
      <selection activeCell="E20" sqref="E20"/>
    </sheetView>
  </sheetViews>
  <sheetFormatPr defaultColWidth="11.54296875" defaultRowHeight="19.2"/>
  <cols>
    <col min="1" max="1" width="1.90625" customWidth="1"/>
    <col min="2" max="4" width="15.90625" customWidth="1"/>
    <col min="5" max="5" width="90.90625" customWidth="1"/>
  </cols>
  <sheetData>
    <row r="2" spans="2:5">
      <c r="B2" s="35" t="s">
        <v>62</v>
      </c>
      <c r="C2" s="35" t="s">
        <v>63</v>
      </c>
      <c r="D2" s="35" t="s">
        <v>64</v>
      </c>
      <c r="E2" s="35" t="s">
        <v>65</v>
      </c>
    </row>
    <row r="3" spans="2:5">
      <c r="B3" s="36">
        <v>1</v>
      </c>
      <c r="C3" s="39">
        <v>43315</v>
      </c>
      <c r="D3" s="37" t="s">
        <v>66</v>
      </c>
      <c r="E3" s="38" t="s">
        <v>67</v>
      </c>
    </row>
  </sheetData>
  <phoneticPr fontId="1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user01</cp:lastModifiedBy>
  <dcterms:created xsi:type="dcterms:W3CDTF">2018-08-03T17:39:04Z</dcterms:created>
  <dcterms:modified xsi:type="dcterms:W3CDTF">2024-01-22T06:10:12Z</dcterms:modified>
</cp:coreProperties>
</file>