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Winter Test\Desktop\Report Maker\Complete\성적서 양식\Varo24 양식\"/>
    </mc:Choice>
  </mc:AlternateContent>
  <xr:revisionPtr revIDLastSave="0" documentId="13_ncr:1_{F1B84D16-A3C2-42C7-BFED-161B99AF6427}" xr6:coauthVersionLast="47" xr6:coauthVersionMax="47" xr10:uidLastSave="{00000000-0000-0000-0000-000000000000}"/>
  <bookViews>
    <workbookView xWindow="-120" yWindow="480" windowWidth="29040" windowHeight="15840" tabRatio="897" activeTab="2" xr2:uid="{558B7DC1-779D-BB42-B43A-ED7A08375808}"/>
  </bookViews>
  <sheets>
    <sheet name="Waiver Summary" sheetId="5" r:id="rId1"/>
    <sheet name="Shipping Lot List" sheetId="12" r:id="rId2"/>
    <sheet name="FAI" sheetId="13" r:id="rId3"/>
    <sheet name="SPC" sheetId="14" r:id="rId4"/>
    <sheet name="Cosmetic Waivers" sheetId="15" r:id="rId5"/>
    <sheet name="Dimensional Waivers" sheetId="16" r:id="rId6"/>
    <sheet name="Functional Waivers" sheetId="17" r:id="rId7"/>
    <sheet name="Reliability Waivers" sheetId="18" r:id="rId8"/>
    <sheet name="Rev History" sheetId="19" r:id="rId9"/>
  </sheets>
  <definedNames>
    <definedName name="________XG2" hidden="1">{#N/A,#N/A,FALSE,"단축1";#N/A,#N/A,FALSE,"단축2";#N/A,#N/A,FALSE,"단축3";#N/A,#N/A,FALSE,"장축";#N/A,#N/A,FALSE,"4WD"}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hidden="1">{#N/A,#N/A,FALSE,"단축1";#N/A,#N/A,FALSE,"단축2";#N/A,#N/A,FALSE,"단축3";#N/A,#N/A,FALSE,"장축";#N/A,#N/A,FALSE,"4WD"}</definedName>
    <definedName name="____PU7" hidden="1">{#N/A,#N/A,TRUE,"일정"}</definedName>
    <definedName name="____XG2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hidden="1">{#N/A,#N/A,FALSE,"신규dep";#N/A,#N/A,FALSE,"신규dep-금형상각후";#N/A,#N/A,FALSE,"신규dep-연구비상각후";#N/A,#N/A,FALSE,"신규dep-기계,공구상각후"}</definedName>
    <definedName name="___FG1" hidden="1">{#N/A,#N/A,FALSE,"단축1";#N/A,#N/A,FALSE,"단축2";#N/A,#N/A,FALSE,"단축3";#N/A,#N/A,FALSE,"장축";#N/A,#N/A,FALSE,"4WD"}</definedName>
    <definedName name="___k2" hidden="1">{#N/A,#N/A,FALSE,"Cst of Sales (2)"}</definedName>
    <definedName name="___LPS2" hidden="1">{#N/A,#N/A,FALSE,"단축1";#N/A,#N/A,FALSE,"단축2";#N/A,#N/A,FALSE,"단축3";#N/A,#N/A,FALSE,"장축";#N/A,#N/A,FALSE,"4WD"}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hidden="1">{#N/A,#N/A,FALSE,"단축1";#N/A,#N/A,FALSE,"단축2";#N/A,#N/A,FALSE,"단축3";#N/A,#N/A,FALSE,"장축";#N/A,#N/A,FALSE,"4WD"}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hidden="1">{#N/A,#N/A,FALSE,"신규dep";#N/A,#N/A,FALSE,"신규dep-금형상각후";#N/A,#N/A,FALSE,"신규dep-연구비상각후";#N/A,#N/A,FALSE,"신규dep-기계,공구상각후"}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hidden="1">{#N/A,#N/A,FALSE,"단축1";#N/A,#N/A,FALSE,"단축2";#N/A,#N/A,FALSE,"단축3";#N/A,#N/A,FALSE,"장축";#N/A,#N/A,FALSE,"4WD"}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hidden="1">{#N/A,#N/A,FALSE,"Cst of Sales (2)"}</definedName>
    <definedName name="__LPS2" hidden="1">{#N/A,#N/A,FALSE,"단축1";#N/A,#N/A,FALSE,"단축2";#N/A,#N/A,FALSE,"단축3";#N/A,#N/A,FALSE,"장축";#N/A,#N/A,FALSE,"4WD"}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hidden="1">{#N/A,#N/A,TRUE,"일정"}</definedName>
    <definedName name="__T2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hidden="1">{#N/A,#N/A,FALSE,"단축1";#N/A,#N/A,FALSE,"단축2";#N/A,#N/A,FALSE,"단축3";#N/A,#N/A,FALSE,"장축";#N/A,#N/A,FALSE,"4WD"}</definedName>
    <definedName name="_58k2_" hidden="1">{#N/A,#N/A,FALSE,"Cst of Sales (2)"}</definedName>
    <definedName name="_59FG1_" hidden="1">{#N/A,#N/A,FALSE,"단축1";#N/A,#N/A,FALSE,"단축2";#N/A,#N/A,FALSE,"단축3";#N/A,#N/A,FALSE,"장축";#N/A,#N/A,FALSE,"4WD"}</definedName>
    <definedName name="_60k2_" hidden="1">{#N/A,#N/A,FALSE,"Cst of Sales (2)"}</definedName>
    <definedName name="_61T2_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hidden="1">{#N/A,#N/A,FALSE,"Cst of Sales (2)"}</definedName>
    <definedName name="_Key1" hidden="1">#REF!</definedName>
    <definedName name="_Key2" hidden="1">#REF!</definedName>
    <definedName name="_LPS2" hidden="1">{#N/A,#N/A,FALSE,"단축1";#N/A,#N/A,FALSE,"단축2";#N/A,#N/A,FALSE,"단축3";#N/A,#N/A,FALSE,"장축";#N/A,#N/A,FALSE,"4WD"}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hidden="1">{#N/A,#N/A,TRUE,"일정"}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QSAS" hidden="1">{#N/A,#N/A,FALSE,"단축1";#N/A,#N/A,FALSE,"단축2";#N/A,#N/A,FALSE,"단축3";#N/A,#N/A,FALSE,"장축";#N/A,#N/A,FALSE,"4WD"}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hidden="1">{#N/A,#N/A,FALSE,"단축1";#N/A,#N/A,FALSE,"단축2";#N/A,#N/A,FALSE,"단축3";#N/A,#N/A,FALSE,"장축";#N/A,#N/A,FALSE,"4WD"}</definedName>
    <definedName name="AD" hidden="1">{#N/A,#N/A,FALSE,"을지 (4)";#N/A,#N/A,FALSE,"을지 (5)";#N/A,#N/A,FALSE,"을지 (6)"}</definedName>
    <definedName name="adsacdz" hidden="1">{#N/A,#N/A,FALSE,"단축1";#N/A,#N/A,FALSE,"단축2";#N/A,#N/A,FALSE,"단축3";#N/A,#N/A,FALSE,"장축";#N/A,#N/A,FALSE,"4WD"}</definedName>
    <definedName name="ADSDF" hidden="1">{#N/A,#N/A,TRUE,"Y생산";#N/A,#N/A,TRUE,"Y판매";#N/A,#N/A,TRUE,"Y총물량";#N/A,#N/A,TRUE,"Y능력";#N/A,#N/A,TRUE,"YKD"}</definedName>
    <definedName name="AERGA" hidden="1">{#N/A,#N/A,FALSE,"원가검토서"}</definedName>
    <definedName name="AFDAGA" hidden="1">{#N/A,#N/A,FALSE,"원가검토서"}</definedName>
    <definedName name="anscount" hidden="1">4</definedName>
    <definedName name="AQWAQ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hidden="1">{#N/A,#N/A,FALSE,"을지 (4)";#N/A,#N/A,FALSE,"을지 (5)";#N/A,#N/A,FALSE,"을지 (6)"}</definedName>
    <definedName name="ASSY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UTFGY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hidden="1">{#N/A,#N/A,FALSE,"단축1";#N/A,#N/A,FALSE,"단축2";#N/A,#N/A,FALSE,"단축3";#N/A,#N/A,FALSE,"장축";#N/A,#N/A,FALSE,"4WD"}</definedName>
    <definedName name="cdhbkjbkjnkjnlmmn" hidden="1">{#N/A,#N/A,TRUE,"일정"}</definedName>
    <definedName name="CFVGYTU" hidden="1">{#N/A,#N/A,FALSE,"원가검토서"}</definedName>
    <definedName name="chang" hidden="1">{#N/A,#N/A,FALSE,"을지 (4)";#N/A,#N/A,FALSE,"을지 (5)";#N/A,#N/A,FALSE,"을지 (6)"}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hidden="1">{#N/A,#N/A,TRUE,"일정"}</definedName>
    <definedName name="DDDDDDD" hidden="1">#REF!</definedName>
    <definedName name="dddddf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hidden="1">{#N/A,#N/A,FALSE,"원가검토서"}</definedName>
    <definedName name="DDS" hidden="1">{#N/A,#N/A,FALSE,"을지 (4)";#N/A,#N/A,FALSE,"을지 (5)";#N/A,#N/A,FALSE,"을지 (6)"}</definedName>
    <definedName name="DDSS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hidden="1">{#N/A,#N/A,FALSE,"원가검토서"}</definedName>
    <definedName name="DFDF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hidden="1">{#N/A,#N/A,FALSE,"원가검토서"}</definedName>
    <definedName name="DFGEERT" hidden="1">{#N/A,#N/A,FALSE,"원가검토서"}</definedName>
    <definedName name="DFHJ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hidden="1">{#N/A,#N/A,FALSE,"원가검토서"}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hidden="1">{#N/A,#N/A,TRUE,"일정"}</definedName>
    <definedName name="DLS" hidden="1">{#N/A,#N/A,TRUE,"Y생산";#N/A,#N/A,TRUE,"Y판매";#N/A,#N/A,TRUE,"Y총물량";#N/A,#N/A,TRUE,"Y능력";#N/A,#N/A,TRUE,"YKD"}</definedName>
    <definedName name="dn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hidden="1">{#N/A,#N/A,FALSE,"원가검토서"}</definedName>
    <definedName name="DSRIIHWQLW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hidden="1">{#N/A,#N/A,FALSE,"단축1";#N/A,#N/A,FALSE,"단축2";#N/A,#N/A,FALSE,"단축3";#N/A,#N/A,FALSE,"장축";#N/A,#N/A,FALSE,"4WD"}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hidden="1">{"Wire Charts",#N/A,TRUE,"Wires"}</definedName>
    <definedName name="estgret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hidden="1">{#N/A,#N/A,FALSE,"단축1";#N/A,#N/A,FALSE,"단축2";#N/A,#N/A,FALSE,"단축3";#N/A,#N/A,FALSE,"장축";#N/A,#N/A,FALSE,"4WD"}</definedName>
    <definedName name="FDGS" hidden="1">{"'KET'!$A$1:$E$2423"}</definedName>
    <definedName name="FDJGDFHJ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hidden="1">{"'OPEN'G압출'!$A$4:$P$34"}</definedName>
    <definedName name="FGGHNMK" hidden="1">{#N/A,#N/A,FALSE,"원가검토서"}</definedName>
    <definedName name="FGH" hidden="1">{#N/A,#N/A,FALSE,"단축1";#N/A,#N/A,FALSE,"단축2";#N/A,#N/A,FALSE,"단축3";#N/A,#N/A,FALSE,"장축";#N/A,#N/A,FALSE,"4WD"}</definedName>
    <definedName name="FGHJ" hidden="1">{#N/A,#N/A,FALSE,"원가검토서"}</definedName>
    <definedName name="FGS" hidden="1">{"Wire Charts",#N/A,TRUE,"Wires"}</definedName>
    <definedName name="FH" hidden="1">{#N/A,#N/A,FALSE,"단축1";#N/A,#N/A,FALSE,"단축2";#N/A,#N/A,FALSE,"단축3";#N/A,#N/A,FALSE,"장축";#N/A,#N/A,FALSE,"4WD"}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hidden="1">{#N/A,#N/A,TRUE,"일정"}</definedName>
    <definedName name="GFD" hidden="1">{#N/A,#N/A,TRUE,"일정"}</definedName>
    <definedName name="GFDG" hidden="1">{#N/A,#N/A,FALSE,"신규dep";#N/A,#N/A,FALSE,"신규dep-금형상각후";#N/A,#N/A,FALSE,"신규dep-연구비상각후";#N/A,#N/A,FALSE,"신규dep-기계,공구상각후"}</definedName>
    <definedName name="GFDS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hidden="1">{#N/A,#N/A,TRUE,"일정"}</definedName>
    <definedName name="HDTFJYDTYFTY" hidden="1">{#N/A,#N/A,FALSE,"단축1";#N/A,#N/A,FALSE,"단축2";#N/A,#N/A,FALSE,"단축3";#N/A,#N/A,FALSE,"장축";#N/A,#N/A,FALSE,"4WD"}</definedName>
    <definedName name="HFG" hidden="1">{#N/A,#N/A,TRUE,"Y생산";#N/A,#N/A,TRUE,"Y판매";#N/A,#N/A,TRUE,"Y총물량";#N/A,#N/A,TRUE,"Y능력";#N/A,#N/A,TRUE,"YKD"}</definedName>
    <definedName name="HFGJFGJJ" hidden="1">{"'OPEN'G압출'!$A$4:$P$34"}</definedName>
    <definedName name="hgfshg" hidden="1">{#N/A,#N/A,TRUE,"일정"}</definedName>
    <definedName name="hgfxd" hidden="1">{#N/A,#N/A,TRUE,"일정"}</definedName>
    <definedName name="HJ" hidden="1">{#N/A,#N/A,FALSE,"단축1";#N/A,#N/A,FALSE,"단축2";#N/A,#N/A,FALSE,"단축3";#N/A,#N/A,FALSE,"장축";#N/A,#N/A,FALSE,"4WD"}</definedName>
    <definedName name="HJGFJHFJH" hidden="1">{#N/A,#N/A,FALSE,"원가검토서"}</definedName>
    <definedName name="HJKLL" hidden="1">{#N/A,#N/A,TRUE,"Y생산";#N/A,#N/A,TRUE,"Y판매";#N/A,#N/A,TRUE,"Y총물량";#N/A,#N/A,TRUE,"Y능력";#N/A,#N/A,TRUE,"YKD"}</definedName>
    <definedName name="HKJ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hidden="1">{#N/A,#N/A,FALSE,"신규dep";#N/A,#N/A,FALSE,"신규dep-금형상각후";#N/A,#N/A,FALSE,"신규dep-연구비상각후";#N/A,#N/A,FALSE,"신규dep-기계,공구상각후"}</definedName>
    <definedName name="INSULATION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hidden="1">{#N/A,#N/A,TRUE,"일정"}</definedName>
    <definedName name="JGHJ" hidden="1">{#N/A,#N/A,FALSE,"단축1";#N/A,#N/A,FALSE,"단축2";#N/A,#N/A,FALSE,"단축3";#N/A,#N/A,FALSE,"장축";#N/A,#N/A,FALSE,"4WD"}</definedName>
    <definedName name="JJUHG" hidden="1">{#N/A,#N/A,FALSE,"원가검토서"}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hidden="1">{"'OPEN'G압출'!$A$4:$P$34"}</definedName>
    <definedName name="kthrsbth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HSDHSD" hidden="1">{#N/A,#N/A,TRUE,"일정"}</definedName>
    <definedName name="LINE검토2" hidden="1">{#N/A,#N/A,TRUE,"Y생산";#N/A,#N/A,TRUE,"Y판매";#N/A,#N/A,TRUE,"Y총물량";#N/A,#N/A,TRUE,"Y능력";#N/A,#N/A,TRUE,"YKD"}</definedName>
    <definedName name="link_ds_be" hidden="1">{#N/A,#N/A,FALSE,"Cst of Sales (2)"}</definedName>
    <definedName name="LKGFLDKGF" hidden="1">{"'OPEN'G압출'!$A$4:$P$34"}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KLKLK" hidden="1">{"'OPEN'G압출'!$A$4:$P$34"}</definedName>
    <definedName name="lll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hidden="1">{#N/A,#N/A,TRUE,"일정"}</definedName>
    <definedName name="MDGVTESYERY" hidden="1">{#N/A,#N/A,FALSE,"단축1";#N/A,#N/A,FALSE,"단축2";#N/A,#N/A,FALSE,"단축3";#N/A,#N/A,FALSE,"장축";#N/A,#N/A,FALSE,"4WD"}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hidden="1">{#N/A,#N/A,TRUE,"일정"}</definedName>
    <definedName name="PI" hidden="1">{#N/A,#N/A,TRUE,"Y생산";#N/A,#N/A,TRUE,"Y판매";#N/A,#N/A,TRUE,"Y총물량";#N/A,#N/A,TRUE,"Y능력";#N/A,#N/A,TRUE,"YKD"}</definedName>
    <definedName name="PO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hidden="1">{#N/A,#N/A,FALSE,"96 3월물량표";#N/A,#N/A,FALSE,"96 4월물량표";#N/A,#N/A,FALSE,"96 5월물량표"}</definedName>
    <definedName name="PPPP" hidden="1">{#N/A,#N/A,TRUE,"일정"}</definedName>
    <definedName name="PRO" hidden="1">{#N/A,#N/A,TRUE,"일정"}</definedName>
    <definedName name="ProzessKette3" hidden="1">#REF!</definedName>
    <definedName name="QAW" hidden="1">{#N/A,#N/A,FALSE,"을지 (4)";#N/A,#N/A,FALSE,"을지 (5)";#N/A,#N/A,FALSE,"을지 (6)"}</definedName>
    <definedName name="QAWVRXTHXFG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hidden="1">{#N/A,#N/A,FALSE,"Cst of Sales (2)"}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S" hidden="1">{#N/A,#N/A,FALSE,"단축1";#N/A,#N/A,FALSE,"단축2";#N/A,#N/A,FALSE,"단축3";#N/A,#N/A,FALSE,"장축";#N/A,#N/A,FALSE,"4WD"}</definedName>
    <definedName name="QSS" hidden="1">{#N/A,#N/A,FALSE,"을지 (4)";#N/A,#N/A,FALSE,"을지 (5)";#N/A,#N/A,FALSE,"을지 (6)"}</definedName>
    <definedName name="QVWTDRDJHUG" hidden="1">{#N/A,#N/A,FALSE,"단축1";#N/A,#N/A,FALSE,"단축2";#N/A,#N/A,FALSE,"단축3";#N/A,#N/A,FALSE,"장축";#N/A,#N/A,FALSE,"4WD"}</definedName>
    <definedName name="QW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hidden="1">{#N/A,#N/A,FALSE,"단축1";#N/A,#N/A,FALSE,"단축2";#N/A,#N/A,FALSE,"단축3";#N/A,#N/A,FALSE,"장축";#N/A,#N/A,FALSE,"4WD"}</definedName>
    <definedName name="QWE" hidden="1">{#N/A,#N/A,FALSE,"을지 (4)";#N/A,#N/A,FALSE,"을지 (5)";#N/A,#N/A,FALSE,"을지 (6)"}</definedName>
    <definedName name="qwefydc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hidden="1">{#N/A,#N/A,FALSE,"단축1";#N/A,#N/A,FALSE,"단축2";#N/A,#N/A,FALSE,"단축3";#N/A,#N/A,FALSE,"장축";#N/A,#N/A,FALSE,"4WD"}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hidden="1">{#N/A,#N/A,FALSE,"Cst of Sales (2)"}</definedName>
    <definedName name="SAD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hidden="1">{#N/A,#N/A,TRUE,"일정"}</definedName>
    <definedName name="SFSFSFS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hidden="1">{#N/A,#N/A,FALSE,"해외크레임";#N/A,#N/A,FALSE,"ACCENT현황";#N/A,#N/A,FALSE,"AVANTE";#N/A,#N/A,FALSE,"SONATA(3)";#N/A,#N/A,FALSE,"국내크레임"}</definedName>
    <definedName name="song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hidden="1">{#N/A,#N/A,FALSE,"을지 (4)";#N/A,#N/A,FALSE,"을지 (5)";#N/A,#N/A,FALSE,"을지 (6)"}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hidden="1">{#N/A,#N/A,FALSE,"96 3월물량표";#N/A,#N/A,FALSE,"96 4월물량표";#N/A,#N/A,FALSE,"96 5월물량표"}</definedName>
    <definedName name="TIBURON" hidden="1">{#N/A,#N/A,FALSE,"해외크레임";#N/A,#N/A,FALSE,"ACCENT현황";#N/A,#N/A,FALSE,"AVANTE";#N/A,#N/A,FALSE,"SONATA(3)";#N/A,#N/A,FALSE,"국내크레임"}</definedName>
    <definedName name="TJAUDLWS" hidden="1">{#N/A,#N/A,TRUE,"Y생산";#N/A,#N/A,TRUE,"Y판매";#N/A,#N/A,TRUE,"Y총물량";#N/A,#N/A,TRUE,"Y능력";#N/A,#N/A,TRUE,"YKD"}</definedName>
    <definedName name="TLS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hidden="1">{#N/A,#N/A,FALSE,"신규dep";#N/A,#N/A,FALSE,"신규dep-금형상각후";#N/A,#N/A,FALSE,"신규dep-연구비상각후";#N/A,#N/A,FALSE,"신규dep-기계,공구상각후"}</definedName>
    <definedName name="tynervwsgrte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hidden="1">{#N/A,#N/A,TRUE,"일정"}</definedName>
    <definedName name="vttdfvgf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E" hidden="1">{#N/A,#N/A,FALSE,"신규dep";#N/A,#N/A,FALSE,"신규dep-금형상각후";#N/A,#N/A,FALSE,"신규dep-연구비상각후";#N/A,#N/A,FALSE,"신규dep-기계,공구상각후"}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hidden="1">{#N/A,#N/A,FALSE,"원가검토서"}</definedName>
    <definedName name="WETDRF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hidden="1">{#N/A,#N/A,FALSE,"원가검토서"}</definedName>
    <definedName name="WGREG" hidden="1">{#N/A,#N/A,FALSE,"원가검토서"}</definedName>
    <definedName name="WHRL" hidden="1">{#N/A,#N/A,FALSE,"단축1";#N/A,#N/A,FALSE,"단축2";#N/A,#N/A,FALSE,"단축3";#N/A,#N/A,FALSE,"장축";#N/A,#N/A,FALSE,"4WD"}</definedName>
    <definedName name="Wire_Chart" hidden="1">{"Wire Charts",#N/A,TRUE,"Wires"}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hidden="1">{#N/A,#N/A,FALSE,"을지 (4)";#N/A,#N/A,FALSE,"을지 (5)";#N/A,#N/A,FALSE,"을지 (6)"}</definedName>
    <definedName name="WQBYHCJYBHUH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hidden="1">{#N/A,#N/A,FALSE,"해외크레임";#N/A,#N/A,FALSE,"ACCENT현황";#N/A,#N/A,FALSE,"AVANTE";#N/A,#N/A,FALSE,"SONATA(3)";#N/A,#N/A,FALSE,"국내크레임"}</definedName>
    <definedName name="wrn.1ECC49." hidden="1">{#N/A,#N/A,FALSE,"성적서";#N/A,#N/A,FALSE,"기준을"}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hidden="1">{#N/A,#N/A,FALSE,"Repair";#N/A,#N/A,FALSE,"Audit Room";#N/A,#N/A,FALSE,"Simulator"}</definedName>
    <definedName name="wrn.COST_CEN." hidden="1">{#N/A,#N/A,TRUE,"orig";#N/A,#N/A,TRUE,"dvd_key";#N/A,#N/A,TRUE,"OH1";#N/A,#N/A,TRUE,"allc_key";#N/A,#N/A,TRUE,"OH2"}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hidden="1">{"Wire Charts",#N/A,TRUE,"Wires"}</definedName>
    <definedName name="wrn.Y차._.종합." hidden="1">{#N/A,#N/A,TRUE,"Y생산";#N/A,#N/A,TRUE,"Y판매";#N/A,#N/A,TRUE,"Y총물량";#N/A,#N/A,TRUE,"Y능력";#N/A,#N/A,TRUE,"YKD"}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hidden="1">{#N/A,#N/A,FALSE,"원가검토서"}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hidden="1">{#N/A,#N/A,FALSE,"Cst of Sales (2)"}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hidden="1">{#N/A,#N/A,FALSE,"정공"}</definedName>
    <definedName name="WRTETDTRY" hidden="1">{#N/A,#N/A,FALSE,"단축1";#N/A,#N/A,FALSE,"단축2";#N/A,#N/A,FALSE,"단축3";#N/A,#N/A,FALSE,"장축";#N/A,#N/A,FALSE,"4WD"}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hidden="1">{#N/A,#N/A,FALSE,"을지 (4)";#N/A,#N/A,FALSE,"을지 (5)";#N/A,#N/A,FALSE,"을지 (6)"}</definedName>
    <definedName name="XWDSTGFTF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hidden="1">{#N/A,#N/A,TRUE,"일정"}</definedName>
    <definedName name="ㄱㄷㅁㄱ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hidden="1">{#N/A,#N/A,FALSE,"원가검토서"}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고싶다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hidden="1">{#N/A,#N/A,FALSE,"성적서";#N/A,#N/A,FALSE,"기준을"}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계획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hidden="1">{"Wire Charts",#N/A,TRUE,"Wires"}</definedName>
    <definedName name="고고고" hidden="1">{#N/A,#N/A,FALSE,"원가검토서"}</definedName>
    <definedName name="고어얼어러럴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hidden="1">{#N/A,#N/A,FALSE,"단축1";#N/A,#N/A,FALSE,"단축2";#N/A,#N/A,FALSE,"단축3";#N/A,#N/A,FALSE,"장축";#N/A,#N/A,FALSE,"4WD"}</definedName>
    <definedName name="공정도" hidden="1">{#N/A,#N/A,FALSE,"원가검토서"}</definedName>
    <definedName name="공통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hidden="1">{#N/A,#N/A,TRUE,"Y생산";#N/A,#N/A,TRUE,"Y판매";#N/A,#N/A,TRUE,"Y총물량";#N/A,#N/A,TRUE,"Y능력";#N/A,#N/A,TRUE,"YKD"}</definedName>
    <definedName name="권오종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금" hidden="1">{#N/A,#N/A,FALSE,"원가검토서"}</definedName>
    <definedName name="금월" hidden="1">{#N/A,#N/A,TRUE,"Y생산";#N/A,#N/A,TRUE,"Y판매";#N/A,#N/A,TRUE,"Y총물량";#N/A,#N/A,TRUE,"Y능력";#N/A,#N/A,TRUE,"YKD"}</definedName>
    <definedName name="금형" hidden="1">{#N/A,#N/A,FALSE,"원가검토서"}</definedName>
    <definedName name="금형3" hidden="1">{#N/A,#N/A,FALSE,"단축1";#N/A,#N/A,FALSE,"단축2";#N/A,#N/A,FALSE,"단축3";#N/A,#N/A,FALSE,"장축";#N/A,#N/A,FALSE,"4WD"}</definedName>
    <definedName name="금형견적" hidden="1">{#N/A,#N/A,FALSE,"원가검토서"}</definedName>
    <definedName name="금형제작일정" hidden="1">{#N/A,#N/A,FALSE,"단축1";#N/A,#N/A,FALSE,"단축2";#N/A,#N/A,FALSE,"단축3";#N/A,#N/A,FALSE,"장축";#N/A,#N/A,FALSE,"4WD"}</definedName>
    <definedName name="금형진행현황" hidden="1">{#N/A,#N/A,FALSE,"Cst of Sales (2)"}</definedName>
    <definedName name="기관예산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hidden="1">{#N/A,#N/A,FALSE,"단축1";#N/A,#N/A,FALSE,"단축2";#N/A,#N/A,FALSE,"단축3";#N/A,#N/A,FALSE,"장축";#N/A,#N/A,FALSE,"4WD"}</definedName>
    <definedName name="ㄴㅇㄻㄴ" hidden="1">{#N/A,#N/A,FALSE,"Status";#N/A,#N/A,FALSE,"Deckblatt 1";#N/A,#N/A,FALSE,"Deckblatt2"}</definedName>
    <definedName name="ㄴㅇㅊㄹㄴㅇㄹ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ㄷㅇ굣ㄴㄷㅁ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hidden="1">{#N/A,#N/A,TRUE,"일정"}</definedName>
    <definedName name="대부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hidden="1">{#N/A,#N/A,FALSE,"해외크레임";#N/A,#N/A,FALSE,"ACCENT현황";#N/A,#N/A,FALSE,"AVANTE";#N/A,#N/A,FALSE,"SONATA(3)";#N/A,#N/A,FALSE,"국내크레임"}</definedName>
    <definedName name="뎌768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hidden="1">{#N/A,#N/A,FALSE,"해외크레임";#N/A,#N/A,FALSE,"ACCENT현황";#N/A,#N/A,FALSE,"AVANTE";#N/A,#N/A,FALSE,"SONATA(3)";#N/A,#N/A,FALSE,"국내크레임"}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hidden="1">{#N/A,#N/A,TRUE,"Y생산";#N/A,#N/A,TRUE,"Y판매";#N/A,#N/A,TRUE,"Y총물량";#N/A,#N/A,TRUE,"Y능력";#N/A,#N/A,TRUE,"YKD"}</definedName>
    <definedName name="ㄹㅇㄹㅇㅇㄹ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라이ㅣㅇ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hidden="1">{#N/A,#N/A,FALSE,"을지 (4)";#N/A,#N/A,FALSE,"을지 (5)";#N/A,#N/A,FALSE,"을지 (6)"}</definedName>
    <definedName name="ㅀㅇ" hidden="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hidden="1">{#N/A,#N/A,FALSE,"단축1";#N/A,#N/A,FALSE,"단축2";#N/A,#N/A,FALSE,"단축3";#N/A,#N/A,FALSE,"장축";#N/A,#N/A,FALSE,"4WD"}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러ㅣ머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hidden="1">{#N/A,#N/A,FALSE,"을지 (4)";#N/A,#N/A,FALSE,"을지 (5)";#N/A,#N/A,FALSE,"을지 (6)"}</definedName>
    <definedName name="ㅂ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hidden="1">[0]!ㅂㅂㅂ</definedName>
    <definedName name="ㅂㅈㅇㅇ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분석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hidden="1">{#N/A,#N/A,TRUE,"일정"}</definedName>
    <definedName name="ㅅㅅㅅ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hidden="1">{#N/A,#N/A,FALSE,"신규dep";#N/A,#N/A,FALSE,"신규dep-금형상각후";#N/A,#N/A,FALSE,"신규dep-연구비상각후";#N/A,#N/A,FALSE,"신규dep-기계,공구상각후"}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hidden="1">{#N/A,#N/A,FALSE,"정공"}</definedName>
    <definedName name="새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hidden="1">{#N/A,#N/A,TRUE,"Y생산";#N/A,#N/A,TRUE,"Y판매";#N/A,#N/A,TRUE,"Y총물량";#N/A,#N/A,TRUE,"Y능력";#N/A,#N/A,TRUE,"YKD"}</definedName>
    <definedName name="생요서4" hidden="1">{#N/A,#N/A,FALSE,"단축1";#N/A,#N/A,FALSE,"단축2";#N/A,#N/A,FALSE,"단축3";#N/A,#N/A,FALSE,"장축";#N/A,#N/A,FALSE,"4WD"}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직편차_19041" hidden="1">{#N/A,#N/A,FALSE,"원가검토서"}</definedName>
    <definedName name="수직편차_190419" hidden="1">{#N/A,#N/A,FALSE,"원가검토서"}</definedName>
    <definedName name="스타렉스2" hidden="1">{#N/A,#N/A,FALSE,"단축1";#N/A,#N/A,FALSE,"단축2";#N/A,#N/A,FALSE,"단축3";#N/A,#N/A,FALSE,"장축";#N/A,#N/A,FALSE,"4WD"}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hidden="1">{#N/A,#N/A,TRUE,"Y생산";#N/A,#N/A,TRUE,"Y판매";#N/A,#N/A,TRUE,"Y총물량";#N/A,#N/A,TRUE,"Y능력";#N/A,#N/A,TRUE,"YKD"}</definedName>
    <definedName name="시그마1" hidden="1">{#N/A,#N/A,FALSE,"단축1";#N/A,#N/A,FALSE,"단축2";#N/A,#N/A,FALSE,"단축3";#N/A,#N/A,FALSE,"장축";#N/A,#N/A,FALSE,"4WD"}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hidden="1">{"'KET'!$A$1:$E$2423"}</definedName>
    <definedName name="시리즈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hidden="1">{#N/A,#N/A,FALSE,"원가검토서"}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hidden="1">{#N/A,#N/A,FALSE,"원가검토서"}</definedName>
    <definedName name="ㅇㅀㄷㄱㅈ" hidden="1">{#N/A,#N/A,FALSE,"원가검토서"}</definedName>
    <definedName name="ㅇㅀ호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와이퍼일" hidden="1">{#N/A,#N/A,FALSE,"단축1";#N/A,#N/A,FALSE,"단축2";#N/A,#N/A,FALSE,"단축3";#N/A,#N/A,FALSE,"장축";#N/A,#N/A,FALSE,"4WD"}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hidden="1">{#N/A,#N/A,TRUE,"Y생산";#N/A,#N/A,TRUE,"Y판매";#N/A,#N/A,TRUE,"Y총물량";#N/A,#N/A,TRUE,"Y능력";#N/A,#N/A,TRUE,"YKD"}</definedName>
    <definedName name="우리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유형" hidden="1">{#N/A,#N/A,TRUE,"Y생산";#N/A,#N/A,TRUE,"Y판매";#N/A,#N/A,TRUE,"Y총물량";#N/A,#N/A,TRUE,"Y능력";#N/A,#N/A,TRUE,"YKD"}</definedName>
    <definedName name="유ㅕㄴ됵ㄷ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hidden="1">{#N/A,#N/A,TRUE,"Y생산";#N/A,#N/A,TRUE,"Y판매";#N/A,#N/A,TRUE,"Y총물량";#N/A,#N/A,TRUE,"Y능력";#N/A,#N/A,TRUE,"YKD"}</definedName>
    <definedName name="장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hidden="1">{"'KET'!$A$1:$E$2423"}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ㅉ" hidden="1">{#N/A,#N/A,TRUE,"Y생산";#N/A,#N/A,TRUE,"Y판매";#N/A,#N/A,TRUE,"Y총물량";#N/A,#N/A,TRUE,"Y능력";#N/A,#N/A,TRUE,"YKD"}</definedName>
    <definedName name="ㅊㄷㅁㅈㄷㄼㄹ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hidden="1">{#N/A,#N/A,FALSE,"Cst of Sales (2)"}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hidden="1">{#N/A,#N/A,TRUE,"일정"}</definedName>
    <definedName name="ㅌㅌㅌㅌ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hidden="1">{#N/A,#N/A,FALSE,"원가검토서"}</definedName>
    <definedName name="포장사양" hidden="1">#REF!</definedName>
    <definedName name="포장사양서" hidden="1">{#N/A,#N/A,FALSE,"원가검토서"}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확보계획2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hidden="1">{#N/A,#N/A,FALSE,"단축1";#N/A,#N/A,FALSE,"단축2";#N/A,#N/A,FALSE,"단축3";#N/A,#N/A,FALSE,"장축";#N/A,#N/A,FALSE,"4WD"}</definedName>
    <definedName name="ㅎ라" hidden="1">{#N/A,#N/A,TRUE,"Y생산";#N/A,#N/A,TRUE,"Y판매";#N/A,#N/A,TRUE,"Y총물량";#N/A,#N/A,TRUE,"Y능력";#N/A,#N/A,TRUE,"YKD"}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해정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hidden="1">{#N/A,#N/A,FALSE,"정공"}</definedName>
    <definedName name="현주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hidden="1">{#N/A,#N/A,FALSE,"96 3월물량표";#N/A,#N/A,FALSE,"96 4월물량표";#N/A,#N/A,FALSE,"96 5월물량표"}</definedName>
    <definedName name="호ㅓㅗ" hidden="1">{#N/A,#N/A,FALSE,"단축1";#N/A,#N/A,FALSE,"단축2";#N/A,#N/A,FALSE,"단축3";#N/A,#N/A,FALSE,"장축";#N/A,#N/A,FALSE,"4WD"}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hidden="1">{#N/A,#N/A,FALSE,"Cst of Sales (2)"}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ㅔㅔㅔ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hidden="1">{#N/A,#N/A,TRUE,"일정"}</definedName>
    <definedName name="ㅗㄴㅇㄱㅎㅇㄹㄶㅇ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hidden="1">{#N/A,#N/A,TRUE,"일정"}</definedName>
    <definedName name="ㅛㅅㄱㄷㅈ" hidden="1">{#N/A,#N/A,FALSE,"단축1";#N/A,#N/A,FALSE,"단축2";#N/A,#N/A,FALSE,"단축3";#N/A,#N/A,FALSE,"장축";#N/A,#N/A,FALSE,"4WD"}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hidden="1">{#N/A,#N/A,TRUE,"일정"}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3" i="13" l="1"/>
  <c r="P103" i="13"/>
  <c r="O103" i="13"/>
  <c r="Q103" i="13" s="1"/>
  <c r="N103" i="13"/>
  <c r="M103" i="13"/>
  <c r="L103" i="13"/>
  <c r="K103" i="13"/>
  <c r="R102" i="13"/>
  <c r="P102" i="13"/>
  <c r="O102" i="13"/>
  <c r="Q102" i="13" s="1"/>
  <c r="N102" i="13"/>
  <c r="M102" i="13"/>
  <c r="L102" i="13"/>
  <c r="K102" i="13"/>
  <c r="R101" i="13"/>
  <c r="P101" i="13"/>
  <c r="O101" i="13"/>
  <c r="Q101" i="13" s="1"/>
  <c r="N101" i="13"/>
  <c r="M101" i="13"/>
  <c r="L101" i="13"/>
  <c r="K101" i="13"/>
  <c r="R100" i="13"/>
  <c r="P100" i="13"/>
  <c r="O100" i="13"/>
  <c r="Q100" i="13" s="1"/>
  <c r="N100" i="13"/>
  <c r="M100" i="13"/>
  <c r="L100" i="13"/>
  <c r="K100" i="13"/>
  <c r="R99" i="13"/>
  <c r="P99" i="13"/>
  <c r="O99" i="13"/>
  <c r="Q99" i="13" s="1"/>
  <c r="N99" i="13"/>
  <c r="M99" i="13"/>
  <c r="L99" i="13"/>
  <c r="K99" i="13"/>
  <c r="R98" i="13"/>
  <c r="P98" i="13"/>
  <c r="O98" i="13"/>
  <c r="Q98" i="13" s="1"/>
  <c r="N98" i="13"/>
  <c r="M98" i="13"/>
  <c r="L98" i="13"/>
  <c r="K98" i="13"/>
  <c r="R97" i="13"/>
  <c r="P97" i="13"/>
  <c r="O97" i="13"/>
  <c r="Q97" i="13" s="1"/>
  <c r="N97" i="13"/>
  <c r="M97" i="13"/>
  <c r="L97" i="13"/>
  <c r="K97" i="13"/>
  <c r="R96" i="13"/>
  <c r="P96" i="13"/>
  <c r="O96" i="13"/>
  <c r="Q96" i="13" s="1"/>
  <c r="N96" i="13"/>
  <c r="M96" i="13"/>
  <c r="L96" i="13"/>
  <c r="K96" i="13"/>
  <c r="R95" i="13"/>
  <c r="P95" i="13"/>
  <c r="O95" i="13"/>
  <c r="Q95" i="13" s="1"/>
  <c r="N95" i="13"/>
  <c r="M95" i="13"/>
  <c r="L95" i="13"/>
  <c r="K95" i="13"/>
  <c r="J72" i="14"/>
  <c r="K72" i="14"/>
  <c r="M72" i="14"/>
  <c r="N72" i="14"/>
  <c r="O72" i="14"/>
  <c r="X72" i="14" s="1"/>
  <c r="P72" i="14"/>
  <c r="Q72" i="14"/>
  <c r="R72" i="14"/>
  <c r="S72" i="14" s="1"/>
  <c r="T72" i="14"/>
  <c r="U72" i="14"/>
  <c r="V72" i="14"/>
  <c r="W72" i="14" s="1"/>
  <c r="Y72" i="14"/>
  <c r="Z72" i="14"/>
  <c r="AC72" i="14"/>
  <c r="J73" i="14"/>
  <c r="Z73" i="14" s="1"/>
  <c r="K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Y73" i="14"/>
  <c r="AA73" i="14"/>
  <c r="AC73" i="14"/>
  <c r="J74" i="14"/>
  <c r="K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Y74" i="14"/>
  <c r="Z74" i="14"/>
  <c r="AA74" i="14"/>
  <c r="AC74" i="14"/>
  <c r="J75" i="14"/>
  <c r="K75" i="14"/>
  <c r="M75" i="14"/>
  <c r="N75" i="14"/>
  <c r="O75" i="14"/>
  <c r="P75" i="14"/>
  <c r="Q75" i="14"/>
  <c r="AA75" i="14" s="1"/>
  <c r="R75" i="14"/>
  <c r="S75" i="14"/>
  <c r="T75" i="14"/>
  <c r="U75" i="14"/>
  <c r="V75" i="14"/>
  <c r="W75" i="14"/>
  <c r="X75" i="14"/>
  <c r="Y75" i="14"/>
  <c r="Z75" i="14"/>
  <c r="AC75" i="14"/>
  <c r="J76" i="14"/>
  <c r="K76" i="14"/>
  <c r="M76" i="14"/>
  <c r="N76" i="14"/>
  <c r="O76" i="14"/>
  <c r="Y76" i="14" s="1"/>
  <c r="P76" i="14"/>
  <c r="Q76" i="14"/>
  <c r="AA76" i="14" s="1"/>
  <c r="R76" i="14"/>
  <c r="S76" i="14" s="1"/>
  <c r="T76" i="14"/>
  <c r="U76" i="14"/>
  <c r="V76" i="14"/>
  <c r="W76" i="14" s="1"/>
  <c r="X76" i="14"/>
  <c r="AC76" i="14"/>
  <c r="AA72" i="14" l="1"/>
  <c r="Z76" i="14"/>
  <c r="K154" i="13"/>
  <c r="L154" i="13"/>
  <c r="M154" i="13"/>
  <c r="N154" i="13"/>
  <c r="O154" i="13"/>
  <c r="Q154" i="13" s="1"/>
  <c r="P154" i="13"/>
  <c r="AC71" i="14"/>
  <c r="R71" i="14"/>
  <c r="S71" i="14" s="1"/>
  <c r="P71" i="14"/>
  <c r="Q71" i="14" s="1"/>
  <c r="AA71" i="14" s="1"/>
  <c r="O71" i="14"/>
  <c r="N71" i="14"/>
  <c r="M71" i="14"/>
  <c r="K71" i="14"/>
  <c r="J71" i="14"/>
  <c r="AC70" i="14"/>
  <c r="R70" i="14"/>
  <c r="S70" i="14" s="1"/>
  <c r="P70" i="14"/>
  <c r="O70" i="14"/>
  <c r="Y70" i="14" s="1"/>
  <c r="N70" i="14"/>
  <c r="M70" i="14"/>
  <c r="K70" i="14"/>
  <c r="J70" i="14"/>
  <c r="AC69" i="14"/>
  <c r="R69" i="14"/>
  <c r="S69" i="14" s="1"/>
  <c r="P69" i="14"/>
  <c r="Q69" i="14" s="1"/>
  <c r="AA69" i="14" s="1"/>
  <c r="O69" i="14"/>
  <c r="X69" i="14" s="1"/>
  <c r="N69" i="14"/>
  <c r="M69" i="14"/>
  <c r="K69" i="14"/>
  <c r="J69" i="14"/>
  <c r="AC68" i="14"/>
  <c r="R68" i="14"/>
  <c r="S68" i="14" s="1"/>
  <c r="P68" i="14"/>
  <c r="O68" i="14"/>
  <c r="N68" i="14"/>
  <c r="M68" i="14"/>
  <c r="K68" i="14"/>
  <c r="J68" i="14"/>
  <c r="AC67" i="14"/>
  <c r="R67" i="14"/>
  <c r="S67" i="14" s="1"/>
  <c r="P67" i="14"/>
  <c r="Q67" i="14" s="1"/>
  <c r="AA67" i="14" s="1"/>
  <c r="O67" i="14"/>
  <c r="N67" i="14"/>
  <c r="M67" i="14"/>
  <c r="K67" i="14"/>
  <c r="J67" i="14"/>
  <c r="AC66" i="14"/>
  <c r="R66" i="14"/>
  <c r="S66" i="14" s="1"/>
  <c r="P66" i="14"/>
  <c r="Q66" i="14" s="1"/>
  <c r="AA66" i="14" s="1"/>
  <c r="O66" i="14"/>
  <c r="N66" i="14"/>
  <c r="M66" i="14"/>
  <c r="K66" i="14"/>
  <c r="J66" i="14"/>
  <c r="AC65" i="14"/>
  <c r="R65" i="14"/>
  <c r="S65" i="14" s="1"/>
  <c r="P65" i="14"/>
  <c r="Q65" i="14" s="1"/>
  <c r="AA65" i="14" s="1"/>
  <c r="O65" i="14"/>
  <c r="Y65" i="14" s="1"/>
  <c r="N65" i="14"/>
  <c r="M65" i="14"/>
  <c r="K65" i="14"/>
  <c r="J65" i="14"/>
  <c r="AC64" i="14"/>
  <c r="R64" i="14"/>
  <c r="S64" i="14" s="1"/>
  <c r="P64" i="14"/>
  <c r="Q64" i="14" s="1"/>
  <c r="AA64" i="14" s="1"/>
  <c r="O64" i="14"/>
  <c r="N64" i="14"/>
  <c r="M64" i="14"/>
  <c r="K64" i="14"/>
  <c r="J64" i="14"/>
  <c r="AC63" i="14"/>
  <c r="R63" i="14"/>
  <c r="S63" i="14" s="1"/>
  <c r="P63" i="14"/>
  <c r="Q63" i="14" s="1"/>
  <c r="AA63" i="14" s="1"/>
  <c r="O63" i="14"/>
  <c r="N63" i="14"/>
  <c r="M63" i="14"/>
  <c r="K63" i="14"/>
  <c r="J63" i="14"/>
  <c r="AC62" i="14"/>
  <c r="R62" i="14"/>
  <c r="S62" i="14" s="1"/>
  <c r="P62" i="14"/>
  <c r="Q62" i="14" s="1"/>
  <c r="AA62" i="14" s="1"/>
  <c r="O62" i="14"/>
  <c r="Y62" i="14" s="1"/>
  <c r="N62" i="14"/>
  <c r="M62" i="14"/>
  <c r="K62" i="14"/>
  <c r="J62" i="14"/>
  <c r="AC61" i="14"/>
  <c r="R61" i="14"/>
  <c r="S61" i="14" s="1"/>
  <c r="P61" i="14"/>
  <c r="Q61" i="14" s="1"/>
  <c r="AA61" i="14" s="1"/>
  <c r="O61" i="14"/>
  <c r="X61" i="14" s="1"/>
  <c r="N61" i="14"/>
  <c r="M61" i="14"/>
  <c r="K61" i="14"/>
  <c r="J61" i="14"/>
  <c r="AC60" i="14"/>
  <c r="R60" i="14"/>
  <c r="S60" i="14" s="1"/>
  <c r="P60" i="14"/>
  <c r="Q60" i="14" s="1"/>
  <c r="AA60" i="14" s="1"/>
  <c r="O60" i="14"/>
  <c r="N60" i="14"/>
  <c r="M60" i="14"/>
  <c r="K60" i="14"/>
  <c r="J60" i="14"/>
  <c r="AC59" i="14"/>
  <c r="R59" i="14"/>
  <c r="S59" i="14" s="1"/>
  <c r="P59" i="14"/>
  <c r="Q59" i="14" s="1"/>
  <c r="AA59" i="14" s="1"/>
  <c r="O59" i="14"/>
  <c r="N59" i="14"/>
  <c r="M59" i="14"/>
  <c r="K59" i="14"/>
  <c r="J59" i="14"/>
  <c r="AC58" i="14"/>
  <c r="R58" i="14"/>
  <c r="S58" i="14" s="1"/>
  <c r="P58" i="14"/>
  <c r="Q58" i="14" s="1"/>
  <c r="AA58" i="14" s="1"/>
  <c r="O58" i="14"/>
  <c r="N58" i="14"/>
  <c r="M58" i="14"/>
  <c r="K58" i="14"/>
  <c r="J58" i="14"/>
  <c r="AC57" i="14"/>
  <c r="R57" i="14"/>
  <c r="S57" i="14" s="1"/>
  <c r="P57" i="14"/>
  <c r="Q57" i="14" s="1"/>
  <c r="AA57" i="14" s="1"/>
  <c r="O57" i="14"/>
  <c r="Y57" i="14" s="1"/>
  <c r="N57" i="14"/>
  <c r="M57" i="14"/>
  <c r="K57" i="14"/>
  <c r="J57" i="14"/>
  <c r="AC56" i="14"/>
  <c r="R56" i="14"/>
  <c r="S56" i="14" s="1"/>
  <c r="P56" i="14"/>
  <c r="Q56" i="14" s="1"/>
  <c r="AA56" i="14" s="1"/>
  <c r="O56" i="14"/>
  <c r="X56" i="14" s="1"/>
  <c r="N56" i="14"/>
  <c r="M56" i="14"/>
  <c r="K56" i="14"/>
  <c r="J56" i="14"/>
  <c r="AC55" i="14"/>
  <c r="R55" i="14"/>
  <c r="S55" i="14" s="1"/>
  <c r="P55" i="14"/>
  <c r="Q55" i="14" s="1"/>
  <c r="AA55" i="14" s="1"/>
  <c r="O55" i="14"/>
  <c r="N55" i="14"/>
  <c r="M55" i="14"/>
  <c r="K55" i="14"/>
  <c r="J55" i="14"/>
  <c r="AC54" i="14"/>
  <c r="R54" i="14"/>
  <c r="S54" i="14" s="1"/>
  <c r="P54" i="14"/>
  <c r="Q54" i="14" s="1"/>
  <c r="AA54" i="14" s="1"/>
  <c r="O54" i="14"/>
  <c r="N54" i="14"/>
  <c r="M54" i="14"/>
  <c r="K54" i="14"/>
  <c r="J54" i="14"/>
  <c r="AC53" i="14"/>
  <c r="R53" i="14"/>
  <c r="S53" i="14" s="1"/>
  <c r="P53" i="14"/>
  <c r="Q53" i="14" s="1"/>
  <c r="AA53" i="14" s="1"/>
  <c r="O53" i="14"/>
  <c r="X53" i="14" s="1"/>
  <c r="N53" i="14"/>
  <c r="M53" i="14"/>
  <c r="K53" i="14"/>
  <c r="J53" i="14"/>
  <c r="AC52" i="14"/>
  <c r="U52" i="14"/>
  <c r="R52" i="14"/>
  <c r="S52" i="14" s="1"/>
  <c r="P52" i="14"/>
  <c r="O52" i="14"/>
  <c r="Z52" i="14" s="1"/>
  <c r="N52" i="14"/>
  <c r="M52" i="14"/>
  <c r="K52" i="14"/>
  <c r="J52" i="14"/>
  <c r="AC51" i="14"/>
  <c r="R51" i="14"/>
  <c r="S51" i="14" s="1"/>
  <c r="P51" i="14"/>
  <c r="Q51" i="14" s="1"/>
  <c r="AA51" i="14" s="1"/>
  <c r="O51" i="14"/>
  <c r="N51" i="14"/>
  <c r="M51" i="14"/>
  <c r="K51" i="14"/>
  <c r="J51" i="14"/>
  <c r="AC50" i="14"/>
  <c r="R50" i="14"/>
  <c r="S50" i="14" s="1"/>
  <c r="P50" i="14"/>
  <c r="Q50" i="14" s="1"/>
  <c r="AA50" i="14" s="1"/>
  <c r="O50" i="14"/>
  <c r="N50" i="14"/>
  <c r="M50" i="14"/>
  <c r="K50" i="14"/>
  <c r="J50" i="14"/>
  <c r="AC49" i="14"/>
  <c r="R49" i="14"/>
  <c r="S49" i="14" s="1"/>
  <c r="P49" i="14"/>
  <c r="Q49" i="14" s="1"/>
  <c r="AA49" i="14" s="1"/>
  <c r="O49" i="14"/>
  <c r="Y49" i="14" s="1"/>
  <c r="N49" i="14"/>
  <c r="M49" i="14"/>
  <c r="K49" i="14"/>
  <c r="J49" i="14"/>
  <c r="AC48" i="14"/>
  <c r="R48" i="14"/>
  <c r="S48" i="14" s="1"/>
  <c r="P48" i="14"/>
  <c r="Q48" i="14" s="1"/>
  <c r="AA48" i="14" s="1"/>
  <c r="O48" i="14"/>
  <c r="N48" i="14"/>
  <c r="M48" i="14"/>
  <c r="K48" i="14"/>
  <c r="J48" i="14"/>
  <c r="AC47" i="14"/>
  <c r="R47" i="14"/>
  <c r="S47" i="14" s="1"/>
  <c r="P47" i="14"/>
  <c r="Q47" i="14" s="1"/>
  <c r="AA47" i="14" s="1"/>
  <c r="O47" i="14"/>
  <c r="N47" i="14"/>
  <c r="M47" i="14"/>
  <c r="K47" i="14"/>
  <c r="J47" i="14"/>
  <c r="AC46" i="14"/>
  <c r="R46" i="14"/>
  <c r="S46" i="14" s="1"/>
  <c r="P46" i="14"/>
  <c r="Q46" i="14" s="1"/>
  <c r="AA46" i="14" s="1"/>
  <c r="O46" i="14"/>
  <c r="N46" i="14"/>
  <c r="M46" i="14"/>
  <c r="K46" i="14"/>
  <c r="J46" i="14"/>
  <c r="AC45" i="14"/>
  <c r="R45" i="14"/>
  <c r="S45" i="14" s="1"/>
  <c r="P45" i="14"/>
  <c r="Q45" i="14" s="1"/>
  <c r="AA45" i="14" s="1"/>
  <c r="O45" i="14"/>
  <c r="X45" i="14" s="1"/>
  <c r="N45" i="14"/>
  <c r="M45" i="14"/>
  <c r="K45" i="14"/>
  <c r="J45" i="14"/>
  <c r="AC44" i="14"/>
  <c r="R44" i="14"/>
  <c r="S44" i="14" s="1"/>
  <c r="P44" i="14"/>
  <c r="Q44" i="14" s="1"/>
  <c r="AA44" i="14" s="1"/>
  <c r="O44" i="14"/>
  <c r="N44" i="14"/>
  <c r="M44" i="14"/>
  <c r="K44" i="14"/>
  <c r="J44" i="14"/>
  <c r="AC43" i="14"/>
  <c r="R43" i="14"/>
  <c r="S43" i="14" s="1"/>
  <c r="P43" i="14"/>
  <c r="Q43" i="14" s="1"/>
  <c r="AA43" i="14" s="1"/>
  <c r="O43" i="14"/>
  <c r="N43" i="14"/>
  <c r="M43" i="14"/>
  <c r="K43" i="14"/>
  <c r="J43" i="14"/>
  <c r="AC42" i="14"/>
  <c r="R42" i="14"/>
  <c r="S42" i="14" s="1"/>
  <c r="P42" i="14"/>
  <c r="Q42" i="14" s="1"/>
  <c r="AA42" i="14" s="1"/>
  <c r="O42" i="14"/>
  <c r="N42" i="14"/>
  <c r="M42" i="14"/>
  <c r="K42" i="14"/>
  <c r="J42" i="14"/>
  <c r="AC41" i="14"/>
  <c r="R41" i="14"/>
  <c r="S41" i="14" s="1"/>
  <c r="P41" i="14"/>
  <c r="O41" i="14"/>
  <c r="Y41" i="14" s="1"/>
  <c r="N41" i="14"/>
  <c r="M41" i="14"/>
  <c r="K41" i="14"/>
  <c r="J41" i="14"/>
  <c r="AC40" i="14"/>
  <c r="R40" i="14"/>
  <c r="S40" i="14" s="1"/>
  <c r="P40" i="14"/>
  <c r="Q40" i="14" s="1"/>
  <c r="AA40" i="14" s="1"/>
  <c r="O40" i="14"/>
  <c r="N40" i="14"/>
  <c r="M40" i="14"/>
  <c r="K40" i="14"/>
  <c r="J40" i="14"/>
  <c r="AC39" i="14"/>
  <c r="R39" i="14"/>
  <c r="S39" i="14" s="1"/>
  <c r="P39" i="14"/>
  <c r="O39" i="14"/>
  <c r="N39" i="14"/>
  <c r="M39" i="14"/>
  <c r="K39" i="14"/>
  <c r="J39" i="14"/>
  <c r="AC38" i="14"/>
  <c r="R38" i="14"/>
  <c r="S38" i="14" s="1"/>
  <c r="P38" i="14"/>
  <c r="Q38" i="14" s="1"/>
  <c r="AA38" i="14" s="1"/>
  <c r="O38" i="14"/>
  <c r="Y38" i="14" s="1"/>
  <c r="N38" i="14"/>
  <c r="M38" i="14"/>
  <c r="K38" i="14"/>
  <c r="J38" i="14"/>
  <c r="AC37" i="14"/>
  <c r="R37" i="14"/>
  <c r="S37" i="14" s="1"/>
  <c r="P37" i="14"/>
  <c r="O37" i="14"/>
  <c r="X37" i="14" s="1"/>
  <c r="N37" i="14"/>
  <c r="M37" i="14"/>
  <c r="K37" i="14"/>
  <c r="J37" i="14"/>
  <c r="AC36" i="14"/>
  <c r="R36" i="14"/>
  <c r="S36" i="14" s="1"/>
  <c r="P36" i="14"/>
  <c r="Q36" i="14" s="1"/>
  <c r="AA36" i="14" s="1"/>
  <c r="O36" i="14"/>
  <c r="N36" i="14"/>
  <c r="M36" i="14"/>
  <c r="K36" i="14"/>
  <c r="J36" i="14"/>
  <c r="AC35" i="14"/>
  <c r="R35" i="14"/>
  <c r="S35" i="14" s="1"/>
  <c r="P35" i="14"/>
  <c r="Q35" i="14" s="1"/>
  <c r="AA35" i="14" s="1"/>
  <c r="O35" i="14"/>
  <c r="N35" i="14"/>
  <c r="M35" i="14"/>
  <c r="K35" i="14"/>
  <c r="J35" i="14"/>
  <c r="AC34" i="14"/>
  <c r="R34" i="14"/>
  <c r="S34" i="14" s="1"/>
  <c r="P34" i="14"/>
  <c r="Q34" i="14" s="1"/>
  <c r="AA34" i="14" s="1"/>
  <c r="O34" i="14"/>
  <c r="N34" i="14"/>
  <c r="M34" i="14"/>
  <c r="K34" i="14"/>
  <c r="J34" i="14"/>
  <c r="AC33" i="14"/>
  <c r="R33" i="14"/>
  <c r="S33" i="14" s="1"/>
  <c r="P33" i="14"/>
  <c r="Q33" i="14" s="1"/>
  <c r="AA33" i="14" s="1"/>
  <c r="O33" i="14"/>
  <c r="Y33" i="14" s="1"/>
  <c r="N33" i="14"/>
  <c r="M33" i="14"/>
  <c r="K33" i="14"/>
  <c r="J33" i="14"/>
  <c r="AC32" i="14"/>
  <c r="R32" i="14"/>
  <c r="S32" i="14" s="1"/>
  <c r="P32" i="14"/>
  <c r="Q32" i="14" s="1"/>
  <c r="AA32" i="14" s="1"/>
  <c r="O32" i="14"/>
  <c r="N32" i="14"/>
  <c r="M32" i="14"/>
  <c r="K32" i="14"/>
  <c r="J32" i="14"/>
  <c r="AC31" i="14"/>
  <c r="R31" i="14"/>
  <c r="S31" i="14" s="1"/>
  <c r="P31" i="14"/>
  <c r="Q31" i="14" s="1"/>
  <c r="AA31" i="14" s="1"/>
  <c r="O31" i="14"/>
  <c r="X31" i="14" s="1"/>
  <c r="N31" i="14"/>
  <c r="M31" i="14"/>
  <c r="K31" i="14"/>
  <c r="J31" i="14"/>
  <c r="AC30" i="14"/>
  <c r="R30" i="14"/>
  <c r="S30" i="14" s="1"/>
  <c r="P30" i="14"/>
  <c r="Q30" i="14" s="1"/>
  <c r="AA30" i="14" s="1"/>
  <c r="O30" i="14"/>
  <c r="Y30" i="14" s="1"/>
  <c r="N30" i="14"/>
  <c r="M30" i="14"/>
  <c r="K30" i="14"/>
  <c r="J30" i="14"/>
  <c r="AC29" i="14"/>
  <c r="R29" i="14"/>
  <c r="S29" i="14" s="1"/>
  <c r="P29" i="14"/>
  <c r="Q29" i="14" s="1"/>
  <c r="AA29" i="14" s="1"/>
  <c r="O29" i="14"/>
  <c r="X29" i="14" s="1"/>
  <c r="N29" i="14"/>
  <c r="M29" i="14"/>
  <c r="K29" i="14"/>
  <c r="J29" i="14"/>
  <c r="AC28" i="14"/>
  <c r="R28" i="14"/>
  <c r="S28" i="14" s="1"/>
  <c r="P28" i="14"/>
  <c r="Q28" i="14" s="1"/>
  <c r="AA28" i="14" s="1"/>
  <c r="O28" i="14"/>
  <c r="N28" i="14"/>
  <c r="M28" i="14"/>
  <c r="K28" i="14"/>
  <c r="J28" i="14"/>
  <c r="AC27" i="14"/>
  <c r="R27" i="14"/>
  <c r="S27" i="14" s="1"/>
  <c r="P27" i="14"/>
  <c r="Q27" i="14" s="1"/>
  <c r="AA27" i="14" s="1"/>
  <c r="O27" i="14"/>
  <c r="N27" i="14"/>
  <c r="M27" i="14"/>
  <c r="K27" i="14"/>
  <c r="J27" i="14"/>
  <c r="AC26" i="14"/>
  <c r="R26" i="14"/>
  <c r="S26" i="14" s="1"/>
  <c r="P26" i="14"/>
  <c r="Q26" i="14" s="1"/>
  <c r="AA26" i="14" s="1"/>
  <c r="O26" i="14"/>
  <c r="N26" i="14"/>
  <c r="M26" i="14"/>
  <c r="K26" i="14"/>
  <c r="J26" i="14"/>
  <c r="AC25" i="14"/>
  <c r="R25" i="14"/>
  <c r="S25" i="14" s="1"/>
  <c r="P25" i="14"/>
  <c r="Q25" i="14" s="1"/>
  <c r="AA25" i="14" s="1"/>
  <c r="O25" i="14"/>
  <c r="Y25" i="14" s="1"/>
  <c r="N25" i="14"/>
  <c r="M25" i="14"/>
  <c r="K25" i="14"/>
  <c r="J25" i="14"/>
  <c r="AC24" i="14"/>
  <c r="R24" i="14"/>
  <c r="S24" i="14" s="1"/>
  <c r="P24" i="14"/>
  <c r="Q24" i="14" s="1"/>
  <c r="AA24" i="14" s="1"/>
  <c r="O24" i="14"/>
  <c r="X24" i="14" s="1"/>
  <c r="N24" i="14"/>
  <c r="M24" i="14"/>
  <c r="K24" i="14"/>
  <c r="J24" i="14"/>
  <c r="AC23" i="14"/>
  <c r="R23" i="14"/>
  <c r="S23" i="14" s="1"/>
  <c r="P23" i="14"/>
  <c r="Q23" i="14" s="1"/>
  <c r="AA23" i="14" s="1"/>
  <c r="O23" i="14"/>
  <c r="N23" i="14"/>
  <c r="M23" i="14"/>
  <c r="K23" i="14"/>
  <c r="J23" i="14"/>
  <c r="AC22" i="14"/>
  <c r="R22" i="14"/>
  <c r="S22" i="14" s="1"/>
  <c r="P22" i="14"/>
  <c r="Q22" i="14" s="1"/>
  <c r="AA22" i="14" s="1"/>
  <c r="O22" i="14"/>
  <c r="Y22" i="14" s="1"/>
  <c r="N22" i="14"/>
  <c r="M22" i="14"/>
  <c r="K22" i="14"/>
  <c r="J22" i="14"/>
  <c r="AC21" i="14"/>
  <c r="R21" i="14"/>
  <c r="S21" i="14" s="1"/>
  <c r="P21" i="14"/>
  <c r="Q21" i="14" s="1"/>
  <c r="AA21" i="14" s="1"/>
  <c r="O21" i="14"/>
  <c r="X21" i="14" s="1"/>
  <c r="N21" i="14"/>
  <c r="M21" i="14"/>
  <c r="K21" i="14"/>
  <c r="J21" i="14"/>
  <c r="AC20" i="14"/>
  <c r="R20" i="14"/>
  <c r="S20" i="14" s="1"/>
  <c r="P20" i="14"/>
  <c r="O20" i="14"/>
  <c r="N20" i="14"/>
  <c r="M20" i="14"/>
  <c r="K20" i="14"/>
  <c r="J20" i="14"/>
  <c r="AC19" i="14"/>
  <c r="U19" i="14"/>
  <c r="R19" i="14"/>
  <c r="S19" i="14" s="1"/>
  <c r="P19" i="14"/>
  <c r="O19" i="14"/>
  <c r="Z19" i="14" s="1"/>
  <c r="N19" i="14"/>
  <c r="M19" i="14"/>
  <c r="K19" i="14"/>
  <c r="J19" i="14"/>
  <c r="AC18" i="14"/>
  <c r="U18" i="14"/>
  <c r="R18" i="14"/>
  <c r="S18" i="14" s="1"/>
  <c r="P18" i="14"/>
  <c r="O18" i="14"/>
  <c r="Z18" i="14" s="1"/>
  <c r="N18" i="14"/>
  <c r="M18" i="14"/>
  <c r="K18" i="14"/>
  <c r="J18" i="14"/>
  <c r="AC17" i="14"/>
  <c r="U17" i="14"/>
  <c r="R17" i="14"/>
  <c r="S17" i="14" s="1"/>
  <c r="P17" i="14"/>
  <c r="O17" i="14"/>
  <c r="Y17" i="14" s="1"/>
  <c r="N17" i="14"/>
  <c r="M17" i="14"/>
  <c r="K17" i="14"/>
  <c r="J17" i="14"/>
  <c r="T17" i="14" s="1"/>
  <c r="Q17" i="14" s="1"/>
  <c r="AC16" i="14"/>
  <c r="U16" i="14"/>
  <c r="R16" i="14"/>
  <c r="S16" i="14" s="1"/>
  <c r="P16" i="14"/>
  <c r="O16" i="14"/>
  <c r="Z16" i="14" s="1"/>
  <c r="N16" i="14"/>
  <c r="M16" i="14"/>
  <c r="K16" i="14"/>
  <c r="J16" i="14"/>
  <c r="AC15" i="14"/>
  <c r="U15" i="14"/>
  <c r="R15" i="14"/>
  <c r="S15" i="14" s="1"/>
  <c r="P15" i="14"/>
  <c r="O15" i="14"/>
  <c r="Z15" i="14" s="1"/>
  <c r="N15" i="14"/>
  <c r="M15" i="14"/>
  <c r="K15" i="14"/>
  <c r="J15" i="14"/>
  <c r="T15" i="14" s="1"/>
  <c r="Q15" i="14" s="1"/>
  <c r="AA15" i="14" s="1"/>
  <c r="AC14" i="14"/>
  <c r="U14" i="14"/>
  <c r="R14" i="14"/>
  <c r="S14" i="14" s="1"/>
  <c r="P14" i="14"/>
  <c r="O14" i="14"/>
  <c r="Z14" i="14" s="1"/>
  <c r="N14" i="14"/>
  <c r="M14" i="14"/>
  <c r="K14" i="14"/>
  <c r="J14" i="14"/>
  <c r="AC13" i="14"/>
  <c r="U13" i="14"/>
  <c r="R13" i="14"/>
  <c r="S13" i="14" s="1"/>
  <c r="P13" i="14"/>
  <c r="O13" i="14"/>
  <c r="X13" i="14" s="1"/>
  <c r="N13" i="14"/>
  <c r="M13" i="14"/>
  <c r="K13" i="14"/>
  <c r="J13" i="14"/>
  <c r="AC12" i="14"/>
  <c r="U12" i="14"/>
  <c r="R12" i="14"/>
  <c r="S12" i="14" s="1"/>
  <c r="P12" i="14"/>
  <c r="O12" i="14"/>
  <c r="Z12" i="14" s="1"/>
  <c r="N12" i="14"/>
  <c r="M12" i="14"/>
  <c r="K12" i="14"/>
  <c r="J12" i="14"/>
  <c r="AC11" i="14"/>
  <c r="R11" i="14"/>
  <c r="S11" i="14" s="1"/>
  <c r="P11" i="14"/>
  <c r="Q11" i="14" s="1"/>
  <c r="AA11" i="14" s="1"/>
  <c r="O11" i="14"/>
  <c r="N11" i="14"/>
  <c r="M11" i="14"/>
  <c r="K11" i="14"/>
  <c r="J11" i="14"/>
  <c r="AC10" i="14"/>
  <c r="R10" i="14"/>
  <c r="S10" i="14" s="1"/>
  <c r="P10" i="14"/>
  <c r="Q10" i="14" s="1"/>
  <c r="AA10" i="14" s="1"/>
  <c r="O10" i="14"/>
  <c r="N10" i="14"/>
  <c r="M10" i="14"/>
  <c r="K10" i="14"/>
  <c r="J10" i="14"/>
  <c r="AC9" i="14"/>
  <c r="U9" i="14"/>
  <c r="R9" i="14"/>
  <c r="S9" i="14" s="1"/>
  <c r="P9" i="14"/>
  <c r="O9" i="14"/>
  <c r="Y9" i="14" s="1"/>
  <c r="N9" i="14"/>
  <c r="M9" i="14"/>
  <c r="K9" i="14"/>
  <c r="J9" i="14"/>
  <c r="AC8" i="14"/>
  <c r="R8" i="14"/>
  <c r="S8" i="14" s="1"/>
  <c r="P8" i="14"/>
  <c r="Q8" i="14" s="1"/>
  <c r="AA8" i="14" s="1"/>
  <c r="O8" i="14"/>
  <c r="N8" i="14"/>
  <c r="M8" i="14"/>
  <c r="K8" i="14"/>
  <c r="J8" i="14"/>
  <c r="AC7" i="14"/>
  <c r="R7" i="14"/>
  <c r="S7" i="14" s="1"/>
  <c r="P7" i="14"/>
  <c r="Q7" i="14" s="1"/>
  <c r="AA7" i="14" s="1"/>
  <c r="O7" i="14"/>
  <c r="N7" i="14"/>
  <c r="M7" i="14"/>
  <c r="K7" i="14"/>
  <c r="J7" i="14"/>
  <c r="AC6" i="14"/>
  <c r="U6" i="14"/>
  <c r="R6" i="14"/>
  <c r="S6" i="14" s="1"/>
  <c r="P6" i="14"/>
  <c r="O6" i="14"/>
  <c r="Z6" i="14" s="1"/>
  <c r="N6" i="14"/>
  <c r="M6" i="14"/>
  <c r="K6" i="14"/>
  <c r="J6" i="14"/>
  <c r="P158" i="13"/>
  <c r="O158" i="13"/>
  <c r="Q158" i="13" s="1"/>
  <c r="N158" i="13"/>
  <c r="M158" i="13"/>
  <c r="L158" i="13"/>
  <c r="K158" i="13"/>
  <c r="P157" i="13"/>
  <c r="O157" i="13"/>
  <c r="Q157" i="13" s="1"/>
  <c r="N157" i="13"/>
  <c r="M157" i="13"/>
  <c r="L157" i="13"/>
  <c r="K157" i="13"/>
  <c r="P156" i="13"/>
  <c r="O156" i="13"/>
  <c r="Q156" i="13" s="1"/>
  <c r="N156" i="13"/>
  <c r="M156" i="13"/>
  <c r="L156" i="13"/>
  <c r="K156" i="13"/>
  <c r="P155" i="13"/>
  <c r="O155" i="13"/>
  <c r="Q155" i="13" s="1"/>
  <c r="N155" i="13"/>
  <c r="M155" i="13"/>
  <c r="L155" i="13"/>
  <c r="K155" i="13"/>
  <c r="P153" i="13"/>
  <c r="O153" i="13"/>
  <c r="Q153" i="13" s="1"/>
  <c r="N153" i="13"/>
  <c r="M153" i="13"/>
  <c r="L153" i="13"/>
  <c r="K153" i="13"/>
  <c r="P152" i="13"/>
  <c r="O152" i="13"/>
  <c r="Q152" i="13" s="1"/>
  <c r="N152" i="13"/>
  <c r="M152" i="13"/>
  <c r="L152" i="13"/>
  <c r="K152" i="13"/>
  <c r="P151" i="13"/>
  <c r="O151" i="13"/>
  <c r="Q151" i="13" s="1"/>
  <c r="N151" i="13"/>
  <c r="M151" i="13"/>
  <c r="L151" i="13"/>
  <c r="K151" i="13"/>
  <c r="P150" i="13"/>
  <c r="O150" i="13"/>
  <c r="Q150" i="13" s="1"/>
  <c r="N150" i="13"/>
  <c r="M150" i="13"/>
  <c r="L150" i="13"/>
  <c r="K150" i="13"/>
  <c r="P149" i="13"/>
  <c r="O149" i="13"/>
  <c r="Q149" i="13" s="1"/>
  <c r="N149" i="13"/>
  <c r="M149" i="13"/>
  <c r="L149" i="13"/>
  <c r="K149" i="13"/>
  <c r="P148" i="13"/>
  <c r="O148" i="13"/>
  <c r="Q148" i="13" s="1"/>
  <c r="N148" i="13"/>
  <c r="M148" i="13"/>
  <c r="L148" i="13"/>
  <c r="K148" i="13"/>
  <c r="P147" i="13"/>
  <c r="O147" i="13"/>
  <c r="Q147" i="13" s="1"/>
  <c r="N147" i="13"/>
  <c r="M147" i="13"/>
  <c r="L147" i="13"/>
  <c r="K147" i="13"/>
  <c r="P146" i="13"/>
  <c r="O146" i="13"/>
  <c r="Q146" i="13" s="1"/>
  <c r="N146" i="13"/>
  <c r="M146" i="13"/>
  <c r="L146" i="13"/>
  <c r="K146" i="13"/>
  <c r="P145" i="13"/>
  <c r="O145" i="13"/>
  <c r="Q145" i="13" s="1"/>
  <c r="N145" i="13"/>
  <c r="M145" i="13"/>
  <c r="L145" i="13"/>
  <c r="K145" i="13"/>
  <c r="P144" i="13"/>
  <c r="O144" i="13"/>
  <c r="Q144" i="13" s="1"/>
  <c r="N144" i="13"/>
  <c r="M144" i="13"/>
  <c r="L144" i="13"/>
  <c r="K144" i="13"/>
  <c r="P143" i="13"/>
  <c r="O143" i="13"/>
  <c r="Q143" i="13" s="1"/>
  <c r="N143" i="13"/>
  <c r="M143" i="13"/>
  <c r="L143" i="13"/>
  <c r="K143" i="13"/>
  <c r="P142" i="13"/>
  <c r="O142" i="13"/>
  <c r="Q142" i="13" s="1"/>
  <c r="N142" i="13"/>
  <c r="M142" i="13"/>
  <c r="L142" i="13"/>
  <c r="K142" i="13"/>
  <c r="P141" i="13"/>
  <c r="O141" i="13"/>
  <c r="Q141" i="13" s="1"/>
  <c r="N141" i="13"/>
  <c r="M141" i="13"/>
  <c r="L141" i="13"/>
  <c r="K141" i="13"/>
  <c r="P140" i="13"/>
  <c r="R140" i="13" s="1"/>
  <c r="O140" i="13"/>
  <c r="Q140" i="13" s="1"/>
  <c r="N140" i="13"/>
  <c r="M140" i="13"/>
  <c r="L140" i="13"/>
  <c r="K140" i="13"/>
  <c r="P139" i="13"/>
  <c r="R139" i="13" s="1"/>
  <c r="O139" i="13"/>
  <c r="Q139" i="13" s="1"/>
  <c r="N139" i="13"/>
  <c r="M139" i="13"/>
  <c r="L139" i="13"/>
  <c r="K139" i="13"/>
  <c r="P138" i="13"/>
  <c r="R138" i="13" s="1"/>
  <c r="O138" i="13"/>
  <c r="Q138" i="13" s="1"/>
  <c r="N138" i="13"/>
  <c r="M138" i="13"/>
  <c r="L138" i="13"/>
  <c r="K138" i="13"/>
  <c r="P137" i="13"/>
  <c r="R137" i="13" s="1"/>
  <c r="O137" i="13"/>
  <c r="Q137" i="13" s="1"/>
  <c r="N137" i="13"/>
  <c r="M137" i="13"/>
  <c r="L137" i="13"/>
  <c r="K137" i="13"/>
  <c r="P136" i="13"/>
  <c r="R136" i="13" s="1"/>
  <c r="O136" i="13"/>
  <c r="Q136" i="13" s="1"/>
  <c r="N136" i="13"/>
  <c r="M136" i="13"/>
  <c r="L136" i="13"/>
  <c r="K136" i="13"/>
  <c r="P135" i="13"/>
  <c r="R135" i="13" s="1"/>
  <c r="O135" i="13"/>
  <c r="Q135" i="13" s="1"/>
  <c r="N135" i="13"/>
  <c r="M135" i="13"/>
  <c r="L135" i="13"/>
  <c r="K135" i="13"/>
  <c r="P134" i="13"/>
  <c r="R134" i="13" s="1"/>
  <c r="O134" i="13"/>
  <c r="Q134" i="13" s="1"/>
  <c r="N134" i="13"/>
  <c r="M134" i="13"/>
  <c r="L134" i="13"/>
  <c r="K134" i="13"/>
  <c r="P133" i="13"/>
  <c r="R133" i="13" s="1"/>
  <c r="O133" i="13"/>
  <c r="Q133" i="13" s="1"/>
  <c r="N133" i="13"/>
  <c r="M133" i="13"/>
  <c r="L133" i="13"/>
  <c r="K133" i="13"/>
  <c r="P132" i="13"/>
  <c r="R132" i="13" s="1"/>
  <c r="O132" i="13"/>
  <c r="Q132" i="13" s="1"/>
  <c r="N132" i="13"/>
  <c r="M132" i="13"/>
  <c r="L132" i="13"/>
  <c r="K132" i="13"/>
  <c r="P131" i="13"/>
  <c r="R131" i="13" s="1"/>
  <c r="O131" i="13"/>
  <c r="Q131" i="13" s="1"/>
  <c r="N131" i="13"/>
  <c r="M131" i="13"/>
  <c r="L131" i="13"/>
  <c r="K131" i="13"/>
  <c r="R130" i="13"/>
  <c r="P130" i="13"/>
  <c r="O130" i="13"/>
  <c r="Q130" i="13" s="1"/>
  <c r="N130" i="13"/>
  <c r="M130" i="13"/>
  <c r="L130" i="13"/>
  <c r="K130" i="13"/>
  <c r="R129" i="13"/>
  <c r="P129" i="13"/>
  <c r="O129" i="13"/>
  <c r="Q129" i="13" s="1"/>
  <c r="N129" i="13"/>
  <c r="M129" i="13"/>
  <c r="L129" i="13"/>
  <c r="K129" i="13"/>
  <c r="P128" i="13"/>
  <c r="R128" i="13" s="1"/>
  <c r="O128" i="13"/>
  <c r="Q128" i="13" s="1"/>
  <c r="N128" i="13"/>
  <c r="M128" i="13"/>
  <c r="L128" i="13"/>
  <c r="K128" i="13"/>
  <c r="P127" i="13"/>
  <c r="R127" i="13" s="1"/>
  <c r="O127" i="13"/>
  <c r="Q127" i="13" s="1"/>
  <c r="N127" i="13"/>
  <c r="M127" i="13"/>
  <c r="L127" i="13"/>
  <c r="K127" i="13"/>
  <c r="P126" i="13"/>
  <c r="R126" i="13" s="1"/>
  <c r="O126" i="13"/>
  <c r="Q126" i="13" s="1"/>
  <c r="N126" i="13"/>
  <c r="M126" i="13"/>
  <c r="L126" i="13"/>
  <c r="K126" i="13"/>
  <c r="P125" i="13"/>
  <c r="R125" i="13" s="1"/>
  <c r="O125" i="13"/>
  <c r="Q125" i="13" s="1"/>
  <c r="N125" i="13"/>
  <c r="M125" i="13"/>
  <c r="L125" i="13"/>
  <c r="K125" i="13"/>
  <c r="P124" i="13"/>
  <c r="R124" i="13" s="1"/>
  <c r="O124" i="13"/>
  <c r="Q124" i="13" s="1"/>
  <c r="N124" i="13"/>
  <c r="M124" i="13"/>
  <c r="L124" i="13"/>
  <c r="K124" i="13"/>
  <c r="P123" i="13"/>
  <c r="O123" i="13"/>
  <c r="N123" i="13"/>
  <c r="M123" i="13"/>
  <c r="L123" i="13"/>
  <c r="K123" i="13"/>
  <c r="P122" i="13"/>
  <c r="R122" i="13" s="1"/>
  <c r="O122" i="13"/>
  <c r="Q122" i="13" s="1"/>
  <c r="N122" i="13"/>
  <c r="M122" i="13"/>
  <c r="L122" i="13"/>
  <c r="K122" i="13"/>
  <c r="P121" i="13"/>
  <c r="R121" i="13" s="1"/>
  <c r="O121" i="13"/>
  <c r="Q121" i="13" s="1"/>
  <c r="N121" i="13"/>
  <c r="M121" i="13"/>
  <c r="L121" i="13"/>
  <c r="K121" i="13"/>
  <c r="R120" i="13"/>
  <c r="P120" i="13"/>
  <c r="O120" i="13"/>
  <c r="Q120" i="13" s="1"/>
  <c r="N120" i="13"/>
  <c r="M120" i="13"/>
  <c r="L120" i="13"/>
  <c r="K120" i="13"/>
  <c r="P119" i="13"/>
  <c r="R119" i="13" s="1"/>
  <c r="O119" i="13"/>
  <c r="Q119" i="13" s="1"/>
  <c r="N119" i="13"/>
  <c r="M119" i="13"/>
  <c r="L119" i="13"/>
  <c r="K119" i="13"/>
  <c r="P118" i="13"/>
  <c r="R118" i="13" s="1"/>
  <c r="O118" i="13"/>
  <c r="Q118" i="13" s="1"/>
  <c r="N118" i="13"/>
  <c r="M118" i="13"/>
  <c r="L118" i="13"/>
  <c r="K118" i="13"/>
  <c r="P117" i="13"/>
  <c r="R117" i="13" s="1"/>
  <c r="O117" i="13"/>
  <c r="Q117" i="13" s="1"/>
  <c r="N117" i="13"/>
  <c r="M117" i="13"/>
  <c r="L117" i="13"/>
  <c r="K117" i="13"/>
  <c r="P116" i="13"/>
  <c r="R116" i="13" s="1"/>
  <c r="O116" i="13"/>
  <c r="Q116" i="13" s="1"/>
  <c r="N116" i="13"/>
  <c r="M116" i="13"/>
  <c r="L116" i="13"/>
  <c r="K116" i="13"/>
  <c r="P115" i="13"/>
  <c r="R115" i="13" s="1"/>
  <c r="O115" i="13"/>
  <c r="Q115" i="13" s="1"/>
  <c r="N115" i="13"/>
  <c r="M115" i="13"/>
  <c r="L115" i="13"/>
  <c r="K115" i="13"/>
  <c r="P114" i="13"/>
  <c r="R114" i="13" s="1"/>
  <c r="O114" i="13"/>
  <c r="Q114" i="13" s="1"/>
  <c r="N114" i="13"/>
  <c r="M114" i="13"/>
  <c r="L114" i="13"/>
  <c r="K114" i="13"/>
  <c r="P113" i="13"/>
  <c r="R113" i="13" s="1"/>
  <c r="O113" i="13"/>
  <c r="Q113" i="13" s="1"/>
  <c r="N113" i="13"/>
  <c r="M113" i="13"/>
  <c r="L113" i="13"/>
  <c r="K113" i="13"/>
  <c r="P112" i="13"/>
  <c r="R112" i="13" s="1"/>
  <c r="O112" i="13"/>
  <c r="Q112" i="13" s="1"/>
  <c r="N112" i="13"/>
  <c r="M112" i="13"/>
  <c r="L112" i="13"/>
  <c r="K112" i="13"/>
  <c r="P111" i="13"/>
  <c r="R111" i="13" s="1"/>
  <c r="O111" i="13"/>
  <c r="Q111" i="13" s="1"/>
  <c r="N111" i="13"/>
  <c r="M111" i="13"/>
  <c r="L111" i="13"/>
  <c r="K111" i="13"/>
  <c r="P110" i="13"/>
  <c r="R110" i="13" s="1"/>
  <c r="O110" i="13"/>
  <c r="Q110" i="13" s="1"/>
  <c r="N110" i="13"/>
  <c r="M110" i="13"/>
  <c r="L110" i="13"/>
  <c r="K110" i="13"/>
  <c r="P109" i="13"/>
  <c r="R109" i="13" s="1"/>
  <c r="O109" i="13"/>
  <c r="Q109" i="13" s="1"/>
  <c r="N109" i="13"/>
  <c r="M109" i="13"/>
  <c r="L109" i="13"/>
  <c r="K109" i="13"/>
  <c r="P108" i="13"/>
  <c r="R108" i="13" s="1"/>
  <c r="O108" i="13"/>
  <c r="Q108" i="13" s="1"/>
  <c r="N108" i="13"/>
  <c r="M108" i="13"/>
  <c r="L108" i="13"/>
  <c r="K108" i="13"/>
  <c r="P107" i="13"/>
  <c r="R107" i="13" s="1"/>
  <c r="O107" i="13"/>
  <c r="Q107" i="13" s="1"/>
  <c r="N107" i="13"/>
  <c r="M107" i="13"/>
  <c r="L107" i="13"/>
  <c r="K107" i="13"/>
  <c r="P106" i="13"/>
  <c r="R106" i="13" s="1"/>
  <c r="O106" i="13"/>
  <c r="Q106" i="13" s="1"/>
  <c r="N106" i="13"/>
  <c r="M106" i="13"/>
  <c r="L106" i="13"/>
  <c r="K106" i="13"/>
  <c r="R105" i="13"/>
  <c r="P105" i="13"/>
  <c r="O105" i="13"/>
  <c r="Q105" i="13" s="1"/>
  <c r="N105" i="13"/>
  <c r="M105" i="13"/>
  <c r="L105" i="13"/>
  <c r="K105" i="13"/>
  <c r="P104" i="13"/>
  <c r="R104" i="13" s="1"/>
  <c r="O104" i="13"/>
  <c r="Q104" i="13" s="1"/>
  <c r="N104" i="13"/>
  <c r="M104" i="13"/>
  <c r="L104" i="13"/>
  <c r="K104" i="13"/>
  <c r="P94" i="13"/>
  <c r="R94" i="13" s="1"/>
  <c r="O94" i="13"/>
  <c r="Q94" i="13" s="1"/>
  <c r="N94" i="13"/>
  <c r="M94" i="13"/>
  <c r="L94" i="13"/>
  <c r="K94" i="13"/>
  <c r="P93" i="13"/>
  <c r="R93" i="13" s="1"/>
  <c r="O93" i="13"/>
  <c r="Q93" i="13" s="1"/>
  <c r="N93" i="13"/>
  <c r="M93" i="13"/>
  <c r="L93" i="13"/>
  <c r="K93" i="13"/>
  <c r="P92" i="13"/>
  <c r="R92" i="13" s="1"/>
  <c r="O92" i="13"/>
  <c r="Q92" i="13" s="1"/>
  <c r="N92" i="13"/>
  <c r="M92" i="13"/>
  <c r="L92" i="13"/>
  <c r="K92" i="13"/>
  <c r="P91" i="13"/>
  <c r="R91" i="13" s="1"/>
  <c r="O91" i="13"/>
  <c r="Q91" i="13" s="1"/>
  <c r="N91" i="13"/>
  <c r="M91" i="13"/>
  <c r="L91" i="13"/>
  <c r="K91" i="13"/>
  <c r="P90" i="13"/>
  <c r="R90" i="13" s="1"/>
  <c r="O90" i="13"/>
  <c r="Q90" i="13" s="1"/>
  <c r="N90" i="13"/>
  <c r="M90" i="13"/>
  <c r="L90" i="13"/>
  <c r="K90" i="13"/>
  <c r="P89" i="13"/>
  <c r="R89" i="13" s="1"/>
  <c r="O89" i="13"/>
  <c r="Q89" i="13" s="1"/>
  <c r="N89" i="13"/>
  <c r="M89" i="13"/>
  <c r="L89" i="13"/>
  <c r="K89" i="13"/>
  <c r="P88" i="13"/>
  <c r="R88" i="13" s="1"/>
  <c r="O88" i="13"/>
  <c r="Q88" i="13" s="1"/>
  <c r="N88" i="13"/>
  <c r="M88" i="13"/>
  <c r="L88" i="13"/>
  <c r="K88" i="13"/>
  <c r="P87" i="13"/>
  <c r="R87" i="13" s="1"/>
  <c r="O87" i="13"/>
  <c r="Q87" i="13" s="1"/>
  <c r="N87" i="13"/>
  <c r="M87" i="13"/>
  <c r="L87" i="13"/>
  <c r="K87" i="13"/>
  <c r="P86" i="13"/>
  <c r="R86" i="13" s="1"/>
  <c r="O86" i="13"/>
  <c r="Q86" i="13" s="1"/>
  <c r="N86" i="13"/>
  <c r="M86" i="13"/>
  <c r="L86" i="13"/>
  <c r="K86" i="13"/>
  <c r="P85" i="13"/>
  <c r="R85" i="13" s="1"/>
  <c r="O85" i="13"/>
  <c r="Q85" i="13" s="1"/>
  <c r="N85" i="13"/>
  <c r="M85" i="13"/>
  <c r="L85" i="13"/>
  <c r="K85" i="13"/>
  <c r="P84" i="13"/>
  <c r="R84" i="13" s="1"/>
  <c r="O84" i="13"/>
  <c r="Q84" i="13" s="1"/>
  <c r="N84" i="13"/>
  <c r="M84" i="13"/>
  <c r="L84" i="13"/>
  <c r="K84" i="13"/>
  <c r="P83" i="13"/>
  <c r="R83" i="13" s="1"/>
  <c r="O83" i="13"/>
  <c r="Q83" i="13" s="1"/>
  <c r="N83" i="13"/>
  <c r="M83" i="13"/>
  <c r="L83" i="13"/>
  <c r="K83" i="13"/>
  <c r="P82" i="13"/>
  <c r="R82" i="13" s="1"/>
  <c r="O82" i="13"/>
  <c r="Q82" i="13" s="1"/>
  <c r="N82" i="13"/>
  <c r="M82" i="13"/>
  <c r="L82" i="13"/>
  <c r="K82" i="13"/>
  <c r="P81" i="13"/>
  <c r="R81" i="13" s="1"/>
  <c r="O81" i="13"/>
  <c r="Q81" i="13" s="1"/>
  <c r="N81" i="13"/>
  <c r="M81" i="13"/>
  <c r="L81" i="13"/>
  <c r="K81" i="13"/>
  <c r="R80" i="13"/>
  <c r="P80" i="13"/>
  <c r="O80" i="13"/>
  <c r="Q80" i="13" s="1"/>
  <c r="N80" i="13"/>
  <c r="M80" i="13"/>
  <c r="L80" i="13"/>
  <c r="K80" i="13"/>
  <c r="P79" i="13"/>
  <c r="R79" i="13" s="1"/>
  <c r="O79" i="13"/>
  <c r="Q79" i="13" s="1"/>
  <c r="N79" i="13"/>
  <c r="M79" i="13"/>
  <c r="L79" i="13"/>
  <c r="K79" i="13"/>
  <c r="P78" i="13"/>
  <c r="R78" i="13" s="1"/>
  <c r="O78" i="13"/>
  <c r="Q78" i="13" s="1"/>
  <c r="N78" i="13"/>
  <c r="M78" i="13"/>
  <c r="L78" i="13"/>
  <c r="K78" i="13"/>
  <c r="R77" i="13"/>
  <c r="P77" i="13"/>
  <c r="O77" i="13"/>
  <c r="Q77" i="13" s="1"/>
  <c r="N77" i="13"/>
  <c r="M77" i="13"/>
  <c r="L77" i="13"/>
  <c r="K77" i="13"/>
  <c r="R76" i="13"/>
  <c r="P76" i="13"/>
  <c r="O76" i="13"/>
  <c r="Q76" i="13" s="1"/>
  <c r="N76" i="13"/>
  <c r="M76" i="13"/>
  <c r="L76" i="13"/>
  <c r="K76" i="13"/>
  <c r="P75" i="13"/>
  <c r="R75" i="13" s="1"/>
  <c r="O75" i="13"/>
  <c r="Q75" i="13" s="1"/>
  <c r="N75" i="13"/>
  <c r="M75" i="13"/>
  <c r="L75" i="13"/>
  <c r="K75" i="13"/>
  <c r="P74" i="13"/>
  <c r="R74" i="13" s="1"/>
  <c r="O74" i="13"/>
  <c r="Q74" i="13" s="1"/>
  <c r="N74" i="13"/>
  <c r="M74" i="13"/>
  <c r="L74" i="13"/>
  <c r="K74" i="13"/>
  <c r="R73" i="13"/>
  <c r="P73" i="13"/>
  <c r="O73" i="13"/>
  <c r="Q73" i="13" s="1"/>
  <c r="N73" i="13"/>
  <c r="M73" i="13"/>
  <c r="L73" i="13"/>
  <c r="K73" i="13"/>
  <c r="P72" i="13"/>
  <c r="R72" i="13" s="1"/>
  <c r="O72" i="13"/>
  <c r="Q72" i="13" s="1"/>
  <c r="N72" i="13"/>
  <c r="M72" i="13"/>
  <c r="L72" i="13"/>
  <c r="K72" i="13"/>
  <c r="R71" i="13"/>
  <c r="P71" i="13"/>
  <c r="O71" i="13"/>
  <c r="Q71" i="13" s="1"/>
  <c r="N71" i="13"/>
  <c r="M71" i="13"/>
  <c r="L71" i="13"/>
  <c r="K71" i="13"/>
  <c r="R70" i="13"/>
  <c r="P70" i="13"/>
  <c r="O70" i="13"/>
  <c r="Q70" i="13" s="1"/>
  <c r="N70" i="13"/>
  <c r="M70" i="13"/>
  <c r="L70" i="13"/>
  <c r="K70" i="13"/>
  <c r="P69" i="13"/>
  <c r="R69" i="13" s="1"/>
  <c r="O69" i="13"/>
  <c r="Q69" i="13" s="1"/>
  <c r="N69" i="13"/>
  <c r="M69" i="13"/>
  <c r="L69" i="13"/>
  <c r="K69" i="13"/>
  <c r="P68" i="13"/>
  <c r="R68" i="13" s="1"/>
  <c r="O68" i="13"/>
  <c r="Q68" i="13" s="1"/>
  <c r="N68" i="13"/>
  <c r="M68" i="13"/>
  <c r="L68" i="13"/>
  <c r="K68" i="13"/>
  <c r="P67" i="13"/>
  <c r="R67" i="13" s="1"/>
  <c r="O67" i="13"/>
  <c r="Q67" i="13" s="1"/>
  <c r="N67" i="13"/>
  <c r="M67" i="13"/>
  <c r="L67" i="13"/>
  <c r="K67" i="13"/>
  <c r="P66" i="13"/>
  <c r="R66" i="13" s="1"/>
  <c r="O66" i="13"/>
  <c r="Q66" i="13" s="1"/>
  <c r="N66" i="13"/>
  <c r="M66" i="13"/>
  <c r="L66" i="13"/>
  <c r="K66" i="13"/>
  <c r="P65" i="13"/>
  <c r="R65" i="13" s="1"/>
  <c r="O65" i="13"/>
  <c r="Q65" i="13" s="1"/>
  <c r="N65" i="13"/>
  <c r="M65" i="13"/>
  <c r="L65" i="13"/>
  <c r="K65" i="13"/>
  <c r="P64" i="13"/>
  <c r="R64" i="13" s="1"/>
  <c r="O64" i="13"/>
  <c r="Q64" i="13" s="1"/>
  <c r="N64" i="13"/>
  <c r="M64" i="13"/>
  <c r="L64" i="13"/>
  <c r="K64" i="13"/>
  <c r="P63" i="13"/>
  <c r="R63" i="13" s="1"/>
  <c r="O63" i="13"/>
  <c r="Q63" i="13" s="1"/>
  <c r="N63" i="13"/>
  <c r="M63" i="13"/>
  <c r="L63" i="13"/>
  <c r="K63" i="13"/>
  <c r="P62" i="13"/>
  <c r="R62" i="13" s="1"/>
  <c r="O62" i="13"/>
  <c r="Q62" i="13" s="1"/>
  <c r="N62" i="13"/>
  <c r="M62" i="13"/>
  <c r="L62" i="13"/>
  <c r="K62" i="13"/>
  <c r="P61" i="13"/>
  <c r="R61" i="13" s="1"/>
  <c r="O61" i="13"/>
  <c r="Q61" i="13" s="1"/>
  <c r="N61" i="13"/>
  <c r="M61" i="13"/>
  <c r="L61" i="13"/>
  <c r="K61" i="13"/>
  <c r="P60" i="13"/>
  <c r="R60" i="13" s="1"/>
  <c r="O60" i="13"/>
  <c r="Q60" i="13" s="1"/>
  <c r="N60" i="13"/>
  <c r="M60" i="13"/>
  <c r="L60" i="13"/>
  <c r="K60" i="13"/>
  <c r="P59" i="13"/>
  <c r="R59" i="13" s="1"/>
  <c r="O59" i="13"/>
  <c r="Q59" i="13" s="1"/>
  <c r="N59" i="13"/>
  <c r="M59" i="13"/>
  <c r="L59" i="13"/>
  <c r="K59" i="13"/>
  <c r="P58" i="13"/>
  <c r="R58" i="13" s="1"/>
  <c r="O58" i="13"/>
  <c r="Q58" i="13" s="1"/>
  <c r="N58" i="13"/>
  <c r="M58" i="13"/>
  <c r="L58" i="13"/>
  <c r="K58" i="13"/>
  <c r="P57" i="13"/>
  <c r="R57" i="13" s="1"/>
  <c r="O57" i="13"/>
  <c r="Q57" i="13" s="1"/>
  <c r="N57" i="13"/>
  <c r="M57" i="13"/>
  <c r="L57" i="13"/>
  <c r="K57" i="13"/>
  <c r="P56" i="13"/>
  <c r="R56" i="13" s="1"/>
  <c r="O56" i="13"/>
  <c r="Q56" i="13" s="1"/>
  <c r="N56" i="13"/>
  <c r="M56" i="13"/>
  <c r="L56" i="13"/>
  <c r="K56" i="13"/>
  <c r="P55" i="13"/>
  <c r="R55" i="13" s="1"/>
  <c r="O55" i="13"/>
  <c r="Q55" i="13" s="1"/>
  <c r="N55" i="13"/>
  <c r="M55" i="13"/>
  <c r="L55" i="13"/>
  <c r="K55" i="13"/>
  <c r="P54" i="13"/>
  <c r="R54" i="13" s="1"/>
  <c r="O54" i="13"/>
  <c r="Q54" i="13" s="1"/>
  <c r="N54" i="13"/>
  <c r="M54" i="13"/>
  <c r="L54" i="13"/>
  <c r="K54" i="13"/>
  <c r="P53" i="13"/>
  <c r="R53" i="13" s="1"/>
  <c r="O53" i="13"/>
  <c r="Q53" i="13" s="1"/>
  <c r="N53" i="13"/>
  <c r="M53" i="13"/>
  <c r="L53" i="13"/>
  <c r="K53" i="13"/>
  <c r="P52" i="13"/>
  <c r="R52" i="13" s="1"/>
  <c r="O52" i="13"/>
  <c r="Q52" i="13" s="1"/>
  <c r="N52" i="13"/>
  <c r="M52" i="13"/>
  <c r="L52" i="13"/>
  <c r="K52" i="13"/>
  <c r="P51" i="13"/>
  <c r="R51" i="13" s="1"/>
  <c r="O51" i="13"/>
  <c r="Q51" i="13" s="1"/>
  <c r="N51" i="13"/>
  <c r="M51" i="13"/>
  <c r="L51" i="13"/>
  <c r="K51" i="13"/>
  <c r="P50" i="13"/>
  <c r="R50" i="13" s="1"/>
  <c r="O50" i="13"/>
  <c r="Q50" i="13" s="1"/>
  <c r="N50" i="13"/>
  <c r="M50" i="13"/>
  <c r="L50" i="13"/>
  <c r="K50" i="13"/>
  <c r="P49" i="13"/>
  <c r="R49" i="13" s="1"/>
  <c r="O49" i="13"/>
  <c r="Q49" i="13" s="1"/>
  <c r="N49" i="13"/>
  <c r="M49" i="13"/>
  <c r="L49" i="13"/>
  <c r="K49" i="13"/>
  <c r="P48" i="13"/>
  <c r="R48" i="13" s="1"/>
  <c r="O48" i="13"/>
  <c r="Q48" i="13" s="1"/>
  <c r="N48" i="13"/>
  <c r="M48" i="13"/>
  <c r="L48" i="13"/>
  <c r="K48" i="13"/>
  <c r="P47" i="13"/>
  <c r="R47" i="13" s="1"/>
  <c r="O47" i="13"/>
  <c r="Q47" i="13" s="1"/>
  <c r="N47" i="13"/>
  <c r="M47" i="13"/>
  <c r="L47" i="13"/>
  <c r="K47" i="13"/>
  <c r="P46" i="13"/>
  <c r="R46" i="13" s="1"/>
  <c r="O46" i="13"/>
  <c r="Q46" i="13" s="1"/>
  <c r="N46" i="13"/>
  <c r="M46" i="13"/>
  <c r="L46" i="13"/>
  <c r="K46" i="13"/>
  <c r="P45" i="13"/>
  <c r="R45" i="13" s="1"/>
  <c r="O45" i="13"/>
  <c r="Q45" i="13" s="1"/>
  <c r="N45" i="13"/>
  <c r="M45" i="13"/>
  <c r="L45" i="13"/>
  <c r="K45" i="13"/>
  <c r="P44" i="13"/>
  <c r="R44" i="13" s="1"/>
  <c r="O44" i="13"/>
  <c r="Q44" i="13" s="1"/>
  <c r="N44" i="13"/>
  <c r="M44" i="13"/>
  <c r="L44" i="13"/>
  <c r="K44" i="13"/>
  <c r="P43" i="13"/>
  <c r="R43" i="13" s="1"/>
  <c r="O43" i="13"/>
  <c r="Q43" i="13" s="1"/>
  <c r="N43" i="13"/>
  <c r="M43" i="13"/>
  <c r="L43" i="13"/>
  <c r="K43" i="13"/>
  <c r="P42" i="13"/>
  <c r="R42" i="13" s="1"/>
  <c r="O42" i="13"/>
  <c r="Q42" i="13" s="1"/>
  <c r="N42" i="13"/>
  <c r="M42" i="13"/>
  <c r="L42" i="13"/>
  <c r="K42" i="13"/>
  <c r="P41" i="13"/>
  <c r="R41" i="13" s="1"/>
  <c r="O41" i="13"/>
  <c r="Q41" i="13" s="1"/>
  <c r="N41" i="13"/>
  <c r="M41" i="13"/>
  <c r="L41" i="13"/>
  <c r="K41" i="13"/>
  <c r="P40" i="13"/>
  <c r="R40" i="13" s="1"/>
  <c r="O40" i="13"/>
  <c r="Q40" i="13" s="1"/>
  <c r="N40" i="13"/>
  <c r="M40" i="13"/>
  <c r="L40" i="13"/>
  <c r="K40" i="13"/>
  <c r="P39" i="13"/>
  <c r="R39" i="13" s="1"/>
  <c r="O39" i="13"/>
  <c r="Q39" i="13" s="1"/>
  <c r="N39" i="13"/>
  <c r="M39" i="13"/>
  <c r="L39" i="13"/>
  <c r="K39" i="13"/>
  <c r="P38" i="13"/>
  <c r="R38" i="13" s="1"/>
  <c r="O38" i="13"/>
  <c r="Q38" i="13" s="1"/>
  <c r="N38" i="13"/>
  <c r="M38" i="13"/>
  <c r="L38" i="13"/>
  <c r="K38" i="13"/>
  <c r="P37" i="13"/>
  <c r="R37" i="13" s="1"/>
  <c r="O37" i="13"/>
  <c r="Q37" i="13" s="1"/>
  <c r="N37" i="13"/>
  <c r="M37" i="13"/>
  <c r="L37" i="13"/>
  <c r="K37" i="13"/>
  <c r="P36" i="13"/>
  <c r="R36" i="13" s="1"/>
  <c r="O36" i="13"/>
  <c r="Q36" i="13" s="1"/>
  <c r="N36" i="13"/>
  <c r="M36" i="13"/>
  <c r="L36" i="13"/>
  <c r="K36" i="13"/>
  <c r="P35" i="13"/>
  <c r="R35" i="13" s="1"/>
  <c r="O35" i="13"/>
  <c r="Q35" i="13" s="1"/>
  <c r="N35" i="13"/>
  <c r="M35" i="13"/>
  <c r="L35" i="13"/>
  <c r="K35" i="13"/>
  <c r="P34" i="13"/>
  <c r="R34" i="13" s="1"/>
  <c r="O34" i="13"/>
  <c r="Q34" i="13" s="1"/>
  <c r="N34" i="13"/>
  <c r="M34" i="13"/>
  <c r="L34" i="13"/>
  <c r="K34" i="13"/>
  <c r="P33" i="13"/>
  <c r="R33" i="13" s="1"/>
  <c r="O33" i="13"/>
  <c r="Q33" i="13" s="1"/>
  <c r="N33" i="13"/>
  <c r="M33" i="13"/>
  <c r="L33" i="13"/>
  <c r="K33" i="13"/>
  <c r="P32" i="13"/>
  <c r="R32" i="13" s="1"/>
  <c r="O32" i="13"/>
  <c r="Q32" i="13" s="1"/>
  <c r="N32" i="13"/>
  <c r="M32" i="13"/>
  <c r="L32" i="13"/>
  <c r="K32" i="13"/>
  <c r="P31" i="13"/>
  <c r="R31" i="13" s="1"/>
  <c r="O31" i="13"/>
  <c r="Q31" i="13" s="1"/>
  <c r="N31" i="13"/>
  <c r="M31" i="13"/>
  <c r="L31" i="13"/>
  <c r="K31" i="13"/>
  <c r="P30" i="13"/>
  <c r="R30" i="13" s="1"/>
  <c r="O30" i="13"/>
  <c r="Q30" i="13" s="1"/>
  <c r="N30" i="13"/>
  <c r="M30" i="13"/>
  <c r="L30" i="13"/>
  <c r="K30" i="13"/>
  <c r="P29" i="13"/>
  <c r="R29" i="13" s="1"/>
  <c r="O29" i="13"/>
  <c r="Q29" i="13" s="1"/>
  <c r="N29" i="13"/>
  <c r="M29" i="13"/>
  <c r="L29" i="13"/>
  <c r="K29" i="13"/>
  <c r="P28" i="13"/>
  <c r="R28" i="13" s="1"/>
  <c r="O28" i="13"/>
  <c r="Q28" i="13" s="1"/>
  <c r="N28" i="13"/>
  <c r="M28" i="13"/>
  <c r="L28" i="13"/>
  <c r="K28" i="13"/>
  <c r="P27" i="13"/>
  <c r="R27" i="13" s="1"/>
  <c r="O27" i="13"/>
  <c r="Q27" i="13" s="1"/>
  <c r="N27" i="13"/>
  <c r="M27" i="13"/>
  <c r="L27" i="13"/>
  <c r="K27" i="13"/>
  <c r="P26" i="13"/>
  <c r="R26" i="13" s="1"/>
  <c r="O26" i="13"/>
  <c r="Q26" i="13" s="1"/>
  <c r="N26" i="13"/>
  <c r="M26" i="13"/>
  <c r="L26" i="13"/>
  <c r="K26" i="13"/>
  <c r="P25" i="13"/>
  <c r="R25" i="13" s="1"/>
  <c r="O25" i="13"/>
  <c r="Q25" i="13" s="1"/>
  <c r="N25" i="13"/>
  <c r="M25" i="13"/>
  <c r="L25" i="13"/>
  <c r="K25" i="13"/>
  <c r="P24" i="13"/>
  <c r="R24" i="13" s="1"/>
  <c r="O24" i="13"/>
  <c r="Q24" i="13" s="1"/>
  <c r="N24" i="13"/>
  <c r="M24" i="13"/>
  <c r="L24" i="13"/>
  <c r="K24" i="13"/>
  <c r="P23" i="13"/>
  <c r="R23" i="13" s="1"/>
  <c r="O23" i="13"/>
  <c r="Q23" i="13" s="1"/>
  <c r="N23" i="13"/>
  <c r="M23" i="13"/>
  <c r="L23" i="13"/>
  <c r="K23" i="13"/>
  <c r="P22" i="13"/>
  <c r="R22" i="13" s="1"/>
  <c r="O22" i="13"/>
  <c r="Q22" i="13" s="1"/>
  <c r="N22" i="13"/>
  <c r="M22" i="13"/>
  <c r="L22" i="13"/>
  <c r="K22" i="13"/>
  <c r="P21" i="13"/>
  <c r="R21" i="13" s="1"/>
  <c r="O21" i="13"/>
  <c r="Q21" i="13" s="1"/>
  <c r="N21" i="13"/>
  <c r="M21" i="13"/>
  <c r="L21" i="13"/>
  <c r="K21" i="13"/>
  <c r="R20" i="13"/>
  <c r="P20" i="13"/>
  <c r="O20" i="13"/>
  <c r="Q20" i="13" s="1"/>
  <c r="N20" i="13"/>
  <c r="M20" i="13"/>
  <c r="L20" i="13"/>
  <c r="K20" i="13"/>
  <c r="R19" i="13"/>
  <c r="P19" i="13"/>
  <c r="O19" i="13"/>
  <c r="Q19" i="13" s="1"/>
  <c r="N19" i="13"/>
  <c r="M19" i="13"/>
  <c r="L19" i="13"/>
  <c r="K19" i="13"/>
  <c r="R18" i="13"/>
  <c r="P18" i="13"/>
  <c r="O18" i="13"/>
  <c r="Q18" i="13" s="1"/>
  <c r="N18" i="13"/>
  <c r="M18" i="13"/>
  <c r="L18" i="13"/>
  <c r="K18" i="13"/>
  <c r="R17" i="13"/>
  <c r="P17" i="13"/>
  <c r="O17" i="13"/>
  <c r="Q17" i="13" s="1"/>
  <c r="N17" i="13"/>
  <c r="M17" i="13"/>
  <c r="L17" i="13"/>
  <c r="K17" i="13"/>
  <c r="R16" i="13"/>
  <c r="P16" i="13"/>
  <c r="O16" i="13"/>
  <c r="Q16" i="13" s="1"/>
  <c r="N16" i="13"/>
  <c r="M16" i="13"/>
  <c r="L16" i="13"/>
  <c r="K16" i="13"/>
  <c r="R15" i="13"/>
  <c r="P15" i="13"/>
  <c r="O15" i="13"/>
  <c r="Q15" i="13" s="1"/>
  <c r="N15" i="13"/>
  <c r="M15" i="13"/>
  <c r="L15" i="13"/>
  <c r="K15" i="13"/>
  <c r="R14" i="13"/>
  <c r="P14" i="13"/>
  <c r="O14" i="13"/>
  <c r="Q14" i="13" s="1"/>
  <c r="N14" i="13"/>
  <c r="M14" i="13"/>
  <c r="L14" i="13"/>
  <c r="K14" i="13"/>
  <c r="R13" i="13"/>
  <c r="P13" i="13"/>
  <c r="O13" i="13"/>
  <c r="Q13" i="13" s="1"/>
  <c r="N13" i="13"/>
  <c r="M13" i="13"/>
  <c r="L13" i="13"/>
  <c r="K13" i="13"/>
  <c r="P12" i="13"/>
  <c r="R12" i="13" s="1"/>
  <c r="O12" i="13"/>
  <c r="Q12" i="13" s="1"/>
  <c r="N12" i="13"/>
  <c r="M12" i="13"/>
  <c r="L12" i="13"/>
  <c r="K12" i="13"/>
  <c r="P11" i="13"/>
  <c r="R11" i="13" s="1"/>
  <c r="O11" i="13"/>
  <c r="Q11" i="13" s="1"/>
  <c r="N11" i="13"/>
  <c r="M11" i="13"/>
  <c r="L11" i="13"/>
  <c r="K11" i="13"/>
  <c r="R10" i="13"/>
  <c r="P10" i="13"/>
  <c r="O10" i="13"/>
  <c r="Q10" i="13" s="1"/>
  <c r="N10" i="13"/>
  <c r="M10" i="13"/>
  <c r="L10" i="13"/>
  <c r="K10" i="13"/>
  <c r="R9" i="13"/>
  <c r="P9" i="13"/>
  <c r="O9" i="13"/>
  <c r="Q9" i="13" s="1"/>
  <c r="N9" i="13"/>
  <c r="M9" i="13"/>
  <c r="L9" i="13"/>
  <c r="K9" i="13"/>
  <c r="P8" i="13"/>
  <c r="R8" i="13" s="1"/>
  <c r="O8" i="13"/>
  <c r="Q8" i="13" s="1"/>
  <c r="N8" i="13"/>
  <c r="M8" i="13"/>
  <c r="L8" i="13"/>
  <c r="K8" i="13"/>
  <c r="P7" i="13"/>
  <c r="R7" i="13" s="1"/>
  <c r="O7" i="13"/>
  <c r="Q7" i="13" s="1"/>
  <c r="N7" i="13"/>
  <c r="M7" i="13"/>
  <c r="L7" i="13"/>
  <c r="K7" i="13"/>
  <c r="R6" i="13"/>
  <c r="P6" i="13"/>
  <c r="O6" i="13"/>
  <c r="Q6" i="13" s="1"/>
  <c r="N6" i="13"/>
  <c r="M6" i="13"/>
  <c r="L6" i="13"/>
  <c r="K6" i="13"/>
  <c r="Z23" i="14" l="1"/>
  <c r="AA17" i="14"/>
  <c r="X23" i="14"/>
  <c r="Y23" i="14"/>
  <c r="U23" i="14"/>
  <c r="V13" i="14"/>
  <c r="W13" i="14" s="1"/>
  <c r="T33" i="14"/>
  <c r="Z37" i="14"/>
  <c r="T11" i="14"/>
  <c r="U35" i="14"/>
  <c r="U41" i="14"/>
  <c r="T51" i="14"/>
  <c r="V51" i="14" s="1"/>
  <c r="W51" i="14" s="1"/>
  <c r="Z63" i="14"/>
  <c r="Z71" i="14"/>
  <c r="Z26" i="14"/>
  <c r="Z48" i="14"/>
  <c r="Y13" i="14"/>
  <c r="Z13" i="14"/>
  <c r="T23" i="14"/>
  <c r="V15" i="14"/>
  <c r="W15" i="14" s="1"/>
  <c r="T24" i="14"/>
  <c r="T29" i="14"/>
  <c r="T53" i="14"/>
  <c r="Z21" i="14"/>
  <c r="X22" i="14"/>
  <c r="U29" i="14"/>
  <c r="U37" i="14"/>
  <c r="Z39" i="14"/>
  <c r="X6" i="14"/>
  <c r="V17" i="14"/>
  <c r="W17" i="14" s="1"/>
  <c r="T59" i="14"/>
  <c r="T30" i="14"/>
  <c r="Z43" i="14"/>
  <c r="Z38" i="14"/>
  <c r="U55" i="14"/>
  <c r="Z58" i="14"/>
  <c r="T54" i="14"/>
  <c r="T18" i="14"/>
  <c r="Q18" i="14" s="1"/>
  <c r="AA18" i="14" s="1"/>
  <c r="Z46" i="14"/>
  <c r="T42" i="14"/>
  <c r="U20" i="14"/>
  <c r="Z22" i="14"/>
  <c r="Z40" i="14"/>
  <c r="T64" i="14"/>
  <c r="T68" i="14"/>
  <c r="T34" i="14"/>
  <c r="U69" i="14"/>
  <c r="Z28" i="14"/>
  <c r="V52" i="14"/>
  <c r="W52" i="14" s="1"/>
  <c r="T58" i="14"/>
  <c r="Y31" i="14"/>
  <c r="Z42" i="14"/>
  <c r="U43" i="14"/>
  <c r="Z47" i="14"/>
  <c r="Z60" i="14"/>
  <c r="Z64" i="14"/>
  <c r="T71" i="14"/>
  <c r="T39" i="14"/>
  <c r="V39" i="14" s="1"/>
  <c r="Z51" i="14"/>
  <c r="U71" i="14"/>
  <c r="T19" i="14"/>
  <c r="Q19" i="14" s="1"/>
  <c r="AA19" i="14" s="1"/>
  <c r="Z36" i="14"/>
  <c r="Z31" i="14"/>
  <c r="X55" i="14"/>
  <c r="U39" i="14"/>
  <c r="Z66" i="14"/>
  <c r="T38" i="14"/>
  <c r="Y21" i="14"/>
  <c r="Z35" i="14"/>
  <c r="U38" i="14"/>
  <c r="Y39" i="14"/>
  <c r="X64" i="14"/>
  <c r="U34" i="14"/>
  <c r="T22" i="14"/>
  <c r="T31" i="14"/>
  <c r="V12" i="14"/>
  <c r="W12" i="14" s="1"/>
  <c r="T26" i="14"/>
  <c r="T36" i="14"/>
  <c r="U54" i="14"/>
  <c r="V54" i="14" s="1"/>
  <c r="W54" i="14" s="1"/>
  <c r="T21" i="14"/>
  <c r="X39" i="14"/>
  <c r="V18" i="14"/>
  <c r="W18" i="14" s="1"/>
  <c r="Z20" i="14"/>
  <c r="Z24" i="14"/>
  <c r="U42" i="14"/>
  <c r="U51" i="14"/>
  <c r="X54" i="14"/>
  <c r="Z59" i="14"/>
  <c r="T70" i="14"/>
  <c r="V70" i="14" s="1"/>
  <c r="T43" i="14"/>
  <c r="Z11" i="14"/>
  <c r="T20" i="14"/>
  <c r="U25" i="14"/>
  <c r="X38" i="14"/>
  <c r="T41" i="14"/>
  <c r="Z44" i="14"/>
  <c r="U46" i="14"/>
  <c r="Y54" i="14"/>
  <c r="Z57" i="14"/>
  <c r="T16" i="14"/>
  <c r="Q16" i="14" s="1"/>
  <c r="AA16" i="14" s="1"/>
  <c r="T40" i="14"/>
  <c r="Z7" i="14"/>
  <c r="U11" i="14"/>
  <c r="V11" i="14" s="1"/>
  <c r="W11" i="14" s="1"/>
  <c r="V14" i="14"/>
  <c r="W14" i="14" s="1"/>
  <c r="Q20" i="14"/>
  <c r="AA20" i="14" s="1"/>
  <c r="Z25" i="14"/>
  <c r="Z27" i="14"/>
  <c r="Z32" i="14"/>
  <c r="Z56" i="14"/>
  <c r="U70" i="14"/>
  <c r="X40" i="14"/>
  <c r="Z68" i="14"/>
  <c r="X14" i="14"/>
  <c r="V23" i="14"/>
  <c r="W23" i="14" s="1"/>
  <c r="T12" i="14"/>
  <c r="Q12" i="14" s="1"/>
  <c r="AA12" i="14" s="1"/>
  <c r="Y14" i="14"/>
  <c r="X46" i="14"/>
  <c r="Z50" i="14"/>
  <c r="T13" i="14"/>
  <c r="Q13" i="14" s="1"/>
  <c r="AA13" i="14" s="1"/>
  <c r="Z8" i="14"/>
  <c r="Z10" i="14"/>
  <c r="U22" i="14"/>
  <c r="V22" i="14" s="1"/>
  <c r="W22" i="14" s="1"/>
  <c r="U24" i="14"/>
  <c r="V24" i="14" s="1"/>
  <c r="W24" i="14" s="1"/>
  <c r="X32" i="14"/>
  <c r="Z34" i="14"/>
  <c r="Z41" i="14"/>
  <c r="Y46" i="14"/>
  <c r="Y53" i="14"/>
  <c r="U56" i="14"/>
  <c r="U59" i="14"/>
  <c r="Z67" i="14"/>
  <c r="T14" i="14"/>
  <c r="Q14" i="14" s="1"/>
  <c r="AA14" i="14" s="1"/>
  <c r="U30" i="14"/>
  <c r="Y55" i="14"/>
  <c r="U68" i="14"/>
  <c r="Y69" i="14"/>
  <c r="X70" i="14"/>
  <c r="T6" i="14"/>
  <c r="Q6" i="14" s="1"/>
  <c r="AA6" i="14" s="1"/>
  <c r="V16" i="14"/>
  <c r="W16" i="14" s="1"/>
  <c r="T28" i="14"/>
  <c r="U31" i="14"/>
  <c r="T32" i="14"/>
  <c r="V32" i="14" s="1"/>
  <c r="W32" i="14" s="1"/>
  <c r="U33" i="14"/>
  <c r="V33" i="14" s="1"/>
  <c r="W33" i="14" s="1"/>
  <c r="T45" i="14"/>
  <c r="T46" i="14"/>
  <c r="T50" i="14"/>
  <c r="V50" i="14" s="1"/>
  <c r="W50" i="14" s="1"/>
  <c r="Z54" i="14"/>
  <c r="Z55" i="14"/>
  <c r="T67" i="14"/>
  <c r="X71" i="14"/>
  <c r="T10" i="14"/>
  <c r="X15" i="14"/>
  <c r="Z17" i="14"/>
  <c r="U28" i="14"/>
  <c r="U32" i="14"/>
  <c r="U45" i="14"/>
  <c r="T47" i="14"/>
  <c r="T49" i="14"/>
  <c r="U50" i="14"/>
  <c r="Z53" i="14"/>
  <c r="U67" i="14"/>
  <c r="Y71" i="14"/>
  <c r="V6" i="14"/>
  <c r="W6" i="14" s="1"/>
  <c r="T7" i="14"/>
  <c r="T9" i="14"/>
  <c r="Q9" i="14" s="1"/>
  <c r="AA9" i="14" s="1"/>
  <c r="U10" i="14"/>
  <c r="Y15" i="14"/>
  <c r="X16" i="14"/>
  <c r="T27" i="14"/>
  <c r="Y29" i="14"/>
  <c r="X30" i="14"/>
  <c r="T44" i="14"/>
  <c r="U47" i="14"/>
  <c r="T48" i="14"/>
  <c r="U49" i="14"/>
  <c r="T61" i="14"/>
  <c r="V61" i="14" s="1"/>
  <c r="W61" i="14" s="1"/>
  <c r="T62" i="14"/>
  <c r="T66" i="14"/>
  <c r="Z70" i="14"/>
  <c r="U7" i="14"/>
  <c r="T8" i="14"/>
  <c r="U27" i="14"/>
  <c r="Z33" i="14"/>
  <c r="U44" i="14"/>
  <c r="U48" i="14"/>
  <c r="U61" i="14"/>
  <c r="U62" i="14"/>
  <c r="T63" i="14"/>
  <c r="T65" i="14"/>
  <c r="U66" i="14"/>
  <c r="Z69" i="14"/>
  <c r="U8" i="14"/>
  <c r="V9" i="14"/>
  <c r="W9" i="14" s="1"/>
  <c r="Y45" i="14"/>
  <c r="T60" i="14"/>
  <c r="U63" i="14"/>
  <c r="U65" i="14"/>
  <c r="Y6" i="14"/>
  <c r="Z30" i="14"/>
  <c r="Q37" i="14"/>
  <c r="AA37" i="14" s="1"/>
  <c r="Q39" i="14"/>
  <c r="AA39" i="14" s="1"/>
  <c r="Q41" i="14"/>
  <c r="AA41" i="14" s="1"/>
  <c r="X47" i="14"/>
  <c r="Z49" i="14"/>
  <c r="U60" i="14"/>
  <c r="U64" i="14"/>
  <c r="X7" i="14"/>
  <c r="Z9" i="14"/>
  <c r="U21" i="14"/>
  <c r="V21" i="14" s="1"/>
  <c r="W21" i="14" s="1"/>
  <c r="T25" i="14"/>
  <c r="U26" i="14"/>
  <c r="Z29" i="14"/>
  <c r="Y47" i="14"/>
  <c r="X48" i="14"/>
  <c r="Y61" i="14"/>
  <c r="X62" i="14"/>
  <c r="X66" i="14"/>
  <c r="Y7" i="14"/>
  <c r="X8" i="14"/>
  <c r="T37" i="14"/>
  <c r="X63" i="14"/>
  <c r="Z65" i="14"/>
  <c r="Z45" i="14"/>
  <c r="Y63" i="14"/>
  <c r="Q70" i="14"/>
  <c r="AA70" i="14" s="1"/>
  <c r="Z62" i="14"/>
  <c r="U36" i="14"/>
  <c r="U40" i="14"/>
  <c r="U53" i="14"/>
  <c r="V53" i="14" s="1"/>
  <c r="W53" i="14" s="1"/>
  <c r="T55" i="14"/>
  <c r="T57" i="14"/>
  <c r="U58" i="14"/>
  <c r="V58" i="14" s="1"/>
  <c r="W58" i="14" s="1"/>
  <c r="Z61" i="14"/>
  <c r="V19" i="14"/>
  <c r="W19" i="14" s="1"/>
  <c r="T35" i="14"/>
  <c r="Y37" i="14"/>
  <c r="T52" i="14"/>
  <c r="Q52" i="14" s="1"/>
  <c r="AA52" i="14" s="1"/>
  <c r="T56" i="14"/>
  <c r="V56" i="14" s="1"/>
  <c r="W56" i="14" s="1"/>
  <c r="U57" i="14"/>
  <c r="Q68" i="14"/>
  <c r="AA68" i="14" s="1"/>
  <c r="T69" i="14"/>
  <c r="Y8" i="14"/>
  <c r="Y16" i="14"/>
  <c r="Y24" i="14"/>
  <c r="Y32" i="14"/>
  <c r="Y40" i="14"/>
  <c r="Y48" i="14"/>
  <c r="Y56" i="14"/>
  <c r="Y64" i="14"/>
  <c r="X9" i="14"/>
  <c r="X17" i="14"/>
  <c r="X25" i="14"/>
  <c r="X33" i="14"/>
  <c r="X41" i="14"/>
  <c r="X49" i="14"/>
  <c r="X57" i="14"/>
  <c r="X65" i="14"/>
  <c r="X10" i="14"/>
  <c r="X18" i="14"/>
  <c r="X26" i="14"/>
  <c r="X34" i="14"/>
  <c r="X42" i="14"/>
  <c r="X50" i="14"/>
  <c r="X58" i="14"/>
  <c r="Y10" i="14"/>
  <c r="Y18" i="14"/>
  <c r="Y26" i="14"/>
  <c r="Y34" i="14"/>
  <c r="Y42" i="14"/>
  <c r="Y50" i="14"/>
  <c r="Y58" i="14"/>
  <c r="Y66" i="14"/>
  <c r="X11" i="14"/>
  <c r="X19" i="14"/>
  <c r="X27" i="14"/>
  <c r="X35" i="14"/>
  <c r="X43" i="14"/>
  <c r="X51" i="14"/>
  <c r="X59" i="14"/>
  <c r="X67" i="14"/>
  <c r="Y11" i="14"/>
  <c r="Y19" i="14"/>
  <c r="Y27" i="14"/>
  <c r="Y35" i="14"/>
  <c r="Y43" i="14"/>
  <c r="Y51" i="14"/>
  <c r="Y59" i="14"/>
  <c r="Y67" i="14"/>
  <c r="X12" i="14"/>
  <c r="X20" i="14"/>
  <c r="X28" i="14"/>
  <c r="X36" i="14"/>
  <c r="X44" i="14"/>
  <c r="X52" i="14"/>
  <c r="X60" i="14"/>
  <c r="X68" i="14"/>
  <c r="Y12" i="14"/>
  <c r="Y20" i="14"/>
  <c r="Y28" i="14"/>
  <c r="Y36" i="14"/>
  <c r="Y44" i="14"/>
  <c r="Y52" i="14"/>
  <c r="Y60" i="14"/>
  <c r="Y68" i="14"/>
  <c r="V71" i="14" l="1"/>
  <c r="W71" i="14" s="1"/>
  <c r="V29" i="14"/>
  <c r="W29" i="14" s="1"/>
  <c r="V37" i="14"/>
  <c r="W37" i="14" s="1"/>
  <c r="V44" i="14"/>
  <c r="W44" i="14" s="1"/>
  <c r="V35" i="14"/>
  <c r="W35" i="14" s="1"/>
  <c r="V36" i="14"/>
  <c r="W36" i="14" s="1"/>
  <c r="V69" i="14"/>
  <c r="W69" i="14" s="1"/>
  <c r="V64" i="14"/>
  <c r="W64" i="14" s="1"/>
  <c r="V42" i="14"/>
  <c r="W42" i="14" s="1"/>
  <c r="V31" i="14"/>
  <c r="W31" i="14" s="1"/>
  <c r="V63" i="14"/>
  <c r="W63" i="14" s="1"/>
  <c r="V41" i="14"/>
  <c r="W41" i="14" s="1"/>
  <c r="V55" i="14"/>
  <c r="W55" i="14" s="1"/>
  <c r="V59" i="14"/>
  <c r="W59" i="14" s="1"/>
  <c r="V27" i="14"/>
  <c r="W27" i="14" s="1"/>
  <c r="V20" i="14"/>
  <c r="W20" i="14" s="1"/>
  <c r="V68" i="14"/>
  <c r="W68" i="14" s="1"/>
  <c r="V40" i="14"/>
  <c r="W40" i="14" s="1"/>
  <c r="V25" i="14"/>
  <c r="W25" i="14" s="1"/>
  <c r="V30" i="14"/>
  <c r="W30" i="14" s="1"/>
  <c r="V38" i="14"/>
  <c r="W38" i="14" s="1"/>
  <c r="V26" i="14"/>
  <c r="W26" i="14" s="1"/>
  <c r="V46" i="14"/>
  <c r="W46" i="14" s="1"/>
  <c r="V43" i="14"/>
  <c r="W43" i="14" s="1"/>
  <c r="V34" i="14"/>
  <c r="W34" i="14" s="1"/>
  <c r="V47" i="14"/>
  <c r="W47" i="14" s="1"/>
  <c r="V48" i="14"/>
  <c r="W48" i="14" s="1"/>
  <c r="V45" i="14"/>
  <c r="W45" i="14" s="1"/>
  <c r="V57" i="14"/>
  <c r="W57" i="14" s="1"/>
  <c r="V65" i="14"/>
  <c r="W65" i="14" s="1"/>
  <c r="V49" i="14"/>
  <c r="W49" i="14" s="1"/>
  <c r="W70" i="14"/>
  <c r="V28" i="14"/>
  <c r="W28" i="14" s="1"/>
  <c r="W39" i="14"/>
  <c r="V10" i="14"/>
  <c r="W10" i="14" s="1"/>
  <c r="V8" i="14"/>
  <c r="W8" i="14" s="1"/>
  <c r="V7" i="14"/>
  <c r="W7" i="14" s="1"/>
  <c r="V60" i="14"/>
  <c r="W60" i="14" s="1"/>
  <c r="V67" i="14"/>
  <c r="W67" i="14" s="1"/>
  <c r="V66" i="14"/>
  <c r="W66" i="14" s="1"/>
  <c r="V62" i="14"/>
  <c r="W62" i="14" s="1"/>
  <c r="E8" i="5"/>
  <c r="E6" i="5" l="1"/>
  <c r="E1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DFFA7663-46B5-4642-9A47-062BB4894D03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41A622AD-32EA-4380-9CDC-E01925802BA7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3D91C0ED-F307-4CAE-8AB5-83943B009B59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<sst xmlns="http://schemas.openxmlformats.org/spreadsheetml/2006/main" count="1010" uniqueCount="361">
  <si>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</si>
  <si>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</si>
  <si>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</si>
  <si>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</si>
  <si>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</si>
  <si>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</si>
  <si>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</si>
  <si>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</si>
  <si>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</si>
  <si>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</si>
  <si>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</si>
  <si>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</si>
  <si>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</si>
  <si>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</si>
  <si>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</si>
  <si>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</si>
  <si>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</si>
  <si>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</si>
  <si>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</si>
  <si>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</si>
  <si>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</si>
  <si>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</si>
  <si>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9" type="noConversion"/>
  </si>
  <si>
    <t>Varo-Project</t>
    <phoneticPr fontId="9" type="noConversion"/>
  </si>
  <si>
    <t>-</t>
    <phoneticPr fontId="9" type="noConversion"/>
  </si>
  <si>
    <t>Config:</t>
    <phoneticPr fontId="9" type="noConversion"/>
  </si>
  <si>
    <t>817-09243</t>
    <phoneticPr fontId="9" type="noConversion"/>
  </si>
  <si>
    <t>Shipping Qty</t>
  </si>
  <si>
    <t>Unit</t>
  </si>
  <si>
    <t>Shipping Lot No</t>
  </si>
  <si>
    <t>APN</t>
  </si>
  <si>
    <t>Shipping Date</t>
  </si>
  <si>
    <t>Build</t>
  </si>
  <si>
    <t>Inner package</t>
  </si>
  <si>
    <t>Total Q'TY</t>
  </si>
  <si>
    <t>Cavity</t>
  </si>
  <si>
    <t>FAI Data Sheet  Enclosures MD</t>
  </si>
  <si>
    <t>DRAWING SPECIFICATIONS</t>
    <phoneticPr fontId="9" type="noConversion"/>
  </si>
  <si>
    <t>INSPECTION RESULTS</t>
  </si>
  <si>
    <t>INSPECTION ANALYSIS</t>
  </si>
  <si>
    <t xml:space="preserve"> Supplier Comment</t>
    <phoneticPr fontId="9" type="noConversion"/>
  </si>
  <si>
    <t>FAI#</t>
  </si>
  <si>
    <t>Description</t>
    <phoneticPr fontId="39" type="noConversion"/>
  </si>
  <si>
    <t>Nominal</t>
  </si>
  <si>
    <t>+TOL</t>
    <phoneticPr fontId="9" type="noConversion"/>
  </si>
  <si>
    <t>TOL</t>
    <phoneticPr fontId="9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</si>
  <si>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</si>
  <si>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</si>
  <si>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</si>
  <si>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</si>
  <si>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</si>
  <si>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</si>
  <si>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</si>
  <si>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</si>
  <si>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</si>
  <si>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</si>
  <si>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FAI 1</t>
    <phoneticPr fontId="9" type="noConversion"/>
  </si>
  <si>
    <t>Parallelism</t>
  </si>
  <si>
    <t>OMM</t>
    <phoneticPr fontId="9" type="noConversion"/>
  </si>
  <si>
    <t>FAI 3-1</t>
    <phoneticPr fontId="9" type="noConversion"/>
  </si>
  <si>
    <t>Distance</t>
  </si>
  <si>
    <t>AOI</t>
    <phoneticPr fontId="9" type="noConversion"/>
  </si>
  <si>
    <t>FAI 3-2</t>
    <phoneticPr fontId="9" type="noConversion"/>
  </si>
  <si>
    <t>FAI 4</t>
    <phoneticPr fontId="9" type="noConversion"/>
  </si>
  <si>
    <t>Flatness</t>
  </si>
  <si>
    <t>FAI 5</t>
    <phoneticPr fontId="9" type="noConversion"/>
  </si>
  <si>
    <t>FAI 6-1</t>
    <phoneticPr fontId="9" type="noConversion"/>
  </si>
  <si>
    <t>FAI 6-2</t>
    <phoneticPr fontId="9" type="noConversion"/>
  </si>
  <si>
    <t>FAI 7-1</t>
    <phoneticPr fontId="9" type="noConversion"/>
  </si>
  <si>
    <t>Perpendicularity</t>
  </si>
  <si>
    <t>CMM</t>
    <phoneticPr fontId="9" type="noConversion"/>
  </si>
  <si>
    <t>FAI 7-2</t>
  </si>
  <si>
    <t>FAI 7-3</t>
  </si>
  <si>
    <t>FAI 8-1</t>
    <phoneticPr fontId="9" type="noConversion"/>
  </si>
  <si>
    <t>Straightness</t>
  </si>
  <si>
    <t>FAI 8-2</t>
  </si>
  <si>
    <t>FAI 8-3</t>
  </si>
  <si>
    <t>FAI 9</t>
    <phoneticPr fontId="9" type="noConversion"/>
  </si>
  <si>
    <t>FAI 10</t>
  </si>
  <si>
    <t>FAI 13</t>
    <phoneticPr fontId="9" type="noConversion"/>
  </si>
  <si>
    <t>FAI 14_1</t>
    <phoneticPr fontId="9" type="noConversion"/>
  </si>
  <si>
    <t>FAI 14_2</t>
  </si>
  <si>
    <t>FAI 17-1</t>
    <phoneticPr fontId="9" type="noConversion"/>
  </si>
  <si>
    <t>FAI 17-2</t>
  </si>
  <si>
    <t>FAI 17-3</t>
  </si>
  <si>
    <t>FAI 18</t>
    <phoneticPr fontId="9" type="noConversion"/>
  </si>
  <si>
    <t>FAI 19</t>
  </si>
  <si>
    <t>FAI 20</t>
  </si>
  <si>
    <t>FAI 21</t>
  </si>
  <si>
    <t>FAI 21-1</t>
    <phoneticPr fontId="9" type="noConversion"/>
  </si>
  <si>
    <t>FAI 21-2</t>
  </si>
  <si>
    <t>FAI 21-3</t>
  </si>
  <si>
    <t>FAI 21-4</t>
  </si>
  <si>
    <t>FAI 22</t>
    <phoneticPr fontId="9" type="noConversion"/>
  </si>
  <si>
    <t>FAI 23</t>
  </si>
  <si>
    <t>FAI 25</t>
    <phoneticPr fontId="9" type="noConversion"/>
  </si>
  <si>
    <t>FAI 26</t>
    <phoneticPr fontId="9" type="noConversion"/>
  </si>
  <si>
    <t>FAI 27-1</t>
    <phoneticPr fontId="9" type="noConversion"/>
  </si>
  <si>
    <t>FAI 27-2</t>
    <phoneticPr fontId="9" type="noConversion"/>
  </si>
  <si>
    <t>FAI 28</t>
    <phoneticPr fontId="9" type="noConversion"/>
  </si>
  <si>
    <t>FAI 29</t>
  </si>
  <si>
    <t>FAI 30</t>
  </si>
  <si>
    <t>FAI 31</t>
  </si>
  <si>
    <t>FAI 32</t>
  </si>
  <si>
    <t>FAI 33</t>
  </si>
  <si>
    <t>FAI 35-1</t>
    <phoneticPr fontId="9" type="noConversion"/>
  </si>
  <si>
    <t>FAI 35-2</t>
    <phoneticPr fontId="9" type="noConversion"/>
  </si>
  <si>
    <t>FAI 37_1</t>
    <phoneticPr fontId="9" type="noConversion"/>
  </si>
  <si>
    <t>FAI 37_2</t>
  </si>
  <si>
    <t>FAI 37_3</t>
  </si>
  <si>
    <t>FAI 38-1</t>
    <phoneticPr fontId="9" type="noConversion"/>
  </si>
  <si>
    <t>FAI 38-2</t>
    <phoneticPr fontId="9" type="noConversion"/>
  </si>
  <si>
    <t>FAI 39</t>
    <phoneticPr fontId="9" type="noConversion"/>
  </si>
  <si>
    <t>FAI 40_1</t>
    <phoneticPr fontId="9" type="noConversion"/>
  </si>
  <si>
    <t>FAI 40_2</t>
  </si>
  <si>
    <t>FAI 40_3</t>
  </si>
  <si>
    <t>FAI 41-1</t>
    <phoneticPr fontId="9" type="noConversion"/>
  </si>
  <si>
    <t>FAI 41-2</t>
    <phoneticPr fontId="9" type="noConversion"/>
  </si>
  <si>
    <t>FAI 42</t>
    <phoneticPr fontId="9" type="noConversion"/>
  </si>
  <si>
    <t>FAI 43</t>
  </si>
  <si>
    <t>FAI 44</t>
  </si>
  <si>
    <t>FAI 44-1</t>
    <phoneticPr fontId="9" type="noConversion"/>
  </si>
  <si>
    <t>FAI 44-2</t>
  </si>
  <si>
    <t>FAI 44-3</t>
  </si>
  <si>
    <t>FAI 44-4</t>
  </si>
  <si>
    <t>FAI 45</t>
    <phoneticPr fontId="9" type="noConversion"/>
  </si>
  <si>
    <t>FAI 46</t>
  </si>
  <si>
    <t>FAI 54</t>
    <phoneticPr fontId="9" type="noConversion"/>
  </si>
  <si>
    <t>Diameter</t>
  </si>
  <si>
    <t>FAI 55</t>
    <phoneticPr fontId="9" type="noConversion"/>
  </si>
  <si>
    <t>True position</t>
  </si>
  <si>
    <t>FAI 60</t>
    <phoneticPr fontId="9" type="noConversion"/>
  </si>
  <si>
    <t>FAI 61</t>
  </si>
  <si>
    <t>FAI 63</t>
    <phoneticPr fontId="9" type="noConversion"/>
  </si>
  <si>
    <t>FAI 64</t>
  </si>
  <si>
    <t>FAI 65</t>
  </si>
  <si>
    <t>FAI 66</t>
  </si>
  <si>
    <t>FAI 67</t>
  </si>
  <si>
    <t>FAI 68</t>
  </si>
  <si>
    <t>FAI 69</t>
  </si>
  <si>
    <t>FAI 70</t>
  </si>
  <si>
    <t>FAI 71</t>
  </si>
  <si>
    <t>FAI 72</t>
  </si>
  <si>
    <t>FAI 73</t>
  </si>
  <si>
    <t>FAI 74</t>
  </si>
  <si>
    <t>FAI 75</t>
  </si>
  <si>
    <t>FAI 76</t>
  </si>
  <si>
    <t>FAI 77</t>
  </si>
  <si>
    <t>FAI 78</t>
  </si>
  <si>
    <t>FAI 82-1</t>
    <phoneticPr fontId="9" type="noConversion"/>
  </si>
  <si>
    <t>FAI 82-2</t>
  </si>
  <si>
    <t>FAI 82-3</t>
  </si>
  <si>
    <t>FAI 82-4</t>
  </si>
  <si>
    <t>FAI 82-5</t>
  </si>
  <si>
    <t>FAI 82-6</t>
  </si>
  <si>
    <t>FAI 85</t>
    <phoneticPr fontId="9" type="noConversion"/>
  </si>
  <si>
    <t>FAI 86</t>
  </si>
  <si>
    <t>FAI 87</t>
  </si>
  <si>
    <t>FAI 88</t>
  </si>
  <si>
    <t>FAI 89</t>
  </si>
  <si>
    <t>FAI 94_e1</t>
    <phoneticPr fontId="9" type="noConversion"/>
  </si>
  <si>
    <t>FAI 94_e2</t>
  </si>
  <si>
    <t>FAI 94_e3</t>
  </si>
  <si>
    <t>FAI 94_e4</t>
  </si>
  <si>
    <t>FAI 94_e5</t>
  </si>
  <si>
    <t>FAI 94_e6</t>
  </si>
  <si>
    <t>FAI 96-1</t>
    <phoneticPr fontId="9" type="noConversion"/>
  </si>
  <si>
    <t>FAI 96-2</t>
    <phoneticPr fontId="9" type="noConversion"/>
  </si>
  <si>
    <t>FAI 97</t>
    <phoneticPr fontId="9" type="noConversion"/>
  </si>
  <si>
    <t>FAI 98</t>
  </si>
  <si>
    <t>FAI 99</t>
  </si>
  <si>
    <t>FAI 100</t>
  </si>
  <si>
    <t>FAI 101_1</t>
    <phoneticPr fontId="9" type="noConversion"/>
  </si>
  <si>
    <t>FAI 101_2L</t>
    <phoneticPr fontId="9" type="noConversion"/>
  </si>
  <si>
    <t>FAI 101_2R</t>
    <phoneticPr fontId="9" type="noConversion"/>
  </si>
  <si>
    <t>FAI 101_3</t>
    <phoneticPr fontId="9" type="noConversion"/>
  </si>
  <si>
    <t>FAI 101_4</t>
    <phoneticPr fontId="9" type="noConversion"/>
  </si>
  <si>
    <t>FAI 101_5</t>
    <phoneticPr fontId="9" type="noConversion"/>
  </si>
  <si>
    <t>FAI 102</t>
    <phoneticPr fontId="9" type="noConversion"/>
  </si>
  <si>
    <t>FAI 103</t>
    <phoneticPr fontId="9" type="noConversion"/>
  </si>
  <si>
    <t>FAI 105</t>
    <phoneticPr fontId="9" type="noConversion"/>
  </si>
  <si>
    <t>FAI 106</t>
    <phoneticPr fontId="9" type="noConversion"/>
  </si>
  <si>
    <t>FAI 107-1</t>
    <phoneticPr fontId="9" type="noConversion"/>
  </si>
  <si>
    <t>FAI 107-2</t>
  </si>
  <si>
    <t>FAI 107-3</t>
  </si>
  <si>
    <t>FAI 108-1</t>
    <phoneticPr fontId="9" type="noConversion"/>
  </si>
  <si>
    <t>FAI 108-2</t>
  </si>
  <si>
    <t>FAI 109-1</t>
    <phoneticPr fontId="9" type="noConversion"/>
  </si>
  <si>
    <t>FAI 109-2</t>
  </si>
  <si>
    <t>FAI 110-1</t>
    <phoneticPr fontId="9" type="noConversion"/>
  </si>
  <si>
    <t>FAI 110-2</t>
    <phoneticPr fontId="9" type="noConversion"/>
  </si>
  <si>
    <t>FAI 111</t>
    <phoneticPr fontId="9" type="noConversion"/>
  </si>
  <si>
    <t>FAI 112-V1</t>
    <phoneticPr fontId="9" type="noConversion"/>
  </si>
  <si>
    <t>FAI 113-V1</t>
    <phoneticPr fontId="9" type="noConversion"/>
  </si>
  <si>
    <t>FAI 114-V1</t>
    <phoneticPr fontId="9" type="noConversion"/>
  </si>
  <si>
    <t>FAI 116-V1</t>
    <phoneticPr fontId="9" type="noConversion"/>
  </si>
  <si>
    <t>FAI 117-V1</t>
    <phoneticPr fontId="9" type="noConversion"/>
  </si>
  <si>
    <t>FAI 112-V2</t>
    <phoneticPr fontId="9" type="noConversion"/>
  </si>
  <si>
    <t>FAI 113-V2</t>
    <phoneticPr fontId="9" type="noConversion"/>
  </si>
  <si>
    <t>FAI 114-V2</t>
    <phoneticPr fontId="9" type="noConversion"/>
  </si>
  <si>
    <t>FAI 116-V2</t>
    <phoneticPr fontId="9" type="noConversion"/>
  </si>
  <si>
    <t>FAI 117-V2</t>
    <phoneticPr fontId="9" type="noConversion"/>
  </si>
  <si>
    <t>FAI 118-U</t>
    <phoneticPr fontId="9" type="noConversion"/>
  </si>
  <si>
    <t>FAI 119-U</t>
  </si>
  <si>
    <t>FAI 120-U</t>
  </si>
  <si>
    <t>FAI 122-U</t>
  </si>
  <si>
    <t>FAI 123-U</t>
  </si>
  <si>
    <t>FAI 124</t>
    <phoneticPr fontId="9" type="noConversion"/>
  </si>
  <si>
    <t>FAI 125</t>
    <phoneticPr fontId="9" type="noConversion"/>
  </si>
  <si>
    <t>Enhanced Cpk Data Sheet - Enclosures MD</t>
  </si>
  <si>
    <t xml:space="preserve">  </t>
    <phoneticPr fontId="44" type="noConversion"/>
  </si>
  <si>
    <t>DRAWING SPECIFICATIONS</t>
  </si>
  <si>
    <t>CALCULATED RESULTS</t>
  </si>
  <si>
    <t>DO NOT DELETE COLUMNS</t>
  </si>
  <si>
    <t xml:space="preserve">     MEASURED DATA</t>
    <phoneticPr fontId="9" type="noConversion"/>
  </si>
  <si>
    <t>(USL for one sided spec)</t>
  </si>
  <si>
    <t>(LSL for one sided spec)</t>
  </si>
  <si>
    <t>Tolerance needed to hit target Cpk</t>
  </si>
  <si>
    <t>Cp* =</t>
  </si>
  <si>
    <t>SPC</t>
    <phoneticPr fontId="48" type="noConversion"/>
  </si>
  <si>
    <t>Description</t>
    <phoneticPr fontId="49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</si>
  <si>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</si>
  <si>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</si>
  <si>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</si>
  <si>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</si>
  <si>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</si>
  <si>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</si>
  <si>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</si>
  <si>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4" type="noConversion"/>
  </si>
  <si>
    <t>Cp</t>
  </si>
  <si>
    <t>Ca</t>
  </si>
  <si>
    <t>Ca Level</t>
  </si>
  <si>
    <t>UCPK</t>
    <phoneticPr fontId="50" type="noConversion"/>
  </si>
  <si>
    <t>LCPK</t>
    <phoneticPr fontId="50" type="noConversion"/>
  </si>
  <si>
    <t>Cpk</t>
  </si>
  <si>
    <t>Yield</t>
  </si>
  <si>
    <t>+Tol =&gt; Cpk*</t>
  </si>
  <si>
    <t>-Tol =&gt; Cpk*</t>
  </si>
  <si>
    <t>Mean Shift</t>
    <phoneticPr fontId="44" type="noConversion"/>
  </si>
  <si>
    <t>Tol Range
=&gt; Cp*</t>
  </si>
  <si>
    <t>Normality Test</t>
    <phoneticPr fontId="9" type="noConversion"/>
  </si>
  <si>
    <t>Normality Result</t>
  </si>
  <si>
    <t>Notes</t>
  </si>
  <si>
    <t>A</t>
  </si>
  <si>
    <t>OMM</t>
  </si>
  <si>
    <t>No</t>
  </si>
  <si>
    <t>AL</t>
  </si>
  <si>
    <t>AOI</t>
  </si>
  <si>
    <t>C</t>
  </si>
  <si>
    <t>AM</t>
  </si>
  <si>
    <t>FAI 6-2</t>
  </si>
  <si>
    <t>CMM</t>
  </si>
  <si>
    <t>F</t>
  </si>
  <si>
    <t>G</t>
  </si>
  <si>
    <t>FAI 10</t>
    <phoneticPr fontId="9" type="noConversion"/>
  </si>
  <si>
    <t>U</t>
  </si>
  <si>
    <t>AB</t>
  </si>
  <si>
    <t>AC</t>
  </si>
  <si>
    <t>FAI 19</t>
    <phoneticPr fontId="9" type="noConversion"/>
  </si>
  <si>
    <t>AD</t>
  </si>
  <si>
    <t>FAI 20</t>
    <phoneticPr fontId="9" type="noConversion"/>
  </si>
  <si>
    <t>FAI 27-2</t>
  </si>
  <si>
    <t>AF</t>
  </si>
  <si>
    <t>FAI 29</t>
    <phoneticPr fontId="9" type="noConversion"/>
  </si>
  <si>
    <t>T</t>
  </si>
  <si>
    <t>FAI 30</t>
    <phoneticPr fontId="9" type="noConversion"/>
  </si>
  <si>
    <t>AE</t>
  </si>
  <si>
    <t>FAI 31</t>
    <phoneticPr fontId="9" type="noConversion"/>
  </si>
  <si>
    <t>W</t>
  </si>
  <si>
    <t>FAI 35-2</t>
  </si>
  <si>
    <t>FAI 38-2</t>
  </si>
  <si>
    <t>AN</t>
  </si>
  <si>
    <t>AI</t>
  </si>
  <si>
    <t>FAI 44</t>
    <phoneticPr fontId="9" type="noConversion"/>
  </si>
  <si>
    <t>AJ</t>
  </si>
  <si>
    <t>M</t>
  </si>
  <si>
    <t>L</t>
  </si>
  <si>
    <t>AS</t>
  </si>
  <si>
    <t>FAI 71</t>
    <phoneticPr fontId="9" type="noConversion"/>
  </si>
  <si>
    <t>AT</t>
  </si>
  <si>
    <t>FAI 72</t>
    <phoneticPr fontId="9" type="noConversion"/>
  </si>
  <si>
    <t>AU</t>
  </si>
  <si>
    <t>FAI 73</t>
    <phoneticPr fontId="9" type="noConversion"/>
  </si>
  <si>
    <t>AO</t>
  </si>
  <si>
    <t>AP</t>
  </si>
  <si>
    <t>FAI 88</t>
    <phoneticPr fontId="9" type="noConversion"/>
  </si>
  <si>
    <t>AV</t>
  </si>
  <si>
    <t>AZ</t>
    <phoneticPr fontId="9" type="noConversion"/>
  </si>
  <si>
    <t>FAI 118</t>
    <phoneticPr fontId="9" type="noConversion"/>
  </si>
  <si>
    <t>Cosmetic Waiver List</t>
  </si>
  <si>
    <t>Vendor Input</t>
  </si>
  <si>
    <t>No.</t>
  </si>
  <si>
    <t>Defect Name</t>
  </si>
  <si>
    <t>Description</t>
  </si>
  <si>
    <t>Picture</t>
  </si>
  <si>
    <t>Limit Sample</t>
    <phoneticPr fontId="0" type="noConversion"/>
  </si>
  <si>
    <t>Proposal</t>
    <phoneticPr fontId="0" type="noConversion"/>
  </si>
  <si>
    <r>
      <t xml:space="preserve"> Grading  Yield</t>
    </r>
    <r>
      <rPr>
        <sz val="14"/>
        <rFont val="細明體"/>
        <family val="3"/>
        <charset val="136"/>
      </rPr>
      <t/>
    </r>
  </si>
  <si>
    <t>Root Cause</t>
    <phoneticPr fontId="0" type="noConversion"/>
  </si>
  <si>
    <t>Corrective Action</t>
    <phoneticPr fontId="0" type="noConversion"/>
  </si>
  <si>
    <t>SQE disposition</t>
    <phoneticPr fontId="0" type="noConversion"/>
  </si>
  <si>
    <t>SBE disposition</t>
    <phoneticPr fontId="0" type="noConversion"/>
  </si>
  <si>
    <t>PD disposition</t>
    <phoneticPr fontId="0" type="noConversion"/>
  </si>
  <si>
    <t xml:space="preserve"> Spec</t>
    <phoneticPr fontId="0" type="noConversion"/>
  </si>
  <si>
    <t>Yield</t>
    <phoneticPr fontId="0" type="noConversion"/>
  </si>
  <si>
    <t>Waiver Spec</t>
    <phoneticPr fontId="0" type="noConversion"/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</si>
  <si>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</si>
  <si>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</si>
  <si>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</si>
  <si>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</si>
  <si>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Dimensional Waiver List</t>
  </si>
  <si>
    <t>FAI</t>
  </si>
  <si>
    <t>SPC</t>
  </si>
  <si>
    <t>Inpsection Method</t>
  </si>
  <si>
    <t>Spec</t>
  </si>
  <si>
    <t>Waiver Proposal</t>
  </si>
  <si>
    <t>Tol+</t>
  </si>
  <si>
    <t>Tol-</t>
  </si>
  <si>
    <t>Yield %</t>
  </si>
  <si>
    <t>Functional Waiver List</t>
  </si>
  <si>
    <t>Reliability Waiver List</t>
  </si>
  <si>
    <t>REL/ORT Test</t>
  </si>
  <si>
    <t>Checkpoint</t>
  </si>
  <si>
    <t>Input Qty</t>
  </si>
  <si>
    <t>NG Qty</t>
  </si>
  <si>
    <t>Failure Mode</t>
  </si>
  <si>
    <t>Revision</t>
  </si>
  <si>
    <t>Date</t>
  </si>
  <si>
    <t>Author</t>
    <phoneticPr fontId="0" type="noConversion"/>
  </si>
  <si>
    <t>Comments</t>
  </si>
  <si>
    <t>Tim Burks</t>
  </si>
  <si>
    <t>Initial Release</t>
  </si>
  <si>
    <t>OBA:</t>
    <phoneticPr fontId="0" type="noConversion"/>
  </si>
  <si>
    <t>OK</t>
    <phoneticPr fontId="9" type="noConversion"/>
  </si>
  <si>
    <t>817-09243</t>
  </si>
  <si>
    <t>MP</t>
    <phoneticPr fontId="9" type="noConversion"/>
  </si>
  <si>
    <t>3HUK00002A/320/DP142010200B4BB</t>
  </si>
  <si>
    <t>FAI 121-U</t>
    <phoneticPr fontId="9" type="noConversion"/>
  </si>
  <si>
    <t>AW</t>
    <phoneticPr fontId="9" type="noConversion"/>
  </si>
  <si>
    <t>AQ</t>
    <phoneticPr fontId="9" type="noConversion"/>
  </si>
  <si>
    <t>V</t>
    <phoneticPr fontId="9" type="noConversion"/>
  </si>
  <si>
    <t>D</t>
    <phoneticPr fontId="9" type="noConversion"/>
  </si>
  <si>
    <t>E</t>
    <phoneticPr fontId="9" type="noConversion"/>
  </si>
  <si>
    <t>Z</t>
    <phoneticPr fontId="9" type="noConversion"/>
  </si>
  <si>
    <t>Y</t>
    <phoneticPr fontId="9" type="noConversion"/>
  </si>
  <si>
    <t>X</t>
    <phoneticPr fontId="9" type="noConversion"/>
  </si>
  <si>
    <t>AG</t>
    <phoneticPr fontId="9" type="noConversion"/>
  </si>
  <si>
    <t>AK</t>
    <phoneticPr fontId="9" type="noConversion"/>
  </si>
  <si>
    <t>AH</t>
    <phoneticPr fontId="9" type="noConversion"/>
  </si>
  <si>
    <t>MCO Rev.D / MSoP Rev.C /
PGM Rev.A</t>
    <phoneticPr fontId="9" type="noConversion"/>
  </si>
  <si>
    <t>FAI 83-1</t>
    <phoneticPr fontId="9" type="noConversion"/>
  </si>
  <si>
    <t>Roughness</t>
    <phoneticPr fontId="9" type="noConversion"/>
  </si>
  <si>
    <t xml:space="preserve"> Roughness
Tester</t>
    <phoneticPr fontId="9" type="noConversion"/>
  </si>
  <si>
    <t>FAI 83-2</t>
  </si>
  <si>
    <t>FAI 83-3</t>
  </si>
  <si>
    <t>FAI 84-1</t>
    <phoneticPr fontId="9" type="noConversion"/>
  </si>
  <si>
    <t>FAI 84-2</t>
  </si>
  <si>
    <t>FAI 84-3</t>
  </si>
  <si>
    <t>FAI 84-4</t>
  </si>
  <si>
    <t>FAI 84-5</t>
  </si>
  <si>
    <t>FAI 84-6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</si>
</sst>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0.0%"/>
    <numFmt numFmtId="178" formatCode="[$-409]d/mmm;@"/>
    <numFmt numFmtId="179" formatCode="0_);[Red]\(0\)"/>
    <numFmt numFmtId="180" formatCode="#,##0.0000"/>
    <numFmt numFmtId="181" formatCode="0.00_);[Red]\(0.00\)"/>
    <numFmt numFmtId="182" formatCode="0.000"/>
    <numFmt numFmtId="183" formatCode="0.000_ "/>
    <numFmt numFmtId="184" formatCode="0.0000"/>
    <numFmt numFmtId="185" formatCode="yyyy\-mm\-dd;@"/>
    <numFmt numFmtId="186" formatCode="m/d/yyyy;@"/>
  </numFmts>
  <fonts count="66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theme="1"/>
      <name val="Helvetica Neue"/>
    </font>
    <font>
      <sz val="12"/>
      <color indexed="8"/>
      <name val="맑은 고딕"/>
      <family val="3"/>
      <charset val="129"/>
      <scheme val="maj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sz val="11"/>
      <color rgb="FFFF0000"/>
      <name val="宋体"/>
      <family val="3"/>
      <charset val="134"/>
    </font>
    <font>
      <sz val="12"/>
      <color rgb="FFFF0000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0"/>
      <color rgb="FF00000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2"/>
      <name val="Times New Roman"/>
      <family val="1"/>
    </font>
    <font>
      <b/>
      <i/>
      <sz val="12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20"/>
      <name val="Helvetica Neue"/>
      <family val="2"/>
    </font>
    <font>
      <sz val="14"/>
      <name val="Helvetica Neue"/>
      <family val="2"/>
    </font>
    <font>
      <sz val="14"/>
      <name val="細明體"/>
      <family val="3"/>
      <charset val="136"/>
    </font>
    <font>
      <sz val="12"/>
      <name val="Helvetica Neue"/>
      <family val="1"/>
    </font>
    <font>
      <b/>
      <sz val="12"/>
      <color rgb="FF212121"/>
      <name val="Helvetica Neue"/>
      <family val="2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89">
    <xf numFmtId="0" fontId="0" fillId="0" borderId="0"/>
    <xf numFmtId="0" fontId="6" fillId="0" borderId="0"/>
    <xf numFmtId="9" fontId="6" fillId="0" borderId="0" applyFont="0" applyFill="0" applyBorder="0" applyAlignment="0" applyProtection="0"/>
    <xf numFmtId="0" fontId="8" fillId="0" borderId="0"/>
    <xf numFmtId="178" fontId="10" fillId="0" borderId="0"/>
    <xf numFmtId="178" fontId="10" fillId="0" borderId="0"/>
    <xf numFmtId="9" fontId="11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12" applyNumberFormat="0" applyAlignment="0" applyProtection="0">
      <alignment vertical="center"/>
    </xf>
    <xf numFmtId="0" fontId="26" fillId="10" borderId="13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11" borderId="15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4" fillId="0" borderId="0"/>
    <xf numFmtId="9" fontId="17" fillId="0" borderId="0" applyFont="0" applyFill="0" applyBorder="0" applyAlignment="0" applyProtection="0"/>
    <xf numFmtId="0" fontId="14" fillId="0" borderId="0"/>
    <xf numFmtId="9" fontId="7" fillId="0" borderId="0" applyFont="0" applyFill="0" applyBorder="0" applyAlignment="0" applyProtection="0"/>
    <xf numFmtId="0" fontId="13" fillId="0" borderId="0"/>
    <xf numFmtId="177" fontId="11" fillId="0" borderId="0" applyFill="0" applyBorder="0" applyAlignment="0"/>
    <xf numFmtId="180" fontId="11" fillId="0" borderId="0" applyFill="0" applyBorder="0" applyAlignment="0"/>
    <xf numFmtId="0" fontId="15" fillId="0" borderId="18" applyNumberFormat="0" applyAlignment="0" applyProtection="0">
      <alignment horizontal="left" vertical="center"/>
    </xf>
    <xf numFmtId="0" fontId="15" fillId="0" borderId="7">
      <alignment horizontal="left" vertical="center"/>
    </xf>
    <xf numFmtId="180" fontId="11" fillId="0" borderId="0" applyFill="0" applyBorder="0" applyAlignment="0"/>
    <xf numFmtId="0" fontId="14" fillId="0" borderId="0"/>
    <xf numFmtId="180" fontId="11" fillId="0" borderId="0" applyFill="0" applyBorder="0" applyAlignment="0"/>
    <xf numFmtId="49" fontId="12" fillId="0" borderId="0" applyFill="0" applyBorder="0" applyAlignment="0"/>
    <xf numFmtId="180" fontId="11" fillId="0" borderId="0" applyFill="0" applyBorder="0" applyAlignment="0"/>
    <xf numFmtId="0" fontId="2" fillId="0" borderId="0">
      <alignment vertical="center"/>
    </xf>
    <xf numFmtId="0" fontId="2" fillId="12" borderId="16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16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6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6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6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6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6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6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6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6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6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6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6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6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6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6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7" fillId="0" borderId="0"/>
    <xf numFmtId="176" fontId="16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54" fillId="0" borderId="0"/>
    <xf numFmtId="178" fontId="10" fillId="0" borderId="0"/>
  </cellStyleXfs>
  <cellXfs count="19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shrinkToFit="1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 shrinkToFit="1"/>
    </xf>
    <xf numFmtId="0" fontId="4" fillId="0" borderId="3" xfId="0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shrinkToFit="1"/>
    </xf>
    <xf numFmtId="3" fontId="4" fillId="0" borderId="2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shrinkToFit="1"/>
    </xf>
    <xf numFmtId="0" fontId="35" fillId="0" borderId="0" xfId="62" applyFont="1" applyAlignment="1">
      <alignment horizontal="center" vertical="center"/>
    </xf>
    <xf numFmtId="179" fontId="35" fillId="0" borderId="0" xfId="62" applyNumberFormat="1" applyFont="1" applyAlignment="1">
      <alignment horizontal="center" vertical="center"/>
    </xf>
    <xf numFmtId="14" fontId="4" fillId="0" borderId="20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3" fontId="4" fillId="0" borderId="19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1" fillId="0" borderId="0" xfId="0" applyFont="1" applyAlignment="1" applyProtection="1">
      <alignment vertical="center"/>
      <protection locked="0"/>
    </xf>
    <xf numFmtId="0" fontId="37" fillId="0" borderId="0" xfId="0" applyFont="1" applyAlignment="1">
      <alignment vertical="center"/>
    </xf>
    <xf numFmtId="0" fontId="38" fillId="0" borderId="19" xfId="0" applyFont="1" applyBorder="1" applyAlignment="1">
      <alignment horizontal="center" vertical="center"/>
    </xf>
    <xf numFmtId="0" fontId="11" fillId="0" borderId="0" xfId="0" applyFont="1" applyAlignment="1" applyProtection="1">
      <alignment horizontal="center" vertical="center"/>
      <protection locked="0"/>
    </xf>
    <xf numFmtId="0" fontId="38" fillId="0" borderId="0" xfId="0" applyFont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182" fontId="11" fillId="0" borderId="0" xfId="0" applyNumberFormat="1" applyFont="1" applyAlignment="1" applyProtection="1">
      <alignment horizontal="center" vertical="center"/>
      <protection locked="0"/>
    </xf>
    <xf numFmtId="0" fontId="11" fillId="0" borderId="19" xfId="5" quotePrefix="1" applyNumberFormat="1" applyFont="1" applyBorder="1" applyAlignment="1">
      <alignment horizontal="center" vertical="center"/>
    </xf>
    <xf numFmtId="0" fontId="11" fillId="0" borderId="19" xfId="4" applyNumberFormat="1" applyFont="1" applyBorder="1" applyAlignment="1">
      <alignment horizontal="center" vertical="center"/>
    </xf>
    <xf numFmtId="182" fontId="11" fillId="0" borderId="19" xfId="0" applyNumberFormat="1" applyFont="1" applyBorder="1" applyAlignment="1" applyProtection="1">
      <alignment horizontal="center" vertical="center"/>
      <protection locked="0"/>
    </xf>
    <xf numFmtId="49" fontId="11" fillId="0" borderId="19" xfId="0" applyNumberFormat="1" applyFont="1" applyBorder="1" applyAlignment="1" applyProtection="1">
      <alignment horizontal="center" vertical="center"/>
      <protection locked="0"/>
    </xf>
    <xf numFmtId="182" fontId="11" fillId="0" borderId="21" xfId="0" applyNumberFormat="1" applyFont="1" applyBorder="1" applyAlignment="1" applyProtection="1">
      <alignment horizontal="center" vertical="center"/>
      <protection locked="0"/>
    </xf>
    <xf numFmtId="182" fontId="11" fillId="0" borderId="22" xfId="0" applyNumberFormat="1" applyFont="1" applyBorder="1" applyAlignment="1" applyProtection="1">
      <alignment horizontal="center" vertical="center"/>
      <protection locked="0"/>
    </xf>
    <xf numFmtId="182" fontId="11" fillId="0" borderId="21" xfId="0" applyNumberFormat="1" applyFont="1" applyBorder="1" applyAlignment="1">
      <alignment horizontal="center" vertical="center"/>
    </xf>
    <xf numFmtId="182" fontId="11" fillId="0" borderId="22" xfId="0" applyNumberFormat="1" applyFont="1" applyBorder="1" applyAlignment="1">
      <alignment horizontal="center" vertical="center"/>
    </xf>
    <xf numFmtId="9" fontId="12" fillId="0" borderId="22" xfId="0" quotePrefix="1" applyNumberFormat="1" applyFont="1" applyBorder="1" applyAlignment="1">
      <alignment horizontal="center" vertical="center"/>
    </xf>
    <xf numFmtId="9" fontId="12" fillId="0" borderId="22" xfId="0" applyNumberFormat="1" applyFont="1" applyBorder="1" applyAlignment="1">
      <alignment horizontal="center" vertical="center"/>
    </xf>
    <xf numFmtId="49" fontId="11" fillId="0" borderId="22" xfId="0" applyNumberFormat="1" applyFont="1" applyBorder="1" applyAlignment="1" applyProtection="1">
      <alignment horizontal="center" vertical="center" wrapText="1"/>
      <protection locked="0"/>
    </xf>
    <xf numFmtId="0" fontId="41" fillId="0" borderId="0" xfId="0" applyFont="1" applyAlignment="1" applyProtection="1">
      <alignment horizontal="right" vertical="center"/>
      <protection locked="0"/>
    </xf>
    <xf numFmtId="49" fontId="11" fillId="0" borderId="19" xfId="0" applyNumberFormat="1" applyFont="1" applyBorder="1" applyAlignment="1" applyProtection="1">
      <alignment horizontal="center" vertical="center" wrapText="1"/>
      <protection locked="0"/>
    </xf>
    <xf numFmtId="182" fontId="11" fillId="0" borderId="19" xfId="0" applyNumberFormat="1" applyFont="1" applyBorder="1" applyAlignment="1">
      <alignment horizontal="center" vertical="center"/>
    </xf>
    <xf numFmtId="9" fontId="12" fillId="0" borderId="19" xfId="0" quotePrefix="1" applyNumberFormat="1" applyFont="1" applyBorder="1" applyAlignment="1">
      <alignment horizontal="center" vertical="center"/>
    </xf>
    <xf numFmtId="9" fontId="12" fillId="0" borderId="19" xfId="0" applyNumberFormat="1" applyFont="1" applyBorder="1" applyAlignment="1">
      <alignment horizontal="center" vertical="center"/>
    </xf>
    <xf numFmtId="179" fontId="11" fillId="0" borderId="0" xfId="0" applyNumberFormat="1" applyFont="1" applyAlignment="1" applyProtection="1">
      <alignment vertical="center"/>
      <protection locked="0"/>
    </xf>
    <xf numFmtId="0" fontId="36" fillId="0" borderId="0" xfId="0" applyFont="1" applyAlignment="1">
      <alignment horizontal="center"/>
    </xf>
    <xf numFmtId="0" fontId="11" fillId="0" borderId="0" xfId="0" applyFont="1" applyProtection="1">
      <protection locked="0"/>
    </xf>
    <xf numFmtId="0" fontId="11" fillId="0" borderId="0" xfId="0" applyFont="1" applyAlignment="1">
      <alignment horizontal="center"/>
    </xf>
    <xf numFmtId="0" fontId="11" fillId="0" borderId="0" xfId="0" applyFont="1"/>
    <xf numFmtId="0" fontId="37" fillId="0" borderId="23" xfId="0" applyFont="1" applyBorder="1"/>
    <xf numFmtId="0" fontId="37" fillId="0" borderId="20" xfId="0" applyFont="1" applyBorder="1"/>
    <xf numFmtId="0" fontId="11" fillId="0" borderId="8" xfId="0" applyFont="1" applyBorder="1" applyAlignment="1" applyProtection="1">
      <alignment horizontal="center"/>
      <protection locked="0"/>
    </xf>
    <xf numFmtId="0" fontId="37" fillId="0" borderId="3" xfId="0" applyFont="1" applyBorder="1"/>
    <xf numFmtId="0" fontId="11" fillId="0" borderId="0" xfId="0" applyFont="1" applyAlignment="1" applyProtection="1">
      <alignment horizontal="center"/>
      <protection locked="0"/>
    </xf>
    <xf numFmtId="58" fontId="38" fillId="0" borderId="20" xfId="48" applyNumberFormat="1" applyFont="1" applyBorder="1" applyAlignment="1" applyProtection="1">
      <alignment wrapText="1"/>
      <protection locked="0"/>
    </xf>
    <xf numFmtId="2" fontId="38" fillId="0" borderId="20" xfId="48" applyNumberFormat="1" applyFont="1" applyBorder="1" applyAlignment="1" applyProtection="1">
      <alignment wrapText="1"/>
      <protection locked="0"/>
    </xf>
    <xf numFmtId="0" fontId="45" fillId="0" borderId="20" xfId="0" quotePrefix="1" applyFont="1" applyBorder="1" applyAlignment="1">
      <alignment horizontal="center" vertical="center" wrapText="1"/>
    </xf>
    <xf numFmtId="0" fontId="38" fillId="0" borderId="20" xfId="0" applyFont="1" applyBorder="1" applyAlignment="1">
      <alignment wrapText="1"/>
    </xf>
    <xf numFmtId="0" fontId="38" fillId="0" borderId="20" xfId="48" applyFont="1" applyBorder="1" applyAlignment="1">
      <alignment wrapText="1"/>
    </xf>
    <xf numFmtId="0" fontId="38" fillId="0" borderId="20" xfId="48" applyFont="1" applyBorder="1"/>
    <xf numFmtId="2" fontId="38" fillId="0" borderId="20" xfId="48" applyNumberFormat="1" applyFont="1" applyBorder="1"/>
    <xf numFmtId="182" fontId="38" fillId="0" borderId="20" xfId="48" applyNumberFormat="1" applyFont="1" applyBorder="1"/>
    <xf numFmtId="0" fontId="38" fillId="0" borderId="2" xfId="0" applyFont="1" applyBorder="1" applyAlignment="1">
      <alignment horizontal="center" vertical="center" wrapText="1"/>
    </xf>
    <xf numFmtId="2" fontId="11" fillId="0" borderId="5" xfId="0" applyNumberFormat="1" applyFont="1" applyBorder="1" applyAlignment="1">
      <alignment horizontal="center" vertical="center" wrapText="1"/>
    </xf>
    <xf numFmtId="0" fontId="46" fillId="0" borderId="20" xfId="48" applyFont="1" applyBorder="1" applyAlignment="1" applyProtection="1">
      <alignment wrapText="1"/>
      <protection locked="0"/>
    </xf>
    <xf numFmtId="0" fontId="37" fillId="0" borderId="20" xfId="0" applyFont="1" applyBorder="1" applyAlignment="1">
      <alignment vertical="center"/>
    </xf>
    <xf numFmtId="0" fontId="37" fillId="0" borderId="3" xfId="0" applyFont="1" applyBorder="1" applyAlignment="1">
      <alignment vertical="center"/>
    </xf>
    <xf numFmtId="0" fontId="47" fillId="0" borderId="23" xfId="0" applyFont="1" applyBorder="1"/>
    <xf numFmtId="58" fontId="38" fillId="0" borderId="22" xfId="48" applyNumberFormat="1" applyFont="1" applyBorder="1" applyAlignment="1" applyProtection="1">
      <alignment horizontal="center" vertical="center" wrapText="1"/>
      <protection locked="0"/>
    </xf>
    <xf numFmtId="2" fontId="38" fillId="0" borderId="22" xfId="48" applyNumberFormat="1" applyFont="1" applyBorder="1" applyAlignment="1" applyProtection="1">
      <alignment horizontal="center" vertical="center" wrapText="1"/>
      <protection locked="0"/>
    </xf>
    <xf numFmtId="49" fontId="38" fillId="0" borderId="22" xfId="0" quotePrefix="1" applyNumberFormat="1" applyFont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38" fillId="0" borderId="22" xfId="48" applyFont="1" applyBorder="1" applyAlignment="1">
      <alignment horizontal="center" wrapText="1"/>
    </xf>
    <xf numFmtId="0" fontId="38" fillId="0" borderId="22" xfId="48" applyFont="1" applyBorder="1" applyAlignment="1">
      <alignment horizontal="center" vertical="center"/>
    </xf>
    <xf numFmtId="2" fontId="38" fillId="0" borderId="22" xfId="48" applyNumberFormat="1" applyFont="1" applyBorder="1" applyAlignment="1">
      <alignment horizontal="center" vertical="center"/>
    </xf>
    <xf numFmtId="182" fontId="38" fillId="0" borderId="22" xfId="48" applyNumberFormat="1" applyFont="1" applyBorder="1" applyAlignment="1">
      <alignment horizontal="center" vertical="center"/>
    </xf>
    <xf numFmtId="182" fontId="38" fillId="0" borderId="22" xfId="48" quotePrefix="1" applyNumberFormat="1" applyFont="1" applyBorder="1" applyAlignment="1">
      <alignment horizontal="center" vertical="center"/>
    </xf>
    <xf numFmtId="182" fontId="38" fillId="0" borderId="22" xfId="48" quotePrefix="1" applyNumberFormat="1" applyFont="1" applyBorder="1" applyAlignment="1">
      <alignment horizontal="center" vertical="center" wrapText="1"/>
    </xf>
    <xf numFmtId="0" fontId="38" fillId="0" borderId="22" xfId="48" applyFont="1" applyBorder="1" applyAlignment="1" applyProtection="1">
      <alignment horizontal="center" wrapText="1"/>
      <protection locked="0"/>
    </xf>
    <xf numFmtId="0" fontId="47" fillId="0" borderId="4" xfId="0" applyFont="1" applyBorder="1"/>
    <xf numFmtId="0" fontId="38" fillId="0" borderId="19" xfId="48" applyFont="1" applyBorder="1" applyAlignment="1" applyProtection="1">
      <alignment horizontal="center" vertical="center"/>
      <protection locked="0"/>
    </xf>
    <xf numFmtId="0" fontId="51" fillId="0" borderId="0" xfId="0" applyFont="1"/>
    <xf numFmtId="0" fontId="52" fillId="0" borderId="22" xfId="364" applyFont="1" applyBorder="1" applyAlignment="1" applyProtection="1">
      <alignment horizontal="center"/>
      <protection locked="0"/>
    </xf>
    <xf numFmtId="179" fontId="52" fillId="0" borderId="21" xfId="7" quotePrefix="1" applyNumberFormat="1" applyFont="1" applyFill="1" applyBorder="1" applyAlignment="1" applyProtection="1">
      <alignment horizontal="center" vertical="center"/>
      <protection locked="0"/>
    </xf>
    <xf numFmtId="0" fontId="53" fillId="0" borderId="22" xfId="364" applyFont="1" applyBorder="1" applyAlignment="1" applyProtection="1">
      <alignment horizontal="center"/>
      <protection locked="0"/>
    </xf>
    <xf numFmtId="182" fontId="11" fillId="0" borderId="19" xfId="364" applyNumberFormat="1" applyFont="1" applyBorder="1" applyAlignment="1" applyProtection="1">
      <alignment horizontal="center"/>
      <protection locked="0"/>
    </xf>
    <xf numFmtId="182" fontId="11" fillId="0" borderId="19" xfId="687" applyNumberFormat="1" applyFont="1" applyBorder="1" applyAlignment="1" applyProtection="1">
      <alignment horizontal="center" wrapText="1"/>
      <protection locked="0"/>
    </xf>
    <xf numFmtId="49" fontId="11" fillId="0" borderId="19" xfId="687" applyNumberFormat="1" applyFont="1" applyBorder="1" applyAlignment="1" applyProtection="1">
      <alignment horizontal="center" vertical="center" wrapText="1"/>
      <protection locked="0"/>
    </xf>
    <xf numFmtId="49" fontId="11" fillId="0" borderId="8" xfId="687" applyNumberFormat="1" applyFont="1" applyBorder="1" applyAlignment="1" applyProtection="1">
      <alignment horizontal="center" vertical="center" wrapText="1"/>
      <protection locked="0"/>
    </xf>
    <xf numFmtId="182" fontId="11" fillId="0" borderId="8" xfId="0" applyNumberFormat="1" applyFont="1" applyBorder="1" applyAlignment="1" applyProtection="1">
      <alignment horizontal="center"/>
      <protection locked="0"/>
    </xf>
    <xf numFmtId="0" fontId="53" fillId="0" borderId="23" xfId="0" applyFont="1" applyBorder="1"/>
    <xf numFmtId="183" fontId="11" fillId="0" borderId="19" xfId="687" applyNumberFormat="1" applyFont="1" applyBorder="1" applyAlignment="1">
      <alignment horizontal="center"/>
    </xf>
    <xf numFmtId="183" fontId="11" fillId="0" borderId="19" xfId="48" applyNumberFormat="1" applyFont="1" applyBorder="1" applyAlignment="1">
      <alignment horizontal="center"/>
    </xf>
    <xf numFmtId="182" fontId="11" fillId="0" borderId="19" xfId="48" applyNumberFormat="1" applyFont="1" applyBorder="1" applyAlignment="1">
      <alignment horizontal="center"/>
    </xf>
    <xf numFmtId="10" fontId="11" fillId="0" borderId="19" xfId="48" applyNumberFormat="1" applyFont="1" applyBorder="1" applyAlignment="1">
      <alignment horizontal="center"/>
    </xf>
    <xf numFmtId="9" fontId="11" fillId="0" borderId="2" xfId="49" applyFont="1" applyFill="1" applyBorder="1" applyAlignment="1">
      <alignment horizontal="center"/>
    </xf>
    <xf numFmtId="182" fontId="11" fillId="0" borderId="2" xfId="49" applyNumberFormat="1" applyFont="1" applyFill="1" applyBorder="1" applyAlignment="1">
      <alignment horizontal="center"/>
    </xf>
    <xf numFmtId="182" fontId="11" fillId="0" borderId="19" xfId="687" applyNumberFormat="1" applyFont="1" applyBorder="1" applyAlignment="1" applyProtection="1">
      <alignment horizontal="center"/>
      <protection locked="0"/>
    </xf>
    <xf numFmtId="0" fontId="38" fillId="0" borderId="19" xfId="687" applyFont="1" applyBorder="1" applyAlignment="1" applyProtection="1">
      <alignment horizontal="center"/>
      <protection locked="0"/>
    </xf>
    <xf numFmtId="0" fontId="38" fillId="0" borderId="19" xfId="687" applyFont="1" applyBorder="1" applyAlignment="1" applyProtection="1">
      <alignment horizontal="left"/>
      <protection locked="0"/>
    </xf>
    <xf numFmtId="0" fontId="38" fillId="0" borderId="0" xfId="687" applyFont="1" applyAlignment="1" applyProtection="1">
      <alignment horizontal="center"/>
      <protection locked="0"/>
    </xf>
    <xf numFmtId="0" fontId="38" fillId="0" borderId="3" xfId="687" applyFont="1" applyBorder="1" applyAlignment="1" applyProtection="1">
      <alignment horizontal="center"/>
      <protection locked="0"/>
    </xf>
    <xf numFmtId="184" fontId="11" fillId="0" borderId="19" xfId="688" applyNumberFormat="1" applyFont="1" applyBorder="1" applyAlignment="1">
      <alignment horizontal="center" vertical="center"/>
    </xf>
    <xf numFmtId="0" fontId="55" fillId="0" borderId="0" xfId="0" applyFont="1"/>
    <xf numFmtId="0" fontId="52" fillId="0" borderId="21" xfId="364" applyFont="1" applyBorder="1" applyAlignment="1" applyProtection="1">
      <alignment horizontal="center"/>
      <protection locked="0"/>
    </xf>
    <xf numFmtId="0" fontId="56" fillId="0" borderId="23" xfId="0" applyFont="1" applyBorder="1"/>
    <xf numFmtId="177" fontId="11" fillId="0" borderId="2" xfId="49" applyNumberFormat="1" applyFont="1" applyFill="1" applyBorder="1" applyAlignment="1">
      <alignment horizontal="center"/>
    </xf>
    <xf numFmtId="0" fontId="52" fillId="0" borderId="19" xfId="364" applyFont="1" applyBorder="1" applyAlignment="1" applyProtection="1">
      <alignment horizontal="center"/>
      <protection locked="0"/>
    </xf>
    <xf numFmtId="179" fontId="52" fillId="0" borderId="19" xfId="7" quotePrefix="1" applyNumberFormat="1" applyFont="1" applyFill="1" applyBorder="1" applyAlignment="1" applyProtection="1">
      <alignment horizontal="center" vertical="center"/>
      <protection locked="0"/>
    </xf>
    <xf numFmtId="0" fontId="3" fillId="0" borderId="0" xfId="1" applyFont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horizontal="center" vertical="center"/>
    </xf>
    <xf numFmtId="0" fontId="60" fillId="0" borderId="0" xfId="1" applyFont="1" applyAlignment="1">
      <alignment vertical="center"/>
    </xf>
    <xf numFmtId="0" fontId="60" fillId="0" borderId="0" xfId="1" applyFont="1"/>
    <xf numFmtId="0" fontId="4" fillId="0" borderId="0" xfId="1" applyFont="1" applyAlignment="1">
      <alignment vertical="center"/>
    </xf>
    <xf numFmtId="0" fontId="5" fillId="5" borderId="19" xfId="1" applyFont="1" applyFill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4" fillId="4" borderId="19" xfId="1" applyFont="1" applyFill="1" applyBorder="1" applyAlignment="1">
      <alignment horizontal="center" vertical="center"/>
    </xf>
    <xf numFmtId="0" fontId="4" fillId="0" borderId="19" xfId="1" applyFont="1" applyBorder="1" applyAlignment="1">
      <alignment horizontal="center" vertical="center" wrapText="1"/>
    </xf>
    <xf numFmtId="177" fontId="4" fillId="0" borderId="19" xfId="2" applyNumberFormat="1" applyFont="1" applyFill="1" applyBorder="1" applyAlignment="1">
      <alignment horizontal="left" vertical="center" wrapText="1"/>
    </xf>
    <xf numFmtId="9" fontId="4" fillId="0" borderId="19" xfId="2" applyFont="1" applyFill="1" applyBorder="1" applyAlignment="1">
      <alignment horizontal="center" vertical="center" wrapText="1"/>
    </xf>
    <xf numFmtId="9" fontId="4" fillId="4" borderId="19" xfId="2" applyFont="1" applyFill="1" applyBorder="1" applyAlignment="1">
      <alignment horizontal="center" vertical="center" wrapText="1"/>
    </xf>
    <xf numFmtId="10" fontId="4" fillId="4" borderId="19" xfId="2" applyNumberFormat="1" applyFont="1" applyFill="1" applyBorder="1" applyAlignment="1">
      <alignment horizontal="left" vertical="center" wrapText="1"/>
    </xf>
    <xf numFmtId="0" fontId="4" fillId="4" borderId="19" xfId="2" quotePrefix="1" applyNumberFormat="1" applyFont="1" applyFill="1" applyBorder="1" applyAlignment="1">
      <alignment horizontal="left" vertical="center" wrapText="1"/>
    </xf>
    <xf numFmtId="9" fontId="4" fillId="4" borderId="19" xfId="2" applyFont="1" applyFill="1" applyBorder="1" applyAlignment="1">
      <alignment horizontal="left" vertical="center" wrapText="1"/>
    </xf>
    <xf numFmtId="0" fontId="4" fillId="0" borderId="19" xfId="1" applyFont="1" applyBorder="1" applyAlignment="1">
      <alignment horizontal="left" vertical="center" wrapText="1"/>
    </xf>
    <xf numFmtId="0" fontId="4" fillId="4" borderId="19" xfId="2" applyNumberFormat="1" applyFont="1" applyFill="1" applyBorder="1" applyAlignment="1">
      <alignment horizontal="left" vertical="center" wrapText="1"/>
    </xf>
    <xf numFmtId="0" fontId="4" fillId="0" borderId="19" xfId="2" applyNumberFormat="1" applyFont="1" applyFill="1" applyBorder="1" applyAlignment="1">
      <alignment horizontal="center" vertical="center" wrapText="1"/>
    </xf>
    <xf numFmtId="10" fontId="4" fillId="4" borderId="19" xfId="2" quotePrefix="1" applyNumberFormat="1" applyFont="1" applyFill="1" applyBorder="1" applyAlignment="1">
      <alignment horizontal="left" vertical="center" wrapText="1"/>
    </xf>
    <xf numFmtId="10" fontId="62" fillId="4" borderId="19" xfId="2" quotePrefix="1" applyNumberFormat="1" applyFont="1" applyFill="1" applyBorder="1" applyAlignment="1">
      <alignment horizontal="left" vertical="center" wrapText="1"/>
    </xf>
    <xf numFmtId="0" fontId="5" fillId="5" borderId="20" xfId="1" applyFont="1" applyFill="1" applyBorder="1" applyAlignment="1">
      <alignment horizontal="center" vertical="center"/>
    </xf>
    <xf numFmtId="0" fontId="7" fillId="0" borderId="19" xfId="1" applyFont="1" applyBorder="1" applyAlignment="1">
      <alignment horizontal="center" vertical="center" wrapText="1"/>
    </xf>
    <xf numFmtId="0" fontId="63" fillId="5" borderId="19" xfId="3" applyFont="1" applyFill="1" applyBorder="1" applyAlignment="1">
      <alignment horizontal="center" vertical="center"/>
    </xf>
    <xf numFmtId="0" fontId="64" fillId="4" borderId="19" xfId="3" applyFont="1" applyFill="1" applyBorder="1" applyAlignment="1">
      <alignment horizontal="center" vertical="center"/>
    </xf>
    <xf numFmtId="185" fontId="65" fillId="4" borderId="19" xfId="3" applyNumberFormat="1" applyFont="1" applyFill="1" applyBorder="1" applyAlignment="1">
      <alignment horizontal="center" vertical="center"/>
    </xf>
    <xf numFmtId="186" fontId="65" fillId="4" borderId="19" xfId="3" applyNumberFormat="1" applyFont="1" applyFill="1" applyBorder="1" applyAlignment="1">
      <alignment horizontal="center" vertical="center"/>
    </xf>
    <xf numFmtId="0" fontId="65" fillId="4" borderId="19" xfId="3" applyFont="1" applyFill="1" applyBorder="1" applyAlignment="1">
      <alignment vertical="center" wrapText="1"/>
    </xf>
    <xf numFmtId="0" fontId="34" fillId="0" borderId="19" xfId="0" applyFont="1" applyBorder="1" applyAlignment="1">
      <alignment horizontal="center" vertical="center"/>
    </xf>
    <xf numFmtId="14" fontId="35" fillId="4" borderId="27" xfId="62" applyNumberFormat="1" applyFont="1" applyFill="1" applyBorder="1" applyAlignment="1">
      <alignment horizontal="center" vertical="center"/>
    </xf>
    <xf numFmtId="49" fontId="35" fillId="4" borderId="27" xfId="62" applyNumberFormat="1" applyFont="1" applyFill="1" applyBorder="1" applyAlignment="1">
      <alignment horizontal="center" vertical="center"/>
    </xf>
    <xf numFmtId="0" fontId="35" fillId="0" borderId="27" xfId="62" applyFont="1" applyBorder="1" applyAlignment="1">
      <alignment horizontal="center" vertical="center"/>
    </xf>
    <xf numFmtId="0" fontId="35" fillId="0" borderId="27" xfId="62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2" fillId="0" borderId="0" xfId="0" applyFont="1" applyAlignment="1" applyProtection="1">
      <alignment horizontal="center" vertical="center"/>
      <protection locked="0"/>
    </xf>
    <xf numFmtId="0" fontId="36" fillId="0" borderId="0" xfId="0" applyFont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181" fontId="38" fillId="0" borderId="19" xfId="0" applyNumberFormat="1" applyFont="1" applyBorder="1" applyAlignment="1">
      <alignment horizontal="center" vertical="center"/>
    </xf>
    <xf numFmtId="0" fontId="38" fillId="0" borderId="19" xfId="0" quotePrefix="1" applyFont="1" applyBorder="1" applyAlignment="1">
      <alignment horizontal="center" vertical="center" wrapText="1"/>
    </xf>
    <xf numFmtId="0" fontId="38" fillId="0" borderId="19" xfId="0" applyFont="1" applyBorder="1" applyAlignment="1">
      <alignment horizontal="center" vertical="center" wrapText="1"/>
    </xf>
    <xf numFmtId="0" fontId="38" fillId="0" borderId="7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7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0" xfId="0" applyFont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5" fillId="5" borderId="19" xfId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5" borderId="20" xfId="1" applyFont="1" applyFill="1" applyBorder="1" applyAlignment="1">
      <alignment horizontal="center" vertical="center"/>
    </xf>
    <xf numFmtId="0" fontId="5" fillId="5" borderId="22" xfId="1" applyFont="1" applyFill="1" applyBorder="1" applyAlignment="1">
      <alignment horizontal="center" vertical="center"/>
    </xf>
  </cellXfs>
  <cellStyles count="689">
    <cellStyle name="___CPK__" xfId="52" xr:uid="{66B5D527-70B2-400F-8B63-DFBD3372561C}"/>
    <cellStyle name="20% - 강조색1" xfId="25" builtinId="30" customBuiltin="1"/>
    <cellStyle name="20% - 강조색1 10" xfId="226" xr:uid="{144ACF6C-EC76-4508-8082-1FFC5044376A}"/>
    <cellStyle name="20% - 강조색1 10 2" xfId="548" xr:uid="{0A547A0E-DE15-4C34-BDEF-DEF61BCBAC39}"/>
    <cellStyle name="20% - 강조색1 11" xfId="246" xr:uid="{A0133E03-4FF6-4773-83EB-E1C71755515E}"/>
    <cellStyle name="20% - 강조색1 11 2" xfId="568" xr:uid="{F53EAEA4-5C11-4B23-913E-85CE57C768F6}"/>
    <cellStyle name="20% - 강조색1 12" xfId="266" xr:uid="{69765A4B-5601-441F-932C-239E408BA924}"/>
    <cellStyle name="20% - 강조색1 12 2" xfId="588" xr:uid="{5E747B3B-10B8-4E77-82E5-B71DBA79F963}"/>
    <cellStyle name="20% - 강조색1 13" xfId="286" xr:uid="{2D93951E-88EE-4D56-A398-D06CE1F6EA5E}"/>
    <cellStyle name="20% - 강조색1 13 2" xfId="608" xr:uid="{F77A1F7C-4762-4623-BD72-546151B89AD8}"/>
    <cellStyle name="20% - 강조색1 14" xfId="306" xr:uid="{D2E72044-9889-43C0-AEC5-6EB1830CA591}"/>
    <cellStyle name="20% - 강조색1 14 2" xfId="628" xr:uid="{FE408787-BF49-486C-887C-EA279115CB29}"/>
    <cellStyle name="20% - 강조색1 15" xfId="326" xr:uid="{F699FD11-AFE7-4F15-B0D0-594A5B59A6DC}"/>
    <cellStyle name="20% - 강조색1 15 2" xfId="648" xr:uid="{52255B2B-7FE3-428C-859F-8B3D8167B6AD}"/>
    <cellStyle name="20% - 강조색1 16" xfId="346" xr:uid="{B2D40CCE-D2F7-47F4-A6D2-B2E79757B518}"/>
    <cellStyle name="20% - 강조색1 16 2" xfId="668" xr:uid="{C2CA1840-7311-4D18-B3D6-07E4B9D9B7E3}"/>
    <cellStyle name="20% - 강조색1 17" xfId="366" xr:uid="{F2C4966D-4DA3-4D20-B004-B9453B36B408}"/>
    <cellStyle name="20% - 강조색1 2" xfId="66" xr:uid="{C000C105-B9B6-4FCD-955D-5C51AE01AD63}"/>
    <cellStyle name="20% - 강조색1 2 2" xfId="388" xr:uid="{61B7B432-EE1D-41E8-AF8D-0016F8B6CACF}"/>
    <cellStyle name="20% - 강조색1 3" xfId="86" xr:uid="{F5A672B4-D06D-4DB2-937D-339516178143}"/>
    <cellStyle name="20% - 강조색1 3 2" xfId="408" xr:uid="{3B8CB025-F0ED-42E9-B8FE-19DF34D02E0E}"/>
    <cellStyle name="20% - 강조색1 4" xfId="106" xr:uid="{3C64C37A-44A9-4367-B271-41D2A0E02959}"/>
    <cellStyle name="20% - 강조색1 4 2" xfId="428" xr:uid="{D27C282D-A585-4653-8D67-DDE76B7DE4BD}"/>
    <cellStyle name="20% - 강조색1 5" xfId="126" xr:uid="{85AD6993-9104-4803-AB92-CF10796A4D3D}"/>
    <cellStyle name="20% - 강조색1 5 2" xfId="448" xr:uid="{60F91843-D4B7-4DCE-8FC7-F994CBB6635C}"/>
    <cellStyle name="20% - 강조색1 6" xfId="146" xr:uid="{72C18894-A5F7-4A98-BC89-75E38C4C69E0}"/>
    <cellStyle name="20% - 강조색1 6 2" xfId="468" xr:uid="{25257FB5-FDCD-4BE7-8140-F021BC399333}"/>
    <cellStyle name="20% - 강조색1 7" xfId="166" xr:uid="{3D432729-A8DE-423D-A1F2-8BB10728B8A7}"/>
    <cellStyle name="20% - 강조색1 7 2" xfId="488" xr:uid="{770C28AB-B434-4BEB-8C64-65C1CDEB436C}"/>
    <cellStyle name="20% - 강조색1 8" xfId="186" xr:uid="{EA8B51F4-DF1C-4AD3-B065-82345EB025A5}"/>
    <cellStyle name="20% - 강조색1 8 2" xfId="508" xr:uid="{F2FF0852-AAAC-41B7-B223-B27AD0EEE872}"/>
    <cellStyle name="20% - 강조색1 9" xfId="206" xr:uid="{3AF2B297-8D3F-4630-89A2-074B4220D709}"/>
    <cellStyle name="20% - 강조색1 9 2" xfId="528" xr:uid="{7515D995-EC9A-418D-A0AB-19BDBE360AC6}"/>
    <cellStyle name="20% - 강조색2" xfId="29" builtinId="34" customBuiltin="1"/>
    <cellStyle name="20% - 강조색2 10" xfId="229" xr:uid="{626F9513-4C92-4F94-B200-104CF2CD402B}"/>
    <cellStyle name="20% - 강조색2 10 2" xfId="551" xr:uid="{5D448411-A44B-4265-95FD-48AC7E211C93}"/>
    <cellStyle name="20% - 강조색2 11" xfId="249" xr:uid="{26249CFF-D7A2-4344-AF21-7004B903DE59}"/>
    <cellStyle name="20% - 강조색2 11 2" xfId="571" xr:uid="{5AD85DB0-1E81-41E0-9BD0-FAD0E296F56C}"/>
    <cellStyle name="20% - 강조색2 12" xfId="269" xr:uid="{4C7B131D-BF00-41A3-A47F-EF7251B28828}"/>
    <cellStyle name="20% - 강조색2 12 2" xfId="591" xr:uid="{3F055ADD-EBBE-420B-BB14-DE30C552D9E1}"/>
    <cellStyle name="20% - 강조색2 13" xfId="289" xr:uid="{DDA91409-2ECB-49B2-9139-3C4AB69E3086}"/>
    <cellStyle name="20% - 강조색2 13 2" xfId="611" xr:uid="{09D0F282-D8CE-46F2-B261-D394BE164DBF}"/>
    <cellStyle name="20% - 강조색2 14" xfId="309" xr:uid="{28A644DC-7FF4-4C83-BFE4-A6C26544894C}"/>
    <cellStyle name="20% - 강조색2 14 2" xfId="631" xr:uid="{A60CC75A-A6E5-4D3F-9E15-E3A810A0000B}"/>
    <cellStyle name="20% - 강조색2 15" xfId="329" xr:uid="{03343EA4-A181-4A6B-9013-D99EAEB9A7B5}"/>
    <cellStyle name="20% - 강조색2 15 2" xfId="651" xr:uid="{F1320918-76AD-4D5F-8704-7006236FA483}"/>
    <cellStyle name="20% - 강조색2 16" xfId="349" xr:uid="{90DF914E-13D3-42B4-90E8-30C7D1A3016E}"/>
    <cellStyle name="20% - 강조색2 16 2" xfId="671" xr:uid="{E7ECA958-8BF7-4B67-B71A-8E530B9318E0}"/>
    <cellStyle name="20% - 강조색2 17" xfId="369" xr:uid="{4CDF4843-D869-42BA-A5EC-124179FF33B4}"/>
    <cellStyle name="20% - 강조색2 2" xfId="69" xr:uid="{D6F77B8E-DA75-4D1F-84E3-B26EE1B4E3DC}"/>
    <cellStyle name="20% - 강조색2 2 2" xfId="391" xr:uid="{6566E0B5-C463-4B81-8A97-293538D221D7}"/>
    <cellStyle name="20% - 강조색2 3" xfId="89" xr:uid="{E95C3191-E88A-42C1-9017-12532ABFFD51}"/>
    <cellStyle name="20% - 강조색2 3 2" xfId="411" xr:uid="{BEEB7445-A25E-4095-8383-A33894FACADE}"/>
    <cellStyle name="20% - 강조색2 4" xfId="109" xr:uid="{D686A997-3988-4BCE-82AC-AEACBF73748C}"/>
    <cellStyle name="20% - 강조색2 4 2" xfId="431" xr:uid="{B61F602D-6B96-43B4-B736-3D3F1F449214}"/>
    <cellStyle name="20% - 강조색2 5" xfId="129" xr:uid="{0A64B3A1-8AA3-494D-9AD7-DACAB7C93F5B}"/>
    <cellStyle name="20% - 강조색2 5 2" xfId="451" xr:uid="{968C7BDE-1F56-40A0-923E-2BBF3AA11D12}"/>
    <cellStyle name="20% - 강조색2 6" xfId="149" xr:uid="{F82DB304-D754-4E19-ACEA-7104782A493D}"/>
    <cellStyle name="20% - 강조색2 6 2" xfId="471" xr:uid="{A76CB5B7-C1DE-42FA-9FBA-85531109DFA8}"/>
    <cellStyle name="20% - 강조색2 7" xfId="169" xr:uid="{3ACEDB0C-3AB5-42A9-8A54-0171BEA68931}"/>
    <cellStyle name="20% - 강조색2 7 2" xfId="491" xr:uid="{C6836B95-F025-4E0A-9627-F52EE965BF87}"/>
    <cellStyle name="20% - 강조색2 8" xfId="189" xr:uid="{92D06AA7-BD79-4A08-A0AC-19FAAE141A9A}"/>
    <cellStyle name="20% - 강조색2 8 2" xfId="511" xr:uid="{38F7C525-5B08-471C-A428-DE4E7DFF7E5E}"/>
    <cellStyle name="20% - 강조색2 9" xfId="209" xr:uid="{87FEFB61-F2A8-431E-926D-D0AA74DBDF54}"/>
    <cellStyle name="20% - 강조색2 9 2" xfId="531" xr:uid="{A8936713-ADA6-4BE8-97C5-92AA706A9394}"/>
    <cellStyle name="20% - 강조색3" xfId="33" builtinId="38" customBuiltin="1"/>
    <cellStyle name="20% - 강조색3 10" xfId="232" xr:uid="{61651A33-B832-41AE-9EBF-C4749E3E2278}"/>
    <cellStyle name="20% - 강조색3 10 2" xfId="554" xr:uid="{EA3EBF85-2969-4016-A032-933BA1FF2807}"/>
    <cellStyle name="20% - 강조색3 11" xfId="252" xr:uid="{E949058E-E0C6-4200-8EC6-DBEF142DAD18}"/>
    <cellStyle name="20% - 강조색3 11 2" xfId="574" xr:uid="{79AC3F23-C7B3-4903-9E0C-2D2F6E737FAC}"/>
    <cellStyle name="20% - 강조색3 12" xfId="272" xr:uid="{426D12DE-A4BE-4992-808E-7DC40B9718AD}"/>
    <cellStyle name="20% - 강조색3 12 2" xfId="594" xr:uid="{C7BE0475-527E-43A4-BE97-06BB86F25BEC}"/>
    <cellStyle name="20% - 강조색3 13" xfId="292" xr:uid="{0768D020-6E83-4F1E-AF32-AE5A782C18B5}"/>
    <cellStyle name="20% - 강조색3 13 2" xfId="614" xr:uid="{BE490AFF-39E8-437D-99E1-3A032F88983B}"/>
    <cellStyle name="20% - 강조색3 14" xfId="312" xr:uid="{1703ADAA-77C1-42AF-988A-62849F1C5366}"/>
    <cellStyle name="20% - 강조색3 14 2" xfId="634" xr:uid="{254F0D01-A10A-480D-992B-7D7C15CAE58B}"/>
    <cellStyle name="20% - 강조색3 15" xfId="332" xr:uid="{8893DAEB-8166-4103-ADD1-C300EA23E857}"/>
    <cellStyle name="20% - 강조색3 15 2" xfId="654" xr:uid="{93A207D4-F320-40B1-B724-4A629734318F}"/>
    <cellStyle name="20% - 강조색3 16" xfId="352" xr:uid="{A4F2511B-64D6-493B-AC77-889421CE3F84}"/>
    <cellStyle name="20% - 강조색3 16 2" xfId="674" xr:uid="{44B838A4-D071-43D7-9489-E8ABD1053FBE}"/>
    <cellStyle name="20% - 강조색3 17" xfId="372" xr:uid="{AC2C48F5-270C-45B3-9BA4-CB98FF20BF19}"/>
    <cellStyle name="20% - 강조색3 2" xfId="72" xr:uid="{DADA5BBF-655E-4DF7-8AF7-F67FAB006F70}"/>
    <cellStyle name="20% - 강조색3 2 2" xfId="394" xr:uid="{8560E511-02CE-46BD-BB69-A941D4BC6266}"/>
    <cellStyle name="20% - 강조색3 3" xfId="92" xr:uid="{8A2B4D20-D914-4DED-AD89-24BEA2F842A1}"/>
    <cellStyle name="20% - 강조색3 3 2" xfId="414" xr:uid="{0F32F8A7-70DD-4A81-9DF1-19A3115616AB}"/>
    <cellStyle name="20% - 강조색3 4" xfId="112" xr:uid="{D02C6126-C8BA-436E-A7C9-F01EB6D42534}"/>
    <cellStyle name="20% - 강조색3 4 2" xfId="434" xr:uid="{4A3E3A67-8035-47C2-AD9A-B556D52ACDF1}"/>
    <cellStyle name="20% - 강조색3 5" xfId="132" xr:uid="{0B27F645-BFC1-4271-97C7-A69C5A0D1187}"/>
    <cellStyle name="20% - 강조색3 5 2" xfId="454" xr:uid="{6F4F08C4-ACB5-4F1A-9F60-CBBD86F92AFA}"/>
    <cellStyle name="20% - 강조색3 6" xfId="152" xr:uid="{BC6E1FF5-9FA1-457C-807E-0DDB42F82165}"/>
    <cellStyle name="20% - 강조색3 6 2" xfId="474" xr:uid="{D19FF4D8-1798-42CF-89F7-DEE1C15B22D2}"/>
    <cellStyle name="20% - 강조색3 7" xfId="172" xr:uid="{FBCAFDFA-76DB-42D8-9AFC-73132063C498}"/>
    <cellStyle name="20% - 강조색3 7 2" xfId="494" xr:uid="{00516CFA-6223-4413-8704-C7725DE34CD1}"/>
    <cellStyle name="20% - 강조색3 8" xfId="192" xr:uid="{7B7916C4-7649-4B69-BBA1-586F1F8236AC}"/>
    <cellStyle name="20% - 강조색3 8 2" xfId="514" xr:uid="{1F940CA4-5441-4717-AC00-5DC0E95852A8}"/>
    <cellStyle name="20% - 강조색3 9" xfId="212" xr:uid="{B05A3FC1-2BD3-4D5D-BBD1-AF122FFA97D0}"/>
    <cellStyle name="20% - 강조색3 9 2" xfId="534" xr:uid="{8F813477-8A65-4450-935A-5E720A8BD06B}"/>
    <cellStyle name="20% - 강조색4" xfId="37" builtinId="42" customBuiltin="1"/>
    <cellStyle name="20% - 강조색4 10" xfId="235" xr:uid="{D7777BE9-BACF-476F-AC89-842F95EB340A}"/>
    <cellStyle name="20% - 강조색4 10 2" xfId="557" xr:uid="{503527EC-9DB0-47AB-8012-180DC9CA6FFD}"/>
    <cellStyle name="20% - 강조색4 11" xfId="255" xr:uid="{8CECB8CF-16A3-4C86-9941-19EB25997AC4}"/>
    <cellStyle name="20% - 강조색4 11 2" xfId="577" xr:uid="{503484B3-A939-46A0-AE4A-1E9C1DA16047}"/>
    <cellStyle name="20% - 강조색4 12" xfId="275" xr:uid="{11494E53-DE89-497B-B9CA-0A28AD5C723D}"/>
    <cellStyle name="20% - 강조색4 12 2" xfId="597" xr:uid="{2B808CC1-17EA-419D-BA4C-8F8D2F419F9F}"/>
    <cellStyle name="20% - 강조색4 13" xfId="295" xr:uid="{542C1C52-CA1D-4EBF-A46A-733955597A8B}"/>
    <cellStyle name="20% - 강조색4 13 2" xfId="617" xr:uid="{338CCEB5-74BB-4C2F-A51B-1D7EFED14E3E}"/>
    <cellStyle name="20% - 강조색4 14" xfId="315" xr:uid="{9865A804-0170-4131-AACE-8F585E2184FD}"/>
    <cellStyle name="20% - 강조색4 14 2" xfId="637" xr:uid="{C5C55A3C-53DB-4BA5-B80E-DC9F966AE508}"/>
    <cellStyle name="20% - 강조색4 15" xfId="335" xr:uid="{7574BF02-A4A9-44E1-BE7C-980F480A446B}"/>
    <cellStyle name="20% - 강조색4 15 2" xfId="657" xr:uid="{819DA80A-2347-4166-861A-DC74F2F13DDF}"/>
    <cellStyle name="20% - 강조색4 16" xfId="355" xr:uid="{90B0289A-96D5-4BC4-A0B4-357B6F7EC418}"/>
    <cellStyle name="20% - 강조색4 16 2" xfId="677" xr:uid="{2DA3F72D-6913-494D-B608-18F80CA2BA94}"/>
    <cellStyle name="20% - 강조색4 17" xfId="375" xr:uid="{020E6DCC-DFA4-46C8-B95A-471C5B3A4431}"/>
    <cellStyle name="20% - 강조색4 2" xfId="75" xr:uid="{05A71B88-BCC1-42C7-A0B3-5CF2BDB8026A}"/>
    <cellStyle name="20% - 강조색4 2 2" xfId="397" xr:uid="{DB2A5DC5-16CC-417F-8D29-22DAC25ED59D}"/>
    <cellStyle name="20% - 강조색4 3" xfId="95" xr:uid="{CEEC9913-54C2-470C-AD1F-B0DEF55F5A3D}"/>
    <cellStyle name="20% - 강조색4 3 2" xfId="417" xr:uid="{99E1CF59-6BC8-4D06-B993-9964888D40CD}"/>
    <cellStyle name="20% - 강조색4 4" xfId="115" xr:uid="{9D29B216-1327-471D-A20E-ACED39D6B564}"/>
    <cellStyle name="20% - 강조색4 4 2" xfId="437" xr:uid="{DAAC1B68-F1FE-4B3D-84F7-2A1A1501B7C1}"/>
    <cellStyle name="20% - 강조색4 5" xfId="135" xr:uid="{1F96C247-4CD8-4046-9DC3-CA3F66EB2D71}"/>
    <cellStyle name="20% - 강조색4 5 2" xfId="457" xr:uid="{C131C7BE-1EB1-4695-8D2F-024401FEB4D0}"/>
    <cellStyle name="20% - 강조색4 6" xfId="155" xr:uid="{45777F64-79FC-4C0E-B98D-EE32497B449E}"/>
    <cellStyle name="20% - 강조색4 6 2" xfId="477" xr:uid="{80565A3F-3701-4956-AF38-DDB08A153BF8}"/>
    <cellStyle name="20% - 강조색4 7" xfId="175" xr:uid="{D8023C2B-337C-4793-B1D3-453BF274B485}"/>
    <cellStyle name="20% - 강조색4 7 2" xfId="497" xr:uid="{90F404D6-AA7E-4F99-94A7-75F00F2E129D}"/>
    <cellStyle name="20% - 강조색4 8" xfId="195" xr:uid="{8113DDBD-D399-448B-B8ED-873D89E0096A}"/>
    <cellStyle name="20% - 강조색4 8 2" xfId="517" xr:uid="{C7AAB62E-0FA0-4902-B0E2-BCA79F3CF374}"/>
    <cellStyle name="20% - 강조색4 9" xfId="215" xr:uid="{14FB7DB9-C519-47BE-8EC1-AA255607A88C}"/>
    <cellStyle name="20% - 강조색4 9 2" xfId="537" xr:uid="{56761B2E-A180-454E-8F13-29F8F15FCA57}"/>
    <cellStyle name="20% - 강조색5" xfId="41" builtinId="46" customBuiltin="1"/>
    <cellStyle name="20% - 강조색5 10" xfId="238" xr:uid="{E411D9CE-490D-4DFD-94EE-328AACF8795E}"/>
    <cellStyle name="20% - 강조색5 10 2" xfId="560" xr:uid="{52D3A3CB-4BCF-4C6C-98E8-192D5A610F02}"/>
    <cellStyle name="20% - 강조색5 11" xfId="258" xr:uid="{A182F85F-D434-4461-A92A-139E7B12C467}"/>
    <cellStyle name="20% - 강조색5 11 2" xfId="580" xr:uid="{1FB7D163-0A8A-4671-835A-7FF583ECD95C}"/>
    <cellStyle name="20% - 강조색5 12" xfId="278" xr:uid="{EB7F973A-7A61-4F6E-A5B0-410E883B7724}"/>
    <cellStyle name="20% - 강조색5 12 2" xfId="600" xr:uid="{97C53B64-D473-44D3-B5FA-E3CCD82B3E5D}"/>
    <cellStyle name="20% - 강조색5 13" xfId="298" xr:uid="{E467C45C-A85E-4CBD-8151-8F87AEF39C33}"/>
    <cellStyle name="20% - 강조색5 13 2" xfId="620" xr:uid="{10A2985E-78C2-4BA5-AE2C-E0ED6E68F5A6}"/>
    <cellStyle name="20% - 강조색5 14" xfId="318" xr:uid="{BD4DAB35-D038-4546-91FD-449946C108CB}"/>
    <cellStyle name="20% - 강조색5 14 2" xfId="640" xr:uid="{2083F3F2-AED5-409A-9C9D-909EF35AF8F9}"/>
    <cellStyle name="20% - 강조색5 15" xfId="338" xr:uid="{C5DB7B8A-2BB1-4DD5-AC2D-C79121582DE1}"/>
    <cellStyle name="20% - 강조색5 15 2" xfId="660" xr:uid="{DE8A647A-26FC-4E69-85EA-210DCCED0DAF}"/>
    <cellStyle name="20% - 강조색5 16" xfId="358" xr:uid="{1937A4F5-0471-44D0-B2CD-DBF9CC2D59D1}"/>
    <cellStyle name="20% - 강조색5 16 2" xfId="680" xr:uid="{FFDADD4E-670A-4680-A104-F75D90025ECF}"/>
    <cellStyle name="20% - 강조색5 17" xfId="378" xr:uid="{69503A3B-A677-4384-8CE9-03D61139056D}"/>
    <cellStyle name="20% - 강조색5 2" xfId="78" xr:uid="{09E915A1-162C-49F6-8553-DBB874A046DF}"/>
    <cellStyle name="20% - 강조색5 2 2" xfId="400" xr:uid="{F5B6AACB-2D17-4777-A32A-64E0AED20817}"/>
    <cellStyle name="20% - 강조색5 3" xfId="98" xr:uid="{32594ED3-3038-4CDC-9C30-0B355FD9C119}"/>
    <cellStyle name="20% - 강조색5 3 2" xfId="420" xr:uid="{8B5CD952-BC4C-4A5C-A4E1-A65C8A3E5A09}"/>
    <cellStyle name="20% - 강조색5 4" xfId="118" xr:uid="{7C16B7F5-F116-4837-AC93-56230614F5EB}"/>
    <cellStyle name="20% - 강조색5 4 2" xfId="440" xr:uid="{601B6C0D-9B73-44DB-9D6E-D2694BD3D7AC}"/>
    <cellStyle name="20% - 강조색5 5" xfId="138" xr:uid="{AD61E653-6D02-4993-BE8B-BC8C624BE249}"/>
    <cellStyle name="20% - 강조색5 5 2" xfId="460" xr:uid="{C707BFC9-C244-4F48-9543-E39C295CD50B}"/>
    <cellStyle name="20% - 강조색5 6" xfId="158" xr:uid="{79AED299-6773-43D7-859D-1841B1C64F91}"/>
    <cellStyle name="20% - 강조색5 6 2" xfId="480" xr:uid="{8429B0AC-0A1B-41B7-92C3-546EA163865C}"/>
    <cellStyle name="20% - 강조색5 7" xfId="178" xr:uid="{4E271861-0A9C-4BD9-AA4B-8EC2BC60B6CD}"/>
    <cellStyle name="20% - 강조색5 7 2" xfId="500" xr:uid="{D0FA73C6-0C94-4B09-8E4E-68BC61B8447A}"/>
    <cellStyle name="20% - 강조색5 8" xfId="198" xr:uid="{065D2FA9-1C3F-4C00-BAA7-41A137662E55}"/>
    <cellStyle name="20% - 강조색5 8 2" xfId="520" xr:uid="{A2FAE56A-3A66-4731-A21A-8B9927C8C6CE}"/>
    <cellStyle name="20% - 강조색5 9" xfId="218" xr:uid="{772F6110-8CBC-401D-913D-DFF9BBD2E526}"/>
    <cellStyle name="20% - 강조색5 9 2" xfId="540" xr:uid="{4003F0F9-70EA-4136-9200-06503812C1D3}"/>
    <cellStyle name="20% - 강조색6" xfId="45" builtinId="50" customBuiltin="1"/>
    <cellStyle name="20% - 강조색6 10" xfId="241" xr:uid="{A9D7E7EF-A19E-4C1A-AB1C-96A3CDA2DCD8}"/>
    <cellStyle name="20% - 강조색6 10 2" xfId="563" xr:uid="{B81EC296-6E37-4E8B-9F2C-121FCA4BE3E9}"/>
    <cellStyle name="20% - 강조색6 11" xfId="261" xr:uid="{8D2F71CB-6051-471E-94A7-4CAE37718795}"/>
    <cellStyle name="20% - 강조색6 11 2" xfId="583" xr:uid="{C5DED93C-6948-4F6E-B395-2871FB885A63}"/>
    <cellStyle name="20% - 강조색6 12" xfId="281" xr:uid="{2976DA9E-E40C-4CBB-B753-8F3838D90FF5}"/>
    <cellStyle name="20% - 강조색6 12 2" xfId="603" xr:uid="{028BA3F0-709E-4590-B111-B2D197663BA3}"/>
    <cellStyle name="20% - 강조색6 13" xfId="301" xr:uid="{1CF5B089-D809-40CF-978F-C0726662BAD4}"/>
    <cellStyle name="20% - 강조색6 13 2" xfId="623" xr:uid="{77DB73C7-C212-45B8-8496-793A1C3F7806}"/>
    <cellStyle name="20% - 강조색6 14" xfId="321" xr:uid="{5C69464F-281D-4BAC-8941-618B90636E59}"/>
    <cellStyle name="20% - 강조색6 14 2" xfId="643" xr:uid="{BBD86845-9705-4C3C-8544-BA5F96642C88}"/>
    <cellStyle name="20% - 강조색6 15" xfId="341" xr:uid="{40F01361-CA31-4499-9DBE-6C6AB30963FF}"/>
    <cellStyle name="20% - 강조색6 15 2" xfId="663" xr:uid="{9E01F36D-4FAD-47FC-9651-4AAFF8425A3D}"/>
    <cellStyle name="20% - 강조색6 16" xfId="361" xr:uid="{F40D55B9-7FFD-4629-BBAC-33FEAF6B353F}"/>
    <cellStyle name="20% - 강조색6 16 2" xfId="683" xr:uid="{9BB6C68B-40FD-4C3F-8DE9-2AC9D4D7E118}"/>
    <cellStyle name="20% - 강조색6 17" xfId="381" xr:uid="{F9D4B07F-D48E-44F7-A7F2-64C8F53A3DFB}"/>
    <cellStyle name="20% - 강조색6 2" xfId="81" xr:uid="{E94A4951-3DCE-4107-A172-07961584A1EC}"/>
    <cellStyle name="20% - 강조색6 2 2" xfId="403" xr:uid="{1ABF52AE-C8ED-4EA2-AABE-13C7070BA4FF}"/>
    <cellStyle name="20% - 강조색6 3" xfId="101" xr:uid="{F0F6CE67-9038-4292-8AD0-D6B8B02E23D6}"/>
    <cellStyle name="20% - 강조색6 3 2" xfId="423" xr:uid="{A588072C-EF9C-483E-95FA-FC39DB833682}"/>
    <cellStyle name="20% - 강조색6 4" xfId="121" xr:uid="{CFE1F780-5DD4-4234-A16D-F6D66B1D0248}"/>
    <cellStyle name="20% - 강조색6 4 2" xfId="443" xr:uid="{802A15C7-B6B5-450B-B2B9-932BAF635A01}"/>
    <cellStyle name="20% - 강조색6 5" xfId="141" xr:uid="{5190C24C-3DB1-4404-98F9-AAA2ABDACE24}"/>
    <cellStyle name="20% - 강조색6 5 2" xfId="463" xr:uid="{C7B10730-1CEC-40CF-88E2-FC38BF65AE4F}"/>
    <cellStyle name="20% - 강조색6 6" xfId="161" xr:uid="{068ACF7A-B94A-4263-9EA3-BAD4356213EE}"/>
    <cellStyle name="20% - 강조색6 6 2" xfId="483" xr:uid="{1CB76CD2-1CF7-41C7-AD6A-2C9A95727FB8}"/>
    <cellStyle name="20% - 강조색6 7" xfId="181" xr:uid="{7F0E0991-186C-46D1-849C-F961850DAF91}"/>
    <cellStyle name="20% - 강조색6 7 2" xfId="503" xr:uid="{122D22AC-12B1-46C3-970F-F2A21E9ECF56}"/>
    <cellStyle name="20% - 강조색6 8" xfId="201" xr:uid="{25052CED-D218-4512-8F9B-138DD7092BA0}"/>
    <cellStyle name="20% - 강조색6 8 2" xfId="523" xr:uid="{767BB077-AA5D-442A-8390-270579C697A6}"/>
    <cellStyle name="20% - 강조색6 9" xfId="221" xr:uid="{CE3D1595-0958-48A2-B9EE-416DA293B80D}"/>
    <cellStyle name="20% - 강조색6 9 2" xfId="543" xr:uid="{7EC78534-B410-4145-A240-BC5B1F668D06}"/>
    <cellStyle name="40% - 강조색1" xfId="26" builtinId="31" customBuiltin="1"/>
    <cellStyle name="40% - 강조색1 10" xfId="227" xr:uid="{E08ED7FC-FA6B-4FD9-A116-0BE127A8255A}"/>
    <cellStyle name="40% - 강조색1 10 2" xfId="549" xr:uid="{F2468DE4-719D-4459-AC50-AD0C137E8514}"/>
    <cellStyle name="40% - 강조색1 11" xfId="247" xr:uid="{1995D369-4950-4911-8B5B-D6D1B63DABEC}"/>
    <cellStyle name="40% - 강조색1 11 2" xfId="569" xr:uid="{67795912-218F-487B-9939-7FB8A45CADEC}"/>
    <cellStyle name="40% - 강조색1 12" xfId="267" xr:uid="{28FA5F6C-C506-48F5-972A-4BD8254ECA20}"/>
    <cellStyle name="40% - 강조색1 12 2" xfId="589" xr:uid="{CCAF6414-6A20-41DB-89F7-0DB2913ACEA0}"/>
    <cellStyle name="40% - 강조색1 13" xfId="287" xr:uid="{DC801FBA-B5DC-4833-A0E5-0880E2C9FA75}"/>
    <cellStyle name="40% - 강조색1 13 2" xfId="609" xr:uid="{344EC2D2-8683-4489-B654-8C39693E3A6B}"/>
    <cellStyle name="40% - 강조색1 14" xfId="307" xr:uid="{D86DB530-F8E8-4256-A055-C4DCF24DF42B}"/>
    <cellStyle name="40% - 강조색1 14 2" xfId="629" xr:uid="{B69F137B-B9EE-4F05-B5B7-10E64AE1AB9A}"/>
    <cellStyle name="40% - 강조색1 15" xfId="327" xr:uid="{C6DEF322-810C-450F-8439-21E9E59A2120}"/>
    <cellStyle name="40% - 강조색1 15 2" xfId="649" xr:uid="{D6ECCF7F-E338-4F67-9DB1-6AB75C4E49E7}"/>
    <cellStyle name="40% - 강조색1 16" xfId="347" xr:uid="{7A654AAF-A51C-4D06-AD76-DDD5C11DEE5E}"/>
    <cellStyle name="40% - 강조색1 16 2" xfId="669" xr:uid="{C53D3C69-7AC3-48D3-BED7-45AF64C876E7}"/>
    <cellStyle name="40% - 강조색1 17" xfId="367" xr:uid="{1E230AF0-5B25-4303-9A20-EB92DADB9E89}"/>
    <cellStyle name="40% - 강조색1 2" xfId="67" xr:uid="{B3DEA3BC-2994-4847-AB57-CDE22DE2526D}"/>
    <cellStyle name="40% - 강조색1 2 2" xfId="389" xr:uid="{EA0B8C4B-D4FF-4753-8E5F-70E28D9D7DA9}"/>
    <cellStyle name="40% - 강조색1 3" xfId="87" xr:uid="{BC042DC4-BE1F-4C1C-B3E7-DAD07FE4A460}"/>
    <cellStyle name="40% - 강조색1 3 2" xfId="409" xr:uid="{DB969BBA-6EB5-4DDC-9BF3-41A17167502F}"/>
    <cellStyle name="40% - 강조색1 4" xfId="107" xr:uid="{0657A2DC-39FC-4EAF-86E3-357E212E02A7}"/>
    <cellStyle name="40% - 강조색1 4 2" xfId="429" xr:uid="{768479C3-E1F9-4DD2-A654-91FF6726A25E}"/>
    <cellStyle name="40% - 강조색1 5" xfId="127" xr:uid="{578BAB59-F1C4-40D9-A0B9-4F984791752D}"/>
    <cellStyle name="40% - 강조색1 5 2" xfId="449" xr:uid="{81FCD638-CCD0-4C3A-806E-C763190C060F}"/>
    <cellStyle name="40% - 강조색1 6" xfId="147" xr:uid="{8FFBF4F8-FB29-4DA6-9794-9A1398CED210}"/>
    <cellStyle name="40% - 강조색1 6 2" xfId="469" xr:uid="{2E53C8E8-A786-41D5-86D6-38798DBC18B0}"/>
    <cellStyle name="40% - 강조색1 7" xfId="167" xr:uid="{1927FD0E-4BE2-4492-BB2E-1966527C7123}"/>
    <cellStyle name="40% - 강조색1 7 2" xfId="489" xr:uid="{86EAB4AC-D315-4F79-8727-180272028340}"/>
    <cellStyle name="40% - 강조색1 8" xfId="187" xr:uid="{534FA0DC-8F7C-49E0-9E23-7705211A8717}"/>
    <cellStyle name="40% - 강조색1 8 2" xfId="509" xr:uid="{8AA1A8F5-FF74-4F71-ADF0-F616A86638AB}"/>
    <cellStyle name="40% - 강조색1 9" xfId="207" xr:uid="{3AE69E2A-7B92-4C93-BFD7-548085599299}"/>
    <cellStyle name="40% - 강조색1 9 2" xfId="529" xr:uid="{0C58BF15-4CBA-4C7D-BC1B-08346888B476}"/>
    <cellStyle name="40% - 강조색2" xfId="30" builtinId="35" customBuiltin="1"/>
    <cellStyle name="40% - 강조색2 10" xfId="230" xr:uid="{382D258B-D946-495B-BB96-23BC5A2A4906}"/>
    <cellStyle name="40% - 강조색2 10 2" xfId="552" xr:uid="{276E7ABA-4754-4829-B7E7-DCC046AA2419}"/>
    <cellStyle name="40% - 강조색2 11" xfId="250" xr:uid="{BCC6833B-7F37-4366-AB03-A4189D5D1A5C}"/>
    <cellStyle name="40% - 강조색2 11 2" xfId="572" xr:uid="{A87E7622-BFD1-4940-A3BC-9CACB1F930E4}"/>
    <cellStyle name="40% - 강조색2 12" xfId="270" xr:uid="{403E36EF-A38B-4C19-8BA7-DB8475CFAFF4}"/>
    <cellStyle name="40% - 강조색2 12 2" xfId="592" xr:uid="{1446F921-02FE-4F02-947E-2463167AC7D9}"/>
    <cellStyle name="40% - 강조색2 13" xfId="290" xr:uid="{A2F10307-2B51-454B-A85E-4616A0F5935B}"/>
    <cellStyle name="40% - 강조색2 13 2" xfId="612" xr:uid="{3180B65F-CC5C-4006-9889-CA5F61F41A00}"/>
    <cellStyle name="40% - 강조색2 14" xfId="310" xr:uid="{B4141A08-22E1-4CDC-BA81-C732B403F5E0}"/>
    <cellStyle name="40% - 강조색2 14 2" xfId="632" xr:uid="{AEC42967-E235-49F3-875F-2356112725AE}"/>
    <cellStyle name="40% - 강조색2 15" xfId="330" xr:uid="{33712066-8439-4FAC-8F5C-5F034E7A6D27}"/>
    <cellStyle name="40% - 강조색2 15 2" xfId="652" xr:uid="{0B5F732F-0A21-40F0-8745-1748DFF65BFB}"/>
    <cellStyle name="40% - 강조색2 16" xfId="350" xr:uid="{AFC6F076-90EA-4581-8BDE-36F03B53E5FA}"/>
    <cellStyle name="40% - 강조색2 16 2" xfId="672" xr:uid="{88F58ECE-6FB8-4A91-867B-DFE376B4E62F}"/>
    <cellStyle name="40% - 강조색2 17" xfId="370" xr:uid="{F53EDB2F-EFF0-41FC-AE06-9FE30B139294}"/>
    <cellStyle name="40% - 강조색2 2" xfId="70" xr:uid="{146568DE-76ED-412C-8120-A894E6D0A4B0}"/>
    <cellStyle name="40% - 강조색2 2 2" xfId="392" xr:uid="{FB64DC12-FFAE-45BC-A3D6-E4901D7AFF9F}"/>
    <cellStyle name="40% - 강조색2 3" xfId="90" xr:uid="{6937B661-ED94-4445-9C14-01D5D09A333C}"/>
    <cellStyle name="40% - 강조색2 3 2" xfId="412" xr:uid="{18E5C7E8-E238-470A-9E68-CB4644DA3FA9}"/>
    <cellStyle name="40% - 강조색2 4" xfId="110" xr:uid="{EF3AB1E6-F129-4803-A904-8F5D2B56F839}"/>
    <cellStyle name="40% - 강조색2 4 2" xfId="432" xr:uid="{06A5A411-F467-4062-9395-9DB623FE373C}"/>
    <cellStyle name="40% - 강조색2 5" xfId="130" xr:uid="{3B2608EE-CC80-4ED2-A47A-206D0C8833A2}"/>
    <cellStyle name="40% - 강조색2 5 2" xfId="452" xr:uid="{546A9ABD-B04D-4169-83AA-E05B7604A108}"/>
    <cellStyle name="40% - 강조색2 6" xfId="150" xr:uid="{3036EC20-0BD7-4FB0-9452-B74E026CC1F0}"/>
    <cellStyle name="40% - 강조색2 6 2" xfId="472" xr:uid="{F3FAE20D-643C-4500-BF24-11A488275EEC}"/>
    <cellStyle name="40% - 강조색2 7" xfId="170" xr:uid="{06D71241-9842-4FB1-92CC-B4734351DE63}"/>
    <cellStyle name="40% - 강조색2 7 2" xfId="492" xr:uid="{B50D23B4-AAAE-43D8-A773-6FB6E40EB436}"/>
    <cellStyle name="40% - 강조색2 8" xfId="190" xr:uid="{E4CD3BF1-0702-4D79-8779-88F0FB3618AE}"/>
    <cellStyle name="40% - 강조색2 8 2" xfId="512" xr:uid="{497C4CBC-63C8-413A-88EC-F176B47E5A7C}"/>
    <cellStyle name="40% - 강조색2 9" xfId="210" xr:uid="{132DE09A-2130-4280-B94F-352BF1679BB9}"/>
    <cellStyle name="40% - 강조색2 9 2" xfId="532" xr:uid="{FFE45AFE-7EFD-4C4B-917B-6F27AA6F48E0}"/>
    <cellStyle name="40% - 강조색3" xfId="34" builtinId="39" customBuiltin="1"/>
    <cellStyle name="40% - 강조색3 10" xfId="233" xr:uid="{5DCA0145-145D-477F-9C69-0E7D0BDAA8CE}"/>
    <cellStyle name="40% - 강조색3 10 2" xfId="555" xr:uid="{D3AD91BA-A3EE-4E37-8C41-56D3792FBEBD}"/>
    <cellStyle name="40% - 강조색3 11" xfId="253" xr:uid="{12DE31AC-58EA-478B-B2F8-EC3A4EF8B964}"/>
    <cellStyle name="40% - 강조색3 11 2" xfId="575" xr:uid="{B6F1F7B3-2903-4D5B-9437-4697218B4343}"/>
    <cellStyle name="40% - 강조색3 12" xfId="273" xr:uid="{4D7B6B2B-88B6-4009-9330-B8230883E09C}"/>
    <cellStyle name="40% - 강조색3 12 2" xfId="595" xr:uid="{B46BCCE1-D1F3-40CD-8756-690461C5D41B}"/>
    <cellStyle name="40% - 강조색3 13" xfId="293" xr:uid="{9D4232AF-38AE-4270-A53D-2285EF09B933}"/>
    <cellStyle name="40% - 강조색3 13 2" xfId="615" xr:uid="{05F56FCB-77D4-4E1F-AE88-ACBD237933E6}"/>
    <cellStyle name="40% - 강조색3 14" xfId="313" xr:uid="{4DD5EB19-A054-4F9C-BA8A-F25A1F5CA218}"/>
    <cellStyle name="40% - 강조색3 14 2" xfId="635" xr:uid="{E82A66D9-6170-493E-B5BD-96671BE6085B}"/>
    <cellStyle name="40% - 강조색3 15" xfId="333" xr:uid="{B100FFB5-33E8-41BF-8CBF-C81607218082}"/>
    <cellStyle name="40% - 강조색3 15 2" xfId="655" xr:uid="{0B686E47-B6E5-4114-92D2-C91C882A5641}"/>
    <cellStyle name="40% - 강조색3 16" xfId="353" xr:uid="{3A0E85DF-FC63-43E3-BC34-1401B1198215}"/>
    <cellStyle name="40% - 강조색3 16 2" xfId="675" xr:uid="{E1D4AF2C-F7DF-47A7-B5EE-A8013883227A}"/>
    <cellStyle name="40% - 강조색3 17" xfId="373" xr:uid="{56DB0CA3-1CD2-4A5A-92B5-33E6F15F47A6}"/>
    <cellStyle name="40% - 강조색3 2" xfId="73" xr:uid="{C705B1AE-544A-4371-ADBE-70B9BA64B990}"/>
    <cellStyle name="40% - 강조색3 2 2" xfId="395" xr:uid="{26F47A0A-DDD0-405B-B633-82000BB2FE26}"/>
    <cellStyle name="40% - 강조색3 3" xfId="93" xr:uid="{75AFCD94-0305-4697-A3EE-8E26414271F6}"/>
    <cellStyle name="40% - 강조색3 3 2" xfId="415" xr:uid="{EFE15868-A50D-472C-A897-27B350C7F0E2}"/>
    <cellStyle name="40% - 강조색3 4" xfId="113" xr:uid="{A46A58AF-ADF1-4CD5-8249-50FFE2BB1134}"/>
    <cellStyle name="40% - 강조색3 4 2" xfId="435" xr:uid="{A0302E1D-AA53-45F6-96EC-C3F53449A98B}"/>
    <cellStyle name="40% - 강조색3 5" xfId="133" xr:uid="{0800A894-E1D7-40D2-8B77-A8F344BA31E2}"/>
    <cellStyle name="40% - 강조색3 5 2" xfId="455" xr:uid="{700A5068-62B8-4DC3-AA6C-C61B9DFC54E2}"/>
    <cellStyle name="40% - 강조색3 6" xfId="153" xr:uid="{54F5813A-1F40-4B47-825B-478DA88788F1}"/>
    <cellStyle name="40% - 강조색3 6 2" xfId="475" xr:uid="{C2E429F5-3DC6-4E04-BF13-C28A85F533F7}"/>
    <cellStyle name="40% - 강조색3 7" xfId="173" xr:uid="{31D59DE3-E49F-462A-9662-80189E92696D}"/>
    <cellStyle name="40% - 강조색3 7 2" xfId="495" xr:uid="{2E24857A-A072-4F10-A75A-B773F58A0E73}"/>
    <cellStyle name="40% - 강조색3 8" xfId="193" xr:uid="{B9B7443B-9F0E-4C88-B960-D2AFA151E97E}"/>
    <cellStyle name="40% - 강조색3 8 2" xfId="515" xr:uid="{41C6DAA8-F46B-4806-AFF4-8496296DFBBC}"/>
    <cellStyle name="40% - 강조색3 9" xfId="213" xr:uid="{4A23610B-77CE-47A2-B2FB-E8C44A920724}"/>
    <cellStyle name="40% - 강조색3 9 2" xfId="535" xr:uid="{2C61293C-6673-469F-9AF9-BAE7B3C070AF}"/>
    <cellStyle name="40% - 강조색4" xfId="38" builtinId="43" customBuiltin="1"/>
    <cellStyle name="40% - 강조색4 10" xfId="236" xr:uid="{279AACC2-5F8A-4635-BD30-C38CC99F5BBF}"/>
    <cellStyle name="40% - 강조색4 10 2" xfId="558" xr:uid="{7CF28678-AEEC-47D6-8B61-B76B8FC49BEB}"/>
    <cellStyle name="40% - 강조색4 11" xfId="256" xr:uid="{9192174F-5DD8-40D2-8FBE-748F54596A66}"/>
    <cellStyle name="40% - 강조색4 11 2" xfId="578" xr:uid="{40C16C25-2C4E-4D31-935A-C82F28EF52E6}"/>
    <cellStyle name="40% - 강조색4 12" xfId="276" xr:uid="{E7D5EA16-D63E-4C1A-AF42-E59203C3D5BE}"/>
    <cellStyle name="40% - 강조색4 12 2" xfId="598" xr:uid="{B489116A-37D1-49C5-BFBD-55D3FCA8AD90}"/>
    <cellStyle name="40% - 강조색4 13" xfId="296" xr:uid="{CD315F74-634E-45B3-B400-D1F3A704B954}"/>
    <cellStyle name="40% - 강조색4 13 2" xfId="618" xr:uid="{E705C37E-499C-473E-8221-F6B80301B1BD}"/>
    <cellStyle name="40% - 강조색4 14" xfId="316" xr:uid="{AEE24686-1DFF-44DB-AACB-CB3518FE212E}"/>
    <cellStyle name="40% - 강조색4 14 2" xfId="638" xr:uid="{14604826-E1DE-4672-8446-0F9AE2CEBC00}"/>
    <cellStyle name="40% - 강조색4 15" xfId="336" xr:uid="{8AB618DB-58B6-4512-9B5B-DEFD00DF04CB}"/>
    <cellStyle name="40% - 강조색4 15 2" xfId="658" xr:uid="{E20120CA-FF8C-41A1-B51B-D7F50CD38291}"/>
    <cellStyle name="40% - 강조색4 16" xfId="356" xr:uid="{E771F947-75DA-4814-9184-2E49D604F767}"/>
    <cellStyle name="40% - 강조색4 16 2" xfId="678" xr:uid="{A015E56D-D00B-4A2C-91AA-EA7EF3117087}"/>
    <cellStyle name="40% - 강조색4 17" xfId="376" xr:uid="{3EACF906-1981-4A90-83CC-5432868E847D}"/>
    <cellStyle name="40% - 강조색4 2" xfId="76" xr:uid="{EB5178A4-8D44-4DCF-8595-8E58742034D4}"/>
    <cellStyle name="40% - 강조색4 2 2" xfId="398" xr:uid="{4E43AD49-6471-4741-90E8-DDD6291A7CE2}"/>
    <cellStyle name="40% - 강조색4 3" xfId="96" xr:uid="{7DDF99F7-62C4-4110-8149-7035429412C4}"/>
    <cellStyle name="40% - 강조색4 3 2" xfId="418" xr:uid="{81F66366-1F1D-484A-B28A-0545BC0D6B0C}"/>
    <cellStyle name="40% - 강조색4 4" xfId="116" xr:uid="{1E9F2364-AB0C-4410-BDC1-1AE32AB9EBB0}"/>
    <cellStyle name="40% - 강조색4 4 2" xfId="438" xr:uid="{4DC0F393-4CC9-4965-9C90-9B5B1927BDEC}"/>
    <cellStyle name="40% - 강조색4 5" xfId="136" xr:uid="{E68D7333-2DDE-4C3C-926E-5C42685FBF6F}"/>
    <cellStyle name="40% - 강조색4 5 2" xfId="458" xr:uid="{667BF0CF-2F14-4C1C-B222-FAAC05BE550C}"/>
    <cellStyle name="40% - 강조색4 6" xfId="156" xr:uid="{4ACE2520-D97A-432B-9F39-F4AEAB87806C}"/>
    <cellStyle name="40% - 강조색4 6 2" xfId="478" xr:uid="{3AA35603-5B77-4185-8CE9-3296DF15A9FB}"/>
    <cellStyle name="40% - 강조색4 7" xfId="176" xr:uid="{45C0AF15-E90B-4919-B72B-1328E7C285F5}"/>
    <cellStyle name="40% - 강조색4 7 2" xfId="498" xr:uid="{00019CA1-DF9D-4803-AD56-A693A7EC654B}"/>
    <cellStyle name="40% - 강조색4 8" xfId="196" xr:uid="{42FE4E23-137F-4281-896F-4A37A35DF536}"/>
    <cellStyle name="40% - 강조색4 8 2" xfId="518" xr:uid="{9A99CE01-8D47-4E94-A14C-D0AB937A2912}"/>
    <cellStyle name="40% - 강조색4 9" xfId="216" xr:uid="{5FE4A7DD-4F23-4F4B-9A91-26CA02F74E9F}"/>
    <cellStyle name="40% - 강조색4 9 2" xfId="538" xr:uid="{37FC5858-1789-4613-8AF5-0BD7C73470BB}"/>
    <cellStyle name="40% - 강조색5" xfId="42" builtinId="47" customBuiltin="1"/>
    <cellStyle name="40% - 강조색5 10" xfId="239" xr:uid="{BA76548E-7B5B-498D-8406-8634949E5754}"/>
    <cellStyle name="40% - 강조색5 10 2" xfId="561" xr:uid="{6BF93DE5-4B60-422D-B378-E6EB2D104413}"/>
    <cellStyle name="40% - 강조색5 11" xfId="259" xr:uid="{424F185F-7460-4E6C-A653-EFCCE0B5C804}"/>
    <cellStyle name="40% - 강조색5 11 2" xfId="581" xr:uid="{A4BCAF7E-BAF5-4E59-800D-D9D3E830D96D}"/>
    <cellStyle name="40% - 강조색5 12" xfId="279" xr:uid="{F5BD1F5E-3484-4B88-A4B4-9A38BB4DB575}"/>
    <cellStyle name="40% - 강조색5 12 2" xfId="601" xr:uid="{239DC0B0-9208-4D8A-B1C1-9BF123507721}"/>
    <cellStyle name="40% - 강조색5 13" xfId="299" xr:uid="{A664C5D0-FB12-4A05-B564-030B6E90913C}"/>
    <cellStyle name="40% - 강조색5 13 2" xfId="621" xr:uid="{754E395C-6FA2-41F1-9EA7-5FF1CA8C1C4A}"/>
    <cellStyle name="40% - 강조색5 14" xfId="319" xr:uid="{BE37C2E4-E4CE-499D-B8C6-1A2D96C594B2}"/>
    <cellStyle name="40% - 강조색5 14 2" xfId="641" xr:uid="{C341616D-2917-40C6-91D1-95945723E6E5}"/>
    <cellStyle name="40% - 강조색5 15" xfId="339" xr:uid="{A60B9A30-D593-48D8-B8B7-DA95F35BD562}"/>
    <cellStyle name="40% - 강조색5 15 2" xfId="661" xr:uid="{29DDA654-D6E6-4E67-AE71-7C32BBEC2BE5}"/>
    <cellStyle name="40% - 강조색5 16" xfId="359" xr:uid="{3572AD67-08C0-4CA1-9D33-A662BC77D774}"/>
    <cellStyle name="40% - 강조색5 16 2" xfId="681" xr:uid="{4BBF086D-7B9B-4EB1-84FE-3344D26DC86B}"/>
    <cellStyle name="40% - 강조색5 17" xfId="379" xr:uid="{690EC35F-1F4F-46EE-8BD2-ACB36B5AEB53}"/>
    <cellStyle name="40% - 강조색5 2" xfId="79" xr:uid="{2FD2444E-57DF-4113-B480-858C6A8D4451}"/>
    <cellStyle name="40% - 강조색5 2 2" xfId="401" xr:uid="{5A35D8E4-17FB-4F8B-A02B-862E9A976571}"/>
    <cellStyle name="40% - 강조색5 3" xfId="99" xr:uid="{F226EFB6-2501-4022-91DE-D0995D383E3C}"/>
    <cellStyle name="40% - 강조색5 3 2" xfId="421" xr:uid="{64AC277C-84DC-45FE-B5C9-6E8083E80047}"/>
    <cellStyle name="40% - 강조색5 4" xfId="119" xr:uid="{48F82457-8C9B-4497-BFC6-D40C30AE952B}"/>
    <cellStyle name="40% - 강조색5 4 2" xfId="441" xr:uid="{F2560F6F-3F80-41BC-88B6-2648E8E565BC}"/>
    <cellStyle name="40% - 강조색5 5" xfId="139" xr:uid="{5D18B759-CFA1-423A-8896-513E7463EA2D}"/>
    <cellStyle name="40% - 강조색5 5 2" xfId="461" xr:uid="{7654E42B-7EB8-469A-A46E-08E141AC3254}"/>
    <cellStyle name="40% - 강조색5 6" xfId="159" xr:uid="{92D981D6-A165-4648-B862-13C2C8AF5A2B}"/>
    <cellStyle name="40% - 강조색5 6 2" xfId="481" xr:uid="{7A4C387F-5A2C-4F4E-B1AB-FACEB767469C}"/>
    <cellStyle name="40% - 강조색5 7" xfId="179" xr:uid="{0E855858-D7BA-4E58-A50B-DF778967EFAA}"/>
    <cellStyle name="40% - 강조색5 7 2" xfId="501" xr:uid="{DF74DF0E-F57D-4844-8877-0D674FA3E48D}"/>
    <cellStyle name="40% - 강조색5 8" xfId="199" xr:uid="{4D7F1574-D752-49B6-892C-7686097E072D}"/>
    <cellStyle name="40% - 강조색5 8 2" xfId="521" xr:uid="{A018CAE4-CCE5-4DA0-92C2-7A2E6B5DD978}"/>
    <cellStyle name="40% - 강조색5 9" xfId="219" xr:uid="{C3599F2D-029D-43AC-A322-099F96CB9902}"/>
    <cellStyle name="40% - 강조색5 9 2" xfId="541" xr:uid="{7E1BF6D4-92E3-4936-B713-43A4C0E20835}"/>
    <cellStyle name="40% - 강조색6" xfId="46" builtinId="51" customBuiltin="1"/>
    <cellStyle name="40% - 강조색6 10" xfId="242" xr:uid="{E82BFB48-84FD-41B7-AB7F-3FC7DAD9B6DF}"/>
    <cellStyle name="40% - 강조색6 10 2" xfId="564" xr:uid="{ED49A43A-58BE-49C3-9665-2C9EA23DB063}"/>
    <cellStyle name="40% - 강조색6 11" xfId="262" xr:uid="{7F222311-21F8-4F52-86D3-B6BCB9F92164}"/>
    <cellStyle name="40% - 강조색6 11 2" xfId="584" xr:uid="{E1D8AAAD-B9BE-4E53-A9E3-042D3659C952}"/>
    <cellStyle name="40% - 강조색6 12" xfId="282" xr:uid="{620521F1-AF1F-4213-A635-B81EA35B4D80}"/>
    <cellStyle name="40% - 강조색6 12 2" xfId="604" xr:uid="{7DDBB7D8-18A4-4C37-A27D-B61C3F39E9D2}"/>
    <cellStyle name="40% - 강조색6 13" xfId="302" xr:uid="{918AA8C0-6591-4A67-A306-A8D34B2778DA}"/>
    <cellStyle name="40% - 강조색6 13 2" xfId="624" xr:uid="{E188C0D0-9C22-4ED2-8585-27510FB8E9A2}"/>
    <cellStyle name="40% - 강조색6 14" xfId="322" xr:uid="{0F489502-E054-437F-BAD6-962A518FFF7D}"/>
    <cellStyle name="40% - 강조색6 14 2" xfId="644" xr:uid="{86FBE123-636E-41F5-8CFA-BE388EEDC0A1}"/>
    <cellStyle name="40% - 강조색6 15" xfId="342" xr:uid="{D02158DF-36FE-4148-9949-1B565C11BBDF}"/>
    <cellStyle name="40% - 강조색6 15 2" xfId="664" xr:uid="{C96DC056-5D18-42BC-88E1-444F38B8D867}"/>
    <cellStyle name="40% - 강조색6 16" xfId="362" xr:uid="{0228A41F-3552-403A-BEB9-13D91F7107B5}"/>
    <cellStyle name="40% - 강조색6 16 2" xfId="684" xr:uid="{6581A0FB-154C-4AE9-A4D0-5FE447DCFBBA}"/>
    <cellStyle name="40% - 강조색6 17" xfId="382" xr:uid="{9361B117-AD92-42A0-9B63-F45520DFC68C}"/>
    <cellStyle name="40% - 강조색6 2" xfId="82" xr:uid="{ABAFEDE8-FFD6-42E3-AE21-8DF4E8E999CF}"/>
    <cellStyle name="40% - 강조색6 2 2" xfId="404" xr:uid="{B13C2740-0110-4377-88FD-E6AB2AAD4A16}"/>
    <cellStyle name="40% - 강조색6 3" xfId="102" xr:uid="{261FF799-21A4-4DFD-BC41-AD36A40AB6C0}"/>
    <cellStyle name="40% - 강조색6 3 2" xfId="424" xr:uid="{73267552-A3F3-4423-91CC-DC8E6E305A14}"/>
    <cellStyle name="40% - 강조색6 4" xfId="122" xr:uid="{6D2E5168-6F7B-4B98-A80D-3A36768628F3}"/>
    <cellStyle name="40% - 강조색6 4 2" xfId="444" xr:uid="{9A8DA1EC-2B9D-44D0-95B9-8F46E116F754}"/>
    <cellStyle name="40% - 강조색6 5" xfId="142" xr:uid="{4647BD6D-3215-4C41-8EF3-2645F2D1CA00}"/>
    <cellStyle name="40% - 강조색6 5 2" xfId="464" xr:uid="{46C8448A-7B55-497F-ADD0-E158077FA16C}"/>
    <cellStyle name="40% - 강조색6 6" xfId="162" xr:uid="{7E3D72B4-30A0-4B08-BDD0-18D2D7826858}"/>
    <cellStyle name="40% - 강조색6 6 2" xfId="484" xr:uid="{900580BC-C259-4BEC-B692-EB38114ACEDF}"/>
    <cellStyle name="40% - 강조색6 7" xfId="182" xr:uid="{05CFEC58-67B0-46E3-A580-AB3F892F5F02}"/>
    <cellStyle name="40% - 강조색6 7 2" xfId="504" xr:uid="{7B92808C-2ED3-4950-BA35-73A51626184C}"/>
    <cellStyle name="40% - 강조색6 8" xfId="202" xr:uid="{3DB6A435-9D18-41C8-A80C-5CA6BC3C8EC3}"/>
    <cellStyle name="40% - 강조색6 8 2" xfId="524" xr:uid="{F17E9E84-0F17-4E88-A1A3-14602233305F}"/>
    <cellStyle name="40% - 강조색6 9" xfId="222" xr:uid="{437FDFC9-C82F-4230-A465-4560C5905C74}"/>
    <cellStyle name="40% - 강조색6 9 2" xfId="544" xr:uid="{3A99AA22-1D5F-410C-AF54-C2927AE9160D}"/>
    <cellStyle name="60% - 강조색1" xfId="27" builtinId="32" customBuiltin="1"/>
    <cellStyle name="60% - 강조색1 10" xfId="228" xr:uid="{B2CB40AD-4A4F-4918-9765-E0E0363F2909}"/>
    <cellStyle name="60% - 강조색1 10 2" xfId="550" xr:uid="{226AA078-A7CA-455D-977D-6E9847453B88}"/>
    <cellStyle name="60% - 강조색1 11" xfId="248" xr:uid="{E4397767-24DE-4A4E-8808-6EE3AC7ADD6A}"/>
    <cellStyle name="60% - 강조색1 11 2" xfId="570" xr:uid="{EE7F782C-758B-4DB1-86B4-8961E4C9F7F4}"/>
    <cellStyle name="60% - 강조색1 12" xfId="268" xr:uid="{45163B68-6E14-49BA-BFA4-ECA510354E09}"/>
    <cellStyle name="60% - 강조색1 12 2" xfId="590" xr:uid="{9C2E11AC-8E3E-4DDF-B6E5-34059502E076}"/>
    <cellStyle name="60% - 강조색1 13" xfId="288" xr:uid="{4ECEC866-C940-4B1D-8E38-55A23D2D0542}"/>
    <cellStyle name="60% - 강조색1 13 2" xfId="610" xr:uid="{5D95F002-0F61-4AD9-A36C-F872CCAF612F}"/>
    <cellStyle name="60% - 강조색1 14" xfId="308" xr:uid="{DF8043AD-8773-4D93-B2C8-1B5C7502C135}"/>
    <cellStyle name="60% - 강조색1 14 2" xfId="630" xr:uid="{5E6AE065-5D0F-4606-AD0F-A385E01C3381}"/>
    <cellStyle name="60% - 강조색1 15" xfId="328" xr:uid="{AE574A2D-9FB0-4ACE-B888-47AD5434508A}"/>
    <cellStyle name="60% - 강조색1 15 2" xfId="650" xr:uid="{E844FF8F-7B16-4D38-9791-B828AC88DE95}"/>
    <cellStyle name="60% - 강조색1 16" xfId="348" xr:uid="{8CEA539B-6240-42C9-B368-161B9EDC0A45}"/>
    <cellStyle name="60% - 강조색1 16 2" xfId="670" xr:uid="{A924D966-D3E2-491C-8302-D3BB56DBD6F0}"/>
    <cellStyle name="60% - 강조색1 17" xfId="368" xr:uid="{D3E7C769-2610-416E-BDA9-5FF7A045D043}"/>
    <cellStyle name="60% - 강조색1 2" xfId="68" xr:uid="{D96F520C-0939-4D6D-A16E-E458CF2912C2}"/>
    <cellStyle name="60% - 강조색1 2 2" xfId="390" xr:uid="{124A6453-E12C-4FD9-BE81-1B9A906B965F}"/>
    <cellStyle name="60% - 강조색1 3" xfId="88" xr:uid="{F66CE541-3BD7-4504-AC6D-7AF378A3DEDA}"/>
    <cellStyle name="60% - 강조색1 3 2" xfId="410" xr:uid="{96C08A0F-46F6-4E35-8B3D-CAF0B6C669A0}"/>
    <cellStyle name="60% - 강조색1 4" xfId="108" xr:uid="{6FA34F41-E20A-49FA-BFCA-CD52598158FD}"/>
    <cellStyle name="60% - 강조색1 4 2" xfId="430" xr:uid="{5F330657-5350-4E0E-BB91-BEAC90ECF3FC}"/>
    <cellStyle name="60% - 강조색1 5" xfId="128" xr:uid="{3463E9EE-F8EC-4E54-834C-9B81B7FECD98}"/>
    <cellStyle name="60% - 강조색1 5 2" xfId="450" xr:uid="{9556724A-E7E4-4EED-932B-61F20E12A4ED}"/>
    <cellStyle name="60% - 강조색1 6" xfId="148" xr:uid="{5B333DEA-5B17-48AA-B16F-C66878B0742C}"/>
    <cellStyle name="60% - 강조색1 6 2" xfId="470" xr:uid="{81AC11E7-D8F5-4C75-A436-72648F3D75E7}"/>
    <cellStyle name="60% - 강조색1 7" xfId="168" xr:uid="{8212DAC3-9A02-42BE-8CA2-BF85CA1F7FF5}"/>
    <cellStyle name="60% - 강조색1 7 2" xfId="490" xr:uid="{04472860-D3EA-4EB0-BCD2-3F8E80E50369}"/>
    <cellStyle name="60% - 강조색1 8" xfId="188" xr:uid="{C4DD9030-1D5F-45AE-A9B8-68EA671C2427}"/>
    <cellStyle name="60% - 강조색1 8 2" xfId="510" xr:uid="{F9B73576-AC08-4822-BE5A-9F4AA1EB8856}"/>
    <cellStyle name="60% - 강조색1 9" xfId="208" xr:uid="{17F085EB-9BA6-42BC-90C0-6F0174349845}"/>
    <cellStyle name="60% - 강조색1 9 2" xfId="530" xr:uid="{A2A70C79-9001-4235-9584-6FC76A19F8C1}"/>
    <cellStyle name="60% - 강조색2" xfId="31" builtinId="36" customBuiltin="1"/>
    <cellStyle name="60% - 강조색2 10" xfId="231" xr:uid="{14C597ED-74A6-41A0-B9C3-84CD44CA0D59}"/>
    <cellStyle name="60% - 강조색2 10 2" xfId="553" xr:uid="{9626A822-DB4E-4041-8B4F-A99E1ED8AF8E}"/>
    <cellStyle name="60% - 강조색2 11" xfId="251" xr:uid="{8C1F64DB-16E4-48E9-A735-71A04F737194}"/>
    <cellStyle name="60% - 강조색2 11 2" xfId="573" xr:uid="{558DDD58-721B-4402-A940-081A9528C513}"/>
    <cellStyle name="60% - 강조색2 12" xfId="271" xr:uid="{8AF8D59B-02D0-4311-9B00-197848AD0A13}"/>
    <cellStyle name="60% - 강조색2 12 2" xfId="593" xr:uid="{B7A41D7D-0286-481B-8269-764D11A3B473}"/>
    <cellStyle name="60% - 강조색2 13" xfId="291" xr:uid="{092D3EDE-EB8C-4BC8-A3E3-6F8586AFA4F1}"/>
    <cellStyle name="60% - 강조색2 13 2" xfId="613" xr:uid="{783C1C23-0945-45F1-9229-F424A9C7C8AA}"/>
    <cellStyle name="60% - 강조색2 14" xfId="311" xr:uid="{67D6E8F6-6671-4854-A51D-68A4D4178F79}"/>
    <cellStyle name="60% - 강조색2 14 2" xfId="633" xr:uid="{09792AEC-C150-4525-9563-0D58C72FA82D}"/>
    <cellStyle name="60% - 강조색2 15" xfId="331" xr:uid="{AFB5EB0C-80FD-4EB2-B8A6-C7F9EA67F76F}"/>
    <cellStyle name="60% - 강조색2 15 2" xfId="653" xr:uid="{CA7D3D20-AF95-43AE-859D-6B0B4A09BE83}"/>
    <cellStyle name="60% - 강조색2 16" xfId="351" xr:uid="{509739BE-ABF1-4169-8BB8-402FA881B622}"/>
    <cellStyle name="60% - 강조색2 16 2" xfId="673" xr:uid="{F843F0E9-63F6-4794-A15C-9753A6FD42A1}"/>
    <cellStyle name="60% - 강조색2 17" xfId="371" xr:uid="{7CC534F9-5549-4084-AA27-FC32E2F94A3E}"/>
    <cellStyle name="60% - 강조색2 2" xfId="71" xr:uid="{644D7E5D-D95D-4561-AA7D-F03E99268569}"/>
    <cellStyle name="60% - 강조색2 2 2" xfId="393" xr:uid="{57AE420D-92DF-480F-87D2-641C8DE0AA41}"/>
    <cellStyle name="60% - 강조색2 3" xfId="91" xr:uid="{6D8DD7CB-BAD5-42BD-8CAA-D865CE7EE7B0}"/>
    <cellStyle name="60% - 강조색2 3 2" xfId="413" xr:uid="{04C9892B-FF69-4DD4-8A00-265A382D48E4}"/>
    <cellStyle name="60% - 강조색2 4" xfId="111" xr:uid="{EB7CA402-BA71-47F3-AA96-0364DD842CDA}"/>
    <cellStyle name="60% - 강조색2 4 2" xfId="433" xr:uid="{0264EE76-411E-4D8B-AF07-7B200A5B5254}"/>
    <cellStyle name="60% - 강조색2 5" xfId="131" xr:uid="{F4E8DAEC-7A51-4F25-AF51-75342EDBB9BF}"/>
    <cellStyle name="60% - 강조색2 5 2" xfId="453" xr:uid="{FDBA7477-D177-4D4E-B309-790D433EF525}"/>
    <cellStyle name="60% - 강조색2 6" xfId="151" xr:uid="{232C6D60-F69C-4131-BA00-A2518A57C92F}"/>
    <cellStyle name="60% - 강조색2 6 2" xfId="473" xr:uid="{3C47D0EE-448F-4C25-ACE0-2E31F112A0FF}"/>
    <cellStyle name="60% - 강조색2 7" xfId="171" xr:uid="{54B6E76E-4A23-423C-A58F-0036EF4BD218}"/>
    <cellStyle name="60% - 강조색2 7 2" xfId="493" xr:uid="{82854D90-89B6-44A5-901B-DCCAD9A7E344}"/>
    <cellStyle name="60% - 강조색2 8" xfId="191" xr:uid="{CAB13629-03F9-4D57-B12A-3727FBAF4666}"/>
    <cellStyle name="60% - 강조색2 8 2" xfId="513" xr:uid="{35B00465-F878-4678-AA63-F6D53D7A6E3B}"/>
    <cellStyle name="60% - 강조색2 9" xfId="211" xr:uid="{A63107D2-B5A6-4F95-8B93-DE528608944A}"/>
    <cellStyle name="60% - 강조색2 9 2" xfId="533" xr:uid="{B80405B5-483A-4584-8DB7-9DF7C38C02C6}"/>
    <cellStyle name="60% - 강조색3" xfId="35" builtinId="40" customBuiltin="1"/>
    <cellStyle name="60% - 강조색3 10" xfId="234" xr:uid="{ED75E9BB-902D-42DB-AF09-843CCDFA3E09}"/>
    <cellStyle name="60% - 강조색3 10 2" xfId="556" xr:uid="{52F98000-1292-4372-8DBB-74F04636EF17}"/>
    <cellStyle name="60% - 강조색3 11" xfId="254" xr:uid="{EA1454C4-3A62-4C0E-9767-7776B2D9DF0C}"/>
    <cellStyle name="60% - 강조색3 11 2" xfId="576" xr:uid="{38117D70-5741-4E60-A726-37F17D45D0FC}"/>
    <cellStyle name="60% - 강조색3 12" xfId="274" xr:uid="{758273EF-D7DF-41A3-A017-443AF2472E7F}"/>
    <cellStyle name="60% - 강조색3 12 2" xfId="596" xr:uid="{662DB5E2-51B5-4821-81F5-C4E4B36466EC}"/>
    <cellStyle name="60% - 강조색3 13" xfId="294" xr:uid="{9D1FA834-CFEF-4C9E-A7EE-EB66B3C4C5F0}"/>
    <cellStyle name="60% - 강조색3 13 2" xfId="616" xr:uid="{C88D46D5-4F3D-4A1C-8A6A-64CE425118C5}"/>
    <cellStyle name="60% - 강조색3 14" xfId="314" xr:uid="{8A0584AF-AF63-476E-9C0B-405244535428}"/>
    <cellStyle name="60% - 강조색3 14 2" xfId="636" xr:uid="{94C3E690-F13A-4A93-9881-7DE1CDDFC8BA}"/>
    <cellStyle name="60% - 강조색3 15" xfId="334" xr:uid="{814BFB90-17CB-4D6B-A673-DDF213A4D15F}"/>
    <cellStyle name="60% - 강조색3 15 2" xfId="656" xr:uid="{676DE628-8201-4DE6-A036-82C5BD0FF36B}"/>
    <cellStyle name="60% - 강조색3 16" xfId="354" xr:uid="{37125019-D4FC-4E93-9440-04BD06B12DCE}"/>
    <cellStyle name="60% - 강조색3 16 2" xfId="676" xr:uid="{A345DAF3-642D-477E-B380-B2EE5CE9B9B2}"/>
    <cellStyle name="60% - 강조색3 17" xfId="374" xr:uid="{70E143B6-F868-40A5-A195-7F118E330C32}"/>
    <cellStyle name="60% - 강조색3 2" xfId="74" xr:uid="{8A119AEB-6E38-4FDE-B0BF-D55711F2A704}"/>
    <cellStyle name="60% - 강조색3 2 2" xfId="396" xr:uid="{082435B6-7ED2-433F-98FD-AB11B1F59128}"/>
    <cellStyle name="60% - 강조색3 3" xfId="94" xr:uid="{3C8C73D0-4078-4609-BAB5-8A20ADB91724}"/>
    <cellStyle name="60% - 강조색3 3 2" xfId="416" xr:uid="{DFE6514F-7DA4-4C28-B8B7-1B94CEDFE188}"/>
    <cellStyle name="60% - 강조색3 4" xfId="114" xr:uid="{EC9E5DEB-280D-4710-9F22-874497065958}"/>
    <cellStyle name="60% - 강조색3 4 2" xfId="436" xr:uid="{5A3D0079-2963-4463-A196-E35900538C47}"/>
    <cellStyle name="60% - 강조색3 5" xfId="134" xr:uid="{CBEAA6D1-B501-4E4F-92F6-55490AEBEF24}"/>
    <cellStyle name="60% - 강조색3 5 2" xfId="456" xr:uid="{8DD25804-26EB-4CB8-9A27-555C23F1C4AE}"/>
    <cellStyle name="60% - 강조색3 6" xfId="154" xr:uid="{BF2604A9-F699-4508-B09F-0FCF998B8E7C}"/>
    <cellStyle name="60% - 강조색3 6 2" xfId="476" xr:uid="{51A6C343-0C4E-40CE-9FBD-63A1AED1093F}"/>
    <cellStyle name="60% - 강조색3 7" xfId="174" xr:uid="{CC34085C-2DF9-4B63-BC74-48FB0D0B41C0}"/>
    <cellStyle name="60% - 강조색3 7 2" xfId="496" xr:uid="{5366EB41-0FD3-427C-AE07-8736858E850D}"/>
    <cellStyle name="60% - 강조색3 8" xfId="194" xr:uid="{92B4DA0C-F19C-4089-8BF9-BBEE225A05A5}"/>
    <cellStyle name="60% - 강조색3 8 2" xfId="516" xr:uid="{AACD3D2D-C9FB-4D49-97A8-657258CC7346}"/>
    <cellStyle name="60% - 강조색3 9" xfId="214" xr:uid="{FB8BE683-8343-4BEB-9B06-CDF01B070856}"/>
    <cellStyle name="60% - 강조색3 9 2" xfId="536" xr:uid="{126CBF39-F085-4DC5-812C-ED8E291CCE57}"/>
    <cellStyle name="60% - 강조색4" xfId="39" builtinId="44" customBuiltin="1"/>
    <cellStyle name="60% - 강조색4 10" xfId="237" xr:uid="{70E89AC4-5EED-43E7-9ED8-EF9FC159426C}"/>
    <cellStyle name="60% - 강조색4 10 2" xfId="559" xr:uid="{76A87FAA-9D83-4088-B99D-0B1603288CA5}"/>
    <cellStyle name="60% - 강조색4 11" xfId="257" xr:uid="{069866A3-60DC-46EA-9CD7-FBE3CA7D5DA3}"/>
    <cellStyle name="60% - 강조색4 11 2" xfId="579" xr:uid="{5DB512B9-9E5E-41C0-8EEE-CC6C859621FC}"/>
    <cellStyle name="60% - 강조색4 12" xfId="277" xr:uid="{D7C60D16-EB4F-4F13-94C9-22FBC38F668A}"/>
    <cellStyle name="60% - 강조색4 12 2" xfId="599" xr:uid="{AEE9E6F8-8D1D-426E-B167-60834CB36227}"/>
    <cellStyle name="60% - 강조색4 13" xfId="297" xr:uid="{6F27FC83-76D1-46F7-B3AD-56241F0BE553}"/>
    <cellStyle name="60% - 강조색4 13 2" xfId="619" xr:uid="{5EF1BBC6-4631-4CC1-BBC2-8F8053AEF10A}"/>
    <cellStyle name="60% - 강조색4 14" xfId="317" xr:uid="{E2708639-9E78-49CB-99B9-C5695C11F1AA}"/>
    <cellStyle name="60% - 강조색4 14 2" xfId="639" xr:uid="{20325AD9-9FF8-4FB2-862F-A108129DF773}"/>
    <cellStyle name="60% - 강조색4 15" xfId="337" xr:uid="{C85AEFAC-1A27-465A-808B-FF9B657C1459}"/>
    <cellStyle name="60% - 강조색4 15 2" xfId="659" xr:uid="{D83AA492-26E2-48A0-AB83-554444440ED1}"/>
    <cellStyle name="60% - 강조색4 16" xfId="357" xr:uid="{19EA790D-267E-40B1-9477-DADE12FD25CC}"/>
    <cellStyle name="60% - 강조색4 16 2" xfId="679" xr:uid="{0BEB6191-3B5C-4438-9A64-46CFE3DC53CC}"/>
    <cellStyle name="60% - 강조색4 17" xfId="377" xr:uid="{FA137CBD-69A8-4A87-B21E-8AA1645AA65A}"/>
    <cellStyle name="60% - 강조색4 2" xfId="77" xr:uid="{1792CD84-041D-468B-B354-D747C2D04C1D}"/>
    <cellStyle name="60% - 강조색4 2 2" xfId="399" xr:uid="{F79E2706-B5F5-4639-BB50-E25E175837A1}"/>
    <cellStyle name="60% - 강조색4 3" xfId="97" xr:uid="{A1937497-621F-41D7-853F-4DF5D3F9421B}"/>
    <cellStyle name="60% - 강조색4 3 2" xfId="419" xr:uid="{22A9D7D9-703E-46F4-BB21-4A8142C2494A}"/>
    <cellStyle name="60% - 강조색4 4" xfId="117" xr:uid="{77FD045A-28DE-49C3-9FED-388E253D598A}"/>
    <cellStyle name="60% - 강조색4 4 2" xfId="439" xr:uid="{B93F9A4D-6A9A-40CD-9924-F09340E8CE39}"/>
    <cellStyle name="60% - 강조색4 5" xfId="137" xr:uid="{990E823D-6CD7-4AD7-A165-238769E1884C}"/>
    <cellStyle name="60% - 강조색4 5 2" xfId="459" xr:uid="{6E531401-D100-4389-A8DF-1F7B7B39B8FD}"/>
    <cellStyle name="60% - 강조색4 6" xfId="157" xr:uid="{DEC53E00-AB73-4777-A99B-B832E160D84A}"/>
    <cellStyle name="60% - 강조색4 6 2" xfId="479" xr:uid="{5C09BEB1-281F-4D99-8D28-803F1F6612CA}"/>
    <cellStyle name="60% - 강조색4 7" xfId="177" xr:uid="{98FF8F1B-C298-4C4F-8370-A09AC3F2FFB8}"/>
    <cellStyle name="60% - 강조색4 7 2" xfId="499" xr:uid="{71B50942-4059-450C-8BD9-2BA1972C2A52}"/>
    <cellStyle name="60% - 강조색4 8" xfId="197" xr:uid="{5C8022D0-2716-4511-BCE5-F749E9A7505F}"/>
    <cellStyle name="60% - 강조색4 8 2" xfId="519" xr:uid="{7120E12F-BC89-4459-86A4-7126A75667E4}"/>
    <cellStyle name="60% - 강조색4 9" xfId="217" xr:uid="{398F5B73-4152-4111-A6C1-88930B304A8F}"/>
    <cellStyle name="60% - 강조색4 9 2" xfId="539" xr:uid="{642AC58F-6741-4B16-9C62-A5839FF316AB}"/>
    <cellStyle name="60% - 강조색5" xfId="43" builtinId="48" customBuiltin="1"/>
    <cellStyle name="60% - 강조색5 10" xfId="240" xr:uid="{A4732F92-E2E7-47F7-8962-09A53158E49E}"/>
    <cellStyle name="60% - 강조색5 10 2" xfId="562" xr:uid="{3D71DF23-06D9-45D7-B483-619A9A0A4D24}"/>
    <cellStyle name="60% - 강조색5 11" xfId="260" xr:uid="{833A5587-5E37-4DDD-A9A7-B9B835D4EEC6}"/>
    <cellStyle name="60% - 강조색5 11 2" xfId="582" xr:uid="{3572B3DD-ACEA-4F43-8032-F7355C2A3500}"/>
    <cellStyle name="60% - 강조색5 12" xfId="280" xr:uid="{0CF639C7-E6D7-4838-8BD1-2A7DDFC35C69}"/>
    <cellStyle name="60% - 강조색5 12 2" xfId="602" xr:uid="{914473E3-431E-4AE5-8866-E8E05E405FE5}"/>
    <cellStyle name="60% - 강조색5 13" xfId="300" xr:uid="{DD9DC0D0-B0AA-4409-BC18-73F74EE6DC64}"/>
    <cellStyle name="60% - 강조색5 13 2" xfId="622" xr:uid="{AA6DBD84-28E3-4013-B41E-F5077169E11A}"/>
    <cellStyle name="60% - 강조색5 14" xfId="320" xr:uid="{509A9514-662E-4223-8C47-3AF46E407071}"/>
    <cellStyle name="60% - 강조색5 14 2" xfId="642" xr:uid="{BC473931-00E4-461C-94D0-0DD14FCF89E8}"/>
    <cellStyle name="60% - 강조색5 15" xfId="340" xr:uid="{9B28C65F-3F16-43C9-9433-48DBF0EA6B76}"/>
    <cellStyle name="60% - 강조색5 15 2" xfId="662" xr:uid="{666A56C4-1845-4326-8065-0BBDB5554EB3}"/>
    <cellStyle name="60% - 강조색5 16" xfId="360" xr:uid="{77D17A4D-0892-4BC2-B936-5A54501FA2FF}"/>
    <cellStyle name="60% - 강조색5 16 2" xfId="682" xr:uid="{3CFB1F87-8061-4F54-85E9-9B1E3589F4E5}"/>
    <cellStyle name="60% - 강조색5 17" xfId="380" xr:uid="{86163038-B504-4C2C-961D-1BC4B26667A7}"/>
    <cellStyle name="60% - 강조색5 2" xfId="80" xr:uid="{83C87137-7D9D-4435-8D26-FB3DD7FDD5B2}"/>
    <cellStyle name="60% - 강조색5 2 2" xfId="402" xr:uid="{23403AE6-751E-452C-8079-191B3B24DA49}"/>
    <cellStyle name="60% - 강조색5 3" xfId="100" xr:uid="{8A3FC43A-9273-4EDE-A3D4-12656ACA2B00}"/>
    <cellStyle name="60% - 강조색5 3 2" xfId="422" xr:uid="{D3774C12-B4C1-4C99-82DE-D8324A630CA6}"/>
    <cellStyle name="60% - 강조색5 4" xfId="120" xr:uid="{8C64B1C1-5D00-4464-8C70-D32A97402830}"/>
    <cellStyle name="60% - 강조색5 4 2" xfId="442" xr:uid="{D3384D00-6B9D-413B-8E67-33D3887E59DA}"/>
    <cellStyle name="60% - 강조색5 5" xfId="140" xr:uid="{CEEB8C43-7F0B-422B-AD7B-CFAA54FDBE61}"/>
    <cellStyle name="60% - 강조색5 5 2" xfId="462" xr:uid="{89A7A7C8-174C-4BEE-B84A-545BD892F8FD}"/>
    <cellStyle name="60% - 강조색5 6" xfId="160" xr:uid="{7CAA41A2-41F0-4F2A-852C-9148935AF173}"/>
    <cellStyle name="60% - 강조색5 6 2" xfId="482" xr:uid="{65CC74CB-108F-4644-9988-5E197869E7F1}"/>
    <cellStyle name="60% - 강조색5 7" xfId="180" xr:uid="{B8F7E0E2-4C83-4F44-B59F-356F510E044A}"/>
    <cellStyle name="60% - 강조색5 7 2" xfId="502" xr:uid="{E43B05C2-8298-4FE3-B3E2-79BE73CB91A3}"/>
    <cellStyle name="60% - 강조색5 8" xfId="200" xr:uid="{6D2D570D-EC52-4E0C-B1E9-5D2AB26D118B}"/>
    <cellStyle name="60% - 강조색5 8 2" xfId="522" xr:uid="{1B71AE00-DD9C-4E18-A4AA-4B1C215E6482}"/>
    <cellStyle name="60% - 강조색5 9" xfId="220" xr:uid="{922B3494-236E-4C09-974D-F60AAF6C7BE7}"/>
    <cellStyle name="60% - 강조색5 9 2" xfId="542" xr:uid="{B6A5FB62-C68C-4221-9FEF-C84F0B59D739}"/>
    <cellStyle name="60% - 강조색6" xfId="47" builtinId="52" customBuiltin="1"/>
    <cellStyle name="60% - 강조색6 10" xfId="243" xr:uid="{45C2A6A0-CD21-437A-82CA-BC3AD53B6A17}"/>
    <cellStyle name="60% - 강조색6 10 2" xfId="565" xr:uid="{41396949-3555-4CBC-BB2B-76F34FF8F14B}"/>
    <cellStyle name="60% - 강조색6 11" xfId="263" xr:uid="{A320767B-703A-471C-8140-F1287F2FFA6B}"/>
    <cellStyle name="60% - 강조색6 11 2" xfId="585" xr:uid="{450B58D4-53B0-4DEA-AEA9-F7C1FB1A8104}"/>
    <cellStyle name="60% - 강조색6 12" xfId="283" xr:uid="{089059AD-EDC4-453B-8BF0-CD3801C452E4}"/>
    <cellStyle name="60% - 강조색6 12 2" xfId="605" xr:uid="{A4156B4B-2347-4D02-B48B-FFB3514DFCD7}"/>
    <cellStyle name="60% - 강조색6 13" xfId="303" xr:uid="{DF5BB59F-4766-4740-8D6D-9EFC37439CE9}"/>
    <cellStyle name="60% - 강조색6 13 2" xfId="625" xr:uid="{A3457365-5C3E-42AE-BBFB-CB900F62745E}"/>
    <cellStyle name="60% - 강조색6 14" xfId="323" xr:uid="{7F342A78-9A20-4FA7-A393-60C2CB5924F1}"/>
    <cellStyle name="60% - 강조색6 14 2" xfId="645" xr:uid="{270EB786-D2CD-48D0-B7BD-D655C4B8D205}"/>
    <cellStyle name="60% - 강조색6 15" xfId="343" xr:uid="{ED88BECD-6E0C-45E7-99FA-A4CDF3CF7ADD}"/>
    <cellStyle name="60% - 강조색6 15 2" xfId="665" xr:uid="{749F4FC9-74D0-4690-A9FA-9B4789CE1E56}"/>
    <cellStyle name="60% - 강조색6 16" xfId="363" xr:uid="{606700C0-23F4-4BB8-B081-FB2BDB824788}"/>
    <cellStyle name="60% - 강조색6 16 2" xfId="685" xr:uid="{A4C8F1E2-E5AE-4948-B97D-29008ADB8386}"/>
    <cellStyle name="60% - 강조색6 17" xfId="383" xr:uid="{A403B04E-17FA-4EE5-844A-3EA55123C132}"/>
    <cellStyle name="60% - 강조색6 2" xfId="83" xr:uid="{17B91430-62BE-4134-AC04-1D7C5943D02F}"/>
    <cellStyle name="60% - 강조색6 2 2" xfId="405" xr:uid="{930C05EC-9822-4F37-99CC-57F23CC57749}"/>
    <cellStyle name="60% - 강조색6 3" xfId="103" xr:uid="{9331A509-0875-4C0F-8C3D-D5FB52FB4174}"/>
    <cellStyle name="60% - 강조색6 3 2" xfId="425" xr:uid="{09E6CDEC-BE66-4466-81BE-53B7AFD43C7D}"/>
    <cellStyle name="60% - 강조색6 4" xfId="123" xr:uid="{B9658C44-09E3-424D-B22E-7C3FCC9C0806}"/>
    <cellStyle name="60% - 강조색6 4 2" xfId="445" xr:uid="{931C8844-A297-4B7C-879E-C2861435457B}"/>
    <cellStyle name="60% - 강조색6 5" xfId="143" xr:uid="{C1BAFC03-FA40-4450-840A-F36FB1A6041B}"/>
    <cellStyle name="60% - 강조색6 5 2" xfId="465" xr:uid="{480D01F9-51C7-41DE-B042-228FF155FF9C}"/>
    <cellStyle name="60% - 강조색6 6" xfId="163" xr:uid="{1089B983-8593-4207-A1CE-09349D3C4605}"/>
    <cellStyle name="60% - 강조색6 6 2" xfId="485" xr:uid="{49B2E4CD-2FC1-44FB-B814-6D3AA4CD73C4}"/>
    <cellStyle name="60% - 강조색6 7" xfId="183" xr:uid="{FF60C2DA-079A-4EE1-A9B5-1AD3A9A8D643}"/>
    <cellStyle name="60% - 강조색6 7 2" xfId="505" xr:uid="{3F07AC87-CD2E-4C64-AC11-0A698FD89184}"/>
    <cellStyle name="60% - 강조색6 8" xfId="203" xr:uid="{1DBB24E1-EC94-4394-B3EB-483F05503DF3}"/>
    <cellStyle name="60% - 강조색6 8 2" xfId="525" xr:uid="{8561C566-1FCA-4CF4-9510-182430BF86E2}"/>
    <cellStyle name="60% - 강조색6 9" xfId="223" xr:uid="{3EA00A76-CBFA-49F9-B4AE-8BB59E2AEFE3}"/>
    <cellStyle name="60% - 강조색6 9 2" xfId="545" xr:uid="{71E7C857-2BDD-4EEA-A3FD-0EC1DB8CB539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88" xr:uid="{82DB80F1-8567-4E73-B5A9-3D9B4FB3E687}"/>
    <cellStyle name="Normal_Capability Study - IPEG EVT1 0713a.xls" xfId="687" xr:uid="{CD3D55E2-477B-442E-BB68-F76106AD5A98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강조색1" xfId="24" builtinId="29" customBuiltin="1"/>
    <cellStyle name="강조색2" xfId="28" builtinId="33" customBuiltin="1"/>
    <cellStyle name="강조색3" xfId="32" builtinId="37" customBuiltin="1"/>
    <cellStyle name="강조색4" xfId="36" builtinId="41" customBuiltin="1"/>
    <cellStyle name="강조색5" xfId="40" builtinId="45" customBuiltin="1"/>
    <cellStyle name="강조색6" xfId="44" builtinId="49" customBuiltin="1"/>
    <cellStyle name="경고문" xfId="21" builtinId="11" customBuiltin="1"/>
    <cellStyle name="계산" xfId="18" builtinId="22" customBuiltin="1"/>
    <cellStyle name="나쁨" xfId="14" builtinId="27" customBuiltin="1"/>
    <cellStyle name="메모 10" xfId="205" xr:uid="{F1E6B1A6-DFCC-43B5-938B-AC4EA38735C0}"/>
    <cellStyle name="메모 10 2" xfId="527" xr:uid="{A226075C-3D3A-480E-B94D-AB7F524FBDEB}"/>
    <cellStyle name="메모 11" xfId="225" xr:uid="{96156C23-3B33-4EC6-904C-30CD9C6AE460}"/>
    <cellStyle name="메모 11 2" xfId="547" xr:uid="{C9334ACA-7CEB-467E-81AA-0B22FC409BE8}"/>
    <cellStyle name="메모 12" xfId="245" xr:uid="{5CB831BA-C7F1-474B-BA74-58288726F36E}"/>
    <cellStyle name="메모 12 2" xfId="567" xr:uid="{09904E7A-DDAF-441C-B165-E1C67D33F79B}"/>
    <cellStyle name="메모 13" xfId="265" xr:uid="{91BBAD60-6ED6-4715-A410-BA21B2B80F9B}"/>
    <cellStyle name="메모 13 2" xfId="587" xr:uid="{A56D01A3-060D-4806-8E05-9A46BAD7129F}"/>
    <cellStyle name="메모 14" xfId="285" xr:uid="{72C31025-9F67-4651-9FD6-55D175EBD059}"/>
    <cellStyle name="메모 14 2" xfId="607" xr:uid="{D02395D6-70A4-4E74-842F-EF1A78EF527E}"/>
    <cellStyle name="메모 15" xfId="305" xr:uid="{64142A57-8907-4EB8-81F0-21D0FC161584}"/>
    <cellStyle name="메모 15 2" xfId="627" xr:uid="{BA54053C-CEB1-4D74-B5CF-95141059188B}"/>
    <cellStyle name="메모 16" xfId="325" xr:uid="{429D3280-652F-41CC-BE36-941A19F819E6}"/>
    <cellStyle name="메모 16 2" xfId="647" xr:uid="{F514BF9D-1B2A-4041-BBE2-51440819B3E6}"/>
    <cellStyle name="메모 17" xfId="345" xr:uid="{42ECB233-434C-45FD-A02B-764D46565700}"/>
    <cellStyle name="메모 17 2" xfId="667" xr:uid="{B1B4CC07-2EF2-4066-9F76-AE927D233B1B}"/>
    <cellStyle name="메모 2" xfId="63" xr:uid="{C5E085BA-2B59-45F4-9A7F-16FA145D7B84}"/>
    <cellStyle name="메모 2 2" xfId="385" xr:uid="{55FC75F2-3408-4923-9BC9-4592247188CF}"/>
    <cellStyle name="메모 3" xfId="65" xr:uid="{CF354A69-28DB-401C-A63E-3F347A572426}"/>
    <cellStyle name="메모 3 2" xfId="387" xr:uid="{9B4CC2BA-6719-496A-944D-8A4BD78A48D2}"/>
    <cellStyle name="메모 4" xfId="85" xr:uid="{775D36BA-F6FE-4815-AEDB-99DCD30B3F80}"/>
    <cellStyle name="메모 4 2" xfId="407" xr:uid="{E6F5E45C-FF8A-49D2-9E65-BC33594AE3F6}"/>
    <cellStyle name="메모 5" xfId="105" xr:uid="{A16EE7B9-2783-46EF-847B-5843EB9314E0}"/>
    <cellStyle name="메모 5 2" xfId="427" xr:uid="{673DD5F8-02AB-4AE0-A490-BDD6E4565387}"/>
    <cellStyle name="메모 6" xfId="125" xr:uid="{99D5518B-558D-4D06-8223-349768351A5B}"/>
    <cellStyle name="메모 6 2" xfId="447" xr:uid="{808F6D9C-45E0-4C62-827C-41D5EC4203EF}"/>
    <cellStyle name="메모 7" xfId="145" xr:uid="{46215A0F-5D5F-4A1E-AE77-6F7125E3F5FD}"/>
    <cellStyle name="메모 7 2" xfId="467" xr:uid="{D7A0A9B3-7FC7-45AD-B130-0CAE93442850}"/>
    <cellStyle name="메모 8" xfId="165" xr:uid="{3F7FA357-98BF-476F-AC6F-5346764332E9}"/>
    <cellStyle name="메모 8 2" xfId="487" xr:uid="{20513D92-689C-48FE-B688-6A3BCE7E01D7}"/>
    <cellStyle name="메모 9" xfId="185" xr:uid="{3BDA0B01-7855-47A6-943B-A22238ECF36D}"/>
    <cellStyle name="메모 9 2" xfId="507" xr:uid="{F89D1217-19FE-4AB8-AF1A-7EA0D88C8366}"/>
    <cellStyle name="百分比 3" xfId="2" xr:uid="{D6C95A67-1C7B-404B-8CDF-2921498D764C}"/>
    <cellStyle name="백분율 2" xfId="49" xr:uid="{E41B836F-9572-4D1C-9D74-1056A2A9CD16}"/>
    <cellStyle name="보통" xfId="15" builtinId="28" customBuiltin="1"/>
    <cellStyle name="常规 4" xfId="5" xr:uid="{79A5A741-AEC6-8E4D-AD07-F06A72B84B5A}"/>
    <cellStyle name="常规_8364B 2009415" xfId="48" xr:uid="{0B47AFBD-263D-4B7F-B2E7-B395D86BCEE1}"/>
    <cellStyle name="설명 텍스트" xfId="22" builtinId="53" customBuiltin="1"/>
    <cellStyle name="셀 확인" xfId="20" builtinId="23" customBuiltin="1"/>
    <cellStyle name="쉼표 [0] 2" xfId="7" xr:uid="{404A706B-A3F0-6D4E-AC76-48F566C7C22E}"/>
    <cellStyle name="쉼표 [0] 2 2" xfId="365" xr:uid="{579210B8-D319-4875-91D3-62BD837C4DA7}"/>
    <cellStyle name="쉼표 [0] 3" xfId="686" xr:uid="{9ED07F7B-9111-45ED-9074-33FDC1BA9732}"/>
    <cellStyle name="연결된 셀" xfId="19" builtinId="24" customBuiltin="1"/>
    <cellStyle name="요약" xfId="23" builtinId="25" customBuiltin="1"/>
    <cellStyle name="一般 3" xfId="1" xr:uid="{CBDF56BD-CEEB-C64C-84C9-24C904CBE56D}"/>
    <cellStyle name="입력" xfId="16" builtinId="20" customBuiltin="1"/>
    <cellStyle name="제목" xfId="8" builtinId="15" customBuiltin="1"/>
    <cellStyle name="제목 1" xfId="9" builtinId="16" customBuiltin="1"/>
    <cellStyle name="제목 2" xfId="10" builtinId="17" customBuiltin="1"/>
    <cellStyle name="제목 3" xfId="11" builtinId="18" customBuiltin="1"/>
    <cellStyle name="제목 4" xfId="12" builtinId="19" customBuiltin="1"/>
    <cellStyle name="좋음" xfId="13" builtinId="26" customBuiltin="1"/>
    <cellStyle name="출력" xfId="17" builtinId="21" customBuiltin="1"/>
    <cellStyle name="표준" xfId="0" builtinId="0"/>
    <cellStyle name="표준 10" xfId="204" xr:uid="{97A0A5AD-B5E0-4681-B396-4D85486E02B2}"/>
    <cellStyle name="표준 10 2" xfId="526" xr:uid="{69005105-5F77-4EDD-B6E2-8E81AA0B4710}"/>
    <cellStyle name="표준 11" xfId="224" xr:uid="{DCBD210C-C26C-487C-AAFF-E96EFCCBF417}"/>
    <cellStyle name="표준 11 2" xfId="546" xr:uid="{6A4F39FE-77EE-49F0-9D2F-59152F313609}"/>
    <cellStyle name="표준 12" xfId="244" xr:uid="{88A20BFC-BAA2-4A3D-B20F-C81594BE5818}"/>
    <cellStyle name="표준 12 2" xfId="566" xr:uid="{D83F1A04-7AFF-4154-8787-8477A956FD0A}"/>
    <cellStyle name="표준 13" xfId="264" xr:uid="{5A98D856-1E8E-4B48-AB04-D5F9C62DEF9B}"/>
    <cellStyle name="표준 13 2" xfId="586" xr:uid="{3E76A19D-05D0-4D5C-A02A-330F29FAFF13}"/>
    <cellStyle name="표준 14" xfId="284" xr:uid="{C1185FA1-2FFE-424F-966F-F35568CDFD2A}"/>
    <cellStyle name="표준 14 2" xfId="606" xr:uid="{03BB551B-C1E5-48EB-94DB-3D0C81810C65}"/>
    <cellStyle name="표준 15" xfId="304" xr:uid="{34CB0A49-8C75-4926-9182-6D33642A8364}"/>
    <cellStyle name="표준 15 2" xfId="626" xr:uid="{624E3A79-A777-42DF-9CC6-E9D6DCEAD265}"/>
    <cellStyle name="표준 16" xfId="324" xr:uid="{2AF502FC-B8DF-40F3-8A1B-C5F51B61B3E9}"/>
    <cellStyle name="표준 16 2" xfId="646" xr:uid="{85E154FF-8949-4532-8922-05437AFD162C}"/>
    <cellStyle name="표준 17" xfId="344" xr:uid="{C24D31C8-5BE4-420F-9B14-38B86A495FDF}"/>
    <cellStyle name="표준 17 2" xfId="666" xr:uid="{A6C3CD27-225C-4616-9FF2-B3A3801A626C}"/>
    <cellStyle name="표준 2" xfId="62" xr:uid="{2BCC682B-7B18-403A-8898-3D72D1F92BEA}"/>
    <cellStyle name="표준 2 2" xfId="384" xr:uid="{720D61F0-0441-42A6-9AA5-16316A4AD444}"/>
    <cellStyle name="표준 3" xfId="64" xr:uid="{8A91C379-9E86-4ECE-8FC9-502778FF8674}"/>
    <cellStyle name="표준 3 2" xfId="386" xr:uid="{0A478D3A-9B2A-4768-8518-70ADDC09E1BB}"/>
    <cellStyle name="표준 4" xfId="84" xr:uid="{D49317C4-0983-47D2-9FEE-B35901E022C0}"/>
    <cellStyle name="표준 4 2" xfId="406" xr:uid="{2E95C395-8AC4-45DA-973B-DAB29042E97C}"/>
    <cellStyle name="표준 5" xfId="104" xr:uid="{C846E875-D831-4D02-8B7F-240014E6224A}"/>
    <cellStyle name="표준 5 2" xfId="426" xr:uid="{1BDED0EA-80FE-4311-9D33-A1D7ED777E60}"/>
    <cellStyle name="표준 6" xfId="124" xr:uid="{96BBFF81-0E0D-49A8-8075-BE29211F8FD1}"/>
    <cellStyle name="표준 6 2" xfId="446" xr:uid="{CF0C162F-23C0-48B4-92C0-9F1B70250063}"/>
    <cellStyle name="표준 7" xfId="144" xr:uid="{CCEE4C6D-6860-49F6-BD89-D6BFB3C97F52}"/>
    <cellStyle name="표준 7 2" xfId="466" xr:uid="{F2C86038-958D-4039-B5F6-3E22C04F5D1A}"/>
    <cellStyle name="표준 8" xfId="164" xr:uid="{C8006356-40C1-4BB8-AE4A-A787D7EEC51F}"/>
    <cellStyle name="표준 8 2" xfId="486" xr:uid="{FEAFD6FC-5EA1-4D35-A559-5397B3E6E379}"/>
    <cellStyle name="표준 9" xfId="184" xr:uid="{546D25E5-03AC-4E09-9A2E-CEA11BAB5BC9}"/>
    <cellStyle name="표준 9 2" xfId="506" xr:uid="{02738768-BDD9-484D-96FD-CFBFA7179F27}"/>
  </cellStyles>
  <dxfs count="1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C1B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1B7"/>
      <color rgb="FFF94949"/>
      <color rgb="FFF95151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zoomScale="115" zoomScaleNormal="115" workbookViewId="0">
      <selection activeCell="D16" sqref="D16"/>
    </sheetView>
  </sheetViews>
  <sheetFormatPr defaultColWidth="10.88671875" defaultRowHeight="17.25"/>
  <cols>
    <col min="1" max="1" width="10.88671875" style="15"/>
    <col min="2" max="2" width="13.88671875" style="15" customWidth="1"/>
    <col min="3" max="3" width="30.88671875" style="15" customWidth="1"/>
    <col min="4" max="5" width="25.88671875" style="15" customWidth="1"/>
    <col min="6" max="6" width="13.88671875" style="14" customWidth="1"/>
    <col min="7" max="7" width="10.88671875" style="15"/>
    <col min="8" max="9" width="10.88671875" style="15" customWidth="1"/>
    <col min="10" max="16384" width="10.88671875" style="15"/>
  </cols>
  <sheetData>
    <row r="2" spans="1:10" ht="39.950000000000003" customHeight="1">
      <c r="A2" s="8"/>
      <c r="B2" s="157" t="s">
        <v>20</v>
      </c>
      <c r="C2" s="157"/>
      <c r="D2" s="157"/>
      <c r="E2" s="157"/>
      <c r="F2" s="157"/>
      <c r="G2" s="8"/>
      <c r="H2" s="8"/>
      <c r="I2" s="8"/>
      <c r="J2" s="8"/>
    </row>
    <row r="3" spans="1:10" ht="15.95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5.95" customHeight="1">
      <c r="A4" s="8"/>
      <c r="B4" s="8"/>
      <c r="C4" s="11" t="s">
        <v>17</v>
      </c>
      <c r="D4" s="8"/>
      <c r="E4" s="11" t="s">
        <v>17</v>
      </c>
      <c r="F4" s="1"/>
      <c r="G4" s="8"/>
      <c r="H4" s="8"/>
      <c r="I4" s="8"/>
      <c r="J4" s="8"/>
    </row>
    <row r="5" spans="1:10" ht="15.95" customHeight="1">
      <c r="A5" s="8"/>
      <c r="B5" s="2" t="s">
        <v>6</v>
      </c>
      <c r="C5" s="3" t="s">
        <v>23</v>
      </c>
      <c r="D5" s="2" t="s">
        <v>7</v>
      </c>
      <c r="E5" s="23" t="s">
        <v>24</v>
      </c>
      <c r="H5" s="8"/>
      <c r="I5" s="8"/>
      <c r="J5" s="8"/>
    </row>
    <row r="6" spans="1:10" ht="15.95" customHeight="1">
      <c r="A6" s="1"/>
      <c r="B6" s="2" t="s">
        <v>0</v>
      </c>
      <c r="C6" s="3" t="s">
        <v>22</v>
      </c>
      <c r="D6" s="2" t="s">
        <v>8</v>
      </c>
      <c r="E6" s="25">
        <f>'Shipping Lot List'!B2</f>
        <v>45444</v>
      </c>
      <c r="H6" s="1"/>
      <c r="I6" s="1"/>
      <c r="J6" s="1"/>
    </row>
    <row r="7" spans="1:10">
      <c r="A7" s="4"/>
      <c r="B7" s="2" t="s">
        <v>5</v>
      </c>
      <c r="C7" s="3" t="s">
        <v>26</v>
      </c>
      <c r="D7" s="2" t="s">
        <v>332</v>
      </c>
      <c r="E7" s="150" t="s">
        <v>333</v>
      </c>
      <c r="H7" s="4"/>
      <c r="I7" s="4"/>
      <c r="J7" s="4"/>
    </row>
    <row r="8" spans="1:10" ht="30">
      <c r="A8" s="4"/>
      <c r="B8" s="2" t="s">
        <v>21</v>
      </c>
      <c r="C8" s="27" t="s">
        <v>349</v>
      </c>
      <c r="D8" s="2" t="s">
        <v>4</v>
      </c>
      <c r="E8" s="26">
        <f>SUM('Shipping Lot List'!H:H)</f>
        <v>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28" t="s">
        <v>335</v>
      </c>
      <c r="D9" s="2" t="s">
        <v>3</v>
      </c>
      <c r="E9" s="24">
        <v>0</v>
      </c>
      <c r="F9" s="158" t="s">
        <v>18</v>
      </c>
      <c r="H9" s="4"/>
      <c r="I9" s="4"/>
      <c r="J9" s="4"/>
    </row>
    <row r="10" spans="1:10">
      <c r="A10" s="4"/>
      <c r="B10" s="2" t="s">
        <v>25</v>
      </c>
      <c r="C10" s="3"/>
      <c r="D10" s="2" t="s">
        <v>2</v>
      </c>
      <c r="E10" s="19">
        <f>E8</f>
        <v>0</v>
      </c>
      <c r="F10" s="158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59" t="s">
        <v>17</v>
      </c>
      <c r="C12" s="159"/>
      <c r="D12" s="159"/>
      <c r="E12" s="159"/>
      <c r="F12" s="159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56" t="s">
        <v>11</v>
      </c>
      <c r="C14" s="6"/>
      <c r="D14" s="13"/>
      <c r="E14" s="18"/>
      <c r="F14" s="20"/>
    </row>
    <row r="15" spans="1:10">
      <c r="A15" s="10"/>
      <c r="B15" s="156"/>
      <c r="C15" s="6"/>
      <c r="D15" s="7"/>
      <c r="E15" s="9"/>
      <c r="F15" s="13"/>
    </row>
    <row r="16" spans="1:10">
      <c r="A16" s="10"/>
      <c r="B16" s="156"/>
      <c r="C16" s="6"/>
      <c r="D16" s="7"/>
      <c r="E16" s="9"/>
      <c r="F16" s="13"/>
    </row>
    <row r="17" spans="1:6">
      <c r="A17" s="10"/>
      <c r="B17" s="156"/>
      <c r="C17" s="6"/>
      <c r="D17" s="7"/>
      <c r="E17" s="9"/>
      <c r="F17" s="13"/>
    </row>
    <row r="18" spans="1:6">
      <c r="A18" s="10"/>
      <c r="B18" s="156"/>
      <c r="C18" s="6"/>
      <c r="D18" s="7"/>
      <c r="E18" s="9"/>
      <c r="F18" s="13"/>
    </row>
    <row r="19" spans="1:6">
      <c r="A19" s="10"/>
      <c r="B19" s="156"/>
      <c r="C19" s="6"/>
      <c r="D19" s="7"/>
      <c r="E19" s="9"/>
      <c r="F19" s="13"/>
    </row>
    <row r="20" spans="1:6">
      <c r="A20" s="10"/>
      <c r="B20" s="156"/>
      <c r="C20" s="6"/>
      <c r="D20" s="7"/>
      <c r="E20" s="9"/>
      <c r="F20" s="13"/>
    </row>
    <row r="21" spans="1:6">
      <c r="A21" s="10"/>
      <c r="B21" s="156"/>
      <c r="C21" s="6"/>
      <c r="D21" s="7"/>
      <c r="E21" s="9"/>
      <c r="F21" s="13"/>
    </row>
    <row r="22" spans="1:6">
      <c r="A22" s="10"/>
      <c r="B22" s="156"/>
      <c r="C22" s="6"/>
      <c r="D22" s="7"/>
      <c r="E22" s="9"/>
      <c r="F22" s="13"/>
    </row>
    <row r="23" spans="1:6">
      <c r="A23" s="10"/>
      <c r="B23" s="156"/>
      <c r="C23" s="6"/>
      <c r="D23" s="7"/>
      <c r="E23" s="9"/>
      <c r="F23" s="13"/>
    </row>
    <row r="24" spans="1:6">
      <c r="A24" s="10"/>
      <c r="B24" s="156" t="s">
        <v>12</v>
      </c>
      <c r="C24" s="6"/>
      <c r="D24" s="13"/>
      <c r="E24" s="18"/>
      <c r="F24" s="20"/>
    </row>
    <row r="25" spans="1:6">
      <c r="A25" s="10"/>
      <c r="B25" s="156"/>
      <c r="C25" s="6"/>
      <c r="D25" s="13"/>
      <c r="E25" s="18"/>
      <c r="F25" s="20"/>
    </row>
    <row r="26" spans="1:6">
      <c r="A26" s="10"/>
      <c r="B26" s="156"/>
      <c r="C26" s="6"/>
      <c r="D26" s="13"/>
      <c r="E26" s="18"/>
      <c r="F26" s="13"/>
    </row>
    <row r="27" spans="1:6">
      <c r="A27" s="16"/>
      <c r="B27" s="156"/>
      <c r="C27" s="6"/>
      <c r="D27" s="13"/>
      <c r="E27" s="18"/>
      <c r="F27" s="13"/>
    </row>
    <row r="28" spans="1:6">
      <c r="A28" s="16"/>
      <c r="B28" s="156"/>
      <c r="C28" s="6"/>
      <c r="D28" s="13"/>
      <c r="E28" s="18"/>
      <c r="F28" s="13"/>
    </row>
    <row r="29" spans="1:6">
      <c r="A29" s="16"/>
      <c r="B29" s="156"/>
      <c r="C29" s="6"/>
      <c r="D29" s="13"/>
      <c r="E29" s="18"/>
      <c r="F29" s="13"/>
    </row>
    <row r="30" spans="1:6">
      <c r="A30" s="16"/>
      <c r="B30" s="156"/>
      <c r="C30" s="6"/>
      <c r="D30" s="13"/>
      <c r="E30" s="18"/>
      <c r="F30" s="13"/>
    </row>
    <row r="31" spans="1:6">
      <c r="A31" s="16"/>
      <c r="B31" s="156"/>
      <c r="C31" s="6"/>
      <c r="D31" s="13"/>
      <c r="E31" s="18"/>
      <c r="F31" s="13"/>
    </row>
    <row r="32" spans="1:6">
      <c r="A32" s="16"/>
      <c r="B32" s="156"/>
      <c r="C32" s="6"/>
      <c r="D32" s="13"/>
      <c r="E32" s="18"/>
      <c r="F32" s="13"/>
    </row>
    <row r="33" spans="1:6">
      <c r="A33" s="16"/>
      <c r="B33" s="156"/>
      <c r="C33" s="6"/>
      <c r="D33" s="13"/>
      <c r="E33" s="18"/>
      <c r="F33" s="13"/>
    </row>
    <row r="34" spans="1:6">
      <c r="A34" s="16"/>
      <c r="B34" s="156" t="s">
        <v>13</v>
      </c>
      <c r="C34" s="6"/>
      <c r="D34" s="7"/>
      <c r="E34" s="7"/>
      <c r="F34" s="13"/>
    </row>
    <row r="35" spans="1:6">
      <c r="A35" s="16"/>
      <c r="B35" s="156"/>
      <c r="C35" s="6"/>
      <c r="D35" s="7"/>
      <c r="E35" s="7"/>
      <c r="F35" s="13"/>
    </row>
    <row r="36" spans="1:6">
      <c r="A36" s="16"/>
      <c r="B36" s="156"/>
      <c r="C36" s="6"/>
      <c r="D36" s="7"/>
      <c r="E36" s="7"/>
      <c r="F36" s="13"/>
    </row>
    <row r="37" spans="1:6">
      <c r="A37" s="16"/>
      <c r="B37" s="156"/>
      <c r="C37" s="6"/>
      <c r="D37" s="7"/>
      <c r="E37" s="7"/>
      <c r="F37" s="13"/>
    </row>
    <row r="38" spans="1:6">
      <c r="A38" s="16"/>
      <c r="B38" s="156"/>
      <c r="C38" s="6"/>
      <c r="D38" s="7"/>
      <c r="E38" s="7"/>
      <c r="F38" s="13"/>
    </row>
    <row r="39" spans="1:6">
      <c r="A39" s="16"/>
      <c r="B39" s="156"/>
      <c r="C39" s="6"/>
      <c r="D39" s="7"/>
      <c r="E39" s="7"/>
      <c r="F39" s="13"/>
    </row>
    <row r="40" spans="1:6">
      <c r="A40" s="16"/>
      <c r="B40" s="156"/>
      <c r="C40" s="6"/>
      <c r="D40" s="7"/>
      <c r="E40" s="7"/>
      <c r="F40" s="13"/>
    </row>
    <row r="41" spans="1:6">
      <c r="A41" s="16"/>
      <c r="B41" s="156"/>
      <c r="C41" s="6"/>
      <c r="D41" s="7"/>
      <c r="E41" s="7"/>
      <c r="F41" s="13"/>
    </row>
    <row r="42" spans="1:6">
      <c r="A42" s="16"/>
      <c r="B42" s="156"/>
      <c r="C42" s="6"/>
      <c r="D42" s="7"/>
      <c r="E42" s="7"/>
      <c r="F42" s="13"/>
    </row>
    <row r="43" spans="1:6">
      <c r="A43" s="16"/>
      <c r="B43" s="156"/>
      <c r="C43" s="6"/>
      <c r="D43" s="7"/>
      <c r="E43" s="7"/>
      <c r="F43" s="13"/>
    </row>
    <row r="44" spans="1:6">
      <c r="B44" s="155" t="s">
        <v>19</v>
      </c>
      <c r="C44" s="6"/>
      <c r="D44" s="7"/>
      <c r="E44" s="7"/>
      <c r="F44" s="13"/>
    </row>
    <row r="45" spans="1:6">
      <c r="B45" s="155"/>
      <c r="C45" s="6"/>
      <c r="D45" s="7"/>
      <c r="E45" s="7"/>
      <c r="F45" s="13"/>
    </row>
    <row r="46" spans="1:6">
      <c r="B46" s="155"/>
      <c r="C46" s="6"/>
      <c r="D46" s="7"/>
      <c r="E46" s="7"/>
      <c r="F46" s="13"/>
    </row>
    <row r="47" spans="1:6">
      <c r="B47" s="155"/>
      <c r="C47" s="6"/>
      <c r="D47" s="7"/>
      <c r="E47" s="7"/>
      <c r="F47" s="13"/>
    </row>
    <row r="48" spans="1:6">
      <c r="B48" s="155"/>
      <c r="C48" s="6"/>
      <c r="D48" s="7"/>
      <c r="E48" s="7"/>
      <c r="F48" s="13"/>
    </row>
    <row r="49" spans="2:6">
      <c r="B49" s="155"/>
      <c r="C49" s="6"/>
      <c r="D49" s="7"/>
      <c r="E49" s="7"/>
      <c r="F49" s="13"/>
    </row>
    <row r="50" spans="2:6">
      <c r="B50" s="155"/>
      <c r="C50" s="6"/>
      <c r="D50" s="7"/>
      <c r="E50" s="7"/>
      <c r="F50" s="13"/>
    </row>
    <row r="51" spans="2:6">
      <c r="B51" s="155"/>
      <c r="C51" s="6"/>
      <c r="D51" s="7"/>
      <c r="E51" s="7"/>
      <c r="F51" s="13"/>
    </row>
    <row r="52" spans="2:6">
      <c r="B52" s="155"/>
      <c r="C52" s="6"/>
      <c r="D52" s="7"/>
      <c r="E52" s="7"/>
      <c r="F52" s="13"/>
    </row>
    <row r="53" spans="2:6">
      <c r="B53" s="155"/>
      <c r="C53" s="6"/>
      <c r="D53" s="7"/>
      <c r="E53" s="7"/>
      <c r="F53" s="13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1CBD-B364-46D3-AA53-B5CDD5A0A6D2}">
  <sheetPr codeName="Sheet3"/>
  <dimension ref="A1:I2"/>
  <sheetViews>
    <sheetView showGridLines="0" zoomScale="70" zoomScaleNormal="70" workbookViewId="0">
      <selection activeCell="D14" sqref="D14"/>
    </sheetView>
  </sheetViews>
  <sheetFormatPr defaultColWidth="10.88671875" defaultRowHeight="17.25"/>
  <cols>
    <col min="1" max="2" width="17.6640625" style="21" customWidth="1"/>
    <col min="3" max="3" width="12.6640625" style="21" customWidth="1"/>
    <col min="4" max="4" width="35.6640625" style="21" customWidth="1"/>
    <col min="5" max="5" width="17.6640625" style="21" customWidth="1"/>
    <col min="6" max="6" width="12.6640625" style="21" customWidth="1"/>
    <col min="7" max="7" width="12.6640625" style="22" customWidth="1"/>
    <col min="8" max="8" width="12.6640625" style="21" customWidth="1"/>
    <col min="9" max="9" width="11.6640625" style="21" customWidth="1"/>
    <col min="10" max="16384" width="10.88671875" style="21"/>
  </cols>
  <sheetData>
    <row r="1" spans="1:9">
      <c r="A1" s="151" t="s">
        <v>30</v>
      </c>
      <c r="B1" s="151" t="s">
        <v>31</v>
      </c>
      <c r="C1" s="152" t="s">
        <v>32</v>
      </c>
      <c r="D1" s="153" t="s">
        <v>33</v>
      </c>
      <c r="E1" s="153" t="s">
        <v>29</v>
      </c>
      <c r="F1" s="153" t="s">
        <v>34</v>
      </c>
      <c r="G1" s="153" t="s">
        <v>35</v>
      </c>
      <c r="H1" s="153" t="s">
        <v>27</v>
      </c>
      <c r="I1" s="153" t="s">
        <v>28</v>
      </c>
    </row>
    <row r="2" spans="1:9">
      <c r="A2" s="151" t="s">
        <v>334</v>
      </c>
      <c r="B2" s="151">
        <v>45444</v>
      </c>
      <c r="C2" s="152" t="s">
        <v>335</v>
      </c>
      <c r="D2" s="153" t="s">
        <v>336</v>
      </c>
      <c r="E2" s="154"/>
      <c r="F2" s="154"/>
      <c r="G2" s="153"/>
      <c r="H2" s="153"/>
      <c r="I2" s="153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52F3-E64C-475D-A9E5-3DF1A5205ECC}">
  <sheetPr codeName="Sheet1"/>
  <dimension ref="A1:W158"/>
  <sheetViews>
    <sheetView tabSelected="1" zoomScaleNormal="100" workbookViewId="0">
      <selection activeCell="B4" sqref="B4:B5"/>
    </sheetView>
  </sheetViews>
  <sheetFormatPr defaultColWidth="12.44140625" defaultRowHeight="12.75"/>
  <cols>
    <col min="1" max="1" width="0.77734375" style="30" customWidth="1"/>
    <col min="2" max="2" width="11.33203125" style="30" bestFit="1" customWidth="1"/>
    <col min="3" max="3" width="13.21875" style="30" bestFit="1" customWidth="1"/>
    <col min="4" max="7" width="9" style="30" customWidth="1"/>
    <col min="8" max="10" width="9" style="57" customWidth="1"/>
    <col min="11" max="18" width="9" style="30" customWidth="1"/>
    <col min="19" max="19" width="36" style="30" customWidth="1"/>
    <col min="20" max="16384" width="12.44140625" style="30"/>
  </cols>
  <sheetData>
    <row r="1" spans="1:19" ht="20.25">
      <c r="A1" s="161" t="s">
        <v>36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</row>
    <row r="2" spans="1:19" ht="10.1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19" s="33" customFormat="1" ht="15" customHeight="1">
      <c r="A3" s="31"/>
      <c r="B3" s="162" t="s">
        <v>37</v>
      </c>
      <c r="C3" s="162"/>
      <c r="D3" s="162"/>
      <c r="E3" s="162"/>
      <c r="F3" s="162"/>
      <c r="G3" s="162"/>
      <c r="H3" s="163" t="s">
        <v>38</v>
      </c>
      <c r="I3" s="163"/>
      <c r="J3" s="163"/>
      <c r="K3" s="163"/>
      <c r="L3" s="163"/>
      <c r="M3" s="163"/>
      <c r="N3" s="164" t="s">
        <v>39</v>
      </c>
      <c r="O3" s="163"/>
      <c r="P3" s="163"/>
      <c r="Q3" s="163"/>
      <c r="R3" s="165"/>
      <c r="S3" s="166" t="s">
        <v>40</v>
      </c>
    </row>
    <row r="4" spans="1:19" ht="15" customHeight="1">
      <c r="A4" s="34"/>
      <c r="B4" s="166" t="s">
        <v>41</v>
      </c>
      <c r="C4" s="166" t="s">
        <v>42</v>
      </c>
      <c r="D4" s="167" t="s">
        <v>43</v>
      </c>
      <c r="E4" s="168" t="s">
        <v>44</v>
      </c>
      <c r="F4" s="168" t="s">
        <v>45</v>
      </c>
      <c r="G4" s="169" t="s">
        <v>46</v>
      </c>
      <c r="H4" s="170" t="s">
        <v>47</v>
      </c>
      <c r="I4" s="170"/>
      <c r="J4" s="170"/>
      <c r="K4" s="171" t="s">
        <v>48</v>
      </c>
      <c r="L4" s="170"/>
      <c r="M4" s="170"/>
      <c r="N4" s="172" t="s">
        <v>49</v>
      </c>
      <c r="O4" s="35" t="s">
        <v>50</v>
      </c>
      <c r="P4" s="36"/>
      <c r="Q4" s="37" t="s">
        <v>51</v>
      </c>
      <c r="R4" s="36"/>
      <c r="S4" s="166"/>
    </row>
    <row r="5" spans="1:19" ht="18" customHeight="1">
      <c r="A5" s="38"/>
      <c r="B5" s="166"/>
      <c r="C5" s="166"/>
      <c r="D5" s="167"/>
      <c r="E5" s="168"/>
      <c r="F5" s="168"/>
      <c r="G5" s="169"/>
      <c r="H5" s="39"/>
      <c r="I5" s="32"/>
      <c r="J5" s="32"/>
      <c r="K5" s="32">
        <v>1</v>
      </c>
      <c r="L5" s="32">
        <v>2</v>
      </c>
      <c r="M5" s="32">
        <v>3</v>
      </c>
      <c r="N5" s="173"/>
      <c r="O5" s="32" t="s">
        <v>52</v>
      </c>
      <c r="P5" s="36" t="s">
        <v>53</v>
      </c>
      <c r="Q5" s="32" t="s">
        <v>54</v>
      </c>
      <c r="R5" s="36" t="s">
        <v>55</v>
      </c>
      <c r="S5" s="166"/>
    </row>
    <row r="6" spans="1:19" ht="18" customHeight="1">
      <c r="A6" s="40"/>
      <c r="B6" s="41" t="s">
        <v>56</v>
      </c>
      <c r="C6" s="42" t="s">
        <v>57</v>
      </c>
      <c r="D6" s="43"/>
      <c r="E6" s="43">
        <v>0.04</v>
      </c>
      <c r="F6" s="43"/>
      <c r="G6" s="44" t="s">
        <v>58</v>
      </c>
      <c r="H6" s="45"/>
      <c r="I6" s="46"/>
      <c r="J6" s="46"/>
      <c r="K6" s="47" t="str">
        <f t="shared" ref="K6:M37" si="0">IF(ISERR(H6/H6)=TRUE," ",H6-$D6)</f>
        <v xml:space="preserve"> </v>
      </c>
      <c r="L6" s="47" t="str">
        <f t="shared" si="0"/>
        <v xml:space="preserve"> </v>
      </c>
      <c r="M6" s="47" t="str">
        <f t="shared" si="0"/>
        <v xml:space="preserve"> </v>
      </c>
      <c r="N6" s="48" t="str">
        <f t="shared" ref="N6:N69" si="1">IF(ISERR(H6/H6)=TRUE," ",AVERAGE(H6:J6))</f>
        <v xml:space="preserve"> </v>
      </c>
      <c r="O6" s="49" t="str">
        <f t="shared" ref="O6:O69" si="2">IF(ISERR(E6/E6)=TRUE," ",IF(ISERR(H6/H6)=TRUE," ",IF(ISNUMBER($H6)=FALSE," ",IF(MAX($H6:$J6)&lt;$D6,0,(MAX($H6:$J6)-$D6)/$E6))))</f>
        <v xml:space="preserve"> </v>
      </c>
      <c r="P6" s="50" t="str">
        <f t="shared" ref="P6:P69" si="3">IF(ISERR(F6/D6)=TRUE," ",IF(ISERR(F6/F6)=TRUE," ",IF(ISERR(H6/H6)=TRUE," ",IF(ISNUMBER(H6)=FALSE," ",IF(MIN(H6:J6)&gt;$D6,0,($D6-MIN(H6:J6))/-F6)))))</f>
        <v xml:space="preserve"> </v>
      </c>
      <c r="Q6" s="48" t="str">
        <f t="shared" ref="Q6:Q69" si="4">IF(ISNUMBER($O6)=TRUE,IF($O6&gt;0.651,IF($O6&gt;1.001,"Reject","Alert"),""),"")</f>
        <v/>
      </c>
      <c r="R6" s="48" t="str">
        <f t="shared" ref="R6:R69" si="5">IF(H6="","",IF(ISERR(F6/F6)=TRUE,"",IF(ISERR(F6/D6)=TRUE,IF((F6-MIN(H6:J6))&gt;0.001,"Reject",""),IF(ISNUMBER($P6)=TRUE,IF($P6&gt;0.651,IF($P6&gt;1.001,"Reject","Alert"),""),""))))</f>
        <v/>
      </c>
      <c r="S6" s="51"/>
    </row>
    <row r="7" spans="1:19" ht="18" customHeight="1">
      <c r="A7" s="40"/>
      <c r="B7" s="41" t="s">
        <v>59</v>
      </c>
      <c r="C7" s="42" t="s">
        <v>60</v>
      </c>
      <c r="D7" s="43">
        <v>3.798</v>
      </c>
      <c r="E7" s="43">
        <v>2.5000000000000001E-2</v>
      </c>
      <c r="F7" s="43">
        <v>-0.02</v>
      </c>
      <c r="G7" s="44" t="s">
        <v>61</v>
      </c>
      <c r="H7" s="45"/>
      <c r="I7" s="46"/>
      <c r="J7" s="46"/>
      <c r="K7" s="47" t="str">
        <f t="shared" si="0"/>
        <v xml:space="preserve"> </v>
      </c>
      <c r="L7" s="47" t="str">
        <f t="shared" si="0"/>
        <v xml:space="preserve"> </v>
      </c>
      <c r="M7" s="47" t="str">
        <f t="shared" si="0"/>
        <v xml:space="preserve"> </v>
      </c>
      <c r="N7" s="48" t="str">
        <f t="shared" si="1"/>
        <v xml:space="preserve"> </v>
      </c>
      <c r="O7" s="49" t="str">
        <f t="shared" si="2"/>
        <v xml:space="preserve"> </v>
      </c>
      <c r="P7" s="50" t="str">
        <f t="shared" si="3"/>
        <v xml:space="preserve"> </v>
      </c>
      <c r="Q7" s="48" t="str">
        <f t="shared" si="4"/>
        <v/>
      </c>
      <c r="R7" s="48" t="str">
        <f t="shared" si="5"/>
        <v/>
      </c>
      <c r="S7" s="51"/>
    </row>
    <row r="8" spans="1:19" ht="18" customHeight="1">
      <c r="A8" s="40"/>
      <c r="B8" s="41" t="s">
        <v>62</v>
      </c>
      <c r="C8" s="42" t="s">
        <v>60</v>
      </c>
      <c r="D8" s="43">
        <v>3.798</v>
      </c>
      <c r="E8" s="43">
        <v>2.5000000000000001E-2</v>
      </c>
      <c r="F8" s="43">
        <v>-0.02</v>
      </c>
      <c r="G8" s="44" t="s">
        <v>61</v>
      </c>
      <c r="H8" s="45"/>
      <c r="I8" s="46"/>
      <c r="J8" s="46"/>
      <c r="K8" s="47" t="str">
        <f t="shared" si="0"/>
        <v xml:space="preserve"> </v>
      </c>
      <c r="L8" s="47" t="str">
        <f t="shared" si="0"/>
        <v xml:space="preserve"> </v>
      </c>
      <c r="M8" s="47" t="str">
        <f t="shared" si="0"/>
        <v xml:space="preserve"> </v>
      </c>
      <c r="N8" s="48" t="str">
        <f t="shared" si="1"/>
        <v xml:space="preserve"> </v>
      </c>
      <c r="O8" s="49" t="str">
        <f t="shared" si="2"/>
        <v xml:space="preserve"> </v>
      </c>
      <c r="P8" s="50" t="str">
        <f t="shared" si="3"/>
        <v xml:space="preserve"> </v>
      </c>
      <c r="Q8" s="48" t="str">
        <f t="shared" si="4"/>
        <v/>
      </c>
      <c r="R8" s="48" t="str">
        <f t="shared" si="5"/>
        <v/>
      </c>
      <c r="S8" s="51"/>
    </row>
    <row r="9" spans="1:19" ht="18" customHeight="1">
      <c r="A9" s="40"/>
      <c r="B9" s="41" t="s">
        <v>63</v>
      </c>
      <c r="C9" s="42" t="s">
        <v>64</v>
      </c>
      <c r="D9" s="43"/>
      <c r="E9" s="43">
        <v>1.4999999999999999E-2</v>
      </c>
      <c r="F9" s="43"/>
      <c r="G9" s="44" t="s">
        <v>61</v>
      </c>
      <c r="H9" s="45"/>
      <c r="I9" s="46"/>
      <c r="J9" s="46"/>
      <c r="K9" s="47" t="str">
        <f t="shared" si="0"/>
        <v xml:space="preserve"> </v>
      </c>
      <c r="L9" s="47" t="str">
        <f t="shared" si="0"/>
        <v xml:space="preserve"> </v>
      </c>
      <c r="M9" s="47" t="str">
        <f t="shared" si="0"/>
        <v xml:space="preserve"> </v>
      </c>
      <c r="N9" s="48" t="str">
        <f t="shared" si="1"/>
        <v xml:space="preserve"> </v>
      </c>
      <c r="O9" s="49" t="str">
        <f t="shared" si="2"/>
        <v xml:space="preserve"> </v>
      </c>
      <c r="P9" s="50" t="str">
        <f t="shared" si="3"/>
        <v xml:space="preserve"> </v>
      </c>
      <c r="Q9" s="48" t="str">
        <f t="shared" si="4"/>
        <v/>
      </c>
      <c r="R9" s="48" t="str">
        <f t="shared" si="5"/>
        <v/>
      </c>
      <c r="S9" s="51"/>
    </row>
    <row r="10" spans="1:19" ht="18" customHeight="1">
      <c r="A10" s="40"/>
      <c r="B10" s="41" t="s">
        <v>65</v>
      </c>
      <c r="C10" s="42" t="s">
        <v>64</v>
      </c>
      <c r="D10" s="43"/>
      <c r="E10" s="43">
        <v>1.4999999999999999E-2</v>
      </c>
      <c r="F10" s="43"/>
      <c r="G10" s="44" t="s">
        <v>58</v>
      </c>
      <c r="H10" s="45"/>
      <c r="I10" s="46"/>
      <c r="J10" s="46"/>
      <c r="K10" s="47" t="str">
        <f t="shared" si="0"/>
        <v xml:space="preserve"> </v>
      </c>
      <c r="L10" s="47" t="str">
        <f t="shared" si="0"/>
        <v xml:space="preserve"> </v>
      </c>
      <c r="M10" s="47" t="str">
        <f t="shared" si="0"/>
        <v xml:space="preserve"> </v>
      </c>
      <c r="N10" s="48" t="str">
        <f t="shared" si="1"/>
        <v xml:space="preserve"> </v>
      </c>
      <c r="O10" s="49" t="str">
        <f t="shared" si="2"/>
        <v xml:space="preserve"> </v>
      </c>
      <c r="P10" s="50" t="str">
        <f t="shared" si="3"/>
        <v xml:space="preserve"> </v>
      </c>
      <c r="Q10" s="48" t="str">
        <f t="shared" si="4"/>
        <v/>
      </c>
      <c r="R10" s="48" t="str">
        <f t="shared" si="5"/>
        <v/>
      </c>
      <c r="S10" s="51"/>
    </row>
    <row r="11" spans="1:19" ht="18" customHeight="1">
      <c r="A11" s="40"/>
      <c r="B11" s="41" t="s">
        <v>66</v>
      </c>
      <c r="C11" s="42" t="s">
        <v>60</v>
      </c>
      <c r="D11" s="43">
        <v>3.8180000000000001</v>
      </c>
      <c r="E11" s="43">
        <v>0.02</v>
      </c>
      <c r="F11" s="43">
        <v>-0.02</v>
      </c>
      <c r="G11" s="44" t="s">
        <v>61</v>
      </c>
      <c r="H11" s="45"/>
      <c r="I11" s="46"/>
      <c r="J11" s="46"/>
      <c r="K11" s="47" t="str">
        <f t="shared" si="0"/>
        <v xml:space="preserve"> </v>
      </c>
      <c r="L11" s="47" t="str">
        <f t="shared" si="0"/>
        <v xml:space="preserve"> </v>
      </c>
      <c r="M11" s="47" t="str">
        <f t="shared" si="0"/>
        <v xml:space="preserve"> </v>
      </c>
      <c r="N11" s="48" t="str">
        <f t="shared" si="1"/>
        <v xml:space="preserve"> </v>
      </c>
      <c r="O11" s="49" t="str">
        <f t="shared" si="2"/>
        <v xml:space="preserve"> </v>
      </c>
      <c r="P11" s="50" t="str">
        <f t="shared" si="3"/>
        <v xml:space="preserve"> </v>
      </c>
      <c r="Q11" s="48" t="str">
        <f t="shared" si="4"/>
        <v/>
      </c>
      <c r="R11" s="48" t="str">
        <f t="shared" si="5"/>
        <v/>
      </c>
      <c r="S11" s="51"/>
    </row>
    <row r="12" spans="1:19" ht="18" customHeight="1">
      <c r="A12" s="40"/>
      <c r="B12" s="41" t="s">
        <v>67</v>
      </c>
      <c r="C12" s="42" t="s">
        <v>60</v>
      </c>
      <c r="D12" s="43">
        <v>3.8180000000000001</v>
      </c>
      <c r="E12" s="43">
        <v>0.02</v>
      </c>
      <c r="F12" s="43">
        <v>-0.02</v>
      </c>
      <c r="G12" s="44" t="s">
        <v>61</v>
      </c>
      <c r="H12" s="45"/>
      <c r="I12" s="46"/>
      <c r="J12" s="46"/>
      <c r="K12" s="47" t="str">
        <f t="shared" si="0"/>
        <v xml:space="preserve"> </v>
      </c>
      <c r="L12" s="47" t="str">
        <f t="shared" si="0"/>
        <v xml:space="preserve"> </v>
      </c>
      <c r="M12" s="47" t="str">
        <f t="shared" si="0"/>
        <v xml:space="preserve"> </v>
      </c>
      <c r="N12" s="48" t="str">
        <f t="shared" si="1"/>
        <v xml:space="preserve"> </v>
      </c>
      <c r="O12" s="49" t="str">
        <f t="shared" si="2"/>
        <v xml:space="preserve"> </v>
      </c>
      <c r="P12" s="50" t="str">
        <f t="shared" si="3"/>
        <v xml:space="preserve"> </v>
      </c>
      <c r="Q12" s="48" t="str">
        <f t="shared" si="4"/>
        <v/>
      </c>
      <c r="R12" s="48" t="str">
        <f t="shared" si="5"/>
        <v/>
      </c>
      <c r="S12" s="51"/>
    </row>
    <row r="13" spans="1:19" ht="18" customHeight="1">
      <c r="A13" s="40"/>
      <c r="B13" s="41" t="s">
        <v>68</v>
      </c>
      <c r="C13" s="42" t="s">
        <v>69</v>
      </c>
      <c r="D13" s="43"/>
      <c r="E13" s="43">
        <v>0.01</v>
      </c>
      <c r="F13" s="43"/>
      <c r="G13" s="44" t="s">
        <v>70</v>
      </c>
      <c r="H13" s="45"/>
      <c r="I13" s="46"/>
      <c r="J13" s="46"/>
      <c r="K13" s="47" t="str">
        <f t="shared" si="0"/>
        <v xml:space="preserve"> </v>
      </c>
      <c r="L13" s="47" t="str">
        <f t="shared" si="0"/>
        <v xml:space="preserve"> </v>
      </c>
      <c r="M13" s="47" t="str">
        <f t="shared" si="0"/>
        <v xml:space="preserve"> </v>
      </c>
      <c r="N13" s="48" t="str">
        <f t="shared" si="1"/>
        <v xml:space="preserve"> </v>
      </c>
      <c r="O13" s="49" t="str">
        <f t="shared" si="2"/>
        <v xml:space="preserve"> </v>
      </c>
      <c r="P13" s="50" t="str">
        <f t="shared" si="3"/>
        <v xml:space="preserve"> </v>
      </c>
      <c r="Q13" s="48" t="str">
        <f t="shared" si="4"/>
        <v/>
      </c>
      <c r="R13" s="48" t="str">
        <f t="shared" si="5"/>
        <v/>
      </c>
      <c r="S13" s="51"/>
    </row>
    <row r="14" spans="1:19" ht="18" customHeight="1">
      <c r="A14" s="40"/>
      <c r="B14" s="41" t="s">
        <v>71</v>
      </c>
      <c r="C14" s="42" t="s">
        <v>69</v>
      </c>
      <c r="D14" s="43"/>
      <c r="E14" s="43">
        <v>0.01</v>
      </c>
      <c r="F14" s="43"/>
      <c r="G14" s="44" t="s">
        <v>70</v>
      </c>
      <c r="H14" s="45"/>
      <c r="I14" s="46"/>
      <c r="J14" s="46"/>
      <c r="K14" s="47" t="str">
        <f t="shared" si="0"/>
        <v xml:space="preserve"> </v>
      </c>
      <c r="L14" s="47" t="str">
        <f t="shared" si="0"/>
        <v xml:space="preserve"> </v>
      </c>
      <c r="M14" s="47" t="str">
        <f t="shared" si="0"/>
        <v xml:space="preserve"> </v>
      </c>
      <c r="N14" s="48" t="str">
        <f t="shared" si="1"/>
        <v xml:space="preserve"> </v>
      </c>
      <c r="O14" s="49" t="str">
        <f t="shared" si="2"/>
        <v xml:space="preserve"> </v>
      </c>
      <c r="P14" s="50" t="str">
        <f t="shared" si="3"/>
        <v xml:space="preserve"> </v>
      </c>
      <c r="Q14" s="48" t="str">
        <f t="shared" si="4"/>
        <v/>
      </c>
      <c r="R14" s="48" t="str">
        <f t="shared" si="5"/>
        <v/>
      </c>
      <c r="S14" s="51"/>
    </row>
    <row r="15" spans="1:19" ht="18" customHeight="1">
      <c r="A15" s="40"/>
      <c r="B15" s="41" t="s">
        <v>72</v>
      </c>
      <c r="C15" s="42" t="s">
        <v>69</v>
      </c>
      <c r="D15" s="43"/>
      <c r="E15" s="43">
        <v>0.01</v>
      </c>
      <c r="F15" s="43"/>
      <c r="G15" s="44" t="s">
        <v>70</v>
      </c>
      <c r="H15" s="45"/>
      <c r="I15" s="46"/>
      <c r="J15" s="46"/>
      <c r="K15" s="47" t="str">
        <f t="shared" si="0"/>
        <v xml:space="preserve"> </v>
      </c>
      <c r="L15" s="47" t="str">
        <f t="shared" si="0"/>
        <v xml:space="preserve"> </v>
      </c>
      <c r="M15" s="47" t="str">
        <f t="shared" si="0"/>
        <v xml:space="preserve"> </v>
      </c>
      <c r="N15" s="48" t="str">
        <f t="shared" si="1"/>
        <v xml:space="preserve"> </v>
      </c>
      <c r="O15" s="49" t="str">
        <f t="shared" si="2"/>
        <v xml:space="preserve"> </v>
      </c>
      <c r="P15" s="50" t="str">
        <f t="shared" si="3"/>
        <v xml:space="preserve"> </v>
      </c>
      <c r="Q15" s="48" t="str">
        <f t="shared" si="4"/>
        <v/>
      </c>
      <c r="R15" s="48" t="str">
        <f t="shared" si="5"/>
        <v/>
      </c>
      <c r="S15" s="51"/>
    </row>
    <row r="16" spans="1:19" ht="18" customHeight="1">
      <c r="A16" s="40"/>
      <c r="B16" s="41" t="s">
        <v>73</v>
      </c>
      <c r="C16" s="42" t="s">
        <v>74</v>
      </c>
      <c r="D16" s="43"/>
      <c r="E16" s="43">
        <v>8.0000000000000002E-3</v>
      </c>
      <c r="F16" s="43"/>
      <c r="G16" s="44" t="s">
        <v>70</v>
      </c>
      <c r="H16" s="45"/>
      <c r="I16" s="46"/>
      <c r="J16" s="46"/>
      <c r="K16" s="47" t="str">
        <f t="shared" si="0"/>
        <v xml:space="preserve"> </v>
      </c>
      <c r="L16" s="47" t="str">
        <f t="shared" si="0"/>
        <v xml:space="preserve"> </v>
      </c>
      <c r="M16" s="47" t="str">
        <f t="shared" si="0"/>
        <v xml:space="preserve"> </v>
      </c>
      <c r="N16" s="48" t="str">
        <f t="shared" si="1"/>
        <v xml:space="preserve"> </v>
      </c>
      <c r="O16" s="49" t="str">
        <f t="shared" si="2"/>
        <v xml:space="preserve"> </v>
      </c>
      <c r="P16" s="50" t="str">
        <f t="shared" si="3"/>
        <v xml:space="preserve"> </v>
      </c>
      <c r="Q16" s="48" t="str">
        <f t="shared" si="4"/>
        <v/>
      </c>
      <c r="R16" s="48" t="str">
        <f t="shared" si="5"/>
        <v/>
      </c>
      <c r="S16" s="51"/>
    </row>
    <row r="17" spans="1:19" ht="18" customHeight="1">
      <c r="A17" s="40"/>
      <c r="B17" s="41" t="s">
        <v>75</v>
      </c>
      <c r="C17" s="42" t="s">
        <v>74</v>
      </c>
      <c r="D17" s="43"/>
      <c r="E17" s="43">
        <v>8.0000000000000002E-3</v>
      </c>
      <c r="F17" s="43"/>
      <c r="G17" s="44" t="s">
        <v>70</v>
      </c>
      <c r="H17" s="45"/>
      <c r="I17" s="46"/>
      <c r="J17" s="46"/>
      <c r="K17" s="47" t="str">
        <f t="shared" si="0"/>
        <v xml:space="preserve"> </v>
      </c>
      <c r="L17" s="47" t="str">
        <f t="shared" si="0"/>
        <v xml:space="preserve"> </v>
      </c>
      <c r="M17" s="47" t="str">
        <f t="shared" si="0"/>
        <v xml:space="preserve"> </v>
      </c>
      <c r="N17" s="48" t="str">
        <f t="shared" si="1"/>
        <v xml:space="preserve"> </v>
      </c>
      <c r="O17" s="49" t="str">
        <f t="shared" si="2"/>
        <v xml:space="preserve"> </v>
      </c>
      <c r="P17" s="50" t="str">
        <f t="shared" si="3"/>
        <v xml:space="preserve"> </v>
      </c>
      <c r="Q17" s="48" t="str">
        <f t="shared" si="4"/>
        <v/>
      </c>
      <c r="R17" s="48" t="str">
        <f t="shared" si="5"/>
        <v/>
      </c>
      <c r="S17" s="51"/>
    </row>
    <row r="18" spans="1:19" ht="18" customHeight="1">
      <c r="A18" s="40"/>
      <c r="B18" s="41" t="s">
        <v>76</v>
      </c>
      <c r="C18" s="42" t="s">
        <v>74</v>
      </c>
      <c r="D18" s="43"/>
      <c r="E18" s="43">
        <v>8.0000000000000002E-3</v>
      </c>
      <c r="F18" s="43"/>
      <c r="G18" s="44" t="s">
        <v>70</v>
      </c>
      <c r="H18" s="45"/>
      <c r="I18" s="46"/>
      <c r="J18" s="46"/>
      <c r="K18" s="47" t="str">
        <f t="shared" si="0"/>
        <v xml:space="preserve"> </v>
      </c>
      <c r="L18" s="47" t="str">
        <f t="shared" si="0"/>
        <v xml:space="preserve"> </v>
      </c>
      <c r="M18" s="47" t="str">
        <f t="shared" si="0"/>
        <v xml:space="preserve"> </v>
      </c>
      <c r="N18" s="48" t="str">
        <f t="shared" si="1"/>
        <v xml:space="preserve"> </v>
      </c>
      <c r="O18" s="49" t="str">
        <f t="shared" si="2"/>
        <v xml:space="preserve"> </v>
      </c>
      <c r="P18" s="50" t="str">
        <f t="shared" si="3"/>
        <v xml:space="preserve"> </v>
      </c>
      <c r="Q18" s="48" t="str">
        <f t="shared" si="4"/>
        <v/>
      </c>
      <c r="R18" s="48" t="str">
        <f t="shared" si="5"/>
        <v/>
      </c>
      <c r="S18" s="51"/>
    </row>
    <row r="19" spans="1:19" ht="18" customHeight="1">
      <c r="A19" s="40"/>
      <c r="B19" s="41" t="s">
        <v>77</v>
      </c>
      <c r="C19" s="42" t="s">
        <v>64</v>
      </c>
      <c r="D19" s="43"/>
      <c r="E19" s="43">
        <v>0.06</v>
      </c>
      <c r="F19" s="43"/>
      <c r="G19" s="44" t="s">
        <v>61</v>
      </c>
      <c r="H19" s="45"/>
      <c r="I19" s="46"/>
      <c r="J19" s="46"/>
      <c r="K19" s="47" t="str">
        <f t="shared" si="0"/>
        <v xml:space="preserve"> </v>
      </c>
      <c r="L19" s="47" t="str">
        <f t="shared" si="0"/>
        <v xml:space="preserve"> </v>
      </c>
      <c r="M19" s="47" t="str">
        <f t="shared" si="0"/>
        <v xml:space="preserve"> </v>
      </c>
      <c r="N19" s="48" t="str">
        <f t="shared" si="1"/>
        <v xml:space="preserve"> </v>
      </c>
      <c r="O19" s="49" t="str">
        <f t="shared" si="2"/>
        <v xml:space="preserve"> </v>
      </c>
      <c r="P19" s="50" t="str">
        <f t="shared" si="3"/>
        <v xml:space="preserve"> </v>
      </c>
      <c r="Q19" s="48" t="str">
        <f t="shared" si="4"/>
        <v/>
      </c>
      <c r="R19" s="48" t="str">
        <f t="shared" si="5"/>
        <v/>
      </c>
      <c r="S19" s="51"/>
    </row>
    <row r="20" spans="1:19" ht="18" customHeight="1">
      <c r="A20" s="40"/>
      <c r="B20" s="41" t="s">
        <v>78</v>
      </c>
      <c r="C20" s="42" t="s">
        <v>64</v>
      </c>
      <c r="D20" s="43"/>
      <c r="E20" s="43">
        <v>0.06</v>
      </c>
      <c r="F20" s="43"/>
      <c r="G20" s="44" t="s">
        <v>61</v>
      </c>
      <c r="H20" s="45"/>
      <c r="I20" s="46"/>
      <c r="J20" s="46"/>
      <c r="K20" s="47" t="str">
        <f t="shared" si="0"/>
        <v xml:space="preserve"> </v>
      </c>
      <c r="L20" s="47" t="str">
        <f t="shared" si="0"/>
        <v xml:space="preserve"> </v>
      </c>
      <c r="M20" s="47" t="str">
        <f t="shared" si="0"/>
        <v xml:space="preserve"> </v>
      </c>
      <c r="N20" s="48" t="str">
        <f t="shared" si="1"/>
        <v xml:space="preserve"> </v>
      </c>
      <c r="O20" s="49" t="str">
        <f t="shared" si="2"/>
        <v xml:space="preserve"> </v>
      </c>
      <c r="P20" s="50" t="str">
        <f t="shared" si="3"/>
        <v xml:space="preserve"> </v>
      </c>
      <c r="Q20" s="48" t="str">
        <f t="shared" si="4"/>
        <v/>
      </c>
      <c r="R20" s="48" t="str">
        <f t="shared" si="5"/>
        <v/>
      </c>
      <c r="S20" s="51"/>
    </row>
    <row r="21" spans="1:19" ht="18" customHeight="1">
      <c r="A21" s="40"/>
      <c r="B21" s="41" t="s">
        <v>79</v>
      </c>
      <c r="C21" s="42" t="s">
        <v>60</v>
      </c>
      <c r="D21" s="43">
        <v>0.48499999999999999</v>
      </c>
      <c r="E21" s="43">
        <v>0.03</v>
      </c>
      <c r="F21" s="43">
        <v>-0.03</v>
      </c>
      <c r="G21" s="44" t="s">
        <v>58</v>
      </c>
      <c r="H21" s="45"/>
      <c r="I21" s="46"/>
      <c r="J21" s="46"/>
      <c r="K21" s="47" t="str">
        <f t="shared" si="0"/>
        <v xml:space="preserve"> </v>
      </c>
      <c r="L21" s="47" t="str">
        <f t="shared" si="0"/>
        <v xml:space="preserve"> </v>
      </c>
      <c r="M21" s="47" t="str">
        <f t="shared" si="0"/>
        <v xml:space="preserve"> </v>
      </c>
      <c r="N21" s="48" t="str">
        <f t="shared" si="1"/>
        <v xml:space="preserve"> </v>
      </c>
      <c r="O21" s="49" t="str">
        <f t="shared" si="2"/>
        <v xml:space="preserve"> </v>
      </c>
      <c r="P21" s="50" t="str">
        <f t="shared" si="3"/>
        <v xml:space="preserve"> </v>
      </c>
      <c r="Q21" s="48" t="str">
        <f t="shared" si="4"/>
        <v/>
      </c>
      <c r="R21" s="48" t="str">
        <f t="shared" si="5"/>
        <v/>
      </c>
      <c r="S21" s="51"/>
    </row>
    <row r="22" spans="1:19" ht="18" customHeight="1">
      <c r="A22" s="40"/>
      <c r="B22" s="41" t="s">
        <v>80</v>
      </c>
      <c r="C22" s="42" t="s">
        <v>60</v>
      </c>
      <c r="D22" s="43">
        <v>4.04</v>
      </c>
      <c r="E22" s="43">
        <v>0.05</v>
      </c>
      <c r="F22" s="43">
        <v>-0.03</v>
      </c>
      <c r="G22" s="44" t="s">
        <v>58</v>
      </c>
      <c r="H22" s="45"/>
      <c r="I22" s="46"/>
      <c r="J22" s="46"/>
      <c r="K22" s="47" t="str">
        <f t="shared" si="0"/>
        <v xml:space="preserve"> </v>
      </c>
      <c r="L22" s="47" t="str">
        <f t="shared" si="0"/>
        <v xml:space="preserve"> </v>
      </c>
      <c r="M22" s="47" t="str">
        <f t="shared" si="0"/>
        <v xml:space="preserve"> </v>
      </c>
      <c r="N22" s="48" t="str">
        <f t="shared" si="1"/>
        <v xml:space="preserve"> </v>
      </c>
      <c r="O22" s="49" t="str">
        <f t="shared" si="2"/>
        <v xml:space="preserve"> </v>
      </c>
      <c r="P22" s="50" t="str">
        <f t="shared" si="3"/>
        <v xml:space="preserve"> </v>
      </c>
      <c r="Q22" s="48" t="str">
        <f t="shared" si="4"/>
        <v/>
      </c>
      <c r="R22" s="48" t="str">
        <f t="shared" si="5"/>
        <v/>
      </c>
      <c r="S22" s="51"/>
    </row>
    <row r="23" spans="1:19" ht="18" customHeight="1">
      <c r="A23" s="40"/>
      <c r="B23" s="41" t="s">
        <v>81</v>
      </c>
      <c r="C23" s="42" t="s">
        <v>60</v>
      </c>
      <c r="D23" s="43">
        <v>4.04</v>
      </c>
      <c r="E23" s="43">
        <v>0.05</v>
      </c>
      <c r="F23" s="43">
        <v>-0.03</v>
      </c>
      <c r="G23" s="44" t="s">
        <v>58</v>
      </c>
      <c r="H23" s="45"/>
      <c r="I23" s="46"/>
      <c r="J23" s="46"/>
      <c r="K23" s="47" t="str">
        <f t="shared" si="0"/>
        <v xml:space="preserve"> </v>
      </c>
      <c r="L23" s="47" t="str">
        <f t="shared" si="0"/>
        <v xml:space="preserve"> </v>
      </c>
      <c r="M23" s="47" t="str">
        <f t="shared" si="0"/>
        <v xml:space="preserve"> </v>
      </c>
      <c r="N23" s="48" t="str">
        <f t="shared" si="1"/>
        <v xml:space="preserve"> </v>
      </c>
      <c r="O23" s="49" t="str">
        <f t="shared" si="2"/>
        <v xml:space="preserve"> </v>
      </c>
      <c r="P23" s="50" t="str">
        <f t="shared" si="3"/>
        <v xml:space="preserve"> </v>
      </c>
      <c r="Q23" s="48" t="str">
        <f t="shared" si="4"/>
        <v/>
      </c>
      <c r="R23" s="48" t="str">
        <f t="shared" si="5"/>
        <v/>
      </c>
      <c r="S23" s="51"/>
    </row>
    <row r="24" spans="1:19" ht="18" customHeight="1">
      <c r="A24" s="40"/>
      <c r="B24" s="41" t="s">
        <v>82</v>
      </c>
      <c r="C24" s="42" t="s">
        <v>60</v>
      </c>
      <c r="D24" s="43">
        <v>18.215</v>
      </c>
      <c r="E24" s="43">
        <v>3.5000000000000003E-2</v>
      </c>
      <c r="F24" s="43">
        <v>-3.5000000000000003E-2</v>
      </c>
      <c r="G24" s="44" t="s">
        <v>61</v>
      </c>
      <c r="H24" s="45"/>
      <c r="I24" s="46"/>
      <c r="J24" s="46"/>
      <c r="K24" s="47" t="str">
        <f t="shared" si="0"/>
        <v xml:space="preserve"> </v>
      </c>
      <c r="L24" s="47" t="str">
        <f t="shared" si="0"/>
        <v xml:space="preserve"> </v>
      </c>
      <c r="M24" s="47" t="str">
        <f t="shared" si="0"/>
        <v xml:space="preserve"> </v>
      </c>
      <c r="N24" s="48" t="str">
        <f t="shared" si="1"/>
        <v xml:space="preserve"> </v>
      </c>
      <c r="O24" s="49" t="str">
        <f t="shared" si="2"/>
        <v xml:space="preserve"> </v>
      </c>
      <c r="P24" s="50" t="str">
        <f t="shared" si="3"/>
        <v xml:space="preserve"> </v>
      </c>
      <c r="Q24" s="48" t="str">
        <f t="shared" si="4"/>
        <v/>
      </c>
      <c r="R24" s="48" t="str">
        <f t="shared" si="5"/>
        <v/>
      </c>
      <c r="S24" s="51"/>
    </row>
    <row r="25" spans="1:19" ht="18" customHeight="1">
      <c r="A25" s="40"/>
      <c r="B25" s="41" t="s">
        <v>83</v>
      </c>
      <c r="C25" s="42" t="s">
        <v>60</v>
      </c>
      <c r="D25" s="43">
        <v>18.215</v>
      </c>
      <c r="E25" s="43">
        <v>3.5000000000000003E-2</v>
      </c>
      <c r="F25" s="43">
        <v>-3.5000000000000003E-2</v>
      </c>
      <c r="G25" s="44" t="s">
        <v>61</v>
      </c>
      <c r="H25" s="45"/>
      <c r="I25" s="46"/>
      <c r="J25" s="46"/>
      <c r="K25" s="47" t="str">
        <f t="shared" si="0"/>
        <v xml:space="preserve"> </v>
      </c>
      <c r="L25" s="47" t="str">
        <f t="shared" si="0"/>
        <v xml:space="preserve"> </v>
      </c>
      <c r="M25" s="47" t="str">
        <f t="shared" si="0"/>
        <v xml:space="preserve"> </v>
      </c>
      <c r="N25" s="48" t="str">
        <f t="shared" si="1"/>
        <v xml:space="preserve"> </v>
      </c>
      <c r="O25" s="49" t="str">
        <f t="shared" si="2"/>
        <v xml:space="preserve"> </v>
      </c>
      <c r="P25" s="50" t="str">
        <f t="shared" si="3"/>
        <v xml:space="preserve"> </v>
      </c>
      <c r="Q25" s="48" t="str">
        <f t="shared" si="4"/>
        <v/>
      </c>
      <c r="R25" s="48" t="str">
        <f t="shared" si="5"/>
        <v/>
      </c>
      <c r="S25" s="51"/>
    </row>
    <row r="26" spans="1:19" ht="18" customHeight="1">
      <c r="A26" s="40"/>
      <c r="B26" s="41" t="s">
        <v>84</v>
      </c>
      <c r="C26" s="42" t="s">
        <v>60</v>
      </c>
      <c r="D26" s="43">
        <v>18.215</v>
      </c>
      <c r="E26" s="43">
        <v>3.5000000000000003E-2</v>
      </c>
      <c r="F26" s="43">
        <v>-3.5000000000000003E-2</v>
      </c>
      <c r="G26" s="44" t="s">
        <v>61</v>
      </c>
      <c r="H26" s="45"/>
      <c r="I26" s="46"/>
      <c r="J26" s="46"/>
      <c r="K26" s="47" t="str">
        <f t="shared" si="0"/>
        <v xml:space="preserve"> </v>
      </c>
      <c r="L26" s="47" t="str">
        <f t="shared" si="0"/>
        <v xml:space="preserve"> </v>
      </c>
      <c r="M26" s="47" t="str">
        <f t="shared" si="0"/>
        <v xml:space="preserve"> </v>
      </c>
      <c r="N26" s="48" t="str">
        <f t="shared" si="1"/>
        <v xml:space="preserve"> </v>
      </c>
      <c r="O26" s="49" t="str">
        <f t="shared" si="2"/>
        <v xml:space="preserve"> </v>
      </c>
      <c r="P26" s="50" t="str">
        <f t="shared" si="3"/>
        <v xml:space="preserve"> </v>
      </c>
      <c r="Q26" s="48" t="str">
        <f t="shared" si="4"/>
        <v/>
      </c>
      <c r="R26" s="48" t="str">
        <f t="shared" si="5"/>
        <v/>
      </c>
      <c r="S26" s="51"/>
    </row>
    <row r="27" spans="1:19" ht="18" customHeight="1">
      <c r="A27" s="40"/>
      <c r="B27" s="41" t="s">
        <v>85</v>
      </c>
      <c r="C27" s="42" t="s">
        <v>60</v>
      </c>
      <c r="D27" s="43">
        <v>17.225000000000001</v>
      </c>
      <c r="E27" s="43">
        <v>0.03</v>
      </c>
      <c r="F27" s="43">
        <v>-0.03</v>
      </c>
      <c r="G27" s="44" t="s">
        <v>61</v>
      </c>
      <c r="H27" s="45"/>
      <c r="I27" s="46"/>
      <c r="J27" s="46"/>
      <c r="K27" s="47" t="str">
        <f t="shared" si="0"/>
        <v xml:space="preserve"> </v>
      </c>
      <c r="L27" s="47" t="str">
        <f t="shared" si="0"/>
        <v xml:space="preserve"> </v>
      </c>
      <c r="M27" s="47" t="str">
        <f t="shared" si="0"/>
        <v xml:space="preserve"> </v>
      </c>
      <c r="N27" s="48" t="str">
        <f t="shared" si="1"/>
        <v xml:space="preserve"> </v>
      </c>
      <c r="O27" s="49" t="str">
        <f t="shared" si="2"/>
        <v xml:space="preserve"> </v>
      </c>
      <c r="P27" s="50" t="str">
        <f t="shared" si="3"/>
        <v xml:space="preserve"> </v>
      </c>
      <c r="Q27" s="48" t="str">
        <f t="shared" si="4"/>
        <v/>
      </c>
      <c r="R27" s="48" t="str">
        <f t="shared" si="5"/>
        <v/>
      </c>
      <c r="S27" s="51"/>
    </row>
    <row r="28" spans="1:19" ht="18" customHeight="1">
      <c r="A28" s="40"/>
      <c r="B28" s="41" t="s">
        <v>86</v>
      </c>
      <c r="C28" s="42" t="s">
        <v>60</v>
      </c>
      <c r="D28" s="43">
        <v>14.529</v>
      </c>
      <c r="E28" s="43">
        <v>0.03</v>
      </c>
      <c r="F28" s="43">
        <v>-0.03</v>
      </c>
      <c r="G28" s="44" t="s">
        <v>61</v>
      </c>
      <c r="H28" s="45"/>
      <c r="I28" s="46"/>
      <c r="J28" s="46"/>
      <c r="K28" s="47" t="str">
        <f t="shared" si="0"/>
        <v xml:space="preserve"> </v>
      </c>
      <c r="L28" s="47" t="str">
        <f t="shared" si="0"/>
        <v xml:space="preserve"> </v>
      </c>
      <c r="M28" s="47" t="str">
        <f t="shared" si="0"/>
        <v xml:space="preserve"> </v>
      </c>
      <c r="N28" s="48" t="str">
        <f t="shared" si="1"/>
        <v xml:space="preserve"> </v>
      </c>
      <c r="O28" s="49" t="str">
        <f t="shared" si="2"/>
        <v xml:space="preserve"> </v>
      </c>
      <c r="P28" s="50" t="str">
        <f t="shared" si="3"/>
        <v xml:space="preserve"> </v>
      </c>
      <c r="Q28" s="48" t="str">
        <f t="shared" si="4"/>
        <v/>
      </c>
      <c r="R28" s="48" t="str">
        <f t="shared" si="5"/>
        <v/>
      </c>
      <c r="S28" s="51"/>
    </row>
    <row r="29" spans="1:19" ht="18" customHeight="1">
      <c r="A29" s="40"/>
      <c r="B29" s="41" t="s">
        <v>87</v>
      </c>
      <c r="C29" s="42" t="s">
        <v>60</v>
      </c>
      <c r="D29" s="43">
        <v>3.8740000000000001</v>
      </c>
      <c r="E29" s="43">
        <v>0.03</v>
      </c>
      <c r="F29" s="43">
        <v>-0.03</v>
      </c>
      <c r="G29" s="44" t="s">
        <v>61</v>
      </c>
      <c r="H29" s="45"/>
      <c r="I29" s="46"/>
      <c r="J29" s="46"/>
      <c r="K29" s="47" t="str">
        <f t="shared" si="0"/>
        <v xml:space="preserve"> </v>
      </c>
      <c r="L29" s="47" t="str">
        <f t="shared" si="0"/>
        <v xml:space="preserve"> </v>
      </c>
      <c r="M29" s="47" t="str">
        <f t="shared" si="0"/>
        <v xml:space="preserve"> </v>
      </c>
      <c r="N29" s="48" t="str">
        <f t="shared" si="1"/>
        <v xml:space="preserve"> </v>
      </c>
      <c r="O29" s="49" t="str">
        <f t="shared" si="2"/>
        <v xml:space="preserve"> </v>
      </c>
      <c r="P29" s="50" t="str">
        <f t="shared" si="3"/>
        <v xml:space="preserve"> </v>
      </c>
      <c r="Q29" s="48" t="str">
        <f t="shared" si="4"/>
        <v/>
      </c>
      <c r="R29" s="48" t="str">
        <f t="shared" si="5"/>
        <v/>
      </c>
      <c r="S29" s="51"/>
    </row>
    <row r="30" spans="1:19" ht="18" customHeight="1">
      <c r="A30" s="40"/>
      <c r="B30" s="41" t="s">
        <v>88</v>
      </c>
      <c r="C30" s="42" t="s">
        <v>60</v>
      </c>
      <c r="D30" s="43">
        <v>1.125</v>
      </c>
      <c r="E30" s="43">
        <v>0.03</v>
      </c>
      <c r="F30" s="43">
        <v>-0.02</v>
      </c>
      <c r="G30" s="44" t="s">
        <v>58</v>
      </c>
      <c r="H30" s="45"/>
      <c r="I30" s="46"/>
      <c r="J30" s="46"/>
      <c r="K30" s="47" t="str">
        <f t="shared" si="0"/>
        <v xml:space="preserve"> </v>
      </c>
      <c r="L30" s="47" t="str">
        <f t="shared" si="0"/>
        <v xml:space="preserve"> </v>
      </c>
      <c r="M30" s="47" t="str">
        <f t="shared" si="0"/>
        <v xml:space="preserve"> </v>
      </c>
      <c r="N30" s="48" t="str">
        <f t="shared" si="1"/>
        <v xml:space="preserve"> </v>
      </c>
      <c r="O30" s="49" t="str">
        <f t="shared" si="2"/>
        <v xml:space="preserve"> </v>
      </c>
      <c r="P30" s="50" t="str">
        <f t="shared" si="3"/>
        <v xml:space="preserve"> </v>
      </c>
      <c r="Q30" s="48" t="str">
        <f t="shared" si="4"/>
        <v/>
      </c>
      <c r="R30" s="48" t="str">
        <f t="shared" si="5"/>
        <v/>
      </c>
      <c r="S30" s="51"/>
    </row>
    <row r="31" spans="1:19" ht="18" customHeight="1">
      <c r="A31" s="40"/>
      <c r="B31" s="41" t="s">
        <v>89</v>
      </c>
      <c r="C31" s="42" t="s">
        <v>60</v>
      </c>
      <c r="D31" s="43">
        <v>1.125</v>
      </c>
      <c r="E31" s="43">
        <v>0.03</v>
      </c>
      <c r="F31" s="43">
        <v>-0.02</v>
      </c>
      <c r="G31" s="44" t="s">
        <v>70</v>
      </c>
      <c r="H31" s="45"/>
      <c r="I31" s="46"/>
      <c r="J31" s="46"/>
      <c r="K31" s="47" t="str">
        <f t="shared" si="0"/>
        <v xml:space="preserve"> </v>
      </c>
      <c r="L31" s="47" t="str">
        <f t="shared" si="0"/>
        <v xml:space="preserve"> </v>
      </c>
      <c r="M31" s="47" t="str">
        <f t="shared" si="0"/>
        <v xml:space="preserve"> </v>
      </c>
      <c r="N31" s="48" t="str">
        <f t="shared" si="1"/>
        <v xml:space="preserve"> </v>
      </c>
      <c r="O31" s="49" t="str">
        <f t="shared" si="2"/>
        <v xml:space="preserve"> </v>
      </c>
      <c r="P31" s="50" t="str">
        <f t="shared" si="3"/>
        <v xml:space="preserve"> </v>
      </c>
      <c r="Q31" s="48" t="str">
        <f t="shared" si="4"/>
        <v/>
      </c>
      <c r="R31" s="48" t="str">
        <f t="shared" si="5"/>
        <v/>
      </c>
      <c r="S31" s="51"/>
    </row>
    <row r="32" spans="1:19" ht="18" customHeight="1">
      <c r="A32" s="40"/>
      <c r="B32" s="41" t="s">
        <v>90</v>
      </c>
      <c r="C32" s="42" t="s">
        <v>60</v>
      </c>
      <c r="D32" s="43">
        <v>1.125</v>
      </c>
      <c r="E32" s="43">
        <v>0.03</v>
      </c>
      <c r="F32" s="43">
        <v>-0.02</v>
      </c>
      <c r="G32" s="44" t="s">
        <v>70</v>
      </c>
      <c r="H32" s="45"/>
      <c r="I32" s="46"/>
      <c r="J32" s="46"/>
      <c r="K32" s="47" t="str">
        <f t="shared" si="0"/>
        <v xml:space="preserve"> </v>
      </c>
      <c r="L32" s="47" t="str">
        <f t="shared" si="0"/>
        <v xml:space="preserve"> </v>
      </c>
      <c r="M32" s="47" t="str">
        <f t="shared" si="0"/>
        <v xml:space="preserve"> </v>
      </c>
      <c r="N32" s="48" t="str">
        <f t="shared" si="1"/>
        <v xml:space="preserve"> </v>
      </c>
      <c r="O32" s="49" t="str">
        <f t="shared" si="2"/>
        <v xml:space="preserve"> </v>
      </c>
      <c r="P32" s="50" t="str">
        <f t="shared" si="3"/>
        <v xml:space="preserve"> </v>
      </c>
      <c r="Q32" s="48" t="str">
        <f t="shared" si="4"/>
        <v/>
      </c>
      <c r="R32" s="48" t="str">
        <f t="shared" si="5"/>
        <v/>
      </c>
      <c r="S32" s="51"/>
    </row>
    <row r="33" spans="1:19" ht="18" customHeight="1">
      <c r="A33" s="40"/>
      <c r="B33" s="41" t="s">
        <v>91</v>
      </c>
      <c r="C33" s="42" t="s">
        <v>60</v>
      </c>
      <c r="D33" s="43">
        <v>1.125</v>
      </c>
      <c r="E33" s="43">
        <v>0.03</v>
      </c>
      <c r="F33" s="43">
        <v>-0.02</v>
      </c>
      <c r="G33" s="44" t="s">
        <v>70</v>
      </c>
      <c r="H33" s="45"/>
      <c r="I33" s="46"/>
      <c r="J33" s="46"/>
      <c r="K33" s="47" t="str">
        <f t="shared" si="0"/>
        <v xml:space="preserve"> </v>
      </c>
      <c r="L33" s="47" t="str">
        <f t="shared" si="0"/>
        <v xml:space="preserve"> </v>
      </c>
      <c r="M33" s="47" t="str">
        <f t="shared" si="0"/>
        <v xml:space="preserve"> </v>
      </c>
      <c r="N33" s="48" t="str">
        <f t="shared" si="1"/>
        <v xml:space="preserve"> </v>
      </c>
      <c r="O33" s="49" t="str">
        <f t="shared" si="2"/>
        <v xml:space="preserve"> </v>
      </c>
      <c r="P33" s="50" t="str">
        <f t="shared" si="3"/>
        <v xml:space="preserve"> </v>
      </c>
      <c r="Q33" s="48" t="str">
        <f t="shared" si="4"/>
        <v/>
      </c>
      <c r="R33" s="48" t="str">
        <f t="shared" si="5"/>
        <v/>
      </c>
      <c r="S33" s="51"/>
    </row>
    <row r="34" spans="1:19" ht="18" customHeight="1">
      <c r="A34" s="40"/>
      <c r="B34" s="41" t="s">
        <v>92</v>
      </c>
      <c r="C34" s="42" t="s">
        <v>60</v>
      </c>
      <c r="D34" s="43">
        <v>1.125</v>
      </c>
      <c r="E34" s="43">
        <v>0.03</v>
      </c>
      <c r="F34" s="43">
        <v>-0.02</v>
      </c>
      <c r="G34" s="44" t="s">
        <v>70</v>
      </c>
      <c r="H34" s="45"/>
      <c r="I34" s="46"/>
      <c r="J34" s="46"/>
      <c r="K34" s="47" t="str">
        <f t="shared" si="0"/>
        <v xml:space="preserve"> </v>
      </c>
      <c r="L34" s="47" t="str">
        <f t="shared" si="0"/>
        <v xml:space="preserve"> </v>
      </c>
      <c r="M34" s="47" t="str">
        <f t="shared" si="0"/>
        <v xml:space="preserve"> </v>
      </c>
      <c r="N34" s="48" t="str">
        <f t="shared" si="1"/>
        <v xml:space="preserve"> </v>
      </c>
      <c r="O34" s="49" t="str">
        <f t="shared" si="2"/>
        <v xml:space="preserve"> </v>
      </c>
      <c r="P34" s="50" t="str">
        <f t="shared" si="3"/>
        <v xml:space="preserve"> </v>
      </c>
      <c r="Q34" s="48" t="str">
        <f t="shared" si="4"/>
        <v/>
      </c>
      <c r="R34" s="48" t="str">
        <f t="shared" si="5"/>
        <v/>
      </c>
      <c r="S34" s="51"/>
    </row>
    <row r="35" spans="1:19" ht="18" customHeight="1">
      <c r="A35" s="40"/>
      <c r="B35" s="41" t="s">
        <v>93</v>
      </c>
      <c r="C35" s="42" t="s">
        <v>60</v>
      </c>
      <c r="D35" s="43">
        <v>0.27500000000000002</v>
      </c>
      <c r="E35" s="43">
        <v>0.03</v>
      </c>
      <c r="F35" s="43">
        <v>-0.03</v>
      </c>
      <c r="G35" s="44" t="s">
        <v>58</v>
      </c>
      <c r="H35" s="45"/>
      <c r="I35" s="46"/>
      <c r="J35" s="46"/>
      <c r="K35" s="47" t="str">
        <f t="shared" si="0"/>
        <v xml:space="preserve"> </v>
      </c>
      <c r="L35" s="47" t="str">
        <f t="shared" si="0"/>
        <v xml:space="preserve"> </v>
      </c>
      <c r="M35" s="47" t="str">
        <f t="shared" si="0"/>
        <v xml:space="preserve"> </v>
      </c>
      <c r="N35" s="48" t="str">
        <f t="shared" si="1"/>
        <v xml:space="preserve"> </v>
      </c>
      <c r="O35" s="49" t="str">
        <f t="shared" si="2"/>
        <v xml:space="preserve"> </v>
      </c>
      <c r="P35" s="50" t="str">
        <f t="shared" si="3"/>
        <v xml:space="preserve"> </v>
      </c>
      <c r="Q35" s="48" t="str">
        <f t="shared" si="4"/>
        <v/>
      </c>
      <c r="R35" s="48" t="str">
        <f t="shared" si="5"/>
        <v/>
      </c>
      <c r="S35" s="51"/>
    </row>
    <row r="36" spans="1:19" ht="18" customHeight="1">
      <c r="A36" s="40"/>
      <c r="B36" s="41" t="s">
        <v>94</v>
      </c>
      <c r="C36" s="42" t="s">
        <v>60</v>
      </c>
      <c r="D36" s="43">
        <v>0.27500000000000002</v>
      </c>
      <c r="E36" s="43">
        <v>1.4999999999999999E-2</v>
      </c>
      <c r="F36" s="43">
        <v>-1.4999999999999999E-2</v>
      </c>
      <c r="G36" s="44" t="s">
        <v>58</v>
      </c>
      <c r="H36" s="45"/>
      <c r="I36" s="46"/>
      <c r="J36" s="46"/>
      <c r="K36" s="47" t="str">
        <f t="shared" si="0"/>
        <v xml:space="preserve"> </v>
      </c>
      <c r="L36" s="47" t="str">
        <f t="shared" si="0"/>
        <v xml:space="preserve"> </v>
      </c>
      <c r="M36" s="47" t="str">
        <f t="shared" si="0"/>
        <v xml:space="preserve"> </v>
      </c>
      <c r="N36" s="48" t="str">
        <f t="shared" si="1"/>
        <v xml:space="preserve"> </v>
      </c>
      <c r="O36" s="49" t="str">
        <f t="shared" si="2"/>
        <v xml:space="preserve"> </v>
      </c>
      <c r="P36" s="50" t="str">
        <f t="shared" si="3"/>
        <v xml:space="preserve"> </v>
      </c>
      <c r="Q36" s="48" t="str">
        <f t="shared" si="4"/>
        <v/>
      </c>
      <c r="R36" s="48" t="str">
        <f t="shared" si="5"/>
        <v/>
      </c>
      <c r="S36" s="51"/>
    </row>
    <row r="37" spans="1:19" ht="18" customHeight="1">
      <c r="A37" s="40"/>
      <c r="B37" s="41" t="s">
        <v>95</v>
      </c>
      <c r="C37" s="42" t="s">
        <v>60</v>
      </c>
      <c r="D37" s="43">
        <v>1.7849999999999999</v>
      </c>
      <c r="E37" s="43">
        <v>0.03</v>
      </c>
      <c r="F37" s="43">
        <v>-0.03</v>
      </c>
      <c r="G37" s="44" t="s">
        <v>58</v>
      </c>
      <c r="H37" s="45"/>
      <c r="I37" s="46"/>
      <c r="J37" s="46"/>
      <c r="K37" s="47" t="str">
        <f t="shared" si="0"/>
        <v xml:space="preserve"> </v>
      </c>
      <c r="L37" s="47" t="str">
        <f t="shared" si="0"/>
        <v xml:space="preserve"> </v>
      </c>
      <c r="M37" s="47" t="str">
        <f t="shared" si="0"/>
        <v xml:space="preserve"> </v>
      </c>
      <c r="N37" s="48" t="str">
        <f t="shared" si="1"/>
        <v xml:space="preserve"> </v>
      </c>
      <c r="O37" s="49" t="str">
        <f t="shared" si="2"/>
        <v xml:space="preserve"> </v>
      </c>
      <c r="P37" s="50" t="str">
        <f t="shared" si="3"/>
        <v xml:space="preserve"> </v>
      </c>
      <c r="Q37" s="48" t="str">
        <f t="shared" si="4"/>
        <v/>
      </c>
      <c r="R37" s="48" t="str">
        <f t="shared" si="5"/>
        <v/>
      </c>
      <c r="S37" s="51"/>
    </row>
    <row r="38" spans="1:19" ht="18" customHeight="1">
      <c r="A38" s="40"/>
      <c r="B38" s="41" t="s">
        <v>96</v>
      </c>
      <c r="C38" s="42" t="s">
        <v>60</v>
      </c>
      <c r="D38" s="43">
        <v>5.875</v>
      </c>
      <c r="E38" s="43">
        <v>0.03</v>
      </c>
      <c r="F38" s="43">
        <v>-0.03</v>
      </c>
      <c r="G38" s="44" t="s">
        <v>58</v>
      </c>
      <c r="H38" s="45"/>
      <c r="I38" s="46"/>
      <c r="J38" s="46"/>
      <c r="K38" s="47" t="str">
        <f t="shared" ref="K38:M69" si="6">IF(ISERR(H38/H38)=TRUE," ",H38-$D38)</f>
        <v xml:space="preserve"> </v>
      </c>
      <c r="L38" s="47" t="str">
        <f t="shared" si="6"/>
        <v xml:space="preserve"> </v>
      </c>
      <c r="M38" s="47" t="str">
        <f t="shared" si="6"/>
        <v xml:space="preserve"> </v>
      </c>
      <c r="N38" s="48" t="str">
        <f t="shared" si="1"/>
        <v xml:space="preserve"> </v>
      </c>
      <c r="O38" s="49" t="str">
        <f t="shared" si="2"/>
        <v xml:space="preserve"> </v>
      </c>
      <c r="P38" s="50" t="str">
        <f t="shared" si="3"/>
        <v xml:space="preserve"> </v>
      </c>
      <c r="Q38" s="48" t="str">
        <f t="shared" si="4"/>
        <v/>
      </c>
      <c r="R38" s="48" t="str">
        <f t="shared" si="5"/>
        <v/>
      </c>
      <c r="S38" s="51"/>
    </row>
    <row r="39" spans="1:19" ht="18" customHeight="1">
      <c r="A39" s="40"/>
      <c r="B39" s="41" t="s">
        <v>97</v>
      </c>
      <c r="C39" s="42" t="s">
        <v>60</v>
      </c>
      <c r="D39" s="43">
        <v>7.7249999999999996</v>
      </c>
      <c r="E39" s="43">
        <v>0.03</v>
      </c>
      <c r="F39" s="43">
        <v>-0.03</v>
      </c>
      <c r="G39" s="44" t="s">
        <v>58</v>
      </c>
      <c r="H39" s="45"/>
      <c r="I39" s="46"/>
      <c r="J39" s="46"/>
      <c r="K39" s="47" t="str">
        <f t="shared" si="6"/>
        <v xml:space="preserve"> </v>
      </c>
      <c r="L39" s="47" t="str">
        <f t="shared" si="6"/>
        <v xml:space="preserve"> </v>
      </c>
      <c r="M39" s="47" t="str">
        <f t="shared" si="6"/>
        <v xml:space="preserve"> </v>
      </c>
      <c r="N39" s="48" t="str">
        <f t="shared" si="1"/>
        <v xml:space="preserve"> </v>
      </c>
      <c r="O39" s="49" t="str">
        <f t="shared" si="2"/>
        <v xml:space="preserve"> </v>
      </c>
      <c r="P39" s="50" t="str">
        <f t="shared" si="3"/>
        <v xml:space="preserve"> </v>
      </c>
      <c r="Q39" s="48" t="str">
        <f t="shared" si="4"/>
        <v/>
      </c>
      <c r="R39" s="48" t="str">
        <f t="shared" si="5"/>
        <v/>
      </c>
      <c r="S39" s="51"/>
    </row>
    <row r="40" spans="1:19" ht="18" customHeight="1">
      <c r="A40" s="40"/>
      <c r="B40" s="41" t="s">
        <v>98</v>
      </c>
      <c r="C40" s="42" t="s">
        <v>60</v>
      </c>
      <c r="D40" s="43">
        <v>7.7249999999999996</v>
      </c>
      <c r="E40" s="43">
        <v>0.03</v>
      </c>
      <c r="F40" s="43">
        <v>-0.03</v>
      </c>
      <c r="G40" s="44" t="s">
        <v>58</v>
      </c>
      <c r="H40" s="45"/>
      <c r="I40" s="46"/>
      <c r="J40" s="46"/>
      <c r="K40" s="47" t="str">
        <f t="shared" si="6"/>
        <v xml:space="preserve"> </v>
      </c>
      <c r="L40" s="47" t="str">
        <f t="shared" si="6"/>
        <v xml:space="preserve"> </v>
      </c>
      <c r="M40" s="47" t="str">
        <f t="shared" si="6"/>
        <v xml:space="preserve"> </v>
      </c>
      <c r="N40" s="48" t="str">
        <f t="shared" si="1"/>
        <v xml:space="preserve"> </v>
      </c>
      <c r="O40" s="49" t="str">
        <f t="shared" si="2"/>
        <v xml:space="preserve"> </v>
      </c>
      <c r="P40" s="50" t="str">
        <f t="shared" si="3"/>
        <v xml:space="preserve"> </v>
      </c>
      <c r="Q40" s="48" t="str">
        <f t="shared" si="4"/>
        <v/>
      </c>
      <c r="R40" s="48" t="str">
        <f t="shared" si="5"/>
        <v/>
      </c>
      <c r="S40" s="51"/>
    </row>
    <row r="41" spans="1:19" ht="18" customHeight="1">
      <c r="A41" s="40"/>
      <c r="B41" s="41" t="s">
        <v>99</v>
      </c>
      <c r="C41" s="42" t="s">
        <v>60</v>
      </c>
      <c r="D41" s="43">
        <v>18.411000000000001</v>
      </c>
      <c r="E41" s="43">
        <v>0.03</v>
      </c>
      <c r="F41" s="43">
        <v>-0.03</v>
      </c>
      <c r="G41" s="44" t="s">
        <v>58</v>
      </c>
      <c r="H41" s="45"/>
      <c r="I41" s="46"/>
      <c r="J41" s="46"/>
      <c r="K41" s="47" t="str">
        <f t="shared" si="6"/>
        <v xml:space="preserve"> </v>
      </c>
      <c r="L41" s="47" t="str">
        <f t="shared" si="6"/>
        <v xml:space="preserve"> </v>
      </c>
      <c r="M41" s="47" t="str">
        <f t="shared" si="6"/>
        <v xml:space="preserve"> </v>
      </c>
      <c r="N41" s="48" t="str">
        <f t="shared" si="1"/>
        <v xml:space="preserve"> </v>
      </c>
      <c r="O41" s="49" t="str">
        <f t="shared" si="2"/>
        <v xml:space="preserve"> </v>
      </c>
      <c r="P41" s="50" t="str">
        <f t="shared" si="3"/>
        <v xml:space="preserve"> </v>
      </c>
      <c r="Q41" s="48" t="str">
        <f t="shared" si="4"/>
        <v/>
      </c>
      <c r="R41" s="48" t="str">
        <f t="shared" si="5"/>
        <v/>
      </c>
      <c r="S41" s="51"/>
    </row>
    <row r="42" spans="1:19" ht="18" customHeight="1">
      <c r="A42" s="40"/>
      <c r="B42" s="41" t="s">
        <v>100</v>
      </c>
      <c r="C42" s="42" t="s">
        <v>60</v>
      </c>
      <c r="D42" s="43">
        <v>9.0350000000000001</v>
      </c>
      <c r="E42" s="43">
        <v>0.03</v>
      </c>
      <c r="F42" s="43">
        <v>-0.03</v>
      </c>
      <c r="G42" s="44" t="s">
        <v>61</v>
      </c>
      <c r="H42" s="45"/>
      <c r="I42" s="46"/>
      <c r="J42" s="46"/>
      <c r="K42" s="47" t="str">
        <f t="shared" si="6"/>
        <v xml:space="preserve"> </v>
      </c>
      <c r="L42" s="47" t="str">
        <f t="shared" si="6"/>
        <v xml:space="preserve"> </v>
      </c>
      <c r="M42" s="47" t="str">
        <f t="shared" si="6"/>
        <v xml:space="preserve"> </v>
      </c>
      <c r="N42" s="48" t="str">
        <f t="shared" si="1"/>
        <v xml:space="preserve"> </v>
      </c>
      <c r="O42" s="49" t="str">
        <f t="shared" si="2"/>
        <v xml:space="preserve"> </v>
      </c>
      <c r="P42" s="50" t="str">
        <f t="shared" si="3"/>
        <v xml:space="preserve"> </v>
      </c>
      <c r="Q42" s="48" t="str">
        <f t="shared" si="4"/>
        <v/>
      </c>
      <c r="R42" s="48" t="str">
        <f t="shared" si="5"/>
        <v/>
      </c>
      <c r="S42" s="51"/>
    </row>
    <row r="43" spans="1:19" ht="18" customHeight="1">
      <c r="A43" s="40"/>
      <c r="B43" s="41" t="s">
        <v>101</v>
      </c>
      <c r="C43" s="42" t="s">
        <v>60</v>
      </c>
      <c r="D43" s="43">
        <v>22.353000000000002</v>
      </c>
      <c r="E43" s="43">
        <v>0.03</v>
      </c>
      <c r="F43" s="43">
        <v>-0.03</v>
      </c>
      <c r="G43" s="44" t="s">
        <v>61</v>
      </c>
      <c r="H43" s="45"/>
      <c r="I43" s="46"/>
      <c r="J43" s="46"/>
      <c r="K43" s="47" t="str">
        <f t="shared" si="6"/>
        <v xml:space="preserve"> </v>
      </c>
      <c r="L43" s="47" t="str">
        <f t="shared" si="6"/>
        <v xml:space="preserve"> </v>
      </c>
      <c r="M43" s="47" t="str">
        <f t="shared" si="6"/>
        <v xml:space="preserve"> </v>
      </c>
      <c r="N43" s="48" t="str">
        <f t="shared" si="1"/>
        <v xml:space="preserve"> </v>
      </c>
      <c r="O43" s="49" t="str">
        <f t="shared" si="2"/>
        <v xml:space="preserve"> </v>
      </c>
      <c r="P43" s="50" t="str">
        <f t="shared" si="3"/>
        <v xml:space="preserve"> </v>
      </c>
      <c r="Q43" s="48" t="str">
        <f t="shared" si="4"/>
        <v/>
      </c>
      <c r="R43" s="48" t="str">
        <f t="shared" si="5"/>
        <v/>
      </c>
      <c r="S43" s="51"/>
    </row>
    <row r="44" spans="1:19" ht="18" customHeight="1">
      <c r="A44" s="40"/>
      <c r="B44" s="41" t="s">
        <v>102</v>
      </c>
      <c r="C44" s="42" t="s">
        <v>60</v>
      </c>
      <c r="D44" s="43">
        <v>20.355</v>
      </c>
      <c r="E44" s="43">
        <v>0.03</v>
      </c>
      <c r="F44" s="43">
        <v>-0.03</v>
      </c>
      <c r="G44" s="44" t="s">
        <v>61</v>
      </c>
      <c r="H44" s="45"/>
      <c r="I44" s="46"/>
      <c r="J44" s="46"/>
      <c r="K44" s="47" t="str">
        <f t="shared" si="6"/>
        <v xml:space="preserve"> </v>
      </c>
      <c r="L44" s="47" t="str">
        <f t="shared" si="6"/>
        <v xml:space="preserve"> </v>
      </c>
      <c r="M44" s="47" t="str">
        <f t="shared" si="6"/>
        <v xml:space="preserve"> </v>
      </c>
      <c r="N44" s="48" t="str">
        <f t="shared" si="1"/>
        <v xml:space="preserve"> </v>
      </c>
      <c r="O44" s="49" t="str">
        <f t="shared" si="2"/>
        <v xml:space="preserve"> </v>
      </c>
      <c r="P44" s="50" t="str">
        <f t="shared" si="3"/>
        <v xml:space="preserve"> </v>
      </c>
      <c r="Q44" s="48" t="str">
        <f t="shared" si="4"/>
        <v/>
      </c>
      <c r="R44" s="48" t="str">
        <f t="shared" si="5"/>
        <v/>
      </c>
      <c r="S44" s="51"/>
    </row>
    <row r="45" spans="1:19" ht="18" customHeight="1">
      <c r="A45" s="40"/>
      <c r="B45" s="41" t="s">
        <v>103</v>
      </c>
      <c r="C45" s="42" t="s">
        <v>60</v>
      </c>
      <c r="D45" s="43">
        <v>21.785</v>
      </c>
      <c r="E45" s="43">
        <v>0.03</v>
      </c>
      <c r="F45" s="43">
        <v>-0.03</v>
      </c>
      <c r="G45" s="44" t="s">
        <v>61</v>
      </c>
      <c r="H45" s="45"/>
      <c r="I45" s="46"/>
      <c r="J45" s="46"/>
      <c r="K45" s="47" t="str">
        <f t="shared" si="6"/>
        <v xml:space="preserve"> </v>
      </c>
      <c r="L45" s="47" t="str">
        <f t="shared" si="6"/>
        <v xml:space="preserve"> </v>
      </c>
      <c r="M45" s="47" t="str">
        <f t="shared" si="6"/>
        <v xml:space="preserve"> </v>
      </c>
      <c r="N45" s="48" t="str">
        <f t="shared" si="1"/>
        <v xml:space="preserve"> </v>
      </c>
      <c r="O45" s="49" t="str">
        <f t="shared" si="2"/>
        <v xml:space="preserve"> </v>
      </c>
      <c r="P45" s="50" t="str">
        <f t="shared" si="3"/>
        <v xml:space="preserve"> </v>
      </c>
      <c r="Q45" s="48" t="str">
        <f t="shared" si="4"/>
        <v/>
      </c>
      <c r="R45" s="48" t="str">
        <f t="shared" si="5"/>
        <v/>
      </c>
      <c r="S45" s="51"/>
    </row>
    <row r="46" spans="1:19" ht="18" customHeight="1">
      <c r="A46" s="40"/>
      <c r="B46" s="41" t="s">
        <v>104</v>
      </c>
      <c r="C46" s="42" t="s">
        <v>60</v>
      </c>
      <c r="D46" s="43">
        <v>22.152999999999999</v>
      </c>
      <c r="E46" s="43">
        <v>0.03</v>
      </c>
      <c r="F46" s="43">
        <v>-0.03</v>
      </c>
      <c r="G46" s="44" t="s">
        <v>61</v>
      </c>
      <c r="H46" s="45"/>
      <c r="I46" s="46"/>
      <c r="J46" s="46"/>
      <c r="K46" s="47" t="str">
        <f t="shared" si="6"/>
        <v xml:space="preserve"> </v>
      </c>
      <c r="L46" s="47" t="str">
        <f t="shared" si="6"/>
        <v xml:space="preserve"> </v>
      </c>
      <c r="M46" s="47" t="str">
        <f t="shared" si="6"/>
        <v xml:space="preserve"> </v>
      </c>
      <c r="N46" s="48" t="str">
        <f t="shared" si="1"/>
        <v xml:space="preserve"> </v>
      </c>
      <c r="O46" s="49" t="str">
        <f t="shared" si="2"/>
        <v xml:space="preserve"> </v>
      </c>
      <c r="P46" s="50" t="str">
        <f t="shared" si="3"/>
        <v xml:space="preserve"> </v>
      </c>
      <c r="Q46" s="48" t="str">
        <f t="shared" si="4"/>
        <v/>
      </c>
      <c r="R46" s="48" t="str">
        <f t="shared" si="5"/>
        <v/>
      </c>
      <c r="S46" s="51"/>
    </row>
    <row r="47" spans="1:19" ht="17.25" customHeight="1">
      <c r="A47" s="40"/>
      <c r="B47" s="41" t="s">
        <v>105</v>
      </c>
      <c r="C47" s="42" t="s">
        <v>60</v>
      </c>
      <c r="D47" s="43">
        <v>7.8250000000000002</v>
      </c>
      <c r="E47" s="43">
        <v>0.03</v>
      </c>
      <c r="F47" s="43">
        <v>-0.03</v>
      </c>
      <c r="G47" s="44" t="s">
        <v>61</v>
      </c>
      <c r="H47" s="45"/>
      <c r="I47" s="46"/>
      <c r="J47" s="46"/>
      <c r="K47" s="47" t="str">
        <f t="shared" si="6"/>
        <v xml:space="preserve"> </v>
      </c>
      <c r="L47" s="47" t="str">
        <f t="shared" si="6"/>
        <v xml:space="preserve"> </v>
      </c>
      <c r="M47" s="47" t="str">
        <f t="shared" si="6"/>
        <v xml:space="preserve"> </v>
      </c>
      <c r="N47" s="48" t="str">
        <f t="shared" si="1"/>
        <v xml:space="preserve"> </v>
      </c>
      <c r="O47" s="49" t="str">
        <f t="shared" si="2"/>
        <v xml:space="preserve"> </v>
      </c>
      <c r="P47" s="50" t="str">
        <f t="shared" si="3"/>
        <v xml:space="preserve"> </v>
      </c>
      <c r="Q47" s="48" t="str">
        <f t="shared" si="4"/>
        <v/>
      </c>
      <c r="R47" s="48" t="str">
        <f t="shared" si="5"/>
        <v/>
      </c>
      <c r="S47" s="51"/>
    </row>
    <row r="48" spans="1:19" ht="18" customHeight="1">
      <c r="A48" s="40"/>
      <c r="B48" s="41" t="s">
        <v>106</v>
      </c>
      <c r="C48" s="42" t="s">
        <v>60</v>
      </c>
      <c r="D48" s="43">
        <v>7.8250000000000002</v>
      </c>
      <c r="E48" s="43">
        <v>0.03</v>
      </c>
      <c r="F48" s="43">
        <v>-0.03</v>
      </c>
      <c r="G48" s="44" t="s">
        <v>61</v>
      </c>
      <c r="H48" s="45"/>
      <c r="I48" s="46"/>
      <c r="J48" s="46"/>
      <c r="K48" s="47" t="str">
        <f t="shared" si="6"/>
        <v xml:space="preserve"> </v>
      </c>
      <c r="L48" s="47" t="str">
        <f t="shared" si="6"/>
        <v xml:space="preserve"> </v>
      </c>
      <c r="M48" s="47" t="str">
        <f t="shared" si="6"/>
        <v xml:space="preserve"> </v>
      </c>
      <c r="N48" s="48" t="str">
        <f t="shared" si="1"/>
        <v xml:space="preserve"> </v>
      </c>
      <c r="O48" s="49" t="str">
        <f t="shared" si="2"/>
        <v xml:space="preserve"> </v>
      </c>
      <c r="P48" s="50" t="str">
        <f t="shared" si="3"/>
        <v xml:space="preserve"> </v>
      </c>
      <c r="Q48" s="48" t="str">
        <f t="shared" si="4"/>
        <v/>
      </c>
      <c r="R48" s="48" t="str">
        <f t="shared" si="5"/>
        <v/>
      </c>
      <c r="S48" s="51"/>
    </row>
    <row r="49" spans="1:23" ht="18" customHeight="1">
      <c r="A49" s="40"/>
      <c r="B49" s="41" t="s">
        <v>107</v>
      </c>
      <c r="C49" s="42" t="s">
        <v>60</v>
      </c>
      <c r="D49" s="43">
        <v>21.125</v>
      </c>
      <c r="E49" s="43">
        <v>0.03</v>
      </c>
      <c r="F49" s="43">
        <v>-0.03</v>
      </c>
      <c r="G49" s="44" t="s">
        <v>58</v>
      </c>
      <c r="H49" s="45"/>
      <c r="I49" s="46"/>
      <c r="J49" s="46"/>
      <c r="K49" s="47" t="str">
        <f t="shared" si="6"/>
        <v xml:space="preserve"> </v>
      </c>
      <c r="L49" s="47" t="str">
        <f t="shared" si="6"/>
        <v xml:space="preserve"> </v>
      </c>
      <c r="M49" s="47" t="str">
        <f t="shared" si="6"/>
        <v xml:space="preserve"> </v>
      </c>
      <c r="N49" s="48" t="str">
        <f t="shared" si="1"/>
        <v xml:space="preserve"> </v>
      </c>
      <c r="O49" s="49" t="str">
        <f t="shared" si="2"/>
        <v xml:space="preserve"> </v>
      </c>
      <c r="P49" s="50" t="str">
        <f t="shared" si="3"/>
        <v xml:space="preserve"> </v>
      </c>
      <c r="Q49" s="48" t="str">
        <f t="shared" si="4"/>
        <v/>
      </c>
      <c r="R49" s="48" t="str">
        <f t="shared" si="5"/>
        <v/>
      </c>
      <c r="S49" s="51"/>
    </row>
    <row r="50" spans="1:23" ht="18" customHeight="1">
      <c r="A50" s="40"/>
      <c r="B50" s="41" t="s">
        <v>108</v>
      </c>
      <c r="C50" s="42" t="s">
        <v>60</v>
      </c>
      <c r="D50" s="43">
        <v>21.125</v>
      </c>
      <c r="E50" s="43">
        <v>0.03</v>
      </c>
      <c r="F50" s="43">
        <v>-0.03</v>
      </c>
      <c r="G50" s="44" t="s">
        <v>58</v>
      </c>
      <c r="H50" s="45"/>
      <c r="I50" s="46"/>
      <c r="J50" s="46"/>
      <c r="K50" s="47" t="str">
        <f t="shared" si="6"/>
        <v xml:space="preserve"> </v>
      </c>
      <c r="L50" s="47" t="str">
        <f t="shared" si="6"/>
        <v xml:space="preserve"> </v>
      </c>
      <c r="M50" s="47" t="str">
        <f t="shared" si="6"/>
        <v xml:space="preserve"> </v>
      </c>
      <c r="N50" s="48" t="str">
        <f t="shared" si="1"/>
        <v xml:space="preserve"> </v>
      </c>
      <c r="O50" s="49" t="str">
        <f t="shared" si="2"/>
        <v xml:space="preserve"> </v>
      </c>
      <c r="P50" s="50" t="str">
        <f t="shared" si="3"/>
        <v xml:space="preserve"> </v>
      </c>
      <c r="Q50" s="48" t="str">
        <f t="shared" si="4"/>
        <v/>
      </c>
      <c r="R50" s="48" t="str">
        <f t="shared" si="5"/>
        <v/>
      </c>
      <c r="S50" s="51"/>
    </row>
    <row r="51" spans="1:23" ht="18" customHeight="1">
      <c r="A51" s="40"/>
      <c r="B51" s="41" t="s">
        <v>109</v>
      </c>
      <c r="C51" s="42" t="s">
        <v>60</v>
      </c>
      <c r="D51" s="43">
        <v>21.125</v>
      </c>
      <c r="E51" s="43">
        <v>0.03</v>
      </c>
      <c r="F51" s="43">
        <v>-0.03</v>
      </c>
      <c r="G51" s="44" t="s">
        <v>58</v>
      </c>
      <c r="H51" s="45"/>
      <c r="I51" s="46"/>
      <c r="J51" s="46"/>
      <c r="K51" s="47" t="str">
        <f t="shared" si="6"/>
        <v xml:space="preserve"> </v>
      </c>
      <c r="L51" s="47" t="str">
        <f t="shared" si="6"/>
        <v xml:space="preserve"> </v>
      </c>
      <c r="M51" s="47" t="str">
        <f t="shared" si="6"/>
        <v xml:space="preserve"> </v>
      </c>
      <c r="N51" s="48" t="str">
        <f t="shared" si="1"/>
        <v xml:space="preserve"> </v>
      </c>
      <c r="O51" s="49" t="str">
        <f t="shared" si="2"/>
        <v xml:space="preserve"> </v>
      </c>
      <c r="P51" s="50" t="str">
        <f t="shared" si="3"/>
        <v xml:space="preserve"> </v>
      </c>
      <c r="Q51" s="48" t="str">
        <f t="shared" si="4"/>
        <v/>
      </c>
      <c r="R51" s="48" t="str">
        <f t="shared" si="5"/>
        <v/>
      </c>
      <c r="S51" s="51"/>
    </row>
    <row r="52" spans="1:23" ht="18" customHeight="1">
      <c r="A52" s="40"/>
      <c r="B52" s="41" t="s">
        <v>110</v>
      </c>
      <c r="C52" s="42" t="s">
        <v>60</v>
      </c>
      <c r="D52" s="43">
        <v>21.504999999999999</v>
      </c>
      <c r="E52" s="43">
        <v>3.5000000000000003E-2</v>
      </c>
      <c r="F52" s="43">
        <v>-3.5000000000000003E-2</v>
      </c>
      <c r="G52" s="44" t="s">
        <v>61</v>
      </c>
      <c r="H52" s="45"/>
      <c r="I52" s="46"/>
      <c r="J52" s="46"/>
      <c r="K52" s="47" t="str">
        <f t="shared" si="6"/>
        <v xml:space="preserve"> </v>
      </c>
      <c r="L52" s="47" t="str">
        <f t="shared" si="6"/>
        <v xml:space="preserve"> </v>
      </c>
      <c r="M52" s="47" t="str">
        <f t="shared" si="6"/>
        <v xml:space="preserve"> </v>
      </c>
      <c r="N52" s="48" t="str">
        <f t="shared" si="1"/>
        <v xml:space="preserve"> </v>
      </c>
      <c r="O52" s="49" t="str">
        <f t="shared" si="2"/>
        <v xml:space="preserve"> </v>
      </c>
      <c r="P52" s="50" t="str">
        <f t="shared" si="3"/>
        <v xml:space="preserve"> </v>
      </c>
      <c r="Q52" s="48" t="str">
        <f t="shared" si="4"/>
        <v/>
      </c>
      <c r="R52" s="48" t="str">
        <f t="shared" si="5"/>
        <v/>
      </c>
      <c r="S52" s="51"/>
    </row>
    <row r="53" spans="1:23" ht="18" customHeight="1">
      <c r="A53" s="40"/>
      <c r="B53" s="41" t="s">
        <v>111</v>
      </c>
      <c r="C53" s="42" t="s">
        <v>60</v>
      </c>
      <c r="D53" s="43">
        <v>21.504999999999999</v>
      </c>
      <c r="E53" s="43">
        <v>3.5000000000000003E-2</v>
      </c>
      <c r="F53" s="43">
        <v>-3.5000000000000003E-2</v>
      </c>
      <c r="G53" s="44" t="s">
        <v>61</v>
      </c>
      <c r="H53" s="45"/>
      <c r="I53" s="46"/>
      <c r="J53" s="46"/>
      <c r="K53" s="47" t="str">
        <f t="shared" si="6"/>
        <v xml:space="preserve"> </v>
      </c>
      <c r="L53" s="47" t="str">
        <f t="shared" si="6"/>
        <v xml:space="preserve"> </v>
      </c>
      <c r="M53" s="47" t="str">
        <f t="shared" si="6"/>
        <v xml:space="preserve"> </v>
      </c>
      <c r="N53" s="48" t="str">
        <f t="shared" si="1"/>
        <v xml:space="preserve"> </v>
      </c>
      <c r="O53" s="49" t="str">
        <f t="shared" si="2"/>
        <v xml:space="preserve"> </v>
      </c>
      <c r="P53" s="50" t="str">
        <f t="shared" si="3"/>
        <v xml:space="preserve"> </v>
      </c>
      <c r="Q53" s="48" t="str">
        <f t="shared" si="4"/>
        <v/>
      </c>
      <c r="R53" s="48" t="str">
        <f t="shared" si="5"/>
        <v/>
      </c>
      <c r="S53" s="51"/>
    </row>
    <row r="54" spans="1:23" ht="18" customHeight="1">
      <c r="A54" s="40"/>
      <c r="B54" s="41" t="s">
        <v>112</v>
      </c>
      <c r="C54" s="42" t="s">
        <v>60</v>
      </c>
      <c r="D54" s="43">
        <v>14.356</v>
      </c>
      <c r="E54" s="43">
        <v>0.03</v>
      </c>
      <c r="F54" s="43">
        <v>-0.03</v>
      </c>
      <c r="G54" s="44" t="s">
        <v>58</v>
      </c>
      <c r="H54" s="45"/>
      <c r="I54" s="46"/>
      <c r="J54" s="46"/>
      <c r="K54" s="47" t="str">
        <f t="shared" si="6"/>
        <v xml:space="preserve"> </v>
      </c>
      <c r="L54" s="47" t="str">
        <f t="shared" si="6"/>
        <v xml:space="preserve"> </v>
      </c>
      <c r="M54" s="47" t="str">
        <f t="shared" si="6"/>
        <v xml:space="preserve"> </v>
      </c>
      <c r="N54" s="48" t="str">
        <f t="shared" si="1"/>
        <v xml:space="preserve"> </v>
      </c>
      <c r="O54" s="49" t="str">
        <f t="shared" si="2"/>
        <v xml:space="preserve"> </v>
      </c>
      <c r="P54" s="50" t="str">
        <f t="shared" si="3"/>
        <v xml:space="preserve"> </v>
      </c>
      <c r="Q54" s="48" t="str">
        <f t="shared" si="4"/>
        <v/>
      </c>
      <c r="R54" s="48" t="str">
        <f t="shared" si="5"/>
        <v/>
      </c>
      <c r="S54" s="51"/>
    </row>
    <row r="55" spans="1:23" ht="18" customHeight="1">
      <c r="A55" s="40"/>
      <c r="B55" s="41" t="s">
        <v>113</v>
      </c>
      <c r="C55" s="42" t="s">
        <v>60</v>
      </c>
      <c r="D55" s="43">
        <v>16.905000000000001</v>
      </c>
      <c r="E55" s="43">
        <v>3.5000000000000003E-2</v>
      </c>
      <c r="F55" s="43">
        <v>-3.5000000000000003E-2</v>
      </c>
      <c r="G55" s="44" t="s">
        <v>61</v>
      </c>
      <c r="H55" s="45"/>
      <c r="I55" s="46"/>
      <c r="J55" s="46"/>
      <c r="K55" s="47" t="str">
        <f t="shared" si="6"/>
        <v xml:space="preserve"> </v>
      </c>
      <c r="L55" s="47" t="str">
        <f t="shared" si="6"/>
        <v xml:space="preserve"> </v>
      </c>
      <c r="M55" s="47" t="str">
        <f t="shared" si="6"/>
        <v xml:space="preserve"> </v>
      </c>
      <c r="N55" s="48" t="str">
        <f t="shared" si="1"/>
        <v xml:space="preserve"> </v>
      </c>
      <c r="O55" s="49" t="str">
        <f t="shared" si="2"/>
        <v xml:space="preserve"> </v>
      </c>
      <c r="P55" s="50" t="str">
        <f t="shared" si="3"/>
        <v xml:space="preserve"> </v>
      </c>
      <c r="Q55" s="48" t="str">
        <f t="shared" si="4"/>
        <v/>
      </c>
      <c r="R55" s="48" t="str">
        <f t="shared" si="5"/>
        <v/>
      </c>
      <c r="S55" s="51"/>
    </row>
    <row r="56" spans="1:23" ht="18" customHeight="1">
      <c r="A56" s="40"/>
      <c r="B56" s="41" t="s">
        <v>114</v>
      </c>
      <c r="C56" s="42" t="s">
        <v>60</v>
      </c>
      <c r="D56" s="43">
        <v>16.905000000000001</v>
      </c>
      <c r="E56" s="43">
        <v>3.5000000000000003E-2</v>
      </c>
      <c r="F56" s="43">
        <v>-3.5000000000000003E-2</v>
      </c>
      <c r="G56" s="44" t="s">
        <v>61</v>
      </c>
      <c r="H56" s="45"/>
      <c r="I56" s="46"/>
      <c r="J56" s="46"/>
      <c r="K56" s="47" t="str">
        <f t="shared" si="6"/>
        <v xml:space="preserve"> </v>
      </c>
      <c r="L56" s="47" t="str">
        <f t="shared" si="6"/>
        <v xml:space="preserve"> </v>
      </c>
      <c r="M56" s="47" t="str">
        <f t="shared" si="6"/>
        <v xml:space="preserve"> </v>
      </c>
      <c r="N56" s="48" t="str">
        <f t="shared" si="1"/>
        <v xml:space="preserve"> </v>
      </c>
      <c r="O56" s="49" t="str">
        <f t="shared" si="2"/>
        <v xml:space="preserve"> </v>
      </c>
      <c r="P56" s="50" t="str">
        <f t="shared" si="3"/>
        <v xml:space="preserve"> </v>
      </c>
      <c r="Q56" s="48" t="str">
        <f t="shared" si="4"/>
        <v/>
      </c>
      <c r="R56" s="48" t="str">
        <f t="shared" si="5"/>
        <v/>
      </c>
      <c r="S56" s="51"/>
    </row>
    <row r="57" spans="1:23" ht="18" customHeight="1">
      <c r="A57" s="40"/>
      <c r="B57" s="41" t="s">
        <v>115</v>
      </c>
      <c r="C57" s="42" t="s">
        <v>60</v>
      </c>
      <c r="D57" s="43">
        <v>16.905000000000001</v>
      </c>
      <c r="E57" s="43">
        <v>3.5000000000000003E-2</v>
      </c>
      <c r="F57" s="43">
        <v>-3.5000000000000003E-2</v>
      </c>
      <c r="G57" s="44" t="s">
        <v>61</v>
      </c>
      <c r="H57" s="45"/>
      <c r="I57" s="46"/>
      <c r="J57" s="46"/>
      <c r="K57" s="47" t="str">
        <f t="shared" si="6"/>
        <v xml:space="preserve"> </v>
      </c>
      <c r="L57" s="47" t="str">
        <f t="shared" si="6"/>
        <v xml:space="preserve"> </v>
      </c>
      <c r="M57" s="47" t="str">
        <f t="shared" si="6"/>
        <v xml:space="preserve"> </v>
      </c>
      <c r="N57" s="48" t="str">
        <f t="shared" si="1"/>
        <v xml:space="preserve"> </v>
      </c>
      <c r="O57" s="49" t="str">
        <f t="shared" si="2"/>
        <v xml:space="preserve"> </v>
      </c>
      <c r="P57" s="50" t="str">
        <f t="shared" si="3"/>
        <v xml:space="preserve"> </v>
      </c>
      <c r="Q57" s="48" t="str">
        <f t="shared" si="4"/>
        <v/>
      </c>
      <c r="R57" s="48" t="str">
        <f t="shared" si="5"/>
        <v/>
      </c>
      <c r="S57" s="51"/>
    </row>
    <row r="58" spans="1:23" ht="18" customHeight="1">
      <c r="A58" s="40"/>
      <c r="B58" s="41" t="s">
        <v>116</v>
      </c>
      <c r="C58" s="42" t="s">
        <v>60</v>
      </c>
      <c r="D58" s="43">
        <v>1.5349999999999999</v>
      </c>
      <c r="E58" s="43">
        <v>0.03</v>
      </c>
      <c r="F58" s="43">
        <v>-0.03</v>
      </c>
      <c r="G58" s="44" t="s">
        <v>61</v>
      </c>
      <c r="H58" s="45"/>
      <c r="I58" s="46"/>
      <c r="J58" s="46"/>
      <c r="K58" s="47" t="str">
        <f t="shared" si="6"/>
        <v xml:space="preserve"> </v>
      </c>
      <c r="L58" s="47" t="str">
        <f t="shared" si="6"/>
        <v xml:space="preserve"> </v>
      </c>
      <c r="M58" s="47" t="str">
        <f t="shared" si="6"/>
        <v xml:space="preserve"> </v>
      </c>
      <c r="N58" s="48" t="str">
        <f t="shared" si="1"/>
        <v xml:space="preserve"> </v>
      </c>
      <c r="O58" s="49" t="str">
        <f t="shared" si="2"/>
        <v xml:space="preserve"> </v>
      </c>
      <c r="P58" s="50" t="str">
        <f t="shared" si="3"/>
        <v xml:space="preserve"> </v>
      </c>
      <c r="Q58" s="48" t="str">
        <f t="shared" si="4"/>
        <v/>
      </c>
      <c r="R58" s="48" t="str">
        <f t="shared" si="5"/>
        <v/>
      </c>
      <c r="S58" s="51"/>
    </row>
    <row r="59" spans="1:23" ht="18" customHeight="1">
      <c r="A59" s="40"/>
      <c r="B59" s="41" t="s">
        <v>117</v>
      </c>
      <c r="C59" s="42" t="s">
        <v>60</v>
      </c>
      <c r="D59" s="43">
        <v>1.5349999999999999</v>
      </c>
      <c r="E59" s="43">
        <v>0.03</v>
      </c>
      <c r="F59" s="43">
        <v>-0.03</v>
      </c>
      <c r="G59" s="44" t="s">
        <v>61</v>
      </c>
      <c r="H59" s="45"/>
      <c r="I59" s="46"/>
      <c r="J59" s="46"/>
      <c r="K59" s="47" t="str">
        <f t="shared" si="6"/>
        <v xml:space="preserve"> </v>
      </c>
      <c r="L59" s="47" t="str">
        <f t="shared" si="6"/>
        <v xml:space="preserve"> </v>
      </c>
      <c r="M59" s="47" t="str">
        <f t="shared" si="6"/>
        <v xml:space="preserve"> </v>
      </c>
      <c r="N59" s="48" t="str">
        <f t="shared" si="1"/>
        <v xml:space="preserve"> </v>
      </c>
      <c r="O59" s="49" t="str">
        <f t="shared" si="2"/>
        <v xml:space="preserve"> </v>
      </c>
      <c r="P59" s="50" t="str">
        <f t="shared" si="3"/>
        <v xml:space="preserve"> </v>
      </c>
      <c r="Q59" s="48" t="str">
        <f t="shared" si="4"/>
        <v/>
      </c>
      <c r="R59" s="48" t="str">
        <f t="shared" si="5"/>
        <v/>
      </c>
      <c r="S59" s="51"/>
    </row>
    <row r="60" spans="1:23" ht="18" customHeight="1">
      <c r="A60" s="40"/>
      <c r="B60" s="41" t="s">
        <v>118</v>
      </c>
      <c r="C60" s="42" t="s">
        <v>60</v>
      </c>
      <c r="D60" s="43">
        <v>0.72499999999999998</v>
      </c>
      <c r="E60" s="43">
        <v>0.03</v>
      </c>
      <c r="F60" s="43">
        <v>-0.03</v>
      </c>
      <c r="G60" s="44" t="s">
        <v>61</v>
      </c>
      <c r="H60" s="45"/>
      <c r="I60" s="46"/>
      <c r="J60" s="46"/>
      <c r="K60" s="47" t="str">
        <f t="shared" si="6"/>
        <v xml:space="preserve"> </v>
      </c>
      <c r="L60" s="47" t="str">
        <f t="shared" si="6"/>
        <v xml:space="preserve"> </v>
      </c>
      <c r="M60" s="47" t="str">
        <f t="shared" si="6"/>
        <v xml:space="preserve"> </v>
      </c>
      <c r="N60" s="48" t="str">
        <f t="shared" si="1"/>
        <v xml:space="preserve"> </v>
      </c>
      <c r="O60" s="49" t="str">
        <f t="shared" si="2"/>
        <v xml:space="preserve"> </v>
      </c>
      <c r="P60" s="50" t="str">
        <f t="shared" si="3"/>
        <v xml:space="preserve"> </v>
      </c>
      <c r="Q60" s="48" t="str">
        <f t="shared" si="4"/>
        <v/>
      </c>
      <c r="R60" s="48" t="str">
        <f t="shared" si="5"/>
        <v/>
      </c>
      <c r="S60" s="51"/>
      <c r="U60" s="52"/>
    </row>
    <row r="61" spans="1:23" ht="18" customHeight="1">
      <c r="A61" s="40"/>
      <c r="B61" s="41" t="s">
        <v>119</v>
      </c>
      <c r="C61" s="42" t="s">
        <v>60</v>
      </c>
      <c r="D61" s="43">
        <v>17.155000000000001</v>
      </c>
      <c r="E61" s="43">
        <v>0.03</v>
      </c>
      <c r="F61" s="43">
        <v>-0.03</v>
      </c>
      <c r="G61" s="44" t="s">
        <v>58</v>
      </c>
      <c r="H61" s="45"/>
      <c r="I61" s="46"/>
      <c r="J61" s="46"/>
      <c r="K61" s="47" t="str">
        <f t="shared" si="6"/>
        <v xml:space="preserve"> </v>
      </c>
      <c r="L61" s="47" t="str">
        <f t="shared" si="6"/>
        <v xml:space="preserve"> </v>
      </c>
      <c r="M61" s="47" t="str">
        <f t="shared" si="6"/>
        <v xml:space="preserve"> </v>
      </c>
      <c r="N61" s="48" t="str">
        <f t="shared" si="1"/>
        <v xml:space="preserve"> </v>
      </c>
      <c r="O61" s="49" t="str">
        <f t="shared" si="2"/>
        <v xml:space="preserve"> </v>
      </c>
      <c r="P61" s="50" t="str">
        <f t="shared" si="3"/>
        <v xml:space="preserve"> </v>
      </c>
      <c r="Q61" s="48" t="str">
        <f t="shared" si="4"/>
        <v/>
      </c>
      <c r="R61" s="48" t="str">
        <f t="shared" si="5"/>
        <v/>
      </c>
      <c r="S61" s="51"/>
      <c r="V61" s="160"/>
      <c r="W61" s="160"/>
    </row>
    <row r="62" spans="1:23" ht="18" customHeight="1">
      <c r="A62" s="40"/>
      <c r="B62" s="41" t="s">
        <v>120</v>
      </c>
      <c r="C62" s="42" t="s">
        <v>60</v>
      </c>
      <c r="D62" s="43">
        <v>0.93899999999999995</v>
      </c>
      <c r="E62" s="43">
        <v>0.03</v>
      </c>
      <c r="F62" s="43">
        <v>-0.02</v>
      </c>
      <c r="G62" s="44" t="s">
        <v>61</v>
      </c>
      <c r="H62" s="45"/>
      <c r="I62" s="46"/>
      <c r="J62" s="46"/>
      <c r="K62" s="47" t="str">
        <f t="shared" si="6"/>
        <v xml:space="preserve"> </v>
      </c>
      <c r="L62" s="47" t="str">
        <f t="shared" si="6"/>
        <v xml:space="preserve"> </v>
      </c>
      <c r="M62" s="47" t="str">
        <f t="shared" si="6"/>
        <v xml:space="preserve"> </v>
      </c>
      <c r="N62" s="48" t="str">
        <f t="shared" si="1"/>
        <v xml:space="preserve"> </v>
      </c>
      <c r="O62" s="49" t="str">
        <f t="shared" si="2"/>
        <v xml:space="preserve"> </v>
      </c>
      <c r="P62" s="50" t="str">
        <f t="shared" si="3"/>
        <v xml:space="preserve"> </v>
      </c>
      <c r="Q62" s="48" t="str">
        <f t="shared" si="4"/>
        <v/>
      </c>
      <c r="R62" s="48" t="str">
        <f t="shared" si="5"/>
        <v/>
      </c>
      <c r="S62" s="51"/>
      <c r="V62" s="160"/>
      <c r="W62" s="160"/>
    </row>
    <row r="63" spans="1:23" ht="18" customHeight="1">
      <c r="A63" s="40"/>
      <c r="B63" s="41" t="s">
        <v>121</v>
      </c>
      <c r="C63" s="42" t="s">
        <v>60</v>
      </c>
      <c r="D63" s="43">
        <v>0.93899999999999995</v>
      </c>
      <c r="E63" s="43">
        <v>0.03</v>
      </c>
      <c r="F63" s="43">
        <v>-0.02</v>
      </c>
      <c r="G63" s="44" t="s">
        <v>70</v>
      </c>
      <c r="H63" s="45"/>
      <c r="I63" s="46"/>
      <c r="J63" s="46"/>
      <c r="K63" s="47" t="str">
        <f t="shared" si="6"/>
        <v xml:space="preserve"> </v>
      </c>
      <c r="L63" s="47" t="str">
        <f t="shared" si="6"/>
        <v xml:space="preserve"> </v>
      </c>
      <c r="M63" s="47" t="str">
        <f t="shared" si="6"/>
        <v xml:space="preserve"> </v>
      </c>
      <c r="N63" s="48" t="str">
        <f t="shared" si="1"/>
        <v xml:space="preserve"> </v>
      </c>
      <c r="O63" s="49" t="str">
        <f t="shared" si="2"/>
        <v xml:space="preserve"> </v>
      </c>
      <c r="P63" s="50" t="str">
        <f t="shared" si="3"/>
        <v xml:space="preserve"> </v>
      </c>
      <c r="Q63" s="48" t="str">
        <f t="shared" si="4"/>
        <v/>
      </c>
      <c r="R63" s="48" t="str">
        <f t="shared" si="5"/>
        <v/>
      </c>
      <c r="S63" s="51"/>
    </row>
    <row r="64" spans="1:23" ht="18" customHeight="1">
      <c r="A64" s="40"/>
      <c r="B64" s="41" t="s">
        <v>122</v>
      </c>
      <c r="C64" s="42" t="s">
        <v>60</v>
      </c>
      <c r="D64" s="43">
        <v>0.93899999999999995</v>
      </c>
      <c r="E64" s="43">
        <v>0.03</v>
      </c>
      <c r="F64" s="43">
        <v>-0.02</v>
      </c>
      <c r="G64" s="44" t="s">
        <v>70</v>
      </c>
      <c r="H64" s="45"/>
      <c r="I64" s="46"/>
      <c r="J64" s="46"/>
      <c r="K64" s="47" t="str">
        <f t="shared" si="6"/>
        <v xml:space="preserve"> </v>
      </c>
      <c r="L64" s="47" t="str">
        <f t="shared" si="6"/>
        <v xml:space="preserve"> </v>
      </c>
      <c r="M64" s="47" t="str">
        <f t="shared" si="6"/>
        <v xml:space="preserve"> </v>
      </c>
      <c r="N64" s="48" t="str">
        <f t="shared" si="1"/>
        <v xml:space="preserve"> </v>
      </c>
      <c r="O64" s="49" t="str">
        <f t="shared" si="2"/>
        <v xml:space="preserve"> </v>
      </c>
      <c r="P64" s="50" t="str">
        <f t="shared" si="3"/>
        <v xml:space="preserve"> </v>
      </c>
      <c r="Q64" s="48" t="str">
        <f t="shared" si="4"/>
        <v/>
      </c>
      <c r="R64" s="48" t="str">
        <f t="shared" si="5"/>
        <v/>
      </c>
      <c r="S64" s="51"/>
    </row>
    <row r="65" spans="1:19" ht="18" customHeight="1">
      <c r="A65" s="40"/>
      <c r="B65" s="41" t="s">
        <v>123</v>
      </c>
      <c r="C65" s="42" t="s">
        <v>60</v>
      </c>
      <c r="D65" s="43">
        <v>0.93899999999999995</v>
      </c>
      <c r="E65" s="43">
        <v>0.03</v>
      </c>
      <c r="F65" s="43">
        <v>-0.02</v>
      </c>
      <c r="G65" s="44" t="s">
        <v>70</v>
      </c>
      <c r="H65" s="45"/>
      <c r="I65" s="46"/>
      <c r="J65" s="46"/>
      <c r="K65" s="47" t="str">
        <f t="shared" si="6"/>
        <v xml:space="preserve"> </v>
      </c>
      <c r="L65" s="47" t="str">
        <f t="shared" si="6"/>
        <v xml:space="preserve"> </v>
      </c>
      <c r="M65" s="47" t="str">
        <f t="shared" si="6"/>
        <v xml:space="preserve"> </v>
      </c>
      <c r="N65" s="48" t="str">
        <f t="shared" si="1"/>
        <v xml:space="preserve"> </v>
      </c>
      <c r="O65" s="49" t="str">
        <f t="shared" si="2"/>
        <v xml:space="preserve"> </v>
      </c>
      <c r="P65" s="50" t="str">
        <f t="shared" si="3"/>
        <v xml:space="preserve"> </v>
      </c>
      <c r="Q65" s="48" t="str">
        <f t="shared" si="4"/>
        <v/>
      </c>
      <c r="R65" s="48" t="str">
        <f t="shared" si="5"/>
        <v/>
      </c>
      <c r="S65" s="51"/>
    </row>
    <row r="66" spans="1:19" ht="18" customHeight="1">
      <c r="A66" s="40"/>
      <c r="B66" s="41" t="s">
        <v>124</v>
      </c>
      <c r="C66" s="42" t="s">
        <v>60</v>
      </c>
      <c r="D66" s="43">
        <v>0.93899999999999995</v>
      </c>
      <c r="E66" s="43">
        <v>0.03</v>
      </c>
      <c r="F66" s="43">
        <v>-0.02</v>
      </c>
      <c r="G66" s="44" t="s">
        <v>70</v>
      </c>
      <c r="H66" s="45"/>
      <c r="I66" s="46"/>
      <c r="J66" s="46"/>
      <c r="K66" s="47" t="str">
        <f t="shared" si="6"/>
        <v xml:space="preserve"> </v>
      </c>
      <c r="L66" s="47" t="str">
        <f t="shared" si="6"/>
        <v xml:space="preserve"> </v>
      </c>
      <c r="M66" s="47" t="str">
        <f t="shared" si="6"/>
        <v xml:space="preserve"> </v>
      </c>
      <c r="N66" s="48" t="str">
        <f t="shared" si="1"/>
        <v xml:space="preserve"> </v>
      </c>
      <c r="O66" s="49" t="str">
        <f t="shared" si="2"/>
        <v xml:space="preserve"> </v>
      </c>
      <c r="P66" s="50" t="str">
        <f t="shared" si="3"/>
        <v xml:space="preserve"> </v>
      </c>
      <c r="Q66" s="48" t="str">
        <f t="shared" si="4"/>
        <v/>
      </c>
      <c r="R66" s="48" t="str">
        <f t="shared" si="5"/>
        <v/>
      </c>
      <c r="S66" s="51"/>
    </row>
    <row r="67" spans="1:19" ht="18" customHeight="1">
      <c r="A67" s="40"/>
      <c r="B67" s="41" t="s">
        <v>125</v>
      </c>
      <c r="C67" s="42" t="s">
        <v>60</v>
      </c>
      <c r="D67" s="43">
        <v>16.84</v>
      </c>
      <c r="E67" s="43">
        <v>0.03</v>
      </c>
      <c r="F67" s="43">
        <v>-0.03</v>
      </c>
      <c r="G67" s="44" t="s">
        <v>61</v>
      </c>
      <c r="H67" s="45"/>
      <c r="I67" s="46"/>
      <c r="J67" s="46"/>
      <c r="K67" s="47" t="str">
        <f t="shared" si="6"/>
        <v xml:space="preserve"> </v>
      </c>
      <c r="L67" s="47" t="str">
        <f t="shared" si="6"/>
        <v xml:space="preserve"> </v>
      </c>
      <c r="M67" s="47" t="str">
        <f t="shared" si="6"/>
        <v xml:space="preserve"> </v>
      </c>
      <c r="N67" s="48" t="str">
        <f t="shared" si="1"/>
        <v xml:space="preserve"> </v>
      </c>
      <c r="O67" s="49" t="str">
        <f t="shared" si="2"/>
        <v xml:space="preserve"> </v>
      </c>
      <c r="P67" s="50" t="str">
        <f t="shared" si="3"/>
        <v xml:space="preserve"> </v>
      </c>
      <c r="Q67" s="48" t="str">
        <f t="shared" si="4"/>
        <v/>
      </c>
      <c r="R67" s="48" t="str">
        <f t="shared" si="5"/>
        <v/>
      </c>
      <c r="S67" s="51"/>
    </row>
    <row r="68" spans="1:19" ht="18" customHeight="1">
      <c r="A68" s="40"/>
      <c r="B68" s="41" t="s">
        <v>126</v>
      </c>
      <c r="C68" s="42" t="s">
        <v>60</v>
      </c>
      <c r="D68" s="43">
        <v>4.2370000000000001</v>
      </c>
      <c r="E68" s="43">
        <v>0.03</v>
      </c>
      <c r="F68" s="43">
        <v>-0.03</v>
      </c>
      <c r="G68" s="44" t="s">
        <v>58</v>
      </c>
      <c r="H68" s="45"/>
      <c r="I68" s="46"/>
      <c r="J68" s="46"/>
      <c r="K68" s="47" t="str">
        <f t="shared" si="6"/>
        <v xml:space="preserve"> </v>
      </c>
      <c r="L68" s="47" t="str">
        <f t="shared" si="6"/>
        <v xml:space="preserve"> </v>
      </c>
      <c r="M68" s="47" t="str">
        <f t="shared" si="6"/>
        <v xml:space="preserve"> </v>
      </c>
      <c r="N68" s="48" t="str">
        <f t="shared" si="1"/>
        <v xml:space="preserve"> </v>
      </c>
      <c r="O68" s="49" t="str">
        <f t="shared" si="2"/>
        <v xml:space="preserve"> </v>
      </c>
      <c r="P68" s="50" t="str">
        <f t="shared" si="3"/>
        <v xml:space="preserve"> </v>
      </c>
      <c r="Q68" s="48" t="str">
        <f t="shared" si="4"/>
        <v/>
      </c>
      <c r="R68" s="48" t="str">
        <f t="shared" si="5"/>
        <v/>
      </c>
      <c r="S68" s="51"/>
    </row>
    <row r="69" spans="1:19" ht="18" customHeight="1">
      <c r="A69" s="40"/>
      <c r="B69" s="41" t="s">
        <v>127</v>
      </c>
      <c r="C69" s="42" t="s">
        <v>128</v>
      </c>
      <c r="D69" s="43">
        <v>0.4</v>
      </c>
      <c r="E69" s="43">
        <v>0.03</v>
      </c>
      <c r="F69" s="43">
        <v>-0.03</v>
      </c>
      <c r="G69" s="44" t="s">
        <v>58</v>
      </c>
      <c r="H69" s="45"/>
      <c r="I69" s="46"/>
      <c r="J69" s="46"/>
      <c r="K69" s="47" t="str">
        <f t="shared" si="6"/>
        <v xml:space="preserve"> </v>
      </c>
      <c r="L69" s="47" t="str">
        <f t="shared" si="6"/>
        <v xml:space="preserve"> </v>
      </c>
      <c r="M69" s="47" t="str">
        <f t="shared" si="6"/>
        <v xml:space="preserve"> </v>
      </c>
      <c r="N69" s="48" t="str">
        <f t="shared" si="1"/>
        <v xml:space="preserve"> </v>
      </c>
      <c r="O69" s="49" t="str">
        <f t="shared" si="2"/>
        <v xml:space="preserve"> </v>
      </c>
      <c r="P69" s="50" t="str">
        <f t="shared" si="3"/>
        <v xml:space="preserve"> </v>
      </c>
      <c r="Q69" s="48" t="str">
        <f t="shared" si="4"/>
        <v/>
      </c>
      <c r="R69" s="48" t="str">
        <f t="shared" si="5"/>
        <v/>
      </c>
      <c r="S69" s="51"/>
    </row>
    <row r="70" spans="1:19" ht="18" customHeight="1">
      <c r="A70" s="40"/>
      <c r="B70" s="41" t="s">
        <v>129</v>
      </c>
      <c r="C70" s="42" t="s">
        <v>130</v>
      </c>
      <c r="D70" s="43"/>
      <c r="E70" s="43">
        <v>0.08</v>
      </c>
      <c r="F70" s="43"/>
      <c r="G70" s="44" t="s">
        <v>58</v>
      </c>
      <c r="H70" s="45"/>
      <c r="I70" s="46"/>
      <c r="J70" s="46"/>
      <c r="K70" s="47" t="str">
        <f t="shared" ref="K70:M110" si="7">IF(ISERR(H70/H70)=TRUE," ",H70-$D70)</f>
        <v xml:space="preserve"> </v>
      </c>
      <c r="L70" s="47" t="str">
        <f t="shared" si="7"/>
        <v xml:space="preserve"> </v>
      </c>
      <c r="M70" s="47" t="str">
        <f t="shared" si="7"/>
        <v xml:space="preserve"> </v>
      </c>
      <c r="N70" s="48" t="str">
        <f t="shared" ref="N70:N142" si="8">IF(ISERR(H70/H70)=TRUE," ",AVERAGE(H70:J70))</f>
        <v xml:space="preserve"> </v>
      </c>
      <c r="O70" s="49" t="str">
        <f t="shared" ref="O70:O142" si="9">IF(ISERR(E70/E70)=TRUE," ",IF(ISERR(H70/H70)=TRUE," ",IF(ISNUMBER($H70)=FALSE," ",IF(MAX($H70:$J70)&lt;$D70,0,(MAX($H70:$J70)-$D70)/$E70))))</f>
        <v xml:space="preserve"> </v>
      </c>
      <c r="P70" s="50" t="str">
        <f t="shared" ref="P70:P142" si="10">IF(ISERR(F70/D70)=TRUE," ",IF(ISERR(F70/F70)=TRUE," ",IF(ISERR(H70/H70)=TRUE," ",IF(ISNUMBER(H70)=FALSE," ",IF(MIN(H70:J70)&gt;$D70,0,($D70-MIN(H70:J70))/-F70)))))</f>
        <v xml:space="preserve"> </v>
      </c>
      <c r="Q70" s="48" t="str">
        <f t="shared" ref="Q70:Q142" si="11">IF(ISNUMBER($O70)=TRUE,IF($O70&gt;0.651,IF($O70&gt;1.001,"Reject","Alert"),""),"")</f>
        <v/>
      </c>
      <c r="R70" s="48" t="str">
        <f t="shared" ref="R70:R122" si="12">IF(H70="","",IF(ISERR(F70/F70)=TRUE,"",IF(ISERR(F70/D70)=TRUE,IF((F70-MIN(H70:J70))&gt;0.001,"Reject",""),IF(ISNUMBER($P70)=TRUE,IF($P70&gt;0.651,IF($P70&gt;1.001,"Reject","Alert"),""),""))))</f>
        <v/>
      </c>
      <c r="S70" s="51"/>
    </row>
    <row r="71" spans="1:19" ht="18" customHeight="1">
      <c r="A71" s="40"/>
      <c r="B71" s="41" t="s">
        <v>131</v>
      </c>
      <c r="C71" s="42" t="s">
        <v>130</v>
      </c>
      <c r="D71" s="43"/>
      <c r="E71" s="43">
        <v>0.05</v>
      </c>
      <c r="F71" s="43"/>
      <c r="G71" s="44" t="s">
        <v>58</v>
      </c>
      <c r="H71" s="45"/>
      <c r="I71" s="46"/>
      <c r="J71" s="46"/>
      <c r="K71" s="47" t="str">
        <f t="shared" si="7"/>
        <v xml:space="preserve"> </v>
      </c>
      <c r="L71" s="47" t="str">
        <f t="shared" si="7"/>
        <v xml:space="preserve"> </v>
      </c>
      <c r="M71" s="47" t="str">
        <f t="shared" si="7"/>
        <v xml:space="preserve"> </v>
      </c>
      <c r="N71" s="48" t="str">
        <f t="shared" si="8"/>
        <v xml:space="preserve"> </v>
      </c>
      <c r="O71" s="49" t="str">
        <f t="shared" si="9"/>
        <v xml:space="preserve"> </v>
      </c>
      <c r="P71" s="50" t="str">
        <f t="shared" si="10"/>
        <v xml:space="preserve"> </v>
      </c>
      <c r="Q71" s="48" t="str">
        <f t="shared" si="11"/>
        <v/>
      </c>
      <c r="R71" s="48" t="str">
        <f t="shared" si="12"/>
        <v/>
      </c>
      <c r="S71" s="51"/>
    </row>
    <row r="72" spans="1:19" ht="18" customHeight="1">
      <c r="A72" s="40"/>
      <c r="B72" s="41" t="s">
        <v>132</v>
      </c>
      <c r="C72" s="42" t="s">
        <v>60</v>
      </c>
      <c r="D72" s="43">
        <v>8.1300000000000008</v>
      </c>
      <c r="E72" s="43">
        <v>0.02</v>
      </c>
      <c r="F72" s="43">
        <v>-0.02</v>
      </c>
      <c r="G72" s="44" t="s">
        <v>58</v>
      </c>
      <c r="H72" s="45"/>
      <c r="I72" s="46"/>
      <c r="J72" s="46"/>
      <c r="K72" s="47" t="str">
        <f t="shared" si="7"/>
        <v xml:space="preserve"> </v>
      </c>
      <c r="L72" s="47" t="str">
        <f t="shared" si="7"/>
        <v xml:space="preserve"> </v>
      </c>
      <c r="M72" s="47" t="str">
        <f t="shared" si="7"/>
        <v xml:space="preserve"> </v>
      </c>
      <c r="N72" s="48" t="str">
        <f t="shared" si="8"/>
        <v xml:space="preserve"> </v>
      </c>
      <c r="O72" s="49" t="str">
        <f t="shared" si="9"/>
        <v xml:space="preserve"> </v>
      </c>
      <c r="P72" s="50" t="str">
        <f t="shared" si="10"/>
        <v xml:space="preserve"> </v>
      </c>
      <c r="Q72" s="48" t="str">
        <f t="shared" si="11"/>
        <v/>
      </c>
      <c r="R72" s="48" t="str">
        <f t="shared" si="12"/>
        <v/>
      </c>
      <c r="S72" s="51"/>
    </row>
    <row r="73" spans="1:19" ht="18" customHeight="1">
      <c r="A73" s="40"/>
      <c r="B73" s="41" t="s">
        <v>133</v>
      </c>
      <c r="C73" s="42" t="s">
        <v>60</v>
      </c>
      <c r="D73" s="43"/>
      <c r="E73" s="43">
        <v>0.05</v>
      </c>
      <c r="F73" s="43"/>
      <c r="G73" s="44" t="s">
        <v>58</v>
      </c>
      <c r="H73" s="45"/>
      <c r="I73" s="46"/>
      <c r="J73" s="46"/>
      <c r="K73" s="47" t="str">
        <f t="shared" si="7"/>
        <v xml:space="preserve"> </v>
      </c>
      <c r="L73" s="47" t="str">
        <f t="shared" si="7"/>
        <v xml:space="preserve"> </v>
      </c>
      <c r="M73" s="47" t="str">
        <f t="shared" si="7"/>
        <v xml:space="preserve"> </v>
      </c>
      <c r="N73" s="48" t="str">
        <f t="shared" si="8"/>
        <v xml:space="preserve"> </v>
      </c>
      <c r="O73" s="49" t="str">
        <f t="shared" si="9"/>
        <v xml:space="preserve"> </v>
      </c>
      <c r="P73" s="50" t="str">
        <f t="shared" si="10"/>
        <v xml:space="preserve"> </v>
      </c>
      <c r="Q73" s="48" t="str">
        <f t="shared" si="11"/>
        <v/>
      </c>
      <c r="R73" s="48" t="str">
        <f t="shared" si="12"/>
        <v/>
      </c>
      <c r="S73" s="51"/>
    </row>
    <row r="74" spans="1:19" ht="18" customHeight="1">
      <c r="A74" s="40"/>
      <c r="B74" s="41" t="s">
        <v>134</v>
      </c>
      <c r="C74" s="42" t="s">
        <v>60</v>
      </c>
      <c r="D74" s="43">
        <v>8.1300000000000008</v>
      </c>
      <c r="E74" s="43">
        <v>0.02</v>
      </c>
      <c r="F74" s="43">
        <v>-0.02</v>
      </c>
      <c r="G74" s="44" t="s">
        <v>58</v>
      </c>
      <c r="H74" s="45"/>
      <c r="I74" s="46"/>
      <c r="J74" s="46"/>
      <c r="K74" s="47" t="str">
        <f t="shared" si="7"/>
        <v xml:space="preserve"> </v>
      </c>
      <c r="L74" s="47" t="str">
        <f t="shared" si="7"/>
        <v xml:space="preserve"> </v>
      </c>
      <c r="M74" s="47" t="str">
        <f t="shared" si="7"/>
        <v xml:space="preserve"> </v>
      </c>
      <c r="N74" s="48" t="str">
        <f t="shared" si="8"/>
        <v xml:space="preserve"> </v>
      </c>
      <c r="O74" s="49" t="str">
        <f t="shared" si="9"/>
        <v xml:space="preserve"> </v>
      </c>
      <c r="P74" s="50" t="str">
        <f t="shared" si="10"/>
        <v xml:space="preserve"> </v>
      </c>
      <c r="Q74" s="48" t="str">
        <f t="shared" si="11"/>
        <v/>
      </c>
      <c r="R74" s="48" t="str">
        <f t="shared" si="12"/>
        <v/>
      </c>
      <c r="S74" s="51"/>
    </row>
    <row r="75" spans="1:19" ht="18" customHeight="1">
      <c r="A75" s="40"/>
      <c r="B75" s="41" t="s">
        <v>135</v>
      </c>
      <c r="C75" s="42" t="s">
        <v>60</v>
      </c>
      <c r="D75" s="43">
        <v>8.0250000000000004</v>
      </c>
      <c r="E75" s="43">
        <v>0.02</v>
      </c>
      <c r="F75" s="43">
        <v>-0.02</v>
      </c>
      <c r="G75" s="44" t="s">
        <v>58</v>
      </c>
      <c r="H75" s="45"/>
      <c r="I75" s="46"/>
      <c r="J75" s="46"/>
      <c r="K75" s="47" t="str">
        <f t="shared" si="7"/>
        <v xml:space="preserve"> </v>
      </c>
      <c r="L75" s="47" t="str">
        <f t="shared" si="7"/>
        <v xml:space="preserve"> </v>
      </c>
      <c r="M75" s="47" t="str">
        <f t="shared" si="7"/>
        <v xml:space="preserve"> </v>
      </c>
      <c r="N75" s="48" t="str">
        <f t="shared" si="8"/>
        <v xml:space="preserve"> </v>
      </c>
      <c r="O75" s="49" t="str">
        <f t="shared" si="9"/>
        <v xml:space="preserve"> </v>
      </c>
      <c r="P75" s="50" t="str">
        <f t="shared" si="10"/>
        <v xml:space="preserve"> </v>
      </c>
      <c r="Q75" s="48" t="str">
        <f t="shared" si="11"/>
        <v/>
      </c>
      <c r="R75" s="48" t="str">
        <f t="shared" si="12"/>
        <v/>
      </c>
      <c r="S75" s="51"/>
    </row>
    <row r="76" spans="1:19" ht="18" customHeight="1">
      <c r="A76" s="40"/>
      <c r="B76" s="41" t="s">
        <v>136</v>
      </c>
      <c r="C76" s="42" t="s">
        <v>130</v>
      </c>
      <c r="D76" s="43"/>
      <c r="E76" s="43">
        <v>0.05</v>
      </c>
      <c r="F76" s="43"/>
      <c r="G76" s="44" t="s">
        <v>58</v>
      </c>
      <c r="H76" s="45"/>
      <c r="I76" s="46"/>
      <c r="J76" s="46"/>
      <c r="K76" s="47" t="str">
        <f t="shared" si="7"/>
        <v xml:space="preserve"> </v>
      </c>
      <c r="L76" s="47" t="str">
        <f t="shared" si="7"/>
        <v xml:space="preserve"> </v>
      </c>
      <c r="M76" s="47" t="str">
        <f t="shared" si="7"/>
        <v xml:space="preserve"> </v>
      </c>
      <c r="N76" s="48" t="str">
        <f t="shared" si="8"/>
        <v xml:space="preserve"> </v>
      </c>
      <c r="O76" s="49" t="str">
        <f t="shared" si="9"/>
        <v xml:space="preserve"> </v>
      </c>
      <c r="P76" s="50" t="str">
        <f t="shared" si="10"/>
        <v xml:space="preserve"> </v>
      </c>
      <c r="Q76" s="48" t="str">
        <f t="shared" si="11"/>
        <v/>
      </c>
      <c r="R76" s="48" t="str">
        <f t="shared" si="12"/>
        <v/>
      </c>
      <c r="S76" s="51"/>
    </row>
    <row r="77" spans="1:19" ht="18" customHeight="1">
      <c r="A77" s="40"/>
      <c r="B77" s="41" t="s">
        <v>137</v>
      </c>
      <c r="C77" s="42" t="s">
        <v>130</v>
      </c>
      <c r="D77" s="43"/>
      <c r="E77" s="43">
        <v>0.05</v>
      </c>
      <c r="F77" s="43"/>
      <c r="G77" s="44" t="s">
        <v>58</v>
      </c>
      <c r="H77" s="45"/>
      <c r="I77" s="46"/>
      <c r="J77" s="46"/>
      <c r="K77" s="47" t="str">
        <f t="shared" si="7"/>
        <v xml:space="preserve"> </v>
      </c>
      <c r="L77" s="47" t="str">
        <f t="shared" si="7"/>
        <v xml:space="preserve"> </v>
      </c>
      <c r="M77" s="47" t="str">
        <f t="shared" si="7"/>
        <v xml:space="preserve"> </v>
      </c>
      <c r="N77" s="48" t="str">
        <f t="shared" si="8"/>
        <v xml:space="preserve"> </v>
      </c>
      <c r="O77" s="49" t="str">
        <f t="shared" si="9"/>
        <v xml:space="preserve"> </v>
      </c>
      <c r="P77" s="50" t="str">
        <f t="shared" si="10"/>
        <v xml:space="preserve"> </v>
      </c>
      <c r="Q77" s="48" t="str">
        <f t="shared" si="11"/>
        <v/>
      </c>
      <c r="R77" s="48" t="str">
        <f t="shared" si="12"/>
        <v/>
      </c>
      <c r="S77" s="51"/>
    </row>
    <row r="78" spans="1:19" ht="18" customHeight="1">
      <c r="A78" s="40"/>
      <c r="B78" s="41" t="s">
        <v>138</v>
      </c>
      <c r="C78" s="42" t="s">
        <v>60</v>
      </c>
      <c r="D78" s="43">
        <v>2.7149999999999999</v>
      </c>
      <c r="E78" s="43">
        <v>0.02</v>
      </c>
      <c r="F78" s="43">
        <v>-0.02</v>
      </c>
      <c r="G78" s="44" t="s">
        <v>58</v>
      </c>
      <c r="H78" s="45"/>
      <c r="I78" s="46"/>
      <c r="J78" s="46"/>
      <c r="K78" s="47" t="str">
        <f t="shared" si="7"/>
        <v xml:space="preserve"> </v>
      </c>
      <c r="L78" s="47" t="str">
        <f t="shared" si="7"/>
        <v xml:space="preserve"> </v>
      </c>
      <c r="M78" s="47" t="str">
        <f t="shared" si="7"/>
        <v xml:space="preserve"> </v>
      </c>
      <c r="N78" s="48" t="str">
        <f t="shared" si="8"/>
        <v xml:space="preserve"> </v>
      </c>
      <c r="O78" s="49" t="str">
        <f t="shared" si="9"/>
        <v xml:space="preserve"> </v>
      </c>
      <c r="P78" s="50" t="str">
        <f t="shared" si="10"/>
        <v xml:space="preserve"> </v>
      </c>
      <c r="Q78" s="48" t="str">
        <f t="shared" si="11"/>
        <v/>
      </c>
      <c r="R78" s="48" t="str">
        <f t="shared" si="12"/>
        <v/>
      </c>
      <c r="S78" s="51"/>
    </row>
    <row r="79" spans="1:19" ht="18" customHeight="1">
      <c r="A79" s="40"/>
      <c r="B79" s="41" t="s">
        <v>139</v>
      </c>
      <c r="C79" s="42" t="s">
        <v>60</v>
      </c>
      <c r="D79" s="43">
        <v>3.0049999999999999</v>
      </c>
      <c r="E79" s="43">
        <v>0.02</v>
      </c>
      <c r="F79" s="43">
        <v>-0.02</v>
      </c>
      <c r="G79" s="44" t="s">
        <v>58</v>
      </c>
      <c r="H79" s="45"/>
      <c r="I79" s="46"/>
      <c r="J79" s="46"/>
      <c r="K79" s="47" t="str">
        <f t="shared" si="7"/>
        <v xml:space="preserve"> </v>
      </c>
      <c r="L79" s="47" t="str">
        <f t="shared" si="7"/>
        <v xml:space="preserve"> </v>
      </c>
      <c r="M79" s="47" t="str">
        <f t="shared" si="7"/>
        <v xml:space="preserve"> </v>
      </c>
      <c r="N79" s="48" t="str">
        <f t="shared" si="8"/>
        <v xml:space="preserve"> </v>
      </c>
      <c r="O79" s="49" t="str">
        <f t="shared" si="9"/>
        <v xml:space="preserve"> </v>
      </c>
      <c r="P79" s="50" t="str">
        <f t="shared" si="10"/>
        <v xml:space="preserve"> </v>
      </c>
      <c r="Q79" s="48" t="str">
        <f t="shared" si="11"/>
        <v/>
      </c>
      <c r="R79" s="48" t="str">
        <f t="shared" si="12"/>
        <v/>
      </c>
      <c r="S79" s="51"/>
    </row>
    <row r="80" spans="1:19" ht="18" customHeight="1">
      <c r="A80" s="40"/>
      <c r="B80" s="41" t="s">
        <v>140</v>
      </c>
      <c r="C80" s="42" t="s">
        <v>130</v>
      </c>
      <c r="D80" s="43"/>
      <c r="E80" s="43">
        <v>0.05</v>
      </c>
      <c r="F80" s="43"/>
      <c r="G80" s="44" t="s">
        <v>58</v>
      </c>
      <c r="H80" s="45"/>
      <c r="I80" s="46"/>
      <c r="J80" s="46"/>
      <c r="K80" s="47" t="str">
        <f t="shared" si="7"/>
        <v xml:space="preserve"> </v>
      </c>
      <c r="L80" s="47" t="str">
        <f t="shared" si="7"/>
        <v xml:space="preserve"> </v>
      </c>
      <c r="M80" s="47" t="str">
        <f t="shared" si="7"/>
        <v xml:space="preserve"> </v>
      </c>
      <c r="N80" s="48" t="str">
        <f t="shared" si="8"/>
        <v xml:space="preserve"> </v>
      </c>
      <c r="O80" s="49" t="str">
        <f t="shared" si="9"/>
        <v xml:space="preserve"> </v>
      </c>
      <c r="P80" s="50" t="str">
        <f t="shared" si="10"/>
        <v xml:space="preserve"> </v>
      </c>
      <c r="Q80" s="48" t="str">
        <f t="shared" si="11"/>
        <v/>
      </c>
      <c r="R80" s="48" t="str">
        <f t="shared" si="12"/>
        <v/>
      </c>
      <c r="S80" s="51"/>
    </row>
    <row r="81" spans="1:19" ht="18" customHeight="1">
      <c r="A81" s="40"/>
      <c r="B81" s="41" t="s">
        <v>141</v>
      </c>
      <c r="C81" s="42" t="s">
        <v>60</v>
      </c>
      <c r="D81" s="43">
        <v>14.13</v>
      </c>
      <c r="E81" s="43">
        <v>0.03</v>
      </c>
      <c r="F81" s="43">
        <v>-0.03</v>
      </c>
      <c r="G81" s="44" t="s">
        <v>61</v>
      </c>
      <c r="H81" s="45"/>
      <c r="I81" s="46"/>
      <c r="J81" s="46"/>
      <c r="K81" s="47" t="str">
        <f t="shared" si="7"/>
        <v xml:space="preserve"> </v>
      </c>
      <c r="L81" s="47" t="str">
        <f t="shared" si="7"/>
        <v xml:space="preserve"> </v>
      </c>
      <c r="M81" s="47" t="str">
        <f t="shared" si="7"/>
        <v xml:space="preserve"> </v>
      </c>
      <c r="N81" s="48" t="str">
        <f t="shared" si="8"/>
        <v xml:space="preserve"> </v>
      </c>
      <c r="O81" s="49" t="str">
        <f t="shared" si="9"/>
        <v xml:space="preserve"> </v>
      </c>
      <c r="P81" s="50" t="str">
        <f t="shared" si="10"/>
        <v xml:space="preserve"> </v>
      </c>
      <c r="Q81" s="48" t="str">
        <f t="shared" si="11"/>
        <v/>
      </c>
      <c r="R81" s="48" t="str">
        <f t="shared" si="12"/>
        <v/>
      </c>
      <c r="S81" s="51"/>
    </row>
    <row r="82" spans="1:19" ht="18" customHeight="1">
      <c r="A82" s="40"/>
      <c r="B82" s="41" t="s">
        <v>142</v>
      </c>
      <c r="C82" s="42" t="s">
        <v>60</v>
      </c>
      <c r="D82" s="43">
        <v>4.46</v>
      </c>
      <c r="E82" s="43">
        <v>0.04</v>
      </c>
      <c r="F82" s="43">
        <v>-0.04</v>
      </c>
      <c r="G82" s="44" t="s">
        <v>61</v>
      </c>
      <c r="H82" s="45"/>
      <c r="I82" s="46"/>
      <c r="J82" s="46"/>
      <c r="K82" s="47" t="str">
        <f t="shared" si="7"/>
        <v xml:space="preserve"> </v>
      </c>
      <c r="L82" s="47" t="str">
        <f t="shared" si="7"/>
        <v xml:space="preserve"> </v>
      </c>
      <c r="M82" s="47" t="str">
        <f t="shared" si="7"/>
        <v xml:space="preserve"> </v>
      </c>
      <c r="N82" s="48" t="str">
        <f t="shared" si="8"/>
        <v xml:space="preserve"> </v>
      </c>
      <c r="O82" s="49" t="str">
        <f t="shared" si="9"/>
        <v xml:space="preserve"> </v>
      </c>
      <c r="P82" s="50" t="str">
        <f t="shared" si="10"/>
        <v xml:space="preserve"> </v>
      </c>
      <c r="Q82" s="48" t="str">
        <f t="shared" si="11"/>
        <v/>
      </c>
      <c r="R82" s="48" t="str">
        <f t="shared" si="12"/>
        <v/>
      </c>
      <c r="S82" s="51"/>
    </row>
    <row r="83" spans="1:19" ht="18" customHeight="1">
      <c r="A83" s="40"/>
      <c r="B83" s="41" t="s">
        <v>143</v>
      </c>
      <c r="C83" s="42" t="s">
        <v>60</v>
      </c>
      <c r="D83" s="43">
        <v>18.285</v>
      </c>
      <c r="E83" s="43">
        <v>0.03</v>
      </c>
      <c r="F83" s="43">
        <v>-0.03</v>
      </c>
      <c r="G83" s="44" t="s">
        <v>61</v>
      </c>
      <c r="H83" s="45"/>
      <c r="I83" s="46"/>
      <c r="J83" s="46"/>
      <c r="K83" s="47" t="str">
        <f t="shared" si="7"/>
        <v xml:space="preserve"> </v>
      </c>
      <c r="L83" s="47" t="str">
        <f t="shared" si="7"/>
        <v xml:space="preserve"> </v>
      </c>
      <c r="M83" s="47" t="str">
        <f t="shared" si="7"/>
        <v xml:space="preserve"> </v>
      </c>
      <c r="N83" s="48" t="str">
        <f t="shared" si="8"/>
        <v xml:space="preserve"> </v>
      </c>
      <c r="O83" s="49" t="str">
        <f t="shared" si="9"/>
        <v xml:space="preserve"> </v>
      </c>
      <c r="P83" s="50" t="str">
        <f t="shared" si="10"/>
        <v xml:space="preserve"> </v>
      </c>
      <c r="Q83" s="48" t="str">
        <f t="shared" si="11"/>
        <v/>
      </c>
      <c r="R83" s="48" t="str">
        <f t="shared" si="12"/>
        <v/>
      </c>
      <c r="S83" s="51"/>
    </row>
    <row r="84" spans="1:19" ht="18" customHeight="1">
      <c r="A84" s="40"/>
      <c r="B84" s="41" t="s">
        <v>144</v>
      </c>
      <c r="C84" s="42" t="s">
        <v>60</v>
      </c>
      <c r="D84" s="43">
        <v>7.4749999999999996</v>
      </c>
      <c r="E84" s="43">
        <v>0.03</v>
      </c>
      <c r="F84" s="43">
        <v>-0.03</v>
      </c>
      <c r="G84" s="44" t="s">
        <v>58</v>
      </c>
      <c r="H84" s="45"/>
      <c r="I84" s="46"/>
      <c r="J84" s="46"/>
      <c r="K84" s="47" t="str">
        <f t="shared" si="7"/>
        <v xml:space="preserve"> </v>
      </c>
      <c r="L84" s="47" t="str">
        <f t="shared" si="7"/>
        <v xml:space="preserve"> </v>
      </c>
      <c r="M84" s="47" t="str">
        <f t="shared" si="7"/>
        <v xml:space="preserve"> </v>
      </c>
      <c r="N84" s="48" t="str">
        <f t="shared" si="8"/>
        <v xml:space="preserve"> </v>
      </c>
      <c r="O84" s="49" t="str">
        <f t="shared" si="9"/>
        <v xml:space="preserve"> </v>
      </c>
      <c r="P84" s="50" t="str">
        <f t="shared" si="10"/>
        <v xml:space="preserve"> </v>
      </c>
      <c r="Q84" s="48" t="str">
        <f t="shared" si="11"/>
        <v/>
      </c>
      <c r="R84" s="48" t="str">
        <f t="shared" si="12"/>
        <v/>
      </c>
      <c r="S84" s="51"/>
    </row>
    <row r="85" spans="1:19" ht="18" customHeight="1">
      <c r="A85" s="40"/>
      <c r="B85" s="41" t="s">
        <v>145</v>
      </c>
      <c r="C85" s="42" t="s">
        <v>60</v>
      </c>
      <c r="D85" s="43">
        <v>2.1629999999999998</v>
      </c>
      <c r="E85" s="43">
        <v>0.03</v>
      </c>
      <c r="F85" s="43">
        <v>-0.03</v>
      </c>
      <c r="G85" s="44" t="s">
        <v>58</v>
      </c>
      <c r="H85" s="45"/>
      <c r="I85" s="46"/>
      <c r="J85" s="46"/>
      <c r="K85" s="47" t="str">
        <f t="shared" si="7"/>
        <v xml:space="preserve"> </v>
      </c>
      <c r="L85" s="47" t="str">
        <f t="shared" si="7"/>
        <v xml:space="preserve"> </v>
      </c>
      <c r="M85" s="47" t="str">
        <f t="shared" si="7"/>
        <v xml:space="preserve"> </v>
      </c>
      <c r="N85" s="48" t="str">
        <f t="shared" si="8"/>
        <v xml:space="preserve"> </v>
      </c>
      <c r="O85" s="49" t="str">
        <f t="shared" si="9"/>
        <v xml:space="preserve"> </v>
      </c>
      <c r="P85" s="50" t="str">
        <f t="shared" si="10"/>
        <v xml:space="preserve"> </v>
      </c>
      <c r="Q85" s="48" t="str">
        <f t="shared" si="11"/>
        <v/>
      </c>
      <c r="R85" s="48" t="str">
        <f t="shared" si="12"/>
        <v/>
      </c>
      <c r="S85" s="51"/>
    </row>
    <row r="86" spans="1:19" ht="18" customHeight="1">
      <c r="A86" s="40"/>
      <c r="B86" s="41" t="s">
        <v>146</v>
      </c>
      <c r="C86" s="42" t="s">
        <v>60</v>
      </c>
      <c r="D86" s="43">
        <v>3.4660000000000002</v>
      </c>
      <c r="E86" s="43">
        <v>0.03</v>
      </c>
      <c r="F86" s="43">
        <v>-0.03</v>
      </c>
      <c r="G86" s="44" t="s">
        <v>58</v>
      </c>
      <c r="H86" s="45"/>
      <c r="I86" s="46"/>
      <c r="J86" s="46"/>
      <c r="K86" s="47" t="str">
        <f t="shared" si="7"/>
        <v xml:space="preserve"> </v>
      </c>
      <c r="L86" s="47" t="str">
        <f t="shared" si="7"/>
        <v xml:space="preserve"> </v>
      </c>
      <c r="M86" s="47" t="str">
        <f t="shared" si="7"/>
        <v xml:space="preserve"> </v>
      </c>
      <c r="N86" s="48" t="str">
        <f t="shared" si="8"/>
        <v xml:space="preserve"> </v>
      </c>
      <c r="O86" s="49" t="str">
        <f t="shared" si="9"/>
        <v xml:space="preserve"> </v>
      </c>
      <c r="P86" s="50" t="str">
        <f t="shared" si="10"/>
        <v xml:space="preserve"> </v>
      </c>
      <c r="Q86" s="48" t="str">
        <f t="shared" si="11"/>
        <v/>
      </c>
      <c r="R86" s="48" t="str">
        <f t="shared" si="12"/>
        <v/>
      </c>
      <c r="S86" s="51"/>
    </row>
    <row r="87" spans="1:19" ht="18" customHeight="1">
      <c r="A87" s="40"/>
      <c r="B87" s="41" t="s">
        <v>147</v>
      </c>
      <c r="C87" s="42" t="s">
        <v>60</v>
      </c>
      <c r="D87" s="43">
        <v>15.128</v>
      </c>
      <c r="E87" s="43">
        <v>0.03</v>
      </c>
      <c r="F87" s="43">
        <v>-0.03</v>
      </c>
      <c r="G87" s="44" t="s">
        <v>58</v>
      </c>
      <c r="H87" s="45"/>
      <c r="I87" s="46"/>
      <c r="J87" s="46"/>
      <c r="K87" s="47" t="str">
        <f t="shared" si="7"/>
        <v xml:space="preserve"> </v>
      </c>
      <c r="L87" s="47" t="str">
        <f t="shared" si="7"/>
        <v xml:space="preserve"> </v>
      </c>
      <c r="M87" s="47" t="str">
        <f t="shared" si="7"/>
        <v xml:space="preserve"> </v>
      </c>
      <c r="N87" s="48" t="str">
        <f t="shared" si="8"/>
        <v xml:space="preserve"> </v>
      </c>
      <c r="O87" s="49" t="str">
        <f t="shared" si="9"/>
        <v xml:space="preserve"> </v>
      </c>
      <c r="P87" s="50" t="str">
        <f t="shared" si="10"/>
        <v xml:space="preserve"> </v>
      </c>
      <c r="Q87" s="48" t="str">
        <f t="shared" si="11"/>
        <v/>
      </c>
      <c r="R87" s="48" t="str">
        <f t="shared" si="12"/>
        <v/>
      </c>
      <c r="S87" s="51"/>
    </row>
    <row r="88" spans="1:19" ht="18" customHeight="1">
      <c r="A88" s="40"/>
      <c r="B88" s="41" t="s">
        <v>148</v>
      </c>
      <c r="C88" s="42" t="s">
        <v>60</v>
      </c>
      <c r="D88" s="43">
        <v>22.35</v>
      </c>
      <c r="E88" s="43">
        <v>0.03</v>
      </c>
      <c r="F88" s="43">
        <v>-0.05</v>
      </c>
      <c r="G88" s="44" t="s">
        <v>58</v>
      </c>
      <c r="H88" s="45"/>
      <c r="I88" s="46"/>
      <c r="J88" s="46"/>
      <c r="K88" s="47" t="str">
        <f t="shared" si="7"/>
        <v xml:space="preserve"> </v>
      </c>
      <c r="L88" s="47" t="str">
        <f t="shared" si="7"/>
        <v xml:space="preserve"> </v>
      </c>
      <c r="M88" s="47" t="str">
        <f t="shared" si="7"/>
        <v xml:space="preserve"> </v>
      </c>
      <c r="N88" s="48" t="str">
        <f t="shared" si="8"/>
        <v xml:space="preserve"> </v>
      </c>
      <c r="O88" s="49" t="str">
        <f t="shared" si="9"/>
        <v xml:space="preserve"> </v>
      </c>
      <c r="P88" s="50" t="str">
        <f t="shared" si="10"/>
        <v xml:space="preserve"> </v>
      </c>
      <c r="Q88" s="48" t="str">
        <f t="shared" si="11"/>
        <v/>
      </c>
      <c r="R88" s="48" t="str">
        <f t="shared" si="12"/>
        <v/>
      </c>
      <c r="S88" s="51"/>
    </row>
    <row r="89" spans="1:19" ht="18" customHeight="1">
      <c r="A89" s="40"/>
      <c r="B89" s="41" t="s">
        <v>149</v>
      </c>
      <c r="C89" s="42" t="s">
        <v>60</v>
      </c>
      <c r="D89" s="43">
        <v>4.3250000000000002</v>
      </c>
      <c r="E89" s="43">
        <v>0.03</v>
      </c>
      <c r="F89" s="43">
        <v>-0.03</v>
      </c>
      <c r="G89" s="44" t="s">
        <v>61</v>
      </c>
      <c r="H89" s="45"/>
      <c r="I89" s="46"/>
      <c r="J89" s="46"/>
      <c r="K89" s="47" t="str">
        <f t="shared" si="7"/>
        <v xml:space="preserve"> </v>
      </c>
      <c r="L89" s="47" t="str">
        <f t="shared" si="7"/>
        <v xml:space="preserve"> </v>
      </c>
      <c r="M89" s="47" t="str">
        <f t="shared" si="7"/>
        <v xml:space="preserve"> </v>
      </c>
      <c r="N89" s="48" t="str">
        <f t="shared" si="8"/>
        <v xml:space="preserve"> </v>
      </c>
      <c r="O89" s="49" t="str">
        <f t="shared" si="9"/>
        <v xml:space="preserve"> </v>
      </c>
      <c r="P89" s="50" t="str">
        <f t="shared" si="10"/>
        <v xml:space="preserve"> </v>
      </c>
      <c r="Q89" s="48" t="str">
        <f t="shared" si="11"/>
        <v/>
      </c>
      <c r="R89" s="48" t="str">
        <f t="shared" si="12"/>
        <v/>
      </c>
      <c r="S89" s="51"/>
    </row>
    <row r="90" spans="1:19" ht="18" customHeight="1">
      <c r="A90" s="40"/>
      <c r="B90" s="41" t="s">
        <v>150</v>
      </c>
      <c r="C90" s="42" t="s">
        <v>60</v>
      </c>
      <c r="D90" s="43">
        <v>4.3250000000000002</v>
      </c>
      <c r="E90" s="43">
        <v>0.03</v>
      </c>
      <c r="F90" s="43">
        <v>-0.03</v>
      </c>
      <c r="G90" s="44" t="s">
        <v>61</v>
      </c>
      <c r="H90" s="45"/>
      <c r="I90" s="46"/>
      <c r="J90" s="46"/>
      <c r="K90" s="47" t="str">
        <f t="shared" si="7"/>
        <v xml:space="preserve"> </v>
      </c>
      <c r="L90" s="47" t="str">
        <f t="shared" si="7"/>
        <v xml:space="preserve"> </v>
      </c>
      <c r="M90" s="47" t="str">
        <f t="shared" si="7"/>
        <v xml:space="preserve"> </v>
      </c>
      <c r="N90" s="48" t="str">
        <f t="shared" si="8"/>
        <v xml:space="preserve"> </v>
      </c>
      <c r="O90" s="49" t="str">
        <f t="shared" si="9"/>
        <v xml:space="preserve"> </v>
      </c>
      <c r="P90" s="50" t="str">
        <f t="shared" si="10"/>
        <v xml:space="preserve"> </v>
      </c>
      <c r="Q90" s="48" t="str">
        <f t="shared" si="11"/>
        <v/>
      </c>
      <c r="R90" s="48" t="str">
        <f t="shared" si="12"/>
        <v/>
      </c>
      <c r="S90" s="51"/>
    </row>
    <row r="91" spans="1:19" ht="18" customHeight="1">
      <c r="A91" s="40"/>
      <c r="B91" s="41" t="s">
        <v>151</v>
      </c>
      <c r="C91" s="42" t="s">
        <v>60</v>
      </c>
      <c r="D91" s="43">
        <v>4.3250000000000002</v>
      </c>
      <c r="E91" s="43">
        <v>0.03</v>
      </c>
      <c r="F91" s="43">
        <v>-0.03</v>
      </c>
      <c r="G91" s="44" t="s">
        <v>61</v>
      </c>
      <c r="H91" s="45"/>
      <c r="I91" s="46"/>
      <c r="J91" s="46"/>
      <c r="K91" s="47" t="str">
        <f t="shared" si="7"/>
        <v xml:space="preserve"> </v>
      </c>
      <c r="L91" s="47" t="str">
        <f t="shared" si="7"/>
        <v xml:space="preserve"> </v>
      </c>
      <c r="M91" s="47" t="str">
        <f t="shared" si="7"/>
        <v xml:space="preserve"> </v>
      </c>
      <c r="N91" s="48" t="str">
        <f t="shared" si="8"/>
        <v xml:space="preserve"> </v>
      </c>
      <c r="O91" s="49" t="str">
        <f t="shared" si="9"/>
        <v xml:space="preserve"> </v>
      </c>
      <c r="P91" s="50" t="str">
        <f t="shared" si="10"/>
        <v xml:space="preserve"> </v>
      </c>
      <c r="Q91" s="48" t="str">
        <f t="shared" si="11"/>
        <v/>
      </c>
      <c r="R91" s="48" t="str">
        <f t="shared" si="12"/>
        <v/>
      </c>
      <c r="S91" s="51"/>
    </row>
    <row r="92" spans="1:19" ht="18" customHeight="1">
      <c r="A92" s="40"/>
      <c r="B92" s="41" t="s">
        <v>152</v>
      </c>
      <c r="C92" s="42" t="s">
        <v>60</v>
      </c>
      <c r="D92" s="43">
        <v>4.3250000000000002</v>
      </c>
      <c r="E92" s="43">
        <v>0.03</v>
      </c>
      <c r="F92" s="43">
        <v>-0.03</v>
      </c>
      <c r="G92" s="44" t="s">
        <v>61</v>
      </c>
      <c r="H92" s="45"/>
      <c r="I92" s="46"/>
      <c r="J92" s="46"/>
      <c r="K92" s="47" t="str">
        <f t="shared" si="7"/>
        <v xml:space="preserve"> </v>
      </c>
      <c r="L92" s="47" t="str">
        <f t="shared" si="7"/>
        <v xml:space="preserve"> </v>
      </c>
      <c r="M92" s="47" t="str">
        <f t="shared" si="7"/>
        <v xml:space="preserve"> </v>
      </c>
      <c r="N92" s="48" t="str">
        <f t="shared" si="8"/>
        <v xml:space="preserve"> </v>
      </c>
      <c r="O92" s="49" t="str">
        <f t="shared" si="9"/>
        <v xml:space="preserve"> </v>
      </c>
      <c r="P92" s="50" t="str">
        <f t="shared" si="10"/>
        <v xml:space="preserve"> </v>
      </c>
      <c r="Q92" s="48" t="str">
        <f t="shared" si="11"/>
        <v/>
      </c>
      <c r="R92" s="48" t="str">
        <f t="shared" si="12"/>
        <v/>
      </c>
      <c r="S92" s="51"/>
    </row>
    <row r="93" spans="1:19" ht="17.25" customHeight="1">
      <c r="A93" s="40"/>
      <c r="B93" s="41" t="s">
        <v>153</v>
      </c>
      <c r="C93" s="42" t="s">
        <v>60</v>
      </c>
      <c r="D93" s="43">
        <v>4.3250000000000002</v>
      </c>
      <c r="E93" s="43">
        <v>0.03</v>
      </c>
      <c r="F93" s="43">
        <v>-0.03</v>
      </c>
      <c r="G93" s="44" t="s">
        <v>61</v>
      </c>
      <c r="H93" s="45"/>
      <c r="I93" s="46"/>
      <c r="J93" s="46"/>
      <c r="K93" s="47" t="str">
        <f t="shared" si="7"/>
        <v xml:space="preserve"> </v>
      </c>
      <c r="L93" s="47" t="str">
        <f t="shared" si="7"/>
        <v xml:space="preserve"> </v>
      </c>
      <c r="M93" s="47" t="str">
        <f t="shared" si="7"/>
        <v xml:space="preserve"> </v>
      </c>
      <c r="N93" s="48" t="str">
        <f t="shared" si="8"/>
        <v xml:space="preserve"> </v>
      </c>
      <c r="O93" s="49" t="str">
        <f t="shared" si="9"/>
        <v xml:space="preserve"> </v>
      </c>
      <c r="P93" s="50" t="str">
        <f t="shared" si="10"/>
        <v xml:space="preserve"> </v>
      </c>
      <c r="Q93" s="48" t="str">
        <f t="shared" si="11"/>
        <v/>
      </c>
      <c r="R93" s="48" t="str">
        <f t="shared" si="12"/>
        <v/>
      </c>
      <c r="S93" s="51"/>
    </row>
    <row r="94" spans="1:19" ht="18" customHeight="1">
      <c r="A94" s="40"/>
      <c r="B94" s="41" t="s">
        <v>154</v>
      </c>
      <c r="C94" s="42" t="s">
        <v>60</v>
      </c>
      <c r="D94" s="43">
        <v>4.3250000000000002</v>
      </c>
      <c r="E94" s="43">
        <v>0.03</v>
      </c>
      <c r="F94" s="43">
        <v>-0.03</v>
      </c>
      <c r="G94" s="44" t="s">
        <v>61</v>
      </c>
      <c r="H94" s="45"/>
      <c r="I94" s="46"/>
      <c r="J94" s="46"/>
      <c r="K94" s="47" t="str">
        <f t="shared" si="7"/>
        <v xml:space="preserve"> </v>
      </c>
      <c r="L94" s="47" t="str">
        <f t="shared" si="7"/>
        <v xml:space="preserve"> </v>
      </c>
      <c r="M94" s="47" t="str">
        <f t="shared" si="7"/>
        <v xml:space="preserve"> </v>
      </c>
      <c r="N94" s="48" t="str">
        <f t="shared" si="8"/>
        <v xml:space="preserve"> </v>
      </c>
      <c r="O94" s="49" t="str">
        <f t="shared" si="9"/>
        <v xml:space="preserve"> </v>
      </c>
      <c r="P94" s="50" t="str">
        <f t="shared" si="10"/>
        <v xml:space="preserve"> </v>
      </c>
      <c r="Q94" s="48" t="str">
        <f t="shared" si="11"/>
        <v/>
      </c>
      <c r="R94" s="48" t="str">
        <f t="shared" si="12"/>
        <v/>
      </c>
      <c r="S94" s="51"/>
    </row>
    <row r="95" spans="1:19" ht="18" customHeight="1">
      <c r="A95" s="40"/>
      <c r="B95" s="41" t="s">
        <v>350</v>
      </c>
      <c r="C95" s="42" t="s">
        <v>351</v>
      </c>
      <c r="D95" s="43"/>
      <c r="E95" s="43">
        <v>0.5</v>
      </c>
      <c r="F95" s="43">
        <v>0</v>
      </c>
      <c r="G95" s="53" t="s">
        <v>352</v>
      </c>
      <c r="H95" s="45"/>
      <c r="I95" s="46"/>
      <c r="J95" s="46"/>
      <c r="K95" s="47" t="str">
        <f t="shared" si="7"/>
        <v xml:space="preserve"> </v>
      </c>
      <c r="L95" s="47" t="str">
        <f t="shared" si="7"/>
        <v xml:space="preserve"> </v>
      </c>
      <c r="M95" s="47" t="str">
        <f t="shared" si="7"/>
        <v xml:space="preserve"> </v>
      </c>
      <c r="N95" s="48" t="str">
        <f t="shared" si="8"/>
        <v xml:space="preserve"> </v>
      </c>
      <c r="O95" s="49" t="str">
        <f t="shared" si="9"/>
        <v xml:space="preserve"> </v>
      </c>
      <c r="P95" s="50" t="str">
        <f t="shared" si="10"/>
        <v xml:space="preserve"> </v>
      </c>
      <c r="Q95" s="48" t="str">
        <f t="shared" si="11"/>
        <v/>
      </c>
      <c r="R95" s="48" t="str">
        <f t="shared" si="12"/>
        <v/>
      </c>
      <c r="S95" s="51"/>
    </row>
    <row r="96" spans="1:19" ht="18" customHeight="1">
      <c r="A96" s="40"/>
      <c r="B96" s="41" t="s">
        <v>353</v>
      </c>
      <c r="C96" s="42" t="s">
        <v>351</v>
      </c>
      <c r="D96" s="43"/>
      <c r="E96" s="43">
        <v>0.5</v>
      </c>
      <c r="F96" s="43">
        <v>0</v>
      </c>
      <c r="G96" s="53" t="s">
        <v>352</v>
      </c>
      <c r="H96" s="45"/>
      <c r="I96" s="46"/>
      <c r="J96" s="46"/>
      <c r="K96" s="47" t="str">
        <f t="shared" si="7"/>
        <v xml:space="preserve"> </v>
      </c>
      <c r="L96" s="47" t="str">
        <f t="shared" si="7"/>
        <v xml:space="preserve"> </v>
      </c>
      <c r="M96" s="47" t="str">
        <f t="shared" si="7"/>
        <v xml:space="preserve"> </v>
      </c>
      <c r="N96" s="48" t="str">
        <f t="shared" si="8"/>
        <v xml:space="preserve"> </v>
      </c>
      <c r="O96" s="49" t="str">
        <f t="shared" si="9"/>
        <v xml:space="preserve"> </v>
      </c>
      <c r="P96" s="50" t="str">
        <f t="shared" si="10"/>
        <v xml:space="preserve"> </v>
      </c>
      <c r="Q96" s="48" t="str">
        <f t="shared" si="11"/>
        <v/>
      </c>
      <c r="R96" s="48" t="str">
        <f t="shared" si="12"/>
        <v/>
      </c>
      <c r="S96" s="51"/>
    </row>
    <row r="97" spans="1:19" ht="18" customHeight="1">
      <c r="A97" s="40"/>
      <c r="B97" s="41" t="s">
        <v>354</v>
      </c>
      <c r="C97" s="42" t="s">
        <v>351</v>
      </c>
      <c r="D97" s="43"/>
      <c r="E97" s="43">
        <v>0.5</v>
      </c>
      <c r="F97" s="43">
        <v>0</v>
      </c>
      <c r="G97" s="53" t="s">
        <v>352</v>
      </c>
      <c r="H97" s="45"/>
      <c r="I97" s="46"/>
      <c r="J97" s="46"/>
      <c r="K97" s="47" t="str">
        <f t="shared" si="7"/>
        <v xml:space="preserve"> </v>
      </c>
      <c r="L97" s="47" t="str">
        <f t="shared" si="7"/>
        <v xml:space="preserve"> </v>
      </c>
      <c r="M97" s="47" t="str">
        <f t="shared" si="7"/>
        <v xml:space="preserve"> </v>
      </c>
      <c r="N97" s="48" t="str">
        <f t="shared" si="8"/>
        <v xml:space="preserve"> </v>
      </c>
      <c r="O97" s="49" t="str">
        <f t="shared" si="9"/>
        <v xml:space="preserve"> </v>
      </c>
      <c r="P97" s="50" t="str">
        <f t="shared" si="10"/>
        <v xml:space="preserve"> </v>
      </c>
      <c r="Q97" s="48" t="str">
        <f t="shared" si="11"/>
        <v/>
      </c>
      <c r="R97" s="48" t="str">
        <f t="shared" si="12"/>
        <v/>
      </c>
      <c r="S97" s="51"/>
    </row>
    <row r="98" spans="1:19" ht="18" customHeight="1">
      <c r="A98" s="40"/>
      <c r="B98" s="41" t="s">
        <v>355</v>
      </c>
      <c r="C98" s="42" t="s">
        <v>351</v>
      </c>
      <c r="D98" s="43"/>
      <c r="E98" s="43">
        <v>0.5</v>
      </c>
      <c r="F98" s="43">
        <v>0</v>
      </c>
      <c r="G98" s="53" t="s">
        <v>352</v>
      </c>
      <c r="H98" s="45"/>
      <c r="I98" s="46"/>
      <c r="J98" s="46"/>
      <c r="K98" s="47" t="str">
        <f t="shared" si="7"/>
        <v xml:space="preserve"> </v>
      </c>
      <c r="L98" s="47" t="str">
        <f t="shared" si="7"/>
        <v xml:space="preserve"> </v>
      </c>
      <c r="M98" s="47" t="str">
        <f t="shared" si="7"/>
        <v xml:space="preserve"> </v>
      </c>
      <c r="N98" s="48" t="str">
        <f t="shared" si="8"/>
        <v xml:space="preserve"> </v>
      </c>
      <c r="O98" s="49" t="str">
        <f t="shared" si="9"/>
        <v xml:space="preserve"> </v>
      </c>
      <c r="P98" s="50" t="str">
        <f t="shared" si="10"/>
        <v xml:space="preserve"> </v>
      </c>
      <c r="Q98" s="48" t="str">
        <f t="shared" si="11"/>
        <v/>
      </c>
      <c r="R98" s="48" t="str">
        <f t="shared" si="12"/>
        <v/>
      </c>
      <c r="S98" s="51"/>
    </row>
    <row r="99" spans="1:19" ht="18" customHeight="1">
      <c r="A99" s="40"/>
      <c r="B99" s="41" t="s">
        <v>356</v>
      </c>
      <c r="C99" s="42" t="s">
        <v>351</v>
      </c>
      <c r="D99" s="43"/>
      <c r="E99" s="43">
        <v>0.5</v>
      </c>
      <c r="F99" s="43">
        <v>0</v>
      </c>
      <c r="G99" s="53" t="s">
        <v>352</v>
      </c>
      <c r="H99" s="45"/>
      <c r="I99" s="46"/>
      <c r="J99" s="46"/>
      <c r="K99" s="47" t="str">
        <f t="shared" si="7"/>
        <v xml:space="preserve"> </v>
      </c>
      <c r="L99" s="47" t="str">
        <f t="shared" si="7"/>
        <v xml:space="preserve"> </v>
      </c>
      <c r="M99" s="47" t="str">
        <f t="shared" si="7"/>
        <v xml:space="preserve"> </v>
      </c>
      <c r="N99" s="48" t="str">
        <f t="shared" si="8"/>
        <v xml:space="preserve"> </v>
      </c>
      <c r="O99" s="49" t="str">
        <f t="shared" si="9"/>
        <v xml:space="preserve"> </v>
      </c>
      <c r="P99" s="50" t="str">
        <f t="shared" si="10"/>
        <v xml:space="preserve"> </v>
      </c>
      <c r="Q99" s="48" t="str">
        <f t="shared" si="11"/>
        <v/>
      </c>
      <c r="R99" s="48" t="str">
        <f t="shared" si="12"/>
        <v/>
      </c>
      <c r="S99" s="51"/>
    </row>
    <row r="100" spans="1:19" ht="18" customHeight="1">
      <c r="A100" s="40"/>
      <c r="B100" s="41" t="s">
        <v>357</v>
      </c>
      <c r="C100" s="42" t="s">
        <v>351</v>
      </c>
      <c r="D100" s="43"/>
      <c r="E100" s="43">
        <v>0.5</v>
      </c>
      <c r="F100" s="43">
        <v>0</v>
      </c>
      <c r="G100" s="53" t="s">
        <v>352</v>
      </c>
      <c r="H100" s="45"/>
      <c r="I100" s="46"/>
      <c r="J100" s="46"/>
      <c r="K100" s="47" t="str">
        <f t="shared" si="7"/>
        <v xml:space="preserve"> </v>
      </c>
      <c r="L100" s="47" t="str">
        <f t="shared" si="7"/>
        <v xml:space="preserve"> </v>
      </c>
      <c r="M100" s="47" t="str">
        <f t="shared" si="7"/>
        <v xml:space="preserve"> </v>
      </c>
      <c r="N100" s="48" t="str">
        <f t="shared" si="8"/>
        <v xml:space="preserve"> </v>
      </c>
      <c r="O100" s="49" t="str">
        <f t="shared" si="9"/>
        <v xml:space="preserve"> </v>
      </c>
      <c r="P100" s="50" t="str">
        <f t="shared" si="10"/>
        <v xml:space="preserve"> </v>
      </c>
      <c r="Q100" s="48" t="str">
        <f t="shared" si="11"/>
        <v/>
      </c>
      <c r="R100" s="48" t="str">
        <f t="shared" si="12"/>
        <v/>
      </c>
      <c r="S100" s="51"/>
    </row>
    <row r="101" spans="1:19" ht="18" customHeight="1">
      <c r="A101" s="40"/>
      <c r="B101" s="41" t="s">
        <v>358</v>
      </c>
      <c r="C101" s="42" t="s">
        <v>351</v>
      </c>
      <c r="D101" s="43"/>
      <c r="E101" s="43">
        <v>0.5</v>
      </c>
      <c r="F101" s="43">
        <v>0</v>
      </c>
      <c r="G101" s="53" t="s">
        <v>352</v>
      </c>
      <c r="H101" s="45"/>
      <c r="I101" s="46"/>
      <c r="J101" s="46"/>
      <c r="K101" s="47" t="str">
        <f t="shared" si="7"/>
        <v xml:space="preserve"> </v>
      </c>
      <c r="L101" s="47" t="str">
        <f t="shared" si="7"/>
        <v xml:space="preserve"> </v>
      </c>
      <c r="M101" s="47" t="str">
        <f t="shared" si="7"/>
        <v xml:space="preserve"> </v>
      </c>
      <c r="N101" s="48" t="str">
        <f t="shared" si="8"/>
        <v xml:space="preserve"> </v>
      </c>
      <c r="O101" s="49" t="str">
        <f t="shared" si="9"/>
        <v xml:space="preserve"> </v>
      </c>
      <c r="P101" s="50" t="str">
        <f t="shared" si="10"/>
        <v xml:space="preserve"> </v>
      </c>
      <c r="Q101" s="48" t="str">
        <f t="shared" si="11"/>
        <v/>
      </c>
      <c r="R101" s="48" t="str">
        <f t="shared" si="12"/>
        <v/>
      </c>
      <c r="S101" s="51"/>
    </row>
    <row r="102" spans="1:19" ht="18" customHeight="1">
      <c r="A102" s="40"/>
      <c r="B102" s="41" t="s">
        <v>359</v>
      </c>
      <c r="C102" s="42" t="s">
        <v>351</v>
      </c>
      <c r="D102" s="43"/>
      <c r="E102" s="43">
        <v>0.5</v>
      </c>
      <c r="F102" s="43">
        <v>0</v>
      </c>
      <c r="G102" s="53" t="s">
        <v>352</v>
      </c>
      <c r="H102" s="45"/>
      <c r="I102" s="46"/>
      <c r="J102" s="46"/>
      <c r="K102" s="47" t="str">
        <f t="shared" si="7"/>
        <v xml:space="preserve"> </v>
      </c>
      <c r="L102" s="47" t="str">
        <f t="shared" si="7"/>
        <v xml:space="preserve"> </v>
      </c>
      <c r="M102" s="47" t="str">
        <f t="shared" si="7"/>
        <v xml:space="preserve"> </v>
      </c>
      <c r="N102" s="48" t="str">
        <f t="shared" si="8"/>
        <v xml:space="preserve"> </v>
      </c>
      <c r="O102" s="49" t="str">
        <f t="shared" si="9"/>
        <v xml:space="preserve"> </v>
      </c>
      <c r="P102" s="50" t="str">
        <f t="shared" si="10"/>
        <v xml:space="preserve"> </v>
      </c>
      <c r="Q102" s="48" t="str">
        <f t="shared" si="11"/>
        <v/>
      </c>
      <c r="R102" s="48" t="str">
        <f t="shared" si="12"/>
        <v/>
      </c>
      <c r="S102" s="51"/>
    </row>
    <row r="103" spans="1:19" ht="18" customHeight="1">
      <c r="A103" s="40"/>
      <c r="B103" s="41" t="s">
        <v>360</v>
      </c>
      <c r="C103" s="42" t="s">
        <v>351</v>
      </c>
      <c r="D103" s="43"/>
      <c r="E103" s="43">
        <v>0.5</v>
      </c>
      <c r="F103" s="43">
        <v>0</v>
      </c>
      <c r="G103" s="53" t="s">
        <v>352</v>
      </c>
      <c r="H103" s="45"/>
      <c r="I103" s="46"/>
      <c r="J103" s="46"/>
      <c r="K103" s="47" t="str">
        <f t="shared" si="7"/>
        <v xml:space="preserve"> </v>
      </c>
      <c r="L103" s="47" t="str">
        <f t="shared" si="7"/>
        <v xml:space="preserve"> </v>
      </c>
      <c r="M103" s="47" t="str">
        <f t="shared" si="7"/>
        <v xml:space="preserve"> </v>
      </c>
      <c r="N103" s="48" t="str">
        <f t="shared" si="8"/>
        <v xml:space="preserve"> </v>
      </c>
      <c r="O103" s="49" t="str">
        <f t="shared" si="9"/>
        <v xml:space="preserve"> </v>
      </c>
      <c r="P103" s="50" t="str">
        <f t="shared" si="10"/>
        <v xml:space="preserve"> </v>
      </c>
      <c r="Q103" s="48" t="str">
        <f t="shared" si="11"/>
        <v/>
      </c>
      <c r="R103" s="48" t="str">
        <f t="shared" si="12"/>
        <v/>
      </c>
      <c r="S103" s="51"/>
    </row>
    <row r="104" spans="1:19" ht="18" customHeight="1">
      <c r="A104" s="40"/>
      <c r="B104" s="41" t="s">
        <v>155</v>
      </c>
      <c r="C104" s="42" t="s">
        <v>60</v>
      </c>
      <c r="D104" s="43">
        <v>0.22500000000000001</v>
      </c>
      <c r="E104" s="43">
        <v>0.03</v>
      </c>
      <c r="F104" s="43">
        <v>-0.03</v>
      </c>
      <c r="G104" s="44" t="s">
        <v>61</v>
      </c>
      <c r="H104" s="45"/>
      <c r="I104" s="46"/>
      <c r="J104" s="46"/>
      <c r="K104" s="47" t="str">
        <f t="shared" si="7"/>
        <v xml:space="preserve"> </v>
      </c>
      <c r="L104" s="47" t="str">
        <f t="shared" si="7"/>
        <v xml:space="preserve"> </v>
      </c>
      <c r="M104" s="47" t="str">
        <f t="shared" si="7"/>
        <v xml:space="preserve"> </v>
      </c>
      <c r="N104" s="48" t="str">
        <f t="shared" si="8"/>
        <v xml:space="preserve"> </v>
      </c>
      <c r="O104" s="49" t="str">
        <f t="shared" si="9"/>
        <v xml:space="preserve"> </v>
      </c>
      <c r="P104" s="50" t="str">
        <f t="shared" si="10"/>
        <v xml:space="preserve"> </v>
      </c>
      <c r="Q104" s="48" t="str">
        <f t="shared" si="11"/>
        <v/>
      </c>
      <c r="R104" s="48" t="str">
        <f t="shared" si="12"/>
        <v/>
      </c>
      <c r="S104" s="51"/>
    </row>
    <row r="105" spans="1:19" ht="18" customHeight="1">
      <c r="A105" s="40"/>
      <c r="B105" s="41" t="s">
        <v>156</v>
      </c>
      <c r="C105" s="42" t="s">
        <v>60</v>
      </c>
      <c r="D105" s="43"/>
      <c r="E105" s="43">
        <v>0.05</v>
      </c>
      <c r="F105" s="43"/>
      <c r="G105" s="44" t="s">
        <v>58</v>
      </c>
      <c r="H105" s="45"/>
      <c r="I105" s="46"/>
      <c r="J105" s="46"/>
      <c r="K105" s="47" t="str">
        <f t="shared" si="7"/>
        <v xml:space="preserve"> </v>
      </c>
      <c r="L105" s="47" t="str">
        <f t="shared" si="7"/>
        <v xml:space="preserve"> </v>
      </c>
      <c r="M105" s="47" t="str">
        <f t="shared" si="7"/>
        <v xml:space="preserve"> </v>
      </c>
      <c r="N105" s="48" t="str">
        <f t="shared" si="8"/>
        <v xml:space="preserve"> </v>
      </c>
      <c r="O105" s="49" t="str">
        <f t="shared" si="9"/>
        <v xml:space="preserve"> </v>
      </c>
      <c r="P105" s="50" t="str">
        <f t="shared" si="10"/>
        <v xml:space="preserve"> </v>
      </c>
      <c r="Q105" s="48" t="str">
        <f t="shared" si="11"/>
        <v/>
      </c>
      <c r="R105" s="48" t="str">
        <f t="shared" si="12"/>
        <v/>
      </c>
      <c r="S105" s="51"/>
    </row>
    <row r="106" spans="1:19" ht="18" customHeight="1">
      <c r="A106" s="40"/>
      <c r="B106" s="41" t="s">
        <v>157</v>
      </c>
      <c r="C106" s="42" t="s">
        <v>60</v>
      </c>
      <c r="D106" s="43">
        <v>2.7149999999999999</v>
      </c>
      <c r="E106" s="43">
        <v>0.02</v>
      </c>
      <c r="F106" s="43">
        <v>-0.02</v>
      </c>
      <c r="G106" s="44" t="s">
        <v>58</v>
      </c>
      <c r="H106" s="45"/>
      <c r="I106" s="46"/>
      <c r="J106" s="46"/>
      <c r="K106" s="47" t="str">
        <f t="shared" si="7"/>
        <v xml:space="preserve"> </v>
      </c>
      <c r="L106" s="47" t="str">
        <f t="shared" si="7"/>
        <v xml:space="preserve"> </v>
      </c>
      <c r="M106" s="47" t="str">
        <f t="shared" si="7"/>
        <v xml:space="preserve"> </v>
      </c>
      <c r="N106" s="48" t="str">
        <f t="shared" si="8"/>
        <v xml:space="preserve"> </v>
      </c>
      <c r="O106" s="49" t="str">
        <f t="shared" si="9"/>
        <v xml:space="preserve"> </v>
      </c>
      <c r="P106" s="50" t="str">
        <f t="shared" si="10"/>
        <v xml:space="preserve"> </v>
      </c>
      <c r="Q106" s="48" t="str">
        <f t="shared" si="11"/>
        <v/>
      </c>
      <c r="R106" s="48" t="str">
        <f t="shared" si="12"/>
        <v/>
      </c>
      <c r="S106" s="51"/>
    </row>
    <row r="107" spans="1:19" ht="18" customHeight="1">
      <c r="A107" s="40"/>
      <c r="B107" s="41" t="s">
        <v>158</v>
      </c>
      <c r="C107" s="42" t="s">
        <v>60</v>
      </c>
      <c r="D107" s="43">
        <v>21.405000000000001</v>
      </c>
      <c r="E107" s="43">
        <v>0.03</v>
      </c>
      <c r="F107" s="43">
        <v>-0.03</v>
      </c>
      <c r="G107" s="44" t="s">
        <v>61</v>
      </c>
      <c r="H107" s="45"/>
      <c r="I107" s="46"/>
      <c r="J107" s="46"/>
      <c r="K107" s="47" t="str">
        <f t="shared" si="7"/>
        <v xml:space="preserve"> </v>
      </c>
      <c r="L107" s="47" t="str">
        <f t="shared" si="7"/>
        <v xml:space="preserve"> </v>
      </c>
      <c r="M107" s="47" t="str">
        <f t="shared" si="7"/>
        <v xml:space="preserve"> </v>
      </c>
      <c r="N107" s="48" t="str">
        <f t="shared" si="8"/>
        <v xml:space="preserve"> </v>
      </c>
      <c r="O107" s="49" t="str">
        <f t="shared" si="9"/>
        <v xml:space="preserve"> </v>
      </c>
      <c r="P107" s="50" t="str">
        <f t="shared" si="10"/>
        <v xml:space="preserve"> </v>
      </c>
      <c r="Q107" s="48" t="str">
        <f t="shared" si="11"/>
        <v/>
      </c>
      <c r="R107" s="48" t="str">
        <f t="shared" si="12"/>
        <v/>
      </c>
      <c r="S107" s="51"/>
    </row>
    <row r="108" spans="1:19" ht="18" customHeight="1">
      <c r="A108" s="40"/>
      <c r="B108" s="41" t="s">
        <v>159</v>
      </c>
      <c r="C108" s="42" t="s">
        <v>60</v>
      </c>
      <c r="D108" s="43">
        <v>17.739999999999998</v>
      </c>
      <c r="E108" s="43">
        <v>0.03</v>
      </c>
      <c r="F108" s="43">
        <v>-0.03</v>
      </c>
      <c r="G108" s="44" t="s">
        <v>58</v>
      </c>
      <c r="H108" s="45"/>
      <c r="I108" s="46"/>
      <c r="J108" s="46"/>
      <c r="K108" s="47" t="str">
        <f t="shared" si="7"/>
        <v xml:space="preserve"> </v>
      </c>
      <c r="L108" s="47" t="str">
        <f t="shared" si="7"/>
        <v xml:space="preserve"> </v>
      </c>
      <c r="M108" s="47" t="str">
        <f t="shared" si="7"/>
        <v xml:space="preserve"> </v>
      </c>
      <c r="N108" s="48" t="str">
        <f t="shared" si="8"/>
        <v xml:space="preserve"> </v>
      </c>
      <c r="O108" s="49" t="str">
        <f t="shared" si="9"/>
        <v xml:space="preserve"> </v>
      </c>
      <c r="P108" s="50" t="str">
        <f t="shared" si="10"/>
        <v xml:space="preserve"> </v>
      </c>
      <c r="Q108" s="48" t="str">
        <f t="shared" si="11"/>
        <v/>
      </c>
      <c r="R108" s="48" t="str">
        <f t="shared" si="12"/>
        <v/>
      </c>
      <c r="S108" s="51"/>
    </row>
    <row r="109" spans="1:19" ht="18" customHeight="1">
      <c r="A109" s="40"/>
      <c r="B109" s="41" t="s">
        <v>160</v>
      </c>
      <c r="C109" s="42" t="s">
        <v>60</v>
      </c>
      <c r="D109" s="43">
        <v>0.04</v>
      </c>
      <c r="E109" s="43">
        <v>0.03</v>
      </c>
      <c r="F109" s="43">
        <v>-0.02</v>
      </c>
      <c r="G109" s="44" t="s">
        <v>61</v>
      </c>
      <c r="H109" s="45"/>
      <c r="I109" s="46"/>
      <c r="J109" s="46"/>
      <c r="K109" s="47" t="str">
        <f t="shared" si="7"/>
        <v xml:space="preserve"> </v>
      </c>
      <c r="L109" s="47" t="str">
        <f t="shared" si="7"/>
        <v xml:space="preserve"> </v>
      </c>
      <c r="M109" s="47" t="str">
        <f t="shared" si="7"/>
        <v xml:space="preserve"> </v>
      </c>
      <c r="N109" s="48" t="str">
        <f t="shared" si="8"/>
        <v xml:space="preserve"> </v>
      </c>
      <c r="O109" s="49" t="str">
        <f t="shared" si="9"/>
        <v xml:space="preserve"> </v>
      </c>
      <c r="P109" s="50" t="str">
        <f t="shared" si="10"/>
        <v xml:space="preserve"> </v>
      </c>
      <c r="Q109" s="48" t="str">
        <f t="shared" si="11"/>
        <v/>
      </c>
      <c r="R109" s="48" t="str">
        <f t="shared" si="12"/>
        <v/>
      </c>
      <c r="S109" s="51"/>
    </row>
    <row r="110" spans="1:19" ht="18" customHeight="1">
      <c r="A110" s="40"/>
      <c r="B110" s="41" t="s">
        <v>161</v>
      </c>
      <c r="C110" s="42" t="s">
        <v>60</v>
      </c>
      <c r="D110" s="43">
        <v>0.04</v>
      </c>
      <c r="E110" s="43">
        <v>0.03</v>
      </c>
      <c r="F110" s="43">
        <v>-0.02</v>
      </c>
      <c r="G110" s="44" t="s">
        <v>61</v>
      </c>
      <c r="H110" s="45"/>
      <c r="I110" s="46"/>
      <c r="J110" s="46"/>
      <c r="K110" s="47" t="str">
        <f t="shared" si="7"/>
        <v xml:space="preserve"> </v>
      </c>
      <c r="L110" s="47" t="str">
        <f t="shared" si="7"/>
        <v xml:space="preserve"> </v>
      </c>
      <c r="M110" s="47" t="str">
        <f t="shared" si="7"/>
        <v xml:space="preserve"> </v>
      </c>
      <c r="N110" s="48" t="str">
        <f t="shared" si="8"/>
        <v xml:space="preserve"> </v>
      </c>
      <c r="O110" s="49" t="str">
        <f t="shared" si="9"/>
        <v xml:space="preserve"> </v>
      </c>
      <c r="P110" s="50" t="str">
        <f t="shared" si="10"/>
        <v xml:space="preserve"> </v>
      </c>
      <c r="Q110" s="48" t="str">
        <f t="shared" si="11"/>
        <v/>
      </c>
      <c r="R110" s="48" t="str">
        <f t="shared" si="12"/>
        <v/>
      </c>
      <c r="S110" s="51"/>
    </row>
    <row r="111" spans="1:19" ht="18" customHeight="1">
      <c r="A111" s="40"/>
      <c r="B111" s="41" t="s">
        <v>162</v>
      </c>
      <c r="C111" s="42" t="s">
        <v>60</v>
      </c>
      <c r="D111" s="43">
        <v>0.04</v>
      </c>
      <c r="E111" s="43">
        <v>0.03</v>
      </c>
      <c r="F111" s="43">
        <v>-0.02</v>
      </c>
      <c r="G111" s="44" t="s">
        <v>61</v>
      </c>
      <c r="H111" s="45"/>
      <c r="I111" s="46"/>
      <c r="J111" s="46"/>
      <c r="K111" s="47" t="str">
        <f t="shared" ref="K111:M140" si="13">IF(ISERR(H111/H111)=TRUE," ",H111-$D111)</f>
        <v xml:space="preserve"> </v>
      </c>
      <c r="L111" s="47" t="str">
        <f t="shared" si="13"/>
        <v xml:space="preserve"> </v>
      </c>
      <c r="M111" s="47" t="str">
        <f t="shared" si="13"/>
        <v xml:space="preserve"> </v>
      </c>
      <c r="N111" s="48" t="str">
        <f t="shared" si="8"/>
        <v xml:space="preserve"> </v>
      </c>
      <c r="O111" s="49" t="str">
        <f t="shared" si="9"/>
        <v xml:space="preserve"> </v>
      </c>
      <c r="P111" s="50" t="str">
        <f t="shared" si="10"/>
        <v xml:space="preserve"> </v>
      </c>
      <c r="Q111" s="48" t="str">
        <f t="shared" si="11"/>
        <v/>
      </c>
      <c r="R111" s="48" t="str">
        <f t="shared" si="12"/>
        <v/>
      </c>
      <c r="S111" s="51"/>
    </row>
    <row r="112" spans="1:19" ht="18" customHeight="1">
      <c r="A112" s="40"/>
      <c r="B112" s="41" t="s">
        <v>163</v>
      </c>
      <c r="C112" s="42" t="s">
        <v>60</v>
      </c>
      <c r="D112" s="43">
        <v>0.04</v>
      </c>
      <c r="E112" s="43">
        <v>0.03</v>
      </c>
      <c r="F112" s="43">
        <v>-0.02</v>
      </c>
      <c r="G112" s="44" t="s">
        <v>61</v>
      </c>
      <c r="H112" s="45"/>
      <c r="I112" s="46"/>
      <c r="J112" s="46"/>
      <c r="K112" s="47" t="str">
        <f t="shared" si="13"/>
        <v xml:space="preserve"> </v>
      </c>
      <c r="L112" s="47" t="str">
        <f t="shared" si="13"/>
        <v xml:space="preserve"> </v>
      </c>
      <c r="M112" s="47" t="str">
        <f t="shared" si="13"/>
        <v xml:space="preserve"> </v>
      </c>
      <c r="N112" s="48" t="str">
        <f t="shared" si="8"/>
        <v xml:space="preserve"> </v>
      </c>
      <c r="O112" s="49" t="str">
        <f t="shared" si="9"/>
        <v xml:space="preserve"> </v>
      </c>
      <c r="P112" s="50" t="str">
        <f t="shared" si="10"/>
        <v xml:space="preserve"> </v>
      </c>
      <c r="Q112" s="48" t="str">
        <f t="shared" si="11"/>
        <v/>
      </c>
      <c r="R112" s="48" t="str">
        <f t="shared" si="12"/>
        <v/>
      </c>
      <c r="S112" s="51"/>
    </row>
    <row r="113" spans="1:19" ht="18" customHeight="1">
      <c r="A113" s="40"/>
      <c r="B113" s="41" t="s">
        <v>164</v>
      </c>
      <c r="C113" s="42" t="s">
        <v>60</v>
      </c>
      <c r="D113" s="43">
        <v>0.04</v>
      </c>
      <c r="E113" s="43">
        <v>0.03</v>
      </c>
      <c r="F113" s="43">
        <v>-0.02</v>
      </c>
      <c r="G113" s="44" t="s">
        <v>61</v>
      </c>
      <c r="H113" s="45"/>
      <c r="I113" s="46"/>
      <c r="J113" s="46"/>
      <c r="K113" s="47" t="str">
        <f t="shared" si="13"/>
        <v xml:space="preserve"> </v>
      </c>
      <c r="L113" s="47" t="str">
        <f t="shared" si="13"/>
        <v xml:space="preserve"> </v>
      </c>
      <c r="M113" s="47" t="str">
        <f t="shared" si="13"/>
        <v xml:space="preserve"> </v>
      </c>
      <c r="N113" s="48" t="str">
        <f t="shared" si="8"/>
        <v xml:space="preserve"> </v>
      </c>
      <c r="O113" s="49" t="str">
        <f t="shared" si="9"/>
        <v xml:space="preserve"> </v>
      </c>
      <c r="P113" s="50" t="str">
        <f t="shared" si="10"/>
        <v xml:space="preserve"> </v>
      </c>
      <c r="Q113" s="48" t="str">
        <f t="shared" si="11"/>
        <v/>
      </c>
      <c r="R113" s="48" t="str">
        <f t="shared" si="12"/>
        <v/>
      </c>
      <c r="S113" s="51"/>
    </row>
    <row r="114" spans="1:19" ht="18" customHeight="1">
      <c r="A114" s="40"/>
      <c r="B114" s="41" t="s">
        <v>165</v>
      </c>
      <c r="C114" s="42" t="s">
        <v>60</v>
      </c>
      <c r="D114" s="43">
        <v>0.04</v>
      </c>
      <c r="E114" s="43">
        <v>0.03</v>
      </c>
      <c r="F114" s="43">
        <v>-0.02</v>
      </c>
      <c r="G114" s="44" t="s">
        <v>61</v>
      </c>
      <c r="H114" s="45"/>
      <c r="I114" s="46"/>
      <c r="J114" s="46"/>
      <c r="K114" s="47" t="str">
        <f t="shared" si="13"/>
        <v xml:space="preserve"> </v>
      </c>
      <c r="L114" s="47" t="str">
        <f t="shared" si="13"/>
        <v xml:space="preserve"> </v>
      </c>
      <c r="M114" s="47" t="str">
        <f t="shared" si="13"/>
        <v xml:space="preserve"> </v>
      </c>
      <c r="N114" s="48" t="str">
        <f t="shared" si="8"/>
        <v xml:space="preserve"> </v>
      </c>
      <c r="O114" s="49" t="str">
        <f t="shared" si="9"/>
        <v xml:space="preserve"> </v>
      </c>
      <c r="P114" s="50" t="str">
        <f t="shared" si="10"/>
        <v xml:space="preserve"> </v>
      </c>
      <c r="Q114" s="48" t="str">
        <f t="shared" si="11"/>
        <v/>
      </c>
      <c r="R114" s="48" t="str">
        <f t="shared" si="12"/>
        <v/>
      </c>
      <c r="S114" s="51"/>
    </row>
    <row r="115" spans="1:19" ht="18" customHeight="1">
      <c r="A115" s="40"/>
      <c r="B115" s="41" t="s">
        <v>166</v>
      </c>
      <c r="C115" s="42" t="s">
        <v>60</v>
      </c>
      <c r="D115" s="43">
        <v>0.02</v>
      </c>
      <c r="E115" s="43">
        <v>0.01</v>
      </c>
      <c r="F115" s="43">
        <v>-0.01</v>
      </c>
      <c r="G115" s="44" t="s">
        <v>58</v>
      </c>
      <c r="H115" s="45"/>
      <c r="I115" s="46"/>
      <c r="J115" s="46"/>
      <c r="K115" s="47" t="str">
        <f t="shared" si="13"/>
        <v xml:space="preserve"> </v>
      </c>
      <c r="L115" s="47" t="str">
        <f t="shared" si="13"/>
        <v xml:space="preserve"> </v>
      </c>
      <c r="M115" s="47" t="str">
        <f t="shared" si="13"/>
        <v xml:space="preserve"> </v>
      </c>
      <c r="N115" s="48" t="str">
        <f t="shared" si="8"/>
        <v xml:space="preserve"> </v>
      </c>
      <c r="O115" s="49" t="str">
        <f t="shared" si="9"/>
        <v xml:space="preserve"> </v>
      </c>
      <c r="P115" s="50" t="str">
        <f t="shared" si="10"/>
        <v xml:space="preserve"> </v>
      </c>
      <c r="Q115" s="48" t="str">
        <f t="shared" si="11"/>
        <v/>
      </c>
      <c r="R115" s="48" t="str">
        <f t="shared" si="12"/>
        <v/>
      </c>
      <c r="S115" s="51"/>
    </row>
    <row r="116" spans="1:19" ht="18" customHeight="1">
      <c r="A116" s="40"/>
      <c r="B116" s="41" t="s">
        <v>167</v>
      </c>
      <c r="C116" s="42" t="s">
        <v>60</v>
      </c>
      <c r="D116" s="43">
        <v>0.02</v>
      </c>
      <c r="E116" s="43">
        <v>0.01</v>
      </c>
      <c r="F116" s="43">
        <v>-0.01</v>
      </c>
      <c r="G116" s="44" t="s">
        <v>58</v>
      </c>
      <c r="H116" s="45"/>
      <c r="I116" s="46"/>
      <c r="J116" s="46"/>
      <c r="K116" s="47" t="str">
        <f t="shared" si="13"/>
        <v xml:space="preserve"> </v>
      </c>
      <c r="L116" s="47" t="str">
        <f t="shared" si="13"/>
        <v xml:space="preserve"> </v>
      </c>
      <c r="M116" s="47" t="str">
        <f t="shared" si="13"/>
        <v xml:space="preserve"> </v>
      </c>
      <c r="N116" s="48" t="str">
        <f t="shared" si="8"/>
        <v xml:space="preserve"> </v>
      </c>
      <c r="O116" s="49" t="str">
        <f t="shared" si="9"/>
        <v xml:space="preserve"> </v>
      </c>
      <c r="P116" s="50" t="str">
        <f t="shared" si="10"/>
        <v xml:space="preserve"> </v>
      </c>
      <c r="Q116" s="48" t="str">
        <f t="shared" si="11"/>
        <v/>
      </c>
      <c r="R116" s="48" t="str">
        <f t="shared" si="12"/>
        <v/>
      </c>
      <c r="S116" s="51"/>
    </row>
    <row r="117" spans="1:19" ht="18" customHeight="1">
      <c r="A117" s="40"/>
      <c r="B117" s="41" t="s">
        <v>168</v>
      </c>
      <c r="C117" s="42" t="s">
        <v>60</v>
      </c>
      <c r="D117" s="43">
        <v>1.78</v>
      </c>
      <c r="E117" s="43">
        <v>2.5000000000000001E-2</v>
      </c>
      <c r="F117" s="43">
        <v>-2.5000000000000001E-2</v>
      </c>
      <c r="G117" s="44" t="s">
        <v>58</v>
      </c>
      <c r="H117" s="45"/>
      <c r="I117" s="46"/>
      <c r="J117" s="46"/>
      <c r="K117" s="47" t="str">
        <f t="shared" si="13"/>
        <v xml:space="preserve"> </v>
      </c>
      <c r="L117" s="47" t="str">
        <f t="shared" si="13"/>
        <v xml:space="preserve"> </v>
      </c>
      <c r="M117" s="47" t="str">
        <f t="shared" si="13"/>
        <v xml:space="preserve"> </v>
      </c>
      <c r="N117" s="48" t="str">
        <f t="shared" si="8"/>
        <v xml:space="preserve"> </v>
      </c>
      <c r="O117" s="49" t="str">
        <f t="shared" si="9"/>
        <v xml:space="preserve"> </v>
      </c>
      <c r="P117" s="50" t="str">
        <f t="shared" si="10"/>
        <v xml:space="preserve"> </v>
      </c>
      <c r="Q117" s="48" t="str">
        <f t="shared" si="11"/>
        <v/>
      </c>
      <c r="R117" s="48" t="str">
        <f t="shared" si="12"/>
        <v/>
      </c>
      <c r="S117" s="51"/>
    </row>
    <row r="118" spans="1:19" ht="18" customHeight="1">
      <c r="A118" s="40"/>
      <c r="B118" s="41" t="s">
        <v>169</v>
      </c>
      <c r="C118" s="42" t="s">
        <v>60</v>
      </c>
      <c r="D118" s="43">
        <v>4.5999999999999996</v>
      </c>
      <c r="E118" s="43">
        <v>0.3</v>
      </c>
      <c r="F118" s="43">
        <v>-0.3</v>
      </c>
      <c r="G118" s="44" t="s">
        <v>58</v>
      </c>
      <c r="H118" s="45"/>
      <c r="I118" s="46"/>
      <c r="J118" s="46"/>
      <c r="K118" s="47" t="str">
        <f t="shared" si="13"/>
        <v xml:space="preserve"> </v>
      </c>
      <c r="L118" s="47" t="str">
        <f t="shared" si="13"/>
        <v xml:space="preserve"> </v>
      </c>
      <c r="M118" s="47" t="str">
        <f t="shared" si="13"/>
        <v xml:space="preserve"> </v>
      </c>
      <c r="N118" s="48" t="str">
        <f t="shared" si="8"/>
        <v xml:space="preserve"> </v>
      </c>
      <c r="O118" s="49" t="str">
        <f t="shared" si="9"/>
        <v xml:space="preserve"> </v>
      </c>
      <c r="P118" s="50" t="str">
        <f t="shared" si="10"/>
        <v xml:space="preserve"> </v>
      </c>
      <c r="Q118" s="48" t="str">
        <f t="shared" si="11"/>
        <v/>
      </c>
      <c r="R118" s="48" t="str">
        <f t="shared" si="12"/>
        <v/>
      </c>
      <c r="S118" s="51"/>
    </row>
    <row r="119" spans="1:19" ht="18" customHeight="1">
      <c r="A119" s="40"/>
      <c r="B119" s="41" t="s">
        <v>170</v>
      </c>
      <c r="C119" s="42" t="s">
        <v>60</v>
      </c>
      <c r="D119" s="43">
        <v>9.3000000000000007</v>
      </c>
      <c r="E119" s="43">
        <v>0.6</v>
      </c>
      <c r="F119" s="43">
        <v>-0.6</v>
      </c>
      <c r="G119" s="44" t="s">
        <v>58</v>
      </c>
      <c r="H119" s="45"/>
      <c r="I119" s="46"/>
      <c r="J119" s="46"/>
      <c r="K119" s="47" t="str">
        <f t="shared" si="13"/>
        <v xml:space="preserve"> </v>
      </c>
      <c r="L119" s="47" t="str">
        <f t="shared" si="13"/>
        <v xml:space="preserve"> </v>
      </c>
      <c r="M119" s="47" t="str">
        <f t="shared" si="13"/>
        <v xml:space="preserve"> </v>
      </c>
      <c r="N119" s="48" t="str">
        <f t="shared" si="8"/>
        <v xml:space="preserve"> </v>
      </c>
      <c r="O119" s="49" t="str">
        <f t="shared" si="9"/>
        <v xml:space="preserve"> </v>
      </c>
      <c r="P119" s="50" t="str">
        <f t="shared" si="10"/>
        <v xml:space="preserve"> </v>
      </c>
      <c r="Q119" s="48" t="str">
        <f t="shared" si="11"/>
        <v/>
      </c>
      <c r="R119" s="48" t="str">
        <f t="shared" si="12"/>
        <v/>
      </c>
      <c r="S119" s="51"/>
    </row>
    <row r="120" spans="1:19" ht="18" customHeight="1">
      <c r="A120" s="40"/>
      <c r="B120" s="41" t="s">
        <v>171</v>
      </c>
      <c r="C120" s="42" t="s">
        <v>60</v>
      </c>
      <c r="D120" s="43"/>
      <c r="E120" s="43">
        <v>3</v>
      </c>
      <c r="F120" s="43">
        <v>-3</v>
      </c>
      <c r="G120" s="44" t="s">
        <v>58</v>
      </c>
      <c r="H120" s="45"/>
      <c r="I120" s="46"/>
      <c r="J120" s="46"/>
      <c r="K120" s="47" t="str">
        <f t="shared" si="13"/>
        <v xml:space="preserve"> </v>
      </c>
      <c r="L120" s="47" t="str">
        <f t="shared" si="13"/>
        <v xml:space="preserve"> </v>
      </c>
      <c r="M120" s="47" t="str">
        <f t="shared" si="13"/>
        <v xml:space="preserve"> </v>
      </c>
      <c r="N120" s="48" t="str">
        <f t="shared" si="8"/>
        <v xml:space="preserve"> </v>
      </c>
      <c r="O120" s="49" t="str">
        <f t="shared" si="9"/>
        <v xml:space="preserve"> </v>
      </c>
      <c r="P120" s="50" t="str">
        <f t="shared" si="10"/>
        <v xml:space="preserve"> </v>
      </c>
      <c r="Q120" s="48" t="str">
        <f t="shared" si="11"/>
        <v/>
      </c>
      <c r="R120" s="48" t="str">
        <f t="shared" si="12"/>
        <v/>
      </c>
      <c r="S120" s="51"/>
    </row>
    <row r="121" spans="1:19" ht="18" customHeight="1">
      <c r="A121" s="40"/>
      <c r="B121" s="41" t="s">
        <v>172</v>
      </c>
      <c r="C121" s="42" t="s">
        <v>60</v>
      </c>
      <c r="D121" s="43">
        <v>0.05</v>
      </c>
      <c r="E121" s="43">
        <v>2.5000000000000001E-2</v>
      </c>
      <c r="F121" s="43">
        <v>-0.02</v>
      </c>
      <c r="G121" s="44" t="s">
        <v>58</v>
      </c>
      <c r="H121" s="45"/>
      <c r="I121" s="46"/>
      <c r="J121" s="46"/>
      <c r="K121" s="47" t="str">
        <f t="shared" si="13"/>
        <v xml:space="preserve"> </v>
      </c>
      <c r="L121" s="47" t="str">
        <f t="shared" si="13"/>
        <v xml:space="preserve"> </v>
      </c>
      <c r="M121" s="47" t="str">
        <f t="shared" si="13"/>
        <v xml:space="preserve"> </v>
      </c>
      <c r="N121" s="48" t="str">
        <f t="shared" si="8"/>
        <v xml:space="preserve"> </v>
      </c>
      <c r="O121" s="49" t="str">
        <f t="shared" si="9"/>
        <v xml:space="preserve"> </v>
      </c>
      <c r="P121" s="50" t="str">
        <f t="shared" si="10"/>
        <v xml:space="preserve"> </v>
      </c>
      <c r="Q121" s="48" t="str">
        <f t="shared" si="11"/>
        <v/>
      </c>
      <c r="R121" s="48" t="str">
        <f t="shared" si="12"/>
        <v/>
      </c>
      <c r="S121" s="53"/>
    </row>
    <row r="122" spans="1:19" ht="18" customHeight="1">
      <c r="A122" s="40"/>
      <c r="B122" s="41" t="s">
        <v>173</v>
      </c>
      <c r="C122" s="42" t="s">
        <v>60</v>
      </c>
      <c r="D122" s="43">
        <v>0.05</v>
      </c>
      <c r="E122" s="43">
        <v>2.5000000000000001E-2</v>
      </c>
      <c r="F122" s="43">
        <v>-0.02</v>
      </c>
      <c r="G122" s="44" t="s">
        <v>58</v>
      </c>
      <c r="H122" s="45"/>
      <c r="I122" s="46"/>
      <c r="J122" s="46"/>
      <c r="K122" s="47" t="str">
        <f t="shared" si="13"/>
        <v xml:space="preserve"> </v>
      </c>
      <c r="L122" s="47" t="str">
        <f t="shared" si="13"/>
        <v xml:space="preserve"> </v>
      </c>
      <c r="M122" s="47" t="str">
        <f t="shared" si="13"/>
        <v xml:space="preserve"> </v>
      </c>
      <c r="N122" s="48" t="str">
        <f t="shared" si="8"/>
        <v xml:space="preserve"> </v>
      </c>
      <c r="O122" s="49" t="str">
        <f t="shared" si="9"/>
        <v xml:space="preserve"> </v>
      </c>
      <c r="P122" s="50" t="str">
        <f t="shared" si="10"/>
        <v xml:space="preserve"> </v>
      </c>
      <c r="Q122" s="48" t="str">
        <f t="shared" si="11"/>
        <v/>
      </c>
      <c r="R122" s="48" t="str">
        <f t="shared" si="12"/>
        <v/>
      </c>
      <c r="S122" s="53"/>
    </row>
    <row r="123" spans="1:19" ht="18" customHeight="1">
      <c r="A123" s="40"/>
      <c r="B123" s="41" t="s">
        <v>174</v>
      </c>
      <c r="C123" s="42" t="s">
        <v>60</v>
      </c>
      <c r="D123" s="43">
        <v>0.05</v>
      </c>
      <c r="E123" s="43">
        <v>2.5000000000000001E-2</v>
      </c>
      <c r="F123" s="43">
        <v>-0.02</v>
      </c>
      <c r="G123" s="44" t="s">
        <v>58</v>
      </c>
      <c r="H123" s="45"/>
      <c r="I123" s="46"/>
      <c r="J123" s="46"/>
      <c r="K123" s="47" t="str">
        <f t="shared" si="13"/>
        <v xml:space="preserve"> </v>
      </c>
      <c r="L123" s="47" t="str">
        <f t="shared" si="13"/>
        <v xml:space="preserve"> </v>
      </c>
      <c r="M123" s="47" t="str">
        <f t="shared" si="13"/>
        <v xml:space="preserve"> </v>
      </c>
      <c r="N123" s="48" t="str">
        <f t="shared" si="8"/>
        <v xml:space="preserve"> </v>
      </c>
      <c r="O123" s="49" t="str">
        <f t="shared" si="9"/>
        <v xml:space="preserve"> </v>
      </c>
      <c r="P123" s="50" t="str">
        <f t="shared" si="10"/>
        <v xml:space="preserve"> </v>
      </c>
      <c r="Q123" s="48"/>
      <c r="R123" s="48"/>
      <c r="S123" s="53"/>
    </row>
    <row r="124" spans="1:19" ht="18" customHeight="1">
      <c r="A124" s="40"/>
      <c r="B124" s="41" t="s">
        <v>175</v>
      </c>
      <c r="C124" s="42" t="s">
        <v>60</v>
      </c>
      <c r="D124" s="43">
        <v>0.05</v>
      </c>
      <c r="E124" s="43">
        <v>2.5000000000000001E-2</v>
      </c>
      <c r="F124" s="43">
        <v>-0.02</v>
      </c>
      <c r="G124" s="44" t="s">
        <v>58</v>
      </c>
      <c r="H124" s="45"/>
      <c r="I124" s="46"/>
      <c r="J124" s="46"/>
      <c r="K124" s="47" t="str">
        <f t="shared" si="13"/>
        <v xml:space="preserve"> </v>
      </c>
      <c r="L124" s="47" t="str">
        <f t="shared" si="13"/>
        <v xml:space="preserve"> </v>
      </c>
      <c r="M124" s="47" t="str">
        <f t="shared" si="13"/>
        <v xml:space="preserve"> </v>
      </c>
      <c r="N124" s="48" t="str">
        <f t="shared" si="8"/>
        <v xml:space="preserve"> </v>
      </c>
      <c r="O124" s="49" t="str">
        <f t="shared" si="9"/>
        <v xml:space="preserve"> </v>
      </c>
      <c r="P124" s="50" t="str">
        <f t="shared" si="10"/>
        <v xml:space="preserve"> </v>
      </c>
      <c r="Q124" s="48" t="str">
        <f t="shared" si="11"/>
        <v/>
      </c>
      <c r="R124" s="48" t="str">
        <f t="shared" ref="R124:R140" si="14">IF(H124="","",IF(ISERR(F124/F124)=TRUE,"",IF(ISERR(F124/D124)=TRUE,IF((F124-MIN(H124:J124))&gt;0.001,"Reject",""),IF(ISNUMBER($P124)=TRUE,IF($P124&gt;0.651,IF($P124&gt;1.001,"Reject","Alert"),""),""))))</f>
        <v/>
      </c>
      <c r="S124" s="53"/>
    </row>
    <row r="125" spans="1:19" ht="18" customHeight="1">
      <c r="A125" s="40"/>
      <c r="B125" s="41" t="s">
        <v>176</v>
      </c>
      <c r="C125" s="42" t="s">
        <v>60</v>
      </c>
      <c r="D125" s="43">
        <v>0.05</v>
      </c>
      <c r="E125" s="43">
        <v>2.5000000000000001E-2</v>
      </c>
      <c r="F125" s="43">
        <v>-0.02</v>
      </c>
      <c r="G125" s="44" t="s">
        <v>58</v>
      </c>
      <c r="H125" s="45"/>
      <c r="I125" s="46"/>
      <c r="J125" s="46"/>
      <c r="K125" s="47" t="str">
        <f t="shared" si="13"/>
        <v xml:space="preserve"> </v>
      </c>
      <c r="L125" s="47" t="str">
        <f t="shared" si="13"/>
        <v xml:space="preserve"> </v>
      </c>
      <c r="M125" s="47" t="str">
        <f t="shared" si="13"/>
        <v xml:space="preserve"> </v>
      </c>
      <c r="N125" s="48" t="str">
        <f t="shared" si="8"/>
        <v xml:space="preserve"> </v>
      </c>
      <c r="O125" s="49" t="str">
        <f t="shared" si="9"/>
        <v xml:space="preserve"> </v>
      </c>
      <c r="P125" s="50" t="str">
        <f t="shared" si="10"/>
        <v xml:space="preserve"> </v>
      </c>
      <c r="Q125" s="48" t="str">
        <f t="shared" si="11"/>
        <v/>
      </c>
      <c r="R125" s="48" t="str">
        <f t="shared" si="14"/>
        <v/>
      </c>
      <c r="S125" s="53"/>
    </row>
    <row r="126" spans="1:19" ht="18" customHeight="1">
      <c r="A126" s="40"/>
      <c r="B126" s="41" t="s">
        <v>177</v>
      </c>
      <c r="C126" s="42" t="s">
        <v>60</v>
      </c>
      <c r="D126" s="43">
        <v>0.05</v>
      </c>
      <c r="E126" s="43">
        <v>2.5000000000000001E-2</v>
      </c>
      <c r="F126" s="43">
        <v>-0.02</v>
      </c>
      <c r="G126" s="44" t="s">
        <v>58</v>
      </c>
      <c r="H126" s="45"/>
      <c r="I126" s="46"/>
      <c r="J126" s="46"/>
      <c r="K126" s="47" t="str">
        <f t="shared" si="13"/>
        <v xml:space="preserve"> </v>
      </c>
      <c r="L126" s="47" t="str">
        <f t="shared" si="13"/>
        <v xml:space="preserve"> </v>
      </c>
      <c r="M126" s="47" t="str">
        <f t="shared" si="13"/>
        <v xml:space="preserve"> </v>
      </c>
      <c r="N126" s="48" t="str">
        <f t="shared" si="8"/>
        <v xml:space="preserve"> </v>
      </c>
      <c r="O126" s="49" t="str">
        <f t="shared" si="9"/>
        <v xml:space="preserve"> </v>
      </c>
      <c r="P126" s="50" t="str">
        <f t="shared" si="10"/>
        <v xml:space="preserve"> </v>
      </c>
      <c r="Q126" s="48" t="str">
        <f t="shared" si="11"/>
        <v/>
      </c>
      <c r="R126" s="48" t="str">
        <f t="shared" si="14"/>
        <v/>
      </c>
      <c r="S126" s="53"/>
    </row>
    <row r="127" spans="1:19" ht="18" customHeight="1">
      <c r="A127" s="40"/>
      <c r="B127" s="41" t="s">
        <v>178</v>
      </c>
      <c r="C127" s="42" t="s">
        <v>60</v>
      </c>
      <c r="D127" s="43">
        <v>7.7370000000000001</v>
      </c>
      <c r="E127" s="43">
        <v>0.03</v>
      </c>
      <c r="F127" s="43">
        <v>-0.03</v>
      </c>
      <c r="G127" s="44" t="s">
        <v>58</v>
      </c>
      <c r="H127" s="45"/>
      <c r="I127" s="46"/>
      <c r="J127" s="46"/>
      <c r="K127" s="47" t="str">
        <f t="shared" si="13"/>
        <v xml:space="preserve"> </v>
      </c>
      <c r="L127" s="47" t="str">
        <f t="shared" si="13"/>
        <v xml:space="preserve"> </v>
      </c>
      <c r="M127" s="47" t="str">
        <f t="shared" si="13"/>
        <v xml:space="preserve"> </v>
      </c>
      <c r="N127" s="48" t="str">
        <f t="shared" si="8"/>
        <v xml:space="preserve"> </v>
      </c>
      <c r="O127" s="49" t="str">
        <f t="shared" si="9"/>
        <v xml:space="preserve"> </v>
      </c>
      <c r="P127" s="50" t="str">
        <f t="shared" si="10"/>
        <v xml:space="preserve"> </v>
      </c>
      <c r="Q127" s="48" t="str">
        <f t="shared" si="11"/>
        <v/>
      </c>
      <c r="R127" s="48" t="str">
        <f t="shared" si="14"/>
        <v/>
      </c>
      <c r="S127" s="53"/>
    </row>
    <row r="128" spans="1:19" ht="18" customHeight="1">
      <c r="A128" s="40"/>
      <c r="B128" s="41" t="s">
        <v>179</v>
      </c>
      <c r="C128" s="42" t="s">
        <v>60</v>
      </c>
      <c r="D128" s="43">
        <v>10.324999999999999</v>
      </c>
      <c r="E128" s="43">
        <v>0.03</v>
      </c>
      <c r="F128" s="43">
        <v>-0.03</v>
      </c>
      <c r="G128" s="44" t="s">
        <v>58</v>
      </c>
      <c r="H128" s="45"/>
      <c r="I128" s="46"/>
      <c r="J128" s="46"/>
      <c r="K128" s="47" t="str">
        <f t="shared" si="13"/>
        <v xml:space="preserve"> </v>
      </c>
      <c r="L128" s="47" t="str">
        <f t="shared" si="13"/>
        <v xml:space="preserve"> </v>
      </c>
      <c r="M128" s="47" t="str">
        <f t="shared" si="13"/>
        <v xml:space="preserve"> </v>
      </c>
      <c r="N128" s="48" t="str">
        <f t="shared" si="8"/>
        <v xml:space="preserve"> </v>
      </c>
      <c r="O128" s="49" t="str">
        <f t="shared" si="9"/>
        <v xml:space="preserve"> </v>
      </c>
      <c r="P128" s="50" t="str">
        <f t="shared" si="10"/>
        <v xml:space="preserve"> </v>
      </c>
      <c r="Q128" s="48" t="str">
        <f t="shared" si="11"/>
        <v/>
      </c>
      <c r="R128" s="48" t="str">
        <f t="shared" si="14"/>
        <v/>
      </c>
      <c r="S128" s="53"/>
    </row>
    <row r="129" spans="1:19" ht="18" customHeight="1">
      <c r="A129" s="40"/>
      <c r="B129" s="41" t="s">
        <v>180</v>
      </c>
      <c r="C129" s="42" t="s">
        <v>60</v>
      </c>
      <c r="D129" s="43"/>
      <c r="E129" s="43">
        <v>0.03</v>
      </c>
      <c r="F129" s="43">
        <v>-7.0000000000000007E-2</v>
      </c>
      <c r="G129" s="44" t="s">
        <v>70</v>
      </c>
      <c r="H129" s="45"/>
      <c r="I129" s="46"/>
      <c r="J129" s="46"/>
      <c r="K129" s="47" t="str">
        <f t="shared" si="13"/>
        <v xml:space="preserve"> </v>
      </c>
      <c r="L129" s="47" t="str">
        <f t="shared" si="13"/>
        <v xml:space="preserve"> </v>
      </c>
      <c r="M129" s="47" t="str">
        <f t="shared" si="13"/>
        <v xml:space="preserve"> </v>
      </c>
      <c r="N129" s="48" t="str">
        <f t="shared" si="8"/>
        <v xml:space="preserve"> </v>
      </c>
      <c r="O129" s="49" t="str">
        <f t="shared" si="9"/>
        <v xml:space="preserve"> </v>
      </c>
      <c r="P129" s="50" t="str">
        <f t="shared" si="10"/>
        <v xml:space="preserve"> </v>
      </c>
      <c r="Q129" s="48" t="str">
        <f t="shared" si="11"/>
        <v/>
      </c>
      <c r="R129" s="48" t="str">
        <f t="shared" si="14"/>
        <v/>
      </c>
      <c r="S129" s="53"/>
    </row>
    <row r="130" spans="1:19" ht="18" customHeight="1">
      <c r="A130" s="40"/>
      <c r="B130" s="41" t="s">
        <v>181</v>
      </c>
      <c r="C130" s="42" t="s">
        <v>60</v>
      </c>
      <c r="D130" s="43"/>
      <c r="E130" s="43">
        <v>0.03</v>
      </c>
      <c r="F130" s="43">
        <v>-7.0000000000000007E-2</v>
      </c>
      <c r="G130" s="44" t="s">
        <v>70</v>
      </c>
      <c r="H130" s="45"/>
      <c r="I130" s="46"/>
      <c r="J130" s="46"/>
      <c r="K130" s="47" t="str">
        <f t="shared" si="13"/>
        <v xml:space="preserve"> </v>
      </c>
      <c r="L130" s="47" t="str">
        <f t="shared" si="13"/>
        <v xml:space="preserve"> </v>
      </c>
      <c r="M130" s="47" t="str">
        <f t="shared" si="13"/>
        <v xml:space="preserve"> </v>
      </c>
      <c r="N130" s="48" t="str">
        <f t="shared" si="8"/>
        <v xml:space="preserve"> </v>
      </c>
      <c r="O130" s="49" t="str">
        <f t="shared" si="9"/>
        <v xml:space="preserve"> </v>
      </c>
      <c r="P130" s="50" t="str">
        <f t="shared" si="10"/>
        <v xml:space="preserve"> </v>
      </c>
      <c r="Q130" s="48" t="str">
        <f t="shared" si="11"/>
        <v/>
      </c>
      <c r="R130" s="48" t="str">
        <f t="shared" si="14"/>
        <v/>
      </c>
      <c r="S130" s="53"/>
    </row>
    <row r="131" spans="1:19" ht="18" customHeight="1">
      <c r="A131" s="40"/>
      <c r="B131" s="41" t="s">
        <v>182</v>
      </c>
      <c r="C131" s="42" t="s">
        <v>60</v>
      </c>
      <c r="D131" s="43">
        <v>1.125</v>
      </c>
      <c r="E131" s="43">
        <v>0.05</v>
      </c>
      <c r="F131" s="43">
        <v>-0.05</v>
      </c>
      <c r="G131" s="44" t="s">
        <v>58</v>
      </c>
      <c r="H131" s="45"/>
      <c r="I131" s="46"/>
      <c r="J131" s="46"/>
      <c r="K131" s="47" t="str">
        <f t="shared" si="13"/>
        <v xml:space="preserve"> </v>
      </c>
      <c r="L131" s="47" t="str">
        <f t="shared" si="13"/>
        <v xml:space="preserve"> </v>
      </c>
      <c r="M131" s="47" t="str">
        <f t="shared" si="13"/>
        <v xml:space="preserve"> </v>
      </c>
      <c r="N131" s="48" t="str">
        <f t="shared" si="8"/>
        <v xml:space="preserve"> </v>
      </c>
      <c r="O131" s="49" t="str">
        <f t="shared" si="9"/>
        <v xml:space="preserve"> </v>
      </c>
      <c r="P131" s="50" t="str">
        <f t="shared" si="10"/>
        <v xml:space="preserve"> </v>
      </c>
      <c r="Q131" s="48" t="str">
        <f t="shared" si="11"/>
        <v/>
      </c>
      <c r="R131" s="48" t="str">
        <f t="shared" si="14"/>
        <v/>
      </c>
      <c r="S131" s="53"/>
    </row>
    <row r="132" spans="1:19" ht="18" customHeight="1">
      <c r="A132" s="40"/>
      <c r="B132" s="41" t="s">
        <v>183</v>
      </c>
      <c r="C132" s="42" t="s">
        <v>60</v>
      </c>
      <c r="D132" s="43">
        <v>1.125</v>
      </c>
      <c r="E132" s="43">
        <v>0.05</v>
      </c>
      <c r="F132" s="43">
        <v>-0.05</v>
      </c>
      <c r="G132" s="44" t="s">
        <v>58</v>
      </c>
      <c r="H132" s="45"/>
      <c r="I132" s="46"/>
      <c r="J132" s="46"/>
      <c r="K132" s="47" t="str">
        <f t="shared" si="13"/>
        <v xml:space="preserve"> </v>
      </c>
      <c r="L132" s="47" t="str">
        <f t="shared" si="13"/>
        <v xml:space="preserve"> </v>
      </c>
      <c r="M132" s="47" t="str">
        <f t="shared" si="13"/>
        <v xml:space="preserve"> </v>
      </c>
      <c r="N132" s="48" t="str">
        <f t="shared" si="8"/>
        <v xml:space="preserve"> </v>
      </c>
      <c r="O132" s="49" t="str">
        <f t="shared" si="9"/>
        <v xml:space="preserve"> </v>
      </c>
      <c r="P132" s="50" t="str">
        <f t="shared" si="10"/>
        <v xml:space="preserve"> </v>
      </c>
      <c r="Q132" s="48" t="str">
        <f t="shared" si="11"/>
        <v/>
      </c>
      <c r="R132" s="48" t="str">
        <f t="shared" si="14"/>
        <v/>
      </c>
      <c r="S132" s="53"/>
    </row>
    <row r="133" spans="1:19" ht="18" customHeight="1">
      <c r="A133" s="40"/>
      <c r="B133" s="41" t="s">
        <v>184</v>
      </c>
      <c r="C133" s="42" t="s">
        <v>60</v>
      </c>
      <c r="D133" s="43">
        <v>1.125</v>
      </c>
      <c r="E133" s="43">
        <v>0.05</v>
      </c>
      <c r="F133" s="43">
        <v>-0.05</v>
      </c>
      <c r="G133" s="44" t="s">
        <v>58</v>
      </c>
      <c r="H133" s="45"/>
      <c r="I133" s="46"/>
      <c r="J133" s="46"/>
      <c r="K133" s="47" t="str">
        <f t="shared" si="13"/>
        <v xml:space="preserve"> </v>
      </c>
      <c r="L133" s="47" t="str">
        <f t="shared" si="13"/>
        <v xml:space="preserve"> </v>
      </c>
      <c r="M133" s="47" t="str">
        <f t="shared" si="13"/>
        <v xml:space="preserve"> </v>
      </c>
      <c r="N133" s="48" t="str">
        <f t="shared" si="8"/>
        <v xml:space="preserve"> </v>
      </c>
      <c r="O133" s="49" t="str">
        <f t="shared" si="9"/>
        <v xml:space="preserve"> </v>
      </c>
      <c r="P133" s="50" t="str">
        <f t="shared" si="10"/>
        <v xml:space="preserve"> </v>
      </c>
      <c r="Q133" s="48" t="str">
        <f t="shared" si="11"/>
        <v/>
      </c>
      <c r="R133" s="48" t="str">
        <f t="shared" si="14"/>
        <v/>
      </c>
      <c r="S133" s="53"/>
    </row>
    <row r="134" spans="1:19" ht="18" customHeight="1">
      <c r="A134" s="40"/>
      <c r="B134" s="41" t="s">
        <v>185</v>
      </c>
      <c r="C134" s="42" t="s">
        <v>60</v>
      </c>
      <c r="D134" s="43">
        <v>0.35</v>
      </c>
      <c r="E134" s="43">
        <v>0.03</v>
      </c>
      <c r="F134" s="43">
        <v>-0.03</v>
      </c>
      <c r="G134" s="44" t="s">
        <v>58</v>
      </c>
      <c r="H134" s="45"/>
      <c r="I134" s="46"/>
      <c r="J134" s="46"/>
      <c r="K134" s="47" t="str">
        <f t="shared" si="13"/>
        <v xml:space="preserve"> </v>
      </c>
      <c r="L134" s="47" t="str">
        <f t="shared" si="13"/>
        <v xml:space="preserve"> </v>
      </c>
      <c r="M134" s="47" t="str">
        <f t="shared" si="13"/>
        <v xml:space="preserve"> </v>
      </c>
      <c r="N134" s="48" t="str">
        <f t="shared" si="8"/>
        <v xml:space="preserve"> </v>
      </c>
      <c r="O134" s="49" t="str">
        <f t="shared" si="9"/>
        <v xml:space="preserve"> </v>
      </c>
      <c r="P134" s="50" t="str">
        <f t="shared" si="10"/>
        <v xml:space="preserve"> </v>
      </c>
      <c r="Q134" s="48" t="str">
        <f t="shared" si="11"/>
        <v/>
      </c>
      <c r="R134" s="48" t="str">
        <f t="shared" si="14"/>
        <v/>
      </c>
      <c r="S134" s="53"/>
    </row>
    <row r="135" spans="1:19" ht="18" customHeight="1">
      <c r="A135" s="40"/>
      <c r="B135" s="41" t="s">
        <v>186</v>
      </c>
      <c r="C135" s="42" t="s">
        <v>60</v>
      </c>
      <c r="D135" s="43">
        <v>0.35</v>
      </c>
      <c r="E135" s="43">
        <v>0.03</v>
      </c>
      <c r="F135" s="43">
        <v>-0.03</v>
      </c>
      <c r="G135" s="44" t="s">
        <v>58</v>
      </c>
      <c r="H135" s="45"/>
      <c r="I135" s="46"/>
      <c r="J135" s="46"/>
      <c r="K135" s="47" t="str">
        <f t="shared" si="13"/>
        <v xml:space="preserve"> </v>
      </c>
      <c r="L135" s="47" t="str">
        <f t="shared" si="13"/>
        <v xml:space="preserve"> </v>
      </c>
      <c r="M135" s="47" t="str">
        <f t="shared" si="13"/>
        <v xml:space="preserve"> </v>
      </c>
      <c r="N135" s="48" t="str">
        <f t="shared" si="8"/>
        <v xml:space="preserve"> </v>
      </c>
      <c r="O135" s="49" t="str">
        <f t="shared" si="9"/>
        <v xml:space="preserve"> </v>
      </c>
      <c r="P135" s="50" t="str">
        <f t="shared" si="10"/>
        <v xml:space="preserve"> </v>
      </c>
      <c r="Q135" s="48" t="str">
        <f t="shared" si="11"/>
        <v/>
      </c>
      <c r="R135" s="48" t="str">
        <f t="shared" si="14"/>
        <v/>
      </c>
      <c r="S135" s="53"/>
    </row>
    <row r="136" spans="1:19" ht="18" customHeight="1">
      <c r="A136" s="40"/>
      <c r="B136" s="41" t="s">
        <v>187</v>
      </c>
      <c r="C136" s="42" t="s">
        <v>60</v>
      </c>
      <c r="D136" s="43">
        <v>0.35</v>
      </c>
      <c r="E136" s="43">
        <v>0.03</v>
      </c>
      <c r="F136" s="43">
        <v>-0.03</v>
      </c>
      <c r="G136" s="44" t="s">
        <v>58</v>
      </c>
      <c r="H136" s="45"/>
      <c r="I136" s="46"/>
      <c r="J136" s="46"/>
      <c r="K136" s="47" t="str">
        <f t="shared" si="13"/>
        <v xml:space="preserve"> </v>
      </c>
      <c r="L136" s="47" t="str">
        <f t="shared" si="13"/>
        <v xml:space="preserve"> </v>
      </c>
      <c r="M136" s="47" t="str">
        <f t="shared" si="13"/>
        <v xml:space="preserve"> </v>
      </c>
      <c r="N136" s="48" t="str">
        <f t="shared" si="8"/>
        <v xml:space="preserve"> </v>
      </c>
      <c r="O136" s="49" t="str">
        <f t="shared" si="9"/>
        <v xml:space="preserve"> </v>
      </c>
      <c r="P136" s="50" t="str">
        <f t="shared" si="10"/>
        <v xml:space="preserve"> </v>
      </c>
      <c r="Q136" s="48" t="str">
        <f t="shared" si="11"/>
        <v/>
      </c>
      <c r="R136" s="48" t="str">
        <f t="shared" si="14"/>
        <v/>
      </c>
      <c r="S136" s="53"/>
    </row>
    <row r="137" spans="1:19" ht="18" customHeight="1">
      <c r="A137" s="40"/>
      <c r="B137" s="41" t="s">
        <v>188</v>
      </c>
      <c r="C137" s="42" t="s">
        <v>60</v>
      </c>
      <c r="D137" s="43">
        <v>0.35</v>
      </c>
      <c r="E137" s="43">
        <v>0.03</v>
      </c>
      <c r="F137" s="43">
        <v>-0.03</v>
      </c>
      <c r="G137" s="44" t="s">
        <v>58</v>
      </c>
      <c r="H137" s="45"/>
      <c r="I137" s="46"/>
      <c r="J137" s="46"/>
      <c r="K137" s="47" t="str">
        <f t="shared" si="13"/>
        <v xml:space="preserve"> </v>
      </c>
      <c r="L137" s="47" t="str">
        <f t="shared" si="13"/>
        <v xml:space="preserve"> </v>
      </c>
      <c r="M137" s="47" t="str">
        <f t="shared" si="13"/>
        <v xml:space="preserve"> </v>
      </c>
      <c r="N137" s="48" t="str">
        <f t="shared" si="8"/>
        <v xml:space="preserve"> </v>
      </c>
      <c r="O137" s="49" t="str">
        <f t="shared" si="9"/>
        <v xml:space="preserve"> </v>
      </c>
      <c r="P137" s="50" t="str">
        <f t="shared" si="10"/>
        <v xml:space="preserve"> </v>
      </c>
      <c r="Q137" s="48" t="str">
        <f t="shared" si="11"/>
        <v/>
      </c>
      <c r="R137" s="48" t="str">
        <f t="shared" si="14"/>
        <v/>
      </c>
      <c r="S137" s="53"/>
    </row>
    <row r="138" spans="1:19" ht="18" customHeight="1">
      <c r="A138" s="40"/>
      <c r="B138" s="41" t="s">
        <v>189</v>
      </c>
      <c r="C138" s="42" t="s">
        <v>60</v>
      </c>
      <c r="D138" s="43">
        <v>0.25</v>
      </c>
      <c r="E138" s="43">
        <v>0.03</v>
      </c>
      <c r="F138" s="43">
        <v>-0.03</v>
      </c>
      <c r="G138" s="44" t="s">
        <v>58</v>
      </c>
      <c r="H138" s="45"/>
      <c r="I138" s="46"/>
      <c r="J138" s="46"/>
      <c r="K138" s="47" t="str">
        <f t="shared" si="13"/>
        <v xml:space="preserve"> </v>
      </c>
      <c r="L138" s="47" t="str">
        <f t="shared" si="13"/>
        <v xml:space="preserve"> </v>
      </c>
      <c r="M138" s="47" t="str">
        <f t="shared" si="13"/>
        <v xml:space="preserve"> </v>
      </c>
      <c r="N138" s="48" t="str">
        <f t="shared" si="8"/>
        <v xml:space="preserve"> </v>
      </c>
      <c r="O138" s="49" t="str">
        <f t="shared" si="9"/>
        <v xml:space="preserve"> </v>
      </c>
      <c r="P138" s="50" t="str">
        <f t="shared" si="10"/>
        <v xml:space="preserve"> </v>
      </c>
      <c r="Q138" s="48" t="str">
        <f t="shared" si="11"/>
        <v/>
      </c>
      <c r="R138" s="48" t="str">
        <f t="shared" si="14"/>
        <v/>
      </c>
      <c r="S138" s="53"/>
    </row>
    <row r="139" spans="1:19" ht="18" customHeight="1">
      <c r="A139" s="40"/>
      <c r="B139" s="41" t="s">
        <v>190</v>
      </c>
      <c r="C139" s="42" t="s">
        <v>60</v>
      </c>
      <c r="D139" s="43">
        <v>0.25</v>
      </c>
      <c r="E139" s="43">
        <v>0.03</v>
      </c>
      <c r="F139" s="43">
        <v>-0.03</v>
      </c>
      <c r="G139" s="44" t="s">
        <v>58</v>
      </c>
      <c r="H139" s="45"/>
      <c r="I139" s="46"/>
      <c r="J139" s="46"/>
      <c r="K139" s="54" t="str">
        <f t="shared" si="13"/>
        <v xml:space="preserve"> </v>
      </c>
      <c r="L139" s="54" t="str">
        <f t="shared" si="13"/>
        <v xml:space="preserve"> </v>
      </c>
      <c r="M139" s="54" t="str">
        <f t="shared" si="13"/>
        <v xml:space="preserve"> </v>
      </c>
      <c r="N139" s="54" t="str">
        <f t="shared" si="8"/>
        <v xml:space="preserve"> </v>
      </c>
      <c r="O139" s="55" t="str">
        <f t="shared" si="9"/>
        <v xml:space="preserve"> </v>
      </c>
      <c r="P139" s="56" t="str">
        <f t="shared" si="10"/>
        <v xml:space="preserve"> </v>
      </c>
      <c r="Q139" s="48" t="str">
        <f t="shared" si="11"/>
        <v/>
      </c>
      <c r="R139" s="54" t="str">
        <f t="shared" si="14"/>
        <v/>
      </c>
      <c r="S139" s="53"/>
    </row>
    <row r="140" spans="1:19" ht="18" customHeight="1">
      <c r="A140" s="40"/>
      <c r="B140" s="41" t="s">
        <v>191</v>
      </c>
      <c r="C140" s="42" t="s">
        <v>60</v>
      </c>
      <c r="D140" s="43">
        <v>3.375</v>
      </c>
      <c r="E140" s="43">
        <v>0.03</v>
      </c>
      <c r="F140" s="43">
        <v>-4.4999999999999998E-2</v>
      </c>
      <c r="G140" s="44" t="s">
        <v>58</v>
      </c>
      <c r="H140" s="45"/>
      <c r="I140" s="46"/>
      <c r="J140" s="46"/>
      <c r="K140" s="54" t="str">
        <f t="shared" si="13"/>
        <v xml:space="preserve"> </v>
      </c>
      <c r="L140" s="54" t="str">
        <f t="shared" si="13"/>
        <v xml:space="preserve"> </v>
      </c>
      <c r="M140" s="54" t="str">
        <f t="shared" si="13"/>
        <v xml:space="preserve"> </v>
      </c>
      <c r="N140" s="54" t="str">
        <f t="shared" si="8"/>
        <v xml:space="preserve"> </v>
      </c>
      <c r="O140" s="55" t="str">
        <f t="shared" si="9"/>
        <v xml:space="preserve"> </v>
      </c>
      <c r="P140" s="56" t="str">
        <f t="shared" si="10"/>
        <v xml:space="preserve"> </v>
      </c>
      <c r="Q140" s="48" t="str">
        <f t="shared" si="11"/>
        <v/>
      </c>
      <c r="R140" s="54" t="str">
        <f t="shared" si="14"/>
        <v/>
      </c>
      <c r="S140" s="53"/>
    </row>
    <row r="141" spans="1:19" ht="18" customHeight="1">
      <c r="A141" s="40"/>
      <c r="B141" s="41" t="s">
        <v>192</v>
      </c>
      <c r="C141" s="42" t="s">
        <v>60</v>
      </c>
      <c r="D141" s="43">
        <v>-0.45</v>
      </c>
      <c r="E141" s="43">
        <v>1.4999999999999999E-2</v>
      </c>
      <c r="F141" s="43">
        <v>-1.4999999999999999E-2</v>
      </c>
      <c r="G141" s="44" t="s">
        <v>70</v>
      </c>
      <c r="H141" s="45"/>
      <c r="I141" s="46"/>
      <c r="J141" s="46"/>
      <c r="K141" s="54" t="str">
        <f t="shared" ref="K141:M157" si="15">IF(ISERR(H141/H141)=TRUE," ",H141-$D141)</f>
        <v xml:space="preserve"> </v>
      </c>
      <c r="L141" s="54" t="str">
        <f t="shared" si="15"/>
        <v xml:space="preserve"> </v>
      </c>
      <c r="M141" s="54" t="str">
        <f t="shared" si="15"/>
        <v xml:space="preserve"> </v>
      </c>
      <c r="N141" s="54" t="str">
        <f t="shared" si="8"/>
        <v xml:space="preserve"> </v>
      </c>
      <c r="O141" s="55" t="str">
        <f t="shared" si="9"/>
        <v xml:space="preserve"> </v>
      </c>
      <c r="P141" s="56" t="str">
        <f t="shared" si="10"/>
        <v xml:space="preserve"> </v>
      </c>
      <c r="Q141" s="48" t="str">
        <f t="shared" si="11"/>
        <v/>
      </c>
      <c r="R141" s="54"/>
      <c r="S141" s="53"/>
    </row>
    <row r="142" spans="1:19" ht="18" customHeight="1">
      <c r="A142" s="40"/>
      <c r="B142" s="41" t="s">
        <v>193</v>
      </c>
      <c r="C142" s="42" t="s">
        <v>60</v>
      </c>
      <c r="D142" s="43"/>
      <c r="E142" s="43">
        <v>3.0000000000000001E-3</v>
      </c>
      <c r="F142" s="43">
        <v>-3.0000000000000001E-3</v>
      </c>
      <c r="G142" s="44" t="s">
        <v>70</v>
      </c>
      <c r="H142" s="45"/>
      <c r="I142" s="46"/>
      <c r="J142" s="46"/>
      <c r="K142" s="54" t="str">
        <f t="shared" si="15"/>
        <v xml:space="preserve"> </v>
      </c>
      <c r="L142" s="54" t="str">
        <f t="shared" si="15"/>
        <v xml:space="preserve"> </v>
      </c>
      <c r="M142" s="54" t="str">
        <f t="shared" si="15"/>
        <v xml:space="preserve"> </v>
      </c>
      <c r="N142" s="54" t="str">
        <f t="shared" si="8"/>
        <v xml:space="preserve"> </v>
      </c>
      <c r="O142" s="55" t="str">
        <f t="shared" si="9"/>
        <v xml:space="preserve"> </v>
      </c>
      <c r="P142" s="56" t="str">
        <f t="shared" si="10"/>
        <v xml:space="preserve"> </v>
      </c>
      <c r="Q142" s="48" t="str">
        <f t="shared" si="11"/>
        <v/>
      </c>
      <c r="R142" s="54"/>
      <c r="S142" s="53"/>
    </row>
    <row r="143" spans="1:19" ht="18" customHeight="1">
      <c r="A143" s="40"/>
      <c r="B143" s="41" t="s">
        <v>194</v>
      </c>
      <c r="C143" s="42" t="s">
        <v>60</v>
      </c>
      <c r="D143" s="43"/>
      <c r="E143" s="43">
        <v>3.0000000000000001E-3</v>
      </c>
      <c r="F143" s="43">
        <v>-3.0000000000000001E-3</v>
      </c>
      <c r="G143" s="44" t="s">
        <v>70</v>
      </c>
      <c r="H143" s="45"/>
      <c r="I143" s="46"/>
      <c r="J143" s="46"/>
      <c r="K143" s="54" t="str">
        <f t="shared" si="15"/>
        <v xml:space="preserve"> </v>
      </c>
      <c r="L143" s="54" t="str">
        <f t="shared" si="15"/>
        <v xml:space="preserve"> </v>
      </c>
      <c r="M143" s="54" t="str">
        <f t="shared" si="15"/>
        <v xml:space="preserve"> </v>
      </c>
      <c r="N143" s="54" t="str">
        <f t="shared" ref="N143:N158" si="16">IF(ISERR(H143/H143)=TRUE," ",AVERAGE(H143:J143))</f>
        <v xml:space="preserve"> </v>
      </c>
      <c r="O143" s="55" t="str">
        <f t="shared" ref="O143:O158" si="17">IF(ISERR(E143/E143)=TRUE," ",IF(ISERR(H143/H143)=TRUE," ",IF(ISNUMBER($H143)=FALSE," ",IF(MAX($H143:$J143)&lt;$D143,0,(MAX($H143:$J143)-$D143)/$E143))))</f>
        <v xml:space="preserve"> </v>
      </c>
      <c r="P143" s="56" t="str">
        <f t="shared" ref="P143:P158" si="18">IF(ISERR(F143/D143)=TRUE," ",IF(ISERR(F143/F143)=TRUE," ",IF(ISERR(H143/H143)=TRUE," ",IF(ISNUMBER(H143)=FALSE," ",IF(MIN(H143:J143)&gt;$D143,0,($D143-MIN(H143:J143))/-F143)))))</f>
        <v xml:space="preserve"> </v>
      </c>
      <c r="Q143" s="48" t="str">
        <f t="shared" ref="Q143:Q158" si="19">IF(ISNUMBER($O143)=TRUE,IF($O143&gt;0.651,IF($O143&gt;1.001,"Reject","Alert"),""),"")</f>
        <v/>
      </c>
      <c r="R143" s="54"/>
      <c r="S143" s="53"/>
    </row>
    <row r="144" spans="1:19" ht="18" customHeight="1">
      <c r="A144" s="40"/>
      <c r="B144" s="41" t="s">
        <v>195</v>
      </c>
      <c r="C144" s="42" t="s">
        <v>60</v>
      </c>
      <c r="D144" s="43"/>
      <c r="E144" s="43">
        <v>7.0000000000000001E-3</v>
      </c>
      <c r="F144" s="43">
        <v>-7.0000000000000001E-3</v>
      </c>
      <c r="G144" s="44" t="s">
        <v>70</v>
      </c>
      <c r="H144" s="45"/>
      <c r="I144" s="46"/>
      <c r="J144" s="46"/>
      <c r="K144" s="54" t="str">
        <f t="shared" si="15"/>
        <v xml:space="preserve"> </v>
      </c>
      <c r="L144" s="54" t="str">
        <f t="shared" si="15"/>
        <v xml:space="preserve"> </v>
      </c>
      <c r="M144" s="54" t="str">
        <f t="shared" si="15"/>
        <v xml:space="preserve"> </v>
      </c>
      <c r="N144" s="54" t="str">
        <f t="shared" si="16"/>
        <v xml:space="preserve"> </v>
      </c>
      <c r="O144" s="55" t="str">
        <f t="shared" si="17"/>
        <v xml:space="preserve"> </v>
      </c>
      <c r="P144" s="56" t="str">
        <f t="shared" si="18"/>
        <v xml:space="preserve"> </v>
      </c>
      <c r="Q144" s="48" t="str">
        <f t="shared" si="19"/>
        <v/>
      </c>
      <c r="R144" s="54"/>
      <c r="S144" s="53"/>
    </row>
    <row r="145" spans="1:19" ht="18" customHeight="1">
      <c r="A145" s="40"/>
      <c r="B145" s="41" t="s">
        <v>196</v>
      </c>
      <c r="C145" s="42" t="s">
        <v>60</v>
      </c>
      <c r="D145" s="43"/>
      <c r="E145" s="43">
        <v>8.0000000000000002E-3</v>
      </c>
      <c r="F145" s="43">
        <v>-8.0000000000000002E-3</v>
      </c>
      <c r="G145" s="44" t="s">
        <v>70</v>
      </c>
      <c r="H145" s="45"/>
      <c r="I145" s="46"/>
      <c r="J145" s="46"/>
      <c r="K145" s="54" t="str">
        <f t="shared" si="15"/>
        <v xml:space="preserve"> </v>
      </c>
      <c r="L145" s="54" t="str">
        <f t="shared" si="15"/>
        <v xml:space="preserve"> </v>
      </c>
      <c r="M145" s="54" t="str">
        <f t="shared" si="15"/>
        <v xml:space="preserve"> </v>
      </c>
      <c r="N145" s="54" t="str">
        <f t="shared" si="16"/>
        <v xml:space="preserve"> </v>
      </c>
      <c r="O145" s="55" t="str">
        <f t="shared" si="17"/>
        <v xml:space="preserve"> </v>
      </c>
      <c r="P145" s="56" t="str">
        <f t="shared" si="18"/>
        <v xml:space="preserve"> </v>
      </c>
      <c r="Q145" s="48" t="str">
        <f t="shared" si="19"/>
        <v/>
      </c>
      <c r="R145" s="54"/>
      <c r="S145" s="53"/>
    </row>
    <row r="146" spans="1:19" ht="18" customHeight="1">
      <c r="A146" s="40"/>
      <c r="B146" s="41" t="s">
        <v>197</v>
      </c>
      <c r="C146" s="42" t="s">
        <v>60</v>
      </c>
      <c r="D146" s="43">
        <v>-0.45</v>
      </c>
      <c r="E146" s="43">
        <v>1.4999999999999999E-2</v>
      </c>
      <c r="F146" s="43">
        <v>-1.4999999999999999E-2</v>
      </c>
      <c r="G146" s="44" t="s">
        <v>70</v>
      </c>
      <c r="H146" s="45"/>
      <c r="I146" s="46"/>
      <c r="J146" s="46"/>
      <c r="K146" s="54" t="str">
        <f t="shared" si="15"/>
        <v xml:space="preserve"> </v>
      </c>
      <c r="L146" s="54" t="str">
        <f t="shared" si="15"/>
        <v xml:space="preserve"> </v>
      </c>
      <c r="M146" s="54" t="str">
        <f t="shared" si="15"/>
        <v xml:space="preserve"> </v>
      </c>
      <c r="N146" s="54" t="str">
        <f t="shared" si="16"/>
        <v xml:space="preserve"> </v>
      </c>
      <c r="O146" s="55" t="str">
        <f t="shared" si="17"/>
        <v xml:space="preserve"> </v>
      </c>
      <c r="P146" s="56" t="str">
        <f t="shared" si="18"/>
        <v xml:space="preserve"> </v>
      </c>
      <c r="Q146" s="48" t="str">
        <f t="shared" si="19"/>
        <v/>
      </c>
      <c r="R146" s="54"/>
      <c r="S146" s="53"/>
    </row>
    <row r="147" spans="1:19" ht="18" customHeight="1">
      <c r="A147" s="40"/>
      <c r="B147" s="41" t="s">
        <v>198</v>
      </c>
      <c r="C147" s="42" t="s">
        <v>60</v>
      </c>
      <c r="D147" s="43"/>
      <c r="E147" s="43">
        <v>3.0000000000000001E-3</v>
      </c>
      <c r="F147" s="43">
        <v>-3.0000000000000001E-3</v>
      </c>
      <c r="G147" s="44" t="s">
        <v>70</v>
      </c>
      <c r="H147" s="45"/>
      <c r="I147" s="46"/>
      <c r="J147" s="46"/>
      <c r="K147" s="54" t="str">
        <f t="shared" si="15"/>
        <v xml:space="preserve"> </v>
      </c>
      <c r="L147" s="54" t="str">
        <f t="shared" si="15"/>
        <v xml:space="preserve"> </v>
      </c>
      <c r="M147" s="54" t="str">
        <f t="shared" si="15"/>
        <v xml:space="preserve"> </v>
      </c>
      <c r="N147" s="54" t="str">
        <f t="shared" si="16"/>
        <v xml:space="preserve"> </v>
      </c>
      <c r="O147" s="55" t="str">
        <f t="shared" si="17"/>
        <v xml:space="preserve"> </v>
      </c>
      <c r="P147" s="56" t="str">
        <f t="shared" si="18"/>
        <v xml:space="preserve"> </v>
      </c>
      <c r="Q147" s="48" t="str">
        <f t="shared" si="19"/>
        <v/>
      </c>
      <c r="R147" s="54"/>
      <c r="S147" s="53"/>
    </row>
    <row r="148" spans="1:19" ht="18" customHeight="1">
      <c r="A148" s="40"/>
      <c r="B148" s="41" t="s">
        <v>199</v>
      </c>
      <c r="C148" s="42" t="s">
        <v>60</v>
      </c>
      <c r="D148" s="43"/>
      <c r="E148" s="43">
        <v>3.0000000000000001E-3</v>
      </c>
      <c r="F148" s="43">
        <v>-3.0000000000000001E-3</v>
      </c>
      <c r="G148" s="44" t="s">
        <v>70</v>
      </c>
      <c r="H148" s="45"/>
      <c r="I148" s="46"/>
      <c r="J148" s="46"/>
      <c r="K148" s="54" t="str">
        <f t="shared" si="15"/>
        <v xml:space="preserve"> </v>
      </c>
      <c r="L148" s="54" t="str">
        <f t="shared" si="15"/>
        <v xml:space="preserve"> </v>
      </c>
      <c r="M148" s="54" t="str">
        <f t="shared" si="15"/>
        <v xml:space="preserve"> </v>
      </c>
      <c r="N148" s="54" t="str">
        <f t="shared" si="16"/>
        <v xml:space="preserve"> </v>
      </c>
      <c r="O148" s="55" t="str">
        <f t="shared" si="17"/>
        <v xml:space="preserve"> </v>
      </c>
      <c r="P148" s="56" t="str">
        <f t="shared" si="18"/>
        <v xml:space="preserve"> </v>
      </c>
      <c r="Q148" s="48" t="str">
        <f t="shared" si="19"/>
        <v/>
      </c>
      <c r="R148" s="54"/>
      <c r="S148" s="53"/>
    </row>
    <row r="149" spans="1:19" ht="18" customHeight="1">
      <c r="A149" s="40"/>
      <c r="B149" s="41" t="s">
        <v>200</v>
      </c>
      <c r="C149" s="42" t="s">
        <v>60</v>
      </c>
      <c r="D149" s="43"/>
      <c r="E149" s="43">
        <v>7.0000000000000001E-3</v>
      </c>
      <c r="F149" s="43">
        <v>-7.0000000000000001E-3</v>
      </c>
      <c r="G149" s="44" t="s">
        <v>70</v>
      </c>
      <c r="H149" s="45"/>
      <c r="I149" s="46"/>
      <c r="J149" s="46"/>
      <c r="K149" s="54" t="str">
        <f t="shared" si="15"/>
        <v xml:space="preserve"> </v>
      </c>
      <c r="L149" s="54" t="str">
        <f t="shared" si="15"/>
        <v xml:space="preserve"> </v>
      </c>
      <c r="M149" s="54" t="str">
        <f t="shared" si="15"/>
        <v xml:space="preserve"> </v>
      </c>
      <c r="N149" s="54" t="str">
        <f t="shared" si="16"/>
        <v xml:space="preserve"> </v>
      </c>
      <c r="O149" s="55" t="str">
        <f t="shared" si="17"/>
        <v xml:space="preserve"> </v>
      </c>
      <c r="P149" s="56" t="str">
        <f t="shared" si="18"/>
        <v xml:space="preserve"> </v>
      </c>
      <c r="Q149" s="48" t="str">
        <f t="shared" si="19"/>
        <v/>
      </c>
      <c r="R149" s="54"/>
      <c r="S149" s="53"/>
    </row>
    <row r="150" spans="1:19" ht="18" customHeight="1">
      <c r="A150" s="40"/>
      <c r="B150" s="41" t="s">
        <v>201</v>
      </c>
      <c r="C150" s="42" t="s">
        <v>60</v>
      </c>
      <c r="D150" s="43"/>
      <c r="E150" s="43">
        <v>8.0000000000000002E-3</v>
      </c>
      <c r="F150" s="43">
        <v>-8.0000000000000002E-3</v>
      </c>
      <c r="G150" s="44" t="s">
        <v>70</v>
      </c>
      <c r="H150" s="45"/>
      <c r="I150" s="46"/>
      <c r="J150" s="46"/>
      <c r="K150" s="54" t="str">
        <f t="shared" si="15"/>
        <v xml:space="preserve"> </v>
      </c>
      <c r="L150" s="54" t="str">
        <f t="shared" si="15"/>
        <v xml:space="preserve"> </v>
      </c>
      <c r="M150" s="54" t="str">
        <f t="shared" si="15"/>
        <v xml:space="preserve"> </v>
      </c>
      <c r="N150" s="54" t="str">
        <f t="shared" si="16"/>
        <v xml:space="preserve"> </v>
      </c>
      <c r="O150" s="55" t="str">
        <f t="shared" si="17"/>
        <v xml:space="preserve"> </v>
      </c>
      <c r="P150" s="56" t="str">
        <f t="shared" si="18"/>
        <v xml:space="preserve"> </v>
      </c>
      <c r="Q150" s="48" t="str">
        <f t="shared" si="19"/>
        <v/>
      </c>
      <c r="R150" s="54"/>
      <c r="S150" s="53"/>
    </row>
    <row r="151" spans="1:19" ht="18" customHeight="1">
      <c r="A151" s="40"/>
      <c r="B151" s="41" t="s">
        <v>202</v>
      </c>
      <c r="C151" s="42" t="s">
        <v>60</v>
      </c>
      <c r="D151" s="43">
        <v>-0.45</v>
      </c>
      <c r="E151" s="43">
        <v>1.4999999999999999E-2</v>
      </c>
      <c r="F151" s="43">
        <v>-1.4999999999999999E-2</v>
      </c>
      <c r="G151" s="44" t="s">
        <v>70</v>
      </c>
      <c r="H151" s="45"/>
      <c r="I151" s="46"/>
      <c r="J151" s="46"/>
      <c r="K151" s="54" t="str">
        <f t="shared" si="15"/>
        <v xml:space="preserve"> </v>
      </c>
      <c r="L151" s="54" t="str">
        <f t="shared" si="15"/>
        <v xml:space="preserve"> </v>
      </c>
      <c r="M151" s="54" t="str">
        <f t="shared" si="15"/>
        <v xml:space="preserve"> </v>
      </c>
      <c r="N151" s="54" t="str">
        <f t="shared" si="16"/>
        <v xml:space="preserve"> </v>
      </c>
      <c r="O151" s="55" t="str">
        <f t="shared" si="17"/>
        <v xml:space="preserve"> </v>
      </c>
      <c r="P151" s="56" t="str">
        <f t="shared" si="18"/>
        <v xml:space="preserve"> </v>
      </c>
      <c r="Q151" s="48" t="str">
        <f t="shared" si="19"/>
        <v/>
      </c>
      <c r="R151" s="54"/>
      <c r="S151" s="53"/>
    </row>
    <row r="152" spans="1:19" ht="18" customHeight="1">
      <c r="A152" s="40"/>
      <c r="B152" s="41" t="s">
        <v>203</v>
      </c>
      <c r="C152" s="42" t="s">
        <v>60</v>
      </c>
      <c r="D152" s="43"/>
      <c r="E152" s="43">
        <v>3.0000000000000001E-3</v>
      </c>
      <c r="F152" s="43">
        <v>-3.0000000000000001E-3</v>
      </c>
      <c r="G152" s="44" t="s">
        <v>70</v>
      </c>
      <c r="H152" s="45"/>
      <c r="I152" s="46"/>
      <c r="J152" s="46"/>
      <c r="K152" s="54" t="str">
        <f t="shared" si="15"/>
        <v xml:space="preserve"> </v>
      </c>
      <c r="L152" s="54" t="str">
        <f t="shared" si="15"/>
        <v xml:space="preserve"> </v>
      </c>
      <c r="M152" s="54" t="str">
        <f t="shared" si="15"/>
        <v xml:space="preserve"> </v>
      </c>
      <c r="N152" s="54" t="str">
        <f t="shared" si="16"/>
        <v xml:space="preserve"> </v>
      </c>
      <c r="O152" s="55" t="str">
        <f t="shared" si="17"/>
        <v xml:space="preserve"> </v>
      </c>
      <c r="P152" s="56" t="str">
        <f t="shared" si="18"/>
        <v xml:space="preserve"> </v>
      </c>
      <c r="Q152" s="48" t="str">
        <f t="shared" si="19"/>
        <v/>
      </c>
      <c r="R152" s="54"/>
      <c r="S152" s="53"/>
    </row>
    <row r="153" spans="1:19" ht="18" customHeight="1">
      <c r="A153" s="40"/>
      <c r="B153" s="41" t="s">
        <v>204</v>
      </c>
      <c r="C153" s="42" t="s">
        <v>60</v>
      </c>
      <c r="D153" s="43"/>
      <c r="E153" s="43">
        <v>3.0000000000000001E-3</v>
      </c>
      <c r="F153" s="43">
        <v>-4.0000000000000001E-3</v>
      </c>
      <c r="G153" s="44" t="s">
        <v>70</v>
      </c>
      <c r="H153" s="45"/>
      <c r="I153" s="46"/>
      <c r="J153" s="46"/>
      <c r="K153" s="54" t="str">
        <f t="shared" si="15"/>
        <v xml:space="preserve"> </v>
      </c>
      <c r="L153" s="54" t="str">
        <f t="shared" si="15"/>
        <v xml:space="preserve"> </v>
      </c>
      <c r="M153" s="54" t="str">
        <f t="shared" si="15"/>
        <v xml:space="preserve"> </v>
      </c>
      <c r="N153" s="54" t="str">
        <f t="shared" si="16"/>
        <v xml:space="preserve"> </v>
      </c>
      <c r="O153" s="55" t="str">
        <f t="shared" si="17"/>
        <v xml:space="preserve"> </v>
      </c>
      <c r="P153" s="56" t="str">
        <f t="shared" si="18"/>
        <v xml:space="preserve"> </v>
      </c>
      <c r="Q153" s="48" t="str">
        <f t="shared" si="19"/>
        <v/>
      </c>
      <c r="R153" s="54"/>
      <c r="S153" s="53"/>
    </row>
    <row r="154" spans="1:19" ht="18" customHeight="1">
      <c r="A154" s="40"/>
      <c r="B154" s="41" t="s">
        <v>337</v>
      </c>
      <c r="C154" s="42" t="s">
        <v>60</v>
      </c>
      <c r="D154" s="43"/>
      <c r="E154" s="43">
        <v>4.0000000000000001E-3</v>
      </c>
      <c r="F154" s="43">
        <v>-6.0000000000000001E-3</v>
      </c>
      <c r="G154" s="44" t="s">
        <v>70</v>
      </c>
      <c r="H154" s="45"/>
      <c r="I154" s="46"/>
      <c r="J154" s="46"/>
      <c r="K154" s="54" t="str">
        <f t="shared" ref="K154" si="20">IF(ISERR(H154/H154)=TRUE," ",H154-$D154)</f>
        <v xml:space="preserve"> </v>
      </c>
      <c r="L154" s="54" t="str">
        <f t="shared" ref="L154" si="21">IF(ISERR(I154/I154)=TRUE," ",I154-$D154)</f>
        <v xml:space="preserve"> </v>
      </c>
      <c r="M154" s="54" t="str">
        <f t="shared" ref="M154" si="22">IF(ISERR(J154/J154)=TRUE," ",J154-$D154)</f>
        <v xml:space="preserve"> </v>
      </c>
      <c r="N154" s="54" t="str">
        <f t="shared" ref="N154" si="23">IF(ISERR(H154/H154)=TRUE," ",AVERAGE(H154:J154))</f>
        <v xml:space="preserve"> </v>
      </c>
      <c r="O154" s="55" t="str">
        <f t="shared" ref="O154" si="24">IF(ISERR(E154/E154)=TRUE," ",IF(ISERR(H154/H154)=TRUE," ",IF(ISNUMBER($H154)=FALSE," ",IF(MAX($H154:$J154)&lt;$D154,0,(MAX($H154:$J154)-$D154)/$E154))))</f>
        <v xml:space="preserve"> </v>
      </c>
      <c r="P154" s="56" t="str">
        <f t="shared" ref="P154" si="25">IF(ISERR(F154/D154)=TRUE," ",IF(ISERR(F154/F154)=TRUE," ",IF(ISERR(H154/H154)=TRUE," ",IF(ISNUMBER(H154)=FALSE," ",IF(MIN(H154:J154)&gt;$D154,0,($D154-MIN(H154:J154))/-F154)))))</f>
        <v xml:space="preserve"> </v>
      </c>
      <c r="Q154" s="48" t="str">
        <f t="shared" si="19"/>
        <v/>
      </c>
      <c r="R154" s="54"/>
      <c r="S154" s="53"/>
    </row>
    <row r="155" spans="1:19" ht="18" customHeight="1">
      <c r="A155" s="40"/>
      <c r="B155" s="41" t="s">
        <v>205</v>
      </c>
      <c r="C155" s="42" t="s">
        <v>60</v>
      </c>
      <c r="D155" s="43"/>
      <c r="E155" s="43">
        <v>5.0000000000000001E-3</v>
      </c>
      <c r="F155" s="43">
        <v>-8.9999999999999993E-3</v>
      </c>
      <c r="G155" s="44" t="s">
        <v>70</v>
      </c>
      <c r="H155" s="45"/>
      <c r="I155" s="46"/>
      <c r="J155" s="46"/>
      <c r="K155" s="54" t="str">
        <f t="shared" si="15"/>
        <v xml:space="preserve"> </v>
      </c>
      <c r="L155" s="54" t="str">
        <f t="shared" si="15"/>
        <v xml:space="preserve"> </v>
      </c>
      <c r="M155" s="54" t="str">
        <f t="shared" si="15"/>
        <v xml:space="preserve"> </v>
      </c>
      <c r="N155" s="54" t="str">
        <f t="shared" si="16"/>
        <v xml:space="preserve"> </v>
      </c>
      <c r="O155" s="55" t="str">
        <f t="shared" si="17"/>
        <v xml:space="preserve"> </v>
      </c>
      <c r="P155" s="56" t="str">
        <f t="shared" si="18"/>
        <v xml:space="preserve"> </v>
      </c>
      <c r="Q155" s="48" t="str">
        <f t="shared" si="19"/>
        <v/>
      </c>
      <c r="R155" s="54"/>
      <c r="S155" s="53"/>
    </row>
    <row r="156" spans="1:19" ht="18" customHeight="1">
      <c r="A156" s="40"/>
      <c r="B156" s="41" t="s">
        <v>206</v>
      </c>
      <c r="C156" s="42" t="s">
        <v>60</v>
      </c>
      <c r="D156" s="43"/>
      <c r="E156" s="43">
        <v>6.0000000000000001E-3</v>
      </c>
      <c r="F156" s="43">
        <v>-0.01</v>
      </c>
      <c r="G156" s="44" t="s">
        <v>70</v>
      </c>
      <c r="H156" s="45"/>
      <c r="I156" s="46"/>
      <c r="J156" s="46"/>
      <c r="K156" s="54" t="str">
        <f t="shared" si="15"/>
        <v xml:space="preserve"> </v>
      </c>
      <c r="L156" s="54" t="str">
        <f t="shared" si="15"/>
        <v xml:space="preserve"> </v>
      </c>
      <c r="M156" s="54" t="str">
        <f t="shared" si="15"/>
        <v xml:space="preserve"> </v>
      </c>
      <c r="N156" s="54" t="str">
        <f t="shared" si="16"/>
        <v xml:space="preserve"> </v>
      </c>
      <c r="O156" s="55" t="str">
        <f t="shared" si="17"/>
        <v xml:space="preserve"> </v>
      </c>
      <c r="P156" s="56" t="str">
        <f t="shared" si="18"/>
        <v xml:space="preserve"> </v>
      </c>
      <c r="Q156" s="48" t="str">
        <f t="shared" si="19"/>
        <v/>
      </c>
      <c r="R156" s="54"/>
      <c r="S156" s="53"/>
    </row>
    <row r="157" spans="1:19" ht="18" customHeight="1">
      <c r="A157" s="40"/>
      <c r="B157" s="41" t="s">
        <v>207</v>
      </c>
      <c r="C157" s="42" t="s">
        <v>60</v>
      </c>
      <c r="D157" s="43">
        <v>92</v>
      </c>
      <c r="E157" s="43">
        <v>3</v>
      </c>
      <c r="F157" s="43">
        <v>-3</v>
      </c>
      <c r="G157" s="44" t="s">
        <v>58</v>
      </c>
      <c r="H157" s="45"/>
      <c r="I157" s="46"/>
      <c r="J157" s="46"/>
      <c r="K157" s="54" t="str">
        <f t="shared" si="15"/>
        <v xml:space="preserve"> </v>
      </c>
      <c r="L157" s="54" t="str">
        <f t="shared" si="15"/>
        <v xml:space="preserve"> </v>
      </c>
      <c r="M157" s="54" t="str">
        <f t="shared" si="15"/>
        <v xml:space="preserve"> </v>
      </c>
      <c r="N157" s="54" t="str">
        <f t="shared" si="16"/>
        <v xml:space="preserve"> </v>
      </c>
      <c r="O157" s="55" t="str">
        <f t="shared" si="17"/>
        <v xml:space="preserve"> </v>
      </c>
      <c r="P157" s="56" t="str">
        <f t="shared" si="18"/>
        <v xml:space="preserve"> </v>
      </c>
      <c r="Q157" s="48" t="str">
        <f t="shared" si="19"/>
        <v/>
      </c>
      <c r="R157" s="54"/>
      <c r="S157" s="53"/>
    </row>
    <row r="158" spans="1:19" ht="18" customHeight="1">
      <c r="A158" s="40"/>
      <c r="B158" s="41" t="s">
        <v>208</v>
      </c>
      <c r="C158" s="42" t="s">
        <v>60</v>
      </c>
      <c r="D158" s="43">
        <v>91.8</v>
      </c>
      <c r="E158" s="43">
        <v>3</v>
      </c>
      <c r="F158" s="43">
        <v>-3</v>
      </c>
      <c r="G158" s="44" t="s">
        <v>58</v>
      </c>
      <c r="H158" s="45"/>
      <c r="I158" s="46"/>
      <c r="J158" s="46"/>
      <c r="K158" s="54" t="str">
        <f t="shared" ref="K158:M158" si="26">IF(ISERR(H158/H158)=TRUE," ",H158-$D158)</f>
        <v xml:space="preserve"> </v>
      </c>
      <c r="L158" s="54" t="str">
        <f t="shared" si="26"/>
        <v xml:space="preserve"> </v>
      </c>
      <c r="M158" s="54" t="str">
        <f t="shared" si="26"/>
        <v xml:space="preserve"> </v>
      </c>
      <c r="N158" s="54" t="str">
        <f t="shared" si="16"/>
        <v xml:space="preserve"> </v>
      </c>
      <c r="O158" s="55" t="str">
        <f t="shared" si="17"/>
        <v xml:space="preserve"> </v>
      </c>
      <c r="P158" s="56" t="str">
        <f t="shared" si="18"/>
        <v xml:space="preserve"> </v>
      </c>
      <c r="Q158" s="48" t="str">
        <f t="shared" si="19"/>
        <v/>
      </c>
      <c r="R158" s="54"/>
      <c r="S158" s="53"/>
    </row>
  </sheetData>
  <mergeCells count="15">
    <mergeCell ref="V61:W62"/>
    <mergeCell ref="A1:S1"/>
    <mergeCell ref="B3:G3"/>
    <mergeCell ref="H3:M3"/>
    <mergeCell ref="N3:R3"/>
    <mergeCell ref="S3:S5"/>
    <mergeCell ref="B4:B5"/>
    <mergeCell ref="C4:C5"/>
    <mergeCell ref="D4:D5"/>
    <mergeCell ref="E4:E5"/>
    <mergeCell ref="F4:F5"/>
    <mergeCell ref="G4:G5"/>
    <mergeCell ref="H4:J4"/>
    <mergeCell ref="K4:M4"/>
    <mergeCell ref="N4:N5"/>
  </mergeCells>
  <phoneticPr fontId="9" type="noConversion"/>
  <conditionalFormatting sqref="H6:J6">
    <cfRule type="cellIs" dxfId="16" priority="11" operator="lessThan">
      <formula>$D$6+$F$6</formula>
    </cfRule>
    <cfRule type="cellIs" dxfId="15" priority="12" operator="greaterThan">
      <formula>$D$6+$E$6</formula>
    </cfRule>
  </conditionalFormatting>
  <conditionalFormatting sqref="H7:J158">
    <cfRule type="cellIs" dxfId="14" priority="1" operator="lessThan">
      <formula>$D7+$F7</formula>
    </cfRule>
    <cfRule type="cellIs" dxfId="13" priority="2" operator="greaterThan">
      <formula>$D7+$E7</formula>
    </cfRule>
  </conditionalFormatting>
  <conditionalFormatting sqref="H145:J145">
    <cfRule type="cellIs" dxfId="12" priority="5" operator="lessThan">
      <formula>-0.005</formula>
    </cfRule>
    <cfRule type="cellIs" dxfId="11" priority="6" operator="greaterThan">
      <formula>0.005</formula>
    </cfRule>
  </conditionalFormatting>
  <conditionalFormatting sqref="H150:J150">
    <cfRule type="cellIs" dxfId="10" priority="7" operator="lessThan">
      <formula>-0.005</formula>
    </cfRule>
    <cfRule type="cellIs" dxfId="9" priority="8" operator="greaterThan">
      <formula>0.005</formula>
    </cfRule>
  </conditionalFormatting>
  <conditionalFormatting sqref="H156:J156">
    <cfRule type="cellIs" dxfId="8" priority="9" operator="lessThan">
      <formula>-0.008</formula>
    </cfRule>
    <cfRule type="cellIs" dxfId="7" priority="10" operator="greaterThan">
      <formula>0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26D3-936D-4F30-900B-71F447A31228}">
  <sheetPr codeName="Sheet4"/>
  <dimension ref="A1:EDK76"/>
  <sheetViews>
    <sheetView showGridLines="0" zoomScale="85" zoomScaleNormal="85" zoomScalePageLayoutView="125" workbookViewId="0">
      <pane xSplit="12" ySplit="1" topLeftCell="M43" activePane="bottomRight" state="frozen"/>
      <selection activeCell="D111" sqref="D111"/>
      <selection pane="topRight" activeCell="D111" sqref="D111"/>
      <selection pane="bottomLeft" activeCell="D111" sqref="D111"/>
      <selection pane="bottomRight" activeCell="AD72" sqref="AD72"/>
    </sheetView>
  </sheetViews>
  <sheetFormatPr defaultColWidth="8.77734375" defaultRowHeight="17.25"/>
  <cols>
    <col min="1" max="1" width="0.77734375" customWidth="1"/>
    <col min="2" max="2" width="7.77734375" customWidth="1"/>
    <col min="3" max="3" width="11.21875" bestFit="1" customWidth="1"/>
    <col min="4" max="4" width="24" customWidth="1"/>
    <col min="5" max="5" width="7.77734375" customWidth="1"/>
    <col min="6" max="7" width="8.21875" customWidth="1"/>
    <col min="8" max="8" width="7.77734375" customWidth="1"/>
    <col min="9" max="9" width="7.77734375" hidden="1" customWidth="1"/>
    <col min="10" max="11" width="7.77734375" customWidth="1"/>
    <col min="12" max="12" width="0.77734375" customWidth="1"/>
    <col min="13" max="16" width="7.77734375" customWidth="1"/>
    <col min="17" max="22" width="7.77734375" hidden="1" customWidth="1"/>
    <col min="23" max="23" width="7.77734375" customWidth="1"/>
    <col min="24" max="24" width="10" hidden="1" customWidth="1"/>
    <col min="25" max="27" width="9.44140625" hidden="1" customWidth="1"/>
    <col min="28" max="28" width="7.77734375" customWidth="1"/>
    <col min="29" max="29" width="9" customWidth="1"/>
    <col min="30" max="30" width="22" customWidth="1"/>
    <col min="31" max="32" width="9" hidden="1" customWidth="1"/>
    <col min="33" max="33" width="7.5546875" hidden="1" customWidth="1"/>
    <col min="34" max="34" width="0.77734375" customWidth="1"/>
    <col min="35" max="66" width="7.77734375" customWidth="1"/>
  </cols>
  <sheetData>
    <row r="1" spans="1:1023 1025:2040 2061:3066 3097:3494" s="59" customFormat="1" ht="22.15" customHeight="1">
      <c r="A1" s="174" t="s">
        <v>209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58"/>
      <c r="AE1" s="58"/>
      <c r="AF1" s="58"/>
      <c r="AG1" s="58"/>
      <c r="AH1" s="58"/>
    </row>
    <row r="2" spans="1:1023 1025:2040 2061:3066 3097:3494" s="59" customFormat="1" ht="9" customHeight="1">
      <c r="B2" s="60"/>
      <c r="C2" s="60"/>
      <c r="D2" s="60"/>
      <c r="E2" s="60"/>
      <c r="F2" s="60"/>
      <c r="G2" s="60"/>
      <c r="H2" s="60"/>
      <c r="I2" s="60"/>
      <c r="J2" s="60"/>
      <c r="K2" s="60"/>
      <c r="M2" s="60"/>
      <c r="N2" s="60"/>
      <c r="O2" s="60"/>
      <c r="P2" s="60"/>
      <c r="Q2" s="60" t="s">
        <v>210</v>
      </c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I2" s="61"/>
    </row>
    <row r="3" spans="1:1023 1025:2040 2061:3066 3097:3494" s="66" customFormat="1" ht="15" customHeight="1">
      <c r="A3" s="62"/>
      <c r="B3" s="175" t="s">
        <v>211</v>
      </c>
      <c r="C3" s="176"/>
      <c r="D3" s="176"/>
      <c r="E3" s="176"/>
      <c r="F3" s="176"/>
      <c r="G3" s="176"/>
      <c r="H3" s="176"/>
      <c r="I3" s="176"/>
      <c r="J3" s="176"/>
      <c r="K3" s="177"/>
      <c r="L3" s="63"/>
      <c r="M3" s="175" t="s">
        <v>212</v>
      </c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7"/>
      <c r="AD3" s="64"/>
      <c r="AE3" s="178" t="s">
        <v>213</v>
      </c>
      <c r="AF3" s="178"/>
      <c r="AG3" s="178"/>
      <c r="AH3" s="65"/>
      <c r="AI3" s="179" t="s">
        <v>214</v>
      </c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  <c r="BN3" s="181"/>
    </row>
    <row r="4" spans="1:1023 1025:2040 2061:3066 3097:3494" s="66" customFormat="1" ht="25.15" customHeight="1">
      <c r="A4" s="62"/>
      <c r="B4" s="67"/>
      <c r="C4" s="67"/>
      <c r="D4" s="67"/>
      <c r="E4" s="68"/>
      <c r="F4" s="69" t="s">
        <v>215</v>
      </c>
      <c r="G4" s="69" t="s">
        <v>216</v>
      </c>
      <c r="H4" s="70"/>
      <c r="I4" s="70"/>
      <c r="J4" s="71"/>
      <c r="K4" s="71"/>
      <c r="L4" s="62"/>
      <c r="M4" s="72"/>
      <c r="N4" s="72"/>
      <c r="O4" s="73"/>
      <c r="P4" s="72"/>
      <c r="Q4" s="74"/>
      <c r="R4" s="74"/>
      <c r="S4" s="74"/>
      <c r="T4" s="74"/>
      <c r="U4" s="74"/>
      <c r="V4" s="74"/>
      <c r="W4" s="74"/>
      <c r="X4" s="185" t="s">
        <v>217</v>
      </c>
      <c r="Y4" s="186"/>
      <c r="Z4" s="75" t="s">
        <v>218</v>
      </c>
      <c r="AA4" s="76">
        <v>1.5</v>
      </c>
      <c r="AB4" s="77"/>
      <c r="AC4" s="77"/>
      <c r="AD4" s="78"/>
      <c r="AE4" s="31"/>
      <c r="AF4" s="31"/>
      <c r="AG4" s="79"/>
      <c r="AH4" s="62"/>
      <c r="AI4" s="182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  <c r="BA4" s="183"/>
      <c r="BB4" s="183"/>
      <c r="BC4" s="183"/>
      <c r="BD4" s="183"/>
      <c r="BE4" s="183"/>
      <c r="BF4" s="183"/>
      <c r="BG4" s="183"/>
      <c r="BH4" s="183"/>
      <c r="BI4" s="183"/>
      <c r="BJ4" s="183"/>
      <c r="BK4" s="183"/>
      <c r="BL4" s="183"/>
      <c r="BM4" s="183"/>
      <c r="BN4" s="184"/>
    </row>
    <row r="5" spans="1:1023 1025:2040 2061:3066 3097:3494" s="94" customFormat="1" ht="24">
      <c r="A5" s="80"/>
      <c r="B5" s="81" t="s">
        <v>219</v>
      </c>
      <c r="C5" s="81" t="s">
        <v>41</v>
      </c>
      <c r="D5" s="81" t="s">
        <v>220</v>
      </c>
      <c r="E5" s="82" t="s">
        <v>43</v>
      </c>
      <c r="F5" s="83" t="s">
        <v>221</v>
      </c>
      <c r="G5" s="83" t="s">
        <v>222</v>
      </c>
      <c r="H5" s="84" t="s">
        <v>46</v>
      </c>
      <c r="I5" s="84" t="s">
        <v>223</v>
      </c>
      <c r="J5" s="85" t="s">
        <v>224</v>
      </c>
      <c r="K5" s="85" t="s">
        <v>225</v>
      </c>
      <c r="L5" s="80"/>
      <c r="M5" s="86" t="s">
        <v>226</v>
      </c>
      <c r="N5" s="86" t="s">
        <v>227</v>
      </c>
      <c r="O5" s="87" t="s">
        <v>49</v>
      </c>
      <c r="P5" s="86" t="s">
        <v>228</v>
      </c>
      <c r="Q5" s="88" t="s">
        <v>229</v>
      </c>
      <c r="R5" s="88" t="s">
        <v>230</v>
      </c>
      <c r="S5" s="88" t="s">
        <v>231</v>
      </c>
      <c r="T5" s="88" t="s">
        <v>232</v>
      </c>
      <c r="U5" s="88" t="s">
        <v>233</v>
      </c>
      <c r="V5" s="88" t="s">
        <v>234</v>
      </c>
      <c r="W5" s="88" t="s">
        <v>235</v>
      </c>
      <c r="X5" s="89" t="s">
        <v>236</v>
      </c>
      <c r="Y5" s="89" t="s">
        <v>237</v>
      </c>
      <c r="Z5" s="89" t="s">
        <v>238</v>
      </c>
      <c r="AA5" s="90" t="s">
        <v>239</v>
      </c>
      <c r="AB5" s="91" t="s">
        <v>240</v>
      </c>
      <c r="AC5" s="91" t="s">
        <v>241</v>
      </c>
      <c r="AD5" s="91" t="s">
        <v>242</v>
      </c>
      <c r="AE5" s="31"/>
      <c r="AF5" s="31"/>
      <c r="AG5" s="79"/>
      <c r="AH5" s="92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</row>
    <row r="6" spans="1:1023 1025:2040 2061:3066 3097:3494" ht="15" customHeight="1">
      <c r="B6" s="95" t="s">
        <v>243</v>
      </c>
      <c r="C6" s="96" t="s">
        <v>56</v>
      </c>
      <c r="D6" s="97" t="s">
        <v>57</v>
      </c>
      <c r="E6" s="98"/>
      <c r="F6" s="99">
        <v>0.04</v>
      </c>
      <c r="G6" s="99"/>
      <c r="H6" s="100" t="s">
        <v>244</v>
      </c>
      <c r="I6" s="101" t="s">
        <v>245</v>
      </c>
      <c r="J6" s="102">
        <f>IF(AND(E6="",F6=""),"",IF(E6="",F6,E6+F6))</f>
        <v>0.04</v>
      </c>
      <c r="K6" s="102" t="str">
        <f>IF(AND(E6="",G6=""),"",IF(E6="",G6,E6+G6))</f>
        <v/>
      </c>
      <c r="L6" s="103"/>
      <c r="M6" s="104">
        <f t="shared" ref="M6:M69" si="0">IF(OR($AI6=ISBLANK(TRUE),ISNUMBER($AI6)=FALSE),,MAX(AI6:BN6))</f>
        <v>0</v>
      </c>
      <c r="N6" s="104">
        <f t="shared" ref="N6:N69" si="1">IF(OR($AI6=ISBLANK(TRUE),ISNUMBER($AI6)=FALSE),,MIN(AI6:BN6))</f>
        <v>0</v>
      </c>
      <c r="O6" s="104">
        <f t="shared" ref="O6:O69" si="2">IF(OR($AI6=ISBLANK(TRUE),ISNUMBER($AI6)=FALSE),,AVERAGE(AI6:BN6))</f>
        <v>0</v>
      </c>
      <c r="P6" s="105">
        <f t="shared" ref="P6:P69" si="3">IF(OR($AI6=ISBLANK(TRUE),ISNUMBER($AI6)=FALSE),,STDEV(AI6:BN6))</f>
        <v>0</v>
      </c>
      <c r="Q6" s="106" t="str">
        <f t="shared" ref="Q6:Q69" si="4">IF(OR($AI6="",ISNUMBER($AI6)=FALSE),"",IF(AND(E6=0,G6=0),T6,IF(AND(E6="",F6=""),U6,(F6+ABS(G6))/(6*P6))))</f>
        <v/>
      </c>
      <c r="R6" s="107" t="str">
        <f>IF(OR($AI6="",ISNUMBER($AI6)=FALSE),"",IF(AND(#REF!="Tolerance",$E6&lt;&gt;""),($O6-$E6)/(($J6-$K6)/2),IF(AND(#REF!="GD&amp;T",$F6&lt;&gt;""),$O6/$F6,"")))</f>
        <v/>
      </c>
      <c r="S6" s="107" t="str">
        <f>IF($R6="","",IF(ABS($R6)&lt;=0.125, "Level A",IF(AND(ABS($R6)&gt;0.125,ABS($R6)&lt;=0.25), "Level B",IF(AND(ABS($R6)&gt;0.25,ABS($R6)&lt;=0.5), "Level C", IF(ABS($R6)&gt;0.5, "Level D")))))</f>
        <v/>
      </c>
      <c r="T6" s="106" t="str">
        <f t="shared" ref="T6:T69" si="5">IF(OR($AI6="",ISNUMBER($AI6)=FALSE),"",IF(F6="","",(J6-O6)/(3*P6)))</f>
        <v/>
      </c>
      <c r="U6" s="106" t="str">
        <f t="shared" ref="U6:U69" si="6">IF(OR($AI6="",ISNUMBER($AI6)=FALSE),"",IF(G6="","",(O6-K6)/(3*P6)))</f>
        <v/>
      </c>
      <c r="V6" s="106" t="str">
        <f t="shared" ref="V6:V69" si="7">IF(OR($AI6="",ISNUMBER($AI6)=FALSE),"",IF(AND(E6=0,G6=0),((F6)-(O6))/(3*P6),MIN(T6:U6)))</f>
        <v/>
      </c>
      <c r="W6" s="108" t="str">
        <f t="shared" ref="W6:W69" si="8">IF(OR($AI6="",ISNUMBER($AI6)=FALSE),"",IF(AND(E6=0,G6=0),NORMSDIST(3*V6),NORMSDIST(3*V6)+NORMSDIST(6*Q6-3*V6)-1))</f>
        <v/>
      </c>
      <c r="X6" s="109" t="e">
        <f>IF($O6="","",IF(#REF!="Tolerance",IF((#REF!*3*P6+O6)-E6&lt;F6,"",(#REF!*3*P6+O6)-E6),IF(OR(#REF!="GD&amp;T",#REF!="MAX"),IF((#REF!*3*P6+O6)&lt;F6,"",(#REF!*3*P6+O6)),"")))</f>
        <v>#REF!</v>
      </c>
      <c r="Y6" s="109" t="e">
        <f>IF(O6="","",IF(#REF!="Tolerance",IF(-((#REF!*3*P6)-O6)-E6&gt;G6,"",-((#REF!*3*P6)-O6)-E6),IF(#REF!="MIN",IF(-((#REF!*3*P6)-O6)&gt;G6,"",-((#REF!*3*P6)-O6)),"")))</f>
        <v>#REF!</v>
      </c>
      <c r="Z6" s="109" t="str">
        <f>IF(OR(E6="",O6=""),"",(J6+K6)/2-O6)</f>
        <v/>
      </c>
      <c r="AA6" s="109" t="str">
        <f t="shared" ref="AA6:AA69" si="9">IF(OR($Q6&gt;$AA$4,$P6=""),"",$AA$4*6*$P6)</f>
        <v/>
      </c>
      <c r="AB6" s="110"/>
      <c r="AC6" s="111" t="str">
        <f>IF(AB6="","",IF(AB6&gt;=0.966,"Normal","Not Normal"))</f>
        <v/>
      </c>
      <c r="AD6" s="112"/>
      <c r="AE6" s="113"/>
      <c r="AF6" s="113"/>
      <c r="AG6" s="114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115"/>
      <c r="BM6" s="115"/>
      <c r="BN6" s="115"/>
      <c r="NC6" s="116"/>
      <c r="SV6" s="116"/>
      <c r="TR6" s="116"/>
      <c r="AJP6" s="116"/>
      <c r="AKV6" s="116"/>
      <c r="AXI6" s="116"/>
      <c r="AYA6" s="116"/>
      <c r="BCE6" s="116"/>
      <c r="BEA6" s="116"/>
      <c r="CKC6" s="116"/>
      <c r="CQD6" s="116"/>
      <c r="DJV6" s="116"/>
      <c r="DPF6" s="116"/>
      <c r="EBX6" s="116"/>
      <c r="EDB6" s="116"/>
    </row>
    <row r="7" spans="1:1023 1025:2040 2061:3066 3097:3494" ht="15" customHeight="1">
      <c r="B7" s="95" t="s">
        <v>246</v>
      </c>
      <c r="C7" s="96" t="s">
        <v>59</v>
      </c>
      <c r="D7" s="117" t="s">
        <v>60</v>
      </c>
      <c r="E7" s="98">
        <v>3.798</v>
      </c>
      <c r="F7" s="99">
        <v>2.5000000000000001E-2</v>
      </c>
      <c r="G7" s="99">
        <v>-0.02</v>
      </c>
      <c r="H7" s="100" t="s">
        <v>247</v>
      </c>
      <c r="I7" s="101" t="s">
        <v>245</v>
      </c>
      <c r="J7" s="102">
        <f t="shared" ref="J7:J71" si="10">IF(AND(E7="",F7=""),"",IF(E7="",F7,E7+F7))</f>
        <v>3.823</v>
      </c>
      <c r="K7" s="102">
        <f t="shared" ref="K7:K71" si="11">IF(AND(E7="",G7=""),"",IF(E7="",G7,E7+G7))</f>
        <v>3.778</v>
      </c>
      <c r="L7" s="103"/>
      <c r="M7" s="104">
        <f t="shared" si="0"/>
        <v>0</v>
      </c>
      <c r="N7" s="104">
        <f t="shared" si="1"/>
        <v>0</v>
      </c>
      <c r="O7" s="104">
        <f t="shared" si="2"/>
        <v>0</v>
      </c>
      <c r="P7" s="105">
        <f t="shared" si="3"/>
        <v>0</v>
      </c>
      <c r="Q7" s="106" t="str">
        <f t="shared" si="4"/>
        <v/>
      </c>
      <c r="R7" s="107" t="str">
        <f>IF(OR($AI7="",ISNUMBER($AI7)=FALSE),"",IF(AND(#REF!="Tolerance",$E7&lt;&gt;""),($O7-$E7)/(($J7-$K7)/2),IF(AND(#REF!="GD&amp;T",$F7&lt;&gt;""),$O7/$F7,"")))</f>
        <v/>
      </c>
      <c r="S7" s="107" t="str">
        <f t="shared" ref="S7:S76" si="12">IF($R7="","",IF(ABS($R7)&lt;=0.125, "Level A",IF(AND(ABS($R7)&gt;0.125,ABS($R7)&lt;=0.25), "Level B",IF(AND(ABS($R7)&gt;0.25,ABS($R7)&lt;=0.5), "Level C", IF(ABS($R7)&gt;0.5, "Level D")))))</f>
        <v/>
      </c>
      <c r="T7" s="106" t="str">
        <f t="shared" si="5"/>
        <v/>
      </c>
      <c r="U7" s="106" t="str">
        <f t="shared" si="6"/>
        <v/>
      </c>
      <c r="V7" s="106" t="str">
        <f t="shared" si="7"/>
        <v/>
      </c>
      <c r="W7" s="108" t="str">
        <f t="shared" si="8"/>
        <v/>
      </c>
      <c r="X7" s="109" t="e">
        <f>IF($O7="","",IF(#REF!="Tolerance",IF((#REF!*3*P7+O7)-E7&lt;F7,"",(#REF!*3*P7+O7)-E7),IF(OR(#REF!="GD&amp;T",#REF!="MAX"),IF((#REF!*3*P7+O7)&lt;F7,"",(#REF!*3*P7+O7)),"")))</f>
        <v>#REF!</v>
      </c>
      <c r="Y7" s="109" t="e">
        <f>IF(O7="","",IF(#REF!="Tolerance",IF(-((#REF!*3*P7)-O7)-E7&gt;G7,"",-((#REF!*3*P7)-O7)-E7),IF(#REF!="MIN",IF(-((#REF!*3*P7)-O7)&gt;G7,"",-((#REF!*3*P7)-O7)),"")))</f>
        <v>#REF!</v>
      </c>
      <c r="Z7" s="109">
        <f t="shared" ref="Z7:Z70" si="13">IF(OR(E7="",O7=""),"",(J7+K7)/2-O7)</f>
        <v>3.8005</v>
      </c>
      <c r="AA7" s="109" t="str">
        <f t="shared" si="9"/>
        <v/>
      </c>
      <c r="AB7" s="110"/>
      <c r="AC7" s="111" t="str">
        <f t="shared" ref="AC7:AC70" si="14">IF(AB7="","",IF(AB7&gt;=0.966,"Normal","Not Normal"))</f>
        <v/>
      </c>
      <c r="AD7" s="112"/>
      <c r="AE7" s="113"/>
      <c r="AF7" s="113"/>
      <c r="AG7" s="114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H7" s="115"/>
      <c r="BI7" s="115"/>
      <c r="BJ7" s="115"/>
      <c r="BK7" s="115"/>
      <c r="BL7" s="115"/>
      <c r="BM7" s="115"/>
      <c r="BN7" s="115"/>
      <c r="FU7" s="116"/>
      <c r="HC7" s="116"/>
      <c r="JW7" s="116"/>
      <c r="NQ7" s="116"/>
      <c r="SV7" s="116"/>
      <c r="AKV7" s="116"/>
      <c r="AOS7" s="116"/>
      <c r="AST7" s="116"/>
      <c r="AXQ7" s="116"/>
      <c r="BJF7" s="116"/>
      <c r="BME7" s="116"/>
      <c r="BOW7" s="116"/>
      <c r="BQE7" s="116"/>
      <c r="BQG7" s="116"/>
      <c r="BTU7" s="116"/>
      <c r="BUB7" s="116"/>
      <c r="BUV7" s="116"/>
      <c r="CAG7" s="116"/>
      <c r="CON7" s="116"/>
      <c r="COQ7" s="116"/>
      <c r="COT7" s="116"/>
      <c r="CVM7" s="116"/>
      <c r="CZO7" s="116"/>
      <c r="CZW7" s="116"/>
      <c r="DHX7" s="116"/>
      <c r="DJE7" s="116"/>
      <c r="DMF7" s="116"/>
      <c r="DTB7" s="116"/>
      <c r="DTF7" s="116"/>
      <c r="DUH7" s="116"/>
      <c r="DYR7" s="116"/>
      <c r="EBF7" s="116"/>
    </row>
    <row r="8" spans="1:1023 1025:2040 2061:3066 3097:3494" ht="15" customHeight="1">
      <c r="B8" s="95" t="s">
        <v>246</v>
      </c>
      <c r="C8" s="96" t="s">
        <v>62</v>
      </c>
      <c r="D8" s="97" t="s">
        <v>60</v>
      </c>
      <c r="E8" s="98">
        <v>3.798</v>
      </c>
      <c r="F8" s="99">
        <v>2.5000000000000001E-2</v>
      </c>
      <c r="G8" s="99">
        <v>-0.02</v>
      </c>
      <c r="H8" s="100" t="s">
        <v>247</v>
      </c>
      <c r="I8" s="101" t="s">
        <v>245</v>
      </c>
      <c r="J8" s="102">
        <f t="shared" si="10"/>
        <v>3.823</v>
      </c>
      <c r="K8" s="102">
        <f t="shared" si="11"/>
        <v>3.778</v>
      </c>
      <c r="L8" s="103"/>
      <c r="M8" s="104">
        <f t="shared" si="0"/>
        <v>0</v>
      </c>
      <c r="N8" s="104">
        <f t="shared" si="1"/>
        <v>0</v>
      </c>
      <c r="O8" s="104">
        <f t="shared" si="2"/>
        <v>0</v>
      </c>
      <c r="P8" s="105">
        <f t="shared" si="3"/>
        <v>0</v>
      </c>
      <c r="Q8" s="106" t="str">
        <f t="shared" si="4"/>
        <v/>
      </c>
      <c r="R8" s="107" t="str">
        <f>IF(OR($AI8="",ISNUMBER($AI8)=FALSE),"",IF(AND(#REF!="Tolerance",$E8&lt;&gt;""),($O8-$E8)/(($J8-$K8)/2),IF(AND(#REF!="GD&amp;T",$F8&lt;&gt;""),$O8/$F8,"")))</f>
        <v/>
      </c>
      <c r="S8" s="107" t="str">
        <f t="shared" si="12"/>
        <v/>
      </c>
      <c r="T8" s="106" t="str">
        <f t="shared" si="5"/>
        <v/>
      </c>
      <c r="U8" s="106" t="str">
        <f t="shared" si="6"/>
        <v/>
      </c>
      <c r="V8" s="106" t="str">
        <f t="shared" si="7"/>
        <v/>
      </c>
      <c r="W8" s="108" t="str">
        <f t="shared" si="8"/>
        <v/>
      </c>
      <c r="X8" s="109" t="e">
        <f>IF($O8="","",IF(#REF!="Tolerance",IF((#REF!*3*P8+O8)-E8&lt;F8,"",(#REF!*3*P8+O8)-E8),IF(OR(#REF!="GD&amp;T",#REF!="MAX"),IF((#REF!*3*P8+O8)&lt;F8,"",(#REF!*3*P8+O8)),"")))</f>
        <v>#REF!</v>
      </c>
      <c r="Y8" s="109" t="e">
        <f>IF(O8="","",IF(#REF!="Tolerance",IF(-((#REF!*3*P8)-O8)-E8&gt;G8,"",-((#REF!*3*P8)-O8)-E8),IF(#REF!="MIN",IF(-((#REF!*3*P8)-O8)&gt;G8,"",-((#REF!*3*P8)-O8)),"")))</f>
        <v>#REF!</v>
      </c>
      <c r="Z8" s="109">
        <f t="shared" si="13"/>
        <v>3.8005</v>
      </c>
      <c r="AA8" s="109" t="str">
        <f t="shared" si="9"/>
        <v/>
      </c>
      <c r="AB8" s="110"/>
      <c r="AC8" s="111" t="str">
        <f t="shared" si="14"/>
        <v/>
      </c>
      <c r="AD8" s="112"/>
      <c r="AE8" s="113"/>
      <c r="AF8" s="113"/>
      <c r="AG8" s="114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115"/>
      <c r="BK8" s="115"/>
      <c r="BL8" s="115"/>
      <c r="BM8" s="115"/>
      <c r="BN8" s="115"/>
      <c r="FV8" s="116"/>
      <c r="JW8" s="116"/>
      <c r="AGG8" s="116"/>
      <c r="BFQ8" s="116"/>
      <c r="BKG8" s="116"/>
      <c r="BPJ8" s="116"/>
      <c r="BQE8" s="116"/>
      <c r="BSE8" s="116"/>
      <c r="BSK8" s="116"/>
      <c r="BUV8" s="116"/>
      <c r="BWJ8" s="116"/>
      <c r="BWR8" s="116"/>
      <c r="BZL8" s="116"/>
      <c r="CAG8" s="116"/>
      <c r="DIA8" s="116"/>
      <c r="DJE8" s="116"/>
      <c r="DPG8" s="116"/>
      <c r="ECE8" s="116"/>
    </row>
    <row r="9" spans="1:1023 1025:2040 2061:3066 3097:3494" ht="15" customHeight="1">
      <c r="B9" s="95" t="s">
        <v>248</v>
      </c>
      <c r="C9" s="96" t="s">
        <v>63</v>
      </c>
      <c r="D9" s="97" t="s">
        <v>64</v>
      </c>
      <c r="E9" s="98"/>
      <c r="F9" s="99">
        <v>1.4999999999999999E-2</v>
      </c>
      <c r="G9" s="99"/>
      <c r="H9" s="100" t="s">
        <v>247</v>
      </c>
      <c r="I9" s="101" t="s">
        <v>245</v>
      </c>
      <c r="J9" s="102">
        <f t="shared" si="10"/>
        <v>1.4999999999999999E-2</v>
      </c>
      <c r="K9" s="102" t="str">
        <f t="shared" si="11"/>
        <v/>
      </c>
      <c r="L9" s="103"/>
      <c r="M9" s="104">
        <f t="shared" si="0"/>
        <v>0</v>
      </c>
      <c r="N9" s="104">
        <f t="shared" si="1"/>
        <v>0</v>
      </c>
      <c r="O9" s="104">
        <f t="shared" si="2"/>
        <v>0</v>
      </c>
      <c r="P9" s="105">
        <f t="shared" si="3"/>
        <v>0</v>
      </c>
      <c r="Q9" s="106" t="str">
        <f t="shared" si="4"/>
        <v/>
      </c>
      <c r="R9" s="107" t="str">
        <f>IF(OR($AI9="",ISNUMBER($AI9)=FALSE),"",IF(AND(#REF!="Tolerance",$E9&lt;&gt;""),($O9-$E9)/(($J9-$K9)/2),IF(AND(#REF!="GD&amp;T",$F9&lt;&gt;""),$O9/$F9,"")))</f>
        <v/>
      </c>
      <c r="S9" s="107" t="str">
        <f t="shared" si="12"/>
        <v/>
      </c>
      <c r="T9" s="106" t="str">
        <f t="shared" si="5"/>
        <v/>
      </c>
      <c r="U9" s="106" t="str">
        <f t="shared" si="6"/>
        <v/>
      </c>
      <c r="V9" s="106" t="str">
        <f t="shared" si="7"/>
        <v/>
      </c>
      <c r="W9" s="108" t="str">
        <f t="shared" si="8"/>
        <v/>
      </c>
      <c r="X9" s="109" t="e">
        <f>IF($O9="","",IF(#REF!="Tolerance",IF((#REF!*3*P9+O9)-E9&lt;F9,"",(#REF!*3*P9+O9)-E9),IF(OR(#REF!="GD&amp;T",#REF!="MAX"),IF((#REF!*3*P9+O9)&lt;F9,"",(#REF!*3*P9+O9)),"")))</f>
        <v>#REF!</v>
      </c>
      <c r="Y9" s="109" t="e">
        <f>IF(O9="","",IF(#REF!="Tolerance",IF(-((#REF!*3*P9)-O9)-E9&gt;G9,"",-((#REF!*3*P9)-O9)-E9),IF(#REF!="MIN",IF(-((#REF!*3*P9)-O9)&gt;G9,"",-((#REF!*3*P9)-O9)),"")))</f>
        <v>#REF!</v>
      </c>
      <c r="Z9" s="109" t="str">
        <f t="shared" si="13"/>
        <v/>
      </c>
      <c r="AA9" s="109" t="str">
        <f t="shared" si="9"/>
        <v/>
      </c>
      <c r="AB9" s="110"/>
      <c r="AC9" s="111" t="str">
        <f t="shared" si="14"/>
        <v/>
      </c>
      <c r="AD9" s="112"/>
      <c r="AE9" s="113"/>
      <c r="AF9" s="113"/>
      <c r="AG9" s="114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5"/>
      <c r="BK9" s="115"/>
      <c r="BL9" s="115"/>
      <c r="BM9" s="115"/>
      <c r="BN9" s="115"/>
      <c r="BW9" s="116"/>
      <c r="FA9" s="116"/>
      <c r="LE9" s="116"/>
      <c r="QT9" s="116"/>
      <c r="TS9" s="116"/>
      <c r="ABL9" s="116"/>
      <c r="ABZ9" s="116"/>
      <c r="AMI9" s="116"/>
      <c r="ANI9" s="116"/>
      <c r="AQR9" s="116"/>
      <c r="ARW9" s="116"/>
      <c r="AVL9" s="116"/>
      <c r="BAR9" s="116"/>
      <c r="BBB9" s="116"/>
      <c r="BHD9" s="116"/>
      <c r="BJR9" s="116"/>
      <c r="BPC9" s="116"/>
      <c r="BSV9" s="116"/>
      <c r="BTK9" s="116"/>
      <c r="BVZ9" s="116"/>
      <c r="BWE9" s="116"/>
      <c r="BWO9" s="116"/>
      <c r="BYE9" s="116"/>
      <c r="CDE9" s="116"/>
      <c r="CFB9" s="116"/>
      <c r="CFT9" s="116"/>
      <c r="CFU9" s="116"/>
      <c r="CKQ9" s="116"/>
      <c r="CMR9" s="116"/>
      <c r="COO9" s="116"/>
      <c r="CQE9" s="116"/>
      <c r="CRH9" s="116"/>
      <c r="CSC9" s="116"/>
      <c r="CTV9" s="116"/>
      <c r="CZS9" s="116"/>
      <c r="DDL9" s="116"/>
      <c r="DEW9" s="116"/>
      <c r="DIG9" s="116"/>
      <c r="DIP9" s="116"/>
      <c r="DMX9" s="116"/>
      <c r="DSX9" s="116"/>
      <c r="DSY9" s="116"/>
      <c r="DVO9" s="116"/>
      <c r="EBY9" s="116"/>
    </row>
    <row r="10" spans="1:1023 1025:2040 2061:3066 3097:3494" ht="15" customHeight="1">
      <c r="B10" s="95" t="s">
        <v>249</v>
      </c>
      <c r="C10" s="96" t="s">
        <v>66</v>
      </c>
      <c r="D10" s="117" t="s">
        <v>60</v>
      </c>
      <c r="E10" s="98">
        <v>3.8180000000000001</v>
      </c>
      <c r="F10" s="99">
        <v>0.02</v>
      </c>
      <c r="G10" s="99">
        <v>-0.02</v>
      </c>
      <c r="H10" s="100" t="s">
        <v>247</v>
      </c>
      <c r="I10" s="101" t="s">
        <v>245</v>
      </c>
      <c r="J10" s="102">
        <f t="shared" si="10"/>
        <v>3.8380000000000001</v>
      </c>
      <c r="K10" s="102">
        <f t="shared" si="11"/>
        <v>3.798</v>
      </c>
      <c r="L10" s="103"/>
      <c r="M10" s="104">
        <f t="shared" si="0"/>
        <v>0</v>
      </c>
      <c r="N10" s="104">
        <f t="shared" si="1"/>
        <v>0</v>
      </c>
      <c r="O10" s="104">
        <f t="shared" si="2"/>
        <v>0</v>
      </c>
      <c r="P10" s="105">
        <f t="shared" si="3"/>
        <v>0</v>
      </c>
      <c r="Q10" s="106" t="str">
        <f t="shared" si="4"/>
        <v/>
      </c>
      <c r="R10" s="107" t="str">
        <f>IF(OR($AI10="",ISNUMBER($AI10)=FALSE),"",IF(AND(#REF!="Tolerance",$E10&lt;&gt;""),($O10-$E10)/(($J10-$K10)/2),IF(AND(#REF!="GD&amp;T",$F10&lt;&gt;""),$O10/$F10,"")))</f>
        <v/>
      </c>
      <c r="S10" s="107" t="str">
        <f t="shared" si="12"/>
        <v/>
      </c>
      <c r="T10" s="106" t="str">
        <f t="shared" si="5"/>
        <v/>
      </c>
      <c r="U10" s="106" t="str">
        <f t="shared" si="6"/>
        <v/>
      </c>
      <c r="V10" s="106" t="str">
        <f t="shared" si="7"/>
        <v/>
      </c>
      <c r="W10" s="108" t="str">
        <f t="shared" si="8"/>
        <v/>
      </c>
      <c r="X10" s="109" t="e">
        <f>IF($O10="","",IF(#REF!="Tolerance",IF((#REF!*3*P10+O10)-E10&lt;F10,"",(#REF!*3*P10+O10)-E10),IF(OR(#REF!="GD&amp;T",#REF!="MAX"),IF((#REF!*3*P10+O10)&lt;F10,"",(#REF!*3*P10+O10)),"")))</f>
        <v>#REF!</v>
      </c>
      <c r="Y10" s="109" t="e">
        <f>IF(O10="","",IF(#REF!="Tolerance",IF(-((#REF!*3*P10)-O10)-E10&gt;G10,"",-((#REF!*3*P10)-O10)-E10),IF(#REF!="MIN",IF(-((#REF!*3*P10)-O10)&gt;G10,"",-((#REF!*3*P10)-O10)),"")))</f>
        <v>#REF!</v>
      </c>
      <c r="Z10" s="109">
        <f t="shared" si="13"/>
        <v>3.8180000000000001</v>
      </c>
      <c r="AA10" s="109" t="str">
        <f t="shared" si="9"/>
        <v/>
      </c>
      <c r="AB10" s="110"/>
      <c r="AC10" s="111" t="str">
        <f t="shared" si="14"/>
        <v/>
      </c>
      <c r="AD10" s="112"/>
      <c r="AE10" s="113"/>
      <c r="AF10" s="113"/>
      <c r="AG10" s="114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5"/>
      <c r="BK10" s="115"/>
      <c r="BL10" s="115"/>
      <c r="BM10" s="115"/>
      <c r="BN10" s="115"/>
      <c r="DR10" s="116"/>
      <c r="DX10" s="116"/>
      <c r="FA10" s="116"/>
      <c r="FH10" s="116"/>
      <c r="FS10" s="116"/>
      <c r="GE10" s="116"/>
      <c r="UP10" s="116"/>
      <c r="XU10" s="116"/>
      <c r="YV10" s="116"/>
      <c r="ABL10" s="116"/>
      <c r="ALD10" s="116"/>
      <c r="BJR10" s="116"/>
      <c r="BKR10" s="116"/>
      <c r="BNF10" s="116"/>
      <c r="BPE10" s="116"/>
      <c r="BPH10" s="116"/>
      <c r="BPO10" s="116"/>
      <c r="BTK10" s="116"/>
      <c r="BWE10" s="116"/>
      <c r="BYL10" s="116"/>
      <c r="CFU10" s="116"/>
      <c r="CKU10" s="116"/>
      <c r="COK10" s="116"/>
      <c r="COO10" s="116"/>
      <c r="CQB10" s="116"/>
      <c r="CQL10" s="116"/>
      <c r="CQW10" s="116"/>
      <c r="CXY10" s="116"/>
      <c r="CZS10" s="116"/>
      <c r="DDL10" s="116"/>
      <c r="DGP10" s="116"/>
      <c r="DHC10" s="116"/>
      <c r="DHD10" s="116"/>
      <c r="DIA10" s="116"/>
      <c r="DIR10" s="116"/>
      <c r="DSY10" s="116"/>
      <c r="DUI10" s="116"/>
    </row>
    <row r="11" spans="1:1023 1025:2040 2061:3066 3097:3494" ht="15" customHeight="1">
      <c r="B11" s="95" t="s">
        <v>249</v>
      </c>
      <c r="C11" s="96" t="s">
        <v>250</v>
      </c>
      <c r="D11" s="117" t="s">
        <v>60</v>
      </c>
      <c r="E11" s="98">
        <v>3.8180000000000001</v>
      </c>
      <c r="F11" s="99">
        <v>0.02</v>
      </c>
      <c r="G11" s="99">
        <v>-0.02</v>
      </c>
      <c r="H11" s="100" t="s">
        <v>247</v>
      </c>
      <c r="I11" s="101" t="s">
        <v>245</v>
      </c>
      <c r="J11" s="102">
        <f t="shared" si="10"/>
        <v>3.8380000000000001</v>
      </c>
      <c r="K11" s="102">
        <f t="shared" si="11"/>
        <v>3.798</v>
      </c>
      <c r="L11" s="103"/>
      <c r="M11" s="104">
        <f t="shared" si="0"/>
        <v>0</v>
      </c>
      <c r="N11" s="104">
        <f t="shared" si="1"/>
        <v>0</v>
      </c>
      <c r="O11" s="104">
        <f t="shared" si="2"/>
        <v>0</v>
      </c>
      <c r="P11" s="105">
        <f t="shared" si="3"/>
        <v>0</v>
      </c>
      <c r="Q11" s="106" t="str">
        <f t="shared" si="4"/>
        <v/>
      </c>
      <c r="R11" s="107" t="str">
        <f>IF(OR($AI11="",ISNUMBER($AI11)=FALSE),"",IF(AND(#REF!="Tolerance",$E11&lt;&gt;""),($O11-$E11)/(($J11-$K11)/2),IF(AND(#REF!="GD&amp;T",$F11&lt;&gt;""),$O11/$F11,"")))</f>
        <v/>
      </c>
      <c r="S11" s="107" t="str">
        <f t="shared" si="12"/>
        <v/>
      </c>
      <c r="T11" s="106" t="str">
        <f t="shared" si="5"/>
        <v/>
      </c>
      <c r="U11" s="106" t="str">
        <f t="shared" si="6"/>
        <v/>
      </c>
      <c r="V11" s="106" t="str">
        <f t="shared" si="7"/>
        <v/>
      </c>
      <c r="W11" s="108" t="str">
        <f t="shared" si="8"/>
        <v/>
      </c>
      <c r="X11" s="109" t="e">
        <f>IF($O11="","",IF(#REF!="Tolerance",IF((#REF!*3*P11+O11)-E11&lt;F11,"",(#REF!*3*P11+O11)-E11),IF(OR(#REF!="GD&amp;T",#REF!="MAX"),IF((#REF!*3*P11+O11)&lt;F11,"",(#REF!*3*P11+O11)),"")))</f>
        <v>#REF!</v>
      </c>
      <c r="Y11" s="109" t="e">
        <f>IF(O11="","",IF(#REF!="Tolerance",IF(-((#REF!*3*P11)-O11)-E11&gt;G11,"",-((#REF!*3*P11)-O11)-E11),IF(#REF!="MIN",IF(-((#REF!*3*P11)-O11)&gt;G11,"",-((#REF!*3*P11)-O11)),"")))</f>
        <v>#REF!</v>
      </c>
      <c r="Z11" s="109">
        <f t="shared" si="13"/>
        <v>3.8180000000000001</v>
      </c>
      <c r="AA11" s="109" t="str">
        <f t="shared" si="9"/>
        <v/>
      </c>
      <c r="AB11" s="110"/>
      <c r="AC11" s="111" t="str">
        <f t="shared" si="14"/>
        <v/>
      </c>
      <c r="AD11" s="112"/>
      <c r="AE11" s="113"/>
      <c r="AF11" s="113"/>
      <c r="AG11" s="114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115"/>
      <c r="BM11" s="115"/>
      <c r="BN11" s="115"/>
      <c r="DQ11" s="116"/>
      <c r="FU11" s="116"/>
      <c r="HC11" s="116"/>
      <c r="JW11" s="116"/>
      <c r="NQ11" s="116"/>
      <c r="PT11" s="116"/>
      <c r="SV11" s="116"/>
      <c r="AKV11" s="116"/>
      <c r="AOS11" s="116"/>
      <c r="AXQ11" s="116"/>
      <c r="BME11" s="116"/>
      <c r="BOW11" s="116"/>
      <c r="BQG11" s="116"/>
      <c r="BSV11" s="116"/>
      <c r="BUV11" s="116"/>
      <c r="CDA11" s="116"/>
      <c r="CHN11" s="116"/>
      <c r="CKC11" s="116"/>
      <c r="COT11" s="116"/>
      <c r="CZW11" s="116"/>
      <c r="DTF11" s="116"/>
    </row>
    <row r="12" spans="1:1023 1025:2040 2061:3066 3097:3494" ht="15" customHeight="1">
      <c r="B12" s="95" t="s">
        <v>341</v>
      </c>
      <c r="C12" s="96" t="s">
        <v>68</v>
      </c>
      <c r="D12" s="117" t="s">
        <v>69</v>
      </c>
      <c r="E12" s="98"/>
      <c r="F12" s="99">
        <v>0.01</v>
      </c>
      <c r="G12" s="99"/>
      <c r="H12" s="100" t="s">
        <v>251</v>
      </c>
      <c r="I12" s="101" t="s">
        <v>245</v>
      </c>
      <c r="J12" s="102">
        <f t="shared" si="10"/>
        <v>0.01</v>
      </c>
      <c r="K12" s="102" t="str">
        <f t="shared" si="11"/>
        <v/>
      </c>
      <c r="L12" s="103"/>
      <c r="M12" s="104">
        <f t="shared" si="0"/>
        <v>0</v>
      </c>
      <c r="N12" s="104">
        <f t="shared" si="1"/>
        <v>0</v>
      </c>
      <c r="O12" s="104">
        <f t="shared" si="2"/>
        <v>0</v>
      </c>
      <c r="P12" s="105">
        <f t="shared" si="3"/>
        <v>0</v>
      </c>
      <c r="Q12" s="106" t="str">
        <f t="shared" si="4"/>
        <v/>
      </c>
      <c r="R12" s="107" t="str">
        <f>IF(OR($AI12="",ISNUMBER($AI12)=FALSE),"",IF(AND(#REF!="Tolerance",$E12&lt;&gt;""),($O12-$E12)/(($J12-$K12)/2),IF(AND(#REF!="GD&amp;T",$F12&lt;&gt;""),$O12/$F12,"")))</f>
        <v/>
      </c>
      <c r="S12" s="107" t="str">
        <f t="shared" si="12"/>
        <v/>
      </c>
      <c r="T12" s="106" t="str">
        <f t="shared" si="5"/>
        <v/>
      </c>
      <c r="U12" s="106" t="str">
        <f t="shared" si="6"/>
        <v/>
      </c>
      <c r="V12" s="106" t="str">
        <f t="shared" si="7"/>
        <v/>
      </c>
      <c r="W12" s="108" t="str">
        <f t="shared" si="8"/>
        <v/>
      </c>
      <c r="X12" s="109" t="e">
        <f>IF($O12="","",IF(#REF!="Tolerance",IF((#REF!*3*P12+O12)-E12&lt;F12,"",(#REF!*3*P12+O12)-E12),IF(OR(#REF!="GD&amp;T",#REF!="MAX"),IF((#REF!*3*P12+O12)&lt;F12,"",(#REF!*3*P12+O12)),"")))</f>
        <v>#REF!</v>
      </c>
      <c r="Y12" s="109" t="e">
        <f>IF(O12="","",IF(#REF!="Tolerance",IF(-((#REF!*3*P12)-O12)-E12&gt;G12,"",-((#REF!*3*P12)-O12)-E12),IF(#REF!="MIN",IF(-((#REF!*3*P12)-O12)&gt;G12,"",-((#REF!*3*P12)-O12)),"")))</f>
        <v>#REF!</v>
      </c>
      <c r="Z12" s="109" t="str">
        <f t="shared" si="13"/>
        <v/>
      </c>
      <c r="AA12" s="109" t="str">
        <f t="shared" si="9"/>
        <v/>
      </c>
      <c r="AB12" s="110"/>
      <c r="AC12" s="111" t="str">
        <f t="shared" si="14"/>
        <v/>
      </c>
      <c r="AD12" s="112"/>
      <c r="AE12" s="113"/>
      <c r="AF12" s="113"/>
      <c r="AG12" s="114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115"/>
      <c r="BN12" s="115"/>
      <c r="BT12" s="116"/>
      <c r="DB12" s="116"/>
      <c r="GD12" s="116"/>
      <c r="HR12" s="116"/>
      <c r="NL12" s="116"/>
      <c r="NY12" s="116"/>
      <c r="QO12" s="116"/>
      <c r="XF12" s="116"/>
      <c r="YF12" s="116"/>
      <c r="AAP12" s="116"/>
      <c r="ABZ12" s="116"/>
      <c r="ACN12" s="116"/>
      <c r="ADU12" s="116"/>
      <c r="AHX12" s="116"/>
      <c r="AJN12" s="116"/>
      <c r="ALK12" s="116"/>
      <c r="AMK12" s="116"/>
      <c r="ANZ12" s="116"/>
      <c r="AOX12" s="116"/>
      <c r="APB12" s="116"/>
      <c r="APR12" s="116"/>
      <c r="APY12" s="116"/>
      <c r="APZ12" s="116"/>
      <c r="ARB12" s="116"/>
      <c r="ATM12" s="116"/>
      <c r="AZL12" s="116"/>
      <c r="BBN12" s="116"/>
      <c r="BCN12" s="116"/>
      <c r="BEF12" s="116"/>
      <c r="BFA12" s="116"/>
      <c r="BRH12" s="116"/>
      <c r="BTG12" s="116"/>
      <c r="CEW12" s="116"/>
      <c r="CFT12" s="116"/>
      <c r="CLG12" s="116"/>
      <c r="CWR12" s="116"/>
      <c r="DMF12" s="116"/>
      <c r="DSN12" s="116"/>
      <c r="DSY12" s="116"/>
      <c r="DTX12" s="116"/>
      <c r="DVA12" s="116"/>
    </row>
    <row r="13" spans="1:1023 1025:2040 2061:3066 3097:3494" ht="15" customHeight="1">
      <c r="B13" s="95" t="s">
        <v>341</v>
      </c>
      <c r="C13" s="96" t="s">
        <v>71</v>
      </c>
      <c r="D13" s="117" t="s">
        <v>69</v>
      </c>
      <c r="E13" s="98"/>
      <c r="F13" s="99">
        <v>0.01</v>
      </c>
      <c r="G13" s="99"/>
      <c r="H13" s="100" t="s">
        <v>251</v>
      </c>
      <c r="I13" s="101" t="s">
        <v>245</v>
      </c>
      <c r="J13" s="102">
        <f t="shared" si="10"/>
        <v>0.01</v>
      </c>
      <c r="K13" s="102" t="str">
        <f t="shared" si="11"/>
        <v/>
      </c>
      <c r="L13" s="103"/>
      <c r="M13" s="104">
        <f t="shared" si="0"/>
        <v>0</v>
      </c>
      <c r="N13" s="104">
        <f t="shared" si="1"/>
        <v>0</v>
      </c>
      <c r="O13" s="104">
        <f t="shared" si="2"/>
        <v>0</v>
      </c>
      <c r="P13" s="105">
        <f t="shared" si="3"/>
        <v>0</v>
      </c>
      <c r="Q13" s="106" t="str">
        <f t="shared" si="4"/>
        <v/>
      </c>
      <c r="R13" s="107" t="str">
        <f>IF(OR($AI13="",ISNUMBER($AI13)=FALSE),"",IF(AND(#REF!="Tolerance",$E13&lt;&gt;""),($O13-$E13)/(($J13-$K13)/2),IF(AND(#REF!="GD&amp;T",$F13&lt;&gt;""),$O13/$F13,"")))</f>
        <v/>
      </c>
      <c r="S13" s="107" t="str">
        <f t="shared" si="12"/>
        <v/>
      </c>
      <c r="T13" s="106" t="str">
        <f t="shared" si="5"/>
        <v/>
      </c>
      <c r="U13" s="106" t="str">
        <f t="shared" si="6"/>
        <v/>
      </c>
      <c r="V13" s="106" t="str">
        <f t="shared" si="7"/>
        <v/>
      </c>
      <c r="W13" s="108" t="str">
        <f t="shared" si="8"/>
        <v/>
      </c>
      <c r="X13" s="109" t="e">
        <f>IF($O13="","",IF(#REF!="Tolerance",IF((#REF!*3*P13+O13)-E13&lt;F13,"",(#REF!*3*P13+O13)-E13),IF(OR(#REF!="GD&amp;T",#REF!="MAX"),IF((#REF!*3*P13+O13)&lt;F13,"",(#REF!*3*P13+O13)),"")))</f>
        <v>#REF!</v>
      </c>
      <c r="Y13" s="109" t="e">
        <f>IF(O13="","",IF(#REF!="Tolerance",IF(-((#REF!*3*P13)-O13)-E13&gt;G13,"",-((#REF!*3*P13)-O13)-E13),IF(#REF!="MIN",IF(-((#REF!*3*P13)-O13)&gt;G13,"",-((#REF!*3*P13)-O13)),"")))</f>
        <v>#REF!</v>
      </c>
      <c r="Z13" s="109" t="str">
        <f t="shared" si="13"/>
        <v/>
      </c>
      <c r="AA13" s="109" t="str">
        <f t="shared" si="9"/>
        <v/>
      </c>
      <c r="AB13" s="110"/>
      <c r="AC13" s="111" t="str">
        <f t="shared" si="14"/>
        <v/>
      </c>
      <c r="AD13" s="112"/>
      <c r="AE13" s="113"/>
      <c r="AF13" s="113"/>
      <c r="AG13" s="114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  <c r="BX13" s="116"/>
      <c r="CH13" s="116"/>
      <c r="JA13" s="116"/>
      <c r="JS13" s="116"/>
      <c r="AHY13" s="116"/>
      <c r="APB13" s="116"/>
      <c r="APQ13" s="116"/>
      <c r="APX13" s="116"/>
      <c r="ARL13" s="116"/>
      <c r="ASZ13" s="116"/>
      <c r="AUG13" s="116"/>
      <c r="AWU13" s="116"/>
      <c r="AYL13" s="116"/>
      <c r="BCW13" s="116"/>
      <c r="CCF13" s="116"/>
      <c r="CCK13" s="116"/>
      <c r="CHM13" s="116"/>
      <c r="CKG13" s="116"/>
      <c r="CLK13" s="116"/>
      <c r="DBD13" s="116"/>
      <c r="DCD13" s="116"/>
      <c r="DFM13" s="116"/>
      <c r="DQM13" s="116"/>
      <c r="DRB13" s="116"/>
      <c r="DWC13" s="116"/>
      <c r="EDJ13" s="116"/>
    </row>
    <row r="14" spans="1:1023 1025:2040 2061:3066 3097:3494" ht="15" customHeight="1">
      <c r="B14" s="95" t="s">
        <v>341</v>
      </c>
      <c r="C14" s="96" t="s">
        <v>72</v>
      </c>
      <c r="D14" s="117" t="s">
        <v>69</v>
      </c>
      <c r="E14" s="98"/>
      <c r="F14" s="99">
        <v>0.01</v>
      </c>
      <c r="G14" s="99"/>
      <c r="H14" s="100" t="s">
        <v>251</v>
      </c>
      <c r="I14" s="101" t="s">
        <v>245</v>
      </c>
      <c r="J14" s="102">
        <f t="shared" si="10"/>
        <v>0.01</v>
      </c>
      <c r="K14" s="102" t="str">
        <f t="shared" si="11"/>
        <v/>
      </c>
      <c r="L14" s="118"/>
      <c r="M14" s="104">
        <f t="shared" si="0"/>
        <v>0</v>
      </c>
      <c r="N14" s="104">
        <f t="shared" si="1"/>
        <v>0</v>
      </c>
      <c r="O14" s="104">
        <f t="shared" si="2"/>
        <v>0</v>
      </c>
      <c r="P14" s="105">
        <f t="shared" si="3"/>
        <v>0</v>
      </c>
      <c r="Q14" s="106" t="str">
        <f t="shared" si="4"/>
        <v/>
      </c>
      <c r="R14" s="107" t="str">
        <f>IF(OR($AI14="",ISNUMBER($AI14)=FALSE),"",IF(AND(#REF!="Tolerance",$E14&lt;&gt;""),($O14-$E14)/(($J14-$K14)/2),IF(AND(#REF!="GD&amp;T",$F14&lt;&gt;""),$O14/$F14,"")))</f>
        <v/>
      </c>
      <c r="S14" s="107" t="str">
        <f t="shared" si="12"/>
        <v/>
      </c>
      <c r="T14" s="106" t="str">
        <f t="shared" si="5"/>
        <v/>
      </c>
      <c r="U14" s="106" t="str">
        <f t="shared" si="6"/>
        <v/>
      </c>
      <c r="V14" s="106" t="str">
        <f t="shared" si="7"/>
        <v/>
      </c>
      <c r="W14" s="108" t="str">
        <f t="shared" si="8"/>
        <v/>
      </c>
      <c r="X14" s="109" t="e">
        <f>IF($O14="","",IF(#REF!="Tolerance",IF((#REF!*3*P14+O14)-E14&lt;F14,"",(#REF!*3*P14+O14)-E14),IF(OR(#REF!="GD&amp;T",#REF!="MAX"),IF((#REF!*3*P14+O14)&lt;F14,"",(#REF!*3*P14+O14)),"")))</f>
        <v>#REF!</v>
      </c>
      <c r="Y14" s="109" t="e">
        <f>IF(O14="","",IF(#REF!="Tolerance",IF(-((#REF!*3*P14)-O14)-E14&gt;G14,"",-((#REF!*3*P14)-O14)-E14),IF(#REF!="MIN",IF(-((#REF!*3*P14)-O14)&gt;G14,"",-((#REF!*3*P14)-O14)),"")))</f>
        <v>#REF!</v>
      </c>
      <c r="Z14" s="109" t="str">
        <f t="shared" si="13"/>
        <v/>
      </c>
      <c r="AA14" s="109" t="str">
        <f t="shared" si="9"/>
        <v/>
      </c>
      <c r="AB14" s="110"/>
      <c r="AC14" s="111" t="str">
        <f t="shared" si="14"/>
        <v/>
      </c>
      <c r="AD14" s="112"/>
      <c r="AE14" s="113"/>
      <c r="AF14" s="113"/>
      <c r="AG14" s="114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15"/>
      <c r="BM14" s="115"/>
      <c r="BN14" s="115"/>
      <c r="EN14" s="116"/>
      <c r="HC14" s="116"/>
      <c r="KF14" s="116"/>
      <c r="LE14" s="116"/>
      <c r="PS14" s="116"/>
      <c r="WC14" s="116"/>
      <c r="XQ14" s="116"/>
      <c r="YV14" s="116"/>
      <c r="AIZ14" s="116"/>
      <c r="AKV14" s="116"/>
      <c r="ALG14" s="116"/>
      <c r="AMM14" s="116"/>
      <c r="ANE14" s="116"/>
      <c r="AQR14" s="116"/>
      <c r="ASC14" s="116"/>
      <c r="AWH14" s="116"/>
      <c r="AYY14" s="116"/>
      <c r="BCJ14" s="116"/>
      <c r="BEA14" s="116"/>
      <c r="BFP14" s="116"/>
      <c r="BOQ14" s="116"/>
      <c r="BRU14" s="116"/>
      <c r="BSP14" s="116"/>
      <c r="BTE14" s="116"/>
      <c r="BXY14" s="116"/>
      <c r="BYL14" s="116"/>
      <c r="CGR14" s="116"/>
      <c r="CGU14" s="116"/>
      <c r="CLX14" s="116"/>
      <c r="CNI14" s="116"/>
      <c r="CYL14" s="116"/>
      <c r="CYT14" s="116"/>
      <c r="DEK14" s="116"/>
      <c r="DHZ14" s="116"/>
      <c r="DIC14" s="116"/>
      <c r="DIS14" s="116"/>
      <c r="DJS14" s="116"/>
      <c r="DOC14" s="116"/>
      <c r="DPQ14" s="116"/>
      <c r="DPU14" s="116"/>
      <c r="DQX14" s="116"/>
      <c r="EAF14" s="116"/>
      <c r="ECT14" s="116"/>
    </row>
    <row r="15" spans="1:1023 1025:2040 2061:3066 3097:3494" ht="15" customHeight="1">
      <c r="B15" s="95" t="s">
        <v>342</v>
      </c>
      <c r="C15" s="96" t="s">
        <v>73</v>
      </c>
      <c r="D15" s="117" t="s">
        <v>74</v>
      </c>
      <c r="E15" s="98"/>
      <c r="F15" s="99">
        <v>8.0000000000000002E-3</v>
      </c>
      <c r="G15" s="99"/>
      <c r="H15" s="100" t="s">
        <v>251</v>
      </c>
      <c r="I15" s="101" t="s">
        <v>245</v>
      </c>
      <c r="J15" s="102">
        <f t="shared" si="10"/>
        <v>8.0000000000000002E-3</v>
      </c>
      <c r="K15" s="102" t="str">
        <f t="shared" si="11"/>
        <v/>
      </c>
      <c r="L15" s="103"/>
      <c r="M15" s="104">
        <f t="shared" si="0"/>
        <v>0</v>
      </c>
      <c r="N15" s="104">
        <f t="shared" si="1"/>
        <v>0</v>
      </c>
      <c r="O15" s="104">
        <f t="shared" si="2"/>
        <v>0</v>
      </c>
      <c r="P15" s="105">
        <f t="shared" si="3"/>
        <v>0</v>
      </c>
      <c r="Q15" s="106" t="str">
        <f t="shared" si="4"/>
        <v/>
      </c>
      <c r="R15" s="107" t="str">
        <f>IF(OR($AI15="",ISNUMBER($AI15)=FALSE),"",IF(AND(#REF!="Tolerance",$E15&lt;&gt;""),($O15-$E15)/(($J15-$K15)/2),IF(AND(#REF!="GD&amp;T",$F15&lt;&gt;""),$O15/$F15,"")))</f>
        <v/>
      </c>
      <c r="S15" s="107" t="str">
        <f t="shared" si="12"/>
        <v/>
      </c>
      <c r="T15" s="106" t="str">
        <f t="shared" si="5"/>
        <v/>
      </c>
      <c r="U15" s="106" t="str">
        <f t="shared" si="6"/>
        <v/>
      </c>
      <c r="V15" s="106" t="str">
        <f t="shared" si="7"/>
        <v/>
      </c>
      <c r="W15" s="108" t="str">
        <f t="shared" si="8"/>
        <v/>
      </c>
      <c r="X15" s="109" t="e">
        <f>IF($O15="","",IF(#REF!="Tolerance",IF((#REF!*3*P15+O15)-E15&lt;F15,"",(#REF!*3*P15+O15)-E15),IF(OR(#REF!="GD&amp;T",#REF!="MAX"),IF((#REF!*3*P15+O15)&lt;F15,"",(#REF!*3*P15+O15)),"")))</f>
        <v>#REF!</v>
      </c>
      <c r="Y15" s="109" t="e">
        <f>IF(O15="","",IF(#REF!="Tolerance",IF(-((#REF!*3*P15)-O15)-E15&gt;G15,"",-((#REF!*3*P15)-O15)-E15),IF(#REF!="MIN",IF(-((#REF!*3*P15)-O15)&gt;G15,"",-((#REF!*3*P15)-O15)),"")))</f>
        <v>#REF!</v>
      </c>
      <c r="Z15" s="109" t="str">
        <f t="shared" si="13"/>
        <v/>
      </c>
      <c r="AA15" s="109" t="str">
        <f t="shared" si="9"/>
        <v/>
      </c>
      <c r="AB15" s="110"/>
      <c r="AC15" s="111" t="str">
        <f t="shared" si="14"/>
        <v/>
      </c>
      <c r="AD15" s="112"/>
      <c r="AE15" s="113"/>
      <c r="AF15" s="113"/>
      <c r="AG15" s="114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115"/>
      <c r="BK15" s="115"/>
      <c r="BL15" s="115"/>
      <c r="BM15" s="115"/>
      <c r="BN15" s="115"/>
      <c r="EN15" s="116"/>
      <c r="HC15" s="116"/>
      <c r="KF15" s="116"/>
      <c r="LE15" s="116"/>
      <c r="PS15" s="116"/>
      <c r="WC15" s="116"/>
      <c r="XQ15" s="116"/>
      <c r="YV15" s="116"/>
      <c r="AIZ15" s="116"/>
      <c r="ALG15" s="116"/>
      <c r="AMM15" s="116"/>
      <c r="ANE15" s="116"/>
      <c r="AQE15" s="116"/>
      <c r="AQR15" s="116"/>
      <c r="ARG15" s="116"/>
      <c r="ASC15" s="116"/>
      <c r="AWH15" s="116"/>
      <c r="BCJ15" s="116"/>
      <c r="BEA15" s="116"/>
      <c r="BFP15" s="116"/>
      <c r="BJW15" s="116"/>
      <c r="BOQ15" s="116"/>
      <c r="BRU15" s="116"/>
      <c r="BSP15" s="116"/>
      <c r="BTE15" s="116"/>
      <c r="BXY15" s="116"/>
      <c r="BYL15" s="116"/>
      <c r="CGR15" s="116"/>
      <c r="CGU15" s="116"/>
      <c r="CLX15" s="116"/>
      <c r="CNI15" s="116"/>
      <c r="CWD15" s="116"/>
      <c r="CYT15" s="116"/>
      <c r="DHZ15" s="116"/>
      <c r="DIC15" s="116"/>
      <c r="DIS15" s="116"/>
      <c r="DJS15" s="116"/>
      <c r="DOQ15" s="116"/>
      <c r="DPQ15" s="116"/>
      <c r="DPU15" s="116"/>
      <c r="DQX15" s="116"/>
      <c r="DZL15" s="116"/>
      <c r="EAF15" s="116"/>
      <c r="EBX15" s="116"/>
      <c r="ECT15" s="116"/>
    </row>
    <row r="16" spans="1:1023 1025:2040 2061:3066 3097:3494" ht="15" customHeight="1">
      <c r="B16" s="95" t="s">
        <v>342</v>
      </c>
      <c r="C16" s="96" t="s">
        <v>75</v>
      </c>
      <c r="D16" s="117" t="s">
        <v>74</v>
      </c>
      <c r="E16" s="98"/>
      <c r="F16" s="99">
        <v>8.0000000000000002E-3</v>
      </c>
      <c r="G16" s="99"/>
      <c r="H16" s="100" t="s">
        <v>251</v>
      </c>
      <c r="I16" s="101" t="s">
        <v>245</v>
      </c>
      <c r="J16" s="102">
        <f t="shared" si="10"/>
        <v>8.0000000000000002E-3</v>
      </c>
      <c r="K16" s="102" t="str">
        <f t="shared" si="11"/>
        <v/>
      </c>
      <c r="L16" s="103"/>
      <c r="M16" s="104">
        <f t="shared" si="0"/>
        <v>0</v>
      </c>
      <c r="N16" s="104">
        <f t="shared" si="1"/>
        <v>0</v>
      </c>
      <c r="O16" s="104">
        <f t="shared" si="2"/>
        <v>0</v>
      </c>
      <c r="P16" s="105">
        <f t="shared" si="3"/>
        <v>0</v>
      </c>
      <c r="Q16" s="106" t="str">
        <f t="shared" si="4"/>
        <v/>
      </c>
      <c r="R16" s="107" t="str">
        <f>IF(OR($AI16="",ISNUMBER($AI16)=FALSE),"",IF(AND(#REF!="Tolerance",$E16&lt;&gt;""),($O16-$E16)/(($J16-$K16)/2),IF(AND(#REF!="GD&amp;T",$F16&lt;&gt;""),$O16/$F16,"")))</f>
        <v/>
      </c>
      <c r="S16" s="107" t="str">
        <f t="shared" si="12"/>
        <v/>
      </c>
      <c r="T16" s="106" t="str">
        <f t="shared" si="5"/>
        <v/>
      </c>
      <c r="U16" s="106" t="str">
        <f t="shared" si="6"/>
        <v/>
      </c>
      <c r="V16" s="106" t="str">
        <f t="shared" si="7"/>
        <v/>
      </c>
      <c r="W16" s="108" t="str">
        <f t="shared" si="8"/>
        <v/>
      </c>
      <c r="X16" s="109" t="e">
        <f>IF($O16="","",IF(#REF!="Tolerance",IF((#REF!*3*P16+O16)-E16&lt;F16,"",(#REF!*3*P16+O16)-E16),IF(OR(#REF!="GD&amp;T",#REF!="MAX"),IF((#REF!*3*P16+O16)&lt;F16,"",(#REF!*3*P16+O16)),"")))</f>
        <v>#REF!</v>
      </c>
      <c r="Y16" s="109" t="e">
        <f>IF(O16="","",IF(#REF!="Tolerance",IF(-((#REF!*3*P16)-O16)-E16&gt;G16,"",-((#REF!*3*P16)-O16)-E16),IF(#REF!="MIN",IF(-((#REF!*3*P16)-O16)&gt;G16,"",-((#REF!*3*P16)-O16)),"")))</f>
        <v>#REF!</v>
      </c>
      <c r="Z16" s="109" t="str">
        <f t="shared" si="13"/>
        <v/>
      </c>
      <c r="AA16" s="109" t="str">
        <f t="shared" si="9"/>
        <v/>
      </c>
      <c r="AB16" s="110"/>
      <c r="AC16" s="111" t="str">
        <f t="shared" si="14"/>
        <v/>
      </c>
      <c r="AD16" s="112"/>
      <c r="AE16" s="113"/>
      <c r="AF16" s="113"/>
      <c r="AG16" s="114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5"/>
      <c r="BN16" s="115"/>
      <c r="EN16" s="116"/>
      <c r="HC16" s="116"/>
      <c r="LE16" s="116"/>
      <c r="PS16" s="116"/>
      <c r="WC16" s="116"/>
      <c r="XQ16" s="116"/>
      <c r="YV16" s="116"/>
      <c r="AIZ16" s="116"/>
      <c r="ALG16" s="116"/>
      <c r="AMM16" s="116"/>
      <c r="ANE16" s="116"/>
      <c r="AQE16" s="116"/>
      <c r="ASC16" s="116"/>
      <c r="AWH16" s="116"/>
      <c r="BCJ16" s="116"/>
      <c r="BEA16" s="116"/>
      <c r="BFP16" s="116"/>
      <c r="BKT16" s="116"/>
      <c r="BOQ16" s="116"/>
      <c r="BRU16" s="116"/>
      <c r="BSP16" s="116"/>
      <c r="BTE16" s="116"/>
      <c r="BXY16" s="116"/>
      <c r="BYL16" s="116"/>
      <c r="CGR16" s="116"/>
      <c r="CGU16" s="116"/>
      <c r="CTV16" s="116"/>
      <c r="DHZ16" s="116"/>
      <c r="DIC16" s="116"/>
      <c r="DIS16" s="116"/>
      <c r="DJS16" s="116"/>
      <c r="DPQ16" s="116"/>
      <c r="DPU16" s="116"/>
      <c r="DQX16" s="116"/>
      <c r="DZL16" s="116"/>
      <c r="EAF16" s="116"/>
      <c r="ECT16" s="116"/>
    </row>
    <row r="17" spans="2:1023 1027:2047 2057:3070 3082:3495" ht="15" customHeight="1">
      <c r="B17" s="95" t="s">
        <v>342</v>
      </c>
      <c r="C17" s="96" t="s">
        <v>76</v>
      </c>
      <c r="D17" s="117" t="s">
        <v>74</v>
      </c>
      <c r="E17" s="98"/>
      <c r="F17" s="99">
        <v>8.0000000000000002E-3</v>
      </c>
      <c r="G17" s="99"/>
      <c r="H17" s="100" t="s">
        <v>251</v>
      </c>
      <c r="I17" s="101" t="s">
        <v>245</v>
      </c>
      <c r="J17" s="102">
        <f t="shared" si="10"/>
        <v>8.0000000000000002E-3</v>
      </c>
      <c r="K17" s="102" t="str">
        <f t="shared" si="11"/>
        <v/>
      </c>
      <c r="L17" s="118"/>
      <c r="M17" s="104">
        <f t="shared" si="0"/>
        <v>0</v>
      </c>
      <c r="N17" s="104">
        <f t="shared" si="1"/>
        <v>0</v>
      </c>
      <c r="O17" s="104">
        <f t="shared" si="2"/>
        <v>0</v>
      </c>
      <c r="P17" s="105">
        <f t="shared" si="3"/>
        <v>0</v>
      </c>
      <c r="Q17" s="106" t="str">
        <f t="shared" si="4"/>
        <v/>
      </c>
      <c r="R17" s="107" t="str">
        <f>IF(OR($AI17="",ISNUMBER($AI17)=FALSE),"",IF(AND(#REF!="Tolerance",$E17&lt;&gt;""),($O17-$E17)/(($J17-$K17)/2),IF(AND(#REF!="GD&amp;T",$F17&lt;&gt;""),$O17/$F17,"")))</f>
        <v/>
      </c>
      <c r="S17" s="107" t="str">
        <f t="shared" si="12"/>
        <v/>
      </c>
      <c r="T17" s="106" t="str">
        <f t="shared" si="5"/>
        <v/>
      </c>
      <c r="U17" s="106" t="str">
        <f t="shared" si="6"/>
        <v/>
      </c>
      <c r="V17" s="106" t="str">
        <f t="shared" si="7"/>
        <v/>
      </c>
      <c r="W17" s="108" t="str">
        <f t="shared" si="8"/>
        <v/>
      </c>
      <c r="X17" s="109" t="e">
        <f>IF($O17="","",IF(#REF!="Tolerance",IF((#REF!*3*P17+O17)-E17&lt;F17,"",(#REF!*3*P17+O17)-E17),IF(OR(#REF!="GD&amp;T",#REF!="MAX"),IF((#REF!*3*P17+O17)&lt;F17,"",(#REF!*3*P17+O17)),"")))</f>
        <v>#REF!</v>
      </c>
      <c r="Y17" s="109" t="e">
        <f>IF(O17="","",IF(#REF!="Tolerance",IF(-((#REF!*3*P17)-O17)-E17&gt;G17,"",-((#REF!*3*P17)-O17)-E17),IF(#REF!="MIN",IF(-((#REF!*3*P17)-O17)&gt;G17,"",-((#REF!*3*P17)-O17)),"")))</f>
        <v>#REF!</v>
      </c>
      <c r="Z17" s="109" t="str">
        <f t="shared" si="13"/>
        <v/>
      </c>
      <c r="AA17" s="109" t="str">
        <f t="shared" si="9"/>
        <v/>
      </c>
      <c r="AB17" s="110"/>
      <c r="AC17" s="111" t="str">
        <f t="shared" si="14"/>
        <v/>
      </c>
      <c r="AD17" s="112"/>
      <c r="AE17" s="113"/>
      <c r="AF17" s="113"/>
      <c r="AG17" s="114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5"/>
      <c r="BH17" s="115"/>
      <c r="BI17" s="115"/>
      <c r="BJ17" s="115"/>
      <c r="BK17" s="115"/>
      <c r="BL17" s="115"/>
      <c r="BM17" s="115"/>
      <c r="BN17" s="115"/>
      <c r="HC17" s="116"/>
      <c r="LE17" s="116"/>
      <c r="XQ17" s="116"/>
      <c r="YV17" s="116"/>
      <c r="AIZ17" s="116"/>
      <c r="AKV17" s="116"/>
      <c r="ALG17" s="116"/>
      <c r="AMM17" s="116"/>
      <c r="ANE17" s="116"/>
      <c r="AQE17" s="116"/>
      <c r="AQR17" s="116"/>
      <c r="ASC17" s="116"/>
      <c r="AWH17" s="116"/>
      <c r="AYY17" s="116"/>
      <c r="BCJ17" s="116"/>
      <c r="BEA17" s="116"/>
      <c r="BFP17" s="116"/>
      <c r="BJW17" s="116"/>
      <c r="BOQ17" s="116"/>
      <c r="BRU17" s="116"/>
      <c r="BSP17" s="116"/>
      <c r="BXY17" s="116"/>
      <c r="BYL17" s="116"/>
      <c r="CGR17" s="116"/>
      <c r="DHZ17" s="116"/>
      <c r="DIC17" s="116"/>
      <c r="DIS17" s="116"/>
      <c r="DJS17" s="116"/>
      <c r="DPQ17" s="116"/>
      <c r="DPU17" s="116"/>
      <c r="DQX17" s="116"/>
      <c r="DSN17" s="116"/>
      <c r="DZL17" s="116"/>
      <c r="EAF17" s="116"/>
    </row>
    <row r="18" spans="2:1023 1027:2047 2057:3070 3082:3495" ht="15" customHeight="1">
      <c r="B18" s="95" t="s">
        <v>252</v>
      </c>
      <c r="C18" s="96" t="s">
        <v>77</v>
      </c>
      <c r="D18" s="97" t="s">
        <v>64</v>
      </c>
      <c r="E18" s="98"/>
      <c r="F18" s="99">
        <v>0.06</v>
      </c>
      <c r="G18" s="99"/>
      <c r="H18" s="100" t="s">
        <v>247</v>
      </c>
      <c r="I18" s="101" t="s">
        <v>245</v>
      </c>
      <c r="J18" s="102">
        <f t="shared" si="10"/>
        <v>0.06</v>
      </c>
      <c r="K18" s="102" t="str">
        <f t="shared" si="11"/>
        <v/>
      </c>
      <c r="L18" s="118"/>
      <c r="M18" s="104">
        <f t="shared" si="0"/>
        <v>0</v>
      </c>
      <c r="N18" s="104">
        <f t="shared" si="1"/>
        <v>0</v>
      </c>
      <c r="O18" s="104">
        <f t="shared" si="2"/>
        <v>0</v>
      </c>
      <c r="P18" s="105">
        <f t="shared" si="3"/>
        <v>0</v>
      </c>
      <c r="Q18" s="106" t="str">
        <f t="shared" si="4"/>
        <v/>
      </c>
      <c r="R18" s="107" t="str">
        <f>IF(OR($AI18="",ISNUMBER($AI18)=FALSE),"",IF(AND(#REF!="Tolerance",$E18&lt;&gt;""),($O18-$E18)/(($J18-$K18)/2),IF(AND(#REF!="GD&amp;T",$F18&lt;&gt;""),$O18/$F18,"")))</f>
        <v/>
      </c>
      <c r="S18" s="107" t="str">
        <f t="shared" si="12"/>
        <v/>
      </c>
      <c r="T18" s="106" t="str">
        <f t="shared" si="5"/>
        <v/>
      </c>
      <c r="U18" s="106" t="str">
        <f t="shared" si="6"/>
        <v/>
      </c>
      <c r="V18" s="106" t="str">
        <f t="shared" si="7"/>
        <v/>
      </c>
      <c r="W18" s="108" t="str">
        <f t="shared" si="8"/>
        <v/>
      </c>
      <c r="X18" s="109" t="e">
        <f>IF($O18="","",IF(#REF!="Tolerance",IF((#REF!*3*P18+O18)-E18&lt;F18,"",(#REF!*3*P18+O18)-E18),IF(OR(#REF!="GD&amp;T",#REF!="MAX"),IF((#REF!*3*P18+O18)&lt;F18,"",(#REF!*3*P18+O18)),"")))</f>
        <v>#REF!</v>
      </c>
      <c r="Y18" s="109" t="e">
        <f>IF(O18="","",IF(#REF!="Tolerance",IF(-((#REF!*3*P18)-O18)-E18&gt;G18,"",-((#REF!*3*P18)-O18)-E18),IF(#REF!="MIN",IF(-((#REF!*3*P18)-O18)&gt;G18,"",-((#REF!*3*P18)-O18)),"")))</f>
        <v>#REF!</v>
      </c>
      <c r="Z18" s="109" t="str">
        <f t="shared" si="13"/>
        <v/>
      </c>
      <c r="AA18" s="109" t="str">
        <f t="shared" si="9"/>
        <v/>
      </c>
      <c r="AB18" s="110"/>
      <c r="AC18" s="111" t="str">
        <f t="shared" si="14"/>
        <v/>
      </c>
      <c r="AD18" s="112"/>
      <c r="AE18" s="113"/>
      <c r="AF18" s="113"/>
      <c r="AG18" s="114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15"/>
      <c r="BK18" s="115"/>
      <c r="BL18" s="115"/>
      <c r="BM18" s="115"/>
      <c r="BN18" s="115"/>
      <c r="HC18" s="116"/>
      <c r="LE18" s="116"/>
      <c r="PS18" s="116"/>
      <c r="QC18" s="116"/>
      <c r="XQ18" s="116"/>
      <c r="YV18" s="116"/>
      <c r="AIZ18" s="116"/>
      <c r="ALG18" s="116"/>
      <c r="AMM18" s="116"/>
      <c r="ANE18" s="116"/>
      <c r="AQE18" s="116"/>
      <c r="AQR18" s="116"/>
      <c r="ASC18" s="116"/>
      <c r="AWH18" s="116"/>
      <c r="AYY18" s="116"/>
      <c r="BCJ18" s="116"/>
      <c r="BEA18" s="116"/>
      <c r="BFP18" s="116"/>
      <c r="BOQ18" s="116"/>
      <c r="BRU18" s="116"/>
      <c r="BSP18" s="116"/>
      <c r="BTE18" s="116"/>
      <c r="BXY18" s="116"/>
      <c r="BYL18" s="116"/>
      <c r="CGR18" s="116"/>
      <c r="DHZ18" s="116"/>
      <c r="DIC18" s="116"/>
      <c r="DIS18" s="116"/>
      <c r="DJS18" s="116"/>
      <c r="DPQ18" s="116"/>
      <c r="DPU18" s="116"/>
      <c r="DZL18" s="116"/>
      <c r="EAF18" s="116"/>
    </row>
    <row r="19" spans="2:1023 1027:2047 2057:3070 3082:3495" ht="15" customHeight="1">
      <c r="B19" s="95" t="s">
        <v>253</v>
      </c>
      <c r="C19" s="96" t="s">
        <v>254</v>
      </c>
      <c r="D19" s="97" t="s">
        <v>64</v>
      </c>
      <c r="E19" s="98"/>
      <c r="F19" s="99">
        <v>0.06</v>
      </c>
      <c r="G19" s="99"/>
      <c r="H19" s="100" t="s">
        <v>247</v>
      </c>
      <c r="I19" s="101" t="s">
        <v>245</v>
      </c>
      <c r="J19" s="102">
        <f t="shared" si="10"/>
        <v>0.06</v>
      </c>
      <c r="K19" s="102" t="str">
        <f t="shared" si="11"/>
        <v/>
      </c>
      <c r="L19" s="103"/>
      <c r="M19" s="104">
        <f t="shared" si="0"/>
        <v>0</v>
      </c>
      <c r="N19" s="104">
        <f t="shared" si="1"/>
        <v>0</v>
      </c>
      <c r="O19" s="104">
        <f t="shared" si="2"/>
        <v>0</v>
      </c>
      <c r="P19" s="105">
        <f t="shared" si="3"/>
        <v>0</v>
      </c>
      <c r="Q19" s="106" t="str">
        <f t="shared" si="4"/>
        <v/>
      </c>
      <c r="R19" s="107" t="str">
        <f>IF(OR($AI19="",ISNUMBER($AI19)=FALSE),"",IF(AND(#REF!="Tolerance",$E19&lt;&gt;""),($O19-$E19)/(($J19-$K19)/2),IF(AND(#REF!="GD&amp;T",$F19&lt;&gt;""),$O19/$F19,"")))</f>
        <v/>
      </c>
      <c r="S19" s="107" t="str">
        <f t="shared" si="12"/>
        <v/>
      </c>
      <c r="T19" s="106" t="str">
        <f t="shared" si="5"/>
        <v/>
      </c>
      <c r="U19" s="106" t="str">
        <f t="shared" si="6"/>
        <v/>
      </c>
      <c r="V19" s="106" t="str">
        <f t="shared" si="7"/>
        <v/>
      </c>
      <c r="W19" s="108" t="str">
        <f t="shared" si="8"/>
        <v/>
      </c>
      <c r="X19" s="109" t="e">
        <f>IF($O19="","",IF(#REF!="Tolerance",IF((#REF!*3*P19+O19)-E19&lt;F19,"",(#REF!*3*P19+O19)-E19),IF(OR(#REF!="GD&amp;T",#REF!="MAX"),IF((#REF!*3*P19+O19)&lt;F19,"",(#REF!*3*P19+O19)),"")))</f>
        <v>#REF!</v>
      </c>
      <c r="Y19" s="109" t="e">
        <f>IF(O19="","",IF(#REF!="Tolerance",IF(-((#REF!*3*P19)-O19)-E19&gt;G19,"",-((#REF!*3*P19)-O19)-E19),IF(#REF!="MIN",IF(-((#REF!*3*P19)-O19)&gt;G19,"",-((#REF!*3*P19)-O19)),"")))</f>
        <v>#REF!</v>
      </c>
      <c r="Z19" s="109" t="str">
        <f t="shared" si="13"/>
        <v/>
      </c>
      <c r="AA19" s="109" t="str">
        <f t="shared" si="9"/>
        <v/>
      </c>
      <c r="AB19" s="110"/>
      <c r="AC19" s="111" t="str">
        <f t="shared" si="14"/>
        <v/>
      </c>
      <c r="AD19" s="112"/>
      <c r="AE19" s="113"/>
      <c r="AF19" s="113"/>
      <c r="AG19" s="114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5"/>
      <c r="BK19" s="115"/>
      <c r="BL19" s="115"/>
      <c r="BM19" s="115"/>
      <c r="BN19" s="115"/>
      <c r="CJ19" s="116"/>
      <c r="HC19" s="116"/>
      <c r="IO19" s="116"/>
      <c r="KF19" s="116"/>
      <c r="QK19" s="116"/>
      <c r="WC19" s="116"/>
      <c r="XG19" s="116"/>
      <c r="XJ19" s="116"/>
      <c r="AAC19" s="116"/>
      <c r="AIZ19" s="116"/>
      <c r="AKV19" s="116"/>
      <c r="AUE19" s="116"/>
      <c r="BCJ19" s="116"/>
      <c r="BFP19" s="116"/>
      <c r="BUU19" s="116"/>
      <c r="BXX19" s="116"/>
      <c r="CAD19" s="116"/>
      <c r="CGU19" s="116"/>
      <c r="CHH19" s="116"/>
      <c r="CIA19" s="116"/>
      <c r="CKW19" s="116"/>
      <c r="CLX19" s="116"/>
      <c r="CMH19" s="116"/>
      <c r="CNR19" s="116"/>
      <c r="CRI19" s="116"/>
      <c r="DEK19" s="116"/>
      <c r="DHZ19" s="116"/>
      <c r="DIC19" s="116"/>
      <c r="DIS19" s="116"/>
      <c r="DPJ19" s="116"/>
      <c r="EAF19" s="116"/>
    </row>
    <row r="20" spans="2:1023 1027:2047 2057:3070 3082:3495" ht="15" customHeight="1">
      <c r="B20" s="95" t="s">
        <v>255</v>
      </c>
      <c r="C20" s="96" t="s">
        <v>82</v>
      </c>
      <c r="D20" s="97" t="s">
        <v>60</v>
      </c>
      <c r="E20" s="98">
        <v>18.215</v>
      </c>
      <c r="F20" s="99">
        <v>3.5000000000000003E-2</v>
      </c>
      <c r="G20" s="99">
        <v>-3.5000000000000003E-2</v>
      </c>
      <c r="H20" s="100" t="s">
        <v>247</v>
      </c>
      <c r="I20" s="101" t="s">
        <v>245</v>
      </c>
      <c r="J20" s="102">
        <f t="shared" si="10"/>
        <v>18.25</v>
      </c>
      <c r="K20" s="102">
        <f t="shared" si="11"/>
        <v>18.18</v>
      </c>
      <c r="L20" s="103"/>
      <c r="M20" s="104">
        <f t="shared" si="0"/>
        <v>0</v>
      </c>
      <c r="N20" s="104">
        <f t="shared" si="1"/>
        <v>0</v>
      </c>
      <c r="O20" s="104">
        <f t="shared" si="2"/>
        <v>0</v>
      </c>
      <c r="P20" s="105">
        <f t="shared" si="3"/>
        <v>0</v>
      </c>
      <c r="Q20" s="106" t="str">
        <f t="shared" si="4"/>
        <v/>
      </c>
      <c r="R20" s="107" t="str">
        <f>IF(OR($AI20="",ISNUMBER($AI20)=FALSE),"",IF(AND(#REF!="Tolerance",$E20&lt;&gt;""),($O20-$E20)/(($J20-$K20)/2),IF(AND(#REF!="GD&amp;T",$F20&lt;&gt;""),$O20/$F20,"")))</f>
        <v/>
      </c>
      <c r="S20" s="107" t="str">
        <f t="shared" si="12"/>
        <v/>
      </c>
      <c r="T20" s="106" t="str">
        <f t="shared" si="5"/>
        <v/>
      </c>
      <c r="U20" s="106" t="str">
        <f t="shared" si="6"/>
        <v/>
      </c>
      <c r="V20" s="106" t="str">
        <f t="shared" si="7"/>
        <v/>
      </c>
      <c r="W20" s="108" t="str">
        <f t="shared" si="8"/>
        <v/>
      </c>
      <c r="X20" s="109" t="e">
        <f>IF($O20="","",IF(#REF!="Tolerance",IF((#REF!*3*P20+O20)-E20&lt;F20,"",(#REF!*3*P20+O20)-E20),IF(OR(#REF!="GD&amp;T",#REF!="MAX"),IF((#REF!*3*P20+O20)&lt;F20,"",(#REF!*3*P20+O20)),"")))</f>
        <v>#REF!</v>
      </c>
      <c r="Y20" s="109" t="e">
        <f>IF(O20="","",IF(#REF!="Tolerance",IF(-((#REF!*3*P20)-O20)-E20&gt;G20,"",-((#REF!*3*P20)-O20)-E20),IF(#REF!="MIN",IF(-((#REF!*3*P20)-O20)&gt;G20,"",-((#REF!*3*P20)-O20)),"")))</f>
        <v>#REF!</v>
      </c>
      <c r="Z20" s="109">
        <f t="shared" si="13"/>
        <v>18.215</v>
      </c>
      <c r="AA20" s="109" t="str">
        <f t="shared" si="9"/>
        <v/>
      </c>
      <c r="AB20" s="110"/>
      <c r="AC20" s="111" t="str">
        <f t="shared" si="14"/>
        <v/>
      </c>
      <c r="AD20" s="112"/>
      <c r="AE20" s="113"/>
      <c r="AF20" s="113"/>
      <c r="AG20" s="114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5"/>
      <c r="BK20" s="115"/>
      <c r="BL20" s="115"/>
      <c r="BM20" s="115"/>
      <c r="BN20" s="115"/>
      <c r="CJ20" s="116"/>
      <c r="GL20" s="116"/>
      <c r="HC20" s="116"/>
      <c r="IO20" s="116"/>
      <c r="KF20" s="116"/>
      <c r="QK20" s="116"/>
      <c r="VV20" s="116"/>
      <c r="WC20" s="116"/>
      <c r="XG20" s="116"/>
      <c r="XJ20" s="116"/>
      <c r="AAC20" s="116"/>
      <c r="AIZ20" s="116"/>
      <c r="AKV20" s="116"/>
      <c r="AUE20" s="116"/>
      <c r="AZQ20" s="116"/>
      <c r="BCJ20" s="116"/>
      <c r="BFP20" s="116"/>
      <c r="BQX20" s="116"/>
      <c r="BSP20" s="116"/>
      <c r="BUU20" s="116"/>
      <c r="BXX20" s="116"/>
      <c r="CAD20" s="116"/>
      <c r="CGU20" s="116"/>
      <c r="CHH20" s="116"/>
      <c r="CIA20" s="116"/>
      <c r="CKX20" s="116"/>
      <c r="CLX20" s="116"/>
      <c r="CMH20" s="116"/>
      <c r="CNR20" s="116"/>
      <c r="CRI20" s="116"/>
      <c r="CYT20" s="116"/>
      <c r="DBH20" s="116"/>
      <c r="DEK20" s="116"/>
      <c r="DEU20" s="116"/>
      <c r="DHZ20" s="116"/>
      <c r="DIC20" s="116"/>
      <c r="DIF20" s="116"/>
      <c r="DIM20" s="116"/>
      <c r="DIS20" s="116"/>
      <c r="DJY20" s="116"/>
      <c r="DOK20" s="116"/>
      <c r="DPJ20" s="116"/>
      <c r="EAF20" s="116"/>
    </row>
    <row r="21" spans="2:1023 1027:2047 2057:3070 3082:3495" ht="15" customHeight="1">
      <c r="B21" s="95" t="s">
        <v>255</v>
      </c>
      <c r="C21" s="96" t="s">
        <v>83</v>
      </c>
      <c r="D21" s="97" t="s">
        <v>60</v>
      </c>
      <c r="E21" s="98">
        <v>18.215</v>
      </c>
      <c r="F21" s="99">
        <v>3.5000000000000003E-2</v>
      </c>
      <c r="G21" s="99">
        <v>-3.5000000000000003E-2</v>
      </c>
      <c r="H21" s="100" t="s">
        <v>247</v>
      </c>
      <c r="I21" s="101" t="s">
        <v>245</v>
      </c>
      <c r="J21" s="102">
        <f t="shared" si="10"/>
        <v>18.25</v>
      </c>
      <c r="K21" s="102">
        <f t="shared" si="11"/>
        <v>18.18</v>
      </c>
      <c r="L21" s="103"/>
      <c r="M21" s="104">
        <f t="shared" si="0"/>
        <v>0</v>
      </c>
      <c r="N21" s="104">
        <f t="shared" si="1"/>
        <v>0</v>
      </c>
      <c r="O21" s="104">
        <f t="shared" si="2"/>
        <v>0</v>
      </c>
      <c r="P21" s="105">
        <f t="shared" si="3"/>
        <v>0</v>
      </c>
      <c r="Q21" s="106" t="str">
        <f t="shared" si="4"/>
        <v/>
      </c>
      <c r="R21" s="107" t="str">
        <f>IF(OR($AI21="",ISNUMBER($AI21)=FALSE),"",IF(AND(#REF!="Tolerance",$E21&lt;&gt;""),($O21-$E21)/(($J21-$K21)/2),IF(AND(#REF!="GD&amp;T",$F21&lt;&gt;""),$O21/$F21,"")))</f>
        <v/>
      </c>
      <c r="S21" s="107" t="str">
        <f t="shared" si="12"/>
        <v/>
      </c>
      <c r="T21" s="106" t="str">
        <f t="shared" si="5"/>
        <v/>
      </c>
      <c r="U21" s="106" t="str">
        <f t="shared" si="6"/>
        <v/>
      </c>
      <c r="V21" s="106" t="str">
        <f t="shared" si="7"/>
        <v/>
      </c>
      <c r="W21" s="108" t="str">
        <f t="shared" si="8"/>
        <v/>
      </c>
      <c r="X21" s="109" t="e">
        <f>IF($O21="","",IF(#REF!="Tolerance",IF((#REF!*3*P21+O21)-E21&lt;F21,"",(#REF!*3*P21+O21)-E21),IF(OR(#REF!="GD&amp;T",#REF!="MAX"),IF((#REF!*3*P21+O21)&lt;F21,"",(#REF!*3*P21+O21)),"")))</f>
        <v>#REF!</v>
      </c>
      <c r="Y21" s="109" t="e">
        <f>IF(O21="","",IF(#REF!="Tolerance",IF(-((#REF!*3*P21)-O21)-E21&gt;G21,"",-((#REF!*3*P21)-O21)-E21),IF(#REF!="MIN",IF(-((#REF!*3*P21)-O21)&gt;G21,"",-((#REF!*3*P21)-O21)),"")))</f>
        <v>#REF!</v>
      </c>
      <c r="Z21" s="109">
        <f>IF(OR(E21="",O21=""),"",(J21+K21)/2-O21)</f>
        <v>18.215</v>
      </c>
      <c r="AA21" s="109" t="str">
        <f t="shared" si="9"/>
        <v/>
      </c>
      <c r="AB21" s="110"/>
      <c r="AC21" s="111" t="str">
        <f t="shared" si="14"/>
        <v/>
      </c>
      <c r="AD21" s="112"/>
      <c r="AE21" s="113"/>
      <c r="AF21" s="113"/>
      <c r="AG21" s="114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5"/>
      <c r="BK21" s="115"/>
      <c r="BL21" s="115"/>
      <c r="BM21" s="115"/>
      <c r="BN21" s="115"/>
      <c r="CJ21" s="116"/>
      <c r="IN21" s="116"/>
      <c r="IO21" s="116"/>
      <c r="KF21" s="116"/>
      <c r="PD21" s="116"/>
      <c r="WC21" s="116"/>
      <c r="XG21" s="116"/>
      <c r="AAC21" s="116"/>
      <c r="AAZ21" s="116"/>
      <c r="AIZ21" s="116"/>
      <c r="AKV21" s="116"/>
      <c r="ALG21" s="116"/>
      <c r="AUE21" s="116"/>
      <c r="BCJ21" s="116"/>
      <c r="BFP21" s="116"/>
      <c r="BSP21" s="116"/>
      <c r="BUU21" s="116"/>
      <c r="CAD21" s="116"/>
      <c r="CGU21" s="116"/>
      <c r="CIA21" s="116"/>
      <c r="CKX21" s="116"/>
      <c r="CLX21" s="116"/>
      <c r="CNR21" s="116"/>
      <c r="CRI21" s="116"/>
      <c r="CYT21" s="116"/>
      <c r="DBH21" s="116"/>
      <c r="DEK21" s="116"/>
      <c r="DHZ21" s="116"/>
      <c r="DIA21" s="116"/>
      <c r="DIC21" s="116"/>
      <c r="DIF21" s="116"/>
      <c r="DIM21" s="116"/>
      <c r="DIS21" s="116"/>
      <c r="DMF21" s="116"/>
      <c r="DOK21" s="116"/>
      <c r="DPJ21" s="116"/>
      <c r="EAF21" s="116"/>
    </row>
    <row r="22" spans="2:1023 1027:2047 2057:3070 3082:3495" ht="15" customHeight="1">
      <c r="B22" s="95" t="s">
        <v>255</v>
      </c>
      <c r="C22" s="96" t="s">
        <v>84</v>
      </c>
      <c r="D22" s="97" t="s">
        <v>60</v>
      </c>
      <c r="E22" s="98">
        <v>18.215</v>
      </c>
      <c r="F22" s="99">
        <v>3.5000000000000003E-2</v>
      </c>
      <c r="G22" s="99">
        <v>-3.5000000000000003E-2</v>
      </c>
      <c r="H22" s="100" t="s">
        <v>247</v>
      </c>
      <c r="I22" s="101" t="s">
        <v>245</v>
      </c>
      <c r="J22" s="102">
        <f t="shared" si="10"/>
        <v>18.25</v>
      </c>
      <c r="K22" s="102">
        <f t="shared" si="11"/>
        <v>18.18</v>
      </c>
      <c r="L22" s="118"/>
      <c r="M22" s="104">
        <f t="shared" si="0"/>
        <v>0</v>
      </c>
      <c r="N22" s="104">
        <f t="shared" si="1"/>
        <v>0</v>
      </c>
      <c r="O22" s="104">
        <f t="shared" si="2"/>
        <v>0</v>
      </c>
      <c r="P22" s="105">
        <f t="shared" si="3"/>
        <v>0</v>
      </c>
      <c r="Q22" s="106" t="str">
        <f t="shared" si="4"/>
        <v/>
      </c>
      <c r="R22" s="107" t="str">
        <f>IF(OR($AI22="",ISNUMBER($AI22)=FALSE),"",IF(AND(#REF!="Tolerance",$E22&lt;&gt;""),($O22-$E22)/(($J22-$K22)/2),IF(AND(#REF!="GD&amp;T",$F22&lt;&gt;""),$O22/$F22,"")))</f>
        <v/>
      </c>
      <c r="S22" s="107" t="str">
        <f t="shared" si="12"/>
        <v/>
      </c>
      <c r="T22" s="106" t="str">
        <f t="shared" si="5"/>
        <v/>
      </c>
      <c r="U22" s="106" t="str">
        <f t="shared" si="6"/>
        <v/>
      </c>
      <c r="V22" s="106" t="str">
        <f t="shared" si="7"/>
        <v/>
      </c>
      <c r="W22" s="108" t="str">
        <f t="shared" si="8"/>
        <v/>
      </c>
      <c r="X22" s="109" t="e">
        <f>IF($O22="","",IF(#REF!="Tolerance",IF((#REF!*3*P22+O22)-E22&lt;F22,"",(#REF!*3*P22+O22)-E22),IF(OR(#REF!="GD&amp;T",#REF!="MAX"),IF((#REF!*3*P22+O22)&lt;F22,"",(#REF!*3*P22+O22)),"")))</f>
        <v>#REF!</v>
      </c>
      <c r="Y22" s="109" t="e">
        <f>IF(O22="","",IF(#REF!="Tolerance",IF(-((#REF!*3*P22)-O22)-E22&gt;G22,"",-((#REF!*3*P22)-O22)-E22),IF(#REF!="MIN",IF(-((#REF!*3*P22)-O22)&gt;G22,"",-((#REF!*3*P22)-O22)),"")))</f>
        <v>#REF!</v>
      </c>
      <c r="Z22" s="109">
        <f t="shared" si="13"/>
        <v>18.215</v>
      </c>
      <c r="AA22" s="109" t="str">
        <f t="shared" si="9"/>
        <v/>
      </c>
      <c r="AB22" s="110"/>
      <c r="AC22" s="111" t="str">
        <f t="shared" si="14"/>
        <v/>
      </c>
      <c r="AD22" s="112"/>
      <c r="AE22" s="113"/>
      <c r="AF22" s="113"/>
      <c r="AG22" s="114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5"/>
      <c r="BM22" s="115"/>
      <c r="BN22" s="115"/>
      <c r="CJ22" s="116"/>
      <c r="HC22" s="116"/>
      <c r="IO22" s="116"/>
      <c r="KF22" s="116"/>
      <c r="QK22" s="116"/>
      <c r="WC22" s="116"/>
      <c r="XJ22" s="116"/>
      <c r="AAC22" s="116"/>
      <c r="AAZ22" s="116"/>
      <c r="AIZ22" s="116"/>
      <c r="AKV22" s="116"/>
      <c r="ALG22" s="116"/>
      <c r="BCJ22" s="116"/>
      <c r="BFP22" s="116"/>
      <c r="BRU22" s="116"/>
      <c r="BSP22" s="116"/>
      <c r="BUU22" s="116"/>
      <c r="BXX22" s="116"/>
      <c r="CAD22" s="116"/>
      <c r="CGU22" s="116"/>
      <c r="CHG22" s="116"/>
      <c r="CIA22" s="116"/>
      <c r="CLX22" s="116"/>
      <c r="CNR22" s="116"/>
      <c r="CRI22" s="116"/>
      <c r="CYT22" s="116"/>
      <c r="DBH22" s="116"/>
      <c r="DEK22" s="116"/>
      <c r="DHZ22" s="116"/>
      <c r="DIC22" s="116"/>
      <c r="DIS22" s="116"/>
      <c r="DOK22" s="116"/>
      <c r="DPJ22" s="116"/>
      <c r="EAF22" s="116"/>
    </row>
    <row r="23" spans="2:1023 1027:2047 2057:3070 3082:3495" ht="15" customHeight="1">
      <c r="B23" s="95" t="s">
        <v>256</v>
      </c>
      <c r="C23" s="96" t="s">
        <v>85</v>
      </c>
      <c r="D23" s="97" t="s">
        <v>60</v>
      </c>
      <c r="E23" s="98">
        <v>17.225000000000001</v>
      </c>
      <c r="F23" s="99">
        <v>0.03</v>
      </c>
      <c r="G23" s="99">
        <v>-0.03</v>
      </c>
      <c r="H23" s="100" t="s">
        <v>247</v>
      </c>
      <c r="I23" s="101" t="s">
        <v>245</v>
      </c>
      <c r="J23" s="102">
        <f t="shared" si="10"/>
        <v>17.255000000000003</v>
      </c>
      <c r="K23" s="102">
        <f t="shared" si="11"/>
        <v>17.195</v>
      </c>
      <c r="L23" s="118"/>
      <c r="M23" s="104">
        <f t="shared" si="0"/>
        <v>0</v>
      </c>
      <c r="N23" s="104">
        <f t="shared" si="1"/>
        <v>0</v>
      </c>
      <c r="O23" s="104">
        <f t="shared" si="2"/>
        <v>0</v>
      </c>
      <c r="P23" s="105">
        <f t="shared" si="3"/>
        <v>0</v>
      </c>
      <c r="Q23" s="106" t="str">
        <f t="shared" si="4"/>
        <v/>
      </c>
      <c r="R23" s="107" t="str">
        <f>IF(OR($AI23="",ISNUMBER($AI23)=FALSE),"",IF(AND(#REF!="Tolerance",$E23&lt;&gt;""),($O23-$E23)/(($J23-$K23)/2),IF(AND(#REF!="GD&amp;T",$F23&lt;&gt;""),$O23/$F23,"")))</f>
        <v/>
      </c>
      <c r="S23" s="107" t="str">
        <f t="shared" si="12"/>
        <v/>
      </c>
      <c r="T23" s="106" t="str">
        <f t="shared" si="5"/>
        <v/>
      </c>
      <c r="U23" s="106" t="str">
        <f t="shared" si="6"/>
        <v/>
      </c>
      <c r="V23" s="106" t="str">
        <f t="shared" si="7"/>
        <v/>
      </c>
      <c r="W23" s="108" t="str">
        <f t="shared" si="8"/>
        <v/>
      </c>
      <c r="X23" s="109" t="e">
        <f>IF($O23="","",IF(#REF!="Tolerance",IF((#REF!*3*P23+O23)-E23&lt;F23,"",(#REF!*3*P23+O23)-E23),IF(OR(#REF!="GD&amp;T",#REF!="MAX"),IF((#REF!*3*P23+O23)&lt;F23,"",(#REF!*3*P23+O23)),"")))</f>
        <v>#REF!</v>
      </c>
      <c r="Y23" s="109" t="e">
        <f>IF(O23="","",IF(#REF!="Tolerance",IF(-((#REF!*3*P23)-O23)-E23&gt;G23,"",-((#REF!*3*P23)-O23)-E23),IF(#REF!="MIN",IF(-((#REF!*3*P23)-O23)&gt;G23,"",-((#REF!*3*P23)-O23)),"")))</f>
        <v>#REF!</v>
      </c>
      <c r="Z23" s="109">
        <f t="shared" si="13"/>
        <v>17.225000000000001</v>
      </c>
      <c r="AA23" s="109" t="str">
        <f t="shared" si="9"/>
        <v/>
      </c>
      <c r="AB23" s="110"/>
      <c r="AC23" s="111" t="str">
        <f t="shared" si="14"/>
        <v/>
      </c>
      <c r="AD23" s="112"/>
      <c r="AE23" s="113"/>
      <c r="AF23" s="113"/>
      <c r="AG23" s="114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115"/>
      <c r="BK23" s="115"/>
      <c r="BL23" s="115"/>
      <c r="BM23" s="115"/>
      <c r="BN23" s="115"/>
      <c r="CJ23" s="116"/>
      <c r="HC23" s="116"/>
      <c r="IO23" s="116"/>
      <c r="KF23" s="116"/>
      <c r="WC23" s="116"/>
      <c r="XJ23" s="116"/>
      <c r="AAC23" s="116"/>
      <c r="AAZ23" s="116"/>
      <c r="AIS23" s="116"/>
      <c r="AIZ23" s="116"/>
      <c r="AKV23" s="116"/>
      <c r="ALG23" s="116"/>
      <c r="APJ23" s="116"/>
      <c r="BCJ23" s="116"/>
      <c r="BFP23" s="116"/>
      <c r="BSP23" s="116"/>
      <c r="BUU23" s="116"/>
      <c r="BYL23" s="116"/>
      <c r="CAD23" s="116"/>
      <c r="CGU23" s="116"/>
      <c r="CLX23" s="116"/>
      <c r="CNR23" s="116"/>
      <c r="CRI23" s="116"/>
      <c r="CYT23" s="116"/>
      <c r="DEK23" s="116"/>
      <c r="DHZ23" s="116"/>
      <c r="DIC23" s="116"/>
      <c r="DIS23" s="116"/>
      <c r="DOK23" s="116"/>
      <c r="DPJ23" s="116"/>
      <c r="DRA23" s="116"/>
      <c r="EAF23" s="116"/>
    </row>
    <row r="24" spans="2:1023 1027:2047 2057:3070 3082:3495" ht="15" customHeight="1">
      <c r="B24" s="95" t="s">
        <v>257</v>
      </c>
      <c r="C24" s="96" t="s">
        <v>258</v>
      </c>
      <c r="D24" s="97" t="s">
        <v>60</v>
      </c>
      <c r="E24" s="98">
        <v>14.529</v>
      </c>
      <c r="F24" s="99">
        <v>0.03</v>
      </c>
      <c r="G24" s="99">
        <v>-0.03</v>
      </c>
      <c r="H24" s="100" t="s">
        <v>247</v>
      </c>
      <c r="I24" s="101" t="s">
        <v>245</v>
      </c>
      <c r="J24" s="102">
        <f t="shared" si="10"/>
        <v>14.558999999999999</v>
      </c>
      <c r="K24" s="102">
        <f t="shared" si="11"/>
        <v>14.499000000000001</v>
      </c>
      <c r="L24" s="118"/>
      <c r="M24" s="104">
        <f t="shared" si="0"/>
        <v>0</v>
      </c>
      <c r="N24" s="104">
        <f t="shared" si="1"/>
        <v>0</v>
      </c>
      <c r="O24" s="104">
        <f t="shared" si="2"/>
        <v>0</v>
      </c>
      <c r="P24" s="105">
        <f t="shared" si="3"/>
        <v>0</v>
      </c>
      <c r="Q24" s="106" t="str">
        <f t="shared" si="4"/>
        <v/>
      </c>
      <c r="R24" s="107" t="str">
        <f>IF(OR($AI24="",ISNUMBER($AI24)=FALSE),"",IF(AND(#REF!="Tolerance",$E24&lt;&gt;""),($O24-$E24)/(($J24-$K24)/2),IF(AND(#REF!="GD&amp;T",$F24&lt;&gt;""),$O24/$F24,"")))</f>
        <v/>
      </c>
      <c r="S24" s="107" t="str">
        <f t="shared" si="12"/>
        <v/>
      </c>
      <c r="T24" s="106" t="str">
        <f t="shared" si="5"/>
        <v/>
      </c>
      <c r="U24" s="106" t="str">
        <f t="shared" si="6"/>
        <v/>
      </c>
      <c r="V24" s="106" t="str">
        <f t="shared" si="7"/>
        <v/>
      </c>
      <c r="W24" s="108" t="str">
        <f t="shared" si="8"/>
        <v/>
      </c>
      <c r="X24" s="109" t="e">
        <f>IF($O24="","",IF(#REF!="Tolerance",IF((#REF!*3*P24+O24)-E24&lt;F24,"",(#REF!*3*P24+O24)-E24),IF(OR(#REF!="GD&amp;T",#REF!="MAX"),IF((#REF!*3*P24+O24)&lt;F24,"",(#REF!*3*P24+O24)),"")))</f>
        <v>#REF!</v>
      </c>
      <c r="Y24" s="109" t="e">
        <f>IF(O24="","",IF(#REF!="Tolerance",IF(-((#REF!*3*P24)-O24)-E24&gt;G24,"",-((#REF!*3*P24)-O24)-E24),IF(#REF!="MIN",IF(-((#REF!*3*P24)-O24)&gt;G24,"",-((#REF!*3*P24)-O24)),"")))</f>
        <v>#REF!</v>
      </c>
      <c r="Z24" s="109">
        <f t="shared" si="13"/>
        <v>14.529</v>
      </c>
      <c r="AA24" s="109" t="str">
        <f t="shared" si="9"/>
        <v/>
      </c>
      <c r="AB24" s="110"/>
      <c r="AC24" s="111" t="str">
        <f t="shared" si="14"/>
        <v/>
      </c>
      <c r="AD24" s="112"/>
      <c r="AE24" s="113"/>
      <c r="AF24" s="113"/>
      <c r="AG24" s="114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6"/>
      <c r="EM24" s="116"/>
      <c r="GG24" s="116"/>
      <c r="PO24" s="116"/>
      <c r="PU24" s="116"/>
      <c r="UZ24" s="116"/>
      <c r="WQ24" s="116"/>
      <c r="WV24" s="116"/>
      <c r="ZG24" s="116"/>
      <c r="ADH24" s="116"/>
      <c r="ADK24" s="116"/>
      <c r="AFV24" s="116"/>
      <c r="AGF24" s="116"/>
      <c r="AGO24" s="116"/>
      <c r="AGV24" s="116"/>
      <c r="AHI24" s="116"/>
      <c r="AHT24" s="116"/>
      <c r="AIC24" s="116"/>
      <c r="AIV24" s="116"/>
      <c r="AOH24" s="116"/>
      <c r="AOV24" s="116"/>
      <c r="AQH24" s="116"/>
      <c r="BUN24" s="116"/>
      <c r="DNB24" s="116"/>
      <c r="DSQ24" s="116"/>
    </row>
    <row r="25" spans="2:1023 1027:2047 2057:3070 3082:3495" ht="15" customHeight="1">
      <c r="B25" s="95" t="s">
        <v>259</v>
      </c>
      <c r="C25" s="96" t="s">
        <v>260</v>
      </c>
      <c r="D25" s="97" t="s">
        <v>60</v>
      </c>
      <c r="E25" s="98">
        <v>3.8740000000000001</v>
      </c>
      <c r="F25" s="99">
        <v>0.03</v>
      </c>
      <c r="G25" s="99">
        <v>-0.03</v>
      </c>
      <c r="H25" s="100" t="s">
        <v>247</v>
      </c>
      <c r="I25" s="101" t="s">
        <v>245</v>
      </c>
      <c r="J25" s="102">
        <f t="shared" si="10"/>
        <v>3.9039999999999999</v>
      </c>
      <c r="K25" s="102">
        <f t="shared" si="11"/>
        <v>3.8440000000000003</v>
      </c>
      <c r="L25" s="118"/>
      <c r="M25" s="104">
        <f t="shared" si="0"/>
        <v>0</v>
      </c>
      <c r="N25" s="104">
        <f t="shared" si="1"/>
        <v>0</v>
      </c>
      <c r="O25" s="104">
        <f t="shared" si="2"/>
        <v>0</v>
      </c>
      <c r="P25" s="105">
        <f t="shared" si="3"/>
        <v>0</v>
      </c>
      <c r="Q25" s="106" t="str">
        <f t="shared" si="4"/>
        <v/>
      </c>
      <c r="R25" s="107" t="str">
        <f>IF(OR($AI25="",ISNUMBER($AI25)=FALSE),"",IF(AND(#REF!="Tolerance",$E25&lt;&gt;""),($O25-$E25)/(($J25-$K25)/2),IF(AND(#REF!="GD&amp;T",$F25&lt;&gt;""),$O25/$F25,"")))</f>
        <v/>
      </c>
      <c r="S25" s="107" t="str">
        <f t="shared" si="12"/>
        <v/>
      </c>
      <c r="T25" s="106" t="str">
        <f t="shared" si="5"/>
        <v/>
      </c>
      <c r="U25" s="106" t="str">
        <f t="shared" si="6"/>
        <v/>
      </c>
      <c r="V25" s="106" t="str">
        <f t="shared" si="7"/>
        <v/>
      </c>
      <c r="W25" s="108" t="str">
        <f t="shared" si="8"/>
        <v/>
      </c>
      <c r="X25" s="109" t="e">
        <f>IF($O25="","",IF(#REF!="Tolerance",IF((#REF!*3*P25+O25)-E25&lt;F25,"",(#REF!*3*P25+O25)-E25),IF(OR(#REF!="GD&amp;T",#REF!="MAX"),IF((#REF!*3*P25+O25)&lt;F25,"",(#REF!*3*P25+O25)),"")))</f>
        <v>#REF!</v>
      </c>
      <c r="Y25" s="109" t="e">
        <f>IF(O25="","",IF(#REF!="Tolerance",IF(-((#REF!*3*P25)-O25)-E25&gt;G25,"",-((#REF!*3*P25)-O25)-E25),IF(#REF!="MIN",IF(-((#REF!*3*P25)-O25)&gt;G25,"",-((#REF!*3*P25)-O25)),"")))</f>
        <v>#REF!</v>
      </c>
      <c r="Z25" s="109">
        <f t="shared" si="13"/>
        <v>3.8740000000000001</v>
      </c>
      <c r="AA25" s="109" t="str">
        <f t="shared" si="9"/>
        <v/>
      </c>
      <c r="AB25" s="110"/>
      <c r="AC25" s="111" t="str">
        <f t="shared" si="14"/>
        <v/>
      </c>
      <c r="AD25" s="112"/>
      <c r="AE25" s="113"/>
      <c r="AF25" s="113"/>
      <c r="AG25" s="114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Z25" s="116"/>
      <c r="IB25" s="116"/>
      <c r="TP25" s="116"/>
      <c r="UJ25" s="116"/>
      <c r="XJ25" s="116"/>
      <c r="XQ25" s="116"/>
      <c r="XZ25" s="116"/>
      <c r="YI25" s="116"/>
      <c r="AAZ25" s="116"/>
      <c r="ABN25" s="116"/>
      <c r="ACP25" s="116"/>
      <c r="ADK25" s="116"/>
      <c r="ADQ25" s="116"/>
      <c r="AGO25" s="116"/>
      <c r="AGY25" s="116"/>
      <c r="AHK25" s="116"/>
      <c r="ALG25" s="116"/>
      <c r="AUJ25" s="116"/>
      <c r="AUX25" s="116"/>
      <c r="BDE25" s="116"/>
      <c r="BIK25" s="116"/>
      <c r="BLL25" s="116"/>
      <c r="BPW25" s="116"/>
      <c r="BYK25" s="116"/>
      <c r="BYN25" s="116"/>
      <c r="BZQ25" s="116"/>
      <c r="CDW25" s="116"/>
      <c r="CEH25" s="116"/>
      <c r="DAN25" s="116"/>
      <c r="DCZ25" s="116"/>
      <c r="DIM25" s="116"/>
      <c r="DLZ25" s="116"/>
      <c r="DUY25" s="116"/>
    </row>
    <row r="26" spans="2:1023 1027:2047 2057:3070 3082:3495" ht="15" customHeight="1">
      <c r="B26" s="95" t="s">
        <v>343</v>
      </c>
      <c r="C26" s="96" t="s">
        <v>97</v>
      </c>
      <c r="D26" s="97" t="s">
        <v>60</v>
      </c>
      <c r="E26" s="98">
        <v>7.7249999999999996</v>
      </c>
      <c r="F26" s="99">
        <v>0.03</v>
      </c>
      <c r="G26" s="99">
        <v>-0.03</v>
      </c>
      <c r="H26" s="100" t="s">
        <v>244</v>
      </c>
      <c r="I26" s="101" t="s">
        <v>245</v>
      </c>
      <c r="J26" s="102">
        <f t="shared" si="10"/>
        <v>7.7549999999999999</v>
      </c>
      <c r="K26" s="102">
        <f t="shared" si="11"/>
        <v>7.6949999999999994</v>
      </c>
      <c r="L26" s="118"/>
      <c r="M26" s="104">
        <f t="shared" si="0"/>
        <v>0</v>
      </c>
      <c r="N26" s="104">
        <f t="shared" si="1"/>
        <v>0</v>
      </c>
      <c r="O26" s="104">
        <f t="shared" si="2"/>
        <v>0</v>
      </c>
      <c r="P26" s="105">
        <f t="shared" si="3"/>
        <v>0</v>
      </c>
      <c r="Q26" s="106" t="str">
        <f t="shared" si="4"/>
        <v/>
      </c>
      <c r="R26" s="107" t="str">
        <f>IF(OR($AI26="",ISNUMBER($AI26)=FALSE),"",IF(AND(#REF!="Tolerance",$E26&lt;&gt;""),($O26-$E26)/(($J26-$K26)/2),IF(AND(#REF!="GD&amp;T",$F26&lt;&gt;""),$O26/$F26,"")))</f>
        <v/>
      </c>
      <c r="S26" s="107" t="str">
        <f t="shared" si="12"/>
        <v/>
      </c>
      <c r="T26" s="106" t="str">
        <f t="shared" si="5"/>
        <v/>
      </c>
      <c r="U26" s="106" t="str">
        <f t="shared" si="6"/>
        <v/>
      </c>
      <c r="V26" s="106" t="str">
        <f t="shared" si="7"/>
        <v/>
      </c>
      <c r="W26" s="108" t="str">
        <f t="shared" si="8"/>
        <v/>
      </c>
      <c r="X26" s="109" t="e">
        <f>IF($O26="","",IF(#REF!="Tolerance",IF((#REF!*3*P26+O26)-E26&lt;F26,"",(#REF!*3*P26+O26)-E26),IF(OR(#REF!="GD&amp;T",#REF!="MAX"),IF((#REF!*3*P26+O26)&lt;F26,"",(#REF!*3*P26+O26)),"")))</f>
        <v>#REF!</v>
      </c>
      <c r="Y26" s="109" t="e">
        <f>IF(O26="","",IF(#REF!="Tolerance",IF(-((#REF!*3*P26)-O26)-E26&gt;G26,"",-((#REF!*3*P26)-O26)-E26),IF(#REF!="MIN",IF(-((#REF!*3*P26)-O26)&gt;G26,"",-((#REF!*3*P26)-O26)),"")))</f>
        <v>#REF!</v>
      </c>
      <c r="Z26" s="109">
        <f t="shared" si="13"/>
        <v>7.7249999999999996</v>
      </c>
      <c r="AA26" s="109" t="str">
        <f t="shared" si="9"/>
        <v/>
      </c>
      <c r="AB26" s="110"/>
      <c r="AC26" s="111" t="str">
        <f t="shared" si="14"/>
        <v/>
      </c>
      <c r="AD26" s="112"/>
      <c r="AE26" s="113"/>
      <c r="AF26" s="113"/>
      <c r="AG26" s="114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DV26" s="116"/>
      <c r="GA26" s="116"/>
      <c r="LF26" s="116"/>
      <c r="LK26" s="116"/>
      <c r="QZ26" s="116"/>
      <c r="TY26" s="116"/>
      <c r="WC26" s="116"/>
      <c r="YQ26" s="116"/>
      <c r="ZO26" s="116"/>
      <c r="AOZ26" s="116"/>
      <c r="ATO26" s="116"/>
      <c r="AZT26" s="116"/>
      <c r="BGS26" s="116"/>
      <c r="BIX26" s="116"/>
      <c r="BPN26" s="116"/>
      <c r="BQG26" s="116"/>
      <c r="BTM26" s="116"/>
      <c r="CAC26" s="116"/>
      <c r="CBQ26" s="116"/>
      <c r="CNA26" s="116"/>
      <c r="COJ26" s="116"/>
      <c r="CVO26" s="116"/>
      <c r="DAF26" s="116"/>
      <c r="DCA26" s="116"/>
      <c r="DEB26" s="116"/>
      <c r="DGU26" s="116"/>
      <c r="DHK26" s="116"/>
      <c r="DIC26" s="116"/>
      <c r="DKL26" s="116"/>
      <c r="DMB26" s="116"/>
      <c r="DTF26" s="116"/>
      <c r="DVR26" s="116"/>
      <c r="DYL26" s="116"/>
      <c r="EBB26" s="116"/>
    </row>
    <row r="27" spans="2:1023 1027:2047 2057:3070 3082:3495" ht="15" customHeight="1">
      <c r="B27" s="95" t="s">
        <v>343</v>
      </c>
      <c r="C27" s="96" t="s">
        <v>261</v>
      </c>
      <c r="D27" s="97" t="s">
        <v>60</v>
      </c>
      <c r="E27" s="98">
        <v>7.7249999999999996</v>
      </c>
      <c r="F27" s="99">
        <v>0.03</v>
      </c>
      <c r="G27" s="99">
        <v>-0.03</v>
      </c>
      <c r="H27" s="100" t="s">
        <v>244</v>
      </c>
      <c r="I27" s="101" t="s">
        <v>245</v>
      </c>
      <c r="J27" s="102">
        <f t="shared" si="10"/>
        <v>7.7549999999999999</v>
      </c>
      <c r="K27" s="102">
        <f t="shared" si="11"/>
        <v>7.6949999999999994</v>
      </c>
      <c r="L27" s="118"/>
      <c r="M27" s="104">
        <f t="shared" si="0"/>
        <v>0</v>
      </c>
      <c r="N27" s="104">
        <f t="shared" si="1"/>
        <v>0</v>
      </c>
      <c r="O27" s="104">
        <f t="shared" si="2"/>
        <v>0</v>
      </c>
      <c r="P27" s="105">
        <f t="shared" si="3"/>
        <v>0</v>
      </c>
      <c r="Q27" s="106" t="str">
        <f t="shared" si="4"/>
        <v/>
      </c>
      <c r="R27" s="107" t="str">
        <f>IF(OR($AI27="",ISNUMBER($AI27)=FALSE),"",IF(AND(#REF!="Tolerance",$E27&lt;&gt;""),($O27-$E27)/(($J27-$K27)/2),IF(AND(#REF!="GD&amp;T",$F27&lt;&gt;""),$O27/$F27,"")))</f>
        <v/>
      </c>
      <c r="S27" s="107" t="str">
        <f t="shared" si="12"/>
        <v/>
      </c>
      <c r="T27" s="106" t="str">
        <f t="shared" si="5"/>
        <v/>
      </c>
      <c r="U27" s="106" t="str">
        <f t="shared" si="6"/>
        <v/>
      </c>
      <c r="V27" s="106" t="str">
        <f t="shared" si="7"/>
        <v/>
      </c>
      <c r="W27" s="108" t="str">
        <f t="shared" si="8"/>
        <v/>
      </c>
      <c r="X27" s="109" t="e">
        <f>IF($O27="","",IF(#REF!="Tolerance",IF((#REF!*3*P27+O27)-E27&lt;F27,"",(#REF!*3*P27+O27)-E27),IF(OR(#REF!="GD&amp;T",#REF!="MAX"),IF((#REF!*3*P27+O27)&lt;F27,"",(#REF!*3*P27+O27)),"")))</f>
        <v>#REF!</v>
      </c>
      <c r="Y27" s="109" t="e">
        <f>IF(O27="","",IF(#REF!="Tolerance",IF(-((#REF!*3*P27)-O27)-E27&gt;G27,"",-((#REF!*3*P27)-O27)-E27),IF(#REF!="MIN",IF(-((#REF!*3*P27)-O27)&gt;G27,"",-((#REF!*3*P27)-O27)),"")))</f>
        <v>#REF!</v>
      </c>
      <c r="Z27" s="109">
        <f t="shared" si="13"/>
        <v>7.7249999999999996</v>
      </c>
      <c r="AA27" s="109" t="str">
        <f t="shared" si="9"/>
        <v/>
      </c>
      <c r="AB27" s="110"/>
      <c r="AC27" s="111" t="str">
        <f t="shared" si="14"/>
        <v/>
      </c>
      <c r="AD27" s="112"/>
      <c r="AE27" s="113"/>
      <c r="AF27" s="113"/>
      <c r="AG27" s="114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EQ27" s="116"/>
      <c r="PP27" s="116"/>
      <c r="VX27" s="116"/>
      <c r="WH27" s="116"/>
      <c r="WO27" s="116"/>
      <c r="ZD27" s="116"/>
      <c r="AAR27" s="116"/>
      <c r="AHJ27" s="116"/>
      <c r="AMI27" s="116"/>
      <c r="AON27" s="116"/>
      <c r="AVG27" s="116"/>
      <c r="BGS27" s="116"/>
      <c r="BLW27" s="116"/>
      <c r="BNM27" s="116"/>
      <c r="BOE27" s="116"/>
      <c r="BTM27" s="116"/>
      <c r="BZS27" s="116"/>
      <c r="CDZ27" s="116"/>
      <c r="COM27" s="116"/>
      <c r="CRM27" s="116"/>
      <c r="CXB27" s="116"/>
      <c r="CYS27" s="116"/>
      <c r="CYX27" s="116"/>
      <c r="CZZ27" s="116"/>
      <c r="DIP27" s="116"/>
      <c r="DKV27" s="116"/>
      <c r="DNN27" s="116"/>
      <c r="DOM27" s="116"/>
      <c r="DOR27" s="116"/>
      <c r="DSQ27" s="116"/>
      <c r="EDK27" s="116"/>
    </row>
    <row r="28" spans="2:1023 1027:2047 2057:3070 3082:3495" ht="15" customHeight="1">
      <c r="B28" s="95" t="s">
        <v>262</v>
      </c>
      <c r="C28" s="96" t="s">
        <v>263</v>
      </c>
      <c r="D28" s="97" t="s">
        <v>60</v>
      </c>
      <c r="E28" s="98">
        <v>9.0350000000000001</v>
      </c>
      <c r="F28" s="99">
        <v>0.03</v>
      </c>
      <c r="G28" s="99">
        <v>-0.03</v>
      </c>
      <c r="H28" s="100" t="s">
        <v>247</v>
      </c>
      <c r="I28" s="101" t="s">
        <v>245</v>
      </c>
      <c r="J28" s="102">
        <f t="shared" si="10"/>
        <v>9.0649999999999995</v>
      </c>
      <c r="K28" s="102">
        <f t="shared" si="11"/>
        <v>9.0050000000000008</v>
      </c>
      <c r="L28" s="118"/>
      <c r="M28" s="104">
        <f t="shared" si="0"/>
        <v>0</v>
      </c>
      <c r="N28" s="104">
        <f t="shared" si="1"/>
        <v>0</v>
      </c>
      <c r="O28" s="104">
        <f t="shared" si="2"/>
        <v>0</v>
      </c>
      <c r="P28" s="105">
        <f t="shared" si="3"/>
        <v>0</v>
      </c>
      <c r="Q28" s="106" t="str">
        <f t="shared" si="4"/>
        <v/>
      </c>
      <c r="R28" s="107" t="str">
        <f>IF(OR($AI28="",ISNUMBER($AI28)=FALSE),"",IF(AND(#REF!="Tolerance",$E28&lt;&gt;""),($O28-$E28)/(($J28-$K28)/2),IF(AND(#REF!="GD&amp;T",$F28&lt;&gt;""),$O28/$F28,"")))</f>
        <v/>
      </c>
      <c r="S28" s="107" t="str">
        <f t="shared" si="12"/>
        <v/>
      </c>
      <c r="T28" s="106" t="str">
        <f t="shared" si="5"/>
        <v/>
      </c>
      <c r="U28" s="106" t="str">
        <f t="shared" si="6"/>
        <v/>
      </c>
      <c r="V28" s="106" t="str">
        <f t="shared" si="7"/>
        <v/>
      </c>
      <c r="W28" s="108" t="str">
        <f t="shared" si="8"/>
        <v/>
      </c>
      <c r="X28" s="109" t="e">
        <f>IF($O28="","",IF(#REF!="Tolerance",IF((#REF!*3*P28+O28)-E28&lt;F28,"",(#REF!*3*P28+O28)-E28),IF(OR(#REF!="GD&amp;T",#REF!="MAX"),IF((#REF!*3*P28+O28)&lt;F28,"",(#REF!*3*P28+O28)),"")))</f>
        <v>#REF!</v>
      </c>
      <c r="Y28" s="109" t="e">
        <f>IF(O28="","",IF(#REF!="Tolerance",IF(-((#REF!*3*P28)-O28)-E28&gt;G28,"",-((#REF!*3*P28)-O28)-E28),IF(#REF!="MIN",IF(-((#REF!*3*P28)-O28)&gt;G28,"",-((#REF!*3*P28)-O28)),"")))</f>
        <v>#REF!</v>
      </c>
      <c r="Z28" s="109">
        <f t="shared" si="13"/>
        <v>9.0350000000000001</v>
      </c>
      <c r="AA28" s="109" t="str">
        <f t="shared" si="9"/>
        <v/>
      </c>
      <c r="AB28" s="110"/>
      <c r="AC28" s="111" t="str">
        <f t="shared" si="14"/>
        <v/>
      </c>
      <c r="AD28" s="112"/>
      <c r="AE28" s="113"/>
      <c r="AF28" s="113"/>
      <c r="AG28" s="114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 s="115"/>
      <c r="BH28" s="115"/>
      <c r="BI28" s="115"/>
      <c r="BJ28" s="115"/>
      <c r="BK28" s="115"/>
      <c r="BL28" s="115"/>
      <c r="BM28" s="115"/>
      <c r="BN28" s="115"/>
    </row>
    <row r="29" spans="2:1023 1027:2047 2057:3070 3082:3495" ht="15" customHeight="1">
      <c r="B29" s="95" t="s">
        <v>264</v>
      </c>
      <c r="C29" s="96" t="s">
        <v>265</v>
      </c>
      <c r="D29" s="97" t="s">
        <v>60</v>
      </c>
      <c r="E29" s="98">
        <v>22.353000000000002</v>
      </c>
      <c r="F29" s="99">
        <v>0.03</v>
      </c>
      <c r="G29" s="99">
        <v>-0.03</v>
      </c>
      <c r="H29" s="100" t="s">
        <v>247</v>
      </c>
      <c r="I29" s="101" t="s">
        <v>245</v>
      </c>
      <c r="J29" s="102">
        <f t="shared" si="10"/>
        <v>22.383000000000003</v>
      </c>
      <c r="K29" s="102">
        <f t="shared" si="11"/>
        <v>22.323</v>
      </c>
      <c r="L29" s="118"/>
      <c r="M29" s="104">
        <f t="shared" si="0"/>
        <v>0</v>
      </c>
      <c r="N29" s="104">
        <f t="shared" si="1"/>
        <v>0</v>
      </c>
      <c r="O29" s="104">
        <f t="shared" si="2"/>
        <v>0</v>
      </c>
      <c r="P29" s="105">
        <f t="shared" si="3"/>
        <v>0</v>
      </c>
      <c r="Q29" s="106" t="str">
        <f t="shared" si="4"/>
        <v/>
      </c>
      <c r="R29" s="107" t="str">
        <f>IF(OR($AI29="",ISNUMBER($AI29)=FALSE),"",IF(AND(#REF!="Tolerance",$E29&lt;&gt;""),($O29-$E29)/(($J29-$K29)/2),IF(AND(#REF!="GD&amp;T",$F29&lt;&gt;""),$O29/$F29,"")))</f>
        <v/>
      </c>
      <c r="S29" s="107" t="str">
        <f t="shared" si="12"/>
        <v/>
      </c>
      <c r="T29" s="106" t="str">
        <f t="shared" si="5"/>
        <v/>
      </c>
      <c r="U29" s="106" t="str">
        <f t="shared" si="6"/>
        <v/>
      </c>
      <c r="V29" s="106" t="str">
        <f t="shared" si="7"/>
        <v/>
      </c>
      <c r="W29" s="108" t="str">
        <f t="shared" si="8"/>
        <v/>
      </c>
      <c r="X29" s="109" t="e">
        <f>IF($O29="","",IF(#REF!="Tolerance",IF((#REF!*3*P29+O29)-E29&lt;F29,"",(#REF!*3*P29+O29)-E29),IF(OR(#REF!="GD&amp;T",#REF!="MAX"),IF((#REF!*3*P29+O29)&lt;F29,"",(#REF!*3*P29+O29)),"")))</f>
        <v>#REF!</v>
      </c>
      <c r="Y29" s="109" t="e">
        <f>IF(O29="","",IF(#REF!="Tolerance",IF(-((#REF!*3*P29)-O29)-E29&gt;G29,"",-((#REF!*3*P29)-O29)-E29),IF(#REF!="MIN",IF(-((#REF!*3*P29)-O29)&gt;G29,"",-((#REF!*3*P29)-O29)),"")))</f>
        <v>#REF!</v>
      </c>
      <c r="Z29" s="109">
        <f t="shared" si="13"/>
        <v>22.353000000000002</v>
      </c>
      <c r="AA29" s="109" t="str">
        <f t="shared" si="9"/>
        <v/>
      </c>
      <c r="AB29" s="110"/>
      <c r="AC29" s="111" t="str">
        <f t="shared" si="14"/>
        <v/>
      </c>
      <c r="AD29" s="112"/>
      <c r="AE29" s="113"/>
      <c r="AF29" s="113"/>
      <c r="AG29" s="114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  <c r="BM29" s="115"/>
      <c r="BN29" s="115"/>
    </row>
    <row r="30" spans="2:1023 1027:2047 2057:3070 3082:3495" ht="15" customHeight="1">
      <c r="B30" s="95" t="s">
        <v>266</v>
      </c>
      <c r="C30" s="96" t="s">
        <v>267</v>
      </c>
      <c r="D30" s="97" t="s">
        <v>60</v>
      </c>
      <c r="E30" s="98">
        <v>20.355</v>
      </c>
      <c r="F30" s="99">
        <v>0.03</v>
      </c>
      <c r="G30" s="99">
        <v>-0.03</v>
      </c>
      <c r="H30" s="100" t="s">
        <v>247</v>
      </c>
      <c r="I30" s="101" t="s">
        <v>245</v>
      </c>
      <c r="J30" s="102">
        <f t="shared" si="10"/>
        <v>20.385000000000002</v>
      </c>
      <c r="K30" s="102">
        <f t="shared" si="11"/>
        <v>20.324999999999999</v>
      </c>
      <c r="L30" s="118"/>
      <c r="M30" s="104">
        <f t="shared" si="0"/>
        <v>0</v>
      </c>
      <c r="N30" s="104">
        <f t="shared" si="1"/>
        <v>0</v>
      </c>
      <c r="O30" s="104">
        <f t="shared" si="2"/>
        <v>0</v>
      </c>
      <c r="P30" s="105">
        <f t="shared" si="3"/>
        <v>0</v>
      </c>
      <c r="Q30" s="106" t="str">
        <f t="shared" si="4"/>
        <v/>
      </c>
      <c r="R30" s="107" t="str">
        <f>IF(OR($AI30="",ISNUMBER($AI30)=FALSE),"",IF(AND(#REF!="Tolerance",$E30&lt;&gt;""),($O30-$E30)/(($J30-$K30)/2),IF(AND(#REF!="GD&amp;T",$F30&lt;&gt;""),$O30/$F30,"")))</f>
        <v/>
      </c>
      <c r="S30" s="107" t="str">
        <f t="shared" si="12"/>
        <v/>
      </c>
      <c r="T30" s="106" t="str">
        <f t="shared" si="5"/>
        <v/>
      </c>
      <c r="U30" s="106" t="str">
        <f t="shared" si="6"/>
        <v/>
      </c>
      <c r="V30" s="106" t="str">
        <f t="shared" si="7"/>
        <v/>
      </c>
      <c r="W30" s="108" t="str">
        <f t="shared" si="8"/>
        <v/>
      </c>
      <c r="X30" s="109" t="e">
        <f>IF($O30="","",IF(#REF!="Tolerance",IF((#REF!*3*P30+O30)-E30&lt;F30,"",(#REF!*3*P30+O30)-E30),IF(OR(#REF!="GD&amp;T",#REF!="MAX"),IF((#REF!*3*P30+O30)&lt;F30,"",(#REF!*3*P30+O30)),"")))</f>
        <v>#REF!</v>
      </c>
      <c r="Y30" s="109" t="e">
        <f>IF(O30="","",IF(#REF!="Tolerance",IF(-((#REF!*3*P30)-O30)-E30&gt;G30,"",-((#REF!*3*P30)-O30)-E30),IF(#REF!="MIN",IF(-((#REF!*3*P30)-O30)&gt;G30,"",-((#REF!*3*P30)-O30)),"")))</f>
        <v>#REF!</v>
      </c>
      <c r="Z30" s="109">
        <f t="shared" si="13"/>
        <v>20.355</v>
      </c>
      <c r="AA30" s="109" t="str">
        <f t="shared" si="9"/>
        <v/>
      </c>
      <c r="AB30" s="110"/>
      <c r="AC30" s="111" t="str">
        <f t="shared" si="14"/>
        <v/>
      </c>
      <c r="AD30" s="112"/>
      <c r="AE30" s="113"/>
      <c r="AF30" s="113"/>
      <c r="AG30" s="114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 s="115"/>
      <c r="BH30" s="115"/>
      <c r="BI30" s="115"/>
      <c r="BJ30" s="115"/>
      <c r="BK30" s="115"/>
      <c r="BL30" s="115"/>
      <c r="BM30" s="115"/>
      <c r="BN30" s="115"/>
    </row>
    <row r="31" spans="2:1023 1027:2047 2057:3070 3082:3495" ht="15" customHeight="1">
      <c r="B31" s="95" t="s">
        <v>268</v>
      </c>
      <c r="C31" s="96" t="s">
        <v>103</v>
      </c>
      <c r="D31" s="97" t="s">
        <v>60</v>
      </c>
      <c r="E31" s="98">
        <v>21.785</v>
      </c>
      <c r="F31" s="99">
        <v>0.03</v>
      </c>
      <c r="G31" s="99">
        <v>-0.03</v>
      </c>
      <c r="H31" s="100" t="s">
        <v>247</v>
      </c>
      <c r="I31" s="101" t="s">
        <v>245</v>
      </c>
      <c r="J31" s="102">
        <f t="shared" si="10"/>
        <v>21.815000000000001</v>
      </c>
      <c r="K31" s="102">
        <f t="shared" si="11"/>
        <v>21.754999999999999</v>
      </c>
      <c r="L31" s="118"/>
      <c r="M31" s="104">
        <f t="shared" si="0"/>
        <v>0</v>
      </c>
      <c r="N31" s="104">
        <f t="shared" si="1"/>
        <v>0</v>
      </c>
      <c r="O31" s="104">
        <f t="shared" si="2"/>
        <v>0</v>
      </c>
      <c r="P31" s="105">
        <f t="shared" si="3"/>
        <v>0</v>
      </c>
      <c r="Q31" s="106" t="str">
        <f t="shared" si="4"/>
        <v/>
      </c>
      <c r="R31" s="107" t="str">
        <f>IF(OR($AI31="",ISNUMBER($AI31)=FALSE),"",IF(AND(#REF!="Tolerance",$E31&lt;&gt;""),($O31-$E31)/(($J31-$K31)/2),IF(AND(#REF!="GD&amp;T",$F31&lt;&gt;""),$O31/$F31,"")))</f>
        <v/>
      </c>
      <c r="S31" s="107" t="str">
        <f t="shared" si="12"/>
        <v/>
      </c>
      <c r="T31" s="106" t="str">
        <f t="shared" si="5"/>
        <v/>
      </c>
      <c r="U31" s="106" t="str">
        <f t="shared" si="6"/>
        <v/>
      </c>
      <c r="V31" s="106" t="str">
        <f t="shared" si="7"/>
        <v/>
      </c>
      <c r="W31" s="119" t="str">
        <f t="shared" si="8"/>
        <v/>
      </c>
      <c r="X31" s="109" t="e">
        <f>IF($O31="","",IF(#REF!="Tolerance",IF((#REF!*3*P31+O31)-E31&lt;F31,"",(#REF!*3*P31+O31)-E31),IF(OR(#REF!="GD&amp;T",#REF!="MAX"),IF((#REF!*3*P31+O31)&lt;F31,"",(#REF!*3*P31+O31)),"")))</f>
        <v>#REF!</v>
      </c>
      <c r="Y31" s="109" t="e">
        <f>IF(O31="","",IF(#REF!="Tolerance",IF(-((#REF!*3*P31)-O31)-E31&gt;G31,"",-((#REF!*3*P31)-O31)-E31),IF(#REF!="MIN",IF(-((#REF!*3*P31)-O31)&gt;G31,"",-((#REF!*3*P31)-O31)),"")))</f>
        <v>#REF!</v>
      </c>
      <c r="Z31" s="109">
        <f t="shared" si="13"/>
        <v>21.785</v>
      </c>
      <c r="AA31" s="109" t="str">
        <f t="shared" si="9"/>
        <v/>
      </c>
      <c r="AB31" s="110"/>
      <c r="AC31" s="111" t="str">
        <f t="shared" si="14"/>
        <v/>
      </c>
      <c r="AD31" s="112"/>
      <c r="AE31" s="113"/>
      <c r="AF31" s="113"/>
      <c r="AG31" s="114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</row>
    <row r="32" spans="2:1023 1027:2047 2057:3070 3082:3495" ht="15" customHeight="1">
      <c r="B32" s="95" t="s">
        <v>344</v>
      </c>
      <c r="C32" s="96" t="s">
        <v>105</v>
      </c>
      <c r="D32" s="97" t="s">
        <v>60</v>
      </c>
      <c r="E32" s="98">
        <v>7.8250000000000002</v>
      </c>
      <c r="F32" s="99">
        <v>0.03</v>
      </c>
      <c r="G32" s="99">
        <v>-0.03</v>
      </c>
      <c r="H32" s="100" t="s">
        <v>247</v>
      </c>
      <c r="I32" s="101" t="s">
        <v>245</v>
      </c>
      <c r="J32" s="102">
        <f t="shared" si="10"/>
        <v>7.8550000000000004</v>
      </c>
      <c r="K32" s="102">
        <f t="shared" si="11"/>
        <v>7.7949999999999999</v>
      </c>
      <c r="L32" s="118"/>
      <c r="M32" s="104">
        <f t="shared" si="0"/>
        <v>0</v>
      </c>
      <c r="N32" s="104">
        <f t="shared" si="1"/>
        <v>0</v>
      </c>
      <c r="O32" s="104">
        <f t="shared" si="2"/>
        <v>0</v>
      </c>
      <c r="P32" s="105">
        <f t="shared" si="3"/>
        <v>0</v>
      </c>
      <c r="Q32" s="106" t="str">
        <f t="shared" si="4"/>
        <v/>
      </c>
      <c r="R32" s="107" t="str">
        <f>IF(OR($AI32="",ISNUMBER($AI32)=FALSE),"",IF(AND(#REF!="Tolerance",$E32&lt;&gt;""),($O32-$E32)/(($J32-$K32)/2),IF(AND(#REF!="GD&amp;T",$F32&lt;&gt;""),$O32/$F32,"")))</f>
        <v/>
      </c>
      <c r="S32" s="107" t="str">
        <f t="shared" si="12"/>
        <v/>
      </c>
      <c r="T32" s="106" t="str">
        <f t="shared" si="5"/>
        <v/>
      </c>
      <c r="U32" s="106" t="str">
        <f t="shared" si="6"/>
        <v/>
      </c>
      <c r="V32" s="106" t="str">
        <f t="shared" si="7"/>
        <v/>
      </c>
      <c r="W32" s="119" t="str">
        <f t="shared" si="8"/>
        <v/>
      </c>
      <c r="X32" s="109" t="e">
        <f>IF($O32="","",IF(#REF!="Tolerance",IF((#REF!*3*P32+O32)-E32&lt;F32,"",(#REF!*3*P32+O32)-E32),IF(OR(#REF!="GD&amp;T",#REF!="MAX"),IF((#REF!*3*P32+O32)&lt;F32,"",(#REF!*3*P32+O32)),"")))</f>
        <v>#REF!</v>
      </c>
      <c r="Y32" s="109" t="e">
        <f>IF(O32="","",IF(#REF!="Tolerance",IF(-((#REF!*3*P32)-O32)-E32&gt;G32,"",-((#REF!*3*P32)-O32)-E32),IF(#REF!="MIN",IF(-((#REF!*3*P32)-O32)&gt;G32,"",-((#REF!*3*P32)-O32)),"")))</f>
        <v>#REF!</v>
      </c>
      <c r="Z32" s="109">
        <f t="shared" si="13"/>
        <v>7.8250000000000002</v>
      </c>
      <c r="AA32" s="109" t="str">
        <f t="shared" si="9"/>
        <v/>
      </c>
      <c r="AB32" s="110"/>
      <c r="AC32" s="111" t="str">
        <f t="shared" si="14"/>
        <v/>
      </c>
      <c r="AD32" s="112"/>
      <c r="AE32" s="113"/>
      <c r="AF32" s="113"/>
      <c r="AG32" s="114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</row>
    <row r="33" spans="2:66" ht="15" customHeight="1">
      <c r="B33" s="95" t="s">
        <v>344</v>
      </c>
      <c r="C33" s="96" t="s">
        <v>269</v>
      </c>
      <c r="D33" s="97" t="s">
        <v>60</v>
      </c>
      <c r="E33" s="98">
        <v>7.8250000000000002</v>
      </c>
      <c r="F33" s="99">
        <v>0.03</v>
      </c>
      <c r="G33" s="99">
        <v>-0.03</v>
      </c>
      <c r="H33" s="100" t="s">
        <v>247</v>
      </c>
      <c r="I33" s="101" t="s">
        <v>245</v>
      </c>
      <c r="J33" s="102">
        <f t="shared" si="10"/>
        <v>7.8550000000000004</v>
      </c>
      <c r="K33" s="102">
        <f t="shared" si="11"/>
        <v>7.7949999999999999</v>
      </c>
      <c r="L33" s="118"/>
      <c r="M33" s="104">
        <f t="shared" si="0"/>
        <v>0</v>
      </c>
      <c r="N33" s="104">
        <f t="shared" si="1"/>
        <v>0</v>
      </c>
      <c r="O33" s="104">
        <f t="shared" si="2"/>
        <v>0</v>
      </c>
      <c r="P33" s="105">
        <f t="shared" si="3"/>
        <v>0</v>
      </c>
      <c r="Q33" s="106" t="str">
        <f t="shared" si="4"/>
        <v/>
      </c>
      <c r="R33" s="107" t="str">
        <f>IF(OR($AI33="",ISNUMBER($AI33)=FALSE),"",IF(AND(#REF!="Tolerance",$E33&lt;&gt;""),($O33-$E33)/(($J33-$K33)/2),IF(AND(#REF!="GD&amp;T",$F33&lt;&gt;""),$O33/$F33,"")))</f>
        <v/>
      </c>
      <c r="S33" s="107" t="str">
        <f t="shared" si="12"/>
        <v/>
      </c>
      <c r="T33" s="106" t="str">
        <f t="shared" si="5"/>
        <v/>
      </c>
      <c r="U33" s="106" t="str">
        <f t="shared" si="6"/>
        <v/>
      </c>
      <c r="V33" s="106" t="str">
        <f t="shared" si="7"/>
        <v/>
      </c>
      <c r="W33" s="119" t="str">
        <f t="shared" si="8"/>
        <v/>
      </c>
      <c r="X33" s="109" t="e">
        <f>IF($O33="","",IF(#REF!="Tolerance",IF((#REF!*3*P33+O33)-E33&lt;F33,"",(#REF!*3*P33+O33)-E33),IF(OR(#REF!="GD&amp;T",#REF!="MAX"),IF((#REF!*3*P33+O33)&lt;F33,"",(#REF!*3*P33+O33)),"")))</f>
        <v>#REF!</v>
      </c>
      <c r="Y33" s="109" t="e">
        <f>IF(O33="","",IF(#REF!="Tolerance",IF(-((#REF!*3*P33)-O33)-E33&gt;G33,"",-((#REF!*3*P33)-O33)-E33),IF(#REF!="MIN",IF(-((#REF!*3*P33)-O33)&gt;G33,"",-((#REF!*3*P33)-O33)),"")))</f>
        <v>#REF!</v>
      </c>
      <c r="Z33" s="109">
        <f t="shared" si="13"/>
        <v>7.8250000000000002</v>
      </c>
      <c r="AA33" s="109" t="str">
        <f t="shared" si="9"/>
        <v/>
      </c>
      <c r="AB33" s="110"/>
      <c r="AC33" s="111" t="str">
        <f t="shared" si="14"/>
        <v/>
      </c>
      <c r="AD33" s="112"/>
      <c r="AE33" s="113"/>
      <c r="AF33" s="113"/>
      <c r="AG33" s="114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</row>
    <row r="34" spans="2:66" ht="15" customHeight="1">
      <c r="B34" s="95" t="s">
        <v>345</v>
      </c>
      <c r="C34" s="96" t="s">
        <v>107</v>
      </c>
      <c r="D34" s="97" t="s">
        <v>60</v>
      </c>
      <c r="E34" s="98">
        <v>21.125</v>
      </c>
      <c r="F34" s="99">
        <v>0.03</v>
      </c>
      <c r="G34" s="99">
        <v>-0.03</v>
      </c>
      <c r="H34" s="100" t="s">
        <v>244</v>
      </c>
      <c r="I34" s="101" t="s">
        <v>245</v>
      </c>
      <c r="J34" s="102">
        <f t="shared" si="10"/>
        <v>21.155000000000001</v>
      </c>
      <c r="K34" s="102">
        <f t="shared" si="11"/>
        <v>21.094999999999999</v>
      </c>
      <c r="L34" s="118"/>
      <c r="M34" s="104">
        <f t="shared" si="0"/>
        <v>0</v>
      </c>
      <c r="N34" s="104">
        <f t="shared" si="1"/>
        <v>0</v>
      </c>
      <c r="O34" s="104">
        <f t="shared" si="2"/>
        <v>0</v>
      </c>
      <c r="P34" s="105">
        <f t="shared" si="3"/>
        <v>0</v>
      </c>
      <c r="Q34" s="106" t="str">
        <f t="shared" si="4"/>
        <v/>
      </c>
      <c r="R34" s="107" t="str">
        <f>IF(OR($AI34="",ISNUMBER($AI34)=FALSE),"",IF(AND(#REF!="Tolerance",$E34&lt;&gt;""),($O34-$E34)/(($J34-$K34)/2),IF(AND(#REF!="GD&amp;T",$F34&lt;&gt;""),$O34/$F34,"")))</f>
        <v/>
      </c>
      <c r="S34" s="107" t="str">
        <f t="shared" si="12"/>
        <v/>
      </c>
      <c r="T34" s="106" t="str">
        <f t="shared" si="5"/>
        <v/>
      </c>
      <c r="U34" s="106" t="str">
        <f t="shared" si="6"/>
        <v/>
      </c>
      <c r="V34" s="106" t="str">
        <f t="shared" si="7"/>
        <v/>
      </c>
      <c r="W34" s="119" t="str">
        <f t="shared" si="8"/>
        <v/>
      </c>
      <c r="X34" s="109" t="e">
        <f>IF($O34="","",IF(#REF!="Tolerance",IF((#REF!*3*P34+O34)-E34&lt;F34,"",(#REF!*3*P34+O34)-E34),IF(OR(#REF!="GD&amp;T",#REF!="MAX"),IF((#REF!*3*P34+O34)&lt;F34,"",(#REF!*3*P34+O34)),"")))</f>
        <v>#REF!</v>
      </c>
      <c r="Y34" s="109" t="e">
        <f>IF(O34="","",IF(#REF!="Tolerance",IF(-((#REF!*3*P34)-O34)-E34&gt;G34,"",-((#REF!*3*P34)-O34)-E34),IF(#REF!="MIN",IF(-((#REF!*3*P34)-O34)&gt;G34,"",-((#REF!*3*P34)-O34)),"")))</f>
        <v>#REF!</v>
      </c>
      <c r="Z34" s="109">
        <f t="shared" si="13"/>
        <v>21.125</v>
      </c>
      <c r="AA34" s="109" t="str">
        <f t="shared" si="9"/>
        <v/>
      </c>
      <c r="AB34" s="110"/>
      <c r="AC34" s="111" t="str">
        <f t="shared" si="14"/>
        <v/>
      </c>
      <c r="AD34" s="112"/>
      <c r="AE34" s="113"/>
      <c r="AF34" s="113"/>
      <c r="AG34" s="114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</row>
    <row r="35" spans="2:66" ht="15" customHeight="1">
      <c r="B35" s="95" t="s">
        <v>345</v>
      </c>
      <c r="C35" s="96" t="s">
        <v>108</v>
      </c>
      <c r="D35" s="97" t="s">
        <v>60</v>
      </c>
      <c r="E35" s="98">
        <v>21.125</v>
      </c>
      <c r="F35" s="99">
        <v>0.03</v>
      </c>
      <c r="G35" s="99">
        <v>-0.03</v>
      </c>
      <c r="H35" s="100" t="s">
        <v>244</v>
      </c>
      <c r="I35" s="101" t="s">
        <v>245</v>
      </c>
      <c r="J35" s="102">
        <f t="shared" si="10"/>
        <v>21.155000000000001</v>
      </c>
      <c r="K35" s="102">
        <f t="shared" si="11"/>
        <v>21.094999999999999</v>
      </c>
      <c r="L35" s="118"/>
      <c r="M35" s="104">
        <f t="shared" si="0"/>
        <v>0</v>
      </c>
      <c r="N35" s="104">
        <f t="shared" si="1"/>
        <v>0</v>
      </c>
      <c r="O35" s="104">
        <f t="shared" si="2"/>
        <v>0</v>
      </c>
      <c r="P35" s="105">
        <f t="shared" si="3"/>
        <v>0</v>
      </c>
      <c r="Q35" s="106" t="str">
        <f t="shared" si="4"/>
        <v/>
      </c>
      <c r="R35" s="107" t="str">
        <f>IF(OR($AI35="",ISNUMBER($AI35)=FALSE),"",IF(AND(#REF!="Tolerance",$E35&lt;&gt;""),($O35-$E35)/(($J35-$K35)/2),IF(AND(#REF!="GD&amp;T",$F35&lt;&gt;""),$O35/$F35,"")))</f>
        <v/>
      </c>
      <c r="S35" s="107" t="str">
        <f t="shared" si="12"/>
        <v/>
      </c>
      <c r="T35" s="106" t="str">
        <f t="shared" si="5"/>
        <v/>
      </c>
      <c r="U35" s="106" t="str">
        <f t="shared" si="6"/>
        <v/>
      </c>
      <c r="V35" s="106" t="str">
        <f t="shared" si="7"/>
        <v/>
      </c>
      <c r="W35" s="119" t="str">
        <f t="shared" si="8"/>
        <v/>
      </c>
      <c r="X35" s="109" t="e">
        <f>IF($O35="","",IF(#REF!="Tolerance",IF((#REF!*3*P35+O35)-E35&lt;F35,"",(#REF!*3*P35+O35)-E35),IF(OR(#REF!="GD&amp;T",#REF!="MAX"),IF((#REF!*3*P35+O35)&lt;F35,"",(#REF!*3*P35+O35)),"")))</f>
        <v>#REF!</v>
      </c>
      <c r="Y35" s="109" t="e">
        <f>IF(O35="","",IF(#REF!="Tolerance",IF(-((#REF!*3*P35)-O35)-E35&gt;G35,"",-((#REF!*3*P35)-O35)-E35),IF(#REF!="MIN",IF(-((#REF!*3*P35)-O35)&gt;G35,"",-((#REF!*3*P35)-O35)),"")))</f>
        <v>#REF!</v>
      </c>
      <c r="Z35" s="109">
        <f t="shared" si="13"/>
        <v>21.125</v>
      </c>
      <c r="AA35" s="109" t="str">
        <f t="shared" si="9"/>
        <v/>
      </c>
      <c r="AB35" s="110"/>
      <c r="AC35" s="111" t="str">
        <f t="shared" si="14"/>
        <v/>
      </c>
      <c r="AD35" s="112"/>
      <c r="AE35" s="113"/>
      <c r="AF35" s="113"/>
      <c r="AG35" s="114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</row>
    <row r="36" spans="2:66" ht="15" customHeight="1">
      <c r="B36" s="95" t="s">
        <v>345</v>
      </c>
      <c r="C36" s="96" t="s">
        <v>109</v>
      </c>
      <c r="D36" s="97" t="s">
        <v>60</v>
      </c>
      <c r="E36" s="98">
        <v>21.125</v>
      </c>
      <c r="F36" s="99">
        <v>0.03</v>
      </c>
      <c r="G36" s="99">
        <v>-0.03</v>
      </c>
      <c r="H36" s="100" t="s">
        <v>244</v>
      </c>
      <c r="I36" s="101" t="s">
        <v>245</v>
      </c>
      <c r="J36" s="102">
        <f t="shared" si="10"/>
        <v>21.155000000000001</v>
      </c>
      <c r="K36" s="102">
        <f t="shared" si="11"/>
        <v>21.094999999999999</v>
      </c>
      <c r="L36" s="118"/>
      <c r="M36" s="104">
        <f t="shared" si="0"/>
        <v>0</v>
      </c>
      <c r="N36" s="104">
        <f t="shared" si="1"/>
        <v>0</v>
      </c>
      <c r="O36" s="104">
        <f t="shared" si="2"/>
        <v>0</v>
      </c>
      <c r="P36" s="105">
        <f t="shared" si="3"/>
        <v>0</v>
      </c>
      <c r="Q36" s="106" t="str">
        <f t="shared" si="4"/>
        <v/>
      </c>
      <c r="R36" s="107" t="str">
        <f>IF(OR($AI36="",ISNUMBER($AI36)=FALSE),"",IF(AND(#REF!="Tolerance",$E36&lt;&gt;""),($O36-$E36)/(($J36-$K36)/2),IF(AND(#REF!="GD&amp;T",$F36&lt;&gt;""),$O36/$F36,"")))</f>
        <v/>
      </c>
      <c r="S36" s="107" t="str">
        <f t="shared" si="12"/>
        <v/>
      </c>
      <c r="T36" s="106" t="str">
        <f t="shared" si="5"/>
        <v/>
      </c>
      <c r="U36" s="106" t="str">
        <f t="shared" si="6"/>
        <v/>
      </c>
      <c r="V36" s="106" t="str">
        <f t="shared" si="7"/>
        <v/>
      </c>
      <c r="W36" s="119" t="str">
        <f t="shared" si="8"/>
        <v/>
      </c>
      <c r="X36" s="109" t="e">
        <f>IF($O36="","",IF(#REF!="Tolerance",IF((#REF!*3*P36+O36)-E36&lt;F36,"",(#REF!*3*P36+O36)-E36),IF(OR(#REF!="GD&amp;T",#REF!="MAX"),IF((#REF!*3*P36+O36)&lt;F36,"",(#REF!*3*P36+O36)),"")))</f>
        <v>#REF!</v>
      </c>
      <c r="Y36" s="109" t="e">
        <f>IF(O36="","",IF(#REF!="Tolerance",IF(-((#REF!*3*P36)-O36)-E36&gt;G36,"",-((#REF!*3*P36)-O36)-E36),IF(#REF!="MIN",IF(-((#REF!*3*P36)-O36)&gt;G36,"",-((#REF!*3*P36)-O36)),"")))</f>
        <v>#REF!</v>
      </c>
      <c r="Z36" s="109">
        <f t="shared" si="13"/>
        <v>21.125</v>
      </c>
      <c r="AA36" s="109" t="str">
        <f t="shared" si="9"/>
        <v/>
      </c>
      <c r="AB36" s="110"/>
      <c r="AC36" s="111" t="str">
        <f t="shared" si="14"/>
        <v/>
      </c>
      <c r="AD36" s="112"/>
      <c r="AE36" s="113"/>
      <c r="AF36" s="113"/>
      <c r="AG36" s="114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115"/>
      <c r="BM36" s="115"/>
      <c r="BN36" s="115"/>
    </row>
    <row r="37" spans="2:66" ht="15" customHeight="1">
      <c r="B37" s="95" t="s">
        <v>346</v>
      </c>
      <c r="C37" s="96" t="s">
        <v>110</v>
      </c>
      <c r="D37" s="97" t="s">
        <v>60</v>
      </c>
      <c r="E37" s="98">
        <v>21.504999999999999</v>
      </c>
      <c r="F37" s="99">
        <v>3.5000000000000003E-2</v>
      </c>
      <c r="G37" s="99">
        <v>-3.5000000000000003E-2</v>
      </c>
      <c r="H37" s="100" t="s">
        <v>247</v>
      </c>
      <c r="I37" s="101" t="s">
        <v>245</v>
      </c>
      <c r="J37" s="102">
        <f t="shared" si="10"/>
        <v>21.54</v>
      </c>
      <c r="K37" s="102">
        <f t="shared" si="11"/>
        <v>21.47</v>
      </c>
      <c r="L37" s="118"/>
      <c r="M37" s="104">
        <f t="shared" si="0"/>
        <v>0</v>
      </c>
      <c r="N37" s="104">
        <f t="shared" si="1"/>
        <v>0</v>
      </c>
      <c r="O37" s="104">
        <f t="shared" si="2"/>
        <v>0</v>
      </c>
      <c r="P37" s="105">
        <f t="shared" si="3"/>
        <v>0</v>
      </c>
      <c r="Q37" s="106" t="str">
        <f t="shared" si="4"/>
        <v/>
      </c>
      <c r="R37" s="107" t="str">
        <f>IF(OR($AI37="",ISNUMBER($AI37)=FALSE),"",IF(AND(#REF!="Tolerance",$E37&lt;&gt;""),($O37-$E37)/(($J37-$K37)/2),IF(AND(#REF!="GD&amp;T",$F37&lt;&gt;""),$O37/$F37,"")))</f>
        <v/>
      </c>
      <c r="S37" s="107" t="str">
        <f t="shared" si="12"/>
        <v/>
      </c>
      <c r="T37" s="106" t="str">
        <f t="shared" si="5"/>
        <v/>
      </c>
      <c r="U37" s="106" t="str">
        <f t="shared" si="6"/>
        <v/>
      </c>
      <c r="V37" s="106" t="str">
        <f t="shared" si="7"/>
        <v/>
      </c>
      <c r="W37" s="119" t="str">
        <f t="shared" si="8"/>
        <v/>
      </c>
      <c r="X37" s="109" t="e">
        <f>IF($O37="","",IF(#REF!="Tolerance",IF((#REF!*3*P37+O37)-E37&lt;F37,"",(#REF!*3*P37+O37)-E37),IF(OR(#REF!="GD&amp;T",#REF!="MAX"),IF((#REF!*3*P37+O37)&lt;F37,"",(#REF!*3*P37+O37)),"")))</f>
        <v>#REF!</v>
      </c>
      <c r="Y37" s="109" t="e">
        <f>IF(O37="","",IF(#REF!="Tolerance",IF(-((#REF!*3*P37)-O37)-E37&gt;G37,"",-((#REF!*3*P37)-O37)-E37),IF(#REF!="MIN",IF(-((#REF!*3*P37)-O37)&gt;G37,"",-((#REF!*3*P37)-O37)),"")))</f>
        <v>#REF!</v>
      </c>
      <c r="Z37" s="109">
        <f t="shared" si="13"/>
        <v>21.504999999999999</v>
      </c>
      <c r="AA37" s="109" t="str">
        <f t="shared" si="9"/>
        <v/>
      </c>
      <c r="AB37" s="110"/>
      <c r="AC37" s="111" t="str">
        <f t="shared" si="14"/>
        <v/>
      </c>
      <c r="AD37" s="112"/>
      <c r="AE37" s="113"/>
      <c r="AF37" s="113"/>
      <c r="AG37" s="114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</row>
    <row r="38" spans="2:66" ht="15" customHeight="1">
      <c r="B38" s="95" t="s">
        <v>346</v>
      </c>
      <c r="C38" s="96" t="s">
        <v>270</v>
      </c>
      <c r="D38" s="97" t="s">
        <v>60</v>
      </c>
      <c r="E38" s="98">
        <v>21.504999999999999</v>
      </c>
      <c r="F38" s="99">
        <v>3.5000000000000003E-2</v>
      </c>
      <c r="G38" s="99">
        <v>-3.5000000000000003E-2</v>
      </c>
      <c r="H38" s="100" t="s">
        <v>247</v>
      </c>
      <c r="I38" s="101" t="s">
        <v>245</v>
      </c>
      <c r="J38" s="102">
        <f t="shared" si="10"/>
        <v>21.54</v>
      </c>
      <c r="K38" s="102">
        <f t="shared" si="11"/>
        <v>21.47</v>
      </c>
      <c r="L38" s="118"/>
      <c r="M38" s="104">
        <f t="shared" si="0"/>
        <v>0</v>
      </c>
      <c r="N38" s="104">
        <f t="shared" si="1"/>
        <v>0</v>
      </c>
      <c r="O38" s="104">
        <f t="shared" si="2"/>
        <v>0</v>
      </c>
      <c r="P38" s="105">
        <f t="shared" si="3"/>
        <v>0</v>
      </c>
      <c r="Q38" s="106" t="str">
        <f t="shared" si="4"/>
        <v/>
      </c>
      <c r="R38" s="107" t="str">
        <f>IF(OR($AI38="",ISNUMBER($AI38)=FALSE),"",IF(AND(#REF!="Tolerance",$E38&lt;&gt;""),($O38-$E38)/(($J38-$K38)/2),IF(AND(#REF!="GD&amp;T",$F38&lt;&gt;""),$O38/$F38,"")))</f>
        <v/>
      </c>
      <c r="S38" s="107" t="str">
        <f t="shared" si="12"/>
        <v/>
      </c>
      <c r="T38" s="106" t="str">
        <f t="shared" si="5"/>
        <v/>
      </c>
      <c r="U38" s="106" t="str">
        <f t="shared" si="6"/>
        <v/>
      </c>
      <c r="V38" s="106" t="str">
        <f t="shared" si="7"/>
        <v/>
      </c>
      <c r="W38" s="119" t="str">
        <f t="shared" si="8"/>
        <v/>
      </c>
      <c r="X38" s="109" t="e">
        <f>IF($O38="","",IF(#REF!="Tolerance",IF((#REF!*3*P38+O38)-E38&lt;F38,"",(#REF!*3*P38+O38)-E38),IF(OR(#REF!="GD&amp;T",#REF!="MAX"),IF((#REF!*3*P38+O38)&lt;F38,"",(#REF!*3*P38+O38)),"")))</f>
        <v>#REF!</v>
      </c>
      <c r="Y38" s="109" t="e">
        <f>IF(O38="","",IF(#REF!="Tolerance",IF(-((#REF!*3*P38)-O38)-E38&gt;G38,"",-((#REF!*3*P38)-O38)-E38),IF(#REF!="MIN",IF(-((#REF!*3*P38)-O38)&gt;G38,"",-((#REF!*3*P38)-O38)),"")))</f>
        <v>#REF!</v>
      </c>
      <c r="Z38" s="109">
        <f t="shared" si="13"/>
        <v>21.504999999999999</v>
      </c>
      <c r="AA38" s="109" t="str">
        <f t="shared" si="9"/>
        <v/>
      </c>
      <c r="AB38" s="110"/>
      <c r="AC38" s="111" t="str">
        <f t="shared" si="14"/>
        <v/>
      </c>
      <c r="AD38" s="112"/>
      <c r="AE38" s="113"/>
      <c r="AF38" s="113"/>
      <c r="AG38" s="114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</row>
    <row r="39" spans="2:66" ht="15" customHeight="1">
      <c r="B39" s="95" t="s">
        <v>347</v>
      </c>
      <c r="C39" s="96" t="s">
        <v>113</v>
      </c>
      <c r="D39" s="97" t="s">
        <v>60</v>
      </c>
      <c r="E39" s="98">
        <v>16.905000000000001</v>
      </c>
      <c r="F39" s="99">
        <v>3.5000000000000003E-2</v>
      </c>
      <c r="G39" s="99">
        <v>-3.5000000000000003E-2</v>
      </c>
      <c r="H39" s="100" t="s">
        <v>247</v>
      </c>
      <c r="I39" s="101" t="s">
        <v>245</v>
      </c>
      <c r="J39" s="102">
        <f t="shared" si="10"/>
        <v>16.940000000000001</v>
      </c>
      <c r="K39" s="102">
        <f t="shared" si="11"/>
        <v>16.87</v>
      </c>
      <c r="L39" s="118"/>
      <c r="M39" s="104">
        <f t="shared" si="0"/>
        <v>0</v>
      </c>
      <c r="N39" s="104">
        <f t="shared" si="1"/>
        <v>0</v>
      </c>
      <c r="O39" s="104">
        <f t="shared" si="2"/>
        <v>0</v>
      </c>
      <c r="P39" s="105">
        <f t="shared" si="3"/>
        <v>0</v>
      </c>
      <c r="Q39" s="106" t="str">
        <f t="shared" si="4"/>
        <v/>
      </c>
      <c r="R39" s="107" t="str">
        <f>IF(OR($AI39="",ISNUMBER($AI39)=FALSE),"",IF(AND(#REF!="Tolerance",$E39&lt;&gt;""),($O39-$E39)/(($J39-$K39)/2),IF(AND(#REF!="GD&amp;T",$F39&lt;&gt;""),$O39/$F39,"")))</f>
        <v/>
      </c>
      <c r="S39" s="107" t="str">
        <f t="shared" si="12"/>
        <v/>
      </c>
      <c r="T39" s="106" t="str">
        <f t="shared" si="5"/>
        <v/>
      </c>
      <c r="U39" s="106" t="str">
        <f t="shared" si="6"/>
        <v/>
      </c>
      <c r="V39" s="106" t="str">
        <f t="shared" si="7"/>
        <v/>
      </c>
      <c r="W39" s="119" t="str">
        <f t="shared" si="8"/>
        <v/>
      </c>
      <c r="X39" s="109" t="e">
        <f>IF($O39="","",IF(#REF!="Tolerance",IF((#REF!*3*P39+O39)-E39&lt;F39,"",(#REF!*3*P39+O39)-E39),IF(OR(#REF!="GD&amp;T",#REF!="MAX"),IF((#REF!*3*P39+O39)&lt;F39,"",(#REF!*3*P39+O39)),"")))</f>
        <v>#REF!</v>
      </c>
      <c r="Y39" s="109" t="e">
        <f>IF(O39="","",IF(#REF!="Tolerance",IF(-((#REF!*3*P39)-O39)-E39&gt;G39,"",-((#REF!*3*P39)-O39)-E39),IF(#REF!="MIN",IF(-((#REF!*3*P39)-O39)&gt;G39,"",-((#REF!*3*P39)-O39)),"")))</f>
        <v>#REF!</v>
      </c>
      <c r="Z39" s="109">
        <f t="shared" si="13"/>
        <v>16.905000000000001</v>
      </c>
      <c r="AA39" s="109" t="str">
        <f t="shared" si="9"/>
        <v/>
      </c>
      <c r="AB39" s="110"/>
      <c r="AC39" s="111" t="str">
        <f t="shared" si="14"/>
        <v/>
      </c>
      <c r="AD39" s="112"/>
      <c r="AE39" s="113"/>
      <c r="AF39" s="113"/>
      <c r="AG39" s="114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</row>
    <row r="40" spans="2:66" ht="15" customHeight="1">
      <c r="B40" s="95" t="s">
        <v>347</v>
      </c>
      <c r="C40" s="96" t="s">
        <v>114</v>
      </c>
      <c r="D40" s="97" t="s">
        <v>60</v>
      </c>
      <c r="E40" s="98">
        <v>16.905000000000001</v>
      </c>
      <c r="F40" s="99">
        <v>3.5000000000000003E-2</v>
      </c>
      <c r="G40" s="99">
        <v>-3.5000000000000003E-2</v>
      </c>
      <c r="H40" s="100" t="s">
        <v>247</v>
      </c>
      <c r="I40" s="101" t="s">
        <v>245</v>
      </c>
      <c r="J40" s="102">
        <f t="shared" si="10"/>
        <v>16.940000000000001</v>
      </c>
      <c r="K40" s="102">
        <f t="shared" si="11"/>
        <v>16.87</v>
      </c>
      <c r="L40" s="118"/>
      <c r="M40" s="104">
        <f t="shared" si="0"/>
        <v>0</v>
      </c>
      <c r="N40" s="104">
        <f t="shared" si="1"/>
        <v>0</v>
      </c>
      <c r="O40" s="104">
        <f t="shared" si="2"/>
        <v>0</v>
      </c>
      <c r="P40" s="105">
        <f t="shared" si="3"/>
        <v>0</v>
      </c>
      <c r="Q40" s="106" t="str">
        <f t="shared" si="4"/>
        <v/>
      </c>
      <c r="R40" s="107" t="str">
        <f>IF(OR($AI40="",ISNUMBER($AI40)=FALSE),"",IF(AND(#REF!="Tolerance",$E40&lt;&gt;""),($O40-$E40)/(($J40-$K40)/2),IF(AND(#REF!="GD&amp;T",$F40&lt;&gt;""),$O40/$F40,"")))</f>
        <v/>
      </c>
      <c r="S40" s="107" t="str">
        <f t="shared" si="12"/>
        <v/>
      </c>
      <c r="T40" s="106" t="str">
        <f t="shared" si="5"/>
        <v/>
      </c>
      <c r="U40" s="106" t="str">
        <f t="shared" si="6"/>
        <v/>
      </c>
      <c r="V40" s="106" t="str">
        <f t="shared" si="7"/>
        <v/>
      </c>
      <c r="W40" s="119" t="str">
        <f t="shared" si="8"/>
        <v/>
      </c>
      <c r="X40" s="109" t="e">
        <f>IF($O40="","",IF(#REF!="Tolerance",IF((#REF!*3*P40+O40)-E40&lt;F40,"",(#REF!*3*P40+O40)-E40),IF(OR(#REF!="GD&amp;T",#REF!="MAX"),IF((#REF!*3*P40+O40)&lt;F40,"",(#REF!*3*P40+O40)),"")))</f>
        <v>#REF!</v>
      </c>
      <c r="Y40" s="109" t="e">
        <f>IF(O40="","",IF(#REF!="Tolerance",IF(-((#REF!*3*P40)-O40)-E40&gt;G40,"",-((#REF!*3*P40)-O40)-E40),IF(#REF!="MIN",IF(-((#REF!*3*P40)-O40)&gt;G40,"",-((#REF!*3*P40)-O40)),"")))</f>
        <v>#REF!</v>
      </c>
      <c r="Z40" s="109">
        <f t="shared" si="13"/>
        <v>16.905000000000001</v>
      </c>
      <c r="AA40" s="109" t="str">
        <f t="shared" si="9"/>
        <v/>
      </c>
      <c r="AB40" s="110"/>
      <c r="AC40" s="111" t="str">
        <f t="shared" si="14"/>
        <v/>
      </c>
      <c r="AD40" s="112"/>
      <c r="AE40" s="113"/>
      <c r="AF40" s="113"/>
      <c r="AG40" s="114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</row>
    <row r="41" spans="2:66" ht="15" customHeight="1">
      <c r="B41" s="95" t="s">
        <v>347</v>
      </c>
      <c r="C41" s="96" t="s">
        <v>115</v>
      </c>
      <c r="D41" s="97" t="s">
        <v>60</v>
      </c>
      <c r="E41" s="98">
        <v>16.905000000000001</v>
      </c>
      <c r="F41" s="99">
        <v>3.5000000000000003E-2</v>
      </c>
      <c r="G41" s="99">
        <v>-3.5000000000000003E-2</v>
      </c>
      <c r="H41" s="100" t="s">
        <v>247</v>
      </c>
      <c r="I41" s="101" t="s">
        <v>245</v>
      </c>
      <c r="J41" s="102">
        <f t="shared" si="10"/>
        <v>16.940000000000001</v>
      </c>
      <c r="K41" s="102">
        <f t="shared" si="11"/>
        <v>16.87</v>
      </c>
      <c r="L41" s="118"/>
      <c r="M41" s="104">
        <f t="shared" si="0"/>
        <v>0</v>
      </c>
      <c r="N41" s="104">
        <f t="shared" si="1"/>
        <v>0</v>
      </c>
      <c r="O41" s="104">
        <f t="shared" si="2"/>
        <v>0</v>
      </c>
      <c r="P41" s="105">
        <f t="shared" si="3"/>
        <v>0</v>
      </c>
      <c r="Q41" s="106" t="str">
        <f t="shared" si="4"/>
        <v/>
      </c>
      <c r="R41" s="107" t="str">
        <f>IF(OR($AI41="",ISNUMBER($AI41)=FALSE),"",IF(AND(#REF!="Tolerance",$E41&lt;&gt;""),($O41-$E41)/(($J41-$K41)/2),IF(AND(#REF!="GD&amp;T",$F41&lt;&gt;""),$O41/$F41,"")))</f>
        <v/>
      </c>
      <c r="S41" s="107" t="str">
        <f t="shared" si="12"/>
        <v/>
      </c>
      <c r="T41" s="106" t="str">
        <f t="shared" si="5"/>
        <v/>
      </c>
      <c r="U41" s="106" t="str">
        <f t="shared" si="6"/>
        <v/>
      </c>
      <c r="V41" s="106" t="str">
        <f t="shared" si="7"/>
        <v/>
      </c>
      <c r="W41" s="119" t="str">
        <f t="shared" si="8"/>
        <v/>
      </c>
      <c r="X41" s="109" t="e">
        <f>IF($O41="","",IF(#REF!="Tolerance",IF((#REF!*3*P41+O41)-E41&lt;F41,"",(#REF!*3*P41+O41)-E41),IF(OR(#REF!="GD&amp;T",#REF!="MAX"),IF((#REF!*3*P41+O41)&lt;F41,"",(#REF!*3*P41+O41)),"")))</f>
        <v>#REF!</v>
      </c>
      <c r="Y41" s="109" t="e">
        <f>IF(O41="","",IF(#REF!="Tolerance",IF(-((#REF!*3*P41)-O41)-E41&gt;G41,"",-((#REF!*3*P41)-O41)-E41),IF(#REF!="MIN",IF(-((#REF!*3*P41)-O41)&gt;G41,"",-((#REF!*3*P41)-O41)),"")))</f>
        <v>#REF!</v>
      </c>
      <c r="Z41" s="109">
        <f t="shared" si="13"/>
        <v>16.905000000000001</v>
      </c>
      <c r="AA41" s="109" t="str">
        <f t="shared" si="9"/>
        <v/>
      </c>
      <c r="AB41" s="110"/>
      <c r="AC41" s="111" t="str">
        <f t="shared" si="14"/>
        <v/>
      </c>
      <c r="AD41" s="112"/>
      <c r="AE41" s="113"/>
      <c r="AF41" s="113"/>
      <c r="AG41" s="114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</row>
    <row r="42" spans="2:66" ht="15" customHeight="1">
      <c r="B42" s="95" t="s">
        <v>348</v>
      </c>
      <c r="C42" s="96" t="s">
        <v>116</v>
      </c>
      <c r="D42" s="97" t="s">
        <v>60</v>
      </c>
      <c r="E42" s="98">
        <v>1.5349999999999999</v>
      </c>
      <c r="F42" s="99">
        <v>0.03</v>
      </c>
      <c r="G42" s="99">
        <v>-0.03</v>
      </c>
      <c r="H42" s="100" t="s">
        <v>247</v>
      </c>
      <c r="I42" s="101" t="s">
        <v>245</v>
      </c>
      <c r="J42" s="102">
        <f t="shared" si="10"/>
        <v>1.5649999999999999</v>
      </c>
      <c r="K42" s="102">
        <f t="shared" si="11"/>
        <v>1.5049999999999999</v>
      </c>
      <c r="L42" s="118"/>
      <c r="M42" s="104">
        <f t="shared" si="0"/>
        <v>0</v>
      </c>
      <c r="N42" s="104">
        <f t="shared" si="1"/>
        <v>0</v>
      </c>
      <c r="O42" s="104">
        <f t="shared" si="2"/>
        <v>0</v>
      </c>
      <c r="P42" s="105">
        <f t="shared" si="3"/>
        <v>0</v>
      </c>
      <c r="Q42" s="106" t="str">
        <f t="shared" si="4"/>
        <v/>
      </c>
      <c r="R42" s="107" t="str">
        <f>IF(OR($AI42="",ISNUMBER($AI42)=FALSE),"",IF(AND(#REF!="Tolerance",$E42&lt;&gt;""),($O42-$E42)/(($J42-$K42)/2),IF(AND(#REF!="GD&amp;T",$F42&lt;&gt;""),$O42/$F42,"")))</f>
        <v/>
      </c>
      <c r="S42" s="107" t="str">
        <f t="shared" si="12"/>
        <v/>
      </c>
      <c r="T42" s="106" t="str">
        <f t="shared" si="5"/>
        <v/>
      </c>
      <c r="U42" s="106" t="str">
        <f t="shared" si="6"/>
        <v/>
      </c>
      <c r="V42" s="106" t="str">
        <f t="shared" si="7"/>
        <v/>
      </c>
      <c r="W42" s="119" t="str">
        <f t="shared" si="8"/>
        <v/>
      </c>
      <c r="X42" s="109" t="e">
        <f>IF($O42="","",IF(#REF!="Tolerance",IF((#REF!*3*P42+O42)-E42&lt;F42,"",(#REF!*3*P42+O42)-E42),IF(OR(#REF!="GD&amp;T",#REF!="MAX"),IF((#REF!*3*P42+O42)&lt;F42,"",(#REF!*3*P42+O42)),"")))</f>
        <v>#REF!</v>
      </c>
      <c r="Y42" s="109" t="e">
        <f>IF(O42="","",IF(#REF!="Tolerance",IF(-((#REF!*3*P42)-O42)-E42&gt;G42,"",-((#REF!*3*P42)-O42)-E42),IF(#REF!="MIN",IF(-((#REF!*3*P42)-O42)&gt;G42,"",-((#REF!*3*P42)-O42)),"")))</f>
        <v>#REF!</v>
      </c>
      <c r="Z42" s="109">
        <f t="shared" si="13"/>
        <v>1.5349999999999999</v>
      </c>
      <c r="AA42" s="109" t="str">
        <f t="shared" si="9"/>
        <v/>
      </c>
      <c r="AB42" s="110"/>
      <c r="AC42" s="111" t="str">
        <f t="shared" si="14"/>
        <v/>
      </c>
      <c r="AD42" s="112"/>
      <c r="AE42" s="113"/>
      <c r="AF42" s="113"/>
      <c r="AG42" s="114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</row>
    <row r="43" spans="2:66" ht="15" customHeight="1">
      <c r="B43" s="95" t="s">
        <v>348</v>
      </c>
      <c r="C43" s="96" t="s">
        <v>117</v>
      </c>
      <c r="D43" s="97" t="s">
        <v>60</v>
      </c>
      <c r="E43" s="98">
        <v>1.5349999999999999</v>
      </c>
      <c r="F43" s="99">
        <v>0.03</v>
      </c>
      <c r="G43" s="99">
        <v>-0.03</v>
      </c>
      <c r="H43" s="100" t="s">
        <v>247</v>
      </c>
      <c r="I43" s="101" t="s">
        <v>245</v>
      </c>
      <c r="J43" s="102">
        <f t="shared" si="10"/>
        <v>1.5649999999999999</v>
      </c>
      <c r="K43" s="102">
        <f t="shared" si="11"/>
        <v>1.5049999999999999</v>
      </c>
      <c r="L43" s="118"/>
      <c r="M43" s="104">
        <f t="shared" si="0"/>
        <v>0</v>
      </c>
      <c r="N43" s="104">
        <f t="shared" si="1"/>
        <v>0</v>
      </c>
      <c r="O43" s="104">
        <f t="shared" si="2"/>
        <v>0</v>
      </c>
      <c r="P43" s="105">
        <f t="shared" si="3"/>
        <v>0</v>
      </c>
      <c r="Q43" s="106" t="str">
        <f t="shared" si="4"/>
        <v/>
      </c>
      <c r="R43" s="107" t="str">
        <f>IF(OR($AI43="",ISNUMBER($AI43)=FALSE),"",IF(AND(#REF!="Tolerance",$E43&lt;&gt;""),($O43-$E43)/(($J43-$K43)/2),IF(AND(#REF!="GD&amp;T",$F43&lt;&gt;""),$O43/$F43,"")))</f>
        <v/>
      </c>
      <c r="S43" s="107" t="str">
        <f t="shared" si="12"/>
        <v/>
      </c>
      <c r="T43" s="106" t="str">
        <f t="shared" si="5"/>
        <v/>
      </c>
      <c r="U43" s="106" t="str">
        <f t="shared" si="6"/>
        <v/>
      </c>
      <c r="V43" s="106" t="str">
        <f t="shared" si="7"/>
        <v/>
      </c>
      <c r="W43" s="119" t="str">
        <f t="shared" si="8"/>
        <v/>
      </c>
      <c r="X43" s="109" t="e">
        <f>IF($O43="","",IF(#REF!="Tolerance",IF((#REF!*3*P43+O43)-E43&lt;F43,"",(#REF!*3*P43+O43)-E43),IF(OR(#REF!="GD&amp;T",#REF!="MAX"),IF((#REF!*3*P43+O43)&lt;F43,"",(#REF!*3*P43+O43)),"")))</f>
        <v>#REF!</v>
      </c>
      <c r="Y43" s="109" t="e">
        <f>IF(O43="","",IF(#REF!="Tolerance",IF(-((#REF!*3*P43)-O43)-E43&gt;G43,"",-((#REF!*3*P43)-O43)-E43),IF(#REF!="MIN",IF(-((#REF!*3*P43)-O43)&gt;G43,"",-((#REF!*3*P43)-O43)),"")))</f>
        <v>#REF!</v>
      </c>
      <c r="Z43" s="109">
        <f t="shared" si="13"/>
        <v>1.5349999999999999</v>
      </c>
      <c r="AA43" s="109" t="str">
        <f t="shared" si="9"/>
        <v/>
      </c>
      <c r="AB43" s="110"/>
      <c r="AC43" s="111" t="str">
        <f t="shared" si="14"/>
        <v/>
      </c>
      <c r="AD43" s="112"/>
      <c r="AE43" s="113"/>
      <c r="AF43" s="113"/>
      <c r="AG43" s="114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</row>
    <row r="44" spans="2:66" ht="15" customHeight="1">
      <c r="B44" s="95" t="s">
        <v>271</v>
      </c>
      <c r="C44" s="96" t="s">
        <v>118</v>
      </c>
      <c r="D44" s="97" t="s">
        <v>60</v>
      </c>
      <c r="E44" s="98">
        <v>0.72499999999999998</v>
      </c>
      <c r="F44" s="99">
        <v>0.03</v>
      </c>
      <c r="G44" s="99">
        <v>-0.03</v>
      </c>
      <c r="H44" s="100" t="s">
        <v>247</v>
      </c>
      <c r="I44" s="101" t="s">
        <v>245</v>
      </c>
      <c r="J44" s="102">
        <f t="shared" si="10"/>
        <v>0.755</v>
      </c>
      <c r="K44" s="102">
        <f t="shared" si="11"/>
        <v>0.69499999999999995</v>
      </c>
      <c r="L44" s="118"/>
      <c r="M44" s="104">
        <f t="shared" si="0"/>
        <v>0</v>
      </c>
      <c r="N44" s="104">
        <f t="shared" si="1"/>
        <v>0</v>
      </c>
      <c r="O44" s="104">
        <f t="shared" si="2"/>
        <v>0</v>
      </c>
      <c r="P44" s="105">
        <f t="shared" si="3"/>
        <v>0</v>
      </c>
      <c r="Q44" s="106" t="str">
        <f t="shared" si="4"/>
        <v/>
      </c>
      <c r="R44" s="107" t="str">
        <f>IF(OR($AI44="",ISNUMBER($AI44)=FALSE),"",IF(AND(#REF!="Tolerance",$E44&lt;&gt;""),($O44-$E44)/(($J44-$K44)/2),IF(AND(#REF!="GD&amp;T",$F44&lt;&gt;""),$O44/$F44,"")))</f>
        <v/>
      </c>
      <c r="S44" s="107" t="str">
        <f t="shared" si="12"/>
        <v/>
      </c>
      <c r="T44" s="106" t="str">
        <f t="shared" si="5"/>
        <v/>
      </c>
      <c r="U44" s="106" t="str">
        <f t="shared" si="6"/>
        <v/>
      </c>
      <c r="V44" s="106" t="str">
        <f t="shared" si="7"/>
        <v/>
      </c>
      <c r="W44" s="119" t="str">
        <f t="shared" si="8"/>
        <v/>
      </c>
      <c r="X44" s="109" t="e">
        <f>IF($O44="","",IF(#REF!="Tolerance",IF((#REF!*3*P44+O44)-E44&lt;F44,"",(#REF!*3*P44+O44)-E44),IF(OR(#REF!="GD&amp;T",#REF!="MAX"),IF((#REF!*3*P44+O44)&lt;F44,"",(#REF!*3*P44+O44)),"")))</f>
        <v>#REF!</v>
      </c>
      <c r="Y44" s="109" t="e">
        <f>IF(O44="","",IF(#REF!="Tolerance",IF(-((#REF!*3*P44)-O44)-E44&gt;G44,"",-((#REF!*3*P44)-O44)-E44),IF(#REF!="MIN",IF(-((#REF!*3*P44)-O44)&gt;G44,"",-((#REF!*3*P44)-O44)),"")))</f>
        <v>#REF!</v>
      </c>
      <c r="Z44" s="109">
        <f t="shared" si="13"/>
        <v>0.72499999999999998</v>
      </c>
      <c r="AA44" s="109" t="str">
        <f t="shared" si="9"/>
        <v/>
      </c>
      <c r="AB44" s="110"/>
      <c r="AC44" s="111" t="str">
        <f t="shared" si="14"/>
        <v/>
      </c>
      <c r="AD44" s="112"/>
      <c r="AE44" s="113"/>
      <c r="AF44" s="113"/>
      <c r="AG44" s="114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</row>
    <row r="45" spans="2:66" ht="15" customHeight="1">
      <c r="B45" s="95" t="s">
        <v>272</v>
      </c>
      <c r="C45" s="96" t="s">
        <v>273</v>
      </c>
      <c r="D45" s="97" t="s">
        <v>60</v>
      </c>
      <c r="E45" s="98">
        <v>0.93899999999999995</v>
      </c>
      <c r="F45" s="99">
        <v>0.03</v>
      </c>
      <c r="G45" s="99">
        <v>-0.02</v>
      </c>
      <c r="H45" s="100" t="s">
        <v>247</v>
      </c>
      <c r="I45" s="101" t="s">
        <v>245</v>
      </c>
      <c r="J45" s="102">
        <f t="shared" si="10"/>
        <v>0.96899999999999997</v>
      </c>
      <c r="K45" s="102">
        <f t="shared" si="11"/>
        <v>0.91899999999999993</v>
      </c>
      <c r="L45" s="118"/>
      <c r="M45" s="104">
        <f t="shared" si="0"/>
        <v>0</v>
      </c>
      <c r="N45" s="104">
        <f t="shared" si="1"/>
        <v>0</v>
      </c>
      <c r="O45" s="104">
        <f t="shared" si="2"/>
        <v>0</v>
      </c>
      <c r="P45" s="105">
        <f t="shared" si="3"/>
        <v>0</v>
      </c>
      <c r="Q45" s="106" t="str">
        <f t="shared" si="4"/>
        <v/>
      </c>
      <c r="R45" s="107" t="str">
        <f>IF(OR($AI45="",ISNUMBER($AI45)=FALSE),"",IF(AND(#REF!="Tolerance",$E45&lt;&gt;""),($O45-$E45)/(($J45-$K45)/2),IF(AND(#REF!="GD&amp;T",$F45&lt;&gt;""),$O45/$F45,"")))</f>
        <v/>
      </c>
      <c r="S45" s="107" t="str">
        <f t="shared" si="12"/>
        <v/>
      </c>
      <c r="T45" s="106" t="str">
        <f t="shared" si="5"/>
        <v/>
      </c>
      <c r="U45" s="106" t="str">
        <f t="shared" si="6"/>
        <v/>
      </c>
      <c r="V45" s="106" t="str">
        <f t="shared" si="7"/>
        <v/>
      </c>
      <c r="W45" s="119" t="str">
        <f t="shared" si="8"/>
        <v/>
      </c>
      <c r="X45" s="109" t="e">
        <f>IF($O45="","",IF(#REF!="Tolerance",IF((#REF!*3*P45+O45)-E45&lt;F45,"",(#REF!*3*P45+O45)-E45),IF(OR(#REF!="GD&amp;T",#REF!="MAX"),IF((#REF!*3*P45+O45)&lt;F45,"",(#REF!*3*P45+O45)),"")))</f>
        <v>#REF!</v>
      </c>
      <c r="Y45" s="109" t="e">
        <f>IF(O45="","",IF(#REF!="Tolerance",IF(-((#REF!*3*P45)-O45)-E45&gt;G45,"",-((#REF!*3*P45)-O45)-E45),IF(#REF!="MIN",IF(-((#REF!*3*P45)-O45)&gt;G45,"",-((#REF!*3*P45)-O45)),"")))</f>
        <v>#REF!</v>
      </c>
      <c r="Z45" s="109">
        <f t="shared" si="13"/>
        <v>0.94399999999999995</v>
      </c>
      <c r="AA45" s="109" t="str">
        <f t="shared" si="9"/>
        <v/>
      </c>
      <c r="AB45" s="110"/>
      <c r="AC45" s="111" t="str">
        <f t="shared" si="14"/>
        <v/>
      </c>
      <c r="AD45" s="112"/>
      <c r="AE45" s="113"/>
      <c r="AF45" s="113"/>
      <c r="AG45" s="114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</row>
    <row r="46" spans="2:66" ht="15" customHeight="1">
      <c r="B46" s="95" t="s">
        <v>272</v>
      </c>
      <c r="C46" s="96" t="s">
        <v>121</v>
      </c>
      <c r="D46" s="97" t="s">
        <v>60</v>
      </c>
      <c r="E46" s="98">
        <v>0.93899999999999995</v>
      </c>
      <c r="F46" s="99">
        <v>0.03</v>
      </c>
      <c r="G46" s="99">
        <v>-0.02</v>
      </c>
      <c r="H46" s="100" t="s">
        <v>251</v>
      </c>
      <c r="I46" s="101" t="s">
        <v>245</v>
      </c>
      <c r="J46" s="102">
        <f t="shared" si="10"/>
        <v>0.96899999999999997</v>
      </c>
      <c r="K46" s="102">
        <f t="shared" si="11"/>
        <v>0.91899999999999993</v>
      </c>
      <c r="L46" s="103"/>
      <c r="M46" s="104">
        <f t="shared" si="0"/>
        <v>0</v>
      </c>
      <c r="N46" s="104">
        <f t="shared" si="1"/>
        <v>0</v>
      </c>
      <c r="O46" s="104">
        <f t="shared" si="2"/>
        <v>0</v>
      </c>
      <c r="P46" s="105">
        <f t="shared" si="3"/>
        <v>0</v>
      </c>
      <c r="Q46" s="106" t="str">
        <f t="shared" si="4"/>
        <v/>
      </c>
      <c r="R46" s="107" t="str">
        <f>IF(OR($AI46="",ISNUMBER($AI46)=FALSE),"",IF(AND(#REF!="Tolerance",$E46&lt;&gt;""),($O46-$E46)/(($J46-$K46)/2),IF(AND(#REF!="GD&amp;T",$F46&lt;&gt;""),$O46/$F46,"")))</f>
        <v/>
      </c>
      <c r="S46" s="107" t="str">
        <f t="shared" si="12"/>
        <v/>
      </c>
      <c r="T46" s="106" t="str">
        <f t="shared" si="5"/>
        <v/>
      </c>
      <c r="U46" s="106" t="str">
        <f t="shared" si="6"/>
        <v/>
      </c>
      <c r="V46" s="106" t="str">
        <f t="shared" si="7"/>
        <v/>
      </c>
      <c r="W46" s="108" t="str">
        <f t="shared" si="8"/>
        <v/>
      </c>
      <c r="X46" s="109" t="e">
        <f>IF($O46="","",IF(#REF!="Tolerance",IF((#REF!*3*P46+O46)-E46&lt;F46,"",(#REF!*3*P46+O46)-E46),IF(OR(#REF!="GD&amp;T",#REF!="MAX"),IF((#REF!*3*P46+O46)&lt;F46,"",(#REF!*3*P46+O46)),"")))</f>
        <v>#REF!</v>
      </c>
      <c r="Y46" s="109" t="e">
        <f>IF(O46="","",IF(#REF!="Tolerance",IF(-((#REF!*3*P46)-O46)-E46&gt;G46,"",-((#REF!*3*P46)-O46)-E46),IF(#REF!="MIN",IF(-((#REF!*3*P46)-O46)&gt;G46,"",-((#REF!*3*P46)-O46)),"")))</f>
        <v>#REF!</v>
      </c>
      <c r="Z46" s="109">
        <f t="shared" si="13"/>
        <v>0.94399999999999995</v>
      </c>
      <c r="AA46" s="109" t="str">
        <f t="shared" si="9"/>
        <v/>
      </c>
      <c r="AB46" s="110"/>
      <c r="AC46" s="111" t="str">
        <f t="shared" si="14"/>
        <v/>
      </c>
      <c r="AD46" s="112"/>
      <c r="AE46" s="113"/>
      <c r="AF46" s="113"/>
      <c r="AG46" s="114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</row>
    <row r="47" spans="2:66" ht="15" customHeight="1">
      <c r="B47" s="95" t="s">
        <v>272</v>
      </c>
      <c r="C47" s="96" t="s">
        <v>122</v>
      </c>
      <c r="D47" s="97" t="s">
        <v>60</v>
      </c>
      <c r="E47" s="98">
        <v>0.93899999999999995</v>
      </c>
      <c r="F47" s="99">
        <v>0.03</v>
      </c>
      <c r="G47" s="99">
        <v>-0.02</v>
      </c>
      <c r="H47" s="100" t="s">
        <v>251</v>
      </c>
      <c r="I47" s="101" t="s">
        <v>245</v>
      </c>
      <c r="J47" s="102">
        <f t="shared" si="10"/>
        <v>0.96899999999999997</v>
      </c>
      <c r="K47" s="102">
        <f t="shared" si="11"/>
        <v>0.91899999999999993</v>
      </c>
      <c r="L47" s="103"/>
      <c r="M47" s="104">
        <f t="shared" si="0"/>
        <v>0</v>
      </c>
      <c r="N47" s="104">
        <f t="shared" si="1"/>
        <v>0</v>
      </c>
      <c r="O47" s="104">
        <f t="shared" si="2"/>
        <v>0</v>
      </c>
      <c r="P47" s="105">
        <f t="shared" si="3"/>
        <v>0</v>
      </c>
      <c r="Q47" s="106" t="str">
        <f t="shared" si="4"/>
        <v/>
      </c>
      <c r="R47" s="107" t="str">
        <f>IF(OR($AI47="",ISNUMBER($AI47)=FALSE),"",IF(AND(#REF!="Tolerance",$E47&lt;&gt;""),($O47-$E47)/(($J47-$K47)/2),IF(AND(#REF!="GD&amp;T",$F47&lt;&gt;""),$O47/$F47,"")))</f>
        <v/>
      </c>
      <c r="S47" s="107" t="str">
        <f t="shared" si="12"/>
        <v/>
      </c>
      <c r="T47" s="106" t="str">
        <f t="shared" si="5"/>
        <v/>
      </c>
      <c r="U47" s="106" t="str">
        <f t="shared" si="6"/>
        <v/>
      </c>
      <c r="V47" s="106" t="str">
        <f t="shared" si="7"/>
        <v/>
      </c>
      <c r="W47" s="108" t="str">
        <f t="shared" si="8"/>
        <v/>
      </c>
      <c r="X47" s="109" t="e">
        <f>IF($O47="","",IF(#REF!="Tolerance",IF((#REF!*3*P47+O47)-E47&lt;F47,"",(#REF!*3*P47+O47)-E47),IF(OR(#REF!="GD&amp;T",#REF!="MAX"),IF((#REF!*3*P47+O47)&lt;F47,"",(#REF!*3*P47+O47)),"")))</f>
        <v>#REF!</v>
      </c>
      <c r="Y47" s="109" t="e">
        <f>IF(O47="","",IF(#REF!="Tolerance",IF(-((#REF!*3*P47)-O47)-E47&gt;G47,"",-((#REF!*3*P47)-O47)-E47),IF(#REF!="MIN",IF(-((#REF!*3*P47)-O47)&gt;G47,"",-((#REF!*3*P47)-O47)),"")))</f>
        <v>#REF!</v>
      </c>
      <c r="Z47" s="109">
        <f t="shared" si="13"/>
        <v>0.94399999999999995</v>
      </c>
      <c r="AA47" s="109" t="str">
        <f t="shared" si="9"/>
        <v/>
      </c>
      <c r="AB47" s="110"/>
      <c r="AC47" s="111" t="str">
        <f t="shared" si="14"/>
        <v/>
      </c>
      <c r="AD47" s="112"/>
      <c r="AE47" s="113"/>
      <c r="AF47" s="113"/>
      <c r="AG47" s="114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</row>
    <row r="48" spans="2:66" ht="15" customHeight="1">
      <c r="B48" s="95" t="s">
        <v>272</v>
      </c>
      <c r="C48" s="96" t="s">
        <v>123</v>
      </c>
      <c r="D48" s="97" t="s">
        <v>60</v>
      </c>
      <c r="E48" s="98">
        <v>0.93899999999999995</v>
      </c>
      <c r="F48" s="99">
        <v>0.03</v>
      </c>
      <c r="G48" s="99">
        <v>-0.02</v>
      </c>
      <c r="H48" s="100" t="s">
        <v>251</v>
      </c>
      <c r="I48" s="101" t="s">
        <v>245</v>
      </c>
      <c r="J48" s="102">
        <f t="shared" si="10"/>
        <v>0.96899999999999997</v>
      </c>
      <c r="K48" s="102">
        <f t="shared" si="11"/>
        <v>0.91899999999999993</v>
      </c>
      <c r="L48" s="118"/>
      <c r="M48" s="104">
        <f t="shared" si="0"/>
        <v>0</v>
      </c>
      <c r="N48" s="104">
        <f t="shared" si="1"/>
        <v>0</v>
      </c>
      <c r="O48" s="104">
        <f t="shared" si="2"/>
        <v>0</v>
      </c>
      <c r="P48" s="105">
        <f t="shared" si="3"/>
        <v>0</v>
      </c>
      <c r="Q48" s="106" t="str">
        <f t="shared" si="4"/>
        <v/>
      </c>
      <c r="R48" s="107" t="str">
        <f>IF(OR($AI48="",ISNUMBER($AI48)=FALSE),"",IF(AND(#REF!="Tolerance",$E48&lt;&gt;""),($O48-$E48)/(($J48-$K48)/2),IF(AND(#REF!="GD&amp;T",$F48&lt;&gt;""),$O48/$F48,"")))</f>
        <v/>
      </c>
      <c r="S48" s="107" t="str">
        <f t="shared" si="12"/>
        <v/>
      </c>
      <c r="T48" s="106" t="str">
        <f t="shared" si="5"/>
        <v/>
      </c>
      <c r="U48" s="106" t="str">
        <f t="shared" si="6"/>
        <v/>
      </c>
      <c r="V48" s="106" t="str">
        <f t="shared" si="7"/>
        <v/>
      </c>
      <c r="W48" s="108" t="str">
        <f t="shared" si="8"/>
        <v/>
      </c>
      <c r="X48" s="109" t="e">
        <f>IF($O48="","",IF(#REF!="Tolerance",IF((#REF!*3*P48+O48)-E48&lt;F48,"",(#REF!*3*P48+O48)-E48),IF(OR(#REF!="GD&amp;T",#REF!="MAX"),IF((#REF!*3*P48+O48)&lt;F48,"",(#REF!*3*P48+O48)),"")))</f>
        <v>#REF!</v>
      </c>
      <c r="Y48" s="109" t="e">
        <f>IF(O48="","",IF(#REF!="Tolerance",IF(-((#REF!*3*P48)-O48)-E48&gt;G48,"",-((#REF!*3*P48)-O48)-E48),IF(#REF!="MIN",IF(-((#REF!*3*P48)-O48)&gt;G48,"",-((#REF!*3*P48)-O48)),"")))</f>
        <v>#REF!</v>
      </c>
      <c r="Z48" s="109">
        <f t="shared" si="13"/>
        <v>0.94399999999999995</v>
      </c>
      <c r="AA48" s="109" t="str">
        <f t="shared" si="9"/>
        <v/>
      </c>
      <c r="AB48" s="110"/>
      <c r="AC48" s="111" t="str">
        <f t="shared" si="14"/>
        <v/>
      </c>
      <c r="AD48" s="112"/>
      <c r="AE48" s="113"/>
      <c r="AF48" s="113"/>
      <c r="AG48" s="114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</row>
    <row r="49" spans="2:66" ht="15" customHeight="1">
      <c r="B49" s="95" t="s">
        <v>272</v>
      </c>
      <c r="C49" s="96" t="s">
        <v>124</v>
      </c>
      <c r="D49" s="97" t="s">
        <v>60</v>
      </c>
      <c r="E49" s="98">
        <v>0.93899999999999995</v>
      </c>
      <c r="F49" s="99">
        <v>0.03</v>
      </c>
      <c r="G49" s="99">
        <v>-0.02</v>
      </c>
      <c r="H49" s="100" t="s">
        <v>251</v>
      </c>
      <c r="I49" s="101" t="s">
        <v>245</v>
      </c>
      <c r="J49" s="102">
        <f t="shared" si="10"/>
        <v>0.96899999999999997</v>
      </c>
      <c r="K49" s="102">
        <f t="shared" si="11"/>
        <v>0.91899999999999993</v>
      </c>
      <c r="L49" s="118"/>
      <c r="M49" s="104">
        <f t="shared" si="0"/>
        <v>0</v>
      </c>
      <c r="N49" s="104">
        <f t="shared" si="1"/>
        <v>0</v>
      </c>
      <c r="O49" s="104">
        <f t="shared" si="2"/>
        <v>0</v>
      </c>
      <c r="P49" s="105">
        <f t="shared" si="3"/>
        <v>0</v>
      </c>
      <c r="Q49" s="106" t="str">
        <f t="shared" si="4"/>
        <v/>
      </c>
      <c r="R49" s="107" t="str">
        <f>IF(OR($AI49="",ISNUMBER($AI49)=FALSE),"",IF(AND(#REF!="Tolerance",$E49&lt;&gt;""),($O49-$E49)/(($J49-$K49)/2),IF(AND(#REF!="GD&amp;T",$F49&lt;&gt;""),$O49/$F49,"")))</f>
        <v/>
      </c>
      <c r="S49" s="107" t="str">
        <f t="shared" si="12"/>
        <v/>
      </c>
      <c r="T49" s="106" t="str">
        <f t="shared" si="5"/>
        <v/>
      </c>
      <c r="U49" s="106" t="str">
        <f t="shared" si="6"/>
        <v/>
      </c>
      <c r="V49" s="106" t="str">
        <f t="shared" si="7"/>
        <v/>
      </c>
      <c r="W49" s="108" t="str">
        <f t="shared" si="8"/>
        <v/>
      </c>
      <c r="X49" s="109" t="e">
        <f>IF($O49="","",IF(#REF!="Tolerance",IF((#REF!*3*P49+O49)-E49&lt;F49,"",(#REF!*3*P49+O49)-E49),IF(OR(#REF!="GD&amp;T",#REF!="MAX"),IF((#REF!*3*P49+O49)&lt;F49,"",(#REF!*3*P49+O49)),"")))</f>
        <v>#REF!</v>
      </c>
      <c r="Y49" s="109" t="e">
        <f>IF(O49="","",IF(#REF!="Tolerance",IF(-((#REF!*3*P49)-O49)-E49&gt;G49,"",-((#REF!*3*P49)-O49)-E49),IF(#REF!="MIN",IF(-((#REF!*3*P49)-O49)&gt;G49,"",-((#REF!*3*P49)-O49)),"")))</f>
        <v>#REF!</v>
      </c>
      <c r="Z49" s="109">
        <f t="shared" si="13"/>
        <v>0.94399999999999995</v>
      </c>
      <c r="AA49" s="109" t="str">
        <f t="shared" si="9"/>
        <v/>
      </c>
      <c r="AB49" s="110"/>
      <c r="AC49" s="111" t="str">
        <f t="shared" si="14"/>
        <v/>
      </c>
      <c r="AD49" s="112"/>
      <c r="AE49" s="113"/>
      <c r="AF49" s="113"/>
      <c r="AG49" s="114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</row>
    <row r="50" spans="2:66" ht="15" customHeight="1">
      <c r="B50" s="120" t="s">
        <v>274</v>
      </c>
      <c r="C50" s="96" t="s">
        <v>125</v>
      </c>
      <c r="D50" s="97" t="s">
        <v>60</v>
      </c>
      <c r="E50" s="98">
        <v>16.84</v>
      </c>
      <c r="F50" s="99">
        <v>0.03</v>
      </c>
      <c r="G50" s="99">
        <v>-0.03</v>
      </c>
      <c r="H50" s="100" t="s">
        <v>247</v>
      </c>
      <c r="I50" s="101" t="s">
        <v>245</v>
      </c>
      <c r="J50" s="102">
        <f t="shared" si="10"/>
        <v>16.87</v>
      </c>
      <c r="K50" s="102">
        <f t="shared" si="11"/>
        <v>16.809999999999999</v>
      </c>
      <c r="L50" s="103"/>
      <c r="M50" s="104">
        <f t="shared" si="0"/>
        <v>0</v>
      </c>
      <c r="N50" s="104">
        <f t="shared" si="1"/>
        <v>0</v>
      </c>
      <c r="O50" s="104">
        <f t="shared" si="2"/>
        <v>0</v>
      </c>
      <c r="P50" s="105">
        <f t="shared" si="3"/>
        <v>0</v>
      </c>
      <c r="Q50" s="106" t="str">
        <f t="shared" si="4"/>
        <v/>
      </c>
      <c r="R50" s="107" t="str">
        <f>IF(OR($AI50="",ISNUMBER($AI50)=FALSE),"",IF(AND(#REF!="Tolerance",$E50&lt;&gt;""),($O50-$E50)/(($J50-$K50)/2),IF(AND(#REF!="GD&amp;T",$F50&lt;&gt;""),$O50/$F50,"")))</f>
        <v/>
      </c>
      <c r="S50" s="107" t="str">
        <f t="shared" si="12"/>
        <v/>
      </c>
      <c r="T50" s="106" t="str">
        <f t="shared" si="5"/>
        <v/>
      </c>
      <c r="U50" s="106" t="str">
        <f t="shared" si="6"/>
        <v/>
      </c>
      <c r="V50" s="106" t="str">
        <f t="shared" si="7"/>
        <v/>
      </c>
      <c r="W50" s="108" t="str">
        <f t="shared" si="8"/>
        <v/>
      </c>
      <c r="X50" s="109" t="e">
        <f>IF($O50="","",IF(#REF!="Tolerance",IF((#REF!*3*P50+O50)-E50&lt;F50,"",(#REF!*3*P50+O50)-E50),IF(OR(#REF!="GD&amp;T",#REF!="MAX"),IF((#REF!*3*P50+O50)&lt;F50,"",(#REF!*3*P50+O50)),"")))</f>
        <v>#REF!</v>
      </c>
      <c r="Y50" s="109" t="e">
        <f>IF(O50="","",IF(#REF!="Tolerance",IF(-((#REF!*3*P50)-O50)-E50&gt;G50,"",-((#REF!*3*P50)-O50)-E50),IF(#REF!="MIN",IF(-((#REF!*3*P50)-O50)&gt;G50,"",-((#REF!*3*P50)-O50)),"")))</f>
        <v>#REF!</v>
      </c>
      <c r="Z50" s="109">
        <f t="shared" si="13"/>
        <v>16.84</v>
      </c>
      <c r="AA50" s="109" t="str">
        <f t="shared" si="9"/>
        <v/>
      </c>
      <c r="AB50" s="110"/>
      <c r="AC50" s="111" t="str">
        <f t="shared" si="14"/>
        <v/>
      </c>
      <c r="AD50" s="112"/>
      <c r="AE50" s="113"/>
      <c r="AF50" s="113"/>
      <c r="AG50" s="114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</row>
    <row r="51" spans="2:66" ht="15" customHeight="1">
      <c r="B51" s="121" t="s">
        <v>275</v>
      </c>
      <c r="C51" s="96" t="s">
        <v>127</v>
      </c>
      <c r="D51" s="97" t="s">
        <v>128</v>
      </c>
      <c r="E51" s="98">
        <v>0.4</v>
      </c>
      <c r="F51" s="99">
        <v>0.03</v>
      </c>
      <c r="G51" s="99">
        <v>-0.03</v>
      </c>
      <c r="H51" s="100" t="s">
        <v>244</v>
      </c>
      <c r="I51" s="101" t="s">
        <v>245</v>
      </c>
      <c r="J51" s="102">
        <f t="shared" si="10"/>
        <v>0.43000000000000005</v>
      </c>
      <c r="K51" s="102">
        <f t="shared" si="11"/>
        <v>0.37</v>
      </c>
      <c r="L51" s="103"/>
      <c r="M51" s="104">
        <f t="shared" si="0"/>
        <v>0</v>
      </c>
      <c r="N51" s="104">
        <f t="shared" si="1"/>
        <v>0</v>
      </c>
      <c r="O51" s="104">
        <f t="shared" si="2"/>
        <v>0</v>
      </c>
      <c r="P51" s="105">
        <f t="shared" si="3"/>
        <v>0</v>
      </c>
      <c r="Q51" s="106" t="str">
        <f t="shared" si="4"/>
        <v/>
      </c>
      <c r="R51" s="107" t="str">
        <f>IF(OR($AI51="",ISNUMBER($AI51)=FALSE),"",IF(AND(#REF!="Tolerance",$E51&lt;&gt;""),($O51-$E51)/(($J51-$K51)/2),IF(AND(#REF!="GD&amp;T",$F51&lt;&gt;""),$O51/$F51,"")))</f>
        <v/>
      </c>
      <c r="S51" s="107" t="str">
        <f t="shared" si="12"/>
        <v/>
      </c>
      <c r="T51" s="106" t="str">
        <f t="shared" si="5"/>
        <v/>
      </c>
      <c r="U51" s="106" t="str">
        <f t="shared" si="6"/>
        <v/>
      </c>
      <c r="V51" s="106" t="str">
        <f t="shared" si="7"/>
        <v/>
      </c>
      <c r="W51" s="108" t="str">
        <f t="shared" si="8"/>
        <v/>
      </c>
      <c r="X51" s="109" t="e">
        <f>IF($O51="","",IF(#REF!="Tolerance",IF((#REF!*3*P51+O51)-E51&lt;F51,"",(#REF!*3*P51+O51)-E51),IF(OR(#REF!="GD&amp;T",#REF!="MAX"),IF((#REF!*3*P51+O51)&lt;F51,"",(#REF!*3*P51+O51)),"")))</f>
        <v>#REF!</v>
      </c>
      <c r="Y51" s="109" t="e">
        <f>IF(O51="","",IF(#REF!="Tolerance",IF(-((#REF!*3*P51)-O51)-E51&gt;G51,"",-((#REF!*3*P51)-O51)-E51),IF(#REF!="MIN",IF(-((#REF!*3*P51)-O51)&gt;G51,"",-((#REF!*3*P51)-O51)),"")))</f>
        <v>#REF!</v>
      </c>
      <c r="Z51" s="109">
        <f t="shared" si="13"/>
        <v>0.4</v>
      </c>
      <c r="AA51" s="109" t="str">
        <f t="shared" si="9"/>
        <v/>
      </c>
      <c r="AB51" s="110"/>
      <c r="AC51" s="111" t="str">
        <f t="shared" si="14"/>
        <v/>
      </c>
      <c r="AD51" s="112"/>
      <c r="AE51" s="113"/>
      <c r="AF51" s="113"/>
      <c r="AG51" s="114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</row>
    <row r="52" spans="2:66" ht="15" customHeight="1">
      <c r="B52" s="121" t="s">
        <v>276</v>
      </c>
      <c r="C52" s="96" t="s">
        <v>129</v>
      </c>
      <c r="D52" s="97" t="s">
        <v>130</v>
      </c>
      <c r="E52" s="98"/>
      <c r="F52" s="99">
        <v>0.08</v>
      </c>
      <c r="G52" s="99"/>
      <c r="H52" s="100" t="s">
        <v>244</v>
      </c>
      <c r="I52" s="101" t="s">
        <v>245</v>
      </c>
      <c r="J52" s="102">
        <f t="shared" si="10"/>
        <v>0.08</v>
      </c>
      <c r="K52" s="102" t="str">
        <f t="shared" si="11"/>
        <v/>
      </c>
      <c r="L52" s="103"/>
      <c r="M52" s="104">
        <f t="shared" si="0"/>
        <v>0</v>
      </c>
      <c r="N52" s="104">
        <f t="shared" si="1"/>
        <v>0</v>
      </c>
      <c r="O52" s="104">
        <f t="shared" si="2"/>
        <v>0</v>
      </c>
      <c r="P52" s="105">
        <f t="shared" si="3"/>
        <v>0</v>
      </c>
      <c r="Q52" s="106" t="str">
        <f t="shared" si="4"/>
        <v/>
      </c>
      <c r="R52" s="107" t="str">
        <f>IF(OR($AI52="",ISNUMBER($AI52)=FALSE),"",IF(AND(#REF!="Tolerance",$E52&lt;&gt;""),($O52-$E52)/(($J52-$K52)/2),IF(AND(#REF!="GD&amp;T",$F52&lt;&gt;""),$O52/$F52,"")))</f>
        <v/>
      </c>
      <c r="S52" s="107" t="str">
        <f t="shared" si="12"/>
        <v/>
      </c>
      <c r="T52" s="106" t="str">
        <f t="shared" si="5"/>
        <v/>
      </c>
      <c r="U52" s="106" t="str">
        <f t="shared" si="6"/>
        <v/>
      </c>
      <c r="V52" s="106" t="str">
        <f t="shared" si="7"/>
        <v/>
      </c>
      <c r="W52" s="108" t="str">
        <f t="shared" si="8"/>
        <v/>
      </c>
      <c r="X52" s="109" t="e">
        <f>IF($O52="","",IF(#REF!="Tolerance",IF((#REF!*3*P52+O52)-E52&lt;F52,"",(#REF!*3*P52+O52)-E52),IF(OR(#REF!="GD&amp;T",#REF!="MAX"),IF((#REF!*3*P52+O52)&lt;F52,"",(#REF!*3*P52+O52)),"")))</f>
        <v>#REF!</v>
      </c>
      <c r="Y52" s="109" t="e">
        <f>IF(O52="","",IF(#REF!="Tolerance",IF(-((#REF!*3*P52)-O52)-E52&gt;G52,"",-((#REF!*3*P52)-O52)-E52),IF(#REF!="MIN",IF(-((#REF!*3*P52)-O52)&gt;G52,"",-((#REF!*3*P52)-O52)),"")))</f>
        <v>#REF!</v>
      </c>
      <c r="Z52" s="109" t="str">
        <f t="shared" si="13"/>
        <v/>
      </c>
      <c r="AA52" s="109" t="str">
        <f t="shared" si="9"/>
        <v/>
      </c>
      <c r="AB52" s="110"/>
      <c r="AC52" s="111" t="str">
        <f t="shared" si="14"/>
        <v/>
      </c>
      <c r="AD52" s="112"/>
      <c r="AE52" s="113"/>
      <c r="AF52" s="113"/>
      <c r="AG52" s="114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</row>
    <row r="53" spans="2:66" ht="15" customHeight="1">
      <c r="B53" s="121" t="s">
        <v>277</v>
      </c>
      <c r="C53" s="96" t="s">
        <v>278</v>
      </c>
      <c r="D53" s="97" t="s">
        <v>60</v>
      </c>
      <c r="E53" s="98">
        <v>14.13</v>
      </c>
      <c r="F53" s="99">
        <v>0.03</v>
      </c>
      <c r="G53" s="99">
        <v>-0.03</v>
      </c>
      <c r="H53" s="100" t="s">
        <v>247</v>
      </c>
      <c r="I53" s="101" t="s">
        <v>245</v>
      </c>
      <c r="J53" s="102">
        <f t="shared" si="10"/>
        <v>14.16</v>
      </c>
      <c r="K53" s="102">
        <f t="shared" si="11"/>
        <v>14.100000000000001</v>
      </c>
      <c r="L53" s="118"/>
      <c r="M53" s="104">
        <f t="shared" si="0"/>
        <v>0</v>
      </c>
      <c r="N53" s="104">
        <f t="shared" si="1"/>
        <v>0</v>
      </c>
      <c r="O53" s="104">
        <f t="shared" si="2"/>
        <v>0</v>
      </c>
      <c r="P53" s="105">
        <f t="shared" si="3"/>
        <v>0</v>
      </c>
      <c r="Q53" s="106" t="str">
        <f t="shared" si="4"/>
        <v/>
      </c>
      <c r="R53" s="107" t="str">
        <f>IF(OR($AI53="",ISNUMBER($AI53)=FALSE),"",IF(AND(#REF!="Tolerance",$E53&lt;&gt;""),($O53-$E53)/(($J53-$K53)/2),IF(AND(#REF!="GD&amp;T",$F53&lt;&gt;""),$O53/$F53,"")))</f>
        <v/>
      </c>
      <c r="S53" s="107" t="str">
        <f t="shared" si="12"/>
        <v/>
      </c>
      <c r="T53" s="106" t="str">
        <f t="shared" si="5"/>
        <v/>
      </c>
      <c r="U53" s="106" t="str">
        <f t="shared" si="6"/>
        <v/>
      </c>
      <c r="V53" s="106" t="str">
        <f t="shared" si="7"/>
        <v/>
      </c>
      <c r="W53" s="108" t="str">
        <f t="shared" si="8"/>
        <v/>
      </c>
      <c r="X53" s="109" t="e">
        <f>IF($O53="","",IF(#REF!="Tolerance",IF((#REF!*3*P53+O53)-E53&lt;F53,"",(#REF!*3*P53+O53)-E53),IF(OR(#REF!="GD&amp;T",#REF!="MAX"),IF((#REF!*3*P53+O53)&lt;F53,"",(#REF!*3*P53+O53)),"")))</f>
        <v>#REF!</v>
      </c>
      <c r="Y53" s="109" t="e">
        <f>IF(O53="","",IF(#REF!="Tolerance",IF(-((#REF!*3*P53)-O53)-E53&gt;G53,"",-((#REF!*3*P53)-O53)-E53),IF(#REF!="MIN",IF(-((#REF!*3*P53)-O53)&gt;G53,"",-((#REF!*3*P53)-O53)),"")))</f>
        <v>#REF!</v>
      </c>
      <c r="Z53" s="109">
        <f t="shared" si="13"/>
        <v>14.13</v>
      </c>
      <c r="AA53" s="109" t="str">
        <f t="shared" si="9"/>
        <v/>
      </c>
      <c r="AB53" s="110"/>
      <c r="AC53" s="111" t="str">
        <f t="shared" si="14"/>
        <v/>
      </c>
      <c r="AD53" s="112"/>
      <c r="AE53" s="113"/>
      <c r="AF53" s="113"/>
      <c r="AG53" s="114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</row>
    <row r="54" spans="2:66" ht="15" customHeight="1">
      <c r="B54" s="121" t="s">
        <v>279</v>
      </c>
      <c r="C54" s="96" t="s">
        <v>280</v>
      </c>
      <c r="D54" s="97" t="s">
        <v>60</v>
      </c>
      <c r="E54" s="98">
        <v>4.46</v>
      </c>
      <c r="F54" s="99">
        <v>0.04</v>
      </c>
      <c r="G54" s="99">
        <v>-0.04</v>
      </c>
      <c r="H54" s="100" t="s">
        <v>247</v>
      </c>
      <c r="I54" s="101" t="s">
        <v>245</v>
      </c>
      <c r="J54" s="102">
        <f t="shared" si="10"/>
        <v>4.5</v>
      </c>
      <c r="K54" s="102">
        <f t="shared" si="11"/>
        <v>4.42</v>
      </c>
      <c r="L54" s="118"/>
      <c r="M54" s="104">
        <f t="shared" si="0"/>
        <v>0</v>
      </c>
      <c r="N54" s="104">
        <f t="shared" si="1"/>
        <v>0</v>
      </c>
      <c r="O54" s="104">
        <f t="shared" si="2"/>
        <v>0</v>
      </c>
      <c r="P54" s="105">
        <f t="shared" si="3"/>
        <v>0</v>
      </c>
      <c r="Q54" s="106" t="str">
        <f t="shared" si="4"/>
        <v/>
      </c>
      <c r="R54" s="107" t="str">
        <f>IF(OR($AI54="",ISNUMBER($AI54)=FALSE),"",IF(AND(#REF!="Tolerance",$E54&lt;&gt;""),($O54-$E54)/(($J54-$K54)/2),IF(AND(#REF!="GD&amp;T",$F54&lt;&gt;""),$O54/$F54,"")))</f>
        <v/>
      </c>
      <c r="S54" s="107" t="str">
        <f t="shared" si="12"/>
        <v/>
      </c>
      <c r="T54" s="106" t="str">
        <f t="shared" si="5"/>
        <v/>
      </c>
      <c r="U54" s="106" t="str">
        <f t="shared" si="6"/>
        <v/>
      </c>
      <c r="V54" s="106" t="str">
        <f t="shared" si="7"/>
        <v/>
      </c>
      <c r="W54" s="108" t="str">
        <f t="shared" si="8"/>
        <v/>
      </c>
      <c r="X54" s="109" t="e">
        <f>IF($O54="","",IF(#REF!="Tolerance",IF((#REF!*3*P54+O54)-E54&lt;F54,"",(#REF!*3*P54+O54)-E54),IF(OR(#REF!="GD&amp;T",#REF!="MAX"),IF((#REF!*3*P54+O54)&lt;F54,"",(#REF!*3*P54+O54)),"")))</f>
        <v>#REF!</v>
      </c>
      <c r="Y54" s="109" t="e">
        <f>IF(O54="","",IF(#REF!="Tolerance",IF(-((#REF!*3*P54)-O54)-E54&gt;G54,"",-((#REF!*3*P54)-O54)-E54),IF(#REF!="MIN",IF(-((#REF!*3*P54)-O54)&gt;G54,"",-((#REF!*3*P54)-O54)),"")))</f>
        <v>#REF!</v>
      </c>
      <c r="Z54" s="109">
        <f t="shared" si="13"/>
        <v>4.46</v>
      </c>
      <c r="AA54" s="109" t="str">
        <f t="shared" si="9"/>
        <v/>
      </c>
      <c r="AB54" s="110"/>
      <c r="AC54" s="111" t="str">
        <f t="shared" si="14"/>
        <v/>
      </c>
      <c r="AD54" s="112"/>
      <c r="AE54" s="113"/>
      <c r="AF54" s="113"/>
      <c r="AG54" s="114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</row>
    <row r="55" spans="2:66" ht="15" customHeight="1">
      <c r="B55" s="121" t="s">
        <v>281</v>
      </c>
      <c r="C55" s="96" t="s">
        <v>282</v>
      </c>
      <c r="D55" s="97" t="s">
        <v>60</v>
      </c>
      <c r="E55" s="98">
        <v>18.285</v>
      </c>
      <c r="F55" s="99">
        <v>0.03</v>
      </c>
      <c r="G55" s="99">
        <v>-0.03</v>
      </c>
      <c r="H55" s="100" t="s">
        <v>247</v>
      </c>
      <c r="I55" s="101" t="s">
        <v>245</v>
      </c>
      <c r="J55" s="102">
        <f t="shared" si="10"/>
        <v>18.315000000000001</v>
      </c>
      <c r="K55" s="102">
        <f t="shared" si="11"/>
        <v>18.254999999999999</v>
      </c>
      <c r="L55" s="118"/>
      <c r="M55" s="104">
        <f t="shared" si="0"/>
        <v>0</v>
      </c>
      <c r="N55" s="104">
        <f t="shared" si="1"/>
        <v>0</v>
      </c>
      <c r="O55" s="104">
        <f t="shared" si="2"/>
        <v>0</v>
      </c>
      <c r="P55" s="105">
        <f t="shared" si="3"/>
        <v>0</v>
      </c>
      <c r="Q55" s="106" t="str">
        <f t="shared" si="4"/>
        <v/>
      </c>
      <c r="R55" s="107" t="str">
        <f>IF(OR($AI55="",ISNUMBER($AI55)=FALSE),"",IF(AND(#REF!="Tolerance",$E55&lt;&gt;""),($O55-$E55)/(($J55-$K55)/2),IF(AND(#REF!="GD&amp;T",$F55&lt;&gt;""),$O55/$F55,"")))</f>
        <v/>
      </c>
      <c r="S55" s="107" t="str">
        <f t="shared" si="12"/>
        <v/>
      </c>
      <c r="T55" s="106" t="str">
        <f t="shared" si="5"/>
        <v/>
      </c>
      <c r="U55" s="106" t="str">
        <f t="shared" si="6"/>
        <v/>
      </c>
      <c r="V55" s="106" t="str">
        <f t="shared" si="7"/>
        <v/>
      </c>
      <c r="W55" s="108" t="str">
        <f t="shared" si="8"/>
        <v/>
      </c>
      <c r="X55" s="109" t="e">
        <f>IF($O55="","",IF(#REF!="Tolerance",IF((#REF!*3*P55+O55)-E55&lt;F55,"",(#REF!*3*P55+O55)-E55),IF(OR(#REF!="GD&amp;T",#REF!="MAX"),IF((#REF!*3*P55+O55)&lt;F55,"",(#REF!*3*P55+O55)),"")))</f>
        <v>#REF!</v>
      </c>
      <c r="Y55" s="109" t="e">
        <f>IF(O55="","",IF(#REF!="Tolerance",IF(-((#REF!*3*P55)-O55)-E55&gt;G55,"",-((#REF!*3*P55)-O55)-E55),IF(#REF!="MIN",IF(-((#REF!*3*P55)-O55)&gt;G55,"",-((#REF!*3*P55)-O55)),"")))</f>
        <v>#REF!</v>
      </c>
      <c r="Z55" s="109">
        <f t="shared" si="13"/>
        <v>18.285</v>
      </c>
      <c r="AA55" s="109" t="str">
        <f t="shared" si="9"/>
        <v/>
      </c>
      <c r="AB55" s="110"/>
      <c r="AC55" s="111" t="str">
        <f t="shared" si="14"/>
        <v/>
      </c>
      <c r="AD55" s="112"/>
      <c r="AE55" s="113"/>
      <c r="AF55" s="113"/>
      <c r="AG55" s="114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</row>
    <row r="56" spans="2:66" ht="15" customHeight="1">
      <c r="B56" s="121" t="s">
        <v>340</v>
      </c>
      <c r="C56" s="96" t="s">
        <v>149</v>
      </c>
      <c r="D56" s="97" t="s">
        <v>60</v>
      </c>
      <c r="E56" s="98">
        <v>4.3250000000000002</v>
      </c>
      <c r="F56" s="99">
        <v>0.03</v>
      </c>
      <c r="G56" s="99">
        <v>-0.03</v>
      </c>
      <c r="H56" s="100" t="s">
        <v>247</v>
      </c>
      <c r="I56" s="101" t="s">
        <v>245</v>
      </c>
      <c r="J56" s="102">
        <f t="shared" si="10"/>
        <v>4.3550000000000004</v>
      </c>
      <c r="K56" s="102">
        <f t="shared" si="11"/>
        <v>4.2949999999999999</v>
      </c>
      <c r="L56" s="118"/>
      <c r="M56" s="104">
        <f t="shared" si="0"/>
        <v>0</v>
      </c>
      <c r="N56" s="104">
        <f t="shared" si="1"/>
        <v>0</v>
      </c>
      <c r="O56" s="104">
        <f t="shared" si="2"/>
        <v>0</v>
      </c>
      <c r="P56" s="105">
        <f t="shared" si="3"/>
        <v>0</v>
      </c>
      <c r="Q56" s="106" t="str">
        <f t="shared" si="4"/>
        <v/>
      </c>
      <c r="R56" s="107" t="str">
        <f>IF(OR($AI56="",ISNUMBER($AI56)=FALSE),"",IF(AND(#REF!="Tolerance",$E56&lt;&gt;""),($O56-$E56)/(($J56-$K56)/2),IF(AND(#REF!="GD&amp;T",$F56&lt;&gt;""),$O56/$F56,"")))</f>
        <v/>
      </c>
      <c r="S56" s="107" t="str">
        <f t="shared" si="12"/>
        <v/>
      </c>
      <c r="T56" s="106" t="str">
        <f t="shared" si="5"/>
        <v/>
      </c>
      <c r="U56" s="106" t="str">
        <f t="shared" si="6"/>
        <v/>
      </c>
      <c r="V56" s="106" t="str">
        <f t="shared" si="7"/>
        <v/>
      </c>
      <c r="W56" s="108" t="str">
        <f t="shared" si="8"/>
        <v/>
      </c>
      <c r="X56" s="109" t="e">
        <f>IF($O56="","",IF(#REF!="Tolerance",IF((#REF!*3*P56+O56)-E56&lt;F56,"",(#REF!*3*P56+O56)-E56),IF(OR(#REF!="GD&amp;T",#REF!="MAX"),IF((#REF!*3*P56+O56)&lt;F56,"",(#REF!*3*P56+O56)),"")))</f>
        <v>#REF!</v>
      </c>
      <c r="Y56" s="109" t="e">
        <f>IF(O56="","",IF(#REF!="Tolerance",IF(-((#REF!*3*P56)-O56)-E56&gt;G56,"",-((#REF!*3*P56)-O56)-E56),IF(#REF!="MIN",IF(-((#REF!*3*P56)-O56)&gt;G56,"",-((#REF!*3*P56)-O56)),"")))</f>
        <v>#REF!</v>
      </c>
      <c r="Z56" s="109">
        <f t="shared" si="13"/>
        <v>4.3250000000000002</v>
      </c>
      <c r="AA56" s="109" t="str">
        <f t="shared" si="9"/>
        <v/>
      </c>
      <c r="AB56" s="110"/>
      <c r="AC56" s="111" t="str">
        <f t="shared" si="14"/>
        <v/>
      </c>
      <c r="AD56" s="112"/>
      <c r="AE56" s="113"/>
      <c r="AF56" s="113"/>
      <c r="AG56" s="114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</row>
    <row r="57" spans="2:66" ht="15" customHeight="1">
      <c r="B57" s="121" t="s">
        <v>340</v>
      </c>
      <c r="C57" s="96" t="s">
        <v>150</v>
      </c>
      <c r="D57" s="97" t="s">
        <v>60</v>
      </c>
      <c r="E57" s="98">
        <v>4.3250000000000002</v>
      </c>
      <c r="F57" s="99">
        <v>0.03</v>
      </c>
      <c r="G57" s="99">
        <v>-0.03</v>
      </c>
      <c r="H57" s="100" t="s">
        <v>247</v>
      </c>
      <c r="I57" s="101" t="s">
        <v>245</v>
      </c>
      <c r="J57" s="102">
        <f t="shared" si="10"/>
        <v>4.3550000000000004</v>
      </c>
      <c r="K57" s="102">
        <f t="shared" si="11"/>
        <v>4.2949999999999999</v>
      </c>
      <c r="L57" s="118"/>
      <c r="M57" s="104">
        <f t="shared" si="0"/>
        <v>0</v>
      </c>
      <c r="N57" s="104">
        <f t="shared" si="1"/>
        <v>0</v>
      </c>
      <c r="O57" s="104">
        <f t="shared" si="2"/>
        <v>0</v>
      </c>
      <c r="P57" s="105">
        <f t="shared" si="3"/>
        <v>0</v>
      </c>
      <c r="Q57" s="106" t="str">
        <f t="shared" si="4"/>
        <v/>
      </c>
      <c r="R57" s="107" t="str">
        <f>IF(OR($AI57="",ISNUMBER($AI57)=FALSE),"",IF(AND(#REF!="Tolerance",$E57&lt;&gt;""),($O57-$E57)/(($J57-$K57)/2),IF(AND(#REF!="GD&amp;T",$F57&lt;&gt;""),$O57/$F57,"")))</f>
        <v/>
      </c>
      <c r="S57" s="107" t="str">
        <f t="shared" si="12"/>
        <v/>
      </c>
      <c r="T57" s="106" t="str">
        <f t="shared" si="5"/>
        <v/>
      </c>
      <c r="U57" s="106" t="str">
        <f t="shared" si="6"/>
        <v/>
      </c>
      <c r="V57" s="106" t="str">
        <f t="shared" si="7"/>
        <v/>
      </c>
      <c r="W57" s="108" t="str">
        <f t="shared" si="8"/>
        <v/>
      </c>
      <c r="X57" s="109" t="e">
        <f>IF($O57="","",IF(#REF!="Tolerance",IF((#REF!*3*P57+O57)-E57&lt;F57,"",(#REF!*3*P57+O57)-E57),IF(OR(#REF!="GD&amp;T",#REF!="MAX"),IF((#REF!*3*P57+O57)&lt;F57,"",(#REF!*3*P57+O57)),"")))</f>
        <v>#REF!</v>
      </c>
      <c r="Y57" s="109" t="e">
        <f>IF(O57="","",IF(#REF!="Tolerance",IF(-((#REF!*3*P57)-O57)-E57&gt;G57,"",-((#REF!*3*P57)-O57)-E57),IF(#REF!="MIN",IF(-((#REF!*3*P57)-O57)&gt;G57,"",-((#REF!*3*P57)-O57)),"")))</f>
        <v>#REF!</v>
      </c>
      <c r="Z57" s="109">
        <f t="shared" si="13"/>
        <v>4.3250000000000002</v>
      </c>
      <c r="AA57" s="109" t="str">
        <f t="shared" si="9"/>
        <v/>
      </c>
      <c r="AB57" s="110"/>
      <c r="AC57" s="111" t="str">
        <f t="shared" si="14"/>
        <v/>
      </c>
      <c r="AD57" s="112"/>
      <c r="AE57" s="113"/>
      <c r="AF57" s="113"/>
      <c r="AG57" s="114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</row>
    <row r="58" spans="2:66" ht="15" customHeight="1">
      <c r="B58" s="121" t="s">
        <v>340</v>
      </c>
      <c r="C58" s="96" t="s">
        <v>151</v>
      </c>
      <c r="D58" s="97" t="s">
        <v>60</v>
      </c>
      <c r="E58" s="98">
        <v>4.3250000000000002</v>
      </c>
      <c r="F58" s="99">
        <v>0.03</v>
      </c>
      <c r="G58" s="99">
        <v>-0.03</v>
      </c>
      <c r="H58" s="100" t="s">
        <v>247</v>
      </c>
      <c r="I58" s="101" t="s">
        <v>245</v>
      </c>
      <c r="J58" s="102">
        <f t="shared" si="10"/>
        <v>4.3550000000000004</v>
      </c>
      <c r="K58" s="102">
        <f t="shared" si="11"/>
        <v>4.2949999999999999</v>
      </c>
      <c r="L58" s="118"/>
      <c r="M58" s="104">
        <f t="shared" si="0"/>
        <v>0</v>
      </c>
      <c r="N58" s="104">
        <f t="shared" si="1"/>
        <v>0</v>
      </c>
      <c r="O58" s="104">
        <f t="shared" si="2"/>
        <v>0</v>
      </c>
      <c r="P58" s="105">
        <f t="shared" si="3"/>
        <v>0</v>
      </c>
      <c r="Q58" s="106" t="str">
        <f t="shared" si="4"/>
        <v/>
      </c>
      <c r="R58" s="107" t="str">
        <f>IF(OR($AI58="",ISNUMBER($AI58)=FALSE),"",IF(AND(#REF!="Tolerance",$E58&lt;&gt;""),($O58-$E58)/(($J58-$K58)/2),IF(AND(#REF!="GD&amp;T",$F58&lt;&gt;""),$O58/$F58,"")))</f>
        <v/>
      </c>
      <c r="S58" s="107" t="str">
        <f t="shared" si="12"/>
        <v/>
      </c>
      <c r="T58" s="106" t="str">
        <f t="shared" si="5"/>
        <v/>
      </c>
      <c r="U58" s="106" t="str">
        <f t="shared" si="6"/>
        <v/>
      </c>
      <c r="V58" s="106" t="str">
        <f t="shared" si="7"/>
        <v/>
      </c>
      <c r="W58" s="108" t="str">
        <f t="shared" si="8"/>
        <v/>
      </c>
      <c r="X58" s="109" t="e">
        <f>IF($O58="","",IF(#REF!="Tolerance",IF((#REF!*3*P58+O58)-E58&lt;F58,"",(#REF!*3*P58+O58)-E58),IF(OR(#REF!="GD&amp;T",#REF!="MAX"),IF((#REF!*3*P58+O58)&lt;F58,"",(#REF!*3*P58+O58)),"")))</f>
        <v>#REF!</v>
      </c>
      <c r="Y58" s="109" t="e">
        <f>IF(O58="","",IF(#REF!="Tolerance",IF(-((#REF!*3*P58)-O58)-E58&gt;G58,"",-((#REF!*3*P58)-O58)-E58),IF(#REF!="MIN",IF(-((#REF!*3*P58)-O58)&gt;G58,"",-((#REF!*3*P58)-O58)),"")))</f>
        <v>#REF!</v>
      </c>
      <c r="Z58" s="109">
        <f t="shared" si="13"/>
        <v>4.3250000000000002</v>
      </c>
      <c r="AA58" s="109" t="str">
        <f t="shared" si="9"/>
        <v/>
      </c>
      <c r="AB58" s="110"/>
      <c r="AC58" s="111" t="str">
        <f t="shared" si="14"/>
        <v/>
      </c>
      <c r="AD58" s="112"/>
      <c r="AE58" s="113"/>
      <c r="AF58" s="113"/>
      <c r="AG58" s="114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</row>
    <row r="59" spans="2:66" ht="15" customHeight="1">
      <c r="B59" s="121" t="s">
        <v>340</v>
      </c>
      <c r="C59" s="96" t="s">
        <v>152</v>
      </c>
      <c r="D59" s="97" t="s">
        <v>60</v>
      </c>
      <c r="E59" s="98">
        <v>4.3250000000000002</v>
      </c>
      <c r="F59" s="99">
        <v>0.03</v>
      </c>
      <c r="G59" s="99">
        <v>-0.03</v>
      </c>
      <c r="H59" s="100" t="s">
        <v>247</v>
      </c>
      <c r="I59" s="101" t="s">
        <v>245</v>
      </c>
      <c r="J59" s="102">
        <f t="shared" si="10"/>
        <v>4.3550000000000004</v>
      </c>
      <c r="K59" s="102">
        <f t="shared" si="11"/>
        <v>4.2949999999999999</v>
      </c>
      <c r="L59" s="118"/>
      <c r="M59" s="104">
        <f t="shared" si="0"/>
        <v>0</v>
      </c>
      <c r="N59" s="104">
        <f t="shared" si="1"/>
        <v>0</v>
      </c>
      <c r="O59" s="104">
        <f t="shared" si="2"/>
        <v>0</v>
      </c>
      <c r="P59" s="105">
        <f t="shared" si="3"/>
        <v>0</v>
      </c>
      <c r="Q59" s="106" t="str">
        <f t="shared" si="4"/>
        <v/>
      </c>
      <c r="R59" s="107" t="str">
        <f>IF(OR($AI59="",ISNUMBER($AI59)=FALSE),"",IF(AND(#REF!="Tolerance",$E59&lt;&gt;""),($O59-$E59)/(($J59-$K59)/2),IF(AND(#REF!="GD&amp;T",$F59&lt;&gt;""),$O59/$F59,"")))</f>
        <v/>
      </c>
      <c r="S59" s="107" t="str">
        <f t="shared" si="12"/>
        <v/>
      </c>
      <c r="T59" s="106" t="str">
        <f t="shared" si="5"/>
        <v/>
      </c>
      <c r="U59" s="106" t="str">
        <f t="shared" si="6"/>
        <v/>
      </c>
      <c r="V59" s="106" t="str">
        <f t="shared" si="7"/>
        <v/>
      </c>
      <c r="W59" s="108" t="str">
        <f t="shared" si="8"/>
        <v/>
      </c>
      <c r="X59" s="109" t="e">
        <f>IF($O59="","",IF(#REF!="Tolerance",IF((#REF!*3*P59+O59)-E59&lt;F59,"",(#REF!*3*P59+O59)-E59),IF(OR(#REF!="GD&amp;T",#REF!="MAX"),IF((#REF!*3*P59+O59)&lt;F59,"",(#REF!*3*P59+O59)),"")))</f>
        <v>#REF!</v>
      </c>
      <c r="Y59" s="109" t="e">
        <f>IF(O59="","",IF(#REF!="Tolerance",IF(-((#REF!*3*P59)-O59)-E59&gt;G59,"",-((#REF!*3*P59)-O59)-E59),IF(#REF!="MIN",IF(-((#REF!*3*P59)-O59)&gt;G59,"",-((#REF!*3*P59)-O59)),"")))</f>
        <v>#REF!</v>
      </c>
      <c r="Z59" s="109">
        <f t="shared" si="13"/>
        <v>4.3250000000000002</v>
      </c>
      <c r="AA59" s="109" t="str">
        <f t="shared" si="9"/>
        <v/>
      </c>
      <c r="AB59" s="110"/>
      <c r="AC59" s="111" t="str">
        <f t="shared" si="14"/>
        <v/>
      </c>
      <c r="AD59" s="112"/>
      <c r="AE59" s="113"/>
      <c r="AF59" s="113"/>
      <c r="AG59" s="114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</row>
    <row r="60" spans="2:66" ht="15" customHeight="1">
      <c r="B60" s="121" t="s">
        <v>340</v>
      </c>
      <c r="C60" s="96" t="s">
        <v>153</v>
      </c>
      <c r="D60" s="97" t="s">
        <v>60</v>
      </c>
      <c r="E60" s="98">
        <v>4.3250000000000002</v>
      </c>
      <c r="F60" s="99">
        <v>0.03</v>
      </c>
      <c r="G60" s="99">
        <v>-0.03</v>
      </c>
      <c r="H60" s="100" t="s">
        <v>247</v>
      </c>
      <c r="I60" s="101" t="s">
        <v>245</v>
      </c>
      <c r="J60" s="102">
        <f t="shared" si="10"/>
        <v>4.3550000000000004</v>
      </c>
      <c r="K60" s="102">
        <f t="shared" si="11"/>
        <v>4.2949999999999999</v>
      </c>
      <c r="L60" s="118"/>
      <c r="M60" s="104">
        <f t="shared" si="0"/>
        <v>0</v>
      </c>
      <c r="N60" s="104">
        <f t="shared" si="1"/>
        <v>0</v>
      </c>
      <c r="O60" s="104">
        <f t="shared" si="2"/>
        <v>0</v>
      </c>
      <c r="P60" s="105">
        <f t="shared" si="3"/>
        <v>0</v>
      </c>
      <c r="Q60" s="106" t="str">
        <f t="shared" si="4"/>
        <v/>
      </c>
      <c r="R60" s="107" t="str">
        <f>IF(OR($AI60="",ISNUMBER($AI60)=FALSE),"",IF(AND(#REF!="Tolerance",$E60&lt;&gt;""),($O60-$E60)/(($J60-$K60)/2),IF(AND(#REF!="GD&amp;T",$F60&lt;&gt;""),$O60/$F60,"")))</f>
        <v/>
      </c>
      <c r="S60" s="107" t="str">
        <f t="shared" si="12"/>
        <v/>
      </c>
      <c r="T60" s="106" t="str">
        <f t="shared" si="5"/>
        <v/>
      </c>
      <c r="U60" s="106" t="str">
        <f t="shared" si="6"/>
        <v/>
      </c>
      <c r="V60" s="106" t="str">
        <f t="shared" si="7"/>
        <v/>
      </c>
      <c r="W60" s="108" t="str">
        <f t="shared" si="8"/>
        <v/>
      </c>
      <c r="X60" s="109" t="e">
        <f>IF($O60="","",IF(#REF!="Tolerance",IF((#REF!*3*P60+O60)-E60&lt;F60,"",(#REF!*3*P60+O60)-E60),IF(OR(#REF!="GD&amp;T",#REF!="MAX"),IF((#REF!*3*P60+O60)&lt;F60,"",(#REF!*3*P60+O60)),"")))</f>
        <v>#REF!</v>
      </c>
      <c r="Y60" s="109" t="e">
        <f>IF(O60="","",IF(#REF!="Tolerance",IF(-((#REF!*3*P60)-O60)-E60&gt;G60,"",-((#REF!*3*P60)-O60)-E60),IF(#REF!="MIN",IF(-((#REF!*3*P60)-O60)&gt;G60,"",-((#REF!*3*P60)-O60)),"")))</f>
        <v>#REF!</v>
      </c>
      <c r="Z60" s="109">
        <f t="shared" si="13"/>
        <v>4.3250000000000002</v>
      </c>
      <c r="AA60" s="109" t="str">
        <f t="shared" si="9"/>
        <v/>
      </c>
      <c r="AB60" s="110"/>
      <c r="AC60" s="111" t="str">
        <f t="shared" si="14"/>
        <v/>
      </c>
      <c r="AD60" s="112"/>
      <c r="AE60" s="113"/>
      <c r="AF60" s="113"/>
      <c r="AG60" s="114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</row>
    <row r="61" spans="2:66" ht="15" customHeight="1">
      <c r="B61" s="121" t="s">
        <v>340</v>
      </c>
      <c r="C61" s="96" t="s">
        <v>154</v>
      </c>
      <c r="D61" s="97" t="s">
        <v>60</v>
      </c>
      <c r="E61" s="98">
        <v>4.3250000000000002</v>
      </c>
      <c r="F61" s="99">
        <v>0.03</v>
      </c>
      <c r="G61" s="99">
        <v>-0.03</v>
      </c>
      <c r="H61" s="100" t="s">
        <v>247</v>
      </c>
      <c r="I61" s="101" t="s">
        <v>245</v>
      </c>
      <c r="J61" s="102">
        <f t="shared" si="10"/>
        <v>4.3550000000000004</v>
      </c>
      <c r="K61" s="102">
        <f t="shared" si="11"/>
        <v>4.2949999999999999</v>
      </c>
      <c r="L61" s="118"/>
      <c r="M61" s="104">
        <f t="shared" si="0"/>
        <v>0</v>
      </c>
      <c r="N61" s="104">
        <f t="shared" si="1"/>
        <v>0</v>
      </c>
      <c r="O61" s="104">
        <f t="shared" si="2"/>
        <v>0</v>
      </c>
      <c r="P61" s="105">
        <f t="shared" si="3"/>
        <v>0</v>
      </c>
      <c r="Q61" s="106" t="str">
        <f t="shared" si="4"/>
        <v/>
      </c>
      <c r="R61" s="107" t="str">
        <f>IF(OR($AI61="",ISNUMBER($AI61)=FALSE),"",IF(AND(#REF!="Tolerance",$E61&lt;&gt;""),($O61-$E61)/(($J61-$K61)/2),IF(AND(#REF!="GD&amp;T",$F61&lt;&gt;""),$O61/$F61,"")))</f>
        <v/>
      </c>
      <c r="S61" s="107" t="str">
        <f t="shared" si="12"/>
        <v/>
      </c>
      <c r="T61" s="106" t="str">
        <f t="shared" si="5"/>
        <v/>
      </c>
      <c r="U61" s="106" t="str">
        <f t="shared" si="6"/>
        <v/>
      </c>
      <c r="V61" s="106" t="str">
        <f t="shared" si="7"/>
        <v/>
      </c>
      <c r="W61" s="108" t="str">
        <f t="shared" si="8"/>
        <v/>
      </c>
      <c r="X61" s="109" t="e">
        <f>IF($O61="","",IF(#REF!="Tolerance",IF((#REF!*3*P61+O61)-E61&lt;F61,"",(#REF!*3*P61+O61)-E61),IF(OR(#REF!="GD&amp;T",#REF!="MAX"),IF((#REF!*3*P61+O61)&lt;F61,"",(#REF!*3*P61+O61)),"")))</f>
        <v>#REF!</v>
      </c>
      <c r="Y61" s="109" t="e">
        <f>IF(O61="","",IF(#REF!="Tolerance",IF(-((#REF!*3*P61)-O61)-E61&gt;G61,"",-((#REF!*3*P61)-O61)-E61),IF(#REF!="MIN",IF(-((#REF!*3*P61)-O61)&gt;G61,"",-((#REF!*3*P61)-O61)),"")))</f>
        <v>#REF!</v>
      </c>
      <c r="Z61" s="109">
        <f t="shared" si="13"/>
        <v>4.3250000000000002</v>
      </c>
      <c r="AA61" s="109" t="str">
        <f t="shared" si="9"/>
        <v/>
      </c>
      <c r="AB61" s="110"/>
      <c r="AC61" s="111" t="str">
        <f t="shared" si="14"/>
        <v/>
      </c>
      <c r="AD61" s="112"/>
      <c r="AE61" s="113"/>
      <c r="AF61" s="113"/>
      <c r="AG61" s="114"/>
      <c r="AI61" s="115"/>
      <c r="AJ61" s="115"/>
      <c r="AK61" s="115"/>
      <c r="AL61" s="115"/>
      <c r="AM61" s="115"/>
      <c r="AN61" s="115"/>
      <c r="AO61" s="115"/>
      <c r="AP61" s="115"/>
      <c r="AQ61" s="115"/>
      <c r="AR61" s="115"/>
      <c r="AS61" s="115"/>
      <c r="AT61" s="115"/>
      <c r="AU61" s="115"/>
      <c r="AV61" s="115"/>
      <c r="AW61" s="115"/>
      <c r="AX61" s="115"/>
      <c r="AY61" s="115"/>
      <c r="AZ61" s="115"/>
      <c r="BA61" s="115"/>
      <c r="BB61" s="115"/>
      <c r="BC61" s="115"/>
      <c r="BD61" s="115"/>
      <c r="BE61" s="115"/>
      <c r="BF61" s="115"/>
      <c r="BG61" s="115"/>
      <c r="BH61" s="115"/>
      <c r="BI61" s="115"/>
      <c r="BJ61" s="115"/>
      <c r="BK61" s="115"/>
      <c r="BL61" s="115"/>
      <c r="BM61" s="115"/>
      <c r="BN61" s="115"/>
    </row>
    <row r="62" spans="2:66" ht="15" customHeight="1">
      <c r="B62" s="121" t="s">
        <v>283</v>
      </c>
      <c r="C62" s="96" t="s">
        <v>155</v>
      </c>
      <c r="D62" s="97" t="s">
        <v>60</v>
      </c>
      <c r="E62" s="98">
        <v>0.22500000000000001</v>
      </c>
      <c r="F62" s="99">
        <v>0.03</v>
      </c>
      <c r="G62" s="99">
        <v>-0.03</v>
      </c>
      <c r="H62" s="100" t="s">
        <v>247</v>
      </c>
      <c r="I62" s="101" t="s">
        <v>245</v>
      </c>
      <c r="J62" s="102">
        <f t="shared" si="10"/>
        <v>0.255</v>
      </c>
      <c r="K62" s="102">
        <f t="shared" si="11"/>
        <v>0.19500000000000001</v>
      </c>
      <c r="L62" s="118"/>
      <c r="M62" s="104">
        <f t="shared" si="0"/>
        <v>0</v>
      </c>
      <c r="N62" s="104">
        <f t="shared" si="1"/>
        <v>0</v>
      </c>
      <c r="O62" s="104">
        <f t="shared" si="2"/>
        <v>0</v>
      </c>
      <c r="P62" s="105">
        <f t="shared" si="3"/>
        <v>0</v>
      </c>
      <c r="Q62" s="106" t="str">
        <f t="shared" si="4"/>
        <v/>
      </c>
      <c r="R62" s="107" t="str">
        <f>IF(OR($AI62="",ISNUMBER($AI62)=FALSE),"",IF(AND(#REF!="Tolerance",$E62&lt;&gt;""),($O62-$E62)/(($J62-$K62)/2),IF(AND(#REF!="GD&amp;T",$F62&lt;&gt;""),$O62/$F62,"")))</f>
        <v/>
      </c>
      <c r="S62" s="107" t="str">
        <f t="shared" si="12"/>
        <v/>
      </c>
      <c r="T62" s="106" t="str">
        <f t="shared" si="5"/>
        <v/>
      </c>
      <c r="U62" s="106" t="str">
        <f t="shared" si="6"/>
        <v/>
      </c>
      <c r="V62" s="106" t="str">
        <f t="shared" si="7"/>
        <v/>
      </c>
      <c r="W62" s="119" t="str">
        <f t="shared" si="8"/>
        <v/>
      </c>
      <c r="X62" s="109" t="e">
        <f>IF($O62="","",IF(#REF!="Tolerance",IF((#REF!*3*P62+O62)-E62&lt;F62,"",(#REF!*3*P62+O62)-E62),IF(OR(#REF!="GD&amp;T",#REF!="MAX"),IF((#REF!*3*P62+O62)&lt;F62,"",(#REF!*3*P62+O62)),"")))</f>
        <v>#REF!</v>
      </c>
      <c r="Y62" s="109" t="e">
        <f>IF(O62="","",IF(#REF!="Tolerance",IF(-((#REF!*3*P62)-O62)-E62&gt;G62,"",-((#REF!*3*P62)-O62)-E62),IF(#REF!="MIN",IF(-((#REF!*3*P62)-O62)&gt;G62,"",-((#REF!*3*P62)-O62)),"")))</f>
        <v>#REF!</v>
      </c>
      <c r="Z62" s="109">
        <f t="shared" si="13"/>
        <v>0.22500000000000001</v>
      </c>
      <c r="AA62" s="109" t="str">
        <f t="shared" si="9"/>
        <v/>
      </c>
      <c r="AB62" s="110"/>
      <c r="AC62" s="111" t="str">
        <f t="shared" si="14"/>
        <v/>
      </c>
      <c r="AD62" s="112"/>
      <c r="AE62" s="113"/>
      <c r="AF62" s="113"/>
      <c r="AG62" s="114"/>
      <c r="AI62" s="115"/>
      <c r="AJ62" s="115"/>
      <c r="AK62" s="115"/>
      <c r="AL62" s="115"/>
      <c r="AM62" s="115"/>
      <c r="AN62" s="115"/>
      <c r="AO62" s="115"/>
      <c r="AP62" s="115"/>
      <c r="AQ62" s="115"/>
      <c r="AR62" s="115"/>
      <c r="AS62" s="115"/>
      <c r="AT62" s="115"/>
      <c r="AU62" s="115"/>
      <c r="AV62" s="115"/>
      <c r="AW62" s="115"/>
      <c r="AX62" s="115"/>
      <c r="AY62" s="115"/>
      <c r="AZ62" s="115"/>
      <c r="BA62" s="115"/>
      <c r="BB62" s="115"/>
      <c r="BC62" s="115"/>
      <c r="BD62" s="115"/>
      <c r="BE62" s="115"/>
      <c r="BF62" s="115"/>
      <c r="BG62" s="115"/>
      <c r="BH62" s="115"/>
      <c r="BI62" s="115"/>
      <c r="BJ62" s="115"/>
      <c r="BK62" s="115"/>
      <c r="BL62" s="115"/>
      <c r="BM62" s="115"/>
      <c r="BN62" s="115"/>
    </row>
    <row r="63" spans="2:66" ht="15" customHeight="1">
      <c r="B63" s="121" t="s">
        <v>284</v>
      </c>
      <c r="C63" s="96" t="s">
        <v>285</v>
      </c>
      <c r="D63" s="97" t="s">
        <v>60</v>
      </c>
      <c r="E63" s="98">
        <v>21.405000000000001</v>
      </c>
      <c r="F63" s="99">
        <v>0.03</v>
      </c>
      <c r="G63" s="99">
        <v>-0.03</v>
      </c>
      <c r="H63" s="100" t="s">
        <v>247</v>
      </c>
      <c r="I63" s="101" t="s">
        <v>245</v>
      </c>
      <c r="J63" s="102">
        <f t="shared" si="10"/>
        <v>21.435000000000002</v>
      </c>
      <c r="K63" s="102">
        <f t="shared" si="11"/>
        <v>21.375</v>
      </c>
      <c r="L63" s="118"/>
      <c r="M63" s="104">
        <f t="shared" si="0"/>
        <v>0</v>
      </c>
      <c r="N63" s="104">
        <f t="shared" si="1"/>
        <v>0</v>
      </c>
      <c r="O63" s="104">
        <f t="shared" si="2"/>
        <v>0</v>
      </c>
      <c r="P63" s="105">
        <f t="shared" si="3"/>
        <v>0</v>
      </c>
      <c r="Q63" s="106" t="str">
        <f t="shared" si="4"/>
        <v/>
      </c>
      <c r="R63" s="107" t="str">
        <f>IF(OR($AI63="",ISNUMBER($AI63)=FALSE),"",IF(AND(#REF!="Tolerance",$E63&lt;&gt;""),($O63-$E63)/(($J63-$K63)/2),IF(AND(#REF!="GD&amp;T",$F63&lt;&gt;""),$O63/$F63,"")))</f>
        <v/>
      </c>
      <c r="S63" s="107" t="str">
        <f t="shared" si="12"/>
        <v/>
      </c>
      <c r="T63" s="106" t="str">
        <f t="shared" si="5"/>
        <v/>
      </c>
      <c r="U63" s="106" t="str">
        <f t="shared" si="6"/>
        <v/>
      </c>
      <c r="V63" s="106" t="str">
        <f t="shared" si="7"/>
        <v/>
      </c>
      <c r="W63" s="119" t="str">
        <f t="shared" si="8"/>
        <v/>
      </c>
      <c r="X63" s="109" t="e">
        <f>IF($O63="","",IF(#REF!="Tolerance",IF((#REF!*3*P63+O63)-E63&lt;F63,"",(#REF!*3*P63+O63)-E63),IF(OR(#REF!="GD&amp;T",#REF!="MAX"),IF((#REF!*3*P63+O63)&lt;F63,"",(#REF!*3*P63+O63)),"")))</f>
        <v>#REF!</v>
      </c>
      <c r="Y63" s="109" t="e">
        <f>IF(O63="","",IF(#REF!="Tolerance",IF(-((#REF!*3*P63)-O63)-E63&gt;G63,"",-((#REF!*3*P63)-O63)-E63),IF(#REF!="MIN",IF(-((#REF!*3*P63)-O63)&gt;G63,"",-((#REF!*3*P63)-O63)),"")))</f>
        <v>#REF!</v>
      </c>
      <c r="Z63" s="109">
        <f t="shared" si="13"/>
        <v>21.405000000000001</v>
      </c>
      <c r="AA63" s="109" t="str">
        <f t="shared" si="9"/>
        <v/>
      </c>
      <c r="AB63" s="110"/>
      <c r="AC63" s="111" t="str">
        <f t="shared" si="14"/>
        <v/>
      </c>
      <c r="AD63" s="112"/>
      <c r="AE63" s="113"/>
      <c r="AF63" s="113"/>
      <c r="AG63" s="114"/>
      <c r="AI63" s="115"/>
      <c r="AJ63" s="115"/>
      <c r="AK63" s="115"/>
      <c r="AL63" s="115"/>
      <c r="AM63" s="115"/>
      <c r="AN63" s="115"/>
      <c r="AO63" s="115"/>
      <c r="AP63" s="115"/>
      <c r="AQ63" s="115"/>
      <c r="AR63" s="115"/>
      <c r="AS63" s="115"/>
      <c r="AT63" s="115"/>
      <c r="AU63" s="115"/>
      <c r="AV63" s="115"/>
      <c r="AW63" s="115"/>
      <c r="AX63" s="115"/>
      <c r="AY63" s="115"/>
      <c r="AZ63" s="115"/>
      <c r="BA63" s="115"/>
      <c r="BB63" s="115"/>
      <c r="BC63" s="115"/>
      <c r="BD63" s="115"/>
      <c r="BE63" s="115"/>
      <c r="BF63" s="115"/>
      <c r="BG63" s="115"/>
      <c r="BH63" s="115"/>
      <c r="BI63" s="115"/>
      <c r="BJ63" s="115"/>
      <c r="BK63" s="115"/>
      <c r="BL63" s="115"/>
      <c r="BM63" s="115"/>
      <c r="BN63" s="115"/>
    </row>
    <row r="64" spans="2:66" ht="15" customHeight="1">
      <c r="B64" s="121" t="s">
        <v>339</v>
      </c>
      <c r="C64" s="96" t="s">
        <v>160</v>
      </c>
      <c r="D64" s="97" t="s">
        <v>60</v>
      </c>
      <c r="E64" s="98">
        <v>0.04</v>
      </c>
      <c r="F64" s="99">
        <v>0.03</v>
      </c>
      <c r="G64" s="99">
        <v>-0.02</v>
      </c>
      <c r="H64" s="100" t="s">
        <v>247</v>
      </c>
      <c r="I64" s="101" t="s">
        <v>245</v>
      </c>
      <c r="J64" s="102">
        <f t="shared" si="10"/>
        <v>7.0000000000000007E-2</v>
      </c>
      <c r="K64" s="102">
        <f t="shared" si="11"/>
        <v>0.02</v>
      </c>
      <c r="L64" s="118"/>
      <c r="M64" s="104">
        <f t="shared" si="0"/>
        <v>0</v>
      </c>
      <c r="N64" s="104">
        <f t="shared" si="1"/>
        <v>0</v>
      </c>
      <c r="O64" s="104">
        <f t="shared" si="2"/>
        <v>0</v>
      </c>
      <c r="P64" s="105">
        <f t="shared" si="3"/>
        <v>0</v>
      </c>
      <c r="Q64" s="106" t="str">
        <f t="shared" si="4"/>
        <v/>
      </c>
      <c r="R64" s="107" t="str">
        <f>IF(OR($AI64="",ISNUMBER($AI64)=FALSE),"",IF(AND(#REF!="Tolerance",$E64&lt;&gt;""),($O64-$E64)/(($J64-$K64)/2),IF(AND(#REF!="GD&amp;T",$F64&lt;&gt;""),$O64/$F64,"")))</f>
        <v/>
      </c>
      <c r="S64" s="107" t="str">
        <f t="shared" si="12"/>
        <v/>
      </c>
      <c r="T64" s="106" t="str">
        <f t="shared" si="5"/>
        <v/>
      </c>
      <c r="U64" s="106" t="str">
        <f t="shared" si="6"/>
        <v/>
      </c>
      <c r="V64" s="106" t="str">
        <f t="shared" si="7"/>
        <v/>
      </c>
      <c r="W64" s="119" t="str">
        <f t="shared" si="8"/>
        <v/>
      </c>
      <c r="X64" s="109" t="e">
        <f>IF($O64="","",IF(#REF!="Tolerance",IF((#REF!*3*P64+O64)-E64&lt;F64,"",(#REF!*3*P64+O64)-E64),IF(OR(#REF!="GD&amp;T",#REF!="MAX"),IF((#REF!*3*P64+O64)&lt;F64,"",(#REF!*3*P64+O64)),"")))</f>
        <v>#REF!</v>
      </c>
      <c r="Y64" s="109" t="e">
        <f>IF(O64="","",IF(#REF!="Tolerance",IF(-((#REF!*3*P64)-O64)-E64&gt;G64,"",-((#REF!*3*P64)-O64)-E64),IF(#REF!="MIN",IF(-((#REF!*3*P64)-O64)&gt;G64,"",-((#REF!*3*P64)-O64)),"")))</f>
        <v>#REF!</v>
      </c>
      <c r="Z64" s="109">
        <f t="shared" si="13"/>
        <v>4.5000000000000005E-2</v>
      </c>
      <c r="AA64" s="109" t="str">
        <f t="shared" si="9"/>
        <v/>
      </c>
      <c r="AB64" s="110"/>
      <c r="AC64" s="111" t="str">
        <f t="shared" si="14"/>
        <v/>
      </c>
      <c r="AD64" s="112"/>
      <c r="AE64" s="113"/>
      <c r="AF64" s="113"/>
      <c r="AG64" s="114"/>
      <c r="AI64" s="115"/>
      <c r="AJ64" s="115"/>
      <c r="AK64" s="115"/>
      <c r="AL64" s="115"/>
      <c r="AM64" s="115"/>
      <c r="AN64" s="115"/>
      <c r="AO64" s="115"/>
      <c r="AP64" s="115"/>
      <c r="AQ64" s="115"/>
      <c r="AR64" s="115"/>
      <c r="AS64" s="115"/>
      <c r="AT64" s="115"/>
      <c r="AU64" s="115"/>
      <c r="AV64" s="115"/>
      <c r="AW64" s="115"/>
      <c r="AX64" s="115"/>
      <c r="AY64" s="115"/>
      <c r="AZ64" s="115"/>
      <c r="BA64" s="115"/>
      <c r="BB64" s="115"/>
      <c r="BC64" s="115"/>
      <c r="BD64" s="115"/>
      <c r="BE64" s="115"/>
      <c r="BF64" s="115"/>
      <c r="BG64" s="115"/>
      <c r="BH64" s="115"/>
      <c r="BI64" s="115"/>
      <c r="BJ64" s="115"/>
      <c r="BK64" s="115"/>
      <c r="BL64" s="115"/>
      <c r="BM64" s="115"/>
      <c r="BN64" s="115"/>
    </row>
    <row r="65" spans="2:66" ht="15" customHeight="1">
      <c r="B65" s="121" t="s">
        <v>339</v>
      </c>
      <c r="C65" s="96" t="s">
        <v>161</v>
      </c>
      <c r="D65" s="97" t="s">
        <v>60</v>
      </c>
      <c r="E65" s="98">
        <v>0.04</v>
      </c>
      <c r="F65" s="99">
        <v>0.03</v>
      </c>
      <c r="G65" s="99">
        <v>-0.02</v>
      </c>
      <c r="H65" s="100" t="s">
        <v>247</v>
      </c>
      <c r="I65" s="101" t="s">
        <v>245</v>
      </c>
      <c r="J65" s="102">
        <f t="shared" si="10"/>
        <v>7.0000000000000007E-2</v>
      </c>
      <c r="K65" s="102">
        <f t="shared" si="11"/>
        <v>0.02</v>
      </c>
      <c r="L65" s="118"/>
      <c r="M65" s="104">
        <f t="shared" si="0"/>
        <v>0</v>
      </c>
      <c r="N65" s="104">
        <f t="shared" si="1"/>
        <v>0</v>
      </c>
      <c r="O65" s="104">
        <f t="shared" si="2"/>
        <v>0</v>
      </c>
      <c r="P65" s="105">
        <f t="shared" si="3"/>
        <v>0</v>
      </c>
      <c r="Q65" s="106" t="str">
        <f t="shared" si="4"/>
        <v/>
      </c>
      <c r="R65" s="107" t="str">
        <f>IF(OR($AI65="",ISNUMBER($AI65)=FALSE),"",IF(AND(#REF!="Tolerance",$E65&lt;&gt;""),($O65-$E65)/(($J65-$K65)/2),IF(AND(#REF!="GD&amp;T",$F65&lt;&gt;""),$O65/$F65,"")))</f>
        <v/>
      </c>
      <c r="S65" s="107" t="str">
        <f t="shared" si="12"/>
        <v/>
      </c>
      <c r="T65" s="106" t="str">
        <f t="shared" si="5"/>
        <v/>
      </c>
      <c r="U65" s="106" t="str">
        <f t="shared" si="6"/>
        <v/>
      </c>
      <c r="V65" s="106" t="str">
        <f t="shared" si="7"/>
        <v/>
      </c>
      <c r="W65" s="119" t="str">
        <f t="shared" si="8"/>
        <v/>
      </c>
      <c r="X65" s="109" t="e">
        <f>IF($O65="","",IF(#REF!="Tolerance",IF((#REF!*3*P65+O65)-E65&lt;F65,"",(#REF!*3*P65+O65)-E65),IF(OR(#REF!="GD&amp;T",#REF!="MAX"),IF((#REF!*3*P65+O65)&lt;F65,"",(#REF!*3*P65+O65)),"")))</f>
        <v>#REF!</v>
      </c>
      <c r="Y65" s="109" t="e">
        <f>IF(O65="","",IF(#REF!="Tolerance",IF(-((#REF!*3*P65)-O65)-E65&gt;G65,"",-((#REF!*3*P65)-O65)-E65),IF(#REF!="MIN",IF(-((#REF!*3*P65)-O65)&gt;G65,"",-((#REF!*3*P65)-O65)),"")))</f>
        <v>#REF!</v>
      </c>
      <c r="Z65" s="109">
        <f t="shared" si="13"/>
        <v>4.5000000000000005E-2</v>
      </c>
      <c r="AA65" s="109" t="str">
        <f t="shared" si="9"/>
        <v/>
      </c>
      <c r="AB65" s="110"/>
      <c r="AC65" s="111" t="str">
        <f t="shared" si="14"/>
        <v/>
      </c>
      <c r="AD65" s="112"/>
      <c r="AE65" s="113"/>
      <c r="AF65" s="113"/>
      <c r="AG65" s="114"/>
      <c r="AI65" s="115"/>
      <c r="AJ65" s="115"/>
      <c r="AK65" s="115"/>
      <c r="AL65" s="115"/>
      <c r="AM65" s="115"/>
      <c r="AN65" s="115"/>
      <c r="AO65" s="115"/>
      <c r="AP65" s="115"/>
      <c r="AQ65" s="115"/>
      <c r="AR65" s="115"/>
      <c r="AS65" s="115"/>
      <c r="AT65" s="115"/>
      <c r="AU65" s="115"/>
      <c r="AV65" s="115"/>
      <c r="AW65" s="115"/>
      <c r="AX65" s="115"/>
      <c r="AY65" s="115"/>
      <c r="AZ65" s="115"/>
      <c r="BA65" s="115"/>
      <c r="BB65" s="115"/>
      <c r="BC65" s="115"/>
      <c r="BD65" s="115"/>
      <c r="BE65" s="115"/>
      <c r="BF65" s="115"/>
      <c r="BG65" s="115"/>
      <c r="BH65" s="115"/>
      <c r="BI65" s="115"/>
      <c r="BJ65" s="115"/>
      <c r="BK65" s="115"/>
      <c r="BL65" s="115"/>
      <c r="BM65" s="115"/>
      <c r="BN65" s="115"/>
    </row>
    <row r="66" spans="2:66" ht="15" customHeight="1">
      <c r="B66" s="121" t="s">
        <v>339</v>
      </c>
      <c r="C66" s="96" t="s">
        <v>162</v>
      </c>
      <c r="D66" s="97" t="s">
        <v>60</v>
      </c>
      <c r="E66" s="98">
        <v>0.04</v>
      </c>
      <c r="F66" s="99">
        <v>0.03</v>
      </c>
      <c r="G66" s="99">
        <v>-0.02</v>
      </c>
      <c r="H66" s="100" t="s">
        <v>247</v>
      </c>
      <c r="I66" s="101" t="s">
        <v>245</v>
      </c>
      <c r="J66" s="102">
        <f>IF(AND(E66="",F66=""),"",IF(E66="",F66,E66+F66))</f>
        <v>7.0000000000000007E-2</v>
      </c>
      <c r="K66" s="102">
        <f>IF(AND(E66="",G66=""),"",IF(E66="",G66,E66+G66))</f>
        <v>0.02</v>
      </c>
      <c r="L66" s="118"/>
      <c r="M66" s="104">
        <f t="shared" si="0"/>
        <v>0</v>
      </c>
      <c r="N66" s="104">
        <f t="shared" si="1"/>
        <v>0</v>
      </c>
      <c r="O66" s="104">
        <f t="shared" si="2"/>
        <v>0</v>
      </c>
      <c r="P66" s="105">
        <f t="shared" si="3"/>
        <v>0</v>
      </c>
      <c r="Q66" s="106" t="str">
        <f t="shared" si="4"/>
        <v/>
      </c>
      <c r="R66" s="107" t="str">
        <f>IF(OR($AI66="",ISNUMBER($AI66)=FALSE),"",IF(AND(#REF!="Tolerance",$E66&lt;&gt;""),($O66-$E66)/(($J66-$K66)/2),IF(AND(#REF!="GD&amp;T",$F66&lt;&gt;""),$O66/$F66,"")))</f>
        <v/>
      </c>
      <c r="S66" s="107" t="str">
        <f t="shared" si="12"/>
        <v/>
      </c>
      <c r="T66" s="106" t="str">
        <f t="shared" si="5"/>
        <v/>
      </c>
      <c r="U66" s="106" t="str">
        <f t="shared" si="6"/>
        <v/>
      </c>
      <c r="V66" s="106" t="str">
        <f t="shared" si="7"/>
        <v/>
      </c>
      <c r="W66" s="119" t="str">
        <f t="shared" si="8"/>
        <v/>
      </c>
      <c r="X66" s="109" t="e">
        <f>IF($O66="","",IF(#REF!="Tolerance",IF((#REF!*3*P66+O66)-E66&lt;F66,"",(#REF!*3*P66+O66)-E66),IF(OR(#REF!="GD&amp;T",#REF!="MAX"),IF((#REF!*3*P66+O66)&lt;F66,"",(#REF!*3*P66+O66)),"")))</f>
        <v>#REF!</v>
      </c>
      <c r="Y66" s="109" t="e">
        <f>IF(O66="","",IF(#REF!="Tolerance",IF(-((#REF!*3*P66)-O66)-E66&gt;G66,"",-((#REF!*3*P66)-O66)-E66),IF(#REF!="MIN",IF(-((#REF!*3*P66)-O66)&gt;G66,"",-((#REF!*3*P66)-O66)),"")))</f>
        <v>#REF!</v>
      </c>
      <c r="Z66" s="109">
        <f>IF(OR(E66="",O66=""),"",(J66+K66)/2-O66)</f>
        <v>4.5000000000000005E-2</v>
      </c>
      <c r="AA66" s="109" t="str">
        <f t="shared" si="9"/>
        <v/>
      </c>
      <c r="AB66" s="110"/>
      <c r="AC66" s="111" t="str">
        <f>IF(AB66="","",IF(AB66&gt;=0.966,"Normal","Not Normal"))</f>
        <v/>
      </c>
      <c r="AD66" s="112"/>
      <c r="AE66" s="113"/>
      <c r="AF66" s="113"/>
      <c r="AG66" s="114"/>
      <c r="AI66" s="115"/>
      <c r="AJ66" s="115"/>
      <c r="AK66" s="115"/>
      <c r="AL66" s="115"/>
      <c r="AM66" s="115"/>
      <c r="AN66" s="115"/>
      <c r="AO66" s="115"/>
      <c r="AP66" s="115"/>
      <c r="AQ66" s="115"/>
      <c r="AR66" s="115"/>
      <c r="AS66" s="115"/>
      <c r="AT66" s="115"/>
      <c r="AU66" s="115"/>
      <c r="AV66" s="115"/>
      <c r="AW66" s="115"/>
      <c r="AX66" s="115"/>
      <c r="AY66" s="115"/>
      <c r="AZ66" s="115"/>
      <c r="BA66" s="115"/>
      <c r="BB66" s="115"/>
      <c r="BC66" s="115"/>
      <c r="BD66" s="115"/>
      <c r="BE66" s="115"/>
      <c r="BF66" s="115"/>
      <c r="BG66" s="115"/>
      <c r="BH66" s="115"/>
      <c r="BI66" s="115"/>
      <c r="BJ66" s="115"/>
      <c r="BK66" s="115"/>
      <c r="BL66" s="115"/>
      <c r="BM66" s="115"/>
      <c r="BN66" s="115"/>
    </row>
    <row r="67" spans="2:66" ht="15" customHeight="1">
      <c r="B67" s="121" t="s">
        <v>339</v>
      </c>
      <c r="C67" s="96" t="s">
        <v>163</v>
      </c>
      <c r="D67" s="97" t="s">
        <v>60</v>
      </c>
      <c r="E67" s="98">
        <v>0.04</v>
      </c>
      <c r="F67" s="99">
        <v>0.03</v>
      </c>
      <c r="G67" s="99">
        <v>-0.02</v>
      </c>
      <c r="H67" s="100" t="s">
        <v>247</v>
      </c>
      <c r="I67" s="101" t="s">
        <v>245</v>
      </c>
      <c r="J67" s="102">
        <f>IF(AND(E67="",F67=""),"",IF(E67="",F67,E67+F67))</f>
        <v>7.0000000000000007E-2</v>
      </c>
      <c r="K67" s="102">
        <f>IF(AND(E67="",G67=""),"",IF(E67="",G67,E67+G67))</f>
        <v>0.02</v>
      </c>
      <c r="L67" s="118"/>
      <c r="M67" s="104">
        <f t="shared" si="0"/>
        <v>0</v>
      </c>
      <c r="N67" s="104">
        <f t="shared" si="1"/>
        <v>0</v>
      </c>
      <c r="O67" s="104">
        <f t="shared" si="2"/>
        <v>0</v>
      </c>
      <c r="P67" s="105">
        <f t="shared" si="3"/>
        <v>0</v>
      </c>
      <c r="Q67" s="106" t="str">
        <f t="shared" si="4"/>
        <v/>
      </c>
      <c r="R67" s="107" t="str">
        <f>IF(OR($AI67="",ISNUMBER($AI67)=FALSE),"",IF(AND(#REF!="Tolerance",$E67&lt;&gt;""),($O67-$E67)/(($J67-$K67)/2),IF(AND(#REF!="GD&amp;T",$F67&lt;&gt;""),$O67/$F67,"")))</f>
        <v/>
      </c>
      <c r="S67" s="107" t="str">
        <f t="shared" si="12"/>
        <v/>
      </c>
      <c r="T67" s="106" t="str">
        <f t="shared" si="5"/>
        <v/>
      </c>
      <c r="U67" s="106" t="str">
        <f t="shared" si="6"/>
        <v/>
      </c>
      <c r="V67" s="106" t="str">
        <f t="shared" si="7"/>
        <v/>
      </c>
      <c r="W67" s="119" t="str">
        <f t="shared" si="8"/>
        <v/>
      </c>
      <c r="X67" s="109" t="e">
        <f>IF($O67="","",IF(#REF!="Tolerance",IF((#REF!*3*P67+O67)-E67&lt;F67,"",(#REF!*3*P67+O67)-E67),IF(OR(#REF!="GD&amp;T",#REF!="MAX"),IF((#REF!*3*P67+O67)&lt;F67,"",(#REF!*3*P67+O67)),"")))</f>
        <v>#REF!</v>
      </c>
      <c r="Y67" s="109" t="e">
        <f>IF(O67="","",IF(#REF!="Tolerance",IF(-((#REF!*3*P67)-O67)-E67&gt;G67,"",-((#REF!*3*P67)-O67)-E67),IF(#REF!="MIN",IF(-((#REF!*3*P67)-O67)&gt;G67,"",-((#REF!*3*P67)-O67)),"")))</f>
        <v>#REF!</v>
      </c>
      <c r="Z67" s="109">
        <f>IF(OR(E67="",O67=""),"",(J67+K67)/2-O67)</f>
        <v>4.5000000000000005E-2</v>
      </c>
      <c r="AA67" s="109" t="str">
        <f t="shared" si="9"/>
        <v/>
      </c>
      <c r="AB67" s="110"/>
      <c r="AC67" s="111" t="str">
        <f>IF(AB67="","",IF(AB67&gt;=0.966,"Normal","Not Normal"))</f>
        <v/>
      </c>
      <c r="AD67" s="112"/>
      <c r="AE67" s="113"/>
      <c r="AF67" s="113"/>
      <c r="AG67" s="114"/>
      <c r="AI67" s="115"/>
      <c r="AJ67" s="115"/>
      <c r="AK67" s="115"/>
      <c r="AL67" s="115"/>
      <c r="AM67" s="115"/>
      <c r="AN67" s="115"/>
      <c r="AO67" s="115"/>
      <c r="AP67" s="115"/>
      <c r="AQ67" s="115"/>
      <c r="AR67" s="115"/>
      <c r="AS67" s="115"/>
      <c r="AT67" s="115"/>
      <c r="AU67" s="115"/>
      <c r="AV67" s="115"/>
      <c r="AW67" s="115"/>
      <c r="AX67" s="115"/>
      <c r="AY67" s="115"/>
      <c r="AZ67" s="115"/>
      <c r="BA67" s="115"/>
      <c r="BB67" s="115"/>
      <c r="BC67" s="115"/>
      <c r="BD67" s="115"/>
      <c r="BE67" s="115"/>
      <c r="BF67" s="115"/>
      <c r="BG67" s="115"/>
      <c r="BH67" s="115"/>
      <c r="BI67" s="115"/>
      <c r="BJ67" s="115"/>
      <c r="BK67" s="115"/>
      <c r="BL67" s="115"/>
      <c r="BM67" s="115"/>
      <c r="BN67" s="115"/>
    </row>
    <row r="68" spans="2:66" ht="15" customHeight="1">
      <c r="B68" s="121" t="s">
        <v>339</v>
      </c>
      <c r="C68" s="96" t="s">
        <v>164</v>
      </c>
      <c r="D68" s="117" t="s">
        <v>60</v>
      </c>
      <c r="E68" s="98">
        <v>0.04</v>
      </c>
      <c r="F68" s="99">
        <v>0.03</v>
      </c>
      <c r="G68" s="99">
        <v>-0.02</v>
      </c>
      <c r="H68" s="100" t="s">
        <v>247</v>
      </c>
      <c r="I68" s="101" t="s">
        <v>245</v>
      </c>
      <c r="J68" s="102">
        <f>IF(AND(E68="",F68=""),"",IF(E68="",F68,E68+F68))</f>
        <v>7.0000000000000007E-2</v>
      </c>
      <c r="K68" s="102">
        <f>IF(AND(E68="",G68=""),"",IF(E68="",G68,E68+G68))</f>
        <v>0.02</v>
      </c>
      <c r="L68" s="118"/>
      <c r="M68" s="104">
        <f t="shared" si="0"/>
        <v>0</v>
      </c>
      <c r="N68" s="104">
        <f t="shared" si="1"/>
        <v>0</v>
      </c>
      <c r="O68" s="104">
        <f t="shared" si="2"/>
        <v>0</v>
      </c>
      <c r="P68" s="105">
        <f t="shared" si="3"/>
        <v>0</v>
      </c>
      <c r="Q68" s="106" t="str">
        <f t="shared" si="4"/>
        <v/>
      </c>
      <c r="R68" s="107" t="str">
        <f>IF(OR($AI68="",ISNUMBER($AI68)=FALSE),"",IF(AND(#REF!="Tolerance",$E68&lt;&gt;""),($O68-$E68)/(($J68-$K68)/2),IF(AND(#REF!="GD&amp;T",$F68&lt;&gt;""),$O68/$F68,"")))</f>
        <v/>
      </c>
      <c r="S68" s="107" t="str">
        <f t="shared" si="12"/>
        <v/>
      </c>
      <c r="T68" s="106" t="str">
        <f t="shared" si="5"/>
        <v/>
      </c>
      <c r="U68" s="106" t="str">
        <f t="shared" si="6"/>
        <v/>
      </c>
      <c r="V68" s="106" t="str">
        <f t="shared" si="7"/>
        <v/>
      </c>
      <c r="W68" s="119" t="str">
        <f t="shared" si="8"/>
        <v/>
      </c>
      <c r="X68" s="109" t="e">
        <f>IF($O68="","",IF(#REF!="Tolerance",IF((#REF!*3*P68+O68)-E68&lt;F68,"",(#REF!*3*P68+O68)-E68),IF(OR(#REF!="GD&amp;T",#REF!="MAX"),IF((#REF!*3*P68+O68)&lt;F68,"",(#REF!*3*P68+O68)),"")))</f>
        <v>#REF!</v>
      </c>
      <c r="Y68" s="109" t="e">
        <f>IF(O68="","",IF(#REF!="Tolerance",IF(-((#REF!*3*P68)-O68)-E68&gt;G68,"",-((#REF!*3*P68)-O68)-E68),IF(#REF!="MIN",IF(-((#REF!*3*P68)-O68)&gt;G68,"",-((#REF!*3*P68)-O68)),"")))</f>
        <v>#REF!</v>
      </c>
      <c r="Z68" s="109">
        <f>IF(OR(E68="",O68=""),"",(J68+K68)/2-O68)</f>
        <v>4.5000000000000005E-2</v>
      </c>
      <c r="AA68" s="109" t="str">
        <f t="shared" si="9"/>
        <v/>
      </c>
      <c r="AB68" s="110"/>
      <c r="AC68" s="111" t="str">
        <f>IF(AB68="","",IF(AB68&gt;=0.966,"Normal","Not Normal"))</f>
        <v/>
      </c>
      <c r="AD68" s="112"/>
      <c r="AE68" s="113"/>
      <c r="AF68" s="113"/>
      <c r="AG68" s="114"/>
      <c r="AI68" s="115"/>
      <c r="AJ68" s="115"/>
      <c r="AK68" s="115"/>
      <c r="AL68" s="115"/>
      <c r="AM68" s="115"/>
      <c r="AN68" s="115"/>
      <c r="AO68" s="115"/>
      <c r="AP68" s="115"/>
      <c r="AQ68" s="115"/>
      <c r="AR68" s="115"/>
      <c r="AS68" s="115"/>
      <c r="AT68" s="115"/>
      <c r="AU68" s="115"/>
      <c r="AV68" s="115"/>
      <c r="AW68" s="115"/>
      <c r="AX68" s="115"/>
      <c r="AY68" s="115"/>
      <c r="AZ68" s="115"/>
      <c r="BA68" s="115"/>
      <c r="BB68" s="115"/>
      <c r="BC68" s="115"/>
      <c r="BD68" s="115"/>
      <c r="BE68" s="115"/>
      <c r="BF68" s="115"/>
      <c r="BG68" s="115"/>
      <c r="BH68" s="115"/>
      <c r="BI68" s="115"/>
      <c r="BJ68" s="115"/>
      <c r="BK68" s="115"/>
      <c r="BL68" s="115"/>
      <c r="BM68" s="115"/>
      <c r="BN68" s="115"/>
    </row>
    <row r="69" spans="2:66" ht="15" customHeight="1">
      <c r="B69" s="121" t="s">
        <v>339</v>
      </c>
      <c r="C69" s="96" t="s">
        <v>165</v>
      </c>
      <c r="D69" s="117" t="s">
        <v>60</v>
      </c>
      <c r="E69" s="98">
        <v>0.04</v>
      </c>
      <c r="F69" s="99">
        <v>0.03</v>
      </c>
      <c r="G69" s="99">
        <v>-0.02</v>
      </c>
      <c r="H69" s="100" t="s">
        <v>247</v>
      </c>
      <c r="I69" s="101" t="s">
        <v>245</v>
      </c>
      <c r="J69" s="102">
        <f t="shared" si="10"/>
        <v>7.0000000000000007E-2</v>
      </c>
      <c r="K69" s="102">
        <f t="shared" si="11"/>
        <v>0.02</v>
      </c>
      <c r="L69" s="118"/>
      <c r="M69" s="104">
        <f t="shared" si="0"/>
        <v>0</v>
      </c>
      <c r="N69" s="104">
        <f t="shared" si="1"/>
        <v>0</v>
      </c>
      <c r="O69" s="104">
        <f t="shared" si="2"/>
        <v>0</v>
      </c>
      <c r="P69" s="105">
        <f t="shared" si="3"/>
        <v>0</v>
      </c>
      <c r="Q69" s="106" t="str">
        <f t="shared" si="4"/>
        <v/>
      </c>
      <c r="R69" s="107" t="str">
        <f>IF(OR($AI69="",ISNUMBER($AI69)=FALSE),"",IF(AND(#REF!="Tolerance",$E69&lt;&gt;""),($O69-$E69)/(($J69-$K69)/2),IF(AND(#REF!="GD&amp;T",$F69&lt;&gt;""),$O69/$F69,"")))</f>
        <v/>
      </c>
      <c r="S69" s="107" t="str">
        <f t="shared" si="12"/>
        <v/>
      </c>
      <c r="T69" s="106" t="str">
        <f t="shared" si="5"/>
        <v/>
      </c>
      <c r="U69" s="106" t="str">
        <f t="shared" si="6"/>
        <v/>
      </c>
      <c r="V69" s="106" t="str">
        <f t="shared" si="7"/>
        <v/>
      </c>
      <c r="W69" s="119" t="str">
        <f t="shared" si="8"/>
        <v/>
      </c>
      <c r="X69" s="109" t="e">
        <f>IF($O69="","",IF(#REF!="Tolerance",IF((#REF!*3*P69+O69)-E69&lt;F69,"",(#REF!*3*P69+O69)-E69),IF(OR(#REF!="GD&amp;T",#REF!="MAX"),IF((#REF!*3*P69+O69)&lt;F69,"",(#REF!*3*P69+O69)),"")))</f>
        <v>#REF!</v>
      </c>
      <c r="Y69" s="109" t="e">
        <f>IF(O69="","",IF(#REF!="Tolerance",IF(-((#REF!*3*P69)-O69)-E69&gt;G69,"",-((#REF!*3*P69)-O69)-E69),IF(#REF!="MIN",IF(-((#REF!*3*P69)-O69)&gt;G69,"",-((#REF!*3*P69)-O69)),"")))</f>
        <v>#REF!</v>
      </c>
      <c r="Z69" s="109">
        <f t="shared" si="13"/>
        <v>4.5000000000000005E-2</v>
      </c>
      <c r="AA69" s="109" t="str">
        <f t="shared" si="9"/>
        <v/>
      </c>
      <c r="AB69" s="110"/>
      <c r="AC69" s="111" t="str">
        <f t="shared" si="14"/>
        <v/>
      </c>
      <c r="AD69" s="112"/>
      <c r="AE69" s="113"/>
      <c r="AF69" s="113"/>
      <c r="AG69" s="114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  <c r="BD69" s="115"/>
      <c r="BE69" s="115"/>
      <c r="BF69" s="115"/>
      <c r="BG69" s="115"/>
      <c r="BH69" s="115"/>
      <c r="BI69" s="115"/>
      <c r="BJ69" s="115"/>
      <c r="BK69" s="115"/>
      <c r="BL69" s="115"/>
      <c r="BM69" s="115"/>
      <c r="BN69" s="115"/>
    </row>
    <row r="70" spans="2:66" ht="15" customHeight="1">
      <c r="B70" s="95" t="s">
        <v>286</v>
      </c>
      <c r="C70" s="96" t="s">
        <v>168</v>
      </c>
      <c r="D70" s="117" t="s">
        <v>60</v>
      </c>
      <c r="E70" s="98">
        <v>1.78</v>
      </c>
      <c r="F70" s="99">
        <v>2.5000000000000001E-2</v>
      </c>
      <c r="G70" s="99">
        <v>-2.5000000000000001E-2</v>
      </c>
      <c r="H70" s="100" t="s">
        <v>244</v>
      </c>
      <c r="I70" s="101" t="s">
        <v>245</v>
      </c>
      <c r="J70" s="102">
        <f t="shared" si="10"/>
        <v>1.8049999999999999</v>
      </c>
      <c r="K70" s="102">
        <f t="shared" si="11"/>
        <v>1.7550000000000001</v>
      </c>
      <c r="L70" s="118"/>
      <c r="M70" s="104">
        <f t="shared" ref="M70:M71" si="15">IF(OR($AI70=ISBLANK(TRUE),ISNUMBER($AI70)=FALSE),,MAX(AI70:BN70))</f>
        <v>0</v>
      </c>
      <c r="N70" s="104">
        <f t="shared" ref="N70:N71" si="16">IF(OR($AI70=ISBLANK(TRUE),ISNUMBER($AI70)=FALSE),,MIN(AI70:BN70))</f>
        <v>0</v>
      </c>
      <c r="O70" s="104">
        <f t="shared" ref="O70:O71" si="17">IF(OR($AI70=ISBLANK(TRUE),ISNUMBER($AI70)=FALSE),,AVERAGE(AI70:BN70))</f>
        <v>0</v>
      </c>
      <c r="P70" s="105">
        <f t="shared" ref="P70:P71" si="18">IF(OR($AI70=ISBLANK(TRUE),ISNUMBER($AI70)=FALSE),,STDEV(AI70:BN70))</f>
        <v>0</v>
      </c>
      <c r="Q70" s="106" t="str">
        <f t="shared" ref="Q70:Q71" si="19">IF(OR($AI70="",ISNUMBER($AI70)=FALSE),"",IF(AND(E70=0,G70=0),T70,IF(AND(E70="",F70=""),U70,(F70+ABS(G70))/(6*P70))))</f>
        <v/>
      </c>
      <c r="R70" s="107" t="str">
        <f>IF(OR($AI70="",ISNUMBER($AI70)=FALSE),"",IF(AND(#REF!="Tolerance",$E70&lt;&gt;""),($O70-$E70)/(($J70-$K70)/2),IF(AND(#REF!="GD&amp;T",$F70&lt;&gt;""),$O70/$F70,"")))</f>
        <v/>
      </c>
      <c r="S70" s="107" t="str">
        <f t="shared" si="12"/>
        <v/>
      </c>
      <c r="T70" s="106" t="str">
        <f t="shared" ref="T70:T71" si="20">IF(OR($AI70="",ISNUMBER($AI70)=FALSE),"",IF(F70="","",(J70-O70)/(3*P70)))</f>
        <v/>
      </c>
      <c r="U70" s="106" t="str">
        <f t="shared" ref="U70:U71" si="21">IF(OR($AI70="",ISNUMBER($AI70)=FALSE),"",IF(G70="","",(O70-K70)/(3*P70)))</f>
        <v/>
      </c>
      <c r="V70" s="106" t="str">
        <f t="shared" ref="V70:V71" si="22">IF(OR($AI70="",ISNUMBER($AI70)=FALSE),"",IF(AND(E70=0,G70=0),((F70)-(O70))/(3*P70),MIN(T70:U70)))</f>
        <v/>
      </c>
      <c r="W70" s="119" t="str">
        <f t="shared" ref="W70:W71" si="23">IF(OR($AI70="",ISNUMBER($AI70)=FALSE),"",IF(AND(E70=0,G70=0),NORMSDIST(3*V70),NORMSDIST(3*V70)+NORMSDIST(6*Q70-3*V70)-1))</f>
        <v/>
      </c>
      <c r="X70" s="109" t="e">
        <f>IF($O70="","",IF(#REF!="Tolerance",IF((#REF!*3*P70+O70)-E70&lt;F70,"",(#REF!*3*P70+O70)-E70),IF(OR(#REF!="GD&amp;T",#REF!="MAX"),IF((#REF!*3*P70+O70)&lt;F70,"",(#REF!*3*P70+O70)),"")))</f>
        <v>#REF!</v>
      </c>
      <c r="Y70" s="109" t="e">
        <f>IF(O70="","",IF(#REF!="Tolerance",IF(-((#REF!*3*P70)-O70)-E70&gt;G70,"",-((#REF!*3*P70)-O70)-E70),IF(#REF!="MIN",IF(-((#REF!*3*P70)-O70)&gt;G70,"",-((#REF!*3*P70)-O70)),"")))</f>
        <v>#REF!</v>
      </c>
      <c r="Z70" s="109">
        <f t="shared" si="13"/>
        <v>1.78</v>
      </c>
      <c r="AA70" s="109" t="str">
        <f t="shared" ref="AA70:AA76" si="24">IF(OR($Q70&gt;$AA$4,$P70=""),"",$AA$4*6*$P70)</f>
        <v/>
      </c>
      <c r="AB70" s="110"/>
      <c r="AC70" s="111" t="str">
        <f t="shared" si="14"/>
        <v/>
      </c>
      <c r="AD70" s="112"/>
      <c r="AE70" s="113"/>
      <c r="AF70" s="113"/>
      <c r="AG70" s="114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115"/>
      <c r="AT70" s="115"/>
      <c r="AU70" s="115"/>
      <c r="AV70" s="115"/>
      <c r="AW70" s="115"/>
      <c r="AX70" s="115"/>
      <c r="AY70" s="115"/>
      <c r="AZ70" s="115"/>
      <c r="BA70" s="115"/>
      <c r="BB70" s="115"/>
      <c r="BC70" s="115"/>
      <c r="BD70" s="115"/>
      <c r="BE70" s="115"/>
      <c r="BF70" s="115"/>
      <c r="BG70" s="115"/>
      <c r="BH70" s="115"/>
      <c r="BI70" s="115"/>
      <c r="BJ70" s="115"/>
      <c r="BK70" s="115"/>
      <c r="BL70" s="115"/>
      <c r="BM70" s="115"/>
      <c r="BN70" s="115"/>
    </row>
    <row r="71" spans="2:66" ht="15" customHeight="1">
      <c r="B71" s="95" t="s">
        <v>338</v>
      </c>
      <c r="C71" s="96" t="s">
        <v>192</v>
      </c>
      <c r="D71" s="117" t="s">
        <v>60</v>
      </c>
      <c r="E71" s="98">
        <v>-0.45</v>
      </c>
      <c r="F71" s="99">
        <v>1.4999999999999999E-2</v>
      </c>
      <c r="G71" s="99">
        <v>-1.4999999999999999E-2</v>
      </c>
      <c r="H71" s="100" t="s">
        <v>70</v>
      </c>
      <c r="I71" s="101"/>
      <c r="J71" s="102">
        <f t="shared" si="10"/>
        <v>-0.435</v>
      </c>
      <c r="K71" s="102">
        <f t="shared" si="11"/>
        <v>-0.46500000000000002</v>
      </c>
      <c r="L71" s="118"/>
      <c r="M71" s="104">
        <f t="shared" si="15"/>
        <v>0</v>
      </c>
      <c r="N71" s="104">
        <f t="shared" si="16"/>
        <v>0</v>
      </c>
      <c r="O71" s="104">
        <f t="shared" si="17"/>
        <v>0</v>
      </c>
      <c r="P71" s="105">
        <f t="shared" si="18"/>
        <v>0</v>
      </c>
      <c r="Q71" s="106" t="str">
        <f t="shared" si="19"/>
        <v/>
      </c>
      <c r="R71" s="107" t="str">
        <f>IF(OR($AI71="",ISNUMBER($AI71)=FALSE),"",IF(AND(#REF!="Tolerance",$E71&lt;&gt;""),($O71-$E71)/(($J71-$K71)/2),IF(AND(#REF!="GD&amp;T",$F71&lt;&gt;""),$O71/$F71,"")))</f>
        <v/>
      </c>
      <c r="S71" s="107" t="str">
        <f t="shared" si="12"/>
        <v/>
      </c>
      <c r="T71" s="106" t="str">
        <f t="shared" si="20"/>
        <v/>
      </c>
      <c r="U71" s="106" t="str">
        <f t="shared" si="21"/>
        <v/>
      </c>
      <c r="V71" s="106" t="str">
        <f t="shared" si="22"/>
        <v/>
      </c>
      <c r="W71" s="119" t="str">
        <f t="shared" si="23"/>
        <v/>
      </c>
      <c r="X71" s="109" t="e">
        <f>IF($O71="","",IF(#REF!="Tolerance",IF((#REF!*3*P71+O71)-E71&lt;F71,"",(#REF!*3*P71+O71)-E71),IF(OR(#REF!="GD&amp;T",#REF!="MAX"),IF((#REF!*3*P71+O71)&lt;F71,"",(#REF!*3*P71+O71)),"")))</f>
        <v>#REF!</v>
      </c>
      <c r="Y71" s="109" t="e">
        <f>IF(O71="","",IF(#REF!="Tolerance",IF(-((#REF!*3*P71)-O71)-E71&gt;G71,"",-((#REF!*3*P71)-O71)-E71),IF(#REF!="MIN",IF(-((#REF!*3*P71)-O71)&gt;G71,"",-((#REF!*3*P71)-O71)),"")))</f>
        <v>#REF!</v>
      </c>
      <c r="Z71" s="109">
        <f t="shared" ref="Z71" si="25">IF(OR(E71="",O71=""),"",(J71+K71)/2-O71)</f>
        <v>-0.45</v>
      </c>
      <c r="AA71" s="109" t="str">
        <f t="shared" si="24"/>
        <v/>
      </c>
      <c r="AB71" s="110"/>
      <c r="AC71" s="111" t="str">
        <f t="shared" ref="AC71" si="26">IF(AB71="","",IF(AB71&gt;=0.966,"Normal","Not Normal"))</f>
        <v/>
      </c>
      <c r="AD71" s="112"/>
      <c r="AE71" s="113"/>
      <c r="AF71" s="113"/>
      <c r="AG71" s="114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  <c r="BA71" s="115"/>
      <c r="BB71" s="115"/>
      <c r="BC71" s="115"/>
      <c r="BD71" s="115"/>
      <c r="BE71" s="115"/>
      <c r="BF71" s="115"/>
      <c r="BG71" s="115"/>
      <c r="BH71" s="115"/>
      <c r="BI71" s="115"/>
      <c r="BJ71" s="115"/>
      <c r="BK71" s="115"/>
      <c r="BL71" s="115"/>
      <c r="BM71" s="115"/>
      <c r="BN71" s="115"/>
    </row>
    <row r="72" spans="2:66" ht="15" customHeight="1">
      <c r="B72" s="95"/>
      <c r="C72" s="41" t="s">
        <v>196</v>
      </c>
      <c r="D72" s="117" t="s">
        <v>60</v>
      </c>
      <c r="E72" s="43"/>
      <c r="F72" s="43">
        <v>8.0000000000000002E-3</v>
      </c>
      <c r="G72" s="43">
        <v>-8.0000000000000002E-3</v>
      </c>
      <c r="H72" s="100" t="s">
        <v>70</v>
      </c>
      <c r="I72" s="101"/>
      <c r="J72" s="102">
        <f t="shared" ref="J72:J76" si="27">IF(AND(E72="",F72=""),"",IF(E72="",F72,E72+F72))</f>
        <v>8.0000000000000002E-3</v>
      </c>
      <c r="K72" s="102">
        <f t="shared" ref="K72:K76" si="28">IF(AND(E72="",G72=""),"",IF(E72="",G72,E72+G72))</f>
        <v>-8.0000000000000002E-3</v>
      </c>
      <c r="L72" s="118"/>
      <c r="M72" s="104">
        <f t="shared" ref="M72:M76" si="29">IF(OR($AI72=ISBLANK(TRUE),ISNUMBER($AI72)=FALSE),,MAX(AI72:BN72))</f>
        <v>0</v>
      </c>
      <c r="N72" s="104">
        <f t="shared" ref="N72:N76" si="30">IF(OR($AI72=ISBLANK(TRUE),ISNUMBER($AI72)=FALSE),,MIN(AI72:BN72))</f>
        <v>0</v>
      </c>
      <c r="O72" s="104">
        <f t="shared" ref="O72:O76" si="31">IF(OR($AI72=ISBLANK(TRUE),ISNUMBER($AI72)=FALSE),,AVERAGE(AI72:BN72))</f>
        <v>0</v>
      </c>
      <c r="P72" s="105">
        <f t="shared" ref="P72:P76" si="32">IF(OR($AI72=ISBLANK(TRUE),ISNUMBER($AI72)=FALSE),,STDEV(AI72:BN72))</f>
        <v>0</v>
      </c>
      <c r="Q72" s="106" t="str">
        <f t="shared" ref="Q72:Q76" si="33">IF(OR($AI72="",ISNUMBER($AI72)=FALSE),"",IF(AND(E72=0,G72=0),T72,IF(AND(E72="",F72=""),U72,(F72+ABS(G72))/(6*P72))))</f>
        <v/>
      </c>
      <c r="R72" s="107" t="str">
        <f>IF(OR($AI72="",ISNUMBER($AI72)=FALSE),"",IF(AND(#REF!="Tolerance",$E72&lt;&gt;""),($O72-$E72)/(($J72-$K72)/2),IF(AND(#REF!="GD&amp;T",$F72&lt;&gt;""),$O72/$F72,"")))</f>
        <v/>
      </c>
      <c r="S72" s="107" t="str">
        <f t="shared" si="12"/>
        <v/>
      </c>
      <c r="T72" s="106" t="str">
        <f t="shared" ref="T72:T76" si="34">IF(OR($AI72="",ISNUMBER($AI72)=FALSE),"",IF(F72="","",(J72-O72)/(3*P72)))</f>
        <v/>
      </c>
      <c r="U72" s="106" t="str">
        <f t="shared" ref="U72:U76" si="35">IF(OR($AI72="",ISNUMBER($AI72)=FALSE),"",IF(G72="","",(O72-K72)/(3*P72)))</f>
        <v/>
      </c>
      <c r="V72" s="106" t="str">
        <f t="shared" ref="V72:V76" si="36">IF(OR($AI72="",ISNUMBER($AI72)=FALSE),"",IF(AND(E72=0,G72=0),((F72)-(O72))/(3*P72),MIN(T72:U72)))</f>
        <v/>
      </c>
      <c r="W72" s="119" t="str">
        <f t="shared" ref="W72:W76" si="37">IF(OR($AI72="",ISNUMBER($AI72)=FALSE),"",IF(AND(E72=0,G72=0),NORMSDIST(3*V72),NORMSDIST(3*V72)+NORMSDIST(6*Q72-3*V72)-1))</f>
        <v/>
      </c>
      <c r="X72" s="109" t="e">
        <f>IF($O72="","",IF(#REF!="Tolerance",IF((#REF!*3*P72+O72)-E72&lt;F72,"",(#REF!*3*P72+O72)-E72),IF(OR(#REF!="GD&amp;T",#REF!="MAX"),IF((#REF!*3*P72+O72)&lt;F72,"",(#REF!*3*P72+O72)),"")))</f>
        <v>#REF!</v>
      </c>
      <c r="Y72" s="109" t="e">
        <f>IF(O72="","",IF(#REF!="Tolerance",IF(-((#REF!*3*P72)-O72)-E72&gt;G72,"",-((#REF!*3*P72)-O72)-E72),IF(#REF!="MIN",IF(-((#REF!*3*P72)-O72)&gt;G72,"",-((#REF!*3*P72)-O72)),"")))</f>
        <v>#REF!</v>
      </c>
      <c r="Z72" s="109" t="str">
        <f t="shared" ref="Z72:Z76" si="38">IF(OR(E72="",O72=""),"",(J72+K72)/2-O72)</f>
        <v/>
      </c>
      <c r="AA72" s="109" t="str">
        <f t="shared" si="24"/>
        <v/>
      </c>
      <c r="AB72" s="110"/>
      <c r="AC72" s="111" t="str">
        <f t="shared" ref="AC72:AC76" si="39">IF(AB72="","",IF(AB72&gt;=0.966,"Normal","Not Normal"))</f>
        <v/>
      </c>
      <c r="AD72" s="112"/>
      <c r="AE72" s="113"/>
      <c r="AF72" s="113"/>
      <c r="AG72" s="114"/>
      <c r="AI72" s="115"/>
      <c r="AJ72" s="115"/>
      <c r="AK72" s="115"/>
      <c r="AL72" s="115"/>
      <c r="AM72" s="115"/>
      <c r="AN72" s="115"/>
      <c r="AO72" s="115"/>
      <c r="AP72" s="115"/>
      <c r="AQ72" s="115"/>
      <c r="AR72" s="115"/>
      <c r="AS72" s="115"/>
      <c r="AT72" s="115"/>
      <c r="AU72" s="115"/>
      <c r="AV72" s="115"/>
      <c r="AW72" s="115"/>
      <c r="AX72" s="115"/>
      <c r="AY72" s="115"/>
      <c r="AZ72" s="115"/>
      <c r="BA72" s="115"/>
      <c r="BB72" s="115"/>
      <c r="BC72" s="115"/>
      <c r="BD72" s="115"/>
      <c r="BE72" s="115"/>
      <c r="BF72" s="115"/>
      <c r="BG72" s="115"/>
      <c r="BH72" s="115"/>
      <c r="BI72" s="115"/>
      <c r="BJ72" s="115"/>
      <c r="BK72" s="115"/>
      <c r="BL72" s="115"/>
      <c r="BM72" s="115"/>
      <c r="BN72" s="115"/>
    </row>
    <row r="73" spans="2:66" ht="15" customHeight="1">
      <c r="B73" s="95" t="s">
        <v>338</v>
      </c>
      <c r="C73" s="96" t="s">
        <v>197</v>
      </c>
      <c r="D73" s="117" t="s">
        <v>60</v>
      </c>
      <c r="E73" s="98">
        <v>-0.45</v>
      </c>
      <c r="F73" s="99">
        <v>1.4999999999999999E-2</v>
      </c>
      <c r="G73" s="99">
        <v>-1.4999999999999999E-2</v>
      </c>
      <c r="H73" s="100" t="s">
        <v>70</v>
      </c>
      <c r="I73" s="101"/>
      <c r="J73" s="102">
        <f t="shared" si="27"/>
        <v>-0.435</v>
      </c>
      <c r="K73" s="102">
        <f t="shared" si="28"/>
        <v>-0.46500000000000002</v>
      </c>
      <c r="L73" s="118"/>
      <c r="M73" s="104">
        <f t="shared" si="29"/>
        <v>0</v>
      </c>
      <c r="N73" s="104">
        <f t="shared" si="30"/>
        <v>0</v>
      </c>
      <c r="O73" s="104">
        <f t="shared" si="31"/>
        <v>0</v>
      </c>
      <c r="P73" s="105">
        <f t="shared" si="32"/>
        <v>0</v>
      </c>
      <c r="Q73" s="106" t="str">
        <f t="shared" si="33"/>
        <v/>
      </c>
      <c r="R73" s="107" t="str">
        <f>IF(OR($AI73="",ISNUMBER($AI73)=FALSE),"",IF(AND(#REF!="Tolerance",$E73&lt;&gt;""),($O73-$E73)/(($J73-$K73)/2),IF(AND(#REF!="GD&amp;T",$F73&lt;&gt;""),$O73/$F73,"")))</f>
        <v/>
      </c>
      <c r="S73" s="107" t="str">
        <f t="shared" si="12"/>
        <v/>
      </c>
      <c r="T73" s="106" t="str">
        <f t="shared" si="34"/>
        <v/>
      </c>
      <c r="U73" s="106" t="str">
        <f t="shared" si="35"/>
        <v/>
      </c>
      <c r="V73" s="106" t="str">
        <f t="shared" si="36"/>
        <v/>
      </c>
      <c r="W73" s="119" t="str">
        <f t="shared" si="37"/>
        <v/>
      </c>
      <c r="X73" s="109" t="e">
        <f>IF($O73="","",IF(#REF!="Tolerance",IF((#REF!*3*P73+O73)-E73&lt;F73,"",(#REF!*3*P73+O73)-E73),IF(OR(#REF!="GD&amp;T",#REF!="MAX"),IF((#REF!*3*P73+O73)&lt;F73,"",(#REF!*3*P73+O73)),"")))</f>
        <v>#REF!</v>
      </c>
      <c r="Y73" s="109" t="e">
        <f>IF(O73="","",IF(#REF!="Tolerance",IF(-((#REF!*3*P73)-O73)-E73&gt;G73,"",-((#REF!*3*P73)-O73)-E73),IF(#REF!="MIN",IF(-((#REF!*3*P73)-O73)&gt;G73,"",-((#REF!*3*P73)-O73)),"")))</f>
        <v>#REF!</v>
      </c>
      <c r="Z73" s="109">
        <f t="shared" si="38"/>
        <v>-0.45</v>
      </c>
      <c r="AA73" s="109" t="str">
        <f t="shared" si="24"/>
        <v/>
      </c>
      <c r="AB73" s="110"/>
      <c r="AC73" s="111" t="str">
        <f t="shared" si="39"/>
        <v/>
      </c>
      <c r="AD73" s="112"/>
      <c r="AE73" s="113"/>
      <c r="AF73" s="113"/>
      <c r="AG73" s="114"/>
      <c r="AI73" s="115"/>
      <c r="AJ73" s="115"/>
      <c r="AK73" s="115"/>
      <c r="AL73" s="115"/>
      <c r="AM73" s="115"/>
      <c r="AN73" s="115"/>
      <c r="AO73" s="115"/>
      <c r="AP73" s="115"/>
      <c r="AQ73" s="115"/>
      <c r="AR73" s="115"/>
      <c r="AS73" s="115"/>
      <c r="AT73" s="115"/>
      <c r="AU73" s="115"/>
      <c r="AV73" s="115"/>
      <c r="AW73" s="115"/>
      <c r="AX73" s="115"/>
      <c r="AY73" s="115"/>
      <c r="AZ73" s="115"/>
      <c r="BA73" s="115"/>
      <c r="BB73" s="115"/>
      <c r="BC73" s="115"/>
      <c r="BD73" s="115"/>
      <c r="BE73" s="115"/>
      <c r="BF73" s="115"/>
      <c r="BG73" s="115"/>
      <c r="BH73" s="115"/>
      <c r="BI73" s="115"/>
      <c r="BJ73" s="115"/>
      <c r="BK73" s="115"/>
      <c r="BL73" s="115"/>
      <c r="BM73" s="115"/>
      <c r="BN73" s="115"/>
    </row>
    <row r="74" spans="2:66" ht="15" customHeight="1">
      <c r="B74" s="95"/>
      <c r="C74" s="41" t="s">
        <v>201</v>
      </c>
      <c r="D74" s="117" t="s">
        <v>60</v>
      </c>
      <c r="E74" s="43"/>
      <c r="F74" s="43">
        <v>8.0000000000000002E-3</v>
      </c>
      <c r="G74" s="43">
        <v>-8.0000000000000002E-3</v>
      </c>
      <c r="H74" s="100" t="s">
        <v>70</v>
      </c>
      <c r="I74" s="101"/>
      <c r="J74" s="102">
        <f t="shared" si="27"/>
        <v>8.0000000000000002E-3</v>
      </c>
      <c r="K74" s="102">
        <f t="shared" si="28"/>
        <v>-8.0000000000000002E-3</v>
      </c>
      <c r="L74" s="118"/>
      <c r="M74" s="104">
        <f t="shared" si="29"/>
        <v>0</v>
      </c>
      <c r="N74" s="104">
        <f t="shared" si="30"/>
        <v>0</v>
      </c>
      <c r="O74" s="104">
        <f t="shared" si="31"/>
        <v>0</v>
      </c>
      <c r="P74" s="105">
        <f t="shared" si="32"/>
        <v>0</v>
      </c>
      <c r="Q74" s="106" t="str">
        <f t="shared" si="33"/>
        <v/>
      </c>
      <c r="R74" s="107" t="str">
        <f>IF(OR($AI74="",ISNUMBER($AI74)=FALSE),"",IF(AND(#REF!="Tolerance",$E74&lt;&gt;""),($O74-$E74)/(($J74-$K74)/2),IF(AND(#REF!="GD&amp;T",$F74&lt;&gt;""),$O74/$F74,"")))</f>
        <v/>
      </c>
      <c r="S74" s="107" t="str">
        <f t="shared" si="12"/>
        <v/>
      </c>
      <c r="T74" s="106" t="str">
        <f t="shared" si="34"/>
        <v/>
      </c>
      <c r="U74" s="106" t="str">
        <f t="shared" si="35"/>
        <v/>
      </c>
      <c r="V74" s="106" t="str">
        <f t="shared" si="36"/>
        <v/>
      </c>
      <c r="W74" s="119" t="str">
        <f t="shared" si="37"/>
        <v/>
      </c>
      <c r="X74" s="109" t="e">
        <f>IF($O74="","",IF(#REF!="Tolerance",IF((#REF!*3*P74+O74)-E74&lt;F74,"",(#REF!*3*P74+O74)-E74),IF(OR(#REF!="GD&amp;T",#REF!="MAX"),IF((#REF!*3*P74+O74)&lt;F74,"",(#REF!*3*P74+O74)),"")))</f>
        <v>#REF!</v>
      </c>
      <c r="Y74" s="109" t="e">
        <f>IF(O74="","",IF(#REF!="Tolerance",IF(-((#REF!*3*P74)-O74)-E74&gt;G74,"",-((#REF!*3*P74)-O74)-E74),IF(#REF!="MIN",IF(-((#REF!*3*P74)-O74)&gt;G74,"",-((#REF!*3*P74)-O74)),"")))</f>
        <v>#REF!</v>
      </c>
      <c r="Z74" s="109" t="str">
        <f t="shared" si="38"/>
        <v/>
      </c>
      <c r="AA74" s="109" t="str">
        <f t="shared" si="24"/>
        <v/>
      </c>
      <c r="AB74" s="110"/>
      <c r="AC74" s="111" t="str">
        <f t="shared" si="39"/>
        <v/>
      </c>
      <c r="AD74" s="112"/>
      <c r="AE74" s="113"/>
      <c r="AF74" s="113"/>
      <c r="AG74" s="114"/>
      <c r="AI74" s="115"/>
      <c r="AJ74" s="115"/>
      <c r="AK74" s="115"/>
      <c r="AL74" s="115"/>
      <c r="AM74" s="115"/>
      <c r="AN74" s="115"/>
      <c r="AO74" s="115"/>
      <c r="AP74" s="115"/>
      <c r="AQ74" s="115"/>
      <c r="AR74" s="115"/>
      <c r="AS74" s="115"/>
      <c r="AT74" s="115"/>
      <c r="AU74" s="115"/>
      <c r="AV74" s="115"/>
      <c r="AW74" s="115"/>
      <c r="AX74" s="115"/>
      <c r="AY74" s="115"/>
      <c r="AZ74" s="115"/>
      <c r="BA74" s="115"/>
      <c r="BB74" s="115"/>
      <c r="BC74" s="115"/>
      <c r="BD74" s="115"/>
      <c r="BE74" s="115"/>
      <c r="BF74" s="115"/>
      <c r="BG74" s="115"/>
      <c r="BH74" s="115"/>
      <c r="BI74" s="115"/>
      <c r="BJ74" s="115"/>
      <c r="BK74" s="115"/>
      <c r="BL74" s="115"/>
      <c r="BM74" s="115"/>
      <c r="BN74" s="115"/>
    </row>
    <row r="75" spans="2:66" ht="15" customHeight="1">
      <c r="B75" s="95" t="s">
        <v>287</v>
      </c>
      <c r="C75" s="96" t="s">
        <v>288</v>
      </c>
      <c r="D75" s="117" t="s">
        <v>60</v>
      </c>
      <c r="E75" s="98">
        <v>-0.45</v>
      </c>
      <c r="F75" s="99">
        <v>1.4999999999999999E-2</v>
      </c>
      <c r="G75" s="99">
        <v>-1.4999999999999999E-2</v>
      </c>
      <c r="H75" s="100" t="s">
        <v>70</v>
      </c>
      <c r="I75" s="101"/>
      <c r="J75" s="102">
        <f t="shared" si="27"/>
        <v>-0.435</v>
      </c>
      <c r="K75" s="102">
        <f t="shared" si="28"/>
        <v>-0.46500000000000002</v>
      </c>
      <c r="L75" s="118"/>
      <c r="M75" s="104">
        <f t="shared" si="29"/>
        <v>0</v>
      </c>
      <c r="N75" s="104">
        <f t="shared" si="30"/>
        <v>0</v>
      </c>
      <c r="O75" s="104">
        <f t="shared" si="31"/>
        <v>0</v>
      </c>
      <c r="P75" s="105">
        <f t="shared" si="32"/>
        <v>0</v>
      </c>
      <c r="Q75" s="106" t="str">
        <f t="shared" si="33"/>
        <v/>
      </c>
      <c r="R75" s="107" t="str">
        <f>IF(OR($AI75="",ISNUMBER($AI75)=FALSE),"",IF(AND(#REF!="Tolerance",$E75&lt;&gt;""),($O75-$E75)/(($J75-$K75)/2),IF(AND(#REF!="GD&amp;T",$F75&lt;&gt;""),$O75/$F75,"")))</f>
        <v/>
      </c>
      <c r="S75" s="107" t="str">
        <f t="shared" si="12"/>
        <v/>
      </c>
      <c r="T75" s="106" t="str">
        <f t="shared" si="34"/>
        <v/>
      </c>
      <c r="U75" s="106" t="str">
        <f t="shared" si="35"/>
        <v/>
      </c>
      <c r="V75" s="106" t="str">
        <f t="shared" si="36"/>
        <v/>
      </c>
      <c r="W75" s="119" t="str">
        <f t="shared" si="37"/>
        <v/>
      </c>
      <c r="X75" s="109" t="e">
        <f>IF($O75="","",IF(#REF!="Tolerance",IF((#REF!*3*P75+O75)-E75&lt;F75,"",(#REF!*3*P75+O75)-E75),IF(OR(#REF!="GD&amp;T",#REF!="MAX"),IF((#REF!*3*P75+O75)&lt;F75,"",(#REF!*3*P75+O75)),"")))</f>
        <v>#REF!</v>
      </c>
      <c r="Y75" s="109" t="e">
        <f>IF(O75="","",IF(#REF!="Tolerance",IF(-((#REF!*3*P75)-O75)-E75&gt;G75,"",-((#REF!*3*P75)-O75)-E75),IF(#REF!="MIN",IF(-((#REF!*3*P75)-O75)&gt;G75,"",-((#REF!*3*P75)-O75)),"")))</f>
        <v>#REF!</v>
      </c>
      <c r="Z75" s="109">
        <f t="shared" si="38"/>
        <v>-0.45</v>
      </c>
      <c r="AA75" s="109" t="str">
        <f t="shared" si="24"/>
        <v/>
      </c>
      <c r="AB75" s="110"/>
      <c r="AC75" s="111" t="str">
        <f t="shared" si="39"/>
        <v/>
      </c>
      <c r="AD75" s="112"/>
      <c r="AE75" s="113"/>
      <c r="AF75" s="113"/>
      <c r="AG75" s="114"/>
      <c r="AI75" s="115"/>
      <c r="AJ75" s="115"/>
      <c r="AK75" s="115"/>
      <c r="AL75" s="115"/>
      <c r="AM75" s="115"/>
      <c r="AN75" s="115"/>
      <c r="AO75" s="115"/>
      <c r="AP75" s="115"/>
      <c r="AQ75" s="115"/>
      <c r="AR75" s="115"/>
      <c r="AS75" s="115"/>
      <c r="AT75" s="115"/>
      <c r="AU75" s="115"/>
      <c r="AV75" s="115"/>
      <c r="AW75" s="115"/>
      <c r="AX75" s="115"/>
      <c r="AY75" s="115"/>
      <c r="AZ75" s="115"/>
      <c r="BA75" s="115"/>
      <c r="BB75" s="115"/>
      <c r="BC75" s="115"/>
      <c r="BD75" s="115"/>
      <c r="BE75" s="115"/>
      <c r="BF75" s="115"/>
      <c r="BG75" s="115"/>
      <c r="BH75" s="115"/>
      <c r="BI75" s="115"/>
      <c r="BJ75" s="115"/>
      <c r="BK75" s="115"/>
      <c r="BL75" s="115"/>
      <c r="BM75" s="115"/>
      <c r="BN75" s="115"/>
    </row>
    <row r="76" spans="2:66" ht="15" customHeight="1">
      <c r="B76" s="95"/>
      <c r="C76" s="41" t="s">
        <v>206</v>
      </c>
      <c r="D76" s="117" t="s">
        <v>60</v>
      </c>
      <c r="E76" s="43"/>
      <c r="F76" s="43">
        <v>6.0000000000000001E-3</v>
      </c>
      <c r="G76" s="43">
        <v>-0.01</v>
      </c>
      <c r="H76" s="100" t="s">
        <v>70</v>
      </c>
      <c r="I76" s="101"/>
      <c r="J76" s="102">
        <f t="shared" si="27"/>
        <v>6.0000000000000001E-3</v>
      </c>
      <c r="K76" s="102">
        <f t="shared" si="28"/>
        <v>-0.01</v>
      </c>
      <c r="L76" s="118"/>
      <c r="M76" s="104">
        <f t="shared" si="29"/>
        <v>0</v>
      </c>
      <c r="N76" s="104">
        <f t="shared" si="30"/>
        <v>0</v>
      </c>
      <c r="O76" s="104">
        <f t="shared" si="31"/>
        <v>0</v>
      </c>
      <c r="P76" s="105">
        <f t="shared" si="32"/>
        <v>0</v>
      </c>
      <c r="Q76" s="106" t="str">
        <f t="shared" si="33"/>
        <v/>
      </c>
      <c r="R76" s="107" t="str">
        <f>IF(OR($AI76="",ISNUMBER($AI76)=FALSE),"",IF(AND(#REF!="Tolerance",$E76&lt;&gt;""),($O76-$E76)/(($J76-$K76)/2),IF(AND(#REF!="GD&amp;T",$F76&lt;&gt;""),$O76/$F76,"")))</f>
        <v/>
      </c>
      <c r="S76" s="107" t="str">
        <f t="shared" si="12"/>
        <v/>
      </c>
      <c r="T76" s="106" t="str">
        <f t="shared" si="34"/>
        <v/>
      </c>
      <c r="U76" s="106" t="str">
        <f t="shared" si="35"/>
        <v/>
      </c>
      <c r="V76" s="106" t="str">
        <f t="shared" si="36"/>
        <v/>
      </c>
      <c r="W76" s="119" t="str">
        <f t="shared" si="37"/>
        <v/>
      </c>
      <c r="X76" s="109" t="e">
        <f>IF($O76="","",IF(#REF!="Tolerance",IF((#REF!*3*P76+O76)-E76&lt;F76,"",(#REF!*3*P76+O76)-E76),IF(OR(#REF!="GD&amp;T",#REF!="MAX"),IF((#REF!*3*P76+O76)&lt;F76,"",(#REF!*3*P76+O76)),"")))</f>
        <v>#REF!</v>
      </c>
      <c r="Y76" s="109" t="e">
        <f>IF(O76="","",IF(#REF!="Tolerance",IF(-((#REF!*3*P76)-O76)-E76&gt;G76,"",-((#REF!*3*P76)-O76)-E76),IF(#REF!="MIN",IF(-((#REF!*3*P76)-O76)&gt;G76,"",-((#REF!*3*P76)-O76)),"")))</f>
        <v>#REF!</v>
      </c>
      <c r="Z76" s="109" t="str">
        <f t="shared" si="38"/>
        <v/>
      </c>
      <c r="AA76" s="109" t="str">
        <f t="shared" si="24"/>
        <v/>
      </c>
      <c r="AB76" s="110"/>
      <c r="AC76" s="111" t="str">
        <f t="shared" si="39"/>
        <v/>
      </c>
      <c r="AD76" s="112"/>
      <c r="AE76" s="113"/>
      <c r="AF76" s="113"/>
      <c r="AG76" s="114"/>
      <c r="AI76" s="115"/>
      <c r="AJ76" s="115"/>
      <c r="AK76" s="115"/>
      <c r="AL76" s="115"/>
      <c r="AM76" s="115"/>
      <c r="AN76" s="115"/>
      <c r="AO76" s="115"/>
      <c r="AP76" s="115"/>
      <c r="AQ76" s="115"/>
      <c r="AR76" s="115"/>
      <c r="AS76" s="115"/>
      <c r="AT76" s="115"/>
      <c r="AU76" s="115"/>
      <c r="AV76" s="115"/>
      <c r="AW76" s="115"/>
      <c r="AX76" s="115"/>
      <c r="AY76" s="115"/>
      <c r="AZ76" s="115"/>
      <c r="BA76" s="115"/>
      <c r="BB76" s="115"/>
      <c r="BC76" s="115"/>
      <c r="BD76" s="115"/>
      <c r="BE76" s="115"/>
      <c r="BF76" s="115"/>
      <c r="BG76" s="115"/>
      <c r="BH76" s="115"/>
      <c r="BI76" s="115"/>
      <c r="BJ76" s="115"/>
      <c r="BK76" s="115"/>
      <c r="BL76" s="115"/>
      <c r="BM76" s="115"/>
      <c r="BN76" s="115"/>
    </row>
  </sheetData>
  <mergeCells count="6">
    <mergeCell ref="A1:AC1"/>
    <mergeCell ref="B3:K3"/>
    <mergeCell ref="M3:AC3"/>
    <mergeCell ref="AE3:AG3"/>
    <mergeCell ref="AI3:BN4"/>
    <mergeCell ref="X4:Y4"/>
  </mergeCells>
  <phoneticPr fontId="9" type="noConversion"/>
  <conditionalFormatting sqref="AI6:BN76">
    <cfRule type="cellIs" dxfId="6" priority="1" operator="notBetween">
      <formula>$E6+$F6</formula>
      <formula>$E6+$G6</formula>
    </cfRule>
  </conditionalFormatting>
  <conditionalFormatting sqref="AI72:BN72">
    <cfRule type="cellIs" dxfId="5" priority="6" operator="lessThan">
      <formula>-0.005</formula>
    </cfRule>
    <cfRule type="cellIs" dxfId="4" priority="7" operator="greaterThan">
      <formula>0.005</formula>
    </cfRule>
  </conditionalFormatting>
  <conditionalFormatting sqref="AI74:BN74">
    <cfRule type="cellIs" dxfId="3" priority="4" operator="lessThan">
      <formula>-0.005</formula>
    </cfRule>
    <cfRule type="cellIs" dxfId="2" priority="5" operator="greaterThan">
      <formula>0.005</formula>
    </cfRule>
  </conditionalFormatting>
  <conditionalFormatting sqref="AI76:BN76">
    <cfRule type="cellIs" dxfId="1" priority="2" operator="lessThan">
      <formula>-0.008</formula>
    </cfRule>
    <cfRule type="cellIs" dxfId="0" priority="3" operator="greaterThan">
      <formula>0</formula>
    </cfRule>
  </conditionalFormatting>
  <dataValidations count="2">
    <dataValidation type="list" allowBlank="1" showInputMessage="1" showErrorMessage="1" sqref="I6:I76" xr:uid="{55439B87-D4AF-4238-9913-7FA0F3E72283}">
      <formula1>gauging</formula1>
    </dataValidation>
    <dataValidation type="list" allowBlank="1" showInputMessage="1" showErrorMessage="1" sqref="H6:H76" xr:uid="{18D5F3BB-187D-499E-B40A-53549E64DEC7}">
      <formula1>insp_meth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A6D6-F9FA-4D9C-B6FF-394270D9E651}">
  <sheetPr codeName="Sheet5"/>
  <dimension ref="B2:R16"/>
  <sheetViews>
    <sheetView showGridLines="0" zoomScaleNormal="70" workbookViewId="0">
      <selection activeCell="D111" sqref="D111"/>
    </sheetView>
  </sheetViews>
  <sheetFormatPr defaultColWidth="11" defaultRowHeight="18"/>
  <cols>
    <col min="1" max="1" width="1.44140625" style="125" customWidth="1"/>
    <col min="2" max="2" width="7.33203125" style="125" customWidth="1"/>
    <col min="3" max="3" width="20.88671875" style="124" customWidth="1"/>
    <col min="4" max="5" width="30.88671875" style="125" customWidth="1"/>
    <col min="6" max="6" width="13" style="125" customWidth="1"/>
    <col min="7" max="7" width="13" style="124" customWidth="1"/>
    <col min="8" max="13" width="13" style="125" customWidth="1"/>
    <col min="14" max="14" width="60.88671875" style="126" customWidth="1"/>
    <col min="15" max="15" width="60.88671875" style="125" customWidth="1"/>
    <col min="16" max="18" width="29.88671875" style="125" customWidth="1"/>
    <col min="19" max="19" width="11" style="125"/>
    <col min="20" max="20" width="27.6640625" style="125" bestFit="1" customWidth="1"/>
    <col min="21" max="16384" width="11" style="125"/>
  </cols>
  <sheetData>
    <row r="2" spans="2:18" ht="39.950000000000003" customHeight="1">
      <c r="B2" s="122" t="s">
        <v>289</v>
      </c>
      <c r="C2" s="123"/>
      <c r="D2" s="123"/>
      <c r="E2" s="123"/>
      <c r="F2" s="123"/>
    </row>
    <row r="3" spans="2:18" ht="18" customHeight="1">
      <c r="B3" s="123"/>
      <c r="C3" s="123"/>
      <c r="D3" s="123"/>
      <c r="E3" s="123"/>
      <c r="F3" s="123"/>
    </row>
    <row r="4" spans="2:18" s="127" customFormat="1" ht="18.95" customHeight="1">
      <c r="B4" s="188" t="s">
        <v>290</v>
      </c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 t="s">
        <v>18</v>
      </c>
      <c r="Q4" s="189"/>
      <c r="R4" s="189"/>
    </row>
    <row r="5" spans="2:18" s="129" customFormat="1" ht="20.100000000000001" customHeight="1">
      <c r="B5" s="187" t="s">
        <v>291</v>
      </c>
      <c r="C5" s="187" t="s">
        <v>292</v>
      </c>
      <c r="D5" s="187" t="s">
        <v>293</v>
      </c>
      <c r="E5" s="187" t="s">
        <v>294</v>
      </c>
      <c r="F5" s="187" t="s">
        <v>295</v>
      </c>
      <c r="G5" s="187"/>
      <c r="H5" s="187" t="s">
        <v>296</v>
      </c>
      <c r="I5" s="187"/>
      <c r="J5" s="187" t="s">
        <v>297</v>
      </c>
      <c r="K5" s="187"/>
      <c r="L5" s="187"/>
      <c r="M5" s="187"/>
      <c r="N5" s="187" t="s">
        <v>298</v>
      </c>
      <c r="O5" s="187" t="s">
        <v>299</v>
      </c>
      <c r="P5" s="187" t="s">
        <v>300</v>
      </c>
      <c r="Q5" s="187" t="s">
        <v>301</v>
      </c>
      <c r="R5" s="187" t="s">
        <v>302</v>
      </c>
    </row>
    <row r="6" spans="2:18" s="129" customFormat="1" ht="20.100000000000001" customHeight="1">
      <c r="B6" s="187"/>
      <c r="C6" s="187"/>
      <c r="D6" s="187"/>
      <c r="E6" s="187"/>
      <c r="F6" s="128" t="s">
        <v>303</v>
      </c>
      <c r="G6" s="128" t="s">
        <v>304</v>
      </c>
      <c r="H6" s="128" t="s">
        <v>305</v>
      </c>
      <c r="I6" s="128" t="s">
        <v>304</v>
      </c>
      <c r="J6" s="128" t="s">
        <v>306</v>
      </c>
      <c r="K6" s="128" t="s">
        <v>307</v>
      </c>
      <c r="L6" s="128" t="s">
        <v>308</v>
      </c>
      <c r="M6" s="128" t="s">
        <v>309</v>
      </c>
      <c r="N6" s="187"/>
      <c r="O6" s="187"/>
      <c r="P6" s="187"/>
      <c r="Q6" s="187"/>
      <c r="R6" s="187"/>
    </row>
    <row r="7" spans="2:18" s="127" customFormat="1" ht="40.15" customHeight="1">
      <c r="B7" s="130">
        <v>1</v>
      </c>
      <c r="C7" s="131"/>
      <c r="D7" s="131"/>
      <c r="E7" s="132"/>
      <c r="F7" s="133"/>
      <c r="G7" s="133"/>
      <c r="H7" s="134"/>
      <c r="I7" s="133"/>
      <c r="J7" s="133"/>
      <c r="K7" s="133"/>
      <c r="L7" s="133"/>
      <c r="M7" s="133"/>
      <c r="N7" s="135"/>
      <c r="O7" s="136"/>
      <c r="P7" s="137"/>
      <c r="Q7" s="137"/>
      <c r="R7" s="137"/>
    </row>
    <row r="8" spans="2:18" s="127" customFormat="1" ht="39.950000000000003" customHeight="1">
      <c r="B8" s="130">
        <v>2</v>
      </c>
      <c r="C8" s="131"/>
      <c r="D8" s="138"/>
      <c r="E8" s="132"/>
      <c r="F8" s="133"/>
      <c r="G8" s="133"/>
      <c r="H8" s="134"/>
      <c r="I8" s="133"/>
      <c r="J8" s="133"/>
      <c r="K8" s="133"/>
      <c r="L8" s="133"/>
      <c r="M8" s="133"/>
      <c r="N8" s="135"/>
      <c r="O8" s="139"/>
      <c r="P8" s="137"/>
      <c r="Q8" s="137"/>
      <c r="R8" s="137"/>
    </row>
    <row r="9" spans="2:18" s="127" customFormat="1" ht="39.950000000000003" customHeight="1">
      <c r="B9" s="130">
        <v>3</v>
      </c>
      <c r="C9" s="131"/>
      <c r="D9" s="138"/>
      <c r="E9" s="132"/>
      <c r="F9" s="133"/>
      <c r="G9" s="133"/>
      <c r="H9" s="134"/>
      <c r="I9" s="133"/>
      <c r="J9" s="133"/>
      <c r="K9" s="133"/>
      <c r="L9" s="133"/>
      <c r="M9" s="133"/>
      <c r="N9" s="135"/>
      <c r="O9" s="139"/>
      <c r="P9" s="137"/>
      <c r="Q9" s="137"/>
      <c r="R9" s="137"/>
    </row>
    <row r="10" spans="2:18" s="127" customFormat="1" ht="39.950000000000003" customHeight="1">
      <c r="B10" s="130">
        <v>4</v>
      </c>
      <c r="C10" s="131"/>
      <c r="D10" s="138"/>
      <c r="E10" s="132"/>
      <c r="F10" s="133"/>
      <c r="G10" s="133"/>
      <c r="H10" s="134"/>
      <c r="I10" s="133"/>
      <c r="J10" s="133"/>
      <c r="K10" s="133"/>
      <c r="L10" s="133"/>
      <c r="M10" s="133"/>
      <c r="N10" s="135"/>
      <c r="O10" s="139"/>
      <c r="P10" s="137"/>
      <c r="Q10" s="137"/>
      <c r="R10" s="137"/>
    </row>
    <row r="11" spans="2:18" s="127" customFormat="1" ht="39.950000000000003" customHeight="1">
      <c r="B11" s="130">
        <v>5</v>
      </c>
      <c r="C11" s="131"/>
      <c r="D11" s="138"/>
      <c r="E11" s="132"/>
      <c r="F11" s="133"/>
      <c r="G11" s="133"/>
      <c r="H11" s="134"/>
      <c r="I11" s="133"/>
      <c r="J11" s="133"/>
      <c r="K11" s="133"/>
      <c r="L11" s="133"/>
      <c r="M11" s="133"/>
      <c r="N11" s="135"/>
      <c r="O11" s="139"/>
      <c r="P11" s="137"/>
      <c r="Q11" s="137"/>
      <c r="R11" s="137"/>
    </row>
    <row r="12" spans="2:18" s="127" customFormat="1" ht="39.950000000000003" customHeight="1">
      <c r="B12" s="130">
        <v>6</v>
      </c>
      <c r="C12" s="131"/>
      <c r="D12" s="138"/>
      <c r="E12" s="132"/>
      <c r="F12" s="133"/>
      <c r="G12" s="133"/>
      <c r="H12" s="134"/>
      <c r="I12" s="133"/>
      <c r="J12" s="133"/>
      <c r="K12" s="133"/>
      <c r="L12" s="133"/>
      <c r="M12" s="133"/>
      <c r="N12" s="135"/>
      <c r="O12" s="139"/>
      <c r="P12" s="137"/>
      <c r="Q12" s="137"/>
      <c r="R12" s="137"/>
    </row>
    <row r="13" spans="2:18" s="127" customFormat="1" ht="39.950000000000003" customHeight="1">
      <c r="B13" s="130">
        <v>7</v>
      </c>
      <c r="C13" s="131"/>
      <c r="D13" s="138"/>
      <c r="E13" s="132"/>
      <c r="F13" s="133"/>
      <c r="G13" s="133"/>
      <c r="H13" s="134"/>
      <c r="I13" s="133"/>
      <c r="J13" s="133"/>
      <c r="K13" s="133"/>
      <c r="L13" s="133"/>
      <c r="M13" s="133"/>
      <c r="N13" s="135"/>
      <c r="O13" s="139"/>
      <c r="P13" s="137"/>
      <c r="Q13" s="137"/>
      <c r="R13" s="137"/>
    </row>
    <row r="14" spans="2:18" s="127" customFormat="1" ht="39.950000000000003" customHeight="1">
      <c r="B14" s="130">
        <v>8</v>
      </c>
      <c r="C14" s="131"/>
      <c r="D14" s="138"/>
      <c r="E14" s="132"/>
      <c r="F14" s="133"/>
      <c r="G14" s="133"/>
      <c r="H14" s="134"/>
      <c r="I14" s="133"/>
      <c r="J14" s="133"/>
      <c r="K14" s="133"/>
      <c r="L14" s="133"/>
      <c r="M14" s="133"/>
      <c r="N14" s="135"/>
      <c r="O14" s="139"/>
      <c r="P14" s="137"/>
      <c r="Q14" s="137"/>
      <c r="R14" s="137"/>
    </row>
    <row r="15" spans="2:18" s="127" customFormat="1" ht="39.950000000000003" customHeight="1">
      <c r="B15" s="130">
        <v>9</v>
      </c>
      <c r="C15" s="131"/>
      <c r="D15" s="138"/>
      <c r="E15" s="132"/>
      <c r="F15" s="133"/>
      <c r="G15" s="133"/>
      <c r="H15" s="134"/>
      <c r="I15" s="133"/>
      <c r="J15" s="133"/>
      <c r="K15" s="133"/>
      <c r="L15" s="133"/>
      <c r="M15" s="133"/>
      <c r="N15" s="135"/>
      <c r="O15" s="139"/>
      <c r="P15" s="137"/>
      <c r="Q15" s="137"/>
      <c r="R15" s="137"/>
    </row>
    <row r="16" spans="2:18" s="127" customFormat="1" ht="39.950000000000003" customHeight="1">
      <c r="B16" s="130">
        <v>10</v>
      </c>
      <c r="C16" s="131"/>
      <c r="D16" s="138"/>
      <c r="E16" s="132"/>
      <c r="F16" s="133"/>
      <c r="G16" s="133"/>
      <c r="H16" s="134"/>
      <c r="I16" s="133"/>
      <c r="J16" s="133"/>
      <c r="K16" s="133"/>
      <c r="L16" s="133"/>
      <c r="M16" s="133"/>
      <c r="N16" s="135"/>
      <c r="O16" s="139"/>
      <c r="P16" s="137"/>
      <c r="Q16" s="137"/>
      <c r="R16" s="137"/>
    </row>
  </sheetData>
  <mergeCells count="14">
    <mergeCell ref="O5:O6"/>
    <mergeCell ref="P5:P6"/>
    <mergeCell ref="Q5:Q6"/>
    <mergeCell ref="R5:R6"/>
    <mergeCell ref="B4:O4"/>
    <mergeCell ref="P4:R4"/>
    <mergeCell ref="B5:B6"/>
    <mergeCell ref="C5:C6"/>
    <mergeCell ref="D5:D6"/>
    <mergeCell ref="E5:E6"/>
    <mergeCell ref="F5:G5"/>
    <mergeCell ref="H5:I5"/>
    <mergeCell ref="J5:M5"/>
    <mergeCell ref="N5:N6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F21D-DE11-4040-9CCF-ED535F7BDE56}">
  <sheetPr codeName="Sheet6"/>
  <dimension ref="B2:W207"/>
  <sheetViews>
    <sheetView showGridLines="0" zoomScale="70" zoomScaleNormal="70" workbookViewId="0">
      <selection activeCell="D111" sqref="D111"/>
    </sheetView>
  </sheetViews>
  <sheetFormatPr defaultColWidth="11" defaultRowHeight="18"/>
  <cols>
    <col min="1" max="1" width="1.44140625" style="125" customWidth="1"/>
    <col min="2" max="2" width="7.33203125" style="125" customWidth="1"/>
    <col min="3" max="3" width="15.88671875" style="124" customWidth="1"/>
    <col min="4" max="4" width="15.88671875" style="125" customWidth="1"/>
    <col min="5" max="6" width="30.88671875" style="125" customWidth="1"/>
    <col min="7" max="8" width="13" style="125" customWidth="1"/>
    <col min="9" max="9" width="13" style="124" customWidth="1"/>
    <col min="10" max="18" width="15.88671875" style="125" customWidth="1"/>
    <col min="19" max="19" width="60.88671875" style="126" customWidth="1"/>
    <col min="20" max="20" width="60.88671875" style="125" customWidth="1"/>
    <col min="21" max="23" width="29.88671875" style="125" hidden="1" customWidth="1"/>
    <col min="24" max="24" width="11" style="125"/>
    <col min="25" max="25" width="27.6640625" style="125" bestFit="1" customWidth="1"/>
    <col min="26" max="16384" width="11" style="125"/>
  </cols>
  <sheetData>
    <row r="2" spans="2:23" ht="39.950000000000003" customHeight="1">
      <c r="B2" s="122" t="s">
        <v>310</v>
      </c>
      <c r="C2" s="123"/>
      <c r="D2" s="123"/>
      <c r="E2" s="123"/>
      <c r="F2" s="123"/>
      <c r="G2" s="123"/>
      <c r="H2" s="123"/>
    </row>
    <row r="3" spans="2:23" ht="18" customHeight="1">
      <c r="B3" s="123"/>
      <c r="C3" s="123"/>
      <c r="D3" s="123"/>
      <c r="E3" s="123"/>
      <c r="F3" s="123"/>
      <c r="G3" s="123"/>
      <c r="H3" s="123"/>
    </row>
    <row r="4" spans="2:23" s="127" customFormat="1" ht="18.95" customHeight="1">
      <c r="B4" s="188" t="s">
        <v>290</v>
      </c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9" t="s">
        <v>18</v>
      </c>
      <c r="V4" s="189"/>
      <c r="W4" s="189"/>
    </row>
    <row r="5" spans="2:23" s="129" customFormat="1" ht="20.100000000000001" customHeight="1">
      <c r="B5" s="187" t="s">
        <v>291</v>
      </c>
      <c r="C5" s="187" t="s">
        <v>311</v>
      </c>
      <c r="D5" s="187" t="s">
        <v>312</v>
      </c>
      <c r="E5" s="187" t="s">
        <v>293</v>
      </c>
      <c r="F5" s="187" t="s">
        <v>313</v>
      </c>
      <c r="G5" s="187" t="s">
        <v>314</v>
      </c>
      <c r="H5" s="187"/>
      <c r="I5" s="187"/>
      <c r="J5" s="187" t="s">
        <v>235</v>
      </c>
      <c r="K5" s="187"/>
      <c r="L5" s="187"/>
      <c r="M5" s="187" t="s">
        <v>315</v>
      </c>
      <c r="N5" s="187"/>
      <c r="O5" s="187"/>
      <c r="P5" s="187"/>
      <c r="Q5" s="187"/>
      <c r="R5" s="187"/>
      <c r="S5" s="187" t="s">
        <v>298</v>
      </c>
      <c r="T5" s="187" t="s">
        <v>299</v>
      </c>
      <c r="U5" s="187" t="s">
        <v>300</v>
      </c>
      <c r="V5" s="187" t="s">
        <v>301</v>
      </c>
      <c r="W5" s="187" t="s">
        <v>302</v>
      </c>
    </row>
    <row r="6" spans="2:23" s="129" customFormat="1" ht="20.100000000000001" customHeight="1">
      <c r="B6" s="187"/>
      <c r="C6" s="187"/>
      <c r="D6" s="187"/>
      <c r="E6" s="187"/>
      <c r="F6" s="187"/>
      <c r="G6" s="128" t="s">
        <v>43</v>
      </c>
      <c r="H6" s="128" t="s">
        <v>316</v>
      </c>
      <c r="I6" s="128" t="s">
        <v>317</v>
      </c>
      <c r="J6" s="128" t="s">
        <v>229</v>
      </c>
      <c r="K6" s="128" t="s">
        <v>234</v>
      </c>
      <c r="L6" s="128" t="s">
        <v>318</v>
      </c>
      <c r="M6" s="128" t="s">
        <v>43</v>
      </c>
      <c r="N6" s="128" t="s">
        <v>316</v>
      </c>
      <c r="O6" s="128" t="s">
        <v>317</v>
      </c>
      <c r="P6" s="128" t="s">
        <v>229</v>
      </c>
      <c r="Q6" s="128" t="s">
        <v>234</v>
      </c>
      <c r="R6" s="128" t="s">
        <v>318</v>
      </c>
      <c r="S6" s="187"/>
      <c r="T6" s="187"/>
      <c r="U6" s="187"/>
      <c r="V6" s="187"/>
      <c r="W6" s="187"/>
    </row>
    <row r="7" spans="2:23" s="127" customFormat="1" ht="39.950000000000003" customHeight="1">
      <c r="B7" s="130">
        <v>1</v>
      </c>
      <c r="C7" s="131"/>
      <c r="D7" s="131"/>
      <c r="E7" s="131"/>
      <c r="F7" s="131"/>
      <c r="G7" s="140"/>
      <c r="H7" s="140"/>
      <c r="I7" s="140"/>
      <c r="J7" s="140"/>
      <c r="K7" s="140"/>
      <c r="L7" s="140"/>
      <c r="M7" s="133"/>
      <c r="N7" s="133"/>
      <c r="O7" s="133"/>
      <c r="P7" s="133"/>
      <c r="Q7" s="133"/>
      <c r="R7" s="133"/>
      <c r="S7" s="141"/>
      <c r="T7" s="139"/>
      <c r="U7" s="137"/>
      <c r="V7" s="137"/>
      <c r="W7" s="137"/>
    </row>
    <row r="8" spans="2:23" s="127" customFormat="1" ht="40.15" customHeight="1">
      <c r="B8" s="130">
        <v>2</v>
      </c>
      <c r="C8" s="131"/>
      <c r="D8" s="131"/>
      <c r="E8" s="131"/>
      <c r="F8" s="131"/>
      <c r="G8" s="140"/>
      <c r="H8" s="140"/>
      <c r="I8" s="140"/>
      <c r="J8" s="140"/>
      <c r="K8" s="140"/>
      <c r="L8" s="140"/>
      <c r="M8" s="133"/>
      <c r="N8" s="133"/>
      <c r="O8" s="133"/>
      <c r="P8" s="133"/>
      <c r="Q8" s="133"/>
      <c r="R8" s="133"/>
      <c r="S8" s="142"/>
      <c r="T8" s="139"/>
      <c r="U8" s="137"/>
      <c r="V8" s="137"/>
      <c r="W8" s="137"/>
    </row>
    <row r="9" spans="2:23" s="127" customFormat="1" ht="39.950000000000003" customHeight="1">
      <c r="B9" s="130">
        <v>3</v>
      </c>
      <c r="C9" s="131"/>
      <c r="D9" s="131"/>
      <c r="E9" s="131"/>
      <c r="F9" s="131"/>
      <c r="G9" s="138"/>
      <c r="H9" s="133"/>
      <c r="I9" s="133"/>
      <c r="J9" s="135"/>
      <c r="K9" s="139"/>
      <c r="L9" s="137"/>
      <c r="M9" s="137"/>
      <c r="N9" s="137"/>
      <c r="O9" s="137"/>
      <c r="P9" s="137"/>
      <c r="Q9" s="137"/>
      <c r="R9" s="137"/>
      <c r="S9" s="137"/>
      <c r="T9" s="137"/>
    </row>
    <row r="10" spans="2:23" s="127" customFormat="1" ht="39.950000000000003" customHeight="1">
      <c r="B10" s="130">
        <v>4</v>
      </c>
      <c r="C10" s="131"/>
      <c r="D10" s="131"/>
      <c r="E10" s="131"/>
      <c r="F10" s="131"/>
      <c r="G10" s="138"/>
      <c r="H10" s="133"/>
      <c r="I10" s="133"/>
      <c r="J10" s="135"/>
      <c r="K10" s="139"/>
      <c r="L10" s="137"/>
      <c r="M10" s="137"/>
      <c r="N10" s="137"/>
      <c r="O10" s="137"/>
      <c r="P10" s="137"/>
      <c r="Q10" s="137"/>
      <c r="R10" s="137"/>
      <c r="S10" s="137"/>
      <c r="T10" s="137"/>
    </row>
    <row r="11" spans="2:23" s="127" customFormat="1" ht="39.950000000000003" customHeight="1">
      <c r="B11" s="130">
        <v>5</v>
      </c>
      <c r="C11" s="131"/>
      <c r="D11" s="131"/>
      <c r="E11" s="131"/>
      <c r="F11" s="131"/>
      <c r="G11" s="138"/>
      <c r="H11" s="133"/>
      <c r="I11" s="133"/>
      <c r="J11" s="135"/>
      <c r="K11" s="139"/>
      <c r="L11" s="137"/>
      <c r="M11" s="137"/>
      <c r="N11" s="137"/>
      <c r="O11" s="137"/>
      <c r="P11" s="137"/>
      <c r="Q11" s="137"/>
      <c r="R11" s="137"/>
      <c r="S11" s="137"/>
      <c r="T11" s="137"/>
    </row>
    <row r="143" spans="11:14">
      <c r="K143" s="125">
        <v>2.3400000000000001E-2</v>
      </c>
      <c r="L143" s="125">
        <v>2.29E-2</v>
      </c>
      <c r="M143" s="125">
        <v>1.6299999999999999E-2</v>
      </c>
      <c r="N143" s="125">
        <v>2.1399999999999864E-2</v>
      </c>
    </row>
    <row r="144" spans="11:14">
      <c r="K144" s="125">
        <v>3.8043999999999998</v>
      </c>
      <c r="L144" s="125">
        <v>3.8050000000000002</v>
      </c>
      <c r="M144" s="125">
        <v>3.8065000000000002</v>
      </c>
      <c r="N144" s="125">
        <v>3.8069999999999999</v>
      </c>
    </row>
    <row r="145" spans="11:14">
      <c r="K145" s="125">
        <v>3.8022999999999998</v>
      </c>
      <c r="L145" s="125">
        <v>3.8048000000000002</v>
      </c>
      <c r="M145" s="125">
        <v>3.8027000000000002</v>
      </c>
      <c r="N145" s="125">
        <v>3.7972999999999999</v>
      </c>
    </row>
    <row r="146" spans="11:14">
      <c r="K146" s="125">
        <v>1.1999999999999999E-3</v>
      </c>
      <c r="L146" s="125">
        <v>1.8E-3</v>
      </c>
      <c r="M146" s="125">
        <v>1.1000000000000001E-3</v>
      </c>
      <c r="N146" s="125">
        <v>1.6000000000000001E-3</v>
      </c>
    </row>
    <row r="147" spans="11:14">
      <c r="K147" s="125">
        <v>3.8309000000000002</v>
      </c>
      <c r="L147" s="125">
        <v>3.8290000000000002</v>
      </c>
      <c r="M147" s="125">
        <v>3.8308</v>
      </c>
      <c r="N147" s="125">
        <v>3.8304999999999998</v>
      </c>
    </row>
    <row r="148" spans="11:14">
      <c r="K148" s="125">
        <v>3.8237000000000001</v>
      </c>
      <c r="L148" s="125">
        <v>3.8235999999999999</v>
      </c>
      <c r="M148" s="125">
        <v>3.8233999999999999</v>
      </c>
      <c r="N148" s="125">
        <v>3.8250000000000002</v>
      </c>
    </row>
    <row r="149" spans="11:14">
      <c r="K149" s="125">
        <v>3.7000000000000002E-3</v>
      </c>
      <c r="L149" s="125">
        <v>2.8E-3</v>
      </c>
      <c r="M149" s="125">
        <v>2.3E-3</v>
      </c>
      <c r="N149" s="125">
        <v>1.9E-3</v>
      </c>
    </row>
    <row r="150" spans="11:14">
      <c r="K150" s="125">
        <v>2.3E-3</v>
      </c>
      <c r="L150" s="125">
        <v>2E-3</v>
      </c>
      <c r="M150" s="125">
        <v>1.9E-3</v>
      </c>
      <c r="N150" s="125">
        <v>2.3E-3</v>
      </c>
    </row>
    <row r="151" spans="11:14">
      <c r="K151" s="125">
        <v>4.1000000000000003E-3</v>
      </c>
      <c r="L151" s="125">
        <v>3.3E-3</v>
      </c>
      <c r="M151" s="125">
        <v>4.0000000000000001E-3</v>
      </c>
      <c r="N151" s="125">
        <v>4.8999999999999998E-3</v>
      </c>
    </row>
    <row r="152" spans="11:14">
      <c r="K152" s="125">
        <v>1.9E-3</v>
      </c>
      <c r="L152" s="125">
        <v>2E-3</v>
      </c>
      <c r="M152" s="125">
        <v>2.3E-3</v>
      </c>
      <c r="N152" s="125">
        <v>1.6999999999999999E-3</v>
      </c>
    </row>
    <row r="153" spans="11:14">
      <c r="K153" s="125">
        <v>1.6000000000000001E-3</v>
      </c>
      <c r="L153" s="125">
        <v>1.6000000000000001E-3</v>
      </c>
      <c r="M153" s="125">
        <v>1.5E-3</v>
      </c>
      <c r="N153" s="125">
        <v>1.8E-3</v>
      </c>
    </row>
    <row r="154" spans="11:14">
      <c r="K154" s="125">
        <v>3.8999999999999998E-3</v>
      </c>
      <c r="L154" s="125">
        <v>3.2000000000000002E-3</v>
      </c>
      <c r="M154" s="125">
        <v>3.7000000000000002E-3</v>
      </c>
      <c r="N154" s="125">
        <v>3.8E-3</v>
      </c>
    </row>
    <row r="155" spans="11:14">
      <c r="K155" s="125">
        <v>8.5000000000000006E-3</v>
      </c>
      <c r="L155" s="125">
        <v>8.0999999999999996E-3</v>
      </c>
      <c r="M155" s="125">
        <v>8.0000000000000002E-3</v>
      </c>
      <c r="N155" s="125">
        <v>3.3999999999999998E-3</v>
      </c>
    </row>
    <row r="156" spans="11:14">
      <c r="K156" s="125">
        <v>1.8100000000000002E-2</v>
      </c>
      <c r="L156" s="125">
        <v>1.6899999999999998E-2</v>
      </c>
      <c r="M156" s="125">
        <v>1.7999999999999999E-2</v>
      </c>
      <c r="N156" s="125">
        <v>1.89E-2</v>
      </c>
    </row>
    <row r="157" spans="11:14">
      <c r="K157" s="125">
        <v>18.197800000000001</v>
      </c>
      <c r="L157" s="125">
        <v>18.203600000000002</v>
      </c>
      <c r="M157" s="125">
        <v>18.202000000000002</v>
      </c>
      <c r="N157" s="125">
        <v>18.2043</v>
      </c>
    </row>
    <row r="158" spans="11:14">
      <c r="K158" s="125">
        <v>18.195499999999999</v>
      </c>
      <c r="L158" s="125">
        <v>18.198699999999999</v>
      </c>
      <c r="M158" s="125">
        <v>18.1982</v>
      </c>
      <c r="N158" s="125">
        <v>18.199400000000001</v>
      </c>
    </row>
    <row r="159" spans="11:14">
      <c r="K159" s="125">
        <v>18.203800000000001</v>
      </c>
      <c r="L159" s="125">
        <v>18.204699999999999</v>
      </c>
      <c r="M159" s="125">
        <v>18.204599999999999</v>
      </c>
      <c r="N159" s="125">
        <v>18.207699999999999</v>
      </c>
    </row>
    <row r="160" spans="11:14">
      <c r="K160" s="125">
        <v>17.216000000000001</v>
      </c>
      <c r="L160" s="125">
        <v>17.2149</v>
      </c>
      <c r="M160" s="125">
        <v>17.213200000000001</v>
      </c>
      <c r="N160" s="125">
        <v>17.211500000000001</v>
      </c>
    </row>
    <row r="161" spans="11:14">
      <c r="K161" s="125">
        <v>14.5411</v>
      </c>
      <c r="L161" s="125">
        <v>14.541700000000001</v>
      </c>
      <c r="M161" s="125">
        <v>14.543200000000001</v>
      </c>
      <c r="N161" s="125">
        <v>14.5487</v>
      </c>
    </row>
    <row r="162" spans="11:14">
      <c r="K162" s="125">
        <v>3.8601999999999999</v>
      </c>
      <c r="L162" s="125">
        <v>3.8622999999999998</v>
      </c>
      <c r="M162" s="125">
        <v>3.8601000000000001</v>
      </c>
      <c r="N162" s="125">
        <v>3.8603000000000001</v>
      </c>
    </row>
    <row r="163" spans="11:14">
      <c r="K163" s="125">
        <v>7.7363999999999997</v>
      </c>
      <c r="L163" s="125">
        <v>7.7366999999999999</v>
      </c>
      <c r="M163" s="125">
        <v>7.7394999999999996</v>
      </c>
      <c r="N163" s="125">
        <v>7.7366000000000001</v>
      </c>
    </row>
    <row r="164" spans="11:14">
      <c r="K164" s="125">
        <v>7.7245999999999997</v>
      </c>
      <c r="L164" s="125">
        <v>7.7236000000000002</v>
      </c>
      <c r="M164" s="125">
        <v>7.7252999999999998</v>
      </c>
      <c r="N164" s="125">
        <v>7.7263000000000002</v>
      </c>
    </row>
    <row r="165" spans="11:14">
      <c r="K165" s="125">
        <v>9.0328999999999997</v>
      </c>
      <c r="L165" s="125">
        <v>9.0351999999999997</v>
      </c>
      <c r="M165" s="125">
        <v>9.0253999999999994</v>
      </c>
      <c r="N165" s="125">
        <v>9.0373999999999999</v>
      </c>
    </row>
    <row r="166" spans="11:14">
      <c r="K166" s="125">
        <v>22.351099999999999</v>
      </c>
      <c r="L166" s="125">
        <v>22.352799999999998</v>
      </c>
      <c r="M166" s="125">
        <v>22.3537</v>
      </c>
      <c r="N166" s="125">
        <v>22.365100000000002</v>
      </c>
    </row>
    <row r="167" spans="11:14">
      <c r="K167" s="125">
        <v>20.3459</v>
      </c>
      <c r="L167" s="125">
        <v>20.349699999999999</v>
      </c>
      <c r="M167" s="125">
        <v>20.345199999999998</v>
      </c>
      <c r="N167" s="125">
        <v>20.345800000000001</v>
      </c>
    </row>
    <row r="168" spans="11:14">
      <c r="K168" s="125">
        <v>21.7639</v>
      </c>
      <c r="L168" s="125">
        <v>21.763100000000001</v>
      </c>
      <c r="M168" s="125">
        <v>21.7637</v>
      </c>
      <c r="N168" s="125">
        <v>21.765999999999998</v>
      </c>
    </row>
    <row r="169" spans="11:14">
      <c r="K169" s="125">
        <v>7.8285</v>
      </c>
      <c r="L169" s="125">
        <v>7.8338999999999999</v>
      </c>
      <c r="M169" s="125">
        <v>7.8289999999999997</v>
      </c>
      <c r="N169" s="125">
        <v>7.8335999999999997</v>
      </c>
    </row>
    <row r="170" spans="11:14">
      <c r="K170" s="125">
        <v>7.8151000000000002</v>
      </c>
      <c r="L170" s="125">
        <v>7.8173000000000004</v>
      </c>
      <c r="M170" s="125">
        <v>7.8125999999999998</v>
      </c>
      <c r="N170" s="125">
        <v>7.8223000000000003</v>
      </c>
    </row>
    <row r="171" spans="11:14">
      <c r="K171" s="125">
        <v>21.118600000000001</v>
      </c>
      <c r="L171" s="125">
        <v>21.1264</v>
      </c>
      <c r="M171" s="125">
        <v>21.126899999999999</v>
      </c>
      <c r="N171" s="125">
        <v>21.134599999999999</v>
      </c>
    </row>
    <row r="172" spans="11:14">
      <c r="K172" s="125">
        <v>21.1295</v>
      </c>
      <c r="L172" s="125">
        <v>21.1295</v>
      </c>
      <c r="M172" s="125">
        <v>21.135100000000001</v>
      </c>
      <c r="N172" s="125">
        <v>21.133700000000001</v>
      </c>
    </row>
    <row r="173" spans="11:14">
      <c r="K173" s="125">
        <v>21.129100000000001</v>
      </c>
      <c r="L173" s="125">
        <v>21.128900000000002</v>
      </c>
      <c r="M173" s="125">
        <v>21.133099999999999</v>
      </c>
      <c r="N173" s="125">
        <v>21.128299999999999</v>
      </c>
    </row>
    <row r="174" spans="11:14">
      <c r="K174" s="125">
        <v>21.490200000000002</v>
      </c>
      <c r="L174" s="125">
        <v>21.495000000000001</v>
      </c>
      <c r="M174" s="125">
        <v>21.491399999999999</v>
      </c>
      <c r="N174" s="125">
        <v>21.490200000000002</v>
      </c>
    </row>
    <row r="175" spans="11:14">
      <c r="K175" s="125">
        <v>21.500399999999999</v>
      </c>
      <c r="L175" s="125">
        <v>21.504100000000001</v>
      </c>
      <c r="M175" s="125">
        <v>21.501000000000001</v>
      </c>
      <c r="N175" s="125">
        <v>21.506399999999999</v>
      </c>
    </row>
    <row r="176" spans="11:14">
      <c r="K176" s="125">
        <v>16.889800000000001</v>
      </c>
      <c r="L176" s="125">
        <v>16.8887</v>
      </c>
      <c r="M176" s="125">
        <v>16.888300000000001</v>
      </c>
      <c r="N176" s="125">
        <v>16.881699999999999</v>
      </c>
    </row>
    <row r="177" spans="11:14">
      <c r="K177" s="125">
        <v>16.883700000000001</v>
      </c>
      <c r="L177" s="125">
        <v>16.8843</v>
      </c>
      <c r="M177" s="125">
        <v>16.885400000000001</v>
      </c>
      <c r="N177" s="125">
        <v>16.8825</v>
      </c>
    </row>
    <row r="178" spans="11:14">
      <c r="K178" s="125">
        <v>16.8901</v>
      </c>
      <c r="L178" s="125">
        <v>16.892900000000001</v>
      </c>
      <c r="M178" s="125">
        <v>16.893000000000001</v>
      </c>
      <c r="N178" s="125">
        <v>16.893799999999999</v>
      </c>
    </row>
    <row r="179" spans="11:14">
      <c r="K179" s="125">
        <v>1.5369999999999999</v>
      </c>
      <c r="L179" s="125">
        <v>1.5390999999999999</v>
      </c>
      <c r="M179" s="125">
        <v>1.5366</v>
      </c>
      <c r="N179" s="125">
        <v>1.5319</v>
      </c>
    </row>
    <row r="180" spans="11:14">
      <c r="K180" s="125">
        <v>1.5287999999999999</v>
      </c>
      <c r="L180" s="125">
        <v>1.5324</v>
      </c>
      <c r="M180" s="125">
        <v>1.5294000000000001</v>
      </c>
      <c r="N180" s="125">
        <v>1.5378000000000001</v>
      </c>
    </row>
    <row r="181" spans="11:14">
      <c r="K181" s="125">
        <v>0.73799999999999999</v>
      </c>
      <c r="L181" s="125">
        <v>0.74129999999999996</v>
      </c>
      <c r="M181" s="125">
        <v>0.73870000000000002</v>
      </c>
      <c r="N181" s="125">
        <v>0.73460000000000003</v>
      </c>
    </row>
    <row r="182" spans="11:14">
      <c r="K182" s="125">
        <v>0.93440000000000001</v>
      </c>
      <c r="L182" s="125">
        <v>0.9355</v>
      </c>
      <c r="M182" s="125">
        <v>0.9345</v>
      </c>
      <c r="N182" s="125">
        <v>0.94310000000000005</v>
      </c>
    </row>
    <row r="183" spans="11:14">
      <c r="K183" s="125">
        <v>0.9304</v>
      </c>
      <c r="L183" s="125">
        <v>0.92859999999999998</v>
      </c>
      <c r="M183" s="125">
        <v>0.93100000000000005</v>
      </c>
      <c r="N183" s="125">
        <v>0.93159999999999998</v>
      </c>
    </row>
    <row r="184" spans="11:14">
      <c r="K184" s="125">
        <v>0.93</v>
      </c>
      <c r="L184" s="125">
        <v>0.92900000000000005</v>
      </c>
      <c r="M184" s="125">
        <v>0.93089999999999995</v>
      </c>
      <c r="N184" s="125">
        <v>0.93530000000000002</v>
      </c>
    </row>
    <row r="185" spans="11:14">
      <c r="K185" s="125">
        <v>0.93459999999999999</v>
      </c>
      <c r="L185" s="125">
        <v>0.93130000000000002</v>
      </c>
      <c r="M185" s="125">
        <v>0.93269999999999997</v>
      </c>
      <c r="N185" s="125">
        <v>0.93889999999999996</v>
      </c>
    </row>
    <row r="186" spans="11:14">
      <c r="K186" s="125">
        <v>0.93679999999999997</v>
      </c>
      <c r="L186" s="125">
        <v>0.93510000000000004</v>
      </c>
      <c r="M186" s="125">
        <v>0.93430000000000002</v>
      </c>
      <c r="N186" s="125">
        <v>0.94040000000000001</v>
      </c>
    </row>
    <row r="187" spans="11:14">
      <c r="K187" s="125">
        <v>16.815899999999999</v>
      </c>
      <c r="L187" s="125">
        <v>16.8157</v>
      </c>
      <c r="M187" s="125">
        <v>16.817</v>
      </c>
      <c r="N187" s="125">
        <v>16.815799999999999</v>
      </c>
    </row>
    <row r="188" spans="11:14">
      <c r="K188" s="125">
        <v>0.40550000000000003</v>
      </c>
      <c r="L188" s="125">
        <v>0.40579999999999999</v>
      </c>
      <c r="M188" s="125">
        <v>0.40479999999999999</v>
      </c>
      <c r="N188" s="125">
        <v>0.40649999999999997</v>
      </c>
    </row>
    <row r="189" spans="11:14">
      <c r="K189" s="125">
        <v>9.9000000000000008E-3</v>
      </c>
      <c r="L189" s="125">
        <v>1.04E-2</v>
      </c>
      <c r="M189" s="125">
        <v>2.4E-2</v>
      </c>
      <c r="N189" s="125">
        <v>1.34E-2</v>
      </c>
    </row>
    <row r="190" spans="11:14">
      <c r="K190" s="125">
        <v>14.1487</v>
      </c>
      <c r="L190" s="125">
        <v>14.1501</v>
      </c>
      <c r="M190" s="125">
        <v>14.148400000000001</v>
      </c>
      <c r="N190" s="125">
        <v>14.143599999999999</v>
      </c>
    </row>
    <row r="191" spans="11:14">
      <c r="K191" s="125">
        <v>4.4391999999999996</v>
      </c>
      <c r="L191" s="125">
        <v>4.4429999999999996</v>
      </c>
      <c r="M191" s="125">
        <v>4.4413999999999998</v>
      </c>
      <c r="N191" s="125">
        <v>4.4459999999999997</v>
      </c>
    </row>
    <row r="192" spans="11:14">
      <c r="K192" s="125">
        <v>18.284199999999998</v>
      </c>
      <c r="L192" s="125">
        <v>18.282800000000002</v>
      </c>
      <c r="M192" s="125">
        <v>18.282499999999999</v>
      </c>
      <c r="N192" s="125">
        <v>18.293600000000001</v>
      </c>
    </row>
    <row r="193" spans="11:14">
      <c r="K193" s="125">
        <v>4.3052999999999999</v>
      </c>
      <c r="L193" s="125">
        <v>4.3064999999999998</v>
      </c>
      <c r="M193" s="125">
        <v>4.3094999999999999</v>
      </c>
      <c r="N193" s="125">
        <v>4.3112000000000004</v>
      </c>
    </row>
    <row r="194" spans="11:14">
      <c r="K194" s="125">
        <v>4.3132999999999999</v>
      </c>
      <c r="L194" s="125">
        <v>4.3116000000000003</v>
      </c>
      <c r="M194" s="125">
        <v>4.3146000000000004</v>
      </c>
      <c r="N194" s="125">
        <v>4.3170000000000002</v>
      </c>
    </row>
    <row r="195" spans="11:14">
      <c r="K195" s="125">
        <v>4.3164999999999996</v>
      </c>
      <c r="L195" s="125">
        <v>4.3163</v>
      </c>
      <c r="M195" s="125">
        <v>4.3136999999999999</v>
      </c>
      <c r="N195" s="125">
        <v>4.3109999999999999</v>
      </c>
    </row>
    <row r="196" spans="11:14">
      <c r="K196" s="125">
        <v>4.3202999999999996</v>
      </c>
      <c r="L196" s="125">
        <v>4.3207000000000004</v>
      </c>
      <c r="M196" s="125">
        <v>4.3152999999999997</v>
      </c>
      <c r="N196" s="125">
        <v>4.3105000000000002</v>
      </c>
    </row>
    <row r="197" spans="11:14">
      <c r="K197" s="125">
        <v>4.3305999999999996</v>
      </c>
      <c r="L197" s="125">
        <v>4.3310000000000004</v>
      </c>
      <c r="M197" s="125">
        <v>4.3259999999999996</v>
      </c>
      <c r="N197" s="125">
        <v>4.3253000000000004</v>
      </c>
    </row>
    <row r="198" spans="11:14">
      <c r="K198" s="125">
        <v>4.3227000000000002</v>
      </c>
      <c r="L198" s="125">
        <v>4.3236999999999997</v>
      </c>
      <c r="M198" s="125">
        <v>4.3228</v>
      </c>
      <c r="N198" s="125">
        <v>4.3278999999999996</v>
      </c>
    </row>
    <row r="199" spans="11:14">
      <c r="K199" s="125">
        <v>0.2155</v>
      </c>
      <c r="L199" s="125">
        <v>0.21510000000000001</v>
      </c>
      <c r="M199" s="125">
        <v>0.21290000000000001</v>
      </c>
      <c r="N199" s="125">
        <v>0.20660000000000001</v>
      </c>
    </row>
    <row r="200" spans="11:14">
      <c r="K200" s="125">
        <v>21.387599999999999</v>
      </c>
      <c r="L200" s="125">
        <v>21.3857</v>
      </c>
      <c r="M200" s="125">
        <v>21.386700000000001</v>
      </c>
      <c r="N200" s="125">
        <v>21.3855</v>
      </c>
    </row>
    <row r="201" spans="11:14">
      <c r="K201" s="125">
        <v>3.9600000000000003E-2</v>
      </c>
      <c r="L201" s="125">
        <v>3.8199999999999998E-2</v>
      </c>
      <c r="M201" s="125">
        <v>4.0099999999999997E-2</v>
      </c>
      <c r="N201" s="125">
        <v>3.32E-2</v>
      </c>
    </row>
    <row r="202" spans="11:14">
      <c r="K202" s="125">
        <v>4.8399999999999999E-2</v>
      </c>
      <c r="L202" s="125">
        <v>4.2900000000000001E-2</v>
      </c>
      <c r="M202" s="125">
        <v>4.9000000000000002E-2</v>
      </c>
      <c r="N202" s="125">
        <v>4.6600000000000003E-2</v>
      </c>
    </row>
    <row r="203" spans="11:14">
      <c r="K203" s="125">
        <v>4.8500000000000001E-2</v>
      </c>
      <c r="L203" s="125">
        <v>4.5900000000000003E-2</v>
      </c>
      <c r="M203" s="125">
        <v>4.7E-2</v>
      </c>
      <c r="N203" s="125">
        <v>5.3100000000000001E-2</v>
      </c>
    </row>
    <row r="204" spans="11:14">
      <c r="K204" s="125">
        <v>4.3799999999999999E-2</v>
      </c>
      <c r="L204" s="125">
        <v>4.2999999999999997E-2</v>
      </c>
      <c r="M204" s="125">
        <v>4.1500000000000002E-2</v>
      </c>
      <c r="N204" s="125">
        <v>3.3399999999999999E-2</v>
      </c>
    </row>
    <row r="205" spans="11:14">
      <c r="K205" s="125">
        <v>5.3199999999999997E-2</v>
      </c>
      <c r="L205" s="125">
        <v>5.33E-2</v>
      </c>
      <c r="M205" s="125">
        <v>5.0900000000000001E-2</v>
      </c>
      <c r="N205" s="125">
        <v>4.6199999999999998E-2</v>
      </c>
    </row>
    <row r="206" spans="11:14">
      <c r="K206" s="125">
        <v>4.6899999999999997E-2</v>
      </c>
      <c r="L206" s="125">
        <v>4.7600000000000003E-2</v>
      </c>
      <c r="M206" s="125">
        <v>4.6600000000000003E-2</v>
      </c>
      <c r="N206" s="125">
        <v>5.0299999999999997E-2</v>
      </c>
    </row>
    <row r="207" spans="11:14">
      <c r="K207" s="125">
        <v>1.7894000000000001</v>
      </c>
      <c r="L207" s="125">
        <v>1.7887999999999999</v>
      </c>
      <c r="M207" s="125">
        <v>1.7878000000000001</v>
      </c>
      <c r="N207" s="125">
        <v>1.7855000000000001</v>
      </c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D4F5-88FC-490D-A698-0FA34EB7696C}">
  <sheetPr codeName="Sheet7"/>
  <dimension ref="B2:W16"/>
  <sheetViews>
    <sheetView showGridLines="0" zoomScaleNormal="100" workbookViewId="0">
      <selection activeCell="D111" sqref="D111"/>
    </sheetView>
  </sheetViews>
  <sheetFormatPr defaultColWidth="11" defaultRowHeight="18"/>
  <cols>
    <col min="1" max="1" width="1.44140625" style="125" customWidth="1"/>
    <col min="2" max="2" width="7.33203125" style="125" customWidth="1"/>
    <col min="3" max="3" width="15.88671875" style="124" customWidth="1"/>
    <col min="4" max="4" width="15.88671875" style="125" customWidth="1"/>
    <col min="5" max="6" width="30.88671875" style="125" customWidth="1"/>
    <col min="7" max="8" width="13" style="125" customWidth="1"/>
    <col min="9" max="9" width="13" style="124" customWidth="1"/>
    <col min="10" max="18" width="15.88671875" style="125" customWidth="1"/>
    <col min="19" max="19" width="60.88671875" style="126" customWidth="1"/>
    <col min="20" max="20" width="60.88671875" style="125" customWidth="1"/>
    <col min="21" max="23" width="29.88671875" style="125" customWidth="1"/>
    <col min="24" max="24" width="11" style="125"/>
    <col min="25" max="25" width="27.6640625" style="125" bestFit="1" customWidth="1"/>
    <col min="26" max="16384" width="11" style="125"/>
  </cols>
  <sheetData>
    <row r="2" spans="2:23" ht="39.950000000000003" customHeight="1">
      <c r="B2" s="122" t="s">
        <v>319</v>
      </c>
      <c r="C2" s="123"/>
      <c r="D2" s="123"/>
      <c r="E2" s="123"/>
      <c r="F2" s="123"/>
      <c r="G2" s="123"/>
      <c r="H2" s="123"/>
    </row>
    <row r="3" spans="2:23" ht="18" customHeight="1">
      <c r="B3" s="123"/>
      <c r="C3" s="123"/>
      <c r="D3" s="123"/>
      <c r="E3" s="123"/>
      <c r="F3" s="123"/>
      <c r="G3" s="123"/>
      <c r="H3" s="123"/>
    </row>
    <row r="4" spans="2:23" s="127" customFormat="1" ht="18.95" customHeight="1">
      <c r="B4" s="188" t="s">
        <v>290</v>
      </c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9" t="s">
        <v>18</v>
      </c>
      <c r="V4" s="189"/>
      <c r="W4" s="189"/>
    </row>
    <row r="5" spans="2:23" s="129" customFormat="1" ht="20.100000000000001" customHeight="1">
      <c r="B5" s="187" t="s">
        <v>291</v>
      </c>
      <c r="C5" s="190" t="s">
        <v>311</v>
      </c>
      <c r="D5" s="190" t="s">
        <v>312</v>
      </c>
      <c r="E5" s="187" t="s">
        <v>293</v>
      </c>
      <c r="F5" s="187" t="s">
        <v>46</v>
      </c>
      <c r="G5" s="187" t="s">
        <v>314</v>
      </c>
      <c r="H5" s="187"/>
      <c r="I5" s="187"/>
      <c r="J5" s="187" t="s">
        <v>235</v>
      </c>
      <c r="K5" s="187"/>
      <c r="L5" s="187"/>
      <c r="M5" s="187" t="s">
        <v>315</v>
      </c>
      <c r="N5" s="187"/>
      <c r="O5" s="187"/>
      <c r="P5" s="187"/>
      <c r="Q5" s="187"/>
      <c r="R5" s="187"/>
      <c r="S5" s="187" t="s">
        <v>298</v>
      </c>
      <c r="T5" s="187" t="s">
        <v>299</v>
      </c>
      <c r="U5" s="187" t="s">
        <v>300</v>
      </c>
      <c r="V5" s="187" t="s">
        <v>301</v>
      </c>
      <c r="W5" s="187" t="s">
        <v>302</v>
      </c>
    </row>
    <row r="6" spans="2:23" s="129" customFormat="1" ht="20.100000000000001" customHeight="1">
      <c r="B6" s="187"/>
      <c r="C6" s="191"/>
      <c r="D6" s="191"/>
      <c r="E6" s="187"/>
      <c r="F6" s="187"/>
      <c r="G6" s="128" t="s">
        <v>43</v>
      </c>
      <c r="H6" s="128" t="s">
        <v>316</v>
      </c>
      <c r="I6" s="128" t="s">
        <v>317</v>
      </c>
      <c r="J6" s="128" t="s">
        <v>229</v>
      </c>
      <c r="K6" s="128" t="s">
        <v>234</v>
      </c>
      <c r="L6" s="128" t="s">
        <v>318</v>
      </c>
      <c r="M6" s="128" t="s">
        <v>43</v>
      </c>
      <c r="N6" s="128" t="s">
        <v>316</v>
      </c>
      <c r="O6" s="128" t="s">
        <v>317</v>
      </c>
      <c r="P6" s="128" t="s">
        <v>229</v>
      </c>
      <c r="Q6" s="128" t="s">
        <v>234</v>
      </c>
      <c r="R6" s="128" t="s">
        <v>318</v>
      </c>
      <c r="S6" s="187"/>
      <c r="T6" s="187"/>
      <c r="U6" s="187"/>
      <c r="V6" s="187"/>
      <c r="W6" s="187"/>
    </row>
    <row r="7" spans="2:23" s="127" customFormat="1" ht="39.950000000000003" customHeight="1">
      <c r="B7" s="130">
        <v>1</v>
      </c>
      <c r="C7" s="131"/>
      <c r="D7" s="138"/>
      <c r="E7" s="132"/>
      <c r="F7" s="132"/>
      <c r="G7" s="133"/>
      <c r="H7" s="133"/>
      <c r="I7" s="133"/>
      <c r="J7" s="134"/>
      <c r="K7" s="134"/>
      <c r="L7" s="133"/>
      <c r="M7" s="133"/>
      <c r="N7" s="133"/>
      <c r="O7" s="133"/>
      <c r="P7" s="133"/>
      <c r="Q7" s="133"/>
      <c r="R7" s="133"/>
      <c r="S7" s="135"/>
      <c r="T7" s="139"/>
      <c r="U7" s="137"/>
      <c r="V7" s="137"/>
      <c r="W7" s="137"/>
    </row>
    <row r="8" spans="2:23" s="127" customFormat="1" ht="39.950000000000003" customHeight="1">
      <c r="B8" s="130">
        <v>2</v>
      </c>
      <c r="C8" s="131"/>
      <c r="D8" s="138"/>
      <c r="E8" s="132"/>
      <c r="F8" s="132"/>
      <c r="G8" s="133"/>
      <c r="H8" s="133"/>
      <c r="I8" s="133"/>
      <c r="J8" s="134"/>
      <c r="K8" s="134"/>
      <c r="L8" s="133"/>
      <c r="M8" s="133"/>
      <c r="N8" s="133"/>
      <c r="O8" s="133"/>
      <c r="P8" s="133"/>
      <c r="Q8" s="133"/>
      <c r="R8" s="133"/>
      <c r="S8" s="135"/>
      <c r="T8" s="139"/>
      <c r="U8" s="137"/>
      <c r="V8" s="137"/>
      <c r="W8" s="137"/>
    </row>
    <row r="9" spans="2:23" s="127" customFormat="1" ht="39.950000000000003" customHeight="1">
      <c r="B9" s="130">
        <v>3</v>
      </c>
      <c r="C9" s="131"/>
      <c r="D9" s="138"/>
      <c r="E9" s="132"/>
      <c r="F9" s="132"/>
      <c r="G9" s="133"/>
      <c r="H9" s="133"/>
      <c r="I9" s="133"/>
      <c r="J9" s="134"/>
      <c r="K9" s="134"/>
      <c r="L9" s="133"/>
      <c r="M9" s="133"/>
      <c r="N9" s="133"/>
      <c r="O9" s="133"/>
      <c r="P9" s="133"/>
      <c r="Q9" s="133"/>
      <c r="R9" s="133"/>
      <c r="S9" s="135"/>
      <c r="T9" s="139"/>
      <c r="U9" s="137"/>
      <c r="V9" s="137"/>
      <c r="W9" s="137"/>
    </row>
    <row r="10" spans="2:23" s="127" customFormat="1" ht="39.950000000000003" customHeight="1">
      <c r="B10" s="130">
        <v>4</v>
      </c>
      <c r="C10" s="131"/>
      <c r="D10" s="138"/>
      <c r="E10" s="132"/>
      <c r="F10" s="132"/>
      <c r="G10" s="133"/>
      <c r="H10" s="133"/>
      <c r="I10" s="133"/>
      <c r="J10" s="134"/>
      <c r="K10" s="134"/>
      <c r="L10" s="133"/>
      <c r="M10" s="133"/>
      <c r="N10" s="133"/>
      <c r="O10" s="133"/>
      <c r="P10" s="133"/>
      <c r="Q10" s="133"/>
      <c r="R10" s="133"/>
      <c r="S10" s="135"/>
      <c r="T10" s="139"/>
      <c r="U10" s="137"/>
      <c r="V10" s="137"/>
      <c r="W10" s="137"/>
    </row>
    <row r="11" spans="2:23" s="127" customFormat="1" ht="39.950000000000003" customHeight="1">
      <c r="B11" s="130">
        <v>5</v>
      </c>
      <c r="C11" s="131"/>
      <c r="D11" s="138"/>
      <c r="E11" s="132"/>
      <c r="F11" s="132"/>
      <c r="G11" s="133"/>
      <c r="H11" s="133"/>
      <c r="I11" s="133"/>
      <c r="J11" s="134"/>
      <c r="K11" s="134"/>
      <c r="L11" s="133"/>
      <c r="M11" s="133"/>
      <c r="N11" s="133"/>
      <c r="O11" s="133"/>
      <c r="P11" s="133"/>
      <c r="Q11" s="133"/>
      <c r="R11" s="133"/>
      <c r="S11" s="135"/>
      <c r="T11" s="139"/>
      <c r="U11" s="137"/>
      <c r="V11" s="137"/>
      <c r="W11" s="137"/>
    </row>
    <row r="12" spans="2:23" s="127" customFormat="1" ht="39.950000000000003" customHeight="1">
      <c r="B12" s="130">
        <v>6</v>
      </c>
      <c r="C12" s="131"/>
      <c r="D12" s="138"/>
      <c r="E12" s="132"/>
      <c r="F12" s="132"/>
      <c r="G12" s="133"/>
      <c r="H12" s="133"/>
      <c r="I12" s="133"/>
      <c r="J12" s="134"/>
      <c r="K12" s="134"/>
      <c r="L12" s="133"/>
      <c r="M12" s="133"/>
      <c r="N12" s="133"/>
      <c r="O12" s="133"/>
      <c r="P12" s="133"/>
      <c r="Q12" s="133"/>
      <c r="R12" s="133"/>
      <c r="S12" s="135"/>
      <c r="T12" s="139"/>
      <c r="U12" s="137"/>
      <c r="V12" s="137"/>
      <c r="W12" s="137"/>
    </row>
    <row r="13" spans="2:23" s="127" customFormat="1" ht="39.950000000000003" customHeight="1">
      <c r="B13" s="130">
        <v>7</v>
      </c>
      <c r="C13" s="131"/>
      <c r="D13" s="138"/>
      <c r="E13" s="132"/>
      <c r="F13" s="132"/>
      <c r="G13" s="133"/>
      <c r="H13" s="133"/>
      <c r="I13" s="133"/>
      <c r="J13" s="134"/>
      <c r="K13" s="134"/>
      <c r="L13" s="133"/>
      <c r="M13" s="133"/>
      <c r="N13" s="133"/>
      <c r="O13" s="133"/>
      <c r="P13" s="133"/>
      <c r="Q13" s="133"/>
      <c r="R13" s="133"/>
      <c r="S13" s="135"/>
      <c r="T13" s="139"/>
      <c r="U13" s="137"/>
      <c r="V13" s="137"/>
      <c r="W13" s="137"/>
    </row>
    <row r="14" spans="2:23" s="127" customFormat="1" ht="39.950000000000003" customHeight="1">
      <c r="B14" s="130">
        <v>8</v>
      </c>
      <c r="C14" s="131"/>
      <c r="D14" s="138"/>
      <c r="E14" s="132"/>
      <c r="F14" s="132"/>
      <c r="G14" s="133"/>
      <c r="H14" s="133"/>
      <c r="I14" s="133"/>
      <c r="J14" s="134"/>
      <c r="K14" s="134"/>
      <c r="L14" s="133"/>
      <c r="M14" s="133"/>
      <c r="N14" s="133"/>
      <c r="O14" s="133"/>
      <c r="P14" s="133"/>
      <c r="Q14" s="133"/>
      <c r="R14" s="133"/>
      <c r="S14" s="135"/>
      <c r="T14" s="139"/>
      <c r="U14" s="137"/>
      <c r="V14" s="137"/>
      <c r="W14" s="137"/>
    </row>
    <row r="15" spans="2:23" s="127" customFormat="1" ht="39.950000000000003" customHeight="1">
      <c r="B15" s="130">
        <v>9</v>
      </c>
      <c r="C15" s="131"/>
      <c r="D15" s="138"/>
      <c r="E15" s="132"/>
      <c r="F15" s="132"/>
      <c r="G15" s="133"/>
      <c r="H15" s="133"/>
      <c r="I15" s="133"/>
      <c r="J15" s="134"/>
      <c r="K15" s="134"/>
      <c r="L15" s="133"/>
      <c r="M15" s="133"/>
      <c r="N15" s="133"/>
      <c r="O15" s="133"/>
      <c r="P15" s="133"/>
      <c r="Q15" s="133"/>
      <c r="R15" s="133"/>
      <c r="S15" s="135"/>
      <c r="T15" s="139"/>
      <c r="U15" s="137"/>
      <c r="V15" s="137"/>
      <c r="W15" s="137"/>
    </row>
    <row r="16" spans="2:23" s="127" customFormat="1" ht="39.950000000000003" customHeight="1">
      <c r="B16" s="130">
        <v>10</v>
      </c>
      <c r="C16" s="131"/>
      <c r="D16" s="138"/>
      <c r="E16" s="132"/>
      <c r="F16" s="132"/>
      <c r="G16" s="133"/>
      <c r="H16" s="133"/>
      <c r="I16" s="133"/>
      <c r="J16" s="134"/>
      <c r="K16" s="134"/>
      <c r="L16" s="133"/>
      <c r="M16" s="133"/>
      <c r="N16" s="133"/>
      <c r="O16" s="133"/>
      <c r="P16" s="133"/>
      <c r="Q16" s="133"/>
      <c r="R16" s="133"/>
      <c r="S16" s="135"/>
      <c r="T16" s="139"/>
      <c r="U16" s="137"/>
      <c r="V16" s="137"/>
      <c r="W16" s="137"/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D0AC-C202-45A8-826F-07FCC7DF5E7C}">
  <sheetPr codeName="Sheet8"/>
  <dimension ref="B2:N10"/>
  <sheetViews>
    <sheetView showGridLines="0" zoomScaleNormal="100" workbookViewId="0">
      <selection activeCell="D111" sqref="D111"/>
    </sheetView>
  </sheetViews>
  <sheetFormatPr defaultColWidth="11" defaultRowHeight="18"/>
  <cols>
    <col min="1" max="1" width="1.44140625" style="125" customWidth="1"/>
    <col min="2" max="2" width="7.33203125" style="125" customWidth="1"/>
    <col min="3" max="6" width="30.88671875" style="124" customWidth="1"/>
    <col min="7" max="7" width="30.88671875" style="125" customWidth="1"/>
    <col min="8" max="9" width="20.88671875" style="125" customWidth="1"/>
    <col min="10" max="10" width="60.88671875" style="126" customWidth="1"/>
    <col min="11" max="11" width="60.88671875" style="125" customWidth="1"/>
    <col min="12" max="14" width="29.88671875" style="125" customWidth="1"/>
    <col min="15" max="15" width="11" style="125"/>
    <col min="16" max="16" width="27.6640625" style="125" bestFit="1" customWidth="1"/>
    <col min="17" max="16384" width="11" style="125"/>
  </cols>
  <sheetData>
    <row r="2" spans="2:14" ht="39.950000000000003" customHeight="1">
      <c r="B2" s="122" t="s">
        <v>320</v>
      </c>
      <c r="C2" s="123"/>
      <c r="D2" s="123"/>
      <c r="E2" s="123"/>
      <c r="F2" s="123"/>
      <c r="G2" s="123"/>
      <c r="H2" s="123"/>
    </row>
    <row r="3" spans="2:14" ht="18" customHeight="1">
      <c r="B3" s="123"/>
      <c r="C3" s="123"/>
      <c r="D3" s="123"/>
      <c r="E3" s="123"/>
      <c r="F3" s="123"/>
      <c r="G3" s="123"/>
      <c r="H3" s="123"/>
    </row>
    <row r="4" spans="2:14" s="127" customFormat="1" ht="18.95" customHeight="1">
      <c r="B4" s="188" t="s">
        <v>290</v>
      </c>
      <c r="C4" s="188"/>
      <c r="D4" s="188"/>
      <c r="E4" s="188"/>
      <c r="F4" s="188"/>
      <c r="G4" s="188"/>
      <c r="H4" s="188"/>
      <c r="I4" s="188"/>
      <c r="J4" s="188"/>
      <c r="K4" s="188"/>
      <c r="L4" s="189" t="s">
        <v>18</v>
      </c>
      <c r="M4" s="189"/>
      <c r="N4" s="189"/>
    </row>
    <row r="5" spans="2:14" s="129" customFormat="1" ht="20.100000000000001" customHeight="1">
      <c r="B5" s="128" t="s">
        <v>291</v>
      </c>
      <c r="C5" s="143" t="s">
        <v>321</v>
      </c>
      <c r="D5" s="143" t="s">
        <v>322</v>
      </c>
      <c r="E5" s="143" t="s">
        <v>323</v>
      </c>
      <c r="F5" s="143" t="s">
        <v>324</v>
      </c>
      <c r="G5" s="143" t="s">
        <v>325</v>
      </c>
      <c r="H5" s="128" t="s">
        <v>314</v>
      </c>
      <c r="I5" s="128" t="s">
        <v>315</v>
      </c>
      <c r="J5" s="143" t="s">
        <v>298</v>
      </c>
      <c r="K5" s="143" t="s">
        <v>299</v>
      </c>
      <c r="L5" s="143" t="s">
        <v>300</v>
      </c>
      <c r="M5" s="143" t="s">
        <v>301</v>
      </c>
      <c r="N5" s="143" t="s">
        <v>302</v>
      </c>
    </row>
    <row r="6" spans="2:14" s="127" customFormat="1" ht="39.950000000000003" customHeight="1">
      <c r="B6" s="130">
        <v>1</v>
      </c>
      <c r="C6" s="144"/>
      <c r="D6" s="144"/>
      <c r="E6" s="144"/>
      <c r="F6" s="144"/>
      <c r="G6" s="138"/>
      <c r="H6" s="133"/>
      <c r="I6" s="133"/>
      <c r="J6" s="135"/>
      <c r="K6" s="139"/>
      <c r="L6" s="137"/>
      <c r="M6" s="137"/>
      <c r="N6" s="137"/>
    </row>
    <row r="7" spans="2:14" s="127" customFormat="1" ht="39.950000000000003" customHeight="1">
      <c r="B7" s="130">
        <v>2</v>
      </c>
      <c r="C7" s="131"/>
      <c r="D7" s="131"/>
      <c r="E7" s="131"/>
      <c r="F7" s="131"/>
      <c r="G7" s="138"/>
      <c r="H7" s="133"/>
      <c r="I7" s="133"/>
      <c r="J7" s="135"/>
      <c r="K7" s="139"/>
      <c r="L7" s="137"/>
      <c r="M7" s="137"/>
      <c r="N7" s="137"/>
    </row>
    <row r="8" spans="2:14" s="127" customFormat="1" ht="39.950000000000003" customHeight="1">
      <c r="B8" s="130">
        <v>3</v>
      </c>
      <c r="C8" s="131"/>
      <c r="D8" s="131"/>
      <c r="E8" s="131"/>
      <c r="F8" s="131"/>
      <c r="G8" s="138"/>
      <c r="H8" s="133"/>
      <c r="I8" s="133"/>
      <c r="J8" s="135"/>
      <c r="K8" s="139"/>
      <c r="L8" s="137"/>
      <c r="M8" s="137"/>
      <c r="N8" s="137"/>
    </row>
    <row r="9" spans="2:14" s="127" customFormat="1" ht="39.950000000000003" customHeight="1">
      <c r="B9" s="130">
        <v>4</v>
      </c>
      <c r="C9" s="131"/>
      <c r="D9" s="131"/>
      <c r="E9" s="131"/>
      <c r="F9" s="131"/>
      <c r="G9" s="138"/>
      <c r="H9" s="133"/>
      <c r="I9" s="133"/>
      <c r="J9" s="135"/>
      <c r="K9" s="139"/>
      <c r="L9" s="137"/>
      <c r="M9" s="137"/>
      <c r="N9" s="137"/>
    </row>
    <row r="10" spans="2:14" s="127" customFormat="1" ht="39.950000000000003" customHeight="1">
      <c r="B10" s="130">
        <v>5</v>
      </c>
      <c r="C10" s="131"/>
      <c r="D10" s="131"/>
      <c r="E10" s="131"/>
      <c r="F10" s="131"/>
      <c r="G10" s="138"/>
      <c r="H10" s="133"/>
      <c r="I10" s="133"/>
      <c r="J10" s="135"/>
      <c r="K10" s="139"/>
      <c r="L10" s="137"/>
      <c r="M10" s="137"/>
      <c r="N10" s="137"/>
    </row>
  </sheetData>
  <mergeCells count="2">
    <mergeCell ref="B4:K4"/>
    <mergeCell ref="L4:N4"/>
  </mergeCells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E8CC-45CC-4C51-BAC2-86DDFB1ADC58}">
  <sheetPr codeName="Sheet9"/>
  <dimension ref="B2:E3"/>
  <sheetViews>
    <sheetView showGridLines="0" workbookViewId="0">
      <selection activeCell="D111" sqref="D111"/>
    </sheetView>
  </sheetViews>
  <sheetFormatPr defaultColWidth="11.5546875" defaultRowHeight="17.25"/>
  <cols>
    <col min="1" max="1" width="1.88671875" customWidth="1"/>
    <col min="2" max="4" width="15.88671875" customWidth="1"/>
    <col min="5" max="5" width="90.88671875" customWidth="1"/>
  </cols>
  <sheetData>
    <row r="2" spans="2:5">
      <c r="B2" s="145" t="s">
        <v>326</v>
      </c>
      <c r="C2" s="145" t="s">
        <v>327</v>
      </c>
      <c r="D2" s="145" t="s">
        <v>328</v>
      </c>
      <c r="E2" s="145" t="s">
        <v>329</v>
      </c>
    </row>
    <row r="3" spans="2:5">
      <c r="B3" s="146">
        <v>1</v>
      </c>
      <c r="C3" s="147">
        <v>43315</v>
      </c>
      <c r="D3" s="148" t="s">
        <v>330</v>
      </c>
      <c r="E3" s="149" t="s">
        <v>331</v>
      </c>
    </row>
  </sheetData>
  <phoneticPr fontId="9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Waiver Summary</vt:lpstr>
      <vt:lpstr>Shipping Lot List</vt:lpstr>
      <vt:lpstr>FAI</vt:lpstr>
      <vt:lpstr>SPC</vt:lpstr>
      <vt:lpstr>Cosmetic Waivers</vt:lpstr>
      <vt:lpstr>Dimensional Waivers</vt:lpstr>
      <vt:lpstr>Functional Waivers</vt:lpstr>
      <vt:lpstr>Reliability Waivers</vt:lpstr>
      <vt:lpstr>Rev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2025-04-21T23:12:15Z</dcterms:modified>
</cp:coreProperties>
</file>