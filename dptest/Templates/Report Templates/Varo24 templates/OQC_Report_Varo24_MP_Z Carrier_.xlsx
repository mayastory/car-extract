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updateLinks="never"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Winter Test\Desktop\Report Maker\Complete\성적서 양식\Varo24 양식\"/>
    </mc:Choice>
  </mc:AlternateContent>
  <xr:revisionPtr revIDLastSave="0" documentId="13_ncr:1_{349EC5D8-4225-4CFD-802C-84C5BA0F394A}" xr6:coauthVersionLast="47" xr6:coauthVersionMax="47" xr10:uidLastSave="{00000000-0000-0000-0000-000000000000}"/>
  <bookViews>
    <workbookView xWindow="-120" yWindow="480" windowWidth="29040" windowHeight="15840" xr2:uid="{558B7DC1-779D-BB42-B43A-ED7A08375808}"/>
  </bookViews>
  <sheets>
    <sheet name="Waiver Summary" sheetId="20" r:id="rId1"/>
    <sheet name="Shipping Lot List" sheetId="21" r:id="rId2"/>
    <sheet name="FAI" sheetId="13" r:id="rId3"/>
    <sheet name="SPC" sheetId="14" r:id="rId4"/>
    <sheet name="Cosmetic Waivers" sheetId="15" r:id="rId5"/>
    <sheet name="Dimensional Waivers" sheetId="16" r:id="rId6"/>
    <sheet name="Functional Waivers" sheetId="17" r:id="rId7"/>
    <sheet name="Reliability Waivers" sheetId="18" r:id="rId8"/>
    <sheet name="Rev History" sheetId="19" r:id="rId9"/>
  </sheets>
  <definedNames>
    <definedName name="________XG2" hidden="1">{#N/A,#N/A,FALSE,"단축1";#N/A,#N/A,FALSE,"단축2";#N/A,#N/A,FALSE,"단축3";#N/A,#N/A,FALSE,"장축";#N/A,#N/A,FALSE,"4WD"}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hidden="1">{#N/A,#N/A,FALSE,"단축1";#N/A,#N/A,FALSE,"단축2";#N/A,#N/A,FALSE,"단축3";#N/A,#N/A,FALSE,"장축";#N/A,#N/A,FALSE,"4WD"}</definedName>
    <definedName name="____PU7" hidden="1">{#N/A,#N/A,TRUE,"일정"}</definedName>
    <definedName name="____XG2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hidden="1">{#N/A,#N/A,FALSE,"신규dep";#N/A,#N/A,FALSE,"신규dep-금형상각후";#N/A,#N/A,FALSE,"신규dep-연구비상각후";#N/A,#N/A,FALSE,"신규dep-기계,공구상각후"}</definedName>
    <definedName name="___FG1" hidden="1">{#N/A,#N/A,FALSE,"단축1";#N/A,#N/A,FALSE,"단축2";#N/A,#N/A,FALSE,"단축3";#N/A,#N/A,FALSE,"장축";#N/A,#N/A,FALSE,"4WD"}</definedName>
    <definedName name="___k2" hidden="1">{#N/A,#N/A,FALSE,"Cst of Sales (2)"}</definedName>
    <definedName name="___LPS2" hidden="1">{#N/A,#N/A,FALSE,"단축1";#N/A,#N/A,FALSE,"단축2";#N/A,#N/A,FALSE,"단축3";#N/A,#N/A,FALSE,"장축";#N/A,#N/A,FALSE,"4WD"}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hidden="1">{#N/A,#N/A,FALSE,"단축1";#N/A,#N/A,FALSE,"단축2";#N/A,#N/A,FALSE,"단축3";#N/A,#N/A,FALSE,"장축";#N/A,#N/A,FALSE,"4WD"}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hidden="1">{#N/A,#N/A,FALSE,"신규dep";#N/A,#N/A,FALSE,"신규dep-금형상각후";#N/A,#N/A,FALSE,"신규dep-연구비상각후";#N/A,#N/A,FALSE,"신규dep-기계,공구상각후"}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hidden="1">{#N/A,#N/A,FALSE,"단축1";#N/A,#N/A,FALSE,"단축2";#N/A,#N/A,FALSE,"단축3";#N/A,#N/A,FALSE,"장축";#N/A,#N/A,FALSE,"4WD"}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hidden="1">{#N/A,#N/A,FALSE,"Cst of Sales (2)"}</definedName>
    <definedName name="__LPS2" hidden="1">{#N/A,#N/A,FALSE,"단축1";#N/A,#N/A,FALSE,"단축2";#N/A,#N/A,FALSE,"단축3";#N/A,#N/A,FALSE,"장축";#N/A,#N/A,FALSE,"4WD"}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hidden="1">{#N/A,#N/A,TRUE,"일정"}</definedName>
    <definedName name="__T2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hidden="1">{#N/A,#N/A,FALSE,"단축1";#N/A,#N/A,FALSE,"단축2";#N/A,#N/A,FALSE,"단축3";#N/A,#N/A,FALSE,"장축";#N/A,#N/A,FALSE,"4WD"}</definedName>
    <definedName name="_58k2_" hidden="1">{#N/A,#N/A,FALSE,"Cst of Sales (2)"}</definedName>
    <definedName name="_59FG1_" hidden="1">{#N/A,#N/A,FALSE,"단축1";#N/A,#N/A,FALSE,"단축2";#N/A,#N/A,FALSE,"단축3";#N/A,#N/A,FALSE,"장축";#N/A,#N/A,FALSE,"4WD"}</definedName>
    <definedName name="_60k2_" hidden="1">{#N/A,#N/A,FALSE,"Cst of Sales (2)"}</definedName>
    <definedName name="_61T2_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hidden="1">#REF!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hidden="1">{#N/A,#N/A,FALSE,"Cst of Sales (2)"}</definedName>
    <definedName name="_Key1" hidden="1">#REF!</definedName>
    <definedName name="_Key2" hidden="1">#REF!</definedName>
    <definedName name="_LPS2" hidden="1">{#N/A,#N/A,FALSE,"단축1";#N/A,#N/A,FALSE,"단축2";#N/A,#N/A,FALSE,"단축3";#N/A,#N/A,FALSE,"장축";#N/A,#N/A,FALSE,"4WD"}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hidden="1">{#N/A,#N/A,TRUE,"일정"}</definedName>
    <definedName name="_Sort" hidden="1">#REF!</definedName>
    <definedName name="_T2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hidden="1">{#N/A,#N/A,FALSE,"단축1";#N/A,#N/A,FALSE,"단축2";#N/A,#N/A,FALSE,"단축3";#N/A,#N/A,FALSE,"장축";#N/A,#N/A,FALSE,"4WD"}</definedName>
    <definedName name="AAAAAAA" hidden="1">{#N/A,#N/A,TRUE,"Y생산";#N/A,#N/A,TRUE,"Y판매";#N/A,#N/A,TRUE,"Y총물량";#N/A,#N/A,TRUE,"Y능력";#N/A,#N/A,TRUE,"YKD"}</definedName>
    <definedName name="AAQSAS" hidden="1">{#N/A,#N/A,FALSE,"단축1";#N/A,#N/A,FALSE,"단축2";#N/A,#N/A,FALSE,"단축3";#N/A,#N/A,FALSE,"장축";#N/A,#N/A,FALSE,"4WD"}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hidden="1">{#N/A,#N/A,FALSE,"단축1";#N/A,#N/A,FALSE,"단축2";#N/A,#N/A,FALSE,"단축3";#N/A,#N/A,FALSE,"장축";#N/A,#N/A,FALSE,"4WD"}</definedName>
    <definedName name="AD" hidden="1">{#N/A,#N/A,FALSE,"을지 (4)";#N/A,#N/A,FALSE,"을지 (5)";#N/A,#N/A,FALSE,"을지 (6)"}</definedName>
    <definedName name="adsacdz" hidden="1">{#N/A,#N/A,FALSE,"단축1";#N/A,#N/A,FALSE,"단축2";#N/A,#N/A,FALSE,"단축3";#N/A,#N/A,FALSE,"장축";#N/A,#N/A,FALSE,"4WD"}</definedName>
    <definedName name="ADSDF" hidden="1">{#N/A,#N/A,TRUE,"Y생산";#N/A,#N/A,TRUE,"Y판매";#N/A,#N/A,TRUE,"Y총물량";#N/A,#N/A,TRUE,"Y능력";#N/A,#N/A,TRUE,"YKD"}</definedName>
    <definedName name="AERGA" hidden="1">{#N/A,#N/A,FALSE,"원가검토서"}</definedName>
    <definedName name="AFDAGA" hidden="1">{#N/A,#N/A,FALSE,"원가검토서"}</definedName>
    <definedName name="anscount" hidden="1">4</definedName>
    <definedName name="AQWAQ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hidden="1">{#N/A,#N/A,FALSE,"을지 (4)";#N/A,#N/A,FALSE,"을지 (5)";#N/A,#N/A,FALSE,"을지 (6)"}</definedName>
    <definedName name="ASSY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hidden="1">{#N/A,#N/A,TRUE,"Y생산";#N/A,#N/A,TRUE,"Y판매";#N/A,#N/A,TRUE,"Y총물량";#N/A,#N/A,TRUE,"Y능력";#N/A,#N/A,TRUE,"YKD"}</definedName>
    <definedName name="BUTFGY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hidden="1">{#N/A,#N/A,FALSE,"단축1";#N/A,#N/A,FALSE,"단축2";#N/A,#N/A,FALSE,"단축3";#N/A,#N/A,FALSE,"장축";#N/A,#N/A,FALSE,"4WD"}</definedName>
    <definedName name="cdhbkjbkjnkjnlmmn" hidden="1">{#N/A,#N/A,TRUE,"일정"}</definedName>
    <definedName name="CFVGYTU" hidden="1">{#N/A,#N/A,FALSE,"원가검토서"}</definedName>
    <definedName name="chang" hidden="1">{#N/A,#N/A,FALSE,"을지 (4)";#N/A,#N/A,FALSE,"을지 (5)";#N/A,#N/A,FALSE,"을지 (6)"}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hidden="1">{#N/A,#N/A,TRUE,"일정"}</definedName>
    <definedName name="DDDDDDD" hidden="1">#REF!</definedName>
    <definedName name="dddddf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hidden="1">{#N/A,#N/A,FALSE,"원가검토서"}</definedName>
    <definedName name="DDS" hidden="1">{#N/A,#N/A,FALSE,"을지 (4)";#N/A,#N/A,FALSE,"을지 (5)";#N/A,#N/A,FALSE,"을지 (6)"}</definedName>
    <definedName name="DDSS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hidden="1">{#N/A,#N/A,FALSE,"원가검토서"}</definedName>
    <definedName name="DFDF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hidden="1">{#N/A,#N/A,FALSE,"원가검토서"}</definedName>
    <definedName name="DFGEERT" hidden="1">{#N/A,#N/A,FALSE,"원가검토서"}</definedName>
    <definedName name="DFHJ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hidden="1">{#N/A,#N/A,FALSE,"원가검토서"}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hidden="1">{#N/A,#N/A,TRUE,"일정"}</definedName>
    <definedName name="DLS" hidden="1">{#N/A,#N/A,TRUE,"Y생산";#N/A,#N/A,TRUE,"Y판매";#N/A,#N/A,TRUE,"Y총물량";#N/A,#N/A,TRUE,"Y능력";#N/A,#N/A,TRUE,"YKD"}</definedName>
    <definedName name="dn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hidden="1">{#N/A,#N/A,FALSE,"원가검토서"}</definedName>
    <definedName name="DSRIIHWQLW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hidden="1">{#N/A,#N/A,FALSE,"단축1";#N/A,#N/A,FALSE,"단축2";#N/A,#N/A,FALSE,"단축3";#N/A,#N/A,FALSE,"장축";#N/A,#N/A,FALSE,"4WD"}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hidden="1">{"Wire Charts",#N/A,TRUE,"Wires"}</definedName>
    <definedName name="estgret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hidden="1">{#N/A,#N/A,FALSE,"단축1";#N/A,#N/A,FALSE,"단축2";#N/A,#N/A,FALSE,"단축3";#N/A,#N/A,FALSE,"장축";#N/A,#N/A,FALSE,"4WD"}</definedName>
    <definedName name="FDGS" hidden="1">{"'KET'!$A$1:$E$2423"}</definedName>
    <definedName name="FDJGDFHJ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hidden="1">{"'OPEN'G압출'!$A$4:$P$34"}</definedName>
    <definedName name="FGGHNMK" hidden="1">{#N/A,#N/A,FALSE,"원가검토서"}</definedName>
    <definedName name="FGH" hidden="1">{#N/A,#N/A,FALSE,"단축1";#N/A,#N/A,FALSE,"단축2";#N/A,#N/A,FALSE,"단축3";#N/A,#N/A,FALSE,"장축";#N/A,#N/A,FALSE,"4WD"}</definedName>
    <definedName name="FGHJ" hidden="1">{#N/A,#N/A,FALSE,"원가검토서"}</definedName>
    <definedName name="FGS" hidden="1">{"Wire Charts",#N/A,TRUE,"Wires"}</definedName>
    <definedName name="FH" hidden="1">{#N/A,#N/A,FALSE,"단축1";#N/A,#N/A,FALSE,"단축2";#N/A,#N/A,FALSE,"단축3";#N/A,#N/A,FALSE,"장축";#N/A,#N/A,FALSE,"4WD"}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hidden="1">{#N/A,#N/A,TRUE,"일정"}</definedName>
    <definedName name="GFD" hidden="1">{#N/A,#N/A,TRUE,"일정"}</definedName>
    <definedName name="GFDG" hidden="1">{#N/A,#N/A,FALSE,"신규dep";#N/A,#N/A,FALSE,"신규dep-금형상각후";#N/A,#N/A,FALSE,"신규dep-연구비상각후";#N/A,#N/A,FALSE,"신규dep-기계,공구상각후"}</definedName>
    <definedName name="GFDS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hidden="1">{#N/A,#N/A,TRUE,"Y생산";#N/A,#N/A,TRUE,"Y판매";#N/A,#N/A,TRUE,"Y총물량";#N/A,#N/A,TRUE,"Y능력";#N/A,#N/A,TRUE,"YKD"}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J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hidden="1">{#N/A,#N/A,TRUE,"일정"}</definedName>
    <definedName name="HDTFJYDTYFTY" hidden="1">{#N/A,#N/A,FALSE,"단축1";#N/A,#N/A,FALSE,"단축2";#N/A,#N/A,FALSE,"단축3";#N/A,#N/A,FALSE,"장축";#N/A,#N/A,FALSE,"4WD"}</definedName>
    <definedName name="HFG" hidden="1">{#N/A,#N/A,TRUE,"Y생산";#N/A,#N/A,TRUE,"Y판매";#N/A,#N/A,TRUE,"Y총물량";#N/A,#N/A,TRUE,"Y능력";#N/A,#N/A,TRUE,"YKD"}</definedName>
    <definedName name="HFGJFGJJ" hidden="1">{"'OPEN'G압출'!$A$4:$P$34"}</definedName>
    <definedName name="hgfshg" hidden="1">{#N/A,#N/A,TRUE,"일정"}</definedName>
    <definedName name="hgfxd" hidden="1">{#N/A,#N/A,TRUE,"일정"}</definedName>
    <definedName name="HJ" hidden="1">{#N/A,#N/A,FALSE,"단축1";#N/A,#N/A,FALSE,"단축2";#N/A,#N/A,FALSE,"단축3";#N/A,#N/A,FALSE,"장축";#N/A,#N/A,FALSE,"4WD"}</definedName>
    <definedName name="HJGFJHFJH" hidden="1">{#N/A,#N/A,FALSE,"원가검토서"}</definedName>
    <definedName name="HJKLL" hidden="1">{#N/A,#N/A,TRUE,"Y생산";#N/A,#N/A,TRUE,"Y판매";#N/A,#N/A,TRUE,"Y총물량";#N/A,#N/A,TRUE,"Y능력";#N/A,#N/A,TRUE,"YKD"}</definedName>
    <definedName name="HKJ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hidden="1">{#N/A,#N/A,FALSE,"신규dep";#N/A,#N/A,FALSE,"신규dep-금형상각후";#N/A,#N/A,FALSE,"신규dep-연구비상각후";#N/A,#N/A,FALSE,"신규dep-기계,공구상각후"}</definedName>
    <definedName name="INSULATION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hidden="1">{#N/A,#N/A,TRUE,"일정"}</definedName>
    <definedName name="JGHJ" hidden="1">{#N/A,#N/A,FALSE,"단축1";#N/A,#N/A,FALSE,"단축2";#N/A,#N/A,FALSE,"단축3";#N/A,#N/A,FALSE,"장축";#N/A,#N/A,FALSE,"4WD"}</definedName>
    <definedName name="JJUHG" hidden="1">{#N/A,#N/A,FALSE,"원가검토서"}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hidden="1">{"'OPEN'G압출'!$A$4:$P$34"}</definedName>
    <definedName name="kthrsbth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HSDHSD" hidden="1">{#N/A,#N/A,TRUE,"일정"}</definedName>
    <definedName name="LINE검토2" hidden="1">{#N/A,#N/A,TRUE,"Y생산";#N/A,#N/A,TRUE,"Y판매";#N/A,#N/A,TRUE,"Y총물량";#N/A,#N/A,TRUE,"Y능력";#N/A,#N/A,TRUE,"YKD"}</definedName>
    <definedName name="link_ds_be" hidden="1">{#N/A,#N/A,FALSE,"Cst of Sales (2)"}</definedName>
    <definedName name="LKGFLDKGF" hidden="1">{"'OPEN'G압출'!$A$4:$P$34"}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KLKLK" hidden="1">{"'OPEN'G압출'!$A$4:$P$34"}</definedName>
    <definedName name="lll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hidden="1">{#N/A,#N/A,TRUE,"일정"}</definedName>
    <definedName name="MDGVTESYERY" hidden="1">{#N/A,#N/A,FALSE,"단축1";#N/A,#N/A,FALSE,"단축2";#N/A,#N/A,FALSE,"단축3";#N/A,#N/A,FALSE,"장축";#N/A,#N/A,FALSE,"4WD"}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hidden="1">{#N/A,#N/A,FALSE,"단축1";#N/A,#N/A,FALSE,"단축2";#N/A,#N/A,FALSE,"단축3";#N/A,#N/A,FALSE,"장축";#N/A,#N/A,FALSE,"4WD"}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hidden="1">{#N/A,#N/A,FALSE,"단축1";#N/A,#N/A,FALSE,"단축2";#N/A,#N/A,FALSE,"단축3";#N/A,#N/A,FALSE,"장축";#N/A,#N/A,FALSE,"4WD"}</definedName>
    <definedName name="P3가공향상" hidden="1">{#N/A,#N/A,TRUE,"Y생산";#N/A,#N/A,TRUE,"Y판매";#N/A,#N/A,TRUE,"Y총물량";#N/A,#N/A,TRUE,"Y능력";#N/A,#N/A,TRUE,"YKD"}</definedName>
    <definedName name="PAGE4" hidden="1">{#N/A,#N/A,FALSE,"단축1";#N/A,#N/A,FALSE,"단축2";#N/A,#N/A,FALSE,"단축3";#N/A,#N/A,FALSE,"장축";#N/A,#N/A,FALSE,"4WD"}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hidden="1">{#N/A,#N/A,TRUE,"일정"}</definedName>
    <definedName name="PI" hidden="1">{#N/A,#N/A,TRUE,"Y생산";#N/A,#N/A,TRUE,"Y판매";#N/A,#N/A,TRUE,"Y총물량";#N/A,#N/A,TRUE,"Y능력";#N/A,#N/A,TRUE,"YKD"}</definedName>
    <definedName name="PO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hidden="1">{#N/A,#N/A,FALSE,"96 3월물량표";#N/A,#N/A,FALSE,"96 4월물량표";#N/A,#N/A,FALSE,"96 5월물량표"}</definedName>
    <definedName name="PPPP" hidden="1">{#N/A,#N/A,TRUE,"일정"}</definedName>
    <definedName name="PRO" hidden="1">{#N/A,#N/A,TRUE,"일정"}</definedName>
    <definedName name="ProzessKette3" hidden="1">#REF!</definedName>
    <definedName name="QAW" hidden="1">{#N/A,#N/A,FALSE,"을지 (4)";#N/A,#N/A,FALSE,"을지 (5)";#N/A,#N/A,FALSE,"을지 (6)"}</definedName>
    <definedName name="QAWVRXTHXFG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hidden="1">{#N/A,#N/A,FALSE,"Cst of Sales (2)"}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hidden="1">{#N/A,#N/A,FALSE,"단축1";#N/A,#N/A,FALSE,"단축2";#N/A,#N/A,FALSE,"단축3";#N/A,#N/A,FALSE,"장축";#N/A,#N/A,FALSE,"4WD"}</definedName>
    <definedName name="QQQAAASSS" hidden="1">{#N/A,#N/A,TRUE,"Y생산";#N/A,#N/A,TRUE,"Y판매";#N/A,#N/A,TRUE,"Y총물량";#N/A,#N/A,TRUE,"Y능력";#N/A,#N/A,TRUE,"YKD"}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hidden="1">{#N/A,#N/A,TRUE,"Y생산";#N/A,#N/A,TRUE,"Y판매";#N/A,#N/A,TRUE,"Y총물량";#N/A,#N/A,TRUE,"Y능력";#N/A,#N/A,TRUE,"YKD"}</definedName>
    <definedName name="QS" hidden="1">{#N/A,#N/A,FALSE,"단축1";#N/A,#N/A,FALSE,"단축2";#N/A,#N/A,FALSE,"단축3";#N/A,#N/A,FALSE,"장축";#N/A,#N/A,FALSE,"4WD"}</definedName>
    <definedName name="QSS" hidden="1">{#N/A,#N/A,FALSE,"을지 (4)";#N/A,#N/A,FALSE,"을지 (5)";#N/A,#N/A,FALSE,"을지 (6)"}</definedName>
    <definedName name="QVWTDRDJHUG" hidden="1">{#N/A,#N/A,FALSE,"단축1";#N/A,#N/A,FALSE,"단축2";#N/A,#N/A,FALSE,"단축3";#N/A,#N/A,FALSE,"장축";#N/A,#N/A,FALSE,"4WD"}</definedName>
    <definedName name="QW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hidden="1">{#N/A,#N/A,FALSE,"단축1";#N/A,#N/A,FALSE,"단축2";#N/A,#N/A,FALSE,"단축3";#N/A,#N/A,FALSE,"장축";#N/A,#N/A,FALSE,"4WD"}</definedName>
    <definedName name="QWE" hidden="1">{#N/A,#N/A,FALSE,"을지 (4)";#N/A,#N/A,FALSE,"을지 (5)";#N/A,#N/A,FALSE,"을지 (6)"}</definedName>
    <definedName name="qwefydc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hidden="1">{#N/A,#N/A,FALSE,"단축1";#N/A,#N/A,FALSE,"단축2";#N/A,#N/A,FALSE,"단축3";#N/A,#N/A,FALSE,"장축";#N/A,#N/A,FALSE,"4WD"}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hidden="1">{#N/A,#N/A,FALSE,"Cst of Sales (2)"}</definedName>
    <definedName name="SAD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hidden="1">{#N/A,#N/A,FALSE,"Status";#N/A,#N/A,FALSE,"Deckblatt 1";#N/A,#N/A,FALSE,"Deckblatt2"}</definedName>
    <definedName name="SDFGH" hidden="1">{#N/A,#N/A,FALSE,"단축1";#N/A,#N/A,FALSE,"단축2";#N/A,#N/A,FALSE,"단축3";#N/A,#N/A,FALSE,"장축";#N/A,#N/A,FALSE,"4WD"}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hidden="1">{#N/A,#N/A,TRUE,"일정"}</definedName>
    <definedName name="SFSFSFS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hidden="1">{#N/A,#N/A,FALSE,"해외크레임";#N/A,#N/A,FALSE,"ACCENT현황";#N/A,#N/A,FALSE,"AVANTE";#N/A,#N/A,FALSE,"SONATA(3)";#N/A,#N/A,FALSE,"국내크레임"}</definedName>
    <definedName name="song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hidden="1">{#N/A,#N/A,FALSE,"을지 (4)";#N/A,#N/A,FALSE,"을지 (5)";#N/A,#N/A,FALSE,"을지 (6)"}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hidden="1">{#N/A,#N/A,FALSE,"96 3월물량표";#N/A,#N/A,FALSE,"96 4월물량표";#N/A,#N/A,FALSE,"96 5월물량표"}</definedName>
    <definedName name="TIBURON" hidden="1">{#N/A,#N/A,FALSE,"해외크레임";#N/A,#N/A,FALSE,"ACCENT현황";#N/A,#N/A,FALSE,"AVANTE";#N/A,#N/A,FALSE,"SONATA(3)";#N/A,#N/A,FALSE,"국내크레임"}</definedName>
    <definedName name="TJAUDLWS" hidden="1">{#N/A,#N/A,TRUE,"Y생산";#N/A,#N/A,TRUE,"Y판매";#N/A,#N/A,TRUE,"Y총물량";#N/A,#N/A,TRUE,"Y능력";#N/A,#N/A,TRUE,"YKD"}</definedName>
    <definedName name="TLS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hidden="1">{#N/A,#N/A,FALSE,"신규dep";#N/A,#N/A,FALSE,"신규dep-금형상각후";#N/A,#N/A,FALSE,"신규dep-연구비상각후";#N/A,#N/A,FALSE,"신규dep-기계,공구상각후"}</definedName>
    <definedName name="tynervwsgrte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hidden="1">{#N/A,#N/A,TRUE,"일정"}</definedName>
    <definedName name="vttdfvgf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E" hidden="1">{#N/A,#N/A,FALSE,"신규dep";#N/A,#N/A,FALSE,"신규dep-금형상각후";#N/A,#N/A,FALSE,"신규dep-연구비상각후";#N/A,#N/A,FALSE,"신규dep-기계,공구상각후"}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hidden="1">{#N/A,#N/A,FALSE,"원가검토서"}</definedName>
    <definedName name="WETDRF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hidden="1">{#N/A,#N/A,FALSE,"원가검토서"}</definedName>
    <definedName name="WGREG" hidden="1">{#N/A,#N/A,FALSE,"원가검토서"}</definedName>
    <definedName name="WHRL" hidden="1">{#N/A,#N/A,FALSE,"단축1";#N/A,#N/A,FALSE,"단축2";#N/A,#N/A,FALSE,"단축3";#N/A,#N/A,FALSE,"장축";#N/A,#N/A,FALSE,"4WD"}</definedName>
    <definedName name="Wire_Chart" hidden="1">{"Wire Charts",#N/A,TRUE,"Wires"}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hidden="1">{#N/A,#N/A,FALSE,"을지 (4)";#N/A,#N/A,FALSE,"을지 (5)";#N/A,#N/A,FALSE,"을지 (6)"}</definedName>
    <definedName name="WQBYHCJYBHUH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hidden="1">{#N/A,#N/A,FALSE,"해외크레임";#N/A,#N/A,FALSE,"ACCENT현황";#N/A,#N/A,FALSE,"AVANTE";#N/A,#N/A,FALSE,"SONATA(3)";#N/A,#N/A,FALSE,"국내크레임"}</definedName>
    <definedName name="wrn.1ECC49." hidden="1">{#N/A,#N/A,FALSE,"성적서";#N/A,#N/A,FALSE,"기준을"}</definedName>
    <definedName name="wrn.345." hidden="1">{#N/A,#N/A,FALSE,"96 3월물량표";#N/A,#N/A,FALSE,"96 4월물량표";#N/A,#N/A,FALSE,"96 5월물량표"}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hidden="1">{#N/A,#N/A,FALSE,"Repair";#N/A,#N/A,FALSE,"Audit Room";#N/A,#N/A,FALSE,"Simulator"}</definedName>
    <definedName name="wrn.COST_CEN." hidden="1">{#N/A,#N/A,TRUE,"orig";#N/A,#N/A,TRUE,"dvd_key";#N/A,#N/A,TRUE,"OH1";#N/A,#N/A,TRUE,"allc_key";#N/A,#N/A,TRUE,"OH2"}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hidden="1">{#N/A,#N/A,FALSE,"Status";#N/A,#N/A,FALSE,"Deckblatt 1";#N/A,#N/A,FALSE,"Deckblatt2"}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hidden="1">{"Wire Charts",#N/A,TRUE,"Wires"}</definedName>
    <definedName name="wrn.Y차._.종합." hidden="1">{#N/A,#N/A,TRUE,"Y생산";#N/A,#N/A,TRUE,"Y판매";#N/A,#N/A,TRUE,"Y총물량";#N/A,#N/A,TRUE,"Y능력";#N/A,#N/A,TRUE,"YKD"}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hidden="1">{#N/A,#N/A,FALSE,"원가검토서"}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hidden="1">{#N/A,#N/A,FALSE,"Cst of Sales (2)"}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hidden="1">{#N/A,#N/A,FALSE,"정공"}</definedName>
    <definedName name="WRTETDTRY" hidden="1">{#N/A,#N/A,FALSE,"단축1";#N/A,#N/A,FALSE,"단축2";#N/A,#N/A,FALSE,"단축3";#N/A,#N/A,FALSE,"장축";#N/A,#N/A,FALSE,"4WD"}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hidden="1">{#N/A,#N/A,FALSE,"을지 (4)";#N/A,#N/A,FALSE,"을지 (5)";#N/A,#N/A,FALSE,"을지 (6)"}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hidden="1">{#N/A,#N/A,FALSE,"을지 (4)";#N/A,#N/A,FALSE,"을지 (5)";#N/A,#N/A,FALSE,"을지 (6)"}</definedName>
    <definedName name="XWDSTGFTF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hidden="1">{#N/A,#N/A,TRUE,"Y생산";#N/A,#N/A,TRUE,"Y판매";#N/A,#N/A,TRUE,"Y총물량";#N/A,#N/A,TRUE,"Y능력";#N/A,#N/A,TRUE,"YKD"}</definedName>
    <definedName name="yyyy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hidden="1">{#N/A,#N/A,TRUE,"일정"}</definedName>
    <definedName name="ㄱㄷㅁㄱ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hidden="1">{#N/A,#N/A,FALSE,"원가검토서"}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고싶다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hidden="1">{#N/A,#N/A,FALSE,"성적서";#N/A,#N/A,FALSE,"기준을"}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hidden="1">{#N/A,#N/A,TRUE,"Y생산";#N/A,#N/A,TRUE,"Y판매";#N/A,#N/A,TRUE,"Y총물량";#N/A,#N/A,TRUE,"Y능력";#N/A,#N/A,TRUE,"YKD"}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계획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hidden="1">{"Wire Charts",#N/A,TRUE,"Wires"}</definedName>
    <definedName name="고고고" hidden="1">{#N/A,#N/A,FALSE,"원가검토서"}</definedName>
    <definedName name="고어얼어러럴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hidden="1">{#N/A,#N/A,FALSE,"단축1";#N/A,#N/A,FALSE,"단축2";#N/A,#N/A,FALSE,"단축3";#N/A,#N/A,FALSE,"장축";#N/A,#N/A,FALSE,"4WD"}</definedName>
    <definedName name="공정도" hidden="1">{#N/A,#N/A,FALSE,"원가검토서"}</definedName>
    <definedName name="공통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hidden="1">{#N/A,#N/A,TRUE,"Y생산";#N/A,#N/A,TRUE,"Y판매";#N/A,#N/A,TRUE,"Y총물량";#N/A,#N/A,TRUE,"Y능력";#N/A,#N/A,TRUE,"YKD"}</definedName>
    <definedName name="권오종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hidden="1">{#N/A,#N/A,FALSE,"을지 (4)";#N/A,#N/A,FALSE,"을지 (5)";#N/A,#N/A,FALSE,"을지 (6)"}</definedName>
    <definedName name="근거2" hidden="1">{#N/A,#N/A,FALSE,"단축1";#N/A,#N/A,FALSE,"단축2";#N/A,#N/A,FALSE,"단축3";#N/A,#N/A,FALSE,"장축";#N/A,#N/A,FALSE,"4WD"}</definedName>
    <definedName name="금" hidden="1">{#N/A,#N/A,FALSE,"원가검토서"}</definedName>
    <definedName name="금월" hidden="1">{#N/A,#N/A,TRUE,"Y생산";#N/A,#N/A,TRUE,"Y판매";#N/A,#N/A,TRUE,"Y총물량";#N/A,#N/A,TRUE,"Y능력";#N/A,#N/A,TRUE,"YKD"}</definedName>
    <definedName name="금형" hidden="1">{#N/A,#N/A,FALSE,"원가검토서"}</definedName>
    <definedName name="금형3" hidden="1">{#N/A,#N/A,FALSE,"단축1";#N/A,#N/A,FALSE,"단축2";#N/A,#N/A,FALSE,"단축3";#N/A,#N/A,FALSE,"장축";#N/A,#N/A,FALSE,"4WD"}</definedName>
    <definedName name="금형견적" hidden="1">{#N/A,#N/A,FALSE,"원가검토서"}</definedName>
    <definedName name="금형제작일정" hidden="1">{#N/A,#N/A,FALSE,"단축1";#N/A,#N/A,FALSE,"단축2";#N/A,#N/A,FALSE,"단축3";#N/A,#N/A,FALSE,"장축";#N/A,#N/A,FALSE,"4WD"}</definedName>
    <definedName name="금형진행현황" hidden="1">{#N/A,#N/A,FALSE,"Cst of Sales (2)"}</definedName>
    <definedName name="기관예산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hidden="1">{#N/A,#N/A,FALSE,"단축1";#N/A,#N/A,FALSE,"단축2";#N/A,#N/A,FALSE,"단축3";#N/A,#N/A,FALSE,"장축";#N/A,#N/A,FALSE,"4WD"}</definedName>
    <definedName name="ㄴㅇㄻㄴ" hidden="1">{#N/A,#N/A,FALSE,"Status";#N/A,#N/A,FALSE,"Deckblatt 1";#N/A,#N/A,FALSE,"Deckblatt2"}</definedName>
    <definedName name="ㄴㅇㅊㄹㄴㅇㄹ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hidden="1">{#N/A,#N/A,TRUE,"Y생산";#N/A,#N/A,TRUE,"Y판매";#N/A,#N/A,TRUE,"Y총물량";#N/A,#N/A,TRUE,"Y능력";#N/A,#N/A,TRUE,"YKD"}</definedName>
    <definedName name="ㄷㅇ굣ㄴㄷㅁ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hidden="1">{#N/A,#N/A,TRUE,"일정"}</definedName>
    <definedName name="대부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hidden="1">{#N/A,#N/A,FALSE,"해외크레임";#N/A,#N/A,FALSE,"ACCENT현황";#N/A,#N/A,FALSE,"AVANTE";#N/A,#N/A,FALSE,"SONATA(3)";#N/A,#N/A,FALSE,"국내크레임"}</definedName>
    <definedName name="뎌768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hidden="1">{#N/A,#N/A,FALSE,"해외크레임";#N/A,#N/A,FALSE,"ACCENT현황";#N/A,#N/A,FALSE,"AVANTE";#N/A,#N/A,FALSE,"SONATA(3)";#N/A,#N/A,FALSE,"국내크레임"}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hidden="1">{#N/A,#N/A,TRUE,"Y생산";#N/A,#N/A,TRUE,"Y판매";#N/A,#N/A,TRUE,"Y총물량";#N/A,#N/A,TRUE,"Y능력";#N/A,#N/A,TRUE,"YKD"}</definedName>
    <definedName name="ㄹㅇㄹㅇㅇㄹ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hidden="1">{#N/A,#N/A,TRUE,"Y생산";#N/A,#N/A,TRUE,"Y판매";#N/A,#N/A,TRUE,"Y총물량";#N/A,#N/A,TRUE,"Y능력";#N/A,#N/A,TRUE,"YKD"}</definedName>
    <definedName name="라이ㅣㅇ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hidden="1">{#N/A,#N/A,FALSE,"을지 (4)";#N/A,#N/A,FALSE,"을지 (5)";#N/A,#N/A,FALSE,"을지 (6)"}</definedName>
    <definedName name="ㅀㅇ" hidden="1">#REF!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hidden="1">{#N/A,#N/A,FALSE,"단축1";#N/A,#N/A,FALSE,"단축2";#N/A,#N/A,FALSE,"단축3";#N/A,#N/A,FALSE,"장축";#N/A,#N/A,FALSE,"4WD"}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hidden="1">{#N/A,#N/A,FALSE,"단축1";#N/A,#N/A,FALSE,"단축2";#N/A,#N/A,FALSE,"단축3";#N/A,#N/A,FALSE,"장축";#N/A,#N/A,FALSE,"4WD"}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hidden="1">{#N/A,#N/A,TRUE,"Y생산";#N/A,#N/A,TRUE,"Y판매";#N/A,#N/A,TRUE,"Y총물량";#N/A,#N/A,TRUE,"Y능력";#N/A,#N/A,TRUE,"YKD"}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러ㅣ머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hidden="1">{#N/A,#N/A,FALSE,"을지 (4)";#N/A,#N/A,FALSE,"을지 (5)";#N/A,#N/A,FALSE,"을지 (6)"}</definedName>
    <definedName name="ㅂ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hidden="1">[0]!ㅂㅂㅂ</definedName>
    <definedName name="ㅂㅈㅇㅇ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hidden="1">{#N/A,#N/A,FALSE,"단축1";#N/A,#N/A,FALSE,"단축2";#N/A,#N/A,FALSE,"단축3";#N/A,#N/A,FALSE,"장축";#N/A,#N/A,FALSE,"4WD"}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분석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hidden="1">{#N/A,#N/A,TRUE,"일정"}</definedName>
    <definedName name="ㅅㅅㅅ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hidden="1">{#N/A,#N/A,FALSE,"신규dep";#N/A,#N/A,FALSE,"신규dep-금형상각후";#N/A,#N/A,FALSE,"신규dep-연구비상각후";#N/A,#N/A,FALSE,"신규dep-기계,공구상각후"}</definedName>
    <definedName name="사진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hidden="1">{#N/A,#N/A,FALSE,"정공"}</definedName>
    <definedName name="새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hidden="1">{#N/A,#N/A,TRUE,"Y생산";#N/A,#N/A,TRUE,"Y판매";#N/A,#N/A,TRUE,"Y총물량";#N/A,#N/A,TRUE,"Y능력";#N/A,#N/A,TRUE,"YKD"}</definedName>
    <definedName name="생요서4" hidden="1">{#N/A,#N/A,FALSE,"단축1";#N/A,#N/A,FALSE,"단축2";#N/A,#N/A,FALSE,"단축3";#N/A,#N/A,FALSE,"장축";#N/A,#N/A,FALSE,"4WD"}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직편차_19041" hidden="1">{#N/A,#N/A,FALSE,"원가검토서"}</definedName>
    <definedName name="수직편차_190419" hidden="1">{#N/A,#N/A,FALSE,"원가검토서"}</definedName>
    <definedName name="스타렉스2" hidden="1">{#N/A,#N/A,FALSE,"단축1";#N/A,#N/A,FALSE,"단축2";#N/A,#N/A,FALSE,"단축3";#N/A,#N/A,FALSE,"장축";#N/A,#N/A,FALSE,"4WD"}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hidden="1">{#N/A,#N/A,TRUE,"Y생산";#N/A,#N/A,TRUE,"Y판매";#N/A,#N/A,TRUE,"Y총물량";#N/A,#N/A,TRUE,"Y능력";#N/A,#N/A,TRUE,"YKD"}</definedName>
    <definedName name="시그마1" hidden="1">{#N/A,#N/A,FALSE,"단축1";#N/A,#N/A,FALSE,"단축2";#N/A,#N/A,FALSE,"단축3";#N/A,#N/A,FALSE,"장축";#N/A,#N/A,FALSE,"4WD"}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hidden="1">{"'KET'!$A$1:$E$2423"}</definedName>
    <definedName name="시리즈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hidden="1">{#N/A,#N/A,FALSE,"원가검토서"}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hidden="1">{#N/A,#N/A,FALSE,"원가검토서"}</definedName>
    <definedName name="ㅇㅀㄷㄱㅈ" hidden="1">{#N/A,#N/A,FALSE,"원가검토서"}</definedName>
    <definedName name="ㅇㅀ호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와이퍼일" hidden="1">{#N/A,#N/A,FALSE,"단축1";#N/A,#N/A,FALSE,"단축2";#N/A,#N/A,FALSE,"단축3";#N/A,#N/A,FALSE,"장축";#N/A,#N/A,FALSE,"4WD"}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hidden="1">{#N/A,#N/A,TRUE,"Y생산";#N/A,#N/A,TRUE,"Y판매";#N/A,#N/A,TRUE,"Y총물량";#N/A,#N/A,TRUE,"Y능력";#N/A,#N/A,TRUE,"YKD"}</definedName>
    <definedName name="우리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hidden="1">{#N/A,#N/A,FALSE,"신규dep";#N/A,#N/A,FALSE,"신규dep-금형상각후";#N/A,#N/A,FALSE,"신규dep-연구비상각후";#N/A,#N/A,FALSE,"신규dep-기계,공구상각후"}</definedName>
    <definedName name="유형" hidden="1">{#N/A,#N/A,TRUE,"Y생산";#N/A,#N/A,TRUE,"Y판매";#N/A,#N/A,TRUE,"Y총물량";#N/A,#N/A,TRUE,"Y능력";#N/A,#N/A,TRUE,"YKD"}</definedName>
    <definedName name="유ㅕㄴ됵ㄷ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hidden="1">{#N/A,#N/A,TRUE,"Y생산";#N/A,#N/A,TRUE,"Y판매";#N/A,#N/A,TRUE,"Y총물량";#N/A,#N/A,TRUE,"Y능력";#N/A,#N/A,TRUE,"YKD"}</definedName>
    <definedName name="장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hidden="1">{"'KET'!$A$1:$E$2423"}</definedName>
    <definedName name="종합그래프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호" hidden="1">{#N/A,#N/A,FALSE,"단축1";#N/A,#N/A,FALSE,"단축2";#N/A,#N/A,FALSE,"단축3";#N/A,#N/A,FALSE,"장축";#N/A,#N/A,FALSE,"4WD"}</definedName>
    <definedName name="ㅉ" hidden="1">{#N/A,#N/A,TRUE,"Y생산";#N/A,#N/A,TRUE,"Y판매";#N/A,#N/A,TRUE,"Y총물량";#N/A,#N/A,TRUE,"Y능력";#N/A,#N/A,TRUE,"YKD"}</definedName>
    <definedName name="ㅊㄷㅁㅈㄷㄼㄹ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hidden="1">{#N/A,#N/A,FALSE,"정공"}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hidden="1">{#N/A,#N/A,FALSE,"Cst of Sales (2)"}</definedName>
    <definedName name="크랑" hidden="1">{#N/A,#N/A,FALSE,"단축1";#N/A,#N/A,FALSE,"단축2";#N/A,#N/A,FALSE,"단축3";#N/A,#N/A,FALSE,"장축";#N/A,#N/A,FALSE,"4WD"}</definedName>
    <definedName name="키프코" hidden="1">{#N/A,#N/A,FALSE,"을지 (4)";#N/A,#N/A,FALSE,"을지 (5)";#N/A,#N/A,FALSE,"을지 (6)"}</definedName>
    <definedName name="ㅌ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hidden="1">{#N/A,#N/A,TRUE,"일정"}</definedName>
    <definedName name="ㅌㅌㅌㅌ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hidden="1">{#N/A,#N/A,FALSE,"원가검토서"}</definedName>
    <definedName name="포장사양" hidden="1">#REF!</definedName>
    <definedName name="포장사양서" hidden="1">{#N/A,#N/A,FALSE,"원가검토서"}</definedName>
    <definedName name="표지1" hidden="1">{#N/A,#N/A,FALSE,"단축1";#N/A,#N/A,FALSE,"단축2";#N/A,#N/A,FALSE,"단축3";#N/A,#N/A,FALSE,"장축";#N/A,#N/A,FALSE,"4WD"}</definedName>
    <definedName name="품" hidden="1">{#N/A,#N/A,TRUE,"Y생산";#N/A,#N/A,TRUE,"Y판매";#N/A,#N/A,TRUE,"Y총물량";#N/A,#N/A,TRUE,"Y능력";#N/A,#N/A,TRUE,"YKD"}</definedName>
    <definedName name="품질확보계획2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hidden="1">{#N/A,#N/A,FALSE,"단축1";#N/A,#N/A,FALSE,"단축2";#N/A,#N/A,FALSE,"단축3";#N/A,#N/A,FALSE,"장축";#N/A,#N/A,FALSE,"4WD"}</definedName>
    <definedName name="ㅎ라" hidden="1">{#N/A,#N/A,TRUE,"Y생산";#N/A,#N/A,TRUE,"Y판매";#N/A,#N/A,TRUE,"Y총물량";#N/A,#N/A,TRUE,"Y능력";#N/A,#N/A,TRUE,"YKD"}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해정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hidden="1">{#N/A,#N/A,FALSE,"정공"}</definedName>
    <definedName name="현주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hidden="1">{#N/A,#N/A,FALSE,"96 3월물량표";#N/A,#N/A,FALSE,"96 4월물량표";#N/A,#N/A,FALSE,"96 5월물량표"}</definedName>
    <definedName name="호ㅓㅗ" hidden="1">{#N/A,#N/A,FALSE,"단축1";#N/A,#N/A,FALSE,"단축2";#N/A,#N/A,FALSE,"단축3";#N/A,#N/A,FALSE,"장축";#N/A,#N/A,FALSE,"4WD"}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hidden="1">{#N/A,#N/A,FALSE,"Cst of Sales (2)"}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hidden="1">{#N/A,#N/A,FALSE,"Status";#N/A,#N/A,FALSE,"Deckblatt 1";#N/A,#N/A,FALSE,"Deckblatt2"}</definedName>
    <definedName name="ㅔㅔㅔ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hidden="1">{#N/A,#N/A,TRUE,"일정"}</definedName>
    <definedName name="ㅗㄴㅇㄱㅎㅇㄹㄶㅇ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hidden="1">{#N/A,#N/A,TRUE,"일정"}</definedName>
    <definedName name="ㅛㅅㄱㄷㅈ" hidden="1">{#N/A,#N/A,FALSE,"단축1";#N/A,#N/A,FALSE,"단축2";#N/A,#N/A,FALSE,"단축3";#N/A,#N/A,FALSE,"장축";#N/A,#N/A,FALSE,"4WD"}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hidden="1">{#N/A,#N/A,TRUE,"일정"}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06" i="13" l="1"/>
  <c r="P106" i="13"/>
  <c r="O106" i="13"/>
  <c r="Q106" i="13" s="1"/>
  <c r="N106" i="13"/>
  <c r="M106" i="13"/>
  <c r="L106" i="13"/>
  <c r="K106" i="13"/>
  <c r="R105" i="13"/>
  <c r="P105" i="13"/>
  <c r="O105" i="13"/>
  <c r="Q105" i="13" s="1"/>
  <c r="N105" i="13"/>
  <c r="M105" i="13"/>
  <c r="L105" i="13"/>
  <c r="K105" i="13"/>
  <c r="R104" i="13"/>
  <c r="P104" i="13"/>
  <c r="O104" i="13"/>
  <c r="Q104" i="13" s="1"/>
  <c r="N104" i="13"/>
  <c r="M104" i="13"/>
  <c r="L104" i="13"/>
  <c r="K104" i="13"/>
  <c r="R103" i="13"/>
  <c r="P103" i="13"/>
  <c r="O103" i="13"/>
  <c r="Q103" i="13" s="1"/>
  <c r="N103" i="13"/>
  <c r="M103" i="13"/>
  <c r="L103" i="13"/>
  <c r="K103" i="13"/>
  <c r="R102" i="13"/>
  <c r="P102" i="13"/>
  <c r="O102" i="13"/>
  <c r="Q102" i="13" s="1"/>
  <c r="N102" i="13"/>
  <c r="M102" i="13"/>
  <c r="L102" i="13"/>
  <c r="K102" i="13"/>
  <c r="R101" i="13"/>
  <c r="P101" i="13"/>
  <c r="O101" i="13"/>
  <c r="Q101" i="13" s="1"/>
  <c r="N101" i="13"/>
  <c r="M101" i="13"/>
  <c r="L101" i="13"/>
  <c r="K101" i="13"/>
  <c r="R100" i="13"/>
  <c r="P100" i="13"/>
  <c r="O100" i="13"/>
  <c r="Q100" i="13" s="1"/>
  <c r="N100" i="13"/>
  <c r="M100" i="13"/>
  <c r="L100" i="13"/>
  <c r="K100" i="13"/>
  <c r="R99" i="13"/>
  <c r="P99" i="13"/>
  <c r="O99" i="13"/>
  <c r="Q99" i="13" s="1"/>
  <c r="N99" i="13"/>
  <c r="M99" i="13"/>
  <c r="L99" i="13"/>
  <c r="K99" i="13"/>
  <c r="R98" i="13"/>
  <c r="P98" i="13"/>
  <c r="O98" i="13"/>
  <c r="Q98" i="13" s="1"/>
  <c r="N98" i="13"/>
  <c r="M98" i="13"/>
  <c r="L98" i="13"/>
  <c r="K98" i="13"/>
  <c r="R97" i="13"/>
  <c r="P97" i="13"/>
  <c r="O97" i="13"/>
  <c r="Q97" i="13" s="1"/>
  <c r="N97" i="13"/>
  <c r="M97" i="13"/>
  <c r="L97" i="13"/>
  <c r="K97" i="13"/>
  <c r="R96" i="13"/>
  <c r="P96" i="13"/>
  <c r="O96" i="13"/>
  <c r="Q96" i="13" s="1"/>
  <c r="N96" i="13"/>
  <c r="M96" i="13"/>
  <c r="L96" i="13"/>
  <c r="K96" i="13"/>
  <c r="R95" i="13"/>
  <c r="P95" i="13"/>
  <c r="O95" i="13"/>
  <c r="Q95" i="13" s="1"/>
  <c r="N95" i="13"/>
  <c r="M95" i="13"/>
  <c r="L95" i="13"/>
  <c r="K95" i="13"/>
  <c r="R94" i="13"/>
  <c r="P94" i="13"/>
  <c r="O94" i="13"/>
  <c r="Q94" i="13" s="1"/>
  <c r="N94" i="13"/>
  <c r="M94" i="13"/>
  <c r="L94" i="13"/>
  <c r="K94" i="13"/>
  <c r="R93" i="13"/>
  <c r="P93" i="13"/>
  <c r="O93" i="13"/>
  <c r="Q93" i="13" s="1"/>
  <c r="N93" i="13"/>
  <c r="M93" i="13"/>
  <c r="L93" i="13"/>
  <c r="K93" i="13"/>
  <c r="R92" i="13"/>
  <c r="P92" i="13"/>
  <c r="O92" i="13"/>
  <c r="Q92" i="13" s="1"/>
  <c r="N92" i="13"/>
  <c r="M92" i="13"/>
  <c r="L92" i="13"/>
  <c r="K92" i="13"/>
  <c r="R91" i="13"/>
  <c r="P91" i="13"/>
  <c r="O91" i="13"/>
  <c r="Q91" i="13" s="1"/>
  <c r="N91" i="13"/>
  <c r="M91" i="13"/>
  <c r="L91" i="13"/>
  <c r="K91" i="13"/>
  <c r="R90" i="13"/>
  <c r="P90" i="13"/>
  <c r="O90" i="13"/>
  <c r="Q90" i="13" s="1"/>
  <c r="N90" i="13"/>
  <c r="M90" i="13"/>
  <c r="L90" i="13"/>
  <c r="K90" i="13"/>
  <c r="R89" i="13"/>
  <c r="P89" i="13"/>
  <c r="O89" i="13"/>
  <c r="Q89" i="13" s="1"/>
  <c r="N89" i="13"/>
  <c r="M89" i="13"/>
  <c r="L89" i="13"/>
  <c r="K89" i="13"/>
  <c r="R88" i="13"/>
  <c r="P88" i="13"/>
  <c r="O88" i="13"/>
  <c r="Q88" i="13" s="1"/>
  <c r="N88" i="13"/>
  <c r="M88" i="13"/>
  <c r="L88" i="13"/>
  <c r="K88" i="13"/>
  <c r="R87" i="13"/>
  <c r="P87" i="13"/>
  <c r="O87" i="13"/>
  <c r="Q87" i="13" s="1"/>
  <c r="N87" i="13"/>
  <c r="M87" i="13"/>
  <c r="L87" i="13"/>
  <c r="K87" i="13"/>
  <c r="R86" i="13"/>
  <c r="P86" i="13"/>
  <c r="O86" i="13"/>
  <c r="Q86" i="13" s="1"/>
  <c r="N86" i="13"/>
  <c r="M86" i="13"/>
  <c r="L86" i="13"/>
  <c r="K86" i="13"/>
  <c r="R85" i="13"/>
  <c r="P85" i="13"/>
  <c r="O85" i="13"/>
  <c r="Q85" i="13" s="1"/>
  <c r="N85" i="13"/>
  <c r="M85" i="13"/>
  <c r="L85" i="13"/>
  <c r="K85" i="13"/>
  <c r="R84" i="13"/>
  <c r="P84" i="13"/>
  <c r="O84" i="13"/>
  <c r="Q84" i="13" s="1"/>
  <c r="N84" i="13"/>
  <c r="M84" i="13"/>
  <c r="L84" i="13"/>
  <c r="K84" i="13"/>
  <c r="R83" i="13"/>
  <c r="P83" i="13"/>
  <c r="O83" i="13"/>
  <c r="Q83" i="13" s="1"/>
  <c r="N83" i="13"/>
  <c r="M83" i="13"/>
  <c r="L83" i="13"/>
  <c r="K83" i="13"/>
  <c r="M73" i="14"/>
  <c r="N73" i="14"/>
  <c r="O73" i="14"/>
  <c r="P73" i="14"/>
  <c r="Q73" i="14" s="1"/>
  <c r="AA73" i="14" s="1"/>
  <c r="R73" i="14"/>
  <c r="S73" i="14" s="1"/>
  <c r="AC73" i="14"/>
  <c r="M74" i="14"/>
  <c r="N74" i="14"/>
  <c r="O74" i="14"/>
  <c r="P74" i="14"/>
  <c r="Q74" i="14"/>
  <c r="R74" i="14"/>
  <c r="S74" i="14" s="1"/>
  <c r="T74" i="14"/>
  <c r="U74" i="14"/>
  <c r="V74" i="14"/>
  <c r="W74" i="14"/>
  <c r="X74" i="14"/>
  <c r="Y74" i="14"/>
  <c r="Z74" i="14"/>
  <c r="AA74" i="14"/>
  <c r="AC74" i="14"/>
  <c r="M75" i="14"/>
  <c r="N75" i="14"/>
  <c r="O75" i="14"/>
  <c r="P75" i="14"/>
  <c r="Q75" i="14"/>
  <c r="R75" i="14"/>
  <c r="S75" i="14" s="1"/>
  <c r="T75" i="14"/>
  <c r="U75" i="14"/>
  <c r="V75" i="14"/>
  <c r="W75" i="14"/>
  <c r="X75" i="14"/>
  <c r="Y75" i="14"/>
  <c r="Z75" i="14"/>
  <c r="AA75" i="14"/>
  <c r="AC75" i="14"/>
  <c r="M76" i="14"/>
  <c r="N76" i="14"/>
  <c r="O76" i="14"/>
  <c r="P76" i="14"/>
  <c r="Q76" i="14"/>
  <c r="R76" i="14"/>
  <c r="S76" i="14" s="1"/>
  <c r="T76" i="14"/>
  <c r="U76" i="14"/>
  <c r="V76" i="14"/>
  <c r="W76" i="14"/>
  <c r="X76" i="14"/>
  <c r="Y76" i="14"/>
  <c r="Z76" i="14"/>
  <c r="AA76" i="14"/>
  <c r="AC76" i="14"/>
  <c r="M77" i="14"/>
  <c r="N77" i="14"/>
  <c r="O77" i="14"/>
  <c r="P77" i="14"/>
  <c r="Q77" i="14"/>
  <c r="R77" i="14"/>
  <c r="S77" i="14" s="1"/>
  <c r="T77" i="14"/>
  <c r="U77" i="14"/>
  <c r="V77" i="14"/>
  <c r="W77" i="14"/>
  <c r="X77" i="14"/>
  <c r="Y77" i="14"/>
  <c r="Z77" i="14"/>
  <c r="AA77" i="14"/>
  <c r="AC77" i="14"/>
  <c r="M78" i="14"/>
  <c r="N78" i="14"/>
  <c r="O78" i="14"/>
  <c r="P78" i="14"/>
  <c r="Q78" i="14"/>
  <c r="R78" i="14"/>
  <c r="S78" i="14" s="1"/>
  <c r="T78" i="14"/>
  <c r="U78" i="14"/>
  <c r="V78" i="14"/>
  <c r="W78" i="14"/>
  <c r="X78" i="14"/>
  <c r="Y78" i="14"/>
  <c r="Z78" i="14"/>
  <c r="AA78" i="14"/>
  <c r="AC78" i="14"/>
  <c r="M79" i="14"/>
  <c r="N79" i="14"/>
  <c r="O79" i="14"/>
  <c r="X79" i="14" s="1"/>
  <c r="P79" i="14"/>
  <c r="Q79" i="14"/>
  <c r="AA79" i="14" s="1"/>
  <c r="R79" i="14"/>
  <c r="S79" i="14" s="1"/>
  <c r="T79" i="14"/>
  <c r="U79" i="14"/>
  <c r="V79" i="14"/>
  <c r="W79" i="14"/>
  <c r="AC79" i="14"/>
  <c r="J75" i="14"/>
  <c r="J73" i="14"/>
  <c r="K73" i="14"/>
  <c r="J74" i="14"/>
  <c r="K74" i="14"/>
  <c r="K75" i="14"/>
  <c r="J76" i="14"/>
  <c r="K76" i="14"/>
  <c r="J77" i="14"/>
  <c r="K77" i="14"/>
  <c r="J78" i="14"/>
  <c r="K78" i="14"/>
  <c r="J79" i="14"/>
  <c r="K79" i="14"/>
  <c r="C9" i="20"/>
  <c r="E6" i="20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E8" i="20"/>
  <c r="R152" i="13"/>
  <c r="P152" i="13"/>
  <c r="O152" i="13"/>
  <c r="Q152" i="13" s="1"/>
  <c r="N152" i="13"/>
  <c r="R151" i="13"/>
  <c r="P151" i="13"/>
  <c r="O151" i="13"/>
  <c r="Q151" i="13" s="1"/>
  <c r="N151" i="13"/>
  <c r="R150" i="13"/>
  <c r="P150" i="13"/>
  <c r="O150" i="13"/>
  <c r="Q150" i="13" s="1"/>
  <c r="N150" i="13"/>
  <c r="R149" i="13"/>
  <c r="P149" i="13"/>
  <c r="O149" i="13"/>
  <c r="Q149" i="13" s="1"/>
  <c r="N149" i="13"/>
  <c r="R148" i="13"/>
  <c r="P148" i="13"/>
  <c r="O148" i="13"/>
  <c r="Q148" i="13" s="1"/>
  <c r="N148" i="13"/>
  <c r="P147" i="13"/>
  <c r="R147" i="13" s="1"/>
  <c r="O147" i="13"/>
  <c r="Q147" i="13" s="1"/>
  <c r="N147" i="13"/>
  <c r="R146" i="13"/>
  <c r="P146" i="13"/>
  <c r="O146" i="13"/>
  <c r="Q146" i="13" s="1"/>
  <c r="N146" i="13"/>
  <c r="R145" i="13"/>
  <c r="P145" i="13"/>
  <c r="O145" i="13"/>
  <c r="Q145" i="13" s="1"/>
  <c r="N145" i="13"/>
  <c r="R144" i="13"/>
  <c r="P144" i="13"/>
  <c r="O144" i="13"/>
  <c r="Q144" i="13" s="1"/>
  <c r="N144" i="13"/>
  <c r="R143" i="13"/>
  <c r="P143" i="13"/>
  <c r="O143" i="13"/>
  <c r="Q143" i="13" s="1"/>
  <c r="N143" i="13"/>
  <c r="R142" i="13"/>
  <c r="P142" i="13"/>
  <c r="O142" i="13"/>
  <c r="Q142" i="13" s="1"/>
  <c r="N142" i="13"/>
  <c r="P141" i="13"/>
  <c r="R141" i="13" s="1"/>
  <c r="O141" i="13"/>
  <c r="Q141" i="13" s="1"/>
  <c r="N141" i="13"/>
  <c r="R140" i="13"/>
  <c r="P140" i="13"/>
  <c r="O140" i="13"/>
  <c r="Q140" i="13" s="1"/>
  <c r="N140" i="13"/>
  <c r="R139" i="13"/>
  <c r="P139" i="13"/>
  <c r="O139" i="13"/>
  <c r="Q139" i="13" s="1"/>
  <c r="N139" i="13"/>
  <c r="R138" i="13"/>
  <c r="P138" i="13"/>
  <c r="O138" i="13"/>
  <c r="Q138" i="13" s="1"/>
  <c r="N138" i="13"/>
  <c r="R137" i="13"/>
  <c r="P137" i="13"/>
  <c r="O137" i="13"/>
  <c r="Q137" i="13" s="1"/>
  <c r="N137" i="13"/>
  <c r="R136" i="13"/>
  <c r="P136" i="13"/>
  <c r="O136" i="13"/>
  <c r="Q136" i="13" s="1"/>
  <c r="N136" i="13"/>
  <c r="P135" i="13"/>
  <c r="R135" i="13" s="1"/>
  <c r="O135" i="13"/>
  <c r="Q135" i="13" s="1"/>
  <c r="N135" i="13"/>
  <c r="R134" i="13"/>
  <c r="P134" i="13"/>
  <c r="O134" i="13"/>
  <c r="Q134" i="13" s="1"/>
  <c r="N134" i="13"/>
  <c r="R133" i="13"/>
  <c r="P133" i="13"/>
  <c r="O133" i="13"/>
  <c r="Q133" i="13" s="1"/>
  <c r="N133" i="13"/>
  <c r="R132" i="13"/>
  <c r="P132" i="13"/>
  <c r="O132" i="13"/>
  <c r="Q132" i="13" s="1"/>
  <c r="N132" i="13"/>
  <c r="R131" i="13"/>
  <c r="P131" i="13"/>
  <c r="O131" i="13"/>
  <c r="Q131" i="13" s="1"/>
  <c r="N131" i="13"/>
  <c r="R130" i="13"/>
  <c r="P130" i="13"/>
  <c r="O130" i="13"/>
  <c r="Q130" i="13" s="1"/>
  <c r="N130" i="13"/>
  <c r="P129" i="13"/>
  <c r="R129" i="13" s="1"/>
  <c r="O129" i="13"/>
  <c r="Q129" i="13" s="1"/>
  <c r="N129" i="13"/>
  <c r="P128" i="13"/>
  <c r="R128" i="13" s="1"/>
  <c r="O128" i="13"/>
  <c r="Q128" i="13" s="1"/>
  <c r="N128" i="13"/>
  <c r="P127" i="13"/>
  <c r="R127" i="13" s="1"/>
  <c r="O127" i="13"/>
  <c r="Q127" i="13" s="1"/>
  <c r="N127" i="13"/>
  <c r="P126" i="13"/>
  <c r="R126" i="13" s="1"/>
  <c r="O126" i="13"/>
  <c r="Q126" i="13" s="1"/>
  <c r="N126" i="13"/>
  <c r="P125" i="13"/>
  <c r="R125" i="13" s="1"/>
  <c r="O125" i="13"/>
  <c r="Q125" i="13" s="1"/>
  <c r="N125" i="13"/>
  <c r="P124" i="13"/>
  <c r="R124" i="13" s="1"/>
  <c r="O124" i="13"/>
  <c r="Q124" i="13" s="1"/>
  <c r="N124" i="13"/>
  <c r="P123" i="13"/>
  <c r="R123" i="13" s="1"/>
  <c r="O123" i="13"/>
  <c r="Q123" i="13" s="1"/>
  <c r="N123" i="13"/>
  <c r="P122" i="13"/>
  <c r="R122" i="13" s="1"/>
  <c r="O122" i="13"/>
  <c r="Q122" i="13" s="1"/>
  <c r="N122" i="13"/>
  <c r="P121" i="13"/>
  <c r="R121" i="13" s="1"/>
  <c r="O121" i="13"/>
  <c r="Q121" i="13" s="1"/>
  <c r="N121" i="13"/>
  <c r="P120" i="13"/>
  <c r="R120" i="13" s="1"/>
  <c r="O120" i="13"/>
  <c r="Q120" i="13" s="1"/>
  <c r="N120" i="13"/>
  <c r="P119" i="13"/>
  <c r="R119" i="13" s="1"/>
  <c r="O119" i="13"/>
  <c r="Q119" i="13" s="1"/>
  <c r="N119" i="13"/>
  <c r="P118" i="13"/>
  <c r="R118" i="13" s="1"/>
  <c r="O118" i="13"/>
  <c r="Q118" i="13" s="1"/>
  <c r="N118" i="13"/>
  <c r="P117" i="13"/>
  <c r="R117" i="13" s="1"/>
  <c r="O117" i="13"/>
  <c r="Q117" i="13" s="1"/>
  <c r="N117" i="13"/>
  <c r="P116" i="13"/>
  <c r="R116" i="13" s="1"/>
  <c r="O116" i="13"/>
  <c r="Q116" i="13" s="1"/>
  <c r="N116" i="13"/>
  <c r="P115" i="13"/>
  <c r="R115" i="13" s="1"/>
  <c r="O115" i="13"/>
  <c r="Q115" i="13" s="1"/>
  <c r="N115" i="13"/>
  <c r="P114" i="13"/>
  <c r="R114" i="13" s="1"/>
  <c r="O114" i="13"/>
  <c r="Q114" i="13" s="1"/>
  <c r="N114" i="13"/>
  <c r="P113" i="13"/>
  <c r="R113" i="13" s="1"/>
  <c r="O113" i="13"/>
  <c r="Q113" i="13" s="1"/>
  <c r="N113" i="13"/>
  <c r="P112" i="13"/>
  <c r="R112" i="13" s="1"/>
  <c r="O112" i="13"/>
  <c r="Q112" i="13" s="1"/>
  <c r="N112" i="13"/>
  <c r="P111" i="13"/>
  <c r="R111" i="13" s="1"/>
  <c r="O111" i="13"/>
  <c r="Q111" i="13" s="1"/>
  <c r="N111" i="13"/>
  <c r="P110" i="13"/>
  <c r="R110" i="13" s="1"/>
  <c r="O110" i="13"/>
  <c r="Q110" i="13" s="1"/>
  <c r="N110" i="13"/>
  <c r="P109" i="13"/>
  <c r="R109" i="13" s="1"/>
  <c r="O109" i="13"/>
  <c r="Q109" i="13" s="1"/>
  <c r="N109" i="13"/>
  <c r="P108" i="13"/>
  <c r="R108" i="13" s="1"/>
  <c r="O108" i="13"/>
  <c r="Q108" i="13" s="1"/>
  <c r="N108" i="13"/>
  <c r="R107" i="13"/>
  <c r="P107" i="13"/>
  <c r="O107" i="13"/>
  <c r="Q107" i="13" s="1"/>
  <c r="N107" i="13"/>
  <c r="P82" i="13"/>
  <c r="R82" i="13" s="1"/>
  <c r="O82" i="13"/>
  <c r="Q82" i="13" s="1"/>
  <c r="N82" i="13"/>
  <c r="P81" i="13"/>
  <c r="R81" i="13" s="1"/>
  <c r="O81" i="13"/>
  <c r="Q81" i="13" s="1"/>
  <c r="N81" i="13"/>
  <c r="P80" i="13"/>
  <c r="R80" i="13" s="1"/>
  <c r="O80" i="13"/>
  <c r="Q80" i="13" s="1"/>
  <c r="N80" i="13"/>
  <c r="R79" i="13"/>
  <c r="P79" i="13"/>
  <c r="O79" i="13"/>
  <c r="Q79" i="13" s="1"/>
  <c r="N79" i="13"/>
  <c r="R78" i="13"/>
  <c r="P78" i="13"/>
  <c r="O78" i="13"/>
  <c r="Q78" i="13" s="1"/>
  <c r="N78" i="13"/>
  <c r="R77" i="13"/>
  <c r="P77" i="13"/>
  <c r="O77" i="13"/>
  <c r="Q77" i="13" s="1"/>
  <c r="N77" i="13"/>
  <c r="R76" i="13"/>
  <c r="P76" i="13"/>
  <c r="O76" i="13"/>
  <c r="Q76" i="13" s="1"/>
  <c r="N76" i="13"/>
  <c r="P75" i="13"/>
  <c r="R75" i="13" s="1"/>
  <c r="O75" i="13"/>
  <c r="Q75" i="13" s="1"/>
  <c r="N75" i="13"/>
  <c r="P74" i="13"/>
  <c r="R74" i="13" s="1"/>
  <c r="O74" i="13"/>
  <c r="Q74" i="13" s="1"/>
  <c r="N74" i="13"/>
  <c r="P73" i="13"/>
  <c r="R73" i="13" s="1"/>
  <c r="O73" i="13"/>
  <c r="Q73" i="13" s="1"/>
  <c r="N73" i="13"/>
  <c r="P72" i="13"/>
  <c r="R72" i="13" s="1"/>
  <c r="O72" i="13"/>
  <c r="Q72" i="13" s="1"/>
  <c r="N72" i="13"/>
  <c r="P71" i="13"/>
  <c r="R71" i="13" s="1"/>
  <c r="O71" i="13"/>
  <c r="Q71" i="13" s="1"/>
  <c r="N71" i="13"/>
  <c r="P70" i="13"/>
  <c r="R70" i="13" s="1"/>
  <c r="O70" i="13"/>
  <c r="Q70" i="13" s="1"/>
  <c r="N70" i="13"/>
  <c r="P69" i="13"/>
  <c r="R69" i="13" s="1"/>
  <c r="O69" i="13"/>
  <c r="Q69" i="13" s="1"/>
  <c r="N69" i="13"/>
  <c r="P68" i="13"/>
  <c r="R68" i="13" s="1"/>
  <c r="O68" i="13"/>
  <c r="Q68" i="13" s="1"/>
  <c r="N68" i="13"/>
  <c r="P67" i="13"/>
  <c r="R67" i="13" s="1"/>
  <c r="O67" i="13"/>
  <c r="Q67" i="13" s="1"/>
  <c r="N67" i="13"/>
  <c r="P66" i="13"/>
  <c r="R66" i="13" s="1"/>
  <c r="O66" i="13"/>
  <c r="Q66" i="13" s="1"/>
  <c r="N66" i="13"/>
  <c r="P65" i="13"/>
  <c r="R65" i="13" s="1"/>
  <c r="O65" i="13"/>
  <c r="Q65" i="13" s="1"/>
  <c r="N65" i="13"/>
  <c r="P64" i="13"/>
  <c r="R64" i="13" s="1"/>
  <c r="O64" i="13"/>
  <c r="Q64" i="13" s="1"/>
  <c r="N64" i="13"/>
  <c r="P63" i="13"/>
  <c r="R63" i="13" s="1"/>
  <c r="O63" i="13"/>
  <c r="Q63" i="13" s="1"/>
  <c r="N63" i="13"/>
  <c r="P62" i="13"/>
  <c r="R62" i="13" s="1"/>
  <c r="O62" i="13"/>
  <c r="Q62" i="13" s="1"/>
  <c r="N62" i="13"/>
  <c r="P61" i="13"/>
  <c r="R61" i="13" s="1"/>
  <c r="O61" i="13"/>
  <c r="Q61" i="13" s="1"/>
  <c r="N61" i="13"/>
  <c r="P60" i="13"/>
  <c r="R60" i="13" s="1"/>
  <c r="O60" i="13"/>
  <c r="Q60" i="13" s="1"/>
  <c r="N60" i="13"/>
  <c r="P59" i="13"/>
  <c r="R59" i="13" s="1"/>
  <c r="O59" i="13"/>
  <c r="Q59" i="13" s="1"/>
  <c r="N59" i="13"/>
  <c r="P58" i="13"/>
  <c r="R58" i="13" s="1"/>
  <c r="O58" i="13"/>
  <c r="Q58" i="13" s="1"/>
  <c r="N58" i="13"/>
  <c r="P57" i="13"/>
  <c r="R57" i="13" s="1"/>
  <c r="O57" i="13"/>
  <c r="Q57" i="13" s="1"/>
  <c r="N57" i="13"/>
  <c r="P56" i="13"/>
  <c r="R56" i="13" s="1"/>
  <c r="O56" i="13"/>
  <c r="Q56" i="13" s="1"/>
  <c r="N56" i="13"/>
  <c r="P55" i="13"/>
  <c r="R55" i="13" s="1"/>
  <c r="O55" i="13"/>
  <c r="Q55" i="13" s="1"/>
  <c r="N55" i="13"/>
  <c r="P54" i="13"/>
  <c r="R54" i="13" s="1"/>
  <c r="O54" i="13"/>
  <c r="Q54" i="13" s="1"/>
  <c r="N54" i="13"/>
  <c r="P53" i="13"/>
  <c r="R53" i="13" s="1"/>
  <c r="O53" i="13"/>
  <c r="Q53" i="13" s="1"/>
  <c r="N53" i="13"/>
  <c r="P52" i="13"/>
  <c r="R52" i="13" s="1"/>
  <c r="O52" i="13"/>
  <c r="Q52" i="13" s="1"/>
  <c r="N52" i="13"/>
  <c r="P51" i="13"/>
  <c r="R51" i="13" s="1"/>
  <c r="O51" i="13"/>
  <c r="Q51" i="13" s="1"/>
  <c r="N51" i="13"/>
  <c r="P50" i="13"/>
  <c r="R50" i="13" s="1"/>
  <c r="O50" i="13"/>
  <c r="Q50" i="13" s="1"/>
  <c r="N50" i="13"/>
  <c r="P49" i="13"/>
  <c r="R49" i="13" s="1"/>
  <c r="O49" i="13"/>
  <c r="Q49" i="13" s="1"/>
  <c r="N49" i="13"/>
  <c r="P48" i="13"/>
  <c r="R48" i="13" s="1"/>
  <c r="O48" i="13"/>
  <c r="Q48" i="13" s="1"/>
  <c r="N48" i="13"/>
  <c r="P47" i="13"/>
  <c r="R47" i="13" s="1"/>
  <c r="O47" i="13"/>
  <c r="Q47" i="13" s="1"/>
  <c r="N47" i="13"/>
  <c r="P46" i="13"/>
  <c r="R46" i="13" s="1"/>
  <c r="O46" i="13"/>
  <c r="Q46" i="13" s="1"/>
  <c r="N46" i="13"/>
  <c r="P45" i="13"/>
  <c r="R45" i="13" s="1"/>
  <c r="O45" i="13"/>
  <c r="Q45" i="13" s="1"/>
  <c r="N45" i="13"/>
  <c r="P44" i="13"/>
  <c r="R44" i="13" s="1"/>
  <c r="O44" i="13"/>
  <c r="Q44" i="13" s="1"/>
  <c r="N44" i="13"/>
  <c r="P43" i="13"/>
  <c r="R43" i="13" s="1"/>
  <c r="O43" i="13"/>
  <c r="Q43" i="13" s="1"/>
  <c r="N43" i="13"/>
  <c r="P42" i="13"/>
  <c r="R42" i="13" s="1"/>
  <c r="O42" i="13"/>
  <c r="Q42" i="13" s="1"/>
  <c r="N42" i="13"/>
  <c r="P41" i="13"/>
  <c r="R41" i="13" s="1"/>
  <c r="O41" i="13"/>
  <c r="Q41" i="13" s="1"/>
  <c r="N41" i="13"/>
  <c r="P40" i="13"/>
  <c r="R40" i="13" s="1"/>
  <c r="O40" i="13"/>
  <c r="Q40" i="13" s="1"/>
  <c r="N40" i="13"/>
  <c r="P39" i="13"/>
  <c r="R39" i="13" s="1"/>
  <c r="O39" i="13"/>
  <c r="Q39" i="13" s="1"/>
  <c r="N39" i="13"/>
  <c r="P38" i="13"/>
  <c r="R38" i="13" s="1"/>
  <c r="O38" i="13"/>
  <c r="Q38" i="13" s="1"/>
  <c r="N38" i="13"/>
  <c r="P37" i="13"/>
  <c r="R37" i="13" s="1"/>
  <c r="O37" i="13"/>
  <c r="Q37" i="13" s="1"/>
  <c r="N37" i="13"/>
  <c r="P36" i="13"/>
  <c r="R36" i="13" s="1"/>
  <c r="O36" i="13"/>
  <c r="Q36" i="13" s="1"/>
  <c r="N36" i="13"/>
  <c r="P35" i="13"/>
  <c r="R35" i="13" s="1"/>
  <c r="O35" i="13"/>
  <c r="Q35" i="13" s="1"/>
  <c r="N35" i="13"/>
  <c r="P34" i="13"/>
  <c r="R34" i="13" s="1"/>
  <c r="O34" i="13"/>
  <c r="Q34" i="13" s="1"/>
  <c r="N34" i="13"/>
  <c r="P33" i="13"/>
  <c r="R33" i="13" s="1"/>
  <c r="O33" i="13"/>
  <c r="Q33" i="13" s="1"/>
  <c r="N33" i="13"/>
  <c r="P32" i="13"/>
  <c r="R32" i="13" s="1"/>
  <c r="O32" i="13"/>
  <c r="Q32" i="13" s="1"/>
  <c r="N32" i="13"/>
  <c r="P31" i="13"/>
  <c r="R31" i="13" s="1"/>
  <c r="O31" i="13"/>
  <c r="Q31" i="13" s="1"/>
  <c r="N31" i="13"/>
  <c r="P30" i="13"/>
  <c r="R30" i="13" s="1"/>
  <c r="O30" i="13"/>
  <c r="Q30" i="13" s="1"/>
  <c r="N30" i="13"/>
  <c r="R29" i="13"/>
  <c r="P29" i="13"/>
  <c r="O29" i="13"/>
  <c r="Q29" i="13" s="1"/>
  <c r="N29" i="13"/>
  <c r="P28" i="13"/>
  <c r="R28" i="13" s="1"/>
  <c r="O28" i="13"/>
  <c r="Q28" i="13" s="1"/>
  <c r="N28" i="13"/>
  <c r="P27" i="13"/>
  <c r="R27" i="13" s="1"/>
  <c r="O27" i="13"/>
  <c r="Q27" i="13" s="1"/>
  <c r="N27" i="13"/>
  <c r="P26" i="13"/>
  <c r="R26" i="13" s="1"/>
  <c r="O26" i="13"/>
  <c r="Q26" i="13" s="1"/>
  <c r="N26" i="13"/>
  <c r="P25" i="13"/>
  <c r="R25" i="13" s="1"/>
  <c r="O25" i="13"/>
  <c r="Q25" i="13" s="1"/>
  <c r="N25" i="13"/>
  <c r="P24" i="13"/>
  <c r="R24" i="13" s="1"/>
  <c r="O24" i="13"/>
  <c r="Q24" i="13" s="1"/>
  <c r="N24" i="13"/>
  <c r="P23" i="13"/>
  <c r="R23" i="13" s="1"/>
  <c r="O23" i="13"/>
  <c r="Q23" i="13" s="1"/>
  <c r="N23" i="13"/>
  <c r="P22" i="13"/>
  <c r="R22" i="13" s="1"/>
  <c r="O22" i="13"/>
  <c r="Q22" i="13" s="1"/>
  <c r="N22" i="13"/>
  <c r="P21" i="13"/>
  <c r="R21" i="13" s="1"/>
  <c r="O21" i="13"/>
  <c r="Q21" i="13" s="1"/>
  <c r="N21" i="13"/>
  <c r="P20" i="13"/>
  <c r="R20" i="13" s="1"/>
  <c r="O20" i="13"/>
  <c r="Q20" i="13" s="1"/>
  <c r="N20" i="13"/>
  <c r="P19" i="13"/>
  <c r="R19" i="13" s="1"/>
  <c r="O19" i="13"/>
  <c r="Q19" i="13" s="1"/>
  <c r="N19" i="13"/>
  <c r="P18" i="13"/>
  <c r="R18" i="13" s="1"/>
  <c r="O18" i="13"/>
  <c r="Q18" i="13" s="1"/>
  <c r="N18" i="13"/>
  <c r="P17" i="13"/>
  <c r="R17" i="13" s="1"/>
  <c r="O17" i="13"/>
  <c r="Q17" i="13" s="1"/>
  <c r="N17" i="13"/>
  <c r="P16" i="13"/>
  <c r="R16" i="13" s="1"/>
  <c r="O16" i="13"/>
  <c r="Q16" i="13" s="1"/>
  <c r="N16" i="13"/>
  <c r="P15" i="13"/>
  <c r="R15" i="13" s="1"/>
  <c r="O15" i="13"/>
  <c r="Q15" i="13" s="1"/>
  <c r="N15" i="13"/>
  <c r="R14" i="13"/>
  <c r="P14" i="13"/>
  <c r="O14" i="13"/>
  <c r="Q14" i="13" s="1"/>
  <c r="N14" i="13"/>
  <c r="R13" i="13"/>
  <c r="P13" i="13"/>
  <c r="O13" i="13"/>
  <c r="Q13" i="13" s="1"/>
  <c r="N13" i="13"/>
  <c r="R12" i="13"/>
  <c r="P12" i="13"/>
  <c r="O12" i="13"/>
  <c r="Q12" i="13" s="1"/>
  <c r="N12" i="13"/>
  <c r="R11" i="13"/>
  <c r="P11" i="13"/>
  <c r="O11" i="13"/>
  <c r="Q11" i="13" s="1"/>
  <c r="N11" i="13"/>
  <c r="R10" i="13"/>
  <c r="P10" i="13"/>
  <c r="O10" i="13"/>
  <c r="Q10" i="13" s="1"/>
  <c r="N10" i="13"/>
  <c r="R9" i="13"/>
  <c r="P9" i="13"/>
  <c r="O9" i="13"/>
  <c r="Q9" i="13" s="1"/>
  <c r="N9" i="13"/>
  <c r="R8" i="13"/>
  <c r="P8" i="13"/>
  <c r="O8" i="13"/>
  <c r="Q8" i="13" s="1"/>
  <c r="N8" i="13"/>
  <c r="R7" i="13"/>
  <c r="P7" i="13"/>
  <c r="O7" i="13"/>
  <c r="Q7" i="13" s="1"/>
  <c r="N7" i="13"/>
  <c r="R6" i="13"/>
  <c r="P6" i="13"/>
  <c r="O6" i="13"/>
  <c r="Q6" i="13" s="1"/>
  <c r="N6" i="13"/>
  <c r="M152" i="13"/>
  <c r="L152" i="13"/>
  <c r="K152" i="13"/>
  <c r="M151" i="13"/>
  <c r="L151" i="13"/>
  <c r="K151" i="13"/>
  <c r="M150" i="13"/>
  <c r="L150" i="13"/>
  <c r="K150" i="13"/>
  <c r="M149" i="13"/>
  <c r="L149" i="13"/>
  <c r="K149" i="13"/>
  <c r="M148" i="13"/>
  <c r="L148" i="13"/>
  <c r="K148" i="13"/>
  <c r="M147" i="13"/>
  <c r="L147" i="13"/>
  <c r="K147" i="13"/>
  <c r="M146" i="13"/>
  <c r="L146" i="13"/>
  <c r="K146" i="13"/>
  <c r="M145" i="13"/>
  <c r="L145" i="13"/>
  <c r="K145" i="13"/>
  <c r="M144" i="13"/>
  <c r="L144" i="13"/>
  <c r="K144" i="13"/>
  <c r="M143" i="13"/>
  <c r="L143" i="13"/>
  <c r="K143" i="13"/>
  <c r="M142" i="13"/>
  <c r="L142" i="13"/>
  <c r="K142" i="13"/>
  <c r="M141" i="13"/>
  <c r="L141" i="13"/>
  <c r="K141" i="13"/>
  <c r="M140" i="13"/>
  <c r="L140" i="13"/>
  <c r="K140" i="13"/>
  <c r="M139" i="13"/>
  <c r="L139" i="13"/>
  <c r="K139" i="13"/>
  <c r="M138" i="13"/>
  <c r="L138" i="13"/>
  <c r="K138" i="13"/>
  <c r="M137" i="13"/>
  <c r="L137" i="13"/>
  <c r="K137" i="13"/>
  <c r="M136" i="13"/>
  <c r="L136" i="13"/>
  <c r="K136" i="13"/>
  <c r="M135" i="13"/>
  <c r="L135" i="13"/>
  <c r="K135" i="13"/>
  <c r="M134" i="13"/>
  <c r="L134" i="13"/>
  <c r="K134" i="13"/>
  <c r="M133" i="13"/>
  <c r="L133" i="13"/>
  <c r="K133" i="13"/>
  <c r="M132" i="13"/>
  <c r="L132" i="13"/>
  <c r="K132" i="13"/>
  <c r="M131" i="13"/>
  <c r="L131" i="13"/>
  <c r="K131" i="13"/>
  <c r="M130" i="13"/>
  <c r="L130" i="13"/>
  <c r="K130" i="13"/>
  <c r="M129" i="13"/>
  <c r="L129" i="13"/>
  <c r="K129" i="13"/>
  <c r="M128" i="13"/>
  <c r="L128" i="13"/>
  <c r="K128" i="13"/>
  <c r="M127" i="13"/>
  <c r="L127" i="13"/>
  <c r="K127" i="13"/>
  <c r="M126" i="13"/>
  <c r="L126" i="13"/>
  <c r="K126" i="13"/>
  <c r="M125" i="13"/>
  <c r="L125" i="13"/>
  <c r="K125" i="13"/>
  <c r="M124" i="13"/>
  <c r="L124" i="13"/>
  <c r="K124" i="13"/>
  <c r="M123" i="13"/>
  <c r="L123" i="13"/>
  <c r="K123" i="13"/>
  <c r="M122" i="13"/>
  <c r="L122" i="13"/>
  <c r="K122" i="13"/>
  <c r="M121" i="13"/>
  <c r="L121" i="13"/>
  <c r="K121" i="13"/>
  <c r="M120" i="13"/>
  <c r="L120" i="13"/>
  <c r="K120" i="13"/>
  <c r="M119" i="13"/>
  <c r="L119" i="13"/>
  <c r="K119" i="13"/>
  <c r="M118" i="13"/>
  <c r="L118" i="13"/>
  <c r="K118" i="13"/>
  <c r="M117" i="13"/>
  <c r="L117" i="13"/>
  <c r="K117" i="13"/>
  <c r="M116" i="13"/>
  <c r="L116" i="13"/>
  <c r="K116" i="13"/>
  <c r="M115" i="13"/>
  <c r="L115" i="13"/>
  <c r="K115" i="13"/>
  <c r="M114" i="13"/>
  <c r="L114" i="13"/>
  <c r="K114" i="13"/>
  <c r="M113" i="13"/>
  <c r="L113" i="13"/>
  <c r="K113" i="13"/>
  <c r="M112" i="13"/>
  <c r="L112" i="13"/>
  <c r="K112" i="13"/>
  <c r="M111" i="13"/>
  <c r="L111" i="13"/>
  <c r="K111" i="13"/>
  <c r="M110" i="13"/>
  <c r="L110" i="13"/>
  <c r="K110" i="13"/>
  <c r="M109" i="13"/>
  <c r="L109" i="13"/>
  <c r="K109" i="13"/>
  <c r="M108" i="13"/>
  <c r="L108" i="13"/>
  <c r="K108" i="13"/>
  <c r="M107" i="13"/>
  <c r="L107" i="13"/>
  <c r="K107" i="13"/>
  <c r="M82" i="13"/>
  <c r="L82" i="13"/>
  <c r="K82" i="13"/>
  <c r="M81" i="13"/>
  <c r="L81" i="13"/>
  <c r="K81" i="13"/>
  <c r="M80" i="13"/>
  <c r="L80" i="13"/>
  <c r="K80" i="13"/>
  <c r="M79" i="13"/>
  <c r="L79" i="13"/>
  <c r="K79" i="13"/>
  <c r="M78" i="13"/>
  <c r="L78" i="13"/>
  <c r="K78" i="13"/>
  <c r="M77" i="13"/>
  <c r="L77" i="13"/>
  <c r="K77" i="13"/>
  <c r="M76" i="13"/>
  <c r="L76" i="13"/>
  <c r="K76" i="13"/>
  <c r="M75" i="13"/>
  <c r="L75" i="13"/>
  <c r="K75" i="13"/>
  <c r="M74" i="13"/>
  <c r="L74" i="13"/>
  <c r="K74" i="13"/>
  <c r="M73" i="13"/>
  <c r="L73" i="13"/>
  <c r="K73" i="13"/>
  <c r="M72" i="13"/>
  <c r="L72" i="13"/>
  <c r="K72" i="13"/>
  <c r="M71" i="13"/>
  <c r="L71" i="13"/>
  <c r="K71" i="13"/>
  <c r="M70" i="13"/>
  <c r="L70" i="13"/>
  <c r="K70" i="13"/>
  <c r="M69" i="13"/>
  <c r="L69" i="13"/>
  <c r="K69" i="13"/>
  <c r="M68" i="13"/>
  <c r="L68" i="13"/>
  <c r="K68" i="13"/>
  <c r="M67" i="13"/>
  <c r="L67" i="13"/>
  <c r="K67" i="13"/>
  <c r="M66" i="13"/>
  <c r="L66" i="13"/>
  <c r="K66" i="13"/>
  <c r="M65" i="13"/>
  <c r="L65" i="13"/>
  <c r="K65" i="13"/>
  <c r="M64" i="13"/>
  <c r="L64" i="13"/>
  <c r="K64" i="13"/>
  <c r="M63" i="13"/>
  <c r="L63" i="13"/>
  <c r="K63" i="13"/>
  <c r="M62" i="13"/>
  <c r="L62" i="13"/>
  <c r="K62" i="13"/>
  <c r="M61" i="13"/>
  <c r="L61" i="13"/>
  <c r="K61" i="13"/>
  <c r="M60" i="13"/>
  <c r="L60" i="13"/>
  <c r="K60" i="13"/>
  <c r="M59" i="13"/>
  <c r="L59" i="13"/>
  <c r="K59" i="13"/>
  <c r="M58" i="13"/>
  <c r="L58" i="13"/>
  <c r="K58" i="13"/>
  <c r="M57" i="13"/>
  <c r="L57" i="13"/>
  <c r="K57" i="13"/>
  <c r="M56" i="13"/>
  <c r="L56" i="13"/>
  <c r="K56" i="13"/>
  <c r="M55" i="13"/>
  <c r="L55" i="13"/>
  <c r="K55" i="13"/>
  <c r="M54" i="13"/>
  <c r="L54" i="13"/>
  <c r="K54" i="13"/>
  <c r="M53" i="13"/>
  <c r="L53" i="13"/>
  <c r="K53" i="13"/>
  <c r="M52" i="13"/>
  <c r="L52" i="13"/>
  <c r="K52" i="13"/>
  <c r="M51" i="13"/>
  <c r="L51" i="13"/>
  <c r="K51" i="13"/>
  <c r="M50" i="13"/>
  <c r="L50" i="13"/>
  <c r="K50" i="13"/>
  <c r="M49" i="13"/>
  <c r="L49" i="13"/>
  <c r="K49" i="13"/>
  <c r="M48" i="13"/>
  <c r="L48" i="13"/>
  <c r="K48" i="13"/>
  <c r="M47" i="13"/>
  <c r="L47" i="13"/>
  <c r="K47" i="13"/>
  <c r="M46" i="13"/>
  <c r="L46" i="13"/>
  <c r="K46" i="13"/>
  <c r="M45" i="13"/>
  <c r="L45" i="13"/>
  <c r="K45" i="13"/>
  <c r="M44" i="13"/>
  <c r="L44" i="13"/>
  <c r="K44" i="13"/>
  <c r="M43" i="13"/>
  <c r="L43" i="13"/>
  <c r="K43" i="13"/>
  <c r="M42" i="13"/>
  <c r="L42" i="13"/>
  <c r="K42" i="13"/>
  <c r="M41" i="13"/>
  <c r="L41" i="13"/>
  <c r="K41" i="13"/>
  <c r="M40" i="13"/>
  <c r="L40" i="13"/>
  <c r="K40" i="13"/>
  <c r="M39" i="13"/>
  <c r="L39" i="13"/>
  <c r="K39" i="13"/>
  <c r="M38" i="13"/>
  <c r="L38" i="13"/>
  <c r="K38" i="13"/>
  <c r="M37" i="13"/>
  <c r="L37" i="13"/>
  <c r="K37" i="13"/>
  <c r="M36" i="13"/>
  <c r="L36" i="13"/>
  <c r="K36" i="13"/>
  <c r="M35" i="13"/>
  <c r="L35" i="13"/>
  <c r="K35" i="13"/>
  <c r="M34" i="13"/>
  <c r="L34" i="13"/>
  <c r="K34" i="13"/>
  <c r="M33" i="13"/>
  <c r="L33" i="13"/>
  <c r="K33" i="13"/>
  <c r="M32" i="13"/>
  <c r="L32" i="13"/>
  <c r="K32" i="13"/>
  <c r="M31" i="13"/>
  <c r="L31" i="13"/>
  <c r="K31" i="13"/>
  <c r="M30" i="13"/>
  <c r="L30" i="13"/>
  <c r="K30" i="13"/>
  <c r="M29" i="13"/>
  <c r="L29" i="13"/>
  <c r="K29" i="13"/>
  <c r="M28" i="13"/>
  <c r="L28" i="13"/>
  <c r="K28" i="13"/>
  <c r="M27" i="13"/>
  <c r="L27" i="13"/>
  <c r="K27" i="13"/>
  <c r="M26" i="13"/>
  <c r="L26" i="13"/>
  <c r="K26" i="13"/>
  <c r="M25" i="13"/>
  <c r="L25" i="13"/>
  <c r="K25" i="13"/>
  <c r="M24" i="13"/>
  <c r="L24" i="13"/>
  <c r="K24" i="13"/>
  <c r="M23" i="13"/>
  <c r="L23" i="13"/>
  <c r="K23" i="13"/>
  <c r="M22" i="13"/>
  <c r="L22" i="13"/>
  <c r="K22" i="13"/>
  <c r="M21" i="13"/>
  <c r="L21" i="13"/>
  <c r="K21" i="13"/>
  <c r="M20" i="13"/>
  <c r="L20" i="13"/>
  <c r="K20" i="13"/>
  <c r="M19" i="13"/>
  <c r="L19" i="13"/>
  <c r="K19" i="13"/>
  <c r="M18" i="13"/>
  <c r="L18" i="13"/>
  <c r="K18" i="13"/>
  <c r="M17" i="13"/>
  <c r="L17" i="13"/>
  <c r="K17" i="13"/>
  <c r="M16" i="13"/>
  <c r="L16" i="13"/>
  <c r="K16" i="13"/>
  <c r="M15" i="13"/>
  <c r="L15" i="13"/>
  <c r="K15" i="13"/>
  <c r="M14" i="13"/>
  <c r="L14" i="13"/>
  <c r="K14" i="13"/>
  <c r="M13" i="13"/>
  <c r="L13" i="13"/>
  <c r="K13" i="13"/>
  <c r="M12" i="13"/>
  <c r="L12" i="13"/>
  <c r="K12" i="13"/>
  <c r="M11" i="13"/>
  <c r="L11" i="13"/>
  <c r="K11" i="13"/>
  <c r="M10" i="13"/>
  <c r="L10" i="13"/>
  <c r="K10" i="13"/>
  <c r="M9" i="13"/>
  <c r="L9" i="13"/>
  <c r="K9" i="13"/>
  <c r="M8" i="13"/>
  <c r="L8" i="13"/>
  <c r="K8" i="13"/>
  <c r="M7" i="13"/>
  <c r="L7" i="13"/>
  <c r="K7" i="13"/>
  <c r="M6" i="13"/>
  <c r="L6" i="13"/>
  <c r="K6" i="13"/>
  <c r="U73" i="14" l="1"/>
  <c r="Z73" i="14"/>
  <c r="Y73" i="14"/>
  <c r="X73" i="14"/>
  <c r="T73" i="14"/>
  <c r="V73" i="14" s="1"/>
  <c r="W73" i="14" s="1"/>
  <c r="Z79" i="14"/>
  <c r="Y79" i="14"/>
  <c r="E10" i="20"/>
  <c r="C7" i="20"/>
  <c r="J6" i="14" l="1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AC72" i="14" l="1"/>
  <c r="R72" i="14"/>
  <c r="S72" i="14" s="1"/>
  <c r="P72" i="14"/>
  <c r="Q72" i="14" s="1"/>
  <c r="AA72" i="14" s="1"/>
  <c r="O72" i="14"/>
  <c r="N72" i="14"/>
  <c r="M72" i="14"/>
  <c r="AC71" i="14"/>
  <c r="R71" i="14"/>
  <c r="S71" i="14" s="1"/>
  <c r="P71" i="14"/>
  <c r="Q71" i="14" s="1"/>
  <c r="AA71" i="14" s="1"/>
  <c r="O71" i="14"/>
  <c r="N71" i="14"/>
  <c r="M71" i="14"/>
  <c r="AC70" i="14"/>
  <c r="R70" i="14"/>
  <c r="S70" i="14" s="1"/>
  <c r="P70" i="14"/>
  <c r="Q70" i="14" s="1"/>
  <c r="AA70" i="14" s="1"/>
  <c r="O70" i="14"/>
  <c r="N70" i="14"/>
  <c r="M70" i="14"/>
  <c r="AC69" i="14"/>
  <c r="R69" i="14"/>
  <c r="S69" i="14" s="1"/>
  <c r="P69" i="14"/>
  <c r="Q69" i="14" s="1"/>
  <c r="AA69" i="14" s="1"/>
  <c r="O69" i="14"/>
  <c r="Y69" i="14" s="1"/>
  <c r="N69" i="14"/>
  <c r="M69" i="14"/>
  <c r="AC68" i="14"/>
  <c r="R68" i="14"/>
  <c r="S68" i="14" s="1"/>
  <c r="P68" i="14"/>
  <c r="O68" i="14"/>
  <c r="N68" i="14"/>
  <c r="M68" i="14"/>
  <c r="AC67" i="14"/>
  <c r="R67" i="14"/>
  <c r="S67" i="14" s="1"/>
  <c r="P67" i="14"/>
  <c r="Q67" i="14" s="1"/>
  <c r="AA67" i="14" s="1"/>
  <c r="O67" i="14"/>
  <c r="N67" i="14"/>
  <c r="M67" i="14"/>
  <c r="AC66" i="14"/>
  <c r="R66" i="14"/>
  <c r="S66" i="14" s="1"/>
  <c r="P66" i="14"/>
  <c r="Q66" i="14" s="1"/>
  <c r="AA66" i="14" s="1"/>
  <c r="O66" i="14"/>
  <c r="Y66" i="14" s="1"/>
  <c r="N66" i="14"/>
  <c r="M66" i="14"/>
  <c r="AC65" i="14"/>
  <c r="R65" i="14"/>
  <c r="S65" i="14" s="1"/>
  <c r="P65" i="14"/>
  <c r="Q65" i="14" s="1"/>
  <c r="AA65" i="14" s="1"/>
  <c r="O65" i="14"/>
  <c r="Y65" i="14" s="1"/>
  <c r="N65" i="14"/>
  <c r="M65" i="14"/>
  <c r="AC64" i="14"/>
  <c r="R64" i="14"/>
  <c r="S64" i="14" s="1"/>
  <c r="P64" i="14"/>
  <c r="Q64" i="14" s="1"/>
  <c r="AA64" i="14" s="1"/>
  <c r="O64" i="14"/>
  <c r="N64" i="14"/>
  <c r="M64" i="14"/>
  <c r="AC63" i="14"/>
  <c r="R63" i="14"/>
  <c r="S63" i="14" s="1"/>
  <c r="P63" i="14"/>
  <c r="Q63" i="14" s="1"/>
  <c r="AA63" i="14" s="1"/>
  <c r="O63" i="14"/>
  <c r="N63" i="14"/>
  <c r="M63" i="14"/>
  <c r="AC62" i="14"/>
  <c r="R62" i="14"/>
  <c r="S62" i="14" s="1"/>
  <c r="P62" i="14"/>
  <c r="Q62" i="14" s="1"/>
  <c r="AA62" i="14" s="1"/>
  <c r="O62" i="14"/>
  <c r="Y62" i="14" s="1"/>
  <c r="N62" i="14"/>
  <c r="M62" i="14"/>
  <c r="AC61" i="14"/>
  <c r="R61" i="14"/>
  <c r="S61" i="14" s="1"/>
  <c r="P61" i="14"/>
  <c r="Q61" i="14" s="1"/>
  <c r="AA61" i="14" s="1"/>
  <c r="O61" i="14"/>
  <c r="Y61" i="14" s="1"/>
  <c r="N61" i="14"/>
  <c r="M61" i="14"/>
  <c r="AC60" i="14"/>
  <c r="R60" i="14"/>
  <c r="S60" i="14" s="1"/>
  <c r="P60" i="14"/>
  <c r="Q60" i="14" s="1"/>
  <c r="AA60" i="14" s="1"/>
  <c r="O60" i="14"/>
  <c r="Y60" i="14" s="1"/>
  <c r="N60" i="14"/>
  <c r="M60" i="14"/>
  <c r="AC59" i="14"/>
  <c r="R59" i="14"/>
  <c r="S59" i="14" s="1"/>
  <c r="P59" i="14"/>
  <c r="Q59" i="14" s="1"/>
  <c r="AA59" i="14" s="1"/>
  <c r="O59" i="14"/>
  <c r="N59" i="14"/>
  <c r="M59" i="14"/>
  <c r="AC58" i="14"/>
  <c r="R58" i="14"/>
  <c r="S58" i="14" s="1"/>
  <c r="P58" i="14"/>
  <c r="Q58" i="14" s="1"/>
  <c r="AA58" i="14" s="1"/>
  <c r="O58" i="14"/>
  <c r="Y58" i="14" s="1"/>
  <c r="N58" i="14"/>
  <c r="M58" i="14"/>
  <c r="AC57" i="14"/>
  <c r="R57" i="14"/>
  <c r="S57" i="14" s="1"/>
  <c r="P57" i="14"/>
  <c r="Q57" i="14" s="1"/>
  <c r="AA57" i="14" s="1"/>
  <c r="O57" i="14"/>
  <c r="Y57" i="14" s="1"/>
  <c r="N57" i="14"/>
  <c r="M57" i="14"/>
  <c r="AC56" i="14"/>
  <c r="R56" i="14"/>
  <c r="S56" i="14" s="1"/>
  <c r="P56" i="14"/>
  <c r="Q56" i="14" s="1"/>
  <c r="AA56" i="14" s="1"/>
  <c r="O56" i="14"/>
  <c r="N56" i="14"/>
  <c r="M56" i="14"/>
  <c r="AC55" i="14"/>
  <c r="R55" i="14"/>
  <c r="S55" i="14" s="1"/>
  <c r="P55" i="14"/>
  <c r="Q55" i="14" s="1"/>
  <c r="AA55" i="14" s="1"/>
  <c r="O55" i="14"/>
  <c r="N55" i="14"/>
  <c r="M55" i="14"/>
  <c r="AC54" i="14"/>
  <c r="R54" i="14"/>
  <c r="S54" i="14" s="1"/>
  <c r="P54" i="14"/>
  <c r="Q54" i="14" s="1"/>
  <c r="AA54" i="14" s="1"/>
  <c r="O54" i="14"/>
  <c r="N54" i="14"/>
  <c r="M54" i="14"/>
  <c r="AC53" i="14"/>
  <c r="R53" i="14"/>
  <c r="S53" i="14" s="1"/>
  <c r="P53" i="14"/>
  <c r="Q53" i="14" s="1"/>
  <c r="O53" i="14"/>
  <c r="Y53" i="14" s="1"/>
  <c r="N53" i="14"/>
  <c r="M53" i="14"/>
  <c r="AC52" i="14"/>
  <c r="R52" i="14"/>
  <c r="S52" i="14" s="1"/>
  <c r="P52" i="14"/>
  <c r="Q52" i="14" s="1"/>
  <c r="AA52" i="14" s="1"/>
  <c r="O52" i="14"/>
  <c r="Y52" i="14" s="1"/>
  <c r="N52" i="14"/>
  <c r="M52" i="14"/>
  <c r="AC51" i="14"/>
  <c r="R51" i="14"/>
  <c r="S51" i="14" s="1"/>
  <c r="P51" i="14"/>
  <c r="Q51" i="14" s="1"/>
  <c r="O51" i="14"/>
  <c r="N51" i="14"/>
  <c r="M51" i="14"/>
  <c r="AC50" i="14"/>
  <c r="R50" i="14"/>
  <c r="S50" i="14" s="1"/>
  <c r="P50" i="14"/>
  <c r="Q50" i="14" s="1"/>
  <c r="AA50" i="14" s="1"/>
  <c r="O50" i="14"/>
  <c r="Y50" i="14" s="1"/>
  <c r="N50" i="14"/>
  <c r="M50" i="14"/>
  <c r="AC49" i="14"/>
  <c r="R49" i="14"/>
  <c r="S49" i="14" s="1"/>
  <c r="P49" i="14"/>
  <c r="Q49" i="14" s="1"/>
  <c r="AA49" i="14" s="1"/>
  <c r="O49" i="14"/>
  <c r="N49" i="14"/>
  <c r="M49" i="14"/>
  <c r="AC48" i="14"/>
  <c r="R48" i="14"/>
  <c r="S48" i="14" s="1"/>
  <c r="P48" i="14"/>
  <c r="Q48" i="14" s="1"/>
  <c r="AA48" i="14" s="1"/>
  <c r="O48" i="14"/>
  <c r="N48" i="14"/>
  <c r="M48" i="14"/>
  <c r="AC47" i="14"/>
  <c r="R47" i="14"/>
  <c r="S47" i="14" s="1"/>
  <c r="P47" i="14"/>
  <c r="Q47" i="14" s="1"/>
  <c r="AA47" i="14" s="1"/>
  <c r="O47" i="14"/>
  <c r="N47" i="14"/>
  <c r="M47" i="14"/>
  <c r="AC46" i="14"/>
  <c r="R46" i="14"/>
  <c r="S46" i="14" s="1"/>
  <c r="P46" i="14"/>
  <c r="Q46" i="14" s="1"/>
  <c r="AA46" i="14" s="1"/>
  <c r="O46" i="14"/>
  <c r="Y46" i="14" s="1"/>
  <c r="N46" i="14"/>
  <c r="M46" i="14"/>
  <c r="AC45" i="14"/>
  <c r="R45" i="14"/>
  <c r="S45" i="14" s="1"/>
  <c r="P45" i="14"/>
  <c r="Q45" i="14" s="1"/>
  <c r="AA45" i="14" s="1"/>
  <c r="O45" i="14"/>
  <c r="Y45" i="14" s="1"/>
  <c r="N45" i="14"/>
  <c r="M45" i="14"/>
  <c r="AC44" i="14"/>
  <c r="R44" i="14"/>
  <c r="S44" i="14" s="1"/>
  <c r="P44" i="14"/>
  <c r="Q44" i="14" s="1"/>
  <c r="AA44" i="14" s="1"/>
  <c r="O44" i="14"/>
  <c r="Y44" i="14" s="1"/>
  <c r="N44" i="14"/>
  <c r="M44" i="14"/>
  <c r="AC43" i="14"/>
  <c r="R43" i="14"/>
  <c r="S43" i="14" s="1"/>
  <c r="P43" i="14"/>
  <c r="Q43" i="14" s="1"/>
  <c r="AA43" i="14" s="1"/>
  <c r="O43" i="14"/>
  <c r="N43" i="14"/>
  <c r="M43" i="14"/>
  <c r="AC42" i="14"/>
  <c r="R42" i="14"/>
  <c r="S42" i="14" s="1"/>
  <c r="P42" i="14"/>
  <c r="Q42" i="14" s="1"/>
  <c r="AA42" i="14" s="1"/>
  <c r="O42" i="14"/>
  <c r="Y42" i="14" s="1"/>
  <c r="N42" i="14"/>
  <c r="M42" i="14"/>
  <c r="AC41" i="14"/>
  <c r="R41" i="14"/>
  <c r="S41" i="14" s="1"/>
  <c r="P41" i="14"/>
  <c r="O41" i="14"/>
  <c r="Y41" i="14" s="1"/>
  <c r="N41" i="14"/>
  <c r="M41" i="14"/>
  <c r="AC40" i="14"/>
  <c r="R40" i="14"/>
  <c r="S40" i="14" s="1"/>
  <c r="P40" i="14"/>
  <c r="Q40" i="14" s="1"/>
  <c r="AA40" i="14" s="1"/>
  <c r="O40" i="14"/>
  <c r="N40" i="14"/>
  <c r="M40" i="14"/>
  <c r="AC39" i="14"/>
  <c r="R39" i="14"/>
  <c r="S39" i="14" s="1"/>
  <c r="P39" i="14"/>
  <c r="Q39" i="14" s="1"/>
  <c r="AA39" i="14" s="1"/>
  <c r="O39" i="14"/>
  <c r="N39" i="14"/>
  <c r="M39" i="14"/>
  <c r="AC38" i="14"/>
  <c r="R38" i="14"/>
  <c r="S38" i="14" s="1"/>
  <c r="P38" i="14"/>
  <c r="Q38" i="14" s="1"/>
  <c r="AA38" i="14" s="1"/>
  <c r="O38" i="14"/>
  <c r="Y38" i="14" s="1"/>
  <c r="N38" i="14"/>
  <c r="M38" i="14"/>
  <c r="AC37" i="14"/>
  <c r="R37" i="14"/>
  <c r="S37" i="14" s="1"/>
  <c r="P37" i="14"/>
  <c r="Q37" i="14" s="1"/>
  <c r="AA37" i="14" s="1"/>
  <c r="O37" i="14"/>
  <c r="Y37" i="14" s="1"/>
  <c r="N37" i="14"/>
  <c r="M37" i="14"/>
  <c r="AC36" i="14"/>
  <c r="R36" i="14"/>
  <c r="S36" i="14" s="1"/>
  <c r="P36" i="14"/>
  <c r="Q36" i="14" s="1"/>
  <c r="AA36" i="14" s="1"/>
  <c r="O36" i="14"/>
  <c r="Y36" i="14" s="1"/>
  <c r="N36" i="14"/>
  <c r="M36" i="14"/>
  <c r="AC35" i="14"/>
  <c r="R35" i="14"/>
  <c r="S35" i="14" s="1"/>
  <c r="P35" i="14"/>
  <c r="Q35" i="14" s="1"/>
  <c r="AA35" i="14" s="1"/>
  <c r="O35" i="14"/>
  <c r="N35" i="14"/>
  <c r="M35" i="14"/>
  <c r="AC34" i="14"/>
  <c r="R34" i="14"/>
  <c r="S34" i="14" s="1"/>
  <c r="P34" i="14"/>
  <c r="O34" i="14"/>
  <c r="Y34" i="14" s="1"/>
  <c r="N34" i="14"/>
  <c r="M34" i="14"/>
  <c r="AC33" i="14"/>
  <c r="R33" i="14"/>
  <c r="S33" i="14" s="1"/>
  <c r="P33" i="14"/>
  <c r="Q33" i="14" s="1"/>
  <c r="AA33" i="14" s="1"/>
  <c r="O33" i="14"/>
  <c r="Y33" i="14" s="1"/>
  <c r="N33" i="14"/>
  <c r="M33" i="14"/>
  <c r="AC32" i="14"/>
  <c r="R32" i="14"/>
  <c r="S32" i="14" s="1"/>
  <c r="P32" i="14"/>
  <c r="Q32" i="14" s="1"/>
  <c r="AA32" i="14" s="1"/>
  <c r="O32" i="14"/>
  <c r="N32" i="14"/>
  <c r="M32" i="14"/>
  <c r="AC31" i="14"/>
  <c r="R31" i="14"/>
  <c r="S31" i="14" s="1"/>
  <c r="P31" i="14"/>
  <c r="Q31" i="14" s="1"/>
  <c r="AA31" i="14" s="1"/>
  <c r="O31" i="14"/>
  <c r="N31" i="14"/>
  <c r="M31" i="14"/>
  <c r="AC30" i="14"/>
  <c r="R30" i="14"/>
  <c r="S30" i="14" s="1"/>
  <c r="P30" i="14"/>
  <c r="Q30" i="14" s="1"/>
  <c r="AA30" i="14" s="1"/>
  <c r="O30" i="14"/>
  <c r="N30" i="14"/>
  <c r="M30" i="14"/>
  <c r="AC29" i="14"/>
  <c r="U29" i="14"/>
  <c r="R29" i="14"/>
  <c r="S29" i="14" s="1"/>
  <c r="P29" i="14"/>
  <c r="O29" i="14"/>
  <c r="Y29" i="14" s="1"/>
  <c r="N29" i="14"/>
  <c r="M29" i="14"/>
  <c r="AC28" i="14"/>
  <c r="R28" i="14"/>
  <c r="S28" i="14" s="1"/>
  <c r="P28" i="14"/>
  <c r="Q28" i="14" s="1"/>
  <c r="AA28" i="14" s="1"/>
  <c r="O28" i="14"/>
  <c r="N28" i="14"/>
  <c r="M28" i="14"/>
  <c r="AC27" i="14"/>
  <c r="R27" i="14"/>
  <c r="S27" i="14" s="1"/>
  <c r="P27" i="14"/>
  <c r="Q27" i="14" s="1"/>
  <c r="AA27" i="14" s="1"/>
  <c r="O27" i="14"/>
  <c r="N27" i="14"/>
  <c r="M27" i="14"/>
  <c r="AC26" i="14"/>
  <c r="R26" i="14"/>
  <c r="S26" i="14" s="1"/>
  <c r="P26" i="14"/>
  <c r="Q26" i="14" s="1"/>
  <c r="O26" i="14"/>
  <c r="X26" i="14" s="1"/>
  <c r="N26" i="14"/>
  <c r="M26" i="14"/>
  <c r="AC25" i="14"/>
  <c r="R25" i="14"/>
  <c r="S25" i="14" s="1"/>
  <c r="P25" i="14"/>
  <c r="Q25" i="14" s="1"/>
  <c r="AA25" i="14" s="1"/>
  <c r="O25" i="14"/>
  <c r="Y25" i="14" s="1"/>
  <c r="N25" i="14"/>
  <c r="M25" i="14"/>
  <c r="AC24" i="14"/>
  <c r="R24" i="14"/>
  <c r="S24" i="14" s="1"/>
  <c r="P24" i="14"/>
  <c r="O24" i="14"/>
  <c r="N24" i="14"/>
  <c r="M24" i="14"/>
  <c r="AC23" i="14"/>
  <c r="R23" i="14"/>
  <c r="S23" i="14" s="1"/>
  <c r="P23" i="14"/>
  <c r="Q23" i="14" s="1"/>
  <c r="AA23" i="14" s="1"/>
  <c r="O23" i="14"/>
  <c r="X23" i="14" s="1"/>
  <c r="N23" i="14"/>
  <c r="M23" i="14"/>
  <c r="AC22" i="14"/>
  <c r="R22" i="14"/>
  <c r="S22" i="14" s="1"/>
  <c r="P22" i="14"/>
  <c r="Q22" i="14" s="1"/>
  <c r="AA22" i="14" s="1"/>
  <c r="O22" i="14"/>
  <c r="X22" i="14" s="1"/>
  <c r="N22" i="14"/>
  <c r="M22" i="14"/>
  <c r="AC21" i="14"/>
  <c r="R21" i="14"/>
  <c r="S21" i="14" s="1"/>
  <c r="P21" i="14"/>
  <c r="Q21" i="14" s="1"/>
  <c r="AA21" i="14" s="1"/>
  <c r="O21" i="14"/>
  <c r="Y21" i="14" s="1"/>
  <c r="N21" i="14"/>
  <c r="M21" i="14"/>
  <c r="AC20" i="14"/>
  <c r="R20" i="14"/>
  <c r="S20" i="14" s="1"/>
  <c r="P20" i="14"/>
  <c r="Q20" i="14" s="1"/>
  <c r="AA20" i="14" s="1"/>
  <c r="O20" i="14"/>
  <c r="Y20" i="14" s="1"/>
  <c r="N20" i="14"/>
  <c r="M20" i="14"/>
  <c r="AC19" i="14"/>
  <c r="R19" i="14"/>
  <c r="S19" i="14" s="1"/>
  <c r="P19" i="14"/>
  <c r="Q19" i="14" s="1"/>
  <c r="AA19" i="14" s="1"/>
  <c r="O19" i="14"/>
  <c r="X19" i="14" s="1"/>
  <c r="N19" i="14"/>
  <c r="M19" i="14"/>
  <c r="AC18" i="14"/>
  <c r="R18" i="14"/>
  <c r="S18" i="14" s="1"/>
  <c r="P18" i="14"/>
  <c r="Q18" i="14" s="1"/>
  <c r="O18" i="14"/>
  <c r="X18" i="14" s="1"/>
  <c r="N18" i="14"/>
  <c r="M18" i="14"/>
  <c r="AC17" i="14"/>
  <c r="R17" i="14"/>
  <c r="S17" i="14" s="1"/>
  <c r="P17" i="14"/>
  <c r="Q17" i="14" s="1"/>
  <c r="AA17" i="14" s="1"/>
  <c r="O17" i="14"/>
  <c r="Y17" i="14" s="1"/>
  <c r="N17" i="14"/>
  <c r="M17" i="14"/>
  <c r="AC16" i="14"/>
  <c r="R16" i="14"/>
  <c r="S16" i="14" s="1"/>
  <c r="P16" i="14"/>
  <c r="Q16" i="14" s="1"/>
  <c r="AA16" i="14" s="1"/>
  <c r="O16" i="14"/>
  <c r="N16" i="14"/>
  <c r="M16" i="14"/>
  <c r="AC15" i="14"/>
  <c r="R15" i="14"/>
  <c r="S15" i="14" s="1"/>
  <c r="P15" i="14"/>
  <c r="Q15" i="14" s="1"/>
  <c r="AA15" i="14" s="1"/>
  <c r="O15" i="14"/>
  <c r="X15" i="14" s="1"/>
  <c r="N15" i="14"/>
  <c r="M15" i="14"/>
  <c r="AC14" i="14"/>
  <c r="U14" i="14"/>
  <c r="R14" i="14"/>
  <c r="S14" i="14" s="1"/>
  <c r="P14" i="14"/>
  <c r="O14" i="14"/>
  <c r="Z14" i="14" s="1"/>
  <c r="N14" i="14"/>
  <c r="M14" i="14"/>
  <c r="AC13" i="14"/>
  <c r="U13" i="14"/>
  <c r="R13" i="14"/>
  <c r="S13" i="14" s="1"/>
  <c r="P13" i="14"/>
  <c r="O13" i="14"/>
  <c r="N13" i="14"/>
  <c r="M13" i="14"/>
  <c r="AC12" i="14"/>
  <c r="U12" i="14"/>
  <c r="R12" i="14"/>
  <c r="S12" i="14" s="1"/>
  <c r="P12" i="14"/>
  <c r="O12" i="14"/>
  <c r="Z12" i="14" s="1"/>
  <c r="N12" i="14"/>
  <c r="M12" i="14"/>
  <c r="AC11" i="14"/>
  <c r="U11" i="14"/>
  <c r="R11" i="14"/>
  <c r="S11" i="14" s="1"/>
  <c r="P11" i="14"/>
  <c r="O11" i="14"/>
  <c r="X11" i="14" s="1"/>
  <c r="N11" i="14"/>
  <c r="M11" i="14"/>
  <c r="AC10" i="14"/>
  <c r="U10" i="14"/>
  <c r="R10" i="14"/>
  <c r="S10" i="14" s="1"/>
  <c r="P10" i="14"/>
  <c r="O10" i="14"/>
  <c r="Z10" i="14" s="1"/>
  <c r="N10" i="14"/>
  <c r="M10" i="14"/>
  <c r="AC9" i="14"/>
  <c r="U9" i="14"/>
  <c r="R9" i="14"/>
  <c r="S9" i="14" s="1"/>
  <c r="P9" i="14"/>
  <c r="O9" i="14"/>
  <c r="N9" i="14"/>
  <c r="M9" i="14"/>
  <c r="AC8" i="14"/>
  <c r="U8" i="14"/>
  <c r="R8" i="14"/>
  <c r="S8" i="14" s="1"/>
  <c r="P8" i="14"/>
  <c r="O8" i="14"/>
  <c r="N8" i="14"/>
  <c r="M8" i="14"/>
  <c r="AC7" i="14"/>
  <c r="U7" i="14"/>
  <c r="R7" i="14"/>
  <c r="S7" i="14" s="1"/>
  <c r="P7" i="14"/>
  <c r="O7" i="14"/>
  <c r="X7" i="14" s="1"/>
  <c r="N7" i="14"/>
  <c r="M7" i="14"/>
  <c r="AC6" i="14"/>
  <c r="U6" i="14"/>
  <c r="R6" i="14"/>
  <c r="S6" i="14" s="1"/>
  <c r="P6" i="14"/>
  <c r="O6" i="14"/>
  <c r="Y6" i="14" s="1"/>
  <c r="N6" i="14"/>
  <c r="M6" i="14"/>
  <c r="Z28" i="14" l="1"/>
  <c r="Z24" i="14"/>
  <c r="Z64" i="14"/>
  <c r="Z72" i="14"/>
  <c r="Z71" i="14"/>
  <c r="Z68" i="14"/>
  <c r="Z32" i="14"/>
  <c r="Z40" i="14"/>
  <c r="Z48" i="14"/>
  <c r="Z56" i="14"/>
  <c r="V8" i="14"/>
  <c r="W8" i="14" s="1"/>
  <c r="U67" i="14"/>
  <c r="T40" i="14"/>
  <c r="U48" i="14"/>
  <c r="U16" i="14"/>
  <c r="U46" i="14"/>
  <c r="T31" i="14"/>
  <c r="AA18" i="14"/>
  <c r="U70" i="14"/>
  <c r="U68" i="14"/>
  <c r="U24" i="14"/>
  <c r="T63" i="14"/>
  <c r="Q68" i="14"/>
  <c r="AA68" i="14" s="1"/>
  <c r="Y16" i="14"/>
  <c r="U64" i="14"/>
  <c r="T17" i="14"/>
  <c r="U20" i="14"/>
  <c r="T12" i="14"/>
  <c r="Q12" i="14" s="1"/>
  <c r="AA12" i="14" s="1"/>
  <c r="V12" i="14"/>
  <c r="W12" i="14" s="1"/>
  <c r="T20" i="14"/>
  <c r="T23" i="14"/>
  <c r="U52" i="14"/>
  <c r="AA26" i="14"/>
  <c r="Y24" i="14"/>
  <c r="AA53" i="14"/>
  <c r="AA51" i="14"/>
  <c r="Y12" i="14"/>
  <c r="U43" i="14"/>
  <c r="U30" i="14"/>
  <c r="U39" i="14"/>
  <c r="T48" i="14"/>
  <c r="Y48" i="14"/>
  <c r="T64" i="14"/>
  <c r="Y64" i="14"/>
  <c r="T46" i="14"/>
  <c r="U26" i="14"/>
  <c r="U54" i="14"/>
  <c r="T55" i="14"/>
  <c r="T68" i="14"/>
  <c r="T9" i="14"/>
  <c r="Q9" i="14" s="1"/>
  <c r="AA9" i="14" s="1"/>
  <c r="T28" i="14"/>
  <c r="U28" i="14"/>
  <c r="T72" i="14"/>
  <c r="Y72" i="14"/>
  <c r="T26" i="14"/>
  <c r="T52" i="14"/>
  <c r="U72" i="14"/>
  <c r="Y28" i="14"/>
  <c r="T32" i="14"/>
  <c r="U32" i="14"/>
  <c r="T38" i="14"/>
  <c r="T41" i="14"/>
  <c r="T56" i="14"/>
  <c r="U56" i="14"/>
  <c r="U60" i="14"/>
  <c r="T34" i="14"/>
  <c r="U55" i="14"/>
  <c r="T8" i="14"/>
  <c r="Q8" i="14" s="1"/>
  <c r="AA8" i="14" s="1"/>
  <c r="T13" i="14"/>
  <c r="Q13" i="14" s="1"/>
  <c r="AA13" i="14" s="1"/>
  <c r="U23" i="14"/>
  <c r="U38" i="14"/>
  <c r="U47" i="14"/>
  <c r="U51" i="14"/>
  <c r="Y56" i="14"/>
  <c r="T60" i="14"/>
  <c r="U63" i="14"/>
  <c r="U40" i="14"/>
  <c r="T49" i="14"/>
  <c r="Q24" i="14"/>
  <c r="AA24" i="14" s="1"/>
  <c r="Y26" i="14"/>
  <c r="Y32" i="14"/>
  <c r="Q34" i="14"/>
  <c r="AA34" i="14" s="1"/>
  <c r="U35" i="14"/>
  <c r="Y40" i="14"/>
  <c r="Q41" i="14"/>
  <c r="AA41" i="14" s="1"/>
  <c r="Y68" i="14"/>
  <c r="T24" i="14"/>
  <c r="U59" i="14"/>
  <c r="Y49" i="14"/>
  <c r="T62" i="14"/>
  <c r="U34" i="14"/>
  <c r="T54" i="14"/>
  <c r="U62" i="14"/>
  <c r="T10" i="14"/>
  <c r="Q10" i="14" s="1"/>
  <c r="AA10" i="14" s="1"/>
  <c r="Y10" i="14"/>
  <c r="T14" i="14"/>
  <c r="Q14" i="14" s="1"/>
  <c r="AA14" i="14" s="1"/>
  <c r="Y14" i="14"/>
  <c r="Z18" i="14"/>
  <c r="T21" i="14"/>
  <c r="T29" i="14"/>
  <c r="Q29" i="14" s="1"/>
  <c r="AA29" i="14" s="1"/>
  <c r="T36" i="14"/>
  <c r="U36" i="14"/>
  <c r="T44" i="14"/>
  <c r="U44" i="14"/>
  <c r="Y54" i="14"/>
  <c r="T57" i="14"/>
  <c r="T65" i="14"/>
  <c r="T70" i="14"/>
  <c r="U19" i="14"/>
  <c r="U31" i="14"/>
  <c r="T39" i="14"/>
  <c r="T47" i="14"/>
  <c r="Y18" i="14"/>
  <c r="T16" i="14"/>
  <c r="T19" i="14"/>
  <c r="T25" i="14"/>
  <c r="T71" i="14"/>
  <c r="U71" i="14"/>
  <c r="Z11" i="14"/>
  <c r="Y11" i="14"/>
  <c r="V11" i="14"/>
  <c r="W11" i="14" s="1"/>
  <c r="X21" i="14"/>
  <c r="U21" i="14"/>
  <c r="Z21" i="14"/>
  <c r="X37" i="14"/>
  <c r="U37" i="14"/>
  <c r="Z37" i="14"/>
  <c r="X45" i="14"/>
  <c r="U45" i="14"/>
  <c r="Z45" i="14"/>
  <c r="X53" i="14"/>
  <c r="U53" i="14"/>
  <c r="Z53" i="14"/>
  <c r="X61" i="14"/>
  <c r="U61" i="14"/>
  <c r="Z61" i="14"/>
  <c r="X69" i="14"/>
  <c r="U69" i="14"/>
  <c r="Z69" i="14"/>
  <c r="Z27" i="14"/>
  <c r="Y27" i="14"/>
  <c r="Z42" i="14"/>
  <c r="X42" i="14"/>
  <c r="Z50" i="14"/>
  <c r="X50" i="14"/>
  <c r="Z58" i="14"/>
  <c r="X58" i="14"/>
  <c r="Z66" i="14"/>
  <c r="X66" i="14"/>
  <c r="T7" i="14"/>
  <c r="Q7" i="14" s="1"/>
  <c r="AA7" i="14" s="1"/>
  <c r="V14" i="14"/>
  <c r="W14" i="14" s="1"/>
  <c r="X14" i="14"/>
  <c r="X17" i="14"/>
  <c r="U17" i="14"/>
  <c r="Z17" i="14"/>
  <c r="Z20" i="14"/>
  <c r="T22" i="14"/>
  <c r="U22" i="14"/>
  <c r="X13" i="14"/>
  <c r="V13" i="14"/>
  <c r="W13" i="14" s="1"/>
  <c r="Z13" i="14"/>
  <c r="Y13" i="14"/>
  <c r="T15" i="14"/>
  <c r="U15" i="14"/>
  <c r="Z23" i="14"/>
  <c r="Y23" i="14"/>
  <c r="Z26" i="14"/>
  <c r="X29" i="14"/>
  <c r="V29" i="14"/>
  <c r="W29" i="14" s="1"/>
  <c r="Z29" i="14"/>
  <c r="Z34" i="14"/>
  <c r="X34" i="14"/>
  <c r="T35" i="14"/>
  <c r="Z36" i="14"/>
  <c r="Z44" i="14"/>
  <c r="Z52" i="14"/>
  <c r="Z60" i="14"/>
  <c r="T33" i="14"/>
  <c r="Z39" i="14"/>
  <c r="Y39" i="14"/>
  <c r="X39" i="14"/>
  <c r="T43" i="14"/>
  <c r="Z47" i="14"/>
  <c r="Y47" i="14"/>
  <c r="X47" i="14"/>
  <c r="T51" i="14"/>
  <c r="Z55" i="14"/>
  <c r="Y55" i="14"/>
  <c r="X55" i="14"/>
  <c r="T59" i="14"/>
  <c r="Z63" i="14"/>
  <c r="Y63" i="14"/>
  <c r="X63" i="14"/>
  <c r="T67" i="14"/>
  <c r="T6" i="14"/>
  <c r="Q6" i="14" s="1"/>
  <c r="AA6" i="14" s="1"/>
  <c r="V10" i="14"/>
  <c r="W10" i="14" s="1"/>
  <c r="X10" i="14"/>
  <c r="X9" i="14"/>
  <c r="V9" i="14"/>
  <c r="W9" i="14" s="1"/>
  <c r="Z9" i="14"/>
  <c r="Y9" i="14"/>
  <c r="T11" i="14"/>
  <c r="Q11" i="14" s="1"/>
  <c r="AA11" i="14" s="1"/>
  <c r="Z16" i="14"/>
  <c r="T18" i="14"/>
  <c r="U18" i="14"/>
  <c r="Y22" i="14"/>
  <c r="T37" i="14"/>
  <c r="X41" i="14"/>
  <c r="U41" i="14"/>
  <c r="Z41" i="14"/>
  <c r="T45" i="14"/>
  <c r="X49" i="14"/>
  <c r="U49" i="14"/>
  <c r="Z49" i="14"/>
  <c r="T53" i="14"/>
  <c r="X57" i="14"/>
  <c r="U57" i="14"/>
  <c r="Z57" i="14"/>
  <c r="T61" i="14"/>
  <c r="X65" i="14"/>
  <c r="U65" i="14"/>
  <c r="Z65" i="14"/>
  <c r="T69" i="14"/>
  <c r="Z70" i="14"/>
  <c r="Y70" i="14"/>
  <c r="X70" i="14"/>
  <c r="Z8" i="14"/>
  <c r="X8" i="14"/>
  <c r="Y8" i="14"/>
  <c r="Z19" i="14"/>
  <c r="Y19" i="14"/>
  <c r="Z22" i="14"/>
  <c r="T27" i="14"/>
  <c r="U27" i="14"/>
  <c r="T30" i="14"/>
  <c r="Z31" i="14"/>
  <c r="Y31" i="14"/>
  <c r="X31" i="14"/>
  <c r="Z38" i="14"/>
  <c r="X38" i="14"/>
  <c r="T42" i="14"/>
  <c r="Z46" i="14"/>
  <c r="X46" i="14"/>
  <c r="T50" i="14"/>
  <c r="Z54" i="14"/>
  <c r="X54" i="14"/>
  <c r="T58" i="14"/>
  <c r="Z62" i="14"/>
  <c r="X62" i="14"/>
  <c r="T66" i="14"/>
  <c r="Z30" i="14"/>
  <c r="X30" i="14"/>
  <c r="Z7" i="14"/>
  <c r="V7" i="14"/>
  <c r="W7" i="14" s="1"/>
  <c r="Y7" i="14"/>
  <c r="X25" i="14"/>
  <c r="U25" i="14"/>
  <c r="Z25" i="14"/>
  <c r="X33" i="14"/>
  <c r="U33" i="14"/>
  <c r="Z33" i="14"/>
  <c r="U42" i="14"/>
  <c r="Z43" i="14"/>
  <c r="Y43" i="14"/>
  <c r="X43" i="14"/>
  <c r="U50" i="14"/>
  <c r="Z51" i="14"/>
  <c r="Y51" i="14"/>
  <c r="X51" i="14"/>
  <c r="U58" i="14"/>
  <c r="Z59" i="14"/>
  <c r="Y59" i="14"/>
  <c r="X59" i="14"/>
  <c r="U66" i="14"/>
  <c r="Z67" i="14"/>
  <c r="Y67" i="14"/>
  <c r="X67" i="14"/>
  <c r="V6" i="14"/>
  <c r="W6" i="14" s="1"/>
  <c r="X6" i="14"/>
  <c r="Z6" i="14"/>
  <c r="Z15" i="14"/>
  <c r="Y15" i="14"/>
  <c r="X27" i="14"/>
  <c r="Y30" i="14"/>
  <c r="Z35" i="14"/>
  <c r="Y35" i="14"/>
  <c r="X35" i="14"/>
  <c r="X71" i="14"/>
  <c r="Y71" i="14"/>
  <c r="X12" i="14"/>
  <c r="X16" i="14"/>
  <c r="X20" i="14"/>
  <c r="X24" i="14"/>
  <c r="X28" i="14"/>
  <c r="X32" i="14"/>
  <c r="X36" i="14"/>
  <c r="X40" i="14"/>
  <c r="X44" i="14"/>
  <c r="X48" i="14"/>
  <c r="X52" i="14"/>
  <c r="X56" i="14"/>
  <c r="X60" i="14"/>
  <c r="X64" i="14"/>
  <c r="X68" i="14"/>
  <c r="X72" i="14"/>
  <c r="V68" i="14" l="1"/>
  <c r="V54" i="14"/>
  <c r="W54" i="14" s="1"/>
  <c r="V67" i="14"/>
  <c r="W67" i="14" s="1"/>
  <c r="V40" i="14"/>
  <c r="W40" i="14" s="1"/>
  <c r="V16" i="14"/>
  <c r="W16" i="14" s="1"/>
  <c r="V48" i="14"/>
  <c r="W48" i="14" s="1"/>
  <c r="V23" i="14"/>
  <c r="W23" i="14" s="1"/>
  <c r="V52" i="14"/>
  <c r="W52" i="14" s="1"/>
  <c r="V64" i="14"/>
  <c r="W64" i="14" s="1"/>
  <c r="V32" i="14"/>
  <c r="W32" i="14" s="1"/>
  <c r="V28" i="14"/>
  <c r="W28" i="14" s="1"/>
  <c r="V46" i="14"/>
  <c r="W46" i="14" s="1"/>
  <c r="V30" i="14"/>
  <c r="W30" i="14" s="1"/>
  <c r="V31" i="14"/>
  <c r="W31" i="14" s="1"/>
  <c r="V56" i="14"/>
  <c r="W56" i="14" s="1"/>
  <c r="V35" i="14"/>
  <c r="W35" i="14" s="1"/>
  <c r="V20" i="14"/>
  <c r="W20" i="14" s="1"/>
  <c r="V60" i="14"/>
  <c r="W60" i="14" s="1"/>
  <c r="V63" i="14"/>
  <c r="W63" i="14" s="1"/>
  <c r="V26" i="14"/>
  <c r="W26" i="14" s="1"/>
  <c r="V70" i="14"/>
  <c r="W70" i="14" s="1"/>
  <c r="V43" i="14"/>
  <c r="W43" i="14" s="1"/>
  <c r="V24" i="14"/>
  <c r="W24" i="14" s="1"/>
  <c r="V39" i="14"/>
  <c r="W39" i="14" s="1"/>
  <c r="V17" i="14"/>
  <c r="W17" i="14" s="1"/>
  <c r="W68" i="14"/>
  <c r="V57" i="14"/>
  <c r="W57" i="14" s="1"/>
  <c r="V34" i="14"/>
  <c r="W34" i="14" s="1"/>
  <c r="V38" i="14"/>
  <c r="W38" i="14" s="1"/>
  <c r="V41" i="14"/>
  <c r="W41" i="14" s="1"/>
  <c r="V21" i="14"/>
  <c r="W21" i="14" s="1"/>
  <c r="V71" i="14"/>
  <c r="W71" i="14" s="1"/>
  <c r="V47" i="14"/>
  <c r="W47" i="14" s="1"/>
  <c r="V49" i="14"/>
  <c r="W49" i="14" s="1"/>
  <c r="V19" i="14"/>
  <c r="W19" i="14" s="1"/>
  <c r="V62" i="14"/>
  <c r="W62" i="14" s="1"/>
  <c r="V66" i="14"/>
  <c r="W66" i="14" s="1"/>
  <c r="V72" i="14"/>
  <c r="W72" i="14" s="1"/>
  <c r="V55" i="14"/>
  <c r="W55" i="14" s="1"/>
  <c r="V50" i="14"/>
  <c r="W50" i="14" s="1"/>
  <c r="V65" i="14"/>
  <c r="W65" i="14" s="1"/>
  <c r="V51" i="14"/>
  <c r="W51" i="14" s="1"/>
  <c r="V33" i="14"/>
  <c r="W33" i="14" s="1"/>
  <c r="V44" i="14"/>
  <c r="W44" i="14" s="1"/>
  <c r="V27" i="14"/>
  <c r="W27" i="14" s="1"/>
  <c r="V59" i="14"/>
  <c r="W59" i="14" s="1"/>
  <c r="V36" i="14"/>
  <c r="W36" i="14" s="1"/>
  <c r="V25" i="14"/>
  <c r="W25" i="14" s="1"/>
  <c r="V69" i="14"/>
  <c r="W69" i="14" s="1"/>
  <c r="V53" i="14"/>
  <c r="W53" i="14" s="1"/>
  <c r="V37" i="14"/>
  <c r="W37" i="14" s="1"/>
  <c r="V58" i="14"/>
  <c r="W58" i="14" s="1"/>
  <c r="V61" i="14"/>
  <c r="W61" i="14" s="1"/>
  <c r="V45" i="14"/>
  <c r="W45" i="14" s="1"/>
  <c r="V22" i="14"/>
  <c r="W22" i="14" s="1"/>
  <c r="V18" i="14"/>
  <c r="W18" i="14" s="1"/>
  <c r="V42" i="14"/>
  <c r="W42" i="14" s="1"/>
  <c r="V15" i="14"/>
  <c r="W15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G4" authorId="0" shapeId="0" xr:uid="{32AB228A-A573-1648-BBF0-064932B44ECB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EFFA7EBA-8C0B-8E4A-8588-D5DA109DDEE7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S5" authorId="1" shapeId="0" xr:uid="{3C7875D2-1331-5749-88B8-EAE4634ADF26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<sst xmlns="http://schemas.openxmlformats.org/spreadsheetml/2006/main" count="1130" uniqueCount="409">
  <si>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</si>
  <si>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</si>
  <si>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</si>
  <si>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</si>
  <si>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</si>
  <si>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</si>
  <si>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</si>
  <si>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</si>
  <si>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</si>
  <si>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</si>
  <si>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</si>
  <si>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</si>
  <si>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</si>
  <si>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</si>
  <si>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</si>
  <si>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</si>
  <si>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</si>
  <si>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</si>
  <si>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</si>
  <si>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</si>
  <si>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</si>
  <si>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</si>
  <si>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11" type="noConversion"/>
  </si>
  <si>
    <t>Varo-Project</t>
    <phoneticPr fontId="11" type="noConversion"/>
  </si>
  <si>
    <t>-</t>
    <phoneticPr fontId="11" type="noConversion"/>
  </si>
  <si>
    <t>Config:</t>
    <phoneticPr fontId="11" type="noConversion"/>
  </si>
  <si>
    <t>FAI Data Sheet  Enclosures MD</t>
  </si>
  <si>
    <t>DRAWING SPECIFICATIONS</t>
    <phoneticPr fontId="11" type="noConversion"/>
  </si>
  <si>
    <t>INSPECTION RESULTS</t>
  </si>
  <si>
    <t>INSPECTION ANALYSIS</t>
  </si>
  <si>
    <t xml:space="preserve"> Supplier Comment</t>
    <phoneticPr fontId="11" type="noConversion"/>
  </si>
  <si>
    <t>FAI#</t>
  </si>
  <si>
    <t>Description</t>
    <phoneticPr fontId="42" type="noConversion"/>
  </si>
  <si>
    <t>Nominal</t>
  </si>
  <si>
    <t>+TOL</t>
    <phoneticPr fontId="11" type="noConversion"/>
  </si>
  <si>
    <t>TOL</t>
    <phoneticPr fontId="11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</si>
  <si>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</si>
  <si>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</si>
  <si>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</si>
  <si>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</si>
  <si>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</si>
  <si>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</si>
  <si>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</si>
  <si>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</si>
  <si>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</si>
  <si>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</si>
  <si>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FAI 1-1</t>
    <phoneticPr fontId="11" type="noConversion"/>
  </si>
  <si>
    <t>Perpendicularity</t>
    <phoneticPr fontId="11" type="noConversion"/>
  </si>
  <si>
    <t>CMM</t>
  </si>
  <si>
    <t>FAI 1-2</t>
  </si>
  <si>
    <t>Perpendicularity</t>
  </si>
  <si>
    <t>FAI 1-3</t>
  </si>
  <si>
    <t>FAI 1-4</t>
  </si>
  <si>
    <t>FAI 2-1</t>
    <phoneticPr fontId="11" type="noConversion"/>
  </si>
  <si>
    <t>Straightness</t>
  </si>
  <si>
    <t>FAI 2-2</t>
  </si>
  <si>
    <t>FAI 2-3</t>
  </si>
  <si>
    <t>FAI 2-4</t>
  </si>
  <si>
    <t>FAI 3</t>
    <phoneticPr fontId="11" type="noConversion"/>
  </si>
  <si>
    <t>Flatness</t>
  </si>
  <si>
    <t>OMM</t>
  </si>
  <si>
    <t>FAI 4-a</t>
    <phoneticPr fontId="11" type="noConversion"/>
  </si>
  <si>
    <t>Distance</t>
  </si>
  <si>
    <t>FAI 4-b</t>
    <phoneticPr fontId="11" type="noConversion"/>
  </si>
  <si>
    <t>FAI 4-c</t>
    <phoneticPr fontId="11" type="noConversion"/>
  </si>
  <si>
    <t>FAI 6-a</t>
    <phoneticPr fontId="11" type="noConversion"/>
  </si>
  <si>
    <t>FAI 6-b</t>
    <phoneticPr fontId="11" type="noConversion"/>
  </si>
  <si>
    <t>FAI 6-c</t>
    <phoneticPr fontId="11" type="noConversion"/>
  </si>
  <si>
    <t>FAI 7</t>
    <phoneticPr fontId="11" type="noConversion"/>
  </si>
  <si>
    <t>FAI 8</t>
    <phoneticPr fontId="11" type="noConversion"/>
  </si>
  <si>
    <t>FAI 9-1</t>
    <phoneticPr fontId="11" type="noConversion"/>
  </si>
  <si>
    <t>Surface profile</t>
  </si>
  <si>
    <t>FAI 9-2</t>
  </si>
  <si>
    <t>FAI 9-3</t>
  </si>
  <si>
    <t>FAI 9-4</t>
  </si>
  <si>
    <t>FAI 9-5</t>
  </si>
  <si>
    <t>FAI 9-6</t>
  </si>
  <si>
    <t>FAI 11</t>
    <phoneticPr fontId="11" type="noConversion"/>
  </si>
  <si>
    <t>Parallelism</t>
  </si>
  <si>
    <t>FAI 12-1</t>
    <phoneticPr fontId="11" type="noConversion"/>
  </si>
  <si>
    <t>FAI 12-2</t>
  </si>
  <si>
    <t>FAI 12-3</t>
  </si>
  <si>
    <t>FAI 12-4</t>
  </si>
  <si>
    <t>FAI 13-1</t>
    <phoneticPr fontId="11" type="noConversion"/>
  </si>
  <si>
    <t>FAI 13-2</t>
  </si>
  <si>
    <t>FAI 14-1</t>
    <phoneticPr fontId="11" type="noConversion"/>
  </si>
  <si>
    <t>FAI 14-2</t>
  </si>
  <si>
    <t>FAI 15-1</t>
    <phoneticPr fontId="11" type="noConversion"/>
  </si>
  <si>
    <t>FAI 15-2</t>
  </si>
  <si>
    <t>FAI 15-3</t>
  </si>
  <si>
    <t>FAI 15-4</t>
  </si>
  <si>
    <t>FAI 20</t>
    <phoneticPr fontId="11" type="noConversion"/>
  </si>
  <si>
    <t>FAI 21</t>
  </si>
  <si>
    <t>FAI 22</t>
  </si>
  <si>
    <t>FAI 23</t>
  </si>
  <si>
    <t>FAI 24</t>
  </si>
  <si>
    <t>FAI 25-1</t>
    <phoneticPr fontId="11" type="noConversion"/>
  </si>
  <si>
    <t>FAI 25-2</t>
  </si>
  <si>
    <t>FAI 26-1</t>
    <phoneticPr fontId="11" type="noConversion"/>
  </si>
  <si>
    <t>FAI 26-2</t>
  </si>
  <si>
    <t>FAI 26-3</t>
  </si>
  <si>
    <t>FAI 26-4</t>
  </si>
  <si>
    <t>FAI 27</t>
    <phoneticPr fontId="11" type="noConversion"/>
  </si>
  <si>
    <t>FAI 28</t>
  </si>
  <si>
    <t>FAI 29</t>
  </si>
  <si>
    <t>Distance</t>
    <phoneticPr fontId="11" type="noConversion"/>
  </si>
  <si>
    <t>FAI 31</t>
    <phoneticPr fontId="11" type="noConversion"/>
  </si>
  <si>
    <t>FAI 33</t>
    <phoneticPr fontId="11" type="noConversion"/>
  </si>
  <si>
    <t>FAI 34</t>
    <phoneticPr fontId="11" type="noConversion"/>
  </si>
  <si>
    <t>FAI 35-1</t>
    <phoneticPr fontId="11" type="noConversion"/>
  </si>
  <si>
    <t>FAI 35-2</t>
    <phoneticPr fontId="11" type="noConversion"/>
  </si>
  <si>
    <t>FAI 36</t>
    <phoneticPr fontId="11" type="noConversion"/>
  </si>
  <si>
    <t>FAI 37-1</t>
    <phoneticPr fontId="11" type="noConversion"/>
  </si>
  <si>
    <t>FAI 37-2</t>
    <phoneticPr fontId="11" type="noConversion"/>
  </si>
  <si>
    <t>FAI 38-1</t>
    <phoneticPr fontId="11" type="noConversion"/>
  </si>
  <si>
    <t>FAI 38-2</t>
    <phoneticPr fontId="11" type="noConversion"/>
  </si>
  <si>
    <t>FAI 39</t>
    <phoneticPr fontId="11" type="noConversion"/>
  </si>
  <si>
    <t>FAI 40</t>
    <phoneticPr fontId="11" type="noConversion"/>
  </si>
  <si>
    <t>FAI  41</t>
    <phoneticPr fontId="11" type="noConversion"/>
  </si>
  <si>
    <t>FAI 45</t>
    <phoneticPr fontId="11" type="noConversion"/>
  </si>
  <si>
    <t>FAI 46</t>
    <phoneticPr fontId="11" type="noConversion"/>
  </si>
  <si>
    <t>FAI 47</t>
    <phoneticPr fontId="11" type="noConversion"/>
  </si>
  <si>
    <t>FAI 50</t>
    <phoneticPr fontId="11" type="noConversion"/>
  </si>
  <si>
    <t>FAI 51</t>
  </si>
  <si>
    <t>FAI 52</t>
  </si>
  <si>
    <t>FAI 53</t>
  </si>
  <si>
    <t>FAI 54-1</t>
    <phoneticPr fontId="11" type="noConversion"/>
  </si>
  <si>
    <t>FAI 54-2</t>
  </si>
  <si>
    <t>FAI 55-1</t>
    <phoneticPr fontId="11" type="noConversion"/>
  </si>
  <si>
    <t>FAI 55-2</t>
  </si>
  <si>
    <t>FAI 56-1</t>
    <phoneticPr fontId="11" type="noConversion"/>
  </si>
  <si>
    <t>FAI 56-2</t>
  </si>
  <si>
    <t>FAI 57</t>
    <phoneticPr fontId="11" type="noConversion"/>
  </si>
  <si>
    <t>FAI 66</t>
    <phoneticPr fontId="11" type="noConversion"/>
  </si>
  <si>
    <t>FAI 67</t>
    <phoneticPr fontId="11" type="noConversion"/>
  </si>
  <si>
    <t>FAI 68</t>
    <phoneticPr fontId="11" type="noConversion"/>
  </si>
  <si>
    <t>FAI 69</t>
  </si>
  <si>
    <t>FAI 70-1</t>
    <phoneticPr fontId="11" type="noConversion"/>
  </si>
  <si>
    <t>FAI 70-2</t>
  </si>
  <si>
    <t>FAI 80</t>
    <phoneticPr fontId="11" type="noConversion"/>
  </si>
  <si>
    <t>FAI 81</t>
  </si>
  <si>
    <t>FAI 82</t>
  </si>
  <si>
    <t>FAI 83</t>
  </si>
  <si>
    <t>FAI 84</t>
  </si>
  <si>
    <t>FAI 85</t>
  </si>
  <si>
    <t>FAI 86-1</t>
    <phoneticPr fontId="11" type="noConversion"/>
  </si>
  <si>
    <t>FAI 86-2</t>
  </si>
  <si>
    <t>FAI 87</t>
    <phoneticPr fontId="11" type="noConversion"/>
  </si>
  <si>
    <t>FAI 88-1</t>
    <phoneticPr fontId="11" type="noConversion"/>
  </si>
  <si>
    <t>FAI 88-2</t>
  </si>
  <si>
    <t>FAI 89</t>
    <phoneticPr fontId="11" type="noConversion"/>
  </si>
  <si>
    <t>FAI 96-1</t>
    <phoneticPr fontId="11" type="noConversion"/>
  </si>
  <si>
    <t>FAI 96-2</t>
  </si>
  <si>
    <t>FAI 97-1</t>
    <phoneticPr fontId="11" type="noConversion"/>
  </si>
  <si>
    <t>FAI 97-2</t>
  </si>
  <si>
    <t>FAI 98-V1</t>
  </si>
  <si>
    <t>FAI 99-V1</t>
  </si>
  <si>
    <t>FAI 100-V1</t>
  </si>
  <si>
    <t>FAI 101-V1</t>
    <phoneticPr fontId="11" type="noConversion"/>
  </si>
  <si>
    <t>FAI 102-V1</t>
  </si>
  <si>
    <t>FAI 103-V1</t>
  </si>
  <si>
    <t>FAI 98-V2</t>
    <phoneticPr fontId="11" type="noConversion"/>
  </si>
  <si>
    <t>FAI 99-V2</t>
  </si>
  <si>
    <t>FAI 100-V2</t>
  </si>
  <si>
    <t>FAI 101-V2</t>
    <phoneticPr fontId="11" type="noConversion"/>
  </si>
  <si>
    <t>FAI 102-V2</t>
  </si>
  <si>
    <t>FAI 103-V2</t>
  </si>
  <si>
    <t>FAI 104-V3</t>
    <phoneticPr fontId="11" type="noConversion"/>
  </si>
  <si>
    <t>FAI 105-V3</t>
  </si>
  <si>
    <t>FAI 106-V3</t>
  </si>
  <si>
    <t>FAI 107-V3</t>
    <phoneticPr fontId="11" type="noConversion"/>
  </si>
  <si>
    <t>FAI 108-V3</t>
  </si>
  <si>
    <t>FAI 109-V3</t>
  </si>
  <si>
    <t>FAI 104-V4</t>
    <phoneticPr fontId="11" type="noConversion"/>
  </si>
  <si>
    <t>FAI 105-V4</t>
  </si>
  <si>
    <t>FAI 106-V4</t>
  </si>
  <si>
    <t>FAI 107-V4</t>
    <phoneticPr fontId="11" type="noConversion"/>
  </si>
  <si>
    <t>FAI 108-V4</t>
  </si>
  <si>
    <t>FAI 109-V4</t>
  </si>
  <si>
    <t>Enhanced Cpk Data Sheet - Enclosures MD</t>
  </si>
  <si>
    <t xml:space="preserve">  </t>
    <phoneticPr fontId="46" type="noConversion"/>
  </si>
  <si>
    <t>DRAWING SPECIFICATIONS</t>
  </si>
  <si>
    <t>CALCULATED RESULTS</t>
  </si>
  <si>
    <t>DO NOT DELETE COLUMNS</t>
  </si>
  <si>
    <t xml:space="preserve">      MEASURED DATA</t>
    <phoneticPr fontId="11" type="noConversion"/>
  </si>
  <si>
    <t>(USL for one sided spec)</t>
  </si>
  <si>
    <t>(LSL for one sided spec)</t>
  </si>
  <si>
    <t>Tolerance needed to hit target Cpk</t>
  </si>
  <si>
    <t>Cp* =</t>
  </si>
  <si>
    <t>SPC</t>
    <phoneticPr fontId="50" type="noConversion"/>
  </si>
  <si>
    <t>Description</t>
    <phoneticPr fontId="51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</si>
  <si>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</si>
  <si>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</si>
  <si>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</si>
  <si>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</si>
  <si>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</si>
  <si>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</si>
  <si>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</si>
  <si>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6" type="noConversion"/>
  </si>
  <si>
    <t>Cp</t>
  </si>
  <si>
    <t>Ca</t>
  </si>
  <si>
    <t>Ca Level</t>
  </si>
  <si>
    <t>UCPK</t>
    <phoneticPr fontId="52" type="noConversion"/>
  </si>
  <si>
    <t>LCPK</t>
    <phoneticPr fontId="52" type="noConversion"/>
  </si>
  <si>
    <t>Cpk</t>
  </si>
  <si>
    <t>Yield</t>
  </si>
  <si>
    <t>+Tol =&gt; Cpk*</t>
  </si>
  <si>
    <t>-Tol =&gt; Cpk*</t>
  </si>
  <si>
    <t>Mean Shift</t>
    <phoneticPr fontId="46" type="noConversion"/>
  </si>
  <si>
    <t>Tol Range
=&gt; Cp*</t>
  </si>
  <si>
    <t>Normality Test</t>
    <phoneticPr fontId="11" type="noConversion"/>
  </si>
  <si>
    <t>Normality Result</t>
  </si>
  <si>
    <t>Notes</t>
  </si>
  <si>
    <t>A-1</t>
  </si>
  <si>
    <t>No</t>
  </si>
  <si>
    <t>A-2</t>
  </si>
  <si>
    <t>A-3</t>
  </si>
  <si>
    <t>A-4</t>
  </si>
  <si>
    <t>B-1</t>
  </si>
  <si>
    <t>B-2</t>
  </si>
  <si>
    <t>B-3</t>
  </si>
  <si>
    <t>B-4</t>
  </si>
  <si>
    <t>C</t>
  </si>
  <si>
    <t>D-a</t>
  </si>
  <si>
    <t>D-b</t>
  </si>
  <si>
    <t>D-c</t>
  </si>
  <si>
    <t>F-a</t>
  </si>
  <si>
    <t>F-b</t>
  </si>
  <si>
    <t>F-c</t>
  </si>
  <si>
    <t>G</t>
  </si>
  <si>
    <t>H</t>
  </si>
  <si>
    <t>I</t>
  </si>
  <si>
    <t>K</t>
  </si>
  <si>
    <t>L-1</t>
  </si>
  <si>
    <t>L-2</t>
  </si>
  <si>
    <t>L-3</t>
  </si>
  <si>
    <t>L-4</t>
  </si>
  <si>
    <t>M-1</t>
  </si>
  <si>
    <t>M-2</t>
  </si>
  <si>
    <t>FAI 13-2</t>
    <phoneticPr fontId="11" type="noConversion"/>
  </si>
  <si>
    <t>N-1</t>
  </si>
  <si>
    <t>N-2</t>
  </si>
  <si>
    <t>FAI 14-2</t>
    <phoneticPr fontId="11" type="noConversion"/>
  </si>
  <si>
    <t>O-1</t>
  </si>
  <si>
    <t>O-2</t>
  </si>
  <si>
    <t>O-3</t>
  </si>
  <si>
    <t>O-4</t>
  </si>
  <si>
    <t>T</t>
  </si>
  <si>
    <t>U</t>
  </si>
  <si>
    <t>V</t>
  </si>
  <si>
    <t>W</t>
  </si>
  <si>
    <t>X</t>
  </si>
  <si>
    <t>Y-1</t>
  </si>
  <si>
    <t>Y-2</t>
  </si>
  <si>
    <t>Z</t>
  </si>
  <si>
    <t>AA</t>
  </si>
  <si>
    <t>AB</t>
  </si>
  <si>
    <t>AC</t>
  </si>
  <si>
    <t>AE</t>
  </si>
  <si>
    <t>AG</t>
  </si>
  <si>
    <t>BF</t>
  </si>
  <si>
    <t>BE</t>
  </si>
  <si>
    <t>AL</t>
  </si>
  <si>
    <t>AX</t>
  </si>
  <si>
    <t>FAI 51</t>
    <phoneticPr fontId="11" type="noConversion"/>
  </si>
  <si>
    <t>AW</t>
  </si>
  <si>
    <t>FAI 52</t>
    <phoneticPr fontId="11" type="noConversion"/>
  </si>
  <si>
    <t>AM</t>
  </si>
  <si>
    <t>AN</t>
  </si>
  <si>
    <t>FAI 70-2</t>
    <phoneticPr fontId="11" type="noConversion"/>
  </si>
  <si>
    <t>BG</t>
  </si>
  <si>
    <t>FAI 96-2</t>
    <phoneticPr fontId="11" type="noConversion"/>
  </si>
  <si>
    <t>BH</t>
  </si>
  <si>
    <t>FAI 97-2</t>
    <phoneticPr fontId="11" type="noConversion"/>
  </si>
  <si>
    <t>BI</t>
  </si>
  <si>
    <t>BL</t>
  </si>
  <si>
    <t>Cosmetic Waiver List</t>
  </si>
  <si>
    <t>Vendor Input</t>
  </si>
  <si>
    <t>No.</t>
  </si>
  <si>
    <t>Defect Name</t>
  </si>
  <si>
    <t>Description</t>
  </si>
  <si>
    <t>Picture</t>
  </si>
  <si>
    <t>Limit Sample</t>
    <phoneticPr fontId="0" type="noConversion"/>
  </si>
  <si>
    <t>Proposal</t>
    <phoneticPr fontId="0" type="noConversion"/>
  </si>
  <si>
    <r>
      <t xml:space="preserve"> Grading  Yield</t>
    </r>
    <r>
      <rPr>
        <sz val="14"/>
        <rFont val="細明體"/>
        <family val="3"/>
        <charset val="136"/>
      </rPr>
      <t/>
    </r>
  </si>
  <si>
    <t>Root Cause</t>
    <phoneticPr fontId="0" type="noConversion"/>
  </si>
  <si>
    <t>Corrective Action</t>
    <phoneticPr fontId="0" type="noConversion"/>
  </si>
  <si>
    <t>SQE disposition</t>
    <phoneticPr fontId="0" type="noConversion"/>
  </si>
  <si>
    <t>SBE disposition</t>
    <phoneticPr fontId="0" type="noConversion"/>
  </si>
  <si>
    <t>PD disposition</t>
    <phoneticPr fontId="0" type="noConversion"/>
  </si>
  <si>
    <t xml:space="preserve"> Spec</t>
    <phoneticPr fontId="0" type="noConversion"/>
  </si>
  <si>
    <t>Yield</t>
    <phoneticPr fontId="0" type="noConversion"/>
  </si>
  <si>
    <t>Waiver Spec</t>
    <phoneticPr fontId="0" type="noConversion"/>
  </si>
  <si>
    <t>A</t>
    <phoneticPr fontId="0" type="noConversion"/>
  </si>
  <si>
    <t>B</t>
    <phoneticPr fontId="0" type="noConversion"/>
  </si>
  <si>
    <t>C</t>
    <phoneticPr fontId="0" type="noConversion"/>
  </si>
  <si>
    <t>D</t>
    <phoneticPr fontId="0" type="noConversion"/>
  </si>
  <si>
    <t>Dimensional Waiver List</t>
  </si>
  <si>
    <t>FAI</t>
  </si>
  <si>
    <t>SPC</t>
  </si>
  <si>
    <t>Inpsection Method</t>
  </si>
  <si>
    <t>Spec</t>
  </si>
  <si>
    <t>Waiver Proposal</t>
  </si>
  <si>
    <t>Tol+</t>
  </si>
  <si>
    <t>Tol-</t>
  </si>
  <si>
    <t>Yield %</t>
  </si>
  <si>
    <t>Functional Waiver List</t>
  </si>
  <si>
    <t>Reliability Waiver List</t>
  </si>
  <si>
    <t>REL/ORT Test</t>
  </si>
  <si>
    <t>Checkpoint</t>
  </si>
  <si>
    <t>Input Qty</t>
  </si>
  <si>
    <t>NG Qty</t>
  </si>
  <si>
    <t>Failure Mode</t>
  </si>
  <si>
    <t>Revision</t>
  </si>
  <si>
    <t>Date</t>
  </si>
  <si>
    <t>Author</t>
    <phoneticPr fontId="0" type="noConversion"/>
  </si>
  <si>
    <t>Comments</t>
  </si>
  <si>
    <t>Tim Burks</t>
  </si>
  <si>
    <t>Initial Release</t>
  </si>
  <si>
    <t>APN</t>
  </si>
  <si>
    <t>Shipping Date</t>
  </si>
  <si>
    <t>Build</t>
  </si>
  <si>
    <t>Inner package</t>
  </si>
  <si>
    <t>Shipping Lot No</t>
  </si>
  <si>
    <t>Total Q'TY</t>
  </si>
  <si>
    <t>Unit</t>
  </si>
  <si>
    <t>PCS</t>
  </si>
  <si>
    <t>Cavity</t>
  </si>
  <si>
    <t>Shipping Qty</t>
  </si>
  <si>
    <t>817-10263</t>
    <phoneticPr fontId="67" type="noConversion"/>
  </si>
  <si>
    <t>MCO Rev.3 / MSoP Rev.C / 
PGM Rev.B</t>
    <phoneticPr fontId="11" type="noConversion"/>
  </si>
  <si>
    <t>OK</t>
  </si>
  <si>
    <t>OBA:</t>
  </si>
  <si>
    <t>MP</t>
    <phoneticPr fontId="11" type="noConversion"/>
  </si>
  <si>
    <t>3HUR00006A/480/DP142060030A5BZ</t>
  </si>
  <si>
    <t>20240521-2-A</t>
  </si>
  <si>
    <t>3HUR00006A/480/DP142060080A6BZ</t>
  </si>
  <si>
    <t>3HUR00006A/480/DP142060350A5BZ</t>
  </si>
  <si>
    <t>3HUR00006A/480/DP142060290A7BZ</t>
  </si>
  <si>
    <t>3HUR00006A/480/DP142060270A6BZ</t>
  </si>
  <si>
    <t>3HUR00006A/480/DP142060310A6BZ</t>
  </si>
  <si>
    <t>3HUR00006A/480/DP142170030A6BZ</t>
  </si>
  <si>
    <t>3HUR00006A/480/DP142060210A6BZ</t>
  </si>
  <si>
    <t>3HUR00006A/480/DP142060340A5BZ</t>
  </si>
  <si>
    <t>3HUR00006A/480/DP142060140A5BZ</t>
  </si>
  <si>
    <t>3HUR00006A/480/DP142060330A6BZ</t>
  </si>
  <si>
    <t>3HUR00006A/480/DP142060120A5BZ</t>
  </si>
  <si>
    <t>3HUR00006A/480/DP142060370A5BZ</t>
  </si>
  <si>
    <t>20240521-3-A</t>
  </si>
  <si>
    <t>3HUR00006A/480/DP142170060A6BZ</t>
  </si>
  <si>
    <t>3HUR00006A/480/DP142060280A5BZ</t>
  </si>
  <si>
    <t>3HUR00006A/480/DP142060380A6BZ</t>
  </si>
  <si>
    <t>3HUR00006A/480/DP142060170A7BZ</t>
  </si>
  <si>
    <t>3HUR00006A/480/DP142170100A5BZ</t>
  </si>
  <si>
    <t>3HUR00006A/480/DP142060240A7BZ</t>
  </si>
  <si>
    <t>3HUR00006A/480/DP142170250A5BZ</t>
  </si>
  <si>
    <t>3HUR00006A/480/DP142170160A5BZ</t>
  </si>
  <si>
    <t>3HUR00006A/480/DP142110020A6BZ</t>
  </si>
  <si>
    <t>3HUR00006A/480/DP142170140A6BZ</t>
  </si>
  <si>
    <t>3HUR00006A/480/DP142170210A5BZ</t>
  </si>
  <si>
    <t>3HUR00006A/480/DP142060050A5BZ</t>
  </si>
  <si>
    <t>20240521-4-A</t>
  </si>
  <si>
    <t>3HUR00006A/480/DP142060320A5BZ</t>
  </si>
  <si>
    <t>3HUR00006A/480/DP142060360A7BZ</t>
  </si>
  <si>
    <t>3HUR00006A/480/DP142060250A7BZ</t>
  </si>
  <si>
    <t>3HUR00006A/480/DP142060090A8BZ</t>
  </si>
  <si>
    <t>3HUR00006A/480/DP142060180A5BZ</t>
  </si>
  <si>
    <t>3HUR00006A/480/DP142060150A7BZ</t>
  </si>
  <si>
    <t>3HUR00006A/480/DP142170130A5BZ</t>
  </si>
  <si>
    <t>3HUR00006A/480/DP142060260A6BZ</t>
  </si>
  <si>
    <t>3HUR00006A/480/DP142060300A7BZ</t>
  </si>
  <si>
    <t>3HUR00006A/480/DP142170350A5BZ</t>
  </si>
  <si>
    <t>3HUR00006A/480/DP142110010A5BZ</t>
  </si>
  <si>
    <t>3HUR00006A/480/DP142170080A6BZ</t>
  </si>
  <si>
    <t>20240521-5-A</t>
  </si>
  <si>
    <t>3HUR00006A/480/DP142170020A5BZ</t>
  </si>
  <si>
    <t>3HUR00006A/480/DP142170340A5BZ</t>
  </si>
  <si>
    <t>3HUR00006A/480/DP142170360A6BZ</t>
  </si>
  <si>
    <t>3HUR00006A/480/DP142170330A6BZ</t>
  </si>
  <si>
    <t>3HUR00006A/480/DP142170320A6BZ</t>
  </si>
  <si>
    <t>3HUR00006A/480/DP142170220A6BZ</t>
  </si>
  <si>
    <t>3HUR00006A/480/DP142170240A6BZ</t>
  </si>
  <si>
    <t>3HUR00006A/480/DP142170170A6BZ</t>
  </si>
  <si>
    <t>FAI 58-1</t>
    <phoneticPr fontId="11" type="noConversion"/>
  </si>
  <si>
    <t>Roughness</t>
    <phoneticPr fontId="11" type="noConversion"/>
  </si>
  <si>
    <t xml:space="preserve"> Roughness
Tester</t>
    <phoneticPr fontId="11" type="noConversion"/>
  </si>
  <si>
    <t>FAI 58-2</t>
  </si>
  <si>
    <t>FAI 58-3</t>
  </si>
  <si>
    <t>FAI 58-4</t>
  </si>
  <si>
    <t>FAI 58-5</t>
  </si>
  <si>
    <t>FAI 58-6</t>
  </si>
  <si>
    <t>FAI 59-1</t>
  </si>
  <si>
    <t>FAI 59-2</t>
  </si>
  <si>
    <t>FAI 59-3</t>
  </si>
  <si>
    <t>FAI 59-4</t>
  </si>
  <si>
    <t>FAI 59-5</t>
  </si>
  <si>
    <t>FAI 59-6</t>
  </si>
  <si>
    <t>FAI 60-1</t>
  </si>
  <si>
    <t>FAI 60-2</t>
  </si>
  <si>
    <t>FAI 60-3</t>
  </si>
  <si>
    <t>FAI 60-4</t>
  </si>
  <si>
    <t>FAI 60-5</t>
  </si>
  <si>
    <t>FAI 60-6</t>
  </si>
  <si>
    <t>FAI 60-7</t>
  </si>
  <si>
    <t>FAI 60-8</t>
  </si>
  <si>
    <t>FAI 60-9</t>
  </si>
  <si>
    <t>FAI 60-10</t>
  </si>
  <si>
    <t>FAI 60-11</t>
  </si>
  <si>
    <t>FAI 60-12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</si>
</sst>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_(* #,##0_);_(* \(#,##0\);_(* &quot;-&quot;_);_(@_)"/>
    <numFmt numFmtId="177" formatCode="0.0%"/>
    <numFmt numFmtId="178" formatCode="[$-409]d/mmm;@"/>
    <numFmt numFmtId="179" formatCode="#,##0.0000"/>
    <numFmt numFmtId="180" formatCode="0.00_);[Red]\(0.00\)"/>
    <numFmt numFmtId="181" formatCode="0.000"/>
    <numFmt numFmtId="182" formatCode="0.000_ "/>
    <numFmt numFmtId="183" formatCode="yyyy\-mm\-dd;@"/>
    <numFmt numFmtId="184" formatCode="m/d/yyyy;@"/>
    <numFmt numFmtId="185" formatCode="0_);[Red]\(0\)"/>
    <numFmt numFmtId="186" formatCode="0_ "/>
  </numFmts>
  <fonts count="68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sz val="10"/>
      <color theme="1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2"/>
      <name val="Times New Roman"/>
      <family val="1"/>
    </font>
    <font>
      <sz val="10"/>
      <color theme="1"/>
      <name val="맑은 고딕"/>
      <family val="2"/>
      <scheme val="minor"/>
    </font>
    <font>
      <b/>
      <i/>
      <sz val="12"/>
      <color theme="1"/>
      <name val="맑은 고딕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20"/>
      <name val="Helvetica Neue"/>
      <family val="2"/>
    </font>
    <font>
      <sz val="14"/>
      <name val="Helvetica Neue"/>
      <family val="2"/>
    </font>
    <font>
      <sz val="14"/>
      <name val="細明體"/>
      <family val="3"/>
      <charset val="136"/>
    </font>
    <font>
      <sz val="12"/>
      <name val="Helvetica Neue"/>
      <family val="1"/>
    </font>
    <font>
      <b/>
      <sz val="12"/>
      <color rgb="FF212121"/>
      <name val="Helvetica Neue"/>
      <family val="2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  <font>
      <sz val="12"/>
      <color indexed="8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873">
    <xf numFmtId="0" fontId="0" fillId="0" borderId="0"/>
    <xf numFmtId="0" fontId="8" fillId="0" borderId="0"/>
    <xf numFmtId="9" fontId="8" fillId="0" borderId="0" applyFont="0" applyFill="0" applyBorder="0" applyAlignment="0" applyProtection="0"/>
    <xf numFmtId="0" fontId="10" fillId="0" borderId="0"/>
    <xf numFmtId="178" fontId="12" fillId="0" borderId="0"/>
    <xf numFmtId="178" fontId="12" fillId="0" borderId="0"/>
    <xf numFmtId="9" fontId="13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8" fillId="10" borderId="12" applyNumberFormat="0" applyAlignment="0" applyProtection="0">
      <alignment vertical="center"/>
    </xf>
    <xf numFmtId="0" fontId="29" fillId="10" borderId="11" applyNumberFormat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11" borderId="14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16" fillId="0" borderId="0"/>
    <xf numFmtId="9" fontId="19" fillId="0" borderId="0" applyFont="0" applyFill="0" applyBorder="0" applyAlignment="0" applyProtection="0"/>
    <xf numFmtId="0" fontId="16" fillId="0" borderId="0"/>
    <xf numFmtId="9" fontId="9" fillId="0" borderId="0" applyFont="0" applyFill="0" applyBorder="0" applyAlignment="0" applyProtection="0"/>
    <xf numFmtId="0" fontId="15" fillId="0" borderId="0"/>
    <xf numFmtId="177" fontId="13" fillId="0" borderId="0" applyFill="0" applyBorder="0" applyAlignment="0"/>
    <xf numFmtId="179" fontId="13" fillId="0" borderId="0" applyFill="0" applyBorder="0" applyAlignment="0"/>
    <xf numFmtId="0" fontId="17" fillId="0" borderId="17" applyNumberFormat="0" applyAlignment="0" applyProtection="0">
      <alignment horizontal="left" vertical="center"/>
    </xf>
    <xf numFmtId="0" fontId="17" fillId="0" borderId="7">
      <alignment horizontal="left" vertical="center"/>
    </xf>
    <xf numFmtId="179" fontId="13" fillId="0" borderId="0" applyFill="0" applyBorder="0" applyAlignment="0"/>
    <xf numFmtId="0" fontId="16" fillId="0" borderId="0"/>
    <xf numFmtId="179" fontId="13" fillId="0" borderId="0" applyFill="0" applyBorder="0" applyAlignment="0"/>
    <xf numFmtId="49" fontId="14" fillId="0" borderId="0" applyFill="0" applyBorder="0" applyAlignment="0"/>
    <xf numFmtId="179" fontId="13" fillId="0" borderId="0" applyFill="0" applyBorder="0" applyAlignment="0"/>
    <xf numFmtId="0" fontId="4" fillId="0" borderId="0">
      <alignment vertical="center"/>
    </xf>
    <xf numFmtId="0" fontId="4" fillId="12" borderId="15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15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15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15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15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15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15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15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15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15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15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15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15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15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15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15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19" fillId="0" borderId="0"/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0" borderId="0"/>
    <xf numFmtId="0" fontId="38" fillId="6" borderId="0" applyNumberFormat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1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12" fillId="0" borderId="0"/>
    <xf numFmtId="0" fontId="54" fillId="0" borderId="0"/>
    <xf numFmtId="41" fontId="18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</cellStyleXfs>
  <cellXfs count="190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shrinkToFit="1"/>
    </xf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horizontal="left" vertical="center" shrinkToFit="1"/>
    </xf>
    <xf numFmtId="0" fontId="6" fillId="0" borderId="3" xfId="0" applyFont="1" applyBorder="1" applyAlignment="1">
      <alignment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shrinkToFit="1"/>
    </xf>
    <xf numFmtId="3" fontId="6" fillId="0" borderId="2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/>
    </xf>
    <xf numFmtId="0" fontId="47" fillId="0" borderId="18" xfId="0" quotePrefix="1" applyFont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 wrapText="1"/>
    </xf>
    <xf numFmtId="2" fontId="13" fillId="0" borderId="5" xfId="0" applyNumberFormat="1" applyFont="1" applyBorder="1" applyAlignment="1">
      <alignment horizontal="center" vertical="center" wrapText="1"/>
    </xf>
    <xf numFmtId="0" fontId="40" fillId="0" borderId="18" xfId="0" applyFont="1" applyBorder="1" applyAlignment="1">
      <alignment vertical="center"/>
    </xf>
    <xf numFmtId="0" fontId="40" fillId="0" borderId="0" xfId="0" applyFont="1" applyAlignment="1">
      <alignment vertical="center"/>
    </xf>
    <xf numFmtId="0" fontId="40" fillId="0" borderId="3" xfId="0" applyFont="1" applyBorder="1" applyAlignment="1">
      <alignment vertical="center"/>
    </xf>
    <xf numFmtId="58" fontId="41" fillId="0" borderId="20" xfId="48" applyNumberFormat="1" applyFont="1" applyBorder="1" applyAlignment="1" applyProtection="1">
      <alignment horizontal="center" vertical="center" wrapText="1"/>
      <protection locked="0"/>
    </xf>
    <xf numFmtId="2" fontId="41" fillId="0" borderId="20" xfId="48" applyNumberFormat="1" applyFont="1" applyBorder="1" applyAlignment="1" applyProtection="1">
      <alignment horizontal="center" vertical="center" wrapText="1"/>
      <protection locked="0"/>
    </xf>
    <xf numFmtId="49" fontId="41" fillId="0" borderId="20" xfId="0" quotePrefix="1" applyNumberFormat="1" applyFont="1" applyBorder="1" applyAlignment="1">
      <alignment horizontal="center" vertical="center" wrapText="1"/>
    </xf>
    <xf numFmtId="0" fontId="41" fillId="0" borderId="20" xfId="0" applyFont="1" applyBorder="1" applyAlignment="1">
      <alignment horizontal="center" vertical="center" wrapText="1"/>
    </xf>
    <xf numFmtId="0" fontId="41" fillId="0" borderId="20" xfId="48" applyFont="1" applyBorder="1" applyAlignment="1">
      <alignment horizontal="center" vertical="center"/>
    </xf>
    <xf numFmtId="2" fontId="41" fillId="0" borderId="20" xfId="48" applyNumberFormat="1" applyFont="1" applyBorder="1" applyAlignment="1">
      <alignment horizontal="center" vertical="center"/>
    </xf>
    <xf numFmtId="181" fontId="41" fillId="0" borderId="20" xfId="48" applyNumberFormat="1" applyFont="1" applyBorder="1" applyAlignment="1">
      <alignment horizontal="center" vertical="center"/>
    </xf>
    <xf numFmtId="181" fontId="41" fillId="0" borderId="20" xfId="48" quotePrefix="1" applyNumberFormat="1" applyFont="1" applyBorder="1" applyAlignment="1">
      <alignment horizontal="center" vertical="center"/>
    </xf>
    <xf numFmtId="181" fontId="41" fillId="0" borderId="20" xfId="48" quotePrefix="1" applyNumberFormat="1" applyFont="1" applyBorder="1" applyAlignment="1">
      <alignment horizontal="center" vertical="center" wrapText="1"/>
    </xf>
    <xf numFmtId="0" fontId="41" fillId="0" borderId="1" xfId="48" applyFont="1" applyBorder="1" applyAlignment="1" applyProtection="1">
      <alignment horizontal="center" vertical="center"/>
      <protection locked="0"/>
    </xf>
    <xf numFmtId="49" fontId="13" fillId="0" borderId="21" xfId="551" applyNumberFormat="1" applyFont="1" applyBorder="1" applyAlignment="1" applyProtection="1">
      <alignment horizontal="center" vertical="center" wrapText="1"/>
      <protection locked="0"/>
    </xf>
    <xf numFmtId="0" fontId="5" fillId="0" borderId="0" xfId="1" applyFont="1" applyAlignment="1">
      <alignment vertical="center"/>
    </xf>
    <xf numFmtId="0" fontId="59" fillId="0" borderId="0" xfId="1" applyFont="1" applyAlignment="1">
      <alignment vertical="center"/>
    </xf>
    <xf numFmtId="0" fontId="60" fillId="0" borderId="0" xfId="1" applyFont="1" applyAlignment="1">
      <alignment horizontal="center" vertical="center"/>
    </xf>
    <xf numFmtId="0" fontId="60" fillId="0" borderId="0" xfId="1" applyFont="1" applyAlignment="1">
      <alignment vertical="center"/>
    </xf>
    <xf numFmtId="0" fontId="60" fillId="0" borderId="0" xfId="1" applyFont="1"/>
    <xf numFmtId="0" fontId="6" fillId="0" borderId="0" xfId="1" applyFont="1" applyAlignment="1">
      <alignment vertical="center"/>
    </xf>
    <xf numFmtId="0" fontId="7" fillId="5" borderId="1" xfId="1" applyFont="1" applyFill="1" applyBorder="1" applyAlignment="1">
      <alignment horizontal="center" vertical="center"/>
    </xf>
    <xf numFmtId="0" fontId="7" fillId="0" borderId="0" xfId="1" applyFont="1" applyAlignment="1">
      <alignment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177" fontId="6" fillId="0" borderId="1" xfId="2" applyNumberFormat="1" applyFont="1" applyFill="1" applyBorder="1" applyAlignment="1">
      <alignment horizontal="left" vertical="center" wrapText="1"/>
    </xf>
    <xf numFmtId="9" fontId="6" fillId="0" borderId="1" xfId="2" applyFont="1" applyFill="1" applyBorder="1" applyAlignment="1">
      <alignment horizontal="center" vertical="center" wrapText="1"/>
    </xf>
    <xf numFmtId="9" fontId="6" fillId="4" borderId="1" xfId="2" applyFont="1" applyFill="1" applyBorder="1" applyAlignment="1">
      <alignment horizontal="center" vertical="center" wrapText="1"/>
    </xf>
    <xf numFmtId="10" fontId="6" fillId="4" borderId="1" xfId="2" applyNumberFormat="1" applyFont="1" applyFill="1" applyBorder="1" applyAlignment="1">
      <alignment horizontal="left" vertical="center" wrapText="1"/>
    </xf>
    <xf numFmtId="0" fontId="6" fillId="4" borderId="1" xfId="2" quotePrefix="1" applyNumberFormat="1" applyFont="1" applyFill="1" applyBorder="1" applyAlignment="1">
      <alignment horizontal="left" vertical="center" wrapText="1"/>
    </xf>
    <xf numFmtId="9" fontId="6" fillId="4" borderId="1" xfId="2" applyFont="1" applyFill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6" fillId="4" borderId="1" xfId="2" applyNumberFormat="1" applyFont="1" applyFill="1" applyBorder="1" applyAlignment="1">
      <alignment horizontal="left" vertical="center" wrapText="1"/>
    </xf>
    <xf numFmtId="0" fontId="6" fillId="0" borderId="1" xfId="2" applyNumberFormat="1" applyFont="1" applyFill="1" applyBorder="1" applyAlignment="1">
      <alignment horizontal="center" vertical="center" wrapText="1"/>
    </xf>
    <xf numFmtId="10" fontId="6" fillId="4" borderId="1" xfId="2" quotePrefix="1" applyNumberFormat="1" applyFont="1" applyFill="1" applyBorder="1" applyAlignment="1">
      <alignment horizontal="left" vertical="center" wrapText="1"/>
    </xf>
    <xf numFmtId="10" fontId="62" fillId="4" borderId="1" xfId="2" quotePrefix="1" applyNumberFormat="1" applyFont="1" applyFill="1" applyBorder="1" applyAlignment="1">
      <alignment horizontal="left" vertical="center" wrapText="1"/>
    </xf>
    <xf numFmtId="0" fontId="7" fillId="5" borderId="18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63" fillId="5" borderId="1" xfId="3" applyFont="1" applyFill="1" applyBorder="1" applyAlignment="1">
      <alignment horizontal="center" vertical="center"/>
    </xf>
    <xf numFmtId="0" fontId="64" fillId="4" borderId="1" xfId="3" applyFont="1" applyFill="1" applyBorder="1" applyAlignment="1">
      <alignment horizontal="center" vertical="center"/>
    </xf>
    <xf numFmtId="183" fontId="65" fillId="4" borderId="1" xfId="3" applyNumberFormat="1" applyFont="1" applyFill="1" applyBorder="1" applyAlignment="1">
      <alignment horizontal="center" vertical="center"/>
    </xf>
    <xf numFmtId="184" fontId="65" fillId="4" borderId="1" xfId="3" applyNumberFormat="1" applyFont="1" applyFill="1" applyBorder="1" applyAlignment="1">
      <alignment horizontal="center" vertical="center"/>
    </xf>
    <xf numFmtId="0" fontId="65" fillId="4" borderId="1" xfId="3" applyFont="1" applyFill="1" applyBorder="1" applyAlignment="1">
      <alignment vertical="center" wrapText="1"/>
    </xf>
    <xf numFmtId="0" fontId="66" fillId="0" borderId="0" xfId="415" applyFont="1" applyAlignment="1">
      <alignment horizontal="center" vertical="center"/>
    </xf>
    <xf numFmtId="186" fontId="66" fillId="0" borderId="0" xfId="415" applyNumberFormat="1" applyFont="1" applyAlignment="1">
      <alignment horizontal="center" vertical="center"/>
    </xf>
    <xf numFmtId="0" fontId="13" fillId="0" borderId="23" xfId="550" applyNumberFormat="1" applyFont="1" applyBorder="1" applyAlignment="1" applyProtection="1">
      <alignment horizontal="center" vertical="center"/>
      <protection locked="0"/>
    </xf>
    <xf numFmtId="0" fontId="13" fillId="0" borderId="23" xfId="550" quotePrefix="1" applyNumberFormat="1" applyFont="1" applyBorder="1" applyAlignment="1" applyProtection="1">
      <alignment horizontal="center" vertical="center"/>
      <protection locked="0"/>
    </xf>
    <xf numFmtId="0" fontId="13" fillId="0" borderId="25" xfId="550" applyNumberFormat="1" applyFont="1" applyBorder="1" applyAlignment="1" applyProtection="1">
      <alignment horizontal="center" vertical="center"/>
      <protection locked="0"/>
    </xf>
    <xf numFmtId="17" fontId="13" fillId="0" borderId="25" xfId="550" quotePrefix="1" applyNumberFormat="1" applyFont="1" applyBorder="1" applyAlignment="1" applyProtection="1">
      <alignment horizontal="center" vertical="center"/>
      <protection locked="0"/>
    </xf>
    <xf numFmtId="0" fontId="13" fillId="0" borderId="23" xfId="4" applyNumberFormat="1" applyFont="1" applyBorder="1" applyAlignment="1">
      <alignment horizontal="center" vertical="center"/>
    </xf>
    <xf numFmtId="49" fontId="13" fillId="0" borderId="23" xfId="551" applyNumberFormat="1" applyFont="1" applyBorder="1" applyAlignment="1" applyProtection="1">
      <alignment horizontal="center" vertical="center" wrapText="1"/>
      <protection locked="0"/>
    </xf>
    <xf numFmtId="181" fontId="13" fillId="0" borderId="29" xfId="550" applyNumberFormat="1" applyFont="1" applyBorder="1" applyAlignment="1">
      <alignment horizontal="center" vertical="center"/>
    </xf>
    <xf numFmtId="14" fontId="66" fillId="4" borderId="30" xfId="62" applyNumberFormat="1" applyFont="1" applyFill="1" applyBorder="1" applyAlignment="1">
      <alignment horizontal="center" vertical="center"/>
    </xf>
    <xf numFmtId="49" fontId="66" fillId="4" borderId="30" xfId="62" applyNumberFormat="1" applyFont="1" applyFill="1" applyBorder="1" applyAlignment="1">
      <alignment horizontal="center" vertical="center"/>
    </xf>
    <xf numFmtId="0" fontId="66" fillId="0" borderId="30" xfId="62" applyFont="1" applyBorder="1" applyAlignment="1">
      <alignment horizontal="center" vertical="center"/>
    </xf>
    <xf numFmtId="185" fontId="66" fillId="0" borderId="30" xfId="62" applyNumberFormat="1" applyFont="1" applyBorder="1" applyAlignment="1">
      <alignment horizontal="center" vertical="center"/>
    </xf>
    <xf numFmtId="186" fontId="66" fillId="4" borderId="30" xfId="62" applyNumberFormat="1" applyFont="1" applyFill="1" applyBorder="1" applyAlignment="1">
      <alignment horizontal="center" vertical="center"/>
    </xf>
    <xf numFmtId="0" fontId="66" fillId="4" borderId="30" xfId="62" applyFont="1" applyFill="1" applyBorder="1" applyAlignment="1">
      <alignment horizontal="center" vertical="center"/>
    </xf>
    <xf numFmtId="186" fontId="66" fillId="0" borderId="30" xfId="62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/>
      <protection locked="0"/>
    </xf>
    <xf numFmtId="0" fontId="41" fillId="0" borderId="1" xfId="0" applyFont="1" applyBorder="1" applyAlignment="1">
      <alignment horizontal="center" vertical="center"/>
    </xf>
    <xf numFmtId="0" fontId="13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/>
    </xf>
    <xf numFmtId="0" fontId="41" fillId="0" borderId="21" xfId="0" applyFont="1" applyBorder="1" applyAlignment="1">
      <alignment horizontal="center" vertical="center"/>
    </xf>
    <xf numFmtId="0" fontId="41" fillId="0" borderId="22" xfId="0" applyFont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181" fontId="13" fillId="0" borderId="0" xfId="0" applyNumberFormat="1" applyFont="1" applyAlignment="1" applyProtection="1">
      <alignment horizontal="center" vertical="center"/>
      <protection locked="0"/>
    </xf>
    <xf numFmtId="0" fontId="13" fillId="0" borderId="23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181" fontId="13" fillId="0" borderId="1" xfId="0" applyNumberFormat="1" applyFont="1" applyBorder="1" applyAlignment="1" applyProtection="1">
      <alignment horizontal="center" vertical="center"/>
      <protection locked="0"/>
    </xf>
    <xf numFmtId="49" fontId="13" fillId="0" borderId="1" xfId="0" applyNumberFormat="1" applyFont="1" applyBorder="1" applyAlignment="1" applyProtection="1">
      <alignment horizontal="center" vertical="center"/>
      <protection locked="0"/>
    </xf>
    <xf numFmtId="181" fontId="13" fillId="0" borderId="22" xfId="0" applyNumberFormat="1" applyFont="1" applyBorder="1" applyAlignment="1" applyProtection="1">
      <alignment horizontal="center" vertical="center"/>
      <protection locked="0"/>
    </xf>
    <xf numFmtId="181" fontId="13" fillId="0" borderId="20" xfId="0" applyNumberFormat="1" applyFont="1" applyBorder="1" applyAlignment="1" applyProtection="1">
      <alignment horizontal="center" vertical="center"/>
      <protection locked="0"/>
    </xf>
    <xf numFmtId="181" fontId="13" fillId="0" borderId="22" xfId="0" applyNumberFormat="1" applyFont="1" applyBorder="1" applyAlignment="1">
      <alignment horizontal="center" vertical="center"/>
    </xf>
    <xf numFmtId="181" fontId="13" fillId="0" borderId="20" xfId="0" applyNumberFormat="1" applyFont="1" applyBorder="1" applyAlignment="1">
      <alignment horizontal="center" vertical="center"/>
    </xf>
    <xf numFmtId="9" fontId="14" fillId="0" borderId="20" xfId="0" quotePrefix="1" applyNumberFormat="1" applyFont="1" applyBorder="1" applyAlignment="1">
      <alignment horizontal="center" vertical="center"/>
    </xf>
    <xf numFmtId="9" fontId="14" fillId="0" borderId="20" xfId="0" applyNumberFormat="1" applyFont="1" applyBorder="1" applyAlignment="1">
      <alignment horizontal="center" vertical="center"/>
    </xf>
    <xf numFmtId="49" fontId="13" fillId="0" borderId="20" xfId="0" applyNumberFormat="1" applyFont="1" applyBorder="1" applyAlignment="1" applyProtection="1">
      <alignment horizontal="center" vertical="center" wrapText="1"/>
      <protection locked="0"/>
    </xf>
    <xf numFmtId="49" fontId="13" fillId="0" borderId="1" xfId="0" applyNumberFormat="1" applyFont="1" applyBorder="1" applyAlignment="1" applyProtection="1">
      <alignment horizontal="center" vertical="center" wrapText="1"/>
      <protection locked="0"/>
    </xf>
    <xf numFmtId="181" fontId="44" fillId="0" borderId="1" xfId="0" applyNumberFormat="1" applyFont="1" applyBorder="1" applyAlignment="1">
      <alignment horizontal="center" vertical="center"/>
    </xf>
    <xf numFmtId="17" fontId="13" fillId="0" borderId="23" xfId="0" quotePrefix="1" applyNumberFormat="1" applyFont="1" applyBorder="1" applyAlignment="1" applyProtection="1">
      <alignment horizontal="center" vertical="center"/>
      <protection locked="0"/>
    </xf>
    <xf numFmtId="0" fontId="13" fillId="0" borderId="23" xfId="0" quotePrefix="1" applyFont="1" applyBorder="1" applyAlignment="1" applyProtection="1">
      <alignment horizontal="center" vertical="center"/>
      <protection locked="0"/>
    </xf>
    <xf numFmtId="49" fontId="13" fillId="0" borderId="24" xfId="0" applyNumberFormat="1" applyFont="1" applyBorder="1" applyAlignment="1" applyProtection="1">
      <alignment horizontal="center" vertical="center"/>
      <protection locked="0"/>
    </xf>
    <xf numFmtId="181" fontId="13" fillId="0" borderId="24" xfId="0" applyNumberFormat="1" applyFont="1" applyBorder="1" applyAlignment="1" applyProtection="1">
      <alignment horizontal="center" vertical="center"/>
      <protection locked="0"/>
    </xf>
    <xf numFmtId="49" fontId="13" fillId="0" borderId="22" xfId="0" applyNumberFormat="1" applyFont="1" applyBorder="1" applyAlignment="1" applyProtection="1">
      <alignment horizontal="center" vertical="center" wrapText="1"/>
      <protection locked="0"/>
    </xf>
    <xf numFmtId="49" fontId="13" fillId="0" borderId="22" xfId="0" applyNumberFormat="1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40" fillId="0" borderId="19" xfId="0" applyFont="1" applyBorder="1" applyAlignment="1">
      <alignment vertical="center"/>
    </xf>
    <xf numFmtId="0" fontId="13" fillId="0" borderId="21" xfId="0" applyFont="1" applyBorder="1" applyAlignment="1" applyProtection="1">
      <alignment horizontal="center" vertical="center"/>
      <protection locked="0"/>
    </xf>
    <xf numFmtId="58" fontId="41" fillId="0" borderId="18" xfId="48" applyNumberFormat="1" applyFont="1" applyBorder="1" applyAlignment="1" applyProtection="1">
      <alignment vertical="center" wrapText="1"/>
      <protection locked="0"/>
    </xf>
    <xf numFmtId="2" fontId="41" fillId="0" borderId="18" xfId="48" applyNumberFormat="1" applyFont="1" applyBorder="1" applyAlignment="1" applyProtection="1">
      <alignment vertical="center" wrapText="1"/>
      <protection locked="0"/>
    </xf>
    <xf numFmtId="0" fontId="41" fillId="0" borderId="18" xfId="0" applyFont="1" applyBorder="1" applyAlignment="1">
      <alignment vertical="center" wrapText="1"/>
    </xf>
    <xf numFmtId="0" fontId="41" fillId="0" borderId="18" xfId="48" applyFont="1" applyBorder="1" applyAlignment="1">
      <alignment vertical="center" wrapText="1"/>
    </xf>
    <xf numFmtId="0" fontId="41" fillId="0" borderId="18" xfId="48" applyFont="1" applyBorder="1" applyAlignment="1">
      <alignment vertical="center"/>
    </xf>
    <xf numFmtId="2" fontId="41" fillId="0" borderId="18" xfId="48" applyNumberFormat="1" applyFont="1" applyBorder="1" applyAlignment="1">
      <alignment vertical="center"/>
    </xf>
    <xf numFmtId="181" fontId="41" fillId="0" borderId="18" xfId="48" applyNumberFormat="1" applyFont="1" applyBorder="1" applyAlignment="1">
      <alignment vertical="center"/>
    </xf>
    <xf numFmtId="0" fontId="48" fillId="0" borderId="18" xfId="48" applyFont="1" applyBorder="1" applyAlignment="1" applyProtection="1">
      <alignment vertical="center" wrapText="1"/>
      <protection locked="0"/>
    </xf>
    <xf numFmtId="0" fontId="49" fillId="0" borderId="19" xfId="0" applyFont="1" applyBorder="1" applyAlignment="1">
      <alignment vertical="center"/>
    </xf>
    <xf numFmtId="0" fontId="41" fillId="0" borderId="20" xfId="48" applyFont="1" applyBorder="1" applyAlignment="1">
      <alignment horizontal="center" vertical="center" wrapText="1"/>
    </xf>
    <xf numFmtId="0" fontId="41" fillId="0" borderId="20" xfId="48" applyFont="1" applyBorder="1" applyAlignment="1" applyProtection="1">
      <alignment horizontal="center" vertical="center" wrapText="1"/>
      <protection locked="0"/>
    </xf>
    <xf numFmtId="0" fontId="49" fillId="0" borderId="4" xfId="0" applyFont="1" applyBorder="1" applyAlignment="1">
      <alignment vertical="center"/>
    </xf>
    <xf numFmtId="0" fontId="53" fillId="0" borderId="0" xfId="0" applyFont="1" applyAlignment="1">
      <alignment vertical="center"/>
    </xf>
    <xf numFmtId="181" fontId="13" fillId="0" borderId="23" xfId="364" applyNumberFormat="1" applyFont="1" applyBorder="1" applyAlignment="1" applyProtection="1">
      <alignment horizontal="center" vertical="center"/>
      <protection locked="0"/>
    </xf>
    <xf numFmtId="181" fontId="13" fillId="0" borderId="23" xfId="551" applyNumberFormat="1" applyFont="1" applyBorder="1" applyAlignment="1" applyProtection="1">
      <alignment horizontal="center" vertical="center" wrapText="1"/>
      <protection locked="0"/>
    </xf>
    <xf numFmtId="181" fontId="13" fillId="0" borderId="21" xfId="0" applyNumberFormat="1" applyFont="1" applyBorder="1" applyAlignment="1" applyProtection="1">
      <alignment horizontal="center" vertical="center"/>
      <protection locked="0"/>
    </xf>
    <xf numFmtId="182" fontId="13" fillId="0" borderId="21" xfId="0" applyNumberFormat="1" applyFont="1" applyBorder="1" applyAlignment="1" applyProtection="1">
      <alignment horizontal="center" vertical="center"/>
      <protection locked="0"/>
    </xf>
    <xf numFmtId="0" fontId="55" fillId="0" borderId="19" xfId="0" applyFont="1" applyBorder="1" applyAlignment="1">
      <alignment vertical="center"/>
    </xf>
    <xf numFmtId="182" fontId="13" fillId="0" borderId="1" xfId="551" applyNumberFormat="1" applyFont="1" applyBorder="1" applyAlignment="1">
      <alignment horizontal="center" vertical="center"/>
    </xf>
    <xf numFmtId="182" fontId="13" fillId="0" borderId="1" xfId="48" applyNumberFormat="1" applyFont="1" applyBorder="1" applyAlignment="1">
      <alignment horizontal="center" vertical="center"/>
    </xf>
    <xf numFmtId="181" fontId="13" fillId="0" borderId="1" xfId="48" applyNumberFormat="1" applyFont="1" applyBorder="1" applyAlignment="1">
      <alignment horizontal="center" vertical="center"/>
    </xf>
    <xf numFmtId="10" fontId="13" fillId="0" borderId="1" xfId="48" applyNumberFormat="1" applyFont="1" applyBorder="1" applyAlignment="1">
      <alignment horizontal="center" vertical="center"/>
    </xf>
    <xf numFmtId="9" fontId="13" fillId="0" borderId="2" xfId="49" applyFont="1" applyBorder="1" applyAlignment="1">
      <alignment horizontal="center" vertical="center"/>
    </xf>
    <xf numFmtId="181" fontId="13" fillId="0" borderId="2" xfId="49" applyNumberFormat="1" applyFont="1" applyBorder="1" applyAlignment="1">
      <alignment horizontal="center" vertical="center"/>
    </xf>
    <xf numFmtId="181" fontId="13" fillId="0" borderId="1" xfId="551" applyNumberFormat="1" applyFont="1" applyBorder="1" applyAlignment="1" applyProtection="1">
      <alignment horizontal="center" vertical="center"/>
      <protection locked="0"/>
    </xf>
    <xf numFmtId="0" fontId="41" fillId="0" borderId="1" xfId="551" applyFont="1" applyBorder="1" applyAlignment="1" applyProtection="1">
      <alignment horizontal="center" vertical="center"/>
      <protection locked="0"/>
    </xf>
    <xf numFmtId="0" fontId="41" fillId="0" borderId="1" xfId="551" applyFont="1" applyBorder="1" applyAlignment="1" applyProtection="1">
      <alignment horizontal="left" vertical="center"/>
      <protection locked="0"/>
    </xf>
    <xf numFmtId="0" fontId="41" fillId="0" borderId="0" xfId="551" applyFont="1" applyAlignment="1" applyProtection="1">
      <alignment horizontal="center" vertical="center"/>
      <protection locked="0"/>
    </xf>
    <xf numFmtId="0" fontId="41" fillId="0" borderId="3" xfId="551" applyFont="1" applyBorder="1" applyAlignment="1" applyProtection="1">
      <alignment horizontal="center" vertical="center"/>
      <protection locked="0"/>
    </xf>
    <xf numFmtId="0" fontId="56" fillId="0" borderId="0" xfId="0" applyFont="1" applyAlignment="1">
      <alignment vertical="center"/>
    </xf>
    <xf numFmtId="181" fontId="13" fillId="0" borderId="29" xfId="0" applyNumberFormat="1" applyFont="1" applyBorder="1" applyAlignment="1" applyProtection="1">
      <alignment horizontal="center" vertical="center"/>
      <protection locked="0"/>
    </xf>
    <xf numFmtId="49" fontId="13" fillId="0" borderId="23" xfId="0" applyNumberFormat="1" applyFont="1" applyBorder="1" applyAlignment="1" applyProtection="1">
      <alignment horizontal="center" vertical="center"/>
      <protection locked="0"/>
    </xf>
    <xf numFmtId="49" fontId="6" fillId="0" borderId="1" xfId="0" applyNumberFormat="1" applyFont="1" applyBorder="1" applyAlignment="1">
      <alignment horizontal="center" vertical="center"/>
    </xf>
    <xf numFmtId="0" fontId="13" fillId="0" borderId="29" xfId="550" applyNumberFormat="1" applyFont="1" applyBorder="1" applyAlignment="1" applyProtection="1">
      <alignment horizontal="center" vertical="center"/>
      <protection locked="0"/>
    </xf>
    <xf numFmtId="0" fontId="13" fillId="0" borderId="29" xfId="0" applyFont="1" applyBorder="1" applyAlignment="1" applyProtection="1">
      <alignment horizontal="center" vertical="center"/>
      <protection locked="0"/>
    </xf>
    <xf numFmtId="49" fontId="13" fillId="0" borderId="29" xfId="0" applyNumberFormat="1" applyFont="1" applyBorder="1" applyAlignment="1" applyProtection="1">
      <alignment horizontal="center" vertical="center"/>
      <protection locked="0"/>
    </xf>
    <xf numFmtId="49" fontId="13" fillId="0" borderId="29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6" fillId="0" borderId="30" xfId="62" applyFont="1" applyBorder="1" applyAlignment="1">
      <alignment horizontal="center" vertical="center"/>
    </xf>
    <xf numFmtId="49" fontId="66" fillId="4" borderId="30" xfId="62" applyNumberFormat="1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41" fillId="0" borderId="7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18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180" fontId="41" fillId="0" borderId="1" xfId="0" applyNumberFormat="1" applyFont="1" applyBorder="1" applyAlignment="1">
      <alignment horizontal="center" vertical="center"/>
    </xf>
    <xf numFmtId="0" fontId="41" fillId="0" borderId="1" xfId="0" quotePrefix="1" applyFont="1" applyBorder="1" applyAlignment="1">
      <alignment horizontal="center" vertical="center" wrapText="1"/>
    </xf>
    <xf numFmtId="0" fontId="40" fillId="0" borderId="26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 vertical="center"/>
    </xf>
    <xf numFmtId="0" fontId="40" fillId="0" borderId="28" xfId="0" applyFont="1" applyBorder="1" applyAlignment="1">
      <alignment horizontal="center" vertical="center"/>
    </xf>
    <xf numFmtId="0" fontId="40" fillId="0" borderId="21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40" fillId="0" borderId="2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0" borderId="2" xfId="0" applyFont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5" borderId="18" xfId="1" applyFont="1" applyFill="1" applyBorder="1" applyAlignment="1">
      <alignment horizontal="center" vertical="center"/>
    </xf>
    <xf numFmtId="0" fontId="7" fillId="5" borderId="20" xfId="1" applyFont="1" applyFill="1" applyBorder="1" applyAlignment="1">
      <alignment horizontal="center" vertical="center"/>
    </xf>
  </cellXfs>
  <cellStyles count="873">
    <cellStyle name="___CPK__" xfId="52" xr:uid="{66B5D527-70B2-400F-8B63-DFBD3372561C}"/>
    <cellStyle name="20% - 강조색1" xfId="25" builtinId="30" customBuiltin="1"/>
    <cellStyle name="20% - 강조색1 10" xfId="226" xr:uid="{144ACF6C-EC76-4508-8082-1FFC5044376A}"/>
    <cellStyle name="20% - 강조색1 10 2" xfId="735" xr:uid="{C4CBCF08-EA4E-4F17-95CD-2323AC057573}"/>
    <cellStyle name="20% - 강조색1 11" xfId="246" xr:uid="{A0133E03-4FF6-4773-83EB-E1C71755515E}"/>
    <cellStyle name="20% - 강조색1 11 2" xfId="755" xr:uid="{95905A60-EBA3-47F3-8B38-254BD121692B}"/>
    <cellStyle name="20% - 강조색1 12" xfId="266" xr:uid="{69765A4B-5601-441F-932C-239E408BA924}"/>
    <cellStyle name="20% - 강조색1 12 2" xfId="775" xr:uid="{3BF1BAAC-5806-43C1-BE7B-87D094DEA4D9}"/>
    <cellStyle name="20% - 강조색1 13" xfId="286" xr:uid="{2D93951E-88EE-4D56-A398-D06CE1F6EA5E}"/>
    <cellStyle name="20% - 강조색1 13 2" xfId="795" xr:uid="{E3106277-D940-49EB-A6E6-C9B0BCAB785C}"/>
    <cellStyle name="20% - 강조색1 14" xfId="306" xr:uid="{D2E72044-9889-43C0-AEC5-6EB1830CA591}"/>
    <cellStyle name="20% - 강조색1 14 2" xfId="815" xr:uid="{4B0A96C8-5E06-45A6-B87E-30E9C2B85380}"/>
    <cellStyle name="20% - 강조색1 15" xfId="326" xr:uid="{F699FD11-AFE7-4F15-B0D0-594A5B59A6DC}"/>
    <cellStyle name="20% - 강조색1 15 2" xfId="835" xr:uid="{7A60EBAF-B309-44C1-A1C1-3924D80E559D}"/>
    <cellStyle name="20% - 강조색1 16" xfId="346" xr:uid="{B2D40CCE-D2F7-47F4-A6D2-B2E79757B518}"/>
    <cellStyle name="20% - 강조색1 16 2" xfId="855" xr:uid="{2FA23D01-DD64-4B6A-BEB2-465B7E2249FB}"/>
    <cellStyle name="20% - 강조색1 17" xfId="372" xr:uid="{E2BBB8AA-6EE3-4EA8-954B-297B6FB59C5A}"/>
    <cellStyle name="20% - 강조색1 18" xfId="553" xr:uid="{D20A7BB0-9A35-4731-9055-F980EDA48344}"/>
    <cellStyle name="20% - 강조색1 2" xfId="66" xr:uid="{C000C105-B9B6-4FCD-955D-5C51AE01AD63}"/>
    <cellStyle name="20% - 강조색1 2 2" xfId="485" xr:uid="{793ACB8F-4CBF-4B58-ABFB-84C12E0079BA}"/>
    <cellStyle name="20% - 강조색1 2 3" xfId="396" xr:uid="{AF28FC29-779C-4F02-81B1-332049441A53}"/>
    <cellStyle name="20% - 강조색1 2 4" xfId="575" xr:uid="{0311E747-4B58-4007-80D0-3B4C9BCA754D}"/>
    <cellStyle name="20% - 강조색1 3" xfId="86" xr:uid="{F5A672B4-D06D-4DB2-937D-339516178143}"/>
    <cellStyle name="20% - 강조색1 3 2" xfId="507" xr:uid="{78653ABC-478E-4334-960D-F3D8FCD93735}"/>
    <cellStyle name="20% - 강조색1 3 3" xfId="418" xr:uid="{435D0B55-56C8-4391-8245-15B0660B28C6}"/>
    <cellStyle name="20% - 강조색1 3 4" xfId="595" xr:uid="{43D7490B-1C4B-47C7-8E53-9EB350B9E947}"/>
    <cellStyle name="20% - 강조색1 4" xfId="106" xr:uid="{3C64C37A-44A9-4367-B271-41D2A0E02959}"/>
    <cellStyle name="20% - 강조색1 4 2" xfId="527" xr:uid="{44CEC13A-CBC4-4A3E-A9F9-E84073B725CB}"/>
    <cellStyle name="20% - 강조색1 4 3" xfId="438" xr:uid="{E4E71E7E-183F-42E3-97B1-9658EB32DA3A}"/>
    <cellStyle name="20% - 강조색1 4 4" xfId="615" xr:uid="{805D3739-0B06-4D0B-A7C0-6641EEA2879F}"/>
    <cellStyle name="20% - 강조색1 5" xfId="126" xr:uid="{85AD6993-9104-4803-AB92-CF10796A4D3D}"/>
    <cellStyle name="20% - 강조색1 5 2" xfId="463" xr:uid="{90707C1C-0FC8-4147-8294-F99E3BAE6554}"/>
    <cellStyle name="20% - 강조색1 5 3" xfId="635" xr:uid="{A98A7275-8619-4CBF-8189-7CE7086FA264}"/>
    <cellStyle name="20% - 강조색1 6" xfId="146" xr:uid="{72C18894-A5F7-4A98-BC89-75E38C4C69E0}"/>
    <cellStyle name="20% - 강조색1 6 2" xfId="655" xr:uid="{43533850-2A02-47F0-BA91-41F0B6D73D6E}"/>
    <cellStyle name="20% - 강조색1 7" xfId="166" xr:uid="{3D432729-A8DE-423D-A1F2-8BB10728B8A7}"/>
    <cellStyle name="20% - 강조색1 7 2" xfId="675" xr:uid="{4C9DDCDC-A0EE-46CB-BAE1-DD29615DD98A}"/>
    <cellStyle name="20% - 강조색1 8" xfId="186" xr:uid="{EA8B51F4-DF1C-4AD3-B065-82345EB025A5}"/>
    <cellStyle name="20% - 강조색1 8 2" xfId="695" xr:uid="{7219F1AB-E260-4C01-BE77-ED375544AD2B}"/>
    <cellStyle name="20% - 강조색1 9" xfId="206" xr:uid="{3AF2B297-8D3F-4630-89A2-074B4220D709}"/>
    <cellStyle name="20% - 강조색1 9 2" xfId="715" xr:uid="{A957FBD8-53AA-4BD1-B67E-7FC2D5F5C047}"/>
    <cellStyle name="20% - 강조색2" xfId="29" builtinId="34" customBuiltin="1"/>
    <cellStyle name="20% - 강조색2 10" xfId="229" xr:uid="{626F9513-4C92-4F94-B200-104CF2CD402B}"/>
    <cellStyle name="20% - 강조색2 10 2" xfId="738" xr:uid="{94BCE95F-3B16-4994-BF48-2717B022D6E4}"/>
    <cellStyle name="20% - 강조색2 11" xfId="249" xr:uid="{26249CFF-D7A2-4344-AF21-7004B903DE59}"/>
    <cellStyle name="20% - 강조색2 11 2" xfId="758" xr:uid="{F9E679A2-D073-4883-BEAB-50BE9B3744BB}"/>
    <cellStyle name="20% - 강조색2 12" xfId="269" xr:uid="{4C7B131D-BF00-41A3-A47F-EF7251B28828}"/>
    <cellStyle name="20% - 강조색2 12 2" xfId="778" xr:uid="{1922CF07-54DD-4EA1-BCAF-4B534082EAE3}"/>
    <cellStyle name="20% - 강조색2 13" xfId="289" xr:uid="{DDA91409-2ECB-49B2-9139-3C4AB69E3086}"/>
    <cellStyle name="20% - 강조색2 13 2" xfId="798" xr:uid="{C9BA058C-F633-4A12-9DDB-61A1F05C1B42}"/>
    <cellStyle name="20% - 강조색2 14" xfId="309" xr:uid="{28A644DC-7FF4-4C83-BFE4-A6C26544894C}"/>
    <cellStyle name="20% - 강조색2 14 2" xfId="818" xr:uid="{318323E0-9E42-4AF0-B90B-A6ACA4F12913}"/>
    <cellStyle name="20% - 강조색2 15" xfId="329" xr:uid="{03343EA4-A181-4A6B-9013-D99EAEB9A7B5}"/>
    <cellStyle name="20% - 강조색2 15 2" xfId="838" xr:uid="{66F90E59-B538-4EFA-BED8-4DA04F02D9F2}"/>
    <cellStyle name="20% - 강조색2 16" xfId="349" xr:uid="{90DF914E-13D3-42B4-90E8-30C7D1A3016E}"/>
    <cellStyle name="20% - 강조색2 16 2" xfId="858" xr:uid="{E521CB71-758E-4ADE-B3E5-8461B2A81CBE}"/>
    <cellStyle name="20% - 강조색2 17" xfId="375" xr:uid="{732ACC5C-3887-4C8A-84E8-826605E96A26}"/>
    <cellStyle name="20% - 강조색2 18" xfId="556" xr:uid="{C6474B09-826F-44A7-8728-B7ECF1FDB00C}"/>
    <cellStyle name="20% - 강조색2 2" xfId="69" xr:uid="{D6F77B8E-DA75-4D1F-84E3-B26EE1B4E3DC}"/>
    <cellStyle name="20% - 강조색2 2 2" xfId="488" xr:uid="{24909E96-5C79-4C35-B6EB-7A72EDA1AB73}"/>
    <cellStyle name="20% - 강조색2 2 3" xfId="399" xr:uid="{D5733E65-4E2B-415D-B5B1-65852A364A07}"/>
    <cellStyle name="20% - 강조색2 2 4" xfId="578" xr:uid="{3E0E15C2-B12D-4BB6-A506-DF3A65F5E1B1}"/>
    <cellStyle name="20% - 강조색2 3" xfId="89" xr:uid="{E95C3191-E88A-42C1-9017-12532ABFFD51}"/>
    <cellStyle name="20% - 강조색2 3 2" xfId="510" xr:uid="{7DAEB954-003B-48DB-917B-E3CCA7026706}"/>
    <cellStyle name="20% - 강조색2 3 3" xfId="421" xr:uid="{160326A1-7C46-42BD-9E31-2EBA04668FAF}"/>
    <cellStyle name="20% - 강조색2 3 4" xfId="598" xr:uid="{B73E6CB8-4FA9-4878-B5AA-D1ABED60788D}"/>
    <cellStyle name="20% - 강조색2 4" xfId="109" xr:uid="{D686A997-3988-4BCE-82AC-AEACBF73748C}"/>
    <cellStyle name="20% - 강조색2 4 2" xfId="530" xr:uid="{90582A41-ABDD-47E8-AB75-AD9A6883EC24}"/>
    <cellStyle name="20% - 강조색2 4 3" xfId="441" xr:uid="{1B102014-FE66-438C-90C9-7FF3FD60351C}"/>
    <cellStyle name="20% - 강조색2 4 4" xfId="618" xr:uid="{054E82EA-F935-46D2-BB92-ADF18686A436}"/>
    <cellStyle name="20% - 강조색2 5" xfId="129" xr:uid="{0A64B3A1-8AA3-494D-9AD7-DACAB7C93F5B}"/>
    <cellStyle name="20% - 강조색2 5 2" xfId="466" xr:uid="{1E849D1D-7D69-4F59-8B1A-B97E18BE54B3}"/>
    <cellStyle name="20% - 강조색2 5 3" xfId="638" xr:uid="{87B07F7E-FD08-4412-8040-9A52E57A9B7B}"/>
    <cellStyle name="20% - 강조색2 6" xfId="149" xr:uid="{F82DB304-D754-4E19-ACEA-7104782A493D}"/>
    <cellStyle name="20% - 강조색2 6 2" xfId="658" xr:uid="{B8E9A47D-8E53-4C7F-855E-E5AB5DB17E8A}"/>
    <cellStyle name="20% - 강조색2 7" xfId="169" xr:uid="{3ACEDB0C-3AB5-42A9-8A54-0171BEA68931}"/>
    <cellStyle name="20% - 강조색2 7 2" xfId="678" xr:uid="{1F2F4F3F-664C-4F0B-A1B4-1B31C9E16915}"/>
    <cellStyle name="20% - 강조색2 8" xfId="189" xr:uid="{92D06AA7-BD79-4A08-A0AC-19FAAE141A9A}"/>
    <cellStyle name="20% - 강조색2 8 2" xfId="698" xr:uid="{86531E4C-5627-4CB4-9FD3-653904B7DC5C}"/>
    <cellStyle name="20% - 강조색2 9" xfId="209" xr:uid="{87FEFB61-F2A8-431E-926D-D0AA74DBDF54}"/>
    <cellStyle name="20% - 강조색2 9 2" xfId="718" xr:uid="{51D6E887-2AE7-41A1-9493-39108E5D00C8}"/>
    <cellStyle name="20% - 강조색3" xfId="33" builtinId="38" customBuiltin="1"/>
    <cellStyle name="20% - 강조색3 10" xfId="232" xr:uid="{61651A33-B832-41AE-9EBF-C4749E3E2278}"/>
    <cellStyle name="20% - 강조색3 10 2" xfId="741" xr:uid="{B2C31EE0-1C53-45FD-BCEF-C93FA8841563}"/>
    <cellStyle name="20% - 강조색3 11" xfId="252" xr:uid="{E949058E-E0C6-4200-8EC6-DBEF142DAD18}"/>
    <cellStyle name="20% - 강조색3 11 2" xfId="761" xr:uid="{DCEBFE80-FD81-42B3-A217-12B94AB303AC}"/>
    <cellStyle name="20% - 강조색3 12" xfId="272" xr:uid="{426D12DE-A4BE-4992-808E-7DC40B9718AD}"/>
    <cellStyle name="20% - 강조색3 12 2" xfId="781" xr:uid="{FFC97451-D4A3-4DE4-975C-961097B56E29}"/>
    <cellStyle name="20% - 강조색3 13" xfId="292" xr:uid="{0768D020-6E83-4F1E-AF32-AE5A782C18B5}"/>
    <cellStyle name="20% - 강조색3 13 2" xfId="801" xr:uid="{6035DC22-4C6D-40A0-BD59-3CC678B1EB9F}"/>
    <cellStyle name="20% - 강조색3 14" xfId="312" xr:uid="{1703ADAA-77C1-42AF-988A-62849F1C5366}"/>
    <cellStyle name="20% - 강조색3 14 2" xfId="821" xr:uid="{65005A99-D1B6-463D-AC0F-B3064F93BB48}"/>
    <cellStyle name="20% - 강조색3 15" xfId="332" xr:uid="{8893DAEB-8166-4103-ADD1-C300EA23E857}"/>
    <cellStyle name="20% - 강조색3 15 2" xfId="841" xr:uid="{49E2C1E2-4035-49FB-8630-C515D5A4A06A}"/>
    <cellStyle name="20% - 강조색3 16" xfId="352" xr:uid="{A4F2511B-64D6-493B-AC77-889421CE3F84}"/>
    <cellStyle name="20% - 강조색3 16 2" xfId="861" xr:uid="{FB40CC81-F571-45F6-91A0-00DBCAA884F2}"/>
    <cellStyle name="20% - 강조색3 17" xfId="378" xr:uid="{8F5648FA-0F0A-492F-A1C0-9C9480213B0E}"/>
    <cellStyle name="20% - 강조색3 18" xfId="559" xr:uid="{7F9C8AAF-E03F-4D12-88AC-5C03443FC028}"/>
    <cellStyle name="20% - 강조색3 2" xfId="72" xr:uid="{DADA5BBF-655E-4DF7-8AF7-F67FAB006F70}"/>
    <cellStyle name="20% - 강조색3 2 2" xfId="491" xr:uid="{A3EE68CE-B696-4536-B4E2-7562D969C568}"/>
    <cellStyle name="20% - 강조색3 2 3" xfId="402" xr:uid="{F2E19659-7770-44EA-95D7-00CBD67D5244}"/>
    <cellStyle name="20% - 강조색3 2 4" xfId="581" xr:uid="{AB6C9275-B644-455C-A9BD-B6B4079C956D}"/>
    <cellStyle name="20% - 강조색3 3" xfId="92" xr:uid="{8A2B4D20-D914-4DED-AD89-24BEA2F842A1}"/>
    <cellStyle name="20% - 강조색3 3 2" xfId="513" xr:uid="{BE12DDC7-7C0F-4D7F-ACCB-091DA7B1BBB9}"/>
    <cellStyle name="20% - 강조색3 3 3" xfId="424" xr:uid="{684977F5-BEE0-443D-8790-F3561BA0FCAF}"/>
    <cellStyle name="20% - 강조색3 3 4" xfId="601" xr:uid="{FCD8FEBC-B11F-460F-8748-22AD08B3AB0F}"/>
    <cellStyle name="20% - 강조색3 4" xfId="112" xr:uid="{D02C6126-C8BA-436E-A7C9-F01EB6D42534}"/>
    <cellStyle name="20% - 강조색3 4 2" xfId="533" xr:uid="{95614B02-881D-43EA-80D1-B3BF8FBD9F0C}"/>
    <cellStyle name="20% - 강조색3 4 3" xfId="444" xr:uid="{1A4DDDD3-7846-4DD7-AB5F-13B0DCC74060}"/>
    <cellStyle name="20% - 강조색3 4 4" xfId="621" xr:uid="{BD06DE5B-5D28-4FA7-9184-D03BEB44465A}"/>
    <cellStyle name="20% - 강조색3 5" xfId="132" xr:uid="{0B27F645-BFC1-4271-97C7-A69C5A0D1187}"/>
    <cellStyle name="20% - 강조색3 5 2" xfId="469" xr:uid="{26A0CB0B-4F06-46A4-A74B-B67187CB9447}"/>
    <cellStyle name="20% - 강조색3 5 3" xfId="641" xr:uid="{8EA80D89-D519-4873-9FC3-FDFD576CE599}"/>
    <cellStyle name="20% - 강조색3 6" xfId="152" xr:uid="{BC6E1FF5-9FA1-457C-807E-0DDB42F82165}"/>
    <cellStyle name="20% - 강조색3 6 2" xfId="661" xr:uid="{93C14A94-F5D9-45A8-B3B8-5E90ED207F40}"/>
    <cellStyle name="20% - 강조색3 7" xfId="172" xr:uid="{FBCAFDFA-76DB-42D8-9AFC-73132063C498}"/>
    <cellStyle name="20% - 강조색3 7 2" xfId="681" xr:uid="{ABAEA624-0CF4-42C7-8282-DDE49B178FFC}"/>
    <cellStyle name="20% - 강조색3 8" xfId="192" xr:uid="{7B7916C4-7649-4B69-BBA1-586F1F8236AC}"/>
    <cellStyle name="20% - 강조색3 8 2" xfId="701" xr:uid="{B011488D-26CA-4D7A-9408-AEB688CAA6A5}"/>
    <cellStyle name="20% - 강조색3 9" xfId="212" xr:uid="{B05A3FC1-2BD3-4D5D-BBD1-AF122FFA97D0}"/>
    <cellStyle name="20% - 강조색3 9 2" xfId="721" xr:uid="{B013FD28-E12D-4A28-BC77-945350253A64}"/>
    <cellStyle name="20% - 강조색4" xfId="37" builtinId="42" customBuiltin="1"/>
    <cellStyle name="20% - 강조색4 10" xfId="235" xr:uid="{D7777BE9-BACF-476F-AC89-842F95EB340A}"/>
    <cellStyle name="20% - 강조색4 10 2" xfId="744" xr:uid="{A42C2BBE-97A8-4CDC-A378-418E32935182}"/>
    <cellStyle name="20% - 강조색4 11" xfId="255" xr:uid="{8CECB8CF-16A3-4C86-9941-19EB25997AC4}"/>
    <cellStyle name="20% - 강조색4 11 2" xfId="764" xr:uid="{AE25F4A4-AD1C-4F69-BC63-8887EB670163}"/>
    <cellStyle name="20% - 강조색4 12" xfId="275" xr:uid="{11494E53-DE89-497B-B9CA-0A28AD5C723D}"/>
    <cellStyle name="20% - 강조색4 12 2" xfId="784" xr:uid="{D5E11A67-90EE-45AD-98F3-79A904B02966}"/>
    <cellStyle name="20% - 강조색4 13" xfId="295" xr:uid="{542C1C52-CA1D-4EBF-A46A-733955597A8B}"/>
    <cellStyle name="20% - 강조색4 13 2" xfId="804" xr:uid="{D4DC2109-E5AB-42B4-B836-91D8A0B99FC1}"/>
    <cellStyle name="20% - 강조색4 14" xfId="315" xr:uid="{9865A804-0170-4131-AACE-8F585E2184FD}"/>
    <cellStyle name="20% - 강조색4 14 2" xfId="824" xr:uid="{6FFB129F-2ECF-4F31-BE33-A876D7C3D5A1}"/>
    <cellStyle name="20% - 강조색4 15" xfId="335" xr:uid="{7574BF02-A4A9-44E1-BE7C-980F480A446B}"/>
    <cellStyle name="20% - 강조색4 15 2" xfId="844" xr:uid="{065E18E1-1BD6-45B9-8F12-DDB2B0E3D03E}"/>
    <cellStyle name="20% - 강조색4 16" xfId="355" xr:uid="{90B0289A-96D5-4BC4-A0B4-357B6F7EC418}"/>
    <cellStyle name="20% - 강조색4 16 2" xfId="864" xr:uid="{4ABA779C-91F1-4F0B-B613-89AB43F1AFEA}"/>
    <cellStyle name="20% - 강조색4 17" xfId="381" xr:uid="{D34042AD-3F67-4D1C-8680-09CE6FE617A0}"/>
    <cellStyle name="20% - 강조색4 18" xfId="562" xr:uid="{8AC11A1D-41FE-44DB-8A42-5EE208211919}"/>
    <cellStyle name="20% - 강조색4 2" xfId="75" xr:uid="{05A71B88-BCC1-42C7-A0B3-5CF2BDB8026A}"/>
    <cellStyle name="20% - 강조색4 2 2" xfId="494" xr:uid="{98BEC646-6EB4-4AE4-B9A8-202B6ACF5055}"/>
    <cellStyle name="20% - 강조색4 2 3" xfId="405" xr:uid="{7BEF6878-E5FE-405A-9A17-F9D5CB24A750}"/>
    <cellStyle name="20% - 강조색4 2 4" xfId="584" xr:uid="{A3241FCC-640E-4E1F-A59F-332A88635804}"/>
    <cellStyle name="20% - 강조색4 3" xfId="95" xr:uid="{CEEC9913-54C2-470C-AD1F-B0DEF55F5A3D}"/>
    <cellStyle name="20% - 강조색4 3 2" xfId="516" xr:uid="{335F3C90-00CC-46A2-AE61-D93A784B175A}"/>
    <cellStyle name="20% - 강조색4 3 3" xfId="427" xr:uid="{C7955030-263A-4CC6-B532-4190ADC35A68}"/>
    <cellStyle name="20% - 강조색4 3 4" xfId="604" xr:uid="{D39675E0-FD19-4305-A5C3-E69C88621ACB}"/>
    <cellStyle name="20% - 강조색4 4" xfId="115" xr:uid="{9D29B216-1327-471D-A20E-ACED39D6B564}"/>
    <cellStyle name="20% - 강조색4 4 2" xfId="536" xr:uid="{276B9E1B-DDAD-4E31-B991-E6CAA25BFA0D}"/>
    <cellStyle name="20% - 강조색4 4 3" xfId="447" xr:uid="{29F3E007-FF3C-4711-8F6C-31236C9ED4C2}"/>
    <cellStyle name="20% - 강조색4 4 4" xfId="624" xr:uid="{A25DE4B4-AC30-4F66-8ED9-233AF932C956}"/>
    <cellStyle name="20% - 강조색4 5" xfId="135" xr:uid="{1F96C247-4CD8-4046-9DC3-CA3F66EB2D71}"/>
    <cellStyle name="20% - 강조색4 5 2" xfId="472" xr:uid="{41758058-4EE0-408C-AE63-AB6701E5847E}"/>
    <cellStyle name="20% - 강조색4 5 3" xfId="644" xr:uid="{E4368919-DD4F-46BD-9D12-D5559A94E7D5}"/>
    <cellStyle name="20% - 강조색4 6" xfId="155" xr:uid="{45777F64-79FC-4C0E-B98D-EE32497B449E}"/>
    <cellStyle name="20% - 강조색4 6 2" xfId="664" xr:uid="{3AED12CD-1446-4683-92B7-2D07A00AC22A}"/>
    <cellStyle name="20% - 강조색4 7" xfId="175" xr:uid="{D8023C2B-337C-4793-B1D3-453BF274B485}"/>
    <cellStyle name="20% - 강조색4 7 2" xfId="684" xr:uid="{9F204EC9-FB0F-47A9-84E2-E9663F286422}"/>
    <cellStyle name="20% - 강조색4 8" xfId="195" xr:uid="{8113DDBD-D399-448B-B8ED-873D89E0096A}"/>
    <cellStyle name="20% - 강조색4 8 2" xfId="704" xr:uid="{EC94132D-FBBC-4E4B-A43C-DAEDCFB66434}"/>
    <cellStyle name="20% - 강조색4 9" xfId="215" xr:uid="{14FB7DB9-C519-47BE-8EC1-AA255607A88C}"/>
    <cellStyle name="20% - 강조색4 9 2" xfId="724" xr:uid="{1E8746D1-1A19-43FA-9CE8-7A6850212270}"/>
    <cellStyle name="20% - 강조색5" xfId="41" builtinId="46" customBuiltin="1"/>
    <cellStyle name="20% - 강조색5 10" xfId="238" xr:uid="{E411D9CE-490D-4DFD-94EE-328AACF8795E}"/>
    <cellStyle name="20% - 강조색5 10 2" xfId="747" xr:uid="{29A461AC-D7ED-44BD-B8EA-80B02375AE9A}"/>
    <cellStyle name="20% - 강조색5 11" xfId="258" xr:uid="{A182F85F-D434-4461-A92A-139E7B12C467}"/>
    <cellStyle name="20% - 강조색5 11 2" xfId="767" xr:uid="{46715404-361B-46E0-83D6-BDAAD5138244}"/>
    <cellStyle name="20% - 강조색5 12" xfId="278" xr:uid="{EB7F973A-7A61-4F6E-A5B0-410E883B7724}"/>
    <cellStyle name="20% - 강조색5 12 2" xfId="787" xr:uid="{E4921A27-F763-46BD-A18E-283B898845EA}"/>
    <cellStyle name="20% - 강조색5 13" xfId="298" xr:uid="{E467C45C-A85E-4CBD-8151-8F87AEF39C33}"/>
    <cellStyle name="20% - 강조색5 13 2" xfId="807" xr:uid="{DDB591AF-7FC0-40F1-921A-6DD04C4D9949}"/>
    <cellStyle name="20% - 강조색5 14" xfId="318" xr:uid="{BD4DAB35-D038-4546-91FD-449946C108CB}"/>
    <cellStyle name="20% - 강조색5 14 2" xfId="827" xr:uid="{5C66BF13-678F-43AB-BF66-42486E2835C4}"/>
    <cellStyle name="20% - 강조색5 15" xfId="338" xr:uid="{C5DB7B8A-2BB1-4DD5-AC2D-C79121582DE1}"/>
    <cellStyle name="20% - 강조색5 15 2" xfId="847" xr:uid="{1EB590C1-7743-450D-AE72-4CF195328F8E}"/>
    <cellStyle name="20% - 강조색5 16" xfId="358" xr:uid="{1937A4F5-0471-44D0-B2CD-DBF9CC2D59D1}"/>
    <cellStyle name="20% - 강조색5 16 2" xfId="867" xr:uid="{26EF2239-5894-41F6-BA98-EBE4791775C1}"/>
    <cellStyle name="20% - 강조색5 17" xfId="384" xr:uid="{94F32DF8-775A-4B54-85E9-95588DEF7E4D}"/>
    <cellStyle name="20% - 강조색5 18" xfId="565" xr:uid="{FBAD0B78-FBD6-4B4F-9734-FC4A97E914E4}"/>
    <cellStyle name="20% - 강조색5 2" xfId="78" xr:uid="{09E915A1-162C-49F6-8553-DBB874A046DF}"/>
    <cellStyle name="20% - 강조색5 2 2" xfId="497" xr:uid="{9A0170B4-1CA0-4E0E-998D-963386DC3F54}"/>
    <cellStyle name="20% - 강조색5 2 3" xfId="408" xr:uid="{65BF46FD-1122-4F53-91C7-5A49E0073F03}"/>
    <cellStyle name="20% - 강조색5 2 4" xfId="587" xr:uid="{17FA154C-46F0-46F6-8394-0D4094EE136C}"/>
    <cellStyle name="20% - 강조색5 3" xfId="98" xr:uid="{32594ED3-3038-4CDC-9C30-0B355FD9C119}"/>
    <cellStyle name="20% - 강조색5 3 2" xfId="519" xr:uid="{C97F34B2-0BC4-4DC4-B479-DBE9298DB529}"/>
    <cellStyle name="20% - 강조색5 3 3" xfId="430" xr:uid="{6272EF24-7B00-44A0-A20E-0E6884FF4D08}"/>
    <cellStyle name="20% - 강조색5 3 4" xfId="607" xr:uid="{0B22CAED-186D-4D17-91DC-9FA8E33EFF73}"/>
    <cellStyle name="20% - 강조색5 4" xfId="118" xr:uid="{7C16B7F5-F116-4837-AC93-56230614F5EB}"/>
    <cellStyle name="20% - 강조색5 4 2" xfId="539" xr:uid="{0C57E618-DE00-43E4-824B-F2C48E634427}"/>
    <cellStyle name="20% - 강조색5 4 3" xfId="450" xr:uid="{6C760B2F-714A-46C3-832D-24969B8A8666}"/>
    <cellStyle name="20% - 강조색5 4 4" xfId="627" xr:uid="{8DFD48D0-B9E1-4C9A-AEA5-B906EA870BF3}"/>
    <cellStyle name="20% - 강조색5 5" xfId="138" xr:uid="{AD61E653-6D02-4993-BE8B-BC8C624BE249}"/>
    <cellStyle name="20% - 강조색5 5 2" xfId="475" xr:uid="{5BC6F93C-D0B9-49FA-A433-A9C16BB26E35}"/>
    <cellStyle name="20% - 강조색5 5 3" xfId="647" xr:uid="{0D97D40D-5A57-41B9-9142-14EEB709A08A}"/>
    <cellStyle name="20% - 강조색5 6" xfId="158" xr:uid="{79AED299-6773-43D7-859D-1841B1C64F91}"/>
    <cellStyle name="20% - 강조색5 6 2" xfId="667" xr:uid="{8628A5F0-3A40-4703-ACA2-7FD4315F6BBE}"/>
    <cellStyle name="20% - 강조색5 7" xfId="178" xr:uid="{4E271861-0A9C-4BD9-AA4B-8EC2BC60B6CD}"/>
    <cellStyle name="20% - 강조색5 7 2" xfId="687" xr:uid="{BB259243-CF1C-4FFC-A812-EA53C3CAB234}"/>
    <cellStyle name="20% - 강조색5 8" xfId="198" xr:uid="{065D2FA9-1C3F-4C00-BAA7-41A137662E55}"/>
    <cellStyle name="20% - 강조색5 8 2" xfId="707" xr:uid="{8A628121-1A0E-4DBC-B26E-00BA2179B3EF}"/>
    <cellStyle name="20% - 강조색5 9" xfId="218" xr:uid="{772F6110-8CBC-401D-913D-DFF9BBD2E526}"/>
    <cellStyle name="20% - 강조색5 9 2" xfId="727" xr:uid="{49BEB600-6CE2-4B0B-ACA8-5D537F7AC5DE}"/>
    <cellStyle name="20% - 강조색6" xfId="45" builtinId="50" customBuiltin="1"/>
    <cellStyle name="20% - 강조색6 10" xfId="241" xr:uid="{A9D7E7EF-A19E-4C1A-AB1C-96A3CDA2DCD8}"/>
    <cellStyle name="20% - 강조색6 10 2" xfId="750" xr:uid="{75924B45-0CD6-443C-8059-A430B234DB80}"/>
    <cellStyle name="20% - 강조색6 11" xfId="261" xr:uid="{8D2F71CB-6051-471E-94A7-4CAE37718795}"/>
    <cellStyle name="20% - 강조색6 11 2" xfId="770" xr:uid="{CB6CBB4B-54C4-4FC2-9FB9-0ABEC26E5527}"/>
    <cellStyle name="20% - 강조색6 12" xfId="281" xr:uid="{2976DA9E-E40C-4CBB-B753-8F3838D90FF5}"/>
    <cellStyle name="20% - 강조색6 12 2" xfId="790" xr:uid="{F4EEA2E1-F3E3-482A-8B34-5F155BB7B313}"/>
    <cellStyle name="20% - 강조색6 13" xfId="301" xr:uid="{1CF5B089-D809-40CF-978F-C0726662BAD4}"/>
    <cellStyle name="20% - 강조색6 13 2" xfId="810" xr:uid="{1F67422F-8B4C-4E04-AEAA-08DDFCA8E9C4}"/>
    <cellStyle name="20% - 강조색6 14" xfId="321" xr:uid="{5C69464F-281D-4BAC-8941-618B90636E59}"/>
    <cellStyle name="20% - 강조색6 14 2" xfId="830" xr:uid="{75663E86-10B9-452A-B951-D9D07956B92D}"/>
    <cellStyle name="20% - 강조색6 15" xfId="341" xr:uid="{40F01361-CA31-4499-9DBE-6C6AB30963FF}"/>
    <cellStyle name="20% - 강조색6 15 2" xfId="850" xr:uid="{E0FA2B71-EAF0-44D9-B009-3485F4EBDD17}"/>
    <cellStyle name="20% - 강조색6 16" xfId="361" xr:uid="{F40D55B9-7FFD-4629-BBAC-33FEAF6B353F}"/>
    <cellStyle name="20% - 강조색6 16 2" xfId="870" xr:uid="{F0C86A1E-9DDD-411D-978B-4AFAAC2AE642}"/>
    <cellStyle name="20% - 강조색6 17" xfId="387" xr:uid="{C9C25366-641F-43F9-A7E7-F2EF9F304EDD}"/>
    <cellStyle name="20% - 강조색6 18" xfId="568" xr:uid="{9172A8F1-B9C8-4BA0-8944-F6141D76F38C}"/>
    <cellStyle name="20% - 강조색6 2" xfId="81" xr:uid="{E94A4951-3DCE-4107-A172-07961584A1EC}"/>
    <cellStyle name="20% - 강조색6 2 2" xfId="500" xr:uid="{B613BE8D-0EBF-4910-94F5-5D3EA0128C3F}"/>
    <cellStyle name="20% - 강조색6 2 3" xfId="411" xr:uid="{D45923FE-0E63-4912-98C4-71625F7DE016}"/>
    <cellStyle name="20% - 강조색6 2 4" xfId="590" xr:uid="{98C87438-B27E-4093-8CB1-DAC0A3BEFB33}"/>
    <cellStyle name="20% - 강조색6 3" xfId="101" xr:uid="{F0F6CE67-9038-4292-8AD0-D6B8B02E23D6}"/>
    <cellStyle name="20% - 강조색6 3 2" xfId="522" xr:uid="{3603348D-053F-47BE-BD89-9633EE8EC8F0}"/>
    <cellStyle name="20% - 강조색6 3 3" xfId="433" xr:uid="{8FE1233C-CF64-4495-AF2B-7AEE29472840}"/>
    <cellStyle name="20% - 강조색6 3 4" xfId="610" xr:uid="{69D2DA84-5C50-4001-A19C-4FA550F7624A}"/>
    <cellStyle name="20% - 강조색6 4" xfId="121" xr:uid="{CFE1F780-5DD4-4234-A16D-F6D66B1D0248}"/>
    <cellStyle name="20% - 강조색6 4 2" xfId="542" xr:uid="{ECD8E43B-52E7-454F-AC46-1DC94EE3E1F2}"/>
    <cellStyle name="20% - 강조색6 4 3" xfId="453" xr:uid="{F64CBA12-610E-4F5C-B23C-E5CDC3165C05}"/>
    <cellStyle name="20% - 강조색6 4 4" xfId="630" xr:uid="{46B7F33A-CAD6-4E6B-ACE8-91F1FD7832EA}"/>
    <cellStyle name="20% - 강조색6 5" xfId="141" xr:uid="{5190C24C-3DB1-4404-98F9-AAA2ABDACE24}"/>
    <cellStyle name="20% - 강조색6 5 2" xfId="478" xr:uid="{F585A2F2-9F22-4125-A6F3-D75C3F5BC124}"/>
    <cellStyle name="20% - 강조색6 5 3" xfId="650" xr:uid="{6ADAA3A9-3F38-490F-99AE-79FF4B3B05E3}"/>
    <cellStyle name="20% - 강조색6 6" xfId="161" xr:uid="{068ACF7A-B94A-4263-9EA3-BAD4356213EE}"/>
    <cellStyle name="20% - 강조색6 6 2" xfId="670" xr:uid="{12D8DB43-7EC0-4BFC-BA0D-4C2EE321CE3E}"/>
    <cellStyle name="20% - 강조색6 7" xfId="181" xr:uid="{7F0E0991-186C-46D1-849C-F961850DAF91}"/>
    <cellStyle name="20% - 강조색6 7 2" xfId="690" xr:uid="{808E76B8-B43A-41A8-8949-BE7ADEE73CFE}"/>
    <cellStyle name="20% - 강조색6 8" xfId="201" xr:uid="{25052CED-D218-4512-8F9B-138DD7092BA0}"/>
    <cellStyle name="20% - 강조색6 8 2" xfId="710" xr:uid="{E7AC5693-A907-49D0-A90E-F7B8072B698A}"/>
    <cellStyle name="20% - 강조색6 9" xfId="221" xr:uid="{CE3D1595-0958-48A2-B9EE-416DA293B80D}"/>
    <cellStyle name="20% - 강조색6 9 2" xfId="730" xr:uid="{330A0A0F-A504-4CC1-B28F-2A02A2E48DE6}"/>
    <cellStyle name="40% - 강조색1" xfId="26" builtinId="31" customBuiltin="1"/>
    <cellStyle name="40% - 강조색1 10" xfId="227" xr:uid="{E08ED7FC-FA6B-4FD9-A116-0BE127A8255A}"/>
    <cellStyle name="40% - 강조색1 10 2" xfId="736" xr:uid="{AFBEDC8D-FF3A-454F-B44A-CEA5C2BAFB59}"/>
    <cellStyle name="40% - 강조색1 11" xfId="247" xr:uid="{1995D369-4950-4911-8B5B-D6D1B63DABEC}"/>
    <cellStyle name="40% - 강조색1 11 2" xfId="756" xr:uid="{1543E360-1857-44CC-8554-A26306DA3765}"/>
    <cellStyle name="40% - 강조색1 12" xfId="267" xr:uid="{28FA5F6C-C506-48F5-972A-4BD8254ECA20}"/>
    <cellStyle name="40% - 강조색1 12 2" xfId="776" xr:uid="{AD0DE79F-592D-4C3C-994F-BB97FE3A650F}"/>
    <cellStyle name="40% - 강조색1 13" xfId="287" xr:uid="{DC801FBA-B5DC-4833-A0E5-0880E2C9FA75}"/>
    <cellStyle name="40% - 강조색1 13 2" xfId="796" xr:uid="{129A8ECC-84E7-4E6E-BBF0-63AF7871B8D9}"/>
    <cellStyle name="40% - 강조색1 14" xfId="307" xr:uid="{D86DB530-F8E8-4256-A055-C4DCF24DF42B}"/>
    <cellStyle name="40% - 강조색1 14 2" xfId="816" xr:uid="{4383884E-30EB-415B-9F93-E5B5DAF75F34}"/>
    <cellStyle name="40% - 강조색1 15" xfId="327" xr:uid="{C6DEF322-810C-450F-8439-21E9E59A2120}"/>
    <cellStyle name="40% - 강조색1 15 2" xfId="836" xr:uid="{09FA4A8B-4C3A-4A81-8491-17E0BC8727B3}"/>
    <cellStyle name="40% - 강조색1 16" xfId="347" xr:uid="{7A654AAF-A51C-4D06-AD76-DDD5C11DEE5E}"/>
    <cellStyle name="40% - 강조색1 16 2" xfId="856" xr:uid="{8B2B90B0-DA3F-48EF-8125-A8CE8F556DDF}"/>
    <cellStyle name="40% - 강조색1 17" xfId="373" xr:uid="{87DB344B-FF81-42B3-872A-0128FDD2B48F}"/>
    <cellStyle name="40% - 강조색1 18" xfId="554" xr:uid="{BDA6387A-7312-4B1B-95B2-BFC537BC7DBB}"/>
    <cellStyle name="40% - 강조색1 2" xfId="67" xr:uid="{B3DEA3BC-2994-4847-AB57-CDE22DE2526D}"/>
    <cellStyle name="40% - 강조색1 2 2" xfId="486" xr:uid="{6EA22EC6-9F3D-4F83-BFD5-16048C002FC7}"/>
    <cellStyle name="40% - 강조색1 2 3" xfId="397" xr:uid="{907AA6AC-AF2B-4DAD-93DA-7A5B4CAAC4D7}"/>
    <cellStyle name="40% - 강조색1 2 4" xfId="576" xr:uid="{B55754CF-5AEE-40AB-BF03-62ED166E9567}"/>
    <cellStyle name="40% - 강조색1 3" xfId="87" xr:uid="{BC042DC4-BE1F-4C1C-B3E7-DAD07FE4A460}"/>
    <cellStyle name="40% - 강조색1 3 2" xfId="508" xr:uid="{773D6FAD-DD9C-4BF0-B86B-1A2A706D4598}"/>
    <cellStyle name="40% - 강조색1 3 3" xfId="419" xr:uid="{F81B8949-8C69-40BF-A8F4-1357B4746B9E}"/>
    <cellStyle name="40% - 강조색1 3 4" xfId="596" xr:uid="{EF4593C8-07C3-4260-9CCE-50DB5883D3CC}"/>
    <cellStyle name="40% - 강조색1 4" xfId="107" xr:uid="{0657A2DC-39FC-4EAF-86E3-357E212E02A7}"/>
    <cellStyle name="40% - 강조색1 4 2" xfId="528" xr:uid="{29812053-CFD2-4310-8C65-54E7D5477420}"/>
    <cellStyle name="40% - 강조색1 4 3" xfId="439" xr:uid="{6DDF9DAB-8176-4E37-8316-88757A62569A}"/>
    <cellStyle name="40% - 강조색1 4 4" xfId="616" xr:uid="{CAFF13BA-A6FC-40CA-B06F-EF5E3A047DA8}"/>
    <cellStyle name="40% - 강조색1 5" xfId="127" xr:uid="{578BAB59-F1C4-40D9-A0B9-4F984791752D}"/>
    <cellStyle name="40% - 강조색1 5 2" xfId="464" xr:uid="{E397314B-DA67-4630-AF55-EA9ADA612866}"/>
    <cellStyle name="40% - 강조색1 5 3" xfId="636" xr:uid="{15C8DAA5-9740-4352-9783-AA721E1B75BD}"/>
    <cellStyle name="40% - 강조색1 6" xfId="147" xr:uid="{8FFBF4F8-FB29-4DA6-9794-9A1398CED210}"/>
    <cellStyle name="40% - 강조색1 6 2" xfId="656" xr:uid="{330EA27C-ACF5-4AFD-921D-2583B7CCE209}"/>
    <cellStyle name="40% - 강조색1 7" xfId="167" xr:uid="{1927FD0E-4BE2-4492-BB2E-1966527C7123}"/>
    <cellStyle name="40% - 강조색1 7 2" xfId="676" xr:uid="{6B635634-5593-45A4-9035-EB76BD9FCD48}"/>
    <cellStyle name="40% - 강조색1 8" xfId="187" xr:uid="{534FA0DC-8F7C-49E0-9E23-7705211A8717}"/>
    <cellStyle name="40% - 강조색1 8 2" xfId="696" xr:uid="{2C847B27-5907-4576-BA3C-0BA91666B415}"/>
    <cellStyle name="40% - 강조색1 9" xfId="207" xr:uid="{3AE69E2A-7B92-4C93-BFD7-548085599299}"/>
    <cellStyle name="40% - 강조색1 9 2" xfId="716" xr:uid="{74500911-435E-456A-B1B9-84DE9618DA9D}"/>
    <cellStyle name="40% - 강조색2" xfId="30" builtinId="35" customBuiltin="1"/>
    <cellStyle name="40% - 강조색2 10" xfId="230" xr:uid="{382D258B-D946-495B-BB96-23BC5A2A4906}"/>
    <cellStyle name="40% - 강조색2 10 2" xfId="739" xr:uid="{E2C43C49-0C02-4B5E-BDD6-338676D9AC8D}"/>
    <cellStyle name="40% - 강조색2 11" xfId="250" xr:uid="{BCC6833B-7F37-4366-AB03-A4189D5D1A5C}"/>
    <cellStyle name="40% - 강조색2 11 2" xfId="759" xr:uid="{AB483914-9077-4E61-9D37-EF6550107331}"/>
    <cellStyle name="40% - 강조색2 12" xfId="270" xr:uid="{403E36EF-A38B-4C19-8BA7-DB8475CFAFF4}"/>
    <cellStyle name="40% - 강조색2 12 2" xfId="779" xr:uid="{3246BD54-CC65-4840-97A5-1C6E5B22C6B9}"/>
    <cellStyle name="40% - 강조색2 13" xfId="290" xr:uid="{A2F10307-2B51-454B-A85E-4616A0F5935B}"/>
    <cellStyle name="40% - 강조색2 13 2" xfId="799" xr:uid="{8183E3AB-558D-46B0-9025-161955850034}"/>
    <cellStyle name="40% - 강조색2 14" xfId="310" xr:uid="{B4141A08-22E1-4CDC-BA81-C732B403F5E0}"/>
    <cellStyle name="40% - 강조색2 14 2" xfId="819" xr:uid="{88EBAC79-81F6-4E80-B1E4-01CFA2B09BE6}"/>
    <cellStyle name="40% - 강조색2 15" xfId="330" xr:uid="{33712066-8439-4FAC-8F5C-5F034E7A6D27}"/>
    <cellStyle name="40% - 강조색2 15 2" xfId="839" xr:uid="{407E130D-2B48-4CCC-984B-243C3B36CB22}"/>
    <cellStyle name="40% - 강조색2 16" xfId="350" xr:uid="{AFC6F076-90EA-4581-8BDE-36F03B53E5FA}"/>
    <cellStyle name="40% - 강조색2 16 2" xfId="859" xr:uid="{6ECF2142-13D6-46E0-9A59-3C7CB845400A}"/>
    <cellStyle name="40% - 강조색2 17" xfId="376" xr:uid="{58FC7ADB-9131-420C-AF03-B3B2634A3ABC}"/>
    <cellStyle name="40% - 강조색2 18" xfId="557" xr:uid="{BE6D1E60-4A2E-4BBA-9B6F-729D9CD92A2B}"/>
    <cellStyle name="40% - 강조색2 2" xfId="70" xr:uid="{146568DE-76ED-412C-8120-A894E6D0A4B0}"/>
    <cellStyle name="40% - 강조색2 2 2" xfId="489" xr:uid="{3D93FDC8-E55C-4B48-8CEE-E22C1F73E651}"/>
    <cellStyle name="40% - 강조색2 2 3" xfId="400" xr:uid="{8F840451-0B39-40AA-85A8-1EAF07B8AD5B}"/>
    <cellStyle name="40% - 강조색2 2 4" xfId="579" xr:uid="{AFFA0100-3A71-4549-9199-B8780D8D5236}"/>
    <cellStyle name="40% - 강조색2 3" xfId="90" xr:uid="{6937B661-ED94-4445-9C14-01D5D09A333C}"/>
    <cellStyle name="40% - 강조색2 3 2" xfId="511" xr:uid="{9F42EE4E-7FD0-4D95-B0DC-B897795FCF35}"/>
    <cellStyle name="40% - 강조색2 3 3" xfId="422" xr:uid="{56E75796-561C-492D-A79B-1B82369B30E4}"/>
    <cellStyle name="40% - 강조색2 3 4" xfId="599" xr:uid="{0A530453-9C4C-49D2-990C-F96B5BCE1826}"/>
    <cellStyle name="40% - 강조색2 4" xfId="110" xr:uid="{EF3AB1E6-F129-4803-A904-8F5D2B56F839}"/>
    <cellStyle name="40% - 강조색2 4 2" xfId="531" xr:uid="{5890AA4F-B87B-4F2D-BEF1-F08EF345D7C1}"/>
    <cellStyle name="40% - 강조색2 4 3" xfId="442" xr:uid="{00E060DB-A312-405C-9642-709BAF2C28FD}"/>
    <cellStyle name="40% - 강조색2 4 4" xfId="619" xr:uid="{A9E1BB51-A103-408F-9B3B-F8539A44D66D}"/>
    <cellStyle name="40% - 강조색2 5" xfId="130" xr:uid="{3B2608EE-CC80-4ED2-A47A-206D0C8833A2}"/>
    <cellStyle name="40% - 강조색2 5 2" xfId="467" xr:uid="{DA22B0F1-7E15-4E84-933C-C74064027907}"/>
    <cellStyle name="40% - 강조색2 5 3" xfId="639" xr:uid="{36F87994-E3CF-49E3-8723-9D856C628B14}"/>
    <cellStyle name="40% - 강조색2 6" xfId="150" xr:uid="{3036EC20-0BD7-4FB0-9452-B74E026CC1F0}"/>
    <cellStyle name="40% - 강조색2 6 2" xfId="659" xr:uid="{B6D2F1DE-DE86-4476-ADC8-C9220EA2284D}"/>
    <cellStyle name="40% - 강조색2 7" xfId="170" xr:uid="{06D71241-9842-4FB1-92CC-B4734351DE63}"/>
    <cellStyle name="40% - 강조색2 7 2" xfId="679" xr:uid="{A6DF1CD5-2218-481A-9B04-520A7B68E9A8}"/>
    <cellStyle name="40% - 강조색2 8" xfId="190" xr:uid="{E4CD3BF1-0702-4D79-8779-88F0FB3618AE}"/>
    <cellStyle name="40% - 강조색2 8 2" xfId="699" xr:uid="{19A6B7AD-F801-447B-984A-C121AEEFF07E}"/>
    <cellStyle name="40% - 강조색2 9" xfId="210" xr:uid="{132DE09A-2130-4280-B94F-352BF1679BB9}"/>
    <cellStyle name="40% - 강조색2 9 2" xfId="719" xr:uid="{51672878-587F-4B41-9933-96095F02DF18}"/>
    <cellStyle name="40% - 강조색3" xfId="34" builtinId="39" customBuiltin="1"/>
    <cellStyle name="40% - 강조색3 10" xfId="233" xr:uid="{5DCA0145-145D-477F-9C69-0E7D0BDAA8CE}"/>
    <cellStyle name="40% - 강조색3 10 2" xfId="742" xr:uid="{C5868F6B-ED83-4C53-B856-564C17D0881C}"/>
    <cellStyle name="40% - 강조색3 11" xfId="253" xr:uid="{12DE31AC-58EA-478B-B2F8-EC3A4EF8B964}"/>
    <cellStyle name="40% - 강조색3 11 2" xfId="762" xr:uid="{495D6BC2-F487-44D1-A987-3DD5258FF6C5}"/>
    <cellStyle name="40% - 강조색3 12" xfId="273" xr:uid="{4D7B6B2B-88B6-4009-9330-B8230883E09C}"/>
    <cellStyle name="40% - 강조색3 12 2" xfId="782" xr:uid="{CC7B8833-0395-4832-AC8A-497E665D5916}"/>
    <cellStyle name="40% - 강조색3 13" xfId="293" xr:uid="{9D4232AF-38AE-4270-A53D-2285EF09B933}"/>
    <cellStyle name="40% - 강조색3 13 2" xfId="802" xr:uid="{52489AF6-550A-4247-8EC7-FDF6B7D2C459}"/>
    <cellStyle name="40% - 강조색3 14" xfId="313" xr:uid="{4DD5EB19-A054-4F9C-BA8A-F25A1F5CA218}"/>
    <cellStyle name="40% - 강조색3 14 2" xfId="822" xr:uid="{A73041E3-297A-498A-8009-EA1744772282}"/>
    <cellStyle name="40% - 강조색3 15" xfId="333" xr:uid="{B100FFB5-33E8-41BF-8CBF-C81607218082}"/>
    <cellStyle name="40% - 강조색3 15 2" xfId="842" xr:uid="{CB364DB5-B1F2-4FF4-91CA-CFDA14B37088}"/>
    <cellStyle name="40% - 강조색3 16" xfId="353" xr:uid="{3A0E85DF-FC63-43E3-BC34-1401B1198215}"/>
    <cellStyle name="40% - 강조색3 16 2" xfId="862" xr:uid="{D990ACC2-756D-45AD-90A3-7DB5A74DE403}"/>
    <cellStyle name="40% - 강조색3 17" xfId="379" xr:uid="{FB444DF5-C0BD-4A5B-B381-3EB0D8A3760A}"/>
    <cellStyle name="40% - 강조색3 18" xfId="560" xr:uid="{A2B0C7C8-006B-4144-ABE5-E5EE6D50A150}"/>
    <cellStyle name="40% - 강조색3 2" xfId="73" xr:uid="{C705B1AE-544A-4371-ADBE-70B9BA64B990}"/>
    <cellStyle name="40% - 강조색3 2 2" xfId="492" xr:uid="{B700F72B-BEE6-40FF-B93D-C212B4112075}"/>
    <cellStyle name="40% - 강조색3 2 3" xfId="403" xr:uid="{C913E331-ECC6-41FC-B869-56048F78EF6D}"/>
    <cellStyle name="40% - 강조색3 2 4" xfId="582" xr:uid="{60A2DA0C-6B77-418F-B60D-AD4D5539D89A}"/>
    <cellStyle name="40% - 강조색3 3" xfId="93" xr:uid="{75AFCD94-0305-4697-A3EE-8E26414271F6}"/>
    <cellStyle name="40% - 강조색3 3 2" xfId="514" xr:uid="{17E867BD-6F34-406C-99D4-5FE07EB01A75}"/>
    <cellStyle name="40% - 강조색3 3 3" xfId="425" xr:uid="{7D6D02DF-CF9C-485C-88A8-8DB6BDD6B706}"/>
    <cellStyle name="40% - 강조색3 3 4" xfId="602" xr:uid="{DB13F5E5-0B15-43F9-84DE-87B33C9A4D01}"/>
    <cellStyle name="40% - 강조색3 4" xfId="113" xr:uid="{A46A58AF-ADF1-4CD5-8249-50FFE2BB1134}"/>
    <cellStyle name="40% - 강조색3 4 2" xfId="534" xr:uid="{B568BB47-4776-486F-851D-FD8536E3260C}"/>
    <cellStyle name="40% - 강조색3 4 3" xfId="445" xr:uid="{8C6A7BAA-0D1C-4812-AED9-ABD0F19F75E7}"/>
    <cellStyle name="40% - 강조색3 4 4" xfId="622" xr:uid="{A9A664D9-EDC2-4837-A7F1-9044397F8906}"/>
    <cellStyle name="40% - 강조색3 5" xfId="133" xr:uid="{0800A894-E1D7-40D2-8B77-A8F344BA31E2}"/>
    <cellStyle name="40% - 강조색3 5 2" xfId="470" xr:uid="{DB8168D3-B03B-4C80-9CA9-C99C0DD129FB}"/>
    <cellStyle name="40% - 강조색3 5 3" xfId="642" xr:uid="{175A1056-8141-4A8C-8CED-FBFAAB6893CE}"/>
    <cellStyle name="40% - 강조색3 6" xfId="153" xr:uid="{54F5813A-1F40-4B47-825B-478DA88788F1}"/>
    <cellStyle name="40% - 강조색3 6 2" xfId="662" xr:uid="{AF54C329-7E8F-4A3D-943C-926C696EE125}"/>
    <cellStyle name="40% - 강조색3 7" xfId="173" xr:uid="{31D59DE3-E49F-462A-9662-80189E92696D}"/>
    <cellStyle name="40% - 강조색3 7 2" xfId="682" xr:uid="{C5681E57-2F15-481E-A834-A939B322ADE7}"/>
    <cellStyle name="40% - 강조색3 8" xfId="193" xr:uid="{B9B7443B-9F0E-4C88-B960-D2AFA151E97E}"/>
    <cellStyle name="40% - 강조색3 8 2" xfId="702" xr:uid="{F37160B9-F7F2-42B4-B629-40E37D99B7B0}"/>
    <cellStyle name="40% - 강조색3 9" xfId="213" xr:uid="{4A23610B-77CE-47A2-B2FB-E8C44A920724}"/>
    <cellStyle name="40% - 강조색3 9 2" xfId="722" xr:uid="{7CF674AB-E217-4C2B-A944-066474B06B7C}"/>
    <cellStyle name="40% - 강조색4" xfId="38" builtinId="43" customBuiltin="1"/>
    <cellStyle name="40% - 강조색4 10" xfId="236" xr:uid="{279AACC2-5F8A-4635-BD30-C38CC99F5BBF}"/>
    <cellStyle name="40% - 강조색4 10 2" xfId="745" xr:uid="{5449AC33-AF5E-4711-84D7-CF78C0339041}"/>
    <cellStyle name="40% - 강조색4 11" xfId="256" xr:uid="{9192174F-5DD8-40D2-8FBE-748F54596A66}"/>
    <cellStyle name="40% - 강조색4 11 2" xfId="765" xr:uid="{D5DC13A0-EDC7-4A20-B06A-331042E439BF}"/>
    <cellStyle name="40% - 강조색4 12" xfId="276" xr:uid="{E7D5EA16-D63E-4C1A-AF42-E59203C3D5BE}"/>
    <cellStyle name="40% - 강조색4 12 2" xfId="785" xr:uid="{EDD3EC68-2A67-4918-8A7F-C9FDBC11154E}"/>
    <cellStyle name="40% - 강조색4 13" xfId="296" xr:uid="{CD315F74-634E-45B3-B400-D1F3A704B954}"/>
    <cellStyle name="40% - 강조색4 13 2" xfId="805" xr:uid="{385AFFF3-4E34-47B2-9943-F2AC83DAB35D}"/>
    <cellStyle name="40% - 강조색4 14" xfId="316" xr:uid="{AEE24686-1DFF-44DB-AACB-CB3518FE212E}"/>
    <cellStyle name="40% - 강조색4 14 2" xfId="825" xr:uid="{6F1F8406-988F-43E6-A8EE-3C45579C7B09}"/>
    <cellStyle name="40% - 강조색4 15" xfId="336" xr:uid="{8AB618DB-58B6-4512-9B5B-DEFD00DF04CB}"/>
    <cellStyle name="40% - 강조색4 15 2" xfId="845" xr:uid="{327B9220-E0C3-49CF-899E-552C5046A205}"/>
    <cellStyle name="40% - 강조색4 16" xfId="356" xr:uid="{E771F947-75DA-4814-9184-2E49D604F767}"/>
    <cellStyle name="40% - 강조색4 16 2" xfId="865" xr:uid="{8CA14495-4CD8-42FE-9100-A3F1C84D11C1}"/>
    <cellStyle name="40% - 강조색4 17" xfId="382" xr:uid="{CE472690-EF7D-4CD7-94EB-1730D0197DA6}"/>
    <cellStyle name="40% - 강조색4 18" xfId="563" xr:uid="{686FBB4A-5903-454B-B37D-B819DE86C6A4}"/>
    <cellStyle name="40% - 강조색4 2" xfId="76" xr:uid="{EB5178A4-8D44-4DCF-8595-8E58742034D4}"/>
    <cellStyle name="40% - 강조색4 2 2" xfId="495" xr:uid="{E9FE9BF4-EC32-4537-BE05-4498170FF57B}"/>
    <cellStyle name="40% - 강조색4 2 3" xfId="406" xr:uid="{A116E7CB-56AB-481B-953D-0C63D0A9F56E}"/>
    <cellStyle name="40% - 강조색4 2 4" xfId="585" xr:uid="{455C69CF-6E1B-40DF-B56F-B0B7CA0B08E4}"/>
    <cellStyle name="40% - 강조색4 3" xfId="96" xr:uid="{7DDF99F7-62C4-4110-8149-7035429412C4}"/>
    <cellStyle name="40% - 강조색4 3 2" xfId="517" xr:uid="{598FA13F-D4E6-4CEC-9882-B387590D30BE}"/>
    <cellStyle name="40% - 강조색4 3 3" xfId="428" xr:uid="{0C91484A-453D-4BE0-BF67-D6134AE1B43D}"/>
    <cellStyle name="40% - 강조색4 3 4" xfId="605" xr:uid="{1151C9B8-AD3E-49DF-90A9-332F16D46E4F}"/>
    <cellStyle name="40% - 강조색4 4" xfId="116" xr:uid="{1E9F2364-AB0C-4410-BDC1-1AE32AB9EBB0}"/>
    <cellStyle name="40% - 강조색4 4 2" xfId="537" xr:uid="{F14C7CB0-EE71-4E94-A38C-9D6DA8E71E81}"/>
    <cellStyle name="40% - 강조색4 4 3" xfId="448" xr:uid="{B54F24C0-D217-4BC2-86F5-B29A8D786C24}"/>
    <cellStyle name="40% - 강조색4 4 4" xfId="625" xr:uid="{A14B40A0-8C4C-4916-9863-C104EF4AA7F8}"/>
    <cellStyle name="40% - 강조색4 5" xfId="136" xr:uid="{E68D7333-2DDE-4C3C-926E-5C42685FBF6F}"/>
    <cellStyle name="40% - 강조색4 5 2" xfId="473" xr:uid="{33B770D3-B4DE-4B55-982C-E57B3387DF7F}"/>
    <cellStyle name="40% - 강조색4 5 3" xfId="645" xr:uid="{96634342-BE86-4419-A5EF-4E3C807A95FB}"/>
    <cellStyle name="40% - 강조색4 6" xfId="156" xr:uid="{4ACE2520-D97A-432B-9F39-F4AEAB87806C}"/>
    <cellStyle name="40% - 강조색4 6 2" xfId="665" xr:uid="{C632FFF6-2E4D-4C42-A59F-3243612F7F91}"/>
    <cellStyle name="40% - 강조색4 7" xfId="176" xr:uid="{45C0AF15-E90B-4919-B72B-1328E7C285F5}"/>
    <cellStyle name="40% - 강조색4 7 2" xfId="685" xr:uid="{69B21990-7582-4EC4-9512-4FAB90A87DA1}"/>
    <cellStyle name="40% - 강조색4 8" xfId="196" xr:uid="{42FE4E23-137F-4281-896F-4A37A35DF536}"/>
    <cellStyle name="40% - 강조색4 8 2" xfId="705" xr:uid="{F75377BF-04FE-4524-AC9A-16B86E8D8430}"/>
    <cellStyle name="40% - 강조색4 9" xfId="216" xr:uid="{5FE4A7DD-4F23-4F4B-9A91-26CA02F74E9F}"/>
    <cellStyle name="40% - 강조색4 9 2" xfId="725" xr:uid="{44AF08A5-6CC2-48E4-9E7D-EFB454A3553F}"/>
    <cellStyle name="40% - 강조색5" xfId="42" builtinId="47" customBuiltin="1"/>
    <cellStyle name="40% - 강조색5 10" xfId="239" xr:uid="{BA76548E-7B5B-498D-8406-8634949E5754}"/>
    <cellStyle name="40% - 강조색5 10 2" xfId="748" xr:uid="{06D4FD02-7485-49E7-968C-5983EB3C979E}"/>
    <cellStyle name="40% - 강조색5 11" xfId="259" xr:uid="{424F185F-7460-4E6C-A653-EFCCE0B5C804}"/>
    <cellStyle name="40% - 강조색5 11 2" xfId="768" xr:uid="{39645596-91A4-4574-A0FB-6B1E18C82499}"/>
    <cellStyle name="40% - 강조색5 12" xfId="279" xr:uid="{F5BD1F5E-3484-4B88-A4B4-9A38BB4DB575}"/>
    <cellStyle name="40% - 강조색5 12 2" xfId="788" xr:uid="{7686AFDE-A63B-4F4C-A84B-8059B5CC896D}"/>
    <cellStyle name="40% - 강조색5 13" xfId="299" xr:uid="{A664C5D0-FB12-4A05-B564-030B6E90913C}"/>
    <cellStyle name="40% - 강조색5 13 2" xfId="808" xr:uid="{39573E6C-278C-4693-BA8E-21E0155D951D}"/>
    <cellStyle name="40% - 강조색5 14" xfId="319" xr:uid="{BE37C2E4-E4CE-499D-B8C6-1A2D96C594B2}"/>
    <cellStyle name="40% - 강조색5 14 2" xfId="828" xr:uid="{A609746C-24A6-4089-B905-130DAE098841}"/>
    <cellStyle name="40% - 강조색5 15" xfId="339" xr:uid="{A60B9A30-D593-48D8-B8B7-DA95F35BD562}"/>
    <cellStyle name="40% - 강조색5 15 2" xfId="848" xr:uid="{420EB0B5-849E-4DAE-87B2-0AF0A5251791}"/>
    <cellStyle name="40% - 강조색5 16" xfId="359" xr:uid="{3572AD67-08C0-4CA1-9D33-A662BC77D774}"/>
    <cellStyle name="40% - 강조색5 16 2" xfId="868" xr:uid="{564DA367-09AD-4897-8FA4-4FDBB0FFDDE2}"/>
    <cellStyle name="40% - 강조색5 17" xfId="385" xr:uid="{E8C0C157-D229-4369-A693-F30C86E530E8}"/>
    <cellStyle name="40% - 강조색5 18" xfId="566" xr:uid="{7A588F50-1B72-482E-A8C1-69BBC40B0ADF}"/>
    <cellStyle name="40% - 강조색5 2" xfId="79" xr:uid="{2FD2444E-57DF-4113-B480-858C6A8D4451}"/>
    <cellStyle name="40% - 강조색5 2 2" xfId="498" xr:uid="{B0853BD3-6589-47C9-B49F-3EC3DF6B8745}"/>
    <cellStyle name="40% - 강조색5 2 3" xfId="409" xr:uid="{7E4FC448-ED98-483E-A30A-11937AFCB96A}"/>
    <cellStyle name="40% - 강조색5 2 4" xfId="588" xr:uid="{A0DECFA8-F05E-4969-BA77-84D8B9FFC777}"/>
    <cellStyle name="40% - 강조색5 3" xfId="99" xr:uid="{F226EFB6-2501-4022-91DE-D0995D383E3C}"/>
    <cellStyle name="40% - 강조색5 3 2" xfId="520" xr:uid="{08DDA313-B561-4773-9A0B-0593F73986D1}"/>
    <cellStyle name="40% - 강조색5 3 3" xfId="431" xr:uid="{294EED73-BEDB-431A-A0A0-99A0ACB58495}"/>
    <cellStyle name="40% - 강조색5 3 4" xfId="608" xr:uid="{CF9C02A0-C7C7-4B15-8FC4-EB8CD27216BF}"/>
    <cellStyle name="40% - 강조색5 4" xfId="119" xr:uid="{48F82457-8C9B-4497-BFC6-D40C30AE952B}"/>
    <cellStyle name="40% - 강조색5 4 2" xfId="540" xr:uid="{3FCC922D-9671-4210-B141-6D0E5DB53A7F}"/>
    <cellStyle name="40% - 강조색5 4 3" xfId="451" xr:uid="{518B02C8-5FDD-44E6-81F6-A2C052EFFCA6}"/>
    <cellStyle name="40% - 강조색5 4 4" xfId="628" xr:uid="{F1E42D12-F3B7-461F-8623-90A2866C5B64}"/>
    <cellStyle name="40% - 강조색5 5" xfId="139" xr:uid="{5D18B759-CFA1-423A-8896-513E7463EA2D}"/>
    <cellStyle name="40% - 강조색5 5 2" xfId="476" xr:uid="{22FFDCF4-C831-4A4C-A626-DA3C74A0DDC7}"/>
    <cellStyle name="40% - 강조색5 5 3" xfId="648" xr:uid="{6857C9D7-E773-47EF-9AF6-4D048441BBC6}"/>
    <cellStyle name="40% - 강조색5 6" xfId="159" xr:uid="{92D981D6-A165-4648-B862-13C2C8AF5A2B}"/>
    <cellStyle name="40% - 강조색5 6 2" xfId="668" xr:uid="{3048041C-86BF-4446-A587-CDEF0A8A211C}"/>
    <cellStyle name="40% - 강조색5 7" xfId="179" xr:uid="{0E855858-D7BA-4E58-A50B-DF778967EFAA}"/>
    <cellStyle name="40% - 강조색5 7 2" xfId="688" xr:uid="{99E40665-A04B-4B19-A956-2EF2EB02962F}"/>
    <cellStyle name="40% - 강조색5 8" xfId="199" xr:uid="{4D7F1574-D752-49B6-892C-7686097E072D}"/>
    <cellStyle name="40% - 강조색5 8 2" xfId="708" xr:uid="{2E2E9B9C-B298-44FE-8090-B1C184DB1BB9}"/>
    <cellStyle name="40% - 강조색5 9" xfId="219" xr:uid="{C3599F2D-029D-43AC-A322-099F96CB9902}"/>
    <cellStyle name="40% - 강조색5 9 2" xfId="728" xr:uid="{D43EA39C-2B89-4B23-AA36-D852B0A80984}"/>
    <cellStyle name="40% - 강조색6" xfId="46" builtinId="51" customBuiltin="1"/>
    <cellStyle name="40% - 강조색6 10" xfId="242" xr:uid="{E82BFB48-84FD-41B7-AB7F-3FC7DAD9B6DF}"/>
    <cellStyle name="40% - 강조색6 10 2" xfId="751" xr:uid="{E45FC54E-C9DF-4680-9E0E-49D4A35F1A13}"/>
    <cellStyle name="40% - 강조색6 11" xfId="262" xr:uid="{7F222311-21F8-4F52-86D3-B6BCB9F92164}"/>
    <cellStyle name="40% - 강조색6 11 2" xfId="771" xr:uid="{0284FED0-6271-41FF-8F0C-0D2201978470}"/>
    <cellStyle name="40% - 강조색6 12" xfId="282" xr:uid="{620521F1-AF1F-4213-A635-B81EA35B4D80}"/>
    <cellStyle name="40% - 강조색6 12 2" xfId="791" xr:uid="{63ED37BB-872F-44E1-87C5-30080193F786}"/>
    <cellStyle name="40% - 강조색6 13" xfId="302" xr:uid="{918AA8C0-6591-4A67-A306-A8D34B2778DA}"/>
    <cellStyle name="40% - 강조색6 13 2" xfId="811" xr:uid="{8A3D1210-4394-495C-98FE-ACA982E6FFC7}"/>
    <cellStyle name="40% - 강조색6 14" xfId="322" xr:uid="{0F489502-E054-437F-BAD6-962A518FFF7D}"/>
    <cellStyle name="40% - 강조색6 14 2" xfId="831" xr:uid="{D9535FF7-E1A1-4F05-BC15-DBF3025CD4B8}"/>
    <cellStyle name="40% - 강조색6 15" xfId="342" xr:uid="{D02158DF-36FE-4148-9949-1B565C11BBDF}"/>
    <cellStyle name="40% - 강조색6 15 2" xfId="851" xr:uid="{F29C923E-4B73-4232-8802-0A33358A21D7}"/>
    <cellStyle name="40% - 강조색6 16" xfId="362" xr:uid="{0228A41F-3552-403A-BEB9-13D91F7107B5}"/>
    <cellStyle name="40% - 강조색6 16 2" xfId="871" xr:uid="{61377AC9-7470-49FE-B2C7-E1D755B2D6C8}"/>
    <cellStyle name="40% - 강조색6 17" xfId="388" xr:uid="{B85EF26F-84F1-49D2-BAAD-42C555526229}"/>
    <cellStyle name="40% - 강조색6 18" xfId="569" xr:uid="{9F7540F0-C179-436E-868E-82DD132CF469}"/>
    <cellStyle name="40% - 강조색6 2" xfId="82" xr:uid="{ABAFEDE8-FFD6-42E3-AE21-8DF4E8E999CF}"/>
    <cellStyle name="40% - 강조색6 2 2" xfId="501" xr:uid="{206C4D7F-3798-47DB-B60E-574B0675E48A}"/>
    <cellStyle name="40% - 강조색6 2 3" xfId="412" xr:uid="{DAA3B09C-7D68-4601-A00B-441501E79016}"/>
    <cellStyle name="40% - 강조색6 2 4" xfId="591" xr:uid="{D1653E3E-D24D-4BF9-8710-6C583779B2AA}"/>
    <cellStyle name="40% - 강조색6 3" xfId="102" xr:uid="{261FF799-21A4-4DFD-BC41-AD36A40AB6C0}"/>
    <cellStyle name="40% - 강조색6 3 2" xfId="523" xr:uid="{45639826-A05E-4C2C-9A03-B08F03DA8502}"/>
    <cellStyle name="40% - 강조색6 3 3" xfId="434" xr:uid="{82BCAB8C-B82C-4ABF-8B38-8607213E294D}"/>
    <cellStyle name="40% - 강조색6 3 4" xfId="611" xr:uid="{096F04B2-864A-4523-8EB4-82BD9311C1AC}"/>
    <cellStyle name="40% - 강조색6 4" xfId="122" xr:uid="{6D2E5168-6F7B-4B98-A80D-3A36768628F3}"/>
    <cellStyle name="40% - 강조색6 4 2" xfId="543" xr:uid="{7CC40826-75BF-4338-8649-BB711A8A9534}"/>
    <cellStyle name="40% - 강조색6 4 3" xfId="454" xr:uid="{30F835E6-E60D-4E8F-9D2D-165002FEB7C4}"/>
    <cellStyle name="40% - 강조색6 4 4" xfId="631" xr:uid="{61DD8C10-642F-4609-BE2D-6A6725D0AE0F}"/>
    <cellStyle name="40% - 강조색6 5" xfId="142" xr:uid="{4647BD6D-3215-4C41-8EF3-2645F2D1CA00}"/>
    <cellStyle name="40% - 강조색6 5 2" xfId="479" xr:uid="{B9005537-15B3-43A1-923D-B7F5B3C5443A}"/>
    <cellStyle name="40% - 강조색6 5 3" xfId="651" xr:uid="{8DB063D5-E85F-454E-98D0-B21373C5C23D}"/>
    <cellStyle name="40% - 강조색6 6" xfId="162" xr:uid="{7E3D72B4-30A0-4B08-BDD0-18D2D7826858}"/>
    <cellStyle name="40% - 강조색6 6 2" xfId="671" xr:uid="{EC7FFED6-CD7D-48C6-BB2B-5F134C07F5FF}"/>
    <cellStyle name="40% - 강조색6 7" xfId="182" xr:uid="{05CFEC58-67B0-46E3-A580-AB3F892F5F02}"/>
    <cellStyle name="40% - 강조색6 7 2" xfId="691" xr:uid="{7DFF097B-00DC-4D80-BC1B-D01916FDE404}"/>
    <cellStyle name="40% - 강조색6 8" xfId="202" xr:uid="{3DB6A435-9D18-41C8-A80C-5CA6BC3C8EC3}"/>
    <cellStyle name="40% - 강조색6 8 2" xfId="711" xr:uid="{1C7A80F6-B994-4CF1-87AB-37402D8A007B}"/>
    <cellStyle name="40% - 강조색6 9" xfId="222" xr:uid="{437FDFC9-C82F-4230-A465-4560C5905C74}"/>
    <cellStyle name="40% - 강조색6 9 2" xfId="731" xr:uid="{91D0E721-87EE-4CFC-B666-30BA8E8E0B78}"/>
    <cellStyle name="60% - 강조색1" xfId="27" builtinId="32" customBuiltin="1"/>
    <cellStyle name="60% - 강조색1 10" xfId="228" xr:uid="{B2CB40AD-4A4F-4918-9765-E0E0363F2909}"/>
    <cellStyle name="60% - 강조색1 10 2" xfId="737" xr:uid="{DFCEF08B-4D89-44A6-AD66-860571F5E383}"/>
    <cellStyle name="60% - 강조색1 11" xfId="248" xr:uid="{E4397767-24DE-4A4E-8808-6EE3AC7ADD6A}"/>
    <cellStyle name="60% - 강조색1 11 2" xfId="757" xr:uid="{E9BAA8C9-2C77-4745-BF7F-2E442A46EB4A}"/>
    <cellStyle name="60% - 강조색1 12" xfId="268" xr:uid="{45163B68-6E14-49BA-BFA4-ECA510354E09}"/>
    <cellStyle name="60% - 강조색1 12 2" xfId="777" xr:uid="{BEA47375-4B6A-4255-B36D-4FBC056E47BE}"/>
    <cellStyle name="60% - 강조색1 13" xfId="288" xr:uid="{4ECEC866-C940-4B1D-8E38-55A23D2D0542}"/>
    <cellStyle name="60% - 강조색1 13 2" xfId="797" xr:uid="{10EB67E0-BF56-4E00-BDD7-DF95D0CC0654}"/>
    <cellStyle name="60% - 강조색1 14" xfId="308" xr:uid="{DF8043AD-8773-4D93-B2C8-1B5C7502C135}"/>
    <cellStyle name="60% - 강조색1 14 2" xfId="817" xr:uid="{3DAF9999-DE3B-4E82-BD3D-7FC15E2204D2}"/>
    <cellStyle name="60% - 강조색1 15" xfId="328" xr:uid="{AE574A2D-9FB0-4ACE-B888-47AD5434508A}"/>
    <cellStyle name="60% - 강조색1 15 2" xfId="837" xr:uid="{02B8E488-9519-4CDB-A78E-D17A4E24DBDF}"/>
    <cellStyle name="60% - 강조색1 16" xfId="348" xr:uid="{8CEA539B-6240-42C9-B368-161B9EDC0A45}"/>
    <cellStyle name="60% - 강조색1 16 2" xfId="857" xr:uid="{2B837F49-DB1E-418C-B04D-0A13C329C606}"/>
    <cellStyle name="60% - 강조색1 17" xfId="374" xr:uid="{77CCB38C-6270-4249-A0D9-01401787DFC0}"/>
    <cellStyle name="60% - 강조색1 18" xfId="555" xr:uid="{01F11F15-6BB4-4EA4-89C5-1A53673380AB}"/>
    <cellStyle name="60% - 강조색1 2" xfId="68" xr:uid="{D96F520C-0939-4D6D-A16E-E458CF2912C2}"/>
    <cellStyle name="60% - 강조색1 2 2" xfId="487" xr:uid="{3FEA217C-264C-4F1C-A1AC-CAC5B1B2CAC5}"/>
    <cellStyle name="60% - 강조색1 2 3" xfId="398" xr:uid="{CA0C022C-C800-4B74-89E2-5CE51C689822}"/>
    <cellStyle name="60% - 강조색1 2 4" xfId="577" xr:uid="{37B8D01D-85BD-4A8E-984E-588316A450DB}"/>
    <cellStyle name="60% - 강조색1 3" xfId="88" xr:uid="{F66CE541-3BD7-4504-AC6D-7AF378A3DEDA}"/>
    <cellStyle name="60% - 강조색1 3 2" xfId="509" xr:uid="{EE1215D3-91AB-4A9F-A853-6350126896E2}"/>
    <cellStyle name="60% - 강조색1 3 3" xfId="420" xr:uid="{726A90B8-FB0C-452C-8A3C-94DB437010AA}"/>
    <cellStyle name="60% - 강조색1 3 4" xfId="597" xr:uid="{059498DA-44A4-4762-837C-8E83B1E02898}"/>
    <cellStyle name="60% - 강조색1 4" xfId="108" xr:uid="{6FA34F41-E20A-49FA-BFCA-CD52598158FD}"/>
    <cellStyle name="60% - 강조색1 4 2" xfId="529" xr:uid="{C9C212D1-68F5-4917-8E8F-74207749E238}"/>
    <cellStyle name="60% - 강조색1 4 3" xfId="440" xr:uid="{89004DE2-15D3-46F7-A222-2ACDD142030E}"/>
    <cellStyle name="60% - 강조색1 4 4" xfId="617" xr:uid="{474C6ECD-73E7-4072-B1C5-DDD803D3FE15}"/>
    <cellStyle name="60% - 강조색1 5" xfId="128" xr:uid="{3463E9EE-F8EC-4E54-834C-9B81B7FECD98}"/>
    <cellStyle name="60% - 강조색1 5 2" xfId="465" xr:uid="{2F43AC05-FC88-465E-A192-536A311E6125}"/>
    <cellStyle name="60% - 강조색1 5 3" xfId="637" xr:uid="{107BE5AB-F71B-418C-A982-6C5C9133F42C}"/>
    <cellStyle name="60% - 강조색1 6" xfId="148" xr:uid="{5B333DEA-5B17-48AA-B16F-C66878B0742C}"/>
    <cellStyle name="60% - 강조색1 6 2" xfId="657" xr:uid="{D90BCDFE-85C5-4349-B81F-C22034370F29}"/>
    <cellStyle name="60% - 강조색1 7" xfId="168" xr:uid="{8212DAC3-9A02-42BE-8CA2-BF85CA1F7FF5}"/>
    <cellStyle name="60% - 강조색1 7 2" xfId="677" xr:uid="{4FB9F0D8-F390-4B77-A12B-A7490E36F7E1}"/>
    <cellStyle name="60% - 강조색1 8" xfId="188" xr:uid="{C4DD9030-1D5F-45AE-A9B8-68EA671C2427}"/>
    <cellStyle name="60% - 강조색1 8 2" xfId="697" xr:uid="{7AF6D661-2A54-4095-A449-0831ACFC13F9}"/>
    <cellStyle name="60% - 강조색1 9" xfId="208" xr:uid="{17F085EB-9BA6-42BC-90C0-6F0174349845}"/>
    <cellStyle name="60% - 강조색1 9 2" xfId="717" xr:uid="{C855BA80-5621-4895-9F90-EE73AE295019}"/>
    <cellStyle name="60% - 강조색2" xfId="31" builtinId="36" customBuiltin="1"/>
    <cellStyle name="60% - 강조색2 10" xfId="231" xr:uid="{14C597ED-74A6-41A0-B9C3-84CD44CA0D59}"/>
    <cellStyle name="60% - 강조색2 10 2" xfId="740" xr:uid="{C9DA3554-A089-4035-B017-E2889B848BAA}"/>
    <cellStyle name="60% - 강조색2 11" xfId="251" xr:uid="{8C1F64DB-16E4-48E9-A735-71A04F737194}"/>
    <cellStyle name="60% - 강조색2 11 2" xfId="760" xr:uid="{4DFD5DF2-A8F7-41CE-B84B-A0C1DE9B0772}"/>
    <cellStyle name="60% - 강조색2 12" xfId="271" xr:uid="{8AF8D59B-02D0-4311-9B00-197848AD0A13}"/>
    <cellStyle name="60% - 강조색2 12 2" xfId="780" xr:uid="{F4A4FBB8-9F2D-4420-9C0B-FC955C6577AD}"/>
    <cellStyle name="60% - 강조색2 13" xfId="291" xr:uid="{092D3EDE-EB8C-4BC8-A3E3-6F8586AFA4F1}"/>
    <cellStyle name="60% - 강조색2 13 2" xfId="800" xr:uid="{06CB0F4A-B2A9-4716-8DD4-A09F865B3C5A}"/>
    <cellStyle name="60% - 강조색2 14" xfId="311" xr:uid="{67D6E8F6-6671-4854-A51D-68A4D4178F79}"/>
    <cellStyle name="60% - 강조색2 14 2" xfId="820" xr:uid="{0B470D14-3FAC-46C9-9902-5C10F40FEE8A}"/>
    <cellStyle name="60% - 강조색2 15" xfId="331" xr:uid="{AFB5EB0C-80FD-4EB2-B8A6-C7F9EA67F76F}"/>
    <cellStyle name="60% - 강조색2 15 2" xfId="840" xr:uid="{C9AA3303-CF0D-4189-8BA9-AC009D44AF31}"/>
    <cellStyle name="60% - 강조색2 16" xfId="351" xr:uid="{509739BE-ABF1-4169-8BB8-402FA881B622}"/>
    <cellStyle name="60% - 강조색2 16 2" xfId="860" xr:uid="{69E64B72-B478-46F2-9208-754A72372FA6}"/>
    <cellStyle name="60% - 강조색2 17" xfId="377" xr:uid="{4A1486B0-F33E-4FC2-A5C2-CE8E6484BF6D}"/>
    <cellStyle name="60% - 강조색2 18" xfId="558" xr:uid="{961CF9B7-581B-4B33-8528-6745B97F0348}"/>
    <cellStyle name="60% - 강조색2 2" xfId="71" xr:uid="{644D7E5D-D95D-4561-AA7D-F03E99268569}"/>
    <cellStyle name="60% - 강조색2 2 2" xfId="490" xr:uid="{2EF7C7D7-0038-4F7C-BEA8-9D86A4777B8D}"/>
    <cellStyle name="60% - 강조색2 2 3" xfId="401" xr:uid="{49A3ACDD-506C-4C88-A679-77D90C18A710}"/>
    <cellStyle name="60% - 강조색2 2 4" xfId="580" xr:uid="{3D870F6C-2C2E-411F-9239-447F5AE788A0}"/>
    <cellStyle name="60% - 강조색2 3" xfId="91" xr:uid="{6D8DD7CB-BAD5-42BD-8CAA-D865CE7EE7B0}"/>
    <cellStyle name="60% - 강조색2 3 2" xfId="512" xr:uid="{55BF8280-4EEE-49CB-9782-293EA83FBFDE}"/>
    <cellStyle name="60% - 강조색2 3 3" xfId="423" xr:uid="{C012285B-6083-42C7-8A54-9B4C0D7A2735}"/>
    <cellStyle name="60% - 강조색2 3 4" xfId="600" xr:uid="{87D36F5C-DD24-4AC3-AAE3-DBB88868124A}"/>
    <cellStyle name="60% - 강조색2 4" xfId="111" xr:uid="{EB7CA402-BA71-47F3-AA96-0364DD842CDA}"/>
    <cellStyle name="60% - 강조색2 4 2" xfId="532" xr:uid="{44E37813-DBF8-47BB-9B8F-750E287FF739}"/>
    <cellStyle name="60% - 강조색2 4 3" xfId="443" xr:uid="{E7DCF3DA-888E-4976-A15F-536FD8691708}"/>
    <cellStyle name="60% - 강조색2 4 4" xfId="620" xr:uid="{CCF2D6AE-09B8-490B-80A2-CA2456F000B6}"/>
    <cellStyle name="60% - 강조색2 5" xfId="131" xr:uid="{F4E8DAEC-7A51-4F25-AF51-75342EDBB9BF}"/>
    <cellStyle name="60% - 강조색2 5 2" xfId="468" xr:uid="{E432757B-0AB4-48C7-9D97-AB97C6392729}"/>
    <cellStyle name="60% - 강조색2 5 3" xfId="640" xr:uid="{FC28AD46-0F40-46E2-BDD2-F596B0630104}"/>
    <cellStyle name="60% - 강조색2 6" xfId="151" xr:uid="{232C6D60-F69C-4131-BA00-A2518A57C92F}"/>
    <cellStyle name="60% - 강조색2 6 2" xfId="660" xr:uid="{51687430-1FAD-49C8-B99B-3932E4D885FB}"/>
    <cellStyle name="60% - 강조색2 7" xfId="171" xr:uid="{54B6E76E-4A23-423C-A58F-0036EF4BD218}"/>
    <cellStyle name="60% - 강조색2 7 2" xfId="680" xr:uid="{EB720748-902B-44B1-8869-BC3B1D12FDEB}"/>
    <cellStyle name="60% - 강조색2 8" xfId="191" xr:uid="{CAB13629-03F9-4D57-B12A-3727FBAF4666}"/>
    <cellStyle name="60% - 강조색2 8 2" xfId="700" xr:uid="{8E9E8752-58FD-490C-9F75-A6333558DD38}"/>
    <cellStyle name="60% - 강조색2 9" xfId="211" xr:uid="{A63107D2-B5A6-4F95-8B93-DE528608944A}"/>
    <cellStyle name="60% - 강조색2 9 2" xfId="720" xr:uid="{9156AA27-34E5-441E-BEE9-E66861CD89F7}"/>
    <cellStyle name="60% - 강조색3" xfId="35" builtinId="40" customBuiltin="1"/>
    <cellStyle name="60% - 강조색3 10" xfId="234" xr:uid="{ED75E9BB-902D-42DB-AF09-843CCDFA3E09}"/>
    <cellStyle name="60% - 강조색3 10 2" xfId="743" xr:uid="{9FF84E68-AEA1-4C6D-BB5E-BE03466F4E2A}"/>
    <cellStyle name="60% - 강조색3 11" xfId="254" xr:uid="{EA1454C4-3A62-4C0E-9767-7776B2D9DF0C}"/>
    <cellStyle name="60% - 강조색3 11 2" xfId="763" xr:uid="{F63D4179-21AE-4557-894B-925587BD69B4}"/>
    <cellStyle name="60% - 강조색3 12" xfId="274" xr:uid="{758273EF-D7DF-41A3-A017-443AF2472E7F}"/>
    <cellStyle name="60% - 강조색3 12 2" xfId="783" xr:uid="{518B2C65-90A3-4F8A-96E3-D6C249D5F9E0}"/>
    <cellStyle name="60% - 강조색3 13" xfId="294" xr:uid="{9D1FA834-CFEF-4C9E-A7EE-EB66B3C4C5F0}"/>
    <cellStyle name="60% - 강조색3 13 2" xfId="803" xr:uid="{2C0324FC-E631-4AEC-A3A3-C98588E26ACD}"/>
    <cellStyle name="60% - 강조색3 14" xfId="314" xr:uid="{8A0584AF-AF63-476E-9C0B-405244535428}"/>
    <cellStyle name="60% - 강조색3 14 2" xfId="823" xr:uid="{073CA71E-F4A9-4CAA-80EA-BA26C8CEC663}"/>
    <cellStyle name="60% - 강조색3 15" xfId="334" xr:uid="{814BFB90-17CB-4D6B-A673-DDF213A4D15F}"/>
    <cellStyle name="60% - 강조색3 15 2" xfId="843" xr:uid="{496B960F-AA70-4D89-8537-24C8C20284B2}"/>
    <cellStyle name="60% - 강조색3 16" xfId="354" xr:uid="{37125019-D4FC-4E93-9440-04BD06B12DCE}"/>
    <cellStyle name="60% - 강조색3 16 2" xfId="863" xr:uid="{466F827D-EFE8-4E4C-9E94-6B961280F1B5}"/>
    <cellStyle name="60% - 강조색3 17" xfId="380" xr:uid="{D410A6D6-6324-49E5-B460-1C31631C3A8D}"/>
    <cellStyle name="60% - 강조색3 18" xfId="561" xr:uid="{05B4E3EF-9B3D-4E40-ADE0-952335FD95B0}"/>
    <cellStyle name="60% - 강조색3 2" xfId="74" xr:uid="{8A119AEB-6E38-4FDE-B0BF-D55711F2A704}"/>
    <cellStyle name="60% - 강조색3 2 2" xfId="493" xr:uid="{DDDD15FF-48C0-4FE2-9002-FD2F6966DAA3}"/>
    <cellStyle name="60% - 강조색3 2 3" xfId="404" xr:uid="{C77F80DB-5945-48D1-9848-8D1AD15D9D52}"/>
    <cellStyle name="60% - 강조색3 2 4" xfId="583" xr:uid="{02668855-D60A-4288-8BEA-062650C70FEC}"/>
    <cellStyle name="60% - 강조색3 3" xfId="94" xr:uid="{3C8C73D0-4078-4609-BAB5-8A20ADB91724}"/>
    <cellStyle name="60% - 강조색3 3 2" xfId="515" xr:uid="{0E27BB88-EFD4-400D-AB68-3649A2CC67A4}"/>
    <cellStyle name="60% - 강조색3 3 3" xfId="426" xr:uid="{11AE46C8-6F61-4F38-A747-A1E685C73C31}"/>
    <cellStyle name="60% - 강조색3 3 4" xfId="603" xr:uid="{EAA32B3D-8EB4-4807-A559-298510750F5A}"/>
    <cellStyle name="60% - 강조색3 4" xfId="114" xr:uid="{EC9E5DEB-280D-4710-9F22-874497065958}"/>
    <cellStyle name="60% - 강조색3 4 2" xfId="535" xr:uid="{3396B131-B08B-4863-AFD9-E6D1E6A4A17F}"/>
    <cellStyle name="60% - 강조색3 4 3" xfId="446" xr:uid="{49838F34-4ADA-44D2-80FF-9C7755813B40}"/>
    <cellStyle name="60% - 강조색3 4 4" xfId="623" xr:uid="{D49641A9-1F63-48E9-B93C-ABD1D726633D}"/>
    <cellStyle name="60% - 강조색3 5" xfId="134" xr:uid="{CBEAA6D1-B501-4E4F-92F6-55490AEBEF24}"/>
    <cellStyle name="60% - 강조색3 5 2" xfId="471" xr:uid="{687D2BFE-1481-4671-81D0-819108EF0470}"/>
    <cellStyle name="60% - 강조색3 5 3" xfId="643" xr:uid="{3C9410E0-72D7-44A8-B47E-1C16997978FD}"/>
    <cellStyle name="60% - 강조색3 6" xfId="154" xr:uid="{BF2604A9-F699-4508-B09F-0FCF998B8E7C}"/>
    <cellStyle name="60% - 강조색3 6 2" xfId="663" xr:uid="{04554682-C2E2-4DE1-A9AD-A85CD784F4B0}"/>
    <cellStyle name="60% - 강조색3 7" xfId="174" xr:uid="{CC34085C-2DF9-4B63-BC74-48FB0D0B41C0}"/>
    <cellStyle name="60% - 강조색3 7 2" xfId="683" xr:uid="{78A10C05-F598-4B62-AF66-F68A589BA1D7}"/>
    <cellStyle name="60% - 강조색3 8" xfId="194" xr:uid="{92B4DA0C-F19C-4089-8BF9-BBEE225A05A5}"/>
    <cellStyle name="60% - 강조색3 8 2" xfId="703" xr:uid="{75D48866-6F5A-451F-B0F2-1B037818DB48}"/>
    <cellStyle name="60% - 강조색3 9" xfId="214" xr:uid="{FB8BE683-8343-4BEB-9B06-CDF01B070856}"/>
    <cellStyle name="60% - 강조색3 9 2" xfId="723" xr:uid="{096E756B-70DA-40E1-BB71-DDFE2211BEB1}"/>
    <cellStyle name="60% - 강조색4" xfId="39" builtinId="44" customBuiltin="1"/>
    <cellStyle name="60% - 강조색4 10" xfId="237" xr:uid="{70E89AC4-5EED-43E7-9ED8-EF9FC159426C}"/>
    <cellStyle name="60% - 강조색4 10 2" xfId="746" xr:uid="{128D4EC8-9DEE-4BB1-B60D-5FBF8EF1862D}"/>
    <cellStyle name="60% - 강조색4 11" xfId="257" xr:uid="{069866A3-60DC-46EA-9CD7-FBE3CA7D5DA3}"/>
    <cellStyle name="60% - 강조색4 11 2" xfId="766" xr:uid="{498B63BE-B783-45C0-85CF-EE5F571F8ACB}"/>
    <cellStyle name="60% - 강조색4 12" xfId="277" xr:uid="{D7C60D16-EB4F-4F13-94C9-22FBC38F668A}"/>
    <cellStyle name="60% - 강조색4 12 2" xfId="786" xr:uid="{65E36685-4CF2-4DF5-AFD9-2B04ABCCD679}"/>
    <cellStyle name="60% - 강조색4 13" xfId="297" xr:uid="{6F27FC83-76D1-46F7-B3AD-56241F0BE553}"/>
    <cellStyle name="60% - 강조색4 13 2" xfId="806" xr:uid="{16C3F025-77F5-4B07-83DE-87F7B5AEB3EB}"/>
    <cellStyle name="60% - 강조색4 14" xfId="317" xr:uid="{E2708639-9E78-49CB-99B9-C5695C11F1AA}"/>
    <cellStyle name="60% - 강조색4 14 2" xfId="826" xr:uid="{A1F787CA-FF9C-4DCB-BB6F-C20158145F17}"/>
    <cellStyle name="60% - 강조색4 15" xfId="337" xr:uid="{C85AEFAC-1A27-465A-808B-FF9B657C1459}"/>
    <cellStyle name="60% - 강조색4 15 2" xfId="846" xr:uid="{115A866F-01F3-4834-AC53-F2F8C92BC7BB}"/>
    <cellStyle name="60% - 강조색4 16" xfId="357" xr:uid="{19EA790D-267E-40B1-9477-DADE12FD25CC}"/>
    <cellStyle name="60% - 강조색4 16 2" xfId="866" xr:uid="{B068A713-51B5-4BA0-8008-D986114CA4CB}"/>
    <cellStyle name="60% - 강조색4 17" xfId="383" xr:uid="{53D9B005-84DA-457E-A6C3-34E38A802662}"/>
    <cellStyle name="60% - 강조색4 18" xfId="564" xr:uid="{3679698E-FC73-47A6-A163-A95B605430B0}"/>
    <cellStyle name="60% - 강조색4 2" xfId="77" xr:uid="{1792CD84-041D-468B-B354-D747C2D04C1D}"/>
    <cellStyle name="60% - 강조색4 2 2" xfId="496" xr:uid="{E7F31749-3C28-4D4C-9C0D-DB03AEB44D71}"/>
    <cellStyle name="60% - 강조색4 2 3" xfId="407" xr:uid="{33437F5D-61E6-40CB-B769-79C2CCE60F0F}"/>
    <cellStyle name="60% - 강조색4 2 4" xfId="586" xr:uid="{1E8714A8-23DC-4033-ACDF-91F883224DB2}"/>
    <cellStyle name="60% - 강조색4 3" xfId="97" xr:uid="{A1937497-621F-41D7-853F-4DF5D3F9421B}"/>
    <cellStyle name="60% - 강조색4 3 2" xfId="518" xr:uid="{D72D4C94-8C8A-4CF6-879C-6886CAF693E0}"/>
    <cellStyle name="60% - 강조색4 3 3" xfId="429" xr:uid="{9BD016BD-CB98-4FA4-94C8-61F01E315ACD}"/>
    <cellStyle name="60% - 강조색4 3 4" xfId="606" xr:uid="{C0297322-87A8-47B0-A513-9980188D741E}"/>
    <cellStyle name="60% - 강조색4 4" xfId="117" xr:uid="{77FD045A-28DE-49C3-9FED-388E253D598A}"/>
    <cellStyle name="60% - 강조색4 4 2" xfId="538" xr:uid="{3C5873C5-ABA8-442E-8E10-55E4D93E4999}"/>
    <cellStyle name="60% - 강조색4 4 3" xfId="449" xr:uid="{1249074A-8769-4CFA-83BF-1A5B188FB88E}"/>
    <cellStyle name="60% - 강조색4 4 4" xfId="626" xr:uid="{5662091C-CE00-4584-B7F8-6E2B99C86B8E}"/>
    <cellStyle name="60% - 강조색4 5" xfId="137" xr:uid="{990E823D-6CD7-4AD7-A165-238769E1884C}"/>
    <cellStyle name="60% - 강조색4 5 2" xfId="474" xr:uid="{EA7322B0-006B-4AD9-9B93-EE16FBA34CB2}"/>
    <cellStyle name="60% - 강조색4 5 3" xfId="646" xr:uid="{7FA48588-93DC-4FA8-8496-8E50A9C15AEB}"/>
    <cellStyle name="60% - 강조색4 6" xfId="157" xr:uid="{DEC53E00-AB73-4777-A99B-B832E160D84A}"/>
    <cellStyle name="60% - 강조색4 6 2" xfId="666" xr:uid="{7CF0151C-6ADC-45C0-A6A1-5FED0B220582}"/>
    <cellStyle name="60% - 강조색4 7" xfId="177" xr:uid="{98FF8F1B-C298-4C4F-8370-A09AC3F2FFB8}"/>
    <cellStyle name="60% - 강조색4 7 2" xfId="686" xr:uid="{CE89C4FB-3A34-491A-90ED-DBE7F2BF998B}"/>
    <cellStyle name="60% - 강조색4 8" xfId="197" xr:uid="{5C8022D0-2716-4511-BCE5-F749E9A7505F}"/>
    <cellStyle name="60% - 강조색4 8 2" xfId="706" xr:uid="{8FDBF2D9-DBDD-4606-A4A1-E3FD1794A86A}"/>
    <cellStyle name="60% - 강조색4 9" xfId="217" xr:uid="{398F5B73-4152-4111-A6C1-88930B304A8F}"/>
    <cellStyle name="60% - 강조색4 9 2" xfId="726" xr:uid="{6267F7D7-7DC7-479E-A4C0-9CC478FED9B7}"/>
    <cellStyle name="60% - 강조색5" xfId="43" builtinId="48" customBuiltin="1"/>
    <cellStyle name="60% - 강조색5 10" xfId="240" xr:uid="{A4732F92-E2E7-47F7-8962-09A53158E49E}"/>
    <cellStyle name="60% - 강조색5 10 2" xfId="749" xr:uid="{0ACD1118-5A79-419D-A53A-CA163683DA45}"/>
    <cellStyle name="60% - 강조색5 11" xfId="260" xr:uid="{833A5587-5E37-4DDD-A9A7-B9B835D4EEC6}"/>
    <cellStyle name="60% - 강조색5 11 2" xfId="769" xr:uid="{08A23595-A354-435F-B285-CCF14CBA20F7}"/>
    <cellStyle name="60% - 강조색5 12" xfId="280" xr:uid="{0CF639C7-E6D7-4838-8BD1-2A7DDFC35C69}"/>
    <cellStyle name="60% - 강조색5 12 2" xfId="789" xr:uid="{86D87A77-AA03-4616-B255-B5570337D011}"/>
    <cellStyle name="60% - 강조색5 13" xfId="300" xr:uid="{DD9DC0D0-B0AA-4409-BC18-73F74EE6DC64}"/>
    <cellStyle name="60% - 강조색5 13 2" xfId="809" xr:uid="{8FBAE262-02AA-4CC2-8529-9CA204425E32}"/>
    <cellStyle name="60% - 강조색5 14" xfId="320" xr:uid="{509A9514-662E-4223-8C47-3AF46E407071}"/>
    <cellStyle name="60% - 강조색5 14 2" xfId="829" xr:uid="{90D98516-1104-443A-BB57-A9CC7E0AB3A6}"/>
    <cellStyle name="60% - 강조색5 15" xfId="340" xr:uid="{9B28C65F-3F16-43C9-9433-48DBF0EA6B76}"/>
    <cellStyle name="60% - 강조색5 15 2" xfId="849" xr:uid="{D11AF975-8073-46B5-80C0-C541B622D497}"/>
    <cellStyle name="60% - 강조색5 16" xfId="360" xr:uid="{77D17A4D-0892-4BC2-B936-5A54501FA2FF}"/>
    <cellStyle name="60% - 강조색5 16 2" xfId="869" xr:uid="{8CDB56AD-C75F-4B11-9D76-D5A13B1E1D4D}"/>
    <cellStyle name="60% - 강조색5 17" xfId="386" xr:uid="{9FC9B473-B150-4DF6-AD18-410C2E645C09}"/>
    <cellStyle name="60% - 강조색5 18" xfId="567" xr:uid="{5B9840CE-D0C7-4654-B994-00F88A40B322}"/>
    <cellStyle name="60% - 강조색5 2" xfId="80" xr:uid="{83C87137-7D9D-4435-8D26-FB3DD7FDD5B2}"/>
    <cellStyle name="60% - 강조색5 2 2" xfId="499" xr:uid="{4C4868FE-71D7-4B30-91D0-05E4039D292D}"/>
    <cellStyle name="60% - 강조색5 2 3" xfId="410" xr:uid="{0C1EFDA7-249B-498C-8DF3-F92CA718BED2}"/>
    <cellStyle name="60% - 강조색5 2 4" xfId="589" xr:uid="{FA949D96-25D6-4823-875E-B304DDC8777D}"/>
    <cellStyle name="60% - 강조색5 3" xfId="100" xr:uid="{8A3FC43A-9273-4EDE-A3D4-12656ACA2B00}"/>
    <cellStyle name="60% - 강조색5 3 2" xfId="521" xr:uid="{BB9919AA-FC4A-408C-BAD6-BFD892DFF626}"/>
    <cellStyle name="60% - 강조색5 3 3" xfId="432" xr:uid="{4B86A7F2-9784-4ADC-B8AE-2A65EFA5693D}"/>
    <cellStyle name="60% - 강조색5 3 4" xfId="609" xr:uid="{2D9D8AEB-ED83-4BF3-8410-02B0C11149E0}"/>
    <cellStyle name="60% - 강조색5 4" xfId="120" xr:uid="{8C64B1C1-5D00-4464-8C70-D32A97402830}"/>
    <cellStyle name="60% - 강조색5 4 2" xfId="541" xr:uid="{C1B0F442-C1AF-4D80-81F6-1BFDDBA45ED6}"/>
    <cellStyle name="60% - 강조색5 4 3" xfId="452" xr:uid="{2E5EA47E-D313-4043-AB6D-31D70127653B}"/>
    <cellStyle name="60% - 강조색5 4 4" xfId="629" xr:uid="{B01C772D-B4A7-435A-A91F-002F4E3BE301}"/>
    <cellStyle name="60% - 강조색5 5" xfId="140" xr:uid="{CEEB8C43-7F0B-422B-AD7B-CFAA54FDBE61}"/>
    <cellStyle name="60% - 강조색5 5 2" xfId="477" xr:uid="{9633D5C7-8B7E-421B-B6F3-E95A737DD371}"/>
    <cellStyle name="60% - 강조색5 5 3" xfId="649" xr:uid="{6754B16E-2EAF-46F6-B8A2-F7BFE4E55DD8}"/>
    <cellStyle name="60% - 강조색5 6" xfId="160" xr:uid="{7CAA41A2-41F0-4F2A-852C-9148935AF173}"/>
    <cellStyle name="60% - 강조색5 6 2" xfId="669" xr:uid="{12703117-D257-460A-86EC-91718C62B64F}"/>
    <cellStyle name="60% - 강조색5 7" xfId="180" xr:uid="{B8F7E0E2-4C83-4F44-B59F-356F510E044A}"/>
    <cellStyle name="60% - 강조색5 7 2" xfId="689" xr:uid="{54B8271D-00C3-4739-8A81-18103C31460A}"/>
    <cellStyle name="60% - 강조색5 8" xfId="200" xr:uid="{6D2D570D-EC52-4E0C-B1E9-5D2AB26D118B}"/>
    <cellStyle name="60% - 강조색5 8 2" xfId="709" xr:uid="{4169ECE4-8DD7-4DBF-B4B3-309616673DD8}"/>
    <cellStyle name="60% - 강조색5 9" xfId="220" xr:uid="{922B3494-236E-4C09-974D-F60AAF6C7BE7}"/>
    <cellStyle name="60% - 강조색5 9 2" xfId="729" xr:uid="{5DB7DA63-63DA-4193-8C42-E17EDA4E3AE2}"/>
    <cellStyle name="60% - 강조색6" xfId="47" builtinId="52" customBuiltin="1"/>
    <cellStyle name="60% - 강조색6 10" xfId="243" xr:uid="{45C2A6A0-CD21-437A-82CA-BC3AD53B6A17}"/>
    <cellStyle name="60% - 강조색6 10 2" xfId="752" xr:uid="{98336A63-22FF-4B82-BA4E-92AFEB3D00FF}"/>
    <cellStyle name="60% - 강조색6 11" xfId="263" xr:uid="{A320767B-703A-471C-8140-F1287F2FFA6B}"/>
    <cellStyle name="60% - 강조색6 11 2" xfId="772" xr:uid="{24BE4F22-D7F1-473C-995E-48EE936A030E}"/>
    <cellStyle name="60% - 강조색6 12" xfId="283" xr:uid="{089059AD-EDC4-453B-8BF0-CD3801C452E4}"/>
    <cellStyle name="60% - 강조색6 12 2" xfId="792" xr:uid="{52FB5475-8589-4768-9DC6-6C0713296A77}"/>
    <cellStyle name="60% - 강조색6 13" xfId="303" xr:uid="{DF5BB59F-4766-4740-8D6D-9EFC37439CE9}"/>
    <cellStyle name="60% - 강조색6 13 2" xfId="812" xr:uid="{6A7B34A2-3B4E-4777-BB95-C43C5C524CE8}"/>
    <cellStyle name="60% - 강조색6 14" xfId="323" xr:uid="{7F342A78-9A20-4FA7-A393-60C2CB5924F1}"/>
    <cellStyle name="60% - 강조색6 14 2" xfId="832" xr:uid="{82D28294-70E6-4AFA-A05B-2125578982F1}"/>
    <cellStyle name="60% - 강조색6 15" xfId="343" xr:uid="{ED88BECD-6E0C-45E7-99FA-A4CDF3CF7ADD}"/>
    <cellStyle name="60% - 강조색6 15 2" xfId="852" xr:uid="{A059DEA5-95B1-4BEA-8064-273FA52F005F}"/>
    <cellStyle name="60% - 강조색6 16" xfId="363" xr:uid="{606700C0-23F4-4BB8-B081-FB2BDB824788}"/>
    <cellStyle name="60% - 강조색6 16 2" xfId="872" xr:uid="{181A734C-47B3-4879-8C47-5C470AAB19D2}"/>
    <cellStyle name="60% - 강조색6 17" xfId="389" xr:uid="{98ABEF48-C9A9-4FB1-89AF-D7BCA9797797}"/>
    <cellStyle name="60% - 강조색6 18" xfId="570" xr:uid="{32FB7696-C81E-46D5-B0FC-D30BFA2E34D4}"/>
    <cellStyle name="60% - 강조색6 2" xfId="83" xr:uid="{17B91430-62BE-4134-AC04-1D7C5943D02F}"/>
    <cellStyle name="60% - 강조색6 2 2" xfId="502" xr:uid="{40DD2FEB-6837-4397-BC84-34C21EF3CECE}"/>
    <cellStyle name="60% - 강조색6 2 3" xfId="413" xr:uid="{F6561503-FFCD-4127-BBAA-5B2B6613A851}"/>
    <cellStyle name="60% - 강조색6 2 4" xfId="592" xr:uid="{255DA1FD-BEE7-4F8A-BC17-11639119DD98}"/>
    <cellStyle name="60% - 강조색6 3" xfId="103" xr:uid="{9331A509-0875-4C0F-8C3D-D5FB52FB4174}"/>
    <cellStyle name="60% - 강조색6 3 2" xfId="524" xr:uid="{010A453F-67A1-4DCF-9D7A-A25B4326044A}"/>
    <cellStyle name="60% - 강조색6 3 3" xfId="435" xr:uid="{5C13AB65-97B5-4556-8BD3-7EB4442C34C2}"/>
    <cellStyle name="60% - 강조색6 3 4" xfId="612" xr:uid="{29C52EEC-F099-49B7-9430-3D4D2D634A4B}"/>
    <cellStyle name="60% - 강조색6 4" xfId="123" xr:uid="{B9658C44-09E3-424D-B22E-7C3FCC9C0806}"/>
    <cellStyle name="60% - 강조색6 4 2" xfId="544" xr:uid="{06484841-F25E-4BB9-AA42-403FC45D952A}"/>
    <cellStyle name="60% - 강조색6 4 3" xfId="455" xr:uid="{BB08A302-3F15-4888-929F-ABD1FD4ACD42}"/>
    <cellStyle name="60% - 강조색6 4 4" xfId="632" xr:uid="{B4524502-F85C-4AD5-8C63-43AF34CBF288}"/>
    <cellStyle name="60% - 강조색6 5" xfId="143" xr:uid="{C1BAFC03-FA40-4450-840A-F36FB1A6041B}"/>
    <cellStyle name="60% - 강조색6 5 2" xfId="480" xr:uid="{E501642A-ABDB-4DDF-B9BA-02481005AFA6}"/>
    <cellStyle name="60% - 강조색6 5 3" xfId="652" xr:uid="{ADAD1CDB-4054-41BE-957D-1C52D0229E60}"/>
    <cellStyle name="60% - 강조색6 6" xfId="163" xr:uid="{1089B983-8593-4207-A1CE-09349D3C4605}"/>
    <cellStyle name="60% - 강조색6 6 2" xfId="672" xr:uid="{D01EDD37-EF65-4D42-B33A-442F24B988FB}"/>
    <cellStyle name="60% - 강조색6 7" xfId="183" xr:uid="{FF60C2DA-079A-4EE1-A9B5-1AD3A9A8D643}"/>
    <cellStyle name="60% - 강조색6 7 2" xfId="692" xr:uid="{A14D46D7-7837-45A9-99D6-229081DFF60E}"/>
    <cellStyle name="60% - 강조색6 8" xfId="203" xr:uid="{1DBB24E1-EC94-4394-B3EB-483F05503DF3}"/>
    <cellStyle name="60% - 강조색6 8 2" xfId="712" xr:uid="{A0E5C70A-C7F9-49B7-AA70-4AD572F19D55}"/>
    <cellStyle name="60% - 강조색6 9" xfId="223" xr:uid="{3EA00A76-CBFA-49F9-B4AE-8BB59E2AEFE3}"/>
    <cellStyle name="60% - 강조색6 9 2" xfId="732" xr:uid="{AB350E2D-E898-486C-A612-3D94255433BB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550" xr:uid="{FC68C470-C98B-5F44-848F-B76C8F78599D}"/>
    <cellStyle name="Normal_Capability Study - IPEG EVT1 0713a.xls" xfId="551" xr:uid="{49465DE1-161D-634F-B5D2-27349DDD8820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강조색1" xfId="24" builtinId="29" customBuiltin="1"/>
    <cellStyle name="강조색2" xfId="28" builtinId="33" customBuiltin="1"/>
    <cellStyle name="강조색3" xfId="32" builtinId="37" customBuiltin="1"/>
    <cellStyle name="강조색4" xfId="36" builtinId="41" customBuiltin="1"/>
    <cellStyle name="강조색5" xfId="40" builtinId="45" customBuiltin="1"/>
    <cellStyle name="강조색6" xfId="44" builtinId="49" customBuiltin="1"/>
    <cellStyle name="경고문" xfId="21" builtinId="11" customBuiltin="1"/>
    <cellStyle name="계산" xfId="18" builtinId="22" customBuiltin="1"/>
    <cellStyle name="나쁨" xfId="14" builtinId="27" customBuiltin="1"/>
    <cellStyle name="나쁨 2" xfId="365" xr:uid="{5D9ED5E1-C801-406D-93E0-2B3591175749}"/>
    <cellStyle name="나쁨 2 2" xfId="391" xr:uid="{C70F563F-FC06-40A1-AD48-03785BD1524A}"/>
    <cellStyle name="메모 10" xfId="205" xr:uid="{F1E6B1A6-DFCC-43B5-938B-AC4EA38735C0}"/>
    <cellStyle name="메모 10 2" xfId="714" xr:uid="{68A82187-4347-4D0C-80D0-24476FFAA0F6}"/>
    <cellStyle name="메모 11" xfId="225" xr:uid="{96156C23-3B33-4EC6-904C-30CD9C6AE460}"/>
    <cellStyle name="메모 11 2" xfId="734" xr:uid="{9859F436-3E1C-40F0-B2A5-590FF0A54B31}"/>
    <cellStyle name="메모 12" xfId="245" xr:uid="{5CB831BA-C7F1-474B-BA74-58288726F36E}"/>
    <cellStyle name="메모 12 2" xfId="754" xr:uid="{42C4191B-DC5C-45C5-B6CE-FB095DECAAAA}"/>
    <cellStyle name="메모 13" xfId="265" xr:uid="{91BBAD60-6ED6-4715-A410-BA21B2B80F9B}"/>
    <cellStyle name="메모 13 2" xfId="774" xr:uid="{74E9F6C8-68A6-4A64-B9D3-5F4F27CC8025}"/>
    <cellStyle name="메모 14" xfId="285" xr:uid="{72C31025-9F67-4651-9FD6-55D175EBD059}"/>
    <cellStyle name="메모 14 2" xfId="794" xr:uid="{07B8E135-0AF5-467F-87B5-63537C34BFBF}"/>
    <cellStyle name="메모 15" xfId="305" xr:uid="{64142A57-8907-4EB8-81F0-21D0FC161584}"/>
    <cellStyle name="메모 15 2" xfId="814" xr:uid="{FF445AD9-E7D2-4286-84CC-343BC8C92070}"/>
    <cellStyle name="메모 16" xfId="325" xr:uid="{429D3280-652F-41CC-BE36-941A19F819E6}"/>
    <cellStyle name="메모 16 2" xfId="834" xr:uid="{491D45BE-0F65-4DED-A5AF-AF7F29461C29}"/>
    <cellStyle name="메모 17" xfId="345" xr:uid="{42ECB233-434C-45FD-A02B-764D46565700}"/>
    <cellStyle name="메모 17 2" xfId="854" xr:uid="{39B3618B-04C1-4E13-9AE9-3C88C5214D58}"/>
    <cellStyle name="메모 2" xfId="63" xr:uid="{C5E085BA-2B59-45F4-9A7F-16FA145D7B84}"/>
    <cellStyle name="메모 2 2" xfId="482" xr:uid="{FB704CBC-BAB0-4670-A9E6-E0283BF91351}"/>
    <cellStyle name="메모 2 3" xfId="393" xr:uid="{C5D93E0F-8386-4AF0-ABD1-968439D79D0E}"/>
    <cellStyle name="메모 2 4" xfId="572" xr:uid="{026B4F2D-D1BF-49AF-8C07-BC6E7516E878}"/>
    <cellStyle name="메모 3" xfId="65" xr:uid="{CF354A69-28DB-401C-A63E-3F347A572426}"/>
    <cellStyle name="메모 3 2" xfId="484" xr:uid="{BBDC7EB5-260D-424C-8DD7-513E7DCE3BBD}"/>
    <cellStyle name="메모 3 3" xfId="395" xr:uid="{61D4FB83-ACEC-46B8-B5B2-5DBC94DB480A}"/>
    <cellStyle name="메모 3 4" xfId="574" xr:uid="{C6ECB0E3-4CCC-4ED4-91E2-E93F39DFC3F4}"/>
    <cellStyle name="메모 4" xfId="85" xr:uid="{775D36BA-F6FE-4815-AEDB-99DCD30B3F80}"/>
    <cellStyle name="메모 4 2" xfId="506" xr:uid="{1ADF72C2-B75F-4AB8-BFFF-5145B5807301}"/>
    <cellStyle name="메모 4 3" xfId="417" xr:uid="{EB27490D-DDCF-482A-B968-6FAD5E061DD1}"/>
    <cellStyle name="메모 4 4" xfId="594" xr:uid="{D8978A63-3C75-4E01-8C31-8DC195C6DE76}"/>
    <cellStyle name="메모 5" xfId="105" xr:uid="{A16EE7B9-2783-46EF-847B-5843EB9314E0}"/>
    <cellStyle name="메모 5 2" xfId="526" xr:uid="{E5E43A79-6704-4660-A04D-74FF9EEB979F}"/>
    <cellStyle name="메모 5 3" xfId="437" xr:uid="{0CF1A916-8178-4EFD-968C-7481B1212F2F}"/>
    <cellStyle name="메모 5 4" xfId="614" xr:uid="{C72EB964-8B00-4F93-BED2-3E308962FC3C}"/>
    <cellStyle name="메모 6" xfId="125" xr:uid="{99D5518B-558D-4D06-8223-349768351A5B}"/>
    <cellStyle name="메모 6 2" xfId="634" xr:uid="{68856318-413A-4955-ACE0-993C7F3C87E3}"/>
    <cellStyle name="메모 7" xfId="145" xr:uid="{46215A0F-5D5F-4A1E-AE77-6F7125E3F5FD}"/>
    <cellStyle name="메모 7 2" xfId="654" xr:uid="{6E91527C-EBC3-4CAC-8FFE-F80B87CAD1A2}"/>
    <cellStyle name="메모 8" xfId="165" xr:uid="{3F7FA357-98BF-476F-AC6F-5346764332E9}"/>
    <cellStyle name="메모 8 2" xfId="674" xr:uid="{886E9986-1A1A-4141-A066-00150CEDE25F}"/>
    <cellStyle name="메모 9" xfId="185" xr:uid="{3BDA0B01-7855-47A6-943B-A22238ECF36D}"/>
    <cellStyle name="메모 9 2" xfId="694" xr:uid="{B6D38397-8652-4019-8F7C-75E5224C21D9}"/>
    <cellStyle name="百分比 3" xfId="2" xr:uid="{D6C95A67-1C7B-404B-8CDF-2921498D764C}"/>
    <cellStyle name="백분율 2" xfId="49" xr:uid="{E41B836F-9572-4D1C-9D74-1056A2A9CD16}"/>
    <cellStyle name="보통" xfId="15" builtinId="28" customBuiltin="1"/>
    <cellStyle name="보통 2" xfId="366" xr:uid="{BC2C249A-3E93-44E4-8AEE-760D3D1DF841}"/>
    <cellStyle name="常规 4" xfId="5" xr:uid="{79A5A741-AEC6-8E4D-AD07-F06A72B84B5A}"/>
    <cellStyle name="常规_8364B 2009415" xfId="48" xr:uid="{0B47AFBD-263D-4B7F-B2E7-B395D86BCEE1}"/>
    <cellStyle name="설명 텍스트" xfId="22" builtinId="53" customBuiltin="1"/>
    <cellStyle name="셀 확인" xfId="20" builtinId="23" customBuiltin="1"/>
    <cellStyle name="쉼표 [0] 2" xfId="7" xr:uid="{404A706B-A3F0-6D4E-AC76-48F566C7C22E}"/>
    <cellStyle name="쉼표 [0] 2 2" xfId="461" xr:uid="{1B7E74B4-C28F-4610-817A-45F8B549949A}"/>
    <cellStyle name="쉼표 [0] 2 3" xfId="370" xr:uid="{E5D55883-C3A2-4387-A923-5128C5ECAB2A}"/>
    <cellStyle name="쉼표 [0] 2 4" xfId="552" xr:uid="{66112C1A-6849-46F0-8E63-BD6FD3E8D338}"/>
    <cellStyle name="연결된 셀" xfId="19" builtinId="24" customBuiltin="1"/>
    <cellStyle name="요약" xfId="23" builtinId="25" customBuiltin="1"/>
    <cellStyle name="一般 3" xfId="1" xr:uid="{CBDF56BD-CEEB-C64C-84C9-24C904CBE56D}"/>
    <cellStyle name="입력" xfId="16" builtinId="20" customBuiltin="1"/>
    <cellStyle name="제목" xfId="8" builtinId="15" customBuiltin="1"/>
    <cellStyle name="제목 1" xfId="9" builtinId="16" customBuiltin="1"/>
    <cellStyle name="제목 2" xfId="10" builtinId="17" customBuiltin="1"/>
    <cellStyle name="제목 3" xfId="11" builtinId="18" customBuiltin="1"/>
    <cellStyle name="제목 4" xfId="12" builtinId="19" customBuiltin="1"/>
    <cellStyle name="좋음" xfId="13" builtinId="26" customBuiltin="1"/>
    <cellStyle name="좋음 2" xfId="390" xr:uid="{FB435918-3BD9-4E26-958B-A85B3F1F5D8A}"/>
    <cellStyle name="좋음 3" xfId="369" xr:uid="{CA08C99A-6038-45A9-91A1-C0E46F1EC9F8}"/>
    <cellStyle name="출력" xfId="17" builtinId="21" customBuiltin="1"/>
    <cellStyle name="표준" xfId="0" builtinId="0"/>
    <cellStyle name="표준 10" xfId="204" xr:uid="{97A0A5AD-B5E0-4681-B396-4D85486E02B2}"/>
    <cellStyle name="표준 10 2" xfId="713" xr:uid="{955D161E-77E0-4C63-847C-EE735606F976}"/>
    <cellStyle name="표준 11" xfId="224" xr:uid="{DCBD210C-C26C-487C-AAFF-E96EFCCBF417}"/>
    <cellStyle name="표준 11 2" xfId="733" xr:uid="{0E2194D9-024D-4D67-B5D9-665A4EBB8232}"/>
    <cellStyle name="표준 12" xfId="244" xr:uid="{88A20BFC-BAA2-4A3D-B20F-C81594BE5818}"/>
    <cellStyle name="표준 12 2" xfId="753" xr:uid="{63C7C731-E73E-491A-A340-8F23EDA372F2}"/>
    <cellStyle name="표준 13" xfId="264" xr:uid="{5A98D856-1E8E-4B48-AB04-D5F9C62DEF9B}"/>
    <cellStyle name="표준 13 2" xfId="773" xr:uid="{EBE4B794-5375-4CAF-8D8E-8DD049C24424}"/>
    <cellStyle name="표준 14" xfId="284" xr:uid="{C1185FA1-2FFE-424F-966F-F35568CDFD2A}"/>
    <cellStyle name="표준 14 2" xfId="793" xr:uid="{E130FC3C-5944-4CFC-BF69-96E0DCC033B0}"/>
    <cellStyle name="표준 15" xfId="304" xr:uid="{34CB0A49-8C75-4926-9182-6D33642A8364}"/>
    <cellStyle name="표준 15 2" xfId="813" xr:uid="{C2800FB7-38A3-4AB6-A3B5-9007096CEC95}"/>
    <cellStyle name="표준 16" xfId="324" xr:uid="{2AF502FC-B8DF-40F3-8A1B-C5F51B61B3E9}"/>
    <cellStyle name="표준 16 2" xfId="833" xr:uid="{159C3143-2FB5-413F-894D-998CB51D5517}"/>
    <cellStyle name="표준 17" xfId="344" xr:uid="{C24D31C8-5BE4-420F-9B14-38B86A495FDF}"/>
    <cellStyle name="표준 17 2" xfId="853" xr:uid="{75E41485-014A-4FAB-96C6-1046A41A1690}"/>
    <cellStyle name="표준 2" xfId="62" xr:uid="{2BCC682B-7B18-403A-8898-3D72D1F92BEA}"/>
    <cellStyle name="표준 2 2" xfId="367" xr:uid="{1DC67D5C-8146-4223-80C5-9B7EF4425AEB}"/>
    <cellStyle name="표준 2 2 2" xfId="415" xr:uid="{EFC590E0-7A1C-472D-93F5-B3EADB0664BB}"/>
    <cellStyle name="표준 2 2 2 2" xfId="460" xr:uid="{7DA5013D-7427-4D90-96C2-639463360429}"/>
    <cellStyle name="표준 2 2 2 2 2" xfId="549" xr:uid="{079B275C-BF86-4196-AE0D-405EB4FACB03}"/>
    <cellStyle name="표준 2 2 2 3" xfId="504" xr:uid="{6DAD66C1-E4AC-4BBE-A1FE-503A53A4FDF9}"/>
    <cellStyle name="표준 2 2 3" xfId="457" xr:uid="{B5A39263-DE4B-4E57-B050-E5A324B10278}"/>
    <cellStyle name="표준 2 2 3 2" xfId="459" xr:uid="{247F17B5-65CF-43DF-A186-FCB7D7F29601}"/>
    <cellStyle name="표준 2 2 3 2 2" xfId="548" xr:uid="{3ACD9B96-7E56-4285-80A4-1E86F66EFBEC}"/>
    <cellStyle name="표준 2 2 3 3" xfId="546" xr:uid="{E3DC9BC1-049A-4FC3-9207-41E99D90B21B}"/>
    <cellStyle name="표준 2 2 4" xfId="414" xr:uid="{C89F3D29-2E0C-47F4-9A46-A116BD896D76}"/>
    <cellStyle name="표준 2 2 4 2" xfId="503" xr:uid="{71977F81-0477-43B7-AAAF-FD2A265748ED}"/>
    <cellStyle name="표준 2 2 5" xfId="462" xr:uid="{9499A087-B6C4-47BD-96F4-146A74C87A97}"/>
    <cellStyle name="표준 2 2 6" xfId="371" xr:uid="{7239C6CA-DD6F-4180-90C1-0EB945B1C000}"/>
    <cellStyle name="표준 2 3" xfId="456" xr:uid="{5946FC3B-7B32-49F1-A90E-4A4ABB8316B7}"/>
    <cellStyle name="표준 2 3 2" xfId="458" xr:uid="{2575BAA0-9450-416B-B113-005EA8BB6FAC}"/>
    <cellStyle name="표준 2 3 2 2" xfId="547" xr:uid="{3677D533-6A2E-48B8-82DE-6769B7BBC21D}"/>
    <cellStyle name="표준 2 3 3" xfId="545" xr:uid="{55DFC2EF-B087-44D8-844E-8EF7AF97E3CD}"/>
    <cellStyle name="표준 2 4" xfId="481" xr:uid="{F43310B0-6FC2-48F6-93B0-0142BC9E4C01}"/>
    <cellStyle name="표준 2 5" xfId="392" xr:uid="{2D0CE1A1-A72D-4C98-820F-AB77B5F9E161}"/>
    <cellStyle name="표준 2 6" xfId="571" xr:uid="{9E8D1FEE-2D58-4508-BE3E-800D54202784}"/>
    <cellStyle name="표준 3" xfId="64" xr:uid="{8A91C379-9E86-4ECE-8FC9-502778FF8674}"/>
    <cellStyle name="표준 3 2" xfId="483" xr:uid="{2EEC2EEC-6AB6-4A83-A2E9-CDA063D9F66C}"/>
    <cellStyle name="표준 3 3" xfId="394" xr:uid="{336441C5-1036-4151-9CDB-2F3D99A6347B}"/>
    <cellStyle name="표준 3 4" xfId="573" xr:uid="{4F76B808-8D9B-4A23-8571-0A66308DE6C9}"/>
    <cellStyle name="표준 4" xfId="84" xr:uid="{D49317C4-0983-47D2-9FEE-B35901E022C0}"/>
    <cellStyle name="표준 4 2" xfId="368" xr:uid="{CA5758E8-F703-4C6A-913F-4E5F7E22DC54}"/>
    <cellStyle name="표준 4 2 2" xfId="505" xr:uid="{AC04F479-A71E-40BA-85DF-325BE012A15A}"/>
    <cellStyle name="표준 4 3" xfId="416" xr:uid="{BAEF1768-C751-4A77-AA25-F0FA04539137}"/>
    <cellStyle name="표준 4 4" xfId="593" xr:uid="{6A27FD58-8D2B-4512-9455-06A2BA365A34}"/>
    <cellStyle name="표준 5" xfId="104" xr:uid="{C846E875-D831-4D02-8B7F-240014E6224A}"/>
    <cellStyle name="표준 5 2" xfId="525" xr:uid="{FE64C625-6F57-438D-A54E-A9786D04387A}"/>
    <cellStyle name="표준 5 3" xfId="436" xr:uid="{F8420713-03CC-4645-914D-5FC06111E58B}"/>
    <cellStyle name="표준 5 4" xfId="613" xr:uid="{42238833-76E6-4D0E-BE19-483B13EBB084}"/>
    <cellStyle name="표준 6" xfId="124" xr:uid="{96BBFF81-0E0D-49A8-8075-BE29211F8FD1}"/>
    <cellStyle name="표준 6 2" xfId="633" xr:uid="{89DC63F8-3011-44AC-8FD5-F35506CABF2D}"/>
    <cellStyle name="표준 7" xfId="144" xr:uid="{CCEE4C6D-6860-49F6-BD89-D6BFB3C97F52}"/>
    <cellStyle name="표준 7 2" xfId="653" xr:uid="{88FB2EA8-E9F5-4101-AB4D-281755685D35}"/>
    <cellStyle name="표준 8" xfId="164" xr:uid="{C8006356-40C1-4BB8-AE4A-A787D7EEC51F}"/>
    <cellStyle name="표준 8 2" xfId="673" xr:uid="{481A40A4-127B-4A91-A634-19BED0DD9430}"/>
    <cellStyle name="표준 9" xfId="184" xr:uid="{546D25E5-03AC-4E09-9A2E-CEA11BAB5BC9}"/>
    <cellStyle name="표준 9 2" xfId="693" xr:uid="{46FF396A-C725-41B0-80FF-44467D0A27B1}"/>
  </cellStyles>
  <dxfs count="10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AEDD9-9054-C74C-9248-A6394F2F970D}">
  <sheetPr codeName="Sheet1"/>
  <dimension ref="A2:J53"/>
  <sheetViews>
    <sheetView showGridLines="0" tabSelected="1" zoomScaleNormal="100" workbookViewId="0">
      <selection activeCell="C5" sqref="C5"/>
    </sheetView>
  </sheetViews>
  <sheetFormatPr defaultColWidth="10.77734375" defaultRowHeight="17.25"/>
  <cols>
    <col min="1" max="1" width="10.77734375" style="16"/>
    <col min="2" max="2" width="13.77734375" style="16" customWidth="1"/>
    <col min="3" max="3" width="30.77734375" style="16" customWidth="1"/>
    <col min="4" max="5" width="25.77734375" style="16" customWidth="1"/>
    <col min="6" max="6" width="13.77734375" style="15" customWidth="1"/>
    <col min="7" max="7" width="10.77734375" style="16"/>
    <col min="8" max="9" width="10.77734375" style="16" customWidth="1"/>
    <col min="10" max="16384" width="10.77734375" style="16"/>
  </cols>
  <sheetData>
    <row r="2" spans="1:10" ht="40.15" customHeight="1">
      <c r="A2" s="9"/>
      <c r="B2" s="157" t="s">
        <v>20</v>
      </c>
      <c r="C2" s="157"/>
      <c r="D2" s="157"/>
      <c r="E2" s="157"/>
      <c r="F2" s="157"/>
      <c r="G2" s="9"/>
      <c r="H2" s="9"/>
      <c r="I2" s="9"/>
      <c r="J2" s="9"/>
    </row>
    <row r="3" spans="1:10" ht="16.149999999999999" customHeight="1">
      <c r="A3" s="9"/>
      <c r="B3" s="1"/>
      <c r="C3" s="1"/>
      <c r="D3" s="1"/>
      <c r="E3" s="1"/>
      <c r="F3" s="1"/>
      <c r="G3" s="9"/>
      <c r="H3" s="9"/>
      <c r="I3" s="9"/>
      <c r="J3" s="9"/>
    </row>
    <row r="4" spans="1:10" ht="16.149999999999999" customHeight="1">
      <c r="A4" s="9"/>
      <c r="B4" s="9"/>
      <c r="C4" s="12" t="s">
        <v>17</v>
      </c>
      <c r="D4" s="9"/>
      <c r="E4" s="12" t="s">
        <v>17</v>
      </c>
      <c r="F4" s="1"/>
      <c r="G4" s="9"/>
      <c r="H4" s="9"/>
      <c r="I4" s="9"/>
      <c r="J4" s="9"/>
    </row>
    <row r="5" spans="1:10" ht="16.149999999999999" customHeight="1">
      <c r="A5" s="9"/>
      <c r="B5" s="2" t="s">
        <v>6</v>
      </c>
      <c r="C5" s="3" t="s">
        <v>23</v>
      </c>
      <c r="D5" s="2" t="s">
        <v>7</v>
      </c>
      <c r="E5" s="5" t="s">
        <v>24</v>
      </c>
      <c r="H5" s="9"/>
      <c r="I5" s="9"/>
      <c r="J5" s="9"/>
    </row>
    <row r="6" spans="1:10" ht="16.149999999999999" customHeight="1">
      <c r="A6" s="1"/>
      <c r="B6" s="2" t="s">
        <v>0</v>
      </c>
      <c r="C6" s="3" t="s">
        <v>22</v>
      </c>
      <c r="D6" s="2" t="s">
        <v>8</v>
      </c>
      <c r="E6" s="5">
        <f>'Shipping Lot List'!B2</f>
        <v>45433</v>
      </c>
      <c r="H6" s="1"/>
      <c r="I6" s="1"/>
      <c r="J6" s="1"/>
    </row>
    <row r="7" spans="1:10">
      <c r="A7" s="4"/>
      <c r="B7" s="2" t="s">
        <v>5</v>
      </c>
      <c r="C7" s="5" t="str">
        <f>'Shipping Lot List'!A2</f>
        <v>817-10263</v>
      </c>
      <c r="D7" s="2" t="s">
        <v>332</v>
      </c>
      <c r="E7" s="84" t="s">
        <v>331</v>
      </c>
      <c r="F7" s="4"/>
      <c r="G7" s="4"/>
      <c r="H7" s="4"/>
    </row>
    <row r="8" spans="1:10" ht="30">
      <c r="A8" s="4"/>
      <c r="B8" s="2" t="s">
        <v>21</v>
      </c>
      <c r="C8" s="22" t="s">
        <v>330</v>
      </c>
      <c r="D8" s="2" t="s">
        <v>4</v>
      </c>
      <c r="E8" s="20">
        <f>SUM('Shipping Lot List'!H:H)</f>
        <v>21600</v>
      </c>
      <c r="F8" s="13" t="s">
        <v>17</v>
      </c>
      <c r="H8" s="4"/>
      <c r="I8" s="4"/>
      <c r="J8" s="4"/>
    </row>
    <row r="9" spans="1:10">
      <c r="A9" s="4"/>
      <c r="B9" s="2" t="s">
        <v>1</v>
      </c>
      <c r="C9" s="151" t="str">
        <f>'Shipping Lot List'!C2</f>
        <v>MP</v>
      </c>
      <c r="D9" s="2" t="s">
        <v>3</v>
      </c>
      <c r="E9" s="20">
        <v>0</v>
      </c>
      <c r="F9" s="158" t="s">
        <v>18</v>
      </c>
      <c r="H9" s="4"/>
      <c r="I9" s="4"/>
      <c r="J9" s="4"/>
    </row>
    <row r="10" spans="1:10">
      <c r="A10" s="4"/>
      <c r="B10" s="2" t="s">
        <v>25</v>
      </c>
      <c r="C10" s="3"/>
      <c r="D10" s="2" t="s">
        <v>2</v>
      </c>
      <c r="E10" s="20">
        <f>E8</f>
        <v>21600</v>
      </c>
      <c r="F10" s="158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59" t="s">
        <v>17</v>
      </c>
      <c r="C12" s="159"/>
      <c r="D12" s="159"/>
      <c r="E12" s="159"/>
      <c r="F12" s="159"/>
      <c r="G12" s="4"/>
      <c r="H12" s="4"/>
      <c r="I12" s="4"/>
      <c r="J12" s="4"/>
    </row>
    <row r="13" spans="1:10">
      <c r="A13" s="4"/>
      <c r="B13" s="18" t="s">
        <v>16</v>
      </c>
      <c r="C13" s="18" t="s">
        <v>15</v>
      </c>
      <c r="D13" s="18" t="s">
        <v>9</v>
      </c>
      <c r="E13" s="18" t="s">
        <v>10</v>
      </c>
      <c r="F13" s="18" t="s">
        <v>14</v>
      </c>
      <c r="G13" s="4"/>
      <c r="H13" s="4"/>
      <c r="I13" s="6"/>
      <c r="J13" s="6"/>
    </row>
    <row r="14" spans="1:10">
      <c r="A14" s="11"/>
      <c r="B14" s="160" t="s">
        <v>11</v>
      </c>
      <c r="C14" s="7"/>
      <c r="D14" s="14"/>
      <c r="E14" s="19"/>
      <c r="F14" s="21"/>
    </row>
    <row r="15" spans="1:10">
      <c r="A15" s="11"/>
      <c r="B15" s="160"/>
      <c r="C15" s="7"/>
      <c r="D15" s="8"/>
      <c r="E15" s="10"/>
      <c r="F15" s="14"/>
    </row>
    <row r="16" spans="1:10">
      <c r="A16" s="11"/>
      <c r="B16" s="160"/>
      <c r="C16" s="7"/>
      <c r="D16" s="8"/>
      <c r="E16" s="10"/>
      <c r="F16" s="14"/>
    </row>
    <row r="17" spans="1:6">
      <c r="A17" s="11"/>
      <c r="B17" s="160"/>
      <c r="C17" s="7"/>
      <c r="D17" s="8"/>
      <c r="E17" s="10"/>
      <c r="F17" s="14"/>
    </row>
    <row r="18" spans="1:6">
      <c r="A18" s="11"/>
      <c r="B18" s="160"/>
      <c r="C18" s="7"/>
      <c r="D18" s="8"/>
      <c r="E18" s="10"/>
      <c r="F18" s="14"/>
    </row>
    <row r="19" spans="1:6">
      <c r="A19" s="11"/>
      <c r="B19" s="160"/>
      <c r="C19" s="7"/>
      <c r="D19" s="8"/>
      <c r="E19" s="10"/>
      <c r="F19" s="14"/>
    </row>
    <row r="20" spans="1:6">
      <c r="A20" s="11"/>
      <c r="B20" s="160"/>
      <c r="C20" s="7"/>
      <c r="D20" s="8"/>
      <c r="E20" s="10"/>
      <c r="F20" s="14"/>
    </row>
    <row r="21" spans="1:6">
      <c r="A21" s="11"/>
      <c r="B21" s="160"/>
      <c r="C21" s="7"/>
      <c r="D21" s="8"/>
      <c r="E21" s="10"/>
      <c r="F21" s="14"/>
    </row>
    <row r="22" spans="1:6">
      <c r="A22" s="11"/>
      <c r="B22" s="160"/>
      <c r="C22" s="7"/>
      <c r="D22" s="8"/>
      <c r="E22" s="10"/>
      <c r="F22" s="14"/>
    </row>
    <row r="23" spans="1:6">
      <c r="A23" s="11"/>
      <c r="B23" s="160"/>
      <c r="C23" s="7"/>
      <c r="D23" s="8"/>
      <c r="E23" s="10"/>
      <c r="F23" s="14"/>
    </row>
    <row r="24" spans="1:6">
      <c r="A24" s="11"/>
      <c r="B24" s="160" t="s">
        <v>12</v>
      </c>
      <c r="C24" s="7"/>
      <c r="D24" s="14"/>
      <c r="E24" s="19"/>
      <c r="F24" s="21"/>
    </row>
    <row r="25" spans="1:6">
      <c r="A25" s="11"/>
      <c r="B25" s="160"/>
      <c r="C25" s="7"/>
      <c r="D25" s="14"/>
      <c r="E25" s="19"/>
      <c r="F25" s="21"/>
    </row>
    <row r="26" spans="1:6">
      <c r="A26" s="11"/>
      <c r="B26" s="160"/>
      <c r="C26" s="7"/>
      <c r="D26" s="14"/>
      <c r="E26" s="19"/>
      <c r="F26" s="14"/>
    </row>
    <row r="27" spans="1:6">
      <c r="A27" s="17"/>
      <c r="B27" s="160"/>
      <c r="C27" s="7"/>
      <c r="D27" s="14"/>
      <c r="E27" s="19"/>
      <c r="F27" s="14"/>
    </row>
    <row r="28" spans="1:6">
      <c r="A28" s="17"/>
      <c r="B28" s="160"/>
      <c r="C28" s="7"/>
      <c r="D28" s="14"/>
      <c r="E28" s="19"/>
      <c r="F28" s="14"/>
    </row>
    <row r="29" spans="1:6">
      <c r="A29" s="17"/>
      <c r="B29" s="160"/>
      <c r="C29" s="7"/>
      <c r="D29" s="14"/>
      <c r="E29" s="19"/>
      <c r="F29" s="14"/>
    </row>
    <row r="30" spans="1:6">
      <c r="A30" s="17"/>
      <c r="B30" s="160"/>
      <c r="C30" s="7"/>
      <c r="D30" s="14"/>
      <c r="E30" s="19"/>
      <c r="F30" s="14"/>
    </row>
    <row r="31" spans="1:6">
      <c r="A31" s="17"/>
      <c r="B31" s="160"/>
      <c r="C31" s="7"/>
      <c r="D31" s="14"/>
      <c r="E31" s="19"/>
      <c r="F31" s="14"/>
    </row>
    <row r="32" spans="1:6">
      <c r="A32" s="17"/>
      <c r="B32" s="160"/>
      <c r="C32" s="7"/>
      <c r="D32" s="14"/>
      <c r="E32" s="19"/>
      <c r="F32" s="14"/>
    </row>
    <row r="33" spans="1:6">
      <c r="A33" s="17"/>
      <c r="B33" s="160"/>
      <c r="C33" s="7"/>
      <c r="D33" s="14"/>
      <c r="E33" s="19"/>
      <c r="F33" s="14"/>
    </row>
    <row r="34" spans="1:6">
      <c r="A34" s="17"/>
      <c r="B34" s="160" t="s">
        <v>13</v>
      </c>
      <c r="C34" s="7"/>
      <c r="D34" s="8"/>
      <c r="E34" s="8"/>
      <c r="F34" s="14"/>
    </row>
    <row r="35" spans="1:6">
      <c r="A35" s="17"/>
      <c r="B35" s="160"/>
      <c r="C35" s="7"/>
      <c r="D35" s="8"/>
      <c r="E35" s="8"/>
      <c r="F35" s="14"/>
    </row>
    <row r="36" spans="1:6">
      <c r="A36" s="17"/>
      <c r="B36" s="160"/>
      <c r="C36" s="7"/>
      <c r="D36" s="8"/>
      <c r="E36" s="8"/>
      <c r="F36" s="14"/>
    </row>
    <row r="37" spans="1:6">
      <c r="A37" s="17"/>
      <c r="B37" s="160"/>
      <c r="C37" s="7"/>
      <c r="D37" s="8"/>
      <c r="E37" s="8"/>
      <c r="F37" s="14"/>
    </row>
    <row r="38" spans="1:6">
      <c r="A38" s="17"/>
      <c r="B38" s="160"/>
      <c r="C38" s="7"/>
      <c r="D38" s="8"/>
      <c r="E38" s="8"/>
      <c r="F38" s="14"/>
    </row>
    <row r="39" spans="1:6">
      <c r="A39" s="17"/>
      <c r="B39" s="160"/>
      <c r="C39" s="7"/>
      <c r="D39" s="8"/>
      <c r="E39" s="8"/>
      <c r="F39" s="14"/>
    </row>
    <row r="40" spans="1:6">
      <c r="A40" s="17"/>
      <c r="B40" s="160"/>
      <c r="C40" s="7"/>
      <c r="D40" s="8"/>
      <c r="E40" s="8"/>
      <c r="F40" s="14"/>
    </row>
    <row r="41" spans="1:6">
      <c r="A41" s="17"/>
      <c r="B41" s="160"/>
      <c r="C41" s="7"/>
      <c r="D41" s="8"/>
      <c r="E41" s="8"/>
      <c r="F41" s="14"/>
    </row>
    <row r="42" spans="1:6">
      <c r="A42" s="17"/>
      <c r="B42" s="160"/>
      <c r="C42" s="7"/>
      <c r="D42" s="8"/>
      <c r="E42" s="8"/>
      <c r="F42" s="14"/>
    </row>
    <row r="43" spans="1:6">
      <c r="A43" s="17"/>
      <c r="B43" s="160"/>
      <c r="C43" s="7"/>
      <c r="D43" s="8"/>
      <c r="E43" s="8"/>
      <c r="F43" s="14"/>
    </row>
    <row r="44" spans="1:6">
      <c r="B44" s="156" t="s">
        <v>19</v>
      </c>
      <c r="C44" s="7"/>
      <c r="D44" s="8"/>
      <c r="E44" s="8"/>
      <c r="F44" s="14"/>
    </row>
    <row r="45" spans="1:6">
      <c r="B45" s="156"/>
      <c r="C45" s="7"/>
      <c r="D45" s="8"/>
      <c r="E45" s="8"/>
      <c r="F45" s="14"/>
    </row>
    <row r="46" spans="1:6">
      <c r="B46" s="156"/>
      <c r="C46" s="7"/>
      <c r="D46" s="8"/>
      <c r="E46" s="8"/>
      <c r="F46" s="14"/>
    </row>
    <row r="47" spans="1:6">
      <c r="B47" s="156"/>
      <c r="C47" s="7"/>
      <c r="D47" s="8"/>
      <c r="E47" s="8"/>
      <c r="F47" s="14"/>
    </row>
    <row r="48" spans="1:6">
      <c r="B48" s="156"/>
      <c r="C48" s="7"/>
      <c r="D48" s="8"/>
      <c r="E48" s="8"/>
      <c r="F48" s="14"/>
    </row>
    <row r="49" spans="2:6">
      <c r="B49" s="156"/>
      <c r="C49" s="7"/>
      <c r="D49" s="8"/>
      <c r="E49" s="8"/>
      <c r="F49" s="14"/>
    </row>
    <row r="50" spans="2:6">
      <c r="B50" s="156"/>
      <c r="C50" s="7"/>
      <c r="D50" s="8"/>
      <c r="E50" s="8"/>
      <c r="F50" s="14"/>
    </row>
    <row r="51" spans="2:6">
      <c r="B51" s="156"/>
      <c r="C51" s="7"/>
      <c r="D51" s="8"/>
      <c r="E51" s="8"/>
      <c r="F51" s="14"/>
    </row>
    <row r="52" spans="2:6">
      <c r="B52" s="156"/>
      <c r="C52" s="7"/>
      <c r="D52" s="8"/>
      <c r="E52" s="8"/>
      <c r="F52" s="14"/>
    </row>
    <row r="53" spans="2:6">
      <c r="B53" s="156"/>
      <c r="C53" s="7"/>
      <c r="D53" s="8"/>
      <c r="E53" s="8"/>
      <c r="F53" s="14"/>
    </row>
  </sheetData>
  <mergeCells count="7">
    <mergeCell ref="B44:B53"/>
    <mergeCell ref="B2:F2"/>
    <mergeCell ref="F9:F10"/>
    <mergeCell ref="B12:F12"/>
    <mergeCell ref="B14:B23"/>
    <mergeCell ref="B24:B33"/>
    <mergeCell ref="B34:B43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6F1E-139F-1146-B912-6C6ACED04375}">
  <sheetPr codeName="Sheet2"/>
  <dimension ref="A1:I46"/>
  <sheetViews>
    <sheetView showGridLines="0" zoomScale="85" zoomScaleNormal="85" workbookViewId="0">
      <selection activeCell="C40" sqref="C40"/>
    </sheetView>
  </sheetViews>
  <sheetFormatPr defaultColWidth="10.77734375" defaultRowHeight="17.25"/>
  <cols>
    <col min="1" max="2" width="17.5546875" style="68" customWidth="1"/>
    <col min="3" max="3" width="13.5546875" style="68" customWidth="1"/>
    <col min="4" max="4" width="40.44140625" style="68" bestFit="1" customWidth="1"/>
    <col min="5" max="5" width="17.5546875" style="68" customWidth="1"/>
    <col min="6" max="6" width="13.5546875" style="68" customWidth="1"/>
    <col min="7" max="7" width="13.5546875" style="69" customWidth="1"/>
    <col min="8" max="9" width="13.5546875" style="68" customWidth="1"/>
    <col min="10" max="16384" width="10.77734375" style="68"/>
  </cols>
  <sheetData>
    <row r="1" spans="1:9">
      <c r="A1" s="77" t="s">
        <v>319</v>
      </c>
      <c r="B1" s="77" t="s">
        <v>320</v>
      </c>
      <c r="C1" s="78" t="s">
        <v>321</v>
      </c>
      <c r="D1" s="79" t="s">
        <v>322</v>
      </c>
      <c r="E1" s="79" t="s">
        <v>323</v>
      </c>
      <c r="F1" s="80" t="s">
        <v>324</v>
      </c>
      <c r="G1" s="79" t="s">
        <v>327</v>
      </c>
      <c r="H1" s="79" t="s">
        <v>328</v>
      </c>
      <c r="I1" s="78" t="s">
        <v>325</v>
      </c>
    </row>
    <row r="2" spans="1:9" ht="19.149999999999999" customHeight="1">
      <c r="A2" s="77" t="s">
        <v>329</v>
      </c>
      <c r="B2" s="77">
        <v>45433</v>
      </c>
      <c r="C2" s="78" t="s">
        <v>333</v>
      </c>
      <c r="D2" s="78" t="s">
        <v>334</v>
      </c>
      <c r="E2" s="162" t="s">
        <v>335</v>
      </c>
      <c r="F2" s="162">
        <v>5760</v>
      </c>
      <c r="G2" s="81">
        <v>5</v>
      </c>
      <c r="H2" s="82">
        <v>480</v>
      </c>
      <c r="I2" s="78" t="s">
        <v>326</v>
      </c>
    </row>
    <row r="3" spans="1:9">
      <c r="A3" s="77" t="s">
        <v>329</v>
      </c>
      <c r="B3" s="77">
        <v>45433</v>
      </c>
      <c r="C3" s="78" t="s">
        <v>333</v>
      </c>
      <c r="D3" s="79" t="s">
        <v>336</v>
      </c>
      <c r="E3" s="162"/>
      <c r="F3" s="162"/>
      <c r="G3" s="83">
        <v>6</v>
      </c>
      <c r="H3" s="79">
        <v>480</v>
      </c>
      <c r="I3" s="78" t="s">
        <v>326</v>
      </c>
    </row>
    <row r="4" spans="1:9">
      <c r="A4" s="77" t="s">
        <v>329</v>
      </c>
      <c r="B4" s="77">
        <v>45433</v>
      </c>
      <c r="C4" s="78" t="s">
        <v>333</v>
      </c>
      <c r="D4" s="79" t="s">
        <v>337</v>
      </c>
      <c r="E4" s="162"/>
      <c r="F4" s="162"/>
      <c r="G4" s="83">
        <v>5</v>
      </c>
      <c r="H4" s="79">
        <v>480</v>
      </c>
      <c r="I4" s="78" t="s">
        <v>326</v>
      </c>
    </row>
    <row r="5" spans="1:9">
      <c r="A5" s="77" t="s">
        <v>329</v>
      </c>
      <c r="B5" s="77">
        <v>45433</v>
      </c>
      <c r="C5" s="78" t="s">
        <v>333</v>
      </c>
      <c r="D5" s="79" t="s">
        <v>338</v>
      </c>
      <c r="E5" s="162"/>
      <c r="F5" s="162"/>
      <c r="G5" s="83">
        <v>7</v>
      </c>
      <c r="H5" s="79">
        <v>480</v>
      </c>
      <c r="I5" s="78" t="s">
        <v>326</v>
      </c>
    </row>
    <row r="6" spans="1:9">
      <c r="A6" s="77" t="s">
        <v>329</v>
      </c>
      <c r="B6" s="77">
        <v>45433</v>
      </c>
      <c r="C6" s="78" t="s">
        <v>333</v>
      </c>
      <c r="D6" s="79" t="s">
        <v>339</v>
      </c>
      <c r="E6" s="162"/>
      <c r="F6" s="162"/>
      <c r="G6" s="83">
        <v>6</v>
      </c>
      <c r="H6" s="79">
        <v>480</v>
      </c>
      <c r="I6" s="78" t="s">
        <v>326</v>
      </c>
    </row>
    <row r="7" spans="1:9">
      <c r="A7" s="77" t="s">
        <v>329</v>
      </c>
      <c r="B7" s="77">
        <v>45433</v>
      </c>
      <c r="C7" s="78" t="s">
        <v>333</v>
      </c>
      <c r="D7" s="79" t="s">
        <v>340</v>
      </c>
      <c r="E7" s="162"/>
      <c r="F7" s="162"/>
      <c r="G7" s="83">
        <v>6</v>
      </c>
      <c r="H7" s="79">
        <v>480</v>
      </c>
      <c r="I7" s="78" t="s">
        <v>326</v>
      </c>
    </row>
    <row r="8" spans="1:9">
      <c r="A8" s="77" t="s">
        <v>329</v>
      </c>
      <c r="B8" s="77">
        <v>45433</v>
      </c>
      <c r="C8" s="78" t="s">
        <v>333</v>
      </c>
      <c r="D8" s="79" t="s">
        <v>341</v>
      </c>
      <c r="E8" s="162"/>
      <c r="F8" s="162"/>
      <c r="G8" s="83">
        <v>6</v>
      </c>
      <c r="H8" s="79">
        <v>480</v>
      </c>
      <c r="I8" s="78" t="s">
        <v>326</v>
      </c>
    </row>
    <row r="9" spans="1:9">
      <c r="A9" s="77" t="s">
        <v>329</v>
      </c>
      <c r="B9" s="77">
        <v>45433</v>
      </c>
      <c r="C9" s="78" t="s">
        <v>333</v>
      </c>
      <c r="D9" s="79" t="s">
        <v>342</v>
      </c>
      <c r="E9" s="162"/>
      <c r="F9" s="162"/>
      <c r="G9" s="83">
        <v>6</v>
      </c>
      <c r="H9" s="79">
        <v>480</v>
      </c>
      <c r="I9" s="78" t="s">
        <v>326</v>
      </c>
    </row>
    <row r="10" spans="1:9">
      <c r="A10" s="77" t="s">
        <v>329</v>
      </c>
      <c r="B10" s="77">
        <v>45433</v>
      </c>
      <c r="C10" s="78" t="s">
        <v>333</v>
      </c>
      <c r="D10" s="79" t="s">
        <v>343</v>
      </c>
      <c r="E10" s="162"/>
      <c r="F10" s="162"/>
      <c r="G10" s="83">
        <v>5</v>
      </c>
      <c r="H10" s="79">
        <v>480</v>
      </c>
      <c r="I10" s="78" t="s">
        <v>326</v>
      </c>
    </row>
    <row r="11" spans="1:9">
      <c r="A11" s="77" t="s">
        <v>329</v>
      </c>
      <c r="B11" s="77">
        <v>45433</v>
      </c>
      <c r="C11" s="78" t="s">
        <v>333</v>
      </c>
      <c r="D11" s="79" t="s">
        <v>344</v>
      </c>
      <c r="E11" s="162"/>
      <c r="F11" s="162"/>
      <c r="G11" s="83">
        <v>5</v>
      </c>
      <c r="H11" s="79">
        <v>480</v>
      </c>
      <c r="I11" s="78" t="s">
        <v>326</v>
      </c>
    </row>
    <row r="12" spans="1:9">
      <c r="A12" s="77" t="s">
        <v>329</v>
      </c>
      <c r="B12" s="77">
        <v>45433</v>
      </c>
      <c r="C12" s="78" t="s">
        <v>333</v>
      </c>
      <c r="D12" s="79" t="s">
        <v>345</v>
      </c>
      <c r="E12" s="162"/>
      <c r="F12" s="162"/>
      <c r="G12" s="83">
        <v>6</v>
      </c>
      <c r="H12" s="79">
        <v>480</v>
      </c>
      <c r="I12" s="78" t="s">
        <v>326</v>
      </c>
    </row>
    <row r="13" spans="1:9">
      <c r="A13" s="77" t="s">
        <v>329</v>
      </c>
      <c r="B13" s="77">
        <v>45433</v>
      </c>
      <c r="C13" s="78" t="s">
        <v>333</v>
      </c>
      <c r="D13" s="79" t="s">
        <v>346</v>
      </c>
      <c r="E13" s="162"/>
      <c r="F13" s="162"/>
      <c r="G13" s="83">
        <v>5</v>
      </c>
      <c r="H13" s="79">
        <v>480</v>
      </c>
      <c r="I13" s="78" t="s">
        <v>326</v>
      </c>
    </row>
    <row r="14" spans="1:9">
      <c r="A14" s="77" t="s">
        <v>329</v>
      </c>
      <c r="B14" s="77">
        <v>45433</v>
      </c>
      <c r="C14" s="78" t="s">
        <v>333</v>
      </c>
      <c r="D14" s="79" t="s">
        <v>347</v>
      </c>
      <c r="E14" s="161" t="s">
        <v>348</v>
      </c>
      <c r="F14" s="161">
        <v>5760</v>
      </c>
      <c r="G14" s="83">
        <v>5</v>
      </c>
      <c r="H14" s="79">
        <v>480</v>
      </c>
      <c r="I14" s="78" t="s">
        <v>326</v>
      </c>
    </row>
    <row r="15" spans="1:9">
      <c r="A15" s="77" t="s">
        <v>329</v>
      </c>
      <c r="B15" s="77">
        <v>45433</v>
      </c>
      <c r="C15" s="78" t="s">
        <v>333</v>
      </c>
      <c r="D15" s="79" t="s">
        <v>349</v>
      </c>
      <c r="E15" s="161"/>
      <c r="F15" s="161"/>
      <c r="G15" s="83">
        <v>6</v>
      </c>
      <c r="H15" s="79">
        <v>480</v>
      </c>
      <c r="I15" s="78" t="s">
        <v>326</v>
      </c>
    </row>
    <row r="16" spans="1:9">
      <c r="A16" s="77" t="s">
        <v>329</v>
      </c>
      <c r="B16" s="77">
        <v>45433</v>
      </c>
      <c r="C16" s="78" t="s">
        <v>333</v>
      </c>
      <c r="D16" s="79" t="s">
        <v>350</v>
      </c>
      <c r="E16" s="161"/>
      <c r="F16" s="161"/>
      <c r="G16" s="83">
        <v>5</v>
      </c>
      <c r="H16" s="79">
        <v>480</v>
      </c>
      <c r="I16" s="78" t="s">
        <v>326</v>
      </c>
    </row>
    <row r="17" spans="1:9">
      <c r="A17" s="77" t="s">
        <v>329</v>
      </c>
      <c r="B17" s="77">
        <v>45433</v>
      </c>
      <c r="C17" s="78" t="s">
        <v>333</v>
      </c>
      <c r="D17" s="79" t="s">
        <v>351</v>
      </c>
      <c r="E17" s="161"/>
      <c r="F17" s="161"/>
      <c r="G17" s="83">
        <v>6</v>
      </c>
      <c r="H17" s="79">
        <v>480</v>
      </c>
      <c r="I17" s="78" t="s">
        <v>326</v>
      </c>
    </row>
    <row r="18" spans="1:9">
      <c r="A18" s="77" t="s">
        <v>329</v>
      </c>
      <c r="B18" s="77">
        <v>45433</v>
      </c>
      <c r="C18" s="78" t="s">
        <v>333</v>
      </c>
      <c r="D18" s="79" t="s">
        <v>352</v>
      </c>
      <c r="E18" s="161"/>
      <c r="F18" s="161"/>
      <c r="G18" s="83">
        <v>7</v>
      </c>
      <c r="H18" s="79">
        <v>480</v>
      </c>
      <c r="I18" s="78" t="s">
        <v>326</v>
      </c>
    </row>
    <row r="19" spans="1:9">
      <c r="A19" s="77" t="s">
        <v>329</v>
      </c>
      <c r="B19" s="77">
        <v>45433</v>
      </c>
      <c r="C19" s="78" t="s">
        <v>333</v>
      </c>
      <c r="D19" s="79" t="s">
        <v>353</v>
      </c>
      <c r="E19" s="161"/>
      <c r="F19" s="161"/>
      <c r="G19" s="83">
        <v>5</v>
      </c>
      <c r="H19" s="79">
        <v>480</v>
      </c>
      <c r="I19" s="78" t="s">
        <v>326</v>
      </c>
    </row>
    <row r="20" spans="1:9">
      <c r="A20" s="77" t="s">
        <v>329</v>
      </c>
      <c r="B20" s="77">
        <v>45433</v>
      </c>
      <c r="C20" s="78" t="s">
        <v>333</v>
      </c>
      <c r="D20" s="79" t="s">
        <v>354</v>
      </c>
      <c r="E20" s="161"/>
      <c r="F20" s="161"/>
      <c r="G20" s="83">
        <v>7</v>
      </c>
      <c r="H20" s="79">
        <v>480</v>
      </c>
      <c r="I20" s="78" t="s">
        <v>326</v>
      </c>
    </row>
    <row r="21" spans="1:9">
      <c r="A21" s="77" t="s">
        <v>329</v>
      </c>
      <c r="B21" s="77">
        <v>45433</v>
      </c>
      <c r="C21" s="78" t="s">
        <v>333</v>
      </c>
      <c r="D21" s="79" t="s">
        <v>355</v>
      </c>
      <c r="E21" s="161"/>
      <c r="F21" s="161"/>
      <c r="G21" s="83">
        <v>5</v>
      </c>
      <c r="H21" s="79">
        <v>480</v>
      </c>
      <c r="I21" s="78" t="s">
        <v>326</v>
      </c>
    </row>
    <row r="22" spans="1:9">
      <c r="A22" s="77" t="s">
        <v>329</v>
      </c>
      <c r="B22" s="77">
        <v>45433</v>
      </c>
      <c r="C22" s="78" t="s">
        <v>333</v>
      </c>
      <c r="D22" s="79" t="s">
        <v>356</v>
      </c>
      <c r="E22" s="161"/>
      <c r="F22" s="161"/>
      <c r="G22" s="83">
        <v>5</v>
      </c>
      <c r="H22" s="79">
        <v>480</v>
      </c>
      <c r="I22" s="78" t="s">
        <v>326</v>
      </c>
    </row>
    <row r="23" spans="1:9">
      <c r="A23" s="77" t="s">
        <v>329</v>
      </c>
      <c r="B23" s="77">
        <v>45433</v>
      </c>
      <c r="C23" s="78" t="s">
        <v>333</v>
      </c>
      <c r="D23" s="79" t="s">
        <v>357</v>
      </c>
      <c r="E23" s="161"/>
      <c r="F23" s="161"/>
      <c r="G23" s="83">
        <v>6</v>
      </c>
      <c r="H23" s="79">
        <v>480</v>
      </c>
      <c r="I23" s="78" t="s">
        <v>326</v>
      </c>
    </row>
    <row r="24" spans="1:9">
      <c r="A24" s="77" t="s">
        <v>329</v>
      </c>
      <c r="B24" s="77">
        <v>45433</v>
      </c>
      <c r="C24" s="78" t="s">
        <v>333</v>
      </c>
      <c r="D24" s="79" t="s">
        <v>358</v>
      </c>
      <c r="E24" s="161"/>
      <c r="F24" s="161"/>
      <c r="G24" s="83">
        <v>6</v>
      </c>
      <c r="H24" s="79">
        <v>480</v>
      </c>
      <c r="I24" s="78" t="s">
        <v>326</v>
      </c>
    </row>
    <row r="25" spans="1:9">
      <c r="A25" s="77" t="s">
        <v>329</v>
      </c>
      <c r="B25" s="77">
        <v>45433</v>
      </c>
      <c r="C25" s="78" t="s">
        <v>333</v>
      </c>
      <c r="D25" s="79" t="s">
        <v>359</v>
      </c>
      <c r="E25" s="161"/>
      <c r="F25" s="161"/>
      <c r="G25" s="83">
        <v>5</v>
      </c>
      <c r="H25" s="79">
        <v>480</v>
      </c>
      <c r="I25" s="78" t="s">
        <v>326</v>
      </c>
    </row>
    <row r="26" spans="1:9">
      <c r="A26" s="77" t="s">
        <v>329</v>
      </c>
      <c r="B26" s="77">
        <v>45433</v>
      </c>
      <c r="C26" s="78" t="s">
        <v>333</v>
      </c>
      <c r="D26" s="79" t="s">
        <v>360</v>
      </c>
      <c r="E26" s="161" t="s">
        <v>361</v>
      </c>
      <c r="F26" s="161">
        <v>5760</v>
      </c>
      <c r="G26" s="83">
        <v>5</v>
      </c>
      <c r="H26" s="79">
        <v>480</v>
      </c>
      <c r="I26" s="78" t="s">
        <v>326</v>
      </c>
    </row>
    <row r="27" spans="1:9">
      <c r="A27" s="77" t="s">
        <v>329</v>
      </c>
      <c r="B27" s="77">
        <v>45433</v>
      </c>
      <c r="C27" s="78" t="s">
        <v>333</v>
      </c>
      <c r="D27" s="79" t="s">
        <v>362</v>
      </c>
      <c r="E27" s="161"/>
      <c r="F27" s="161"/>
      <c r="G27" s="83">
        <v>5</v>
      </c>
      <c r="H27" s="79">
        <v>480</v>
      </c>
      <c r="I27" s="78" t="s">
        <v>326</v>
      </c>
    </row>
    <row r="28" spans="1:9">
      <c r="A28" s="77" t="s">
        <v>329</v>
      </c>
      <c r="B28" s="77">
        <v>45433</v>
      </c>
      <c r="C28" s="78" t="s">
        <v>333</v>
      </c>
      <c r="D28" s="79" t="s">
        <v>363</v>
      </c>
      <c r="E28" s="161"/>
      <c r="F28" s="161"/>
      <c r="G28" s="83">
        <v>7</v>
      </c>
      <c r="H28" s="79">
        <v>480</v>
      </c>
      <c r="I28" s="78" t="s">
        <v>326</v>
      </c>
    </row>
    <row r="29" spans="1:9">
      <c r="A29" s="77" t="s">
        <v>329</v>
      </c>
      <c r="B29" s="77">
        <v>45433</v>
      </c>
      <c r="C29" s="78" t="s">
        <v>333</v>
      </c>
      <c r="D29" s="79" t="s">
        <v>364</v>
      </c>
      <c r="E29" s="161"/>
      <c r="F29" s="161"/>
      <c r="G29" s="83">
        <v>7</v>
      </c>
      <c r="H29" s="79">
        <v>480</v>
      </c>
      <c r="I29" s="78" t="s">
        <v>326</v>
      </c>
    </row>
    <row r="30" spans="1:9">
      <c r="A30" s="77" t="s">
        <v>329</v>
      </c>
      <c r="B30" s="77">
        <v>45433</v>
      </c>
      <c r="C30" s="78" t="s">
        <v>333</v>
      </c>
      <c r="D30" s="79" t="s">
        <v>365</v>
      </c>
      <c r="E30" s="161"/>
      <c r="F30" s="161"/>
      <c r="G30" s="83">
        <v>8</v>
      </c>
      <c r="H30" s="79">
        <v>480</v>
      </c>
      <c r="I30" s="78" t="s">
        <v>326</v>
      </c>
    </row>
    <row r="31" spans="1:9">
      <c r="A31" s="77" t="s">
        <v>329</v>
      </c>
      <c r="B31" s="77">
        <v>45433</v>
      </c>
      <c r="C31" s="78" t="s">
        <v>333</v>
      </c>
      <c r="D31" s="79" t="s">
        <v>366</v>
      </c>
      <c r="E31" s="161"/>
      <c r="F31" s="161"/>
      <c r="G31" s="83">
        <v>5</v>
      </c>
      <c r="H31" s="79">
        <v>480</v>
      </c>
      <c r="I31" s="78" t="s">
        <v>326</v>
      </c>
    </row>
    <row r="32" spans="1:9">
      <c r="A32" s="77" t="s">
        <v>329</v>
      </c>
      <c r="B32" s="77">
        <v>45433</v>
      </c>
      <c r="C32" s="78" t="s">
        <v>333</v>
      </c>
      <c r="D32" s="79" t="s">
        <v>367</v>
      </c>
      <c r="E32" s="161"/>
      <c r="F32" s="161"/>
      <c r="G32" s="83">
        <v>7</v>
      </c>
      <c r="H32" s="79">
        <v>480</v>
      </c>
      <c r="I32" s="78" t="s">
        <v>326</v>
      </c>
    </row>
    <row r="33" spans="1:9">
      <c r="A33" s="77" t="s">
        <v>329</v>
      </c>
      <c r="B33" s="77">
        <v>45433</v>
      </c>
      <c r="C33" s="78" t="s">
        <v>333</v>
      </c>
      <c r="D33" s="79" t="s">
        <v>368</v>
      </c>
      <c r="E33" s="161"/>
      <c r="F33" s="161"/>
      <c r="G33" s="83">
        <v>5</v>
      </c>
      <c r="H33" s="79">
        <v>480</v>
      </c>
      <c r="I33" s="78" t="s">
        <v>326</v>
      </c>
    </row>
    <row r="34" spans="1:9">
      <c r="A34" s="77" t="s">
        <v>329</v>
      </c>
      <c r="B34" s="77">
        <v>45433</v>
      </c>
      <c r="C34" s="78" t="s">
        <v>333</v>
      </c>
      <c r="D34" s="79" t="s">
        <v>369</v>
      </c>
      <c r="E34" s="161"/>
      <c r="F34" s="161"/>
      <c r="G34" s="83">
        <v>6</v>
      </c>
      <c r="H34" s="79">
        <v>480</v>
      </c>
      <c r="I34" s="78" t="s">
        <v>326</v>
      </c>
    </row>
    <row r="35" spans="1:9">
      <c r="A35" s="77" t="s">
        <v>329</v>
      </c>
      <c r="B35" s="77">
        <v>45433</v>
      </c>
      <c r="C35" s="78" t="s">
        <v>333</v>
      </c>
      <c r="D35" s="79" t="s">
        <v>370</v>
      </c>
      <c r="E35" s="161"/>
      <c r="F35" s="161"/>
      <c r="G35" s="83">
        <v>7</v>
      </c>
      <c r="H35" s="79">
        <v>480</v>
      </c>
      <c r="I35" s="78" t="s">
        <v>326</v>
      </c>
    </row>
    <row r="36" spans="1:9">
      <c r="A36" s="77" t="s">
        <v>329</v>
      </c>
      <c r="B36" s="77">
        <v>45433</v>
      </c>
      <c r="C36" s="78" t="s">
        <v>333</v>
      </c>
      <c r="D36" s="79" t="s">
        <v>371</v>
      </c>
      <c r="E36" s="161"/>
      <c r="F36" s="161"/>
      <c r="G36" s="83">
        <v>5</v>
      </c>
      <c r="H36" s="79">
        <v>480</v>
      </c>
      <c r="I36" s="78" t="s">
        <v>326</v>
      </c>
    </row>
    <row r="37" spans="1:9">
      <c r="A37" s="77" t="s">
        <v>329</v>
      </c>
      <c r="B37" s="77">
        <v>45433</v>
      </c>
      <c r="C37" s="78" t="s">
        <v>333</v>
      </c>
      <c r="D37" s="79" t="s">
        <v>372</v>
      </c>
      <c r="E37" s="161"/>
      <c r="F37" s="161"/>
      <c r="G37" s="83">
        <v>5</v>
      </c>
      <c r="H37" s="79">
        <v>480</v>
      </c>
      <c r="I37" s="78" t="s">
        <v>326</v>
      </c>
    </row>
    <row r="38" spans="1:9">
      <c r="A38" s="77" t="s">
        <v>329</v>
      </c>
      <c r="B38" s="77">
        <v>45433</v>
      </c>
      <c r="C38" s="78" t="s">
        <v>333</v>
      </c>
      <c r="D38" s="79" t="s">
        <v>373</v>
      </c>
      <c r="E38" s="161" t="s">
        <v>374</v>
      </c>
      <c r="F38" s="161">
        <v>4320</v>
      </c>
      <c r="G38" s="83">
        <v>6</v>
      </c>
      <c r="H38" s="79">
        <v>480</v>
      </c>
      <c r="I38" s="78" t="s">
        <v>326</v>
      </c>
    </row>
    <row r="39" spans="1:9">
      <c r="A39" s="77" t="s">
        <v>329</v>
      </c>
      <c r="B39" s="77">
        <v>45433</v>
      </c>
      <c r="C39" s="78" t="s">
        <v>333</v>
      </c>
      <c r="D39" s="79" t="s">
        <v>375</v>
      </c>
      <c r="E39" s="161"/>
      <c r="F39" s="161"/>
      <c r="G39" s="83">
        <v>5</v>
      </c>
      <c r="H39" s="79">
        <v>480</v>
      </c>
      <c r="I39" s="78" t="s">
        <v>326</v>
      </c>
    </row>
    <row r="40" spans="1:9">
      <c r="A40" s="77" t="s">
        <v>329</v>
      </c>
      <c r="B40" s="77">
        <v>45433</v>
      </c>
      <c r="C40" s="78" t="s">
        <v>333</v>
      </c>
      <c r="D40" s="79" t="s">
        <v>376</v>
      </c>
      <c r="E40" s="161"/>
      <c r="F40" s="161"/>
      <c r="G40" s="83">
        <v>5</v>
      </c>
      <c r="H40" s="79">
        <v>480</v>
      </c>
      <c r="I40" s="78" t="s">
        <v>326</v>
      </c>
    </row>
    <row r="41" spans="1:9">
      <c r="A41" s="77" t="s">
        <v>329</v>
      </c>
      <c r="B41" s="77">
        <v>45433</v>
      </c>
      <c r="C41" s="78" t="s">
        <v>333</v>
      </c>
      <c r="D41" s="79" t="s">
        <v>377</v>
      </c>
      <c r="E41" s="161"/>
      <c r="F41" s="161"/>
      <c r="G41" s="83">
        <v>6</v>
      </c>
      <c r="H41" s="79">
        <v>480</v>
      </c>
      <c r="I41" s="78" t="s">
        <v>326</v>
      </c>
    </row>
    <row r="42" spans="1:9">
      <c r="A42" s="77" t="s">
        <v>329</v>
      </c>
      <c r="B42" s="77">
        <v>45433</v>
      </c>
      <c r="C42" s="78" t="s">
        <v>333</v>
      </c>
      <c r="D42" s="79" t="s">
        <v>378</v>
      </c>
      <c r="E42" s="161"/>
      <c r="F42" s="161"/>
      <c r="G42" s="83">
        <v>6</v>
      </c>
      <c r="H42" s="79">
        <v>480</v>
      </c>
      <c r="I42" s="78" t="s">
        <v>326</v>
      </c>
    </row>
    <row r="43" spans="1:9">
      <c r="A43" s="77" t="s">
        <v>329</v>
      </c>
      <c r="B43" s="77">
        <v>45433</v>
      </c>
      <c r="C43" s="78" t="s">
        <v>333</v>
      </c>
      <c r="D43" s="79" t="s">
        <v>379</v>
      </c>
      <c r="E43" s="161"/>
      <c r="F43" s="161"/>
      <c r="G43" s="83">
        <v>6</v>
      </c>
      <c r="H43" s="79">
        <v>480</v>
      </c>
      <c r="I43" s="78" t="s">
        <v>326</v>
      </c>
    </row>
    <row r="44" spans="1:9">
      <c r="A44" s="77" t="s">
        <v>329</v>
      </c>
      <c r="B44" s="77">
        <v>45433</v>
      </c>
      <c r="C44" s="78" t="s">
        <v>333</v>
      </c>
      <c r="D44" s="79" t="s">
        <v>380</v>
      </c>
      <c r="E44" s="161"/>
      <c r="F44" s="161"/>
      <c r="G44" s="83">
        <v>6</v>
      </c>
      <c r="H44" s="79">
        <v>480</v>
      </c>
      <c r="I44" s="78" t="s">
        <v>326</v>
      </c>
    </row>
    <row r="45" spans="1:9">
      <c r="A45" s="77" t="s">
        <v>329</v>
      </c>
      <c r="B45" s="77">
        <v>45433</v>
      </c>
      <c r="C45" s="78" t="s">
        <v>333</v>
      </c>
      <c r="D45" s="79" t="s">
        <v>381</v>
      </c>
      <c r="E45" s="161"/>
      <c r="F45" s="161"/>
      <c r="G45" s="83">
        <v>6</v>
      </c>
      <c r="H45" s="79">
        <v>480</v>
      </c>
      <c r="I45" s="78" t="s">
        <v>326</v>
      </c>
    </row>
    <row r="46" spans="1:9">
      <c r="A46" s="77" t="s">
        <v>329</v>
      </c>
      <c r="B46" s="77">
        <v>45433</v>
      </c>
      <c r="C46" s="78" t="s">
        <v>333</v>
      </c>
      <c r="D46" s="79" t="s">
        <v>382</v>
      </c>
      <c r="E46" s="161"/>
      <c r="F46" s="161"/>
      <c r="G46" s="83">
        <v>6</v>
      </c>
      <c r="H46" s="79">
        <v>480</v>
      </c>
      <c r="I46" s="78" t="s">
        <v>326</v>
      </c>
    </row>
  </sheetData>
  <mergeCells count="8">
    <mergeCell ref="E38:E46"/>
    <mergeCell ref="F38:F46"/>
    <mergeCell ref="E2:E13"/>
    <mergeCell ref="E14:E25"/>
    <mergeCell ref="F2:F13"/>
    <mergeCell ref="F14:F25"/>
    <mergeCell ref="E26:E37"/>
    <mergeCell ref="F26:F37"/>
  </mergeCells>
  <phoneticPr fontId="1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5F63-5048-534E-9DDA-72371D1A7E94}">
  <sheetPr codeName="Sheet3"/>
  <dimension ref="A1:S161"/>
  <sheetViews>
    <sheetView zoomScale="85" zoomScaleNormal="85" workbookViewId="0">
      <selection activeCell="B4" sqref="B4:B5"/>
    </sheetView>
  </sheetViews>
  <sheetFormatPr defaultColWidth="12.44140625" defaultRowHeight="12.75"/>
  <cols>
    <col min="1" max="1" width="0.77734375" style="86" customWidth="1"/>
    <col min="2" max="2" width="9" style="86" customWidth="1"/>
    <col min="3" max="3" width="13.21875" style="86" bestFit="1" customWidth="1"/>
    <col min="4" max="18" width="9" style="86" customWidth="1"/>
    <col min="19" max="19" width="36" style="86" customWidth="1"/>
    <col min="20" max="16384" width="12.44140625" style="86"/>
  </cols>
  <sheetData>
    <row r="1" spans="1:19" ht="20.25">
      <c r="A1" s="168" t="s">
        <v>26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1:19" ht="10.15" customHeigh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</row>
    <row r="3" spans="1:19" s="88" customFormat="1" ht="15" customHeight="1">
      <c r="A3" s="27"/>
      <c r="B3" s="169" t="s">
        <v>27</v>
      </c>
      <c r="C3" s="169"/>
      <c r="D3" s="169"/>
      <c r="E3" s="169"/>
      <c r="F3" s="169"/>
      <c r="G3" s="169"/>
      <c r="H3" s="170" t="s">
        <v>28</v>
      </c>
      <c r="I3" s="170"/>
      <c r="J3" s="170"/>
      <c r="K3" s="170"/>
      <c r="L3" s="170"/>
      <c r="M3" s="170"/>
      <c r="N3" s="171" t="s">
        <v>29</v>
      </c>
      <c r="O3" s="170"/>
      <c r="P3" s="170"/>
      <c r="Q3" s="170"/>
      <c r="R3" s="172"/>
      <c r="S3" s="173" t="s">
        <v>30</v>
      </c>
    </row>
    <row r="4" spans="1:19" ht="15" customHeight="1">
      <c r="A4" s="89"/>
      <c r="B4" s="173" t="s">
        <v>31</v>
      </c>
      <c r="C4" s="173" t="s">
        <v>32</v>
      </c>
      <c r="D4" s="174" t="s">
        <v>33</v>
      </c>
      <c r="E4" s="175" t="s">
        <v>34</v>
      </c>
      <c r="F4" s="175" t="s">
        <v>35</v>
      </c>
      <c r="G4" s="163" t="s">
        <v>36</v>
      </c>
      <c r="H4" s="164" t="s">
        <v>37</v>
      </c>
      <c r="I4" s="164"/>
      <c r="J4" s="164"/>
      <c r="K4" s="165" t="s">
        <v>38</v>
      </c>
      <c r="L4" s="164"/>
      <c r="M4" s="164"/>
      <c r="N4" s="166" t="s">
        <v>39</v>
      </c>
      <c r="O4" s="90" t="s">
        <v>40</v>
      </c>
      <c r="P4" s="91"/>
      <c r="Q4" s="92" t="s">
        <v>41</v>
      </c>
      <c r="R4" s="91"/>
      <c r="S4" s="173"/>
    </row>
    <row r="5" spans="1:19" ht="18" customHeight="1">
      <c r="A5" s="93"/>
      <c r="B5" s="173"/>
      <c r="C5" s="173"/>
      <c r="D5" s="174"/>
      <c r="E5" s="175"/>
      <c r="F5" s="175"/>
      <c r="G5" s="163"/>
      <c r="H5" s="94"/>
      <c r="I5" s="94"/>
      <c r="J5" s="94"/>
      <c r="K5" s="87">
        <v>1</v>
      </c>
      <c r="L5" s="87">
        <v>2</v>
      </c>
      <c r="M5" s="87">
        <v>3</v>
      </c>
      <c r="N5" s="167"/>
      <c r="O5" s="87" t="s">
        <v>42</v>
      </c>
      <c r="P5" s="91" t="s">
        <v>43</v>
      </c>
      <c r="Q5" s="87" t="s">
        <v>44</v>
      </c>
      <c r="R5" s="91" t="s">
        <v>45</v>
      </c>
      <c r="S5" s="173"/>
    </row>
    <row r="6" spans="1:19" ht="18" customHeight="1">
      <c r="A6" s="95"/>
      <c r="B6" s="96" t="s">
        <v>46</v>
      </c>
      <c r="C6" s="97" t="s">
        <v>47</v>
      </c>
      <c r="D6" s="98"/>
      <c r="E6" s="98">
        <v>1.4999999999999999E-2</v>
      </c>
      <c r="F6" s="98"/>
      <c r="G6" s="99" t="s">
        <v>48</v>
      </c>
      <c r="H6" s="101"/>
      <c r="I6" s="101"/>
      <c r="J6" s="101"/>
      <c r="K6" s="102" t="str">
        <f t="shared" ref="K6:M21" si="0">IF(ISERR(H6/H6)=TRUE," ",H6-$D6)</f>
        <v xml:space="preserve"> </v>
      </c>
      <c r="L6" s="102" t="str">
        <f t="shared" si="0"/>
        <v xml:space="preserve"> </v>
      </c>
      <c r="M6" s="102" t="str">
        <f t="shared" si="0"/>
        <v xml:space="preserve"> </v>
      </c>
      <c r="N6" s="103" t="str">
        <f t="shared" ref="N6:N69" si="1">IF(ISERR(H6/H6)=TRUE," ",AVERAGE(H6:J6))</f>
        <v xml:space="preserve"> </v>
      </c>
      <c r="O6" s="104" t="str">
        <f t="shared" ref="O6:O69" si="2">IF(ISERR(E6/E6)=TRUE," ",IF(ISERR(H6/H6)=TRUE," ",IF(ISNUMBER($H6)=FALSE," ",IF(MAX($H6:$J6)&lt;$D6,0,(MAX($H6:$J6)-$D6)/$E6))))</f>
        <v xml:space="preserve"> </v>
      </c>
      <c r="P6" s="105" t="str">
        <f t="shared" ref="P6:P69" si="3">IF(ISERR(F6/D6)=TRUE," ",IF(ISERR(F6/F6)=TRUE," ",IF(ISERR(H6/H6)=TRUE," ",IF(ISNUMBER(H6)=FALSE," ",IF(MIN(H6:J6)&gt;$D6,0,($D6-MIN(H6:J6))/-F6)))))</f>
        <v xml:space="preserve"> </v>
      </c>
      <c r="Q6" s="103" t="str">
        <f t="shared" ref="Q6:Q69" si="4">IF(ISNUMBER($O6)=TRUE,IF($O6&gt;0.651,IF($O6&gt;1.001,"Reject","Alert"),""),"")</f>
        <v/>
      </c>
      <c r="R6" s="103" t="str">
        <f t="shared" ref="R6:R69" si="5">IF(H6="","",IF(ISERR(F6/F6)=TRUE,"",IF(ISERR(F6/D6)=TRUE,IF((F6-MIN(H6:J6))&gt;0.001,"Reject",""),IF(ISNUMBER($P6)=TRUE,IF($P6&gt;0.651,IF($P6&gt;1.001,"Reject","Alert"),""),""))))</f>
        <v/>
      </c>
      <c r="S6" s="106"/>
    </row>
    <row r="7" spans="1:19" ht="18" customHeight="1">
      <c r="A7" s="95"/>
      <c r="B7" s="96" t="s">
        <v>49</v>
      </c>
      <c r="C7" s="107" t="s">
        <v>50</v>
      </c>
      <c r="D7" s="98"/>
      <c r="E7" s="98">
        <v>1.4999999999999999E-2</v>
      </c>
      <c r="F7" s="98"/>
      <c r="G7" s="99" t="s">
        <v>48</v>
      </c>
      <c r="H7" s="101"/>
      <c r="I7" s="101"/>
      <c r="J7" s="101"/>
      <c r="K7" s="102" t="str">
        <f t="shared" si="0"/>
        <v xml:space="preserve"> </v>
      </c>
      <c r="L7" s="102" t="str">
        <f t="shared" si="0"/>
        <v xml:space="preserve"> </v>
      </c>
      <c r="M7" s="102" t="str">
        <f t="shared" si="0"/>
        <v xml:space="preserve"> </v>
      </c>
      <c r="N7" s="103" t="str">
        <f t="shared" si="1"/>
        <v xml:space="preserve"> </v>
      </c>
      <c r="O7" s="104" t="str">
        <f t="shared" si="2"/>
        <v xml:space="preserve"> </v>
      </c>
      <c r="P7" s="105" t="str">
        <f t="shared" si="3"/>
        <v xml:space="preserve"> </v>
      </c>
      <c r="Q7" s="103" t="str">
        <f t="shared" si="4"/>
        <v/>
      </c>
      <c r="R7" s="103" t="str">
        <f t="shared" si="5"/>
        <v/>
      </c>
      <c r="S7" s="106"/>
    </row>
    <row r="8" spans="1:19" ht="18" customHeight="1">
      <c r="A8" s="95"/>
      <c r="B8" s="96" t="s">
        <v>51</v>
      </c>
      <c r="C8" s="99" t="s">
        <v>50</v>
      </c>
      <c r="D8" s="98"/>
      <c r="E8" s="98">
        <v>1.4999999999999999E-2</v>
      </c>
      <c r="F8" s="98"/>
      <c r="G8" s="99" t="s">
        <v>48</v>
      </c>
      <c r="H8" s="101"/>
      <c r="I8" s="101"/>
      <c r="J8" s="101"/>
      <c r="K8" s="102" t="str">
        <f t="shared" si="0"/>
        <v xml:space="preserve"> </v>
      </c>
      <c r="L8" s="102" t="str">
        <f t="shared" si="0"/>
        <v xml:space="preserve"> </v>
      </c>
      <c r="M8" s="102" t="str">
        <f t="shared" si="0"/>
        <v xml:space="preserve"> </v>
      </c>
      <c r="N8" s="103" t="str">
        <f t="shared" si="1"/>
        <v xml:space="preserve"> </v>
      </c>
      <c r="O8" s="104" t="str">
        <f t="shared" si="2"/>
        <v xml:space="preserve"> </v>
      </c>
      <c r="P8" s="105" t="str">
        <f t="shared" si="3"/>
        <v xml:space="preserve"> </v>
      </c>
      <c r="Q8" s="103" t="str">
        <f t="shared" si="4"/>
        <v/>
      </c>
      <c r="R8" s="103" t="str">
        <f t="shared" si="5"/>
        <v/>
      </c>
      <c r="S8" s="106"/>
    </row>
    <row r="9" spans="1:19" ht="18" customHeight="1">
      <c r="A9" s="95"/>
      <c r="B9" s="96" t="s">
        <v>52</v>
      </c>
      <c r="C9" s="99" t="s">
        <v>50</v>
      </c>
      <c r="D9" s="98"/>
      <c r="E9" s="98">
        <v>1.4999999999999999E-2</v>
      </c>
      <c r="F9" s="98"/>
      <c r="G9" s="99" t="s">
        <v>48</v>
      </c>
      <c r="H9" s="101"/>
      <c r="I9" s="101"/>
      <c r="J9" s="101"/>
      <c r="K9" s="102" t="str">
        <f t="shared" si="0"/>
        <v xml:space="preserve"> </v>
      </c>
      <c r="L9" s="102" t="str">
        <f t="shared" si="0"/>
        <v xml:space="preserve"> </v>
      </c>
      <c r="M9" s="102" t="str">
        <f t="shared" si="0"/>
        <v xml:space="preserve"> </v>
      </c>
      <c r="N9" s="103" t="str">
        <f t="shared" si="1"/>
        <v xml:space="preserve"> </v>
      </c>
      <c r="O9" s="104" t="str">
        <f t="shared" si="2"/>
        <v xml:space="preserve"> </v>
      </c>
      <c r="P9" s="105" t="str">
        <f t="shared" si="3"/>
        <v xml:space="preserve"> </v>
      </c>
      <c r="Q9" s="103" t="str">
        <f t="shared" si="4"/>
        <v/>
      </c>
      <c r="R9" s="103" t="str">
        <f t="shared" si="5"/>
        <v/>
      </c>
      <c r="S9" s="106"/>
    </row>
    <row r="10" spans="1:19" ht="18" customHeight="1">
      <c r="A10" s="95"/>
      <c r="B10" s="96" t="s">
        <v>53</v>
      </c>
      <c r="C10" s="99" t="s">
        <v>54</v>
      </c>
      <c r="D10" s="98"/>
      <c r="E10" s="98">
        <v>8.0000000000000002E-3</v>
      </c>
      <c r="F10" s="98"/>
      <c r="G10" s="99" t="s">
        <v>48</v>
      </c>
      <c r="H10" s="101"/>
      <c r="I10" s="101"/>
      <c r="J10" s="101"/>
      <c r="K10" s="102" t="str">
        <f t="shared" si="0"/>
        <v xml:space="preserve"> </v>
      </c>
      <c r="L10" s="102" t="str">
        <f t="shared" si="0"/>
        <v xml:space="preserve"> </v>
      </c>
      <c r="M10" s="102" t="str">
        <f t="shared" si="0"/>
        <v xml:space="preserve"> </v>
      </c>
      <c r="N10" s="103" t="str">
        <f t="shared" si="1"/>
        <v xml:space="preserve"> </v>
      </c>
      <c r="O10" s="104" t="str">
        <f t="shared" si="2"/>
        <v xml:space="preserve"> </v>
      </c>
      <c r="P10" s="105" t="str">
        <f t="shared" si="3"/>
        <v xml:space="preserve"> </v>
      </c>
      <c r="Q10" s="103" t="str">
        <f t="shared" si="4"/>
        <v/>
      </c>
      <c r="R10" s="103" t="str">
        <f t="shared" si="5"/>
        <v/>
      </c>
      <c r="S10" s="106"/>
    </row>
    <row r="11" spans="1:19" ht="18" customHeight="1">
      <c r="A11" s="95"/>
      <c r="B11" s="96" t="s">
        <v>55</v>
      </c>
      <c r="C11" s="99" t="s">
        <v>54</v>
      </c>
      <c r="D11" s="98"/>
      <c r="E11" s="98">
        <v>8.0000000000000002E-3</v>
      </c>
      <c r="F11" s="98"/>
      <c r="G11" s="99" t="s">
        <v>48</v>
      </c>
      <c r="H11" s="101"/>
      <c r="I11" s="101"/>
      <c r="J11" s="101"/>
      <c r="K11" s="102" t="str">
        <f t="shared" si="0"/>
        <v xml:space="preserve"> </v>
      </c>
      <c r="L11" s="102" t="str">
        <f t="shared" si="0"/>
        <v xml:space="preserve"> </v>
      </c>
      <c r="M11" s="102" t="str">
        <f t="shared" si="0"/>
        <v xml:space="preserve"> </v>
      </c>
      <c r="N11" s="103" t="str">
        <f t="shared" si="1"/>
        <v xml:space="preserve"> </v>
      </c>
      <c r="O11" s="104" t="str">
        <f t="shared" si="2"/>
        <v xml:space="preserve"> </v>
      </c>
      <c r="P11" s="105" t="str">
        <f t="shared" si="3"/>
        <v xml:space="preserve"> </v>
      </c>
      <c r="Q11" s="103" t="str">
        <f t="shared" si="4"/>
        <v/>
      </c>
      <c r="R11" s="103" t="str">
        <f t="shared" si="5"/>
        <v/>
      </c>
      <c r="S11" s="106"/>
    </row>
    <row r="12" spans="1:19" ht="18" customHeight="1">
      <c r="A12" s="95"/>
      <c r="B12" s="96" t="s">
        <v>56</v>
      </c>
      <c r="C12" s="99" t="s">
        <v>54</v>
      </c>
      <c r="D12" s="98"/>
      <c r="E12" s="98">
        <v>8.0000000000000002E-3</v>
      </c>
      <c r="F12" s="98"/>
      <c r="G12" s="99" t="s">
        <v>48</v>
      </c>
      <c r="H12" s="101"/>
      <c r="I12" s="101"/>
      <c r="J12" s="101"/>
      <c r="K12" s="102" t="str">
        <f t="shared" si="0"/>
        <v xml:space="preserve"> </v>
      </c>
      <c r="L12" s="102" t="str">
        <f t="shared" si="0"/>
        <v xml:space="preserve"> </v>
      </c>
      <c r="M12" s="102" t="str">
        <f t="shared" si="0"/>
        <v xml:space="preserve"> </v>
      </c>
      <c r="N12" s="103" t="str">
        <f t="shared" si="1"/>
        <v xml:space="preserve"> </v>
      </c>
      <c r="O12" s="104" t="str">
        <f t="shared" si="2"/>
        <v xml:space="preserve"> </v>
      </c>
      <c r="P12" s="105" t="str">
        <f t="shared" si="3"/>
        <v xml:space="preserve"> </v>
      </c>
      <c r="Q12" s="103" t="str">
        <f t="shared" si="4"/>
        <v/>
      </c>
      <c r="R12" s="103" t="str">
        <f t="shared" si="5"/>
        <v/>
      </c>
      <c r="S12" s="106"/>
    </row>
    <row r="13" spans="1:19" ht="18" customHeight="1">
      <c r="A13" s="95"/>
      <c r="B13" s="96" t="s">
        <v>57</v>
      </c>
      <c r="C13" s="107" t="s">
        <v>54</v>
      </c>
      <c r="D13" s="98"/>
      <c r="E13" s="98">
        <v>8.0000000000000002E-3</v>
      </c>
      <c r="F13" s="98"/>
      <c r="G13" s="99" t="s">
        <v>48</v>
      </c>
      <c r="H13" s="101"/>
      <c r="I13" s="101"/>
      <c r="J13" s="101"/>
      <c r="K13" s="102" t="str">
        <f t="shared" si="0"/>
        <v xml:space="preserve"> </v>
      </c>
      <c r="L13" s="102" t="str">
        <f t="shared" si="0"/>
        <v xml:space="preserve"> </v>
      </c>
      <c r="M13" s="102" t="str">
        <f t="shared" si="0"/>
        <v xml:space="preserve"> </v>
      </c>
      <c r="N13" s="103" t="str">
        <f t="shared" si="1"/>
        <v xml:space="preserve"> </v>
      </c>
      <c r="O13" s="104" t="str">
        <f t="shared" si="2"/>
        <v xml:space="preserve"> </v>
      </c>
      <c r="P13" s="105" t="str">
        <f t="shared" si="3"/>
        <v xml:space="preserve"> </v>
      </c>
      <c r="Q13" s="103" t="str">
        <f t="shared" si="4"/>
        <v/>
      </c>
      <c r="R13" s="103" t="str">
        <f t="shared" si="5"/>
        <v/>
      </c>
      <c r="S13" s="106"/>
    </row>
    <row r="14" spans="1:19" ht="18" customHeight="1">
      <c r="A14" s="95"/>
      <c r="B14" s="96" t="s">
        <v>58</v>
      </c>
      <c r="C14" s="99" t="s">
        <v>59</v>
      </c>
      <c r="D14" s="98"/>
      <c r="E14" s="98">
        <v>0.03</v>
      </c>
      <c r="F14" s="98"/>
      <c r="G14" s="99" t="s">
        <v>60</v>
      </c>
      <c r="H14" s="101"/>
      <c r="I14" s="101"/>
      <c r="J14" s="101"/>
      <c r="K14" s="102" t="str">
        <f t="shared" si="0"/>
        <v xml:space="preserve"> </v>
      </c>
      <c r="L14" s="102" t="str">
        <f t="shared" si="0"/>
        <v xml:space="preserve"> </v>
      </c>
      <c r="M14" s="102" t="str">
        <f t="shared" si="0"/>
        <v xml:space="preserve"> </v>
      </c>
      <c r="N14" s="103" t="str">
        <f t="shared" si="1"/>
        <v xml:space="preserve"> </v>
      </c>
      <c r="O14" s="104" t="str">
        <f t="shared" si="2"/>
        <v xml:space="preserve"> </v>
      </c>
      <c r="P14" s="105" t="str">
        <f t="shared" si="3"/>
        <v xml:space="preserve"> </v>
      </c>
      <c r="Q14" s="103" t="str">
        <f t="shared" si="4"/>
        <v/>
      </c>
      <c r="R14" s="103" t="str">
        <f t="shared" si="5"/>
        <v/>
      </c>
      <c r="S14" s="106"/>
    </row>
    <row r="15" spans="1:19" ht="18" customHeight="1">
      <c r="A15" s="95"/>
      <c r="B15" s="96" t="s">
        <v>61</v>
      </c>
      <c r="C15" s="99" t="s">
        <v>62</v>
      </c>
      <c r="D15" s="98">
        <v>0.49</v>
      </c>
      <c r="E15" s="98">
        <v>0.01</v>
      </c>
      <c r="F15" s="98">
        <v>-0.01</v>
      </c>
      <c r="G15" s="99" t="s">
        <v>60</v>
      </c>
      <c r="H15" s="101"/>
      <c r="I15" s="101"/>
      <c r="J15" s="101"/>
      <c r="K15" s="102" t="str">
        <f t="shared" si="0"/>
        <v xml:space="preserve"> </v>
      </c>
      <c r="L15" s="102" t="str">
        <f t="shared" si="0"/>
        <v xml:space="preserve"> </v>
      </c>
      <c r="M15" s="102" t="str">
        <f t="shared" si="0"/>
        <v xml:space="preserve"> </v>
      </c>
      <c r="N15" s="103" t="str">
        <f t="shared" si="1"/>
        <v xml:space="preserve"> </v>
      </c>
      <c r="O15" s="104" t="str">
        <f t="shared" si="2"/>
        <v xml:space="preserve"> </v>
      </c>
      <c r="P15" s="105" t="str">
        <f t="shared" si="3"/>
        <v xml:space="preserve"> </v>
      </c>
      <c r="Q15" s="103" t="str">
        <f t="shared" si="4"/>
        <v/>
      </c>
      <c r="R15" s="103" t="str">
        <f t="shared" si="5"/>
        <v/>
      </c>
      <c r="S15" s="106"/>
    </row>
    <row r="16" spans="1:19" ht="18" customHeight="1">
      <c r="A16" s="95"/>
      <c r="B16" s="96" t="s">
        <v>63</v>
      </c>
      <c r="C16" s="99" t="s">
        <v>62</v>
      </c>
      <c r="D16" s="98">
        <v>0.49</v>
      </c>
      <c r="E16" s="98">
        <v>0.01</v>
      </c>
      <c r="F16" s="98">
        <v>-0.01</v>
      </c>
      <c r="G16" s="99" t="s">
        <v>60</v>
      </c>
      <c r="H16" s="101"/>
      <c r="I16" s="101"/>
      <c r="J16" s="101"/>
      <c r="K16" s="102" t="str">
        <f t="shared" si="0"/>
        <v xml:space="preserve"> </v>
      </c>
      <c r="L16" s="102" t="str">
        <f t="shared" si="0"/>
        <v xml:space="preserve"> </v>
      </c>
      <c r="M16" s="102" t="str">
        <f t="shared" si="0"/>
        <v xml:space="preserve"> </v>
      </c>
      <c r="N16" s="103" t="str">
        <f t="shared" si="1"/>
        <v xml:space="preserve"> </v>
      </c>
      <c r="O16" s="104" t="str">
        <f t="shared" si="2"/>
        <v xml:space="preserve"> </v>
      </c>
      <c r="P16" s="105" t="str">
        <f t="shared" si="3"/>
        <v xml:space="preserve"> </v>
      </c>
      <c r="Q16" s="103" t="str">
        <f t="shared" si="4"/>
        <v/>
      </c>
      <c r="R16" s="103" t="str">
        <f t="shared" si="5"/>
        <v/>
      </c>
      <c r="S16" s="106"/>
    </row>
    <row r="17" spans="1:19" ht="18" customHeight="1">
      <c r="A17" s="95"/>
      <c r="B17" s="96" t="s">
        <v>64</v>
      </c>
      <c r="C17" s="99" t="s">
        <v>62</v>
      </c>
      <c r="D17" s="98">
        <v>0.49</v>
      </c>
      <c r="E17" s="98">
        <v>0.01</v>
      </c>
      <c r="F17" s="98">
        <v>-0.01</v>
      </c>
      <c r="G17" s="99" t="s">
        <v>60</v>
      </c>
      <c r="H17" s="101"/>
      <c r="I17" s="101"/>
      <c r="J17" s="101"/>
      <c r="K17" s="102" t="str">
        <f t="shared" si="0"/>
        <v xml:space="preserve"> </v>
      </c>
      <c r="L17" s="102" t="str">
        <f t="shared" si="0"/>
        <v xml:space="preserve"> </v>
      </c>
      <c r="M17" s="102" t="str">
        <f t="shared" si="0"/>
        <v xml:space="preserve"> </v>
      </c>
      <c r="N17" s="103" t="str">
        <f t="shared" si="1"/>
        <v xml:space="preserve"> </v>
      </c>
      <c r="O17" s="104" t="str">
        <f t="shared" si="2"/>
        <v xml:space="preserve"> </v>
      </c>
      <c r="P17" s="105" t="str">
        <f t="shared" si="3"/>
        <v xml:space="preserve"> </v>
      </c>
      <c r="Q17" s="103" t="str">
        <f t="shared" si="4"/>
        <v/>
      </c>
      <c r="R17" s="103" t="str">
        <f t="shared" si="5"/>
        <v/>
      </c>
      <c r="S17" s="106"/>
    </row>
    <row r="18" spans="1:19" ht="18" customHeight="1">
      <c r="A18" s="95"/>
      <c r="B18" s="96" t="s">
        <v>65</v>
      </c>
      <c r="C18" s="99" t="s">
        <v>62</v>
      </c>
      <c r="D18" s="98">
        <v>0.77</v>
      </c>
      <c r="E18" s="98">
        <v>0.02</v>
      </c>
      <c r="F18" s="98">
        <v>-0.02</v>
      </c>
      <c r="G18" s="99" t="s">
        <v>60</v>
      </c>
      <c r="H18" s="101"/>
      <c r="I18" s="101"/>
      <c r="J18" s="101"/>
      <c r="K18" s="102" t="str">
        <f t="shared" si="0"/>
        <v xml:space="preserve"> </v>
      </c>
      <c r="L18" s="102" t="str">
        <f t="shared" si="0"/>
        <v xml:space="preserve"> </v>
      </c>
      <c r="M18" s="102" t="str">
        <f t="shared" si="0"/>
        <v xml:space="preserve"> </v>
      </c>
      <c r="N18" s="103" t="str">
        <f t="shared" si="1"/>
        <v xml:space="preserve"> </v>
      </c>
      <c r="O18" s="104" t="str">
        <f t="shared" si="2"/>
        <v xml:space="preserve"> </v>
      </c>
      <c r="P18" s="105" t="str">
        <f t="shared" si="3"/>
        <v xml:space="preserve"> </v>
      </c>
      <c r="Q18" s="103" t="str">
        <f t="shared" si="4"/>
        <v/>
      </c>
      <c r="R18" s="103" t="str">
        <f t="shared" si="5"/>
        <v/>
      </c>
      <c r="S18" s="106"/>
    </row>
    <row r="19" spans="1:19" ht="18" customHeight="1">
      <c r="A19" s="95"/>
      <c r="B19" s="96" t="s">
        <v>66</v>
      </c>
      <c r="C19" s="99" t="s">
        <v>62</v>
      </c>
      <c r="D19" s="98">
        <v>0.77</v>
      </c>
      <c r="E19" s="98">
        <v>0.02</v>
      </c>
      <c r="F19" s="98">
        <v>-0.02</v>
      </c>
      <c r="G19" s="99" t="s">
        <v>60</v>
      </c>
      <c r="H19" s="101"/>
      <c r="I19" s="101"/>
      <c r="J19" s="101"/>
      <c r="K19" s="102" t="str">
        <f t="shared" si="0"/>
        <v xml:space="preserve"> </v>
      </c>
      <c r="L19" s="102" t="str">
        <f t="shared" si="0"/>
        <v xml:space="preserve"> </v>
      </c>
      <c r="M19" s="102" t="str">
        <f t="shared" si="0"/>
        <v xml:space="preserve"> </v>
      </c>
      <c r="N19" s="103" t="str">
        <f t="shared" si="1"/>
        <v xml:space="preserve"> </v>
      </c>
      <c r="O19" s="104" t="str">
        <f t="shared" si="2"/>
        <v xml:space="preserve"> </v>
      </c>
      <c r="P19" s="105" t="str">
        <f t="shared" si="3"/>
        <v xml:space="preserve"> </v>
      </c>
      <c r="Q19" s="103" t="str">
        <f t="shared" si="4"/>
        <v/>
      </c>
      <c r="R19" s="103" t="str">
        <f t="shared" si="5"/>
        <v/>
      </c>
      <c r="S19" s="106"/>
    </row>
    <row r="20" spans="1:19" ht="18" customHeight="1">
      <c r="A20" s="95"/>
      <c r="B20" s="96" t="s">
        <v>67</v>
      </c>
      <c r="C20" s="99" t="s">
        <v>62</v>
      </c>
      <c r="D20" s="98">
        <v>0.77</v>
      </c>
      <c r="E20" s="98">
        <v>0.02</v>
      </c>
      <c r="F20" s="98">
        <v>-0.02</v>
      </c>
      <c r="G20" s="99" t="s">
        <v>60</v>
      </c>
      <c r="H20" s="101"/>
      <c r="I20" s="101"/>
      <c r="J20" s="101"/>
      <c r="K20" s="102" t="str">
        <f t="shared" si="0"/>
        <v xml:space="preserve"> </v>
      </c>
      <c r="L20" s="102" t="str">
        <f t="shared" si="0"/>
        <v xml:space="preserve"> </v>
      </c>
      <c r="M20" s="102" t="str">
        <f t="shared" si="0"/>
        <v xml:space="preserve"> </v>
      </c>
      <c r="N20" s="103" t="str">
        <f t="shared" si="1"/>
        <v xml:space="preserve"> </v>
      </c>
      <c r="O20" s="104" t="str">
        <f t="shared" si="2"/>
        <v xml:space="preserve"> </v>
      </c>
      <c r="P20" s="105" t="str">
        <f t="shared" si="3"/>
        <v xml:space="preserve"> </v>
      </c>
      <c r="Q20" s="103" t="str">
        <f t="shared" si="4"/>
        <v/>
      </c>
      <c r="R20" s="103" t="str">
        <f t="shared" si="5"/>
        <v/>
      </c>
      <c r="S20" s="106"/>
    </row>
    <row r="21" spans="1:19" ht="18" customHeight="1">
      <c r="A21" s="95"/>
      <c r="B21" s="96" t="s">
        <v>68</v>
      </c>
      <c r="C21" s="99" t="s">
        <v>62</v>
      </c>
      <c r="D21" s="98">
        <v>0.49</v>
      </c>
      <c r="E21" s="98">
        <v>1.4999999999999999E-2</v>
      </c>
      <c r="F21" s="98">
        <v>-1.4999999999999999E-2</v>
      </c>
      <c r="G21" s="99" t="s">
        <v>60</v>
      </c>
      <c r="H21" s="101"/>
      <c r="I21" s="101"/>
      <c r="J21" s="101"/>
      <c r="K21" s="102" t="str">
        <f t="shared" si="0"/>
        <v xml:space="preserve"> </v>
      </c>
      <c r="L21" s="102" t="str">
        <f t="shared" si="0"/>
        <v xml:space="preserve"> </v>
      </c>
      <c r="M21" s="102" t="str">
        <f t="shared" si="0"/>
        <v xml:space="preserve"> </v>
      </c>
      <c r="N21" s="103" t="str">
        <f t="shared" si="1"/>
        <v xml:space="preserve"> </v>
      </c>
      <c r="O21" s="104" t="str">
        <f t="shared" si="2"/>
        <v xml:space="preserve"> </v>
      </c>
      <c r="P21" s="105" t="str">
        <f t="shared" si="3"/>
        <v xml:space="preserve"> </v>
      </c>
      <c r="Q21" s="103" t="str">
        <f t="shared" si="4"/>
        <v/>
      </c>
      <c r="R21" s="103" t="str">
        <f t="shared" si="5"/>
        <v/>
      </c>
      <c r="S21" s="106"/>
    </row>
    <row r="22" spans="1:19" ht="18" customHeight="1">
      <c r="A22" s="95"/>
      <c r="B22" s="96" t="s">
        <v>69</v>
      </c>
      <c r="C22" s="99" t="s">
        <v>62</v>
      </c>
      <c r="D22" s="98">
        <v>0.49</v>
      </c>
      <c r="E22" s="98">
        <v>1.4999999999999999E-2</v>
      </c>
      <c r="F22" s="98">
        <v>-1.4999999999999999E-2</v>
      </c>
      <c r="G22" s="99" t="s">
        <v>60</v>
      </c>
      <c r="H22" s="101"/>
      <c r="I22" s="101"/>
      <c r="J22" s="101"/>
      <c r="K22" s="102" t="str">
        <f t="shared" ref="K22:M108" si="6">IF(ISERR(H22/H22)=TRUE," ",H22-$D22)</f>
        <v xml:space="preserve"> </v>
      </c>
      <c r="L22" s="102" t="str">
        <f t="shared" si="6"/>
        <v xml:space="preserve"> </v>
      </c>
      <c r="M22" s="102" t="str">
        <f t="shared" si="6"/>
        <v xml:space="preserve"> </v>
      </c>
      <c r="N22" s="103" t="str">
        <f t="shared" si="1"/>
        <v xml:space="preserve"> </v>
      </c>
      <c r="O22" s="104" t="str">
        <f t="shared" si="2"/>
        <v xml:space="preserve"> </v>
      </c>
      <c r="P22" s="105" t="str">
        <f t="shared" si="3"/>
        <v xml:space="preserve"> </v>
      </c>
      <c r="Q22" s="103" t="str">
        <f t="shared" si="4"/>
        <v/>
      </c>
      <c r="R22" s="103" t="str">
        <f t="shared" si="5"/>
        <v/>
      </c>
      <c r="S22" s="106"/>
    </row>
    <row r="23" spans="1:19" ht="18" customHeight="1">
      <c r="A23" s="95"/>
      <c r="B23" s="96" t="s">
        <v>70</v>
      </c>
      <c r="C23" s="99" t="s">
        <v>71</v>
      </c>
      <c r="D23" s="98">
        <v>3.08</v>
      </c>
      <c r="E23" s="98">
        <v>0.03</v>
      </c>
      <c r="F23" s="98">
        <v>-0.03</v>
      </c>
      <c r="G23" s="99" t="s">
        <v>60</v>
      </c>
      <c r="H23" s="101"/>
      <c r="I23" s="101"/>
      <c r="J23" s="101"/>
      <c r="K23" s="102" t="str">
        <f t="shared" si="6"/>
        <v xml:space="preserve"> </v>
      </c>
      <c r="L23" s="102" t="str">
        <f t="shared" si="6"/>
        <v xml:space="preserve"> </v>
      </c>
      <c r="M23" s="102" t="str">
        <f t="shared" si="6"/>
        <v xml:space="preserve"> </v>
      </c>
      <c r="N23" s="103" t="str">
        <f t="shared" si="1"/>
        <v xml:space="preserve"> </v>
      </c>
      <c r="O23" s="104" t="str">
        <f t="shared" si="2"/>
        <v xml:space="preserve"> </v>
      </c>
      <c r="P23" s="105" t="str">
        <f t="shared" si="3"/>
        <v xml:space="preserve"> </v>
      </c>
      <c r="Q23" s="103" t="str">
        <f t="shared" si="4"/>
        <v/>
      </c>
      <c r="R23" s="103" t="str">
        <f t="shared" si="5"/>
        <v/>
      </c>
      <c r="S23" s="106"/>
    </row>
    <row r="24" spans="1:19" ht="18" customHeight="1">
      <c r="A24" s="95"/>
      <c r="B24" s="96" t="s">
        <v>72</v>
      </c>
      <c r="C24" s="99" t="s">
        <v>71</v>
      </c>
      <c r="D24" s="98">
        <v>3.08</v>
      </c>
      <c r="E24" s="98">
        <v>0.03</v>
      </c>
      <c r="F24" s="98">
        <v>-0.03</v>
      </c>
      <c r="G24" s="99" t="s">
        <v>60</v>
      </c>
      <c r="H24" s="101"/>
      <c r="I24" s="101"/>
      <c r="J24" s="101"/>
      <c r="K24" s="102" t="str">
        <f t="shared" si="6"/>
        <v xml:space="preserve"> </v>
      </c>
      <c r="L24" s="102" t="str">
        <f t="shared" si="6"/>
        <v xml:space="preserve"> </v>
      </c>
      <c r="M24" s="102" t="str">
        <f t="shared" si="6"/>
        <v xml:space="preserve"> </v>
      </c>
      <c r="N24" s="103" t="str">
        <f t="shared" si="1"/>
        <v xml:space="preserve"> </v>
      </c>
      <c r="O24" s="104" t="str">
        <f t="shared" si="2"/>
        <v xml:space="preserve"> </v>
      </c>
      <c r="P24" s="105" t="str">
        <f t="shared" si="3"/>
        <v xml:space="preserve"> </v>
      </c>
      <c r="Q24" s="103" t="str">
        <f t="shared" si="4"/>
        <v/>
      </c>
      <c r="R24" s="103" t="str">
        <f t="shared" si="5"/>
        <v/>
      </c>
      <c r="S24" s="106"/>
    </row>
    <row r="25" spans="1:19" ht="18" customHeight="1">
      <c r="A25" s="95"/>
      <c r="B25" s="96" t="s">
        <v>73</v>
      </c>
      <c r="C25" s="99" t="s">
        <v>71</v>
      </c>
      <c r="D25" s="98">
        <v>3.08</v>
      </c>
      <c r="E25" s="98">
        <v>0.03</v>
      </c>
      <c r="F25" s="98">
        <v>-0.03</v>
      </c>
      <c r="G25" s="99" t="s">
        <v>60</v>
      </c>
      <c r="H25" s="101"/>
      <c r="I25" s="101"/>
      <c r="J25" s="101"/>
      <c r="K25" s="102" t="str">
        <f t="shared" si="6"/>
        <v xml:space="preserve"> </v>
      </c>
      <c r="L25" s="102" t="str">
        <f t="shared" si="6"/>
        <v xml:space="preserve"> </v>
      </c>
      <c r="M25" s="102" t="str">
        <f t="shared" si="6"/>
        <v xml:space="preserve"> </v>
      </c>
      <c r="N25" s="103" t="str">
        <f t="shared" si="1"/>
        <v xml:space="preserve"> </v>
      </c>
      <c r="O25" s="104" t="str">
        <f t="shared" si="2"/>
        <v xml:space="preserve"> </v>
      </c>
      <c r="P25" s="105" t="str">
        <f t="shared" si="3"/>
        <v xml:space="preserve"> </v>
      </c>
      <c r="Q25" s="103" t="str">
        <f t="shared" si="4"/>
        <v/>
      </c>
      <c r="R25" s="103" t="str">
        <f t="shared" si="5"/>
        <v/>
      </c>
      <c r="S25" s="106"/>
    </row>
    <row r="26" spans="1:19" ht="18" customHeight="1">
      <c r="A26" s="95"/>
      <c r="B26" s="96" t="s">
        <v>74</v>
      </c>
      <c r="C26" s="99" t="s">
        <v>71</v>
      </c>
      <c r="D26" s="98">
        <v>3.08</v>
      </c>
      <c r="E26" s="98">
        <v>0.03</v>
      </c>
      <c r="F26" s="98">
        <v>-0.03</v>
      </c>
      <c r="G26" s="99" t="s">
        <v>60</v>
      </c>
      <c r="H26" s="108"/>
      <c r="I26" s="108"/>
      <c r="J26" s="108"/>
      <c r="K26" s="102" t="str">
        <f t="shared" si="6"/>
        <v xml:space="preserve"> </v>
      </c>
      <c r="L26" s="102" t="str">
        <f t="shared" si="6"/>
        <v xml:space="preserve"> </v>
      </c>
      <c r="M26" s="102" t="str">
        <f t="shared" si="6"/>
        <v xml:space="preserve"> </v>
      </c>
      <c r="N26" s="103" t="str">
        <f t="shared" si="1"/>
        <v xml:space="preserve"> </v>
      </c>
      <c r="O26" s="104" t="str">
        <f t="shared" si="2"/>
        <v xml:space="preserve"> </v>
      </c>
      <c r="P26" s="105" t="str">
        <f t="shared" si="3"/>
        <v xml:space="preserve"> </v>
      </c>
      <c r="Q26" s="103" t="str">
        <f t="shared" si="4"/>
        <v/>
      </c>
      <c r="R26" s="103" t="str">
        <f t="shared" si="5"/>
        <v/>
      </c>
      <c r="S26" s="106"/>
    </row>
    <row r="27" spans="1:19" ht="18" customHeight="1">
      <c r="A27" s="95"/>
      <c r="B27" s="96" t="s">
        <v>75</v>
      </c>
      <c r="C27" s="99" t="s">
        <v>71</v>
      </c>
      <c r="D27" s="98">
        <v>3.08</v>
      </c>
      <c r="E27" s="98">
        <v>0.03</v>
      </c>
      <c r="F27" s="98">
        <v>-0.03</v>
      </c>
      <c r="G27" s="99" t="s">
        <v>60</v>
      </c>
      <c r="H27" s="101"/>
      <c r="I27" s="101"/>
      <c r="J27" s="101"/>
      <c r="K27" s="102" t="str">
        <f t="shared" si="6"/>
        <v xml:space="preserve"> </v>
      </c>
      <c r="L27" s="102" t="str">
        <f t="shared" si="6"/>
        <v xml:space="preserve"> </v>
      </c>
      <c r="M27" s="102" t="str">
        <f t="shared" si="6"/>
        <v xml:space="preserve"> </v>
      </c>
      <c r="N27" s="103" t="str">
        <f t="shared" si="1"/>
        <v xml:space="preserve"> </v>
      </c>
      <c r="O27" s="104" t="str">
        <f t="shared" si="2"/>
        <v xml:space="preserve"> </v>
      </c>
      <c r="P27" s="105" t="str">
        <f t="shared" si="3"/>
        <v xml:space="preserve"> </v>
      </c>
      <c r="Q27" s="103" t="str">
        <f t="shared" si="4"/>
        <v/>
      </c>
      <c r="R27" s="103" t="str">
        <f t="shared" si="5"/>
        <v/>
      </c>
      <c r="S27" s="106"/>
    </row>
    <row r="28" spans="1:19" ht="18" customHeight="1">
      <c r="A28" s="95"/>
      <c r="B28" s="96" t="s">
        <v>76</v>
      </c>
      <c r="C28" s="99" t="s">
        <v>71</v>
      </c>
      <c r="D28" s="98">
        <v>3.08</v>
      </c>
      <c r="E28" s="98">
        <v>0.03</v>
      </c>
      <c r="F28" s="98">
        <v>-0.03</v>
      </c>
      <c r="G28" s="99" t="s">
        <v>60</v>
      </c>
      <c r="H28" s="101"/>
      <c r="I28" s="101"/>
      <c r="J28" s="101"/>
      <c r="K28" s="102" t="str">
        <f t="shared" si="6"/>
        <v xml:space="preserve"> </v>
      </c>
      <c r="L28" s="102" t="str">
        <f t="shared" si="6"/>
        <v xml:space="preserve"> </v>
      </c>
      <c r="M28" s="102" t="str">
        <f t="shared" si="6"/>
        <v xml:space="preserve"> </v>
      </c>
      <c r="N28" s="103" t="str">
        <f t="shared" si="1"/>
        <v xml:space="preserve"> </v>
      </c>
      <c r="O28" s="104" t="str">
        <f t="shared" si="2"/>
        <v xml:space="preserve"> </v>
      </c>
      <c r="P28" s="105" t="str">
        <f t="shared" si="3"/>
        <v xml:space="preserve"> </v>
      </c>
      <c r="Q28" s="103" t="str">
        <f t="shared" si="4"/>
        <v/>
      </c>
      <c r="R28" s="103" t="str">
        <f t="shared" si="5"/>
        <v/>
      </c>
      <c r="S28" s="106"/>
    </row>
    <row r="29" spans="1:19" ht="18" customHeight="1">
      <c r="A29" s="95"/>
      <c r="B29" s="96" t="s">
        <v>77</v>
      </c>
      <c r="C29" s="99" t="s">
        <v>78</v>
      </c>
      <c r="D29" s="98"/>
      <c r="E29" s="98">
        <v>0.03</v>
      </c>
      <c r="F29" s="98"/>
      <c r="G29" s="99" t="s">
        <v>60</v>
      </c>
      <c r="H29" s="101"/>
      <c r="I29" s="101"/>
      <c r="J29" s="101"/>
      <c r="K29" s="102" t="str">
        <f t="shared" si="6"/>
        <v xml:space="preserve"> </v>
      </c>
      <c r="L29" s="102" t="str">
        <f t="shared" si="6"/>
        <v xml:space="preserve"> </v>
      </c>
      <c r="M29" s="102" t="str">
        <f t="shared" si="6"/>
        <v xml:space="preserve"> </v>
      </c>
      <c r="N29" s="103" t="str">
        <f t="shared" si="1"/>
        <v xml:space="preserve"> </v>
      </c>
      <c r="O29" s="104" t="str">
        <f t="shared" si="2"/>
        <v xml:space="preserve"> </v>
      </c>
      <c r="P29" s="105" t="str">
        <f t="shared" si="3"/>
        <v xml:space="preserve"> </v>
      </c>
      <c r="Q29" s="103" t="str">
        <f t="shared" si="4"/>
        <v/>
      </c>
      <c r="R29" s="103" t="str">
        <f t="shared" si="5"/>
        <v/>
      </c>
      <c r="S29" s="106"/>
    </row>
    <row r="30" spans="1:19" ht="18" customHeight="1">
      <c r="A30" s="95"/>
      <c r="B30" s="96" t="s">
        <v>79</v>
      </c>
      <c r="C30" s="99" t="s">
        <v>62</v>
      </c>
      <c r="D30" s="98">
        <v>0.55000000000000004</v>
      </c>
      <c r="E30" s="98">
        <v>0.03</v>
      </c>
      <c r="F30" s="98">
        <v>-0.03</v>
      </c>
      <c r="G30" s="99" t="s">
        <v>60</v>
      </c>
      <c r="H30" s="101"/>
      <c r="I30" s="101"/>
      <c r="J30" s="101"/>
      <c r="K30" s="102" t="str">
        <f t="shared" si="6"/>
        <v xml:space="preserve"> </v>
      </c>
      <c r="L30" s="102" t="str">
        <f t="shared" si="6"/>
        <v xml:space="preserve"> </v>
      </c>
      <c r="M30" s="102" t="str">
        <f t="shared" si="6"/>
        <v xml:space="preserve"> </v>
      </c>
      <c r="N30" s="103" t="str">
        <f t="shared" si="1"/>
        <v xml:space="preserve"> </v>
      </c>
      <c r="O30" s="104" t="str">
        <f t="shared" si="2"/>
        <v xml:space="preserve"> </v>
      </c>
      <c r="P30" s="105" t="str">
        <f t="shared" si="3"/>
        <v xml:space="preserve"> </v>
      </c>
      <c r="Q30" s="103" t="str">
        <f t="shared" si="4"/>
        <v/>
      </c>
      <c r="R30" s="103" t="str">
        <f t="shared" si="5"/>
        <v/>
      </c>
      <c r="S30" s="106"/>
    </row>
    <row r="31" spans="1:19" ht="18" customHeight="1">
      <c r="A31" s="95"/>
      <c r="B31" s="96" t="s">
        <v>80</v>
      </c>
      <c r="C31" s="99" t="s">
        <v>62</v>
      </c>
      <c r="D31" s="98">
        <v>0.55000000000000004</v>
      </c>
      <c r="E31" s="98">
        <v>0.03</v>
      </c>
      <c r="F31" s="98">
        <v>-0.03</v>
      </c>
      <c r="G31" s="99" t="s">
        <v>60</v>
      </c>
      <c r="H31" s="101"/>
      <c r="I31" s="101"/>
      <c r="J31" s="101"/>
      <c r="K31" s="102" t="str">
        <f t="shared" si="6"/>
        <v xml:space="preserve"> </v>
      </c>
      <c r="L31" s="102" t="str">
        <f t="shared" si="6"/>
        <v xml:space="preserve"> </v>
      </c>
      <c r="M31" s="102" t="str">
        <f t="shared" si="6"/>
        <v xml:space="preserve"> </v>
      </c>
      <c r="N31" s="103" t="str">
        <f t="shared" si="1"/>
        <v xml:space="preserve"> </v>
      </c>
      <c r="O31" s="104" t="str">
        <f t="shared" si="2"/>
        <v xml:space="preserve"> </v>
      </c>
      <c r="P31" s="105" t="str">
        <f t="shared" si="3"/>
        <v xml:space="preserve"> </v>
      </c>
      <c r="Q31" s="103" t="str">
        <f t="shared" si="4"/>
        <v/>
      </c>
      <c r="R31" s="103" t="str">
        <f t="shared" si="5"/>
        <v/>
      </c>
      <c r="S31" s="106"/>
    </row>
    <row r="32" spans="1:19" ht="18" customHeight="1">
      <c r="A32" s="95"/>
      <c r="B32" s="96" t="s">
        <v>81</v>
      </c>
      <c r="C32" s="99" t="s">
        <v>62</v>
      </c>
      <c r="D32" s="98">
        <v>0.55000000000000004</v>
      </c>
      <c r="E32" s="98">
        <v>0.03</v>
      </c>
      <c r="F32" s="98">
        <v>-0.03</v>
      </c>
      <c r="G32" s="99" t="s">
        <v>60</v>
      </c>
      <c r="H32" s="101"/>
      <c r="I32" s="101"/>
      <c r="J32" s="101"/>
      <c r="K32" s="102" t="str">
        <f t="shared" si="6"/>
        <v xml:space="preserve"> </v>
      </c>
      <c r="L32" s="102" t="str">
        <f t="shared" si="6"/>
        <v xml:space="preserve"> </v>
      </c>
      <c r="M32" s="102" t="str">
        <f t="shared" si="6"/>
        <v xml:space="preserve"> </v>
      </c>
      <c r="N32" s="103" t="str">
        <f t="shared" si="1"/>
        <v xml:space="preserve"> </v>
      </c>
      <c r="O32" s="104" t="str">
        <f t="shared" si="2"/>
        <v xml:space="preserve"> </v>
      </c>
      <c r="P32" s="105" t="str">
        <f t="shared" si="3"/>
        <v xml:space="preserve"> </v>
      </c>
      <c r="Q32" s="103" t="str">
        <f t="shared" si="4"/>
        <v/>
      </c>
      <c r="R32" s="103" t="str">
        <f t="shared" si="5"/>
        <v/>
      </c>
      <c r="S32" s="106"/>
    </row>
    <row r="33" spans="1:19" ht="18" customHeight="1">
      <c r="A33" s="95"/>
      <c r="B33" s="96" t="s">
        <v>82</v>
      </c>
      <c r="C33" s="99" t="s">
        <v>62</v>
      </c>
      <c r="D33" s="98">
        <v>0.55000000000000004</v>
      </c>
      <c r="E33" s="98">
        <v>0.03</v>
      </c>
      <c r="F33" s="98">
        <v>-0.03</v>
      </c>
      <c r="G33" s="99" t="s">
        <v>60</v>
      </c>
      <c r="H33" s="101"/>
      <c r="I33" s="101"/>
      <c r="J33" s="101"/>
      <c r="K33" s="102" t="str">
        <f t="shared" si="6"/>
        <v xml:space="preserve"> </v>
      </c>
      <c r="L33" s="102" t="str">
        <f t="shared" si="6"/>
        <v xml:space="preserve"> </v>
      </c>
      <c r="M33" s="102" t="str">
        <f t="shared" si="6"/>
        <v xml:space="preserve"> </v>
      </c>
      <c r="N33" s="103" t="str">
        <f t="shared" si="1"/>
        <v xml:space="preserve"> </v>
      </c>
      <c r="O33" s="104" t="str">
        <f t="shared" si="2"/>
        <v xml:space="preserve"> </v>
      </c>
      <c r="P33" s="105" t="str">
        <f t="shared" si="3"/>
        <v xml:space="preserve"> </v>
      </c>
      <c r="Q33" s="103" t="str">
        <f t="shared" si="4"/>
        <v/>
      </c>
      <c r="R33" s="103" t="str">
        <f t="shared" si="5"/>
        <v/>
      </c>
      <c r="S33" s="106"/>
    </row>
    <row r="34" spans="1:19" ht="18" customHeight="1">
      <c r="A34" s="95"/>
      <c r="B34" s="96" t="s">
        <v>83</v>
      </c>
      <c r="C34" s="99" t="s">
        <v>62</v>
      </c>
      <c r="D34" s="98">
        <v>3.18</v>
      </c>
      <c r="E34" s="98">
        <v>0.02</v>
      </c>
      <c r="F34" s="98">
        <v>-0.03</v>
      </c>
      <c r="G34" s="99" t="s">
        <v>60</v>
      </c>
      <c r="H34" s="101"/>
      <c r="I34" s="101"/>
      <c r="J34" s="101"/>
      <c r="K34" s="102" t="str">
        <f t="shared" si="6"/>
        <v xml:space="preserve"> </v>
      </c>
      <c r="L34" s="102" t="str">
        <f t="shared" si="6"/>
        <v xml:space="preserve"> </v>
      </c>
      <c r="M34" s="102" t="str">
        <f t="shared" si="6"/>
        <v xml:space="preserve"> </v>
      </c>
      <c r="N34" s="103" t="str">
        <f t="shared" si="1"/>
        <v xml:space="preserve"> </v>
      </c>
      <c r="O34" s="104" t="str">
        <f t="shared" si="2"/>
        <v xml:space="preserve"> </v>
      </c>
      <c r="P34" s="105" t="str">
        <f t="shared" si="3"/>
        <v xml:space="preserve"> </v>
      </c>
      <c r="Q34" s="103" t="str">
        <f t="shared" si="4"/>
        <v/>
      </c>
      <c r="R34" s="103" t="str">
        <f t="shared" si="5"/>
        <v/>
      </c>
      <c r="S34" s="106"/>
    </row>
    <row r="35" spans="1:19" ht="18" customHeight="1">
      <c r="A35" s="95"/>
      <c r="B35" s="96" t="s">
        <v>84</v>
      </c>
      <c r="C35" s="99" t="s">
        <v>62</v>
      </c>
      <c r="D35" s="98">
        <v>3.18</v>
      </c>
      <c r="E35" s="98">
        <v>0.02</v>
      </c>
      <c r="F35" s="98">
        <v>-0.03</v>
      </c>
      <c r="G35" s="99" t="s">
        <v>60</v>
      </c>
      <c r="H35" s="101"/>
      <c r="I35" s="101"/>
      <c r="J35" s="101"/>
      <c r="K35" s="102" t="str">
        <f t="shared" si="6"/>
        <v xml:space="preserve"> </v>
      </c>
      <c r="L35" s="102" t="str">
        <f t="shared" si="6"/>
        <v xml:space="preserve"> </v>
      </c>
      <c r="M35" s="102" t="str">
        <f t="shared" si="6"/>
        <v xml:space="preserve"> </v>
      </c>
      <c r="N35" s="103" t="str">
        <f t="shared" si="1"/>
        <v xml:space="preserve"> </v>
      </c>
      <c r="O35" s="104" t="str">
        <f t="shared" si="2"/>
        <v xml:space="preserve"> </v>
      </c>
      <c r="P35" s="105" t="str">
        <f t="shared" si="3"/>
        <v xml:space="preserve"> </v>
      </c>
      <c r="Q35" s="103" t="str">
        <f t="shared" si="4"/>
        <v/>
      </c>
      <c r="R35" s="103" t="str">
        <f t="shared" si="5"/>
        <v/>
      </c>
      <c r="S35" s="106"/>
    </row>
    <row r="36" spans="1:19" ht="18" customHeight="1">
      <c r="A36" s="95"/>
      <c r="B36" s="96" t="s">
        <v>85</v>
      </c>
      <c r="C36" s="99" t="s">
        <v>62</v>
      </c>
      <c r="D36" s="98">
        <v>13.05</v>
      </c>
      <c r="E36" s="98">
        <v>0.03</v>
      </c>
      <c r="F36" s="98">
        <v>-0.03</v>
      </c>
      <c r="G36" s="99" t="s">
        <v>60</v>
      </c>
      <c r="H36" s="101"/>
      <c r="I36" s="101"/>
      <c r="J36" s="101"/>
      <c r="K36" s="102" t="str">
        <f t="shared" si="6"/>
        <v xml:space="preserve"> </v>
      </c>
      <c r="L36" s="102" t="str">
        <f t="shared" si="6"/>
        <v xml:space="preserve"> </v>
      </c>
      <c r="M36" s="102" t="str">
        <f t="shared" si="6"/>
        <v xml:space="preserve"> </v>
      </c>
      <c r="N36" s="103" t="str">
        <f t="shared" si="1"/>
        <v xml:space="preserve"> </v>
      </c>
      <c r="O36" s="104" t="str">
        <f t="shared" si="2"/>
        <v xml:space="preserve"> </v>
      </c>
      <c r="P36" s="105" t="str">
        <f t="shared" si="3"/>
        <v xml:space="preserve"> </v>
      </c>
      <c r="Q36" s="103" t="str">
        <f t="shared" si="4"/>
        <v/>
      </c>
      <c r="R36" s="103" t="str">
        <f t="shared" si="5"/>
        <v/>
      </c>
      <c r="S36" s="106"/>
    </row>
    <row r="37" spans="1:19" ht="18" customHeight="1">
      <c r="A37" s="95"/>
      <c r="B37" s="96" t="s">
        <v>86</v>
      </c>
      <c r="C37" s="99" t="s">
        <v>62</v>
      </c>
      <c r="D37" s="98">
        <v>13.05</v>
      </c>
      <c r="E37" s="98">
        <v>0.03</v>
      </c>
      <c r="F37" s="98">
        <v>-0.03</v>
      </c>
      <c r="G37" s="99" t="s">
        <v>60</v>
      </c>
      <c r="H37" s="101"/>
      <c r="I37" s="101"/>
      <c r="J37" s="101"/>
      <c r="K37" s="102" t="str">
        <f t="shared" si="6"/>
        <v xml:space="preserve"> </v>
      </c>
      <c r="L37" s="102" t="str">
        <f t="shared" si="6"/>
        <v xml:space="preserve"> </v>
      </c>
      <c r="M37" s="102" t="str">
        <f t="shared" si="6"/>
        <v xml:space="preserve"> </v>
      </c>
      <c r="N37" s="103" t="str">
        <f t="shared" si="1"/>
        <v xml:space="preserve"> </v>
      </c>
      <c r="O37" s="104" t="str">
        <f t="shared" si="2"/>
        <v xml:space="preserve"> </v>
      </c>
      <c r="P37" s="105" t="str">
        <f t="shared" si="3"/>
        <v xml:space="preserve"> </v>
      </c>
      <c r="Q37" s="103" t="str">
        <f t="shared" si="4"/>
        <v/>
      </c>
      <c r="R37" s="103" t="str">
        <f t="shared" si="5"/>
        <v/>
      </c>
      <c r="S37" s="106"/>
    </row>
    <row r="38" spans="1:19" ht="18" customHeight="1">
      <c r="A38" s="95"/>
      <c r="B38" s="96" t="s">
        <v>87</v>
      </c>
      <c r="C38" s="99" t="s">
        <v>62</v>
      </c>
      <c r="D38" s="98">
        <v>1.79</v>
      </c>
      <c r="E38" s="98">
        <v>2.5000000000000001E-2</v>
      </c>
      <c r="F38" s="98">
        <v>-0.02</v>
      </c>
      <c r="G38" s="99" t="s">
        <v>60</v>
      </c>
      <c r="H38" s="101"/>
      <c r="I38" s="101"/>
      <c r="J38" s="101"/>
      <c r="K38" s="102" t="str">
        <f t="shared" si="6"/>
        <v xml:space="preserve"> </v>
      </c>
      <c r="L38" s="102" t="str">
        <f t="shared" si="6"/>
        <v xml:space="preserve"> </v>
      </c>
      <c r="M38" s="102" t="str">
        <f t="shared" si="6"/>
        <v xml:space="preserve"> </v>
      </c>
      <c r="N38" s="103" t="str">
        <f t="shared" si="1"/>
        <v xml:space="preserve"> </v>
      </c>
      <c r="O38" s="104" t="str">
        <f t="shared" si="2"/>
        <v xml:space="preserve"> </v>
      </c>
      <c r="P38" s="105" t="str">
        <f t="shared" si="3"/>
        <v xml:space="preserve"> </v>
      </c>
      <c r="Q38" s="103" t="str">
        <f t="shared" si="4"/>
        <v/>
      </c>
      <c r="R38" s="103" t="str">
        <f t="shared" si="5"/>
        <v/>
      </c>
      <c r="S38" s="106"/>
    </row>
    <row r="39" spans="1:19" ht="18" customHeight="1">
      <c r="A39" s="95"/>
      <c r="B39" s="96" t="s">
        <v>88</v>
      </c>
      <c r="C39" s="99" t="s">
        <v>62</v>
      </c>
      <c r="D39" s="98">
        <v>1.79</v>
      </c>
      <c r="E39" s="98">
        <v>2.5000000000000001E-2</v>
      </c>
      <c r="F39" s="98">
        <v>-0.02</v>
      </c>
      <c r="G39" s="99" t="s">
        <v>60</v>
      </c>
      <c r="H39" s="101"/>
      <c r="I39" s="101"/>
      <c r="J39" s="101"/>
      <c r="K39" s="102" t="str">
        <f t="shared" si="6"/>
        <v xml:space="preserve"> </v>
      </c>
      <c r="L39" s="102" t="str">
        <f t="shared" si="6"/>
        <v xml:space="preserve"> </v>
      </c>
      <c r="M39" s="102" t="str">
        <f t="shared" si="6"/>
        <v xml:space="preserve"> </v>
      </c>
      <c r="N39" s="103" t="str">
        <f t="shared" si="1"/>
        <v xml:space="preserve"> </v>
      </c>
      <c r="O39" s="104" t="str">
        <f t="shared" si="2"/>
        <v xml:space="preserve"> </v>
      </c>
      <c r="P39" s="105" t="str">
        <f t="shared" si="3"/>
        <v xml:space="preserve"> </v>
      </c>
      <c r="Q39" s="103" t="str">
        <f t="shared" si="4"/>
        <v/>
      </c>
      <c r="R39" s="103" t="str">
        <f t="shared" si="5"/>
        <v/>
      </c>
      <c r="S39" s="106"/>
    </row>
    <row r="40" spans="1:19" ht="18" customHeight="1">
      <c r="A40" s="95"/>
      <c r="B40" s="96" t="s">
        <v>89</v>
      </c>
      <c r="C40" s="99" t="s">
        <v>62</v>
      </c>
      <c r="D40" s="98">
        <v>1.79</v>
      </c>
      <c r="E40" s="98">
        <v>2.5000000000000001E-2</v>
      </c>
      <c r="F40" s="98">
        <v>-0.02</v>
      </c>
      <c r="G40" s="99" t="s">
        <v>60</v>
      </c>
      <c r="H40" s="101"/>
      <c r="I40" s="101"/>
      <c r="J40" s="101"/>
      <c r="K40" s="102" t="str">
        <f t="shared" si="6"/>
        <v xml:space="preserve"> </v>
      </c>
      <c r="L40" s="102" t="str">
        <f t="shared" si="6"/>
        <v xml:space="preserve"> </v>
      </c>
      <c r="M40" s="102" t="str">
        <f t="shared" si="6"/>
        <v xml:space="preserve"> </v>
      </c>
      <c r="N40" s="103" t="str">
        <f t="shared" si="1"/>
        <v xml:space="preserve"> </v>
      </c>
      <c r="O40" s="104" t="str">
        <f t="shared" si="2"/>
        <v xml:space="preserve"> </v>
      </c>
      <c r="P40" s="105" t="str">
        <f t="shared" si="3"/>
        <v xml:space="preserve"> </v>
      </c>
      <c r="Q40" s="103" t="str">
        <f t="shared" si="4"/>
        <v/>
      </c>
      <c r="R40" s="103" t="str">
        <f t="shared" si="5"/>
        <v/>
      </c>
      <c r="S40" s="106"/>
    </row>
    <row r="41" spans="1:19" ht="18" customHeight="1">
      <c r="A41" s="95"/>
      <c r="B41" s="96" t="s">
        <v>90</v>
      </c>
      <c r="C41" s="99" t="s">
        <v>62</v>
      </c>
      <c r="D41" s="98">
        <v>1.79</v>
      </c>
      <c r="E41" s="98">
        <v>2.5000000000000001E-2</v>
      </c>
      <c r="F41" s="98">
        <v>-0.02</v>
      </c>
      <c r="G41" s="99" t="s">
        <v>60</v>
      </c>
      <c r="H41" s="101"/>
      <c r="I41" s="101"/>
      <c r="J41" s="101"/>
      <c r="K41" s="102" t="str">
        <f t="shared" si="6"/>
        <v xml:space="preserve"> </v>
      </c>
      <c r="L41" s="102" t="str">
        <f t="shared" si="6"/>
        <v xml:space="preserve"> </v>
      </c>
      <c r="M41" s="102" t="str">
        <f t="shared" si="6"/>
        <v xml:space="preserve"> </v>
      </c>
      <c r="N41" s="103" t="str">
        <f t="shared" si="1"/>
        <v xml:space="preserve"> </v>
      </c>
      <c r="O41" s="104" t="str">
        <f t="shared" si="2"/>
        <v xml:space="preserve"> </v>
      </c>
      <c r="P41" s="105" t="str">
        <f t="shared" si="3"/>
        <v xml:space="preserve"> </v>
      </c>
      <c r="Q41" s="103" t="str">
        <f t="shared" si="4"/>
        <v/>
      </c>
      <c r="R41" s="103" t="str">
        <f t="shared" si="5"/>
        <v/>
      </c>
      <c r="S41" s="106"/>
    </row>
    <row r="42" spans="1:19" ht="18" customHeight="1">
      <c r="A42" s="95"/>
      <c r="B42" s="96" t="s">
        <v>91</v>
      </c>
      <c r="C42" s="99" t="s">
        <v>62</v>
      </c>
      <c r="D42" s="98">
        <v>12.22</v>
      </c>
      <c r="E42" s="98">
        <v>2.5000000000000001E-2</v>
      </c>
      <c r="F42" s="98">
        <v>-2.5000000000000001E-2</v>
      </c>
      <c r="G42" s="99" t="s">
        <v>60</v>
      </c>
      <c r="H42" s="101"/>
      <c r="I42" s="101"/>
      <c r="J42" s="101"/>
      <c r="K42" s="102" t="str">
        <f t="shared" si="6"/>
        <v xml:space="preserve"> </v>
      </c>
      <c r="L42" s="102" t="str">
        <f t="shared" si="6"/>
        <v xml:space="preserve"> </v>
      </c>
      <c r="M42" s="102" t="str">
        <f t="shared" si="6"/>
        <v xml:space="preserve"> </v>
      </c>
      <c r="N42" s="103" t="str">
        <f t="shared" si="1"/>
        <v xml:space="preserve"> </v>
      </c>
      <c r="O42" s="104" t="str">
        <f t="shared" si="2"/>
        <v xml:space="preserve"> </v>
      </c>
      <c r="P42" s="105" t="str">
        <f t="shared" si="3"/>
        <v xml:space="preserve"> </v>
      </c>
      <c r="Q42" s="103" t="str">
        <f t="shared" si="4"/>
        <v/>
      </c>
      <c r="R42" s="103" t="str">
        <f t="shared" si="5"/>
        <v/>
      </c>
      <c r="S42" s="106"/>
    </row>
    <row r="43" spans="1:19" ht="18" customHeight="1">
      <c r="A43" s="95"/>
      <c r="B43" s="96" t="s">
        <v>92</v>
      </c>
      <c r="C43" s="99" t="s">
        <v>62</v>
      </c>
      <c r="D43" s="98">
        <v>0.9</v>
      </c>
      <c r="E43" s="98">
        <v>1.4999999999999999E-2</v>
      </c>
      <c r="F43" s="98">
        <v>-1.4999999999999999E-2</v>
      </c>
      <c r="G43" s="99" t="s">
        <v>60</v>
      </c>
      <c r="H43" s="101"/>
      <c r="I43" s="101"/>
      <c r="J43" s="101"/>
      <c r="K43" s="102" t="str">
        <f t="shared" si="6"/>
        <v xml:space="preserve"> </v>
      </c>
      <c r="L43" s="102" t="str">
        <f t="shared" si="6"/>
        <v xml:space="preserve"> </v>
      </c>
      <c r="M43" s="102" t="str">
        <f t="shared" si="6"/>
        <v xml:space="preserve"> </v>
      </c>
      <c r="N43" s="103" t="str">
        <f t="shared" si="1"/>
        <v xml:space="preserve"> </v>
      </c>
      <c r="O43" s="104" t="str">
        <f t="shared" si="2"/>
        <v xml:space="preserve"> </v>
      </c>
      <c r="P43" s="105" t="str">
        <f t="shared" si="3"/>
        <v xml:space="preserve"> </v>
      </c>
      <c r="Q43" s="103" t="str">
        <f t="shared" si="4"/>
        <v/>
      </c>
      <c r="R43" s="103" t="str">
        <f t="shared" si="5"/>
        <v/>
      </c>
      <c r="S43" s="106"/>
    </row>
    <row r="44" spans="1:19" ht="18" customHeight="1">
      <c r="A44" s="95"/>
      <c r="B44" s="96" t="s">
        <v>93</v>
      </c>
      <c r="C44" s="99" t="s">
        <v>62</v>
      </c>
      <c r="D44" s="98">
        <v>14.22</v>
      </c>
      <c r="E44" s="98">
        <v>0.02</v>
      </c>
      <c r="F44" s="98">
        <v>-0.03</v>
      </c>
      <c r="G44" s="99" t="s">
        <v>60</v>
      </c>
      <c r="H44" s="101"/>
      <c r="I44" s="101"/>
      <c r="J44" s="101"/>
      <c r="K44" s="102" t="str">
        <f t="shared" si="6"/>
        <v xml:space="preserve"> </v>
      </c>
      <c r="L44" s="102" t="str">
        <f t="shared" si="6"/>
        <v xml:space="preserve"> </v>
      </c>
      <c r="M44" s="102" t="str">
        <f t="shared" si="6"/>
        <v xml:space="preserve"> </v>
      </c>
      <c r="N44" s="103" t="str">
        <f t="shared" si="1"/>
        <v xml:space="preserve"> </v>
      </c>
      <c r="O44" s="104" t="str">
        <f t="shared" si="2"/>
        <v xml:space="preserve"> </v>
      </c>
      <c r="P44" s="105" t="str">
        <f t="shared" si="3"/>
        <v xml:space="preserve"> </v>
      </c>
      <c r="Q44" s="103" t="str">
        <f t="shared" si="4"/>
        <v/>
      </c>
      <c r="R44" s="103" t="str">
        <f t="shared" si="5"/>
        <v/>
      </c>
      <c r="S44" s="106"/>
    </row>
    <row r="45" spans="1:19" ht="18" customHeight="1">
      <c r="A45" s="95"/>
      <c r="B45" s="96" t="s">
        <v>94</v>
      </c>
      <c r="C45" s="99" t="s">
        <v>62</v>
      </c>
      <c r="D45" s="98">
        <v>11.88</v>
      </c>
      <c r="E45" s="98">
        <v>0.03</v>
      </c>
      <c r="F45" s="98">
        <v>-0.02</v>
      </c>
      <c r="G45" s="99" t="s">
        <v>60</v>
      </c>
      <c r="H45" s="101"/>
      <c r="I45" s="101"/>
      <c r="J45" s="101"/>
      <c r="K45" s="102" t="str">
        <f t="shared" si="6"/>
        <v xml:space="preserve"> </v>
      </c>
      <c r="L45" s="102" t="str">
        <f t="shared" si="6"/>
        <v xml:space="preserve"> </v>
      </c>
      <c r="M45" s="102" t="str">
        <f t="shared" si="6"/>
        <v xml:space="preserve"> </v>
      </c>
      <c r="N45" s="103" t="str">
        <f t="shared" si="1"/>
        <v xml:space="preserve"> </v>
      </c>
      <c r="O45" s="104" t="str">
        <f t="shared" si="2"/>
        <v xml:space="preserve"> </v>
      </c>
      <c r="P45" s="105" t="str">
        <f t="shared" si="3"/>
        <v xml:space="preserve"> </v>
      </c>
      <c r="Q45" s="103" t="str">
        <f t="shared" si="4"/>
        <v/>
      </c>
      <c r="R45" s="103" t="str">
        <f t="shared" si="5"/>
        <v/>
      </c>
      <c r="S45" s="106"/>
    </row>
    <row r="46" spans="1:19" ht="17.25" customHeight="1">
      <c r="A46" s="95"/>
      <c r="B46" s="96" t="s">
        <v>95</v>
      </c>
      <c r="C46" s="99" t="s">
        <v>62</v>
      </c>
      <c r="D46" s="98">
        <v>12.13</v>
      </c>
      <c r="E46" s="98">
        <v>0.02</v>
      </c>
      <c r="F46" s="98">
        <v>-0.04</v>
      </c>
      <c r="G46" s="99" t="s">
        <v>60</v>
      </c>
      <c r="H46" s="101"/>
      <c r="I46" s="101"/>
      <c r="J46" s="101"/>
      <c r="K46" s="102" t="str">
        <f t="shared" si="6"/>
        <v xml:space="preserve"> </v>
      </c>
      <c r="L46" s="102" t="str">
        <f t="shared" si="6"/>
        <v xml:space="preserve"> </v>
      </c>
      <c r="M46" s="102" t="str">
        <f t="shared" si="6"/>
        <v xml:space="preserve"> </v>
      </c>
      <c r="N46" s="103" t="str">
        <f t="shared" si="1"/>
        <v xml:space="preserve"> </v>
      </c>
      <c r="O46" s="104" t="str">
        <f t="shared" si="2"/>
        <v xml:space="preserve"> </v>
      </c>
      <c r="P46" s="105" t="str">
        <f t="shared" si="3"/>
        <v xml:space="preserve"> </v>
      </c>
      <c r="Q46" s="103" t="str">
        <f t="shared" si="4"/>
        <v/>
      </c>
      <c r="R46" s="103" t="str">
        <f t="shared" si="5"/>
        <v/>
      </c>
      <c r="S46" s="106"/>
    </row>
    <row r="47" spans="1:19" ht="18" customHeight="1">
      <c r="A47" s="95"/>
      <c r="B47" s="96" t="s">
        <v>96</v>
      </c>
      <c r="C47" s="99" t="s">
        <v>62</v>
      </c>
      <c r="D47" s="98">
        <v>0.51</v>
      </c>
      <c r="E47" s="98">
        <v>0.02</v>
      </c>
      <c r="F47" s="98">
        <v>-0.02</v>
      </c>
      <c r="G47" s="99" t="s">
        <v>60</v>
      </c>
      <c r="H47" s="101"/>
      <c r="I47" s="101"/>
      <c r="J47" s="101"/>
      <c r="K47" s="102" t="str">
        <f t="shared" si="6"/>
        <v xml:space="preserve"> </v>
      </c>
      <c r="L47" s="102" t="str">
        <f t="shared" si="6"/>
        <v xml:space="preserve"> </v>
      </c>
      <c r="M47" s="102" t="str">
        <f t="shared" si="6"/>
        <v xml:space="preserve"> </v>
      </c>
      <c r="N47" s="103" t="str">
        <f t="shared" si="1"/>
        <v xml:space="preserve"> </v>
      </c>
      <c r="O47" s="104" t="str">
        <f t="shared" si="2"/>
        <v xml:space="preserve"> </v>
      </c>
      <c r="P47" s="105" t="str">
        <f t="shared" si="3"/>
        <v xml:space="preserve"> </v>
      </c>
      <c r="Q47" s="103" t="str">
        <f t="shared" si="4"/>
        <v/>
      </c>
      <c r="R47" s="103" t="str">
        <f t="shared" si="5"/>
        <v/>
      </c>
      <c r="S47" s="106"/>
    </row>
    <row r="48" spans="1:19" ht="18" customHeight="1">
      <c r="A48" s="95"/>
      <c r="B48" s="96" t="s">
        <v>97</v>
      </c>
      <c r="C48" s="99" t="s">
        <v>62</v>
      </c>
      <c r="D48" s="98">
        <v>0.51</v>
      </c>
      <c r="E48" s="98">
        <v>0.02</v>
      </c>
      <c r="F48" s="98">
        <v>-0.02</v>
      </c>
      <c r="G48" s="99" t="s">
        <v>60</v>
      </c>
      <c r="H48" s="101"/>
      <c r="I48" s="101"/>
      <c r="J48" s="101"/>
      <c r="K48" s="102" t="str">
        <f t="shared" si="6"/>
        <v xml:space="preserve"> </v>
      </c>
      <c r="L48" s="102" t="str">
        <f t="shared" si="6"/>
        <v xml:space="preserve"> </v>
      </c>
      <c r="M48" s="102" t="str">
        <f t="shared" si="6"/>
        <v xml:space="preserve"> </v>
      </c>
      <c r="N48" s="103" t="str">
        <f t="shared" si="1"/>
        <v xml:space="preserve"> </v>
      </c>
      <c r="O48" s="104" t="str">
        <f t="shared" si="2"/>
        <v xml:space="preserve"> </v>
      </c>
      <c r="P48" s="105" t="str">
        <f t="shared" si="3"/>
        <v xml:space="preserve"> </v>
      </c>
      <c r="Q48" s="103" t="str">
        <f t="shared" si="4"/>
        <v/>
      </c>
      <c r="R48" s="103" t="str">
        <f t="shared" si="5"/>
        <v/>
      </c>
      <c r="S48" s="106"/>
    </row>
    <row r="49" spans="1:19" ht="18" customHeight="1">
      <c r="A49" s="95"/>
      <c r="B49" s="96" t="s">
        <v>98</v>
      </c>
      <c r="C49" s="99" t="s">
        <v>62</v>
      </c>
      <c r="D49" s="98">
        <v>0.81</v>
      </c>
      <c r="E49" s="98">
        <v>0.03</v>
      </c>
      <c r="F49" s="98">
        <v>-0.02</v>
      </c>
      <c r="G49" s="99" t="s">
        <v>60</v>
      </c>
      <c r="H49" s="101"/>
      <c r="I49" s="101"/>
      <c r="J49" s="101"/>
      <c r="K49" s="102" t="str">
        <f t="shared" si="6"/>
        <v xml:space="preserve"> </v>
      </c>
      <c r="L49" s="102" t="str">
        <f t="shared" si="6"/>
        <v xml:space="preserve"> </v>
      </c>
      <c r="M49" s="102" t="str">
        <f t="shared" si="6"/>
        <v xml:space="preserve"> </v>
      </c>
      <c r="N49" s="103" t="str">
        <f t="shared" si="1"/>
        <v xml:space="preserve"> </v>
      </c>
      <c r="O49" s="104" t="str">
        <f t="shared" si="2"/>
        <v xml:space="preserve"> </v>
      </c>
      <c r="P49" s="105" t="str">
        <f t="shared" si="3"/>
        <v xml:space="preserve"> </v>
      </c>
      <c r="Q49" s="103" t="str">
        <f t="shared" si="4"/>
        <v/>
      </c>
      <c r="R49" s="103" t="str">
        <f t="shared" si="5"/>
        <v/>
      </c>
      <c r="S49" s="106"/>
    </row>
    <row r="50" spans="1:19" ht="18" customHeight="1">
      <c r="A50" s="95"/>
      <c r="B50" s="96" t="s">
        <v>99</v>
      </c>
      <c r="C50" s="99" t="s">
        <v>62</v>
      </c>
      <c r="D50" s="98">
        <v>0.81</v>
      </c>
      <c r="E50" s="98">
        <v>0.03</v>
      </c>
      <c r="F50" s="98">
        <v>-0.02</v>
      </c>
      <c r="G50" s="99" t="s">
        <v>60</v>
      </c>
      <c r="H50" s="101"/>
      <c r="I50" s="101"/>
      <c r="J50" s="101"/>
      <c r="K50" s="102" t="str">
        <f t="shared" si="6"/>
        <v xml:space="preserve"> </v>
      </c>
      <c r="L50" s="102" t="str">
        <f t="shared" si="6"/>
        <v xml:space="preserve"> </v>
      </c>
      <c r="M50" s="102" t="str">
        <f t="shared" si="6"/>
        <v xml:space="preserve"> </v>
      </c>
      <c r="N50" s="103" t="str">
        <f t="shared" si="1"/>
        <v xml:space="preserve"> </v>
      </c>
      <c r="O50" s="104" t="str">
        <f t="shared" si="2"/>
        <v xml:space="preserve"> </v>
      </c>
      <c r="P50" s="105" t="str">
        <f t="shared" si="3"/>
        <v xml:space="preserve"> </v>
      </c>
      <c r="Q50" s="103" t="str">
        <f t="shared" si="4"/>
        <v/>
      </c>
      <c r="R50" s="103" t="str">
        <f t="shared" si="5"/>
        <v/>
      </c>
      <c r="S50" s="106"/>
    </row>
    <row r="51" spans="1:19" ht="18" customHeight="1">
      <c r="A51" s="95"/>
      <c r="B51" s="96" t="s">
        <v>100</v>
      </c>
      <c r="C51" s="99" t="s">
        <v>62</v>
      </c>
      <c r="D51" s="98">
        <v>0.81</v>
      </c>
      <c r="E51" s="98">
        <v>0.03</v>
      </c>
      <c r="F51" s="98">
        <v>-0.02</v>
      </c>
      <c r="G51" s="99" t="s">
        <v>60</v>
      </c>
      <c r="H51" s="101"/>
      <c r="I51" s="101"/>
      <c r="J51" s="101"/>
      <c r="K51" s="102" t="str">
        <f t="shared" si="6"/>
        <v xml:space="preserve"> </v>
      </c>
      <c r="L51" s="102" t="str">
        <f t="shared" si="6"/>
        <v xml:space="preserve"> </v>
      </c>
      <c r="M51" s="102" t="str">
        <f t="shared" si="6"/>
        <v xml:space="preserve"> </v>
      </c>
      <c r="N51" s="103" t="str">
        <f t="shared" si="1"/>
        <v xml:space="preserve"> </v>
      </c>
      <c r="O51" s="104" t="str">
        <f t="shared" si="2"/>
        <v xml:space="preserve"> </v>
      </c>
      <c r="P51" s="105" t="str">
        <f t="shared" si="3"/>
        <v xml:space="preserve"> </v>
      </c>
      <c r="Q51" s="103" t="str">
        <f t="shared" si="4"/>
        <v/>
      </c>
      <c r="R51" s="103" t="str">
        <f t="shared" si="5"/>
        <v/>
      </c>
      <c r="S51" s="106"/>
    </row>
    <row r="52" spans="1:19" ht="18" customHeight="1">
      <c r="A52" s="95"/>
      <c r="B52" s="96" t="s">
        <v>101</v>
      </c>
      <c r="C52" s="99" t="s">
        <v>62</v>
      </c>
      <c r="D52" s="98">
        <v>0.81</v>
      </c>
      <c r="E52" s="98">
        <v>0.03</v>
      </c>
      <c r="F52" s="98">
        <v>-0.02</v>
      </c>
      <c r="G52" s="99" t="s">
        <v>60</v>
      </c>
      <c r="H52" s="101"/>
      <c r="I52" s="101"/>
      <c r="J52" s="101"/>
      <c r="K52" s="102" t="str">
        <f t="shared" si="6"/>
        <v xml:space="preserve"> </v>
      </c>
      <c r="L52" s="102" t="str">
        <f t="shared" si="6"/>
        <v xml:space="preserve"> </v>
      </c>
      <c r="M52" s="102" t="str">
        <f t="shared" si="6"/>
        <v xml:space="preserve"> </v>
      </c>
      <c r="N52" s="103" t="str">
        <f t="shared" si="1"/>
        <v xml:space="preserve"> </v>
      </c>
      <c r="O52" s="104" t="str">
        <f t="shared" si="2"/>
        <v xml:space="preserve"> </v>
      </c>
      <c r="P52" s="105" t="str">
        <f t="shared" si="3"/>
        <v xml:space="preserve"> </v>
      </c>
      <c r="Q52" s="103" t="str">
        <f t="shared" si="4"/>
        <v/>
      </c>
      <c r="R52" s="103" t="str">
        <f t="shared" si="5"/>
        <v/>
      </c>
      <c r="S52" s="106"/>
    </row>
    <row r="53" spans="1:19" ht="18" customHeight="1">
      <c r="A53" s="95"/>
      <c r="B53" s="96" t="s">
        <v>102</v>
      </c>
      <c r="C53" s="99" t="s">
        <v>62</v>
      </c>
      <c r="D53" s="98">
        <v>14</v>
      </c>
      <c r="E53" s="98">
        <v>3.5000000000000003E-2</v>
      </c>
      <c r="F53" s="98">
        <v>-0.02</v>
      </c>
      <c r="G53" s="99" t="s">
        <v>60</v>
      </c>
      <c r="H53" s="101"/>
      <c r="I53" s="101"/>
      <c r="J53" s="101"/>
      <c r="K53" s="102" t="str">
        <f t="shared" si="6"/>
        <v xml:space="preserve"> </v>
      </c>
      <c r="L53" s="102" t="str">
        <f t="shared" si="6"/>
        <v xml:space="preserve"> </v>
      </c>
      <c r="M53" s="102" t="str">
        <f t="shared" si="6"/>
        <v xml:space="preserve"> </v>
      </c>
      <c r="N53" s="103" t="str">
        <f t="shared" si="1"/>
        <v xml:space="preserve"> </v>
      </c>
      <c r="O53" s="104" t="str">
        <f t="shared" si="2"/>
        <v xml:space="preserve"> </v>
      </c>
      <c r="P53" s="105" t="str">
        <f t="shared" si="3"/>
        <v xml:space="preserve"> </v>
      </c>
      <c r="Q53" s="103" t="str">
        <f t="shared" si="4"/>
        <v/>
      </c>
      <c r="R53" s="103" t="str">
        <f t="shared" si="5"/>
        <v/>
      </c>
      <c r="S53" s="106"/>
    </row>
    <row r="54" spans="1:19" ht="18" customHeight="1">
      <c r="A54" s="95"/>
      <c r="B54" s="96" t="s">
        <v>103</v>
      </c>
      <c r="C54" s="99" t="s">
        <v>62</v>
      </c>
      <c r="D54" s="98">
        <v>1.29</v>
      </c>
      <c r="E54" s="98">
        <v>0.02</v>
      </c>
      <c r="F54" s="98">
        <v>-0.03</v>
      </c>
      <c r="G54" s="99" t="s">
        <v>60</v>
      </c>
      <c r="H54" s="101"/>
      <c r="I54" s="101"/>
      <c r="J54" s="101"/>
      <c r="K54" s="102" t="str">
        <f t="shared" si="6"/>
        <v xml:space="preserve"> </v>
      </c>
      <c r="L54" s="102" t="str">
        <f t="shared" si="6"/>
        <v xml:space="preserve"> </v>
      </c>
      <c r="M54" s="102" t="str">
        <f t="shared" si="6"/>
        <v xml:space="preserve"> </v>
      </c>
      <c r="N54" s="103" t="str">
        <f t="shared" si="1"/>
        <v xml:space="preserve"> </v>
      </c>
      <c r="O54" s="104" t="str">
        <f t="shared" si="2"/>
        <v xml:space="preserve"> </v>
      </c>
      <c r="P54" s="105" t="str">
        <f t="shared" si="3"/>
        <v xml:space="preserve"> </v>
      </c>
      <c r="Q54" s="103" t="str">
        <f t="shared" si="4"/>
        <v/>
      </c>
      <c r="R54" s="103" t="str">
        <f t="shared" si="5"/>
        <v/>
      </c>
      <c r="S54" s="106"/>
    </row>
    <row r="55" spans="1:19" ht="18" customHeight="1">
      <c r="A55" s="95"/>
      <c r="B55" s="96" t="s">
        <v>104</v>
      </c>
      <c r="C55" s="99" t="s">
        <v>105</v>
      </c>
      <c r="D55" s="98">
        <v>0.43</v>
      </c>
      <c r="E55" s="98">
        <v>0.02</v>
      </c>
      <c r="F55" s="98">
        <v>-0.02</v>
      </c>
      <c r="G55" s="99" t="s">
        <v>60</v>
      </c>
      <c r="H55" s="101"/>
      <c r="I55" s="101"/>
      <c r="J55" s="101"/>
      <c r="K55" s="102" t="str">
        <f t="shared" si="6"/>
        <v xml:space="preserve"> </v>
      </c>
      <c r="L55" s="102" t="str">
        <f t="shared" si="6"/>
        <v xml:space="preserve"> </v>
      </c>
      <c r="M55" s="102" t="str">
        <f t="shared" si="6"/>
        <v xml:space="preserve"> </v>
      </c>
      <c r="N55" s="103" t="str">
        <f t="shared" si="1"/>
        <v xml:space="preserve"> </v>
      </c>
      <c r="O55" s="104" t="str">
        <f t="shared" si="2"/>
        <v xml:space="preserve"> </v>
      </c>
      <c r="P55" s="105" t="str">
        <f t="shared" si="3"/>
        <v xml:space="preserve"> </v>
      </c>
      <c r="Q55" s="103" t="str">
        <f t="shared" si="4"/>
        <v/>
      </c>
      <c r="R55" s="103" t="str">
        <f t="shared" si="5"/>
        <v/>
      </c>
      <c r="S55" s="106"/>
    </row>
    <row r="56" spans="1:19" ht="18" customHeight="1">
      <c r="A56" s="95"/>
      <c r="B56" s="96" t="s">
        <v>106</v>
      </c>
      <c r="C56" s="99" t="s">
        <v>62</v>
      </c>
      <c r="D56" s="98">
        <v>2.0299999999999998</v>
      </c>
      <c r="E56" s="98">
        <v>0.02</v>
      </c>
      <c r="F56" s="98">
        <v>-0.02</v>
      </c>
      <c r="G56" s="99" t="s">
        <v>60</v>
      </c>
      <c r="H56" s="101"/>
      <c r="I56" s="101"/>
      <c r="J56" s="101"/>
      <c r="K56" s="102" t="str">
        <f t="shared" si="6"/>
        <v xml:space="preserve"> </v>
      </c>
      <c r="L56" s="102" t="str">
        <f t="shared" si="6"/>
        <v xml:space="preserve"> </v>
      </c>
      <c r="M56" s="102" t="str">
        <f t="shared" si="6"/>
        <v xml:space="preserve"> </v>
      </c>
      <c r="N56" s="103" t="str">
        <f t="shared" si="1"/>
        <v xml:space="preserve"> </v>
      </c>
      <c r="O56" s="104" t="str">
        <f t="shared" si="2"/>
        <v xml:space="preserve"> </v>
      </c>
      <c r="P56" s="105" t="str">
        <f t="shared" si="3"/>
        <v xml:space="preserve"> </v>
      </c>
      <c r="Q56" s="103" t="str">
        <f t="shared" si="4"/>
        <v/>
      </c>
      <c r="R56" s="103" t="str">
        <f t="shared" si="5"/>
        <v/>
      </c>
      <c r="S56" s="106"/>
    </row>
    <row r="57" spans="1:19" ht="18" customHeight="1">
      <c r="A57" s="95"/>
      <c r="B57" s="96" t="s">
        <v>107</v>
      </c>
      <c r="C57" s="99" t="s">
        <v>62</v>
      </c>
      <c r="D57" s="98">
        <v>1.117</v>
      </c>
      <c r="E57" s="98">
        <v>2.5000000000000001E-2</v>
      </c>
      <c r="F57" s="98">
        <v>-2.5000000000000001E-2</v>
      </c>
      <c r="G57" s="99" t="s">
        <v>60</v>
      </c>
      <c r="H57" s="101"/>
      <c r="I57" s="101"/>
      <c r="J57" s="101"/>
      <c r="K57" s="102" t="str">
        <f t="shared" si="6"/>
        <v xml:space="preserve"> </v>
      </c>
      <c r="L57" s="102" t="str">
        <f t="shared" si="6"/>
        <v xml:space="preserve"> </v>
      </c>
      <c r="M57" s="102" t="str">
        <f t="shared" si="6"/>
        <v xml:space="preserve"> </v>
      </c>
      <c r="N57" s="103" t="str">
        <f t="shared" si="1"/>
        <v xml:space="preserve"> </v>
      </c>
      <c r="O57" s="104" t="str">
        <f t="shared" si="2"/>
        <v xml:space="preserve"> </v>
      </c>
      <c r="P57" s="105" t="str">
        <f t="shared" si="3"/>
        <v xml:space="preserve"> </v>
      </c>
      <c r="Q57" s="103" t="str">
        <f t="shared" si="4"/>
        <v/>
      </c>
      <c r="R57" s="103" t="str">
        <f t="shared" si="5"/>
        <v/>
      </c>
      <c r="S57" s="106"/>
    </row>
    <row r="58" spans="1:19" ht="18" customHeight="1">
      <c r="A58" s="95"/>
      <c r="B58" s="96" t="s">
        <v>108</v>
      </c>
      <c r="C58" s="99" t="s">
        <v>62</v>
      </c>
      <c r="D58" s="98">
        <v>12.34</v>
      </c>
      <c r="E58" s="98">
        <v>0.03</v>
      </c>
      <c r="F58" s="98">
        <v>-0.03</v>
      </c>
      <c r="G58" s="99" t="s">
        <v>60</v>
      </c>
      <c r="H58" s="101"/>
      <c r="I58" s="101"/>
      <c r="J58" s="101"/>
      <c r="K58" s="102" t="str">
        <f t="shared" si="6"/>
        <v xml:space="preserve"> </v>
      </c>
      <c r="L58" s="102" t="str">
        <f t="shared" si="6"/>
        <v xml:space="preserve"> </v>
      </c>
      <c r="M58" s="102" t="str">
        <f t="shared" si="6"/>
        <v xml:space="preserve"> </v>
      </c>
      <c r="N58" s="103" t="str">
        <f t="shared" si="1"/>
        <v xml:space="preserve"> </v>
      </c>
      <c r="O58" s="104" t="str">
        <f t="shared" si="2"/>
        <v xml:space="preserve"> </v>
      </c>
      <c r="P58" s="105" t="str">
        <f t="shared" si="3"/>
        <v xml:space="preserve"> </v>
      </c>
      <c r="Q58" s="103" t="str">
        <f t="shared" si="4"/>
        <v/>
      </c>
      <c r="R58" s="103" t="str">
        <f t="shared" si="5"/>
        <v/>
      </c>
      <c r="S58" s="106"/>
    </row>
    <row r="59" spans="1:19" ht="18" customHeight="1">
      <c r="A59" s="95"/>
      <c r="B59" s="96" t="s">
        <v>109</v>
      </c>
      <c r="C59" s="99" t="s">
        <v>62</v>
      </c>
      <c r="D59" s="98">
        <v>6.5000000000000002E-2</v>
      </c>
      <c r="E59" s="98">
        <v>0.01</v>
      </c>
      <c r="F59" s="98">
        <v>-0.03</v>
      </c>
      <c r="G59" s="99" t="s">
        <v>60</v>
      </c>
      <c r="H59" s="101"/>
      <c r="I59" s="101"/>
      <c r="J59" s="101"/>
      <c r="K59" s="102" t="str">
        <f t="shared" si="6"/>
        <v xml:space="preserve"> </v>
      </c>
      <c r="L59" s="102" t="str">
        <f t="shared" si="6"/>
        <v xml:space="preserve"> </v>
      </c>
      <c r="M59" s="102" t="str">
        <f t="shared" si="6"/>
        <v xml:space="preserve"> </v>
      </c>
      <c r="N59" s="103" t="str">
        <f t="shared" si="1"/>
        <v xml:space="preserve"> </v>
      </c>
      <c r="O59" s="104" t="str">
        <f t="shared" si="2"/>
        <v xml:space="preserve"> </v>
      </c>
      <c r="P59" s="105" t="str">
        <f t="shared" si="3"/>
        <v xml:space="preserve"> </v>
      </c>
      <c r="Q59" s="103" t="str">
        <f t="shared" si="4"/>
        <v/>
      </c>
      <c r="R59" s="103" t="str">
        <f t="shared" si="5"/>
        <v/>
      </c>
      <c r="S59" s="106"/>
    </row>
    <row r="60" spans="1:19" ht="18" customHeight="1">
      <c r="A60" s="95"/>
      <c r="B60" s="96" t="s">
        <v>110</v>
      </c>
      <c r="C60" s="99" t="s">
        <v>62</v>
      </c>
      <c r="D60" s="98">
        <v>6.5000000000000002E-2</v>
      </c>
      <c r="E60" s="98">
        <v>0.01</v>
      </c>
      <c r="F60" s="98">
        <v>-0.03</v>
      </c>
      <c r="G60" s="99" t="s">
        <v>60</v>
      </c>
      <c r="H60" s="101"/>
      <c r="I60" s="101"/>
      <c r="J60" s="101"/>
      <c r="K60" s="102" t="str">
        <f t="shared" si="6"/>
        <v xml:space="preserve"> </v>
      </c>
      <c r="L60" s="102" t="str">
        <f t="shared" si="6"/>
        <v xml:space="preserve"> </v>
      </c>
      <c r="M60" s="102" t="str">
        <f t="shared" si="6"/>
        <v xml:space="preserve"> </v>
      </c>
      <c r="N60" s="103" t="str">
        <f t="shared" si="1"/>
        <v xml:space="preserve"> </v>
      </c>
      <c r="O60" s="104" t="str">
        <f t="shared" si="2"/>
        <v xml:space="preserve"> </v>
      </c>
      <c r="P60" s="105" t="str">
        <f t="shared" si="3"/>
        <v xml:space="preserve"> </v>
      </c>
      <c r="Q60" s="103" t="str">
        <f t="shared" si="4"/>
        <v/>
      </c>
      <c r="R60" s="103" t="str">
        <f t="shared" si="5"/>
        <v/>
      </c>
      <c r="S60" s="106"/>
    </row>
    <row r="61" spans="1:19" ht="18" customHeight="1">
      <c r="A61" s="95"/>
      <c r="B61" s="96" t="s">
        <v>111</v>
      </c>
      <c r="C61" s="99" t="s">
        <v>62</v>
      </c>
      <c r="D61" s="98">
        <v>10.090999999999999</v>
      </c>
      <c r="E61" s="98">
        <v>0.03</v>
      </c>
      <c r="F61" s="98">
        <v>-0.03</v>
      </c>
      <c r="G61" s="99" t="s">
        <v>60</v>
      </c>
      <c r="H61" s="101"/>
      <c r="I61" s="101"/>
      <c r="J61" s="101"/>
      <c r="K61" s="102" t="str">
        <f t="shared" si="6"/>
        <v xml:space="preserve"> </v>
      </c>
      <c r="L61" s="102" t="str">
        <f t="shared" si="6"/>
        <v xml:space="preserve"> </v>
      </c>
      <c r="M61" s="102" t="str">
        <f t="shared" si="6"/>
        <v xml:space="preserve"> </v>
      </c>
      <c r="N61" s="103" t="str">
        <f t="shared" si="1"/>
        <v xml:space="preserve"> </v>
      </c>
      <c r="O61" s="104" t="str">
        <f t="shared" si="2"/>
        <v xml:space="preserve"> </v>
      </c>
      <c r="P61" s="105" t="str">
        <f t="shared" si="3"/>
        <v xml:space="preserve"> </v>
      </c>
      <c r="Q61" s="103" t="str">
        <f t="shared" si="4"/>
        <v/>
      </c>
      <c r="R61" s="103" t="str">
        <f t="shared" si="5"/>
        <v/>
      </c>
      <c r="S61" s="106"/>
    </row>
    <row r="62" spans="1:19" ht="18" customHeight="1">
      <c r="A62" s="95"/>
      <c r="B62" s="96" t="s">
        <v>112</v>
      </c>
      <c r="C62" s="99" t="s">
        <v>62</v>
      </c>
      <c r="D62" s="98">
        <v>0.32</v>
      </c>
      <c r="E62" s="98">
        <v>0.03</v>
      </c>
      <c r="F62" s="98">
        <v>-0.03</v>
      </c>
      <c r="G62" s="99" t="s">
        <v>60</v>
      </c>
      <c r="H62" s="101"/>
      <c r="I62" s="101"/>
      <c r="J62" s="101"/>
      <c r="K62" s="102" t="str">
        <f t="shared" si="6"/>
        <v xml:space="preserve"> </v>
      </c>
      <c r="L62" s="102" t="str">
        <f t="shared" si="6"/>
        <v xml:space="preserve"> </v>
      </c>
      <c r="M62" s="102" t="str">
        <f t="shared" si="6"/>
        <v xml:space="preserve"> </v>
      </c>
      <c r="N62" s="103" t="str">
        <f t="shared" si="1"/>
        <v xml:space="preserve"> </v>
      </c>
      <c r="O62" s="104" t="str">
        <f t="shared" si="2"/>
        <v xml:space="preserve"> </v>
      </c>
      <c r="P62" s="105" t="str">
        <f t="shared" si="3"/>
        <v xml:space="preserve"> </v>
      </c>
      <c r="Q62" s="103" t="str">
        <f t="shared" si="4"/>
        <v/>
      </c>
      <c r="R62" s="103" t="str">
        <f t="shared" si="5"/>
        <v/>
      </c>
      <c r="S62" s="106"/>
    </row>
    <row r="63" spans="1:19" ht="18" customHeight="1">
      <c r="A63" s="95"/>
      <c r="B63" s="96" t="s">
        <v>113</v>
      </c>
      <c r="C63" s="99" t="s">
        <v>62</v>
      </c>
      <c r="D63" s="98">
        <v>0.32</v>
      </c>
      <c r="E63" s="98">
        <v>0.03</v>
      </c>
      <c r="F63" s="98">
        <v>-0.03</v>
      </c>
      <c r="G63" s="99" t="s">
        <v>60</v>
      </c>
      <c r="H63" s="101"/>
      <c r="I63" s="101"/>
      <c r="J63" s="101"/>
      <c r="K63" s="102" t="str">
        <f t="shared" si="6"/>
        <v xml:space="preserve"> </v>
      </c>
      <c r="L63" s="102" t="str">
        <f t="shared" si="6"/>
        <v xml:space="preserve"> </v>
      </c>
      <c r="M63" s="102" t="str">
        <f t="shared" si="6"/>
        <v xml:space="preserve"> </v>
      </c>
      <c r="N63" s="103" t="str">
        <f t="shared" si="1"/>
        <v xml:space="preserve"> </v>
      </c>
      <c r="O63" s="104" t="str">
        <f t="shared" si="2"/>
        <v xml:space="preserve"> </v>
      </c>
      <c r="P63" s="105" t="str">
        <f t="shared" si="3"/>
        <v xml:space="preserve"> </v>
      </c>
      <c r="Q63" s="103" t="str">
        <f t="shared" si="4"/>
        <v/>
      </c>
      <c r="R63" s="103" t="str">
        <f t="shared" si="5"/>
        <v/>
      </c>
      <c r="S63" s="106"/>
    </row>
    <row r="64" spans="1:19" ht="18" customHeight="1">
      <c r="A64" s="95"/>
      <c r="B64" s="96" t="s">
        <v>114</v>
      </c>
      <c r="C64" s="99" t="s">
        <v>62</v>
      </c>
      <c r="D64" s="98">
        <v>0.32</v>
      </c>
      <c r="E64" s="98">
        <v>0.03</v>
      </c>
      <c r="F64" s="98">
        <v>-0.03</v>
      </c>
      <c r="G64" s="99" t="s">
        <v>60</v>
      </c>
      <c r="H64" s="101"/>
      <c r="I64" s="101"/>
      <c r="J64" s="101"/>
      <c r="K64" s="102" t="str">
        <f t="shared" si="6"/>
        <v xml:space="preserve"> </v>
      </c>
      <c r="L64" s="102" t="str">
        <f t="shared" si="6"/>
        <v xml:space="preserve"> </v>
      </c>
      <c r="M64" s="102" t="str">
        <f t="shared" si="6"/>
        <v xml:space="preserve"> </v>
      </c>
      <c r="N64" s="103" t="str">
        <f t="shared" si="1"/>
        <v xml:space="preserve"> </v>
      </c>
      <c r="O64" s="104" t="str">
        <f t="shared" si="2"/>
        <v xml:space="preserve"> </v>
      </c>
      <c r="P64" s="105" t="str">
        <f t="shared" si="3"/>
        <v xml:space="preserve"> </v>
      </c>
      <c r="Q64" s="103" t="str">
        <f t="shared" si="4"/>
        <v/>
      </c>
      <c r="R64" s="103" t="str">
        <f t="shared" si="5"/>
        <v/>
      </c>
      <c r="S64" s="106"/>
    </row>
    <row r="65" spans="1:19" ht="18" customHeight="1">
      <c r="A65" s="95"/>
      <c r="B65" s="96" t="s">
        <v>115</v>
      </c>
      <c r="C65" s="99" t="s">
        <v>62</v>
      </c>
      <c r="D65" s="98">
        <v>0.32</v>
      </c>
      <c r="E65" s="98">
        <v>0.03</v>
      </c>
      <c r="F65" s="98">
        <v>-0.03</v>
      </c>
      <c r="G65" s="99" t="s">
        <v>60</v>
      </c>
      <c r="H65" s="101"/>
      <c r="I65" s="101"/>
      <c r="J65" s="101"/>
      <c r="K65" s="102" t="str">
        <f t="shared" si="6"/>
        <v xml:space="preserve"> </v>
      </c>
      <c r="L65" s="102" t="str">
        <f t="shared" si="6"/>
        <v xml:space="preserve"> </v>
      </c>
      <c r="M65" s="102" t="str">
        <f t="shared" si="6"/>
        <v xml:space="preserve"> </v>
      </c>
      <c r="N65" s="103" t="str">
        <f t="shared" si="1"/>
        <v xml:space="preserve"> </v>
      </c>
      <c r="O65" s="104" t="str">
        <f t="shared" si="2"/>
        <v xml:space="preserve"> </v>
      </c>
      <c r="P65" s="105" t="str">
        <f t="shared" si="3"/>
        <v xml:space="preserve"> </v>
      </c>
      <c r="Q65" s="103" t="str">
        <f t="shared" si="4"/>
        <v/>
      </c>
      <c r="R65" s="103" t="str">
        <f t="shared" si="5"/>
        <v/>
      </c>
      <c r="S65" s="106"/>
    </row>
    <row r="66" spans="1:19" ht="18" customHeight="1">
      <c r="A66" s="95"/>
      <c r="B66" s="96" t="s">
        <v>116</v>
      </c>
      <c r="C66" s="99" t="s">
        <v>62</v>
      </c>
      <c r="D66" s="98">
        <v>13.13</v>
      </c>
      <c r="E66" s="98">
        <v>0.03</v>
      </c>
      <c r="F66" s="98">
        <v>-0.03</v>
      </c>
      <c r="G66" s="99" t="s">
        <v>60</v>
      </c>
      <c r="H66" s="101"/>
      <c r="I66" s="101"/>
      <c r="J66" s="101"/>
      <c r="K66" s="102" t="str">
        <f t="shared" si="6"/>
        <v xml:space="preserve"> </v>
      </c>
      <c r="L66" s="102" t="str">
        <f t="shared" si="6"/>
        <v xml:space="preserve"> </v>
      </c>
      <c r="M66" s="102" t="str">
        <f t="shared" si="6"/>
        <v xml:space="preserve"> </v>
      </c>
      <c r="N66" s="103" t="str">
        <f t="shared" si="1"/>
        <v xml:space="preserve"> </v>
      </c>
      <c r="O66" s="104" t="str">
        <f t="shared" si="2"/>
        <v xml:space="preserve"> </v>
      </c>
      <c r="P66" s="105" t="str">
        <f t="shared" si="3"/>
        <v xml:space="preserve"> </v>
      </c>
      <c r="Q66" s="103" t="str">
        <f t="shared" si="4"/>
        <v/>
      </c>
      <c r="R66" s="103" t="str">
        <f t="shared" si="5"/>
        <v/>
      </c>
      <c r="S66" s="106"/>
    </row>
    <row r="67" spans="1:19" ht="18" customHeight="1">
      <c r="A67" s="95"/>
      <c r="B67" s="96" t="s">
        <v>117</v>
      </c>
      <c r="C67" s="99" t="s">
        <v>62</v>
      </c>
      <c r="D67" s="98">
        <v>1.2</v>
      </c>
      <c r="E67" s="98">
        <v>3.5000000000000003E-2</v>
      </c>
      <c r="F67" s="98">
        <v>-3.5000000000000003E-2</v>
      </c>
      <c r="G67" s="99" t="s">
        <v>60</v>
      </c>
      <c r="H67" s="101"/>
      <c r="I67" s="101"/>
      <c r="J67" s="101"/>
      <c r="K67" s="102" t="str">
        <f t="shared" si="6"/>
        <v xml:space="preserve"> </v>
      </c>
      <c r="L67" s="102" t="str">
        <f t="shared" si="6"/>
        <v xml:space="preserve"> </v>
      </c>
      <c r="M67" s="102" t="str">
        <f t="shared" si="6"/>
        <v xml:space="preserve"> </v>
      </c>
      <c r="N67" s="103" t="str">
        <f t="shared" si="1"/>
        <v xml:space="preserve"> </v>
      </c>
      <c r="O67" s="104" t="str">
        <f t="shared" si="2"/>
        <v xml:space="preserve"> </v>
      </c>
      <c r="P67" s="105" t="str">
        <f t="shared" si="3"/>
        <v xml:space="preserve"> </v>
      </c>
      <c r="Q67" s="103" t="str">
        <f t="shared" si="4"/>
        <v/>
      </c>
      <c r="R67" s="103" t="str">
        <f t="shared" si="5"/>
        <v/>
      </c>
      <c r="S67" s="106"/>
    </row>
    <row r="68" spans="1:19" ht="18" customHeight="1">
      <c r="A68" s="95"/>
      <c r="B68" s="109" t="s">
        <v>118</v>
      </c>
      <c r="C68" s="99" t="s">
        <v>62</v>
      </c>
      <c r="D68" s="98">
        <v>2.41</v>
      </c>
      <c r="E68" s="98">
        <v>0.03</v>
      </c>
      <c r="F68" s="98">
        <v>-0.03</v>
      </c>
      <c r="G68" s="99" t="s">
        <v>60</v>
      </c>
      <c r="H68" s="101"/>
      <c r="I68" s="101"/>
      <c r="J68" s="101"/>
      <c r="K68" s="102" t="str">
        <f t="shared" si="6"/>
        <v xml:space="preserve"> </v>
      </c>
      <c r="L68" s="102" t="str">
        <f t="shared" si="6"/>
        <v xml:space="preserve"> </v>
      </c>
      <c r="M68" s="102" t="str">
        <f t="shared" si="6"/>
        <v xml:space="preserve"> </v>
      </c>
      <c r="N68" s="103" t="str">
        <f t="shared" si="1"/>
        <v xml:space="preserve"> </v>
      </c>
      <c r="O68" s="104" t="str">
        <f t="shared" si="2"/>
        <v xml:space="preserve"> </v>
      </c>
      <c r="P68" s="105" t="str">
        <f t="shared" si="3"/>
        <v xml:space="preserve"> </v>
      </c>
      <c r="Q68" s="103" t="str">
        <f t="shared" si="4"/>
        <v/>
      </c>
      <c r="R68" s="103" t="str">
        <f t="shared" si="5"/>
        <v/>
      </c>
      <c r="S68" s="106"/>
    </row>
    <row r="69" spans="1:19" ht="18" customHeight="1">
      <c r="A69" s="95"/>
      <c r="B69" s="109" t="s">
        <v>119</v>
      </c>
      <c r="C69" s="99" t="s">
        <v>62</v>
      </c>
      <c r="D69" s="98">
        <v>1.2</v>
      </c>
      <c r="E69" s="98">
        <v>3.5000000000000003E-2</v>
      </c>
      <c r="F69" s="98">
        <v>-3.5000000000000003E-2</v>
      </c>
      <c r="G69" s="99" t="s">
        <v>60</v>
      </c>
      <c r="H69" s="101"/>
      <c r="I69" s="101"/>
      <c r="J69" s="101"/>
      <c r="K69" s="102" t="str">
        <f t="shared" si="6"/>
        <v xml:space="preserve"> </v>
      </c>
      <c r="L69" s="102" t="str">
        <f t="shared" si="6"/>
        <v xml:space="preserve"> </v>
      </c>
      <c r="M69" s="102" t="str">
        <f t="shared" si="6"/>
        <v xml:space="preserve"> </v>
      </c>
      <c r="N69" s="103" t="str">
        <f t="shared" si="1"/>
        <v xml:space="preserve"> </v>
      </c>
      <c r="O69" s="104" t="str">
        <f t="shared" si="2"/>
        <v xml:space="preserve"> </v>
      </c>
      <c r="P69" s="105" t="str">
        <f t="shared" si="3"/>
        <v xml:space="preserve"> </v>
      </c>
      <c r="Q69" s="103" t="str">
        <f t="shared" si="4"/>
        <v/>
      </c>
      <c r="R69" s="103" t="str">
        <f t="shared" si="5"/>
        <v/>
      </c>
      <c r="S69" s="106"/>
    </row>
    <row r="70" spans="1:19" ht="18" customHeight="1">
      <c r="A70" s="95"/>
      <c r="B70" s="96" t="s">
        <v>120</v>
      </c>
      <c r="C70" s="99" t="s">
        <v>62</v>
      </c>
      <c r="D70" s="98">
        <v>11.25</v>
      </c>
      <c r="E70" s="98">
        <v>0.04</v>
      </c>
      <c r="F70" s="98">
        <v>-0.02</v>
      </c>
      <c r="G70" s="99" t="s">
        <v>60</v>
      </c>
      <c r="H70" s="101"/>
      <c r="I70" s="101"/>
      <c r="J70" s="101"/>
      <c r="K70" s="102" t="str">
        <f t="shared" si="6"/>
        <v xml:space="preserve"> </v>
      </c>
      <c r="L70" s="102" t="str">
        <f t="shared" si="6"/>
        <v xml:space="preserve"> </v>
      </c>
      <c r="M70" s="102" t="str">
        <f t="shared" si="6"/>
        <v xml:space="preserve"> </v>
      </c>
      <c r="N70" s="103" t="str">
        <f t="shared" ref="N70:N152" si="7">IF(ISERR(H70/H70)=TRUE," ",AVERAGE(H70:J70))</f>
        <v xml:space="preserve"> </v>
      </c>
      <c r="O70" s="104" t="str">
        <f t="shared" ref="O70:O152" si="8">IF(ISERR(E70/E70)=TRUE," ",IF(ISERR(H70/H70)=TRUE," ",IF(ISNUMBER($H70)=FALSE," ",IF(MAX($H70:$J70)&lt;$D70,0,(MAX($H70:$J70)-$D70)/$E70))))</f>
        <v xml:space="preserve"> </v>
      </c>
      <c r="P70" s="105" t="str">
        <f t="shared" ref="P70:P152" si="9">IF(ISERR(F70/D70)=TRUE," ",IF(ISERR(F70/F70)=TRUE," ",IF(ISERR(H70/H70)=TRUE," ",IF(ISNUMBER(H70)=FALSE," ",IF(MIN(H70:J70)&gt;$D70,0,($D70-MIN(H70:J70))/-F70)))))</f>
        <v xml:space="preserve"> </v>
      </c>
      <c r="Q70" s="103" t="str">
        <f t="shared" ref="Q70:Q152" si="10">IF(ISNUMBER($O70)=TRUE,IF($O70&gt;0.651,IF($O70&gt;1.001,"Reject","Alert"),""),"")</f>
        <v/>
      </c>
      <c r="R70" s="103" t="str">
        <f t="shared" ref="R70:R152" si="11">IF(H70="","",IF(ISERR(F70/F70)=TRUE,"",IF(ISERR(F70/D70)=TRUE,IF((F70-MIN(H70:J70))&gt;0.001,"Reject",""),IF(ISNUMBER($P70)=TRUE,IF($P70&gt;0.651,IF($P70&gt;1.001,"Reject","Alert"),""),""))))</f>
        <v/>
      </c>
      <c r="S70" s="106"/>
    </row>
    <row r="71" spans="1:19" ht="18" customHeight="1">
      <c r="A71" s="95"/>
      <c r="B71" s="96" t="s">
        <v>121</v>
      </c>
      <c r="C71" s="99" t="s">
        <v>62</v>
      </c>
      <c r="D71" s="98">
        <v>15.45</v>
      </c>
      <c r="E71" s="98">
        <v>0.02</v>
      </c>
      <c r="F71" s="98">
        <v>-0.02</v>
      </c>
      <c r="G71" s="99" t="s">
        <v>60</v>
      </c>
      <c r="H71" s="101"/>
      <c r="I71" s="101"/>
      <c r="J71" s="101"/>
      <c r="K71" s="102" t="str">
        <f t="shared" si="6"/>
        <v xml:space="preserve"> </v>
      </c>
      <c r="L71" s="102" t="str">
        <f t="shared" si="6"/>
        <v xml:space="preserve"> </v>
      </c>
      <c r="M71" s="102" t="str">
        <f t="shared" si="6"/>
        <v xml:space="preserve"> </v>
      </c>
      <c r="N71" s="103" t="str">
        <f t="shared" si="7"/>
        <v xml:space="preserve"> </v>
      </c>
      <c r="O71" s="104" t="str">
        <f t="shared" si="8"/>
        <v xml:space="preserve"> </v>
      </c>
      <c r="P71" s="105" t="str">
        <f t="shared" si="9"/>
        <v xml:space="preserve"> </v>
      </c>
      <c r="Q71" s="103" t="str">
        <f t="shared" si="10"/>
        <v/>
      </c>
      <c r="R71" s="103" t="str">
        <f t="shared" si="11"/>
        <v/>
      </c>
      <c r="S71" s="106"/>
    </row>
    <row r="72" spans="1:19" ht="18" customHeight="1">
      <c r="A72" s="95"/>
      <c r="B72" s="96" t="s">
        <v>122</v>
      </c>
      <c r="C72" s="99" t="s">
        <v>62</v>
      </c>
      <c r="D72" s="98">
        <v>7.23</v>
      </c>
      <c r="E72" s="98">
        <v>0.02</v>
      </c>
      <c r="F72" s="98">
        <v>-0.02</v>
      </c>
      <c r="G72" s="99" t="s">
        <v>60</v>
      </c>
      <c r="H72" s="101"/>
      <c r="I72" s="101"/>
      <c r="J72" s="101"/>
      <c r="K72" s="102" t="str">
        <f t="shared" si="6"/>
        <v xml:space="preserve"> </v>
      </c>
      <c r="L72" s="102" t="str">
        <f t="shared" si="6"/>
        <v xml:space="preserve"> </v>
      </c>
      <c r="M72" s="102" t="str">
        <f t="shared" si="6"/>
        <v xml:space="preserve"> </v>
      </c>
      <c r="N72" s="103" t="str">
        <f t="shared" si="7"/>
        <v xml:space="preserve"> </v>
      </c>
      <c r="O72" s="104" t="str">
        <f t="shared" si="8"/>
        <v xml:space="preserve"> </v>
      </c>
      <c r="P72" s="105" t="str">
        <f t="shared" si="9"/>
        <v xml:space="preserve"> </v>
      </c>
      <c r="Q72" s="103" t="str">
        <f t="shared" si="10"/>
        <v/>
      </c>
      <c r="R72" s="103" t="str">
        <f t="shared" si="11"/>
        <v/>
      </c>
      <c r="S72" s="106"/>
    </row>
    <row r="73" spans="1:19" ht="18" customHeight="1">
      <c r="A73" s="95"/>
      <c r="B73" s="96" t="s">
        <v>123</v>
      </c>
      <c r="C73" s="99" t="s">
        <v>62</v>
      </c>
      <c r="D73" s="98">
        <v>0.33</v>
      </c>
      <c r="E73" s="98">
        <v>0.02</v>
      </c>
      <c r="F73" s="98">
        <v>-0.02</v>
      </c>
      <c r="G73" s="99" t="s">
        <v>60</v>
      </c>
      <c r="H73" s="101"/>
      <c r="I73" s="101"/>
      <c r="J73" s="101"/>
      <c r="K73" s="102" t="str">
        <f t="shared" si="6"/>
        <v xml:space="preserve"> </v>
      </c>
      <c r="L73" s="102" t="str">
        <f t="shared" si="6"/>
        <v xml:space="preserve"> </v>
      </c>
      <c r="M73" s="102" t="str">
        <f t="shared" si="6"/>
        <v xml:space="preserve"> </v>
      </c>
      <c r="N73" s="103" t="str">
        <f t="shared" si="7"/>
        <v xml:space="preserve"> </v>
      </c>
      <c r="O73" s="104" t="str">
        <f t="shared" si="8"/>
        <v xml:space="preserve"> </v>
      </c>
      <c r="P73" s="105" t="str">
        <f t="shared" si="9"/>
        <v xml:space="preserve"> </v>
      </c>
      <c r="Q73" s="103" t="str">
        <f t="shared" si="10"/>
        <v/>
      </c>
      <c r="R73" s="103" t="str">
        <f t="shared" si="11"/>
        <v/>
      </c>
      <c r="S73" s="106"/>
    </row>
    <row r="74" spans="1:19" ht="18" customHeight="1">
      <c r="A74" s="95"/>
      <c r="B74" s="96" t="s">
        <v>124</v>
      </c>
      <c r="C74" s="99" t="s">
        <v>62</v>
      </c>
      <c r="D74" s="98">
        <v>2.44</v>
      </c>
      <c r="E74" s="98">
        <v>0.02</v>
      </c>
      <c r="F74" s="98">
        <v>-0.02</v>
      </c>
      <c r="G74" s="99" t="s">
        <v>60</v>
      </c>
      <c r="H74" s="101"/>
      <c r="I74" s="101"/>
      <c r="J74" s="101"/>
      <c r="K74" s="102" t="str">
        <f t="shared" si="6"/>
        <v xml:space="preserve"> </v>
      </c>
      <c r="L74" s="102" t="str">
        <f t="shared" si="6"/>
        <v xml:space="preserve"> </v>
      </c>
      <c r="M74" s="102" t="str">
        <f t="shared" si="6"/>
        <v xml:space="preserve"> </v>
      </c>
      <c r="N74" s="103" t="str">
        <f t="shared" si="7"/>
        <v xml:space="preserve"> </v>
      </c>
      <c r="O74" s="104" t="str">
        <f t="shared" si="8"/>
        <v xml:space="preserve"> </v>
      </c>
      <c r="P74" s="105" t="str">
        <f t="shared" si="9"/>
        <v xml:space="preserve"> </v>
      </c>
      <c r="Q74" s="103" t="str">
        <f t="shared" si="10"/>
        <v/>
      </c>
      <c r="R74" s="103" t="str">
        <f t="shared" si="11"/>
        <v/>
      </c>
      <c r="S74" s="106"/>
    </row>
    <row r="75" spans="1:19" ht="18" customHeight="1">
      <c r="A75" s="95"/>
      <c r="B75" s="96" t="s">
        <v>125</v>
      </c>
      <c r="C75" s="99" t="s">
        <v>62</v>
      </c>
      <c r="D75" s="98">
        <v>1.31</v>
      </c>
      <c r="E75" s="98">
        <v>0.01</v>
      </c>
      <c r="F75" s="98">
        <v>-0.03</v>
      </c>
      <c r="G75" s="99" t="s">
        <v>60</v>
      </c>
      <c r="H75" s="101"/>
      <c r="I75" s="101"/>
      <c r="J75" s="101"/>
      <c r="K75" s="102" t="str">
        <f t="shared" si="6"/>
        <v xml:space="preserve"> </v>
      </c>
      <c r="L75" s="102" t="str">
        <f t="shared" si="6"/>
        <v xml:space="preserve"> </v>
      </c>
      <c r="M75" s="102" t="str">
        <f t="shared" si="6"/>
        <v xml:space="preserve"> </v>
      </c>
      <c r="N75" s="103" t="str">
        <f t="shared" si="7"/>
        <v xml:space="preserve"> </v>
      </c>
      <c r="O75" s="104" t="str">
        <f t="shared" si="8"/>
        <v xml:space="preserve"> </v>
      </c>
      <c r="P75" s="105" t="str">
        <f t="shared" si="9"/>
        <v xml:space="preserve"> </v>
      </c>
      <c r="Q75" s="103" t="str">
        <f t="shared" si="10"/>
        <v/>
      </c>
      <c r="R75" s="103" t="str">
        <f t="shared" si="11"/>
        <v/>
      </c>
      <c r="S75" s="106"/>
    </row>
    <row r="76" spans="1:19" ht="18" customHeight="1">
      <c r="A76" s="95"/>
      <c r="B76" s="96" t="s">
        <v>126</v>
      </c>
      <c r="C76" s="99" t="s">
        <v>62</v>
      </c>
      <c r="D76" s="98"/>
      <c r="E76" s="98">
        <v>7.4999999999999997E-2</v>
      </c>
      <c r="F76" s="98"/>
      <c r="G76" s="99" t="s">
        <v>60</v>
      </c>
      <c r="H76" s="101"/>
      <c r="I76" s="101"/>
      <c r="J76" s="101"/>
      <c r="K76" s="102" t="str">
        <f t="shared" si="6"/>
        <v xml:space="preserve"> </v>
      </c>
      <c r="L76" s="102" t="str">
        <f t="shared" si="6"/>
        <v xml:space="preserve"> </v>
      </c>
      <c r="M76" s="102" t="str">
        <f t="shared" si="6"/>
        <v xml:space="preserve"> </v>
      </c>
      <c r="N76" s="103" t="str">
        <f t="shared" si="7"/>
        <v xml:space="preserve"> </v>
      </c>
      <c r="O76" s="104" t="str">
        <f t="shared" si="8"/>
        <v xml:space="preserve"> </v>
      </c>
      <c r="P76" s="105" t="str">
        <f t="shared" si="9"/>
        <v xml:space="preserve"> </v>
      </c>
      <c r="Q76" s="103" t="str">
        <f t="shared" si="10"/>
        <v/>
      </c>
      <c r="R76" s="103" t="str">
        <f t="shared" si="11"/>
        <v/>
      </c>
      <c r="S76" s="106"/>
    </row>
    <row r="77" spans="1:19" ht="18" customHeight="1">
      <c r="A77" s="95"/>
      <c r="B77" s="96" t="s">
        <v>127</v>
      </c>
      <c r="C77" s="99" t="s">
        <v>62</v>
      </c>
      <c r="D77" s="98"/>
      <c r="E77" s="98">
        <v>7.4999999999999997E-2</v>
      </c>
      <c r="F77" s="98"/>
      <c r="G77" s="99" t="s">
        <v>60</v>
      </c>
      <c r="H77" s="101"/>
      <c r="I77" s="101"/>
      <c r="J77" s="101"/>
      <c r="K77" s="102" t="str">
        <f t="shared" si="6"/>
        <v xml:space="preserve"> </v>
      </c>
      <c r="L77" s="102" t="str">
        <f t="shared" si="6"/>
        <v xml:space="preserve"> </v>
      </c>
      <c r="M77" s="102" t="str">
        <f t="shared" si="6"/>
        <v xml:space="preserve"> </v>
      </c>
      <c r="N77" s="103" t="str">
        <f t="shared" si="7"/>
        <v xml:space="preserve"> </v>
      </c>
      <c r="O77" s="104" t="str">
        <f t="shared" si="8"/>
        <v xml:space="preserve"> </v>
      </c>
      <c r="P77" s="105" t="str">
        <f t="shared" si="9"/>
        <v xml:space="preserve"> </v>
      </c>
      <c r="Q77" s="103" t="str">
        <f t="shared" si="10"/>
        <v/>
      </c>
      <c r="R77" s="103" t="str">
        <f t="shared" si="11"/>
        <v/>
      </c>
      <c r="S77" s="106"/>
    </row>
    <row r="78" spans="1:19" ht="18" customHeight="1">
      <c r="A78" s="95"/>
      <c r="B78" s="96" t="s">
        <v>128</v>
      </c>
      <c r="C78" s="99" t="s">
        <v>62</v>
      </c>
      <c r="D78" s="98"/>
      <c r="E78" s="98">
        <v>7.4999999999999997E-2</v>
      </c>
      <c r="F78" s="98"/>
      <c r="G78" s="99" t="s">
        <v>60</v>
      </c>
      <c r="H78" s="101"/>
      <c r="I78" s="101"/>
      <c r="J78" s="101"/>
      <c r="K78" s="102" t="str">
        <f t="shared" si="6"/>
        <v xml:space="preserve"> </v>
      </c>
      <c r="L78" s="102" t="str">
        <f t="shared" si="6"/>
        <v xml:space="preserve"> </v>
      </c>
      <c r="M78" s="102" t="str">
        <f t="shared" si="6"/>
        <v xml:space="preserve"> </v>
      </c>
      <c r="N78" s="103" t="str">
        <f t="shared" si="7"/>
        <v xml:space="preserve"> </v>
      </c>
      <c r="O78" s="104" t="str">
        <f t="shared" si="8"/>
        <v xml:space="preserve"> </v>
      </c>
      <c r="P78" s="105" t="str">
        <f t="shared" si="9"/>
        <v xml:space="preserve"> </v>
      </c>
      <c r="Q78" s="103" t="str">
        <f t="shared" si="10"/>
        <v/>
      </c>
      <c r="R78" s="103" t="str">
        <f t="shared" si="11"/>
        <v/>
      </c>
      <c r="S78" s="106"/>
    </row>
    <row r="79" spans="1:19" ht="18" customHeight="1">
      <c r="A79" s="95"/>
      <c r="B79" s="96" t="s">
        <v>129</v>
      </c>
      <c r="C79" s="99" t="s">
        <v>62</v>
      </c>
      <c r="D79" s="98"/>
      <c r="E79" s="98">
        <v>7.4999999999999997E-2</v>
      </c>
      <c r="F79" s="98"/>
      <c r="G79" s="99" t="s">
        <v>60</v>
      </c>
      <c r="H79" s="101"/>
      <c r="I79" s="101"/>
      <c r="J79" s="101"/>
      <c r="K79" s="102" t="str">
        <f t="shared" si="6"/>
        <v xml:space="preserve"> </v>
      </c>
      <c r="L79" s="102" t="str">
        <f t="shared" si="6"/>
        <v xml:space="preserve"> </v>
      </c>
      <c r="M79" s="102" t="str">
        <f t="shared" si="6"/>
        <v xml:space="preserve"> </v>
      </c>
      <c r="N79" s="103" t="str">
        <f t="shared" si="7"/>
        <v xml:space="preserve"> </v>
      </c>
      <c r="O79" s="104" t="str">
        <f t="shared" si="8"/>
        <v xml:space="preserve"> </v>
      </c>
      <c r="P79" s="105" t="str">
        <f t="shared" si="9"/>
        <v xml:space="preserve"> </v>
      </c>
      <c r="Q79" s="103" t="str">
        <f t="shared" si="10"/>
        <v/>
      </c>
      <c r="R79" s="103" t="str">
        <f t="shared" si="11"/>
        <v/>
      </c>
      <c r="S79" s="106"/>
    </row>
    <row r="80" spans="1:19" ht="18" customHeight="1">
      <c r="A80" s="95"/>
      <c r="B80" s="96" t="s">
        <v>130</v>
      </c>
      <c r="C80" s="99" t="s">
        <v>62</v>
      </c>
      <c r="D80" s="98">
        <v>0.48499999999999999</v>
      </c>
      <c r="E80" s="98">
        <v>0.03</v>
      </c>
      <c r="F80" s="98">
        <v>-0.02</v>
      </c>
      <c r="G80" s="99" t="s">
        <v>60</v>
      </c>
      <c r="H80" s="101"/>
      <c r="I80" s="101"/>
      <c r="J80" s="101"/>
      <c r="K80" s="102" t="str">
        <f t="shared" si="6"/>
        <v xml:space="preserve"> </v>
      </c>
      <c r="L80" s="102" t="str">
        <f t="shared" si="6"/>
        <v xml:space="preserve"> </v>
      </c>
      <c r="M80" s="102" t="str">
        <f t="shared" si="6"/>
        <v xml:space="preserve"> </v>
      </c>
      <c r="N80" s="103" t="str">
        <f t="shared" si="7"/>
        <v xml:space="preserve"> </v>
      </c>
      <c r="O80" s="104" t="str">
        <f t="shared" si="8"/>
        <v xml:space="preserve"> </v>
      </c>
      <c r="P80" s="105" t="str">
        <f t="shared" si="9"/>
        <v xml:space="preserve"> </v>
      </c>
      <c r="Q80" s="103" t="str">
        <f t="shared" si="10"/>
        <v/>
      </c>
      <c r="R80" s="103" t="str">
        <f t="shared" si="11"/>
        <v/>
      </c>
      <c r="S80" s="106"/>
    </row>
    <row r="81" spans="1:19" ht="18" customHeight="1">
      <c r="A81" s="95"/>
      <c r="B81" s="96" t="s">
        <v>131</v>
      </c>
      <c r="C81" s="99" t="s">
        <v>62</v>
      </c>
      <c r="D81" s="98">
        <v>0.48499999999999999</v>
      </c>
      <c r="E81" s="98">
        <v>0.03</v>
      </c>
      <c r="F81" s="98">
        <v>-0.02</v>
      </c>
      <c r="G81" s="99" t="s">
        <v>60</v>
      </c>
      <c r="H81" s="101"/>
      <c r="I81" s="101"/>
      <c r="J81" s="101"/>
      <c r="K81" s="102" t="str">
        <f t="shared" si="6"/>
        <v xml:space="preserve"> </v>
      </c>
      <c r="L81" s="102" t="str">
        <f t="shared" si="6"/>
        <v xml:space="preserve"> </v>
      </c>
      <c r="M81" s="102" t="str">
        <f t="shared" si="6"/>
        <v xml:space="preserve"> </v>
      </c>
      <c r="N81" s="103" t="str">
        <f t="shared" si="7"/>
        <v xml:space="preserve"> </v>
      </c>
      <c r="O81" s="104" t="str">
        <f t="shared" si="8"/>
        <v xml:space="preserve"> </v>
      </c>
      <c r="P81" s="105" t="str">
        <f t="shared" si="9"/>
        <v xml:space="preserve"> </v>
      </c>
      <c r="Q81" s="103" t="str">
        <f t="shared" si="10"/>
        <v/>
      </c>
      <c r="R81" s="103" t="str">
        <f t="shared" si="11"/>
        <v/>
      </c>
      <c r="S81" s="106"/>
    </row>
    <row r="82" spans="1:19" ht="18" customHeight="1">
      <c r="A82" s="95"/>
      <c r="B82" s="96" t="s">
        <v>132</v>
      </c>
      <c r="C82" s="99" t="s">
        <v>62</v>
      </c>
      <c r="D82" s="98">
        <v>15.38</v>
      </c>
      <c r="E82" s="98">
        <v>0.02</v>
      </c>
      <c r="F82" s="98">
        <v>-0.03</v>
      </c>
      <c r="G82" s="99" t="s">
        <v>60</v>
      </c>
      <c r="H82" s="101"/>
      <c r="I82" s="101"/>
      <c r="J82" s="101"/>
      <c r="K82" s="102" t="str">
        <f t="shared" si="6"/>
        <v xml:space="preserve"> </v>
      </c>
      <c r="L82" s="102" t="str">
        <f t="shared" si="6"/>
        <v xml:space="preserve"> </v>
      </c>
      <c r="M82" s="102" t="str">
        <f t="shared" si="6"/>
        <v xml:space="preserve"> </v>
      </c>
      <c r="N82" s="103" t="str">
        <f t="shared" si="7"/>
        <v xml:space="preserve"> </v>
      </c>
      <c r="O82" s="104" t="str">
        <f t="shared" si="8"/>
        <v xml:space="preserve"> </v>
      </c>
      <c r="P82" s="105" t="str">
        <f t="shared" si="9"/>
        <v xml:space="preserve"> </v>
      </c>
      <c r="Q82" s="103" t="str">
        <f t="shared" si="10"/>
        <v/>
      </c>
      <c r="R82" s="103" t="str">
        <f t="shared" si="11"/>
        <v/>
      </c>
      <c r="S82" s="106"/>
    </row>
    <row r="83" spans="1:19" ht="18" customHeight="1">
      <c r="A83" s="95"/>
      <c r="B83" s="153" t="s">
        <v>383</v>
      </c>
      <c r="C83" s="154" t="s">
        <v>384</v>
      </c>
      <c r="D83" s="149"/>
      <c r="E83" s="149">
        <v>0.5</v>
      </c>
      <c r="F83" s="149"/>
      <c r="G83" s="155" t="s">
        <v>385</v>
      </c>
      <c r="H83" s="101"/>
      <c r="I83" s="101"/>
      <c r="J83" s="101"/>
      <c r="K83" s="102" t="str">
        <f t="shared" si="6"/>
        <v xml:space="preserve"> </v>
      </c>
      <c r="L83" s="102" t="str">
        <f t="shared" si="6"/>
        <v xml:space="preserve"> </v>
      </c>
      <c r="M83" s="102" t="str">
        <f t="shared" si="6"/>
        <v xml:space="preserve"> </v>
      </c>
      <c r="N83" s="103" t="str">
        <f t="shared" si="7"/>
        <v xml:space="preserve"> </v>
      </c>
      <c r="O83" s="104" t="str">
        <f t="shared" si="8"/>
        <v xml:space="preserve"> </v>
      </c>
      <c r="P83" s="105" t="str">
        <f t="shared" si="9"/>
        <v xml:space="preserve"> </v>
      </c>
      <c r="Q83" s="103" t="str">
        <f t="shared" si="10"/>
        <v/>
      </c>
      <c r="R83" s="103" t="str">
        <f t="shared" si="11"/>
        <v/>
      </c>
      <c r="S83" s="106"/>
    </row>
    <row r="84" spans="1:19" ht="18" customHeight="1">
      <c r="A84" s="95"/>
      <c r="B84" s="153" t="s">
        <v>386</v>
      </c>
      <c r="C84" s="154" t="s">
        <v>384</v>
      </c>
      <c r="D84" s="149"/>
      <c r="E84" s="149">
        <v>0.5</v>
      </c>
      <c r="F84" s="149"/>
      <c r="G84" s="155" t="s">
        <v>385</v>
      </c>
      <c r="H84" s="101"/>
      <c r="I84" s="101"/>
      <c r="J84" s="101"/>
      <c r="K84" s="102" t="str">
        <f t="shared" si="6"/>
        <v xml:space="preserve"> </v>
      </c>
      <c r="L84" s="102" t="str">
        <f t="shared" si="6"/>
        <v xml:space="preserve"> </v>
      </c>
      <c r="M84" s="102" t="str">
        <f t="shared" si="6"/>
        <v xml:space="preserve"> </v>
      </c>
      <c r="N84" s="103" t="str">
        <f t="shared" si="7"/>
        <v xml:space="preserve"> </v>
      </c>
      <c r="O84" s="104" t="str">
        <f t="shared" si="8"/>
        <v xml:space="preserve"> </v>
      </c>
      <c r="P84" s="105" t="str">
        <f t="shared" si="9"/>
        <v xml:space="preserve"> </v>
      </c>
      <c r="Q84" s="103" t="str">
        <f t="shared" si="10"/>
        <v/>
      </c>
      <c r="R84" s="103" t="str">
        <f t="shared" si="11"/>
        <v/>
      </c>
      <c r="S84" s="106"/>
    </row>
    <row r="85" spans="1:19" ht="18" customHeight="1">
      <c r="A85" s="95"/>
      <c r="B85" s="153" t="s">
        <v>387</v>
      </c>
      <c r="C85" s="154" t="s">
        <v>384</v>
      </c>
      <c r="D85" s="149"/>
      <c r="E85" s="149">
        <v>0.5</v>
      </c>
      <c r="F85" s="149"/>
      <c r="G85" s="155" t="s">
        <v>385</v>
      </c>
      <c r="H85" s="101"/>
      <c r="I85" s="101"/>
      <c r="J85" s="101"/>
      <c r="K85" s="102" t="str">
        <f t="shared" si="6"/>
        <v xml:space="preserve"> </v>
      </c>
      <c r="L85" s="102" t="str">
        <f t="shared" si="6"/>
        <v xml:space="preserve"> </v>
      </c>
      <c r="M85" s="102" t="str">
        <f t="shared" si="6"/>
        <v xml:space="preserve"> </v>
      </c>
      <c r="N85" s="103" t="str">
        <f t="shared" si="7"/>
        <v xml:space="preserve"> </v>
      </c>
      <c r="O85" s="104" t="str">
        <f t="shared" si="8"/>
        <v xml:space="preserve"> </v>
      </c>
      <c r="P85" s="105" t="str">
        <f t="shared" si="9"/>
        <v xml:space="preserve"> </v>
      </c>
      <c r="Q85" s="103" t="str">
        <f t="shared" si="10"/>
        <v/>
      </c>
      <c r="R85" s="103" t="str">
        <f t="shared" si="11"/>
        <v/>
      </c>
      <c r="S85" s="106"/>
    </row>
    <row r="86" spans="1:19" ht="18" customHeight="1">
      <c r="A86" s="95"/>
      <c r="B86" s="153" t="s">
        <v>388</v>
      </c>
      <c r="C86" s="154" t="s">
        <v>384</v>
      </c>
      <c r="D86" s="149"/>
      <c r="E86" s="149">
        <v>0.5</v>
      </c>
      <c r="F86" s="149"/>
      <c r="G86" s="155" t="s">
        <v>385</v>
      </c>
      <c r="H86" s="101"/>
      <c r="I86" s="101"/>
      <c r="J86" s="101"/>
      <c r="K86" s="102" t="str">
        <f t="shared" si="6"/>
        <v xml:space="preserve"> </v>
      </c>
      <c r="L86" s="102" t="str">
        <f t="shared" si="6"/>
        <v xml:space="preserve"> </v>
      </c>
      <c r="M86" s="102" t="str">
        <f t="shared" si="6"/>
        <v xml:space="preserve"> </v>
      </c>
      <c r="N86" s="103" t="str">
        <f t="shared" si="7"/>
        <v xml:space="preserve"> </v>
      </c>
      <c r="O86" s="104" t="str">
        <f t="shared" si="8"/>
        <v xml:space="preserve"> </v>
      </c>
      <c r="P86" s="105" t="str">
        <f t="shared" si="9"/>
        <v xml:space="preserve"> </v>
      </c>
      <c r="Q86" s="103" t="str">
        <f t="shared" si="10"/>
        <v/>
      </c>
      <c r="R86" s="103" t="str">
        <f t="shared" si="11"/>
        <v/>
      </c>
      <c r="S86" s="106"/>
    </row>
    <row r="87" spans="1:19" ht="18" customHeight="1">
      <c r="A87" s="95"/>
      <c r="B87" s="153" t="s">
        <v>389</v>
      </c>
      <c r="C87" s="154" t="s">
        <v>384</v>
      </c>
      <c r="D87" s="149"/>
      <c r="E87" s="149">
        <v>0.5</v>
      </c>
      <c r="F87" s="149"/>
      <c r="G87" s="155" t="s">
        <v>385</v>
      </c>
      <c r="H87" s="101"/>
      <c r="I87" s="101"/>
      <c r="J87" s="101"/>
      <c r="K87" s="102" t="str">
        <f t="shared" si="6"/>
        <v xml:space="preserve"> </v>
      </c>
      <c r="L87" s="102" t="str">
        <f t="shared" si="6"/>
        <v xml:space="preserve"> </v>
      </c>
      <c r="M87" s="102" t="str">
        <f t="shared" si="6"/>
        <v xml:space="preserve"> </v>
      </c>
      <c r="N87" s="103" t="str">
        <f t="shared" si="7"/>
        <v xml:space="preserve"> </v>
      </c>
      <c r="O87" s="104" t="str">
        <f t="shared" si="8"/>
        <v xml:space="preserve"> </v>
      </c>
      <c r="P87" s="105" t="str">
        <f t="shared" si="9"/>
        <v xml:space="preserve"> </v>
      </c>
      <c r="Q87" s="103" t="str">
        <f t="shared" si="10"/>
        <v/>
      </c>
      <c r="R87" s="103" t="str">
        <f t="shared" si="11"/>
        <v/>
      </c>
      <c r="S87" s="106"/>
    </row>
    <row r="88" spans="1:19" ht="18" customHeight="1">
      <c r="A88" s="95"/>
      <c r="B88" s="153" t="s">
        <v>390</v>
      </c>
      <c r="C88" s="154" t="s">
        <v>384</v>
      </c>
      <c r="D88" s="149"/>
      <c r="E88" s="149">
        <v>0.5</v>
      </c>
      <c r="F88" s="149"/>
      <c r="G88" s="155" t="s">
        <v>385</v>
      </c>
      <c r="H88" s="101"/>
      <c r="I88" s="101"/>
      <c r="J88" s="101"/>
      <c r="K88" s="102" t="str">
        <f t="shared" si="6"/>
        <v xml:space="preserve"> </v>
      </c>
      <c r="L88" s="102" t="str">
        <f t="shared" si="6"/>
        <v xml:space="preserve"> </v>
      </c>
      <c r="M88" s="102" t="str">
        <f t="shared" si="6"/>
        <v xml:space="preserve"> </v>
      </c>
      <c r="N88" s="103" t="str">
        <f t="shared" si="7"/>
        <v xml:space="preserve"> </v>
      </c>
      <c r="O88" s="104" t="str">
        <f t="shared" si="8"/>
        <v xml:space="preserve"> </v>
      </c>
      <c r="P88" s="105" t="str">
        <f t="shared" si="9"/>
        <v xml:space="preserve"> </v>
      </c>
      <c r="Q88" s="103" t="str">
        <f t="shared" si="10"/>
        <v/>
      </c>
      <c r="R88" s="103" t="str">
        <f t="shared" si="11"/>
        <v/>
      </c>
      <c r="S88" s="106"/>
    </row>
    <row r="89" spans="1:19" ht="18" customHeight="1">
      <c r="A89" s="95"/>
      <c r="B89" s="153" t="s">
        <v>391</v>
      </c>
      <c r="C89" s="154" t="s">
        <v>384</v>
      </c>
      <c r="D89" s="149"/>
      <c r="E89" s="149">
        <v>0.5</v>
      </c>
      <c r="F89" s="149"/>
      <c r="G89" s="155" t="s">
        <v>385</v>
      </c>
      <c r="H89" s="101"/>
      <c r="I89" s="101"/>
      <c r="J89" s="101"/>
      <c r="K89" s="102" t="str">
        <f t="shared" si="6"/>
        <v xml:space="preserve"> </v>
      </c>
      <c r="L89" s="102" t="str">
        <f t="shared" si="6"/>
        <v xml:space="preserve"> </v>
      </c>
      <c r="M89" s="102" t="str">
        <f t="shared" si="6"/>
        <v xml:space="preserve"> </v>
      </c>
      <c r="N89" s="103" t="str">
        <f t="shared" si="7"/>
        <v xml:space="preserve"> </v>
      </c>
      <c r="O89" s="104" t="str">
        <f t="shared" si="8"/>
        <v xml:space="preserve"> </v>
      </c>
      <c r="P89" s="105" t="str">
        <f t="shared" si="9"/>
        <v xml:space="preserve"> </v>
      </c>
      <c r="Q89" s="103" t="str">
        <f t="shared" si="10"/>
        <v/>
      </c>
      <c r="R89" s="103" t="str">
        <f t="shared" si="11"/>
        <v/>
      </c>
      <c r="S89" s="106"/>
    </row>
    <row r="90" spans="1:19" ht="18" customHeight="1">
      <c r="A90" s="95"/>
      <c r="B90" s="153" t="s">
        <v>392</v>
      </c>
      <c r="C90" s="154" t="s">
        <v>384</v>
      </c>
      <c r="D90" s="149"/>
      <c r="E90" s="149">
        <v>0.5</v>
      </c>
      <c r="F90" s="149"/>
      <c r="G90" s="155" t="s">
        <v>385</v>
      </c>
      <c r="H90" s="101"/>
      <c r="I90" s="101"/>
      <c r="J90" s="101"/>
      <c r="K90" s="102" t="str">
        <f t="shared" si="6"/>
        <v xml:space="preserve"> </v>
      </c>
      <c r="L90" s="102" t="str">
        <f t="shared" si="6"/>
        <v xml:space="preserve"> </v>
      </c>
      <c r="M90" s="102" t="str">
        <f t="shared" si="6"/>
        <v xml:space="preserve"> </v>
      </c>
      <c r="N90" s="103" t="str">
        <f t="shared" si="7"/>
        <v xml:space="preserve"> </v>
      </c>
      <c r="O90" s="104" t="str">
        <f t="shared" si="8"/>
        <v xml:space="preserve"> </v>
      </c>
      <c r="P90" s="105" t="str">
        <f t="shared" si="9"/>
        <v xml:space="preserve"> </v>
      </c>
      <c r="Q90" s="103" t="str">
        <f t="shared" si="10"/>
        <v/>
      </c>
      <c r="R90" s="103" t="str">
        <f t="shared" si="11"/>
        <v/>
      </c>
      <c r="S90" s="106"/>
    </row>
    <row r="91" spans="1:19" ht="18" customHeight="1">
      <c r="A91" s="95"/>
      <c r="B91" s="153" t="s">
        <v>393</v>
      </c>
      <c r="C91" s="154" t="s">
        <v>384</v>
      </c>
      <c r="D91" s="149"/>
      <c r="E91" s="149">
        <v>0.5</v>
      </c>
      <c r="F91" s="149"/>
      <c r="G91" s="155" t="s">
        <v>385</v>
      </c>
      <c r="H91" s="101"/>
      <c r="I91" s="101"/>
      <c r="J91" s="101"/>
      <c r="K91" s="102" t="str">
        <f t="shared" si="6"/>
        <v xml:space="preserve"> </v>
      </c>
      <c r="L91" s="102" t="str">
        <f t="shared" si="6"/>
        <v xml:space="preserve"> </v>
      </c>
      <c r="M91" s="102" t="str">
        <f t="shared" si="6"/>
        <v xml:space="preserve"> </v>
      </c>
      <c r="N91" s="103" t="str">
        <f t="shared" si="7"/>
        <v xml:space="preserve"> </v>
      </c>
      <c r="O91" s="104" t="str">
        <f t="shared" si="8"/>
        <v xml:space="preserve"> </v>
      </c>
      <c r="P91" s="105" t="str">
        <f t="shared" si="9"/>
        <v xml:space="preserve"> </v>
      </c>
      <c r="Q91" s="103" t="str">
        <f t="shared" si="10"/>
        <v/>
      </c>
      <c r="R91" s="103" t="str">
        <f t="shared" si="11"/>
        <v/>
      </c>
      <c r="S91" s="106"/>
    </row>
    <row r="92" spans="1:19" ht="18" customHeight="1">
      <c r="A92" s="95"/>
      <c r="B92" s="153" t="s">
        <v>394</v>
      </c>
      <c r="C92" s="154" t="s">
        <v>384</v>
      </c>
      <c r="D92" s="149"/>
      <c r="E92" s="149">
        <v>0.5</v>
      </c>
      <c r="F92" s="149"/>
      <c r="G92" s="155" t="s">
        <v>385</v>
      </c>
      <c r="H92" s="101"/>
      <c r="I92" s="101"/>
      <c r="J92" s="101"/>
      <c r="K92" s="102" t="str">
        <f t="shared" si="6"/>
        <v xml:space="preserve"> </v>
      </c>
      <c r="L92" s="102" t="str">
        <f t="shared" si="6"/>
        <v xml:space="preserve"> </v>
      </c>
      <c r="M92" s="102" t="str">
        <f t="shared" si="6"/>
        <v xml:space="preserve"> </v>
      </c>
      <c r="N92" s="103" t="str">
        <f t="shared" si="7"/>
        <v xml:space="preserve"> </v>
      </c>
      <c r="O92" s="104" t="str">
        <f t="shared" si="8"/>
        <v xml:space="preserve"> </v>
      </c>
      <c r="P92" s="105" t="str">
        <f t="shared" si="9"/>
        <v xml:space="preserve"> </v>
      </c>
      <c r="Q92" s="103" t="str">
        <f t="shared" si="10"/>
        <v/>
      </c>
      <c r="R92" s="103" t="str">
        <f t="shared" si="11"/>
        <v/>
      </c>
      <c r="S92" s="106"/>
    </row>
    <row r="93" spans="1:19" ht="18" customHeight="1">
      <c r="A93" s="95"/>
      <c r="B93" s="153" t="s">
        <v>395</v>
      </c>
      <c r="C93" s="154" t="s">
        <v>384</v>
      </c>
      <c r="D93" s="149"/>
      <c r="E93" s="149">
        <v>0.5</v>
      </c>
      <c r="F93" s="149"/>
      <c r="G93" s="155" t="s">
        <v>385</v>
      </c>
      <c r="H93" s="101"/>
      <c r="I93" s="101"/>
      <c r="J93" s="101"/>
      <c r="K93" s="102" t="str">
        <f t="shared" si="6"/>
        <v xml:space="preserve"> </v>
      </c>
      <c r="L93" s="102" t="str">
        <f t="shared" si="6"/>
        <v xml:space="preserve"> </v>
      </c>
      <c r="M93" s="102" t="str">
        <f t="shared" si="6"/>
        <v xml:space="preserve"> </v>
      </c>
      <c r="N93" s="103" t="str">
        <f t="shared" si="7"/>
        <v xml:space="preserve"> </v>
      </c>
      <c r="O93" s="104" t="str">
        <f t="shared" si="8"/>
        <v xml:space="preserve"> </v>
      </c>
      <c r="P93" s="105" t="str">
        <f t="shared" si="9"/>
        <v xml:space="preserve"> </v>
      </c>
      <c r="Q93" s="103" t="str">
        <f t="shared" si="10"/>
        <v/>
      </c>
      <c r="R93" s="103" t="str">
        <f t="shared" si="11"/>
        <v/>
      </c>
      <c r="S93" s="106"/>
    </row>
    <row r="94" spans="1:19" ht="18" customHeight="1">
      <c r="A94" s="95"/>
      <c r="B94" s="153" t="s">
        <v>396</v>
      </c>
      <c r="C94" s="154" t="s">
        <v>384</v>
      </c>
      <c r="D94" s="149"/>
      <c r="E94" s="149">
        <v>0.5</v>
      </c>
      <c r="F94" s="149"/>
      <c r="G94" s="155" t="s">
        <v>385</v>
      </c>
      <c r="H94" s="101"/>
      <c r="I94" s="101"/>
      <c r="J94" s="101"/>
      <c r="K94" s="102" t="str">
        <f t="shared" si="6"/>
        <v xml:space="preserve"> </v>
      </c>
      <c r="L94" s="102" t="str">
        <f t="shared" si="6"/>
        <v xml:space="preserve"> </v>
      </c>
      <c r="M94" s="102" t="str">
        <f t="shared" si="6"/>
        <v xml:space="preserve"> </v>
      </c>
      <c r="N94" s="103" t="str">
        <f t="shared" si="7"/>
        <v xml:space="preserve"> </v>
      </c>
      <c r="O94" s="104" t="str">
        <f t="shared" si="8"/>
        <v xml:space="preserve"> </v>
      </c>
      <c r="P94" s="105" t="str">
        <f t="shared" si="9"/>
        <v xml:space="preserve"> </v>
      </c>
      <c r="Q94" s="103" t="str">
        <f t="shared" si="10"/>
        <v/>
      </c>
      <c r="R94" s="103" t="str">
        <f t="shared" si="11"/>
        <v/>
      </c>
      <c r="S94" s="106"/>
    </row>
    <row r="95" spans="1:19" ht="18" customHeight="1">
      <c r="A95" s="95"/>
      <c r="B95" s="153" t="s">
        <v>397</v>
      </c>
      <c r="C95" s="154" t="s">
        <v>384</v>
      </c>
      <c r="D95" s="149"/>
      <c r="E95" s="149">
        <v>0.5</v>
      </c>
      <c r="F95" s="149"/>
      <c r="G95" s="155" t="s">
        <v>385</v>
      </c>
      <c r="H95" s="101"/>
      <c r="I95" s="101"/>
      <c r="J95" s="101"/>
      <c r="K95" s="102" t="str">
        <f t="shared" si="6"/>
        <v xml:space="preserve"> </v>
      </c>
      <c r="L95" s="102" t="str">
        <f t="shared" si="6"/>
        <v xml:space="preserve"> </v>
      </c>
      <c r="M95" s="102" t="str">
        <f t="shared" si="6"/>
        <v xml:space="preserve"> </v>
      </c>
      <c r="N95" s="103" t="str">
        <f t="shared" si="7"/>
        <v xml:space="preserve"> </v>
      </c>
      <c r="O95" s="104" t="str">
        <f t="shared" si="8"/>
        <v xml:space="preserve"> </v>
      </c>
      <c r="P95" s="105" t="str">
        <f t="shared" si="9"/>
        <v xml:space="preserve"> </v>
      </c>
      <c r="Q95" s="103" t="str">
        <f t="shared" si="10"/>
        <v/>
      </c>
      <c r="R95" s="103" t="str">
        <f t="shared" si="11"/>
        <v/>
      </c>
      <c r="S95" s="106"/>
    </row>
    <row r="96" spans="1:19" ht="18" customHeight="1">
      <c r="A96" s="95"/>
      <c r="B96" s="153" t="s">
        <v>398</v>
      </c>
      <c r="C96" s="154" t="s">
        <v>384</v>
      </c>
      <c r="D96" s="149"/>
      <c r="E96" s="149">
        <v>0.5</v>
      </c>
      <c r="F96" s="149"/>
      <c r="G96" s="155" t="s">
        <v>385</v>
      </c>
      <c r="H96" s="101"/>
      <c r="I96" s="101"/>
      <c r="J96" s="101"/>
      <c r="K96" s="102" t="str">
        <f t="shared" si="6"/>
        <v xml:space="preserve"> </v>
      </c>
      <c r="L96" s="102" t="str">
        <f t="shared" si="6"/>
        <v xml:space="preserve"> </v>
      </c>
      <c r="M96" s="102" t="str">
        <f t="shared" si="6"/>
        <v xml:space="preserve"> </v>
      </c>
      <c r="N96" s="103" t="str">
        <f t="shared" si="7"/>
        <v xml:space="preserve"> </v>
      </c>
      <c r="O96" s="104" t="str">
        <f t="shared" si="8"/>
        <v xml:space="preserve"> </v>
      </c>
      <c r="P96" s="105" t="str">
        <f t="shared" si="9"/>
        <v xml:space="preserve"> </v>
      </c>
      <c r="Q96" s="103" t="str">
        <f t="shared" si="10"/>
        <v/>
      </c>
      <c r="R96" s="103" t="str">
        <f t="shared" si="11"/>
        <v/>
      </c>
      <c r="S96" s="106"/>
    </row>
    <row r="97" spans="1:19" ht="18" customHeight="1">
      <c r="A97" s="95"/>
      <c r="B97" s="153" t="s">
        <v>399</v>
      </c>
      <c r="C97" s="154" t="s">
        <v>384</v>
      </c>
      <c r="D97" s="149"/>
      <c r="E97" s="149">
        <v>0.5</v>
      </c>
      <c r="F97" s="149"/>
      <c r="G97" s="155" t="s">
        <v>385</v>
      </c>
      <c r="H97" s="101"/>
      <c r="I97" s="101"/>
      <c r="J97" s="101"/>
      <c r="K97" s="102" t="str">
        <f t="shared" si="6"/>
        <v xml:space="preserve"> </v>
      </c>
      <c r="L97" s="102" t="str">
        <f t="shared" si="6"/>
        <v xml:space="preserve"> </v>
      </c>
      <c r="M97" s="102" t="str">
        <f t="shared" si="6"/>
        <v xml:space="preserve"> </v>
      </c>
      <c r="N97" s="103" t="str">
        <f t="shared" si="7"/>
        <v xml:space="preserve"> </v>
      </c>
      <c r="O97" s="104" t="str">
        <f t="shared" si="8"/>
        <v xml:space="preserve"> </v>
      </c>
      <c r="P97" s="105" t="str">
        <f t="shared" si="9"/>
        <v xml:space="preserve"> </v>
      </c>
      <c r="Q97" s="103" t="str">
        <f t="shared" si="10"/>
        <v/>
      </c>
      <c r="R97" s="103" t="str">
        <f t="shared" si="11"/>
        <v/>
      </c>
      <c r="S97" s="106"/>
    </row>
    <row r="98" spans="1:19" ht="18" customHeight="1">
      <c r="A98" s="95"/>
      <c r="B98" s="153" t="s">
        <v>400</v>
      </c>
      <c r="C98" s="154" t="s">
        <v>384</v>
      </c>
      <c r="D98" s="149"/>
      <c r="E98" s="149">
        <v>0.5</v>
      </c>
      <c r="F98" s="149"/>
      <c r="G98" s="155" t="s">
        <v>385</v>
      </c>
      <c r="H98" s="101"/>
      <c r="I98" s="101"/>
      <c r="J98" s="101"/>
      <c r="K98" s="102" t="str">
        <f t="shared" si="6"/>
        <v xml:space="preserve"> </v>
      </c>
      <c r="L98" s="102" t="str">
        <f t="shared" si="6"/>
        <v xml:space="preserve"> </v>
      </c>
      <c r="M98" s="102" t="str">
        <f t="shared" si="6"/>
        <v xml:space="preserve"> </v>
      </c>
      <c r="N98" s="103" t="str">
        <f t="shared" si="7"/>
        <v xml:space="preserve"> </v>
      </c>
      <c r="O98" s="104" t="str">
        <f t="shared" si="8"/>
        <v xml:space="preserve"> </v>
      </c>
      <c r="P98" s="105" t="str">
        <f t="shared" si="9"/>
        <v xml:space="preserve"> </v>
      </c>
      <c r="Q98" s="103" t="str">
        <f t="shared" si="10"/>
        <v/>
      </c>
      <c r="R98" s="103" t="str">
        <f t="shared" si="11"/>
        <v/>
      </c>
      <c r="S98" s="106"/>
    </row>
    <row r="99" spans="1:19" ht="18" customHeight="1">
      <c r="A99" s="95"/>
      <c r="B99" s="153" t="s">
        <v>401</v>
      </c>
      <c r="C99" s="154" t="s">
        <v>384</v>
      </c>
      <c r="D99" s="149"/>
      <c r="E99" s="149">
        <v>0.5</v>
      </c>
      <c r="F99" s="149"/>
      <c r="G99" s="155" t="s">
        <v>385</v>
      </c>
      <c r="H99" s="101"/>
      <c r="I99" s="101"/>
      <c r="J99" s="101"/>
      <c r="K99" s="102" t="str">
        <f t="shared" si="6"/>
        <v xml:space="preserve"> </v>
      </c>
      <c r="L99" s="102" t="str">
        <f t="shared" si="6"/>
        <v xml:space="preserve"> </v>
      </c>
      <c r="M99" s="102" t="str">
        <f t="shared" si="6"/>
        <v xml:space="preserve"> </v>
      </c>
      <c r="N99" s="103" t="str">
        <f t="shared" si="7"/>
        <v xml:space="preserve"> </v>
      </c>
      <c r="O99" s="104" t="str">
        <f t="shared" si="8"/>
        <v xml:space="preserve"> </v>
      </c>
      <c r="P99" s="105" t="str">
        <f t="shared" si="9"/>
        <v xml:space="preserve"> </v>
      </c>
      <c r="Q99" s="103" t="str">
        <f t="shared" si="10"/>
        <v/>
      </c>
      <c r="R99" s="103" t="str">
        <f t="shared" si="11"/>
        <v/>
      </c>
      <c r="S99" s="106"/>
    </row>
    <row r="100" spans="1:19" ht="18" customHeight="1">
      <c r="A100" s="95"/>
      <c r="B100" s="153" t="s">
        <v>402</v>
      </c>
      <c r="C100" s="154" t="s">
        <v>384</v>
      </c>
      <c r="D100" s="149"/>
      <c r="E100" s="149">
        <v>0.5</v>
      </c>
      <c r="F100" s="149"/>
      <c r="G100" s="155" t="s">
        <v>385</v>
      </c>
      <c r="H100" s="101"/>
      <c r="I100" s="101"/>
      <c r="J100" s="101"/>
      <c r="K100" s="102" t="str">
        <f t="shared" si="6"/>
        <v xml:space="preserve"> </v>
      </c>
      <c r="L100" s="102" t="str">
        <f t="shared" si="6"/>
        <v xml:space="preserve"> </v>
      </c>
      <c r="M100" s="102" t="str">
        <f t="shared" si="6"/>
        <v xml:space="preserve"> </v>
      </c>
      <c r="N100" s="103" t="str">
        <f t="shared" si="7"/>
        <v xml:space="preserve"> </v>
      </c>
      <c r="O100" s="104" t="str">
        <f t="shared" si="8"/>
        <v xml:space="preserve"> </v>
      </c>
      <c r="P100" s="105" t="str">
        <f t="shared" si="9"/>
        <v xml:space="preserve"> </v>
      </c>
      <c r="Q100" s="103" t="str">
        <f t="shared" si="10"/>
        <v/>
      </c>
      <c r="R100" s="103" t="str">
        <f t="shared" si="11"/>
        <v/>
      </c>
      <c r="S100" s="106"/>
    </row>
    <row r="101" spans="1:19" ht="18" customHeight="1">
      <c r="A101" s="95"/>
      <c r="B101" s="153" t="s">
        <v>403</v>
      </c>
      <c r="C101" s="154" t="s">
        <v>384</v>
      </c>
      <c r="D101" s="149"/>
      <c r="E101" s="149">
        <v>0.5</v>
      </c>
      <c r="F101" s="149"/>
      <c r="G101" s="155" t="s">
        <v>385</v>
      </c>
      <c r="H101" s="101"/>
      <c r="I101" s="101"/>
      <c r="J101" s="101"/>
      <c r="K101" s="102" t="str">
        <f t="shared" si="6"/>
        <v xml:space="preserve"> </v>
      </c>
      <c r="L101" s="102" t="str">
        <f t="shared" si="6"/>
        <v xml:space="preserve"> </v>
      </c>
      <c r="M101" s="102" t="str">
        <f t="shared" si="6"/>
        <v xml:space="preserve"> </v>
      </c>
      <c r="N101" s="103" t="str">
        <f t="shared" si="7"/>
        <v xml:space="preserve"> </v>
      </c>
      <c r="O101" s="104" t="str">
        <f t="shared" si="8"/>
        <v xml:space="preserve"> </v>
      </c>
      <c r="P101" s="105" t="str">
        <f t="shared" si="9"/>
        <v xml:space="preserve"> </v>
      </c>
      <c r="Q101" s="103" t="str">
        <f t="shared" si="10"/>
        <v/>
      </c>
      <c r="R101" s="103" t="str">
        <f t="shared" si="11"/>
        <v/>
      </c>
      <c r="S101" s="106"/>
    </row>
    <row r="102" spans="1:19" ht="18" customHeight="1">
      <c r="A102" s="95"/>
      <c r="B102" s="153" t="s">
        <v>404</v>
      </c>
      <c r="C102" s="154" t="s">
        <v>384</v>
      </c>
      <c r="D102" s="149"/>
      <c r="E102" s="149">
        <v>0.5</v>
      </c>
      <c r="F102" s="149"/>
      <c r="G102" s="155" t="s">
        <v>385</v>
      </c>
      <c r="H102" s="101"/>
      <c r="I102" s="101"/>
      <c r="J102" s="101"/>
      <c r="K102" s="102" t="str">
        <f t="shared" si="6"/>
        <v xml:space="preserve"> </v>
      </c>
      <c r="L102" s="102" t="str">
        <f t="shared" si="6"/>
        <v xml:space="preserve"> </v>
      </c>
      <c r="M102" s="102" t="str">
        <f t="shared" si="6"/>
        <v xml:space="preserve"> </v>
      </c>
      <c r="N102" s="103" t="str">
        <f t="shared" si="7"/>
        <v xml:space="preserve"> </v>
      </c>
      <c r="O102" s="104" t="str">
        <f t="shared" si="8"/>
        <v xml:space="preserve"> </v>
      </c>
      <c r="P102" s="105" t="str">
        <f t="shared" si="9"/>
        <v xml:space="preserve"> </v>
      </c>
      <c r="Q102" s="103" t="str">
        <f t="shared" si="10"/>
        <v/>
      </c>
      <c r="R102" s="103" t="str">
        <f t="shared" si="11"/>
        <v/>
      </c>
      <c r="S102" s="106"/>
    </row>
    <row r="103" spans="1:19" ht="18" customHeight="1">
      <c r="A103" s="95"/>
      <c r="B103" s="153" t="s">
        <v>405</v>
      </c>
      <c r="C103" s="154" t="s">
        <v>384</v>
      </c>
      <c r="D103" s="149"/>
      <c r="E103" s="149">
        <v>0.5</v>
      </c>
      <c r="F103" s="149"/>
      <c r="G103" s="155" t="s">
        <v>385</v>
      </c>
      <c r="H103" s="101"/>
      <c r="I103" s="101"/>
      <c r="J103" s="101"/>
      <c r="K103" s="102" t="str">
        <f t="shared" si="6"/>
        <v xml:space="preserve"> </v>
      </c>
      <c r="L103" s="102" t="str">
        <f t="shared" si="6"/>
        <v xml:space="preserve"> </v>
      </c>
      <c r="M103" s="102" t="str">
        <f t="shared" si="6"/>
        <v xml:space="preserve"> </v>
      </c>
      <c r="N103" s="103" t="str">
        <f t="shared" si="7"/>
        <v xml:space="preserve"> </v>
      </c>
      <c r="O103" s="104" t="str">
        <f t="shared" si="8"/>
        <v xml:space="preserve"> </v>
      </c>
      <c r="P103" s="105" t="str">
        <f t="shared" si="9"/>
        <v xml:space="preserve"> </v>
      </c>
      <c r="Q103" s="103" t="str">
        <f t="shared" si="10"/>
        <v/>
      </c>
      <c r="R103" s="103" t="str">
        <f t="shared" si="11"/>
        <v/>
      </c>
      <c r="S103" s="106"/>
    </row>
    <row r="104" spans="1:19" ht="18" customHeight="1">
      <c r="A104" s="95"/>
      <c r="B104" s="153" t="s">
        <v>406</v>
      </c>
      <c r="C104" s="154" t="s">
        <v>384</v>
      </c>
      <c r="D104" s="149"/>
      <c r="E104" s="149">
        <v>0.5</v>
      </c>
      <c r="F104" s="149"/>
      <c r="G104" s="155" t="s">
        <v>385</v>
      </c>
      <c r="H104" s="101"/>
      <c r="I104" s="101"/>
      <c r="J104" s="101"/>
      <c r="K104" s="102" t="str">
        <f t="shared" si="6"/>
        <v xml:space="preserve"> </v>
      </c>
      <c r="L104" s="102" t="str">
        <f t="shared" si="6"/>
        <v xml:space="preserve"> </v>
      </c>
      <c r="M104" s="102" t="str">
        <f t="shared" si="6"/>
        <v xml:space="preserve"> </v>
      </c>
      <c r="N104" s="103" t="str">
        <f t="shared" si="7"/>
        <v xml:space="preserve"> </v>
      </c>
      <c r="O104" s="104" t="str">
        <f t="shared" si="8"/>
        <v xml:space="preserve"> </v>
      </c>
      <c r="P104" s="105" t="str">
        <f t="shared" si="9"/>
        <v xml:space="preserve"> </v>
      </c>
      <c r="Q104" s="103" t="str">
        <f t="shared" si="10"/>
        <v/>
      </c>
      <c r="R104" s="103" t="str">
        <f t="shared" si="11"/>
        <v/>
      </c>
      <c r="S104" s="106"/>
    </row>
    <row r="105" spans="1:19" ht="18" customHeight="1">
      <c r="A105" s="95"/>
      <c r="B105" s="153" t="s">
        <v>407</v>
      </c>
      <c r="C105" s="154" t="s">
        <v>384</v>
      </c>
      <c r="D105" s="149"/>
      <c r="E105" s="149">
        <v>0.5</v>
      </c>
      <c r="F105" s="149"/>
      <c r="G105" s="155" t="s">
        <v>385</v>
      </c>
      <c r="H105" s="101"/>
      <c r="I105" s="101"/>
      <c r="J105" s="101"/>
      <c r="K105" s="102" t="str">
        <f t="shared" ref="K105:M106" si="12">IF(ISERR(H105/H105)=TRUE," ",H105-$D105)</f>
        <v xml:space="preserve"> </v>
      </c>
      <c r="L105" s="102" t="str">
        <f t="shared" si="12"/>
        <v xml:space="preserve"> </v>
      </c>
      <c r="M105" s="102" t="str">
        <f t="shared" si="12"/>
        <v xml:space="preserve"> </v>
      </c>
      <c r="N105" s="103" t="str">
        <f t="shared" si="7"/>
        <v xml:space="preserve"> </v>
      </c>
      <c r="O105" s="104" t="str">
        <f t="shared" si="8"/>
        <v xml:space="preserve"> </v>
      </c>
      <c r="P105" s="105" t="str">
        <f t="shared" si="9"/>
        <v xml:space="preserve"> </v>
      </c>
      <c r="Q105" s="103" t="str">
        <f t="shared" si="10"/>
        <v/>
      </c>
      <c r="R105" s="103" t="str">
        <f t="shared" si="11"/>
        <v/>
      </c>
      <c r="S105" s="106"/>
    </row>
    <row r="106" spans="1:19" ht="18" customHeight="1">
      <c r="A106" s="95"/>
      <c r="B106" s="153" t="s">
        <v>408</v>
      </c>
      <c r="C106" s="154" t="s">
        <v>384</v>
      </c>
      <c r="D106" s="149"/>
      <c r="E106" s="149">
        <v>0.5</v>
      </c>
      <c r="F106" s="149"/>
      <c r="G106" s="155" t="s">
        <v>385</v>
      </c>
      <c r="H106" s="101"/>
      <c r="I106" s="101"/>
      <c r="J106" s="101"/>
      <c r="K106" s="102" t="str">
        <f t="shared" si="12"/>
        <v xml:space="preserve"> </v>
      </c>
      <c r="L106" s="102" t="str">
        <f t="shared" si="12"/>
        <v xml:space="preserve"> </v>
      </c>
      <c r="M106" s="102" t="str">
        <f t="shared" si="12"/>
        <v xml:space="preserve"> </v>
      </c>
      <c r="N106" s="103" t="str">
        <f t="shared" si="7"/>
        <v xml:space="preserve"> </v>
      </c>
      <c r="O106" s="104" t="str">
        <f t="shared" si="8"/>
        <v xml:space="preserve"> </v>
      </c>
      <c r="P106" s="105" t="str">
        <f t="shared" si="9"/>
        <v xml:space="preserve"> </v>
      </c>
      <c r="Q106" s="103" t="str">
        <f t="shared" si="10"/>
        <v/>
      </c>
      <c r="R106" s="103" t="str">
        <f t="shared" si="11"/>
        <v/>
      </c>
      <c r="S106" s="106"/>
    </row>
    <row r="107" spans="1:19" ht="18" customHeight="1">
      <c r="A107" s="95"/>
      <c r="B107" s="96" t="s">
        <v>133</v>
      </c>
      <c r="C107" s="99" t="s">
        <v>62</v>
      </c>
      <c r="D107" s="98"/>
      <c r="E107" s="98">
        <v>3</v>
      </c>
      <c r="F107" s="98">
        <v>-3</v>
      </c>
      <c r="G107" s="99" t="s">
        <v>60</v>
      </c>
      <c r="H107" s="101"/>
      <c r="I107" s="101"/>
      <c r="J107" s="101"/>
      <c r="K107" s="102" t="str">
        <f t="shared" si="6"/>
        <v xml:space="preserve"> </v>
      </c>
      <c r="L107" s="102" t="str">
        <f t="shared" si="6"/>
        <v xml:space="preserve"> </v>
      </c>
      <c r="M107" s="102" t="str">
        <f t="shared" si="6"/>
        <v xml:space="preserve"> </v>
      </c>
      <c r="N107" s="103" t="str">
        <f t="shared" si="7"/>
        <v xml:space="preserve"> </v>
      </c>
      <c r="O107" s="104" t="str">
        <f t="shared" si="8"/>
        <v xml:space="preserve"> </v>
      </c>
      <c r="P107" s="105" t="str">
        <f t="shared" si="9"/>
        <v xml:space="preserve"> </v>
      </c>
      <c r="Q107" s="103" t="str">
        <f t="shared" si="10"/>
        <v/>
      </c>
      <c r="R107" s="103" t="str">
        <f t="shared" si="11"/>
        <v/>
      </c>
      <c r="S107" s="106"/>
    </row>
    <row r="108" spans="1:19" ht="18" customHeight="1">
      <c r="A108" s="95"/>
      <c r="B108" s="96" t="s">
        <v>134</v>
      </c>
      <c r="C108" s="99" t="s">
        <v>62</v>
      </c>
      <c r="D108" s="98">
        <v>12.3</v>
      </c>
      <c r="E108" s="98">
        <v>0.17499999999999999</v>
      </c>
      <c r="F108" s="98">
        <v>-0.17499999999999999</v>
      </c>
      <c r="G108" s="99" t="s">
        <v>60</v>
      </c>
      <c r="H108" s="101"/>
      <c r="I108" s="101"/>
      <c r="J108" s="101"/>
      <c r="K108" s="102" t="str">
        <f t="shared" si="6"/>
        <v xml:space="preserve"> </v>
      </c>
      <c r="L108" s="102" t="str">
        <f t="shared" si="6"/>
        <v xml:space="preserve"> </v>
      </c>
      <c r="M108" s="102" t="str">
        <f t="shared" si="6"/>
        <v xml:space="preserve"> </v>
      </c>
      <c r="N108" s="103" t="str">
        <f t="shared" si="7"/>
        <v xml:space="preserve"> </v>
      </c>
      <c r="O108" s="104" t="str">
        <f t="shared" si="8"/>
        <v xml:space="preserve"> </v>
      </c>
      <c r="P108" s="105" t="str">
        <f t="shared" si="9"/>
        <v xml:space="preserve"> </v>
      </c>
      <c r="Q108" s="103" t="str">
        <f t="shared" si="10"/>
        <v/>
      </c>
      <c r="R108" s="103" t="str">
        <f t="shared" si="11"/>
        <v/>
      </c>
      <c r="S108" s="106"/>
    </row>
    <row r="109" spans="1:19" ht="18" customHeight="1">
      <c r="A109" s="95"/>
      <c r="B109" s="96" t="s">
        <v>135</v>
      </c>
      <c r="C109" s="99" t="s">
        <v>62</v>
      </c>
      <c r="D109" s="98">
        <v>1.2</v>
      </c>
      <c r="E109" s="98">
        <v>0.3</v>
      </c>
      <c r="F109" s="98">
        <v>-0.3</v>
      </c>
      <c r="G109" s="99" t="s">
        <v>60</v>
      </c>
      <c r="H109" s="101"/>
      <c r="I109" s="101"/>
      <c r="J109" s="101"/>
      <c r="K109" s="102" t="str">
        <f t="shared" ref="K109:M138" si="13">IF(ISERR(H109/H109)=TRUE," ",H109-$D109)</f>
        <v xml:space="preserve"> </v>
      </c>
      <c r="L109" s="102" t="str">
        <f t="shared" si="13"/>
        <v xml:space="preserve"> </v>
      </c>
      <c r="M109" s="102" t="str">
        <f t="shared" si="13"/>
        <v xml:space="preserve"> </v>
      </c>
      <c r="N109" s="103" t="str">
        <f t="shared" si="7"/>
        <v xml:space="preserve"> </v>
      </c>
      <c r="O109" s="104" t="str">
        <f t="shared" si="8"/>
        <v xml:space="preserve"> </v>
      </c>
      <c r="P109" s="105" t="str">
        <f t="shared" si="9"/>
        <v xml:space="preserve"> </v>
      </c>
      <c r="Q109" s="103" t="str">
        <f t="shared" si="10"/>
        <v/>
      </c>
      <c r="R109" s="103" t="str">
        <f t="shared" si="11"/>
        <v/>
      </c>
      <c r="S109" s="106"/>
    </row>
    <row r="110" spans="1:19" ht="18" customHeight="1">
      <c r="A110" s="95"/>
      <c r="B110" s="96" t="s">
        <v>136</v>
      </c>
      <c r="C110" s="99" t="s">
        <v>62</v>
      </c>
      <c r="D110" s="98">
        <v>13.28</v>
      </c>
      <c r="E110" s="98">
        <v>0.02</v>
      </c>
      <c r="F110" s="98">
        <v>-0.02</v>
      </c>
      <c r="G110" s="99" t="s">
        <v>60</v>
      </c>
      <c r="H110" s="101"/>
      <c r="I110" s="101"/>
      <c r="J110" s="101"/>
      <c r="K110" s="102" t="str">
        <f t="shared" si="13"/>
        <v xml:space="preserve"> </v>
      </c>
      <c r="L110" s="102" t="str">
        <f t="shared" si="13"/>
        <v xml:space="preserve"> </v>
      </c>
      <c r="M110" s="102" t="str">
        <f t="shared" si="13"/>
        <v xml:space="preserve"> </v>
      </c>
      <c r="N110" s="103" t="str">
        <f t="shared" si="7"/>
        <v xml:space="preserve"> </v>
      </c>
      <c r="O110" s="104" t="str">
        <f t="shared" si="8"/>
        <v xml:space="preserve"> </v>
      </c>
      <c r="P110" s="105" t="str">
        <f t="shared" si="9"/>
        <v xml:space="preserve"> </v>
      </c>
      <c r="Q110" s="103" t="str">
        <f t="shared" si="10"/>
        <v/>
      </c>
      <c r="R110" s="103" t="str">
        <f t="shared" si="11"/>
        <v/>
      </c>
      <c r="S110" s="106"/>
    </row>
    <row r="111" spans="1:19" ht="18" customHeight="1">
      <c r="A111" s="95"/>
      <c r="B111" s="109" t="s">
        <v>137</v>
      </c>
      <c r="C111" s="99" t="s">
        <v>62</v>
      </c>
      <c r="D111" s="98">
        <v>0.23</v>
      </c>
      <c r="E111" s="98">
        <v>0.02</v>
      </c>
      <c r="F111" s="98">
        <v>-0.02</v>
      </c>
      <c r="G111" s="99" t="s">
        <v>60</v>
      </c>
      <c r="H111" s="101"/>
      <c r="I111" s="101"/>
      <c r="J111" s="101"/>
      <c r="K111" s="102" t="str">
        <f t="shared" si="13"/>
        <v xml:space="preserve"> </v>
      </c>
      <c r="L111" s="102" t="str">
        <f t="shared" si="13"/>
        <v xml:space="preserve"> </v>
      </c>
      <c r="M111" s="102" t="str">
        <f t="shared" si="13"/>
        <v xml:space="preserve"> </v>
      </c>
      <c r="N111" s="103" t="str">
        <f t="shared" si="7"/>
        <v xml:space="preserve"> </v>
      </c>
      <c r="O111" s="104" t="str">
        <f t="shared" si="8"/>
        <v xml:space="preserve"> </v>
      </c>
      <c r="P111" s="105" t="str">
        <f t="shared" si="9"/>
        <v xml:space="preserve"> </v>
      </c>
      <c r="Q111" s="103" t="str">
        <f t="shared" si="10"/>
        <v/>
      </c>
      <c r="R111" s="103" t="str">
        <f t="shared" si="11"/>
        <v/>
      </c>
      <c r="S111" s="106"/>
    </row>
    <row r="112" spans="1:19" ht="18" customHeight="1">
      <c r="A112" s="95"/>
      <c r="B112" s="109" t="s">
        <v>138</v>
      </c>
      <c r="C112" s="99" t="s">
        <v>62</v>
      </c>
      <c r="D112" s="98">
        <v>0.23</v>
      </c>
      <c r="E112" s="98">
        <v>0.02</v>
      </c>
      <c r="F112" s="98">
        <v>-0.02</v>
      </c>
      <c r="G112" s="99" t="s">
        <v>60</v>
      </c>
      <c r="H112" s="101"/>
      <c r="I112" s="101"/>
      <c r="J112" s="101"/>
      <c r="K112" s="102" t="str">
        <f t="shared" si="13"/>
        <v xml:space="preserve"> </v>
      </c>
      <c r="L112" s="102" t="str">
        <f t="shared" si="13"/>
        <v xml:space="preserve"> </v>
      </c>
      <c r="M112" s="102" t="str">
        <f t="shared" si="13"/>
        <v xml:space="preserve"> </v>
      </c>
      <c r="N112" s="103" t="str">
        <f t="shared" si="7"/>
        <v xml:space="preserve"> </v>
      </c>
      <c r="O112" s="104" t="str">
        <f t="shared" si="8"/>
        <v xml:space="preserve"> </v>
      </c>
      <c r="P112" s="105" t="str">
        <f t="shared" si="9"/>
        <v xml:space="preserve"> </v>
      </c>
      <c r="Q112" s="103" t="str">
        <f t="shared" si="10"/>
        <v/>
      </c>
      <c r="R112" s="103" t="str">
        <f t="shared" si="11"/>
        <v/>
      </c>
      <c r="S112" s="106"/>
    </row>
    <row r="113" spans="1:19" ht="18" customHeight="1">
      <c r="A113" s="95"/>
      <c r="B113" s="109" t="s">
        <v>139</v>
      </c>
      <c r="C113" s="99" t="s">
        <v>62</v>
      </c>
      <c r="D113" s="98">
        <v>12.1</v>
      </c>
      <c r="E113" s="98">
        <v>0.04</v>
      </c>
      <c r="F113" s="98">
        <v>-0.03</v>
      </c>
      <c r="G113" s="99" t="s">
        <v>60</v>
      </c>
      <c r="H113" s="101"/>
      <c r="I113" s="101"/>
      <c r="J113" s="101"/>
      <c r="K113" s="102" t="str">
        <f t="shared" si="13"/>
        <v xml:space="preserve"> </v>
      </c>
      <c r="L113" s="102" t="str">
        <f t="shared" si="13"/>
        <v xml:space="preserve"> </v>
      </c>
      <c r="M113" s="102" t="str">
        <f t="shared" si="13"/>
        <v xml:space="preserve"> </v>
      </c>
      <c r="N113" s="103" t="str">
        <f t="shared" si="7"/>
        <v xml:space="preserve"> </v>
      </c>
      <c r="O113" s="104" t="str">
        <f t="shared" si="8"/>
        <v xml:space="preserve"> </v>
      </c>
      <c r="P113" s="105" t="str">
        <f t="shared" si="9"/>
        <v xml:space="preserve"> </v>
      </c>
      <c r="Q113" s="103" t="str">
        <f t="shared" si="10"/>
        <v/>
      </c>
      <c r="R113" s="103" t="str">
        <f t="shared" si="11"/>
        <v/>
      </c>
      <c r="S113" s="106"/>
    </row>
    <row r="114" spans="1:19" ht="18" customHeight="1">
      <c r="A114" s="95"/>
      <c r="B114" s="109" t="s">
        <v>140</v>
      </c>
      <c r="C114" s="99" t="s">
        <v>62</v>
      </c>
      <c r="D114" s="98">
        <v>10.56</v>
      </c>
      <c r="E114" s="98">
        <v>0.04</v>
      </c>
      <c r="F114" s="98">
        <v>-0.03</v>
      </c>
      <c r="G114" s="99" t="s">
        <v>60</v>
      </c>
      <c r="H114" s="101"/>
      <c r="I114" s="101"/>
      <c r="J114" s="101"/>
      <c r="K114" s="102" t="str">
        <f t="shared" si="13"/>
        <v xml:space="preserve"> </v>
      </c>
      <c r="L114" s="102" t="str">
        <f t="shared" si="13"/>
        <v xml:space="preserve"> </v>
      </c>
      <c r="M114" s="102" t="str">
        <f t="shared" si="13"/>
        <v xml:space="preserve"> </v>
      </c>
      <c r="N114" s="103" t="str">
        <f t="shared" si="7"/>
        <v xml:space="preserve"> </v>
      </c>
      <c r="O114" s="104" t="str">
        <f t="shared" si="8"/>
        <v xml:space="preserve"> </v>
      </c>
      <c r="P114" s="105" t="str">
        <f t="shared" si="9"/>
        <v xml:space="preserve"> </v>
      </c>
      <c r="Q114" s="103" t="str">
        <f t="shared" si="10"/>
        <v/>
      </c>
      <c r="R114" s="103" t="str">
        <f t="shared" si="11"/>
        <v/>
      </c>
      <c r="S114" s="106"/>
    </row>
    <row r="115" spans="1:19" ht="18" customHeight="1">
      <c r="A115" s="95"/>
      <c r="B115" s="109" t="s">
        <v>141</v>
      </c>
      <c r="C115" s="99" t="s">
        <v>62</v>
      </c>
      <c r="D115" s="98">
        <v>2.56</v>
      </c>
      <c r="E115" s="98">
        <v>0.04</v>
      </c>
      <c r="F115" s="98">
        <v>-0.03</v>
      </c>
      <c r="G115" s="99" t="s">
        <v>60</v>
      </c>
      <c r="H115" s="101"/>
      <c r="I115" s="101"/>
      <c r="J115" s="101"/>
      <c r="K115" s="102" t="str">
        <f t="shared" si="13"/>
        <v xml:space="preserve"> </v>
      </c>
      <c r="L115" s="102" t="str">
        <f t="shared" si="13"/>
        <v xml:space="preserve"> </v>
      </c>
      <c r="M115" s="102" t="str">
        <f t="shared" si="13"/>
        <v xml:space="preserve"> </v>
      </c>
      <c r="N115" s="103" t="str">
        <f t="shared" si="7"/>
        <v xml:space="preserve"> </v>
      </c>
      <c r="O115" s="104" t="str">
        <f t="shared" si="8"/>
        <v xml:space="preserve"> </v>
      </c>
      <c r="P115" s="105" t="str">
        <f t="shared" si="9"/>
        <v xml:space="preserve"> </v>
      </c>
      <c r="Q115" s="103" t="str">
        <f t="shared" si="10"/>
        <v/>
      </c>
      <c r="R115" s="103" t="str">
        <f t="shared" si="11"/>
        <v/>
      </c>
      <c r="S115" s="106"/>
    </row>
    <row r="116" spans="1:19" ht="18" customHeight="1">
      <c r="A116" s="95"/>
      <c r="B116" s="109" t="s">
        <v>142</v>
      </c>
      <c r="C116" s="99" t="s">
        <v>62</v>
      </c>
      <c r="D116" s="98">
        <v>1.02</v>
      </c>
      <c r="E116" s="98">
        <v>0.04</v>
      </c>
      <c r="F116" s="98">
        <v>-0.03</v>
      </c>
      <c r="G116" s="99" t="s">
        <v>60</v>
      </c>
      <c r="H116" s="101"/>
      <c r="I116" s="101"/>
      <c r="J116" s="101"/>
      <c r="K116" s="102" t="str">
        <f t="shared" si="13"/>
        <v xml:space="preserve"> </v>
      </c>
      <c r="L116" s="102" t="str">
        <f t="shared" si="13"/>
        <v xml:space="preserve"> </v>
      </c>
      <c r="M116" s="102" t="str">
        <f t="shared" si="13"/>
        <v xml:space="preserve"> </v>
      </c>
      <c r="N116" s="103" t="str">
        <f t="shared" si="7"/>
        <v xml:space="preserve"> </v>
      </c>
      <c r="O116" s="104" t="str">
        <f t="shared" si="8"/>
        <v xml:space="preserve"> </v>
      </c>
      <c r="P116" s="105" t="str">
        <f t="shared" si="9"/>
        <v xml:space="preserve"> </v>
      </c>
      <c r="Q116" s="103" t="str">
        <f t="shared" si="10"/>
        <v/>
      </c>
      <c r="R116" s="103" t="str">
        <f t="shared" si="11"/>
        <v/>
      </c>
      <c r="S116" s="106"/>
    </row>
    <row r="117" spans="1:19" ht="18" customHeight="1">
      <c r="A117" s="95"/>
      <c r="B117" s="109" t="s">
        <v>143</v>
      </c>
      <c r="C117" s="99" t="s">
        <v>62</v>
      </c>
      <c r="D117" s="98">
        <v>1.02</v>
      </c>
      <c r="E117" s="98">
        <v>0.04</v>
      </c>
      <c r="F117" s="98">
        <v>-0.03</v>
      </c>
      <c r="G117" s="99" t="s">
        <v>60</v>
      </c>
      <c r="H117" s="101"/>
      <c r="I117" s="101"/>
      <c r="J117" s="101"/>
      <c r="K117" s="102" t="str">
        <f t="shared" si="13"/>
        <v xml:space="preserve"> </v>
      </c>
      <c r="L117" s="102" t="str">
        <f t="shared" si="13"/>
        <v xml:space="preserve"> </v>
      </c>
      <c r="M117" s="102" t="str">
        <f t="shared" si="13"/>
        <v xml:space="preserve"> </v>
      </c>
      <c r="N117" s="103" t="str">
        <f t="shared" si="7"/>
        <v xml:space="preserve"> </v>
      </c>
      <c r="O117" s="104" t="str">
        <f t="shared" si="8"/>
        <v xml:space="preserve"> </v>
      </c>
      <c r="P117" s="105" t="str">
        <f t="shared" si="9"/>
        <v xml:space="preserve"> </v>
      </c>
      <c r="Q117" s="103" t="str">
        <f t="shared" si="10"/>
        <v/>
      </c>
      <c r="R117" s="103" t="str">
        <f t="shared" si="11"/>
        <v/>
      </c>
      <c r="S117" s="106"/>
    </row>
    <row r="118" spans="1:19" ht="18" customHeight="1">
      <c r="A118" s="95"/>
      <c r="B118" s="109" t="s">
        <v>144</v>
      </c>
      <c r="C118" s="99" t="s">
        <v>62</v>
      </c>
      <c r="D118" s="98">
        <v>2.56</v>
      </c>
      <c r="E118" s="98">
        <v>0.04</v>
      </c>
      <c r="F118" s="98">
        <v>-0.03</v>
      </c>
      <c r="G118" s="99" t="s">
        <v>60</v>
      </c>
      <c r="H118" s="101"/>
      <c r="I118" s="101"/>
      <c r="J118" s="101"/>
      <c r="K118" s="102" t="str">
        <f t="shared" si="13"/>
        <v xml:space="preserve"> </v>
      </c>
      <c r="L118" s="102" t="str">
        <f t="shared" si="13"/>
        <v xml:space="preserve"> </v>
      </c>
      <c r="M118" s="102" t="str">
        <f t="shared" si="13"/>
        <v xml:space="preserve"> </v>
      </c>
      <c r="N118" s="103" t="str">
        <f t="shared" si="7"/>
        <v xml:space="preserve"> </v>
      </c>
      <c r="O118" s="104" t="str">
        <f t="shared" si="8"/>
        <v xml:space="preserve"> </v>
      </c>
      <c r="P118" s="105" t="str">
        <f t="shared" si="9"/>
        <v xml:space="preserve"> </v>
      </c>
      <c r="Q118" s="103" t="str">
        <f t="shared" si="10"/>
        <v/>
      </c>
      <c r="R118" s="103" t="str">
        <f t="shared" si="11"/>
        <v/>
      </c>
      <c r="S118" s="106"/>
    </row>
    <row r="119" spans="1:19" ht="18" customHeight="1">
      <c r="A119" s="95"/>
      <c r="B119" s="96" t="s">
        <v>145</v>
      </c>
      <c r="C119" s="99" t="s">
        <v>62</v>
      </c>
      <c r="D119" s="98">
        <v>14.63</v>
      </c>
      <c r="E119" s="98">
        <v>0.03</v>
      </c>
      <c r="F119" s="98">
        <v>-0.03</v>
      </c>
      <c r="G119" s="99" t="s">
        <v>60</v>
      </c>
      <c r="H119" s="101"/>
      <c r="I119" s="101"/>
      <c r="J119" s="101"/>
      <c r="K119" s="102" t="str">
        <f t="shared" si="13"/>
        <v xml:space="preserve"> </v>
      </c>
      <c r="L119" s="102" t="str">
        <f t="shared" si="13"/>
        <v xml:space="preserve"> </v>
      </c>
      <c r="M119" s="102" t="str">
        <f t="shared" si="13"/>
        <v xml:space="preserve"> </v>
      </c>
      <c r="N119" s="103" t="str">
        <f t="shared" si="7"/>
        <v xml:space="preserve"> </v>
      </c>
      <c r="O119" s="104" t="str">
        <f t="shared" si="8"/>
        <v xml:space="preserve"> </v>
      </c>
      <c r="P119" s="105" t="str">
        <f t="shared" si="9"/>
        <v xml:space="preserve"> </v>
      </c>
      <c r="Q119" s="103" t="str">
        <f t="shared" si="10"/>
        <v/>
      </c>
      <c r="R119" s="103" t="str">
        <f t="shared" si="11"/>
        <v/>
      </c>
      <c r="S119" s="106"/>
    </row>
    <row r="120" spans="1:19" ht="18" customHeight="1">
      <c r="A120" s="95"/>
      <c r="B120" s="96" t="s">
        <v>146</v>
      </c>
      <c r="C120" s="99" t="s">
        <v>62</v>
      </c>
      <c r="D120" s="98">
        <v>14.63</v>
      </c>
      <c r="E120" s="98">
        <v>0.03</v>
      </c>
      <c r="F120" s="98">
        <v>-0.03</v>
      </c>
      <c r="G120" s="99" t="s">
        <v>60</v>
      </c>
      <c r="H120" s="101"/>
      <c r="I120" s="101"/>
      <c r="J120" s="101"/>
      <c r="K120" s="102" t="str">
        <f t="shared" si="13"/>
        <v xml:space="preserve"> </v>
      </c>
      <c r="L120" s="102" t="str">
        <f t="shared" si="13"/>
        <v xml:space="preserve"> </v>
      </c>
      <c r="M120" s="102" t="str">
        <f t="shared" si="13"/>
        <v xml:space="preserve"> </v>
      </c>
      <c r="N120" s="103" t="str">
        <f t="shared" si="7"/>
        <v xml:space="preserve"> </v>
      </c>
      <c r="O120" s="104" t="str">
        <f t="shared" si="8"/>
        <v xml:space="preserve"> </v>
      </c>
      <c r="P120" s="105" t="str">
        <f t="shared" si="9"/>
        <v xml:space="preserve"> </v>
      </c>
      <c r="Q120" s="103" t="str">
        <f t="shared" si="10"/>
        <v/>
      </c>
      <c r="R120" s="103" t="str">
        <f t="shared" si="11"/>
        <v/>
      </c>
      <c r="S120" s="106"/>
    </row>
    <row r="121" spans="1:19" ht="18" customHeight="1">
      <c r="A121" s="95"/>
      <c r="B121" s="96" t="s">
        <v>147</v>
      </c>
      <c r="C121" s="99" t="s">
        <v>62</v>
      </c>
      <c r="D121" s="98">
        <v>7.2549999999999999</v>
      </c>
      <c r="E121" s="98">
        <v>0.03</v>
      </c>
      <c r="F121" s="98">
        <v>-0.03</v>
      </c>
      <c r="G121" s="99" t="s">
        <v>60</v>
      </c>
      <c r="H121" s="101"/>
      <c r="I121" s="101"/>
      <c r="J121" s="101"/>
      <c r="K121" s="102" t="str">
        <f t="shared" si="13"/>
        <v xml:space="preserve"> </v>
      </c>
      <c r="L121" s="102" t="str">
        <f t="shared" si="13"/>
        <v xml:space="preserve"> </v>
      </c>
      <c r="M121" s="102" t="str">
        <f t="shared" si="13"/>
        <v xml:space="preserve"> </v>
      </c>
      <c r="N121" s="103" t="str">
        <f t="shared" si="7"/>
        <v xml:space="preserve"> </v>
      </c>
      <c r="O121" s="104" t="str">
        <f t="shared" si="8"/>
        <v xml:space="preserve"> </v>
      </c>
      <c r="P121" s="105" t="str">
        <f t="shared" si="9"/>
        <v xml:space="preserve"> </v>
      </c>
      <c r="Q121" s="103" t="str">
        <f t="shared" si="10"/>
        <v/>
      </c>
      <c r="R121" s="103" t="str">
        <f t="shared" si="11"/>
        <v/>
      </c>
      <c r="S121" s="106"/>
    </row>
    <row r="122" spans="1:19" ht="18" customHeight="1">
      <c r="A122" s="95"/>
      <c r="B122" s="96" t="s">
        <v>148</v>
      </c>
      <c r="C122" s="99" t="s">
        <v>62</v>
      </c>
      <c r="D122" s="98">
        <v>0.89500000000000002</v>
      </c>
      <c r="E122" s="98">
        <v>0.03</v>
      </c>
      <c r="F122" s="98">
        <v>-0.03</v>
      </c>
      <c r="G122" s="99" t="s">
        <v>60</v>
      </c>
      <c r="H122" s="101"/>
      <c r="I122" s="101"/>
      <c r="J122" s="101"/>
      <c r="K122" s="102" t="str">
        <f t="shared" si="13"/>
        <v xml:space="preserve"> </v>
      </c>
      <c r="L122" s="102" t="str">
        <f t="shared" si="13"/>
        <v xml:space="preserve"> </v>
      </c>
      <c r="M122" s="102" t="str">
        <f t="shared" si="13"/>
        <v xml:space="preserve"> </v>
      </c>
      <c r="N122" s="103" t="str">
        <f t="shared" si="7"/>
        <v xml:space="preserve"> </v>
      </c>
      <c r="O122" s="104" t="str">
        <f t="shared" si="8"/>
        <v xml:space="preserve"> </v>
      </c>
      <c r="P122" s="105" t="str">
        <f t="shared" si="9"/>
        <v xml:space="preserve"> </v>
      </c>
      <c r="Q122" s="103" t="str">
        <f t="shared" si="10"/>
        <v/>
      </c>
      <c r="R122" s="103" t="str">
        <f t="shared" si="11"/>
        <v/>
      </c>
      <c r="S122" s="106"/>
    </row>
    <row r="123" spans="1:19" ht="18" customHeight="1">
      <c r="A123" s="95"/>
      <c r="B123" s="96" t="s">
        <v>149</v>
      </c>
      <c r="C123" s="99" t="s">
        <v>62</v>
      </c>
      <c r="D123" s="98">
        <v>0.89500000000000002</v>
      </c>
      <c r="E123" s="98">
        <v>0.03</v>
      </c>
      <c r="F123" s="98">
        <v>-0.03</v>
      </c>
      <c r="G123" s="99" t="s">
        <v>60</v>
      </c>
      <c r="H123" s="101"/>
      <c r="I123" s="101"/>
      <c r="J123" s="101"/>
      <c r="K123" s="102" t="str">
        <f t="shared" si="13"/>
        <v xml:space="preserve"> </v>
      </c>
      <c r="L123" s="102" t="str">
        <f t="shared" si="13"/>
        <v xml:space="preserve"> </v>
      </c>
      <c r="M123" s="102" t="str">
        <f t="shared" si="13"/>
        <v xml:space="preserve"> </v>
      </c>
      <c r="N123" s="103" t="str">
        <f t="shared" si="7"/>
        <v xml:space="preserve"> </v>
      </c>
      <c r="O123" s="104" t="str">
        <f t="shared" si="8"/>
        <v xml:space="preserve"> </v>
      </c>
      <c r="P123" s="105" t="str">
        <f t="shared" si="9"/>
        <v xml:space="preserve"> </v>
      </c>
      <c r="Q123" s="103" t="str">
        <f t="shared" si="10"/>
        <v/>
      </c>
      <c r="R123" s="103" t="str">
        <f t="shared" si="11"/>
        <v/>
      </c>
      <c r="S123" s="106"/>
    </row>
    <row r="124" spans="1:19" ht="18" customHeight="1">
      <c r="A124" s="95"/>
      <c r="B124" s="96" t="s">
        <v>150</v>
      </c>
      <c r="C124" s="99" t="s">
        <v>62</v>
      </c>
      <c r="D124" s="98">
        <v>5.96</v>
      </c>
      <c r="E124" s="98">
        <v>0.03</v>
      </c>
      <c r="F124" s="98">
        <v>-0.03</v>
      </c>
      <c r="G124" s="99" t="s">
        <v>60</v>
      </c>
      <c r="H124" s="101"/>
      <c r="I124" s="101"/>
      <c r="J124" s="101"/>
      <c r="K124" s="102" t="str">
        <f t="shared" si="13"/>
        <v xml:space="preserve"> </v>
      </c>
      <c r="L124" s="102" t="str">
        <f t="shared" si="13"/>
        <v xml:space="preserve"> </v>
      </c>
      <c r="M124" s="102" t="str">
        <f t="shared" si="13"/>
        <v xml:space="preserve"> </v>
      </c>
      <c r="N124" s="103" t="str">
        <f t="shared" si="7"/>
        <v xml:space="preserve"> </v>
      </c>
      <c r="O124" s="104" t="str">
        <f t="shared" si="8"/>
        <v xml:space="preserve"> </v>
      </c>
      <c r="P124" s="105" t="str">
        <f t="shared" si="9"/>
        <v xml:space="preserve"> </v>
      </c>
      <c r="Q124" s="103" t="str">
        <f t="shared" si="10"/>
        <v/>
      </c>
      <c r="R124" s="103" t="str">
        <f t="shared" si="11"/>
        <v/>
      </c>
      <c r="S124" s="106"/>
    </row>
    <row r="125" spans="1:19" ht="18" customHeight="1">
      <c r="A125" s="95"/>
      <c r="B125" s="96" t="s">
        <v>151</v>
      </c>
      <c r="C125" s="99" t="s">
        <v>62</v>
      </c>
      <c r="D125" s="98">
        <v>1.5049999999999999</v>
      </c>
      <c r="E125" s="98">
        <v>0.03</v>
      </c>
      <c r="F125" s="98">
        <v>-0.03</v>
      </c>
      <c r="G125" s="99" t="s">
        <v>60</v>
      </c>
      <c r="H125" s="101"/>
      <c r="I125" s="101"/>
      <c r="J125" s="101"/>
      <c r="K125" s="102" t="str">
        <f t="shared" si="13"/>
        <v xml:space="preserve"> </v>
      </c>
      <c r="L125" s="102" t="str">
        <f t="shared" si="13"/>
        <v xml:space="preserve"> </v>
      </c>
      <c r="M125" s="102" t="str">
        <f t="shared" si="13"/>
        <v xml:space="preserve"> </v>
      </c>
      <c r="N125" s="103" t="str">
        <f t="shared" si="7"/>
        <v xml:space="preserve"> </v>
      </c>
      <c r="O125" s="104" t="str">
        <f t="shared" si="8"/>
        <v xml:space="preserve"> </v>
      </c>
      <c r="P125" s="105" t="str">
        <f t="shared" si="9"/>
        <v xml:space="preserve"> </v>
      </c>
      <c r="Q125" s="103" t="str">
        <f t="shared" si="10"/>
        <v/>
      </c>
      <c r="R125" s="103" t="str">
        <f t="shared" si="11"/>
        <v/>
      </c>
      <c r="S125" s="106"/>
    </row>
    <row r="126" spans="1:19" ht="18" customHeight="1">
      <c r="A126" s="95"/>
      <c r="B126" s="96" t="s">
        <v>152</v>
      </c>
      <c r="C126" s="99" t="s">
        <v>62</v>
      </c>
      <c r="D126" s="98">
        <v>1.5049999999999999</v>
      </c>
      <c r="E126" s="98">
        <v>0.03</v>
      </c>
      <c r="F126" s="98">
        <v>-0.03</v>
      </c>
      <c r="G126" s="99" t="s">
        <v>60</v>
      </c>
      <c r="H126" s="101"/>
      <c r="I126" s="101"/>
      <c r="J126" s="101"/>
      <c r="K126" s="102" t="str">
        <f t="shared" si="13"/>
        <v xml:space="preserve"> </v>
      </c>
      <c r="L126" s="102" t="str">
        <f t="shared" si="13"/>
        <v xml:space="preserve"> </v>
      </c>
      <c r="M126" s="102" t="str">
        <f t="shared" si="13"/>
        <v xml:space="preserve"> </v>
      </c>
      <c r="N126" s="103" t="str">
        <f t="shared" si="7"/>
        <v xml:space="preserve"> </v>
      </c>
      <c r="O126" s="104" t="str">
        <f t="shared" si="8"/>
        <v xml:space="preserve"> </v>
      </c>
      <c r="P126" s="105" t="str">
        <f t="shared" si="9"/>
        <v xml:space="preserve"> </v>
      </c>
      <c r="Q126" s="103" t="str">
        <f t="shared" si="10"/>
        <v/>
      </c>
      <c r="R126" s="103" t="str">
        <f t="shared" si="11"/>
        <v/>
      </c>
      <c r="S126" s="106"/>
    </row>
    <row r="127" spans="1:19" ht="18" customHeight="1">
      <c r="A127" s="95"/>
      <c r="B127" s="96" t="s">
        <v>153</v>
      </c>
      <c r="C127" s="99" t="s">
        <v>62</v>
      </c>
      <c r="D127" s="98">
        <v>14</v>
      </c>
      <c r="E127" s="98">
        <v>0.03</v>
      </c>
      <c r="F127" s="98">
        <v>-0.03</v>
      </c>
      <c r="G127" s="99" t="s">
        <v>60</v>
      </c>
      <c r="H127" s="101"/>
      <c r="I127" s="101"/>
      <c r="J127" s="101"/>
      <c r="K127" s="102" t="str">
        <f t="shared" si="13"/>
        <v xml:space="preserve"> </v>
      </c>
      <c r="L127" s="102" t="str">
        <f t="shared" si="13"/>
        <v xml:space="preserve"> </v>
      </c>
      <c r="M127" s="102" t="str">
        <f t="shared" si="13"/>
        <v xml:space="preserve"> </v>
      </c>
      <c r="N127" s="103" t="str">
        <f t="shared" si="7"/>
        <v xml:space="preserve"> </v>
      </c>
      <c r="O127" s="104" t="str">
        <f t="shared" si="8"/>
        <v xml:space="preserve"> </v>
      </c>
      <c r="P127" s="105" t="str">
        <f t="shared" si="9"/>
        <v xml:space="preserve"> </v>
      </c>
      <c r="Q127" s="103" t="str">
        <f t="shared" si="10"/>
        <v/>
      </c>
      <c r="R127" s="103" t="str">
        <f t="shared" si="11"/>
        <v/>
      </c>
      <c r="S127" s="106"/>
    </row>
    <row r="128" spans="1:19" ht="18" customHeight="1">
      <c r="A128" s="95"/>
      <c r="B128" s="96" t="s">
        <v>154</v>
      </c>
      <c r="C128" s="99" t="s">
        <v>62</v>
      </c>
      <c r="D128" s="98">
        <v>14</v>
      </c>
      <c r="E128" s="98">
        <v>0.03</v>
      </c>
      <c r="F128" s="98">
        <v>-0.03</v>
      </c>
      <c r="G128" s="99" t="s">
        <v>60</v>
      </c>
      <c r="H128" s="101"/>
      <c r="I128" s="101"/>
      <c r="J128" s="101"/>
      <c r="K128" s="102" t="str">
        <f t="shared" si="13"/>
        <v xml:space="preserve"> </v>
      </c>
      <c r="L128" s="102" t="str">
        <f t="shared" si="13"/>
        <v xml:space="preserve"> </v>
      </c>
      <c r="M128" s="102" t="str">
        <f t="shared" si="13"/>
        <v xml:space="preserve"> </v>
      </c>
      <c r="N128" s="103" t="str">
        <f t="shared" si="7"/>
        <v xml:space="preserve"> </v>
      </c>
      <c r="O128" s="104" t="str">
        <f t="shared" si="8"/>
        <v xml:space="preserve"> </v>
      </c>
      <c r="P128" s="105" t="str">
        <f t="shared" si="9"/>
        <v xml:space="preserve"> </v>
      </c>
      <c r="Q128" s="103" t="str">
        <f t="shared" si="10"/>
        <v/>
      </c>
      <c r="R128" s="103" t="str">
        <f t="shared" si="11"/>
        <v/>
      </c>
      <c r="S128" s="106"/>
    </row>
    <row r="129" spans="1:19" ht="18" customHeight="1">
      <c r="A129" s="95"/>
      <c r="B129" s="96" t="s">
        <v>155</v>
      </c>
      <c r="C129" s="99" t="s">
        <v>62</v>
      </c>
      <c r="D129" s="98">
        <v>-0.45</v>
      </c>
      <c r="E129" s="98">
        <v>0.01</v>
      </c>
      <c r="F129" s="98">
        <v>-0.01</v>
      </c>
      <c r="G129" s="99" t="s">
        <v>48</v>
      </c>
      <c r="H129" s="101"/>
      <c r="I129" s="101"/>
      <c r="J129" s="101"/>
      <c r="K129" s="102" t="str">
        <f t="shared" si="13"/>
        <v xml:space="preserve"> </v>
      </c>
      <c r="L129" s="102" t="str">
        <f t="shared" si="13"/>
        <v xml:space="preserve"> </v>
      </c>
      <c r="M129" s="102" t="str">
        <f t="shared" si="13"/>
        <v xml:space="preserve"> </v>
      </c>
      <c r="N129" s="103" t="str">
        <f t="shared" si="7"/>
        <v xml:space="preserve"> </v>
      </c>
      <c r="O129" s="104" t="str">
        <f t="shared" si="8"/>
        <v xml:space="preserve"> </v>
      </c>
      <c r="P129" s="105" t="str">
        <f t="shared" si="9"/>
        <v xml:space="preserve"> </v>
      </c>
      <c r="Q129" s="103" t="str">
        <f t="shared" si="10"/>
        <v/>
      </c>
      <c r="R129" s="103" t="str">
        <f t="shared" si="11"/>
        <v/>
      </c>
      <c r="S129" s="106"/>
    </row>
    <row r="130" spans="1:19" ht="18" customHeight="1">
      <c r="A130" s="95"/>
      <c r="B130" s="96" t="s">
        <v>156</v>
      </c>
      <c r="C130" s="99" t="s">
        <v>62</v>
      </c>
      <c r="D130" s="98"/>
      <c r="E130" s="98">
        <v>3.0000000000000001E-3</v>
      </c>
      <c r="F130" s="98">
        <v>-3.0000000000000001E-3</v>
      </c>
      <c r="G130" s="99" t="s">
        <v>48</v>
      </c>
      <c r="H130" s="101"/>
      <c r="I130" s="101"/>
      <c r="J130" s="101"/>
      <c r="K130" s="102" t="str">
        <f t="shared" si="13"/>
        <v xml:space="preserve"> </v>
      </c>
      <c r="L130" s="102" t="str">
        <f t="shared" si="13"/>
        <v xml:space="preserve"> </v>
      </c>
      <c r="M130" s="102" t="str">
        <f t="shared" si="13"/>
        <v xml:space="preserve"> </v>
      </c>
      <c r="N130" s="103" t="str">
        <f t="shared" si="7"/>
        <v xml:space="preserve"> </v>
      </c>
      <c r="O130" s="104" t="str">
        <f t="shared" si="8"/>
        <v xml:space="preserve"> </v>
      </c>
      <c r="P130" s="105" t="str">
        <f t="shared" si="9"/>
        <v xml:space="preserve"> </v>
      </c>
      <c r="Q130" s="103" t="str">
        <f t="shared" si="10"/>
        <v/>
      </c>
      <c r="R130" s="103" t="str">
        <f t="shared" si="11"/>
        <v/>
      </c>
      <c r="S130" s="106"/>
    </row>
    <row r="131" spans="1:19" ht="18" customHeight="1">
      <c r="A131" s="95"/>
      <c r="B131" s="96" t="s">
        <v>157</v>
      </c>
      <c r="C131" s="99" t="s">
        <v>62</v>
      </c>
      <c r="D131" s="98"/>
      <c r="E131" s="98">
        <v>5.0000000000000001E-3</v>
      </c>
      <c r="F131" s="98">
        <v>-5.0000000000000001E-3</v>
      </c>
      <c r="G131" s="99" t="s">
        <v>48</v>
      </c>
      <c r="H131" s="101"/>
      <c r="I131" s="101"/>
      <c r="J131" s="101"/>
      <c r="K131" s="102" t="str">
        <f t="shared" si="13"/>
        <v xml:space="preserve"> </v>
      </c>
      <c r="L131" s="102" t="str">
        <f t="shared" si="13"/>
        <v xml:space="preserve"> </v>
      </c>
      <c r="M131" s="102" t="str">
        <f t="shared" si="13"/>
        <v xml:space="preserve"> </v>
      </c>
      <c r="N131" s="103" t="str">
        <f t="shared" si="7"/>
        <v xml:space="preserve"> </v>
      </c>
      <c r="O131" s="104" t="str">
        <f t="shared" si="8"/>
        <v xml:space="preserve"> </v>
      </c>
      <c r="P131" s="105" t="str">
        <f t="shared" si="9"/>
        <v xml:space="preserve"> </v>
      </c>
      <c r="Q131" s="103" t="str">
        <f t="shared" si="10"/>
        <v/>
      </c>
      <c r="R131" s="103" t="str">
        <f t="shared" si="11"/>
        <v/>
      </c>
      <c r="S131" s="106"/>
    </row>
    <row r="132" spans="1:19" ht="18" customHeight="1">
      <c r="A132" s="95"/>
      <c r="B132" s="110" t="s">
        <v>158</v>
      </c>
      <c r="C132" s="99" t="s">
        <v>62</v>
      </c>
      <c r="D132" s="98"/>
      <c r="E132" s="98">
        <v>6.0000000000000001E-3</v>
      </c>
      <c r="F132" s="98">
        <v>-6.0000000000000001E-3</v>
      </c>
      <c r="G132" s="99" t="s">
        <v>48</v>
      </c>
      <c r="H132" s="101"/>
      <c r="I132" s="101"/>
      <c r="J132" s="101"/>
      <c r="K132" s="102" t="str">
        <f t="shared" si="13"/>
        <v xml:space="preserve"> </v>
      </c>
      <c r="L132" s="102" t="str">
        <f t="shared" si="13"/>
        <v xml:space="preserve"> </v>
      </c>
      <c r="M132" s="102" t="str">
        <f t="shared" si="13"/>
        <v xml:space="preserve"> </v>
      </c>
      <c r="N132" s="103" t="str">
        <f t="shared" si="7"/>
        <v xml:space="preserve"> </v>
      </c>
      <c r="O132" s="104" t="str">
        <f t="shared" si="8"/>
        <v xml:space="preserve"> </v>
      </c>
      <c r="P132" s="105" t="str">
        <f t="shared" si="9"/>
        <v xml:space="preserve"> </v>
      </c>
      <c r="Q132" s="103" t="str">
        <f t="shared" si="10"/>
        <v/>
      </c>
      <c r="R132" s="103" t="str">
        <f t="shared" si="11"/>
        <v/>
      </c>
      <c r="S132" s="106"/>
    </row>
    <row r="133" spans="1:19" ht="18" customHeight="1">
      <c r="A133" s="95"/>
      <c r="B133" s="110" t="s">
        <v>159</v>
      </c>
      <c r="C133" s="99" t="s">
        <v>62</v>
      </c>
      <c r="D133" s="98"/>
      <c r="E133" s="98">
        <v>7.0000000000000001E-3</v>
      </c>
      <c r="F133" s="98">
        <v>-7.0000000000000001E-3</v>
      </c>
      <c r="G133" s="99" t="s">
        <v>48</v>
      </c>
      <c r="H133" s="101"/>
      <c r="I133" s="101"/>
      <c r="J133" s="101"/>
      <c r="K133" s="102" t="str">
        <f t="shared" si="13"/>
        <v xml:space="preserve"> </v>
      </c>
      <c r="L133" s="102" t="str">
        <f t="shared" si="13"/>
        <v xml:space="preserve"> </v>
      </c>
      <c r="M133" s="102" t="str">
        <f t="shared" si="13"/>
        <v xml:space="preserve"> </v>
      </c>
      <c r="N133" s="103" t="str">
        <f t="shared" si="7"/>
        <v xml:space="preserve"> </v>
      </c>
      <c r="O133" s="104" t="str">
        <f t="shared" si="8"/>
        <v xml:space="preserve"> </v>
      </c>
      <c r="P133" s="105" t="str">
        <f t="shared" si="9"/>
        <v xml:space="preserve"> </v>
      </c>
      <c r="Q133" s="103" t="str">
        <f t="shared" si="10"/>
        <v/>
      </c>
      <c r="R133" s="103" t="str">
        <f t="shared" si="11"/>
        <v/>
      </c>
      <c r="S133" s="106"/>
    </row>
    <row r="134" spans="1:19" ht="18" customHeight="1">
      <c r="A134" s="95"/>
      <c r="B134" s="110" t="s">
        <v>160</v>
      </c>
      <c r="C134" s="99" t="s">
        <v>62</v>
      </c>
      <c r="D134" s="98"/>
      <c r="E134" s="98">
        <v>0.01</v>
      </c>
      <c r="F134" s="98">
        <v>-0.01</v>
      </c>
      <c r="G134" s="99" t="s">
        <v>48</v>
      </c>
      <c r="H134" s="101"/>
      <c r="I134" s="101"/>
      <c r="J134" s="101"/>
      <c r="K134" s="102" t="str">
        <f t="shared" si="13"/>
        <v xml:space="preserve"> </v>
      </c>
      <c r="L134" s="102" t="str">
        <f t="shared" si="13"/>
        <v xml:space="preserve"> </v>
      </c>
      <c r="M134" s="102" t="str">
        <f t="shared" si="13"/>
        <v xml:space="preserve"> </v>
      </c>
      <c r="N134" s="103" t="str">
        <f t="shared" si="7"/>
        <v xml:space="preserve"> </v>
      </c>
      <c r="O134" s="104" t="str">
        <f t="shared" si="8"/>
        <v xml:space="preserve"> </v>
      </c>
      <c r="P134" s="105" t="str">
        <f t="shared" si="9"/>
        <v xml:space="preserve"> </v>
      </c>
      <c r="Q134" s="103" t="str">
        <f t="shared" si="10"/>
        <v/>
      </c>
      <c r="R134" s="103" t="str">
        <f t="shared" si="11"/>
        <v/>
      </c>
      <c r="S134" s="106"/>
    </row>
    <row r="135" spans="1:19" ht="18" customHeight="1">
      <c r="A135" s="95"/>
      <c r="B135" s="110" t="s">
        <v>161</v>
      </c>
      <c r="C135" s="111" t="s">
        <v>62</v>
      </c>
      <c r="D135" s="112">
        <v>-0.45</v>
      </c>
      <c r="E135" s="112">
        <v>0.01</v>
      </c>
      <c r="F135" s="112">
        <v>-0.01</v>
      </c>
      <c r="G135" s="111" t="s">
        <v>48</v>
      </c>
      <c r="H135" s="101"/>
      <c r="I135" s="101"/>
      <c r="J135" s="101"/>
      <c r="K135" s="102" t="str">
        <f t="shared" si="13"/>
        <v xml:space="preserve"> </v>
      </c>
      <c r="L135" s="102" t="str">
        <f t="shared" si="13"/>
        <v xml:space="preserve"> </v>
      </c>
      <c r="M135" s="102" t="str">
        <f t="shared" si="13"/>
        <v xml:space="preserve"> </v>
      </c>
      <c r="N135" s="103" t="str">
        <f t="shared" si="7"/>
        <v xml:space="preserve"> </v>
      </c>
      <c r="O135" s="104" t="str">
        <f t="shared" si="8"/>
        <v xml:space="preserve"> </v>
      </c>
      <c r="P135" s="105" t="str">
        <f t="shared" si="9"/>
        <v xml:space="preserve"> </v>
      </c>
      <c r="Q135" s="103" t="str">
        <f t="shared" si="10"/>
        <v/>
      </c>
      <c r="R135" s="103" t="str">
        <f t="shared" si="11"/>
        <v/>
      </c>
      <c r="S135" s="113"/>
    </row>
    <row r="136" spans="1:19" ht="18" customHeight="1">
      <c r="A136" s="95"/>
      <c r="B136" s="110" t="s">
        <v>162</v>
      </c>
      <c r="C136" s="114" t="s">
        <v>62</v>
      </c>
      <c r="D136" s="100"/>
      <c r="E136" s="98">
        <v>3.0000000000000001E-3</v>
      </c>
      <c r="F136" s="98">
        <v>-3.0000000000000001E-3</v>
      </c>
      <c r="G136" s="114" t="s">
        <v>48</v>
      </c>
      <c r="H136" s="101"/>
      <c r="I136" s="101"/>
      <c r="J136" s="101"/>
      <c r="K136" s="102" t="str">
        <f t="shared" si="13"/>
        <v xml:space="preserve"> </v>
      </c>
      <c r="L136" s="102" t="str">
        <f t="shared" si="13"/>
        <v xml:space="preserve"> </v>
      </c>
      <c r="M136" s="102" t="str">
        <f t="shared" si="13"/>
        <v xml:space="preserve"> </v>
      </c>
      <c r="N136" s="103" t="str">
        <f t="shared" si="7"/>
        <v xml:space="preserve"> </v>
      </c>
      <c r="O136" s="104" t="str">
        <f t="shared" si="8"/>
        <v xml:space="preserve"> </v>
      </c>
      <c r="P136" s="105" t="str">
        <f t="shared" si="9"/>
        <v xml:space="preserve"> </v>
      </c>
      <c r="Q136" s="103" t="str">
        <f t="shared" si="10"/>
        <v/>
      </c>
      <c r="R136" s="103" t="str">
        <f t="shared" si="11"/>
        <v/>
      </c>
      <c r="S136" s="113"/>
    </row>
    <row r="137" spans="1:19" ht="18" customHeight="1">
      <c r="A137" s="95"/>
      <c r="B137" s="110" t="s">
        <v>163</v>
      </c>
      <c r="C137" s="99" t="s">
        <v>62</v>
      </c>
      <c r="D137" s="98"/>
      <c r="E137" s="98">
        <v>5.0000000000000001E-3</v>
      </c>
      <c r="F137" s="98">
        <v>-5.0000000000000001E-3</v>
      </c>
      <c r="G137" s="99" t="s">
        <v>48</v>
      </c>
      <c r="H137" s="101"/>
      <c r="I137" s="101"/>
      <c r="J137" s="101"/>
      <c r="K137" s="102" t="str">
        <f t="shared" si="13"/>
        <v xml:space="preserve"> </v>
      </c>
      <c r="L137" s="102" t="str">
        <f t="shared" si="13"/>
        <v xml:space="preserve"> </v>
      </c>
      <c r="M137" s="102" t="str">
        <f t="shared" si="13"/>
        <v xml:space="preserve"> </v>
      </c>
      <c r="N137" s="103" t="str">
        <f t="shared" si="7"/>
        <v xml:space="preserve"> </v>
      </c>
      <c r="O137" s="104" t="str">
        <f t="shared" si="8"/>
        <v xml:space="preserve"> </v>
      </c>
      <c r="P137" s="105" t="str">
        <f t="shared" si="9"/>
        <v xml:space="preserve"> </v>
      </c>
      <c r="Q137" s="103" t="str">
        <f t="shared" si="10"/>
        <v/>
      </c>
      <c r="R137" s="103" t="str">
        <f t="shared" si="11"/>
        <v/>
      </c>
      <c r="S137" s="106"/>
    </row>
    <row r="138" spans="1:19" ht="18" customHeight="1">
      <c r="A138" s="95"/>
      <c r="B138" s="110" t="s">
        <v>164</v>
      </c>
      <c r="C138" s="99" t="s">
        <v>62</v>
      </c>
      <c r="D138" s="98"/>
      <c r="E138" s="98">
        <v>6.0000000000000001E-3</v>
      </c>
      <c r="F138" s="98">
        <v>-6.0000000000000001E-3</v>
      </c>
      <c r="G138" s="99" t="s">
        <v>48</v>
      </c>
      <c r="H138" s="101"/>
      <c r="I138" s="101"/>
      <c r="J138" s="101"/>
      <c r="K138" s="102" t="str">
        <f t="shared" si="13"/>
        <v xml:space="preserve"> </v>
      </c>
      <c r="L138" s="102" t="str">
        <f t="shared" si="13"/>
        <v xml:space="preserve"> </v>
      </c>
      <c r="M138" s="102" t="str">
        <f t="shared" si="13"/>
        <v xml:space="preserve"> </v>
      </c>
      <c r="N138" s="103" t="str">
        <f t="shared" si="7"/>
        <v xml:space="preserve"> </v>
      </c>
      <c r="O138" s="104" t="str">
        <f t="shared" si="8"/>
        <v xml:space="preserve"> </v>
      </c>
      <c r="P138" s="105" t="str">
        <f t="shared" si="9"/>
        <v xml:space="preserve"> </v>
      </c>
      <c r="Q138" s="103" t="str">
        <f t="shared" si="10"/>
        <v/>
      </c>
      <c r="R138" s="103" t="str">
        <f t="shared" si="11"/>
        <v/>
      </c>
      <c r="S138" s="106"/>
    </row>
    <row r="139" spans="1:19" ht="18" customHeight="1">
      <c r="A139" s="95"/>
      <c r="B139" s="110" t="s">
        <v>165</v>
      </c>
      <c r="C139" s="99" t="s">
        <v>62</v>
      </c>
      <c r="D139" s="98"/>
      <c r="E139" s="98">
        <v>7.0000000000000001E-3</v>
      </c>
      <c r="F139" s="98">
        <v>-7.0000000000000001E-3</v>
      </c>
      <c r="G139" s="99" t="s">
        <v>48</v>
      </c>
      <c r="H139" s="101"/>
      <c r="I139" s="101"/>
      <c r="J139" s="101"/>
      <c r="K139" s="102" t="str">
        <f t="shared" ref="K139:M152" si="14">IF(ISERR(H139/H139)=TRUE," ",H139-$D139)</f>
        <v xml:space="preserve"> </v>
      </c>
      <c r="L139" s="102" t="str">
        <f t="shared" si="14"/>
        <v xml:space="preserve"> </v>
      </c>
      <c r="M139" s="102" t="str">
        <f t="shared" si="14"/>
        <v xml:space="preserve"> </v>
      </c>
      <c r="N139" s="103" t="str">
        <f t="shared" si="7"/>
        <v xml:space="preserve"> </v>
      </c>
      <c r="O139" s="104" t="str">
        <f t="shared" si="8"/>
        <v xml:space="preserve"> </v>
      </c>
      <c r="P139" s="105" t="str">
        <f t="shared" si="9"/>
        <v xml:space="preserve"> </v>
      </c>
      <c r="Q139" s="103" t="str">
        <f t="shared" si="10"/>
        <v/>
      </c>
      <c r="R139" s="103" t="str">
        <f t="shared" si="11"/>
        <v/>
      </c>
      <c r="S139" s="106"/>
    </row>
    <row r="140" spans="1:19" ht="18" customHeight="1">
      <c r="A140" s="95"/>
      <c r="B140" s="110" t="s">
        <v>166</v>
      </c>
      <c r="C140" s="99" t="s">
        <v>62</v>
      </c>
      <c r="D140" s="98"/>
      <c r="E140" s="98">
        <v>0.01</v>
      </c>
      <c r="F140" s="98">
        <v>-0.01</v>
      </c>
      <c r="G140" s="99" t="s">
        <v>48</v>
      </c>
      <c r="H140" s="101"/>
      <c r="I140" s="101"/>
      <c r="J140" s="101"/>
      <c r="K140" s="102" t="str">
        <f t="shared" si="14"/>
        <v xml:space="preserve"> </v>
      </c>
      <c r="L140" s="102" t="str">
        <f t="shared" si="14"/>
        <v xml:space="preserve"> </v>
      </c>
      <c r="M140" s="102" t="str">
        <f t="shared" si="14"/>
        <v xml:space="preserve"> </v>
      </c>
      <c r="N140" s="103" t="str">
        <f t="shared" si="7"/>
        <v xml:space="preserve"> </v>
      </c>
      <c r="O140" s="104" t="str">
        <f t="shared" si="8"/>
        <v xml:space="preserve"> </v>
      </c>
      <c r="P140" s="105" t="str">
        <f t="shared" si="9"/>
        <v xml:space="preserve"> </v>
      </c>
      <c r="Q140" s="103" t="str">
        <f t="shared" si="10"/>
        <v/>
      </c>
      <c r="R140" s="103" t="str">
        <f t="shared" si="11"/>
        <v/>
      </c>
      <c r="S140" s="106"/>
    </row>
    <row r="141" spans="1:19" ht="18" customHeight="1">
      <c r="A141" s="95"/>
      <c r="B141" s="110" t="s">
        <v>167</v>
      </c>
      <c r="C141" s="99" t="s">
        <v>62</v>
      </c>
      <c r="D141" s="98">
        <v>-0.45</v>
      </c>
      <c r="E141" s="98">
        <v>0.01</v>
      </c>
      <c r="F141" s="98">
        <v>-0.01</v>
      </c>
      <c r="G141" s="99" t="s">
        <v>48</v>
      </c>
      <c r="H141" s="101"/>
      <c r="I141" s="101"/>
      <c r="J141" s="101"/>
      <c r="K141" s="102" t="str">
        <f t="shared" si="14"/>
        <v xml:space="preserve"> </v>
      </c>
      <c r="L141" s="102" t="str">
        <f t="shared" si="14"/>
        <v xml:space="preserve"> </v>
      </c>
      <c r="M141" s="102" t="str">
        <f t="shared" si="14"/>
        <v xml:space="preserve"> </v>
      </c>
      <c r="N141" s="103" t="str">
        <f t="shared" si="7"/>
        <v xml:space="preserve"> </v>
      </c>
      <c r="O141" s="104" t="str">
        <f t="shared" si="8"/>
        <v xml:space="preserve"> </v>
      </c>
      <c r="P141" s="105" t="str">
        <f t="shared" si="9"/>
        <v xml:space="preserve"> </v>
      </c>
      <c r="Q141" s="103" t="str">
        <f t="shared" si="10"/>
        <v/>
      </c>
      <c r="R141" s="103" t="str">
        <f t="shared" si="11"/>
        <v/>
      </c>
      <c r="S141" s="106"/>
    </row>
    <row r="142" spans="1:19" ht="18" customHeight="1">
      <c r="A142" s="95"/>
      <c r="B142" s="110" t="s">
        <v>168</v>
      </c>
      <c r="C142" s="99" t="s">
        <v>62</v>
      </c>
      <c r="D142" s="98"/>
      <c r="E142" s="98">
        <v>2E-3</v>
      </c>
      <c r="F142" s="98">
        <v>-3.0000000000000001E-3</v>
      </c>
      <c r="G142" s="99" t="s">
        <v>48</v>
      </c>
      <c r="H142" s="101"/>
      <c r="I142" s="101"/>
      <c r="J142" s="101"/>
      <c r="K142" s="102" t="str">
        <f t="shared" si="14"/>
        <v xml:space="preserve"> </v>
      </c>
      <c r="L142" s="102" t="str">
        <f t="shared" si="14"/>
        <v xml:space="preserve"> </v>
      </c>
      <c r="M142" s="102" t="str">
        <f t="shared" si="14"/>
        <v xml:space="preserve"> </v>
      </c>
      <c r="N142" s="103" t="str">
        <f t="shared" si="7"/>
        <v xml:space="preserve"> </v>
      </c>
      <c r="O142" s="104" t="str">
        <f t="shared" si="8"/>
        <v xml:space="preserve"> </v>
      </c>
      <c r="P142" s="105" t="str">
        <f t="shared" si="9"/>
        <v xml:space="preserve"> </v>
      </c>
      <c r="Q142" s="103" t="str">
        <f t="shared" si="10"/>
        <v/>
      </c>
      <c r="R142" s="103" t="str">
        <f t="shared" si="11"/>
        <v/>
      </c>
      <c r="S142" s="106"/>
    </row>
    <row r="143" spans="1:19" ht="18" customHeight="1">
      <c r="A143" s="95"/>
      <c r="B143" s="110" t="s">
        <v>169</v>
      </c>
      <c r="C143" s="99" t="s">
        <v>62</v>
      </c>
      <c r="D143" s="98"/>
      <c r="E143" s="98">
        <v>2E-3</v>
      </c>
      <c r="F143" s="98">
        <v>-5.0000000000000001E-3</v>
      </c>
      <c r="G143" s="99" t="s">
        <v>48</v>
      </c>
      <c r="H143" s="101"/>
      <c r="I143" s="101"/>
      <c r="J143" s="101"/>
      <c r="K143" s="102" t="str">
        <f t="shared" si="14"/>
        <v xml:space="preserve"> </v>
      </c>
      <c r="L143" s="102" t="str">
        <f t="shared" si="14"/>
        <v xml:space="preserve"> </v>
      </c>
      <c r="M143" s="102" t="str">
        <f t="shared" si="14"/>
        <v xml:space="preserve"> </v>
      </c>
      <c r="N143" s="103" t="str">
        <f t="shared" si="7"/>
        <v xml:space="preserve"> </v>
      </c>
      <c r="O143" s="104" t="str">
        <f t="shared" si="8"/>
        <v xml:space="preserve"> </v>
      </c>
      <c r="P143" s="105" t="str">
        <f t="shared" si="9"/>
        <v xml:space="preserve"> </v>
      </c>
      <c r="Q143" s="103" t="str">
        <f t="shared" si="10"/>
        <v/>
      </c>
      <c r="R143" s="103" t="str">
        <f t="shared" si="11"/>
        <v/>
      </c>
      <c r="S143" s="106"/>
    </row>
    <row r="144" spans="1:19" ht="18" customHeight="1">
      <c r="A144" s="95"/>
      <c r="B144" s="96" t="s">
        <v>170</v>
      </c>
      <c r="C144" s="99" t="s">
        <v>62</v>
      </c>
      <c r="D144" s="98"/>
      <c r="E144" s="98">
        <v>2E-3</v>
      </c>
      <c r="F144" s="98">
        <v>-8.0000000000000002E-3</v>
      </c>
      <c r="G144" s="99" t="s">
        <v>48</v>
      </c>
      <c r="H144" s="101"/>
      <c r="I144" s="101"/>
      <c r="J144" s="101"/>
      <c r="K144" s="102" t="str">
        <f t="shared" si="14"/>
        <v xml:space="preserve"> </v>
      </c>
      <c r="L144" s="102" t="str">
        <f t="shared" si="14"/>
        <v xml:space="preserve"> </v>
      </c>
      <c r="M144" s="102" t="str">
        <f t="shared" si="14"/>
        <v xml:space="preserve"> </v>
      </c>
      <c r="N144" s="103" t="str">
        <f t="shared" si="7"/>
        <v xml:space="preserve"> </v>
      </c>
      <c r="O144" s="104" t="str">
        <f t="shared" si="8"/>
        <v xml:space="preserve"> </v>
      </c>
      <c r="P144" s="105" t="str">
        <f t="shared" si="9"/>
        <v xml:space="preserve"> </v>
      </c>
      <c r="Q144" s="103" t="str">
        <f t="shared" si="10"/>
        <v/>
      </c>
      <c r="R144" s="103" t="str">
        <f t="shared" si="11"/>
        <v/>
      </c>
      <c r="S144" s="106"/>
    </row>
    <row r="145" spans="1:19" ht="18" customHeight="1">
      <c r="A145" s="95"/>
      <c r="B145" s="96" t="s">
        <v>171</v>
      </c>
      <c r="C145" s="99" t="s">
        <v>62</v>
      </c>
      <c r="D145" s="98"/>
      <c r="E145" s="98">
        <v>4.0000000000000001E-3</v>
      </c>
      <c r="F145" s="98">
        <v>-0.01</v>
      </c>
      <c r="G145" s="99" t="s">
        <v>48</v>
      </c>
      <c r="H145" s="101"/>
      <c r="I145" s="101"/>
      <c r="J145" s="101"/>
      <c r="K145" s="102" t="str">
        <f t="shared" si="14"/>
        <v xml:space="preserve"> </v>
      </c>
      <c r="L145" s="102" t="str">
        <f t="shared" si="14"/>
        <v xml:space="preserve"> </v>
      </c>
      <c r="M145" s="102" t="str">
        <f t="shared" si="14"/>
        <v xml:space="preserve"> </v>
      </c>
      <c r="N145" s="103" t="str">
        <f t="shared" si="7"/>
        <v xml:space="preserve"> </v>
      </c>
      <c r="O145" s="104" t="str">
        <f t="shared" si="8"/>
        <v xml:space="preserve"> </v>
      </c>
      <c r="P145" s="105" t="str">
        <f t="shared" si="9"/>
        <v xml:space="preserve"> </v>
      </c>
      <c r="Q145" s="103" t="str">
        <f t="shared" si="10"/>
        <v/>
      </c>
      <c r="R145" s="103" t="str">
        <f t="shared" si="11"/>
        <v/>
      </c>
      <c r="S145" s="106"/>
    </row>
    <row r="146" spans="1:19" ht="18" customHeight="1">
      <c r="A146" s="95"/>
      <c r="B146" s="96" t="s">
        <v>172</v>
      </c>
      <c r="C146" s="99" t="s">
        <v>62</v>
      </c>
      <c r="D146" s="98"/>
      <c r="E146" s="98">
        <v>5.0000000000000001E-3</v>
      </c>
      <c r="F146" s="98">
        <v>-1.4999999999999999E-2</v>
      </c>
      <c r="G146" s="99" t="s">
        <v>48</v>
      </c>
      <c r="H146" s="101"/>
      <c r="I146" s="101"/>
      <c r="J146" s="101"/>
      <c r="K146" s="102" t="str">
        <f t="shared" si="14"/>
        <v xml:space="preserve"> </v>
      </c>
      <c r="L146" s="102" t="str">
        <f t="shared" si="14"/>
        <v xml:space="preserve"> </v>
      </c>
      <c r="M146" s="102" t="str">
        <f t="shared" si="14"/>
        <v xml:space="preserve"> </v>
      </c>
      <c r="N146" s="103" t="str">
        <f t="shared" si="7"/>
        <v xml:space="preserve"> </v>
      </c>
      <c r="O146" s="104" t="str">
        <f t="shared" si="8"/>
        <v xml:space="preserve"> </v>
      </c>
      <c r="P146" s="105" t="str">
        <f t="shared" si="9"/>
        <v xml:space="preserve"> </v>
      </c>
      <c r="Q146" s="103" t="str">
        <f t="shared" si="10"/>
        <v/>
      </c>
      <c r="R146" s="103" t="str">
        <f t="shared" si="11"/>
        <v/>
      </c>
      <c r="S146" s="106"/>
    </row>
    <row r="147" spans="1:19" ht="18" customHeight="1">
      <c r="A147" s="95"/>
      <c r="B147" s="96" t="s">
        <v>173</v>
      </c>
      <c r="C147" s="99" t="s">
        <v>62</v>
      </c>
      <c r="D147" s="98">
        <v>-0.45</v>
      </c>
      <c r="E147" s="98">
        <v>0.01</v>
      </c>
      <c r="F147" s="98">
        <v>-0.01</v>
      </c>
      <c r="G147" s="99" t="s">
        <v>48</v>
      </c>
      <c r="H147" s="101"/>
      <c r="I147" s="101"/>
      <c r="J147" s="101"/>
      <c r="K147" s="102" t="str">
        <f t="shared" si="14"/>
        <v xml:space="preserve"> </v>
      </c>
      <c r="L147" s="102" t="str">
        <f t="shared" si="14"/>
        <v xml:space="preserve"> </v>
      </c>
      <c r="M147" s="102" t="str">
        <f t="shared" si="14"/>
        <v xml:space="preserve"> </v>
      </c>
      <c r="N147" s="103" t="str">
        <f t="shared" si="7"/>
        <v xml:space="preserve"> </v>
      </c>
      <c r="O147" s="104" t="str">
        <f t="shared" si="8"/>
        <v xml:space="preserve"> </v>
      </c>
      <c r="P147" s="105" t="str">
        <f t="shared" si="9"/>
        <v xml:space="preserve"> </v>
      </c>
      <c r="Q147" s="103" t="str">
        <f t="shared" si="10"/>
        <v/>
      </c>
      <c r="R147" s="103" t="str">
        <f t="shared" si="11"/>
        <v/>
      </c>
      <c r="S147" s="106"/>
    </row>
    <row r="148" spans="1:19" ht="18" customHeight="1">
      <c r="A148" s="95"/>
      <c r="B148" s="96" t="s">
        <v>174</v>
      </c>
      <c r="C148" s="99" t="s">
        <v>62</v>
      </c>
      <c r="D148" s="98"/>
      <c r="E148" s="98">
        <v>2E-3</v>
      </c>
      <c r="F148" s="98">
        <v>-3.0000000000000001E-3</v>
      </c>
      <c r="G148" s="99" t="s">
        <v>48</v>
      </c>
      <c r="H148" s="101"/>
      <c r="I148" s="101"/>
      <c r="J148" s="101"/>
      <c r="K148" s="102" t="str">
        <f t="shared" si="14"/>
        <v xml:space="preserve"> </v>
      </c>
      <c r="L148" s="102" t="str">
        <f t="shared" si="14"/>
        <v xml:space="preserve"> </v>
      </c>
      <c r="M148" s="102" t="str">
        <f t="shared" si="14"/>
        <v xml:space="preserve"> </v>
      </c>
      <c r="N148" s="103" t="str">
        <f t="shared" si="7"/>
        <v xml:space="preserve"> </v>
      </c>
      <c r="O148" s="104" t="str">
        <f t="shared" si="8"/>
        <v xml:space="preserve"> </v>
      </c>
      <c r="P148" s="105" t="str">
        <f t="shared" si="9"/>
        <v xml:space="preserve"> </v>
      </c>
      <c r="Q148" s="103" t="str">
        <f t="shared" si="10"/>
        <v/>
      </c>
      <c r="R148" s="103" t="str">
        <f t="shared" si="11"/>
        <v/>
      </c>
      <c r="S148" s="106"/>
    </row>
    <row r="149" spans="1:19" ht="18" customHeight="1">
      <c r="A149" s="95"/>
      <c r="B149" s="96" t="s">
        <v>175</v>
      </c>
      <c r="C149" s="99" t="s">
        <v>62</v>
      </c>
      <c r="D149" s="98"/>
      <c r="E149" s="98">
        <v>2E-3</v>
      </c>
      <c r="F149" s="98">
        <v>-5.0000000000000001E-3</v>
      </c>
      <c r="G149" s="99" t="s">
        <v>48</v>
      </c>
      <c r="H149" s="101"/>
      <c r="I149" s="101"/>
      <c r="J149" s="101"/>
      <c r="K149" s="102" t="str">
        <f t="shared" si="14"/>
        <v xml:space="preserve"> </v>
      </c>
      <c r="L149" s="102" t="str">
        <f t="shared" si="14"/>
        <v xml:space="preserve"> </v>
      </c>
      <c r="M149" s="102" t="str">
        <f t="shared" si="14"/>
        <v xml:space="preserve"> </v>
      </c>
      <c r="N149" s="103" t="str">
        <f t="shared" si="7"/>
        <v xml:space="preserve"> </v>
      </c>
      <c r="O149" s="104" t="str">
        <f t="shared" si="8"/>
        <v xml:space="preserve"> </v>
      </c>
      <c r="P149" s="105" t="str">
        <f t="shared" si="9"/>
        <v xml:space="preserve"> </v>
      </c>
      <c r="Q149" s="103" t="str">
        <f t="shared" si="10"/>
        <v/>
      </c>
      <c r="R149" s="103" t="str">
        <f t="shared" si="11"/>
        <v/>
      </c>
      <c r="S149" s="106"/>
    </row>
    <row r="150" spans="1:19" ht="18" customHeight="1">
      <c r="A150" s="95"/>
      <c r="B150" s="96" t="s">
        <v>176</v>
      </c>
      <c r="C150" s="99" t="s">
        <v>62</v>
      </c>
      <c r="D150" s="98"/>
      <c r="E150" s="98">
        <v>2E-3</v>
      </c>
      <c r="F150" s="98">
        <v>-8.0000000000000002E-3</v>
      </c>
      <c r="G150" s="99" t="s">
        <v>48</v>
      </c>
      <c r="H150" s="101"/>
      <c r="I150" s="101"/>
      <c r="J150" s="101"/>
      <c r="K150" s="102" t="str">
        <f t="shared" si="14"/>
        <v xml:space="preserve"> </v>
      </c>
      <c r="L150" s="102" t="str">
        <f t="shared" si="14"/>
        <v xml:space="preserve"> </v>
      </c>
      <c r="M150" s="102" t="str">
        <f t="shared" si="14"/>
        <v xml:space="preserve"> </v>
      </c>
      <c r="N150" s="103" t="str">
        <f t="shared" si="7"/>
        <v xml:space="preserve"> </v>
      </c>
      <c r="O150" s="104" t="str">
        <f t="shared" si="8"/>
        <v xml:space="preserve"> </v>
      </c>
      <c r="P150" s="105" t="str">
        <f t="shared" si="9"/>
        <v xml:space="preserve"> </v>
      </c>
      <c r="Q150" s="103" t="str">
        <f t="shared" si="10"/>
        <v/>
      </c>
      <c r="R150" s="103" t="str">
        <f t="shared" si="11"/>
        <v/>
      </c>
      <c r="S150" s="106"/>
    </row>
    <row r="151" spans="1:19" ht="18" customHeight="1">
      <c r="A151" s="95"/>
      <c r="B151" s="96" t="s">
        <v>177</v>
      </c>
      <c r="C151" s="99" t="s">
        <v>62</v>
      </c>
      <c r="D151" s="98"/>
      <c r="E151" s="98">
        <v>4.0000000000000001E-3</v>
      </c>
      <c r="F151" s="98">
        <v>-0.01</v>
      </c>
      <c r="G151" s="99" t="s">
        <v>48</v>
      </c>
      <c r="H151" s="101"/>
      <c r="I151" s="101"/>
      <c r="J151" s="101"/>
      <c r="K151" s="102" t="str">
        <f t="shared" si="14"/>
        <v xml:space="preserve"> </v>
      </c>
      <c r="L151" s="102" t="str">
        <f t="shared" si="14"/>
        <v xml:space="preserve"> </v>
      </c>
      <c r="M151" s="102" t="str">
        <f t="shared" si="14"/>
        <v xml:space="preserve"> </v>
      </c>
      <c r="N151" s="103" t="str">
        <f t="shared" si="7"/>
        <v xml:space="preserve"> </v>
      </c>
      <c r="O151" s="104" t="str">
        <f t="shared" si="8"/>
        <v xml:space="preserve"> </v>
      </c>
      <c r="P151" s="105" t="str">
        <f t="shared" si="9"/>
        <v xml:space="preserve"> </v>
      </c>
      <c r="Q151" s="103" t="str">
        <f t="shared" si="10"/>
        <v/>
      </c>
      <c r="R151" s="103" t="str">
        <f t="shared" si="11"/>
        <v/>
      </c>
      <c r="S151" s="106"/>
    </row>
    <row r="152" spans="1:19" ht="18" customHeight="1">
      <c r="A152" s="95"/>
      <c r="B152" s="96" t="s">
        <v>178</v>
      </c>
      <c r="C152" s="99" t="s">
        <v>62</v>
      </c>
      <c r="D152" s="98"/>
      <c r="E152" s="98">
        <v>5.0000000000000001E-3</v>
      </c>
      <c r="F152" s="98">
        <v>-1.4999999999999999E-2</v>
      </c>
      <c r="G152" s="99" t="s">
        <v>48</v>
      </c>
      <c r="H152" s="101"/>
      <c r="I152" s="101"/>
      <c r="J152" s="101"/>
      <c r="K152" s="102" t="str">
        <f t="shared" si="14"/>
        <v xml:space="preserve"> </v>
      </c>
      <c r="L152" s="102" t="str">
        <f t="shared" si="14"/>
        <v xml:space="preserve"> </v>
      </c>
      <c r="M152" s="102" t="str">
        <f t="shared" si="14"/>
        <v xml:space="preserve"> </v>
      </c>
      <c r="N152" s="103" t="str">
        <f t="shared" si="7"/>
        <v xml:space="preserve"> </v>
      </c>
      <c r="O152" s="104" t="str">
        <f t="shared" si="8"/>
        <v xml:space="preserve"> </v>
      </c>
      <c r="P152" s="105" t="str">
        <f t="shared" si="9"/>
        <v xml:space="preserve"> </v>
      </c>
      <c r="Q152" s="103" t="str">
        <f t="shared" si="10"/>
        <v/>
      </c>
      <c r="R152" s="103" t="str">
        <f t="shared" si="11"/>
        <v/>
      </c>
      <c r="S152" s="106"/>
    </row>
    <row r="153" spans="1:19" ht="18" customHeight="1">
      <c r="A153" s="95"/>
    </row>
    <row r="154" spans="1:19" ht="18" customHeight="1">
      <c r="A154" s="95"/>
    </row>
    <row r="155" spans="1:19" ht="18" customHeight="1">
      <c r="A155" s="95"/>
    </row>
    <row r="156" spans="1:19" ht="18" customHeight="1">
      <c r="A156" s="95"/>
    </row>
    <row r="157" spans="1:19" ht="18" customHeight="1">
      <c r="A157" s="95"/>
    </row>
    <row r="158" spans="1:19" ht="18" customHeight="1">
      <c r="A158" s="95"/>
    </row>
    <row r="159" spans="1:19" ht="18" customHeight="1">
      <c r="A159" s="95"/>
    </row>
    <row r="160" spans="1:19" ht="18" customHeight="1">
      <c r="A160" s="95"/>
    </row>
    <row r="161" spans="1:1" ht="18" customHeight="1">
      <c r="A161" s="95"/>
    </row>
  </sheetData>
  <mergeCells count="14">
    <mergeCell ref="G4:G5"/>
    <mergeCell ref="H4:J4"/>
    <mergeCell ref="K4:M4"/>
    <mergeCell ref="N4:N5"/>
    <mergeCell ref="A1:S1"/>
    <mergeCell ref="B3:G3"/>
    <mergeCell ref="H3:M3"/>
    <mergeCell ref="N3:R3"/>
    <mergeCell ref="S3:S5"/>
    <mergeCell ref="B4:B5"/>
    <mergeCell ref="C4:C5"/>
    <mergeCell ref="D4:D5"/>
    <mergeCell ref="E4:E5"/>
    <mergeCell ref="F4:F5"/>
  </mergeCells>
  <phoneticPr fontId="11" type="noConversion"/>
  <conditionalFormatting sqref="H6:J9">
    <cfRule type="cellIs" dxfId="104" priority="43" operator="greaterThan">
      <formula>0.015</formula>
    </cfRule>
  </conditionalFormatting>
  <conditionalFormatting sqref="H10:J13">
    <cfRule type="cellIs" dxfId="103" priority="42" operator="greaterThan">
      <formula>0.008</formula>
    </cfRule>
  </conditionalFormatting>
  <conditionalFormatting sqref="H14:J14">
    <cfRule type="cellIs" dxfId="102" priority="41" operator="greaterThan">
      <formula>0.03</formula>
    </cfRule>
  </conditionalFormatting>
  <conditionalFormatting sqref="H15:J17">
    <cfRule type="cellIs" dxfId="101" priority="30" operator="lessThan">
      <formula>$D$15+$F$15</formula>
    </cfRule>
    <cfRule type="cellIs" dxfId="100" priority="31" operator="greaterThan">
      <formula>$D$15+$E$15</formula>
    </cfRule>
  </conditionalFormatting>
  <conditionalFormatting sqref="H18:J20">
    <cfRule type="cellIs" dxfId="99" priority="28" operator="lessThan">
      <formula>$D$18+$F$18</formula>
    </cfRule>
    <cfRule type="cellIs" dxfId="98" priority="29" operator="greaterThan">
      <formula>$D$18+$E$18</formula>
    </cfRule>
  </conditionalFormatting>
  <conditionalFormatting sqref="H21:J22">
    <cfRule type="cellIs" dxfId="97" priority="35" operator="lessThan">
      <formula>$D$21+$F$21</formula>
    </cfRule>
    <cfRule type="cellIs" dxfId="96" priority="36" operator="greaterThan">
      <formula>$D$21+$E$21</formula>
    </cfRule>
  </conditionalFormatting>
  <conditionalFormatting sqref="H23:J28">
    <cfRule type="cellIs" dxfId="95" priority="33" operator="lessThan">
      <formula>$D$23+$F$23</formula>
    </cfRule>
    <cfRule type="cellIs" dxfId="94" priority="34" operator="greaterThan">
      <formula>$D$23+$E$23</formula>
    </cfRule>
  </conditionalFormatting>
  <conditionalFormatting sqref="H29:J29">
    <cfRule type="cellIs" dxfId="93" priority="32" operator="greaterThan">
      <formula>0.03</formula>
    </cfRule>
  </conditionalFormatting>
  <conditionalFormatting sqref="H30:J33">
    <cfRule type="cellIs" dxfId="92" priority="26" operator="lessThan">
      <formula>$D$30+$F$30</formula>
    </cfRule>
    <cfRule type="cellIs" dxfId="91" priority="27" operator="greaterThan">
      <formula>$D$30+$E$30</formula>
    </cfRule>
  </conditionalFormatting>
  <conditionalFormatting sqref="H34:J35">
    <cfRule type="cellIs" dxfId="90" priority="24" operator="lessThan">
      <formula>$D$34+$F$34</formula>
    </cfRule>
    <cfRule type="cellIs" dxfId="89" priority="25" operator="greaterThan">
      <formula>$D$34+$E$34</formula>
    </cfRule>
  </conditionalFormatting>
  <conditionalFormatting sqref="H36:J37">
    <cfRule type="cellIs" dxfId="88" priority="22" operator="lessThan">
      <formula>$D$36+$F$36</formula>
    </cfRule>
    <cfRule type="cellIs" dxfId="87" priority="23" operator="greaterThan">
      <formula>$D$36+$E$36</formula>
    </cfRule>
  </conditionalFormatting>
  <conditionalFormatting sqref="H38:J41">
    <cfRule type="cellIs" dxfId="86" priority="20" operator="lessThan">
      <formula>$D$38+$F$38</formula>
    </cfRule>
    <cfRule type="cellIs" dxfId="85" priority="21" operator="greaterThan">
      <formula>$D$38+$E$38</formula>
    </cfRule>
  </conditionalFormatting>
  <conditionalFormatting sqref="H42:J42">
    <cfRule type="cellIs" dxfId="84" priority="18" operator="lessThan">
      <formula>$D$42+$F$42</formula>
    </cfRule>
    <cfRule type="cellIs" dxfId="83" priority="19" operator="greaterThan">
      <formula>$D$42+$E$42</formula>
    </cfRule>
  </conditionalFormatting>
  <conditionalFormatting sqref="H43:J82 H107:J152">
    <cfRule type="cellIs" dxfId="82" priority="2" operator="lessThan">
      <formula>$D43+$F43</formula>
    </cfRule>
    <cfRule type="cellIs" dxfId="81" priority="3" operator="greaterThan">
      <formula>$D43+$E43</formula>
    </cfRule>
  </conditionalFormatting>
  <conditionalFormatting sqref="H83:J106">
    <cfRule type="cellIs" dxfId="80" priority="1" operator="greaterThan">
      <formula>0.5</formula>
    </cfRule>
  </conditionalFormatting>
  <conditionalFormatting sqref="H134:J134 H140:J140">
    <cfRule type="cellIs" dxfId="79" priority="4" operator="lessThan">
      <formula>-0.007</formula>
    </cfRule>
    <cfRule type="cellIs" dxfId="78" priority="5" operator="greaterThan">
      <formula>0.003</formula>
    </cfRule>
  </conditionalFormatting>
  <conditionalFormatting sqref="H146:J146 H152:J152">
    <cfRule type="cellIs" dxfId="77" priority="16" operator="lessThan">
      <formula>-0.012</formula>
    </cfRule>
    <cfRule type="cellIs" dxfId="76" priority="17" operator="greaterThan">
      <formula>0.002</formula>
    </cfRule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C2790-0E42-664C-9C91-4CD8D5E999AB}">
  <sheetPr codeName="Sheet4"/>
  <dimension ref="A1:ECT79"/>
  <sheetViews>
    <sheetView showGridLines="0" zoomScale="55" zoomScaleNormal="55" zoomScalePageLayoutView="125" workbookViewId="0">
      <pane xSplit="12" ySplit="1" topLeftCell="AD53" activePane="bottomRight" state="frozen"/>
      <selection activeCell="J6" sqref="J6:J128"/>
      <selection pane="topRight" activeCell="J6" sqref="J6:J128"/>
      <selection pane="bottomLeft" activeCell="J6" sqref="J6:J128"/>
      <selection pane="bottomRight" activeCell="AP82" sqref="AP82"/>
    </sheetView>
  </sheetViews>
  <sheetFormatPr defaultColWidth="8.77734375" defaultRowHeight="17.25"/>
  <cols>
    <col min="1" max="1" width="0.77734375" style="16" customWidth="1"/>
    <col min="2" max="2" width="7.77734375" style="16" customWidth="1"/>
    <col min="3" max="3" width="11.21875" style="16" bestFit="1" customWidth="1"/>
    <col min="4" max="4" width="24" style="16" customWidth="1"/>
    <col min="5" max="5" width="7.77734375" style="16" customWidth="1"/>
    <col min="6" max="7" width="8.21875" style="16" customWidth="1"/>
    <col min="8" max="8" width="7.77734375" style="16" customWidth="1"/>
    <col min="9" max="9" width="7.77734375" style="16" hidden="1" customWidth="1"/>
    <col min="10" max="11" width="7.77734375" style="16" customWidth="1"/>
    <col min="12" max="12" width="0.77734375" style="16" customWidth="1"/>
    <col min="13" max="16" width="7.77734375" style="16" customWidth="1"/>
    <col min="17" max="22" width="7.77734375" style="16" hidden="1" customWidth="1"/>
    <col min="23" max="23" width="7.77734375" style="16" customWidth="1"/>
    <col min="24" max="24" width="10" style="16" hidden="1" customWidth="1"/>
    <col min="25" max="27" width="9.44140625" style="16" hidden="1" customWidth="1"/>
    <col min="28" max="28" width="7.77734375" style="16" customWidth="1"/>
    <col min="29" max="29" width="9" style="16" customWidth="1"/>
    <col min="30" max="30" width="22" style="16" customWidth="1"/>
    <col min="31" max="32" width="9" style="16" hidden="1" customWidth="1"/>
    <col min="33" max="33" width="7.5546875" style="16" hidden="1" customWidth="1"/>
    <col min="34" max="34" width="0.77734375" style="16" customWidth="1"/>
    <col min="35" max="66" width="7.77734375" style="16" customWidth="1"/>
    <col min="67" max="16384" width="8.77734375" style="16"/>
  </cols>
  <sheetData>
    <row r="1" spans="1:1011 1029:2045 2096:3050 3081:3478" s="86" customFormat="1" ht="22.15" customHeight="1">
      <c r="A1" s="168" t="s">
        <v>179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85"/>
      <c r="AE1" s="85"/>
      <c r="AF1" s="85"/>
      <c r="AG1" s="85"/>
      <c r="AH1" s="85"/>
    </row>
    <row r="2" spans="1:1011 1029:2045 2096:3050 3081:3478" s="86" customFormat="1" ht="9" customHeight="1">
      <c r="B2" s="115"/>
      <c r="C2" s="115"/>
      <c r="D2" s="115"/>
      <c r="E2" s="115"/>
      <c r="F2" s="115"/>
      <c r="G2" s="115"/>
      <c r="H2" s="115"/>
      <c r="I2" s="115"/>
      <c r="J2" s="115"/>
      <c r="K2" s="115"/>
      <c r="M2" s="115"/>
      <c r="N2" s="115"/>
      <c r="O2" s="115"/>
      <c r="P2" s="115"/>
      <c r="Q2" s="115" t="s">
        <v>180</v>
      </c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I2" s="116"/>
      <c r="AY2" s="116"/>
    </row>
    <row r="3" spans="1:1011 1029:2045 2096:3050 3081:3478" s="88" customFormat="1" ht="15" customHeight="1">
      <c r="A3" s="117"/>
      <c r="B3" s="171" t="s">
        <v>181</v>
      </c>
      <c r="C3" s="170"/>
      <c r="D3" s="170"/>
      <c r="E3" s="170"/>
      <c r="F3" s="170"/>
      <c r="G3" s="170"/>
      <c r="H3" s="170"/>
      <c r="I3" s="170"/>
      <c r="J3" s="170"/>
      <c r="K3" s="172"/>
      <c r="L3" s="26"/>
      <c r="M3" s="171" t="s">
        <v>182</v>
      </c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2"/>
      <c r="AD3" s="118"/>
      <c r="AE3" s="182" t="s">
        <v>183</v>
      </c>
      <c r="AF3" s="182"/>
      <c r="AG3" s="182"/>
      <c r="AH3" s="28"/>
      <c r="AI3" s="176" t="s">
        <v>184</v>
      </c>
      <c r="AJ3" s="177"/>
      <c r="AK3" s="177"/>
      <c r="AL3" s="177"/>
      <c r="AM3" s="177"/>
      <c r="AN3" s="177"/>
      <c r="AO3" s="177"/>
      <c r="AP3" s="177"/>
      <c r="AQ3" s="177"/>
      <c r="AR3" s="177"/>
      <c r="AS3" s="177"/>
      <c r="AT3" s="177"/>
      <c r="AU3" s="177"/>
      <c r="AV3" s="177"/>
      <c r="AW3" s="177"/>
      <c r="AX3" s="177"/>
      <c r="AY3" s="177"/>
      <c r="AZ3" s="177"/>
      <c r="BA3" s="177"/>
      <c r="BB3" s="177"/>
      <c r="BC3" s="177"/>
      <c r="BD3" s="177"/>
      <c r="BE3" s="177"/>
      <c r="BF3" s="177"/>
      <c r="BG3" s="177"/>
      <c r="BH3" s="177"/>
      <c r="BI3" s="177"/>
      <c r="BJ3" s="177"/>
      <c r="BK3" s="177"/>
      <c r="BL3" s="177"/>
      <c r="BM3" s="177"/>
      <c r="BN3" s="178"/>
    </row>
    <row r="4" spans="1:1011 1029:2045 2096:3050 3081:3478" s="88" customFormat="1" ht="25.15" customHeight="1">
      <c r="A4" s="117"/>
      <c r="B4" s="119"/>
      <c r="C4" s="119"/>
      <c r="D4" s="119"/>
      <c r="E4" s="120"/>
      <c r="F4" s="23" t="s">
        <v>185</v>
      </c>
      <c r="G4" s="23" t="s">
        <v>186</v>
      </c>
      <c r="H4" s="121"/>
      <c r="I4" s="121"/>
      <c r="J4" s="122"/>
      <c r="K4" s="122"/>
      <c r="L4" s="117"/>
      <c r="M4" s="123"/>
      <c r="N4" s="123"/>
      <c r="O4" s="124"/>
      <c r="P4" s="123"/>
      <c r="Q4" s="125"/>
      <c r="R4" s="125"/>
      <c r="S4" s="125"/>
      <c r="T4" s="125"/>
      <c r="U4" s="125"/>
      <c r="V4" s="125"/>
      <c r="W4" s="125"/>
      <c r="X4" s="183" t="s">
        <v>187</v>
      </c>
      <c r="Y4" s="184"/>
      <c r="Z4" s="24" t="s">
        <v>188</v>
      </c>
      <c r="AA4" s="25">
        <v>1.5</v>
      </c>
      <c r="AB4" s="126"/>
      <c r="AC4" s="126"/>
      <c r="AD4" s="26"/>
      <c r="AE4" s="27"/>
      <c r="AF4" s="27"/>
      <c r="AG4" s="28"/>
      <c r="AH4" s="117"/>
      <c r="AI4" s="179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  <c r="BN4" s="181"/>
    </row>
    <row r="5" spans="1:1011 1029:2045 2096:3050 3081:3478" s="131" customFormat="1" ht="24">
      <c r="A5" s="127"/>
      <c r="B5" s="29" t="s">
        <v>189</v>
      </c>
      <c r="C5" s="29" t="s">
        <v>31</v>
      </c>
      <c r="D5" s="29" t="s">
        <v>190</v>
      </c>
      <c r="E5" s="30" t="s">
        <v>33</v>
      </c>
      <c r="F5" s="31" t="s">
        <v>191</v>
      </c>
      <c r="G5" s="31" t="s">
        <v>192</v>
      </c>
      <c r="H5" s="32" t="s">
        <v>36</v>
      </c>
      <c r="I5" s="32" t="s">
        <v>193</v>
      </c>
      <c r="J5" s="128" t="s">
        <v>194</v>
      </c>
      <c r="K5" s="128" t="s">
        <v>195</v>
      </c>
      <c r="L5" s="127"/>
      <c r="M5" s="33" t="s">
        <v>196</v>
      </c>
      <c r="N5" s="33" t="s">
        <v>197</v>
      </c>
      <c r="O5" s="34" t="s">
        <v>39</v>
      </c>
      <c r="P5" s="33" t="s">
        <v>198</v>
      </c>
      <c r="Q5" s="35" t="s">
        <v>199</v>
      </c>
      <c r="R5" s="35" t="s">
        <v>200</v>
      </c>
      <c r="S5" s="35" t="s">
        <v>201</v>
      </c>
      <c r="T5" s="35" t="s">
        <v>202</v>
      </c>
      <c r="U5" s="35" t="s">
        <v>203</v>
      </c>
      <c r="V5" s="35" t="s">
        <v>204</v>
      </c>
      <c r="W5" s="35" t="s">
        <v>205</v>
      </c>
      <c r="X5" s="36" t="s">
        <v>206</v>
      </c>
      <c r="Y5" s="36" t="s">
        <v>207</v>
      </c>
      <c r="Z5" s="36" t="s">
        <v>208</v>
      </c>
      <c r="AA5" s="37" t="s">
        <v>209</v>
      </c>
      <c r="AB5" s="129" t="s">
        <v>210</v>
      </c>
      <c r="AC5" s="129" t="s">
        <v>211</v>
      </c>
      <c r="AD5" s="129" t="s">
        <v>212</v>
      </c>
      <c r="AE5" s="27"/>
      <c r="AF5" s="27"/>
      <c r="AG5" s="28"/>
      <c r="AH5" s="130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</row>
    <row r="6" spans="1:1011 1029:2045 2096:3050 3081:3478" ht="19.149999999999999" customHeight="1">
      <c r="B6" s="72" t="s">
        <v>213</v>
      </c>
      <c r="C6" s="72" t="s">
        <v>46</v>
      </c>
      <c r="D6" s="74" t="s">
        <v>50</v>
      </c>
      <c r="E6" s="132"/>
      <c r="F6" s="133">
        <v>1.4999999999999999E-2</v>
      </c>
      <c r="G6" s="133"/>
      <c r="H6" s="75" t="s">
        <v>48</v>
      </c>
      <c r="I6" s="39" t="s">
        <v>214</v>
      </c>
      <c r="J6" s="134">
        <f t="shared" ref="J6:J69" si="0">IF(AND(E6="",F6=""),"",IF(E6="",F6,E6+F6))</f>
        <v>1.4999999999999999E-2</v>
      </c>
      <c r="K6" s="135"/>
      <c r="L6" s="136"/>
      <c r="M6" s="137">
        <f t="shared" ref="M6:M69" si="1">IF(OR($AI6=ISBLANK(TRUE),ISNUMBER($AI6)=FALSE),,MAX(AI6:AX6))</f>
        <v>0</v>
      </c>
      <c r="N6" s="137">
        <f t="shared" ref="N6:N69" si="2">IF(OR($AI6=ISBLANK(TRUE),ISNUMBER($AI6)=FALSE),,MIN(AI6:AX6))</f>
        <v>0</v>
      </c>
      <c r="O6" s="137">
        <f t="shared" ref="O6:O69" si="3">IF(OR($AI6=ISBLANK(TRUE),ISNUMBER($AI6)=FALSE),,AVERAGE(AI6:AX6))</f>
        <v>0</v>
      </c>
      <c r="P6" s="138">
        <f t="shared" ref="P6:P69" si="4">IF(OR($AI6=ISBLANK(TRUE),ISNUMBER($AI6)=FALSE),,STDEV(AI6:AX6))</f>
        <v>0</v>
      </c>
      <c r="Q6" s="139" t="str">
        <f t="shared" ref="Q6:Q69" si="5">IF(OR($AI6="",ISNUMBER($AI6)=FALSE),"",IF(AND(E6=0,G6=0),T6,IF(AND(E6="",F6=""),U6,(F6+ABS(G6))/(6*P6))))</f>
        <v/>
      </c>
      <c r="R6" s="140" t="str">
        <f>IF(OR($AI6="",ISNUMBER($AI6)=FALSE),"",IF(AND(#REF!="Tolerance",$E6&lt;&gt;""),($O6-$E6)/(($J6-$K6)/2),IF(AND(#REF!="GD&amp;T",$F6&lt;&gt;""),$O6/$F6,"")))</f>
        <v/>
      </c>
      <c r="S6" s="140" t="str">
        <f t="shared" ref="S6:S69" si="6">IF($R6="","",IF(ABS($R6)&lt;=0.125, "Level A",IF(AND(ABS($R6)&gt;0.125,ABS($R6)&lt;=0.25), "Level B",IF(AND(ABS($R6)&gt;0.25,ABS($R6)&lt;=0.5), "Level C", IF(ABS($R6)&gt;0.5, "Level D")))))</f>
        <v/>
      </c>
      <c r="T6" s="139" t="str">
        <f t="shared" ref="T6:T69" si="7">IF(OR($AI6="",ISNUMBER($AI6)=FALSE),"",IF(F6="","",(J6-O6)/(3*P6)))</f>
        <v/>
      </c>
      <c r="U6" s="139" t="str">
        <f t="shared" ref="U6:U69" si="8">IF(OR($AI6="",ISNUMBER($AI6)=FALSE),"",IF(G6="","",(O6-K6)/(3*P6)))</f>
        <v/>
      </c>
      <c r="V6" s="139" t="str">
        <f t="shared" ref="V6:V69" si="9">IF(OR($AI6="",ISNUMBER($AI6)=FALSE),"",IF(AND(E6=0,G6=0),((F6)-(O6))/(3*P6),MIN(T6:U6)))</f>
        <v/>
      </c>
      <c r="W6" s="141" t="str">
        <f t="shared" ref="W6:W69" si="10">IF(OR($AI6="",ISNUMBER($AI6)=FALSE),"",IF(AND(E6=0,G6=0),NORMSDIST(3*V6),NORMSDIST(3*V6)+NORMSDIST(6*Q6-3*V6)-1))</f>
        <v/>
      </c>
      <c r="X6" s="142" t="e">
        <f>IF($O6="","",IF(#REF!="Tolerance",IF((#REF!*3*P6+O6)-E6&lt;F6,"",(#REF!*3*P6+O6)-E6),IF(OR(#REF!="GD&amp;T",#REF!="MAX"),IF((#REF!*3*P6+O6)&lt;F6,"",(#REF!*3*P6+O6)),"")))</f>
        <v>#REF!</v>
      </c>
      <c r="Y6" s="142" t="e">
        <f>IF(O6="","",IF(#REF!="Tolerance",IF(-((#REF!*3*P6)-O6)-E6&gt;G6,"",-((#REF!*3*P6)-O6)-E6),IF(#REF!="MIN",IF(-((#REF!*3*P6)-O6)&gt;G6,"",-((#REF!*3*P6)-O6)),"")))</f>
        <v>#REF!</v>
      </c>
      <c r="Z6" s="142" t="str">
        <f t="shared" ref="Z6:Z69" si="11">IF(OR(E6="",O6=""),"",(J6+K6)/2-O6)</f>
        <v/>
      </c>
      <c r="AA6" s="142" t="str">
        <f t="shared" ref="AA6:AA69" si="12">IF(OR($Q6&gt;$AA$4,$P6=""),"",$AA$4*6*$P6)</f>
        <v/>
      </c>
      <c r="AB6" s="143"/>
      <c r="AC6" s="144" t="str">
        <f t="shared" ref="AC6:AC69" si="13">IF(AB6="","",IF(AB6&gt;=0.966,"Normal","Not Normal"))</f>
        <v/>
      </c>
      <c r="AD6" s="145"/>
      <c r="AE6" s="146"/>
      <c r="AF6" s="146"/>
      <c r="AG6" s="147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MM6" s="148"/>
      <c r="SF6" s="148"/>
      <c r="TB6" s="148"/>
      <c r="AIZ6" s="148"/>
      <c r="AKF6" s="148"/>
      <c r="AWS6" s="148"/>
      <c r="AXK6" s="148"/>
      <c r="BBO6" s="148"/>
      <c r="BDK6" s="148"/>
      <c r="CJM6" s="148"/>
      <c r="CPN6" s="148"/>
      <c r="DJF6" s="148"/>
      <c r="DOP6" s="148"/>
      <c r="EBH6" s="148"/>
      <c r="ECL6" s="148"/>
    </row>
    <row r="7" spans="1:1011 1029:2045 2096:3050 3081:3478" ht="19.149999999999999" customHeight="1">
      <c r="B7" s="72" t="s">
        <v>215</v>
      </c>
      <c r="C7" s="72" t="s">
        <v>49</v>
      </c>
      <c r="D7" s="74" t="s">
        <v>50</v>
      </c>
      <c r="E7" s="132"/>
      <c r="F7" s="133">
        <v>1.4999999999999999E-2</v>
      </c>
      <c r="G7" s="133"/>
      <c r="H7" s="75" t="s">
        <v>48</v>
      </c>
      <c r="I7" s="39" t="s">
        <v>214</v>
      </c>
      <c r="J7" s="134">
        <f t="shared" si="0"/>
        <v>1.4999999999999999E-2</v>
      </c>
      <c r="K7" s="135"/>
      <c r="L7" s="136"/>
      <c r="M7" s="137">
        <f t="shared" si="1"/>
        <v>0</v>
      </c>
      <c r="N7" s="137">
        <f t="shared" si="2"/>
        <v>0</v>
      </c>
      <c r="O7" s="137">
        <f t="shared" si="3"/>
        <v>0</v>
      </c>
      <c r="P7" s="138">
        <f t="shared" si="4"/>
        <v>0</v>
      </c>
      <c r="Q7" s="139" t="str">
        <f t="shared" si="5"/>
        <v/>
      </c>
      <c r="R7" s="140" t="str">
        <f>IF(OR($AI7="",ISNUMBER($AI7)=FALSE),"",IF(AND(#REF!="Tolerance",$E7&lt;&gt;""),($O7-$E7)/(($J7-$K7)/2),IF(AND(#REF!="GD&amp;T",$F7&lt;&gt;""),$O7/$F7,"")))</f>
        <v/>
      </c>
      <c r="S7" s="140" t="str">
        <f t="shared" si="6"/>
        <v/>
      </c>
      <c r="T7" s="139" t="str">
        <f t="shared" si="7"/>
        <v/>
      </c>
      <c r="U7" s="139" t="str">
        <f t="shared" si="8"/>
        <v/>
      </c>
      <c r="V7" s="139" t="str">
        <f t="shared" si="9"/>
        <v/>
      </c>
      <c r="W7" s="141" t="str">
        <f t="shared" si="10"/>
        <v/>
      </c>
      <c r="X7" s="142" t="e">
        <f>IF($O7="","",IF(#REF!="Tolerance",IF((#REF!*3*P7+O7)-E7&lt;F7,"",(#REF!*3*P7+O7)-E7),IF(OR(#REF!="GD&amp;T",#REF!="MAX"),IF((#REF!*3*P7+O7)&lt;F7,"",(#REF!*3*P7+O7)),"")))</f>
        <v>#REF!</v>
      </c>
      <c r="Y7" s="142" t="e">
        <f>IF(O7="","",IF(#REF!="Tolerance",IF(-((#REF!*3*P7)-O7)-E7&gt;G7,"",-((#REF!*3*P7)-O7)-E7),IF(#REF!="MIN",IF(-((#REF!*3*P7)-O7)&gt;G7,"",-((#REF!*3*P7)-O7)),"")))</f>
        <v>#REF!</v>
      </c>
      <c r="Z7" s="142" t="str">
        <f t="shared" si="11"/>
        <v/>
      </c>
      <c r="AA7" s="142" t="str">
        <f t="shared" si="12"/>
        <v/>
      </c>
      <c r="AB7" s="143"/>
      <c r="AC7" s="144" t="str">
        <f t="shared" si="13"/>
        <v/>
      </c>
      <c r="AD7" s="145"/>
      <c r="AE7" s="146"/>
      <c r="AF7" s="146"/>
      <c r="AG7" s="147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FE7" s="148"/>
      <c r="GM7" s="148"/>
      <c r="JG7" s="148"/>
      <c r="NA7" s="148"/>
      <c r="SF7" s="148"/>
      <c r="AKF7" s="148"/>
      <c r="AOC7" s="148"/>
      <c r="ASD7" s="148"/>
      <c r="AXA7" s="148"/>
      <c r="BIP7" s="148"/>
      <c r="BLO7" s="148"/>
      <c r="BOG7" s="148"/>
      <c r="BPO7" s="148"/>
      <c r="BPQ7" s="148"/>
      <c r="BTE7" s="148"/>
      <c r="BTL7" s="148"/>
      <c r="BUF7" s="148"/>
      <c r="BZQ7" s="148"/>
      <c r="CNX7" s="148"/>
      <c r="COA7" s="148"/>
      <c r="COD7" s="148"/>
      <c r="CUW7" s="148"/>
      <c r="CYY7" s="148"/>
      <c r="CZG7" s="148"/>
      <c r="DHH7" s="148"/>
      <c r="DIO7" s="148"/>
      <c r="DLP7" s="148"/>
      <c r="DSL7" s="148"/>
      <c r="DSP7" s="148"/>
      <c r="DTR7" s="148"/>
      <c r="DYB7" s="148"/>
      <c r="EAP7" s="148"/>
    </row>
    <row r="8" spans="1:1011 1029:2045 2096:3050 3081:3478" ht="19.149999999999999" customHeight="1">
      <c r="B8" s="72" t="s">
        <v>216</v>
      </c>
      <c r="C8" s="72" t="s">
        <v>51</v>
      </c>
      <c r="D8" s="74" t="s">
        <v>50</v>
      </c>
      <c r="E8" s="132"/>
      <c r="F8" s="133">
        <v>1.4999999999999999E-2</v>
      </c>
      <c r="G8" s="133"/>
      <c r="H8" s="75" t="s">
        <v>48</v>
      </c>
      <c r="I8" s="39" t="s">
        <v>214</v>
      </c>
      <c r="J8" s="134">
        <f t="shared" si="0"/>
        <v>1.4999999999999999E-2</v>
      </c>
      <c r="K8" s="135"/>
      <c r="L8" s="136"/>
      <c r="M8" s="137">
        <f t="shared" si="1"/>
        <v>0</v>
      </c>
      <c r="N8" s="137">
        <f t="shared" si="2"/>
        <v>0</v>
      </c>
      <c r="O8" s="137">
        <f t="shared" si="3"/>
        <v>0</v>
      </c>
      <c r="P8" s="138">
        <f t="shared" si="4"/>
        <v>0</v>
      </c>
      <c r="Q8" s="139" t="str">
        <f t="shared" si="5"/>
        <v/>
      </c>
      <c r="R8" s="140" t="str">
        <f>IF(OR($AI8="",ISNUMBER($AI8)=FALSE),"",IF(AND(#REF!="Tolerance",$E8&lt;&gt;""),($O8-$E8)/(($J8-$K8)/2),IF(AND(#REF!="GD&amp;T",$F8&lt;&gt;""),$O8/$F8,"")))</f>
        <v/>
      </c>
      <c r="S8" s="140" t="str">
        <f t="shared" si="6"/>
        <v/>
      </c>
      <c r="T8" s="139" t="str">
        <f t="shared" si="7"/>
        <v/>
      </c>
      <c r="U8" s="139" t="str">
        <f t="shared" si="8"/>
        <v/>
      </c>
      <c r="V8" s="139" t="str">
        <f t="shared" si="9"/>
        <v/>
      </c>
      <c r="W8" s="141" t="str">
        <f t="shared" si="10"/>
        <v/>
      </c>
      <c r="X8" s="142" t="e">
        <f>IF($O8="","",IF(#REF!="Tolerance",IF((#REF!*3*P8+O8)-E8&lt;F8,"",(#REF!*3*P8+O8)-E8),IF(OR(#REF!="GD&amp;T",#REF!="MAX"),IF((#REF!*3*P8+O8)&lt;F8,"",(#REF!*3*P8+O8)),"")))</f>
        <v>#REF!</v>
      </c>
      <c r="Y8" s="142" t="e">
        <f>IF(O8="","",IF(#REF!="Tolerance",IF(-((#REF!*3*P8)-O8)-E8&gt;G8,"",-((#REF!*3*P8)-O8)-E8),IF(#REF!="MIN",IF(-((#REF!*3*P8)-O8)&gt;G8,"",-((#REF!*3*P8)-O8)),"")))</f>
        <v>#REF!</v>
      </c>
      <c r="Z8" s="142" t="str">
        <f t="shared" si="11"/>
        <v/>
      </c>
      <c r="AA8" s="142" t="str">
        <f t="shared" si="12"/>
        <v/>
      </c>
      <c r="AB8" s="143"/>
      <c r="AC8" s="144" t="str">
        <f t="shared" si="13"/>
        <v/>
      </c>
      <c r="AD8" s="145"/>
      <c r="AE8" s="146"/>
      <c r="AF8" s="146"/>
      <c r="AG8" s="147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  <c r="BM8" s="76"/>
      <c r="BN8" s="76"/>
      <c r="FF8" s="148"/>
      <c r="JG8" s="148"/>
      <c r="AFQ8" s="148"/>
      <c r="BFA8" s="148"/>
      <c r="BJQ8" s="148"/>
      <c r="BOT8" s="148"/>
      <c r="BPO8" s="148"/>
      <c r="BRO8" s="148"/>
      <c r="BRU8" s="148"/>
      <c r="BUF8" s="148"/>
      <c r="BVT8" s="148"/>
      <c r="BWB8" s="148"/>
      <c r="BYV8" s="148"/>
      <c r="BZQ8" s="148"/>
      <c r="DHK8" s="148"/>
      <c r="DIO8" s="148"/>
      <c r="DOQ8" s="148"/>
      <c r="EBO8" s="148"/>
    </row>
    <row r="9" spans="1:1011 1029:2045 2096:3050 3081:3478" ht="19.149999999999999" customHeight="1">
      <c r="B9" s="72" t="s">
        <v>217</v>
      </c>
      <c r="C9" s="72" t="s">
        <v>52</v>
      </c>
      <c r="D9" s="74" t="s">
        <v>50</v>
      </c>
      <c r="E9" s="132"/>
      <c r="F9" s="133">
        <v>1.4999999999999999E-2</v>
      </c>
      <c r="G9" s="133"/>
      <c r="H9" s="75" t="s">
        <v>48</v>
      </c>
      <c r="I9" s="39" t="s">
        <v>214</v>
      </c>
      <c r="J9" s="134">
        <f t="shared" si="0"/>
        <v>1.4999999999999999E-2</v>
      </c>
      <c r="K9" s="135"/>
      <c r="L9" s="136"/>
      <c r="M9" s="137">
        <f t="shared" si="1"/>
        <v>0</v>
      </c>
      <c r="N9" s="137">
        <f t="shared" si="2"/>
        <v>0</v>
      </c>
      <c r="O9" s="137">
        <f t="shared" si="3"/>
        <v>0</v>
      </c>
      <c r="P9" s="138">
        <f t="shared" si="4"/>
        <v>0</v>
      </c>
      <c r="Q9" s="139" t="str">
        <f t="shared" si="5"/>
        <v/>
      </c>
      <c r="R9" s="140" t="str">
        <f>IF(OR($AI9="",ISNUMBER($AI9)=FALSE),"",IF(AND(#REF!="Tolerance",$E9&lt;&gt;""),($O9-$E9)/(($J9-$K9)/2),IF(AND(#REF!="GD&amp;T",$F9&lt;&gt;""),$O9/$F9,"")))</f>
        <v/>
      </c>
      <c r="S9" s="140" t="str">
        <f t="shared" si="6"/>
        <v/>
      </c>
      <c r="T9" s="139" t="str">
        <f t="shared" si="7"/>
        <v/>
      </c>
      <c r="U9" s="139" t="str">
        <f t="shared" si="8"/>
        <v/>
      </c>
      <c r="V9" s="139" t="str">
        <f t="shared" si="9"/>
        <v/>
      </c>
      <c r="W9" s="141" t="str">
        <f t="shared" si="10"/>
        <v/>
      </c>
      <c r="X9" s="142" t="e">
        <f>IF($O9="","",IF(#REF!="Tolerance",IF((#REF!*3*P9+O9)-E9&lt;F9,"",(#REF!*3*P9+O9)-E9),IF(OR(#REF!="GD&amp;T",#REF!="MAX"),IF((#REF!*3*P9+O9)&lt;F9,"",(#REF!*3*P9+O9)),"")))</f>
        <v>#REF!</v>
      </c>
      <c r="Y9" s="142" t="e">
        <f>IF(O9="","",IF(#REF!="Tolerance",IF(-((#REF!*3*P9)-O9)-E9&gt;G9,"",-((#REF!*3*P9)-O9)-E9),IF(#REF!="MIN",IF(-((#REF!*3*P9)-O9)&gt;G9,"",-((#REF!*3*P9)-O9)),"")))</f>
        <v>#REF!</v>
      </c>
      <c r="Z9" s="142" t="str">
        <f t="shared" si="11"/>
        <v/>
      </c>
      <c r="AA9" s="142" t="str">
        <f t="shared" si="12"/>
        <v/>
      </c>
      <c r="AB9" s="143"/>
      <c r="AC9" s="144" t="str">
        <f t="shared" si="13"/>
        <v/>
      </c>
      <c r="AD9" s="145"/>
      <c r="AE9" s="146"/>
      <c r="AF9" s="146"/>
      <c r="AG9" s="147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6"/>
      <c r="BN9" s="76"/>
      <c r="EK9" s="148"/>
      <c r="KO9" s="148"/>
      <c r="QD9" s="148"/>
      <c r="TC9" s="148"/>
      <c r="AAV9" s="148"/>
      <c r="ABJ9" s="148"/>
      <c r="ALS9" s="148"/>
      <c r="AMS9" s="148"/>
      <c r="AQB9" s="148"/>
      <c r="ARG9" s="148"/>
      <c r="AUV9" s="148"/>
      <c r="BAB9" s="148"/>
      <c r="BAL9" s="148"/>
      <c r="BGN9" s="148"/>
      <c r="BJB9" s="148"/>
      <c r="BOM9" s="148"/>
      <c r="BSF9" s="148"/>
      <c r="BSU9" s="148"/>
      <c r="BVJ9" s="148"/>
      <c r="BVO9" s="148"/>
      <c r="BVY9" s="148"/>
      <c r="BXO9" s="148"/>
      <c r="CCO9" s="148"/>
      <c r="CEL9" s="148"/>
      <c r="CFD9" s="148"/>
      <c r="CFE9" s="148"/>
      <c r="CKA9" s="148"/>
      <c r="CMB9" s="148"/>
      <c r="CNY9" s="148"/>
      <c r="CPO9" s="148"/>
      <c r="CQR9" s="148"/>
      <c r="CRM9" s="148"/>
      <c r="CTF9" s="148"/>
      <c r="CZC9" s="148"/>
      <c r="DCV9" s="148"/>
      <c r="DEG9" s="148"/>
      <c r="DHQ9" s="148"/>
      <c r="DHZ9" s="148"/>
      <c r="DMH9" s="148"/>
      <c r="DSH9" s="148"/>
      <c r="DSI9" s="148"/>
      <c r="DUY9" s="148"/>
      <c r="EBI9" s="148"/>
    </row>
    <row r="10" spans="1:1011 1029:2045 2096:3050 3081:3478" ht="19.149999999999999" customHeight="1">
      <c r="B10" s="72" t="s">
        <v>218</v>
      </c>
      <c r="C10" s="72" t="s">
        <v>53</v>
      </c>
      <c r="D10" s="74" t="s">
        <v>54</v>
      </c>
      <c r="E10" s="132"/>
      <c r="F10" s="133">
        <v>8.0000000000000002E-3</v>
      </c>
      <c r="G10" s="133"/>
      <c r="H10" s="75" t="s">
        <v>48</v>
      </c>
      <c r="I10" s="39" t="s">
        <v>214</v>
      </c>
      <c r="J10" s="134">
        <f t="shared" si="0"/>
        <v>8.0000000000000002E-3</v>
      </c>
      <c r="K10" s="135"/>
      <c r="L10" s="136"/>
      <c r="M10" s="137">
        <f t="shared" si="1"/>
        <v>0</v>
      </c>
      <c r="N10" s="137">
        <f t="shared" si="2"/>
        <v>0</v>
      </c>
      <c r="O10" s="137">
        <f t="shared" si="3"/>
        <v>0</v>
      </c>
      <c r="P10" s="138">
        <f t="shared" si="4"/>
        <v>0</v>
      </c>
      <c r="Q10" s="139" t="str">
        <f t="shared" si="5"/>
        <v/>
      </c>
      <c r="R10" s="140" t="str">
        <f>IF(OR($AI10="",ISNUMBER($AI10)=FALSE),"",IF(AND(#REF!="Tolerance",$E10&lt;&gt;""),($O10-$E10)/(($J10-$K10)/2),IF(AND(#REF!="GD&amp;T",$F10&lt;&gt;""),$O10/$F10,"")))</f>
        <v/>
      </c>
      <c r="S10" s="140" t="str">
        <f t="shared" si="6"/>
        <v/>
      </c>
      <c r="T10" s="139" t="str">
        <f t="shared" si="7"/>
        <v/>
      </c>
      <c r="U10" s="139" t="str">
        <f t="shared" si="8"/>
        <v/>
      </c>
      <c r="V10" s="139" t="str">
        <f t="shared" si="9"/>
        <v/>
      </c>
      <c r="W10" s="141" t="str">
        <f t="shared" si="10"/>
        <v/>
      </c>
      <c r="X10" s="142" t="e">
        <f>IF($O10="","",IF(#REF!="Tolerance",IF((#REF!*3*P10+O10)-E10&lt;F10,"",(#REF!*3*P10+O10)-E10),IF(OR(#REF!="GD&amp;T",#REF!="MAX"),IF((#REF!*3*P10+O10)&lt;F10,"",(#REF!*3*P10+O10)),"")))</f>
        <v>#REF!</v>
      </c>
      <c r="Y10" s="142" t="e">
        <f>IF(O10="","",IF(#REF!="Tolerance",IF(-((#REF!*3*P10)-O10)-E10&gt;G10,"",-((#REF!*3*P10)-O10)-E10),IF(#REF!="MIN",IF(-((#REF!*3*P10)-O10)&gt;G10,"",-((#REF!*3*P10)-O10)),"")))</f>
        <v>#REF!</v>
      </c>
      <c r="Z10" s="142" t="str">
        <f t="shared" si="11"/>
        <v/>
      </c>
      <c r="AA10" s="142" t="str">
        <f t="shared" si="12"/>
        <v/>
      </c>
      <c r="AB10" s="143"/>
      <c r="AC10" s="144" t="str">
        <f t="shared" si="13"/>
        <v/>
      </c>
      <c r="AD10" s="145"/>
      <c r="AE10" s="146"/>
      <c r="AF10" s="146"/>
      <c r="AG10" s="147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DB10" s="148"/>
      <c r="DH10" s="148"/>
      <c r="EK10" s="148"/>
      <c r="ER10" s="148"/>
      <c r="FC10" s="148"/>
      <c r="FO10" s="148"/>
      <c r="TZ10" s="148"/>
      <c r="XE10" s="148"/>
      <c r="YF10" s="148"/>
      <c r="AAV10" s="148"/>
      <c r="AKN10" s="148"/>
      <c r="BJB10" s="148"/>
      <c r="BKB10" s="148"/>
      <c r="BMP10" s="148"/>
      <c r="BOO10" s="148"/>
      <c r="BOR10" s="148"/>
      <c r="BOY10" s="148"/>
      <c r="BSU10" s="148"/>
      <c r="BVO10" s="148"/>
      <c r="BXV10" s="148"/>
      <c r="CFE10" s="148"/>
      <c r="CKE10" s="148"/>
      <c r="CNU10" s="148"/>
      <c r="CNY10" s="148"/>
      <c r="CPL10" s="148"/>
      <c r="CPV10" s="148"/>
      <c r="CQG10" s="148"/>
      <c r="CXI10" s="148"/>
      <c r="CZC10" s="148"/>
      <c r="DCV10" s="148"/>
      <c r="DFZ10" s="148"/>
      <c r="DGM10" s="148"/>
      <c r="DGN10" s="148"/>
      <c r="DHK10" s="148"/>
      <c r="DIB10" s="148"/>
      <c r="DSI10" s="148"/>
      <c r="DTS10" s="148"/>
    </row>
    <row r="11" spans="1:1011 1029:2045 2096:3050 3081:3478" ht="19.149999999999999" customHeight="1">
      <c r="B11" s="72" t="s">
        <v>219</v>
      </c>
      <c r="C11" s="72" t="s">
        <v>55</v>
      </c>
      <c r="D11" s="74" t="s">
        <v>54</v>
      </c>
      <c r="E11" s="132"/>
      <c r="F11" s="133">
        <v>8.0000000000000002E-3</v>
      </c>
      <c r="G11" s="133"/>
      <c r="H11" s="75" t="s">
        <v>48</v>
      </c>
      <c r="I11" s="39" t="s">
        <v>214</v>
      </c>
      <c r="J11" s="134">
        <f t="shared" si="0"/>
        <v>8.0000000000000002E-3</v>
      </c>
      <c r="K11" s="135"/>
      <c r="L11" s="136"/>
      <c r="M11" s="137">
        <f t="shared" si="1"/>
        <v>0</v>
      </c>
      <c r="N11" s="137">
        <f t="shared" si="2"/>
        <v>0</v>
      </c>
      <c r="O11" s="137">
        <f t="shared" si="3"/>
        <v>0</v>
      </c>
      <c r="P11" s="138">
        <f t="shared" si="4"/>
        <v>0</v>
      </c>
      <c r="Q11" s="139" t="str">
        <f t="shared" si="5"/>
        <v/>
      </c>
      <c r="R11" s="140" t="str">
        <f>IF(OR($AI11="",ISNUMBER($AI11)=FALSE),"",IF(AND(#REF!="Tolerance",$E11&lt;&gt;""),($O11-$E11)/(($J11-$K11)/2),IF(AND(#REF!="GD&amp;T",$F11&lt;&gt;""),$O11/$F11,"")))</f>
        <v/>
      </c>
      <c r="S11" s="140" t="str">
        <f t="shared" si="6"/>
        <v/>
      </c>
      <c r="T11" s="139" t="str">
        <f t="shared" si="7"/>
        <v/>
      </c>
      <c r="U11" s="139" t="str">
        <f t="shared" si="8"/>
        <v/>
      </c>
      <c r="V11" s="139" t="str">
        <f t="shared" si="9"/>
        <v/>
      </c>
      <c r="W11" s="141" t="str">
        <f t="shared" si="10"/>
        <v/>
      </c>
      <c r="X11" s="142" t="e">
        <f>IF($O11="","",IF(#REF!="Tolerance",IF((#REF!*3*P11+O11)-E11&lt;F11,"",(#REF!*3*P11+O11)-E11),IF(OR(#REF!="GD&amp;T",#REF!="MAX"),IF((#REF!*3*P11+O11)&lt;F11,"",(#REF!*3*P11+O11)),"")))</f>
        <v>#REF!</v>
      </c>
      <c r="Y11" s="142" t="e">
        <f>IF(O11="","",IF(#REF!="Tolerance",IF(-((#REF!*3*P11)-O11)-E11&gt;G11,"",-((#REF!*3*P11)-O11)-E11),IF(#REF!="MIN",IF(-((#REF!*3*P11)-O11)&gt;G11,"",-((#REF!*3*P11)-O11)),"")))</f>
        <v>#REF!</v>
      </c>
      <c r="Z11" s="142" t="str">
        <f t="shared" si="11"/>
        <v/>
      </c>
      <c r="AA11" s="142" t="str">
        <f t="shared" si="12"/>
        <v/>
      </c>
      <c r="AB11" s="143"/>
      <c r="AC11" s="144" t="str">
        <f t="shared" si="13"/>
        <v/>
      </c>
      <c r="AD11" s="145"/>
      <c r="AE11" s="146"/>
      <c r="AF11" s="146"/>
      <c r="AG11" s="147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DA11" s="148"/>
      <c r="FE11" s="148"/>
      <c r="GM11" s="148"/>
      <c r="JG11" s="148"/>
      <c r="NA11" s="148"/>
      <c r="PD11" s="148"/>
      <c r="SF11" s="148"/>
      <c r="AKF11" s="148"/>
      <c r="AOC11" s="148"/>
      <c r="AXA11" s="148"/>
      <c r="BLO11" s="148"/>
      <c r="BOG11" s="148"/>
      <c r="BPQ11" s="148"/>
      <c r="BSF11" s="148"/>
      <c r="BUF11" s="148"/>
      <c r="CCK11" s="148"/>
      <c r="CGX11" s="148"/>
      <c r="CJM11" s="148"/>
      <c r="COD11" s="148"/>
      <c r="CZG11" s="148"/>
      <c r="DSP11" s="148"/>
    </row>
    <row r="12" spans="1:1011 1029:2045 2096:3050 3081:3478" ht="19.149999999999999" customHeight="1">
      <c r="B12" s="72" t="s">
        <v>220</v>
      </c>
      <c r="C12" s="72" t="s">
        <v>56</v>
      </c>
      <c r="D12" s="74" t="s">
        <v>54</v>
      </c>
      <c r="E12" s="132"/>
      <c r="F12" s="133">
        <v>8.0000000000000002E-3</v>
      </c>
      <c r="G12" s="133"/>
      <c r="H12" s="75" t="s">
        <v>48</v>
      </c>
      <c r="I12" s="39" t="s">
        <v>214</v>
      </c>
      <c r="J12" s="134">
        <f t="shared" si="0"/>
        <v>8.0000000000000002E-3</v>
      </c>
      <c r="K12" s="135"/>
      <c r="L12" s="136"/>
      <c r="M12" s="137">
        <f t="shared" si="1"/>
        <v>0</v>
      </c>
      <c r="N12" s="137">
        <f t="shared" si="2"/>
        <v>0</v>
      </c>
      <c r="O12" s="137">
        <f t="shared" si="3"/>
        <v>0</v>
      </c>
      <c r="P12" s="138">
        <f t="shared" si="4"/>
        <v>0</v>
      </c>
      <c r="Q12" s="139" t="str">
        <f t="shared" si="5"/>
        <v/>
      </c>
      <c r="R12" s="140" t="str">
        <f>IF(OR($AI12="",ISNUMBER($AI12)=FALSE),"",IF(AND(#REF!="Tolerance",$E12&lt;&gt;""),($O12-$E12)/(($J12-$K12)/2),IF(AND(#REF!="GD&amp;T",$F12&lt;&gt;""),$O12/$F12,"")))</f>
        <v/>
      </c>
      <c r="S12" s="140" t="str">
        <f t="shared" si="6"/>
        <v/>
      </c>
      <c r="T12" s="139" t="str">
        <f t="shared" si="7"/>
        <v/>
      </c>
      <c r="U12" s="139" t="str">
        <f t="shared" si="8"/>
        <v/>
      </c>
      <c r="V12" s="139" t="str">
        <f t="shared" si="9"/>
        <v/>
      </c>
      <c r="W12" s="141" t="str">
        <f t="shared" si="10"/>
        <v/>
      </c>
      <c r="X12" s="142" t="e">
        <f>IF($O12="","",IF(#REF!="Tolerance",IF((#REF!*3*P12+O12)-E12&lt;F12,"",(#REF!*3*P12+O12)-E12),IF(OR(#REF!="GD&amp;T",#REF!="MAX"),IF((#REF!*3*P12+O12)&lt;F12,"",(#REF!*3*P12+O12)),"")))</f>
        <v>#REF!</v>
      </c>
      <c r="Y12" s="142" t="e">
        <f>IF(O12="","",IF(#REF!="Tolerance",IF(-((#REF!*3*P12)-O12)-E12&gt;G12,"",-((#REF!*3*P12)-O12)-E12),IF(#REF!="MIN",IF(-((#REF!*3*P12)-O12)&gt;G12,"",-((#REF!*3*P12)-O12)),"")))</f>
        <v>#REF!</v>
      </c>
      <c r="Z12" s="142" t="str">
        <f t="shared" si="11"/>
        <v/>
      </c>
      <c r="AA12" s="142" t="str">
        <f t="shared" si="12"/>
        <v/>
      </c>
      <c r="AB12" s="143"/>
      <c r="AC12" s="144" t="str">
        <f t="shared" si="13"/>
        <v/>
      </c>
      <c r="AD12" s="145"/>
      <c r="AE12" s="146"/>
      <c r="AF12" s="146"/>
      <c r="AG12" s="147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CL12" s="148"/>
      <c r="FN12" s="148"/>
      <c r="HB12" s="148"/>
      <c r="MV12" s="148"/>
      <c r="NI12" s="148"/>
      <c r="PY12" s="148"/>
      <c r="WP12" s="148"/>
      <c r="XP12" s="148"/>
      <c r="ZZ12" s="148"/>
      <c r="ABJ12" s="148"/>
      <c r="ABX12" s="148"/>
      <c r="ADE12" s="148"/>
      <c r="AHH12" s="148"/>
      <c r="AIX12" s="148"/>
      <c r="AKU12" s="148"/>
      <c r="ALU12" s="148"/>
      <c r="ANJ12" s="148"/>
      <c r="AOH12" s="148"/>
      <c r="AOL12" s="148"/>
      <c r="APB12" s="148"/>
      <c r="API12" s="148"/>
      <c r="APJ12" s="148"/>
      <c r="AQL12" s="148"/>
      <c r="ASW12" s="148"/>
      <c r="AYV12" s="148"/>
      <c r="BAX12" s="148"/>
      <c r="BBX12" s="148"/>
      <c r="BDP12" s="148"/>
      <c r="BEK12" s="148"/>
      <c r="BQR12" s="148"/>
      <c r="BSQ12" s="148"/>
      <c r="CEG12" s="148"/>
      <c r="CFD12" s="148"/>
      <c r="CKQ12" s="148"/>
      <c r="CWB12" s="148"/>
      <c r="DLP12" s="148"/>
      <c r="DRX12" s="148"/>
      <c r="DSI12" s="148"/>
      <c r="DTH12" s="148"/>
      <c r="DUK12" s="148"/>
    </row>
    <row r="13" spans="1:1011 1029:2045 2096:3050 3081:3478" ht="19.149999999999999" customHeight="1">
      <c r="B13" s="72" t="s">
        <v>221</v>
      </c>
      <c r="C13" s="72" t="s">
        <v>57</v>
      </c>
      <c r="D13" s="74" t="s">
        <v>54</v>
      </c>
      <c r="E13" s="132"/>
      <c r="F13" s="133">
        <v>8.0000000000000002E-3</v>
      </c>
      <c r="G13" s="133"/>
      <c r="H13" s="75" t="s">
        <v>48</v>
      </c>
      <c r="I13" s="39" t="s">
        <v>214</v>
      </c>
      <c r="J13" s="134">
        <f t="shared" si="0"/>
        <v>8.0000000000000002E-3</v>
      </c>
      <c r="K13" s="135"/>
      <c r="L13" s="136"/>
      <c r="M13" s="137">
        <f t="shared" si="1"/>
        <v>0</v>
      </c>
      <c r="N13" s="137">
        <f t="shared" si="2"/>
        <v>0</v>
      </c>
      <c r="O13" s="137">
        <f t="shared" si="3"/>
        <v>0</v>
      </c>
      <c r="P13" s="138">
        <f t="shared" si="4"/>
        <v>0</v>
      </c>
      <c r="Q13" s="139" t="str">
        <f t="shared" si="5"/>
        <v/>
      </c>
      <c r="R13" s="140" t="str">
        <f>IF(OR($AI13="",ISNUMBER($AI13)=FALSE),"",IF(AND(#REF!="Tolerance",$E13&lt;&gt;""),($O13-$E13)/(($J13-$K13)/2),IF(AND(#REF!="GD&amp;T",$F13&lt;&gt;""),$O13/$F13,"")))</f>
        <v/>
      </c>
      <c r="S13" s="140" t="str">
        <f t="shared" si="6"/>
        <v/>
      </c>
      <c r="T13" s="139" t="str">
        <f t="shared" si="7"/>
        <v/>
      </c>
      <c r="U13" s="139" t="str">
        <f t="shared" si="8"/>
        <v/>
      </c>
      <c r="V13" s="139" t="str">
        <f t="shared" si="9"/>
        <v/>
      </c>
      <c r="W13" s="141" t="str">
        <f t="shared" si="10"/>
        <v/>
      </c>
      <c r="X13" s="142" t="e">
        <f>IF($O13="","",IF(#REF!="Tolerance",IF((#REF!*3*P13+O13)-E13&lt;F13,"",(#REF!*3*P13+O13)-E13),IF(OR(#REF!="GD&amp;T",#REF!="MAX"),IF((#REF!*3*P13+O13)&lt;F13,"",(#REF!*3*P13+O13)),"")))</f>
        <v>#REF!</v>
      </c>
      <c r="Y13" s="142" t="e">
        <f>IF(O13="","",IF(#REF!="Tolerance",IF(-((#REF!*3*P13)-O13)-E13&gt;G13,"",-((#REF!*3*P13)-O13)-E13),IF(#REF!="MIN",IF(-((#REF!*3*P13)-O13)&gt;G13,"",-((#REF!*3*P13)-O13)),"")))</f>
        <v>#REF!</v>
      </c>
      <c r="Z13" s="142" t="str">
        <f t="shared" si="11"/>
        <v/>
      </c>
      <c r="AA13" s="142" t="str">
        <f t="shared" si="12"/>
        <v/>
      </c>
      <c r="AB13" s="143"/>
      <c r="AC13" s="144" t="str">
        <f t="shared" si="13"/>
        <v/>
      </c>
      <c r="AD13" s="145"/>
      <c r="AE13" s="146"/>
      <c r="AF13" s="146"/>
      <c r="AG13" s="147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R13" s="148"/>
      <c r="IK13" s="148"/>
      <c r="JC13" s="148"/>
      <c r="AHI13" s="148"/>
      <c r="AOL13" s="148"/>
      <c r="APA13" s="148"/>
      <c r="APH13" s="148"/>
      <c r="AQV13" s="148"/>
      <c r="ASJ13" s="148"/>
      <c r="ATQ13" s="148"/>
      <c r="AWE13" s="148"/>
      <c r="AXV13" s="148"/>
      <c r="BCG13" s="148"/>
      <c r="CBP13" s="148"/>
      <c r="CBU13" s="148"/>
      <c r="CGW13" s="148"/>
      <c r="CJQ13" s="148"/>
      <c r="CKU13" s="148"/>
      <c r="DAN13" s="148"/>
      <c r="DBN13" s="148"/>
      <c r="DEW13" s="148"/>
      <c r="DPW13" s="148"/>
      <c r="DQL13" s="148"/>
      <c r="DVM13" s="148"/>
      <c r="ECT13" s="148"/>
    </row>
    <row r="14" spans="1:1011 1029:2045 2096:3050 3081:3478" ht="19.149999999999999" customHeight="1">
      <c r="B14" s="72" t="s">
        <v>222</v>
      </c>
      <c r="C14" s="72" t="s">
        <v>58</v>
      </c>
      <c r="D14" s="74" t="s">
        <v>59</v>
      </c>
      <c r="E14" s="132"/>
      <c r="F14" s="133">
        <v>0.03</v>
      </c>
      <c r="G14" s="133"/>
      <c r="H14" s="75" t="s">
        <v>60</v>
      </c>
      <c r="I14" s="39" t="s">
        <v>214</v>
      </c>
      <c r="J14" s="134">
        <f t="shared" si="0"/>
        <v>0.03</v>
      </c>
      <c r="K14" s="135"/>
      <c r="L14" s="136"/>
      <c r="M14" s="137">
        <f t="shared" si="1"/>
        <v>0</v>
      </c>
      <c r="N14" s="137">
        <f t="shared" si="2"/>
        <v>0</v>
      </c>
      <c r="O14" s="137">
        <f t="shared" si="3"/>
        <v>0</v>
      </c>
      <c r="P14" s="138">
        <f t="shared" si="4"/>
        <v>0</v>
      </c>
      <c r="Q14" s="139" t="str">
        <f t="shared" si="5"/>
        <v/>
      </c>
      <c r="R14" s="140" t="str">
        <f>IF(OR($AI14="",ISNUMBER($AI14)=FALSE),"",IF(AND(#REF!="Tolerance",$E14&lt;&gt;""),($O14-$E14)/(($J14-$K14)/2),IF(AND(#REF!="GD&amp;T",$F14&lt;&gt;""),$O14/$F14,"")))</f>
        <v/>
      </c>
      <c r="S14" s="140" t="str">
        <f t="shared" si="6"/>
        <v/>
      </c>
      <c r="T14" s="139" t="str">
        <f t="shared" si="7"/>
        <v/>
      </c>
      <c r="U14" s="139" t="str">
        <f t="shared" si="8"/>
        <v/>
      </c>
      <c r="V14" s="139" t="str">
        <f t="shared" si="9"/>
        <v/>
      </c>
      <c r="W14" s="141" t="str">
        <f t="shared" si="10"/>
        <v/>
      </c>
      <c r="X14" s="142" t="e">
        <f>IF($O14="","",IF(#REF!="Tolerance",IF((#REF!*3*P14+O14)-E14&lt;F14,"",(#REF!*3*P14+O14)-E14),IF(OR(#REF!="GD&amp;T",#REF!="MAX"),IF((#REF!*3*P14+O14)&lt;F14,"",(#REF!*3*P14+O14)),"")))</f>
        <v>#REF!</v>
      </c>
      <c r="Y14" s="142" t="e">
        <f>IF(O14="","",IF(#REF!="Tolerance",IF(-((#REF!*3*P14)-O14)-E14&gt;G14,"",-((#REF!*3*P14)-O14)-E14),IF(#REF!="MIN",IF(-((#REF!*3*P14)-O14)&gt;G14,"",-((#REF!*3*P14)-O14)),"")))</f>
        <v>#REF!</v>
      </c>
      <c r="Z14" s="142" t="str">
        <f t="shared" si="11"/>
        <v/>
      </c>
      <c r="AA14" s="142" t="str">
        <f t="shared" si="12"/>
        <v/>
      </c>
      <c r="AB14" s="143"/>
      <c r="AC14" s="144" t="str">
        <f t="shared" si="13"/>
        <v/>
      </c>
      <c r="AD14" s="145"/>
      <c r="AE14" s="146"/>
      <c r="AF14" s="146"/>
      <c r="AG14" s="147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DX14" s="148"/>
      <c r="GM14" s="148"/>
      <c r="JP14" s="148"/>
      <c r="KO14" s="148"/>
      <c r="PC14" s="148"/>
      <c r="VM14" s="148"/>
      <c r="XA14" s="148"/>
      <c r="YF14" s="148"/>
      <c r="AIJ14" s="148"/>
      <c r="AKF14" s="148"/>
      <c r="AKQ14" s="148"/>
      <c r="ALW14" s="148"/>
      <c r="AMO14" s="148"/>
      <c r="AQB14" s="148"/>
      <c r="ARM14" s="148"/>
      <c r="AVR14" s="148"/>
      <c r="AYI14" s="148"/>
      <c r="BBT14" s="148"/>
      <c r="BDK14" s="148"/>
      <c r="BEZ14" s="148"/>
      <c r="BOA14" s="148"/>
      <c r="BRE14" s="148"/>
      <c r="BRZ14" s="148"/>
      <c r="BSO14" s="148"/>
      <c r="BXI14" s="148"/>
      <c r="BXV14" s="148"/>
      <c r="CGB14" s="148"/>
      <c r="CGE14" s="148"/>
      <c r="CLH14" s="148"/>
      <c r="CMS14" s="148"/>
      <c r="CXV14" s="148"/>
      <c r="CYD14" s="148"/>
      <c r="DDU14" s="148"/>
      <c r="DHJ14" s="148"/>
      <c r="DHM14" s="148"/>
      <c r="DIC14" s="148"/>
      <c r="DJC14" s="148"/>
      <c r="DNM14" s="148"/>
      <c r="DPA14" s="148"/>
      <c r="DPE14" s="148"/>
      <c r="DQH14" s="148"/>
      <c r="DZP14" s="148"/>
      <c r="ECD14" s="148"/>
    </row>
    <row r="15" spans="1:1011 1029:2045 2096:3050 3081:3478" ht="19.149999999999999" customHeight="1">
      <c r="B15" s="72" t="s">
        <v>223</v>
      </c>
      <c r="C15" s="72" t="s">
        <v>61</v>
      </c>
      <c r="D15" s="74" t="s">
        <v>62</v>
      </c>
      <c r="E15" s="132">
        <v>0.49</v>
      </c>
      <c r="F15" s="133">
        <v>0.01</v>
      </c>
      <c r="G15" s="133">
        <v>-0.01</v>
      </c>
      <c r="H15" s="75" t="s">
        <v>60</v>
      </c>
      <c r="I15" s="39" t="s">
        <v>214</v>
      </c>
      <c r="J15" s="134">
        <f t="shared" si="0"/>
        <v>0.5</v>
      </c>
      <c r="K15" s="135">
        <v>0.48</v>
      </c>
      <c r="L15" s="136"/>
      <c r="M15" s="137">
        <f t="shared" si="1"/>
        <v>0</v>
      </c>
      <c r="N15" s="137">
        <f t="shared" si="2"/>
        <v>0</v>
      </c>
      <c r="O15" s="137">
        <f t="shared" si="3"/>
        <v>0</v>
      </c>
      <c r="P15" s="138">
        <f t="shared" si="4"/>
        <v>0</v>
      </c>
      <c r="Q15" s="139" t="str">
        <f t="shared" si="5"/>
        <v/>
      </c>
      <c r="R15" s="140" t="str">
        <f>IF(OR($AI15="",ISNUMBER($AI15)=FALSE),"",IF(AND(#REF!="Tolerance",$E15&lt;&gt;""),($O15-$E15)/(($J15-$K15)/2),IF(AND(#REF!="GD&amp;T",$F15&lt;&gt;""),$O15/$F15,"")))</f>
        <v/>
      </c>
      <c r="S15" s="140" t="str">
        <f t="shared" si="6"/>
        <v/>
      </c>
      <c r="T15" s="139" t="str">
        <f t="shared" si="7"/>
        <v/>
      </c>
      <c r="U15" s="139" t="str">
        <f t="shared" si="8"/>
        <v/>
      </c>
      <c r="V15" s="139" t="str">
        <f t="shared" si="9"/>
        <v/>
      </c>
      <c r="W15" s="141" t="str">
        <f t="shared" si="10"/>
        <v/>
      </c>
      <c r="X15" s="142" t="e">
        <f>IF($O15="","",IF(#REF!="Tolerance",IF((#REF!*3*P15+O15)-E15&lt;F15,"",(#REF!*3*P15+O15)-E15),IF(OR(#REF!="GD&amp;T",#REF!="MAX"),IF((#REF!*3*P15+O15)&lt;F15,"",(#REF!*3*P15+O15)),"")))</f>
        <v>#REF!</v>
      </c>
      <c r="Y15" s="142" t="e">
        <f>IF(O15="","",IF(#REF!="Tolerance",IF(-((#REF!*3*P15)-O15)-E15&gt;G15,"",-((#REF!*3*P15)-O15)-E15),IF(#REF!="MIN",IF(-((#REF!*3*P15)-O15)&gt;G15,"",-((#REF!*3*P15)-O15)),"")))</f>
        <v>#REF!</v>
      </c>
      <c r="Z15" s="142">
        <f t="shared" si="11"/>
        <v>0.49</v>
      </c>
      <c r="AA15" s="142" t="str">
        <f t="shared" si="12"/>
        <v/>
      </c>
      <c r="AB15" s="143"/>
      <c r="AC15" s="144" t="str">
        <f t="shared" si="13"/>
        <v/>
      </c>
      <c r="AD15" s="145"/>
      <c r="AE15" s="146"/>
      <c r="AF15" s="146"/>
      <c r="AG15" s="147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DX15" s="148"/>
      <c r="GM15" s="148"/>
      <c r="JP15" s="148"/>
      <c r="KO15" s="148"/>
      <c r="PC15" s="148"/>
      <c r="VM15" s="148"/>
      <c r="XA15" s="148"/>
      <c r="YF15" s="148"/>
      <c r="AIJ15" s="148"/>
      <c r="AKQ15" s="148"/>
      <c r="ALW15" s="148"/>
      <c r="AMO15" s="148"/>
      <c r="APO15" s="148"/>
      <c r="AQB15" s="148"/>
      <c r="AQQ15" s="148"/>
      <c r="ARM15" s="148"/>
      <c r="AVR15" s="148"/>
      <c r="BBT15" s="148"/>
      <c r="BDK15" s="148"/>
      <c r="BEZ15" s="148"/>
      <c r="BJG15" s="148"/>
      <c r="BOA15" s="148"/>
      <c r="BRE15" s="148"/>
      <c r="BRZ15" s="148"/>
      <c r="BSO15" s="148"/>
      <c r="BXI15" s="148"/>
      <c r="BXV15" s="148"/>
      <c r="CGB15" s="148"/>
      <c r="CGE15" s="148"/>
      <c r="CLH15" s="148"/>
      <c r="CMS15" s="148"/>
      <c r="CVN15" s="148"/>
      <c r="CYD15" s="148"/>
      <c r="DHJ15" s="148"/>
      <c r="DHM15" s="148"/>
      <c r="DIC15" s="148"/>
      <c r="DJC15" s="148"/>
      <c r="DOA15" s="148"/>
      <c r="DPA15" s="148"/>
      <c r="DPE15" s="148"/>
      <c r="DQH15" s="148"/>
      <c r="DYV15" s="148"/>
      <c r="DZP15" s="148"/>
      <c r="EBH15" s="148"/>
      <c r="ECD15" s="148"/>
    </row>
    <row r="16" spans="1:1011 1029:2045 2096:3050 3081:3478" ht="19.149999999999999" customHeight="1">
      <c r="B16" s="72" t="s">
        <v>224</v>
      </c>
      <c r="C16" s="72" t="s">
        <v>63</v>
      </c>
      <c r="D16" s="74" t="s">
        <v>62</v>
      </c>
      <c r="E16" s="132">
        <v>0.49</v>
      </c>
      <c r="F16" s="133">
        <v>0.01</v>
      </c>
      <c r="G16" s="133">
        <v>-0.01</v>
      </c>
      <c r="H16" s="75" t="s">
        <v>60</v>
      </c>
      <c r="I16" s="39" t="s">
        <v>214</v>
      </c>
      <c r="J16" s="134">
        <f t="shared" si="0"/>
        <v>0.5</v>
      </c>
      <c r="K16" s="135">
        <f t="shared" ref="K16:K69" si="14">IF(AND(E16="",G16=""),"",IF(E16="",G16,E16+G16))</f>
        <v>0.48</v>
      </c>
      <c r="L16" s="136"/>
      <c r="M16" s="137">
        <f t="shared" si="1"/>
        <v>0</v>
      </c>
      <c r="N16" s="137">
        <f t="shared" si="2"/>
        <v>0</v>
      </c>
      <c r="O16" s="137">
        <f t="shared" si="3"/>
        <v>0</v>
      </c>
      <c r="P16" s="138">
        <f t="shared" si="4"/>
        <v>0</v>
      </c>
      <c r="Q16" s="139" t="str">
        <f t="shared" si="5"/>
        <v/>
      </c>
      <c r="R16" s="140" t="str">
        <f>IF(OR($AI16="",ISNUMBER($AI16)=FALSE),"",IF(AND(#REF!="Tolerance",$E16&lt;&gt;""),($O16-$E16)/(($J16-$K16)/2),IF(AND(#REF!="GD&amp;T",$F16&lt;&gt;""),$O16/$F16,"")))</f>
        <v/>
      </c>
      <c r="S16" s="140" t="str">
        <f t="shared" si="6"/>
        <v/>
      </c>
      <c r="T16" s="139" t="str">
        <f t="shared" si="7"/>
        <v/>
      </c>
      <c r="U16" s="139" t="str">
        <f t="shared" si="8"/>
        <v/>
      </c>
      <c r="V16" s="139" t="str">
        <f t="shared" si="9"/>
        <v/>
      </c>
      <c r="W16" s="141" t="str">
        <f t="shared" si="10"/>
        <v/>
      </c>
      <c r="X16" s="142" t="e">
        <f>IF($O16="","",IF(#REF!="Tolerance",IF((#REF!*3*P16+O16)-E16&lt;F16,"",(#REF!*3*P16+O16)-E16),IF(OR(#REF!="GD&amp;T",#REF!="MAX"),IF((#REF!*3*P16+O16)&lt;F16,"",(#REF!*3*P16+O16)),"")))</f>
        <v>#REF!</v>
      </c>
      <c r="Y16" s="142" t="e">
        <f>IF(O16="","",IF(#REF!="Tolerance",IF(-((#REF!*3*P16)-O16)-E16&gt;G16,"",-((#REF!*3*P16)-O16)-E16),IF(#REF!="MIN",IF(-((#REF!*3*P16)-O16)&gt;G16,"",-((#REF!*3*P16)-O16)),"")))</f>
        <v>#REF!</v>
      </c>
      <c r="Z16" s="142">
        <f t="shared" si="11"/>
        <v>0.49</v>
      </c>
      <c r="AA16" s="142" t="str">
        <f t="shared" si="12"/>
        <v/>
      </c>
      <c r="AB16" s="143"/>
      <c r="AC16" s="144" t="str">
        <f t="shared" si="13"/>
        <v/>
      </c>
      <c r="AD16" s="145"/>
      <c r="AE16" s="146"/>
      <c r="AF16" s="146"/>
      <c r="AG16" s="147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DX16" s="148"/>
      <c r="GM16" s="148"/>
      <c r="KO16" s="148"/>
      <c r="PC16" s="148"/>
      <c r="VM16" s="148"/>
      <c r="XA16" s="148"/>
      <c r="YF16" s="148"/>
      <c r="AIJ16" s="148"/>
      <c r="AKQ16" s="148"/>
      <c r="ALW16" s="148"/>
      <c r="AMO16" s="148"/>
      <c r="APO16" s="148"/>
      <c r="ARM16" s="148"/>
      <c r="AVR16" s="148"/>
      <c r="BBT16" s="148"/>
      <c r="BDK16" s="148"/>
      <c r="BEZ16" s="148"/>
      <c r="BKD16" s="148"/>
      <c r="BOA16" s="148"/>
      <c r="BRE16" s="148"/>
      <c r="BRZ16" s="148"/>
      <c r="BSO16" s="148"/>
      <c r="BXI16" s="148"/>
      <c r="BXV16" s="148"/>
      <c r="CGB16" s="148"/>
      <c r="CGE16" s="148"/>
      <c r="CTF16" s="148"/>
      <c r="DHJ16" s="148"/>
      <c r="DHM16" s="148"/>
      <c r="DIC16" s="148"/>
      <c r="DJC16" s="148"/>
      <c r="DPA16" s="148"/>
      <c r="DPE16" s="148"/>
      <c r="DQH16" s="148"/>
      <c r="DYV16" s="148"/>
      <c r="DZP16" s="148"/>
      <c r="ECD16" s="148"/>
    </row>
    <row r="17" spans="2:1011 1029:1998 2212:2967 3121:3396" ht="19.149999999999999" customHeight="1">
      <c r="B17" s="72" t="s">
        <v>225</v>
      </c>
      <c r="C17" s="72" t="s">
        <v>64</v>
      </c>
      <c r="D17" s="74" t="s">
        <v>62</v>
      </c>
      <c r="E17" s="132">
        <v>0.49</v>
      </c>
      <c r="F17" s="133">
        <v>0.01</v>
      </c>
      <c r="G17" s="133">
        <v>-0.01</v>
      </c>
      <c r="H17" s="75" t="s">
        <v>60</v>
      </c>
      <c r="I17" s="39" t="s">
        <v>214</v>
      </c>
      <c r="J17" s="134">
        <f t="shared" si="0"/>
        <v>0.5</v>
      </c>
      <c r="K17" s="135">
        <f t="shared" si="14"/>
        <v>0.48</v>
      </c>
      <c r="L17" s="136"/>
      <c r="M17" s="137">
        <f t="shared" si="1"/>
        <v>0</v>
      </c>
      <c r="N17" s="137">
        <f t="shared" si="2"/>
        <v>0</v>
      </c>
      <c r="O17" s="137">
        <f t="shared" si="3"/>
        <v>0</v>
      </c>
      <c r="P17" s="138">
        <f t="shared" si="4"/>
        <v>0</v>
      </c>
      <c r="Q17" s="139" t="str">
        <f t="shared" si="5"/>
        <v/>
      </c>
      <c r="R17" s="140" t="str">
        <f>IF(OR($AI17="",ISNUMBER($AI17)=FALSE),"",IF(AND(#REF!="Tolerance",$E17&lt;&gt;""),($O17-$E17)/(($J17-$K17)/2),IF(AND(#REF!="GD&amp;T",$F17&lt;&gt;""),$O17/$F17,"")))</f>
        <v/>
      </c>
      <c r="S17" s="140" t="str">
        <f t="shared" si="6"/>
        <v/>
      </c>
      <c r="T17" s="139" t="str">
        <f t="shared" si="7"/>
        <v/>
      </c>
      <c r="U17" s="139" t="str">
        <f t="shared" si="8"/>
        <v/>
      </c>
      <c r="V17" s="139" t="str">
        <f t="shared" si="9"/>
        <v/>
      </c>
      <c r="W17" s="141" t="str">
        <f t="shared" si="10"/>
        <v/>
      </c>
      <c r="X17" s="142" t="e">
        <f>IF($O17="","",IF(#REF!="Tolerance",IF((#REF!*3*P17+O17)-E17&lt;F17,"",(#REF!*3*P17+O17)-E17),IF(OR(#REF!="GD&amp;T",#REF!="MAX"),IF((#REF!*3*P17+O17)&lt;F17,"",(#REF!*3*P17+O17)),"")))</f>
        <v>#REF!</v>
      </c>
      <c r="Y17" s="142" t="e">
        <f>IF(O17="","",IF(#REF!="Tolerance",IF(-((#REF!*3*P17)-O17)-E17&gt;G17,"",-((#REF!*3*P17)-O17)-E17),IF(#REF!="MIN",IF(-((#REF!*3*P17)-O17)&gt;G17,"",-((#REF!*3*P17)-O17)),"")))</f>
        <v>#REF!</v>
      </c>
      <c r="Z17" s="142">
        <f t="shared" si="11"/>
        <v>0.49</v>
      </c>
      <c r="AA17" s="142" t="str">
        <f t="shared" si="12"/>
        <v/>
      </c>
      <c r="AB17" s="143"/>
      <c r="AC17" s="144" t="str">
        <f t="shared" si="13"/>
        <v/>
      </c>
      <c r="AD17" s="145"/>
      <c r="AE17" s="146"/>
      <c r="AF17" s="146"/>
      <c r="AG17" s="147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GM17" s="148"/>
      <c r="KO17" s="148"/>
      <c r="XA17" s="148"/>
      <c r="YF17" s="148"/>
      <c r="AIJ17" s="148"/>
      <c r="AKF17" s="148"/>
      <c r="AKQ17" s="148"/>
      <c r="ALW17" s="148"/>
      <c r="AMO17" s="148"/>
      <c r="APO17" s="148"/>
      <c r="AQB17" s="148"/>
      <c r="ARM17" s="148"/>
      <c r="AVR17" s="148"/>
      <c r="AYI17" s="148"/>
      <c r="BBT17" s="148"/>
      <c r="BDK17" s="148"/>
      <c r="BEZ17" s="148"/>
      <c r="BJG17" s="148"/>
      <c r="BOA17" s="148"/>
      <c r="BRE17" s="148"/>
      <c r="BRZ17" s="148"/>
      <c r="BXI17" s="148"/>
      <c r="BXV17" s="148"/>
      <c r="CGB17" s="148"/>
      <c r="DHJ17" s="148"/>
      <c r="DHM17" s="148"/>
      <c r="DIC17" s="148"/>
      <c r="DJC17" s="148"/>
      <c r="DPA17" s="148"/>
      <c r="DPE17" s="148"/>
      <c r="DQH17" s="148"/>
      <c r="DRX17" s="148"/>
      <c r="DYV17" s="148"/>
      <c r="DZP17" s="148"/>
    </row>
    <row r="18" spans="2:1011 1029:1998 2212:2967 3121:3396" ht="19.149999999999999" customHeight="1">
      <c r="B18" s="72" t="s">
        <v>226</v>
      </c>
      <c r="C18" s="72" t="s">
        <v>65</v>
      </c>
      <c r="D18" s="74" t="s">
        <v>62</v>
      </c>
      <c r="E18" s="132">
        <v>0.77</v>
      </c>
      <c r="F18" s="133">
        <v>0.02</v>
      </c>
      <c r="G18" s="133">
        <v>-0.02</v>
      </c>
      <c r="H18" s="75" t="s">
        <v>60</v>
      </c>
      <c r="I18" s="39" t="s">
        <v>214</v>
      </c>
      <c r="J18" s="134">
        <f t="shared" si="0"/>
        <v>0.79</v>
      </c>
      <c r="K18" s="135">
        <f t="shared" si="14"/>
        <v>0.75</v>
      </c>
      <c r="L18" s="136"/>
      <c r="M18" s="137">
        <f t="shared" si="1"/>
        <v>0</v>
      </c>
      <c r="N18" s="137">
        <f t="shared" si="2"/>
        <v>0</v>
      </c>
      <c r="O18" s="137">
        <f t="shared" si="3"/>
        <v>0</v>
      </c>
      <c r="P18" s="138">
        <f t="shared" si="4"/>
        <v>0</v>
      </c>
      <c r="Q18" s="139" t="str">
        <f t="shared" si="5"/>
        <v/>
      </c>
      <c r="R18" s="140" t="str">
        <f>IF(OR($AI18="",ISNUMBER($AI18)=FALSE),"",IF(AND(#REF!="Tolerance",$E18&lt;&gt;""),($O18-$E18)/(($J18-$K18)/2),IF(AND(#REF!="GD&amp;T",$F18&lt;&gt;""),$O18/$F18,"")))</f>
        <v/>
      </c>
      <c r="S18" s="140" t="str">
        <f t="shared" si="6"/>
        <v/>
      </c>
      <c r="T18" s="139" t="str">
        <f t="shared" si="7"/>
        <v/>
      </c>
      <c r="U18" s="139" t="str">
        <f t="shared" si="8"/>
        <v/>
      </c>
      <c r="V18" s="139" t="str">
        <f t="shared" si="9"/>
        <v/>
      </c>
      <c r="W18" s="141" t="str">
        <f t="shared" si="10"/>
        <v/>
      </c>
      <c r="X18" s="142" t="e">
        <f>IF($O18="","",IF(#REF!="Tolerance",IF((#REF!*3*P18+O18)-E18&lt;F18,"",(#REF!*3*P18+O18)-E18),IF(OR(#REF!="GD&amp;T",#REF!="MAX"),IF((#REF!*3*P18+O18)&lt;F18,"",(#REF!*3*P18+O18)),"")))</f>
        <v>#REF!</v>
      </c>
      <c r="Y18" s="142" t="e">
        <f>IF(O18="","",IF(#REF!="Tolerance",IF(-((#REF!*3*P18)-O18)-E18&gt;G18,"",-((#REF!*3*P18)-O18)-E18),IF(#REF!="MIN",IF(-((#REF!*3*P18)-O18)&gt;G18,"",-((#REF!*3*P18)-O18)),"")))</f>
        <v>#REF!</v>
      </c>
      <c r="Z18" s="142">
        <f t="shared" si="11"/>
        <v>0.77</v>
      </c>
      <c r="AA18" s="142" t="str">
        <f t="shared" si="12"/>
        <v/>
      </c>
      <c r="AB18" s="143"/>
      <c r="AC18" s="144" t="str">
        <f t="shared" si="13"/>
        <v/>
      </c>
      <c r="AD18" s="145"/>
      <c r="AE18" s="146"/>
      <c r="AF18" s="146"/>
      <c r="AG18" s="147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GM18" s="148"/>
      <c r="KO18" s="148"/>
      <c r="PC18" s="148"/>
      <c r="PM18" s="148"/>
      <c r="XA18" s="148"/>
      <c r="YF18" s="148"/>
      <c r="AIJ18" s="148"/>
      <c r="AKQ18" s="148"/>
      <c r="ALW18" s="148"/>
      <c r="AMO18" s="148"/>
      <c r="APO18" s="148"/>
      <c r="AQB18" s="148"/>
      <c r="ARM18" s="148"/>
      <c r="AVR18" s="148"/>
      <c r="AYI18" s="148"/>
      <c r="BBT18" s="148"/>
      <c r="BDK18" s="148"/>
      <c r="BEZ18" s="148"/>
      <c r="BOA18" s="148"/>
      <c r="BRE18" s="148"/>
      <c r="BRZ18" s="148"/>
      <c r="BSO18" s="148"/>
      <c r="BXI18" s="148"/>
      <c r="BXV18" s="148"/>
      <c r="CGB18" s="148"/>
      <c r="DHJ18" s="148"/>
      <c r="DHM18" s="148"/>
      <c r="DIC18" s="148"/>
      <c r="DJC18" s="148"/>
      <c r="DPA18" s="148"/>
      <c r="DPE18" s="148"/>
      <c r="DYV18" s="148"/>
      <c r="DZP18" s="148"/>
    </row>
    <row r="19" spans="2:1011 1029:1998 2212:2967 3121:3396" ht="19.149999999999999" customHeight="1">
      <c r="B19" s="72" t="s">
        <v>227</v>
      </c>
      <c r="C19" s="72" t="s">
        <v>66</v>
      </c>
      <c r="D19" s="74" t="s">
        <v>62</v>
      </c>
      <c r="E19" s="132">
        <v>0.77</v>
      </c>
      <c r="F19" s="133">
        <v>0.02</v>
      </c>
      <c r="G19" s="133">
        <v>-0.02</v>
      </c>
      <c r="H19" s="75" t="s">
        <v>60</v>
      </c>
      <c r="I19" s="39"/>
      <c r="J19" s="134">
        <f t="shared" si="0"/>
        <v>0.79</v>
      </c>
      <c r="K19" s="135">
        <f t="shared" si="14"/>
        <v>0.75</v>
      </c>
      <c r="L19" s="136"/>
      <c r="M19" s="137">
        <f t="shared" si="1"/>
        <v>0</v>
      </c>
      <c r="N19" s="137">
        <f t="shared" si="2"/>
        <v>0</v>
      </c>
      <c r="O19" s="137">
        <f t="shared" si="3"/>
        <v>0</v>
      </c>
      <c r="P19" s="138">
        <f t="shared" si="4"/>
        <v>0</v>
      </c>
      <c r="Q19" s="139" t="str">
        <f t="shared" si="5"/>
        <v/>
      </c>
      <c r="R19" s="140" t="str">
        <f>IF(OR($AI19="",ISNUMBER($AI19)=FALSE),"",IF(AND(#REF!="Tolerance",$E19&lt;&gt;""),($O19-$E19)/(($J19-$K19)/2),IF(AND(#REF!="GD&amp;T",$F19&lt;&gt;""),$O19/$F19,"")))</f>
        <v/>
      </c>
      <c r="S19" s="140" t="str">
        <f t="shared" si="6"/>
        <v/>
      </c>
      <c r="T19" s="139" t="str">
        <f t="shared" si="7"/>
        <v/>
      </c>
      <c r="U19" s="139" t="str">
        <f t="shared" si="8"/>
        <v/>
      </c>
      <c r="V19" s="139" t="str">
        <f t="shared" si="9"/>
        <v/>
      </c>
      <c r="W19" s="141" t="str">
        <f t="shared" si="10"/>
        <v/>
      </c>
      <c r="X19" s="142" t="e">
        <f>IF($O19="","",IF(#REF!="Tolerance",IF((#REF!*3*P19+O19)-E19&lt;F19,"",(#REF!*3*P19+O19)-E19),IF(OR(#REF!="GD&amp;T",#REF!="MAX"),IF((#REF!*3*P19+O19)&lt;F19,"",(#REF!*3*P19+O19)),"")))</f>
        <v>#REF!</v>
      </c>
      <c r="Y19" s="142" t="e">
        <f>IF(O19="","",IF(#REF!="Tolerance",IF(-((#REF!*3*P19)-O19)-E19&gt;G19,"",-((#REF!*3*P19)-O19)-E19),IF(#REF!="MIN",IF(-((#REF!*3*P19)-O19)&gt;G19,"",-((#REF!*3*P19)-O19)),"")))</f>
        <v>#REF!</v>
      </c>
      <c r="Z19" s="142">
        <f t="shared" si="11"/>
        <v>0.77</v>
      </c>
      <c r="AA19" s="142" t="str">
        <f t="shared" si="12"/>
        <v/>
      </c>
      <c r="AB19" s="143"/>
      <c r="AC19" s="144" t="str">
        <f t="shared" si="13"/>
        <v/>
      </c>
      <c r="AD19" s="145"/>
      <c r="AE19" s="146"/>
      <c r="AF19" s="146"/>
      <c r="AG19" s="147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</row>
    <row r="20" spans="2:1011 1029:1998 2212:2967 3121:3396" ht="19.149999999999999" customHeight="1">
      <c r="B20" s="72" t="s">
        <v>228</v>
      </c>
      <c r="C20" s="72" t="s">
        <v>67</v>
      </c>
      <c r="D20" s="74" t="s">
        <v>62</v>
      </c>
      <c r="E20" s="132">
        <v>0.77</v>
      </c>
      <c r="F20" s="133">
        <v>0.02</v>
      </c>
      <c r="G20" s="133">
        <v>-0.02</v>
      </c>
      <c r="H20" s="75" t="s">
        <v>60</v>
      </c>
      <c r="I20" s="39"/>
      <c r="J20" s="134">
        <f t="shared" si="0"/>
        <v>0.79</v>
      </c>
      <c r="K20" s="135">
        <f t="shared" si="14"/>
        <v>0.75</v>
      </c>
      <c r="L20" s="136"/>
      <c r="M20" s="137">
        <f t="shared" si="1"/>
        <v>0</v>
      </c>
      <c r="N20" s="137">
        <f t="shared" si="2"/>
        <v>0</v>
      </c>
      <c r="O20" s="137">
        <f t="shared" si="3"/>
        <v>0</v>
      </c>
      <c r="P20" s="138">
        <f t="shared" si="4"/>
        <v>0</v>
      </c>
      <c r="Q20" s="139" t="str">
        <f t="shared" si="5"/>
        <v/>
      </c>
      <c r="R20" s="140" t="str">
        <f>IF(OR($AI20="",ISNUMBER($AI20)=FALSE),"",IF(AND(#REF!="Tolerance",$E20&lt;&gt;""),($O20-$E20)/(($J20-$K20)/2),IF(AND(#REF!="GD&amp;T",$F20&lt;&gt;""),$O20/$F20,"")))</f>
        <v/>
      </c>
      <c r="S20" s="140" t="str">
        <f t="shared" si="6"/>
        <v/>
      </c>
      <c r="T20" s="139" t="str">
        <f t="shared" si="7"/>
        <v/>
      </c>
      <c r="U20" s="139" t="str">
        <f t="shared" si="8"/>
        <v/>
      </c>
      <c r="V20" s="139" t="str">
        <f t="shared" si="9"/>
        <v/>
      </c>
      <c r="W20" s="141" t="str">
        <f t="shared" si="10"/>
        <v/>
      </c>
      <c r="X20" s="142" t="e">
        <f>IF($O20="","",IF(#REF!="Tolerance",IF((#REF!*3*P20+O20)-E20&lt;F20,"",(#REF!*3*P20+O20)-E20),IF(OR(#REF!="GD&amp;T",#REF!="MAX"),IF((#REF!*3*P20+O20)&lt;F20,"",(#REF!*3*P20+O20)),"")))</f>
        <v>#REF!</v>
      </c>
      <c r="Y20" s="142" t="e">
        <f>IF(O20="","",IF(#REF!="Tolerance",IF(-((#REF!*3*P20)-O20)-E20&gt;G20,"",-((#REF!*3*P20)-O20)-E20),IF(#REF!="MIN",IF(-((#REF!*3*P20)-O20)&gt;G20,"",-((#REF!*3*P20)-O20)),"")))</f>
        <v>#REF!</v>
      </c>
      <c r="Z20" s="142">
        <f t="shared" si="11"/>
        <v>0.77</v>
      </c>
      <c r="AA20" s="142" t="str">
        <f t="shared" si="12"/>
        <v/>
      </c>
      <c r="AB20" s="143"/>
      <c r="AC20" s="144" t="str">
        <f t="shared" si="13"/>
        <v/>
      </c>
      <c r="AD20" s="145"/>
      <c r="AE20" s="146"/>
      <c r="AF20" s="146"/>
      <c r="AG20" s="147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</row>
    <row r="21" spans="2:1011 1029:1998 2212:2967 3121:3396" ht="19.149999999999999" customHeight="1">
      <c r="B21" s="72" t="s">
        <v>229</v>
      </c>
      <c r="C21" s="72" t="s">
        <v>68</v>
      </c>
      <c r="D21" s="74" t="s">
        <v>62</v>
      </c>
      <c r="E21" s="132">
        <v>0.49</v>
      </c>
      <c r="F21" s="133">
        <v>1.4999999999999999E-2</v>
      </c>
      <c r="G21" s="133">
        <v>-1.4999999999999999E-2</v>
      </c>
      <c r="H21" s="75" t="s">
        <v>60</v>
      </c>
      <c r="I21" s="39"/>
      <c r="J21" s="134">
        <f t="shared" si="0"/>
        <v>0.505</v>
      </c>
      <c r="K21" s="135">
        <f t="shared" si="14"/>
        <v>0.47499999999999998</v>
      </c>
      <c r="L21" s="136"/>
      <c r="M21" s="137">
        <f t="shared" si="1"/>
        <v>0</v>
      </c>
      <c r="N21" s="137">
        <f t="shared" si="2"/>
        <v>0</v>
      </c>
      <c r="O21" s="137">
        <f t="shared" si="3"/>
        <v>0</v>
      </c>
      <c r="P21" s="138">
        <f t="shared" si="4"/>
        <v>0</v>
      </c>
      <c r="Q21" s="139" t="str">
        <f t="shared" si="5"/>
        <v/>
      </c>
      <c r="R21" s="140" t="str">
        <f>IF(OR($AI21="",ISNUMBER($AI21)=FALSE),"",IF(AND(#REF!="Tolerance",$E21&lt;&gt;""),($O21-$E21)/(($J21-$K21)/2),IF(AND(#REF!="GD&amp;T",$F21&lt;&gt;""),$O21/$F21,"")))</f>
        <v/>
      </c>
      <c r="S21" s="140" t="str">
        <f t="shared" si="6"/>
        <v/>
      </c>
      <c r="T21" s="139" t="str">
        <f t="shared" si="7"/>
        <v/>
      </c>
      <c r="U21" s="139" t="str">
        <f t="shared" si="8"/>
        <v/>
      </c>
      <c r="V21" s="139" t="str">
        <f t="shared" si="9"/>
        <v/>
      </c>
      <c r="W21" s="141" t="str">
        <f t="shared" si="10"/>
        <v/>
      </c>
      <c r="X21" s="142" t="e">
        <f>IF($O21="","",IF(#REF!="Tolerance",IF((#REF!*3*P21+O21)-E21&lt;F21,"",(#REF!*3*P21+O21)-E21),IF(OR(#REF!="GD&amp;T",#REF!="MAX"),IF((#REF!*3*P21+O21)&lt;F21,"",(#REF!*3*P21+O21)),"")))</f>
        <v>#REF!</v>
      </c>
      <c r="Y21" s="142" t="e">
        <f>IF(O21="","",IF(#REF!="Tolerance",IF(-((#REF!*3*P21)-O21)-E21&gt;G21,"",-((#REF!*3*P21)-O21)-E21),IF(#REF!="MIN",IF(-((#REF!*3*P21)-O21)&gt;G21,"",-((#REF!*3*P21)-O21)),"")))</f>
        <v>#REF!</v>
      </c>
      <c r="Z21" s="142">
        <f t="shared" si="11"/>
        <v>0.49</v>
      </c>
      <c r="AA21" s="142" t="str">
        <f t="shared" si="12"/>
        <v/>
      </c>
      <c r="AB21" s="143"/>
      <c r="AC21" s="144" t="str">
        <f t="shared" si="13"/>
        <v/>
      </c>
      <c r="AD21" s="145"/>
      <c r="AE21" s="146"/>
      <c r="AF21" s="146"/>
      <c r="AG21" s="147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</row>
    <row r="22" spans="2:1011 1029:1998 2212:2967 3121:3396" ht="19.149999999999999" customHeight="1">
      <c r="B22" s="72" t="s">
        <v>230</v>
      </c>
      <c r="C22" s="72" t="s">
        <v>69</v>
      </c>
      <c r="D22" s="74" t="s">
        <v>62</v>
      </c>
      <c r="E22" s="132">
        <v>0.49</v>
      </c>
      <c r="F22" s="133">
        <v>1.4999999999999999E-2</v>
      </c>
      <c r="G22" s="133">
        <v>-1.4999999999999999E-2</v>
      </c>
      <c r="H22" s="75" t="s">
        <v>60</v>
      </c>
      <c r="I22" s="39"/>
      <c r="J22" s="134">
        <f t="shared" si="0"/>
        <v>0.505</v>
      </c>
      <c r="K22" s="135">
        <f t="shared" si="14"/>
        <v>0.47499999999999998</v>
      </c>
      <c r="L22" s="136"/>
      <c r="M22" s="137">
        <f t="shared" si="1"/>
        <v>0</v>
      </c>
      <c r="N22" s="137">
        <f t="shared" si="2"/>
        <v>0</v>
      </c>
      <c r="O22" s="137">
        <f t="shared" si="3"/>
        <v>0</v>
      </c>
      <c r="P22" s="138">
        <f t="shared" si="4"/>
        <v>0</v>
      </c>
      <c r="Q22" s="139" t="str">
        <f t="shared" si="5"/>
        <v/>
      </c>
      <c r="R22" s="140" t="str">
        <f>IF(OR($AI22="",ISNUMBER($AI22)=FALSE),"",IF(AND(#REF!="Tolerance",$E22&lt;&gt;""),($O22-$E22)/(($J22-$K22)/2),IF(AND(#REF!="GD&amp;T",$F22&lt;&gt;""),$O22/$F22,"")))</f>
        <v/>
      </c>
      <c r="S22" s="140" t="str">
        <f t="shared" si="6"/>
        <v/>
      </c>
      <c r="T22" s="139" t="str">
        <f t="shared" si="7"/>
        <v/>
      </c>
      <c r="U22" s="139" t="str">
        <f t="shared" si="8"/>
        <v/>
      </c>
      <c r="V22" s="139" t="str">
        <f t="shared" si="9"/>
        <v/>
      </c>
      <c r="W22" s="141" t="str">
        <f t="shared" si="10"/>
        <v/>
      </c>
      <c r="X22" s="142" t="e">
        <f>IF($O22="","",IF(#REF!="Tolerance",IF((#REF!*3*P22+O22)-E22&lt;F22,"",(#REF!*3*P22+O22)-E22),IF(OR(#REF!="GD&amp;T",#REF!="MAX"),IF((#REF!*3*P22+O22)&lt;F22,"",(#REF!*3*P22+O22)),"")))</f>
        <v>#REF!</v>
      </c>
      <c r="Y22" s="142" t="e">
        <f>IF(O22="","",IF(#REF!="Tolerance",IF(-((#REF!*3*P22)-O22)-E22&gt;G22,"",-((#REF!*3*P22)-O22)-E22),IF(#REF!="MIN",IF(-((#REF!*3*P22)-O22)&gt;G22,"",-((#REF!*3*P22)-O22)),"")))</f>
        <v>#REF!</v>
      </c>
      <c r="Z22" s="142">
        <f t="shared" si="11"/>
        <v>0.49</v>
      </c>
      <c r="AA22" s="142" t="str">
        <f t="shared" si="12"/>
        <v/>
      </c>
      <c r="AB22" s="143"/>
      <c r="AC22" s="144" t="str">
        <f t="shared" si="13"/>
        <v/>
      </c>
      <c r="AD22" s="145"/>
      <c r="AE22" s="146"/>
      <c r="AF22" s="146"/>
      <c r="AG22" s="147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</row>
    <row r="23" spans="2:1011 1029:1998 2212:2967 3121:3396" ht="19.149999999999999" customHeight="1">
      <c r="B23" s="72" t="s">
        <v>231</v>
      </c>
      <c r="C23" s="72" t="s">
        <v>70</v>
      </c>
      <c r="D23" s="74" t="s">
        <v>71</v>
      </c>
      <c r="E23" s="132">
        <v>3.08</v>
      </c>
      <c r="F23" s="133">
        <v>0.03</v>
      </c>
      <c r="G23" s="133">
        <v>-0.03</v>
      </c>
      <c r="H23" s="75" t="s">
        <v>60</v>
      </c>
      <c r="I23" s="39"/>
      <c r="J23" s="134">
        <f t="shared" si="0"/>
        <v>3.11</v>
      </c>
      <c r="K23" s="135">
        <f t="shared" si="14"/>
        <v>3.0500000000000003</v>
      </c>
      <c r="L23" s="136"/>
      <c r="M23" s="137">
        <f t="shared" si="1"/>
        <v>0</v>
      </c>
      <c r="N23" s="137">
        <f t="shared" si="2"/>
        <v>0</v>
      </c>
      <c r="O23" s="137">
        <f t="shared" si="3"/>
        <v>0</v>
      </c>
      <c r="P23" s="138">
        <f t="shared" si="4"/>
        <v>0</v>
      </c>
      <c r="Q23" s="139" t="str">
        <f t="shared" si="5"/>
        <v/>
      </c>
      <c r="R23" s="140" t="str">
        <f>IF(OR($AI23="",ISNUMBER($AI23)=FALSE),"",IF(AND(#REF!="Tolerance",$E23&lt;&gt;""),($O23-$E23)/(($J23-$K23)/2),IF(AND(#REF!="GD&amp;T",$F23&lt;&gt;""),$O23/$F23,"")))</f>
        <v/>
      </c>
      <c r="S23" s="140" t="str">
        <f t="shared" si="6"/>
        <v/>
      </c>
      <c r="T23" s="139" t="str">
        <f t="shared" si="7"/>
        <v/>
      </c>
      <c r="U23" s="139" t="str">
        <f t="shared" si="8"/>
        <v/>
      </c>
      <c r="V23" s="139" t="str">
        <f t="shared" si="9"/>
        <v/>
      </c>
      <c r="W23" s="141" t="str">
        <f t="shared" si="10"/>
        <v/>
      </c>
      <c r="X23" s="142" t="e">
        <f>IF($O23="","",IF(#REF!="Tolerance",IF((#REF!*3*P23+O23)-E23&lt;F23,"",(#REF!*3*P23+O23)-E23),IF(OR(#REF!="GD&amp;T",#REF!="MAX"),IF((#REF!*3*P23+O23)&lt;F23,"",(#REF!*3*P23+O23)),"")))</f>
        <v>#REF!</v>
      </c>
      <c r="Y23" s="142" t="e">
        <f>IF(O23="","",IF(#REF!="Tolerance",IF(-((#REF!*3*P23)-O23)-E23&gt;G23,"",-((#REF!*3*P23)-O23)-E23),IF(#REF!="MIN",IF(-((#REF!*3*P23)-O23)&gt;G23,"",-((#REF!*3*P23)-O23)),"")))</f>
        <v>#REF!</v>
      </c>
      <c r="Z23" s="142">
        <f t="shared" si="11"/>
        <v>3.08</v>
      </c>
      <c r="AA23" s="142" t="str">
        <f t="shared" si="12"/>
        <v/>
      </c>
      <c r="AB23" s="143"/>
      <c r="AC23" s="144" t="str">
        <f t="shared" si="13"/>
        <v/>
      </c>
      <c r="AD23" s="145"/>
      <c r="AE23" s="146"/>
      <c r="AF23" s="146"/>
      <c r="AG23" s="147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</row>
    <row r="24" spans="2:1011 1029:1998 2212:2967 3121:3396" ht="19.149999999999999" customHeight="1">
      <c r="B24" s="72" t="s">
        <v>231</v>
      </c>
      <c r="C24" s="72" t="s">
        <v>72</v>
      </c>
      <c r="D24" s="74" t="s">
        <v>71</v>
      </c>
      <c r="E24" s="132">
        <v>3.08</v>
      </c>
      <c r="F24" s="133">
        <v>0.03</v>
      </c>
      <c r="G24" s="133">
        <v>-0.03</v>
      </c>
      <c r="H24" s="75" t="s">
        <v>60</v>
      </c>
      <c r="I24" s="39"/>
      <c r="J24" s="134">
        <f t="shared" si="0"/>
        <v>3.11</v>
      </c>
      <c r="K24" s="135">
        <f t="shared" si="14"/>
        <v>3.0500000000000003</v>
      </c>
      <c r="L24" s="136"/>
      <c r="M24" s="137">
        <f t="shared" si="1"/>
        <v>0</v>
      </c>
      <c r="N24" s="137">
        <f t="shared" si="2"/>
        <v>0</v>
      </c>
      <c r="O24" s="137">
        <f t="shared" si="3"/>
        <v>0</v>
      </c>
      <c r="P24" s="138">
        <f t="shared" si="4"/>
        <v>0</v>
      </c>
      <c r="Q24" s="139" t="str">
        <f t="shared" si="5"/>
        <v/>
      </c>
      <c r="R24" s="140" t="str">
        <f>IF(OR($AI24="",ISNUMBER($AI24)=FALSE),"",IF(AND(#REF!="Tolerance",$E24&lt;&gt;""),($O24-$E24)/(($J24-$K24)/2),IF(AND(#REF!="GD&amp;T",$F24&lt;&gt;""),$O24/$F24,"")))</f>
        <v/>
      </c>
      <c r="S24" s="140" t="str">
        <f t="shared" si="6"/>
        <v/>
      </c>
      <c r="T24" s="139" t="str">
        <f t="shared" si="7"/>
        <v/>
      </c>
      <c r="U24" s="139" t="str">
        <f t="shared" si="8"/>
        <v/>
      </c>
      <c r="V24" s="139" t="str">
        <f t="shared" si="9"/>
        <v/>
      </c>
      <c r="W24" s="141" t="str">
        <f t="shared" si="10"/>
        <v/>
      </c>
      <c r="X24" s="142" t="e">
        <f>IF($O24="","",IF(#REF!="Tolerance",IF((#REF!*3*P24+O24)-E24&lt;F24,"",(#REF!*3*P24+O24)-E24),IF(OR(#REF!="GD&amp;T",#REF!="MAX"),IF((#REF!*3*P24+O24)&lt;F24,"",(#REF!*3*P24+O24)),"")))</f>
        <v>#REF!</v>
      </c>
      <c r="Y24" s="142" t="e">
        <f>IF(O24="","",IF(#REF!="Tolerance",IF(-((#REF!*3*P24)-O24)-E24&gt;G24,"",-((#REF!*3*P24)-O24)-E24),IF(#REF!="MIN",IF(-((#REF!*3*P24)-O24)&gt;G24,"",-((#REF!*3*P24)-O24)),"")))</f>
        <v>#REF!</v>
      </c>
      <c r="Z24" s="142">
        <f t="shared" si="11"/>
        <v>3.08</v>
      </c>
      <c r="AA24" s="142" t="str">
        <f t="shared" si="12"/>
        <v/>
      </c>
      <c r="AB24" s="143"/>
      <c r="AC24" s="144" t="str">
        <f t="shared" si="13"/>
        <v/>
      </c>
      <c r="AD24" s="145"/>
      <c r="AE24" s="146"/>
      <c r="AF24" s="146"/>
      <c r="AG24" s="147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</row>
    <row r="25" spans="2:1011 1029:1998 2212:2967 3121:3396" ht="19.149999999999999" customHeight="1">
      <c r="B25" s="72" t="s">
        <v>231</v>
      </c>
      <c r="C25" s="72" t="s">
        <v>73</v>
      </c>
      <c r="D25" s="74" t="s">
        <v>71</v>
      </c>
      <c r="E25" s="132">
        <v>3.08</v>
      </c>
      <c r="F25" s="133">
        <v>0.03</v>
      </c>
      <c r="G25" s="133">
        <v>-0.03</v>
      </c>
      <c r="H25" s="75" t="s">
        <v>60</v>
      </c>
      <c r="I25" s="39"/>
      <c r="J25" s="134">
        <f t="shared" si="0"/>
        <v>3.11</v>
      </c>
      <c r="K25" s="135">
        <f t="shared" si="14"/>
        <v>3.0500000000000003</v>
      </c>
      <c r="L25" s="136"/>
      <c r="M25" s="137">
        <f t="shared" si="1"/>
        <v>0</v>
      </c>
      <c r="N25" s="137">
        <f t="shared" si="2"/>
        <v>0</v>
      </c>
      <c r="O25" s="137">
        <f t="shared" si="3"/>
        <v>0</v>
      </c>
      <c r="P25" s="138">
        <f t="shared" si="4"/>
        <v>0</v>
      </c>
      <c r="Q25" s="139" t="str">
        <f t="shared" si="5"/>
        <v/>
      </c>
      <c r="R25" s="140" t="str">
        <f>IF(OR($AI25="",ISNUMBER($AI25)=FALSE),"",IF(AND(#REF!="Tolerance",$E25&lt;&gt;""),($O25-$E25)/(($J25-$K25)/2),IF(AND(#REF!="GD&amp;T",$F25&lt;&gt;""),$O25/$F25,"")))</f>
        <v/>
      </c>
      <c r="S25" s="140" t="str">
        <f t="shared" si="6"/>
        <v/>
      </c>
      <c r="T25" s="139" t="str">
        <f t="shared" si="7"/>
        <v/>
      </c>
      <c r="U25" s="139" t="str">
        <f t="shared" si="8"/>
        <v/>
      </c>
      <c r="V25" s="139" t="str">
        <f t="shared" si="9"/>
        <v/>
      </c>
      <c r="W25" s="141" t="str">
        <f t="shared" si="10"/>
        <v/>
      </c>
      <c r="X25" s="142" t="e">
        <f>IF($O25="","",IF(#REF!="Tolerance",IF((#REF!*3*P25+O25)-E25&lt;F25,"",(#REF!*3*P25+O25)-E25),IF(OR(#REF!="GD&amp;T",#REF!="MAX"),IF((#REF!*3*P25+O25)&lt;F25,"",(#REF!*3*P25+O25)),"")))</f>
        <v>#REF!</v>
      </c>
      <c r="Y25" s="142" t="e">
        <f>IF(O25="","",IF(#REF!="Tolerance",IF(-((#REF!*3*P25)-O25)-E25&gt;G25,"",-((#REF!*3*P25)-O25)-E25),IF(#REF!="MIN",IF(-((#REF!*3*P25)-O25)&gt;G25,"",-((#REF!*3*P25)-O25)),"")))</f>
        <v>#REF!</v>
      </c>
      <c r="Z25" s="142">
        <f t="shared" si="11"/>
        <v>3.08</v>
      </c>
      <c r="AA25" s="142" t="str">
        <f t="shared" si="12"/>
        <v/>
      </c>
      <c r="AB25" s="143"/>
      <c r="AC25" s="144" t="str">
        <f t="shared" si="13"/>
        <v/>
      </c>
      <c r="AD25" s="145"/>
      <c r="AE25" s="146"/>
      <c r="AF25" s="146"/>
      <c r="AG25" s="147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6"/>
      <c r="BN25" s="76"/>
    </row>
    <row r="26" spans="2:1011 1029:1998 2212:2967 3121:3396" ht="19.149999999999999" customHeight="1">
      <c r="B26" s="72" t="s">
        <v>231</v>
      </c>
      <c r="C26" s="72" t="s">
        <v>74</v>
      </c>
      <c r="D26" s="74" t="s">
        <v>71</v>
      </c>
      <c r="E26" s="132">
        <v>3.08</v>
      </c>
      <c r="F26" s="133">
        <v>0.03</v>
      </c>
      <c r="G26" s="133">
        <v>-0.03</v>
      </c>
      <c r="H26" s="75" t="s">
        <v>60</v>
      </c>
      <c r="I26" s="39"/>
      <c r="J26" s="134">
        <f t="shared" si="0"/>
        <v>3.11</v>
      </c>
      <c r="K26" s="135">
        <f t="shared" si="14"/>
        <v>3.0500000000000003</v>
      </c>
      <c r="L26" s="136"/>
      <c r="M26" s="137">
        <f t="shared" si="1"/>
        <v>0</v>
      </c>
      <c r="N26" s="137">
        <f t="shared" si="2"/>
        <v>0</v>
      </c>
      <c r="O26" s="137">
        <f t="shared" si="3"/>
        <v>0</v>
      </c>
      <c r="P26" s="138">
        <f t="shared" si="4"/>
        <v>0</v>
      </c>
      <c r="Q26" s="139" t="str">
        <f t="shared" si="5"/>
        <v/>
      </c>
      <c r="R26" s="140" t="str">
        <f>IF(OR($AI26="",ISNUMBER($AI26)=FALSE),"",IF(AND(#REF!="Tolerance",$E26&lt;&gt;""),($O26-$E26)/(($J26-$K26)/2),IF(AND(#REF!="GD&amp;T",$F26&lt;&gt;""),$O26/$F26,"")))</f>
        <v/>
      </c>
      <c r="S26" s="140" t="str">
        <f t="shared" si="6"/>
        <v/>
      </c>
      <c r="T26" s="139" t="str">
        <f t="shared" si="7"/>
        <v/>
      </c>
      <c r="U26" s="139" t="str">
        <f t="shared" si="8"/>
        <v/>
      </c>
      <c r="V26" s="139" t="str">
        <f t="shared" si="9"/>
        <v/>
      </c>
      <c r="W26" s="141" t="str">
        <f t="shared" si="10"/>
        <v/>
      </c>
      <c r="X26" s="142" t="e">
        <f>IF($O26="","",IF(#REF!="Tolerance",IF((#REF!*3*P26+O26)-E26&lt;F26,"",(#REF!*3*P26+O26)-E26),IF(OR(#REF!="GD&amp;T",#REF!="MAX"),IF((#REF!*3*P26+O26)&lt;F26,"",(#REF!*3*P26+O26)),"")))</f>
        <v>#REF!</v>
      </c>
      <c r="Y26" s="142" t="e">
        <f>IF(O26="","",IF(#REF!="Tolerance",IF(-((#REF!*3*P26)-O26)-E26&gt;G26,"",-((#REF!*3*P26)-O26)-E26),IF(#REF!="MIN",IF(-((#REF!*3*P26)-O26)&gt;G26,"",-((#REF!*3*P26)-O26)),"")))</f>
        <v>#REF!</v>
      </c>
      <c r="Z26" s="142">
        <f t="shared" si="11"/>
        <v>3.08</v>
      </c>
      <c r="AA26" s="142" t="str">
        <f t="shared" si="12"/>
        <v/>
      </c>
      <c r="AB26" s="143"/>
      <c r="AC26" s="144" t="str">
        <f t="shared" si="13"/>
        <v/>
      </c>
      <c r="AD26" s="145"/>
      <c r="AE26" s="146"/>
      <c r="AF26" s="146"/>
      <c r="AG26" s="147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</row>
    <row r="27" spans="2:1011 1029:1998 2212:2967 3121:3396" ht="19.149999999999999" customHeight="1">
      <c r="B27" s="72" t="s">
        <v>231</v>
      </c>
      <c r="C27" s="72" t="s">
        <v>75</v>
      </c>
      <c r="D27" s="74" t="s">
        <v>71</v>
      </c>
      <c r="E27" s="132">
        <v>3.08</v>
      </c>
      <c r="F27" s="133">
        <v>0.03</v>
      </c>
      <c r="G27" s="133">
        <v>-0.03</v>
      </c>
      <c r="H27" s="75" t="s">
        <v>60</v>
      </c>
      <c r="I27" s="39"/>
      <c r="J27" s="134">
        <f t="shared" si="0"/>
        <v>3.11</v>
      </c>
      <c r="K27" s="135">
        <f t="shared" si="14"/>
        <v>3.0500000000000003</v>
      </c>
      <c r="L27" s="136"/>
      <c r="M27" s="137">
        <f t="shared" si="1"/>
        <v>0</v>
      </c>
      <c r="N27" s="137">
        <f t="shared" si="2"/>
        <v>0</v>
      </c>
      <c r="O27" s="137">
        <f t="shared" si="3"/>
        <v>0</v>
      </c>
      <c r="P27" s="138">
        <f t="shared" si="4"/>
        <v>0</v>
      </c>
      <c r="Q27" s="139" t="str">
        <f t="shared" si="5"/>
        <v/>
      </c>
      <c r="R27" s="140" t="str">
        <f>IF(OR($AI27="",ISNUMBER($AI27)=FALSE),"",IF(AND(#REF!="Tolerance",$E27&lt;&gt;""),($O27-$E27)/(($J27-$K27)/2),IF(AND(#REF!="GD&amp;T",$F27&lt;&gt;""),$O27/$F27,"")))</f>
        <v/>
      </c>
      <c r="S27" s="140" t="str">
        <f t="shared" si="6"/>
        <v/>
      </c>
      <c r="T27" s="139" t="str">
        <f t="shared" si="7"/>
        <v/>
      </c>
      <c r="U27" s="139" t="str">
        <f t="shared" si="8"/>
        <v/>
      </c>
      <c r="V27" s="139" t="str">
        <f t="shared" si="9"/>
        <v/>
      </c>
      <c r="W27" s="141" t="str">
        <f t="shared" si="10"/>
        <v/>
      </c>
      <c r="X27" s="142" t="e">
        <f>IF($O27="","",IF(#REF!="Tolerance",IF((#REF!*3*P27+O27)-E27&lt;F27,"",(#REF!*3*P27+O27)-E27),IF(OR(#REF!="GD&amp;T",#REF!="MAX"),IF((#REF!*3*P27+O27)&lt;F27,"",(#REF!*3*P27+O27)),"")))</f>
        <v>#REF!</v>
      </c>
      <c r="Y27" s="142" t="e">
        <f>IF(O27="","",IF(#REF!="Tolerance",IF(-((#REF!*3*P27)-O27)-E27&gt;G27,"",-((#REF!*3*P27)-O27)-E27),IF(#REF!="MIN",IF(-((#REF!*3*P27)-O27)&gt;G27,"",-((#REF!*3*P27)-O27)),"")))</f>
        <v>#REF!</v>
      </c>
      <c r="Z27" s="142">
        <f t="shared" si="11"/>
        <v>3.08</v>
      </c>
      <c r="AA27" s="142" t="str">
        <f t="shared" si="12"/>
        <v/>
      </c>
      <c r="AB27" s="143"/>
      <c r="AC27" s="144" t="str">
        <f t="shared" si="13"/>
        <v/>
      </c>
      <c r="AD27" s="145"/>
      <c r="AE27" s="146"/>
      <c r="AF27" s="146"/>
      <c r="AG27" s="147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6"/>
      <c r="BK27" s="76"/>
      <c r="BL27" s="76"/>
      <c r="BM27" s="76"/>
      <c r="BN27" s="76"/>
    </row>
    <row r="28" spans="2:1011 1029:1998 2212:2967 3121:3396" ht="19.149999999999999" customHeight="1">
      <c r="B28" s="72" t="s">
        <v>231</v>
      </c>
      <c r="C28" s="72" t="s">
        <v>76</v>
      </c>
      <c r="D28" s="74" t="s">
        <v>71</v>
      </c>
      <c r="E28" s="132">
        <v>3.08</v>
      </c>
      <c r="F28" s="133">
        <v>0.03</v>
      </c>
      <c r="G28" s="133">
        <v>-0.03</v>
      </c>
      <c r="H28" s="75" t="s">
        <v>60</v>
      </c>
      <c r="I28" s="39"/>
      <c r="J28" s="134">
        <f t="shared" si="0"/>
        <v>3.11</v>
      </c>
      <c r="K28" s="135">
        <f t="shared" si="14"/>
        <v>3.0500000000000003</v>
      </c>
      <c r="L28" s="136"/>
      <c r="M28" s="137">
        <f t="shared" si="1"/>
        <v>0</v>
      </c>
      <c r="N28" s="137">
        <f t="shared" si="2"/>
        <v>0</v>
      </c>
      <c r="O28" s="137">
        <f t="shared" si="3"/>
        <v>0</v>
      </c>
      <c r="P28" s="138">
        <f t="shared" si="4"/>
        <v>0</v>
      </c>
      <c r="Q28" s="139" t="str">
        <f t="shared" si="5"/>
        <v/>
      </c>
      <c r="R28" s="140" t="str">
        <f>IF(OR($AI28="",ISNUMBER($AI28)=FALSE),"",IF(AND(#REF!="Tolerance",$E28&lt;&gt;""),($O28-$E28)/(($J28-$K28)/2),IF(AND(#REF!="GD&amp;T",$F28&lt;&gt;""),$O28/$F28,"")))</f>
        <v/>
      </c>
      <c r="S28" s="140" t="str">
        <f t="shared" si="6"/>
        <v/>
      </c>
      <c r="T28" s="139" t="str">
        <f t="shared" si="7"/>
        <v/>
      </c>
      <c r="U28" s="139" t="str">
        <f t="shared" si="8"/>
        <v/>
      </c>
      <c r="V28" s="139" t="str">
        <f t="shared" si="9"/>
        <v/>
      </c>
      <c r="W28" s="141" t="str">
        <f t="shared" si="10"/>
        <v/>
      </c>
      <c r="X28" s="142" t="e">
        <f>IF($O28="","",IF(#REF!="Tolerance",IF((#REF!*3*P28+O28)-E28&lt;F28,"",(#REF!*3*P28+O28)-E28),IF(OR(#REF!="GD&amp;T",#REF!="MAX"),IF((#REF!*3*P28+O28)&lt;F28,"",(#REF!*3*P28+O28)),"")))</f>
        <v>#REF!</v>
      </c>
      <c r="Y28" s="142" t="e">
        <f>IF(O28="","",IF(#REF!="Tolerance",IF(-((#REF!*3*P28)-O28)-E28&gt;G28,"",-((#REF!*3*P28)-O28)-E28),IF(#REF!="MIN",IF(-((#REF!*3*P28)-O28)&gt;G28,"",-((#REF!*3*P28)-O28)),"")))</f>
        <v>#REF!</v>
      </c>
      <c r="Z28" s="142">
        <f t="shared" si="11"/>
        <v>3.08</v>
      </c>
      <c r="AA28" s="142" t="str">
        <f t="shared" si="12"/>
        <v/>
      </c>
      <c r="AB28" s="143"/>
      <c r="AC28" s="144" t="str">
        <f t="shared" si="13"/>
        <v/>
      </c>
      <c r="AD28" s="145"/>
      <c r="AE28" s="146"/>
      <c r="AF28" s="146"/>
      <c r="AG28" s="147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  <c r="BM28" s="76"/>
      <c r="BN28" s="76"/>
    </row>
    <row r="29" spans="2:1011 1029:1998 2212:2967 3121:3396" ht="19.149999999999999" customHeight="1">
      <c r="B29" s="72" t="s">
        <v>232</v>
      </c>
      <c r="C29" s="72" t="s">
        <v>77</v>
      </c>
      <c r="D29" s="74" t="s">
        <v>78</v>
      </c>
      <c r="E29" s="132"/>
      <c r="F29" s="133">
        <v>0.03</v>
      </c>
      <c r="G29" s="133"/>
      <c r="H29" s="75" t="s">
        <v>60</v>
      </c>
      <c r="I29" s="39"/>
      <c r="J29" s="134">
        <f t="shared" si="0"/>
        <v>0.03</v>
      </c>
      <c r="K29" s="135"/>
      <c r="L29" s="136"/>
      <c r="M29" s="137">
        <f t="shared" si="1"/>
        <v>0</v>
      </c>
      <c r="N29" s="137">
        <f t="shared" si="2"/>
        <v>0</v>
      </c>
      <c r="O29" s="137">
        <f t="shared" si="3"/>
        <v>0</v>
      </c>
      <c r="P29" s="138">
        <f t="shared" si="4"/>
        <v>0</v>
      </c>
      <c r="Q29" s="139" t="str">
        <f t="shared" si="5"/>
        <v/>
      </c>
      <c r="R29" s="140" t="str">
        <f>IF(OR($AI29="",ISNUMBER($AI29)=FALSE),"",IF(AND(#REF!="Tolerance",$E29&lt;&gt;""),($O29-$E29)/(($J29-$K29)/2),IF(AND(#REF!="GD&amp;T",$F29&lt;&gt;""),$O29/$F29,"")))</f>
        <v/>
      </c>
      <c r="S29" s="140" t="str">
        <f t="shared" si="6"/>
        <v/>
      </c>
      <c r="T29" s="139" t="str">
        <f t="shared" si="7"/>
        <v/>
      </c>
      <c r="U29" s="139" t="str">
        <f t="shared" si="8"/>
        <v/>
      </c>
      <c r="V29" s="139" t="str">
        <f t="shared" si="9"/>
        <v/>
      </c>
      <c r="W29" s="141" t="str">
        <f t="shared" si="10"/>
        <v/>
      </c>
      <c r="X29" s="142" t="e">
        <f>IF($O29="","",IF(#REF!="Tolerance",IF((#REF!*3*P29+O29)-E29&lt;F29,"",(#REF!*3*P29+O29)-E29),IF(OR(#REF!="GD&amp;T",#REF!="MAX"),IF((#REF!*3*P29+O29)&lt;F29,"",(#REF!*3*P29+O29)),"")))</f>
        <v>#REF!</v>
      </c>
      <c r="Y29" s="142" t="e">
        <f>IF(O29="","",IF(#REF!="Tolerance",IF(-((#REF!*3*P29)-O29)-E29&gt;G29,"",-((#REF!*3*P29)-O29)-E29),IF(#REF!="MIN",IF(-((#REF!*3*P29)-O29)&gt;G29,"",-((#REF!*3*P29)-O29)),"")))</f>
        <v>#REF!</v>
      </c>
      <c r="Z29" s="142" t="str">
        <f t="shared" si="11"/>
        <v/>
      </c>
      <c r="AA29" s="142" t="str">
        <f t="shared" si="12"/>
        <v/>
      </c>
      <c r="AB29" s="143"/>
      <c r="AC29" s="144" t="str">
        <f t="shared" si="13"/>
        <v/>
      </c>
      <c r="AD29" s="145"/>
      <c r="AE29" s="146"/>
      <c r="AF29" s="146"/>
      <c r="AG29" s="147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6"/>
      <c r="BK29" s="76"/>
      <c r="BL29" s="76"/>
      <c r="BM29" s="76"/>
      <c r="BN29" s="76"/>
    </row>
    <row r="30" spans="2:1011 1029:1998 2212:2967 3121:3396" ht="19.149999999999999" customHeight="1">
      <c r="B30" s="72" t="s">
        <v>233</v>
      </c>
      <c r="C30" s="72" t="s">
        <v>79</v>
      </c>
      <c r="D30" s="74" t="s">
        <v>62</v>
      </c>
      <c r="E30" s="132">
        <v>0.55000000000000004</v>
      </c>
      <c r="F30" s="133">
        <v>0.03</v>
      </c>
      <c r="G30" s="133">
        <v>-0.03</v>
      </c>
      <c r="H30" s="75" t="s">
        <v>60</v>
      </c>
      <c r="I30" s="39"/>
      <c r="J30" s="134">
        <f t="shared" si="0"/>
        <v>0.58000000000000007</v>
      </c>
      <c r="K30" s="135">
        <f t="shared" si="14"/>
        <v>0.52</v>
      </c>
      <c r="L30" s="136"/>
      <c r="M30" s="137">
        <f t="shared" si="1"/>
        <v>0</v>
      </c>
      <c r="N30" s="137">
        <f t="shared" si="2"/>
        <v>0</v>
      </c>
      <c r="O30" s="137">
        <f t="shared" si="3"/>
        <v>0</v>
      </c>
      <c r="P30" s="138">
        <f t="shared" si="4"/>
        <v>0</v>
      </c>
      <c r="Q30" s="139" t="str">
        <f t="shared" si="5"/>
        <v/>
      </c>
      <c r="R30" s="140" t="str">
        <f>IF(OR($AI30="",ISNUMBER($AI30)=FALSE),"",IF(AND(#REF!="Tolerance",$E30&lt;&gt;""),($O30-$E30)/(($J30-$K30)/2),IF(AND(#REF!="GD&amp;T",$F30&lt;&gt;""),$O30/$F30,"")))</f>
        <v/>
      </c>
      <c r="S30" s="140" t="str">
        <f t="shared" si="6"/>
        <v/>
      </c>
      <c r="T30" s="139" t="str">
        <f t="shared" si="7"/>
        <v/>
      </c>
      <c r="U30" s="139" t="str">
        <f t="shared" si="8"/>
        <v/>
      </c>
      <c r="V30" s="139" t="str">
        <f t="shared" si="9"/>
        <v/>
      </c>
      <c r="W30" s="141" t="str">
        <f t="shared" si="10"/>
        <v/>
      </c>
      <c r="X30" s="142" t="e">
        <f>IF($O30="","",IF(#REF!="Tolerance",IF((#REF!*3*P30+O30)-E30&lt;F30,"",(#REF!*3*P30+O30)-E30),IF(OR(#REF!="GD&amp;T",#REF!="MAX"),IF((#REF!*3*P30+O30)&lt;F30,"",(#REF!*3*P30+O30)),"")))</f>
        <v>#REF!</v>
      </c>
      <c r="Y30" s="142" t="e">
        <f>IF(O30="","",IF(#REF!="Tolerance",IF(-((#REF!*3*P30)-O30)-E30&gt;G30,"",-((#REF!*3*P30)-O30)-E30),IF(#REF!="MIN",IF(-((#REF!*3*P30)-O30)&gt;G30,"",-((#REF!*3*P30)-O30)),"")))</f>
        <v>#REF!</v>
      </c>
      <c r="Z30" s="142">
        <f t="shared" si="11"/>
        <v>0.55000000000000004</v>
      </c>
      <c r="AA30" s="142" t="str">
        <f t="shared" si="12"/>
        <v/>
      </c>
      <c r="AB30" s="143"/>
      <c r="AC30" s="144" t="str">
        <f t="shared" si="13"/>
        <v/>
      </c>
      <c r="AD30" s="145"/>
      <c r="AE30" s="146"/>
      <c r="AF30" s="146"/>
      <c r="AG30" s="147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6"/>
      <c r="BK30" s="76"/>
      <c r="BL30" s="76"/>
      <c r="BM30" s="76"/>
      <c r="BN30" s="76"/>
    </row>
    <row r="31" spans="2:1011 1029:1998 2212:2967 3121:3396" ht="19.149999999999999" customHeight="1">
      <c r="B31" s="72" t="s">
        <v>234</v>
      </c>
      <c r="C31" s="72" t="s">
        <v>80</v>
      </c>
      <c r="D31" s="74" t="s">
        <v>62</v>
      </c>
      <c r="E31" s="132">
        <v>0.55000000000000004</v>
      </c>
      <c r="F31" s="133">
        <v>0.03</v>
      </c>
      <c r="G31" s="133">
        <v>-0.03</v>
      </c>
      <c r="H31" s="75" t="s">
        <v>60</v>
      </c>
      <c r="I31" s="39"/>
      <c r="J31" s="134">
        <f t="shared" si="0"/>
        <v>0.58000000000000007</v>
      </c>
      <c r="K31" s="135">
        <f t="shared" si="14"/>
        <v>0.52</v>
      </c>
      <c r="L31" s="136"/>
      <c r="M31" s="137">
        <f t="shared" si="1"/>
        <v>0</v>
      </c>
      <c r="N31" s="137">
        <f t="shared" si="2"/>
        <v>0</v>
      </c>
      <c r="O31" s="137">
        <f t="shared" si="3"/>
        <v>0</v>
      </c>
      <c r="P31" s="138">
        <f t="shared" si="4"/>
        <v>0</v>
      </c>
      <c r="Q31" s="139" t="str">
        <f t="shared" si="5"/>
        <v/>
      </c>
      <c r="R31" s="140" t="str">
        <f>IF(OR($AI31="",ISNUMBER($AI31)=FALSE),"",IF(AND(#REF!="Tolerance",$E31&lt;&gt;""),($O31-$E31)/(($J31-$K31)/2),IF(AND(#REF!="GD&amp;T",$F31&lt;&gt;""),$O31/$F31,"")))</f>
        <v/>
      </c>
      <c r="S31" s="140" t="str">
        <f t="shared" si="6"/>
        <v/>
      </c>
      <c r="T31" s="139" t="str">
        <f t="shared" si="7"/>
        <v/>
      </c>
      <c r="U31" s="139" t="str">
        <f t="shared" si="8"/>
        <v/>
      </c>
      <c r="V31" s="139" t="str">
        <f t="shared" si="9"/>
        <v/>
      </c>
      <c r="W31" s="141" t="str">
        <f t="shared" si="10"/>
        <v/>
      </c>
      <c r="X31" s="142" t="e">
        <f>IF($O31="","",IF(#REF!="Tolerance",IF((#REF!*3*P31+O31)-E31&lt;F31,"",(#REF!*3*P31+O31)-E31),IF(OR(#REF!="GD&amp;T",#REF!="MAX"),IF((#REF!*3*P31+O31)&lt;F31,"",(#REF!*3*P31+O31)),"")))</f>
        <v>#REF!</v>
      </c>
      <c r="Y31" s="142" t="e">
        <f>IF(O31="","",IF(#REF!="Tolerance",IF(-((#REF!*3*P31)-O31)-E31&gt;G31,"",-((#REF!*3*P31)-O31)-E31),IF(#REF!="MIN",IF(-((#REF!*3*P31)-O31)&gt;G31,"",-((#REF!*3*P31)-O31)),"")))</f>
        <v>#REF!</v>
      </c>
      <c r="Z31" s="142">
        <f t="shared" si="11"/>
        <v>0.55000000000000004</v>
      </c>
      <c r="AA31" s="142" t="str">
        <f t="shared" si="12"/>
        <v/>
      </c>
      <c r="AB31" s="143"/>
      <c r="AC31" s="144" t="str">
        <f t="shared" si="13"/>
        <v/>
      </c>
      <c r="AD31" s="145"/>
      <c r="AE31" s="146"/>
      <c r="AF31" s="146"/>
      <c r="AG31" s="147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6"/>
      <c r="BM31" s="76"/>
      <c r="BN31" s="76"/>
    </row>
    <row r="32" spans="2:1011 1029:1998 2212:2967 3121:3396" ht="19.149999999999999" customHeight="1">
      <c r="B32" s="72" t="s">
        <v>235</v>
      </c>
      <c r="C32" s="72" t="s">
        <v>81</v>
      </c>
      <c r="D32" s="74" t="s">
        <v>62</v>
      </c>
      <c r="E32" s="132">
        <v>0.55000000000000004</v>
      </c>
      <c r="F32" s="133">
        <v>0.03</v>
      </c>
      <c r="G32" s="133">
        <v>-0.03</v>
      </c>
      <c r="H32" s="75" t="s">
        <v>60</v>
      </c>
      <c r="I32" s="39"/>
      <c r="J32" s="134">
        <f t="shared" si="0"/>
        <v>0.58000000000000007</v>
      </c>
      <c r="K32" s="135">
        <f t="shared" si="14"/>
        <v>0.52</v>
      </c>
      <c r="L32" s="136"/>
      <c r="M32" s="137">
        <f t="shared" si="1"/>
        <v>0</v>
      </c>
      <c r="N32" s="137">
        <f t="shared" si="2"/>
        <v>0</v>
      </c>
      <c r="O32" s="137">
        <f t="shared" si="3"/>
        <v>0</v>
      </c>
      <c r="P32" s="138">
        <f t="shared" si="4"/>
        <v>0</v>
      </c>
      <c r="Q32" s="139" t="str">
        <f t="shared" si="5"/>
        <v/>
      </c>
      <c r="R32" s="140" t="str">
        <f>IF(OR($AI32="",ISNUMBER($AI32)=FALSE),"",IF(AND(#REF!="Tolerance",$E32&lt;&gt;""),($O32-$E32)/(($J32-$K32)/2),IF(AND(#REF!="GD&amp;T",$F32&lt;&gt;""),$O32/$F32,"")))</f>
        <v/>
      </c>
      <c r="S32" s="140" t="str">
        <f t="shared" si="6"/>
        <v/>
      </c>
      <c r="T32" s="139" t="str">
        <f t="shared" si="7"/>
        <v/>
      </c>
      <c r="U32" s="139" t="str">
        <f t="shared" si="8"/>
        <v/>
      </c>
      <c r="V32" s="139" t="str">
        <f t="shared" si="9"/>
        <v/>
      </c>
      <c r="W32" s="141" t="str">
        <f t="shared" si="10"/>
        <v/>
      </c>
      <c r="X32" s="142" t="e">
        <f>IF($O32="","",IF(#REF!="Tolerance",IF((#REF!*3*P32+O32)-E32&lt;F32,"",(#REF!*3*P32+O32)-E32),IF(OR(#REF!="GD&amp;T",#REF!="MAX"),IF((#REF!*3*P32+O32)&lt;F32,"",(#REF!*3*P32+O32)),"")))</f>
        <v>#REF!</v>
      </c>
      <c r="Y32" s="142" t="e">
        <f>IF(O32="","",IF(#REF!="Tolerance",IF(-((#REF!*3*P32)-O32)-E32&gt;G32,"",-((#REF!*3*P32)-O32)-E32),IF(#REF!="MIN",IF(-((#REF!*3*P32)-O32)&gt;G32,"",-((#REF!*3*P32)-O32)),"")))</f>
        <v>#REF!</v>
      </c>
      <c r="Z32" s="142">
        <f t="shared" si="11"/>
        <v>0.55000000000000004</v>
      </c>
      <c r="AA32" s="142" t="str">
        <f t="shared" si="12"/>
        <v/>
      </c>
      <c r="AB32" s="143"/>
      <c r="AC32" s="144" t="str">
        <f t="shared" si="13"/>
        <v/>
      </c>
      <c r="AD32" s="145"/>
      <c r="AE32" s="146"/>
      <c r="AF32" s="146"/>
      <c r="AG32" s="147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6"/>
      <c r="BK32" s="76"/>
      <c r="BL32" s="76"/>
      <c r="BM32" s="76"/>
      <c r="BN32" s="76"/>
    </row>
    <row r="33" spans="2:66" ht="19.149999999999999" customHeight="1">
      <c r="B33" s="72" t="s">
        <v>236</v>
      </c>
      <c r="C33" s="72" t="s">
        <v>82</v>
      </c>
      <c r="D33" s="74" t="s">
        <v>62</v>
      </c>
      <c r="E33" s="132">
        <v>0.55000000000000004</v>
      </c>
      <c r="F33" s="133">
        <v>0.03</v>
      </c>
      <c r="G33" s="133">
        <v>-0.03</v>
      </c>
      <c r="H33" s="75" t="s">
        <v>60</v>
      </c>
      <c r="I33" s="39"/>
      <c r="J33" s="134">
        <f t="shared" si="0"/>
        <v>0.58000000000000007</v>
      </c>
      <c r="K33" s="135">
        <f t="shared" si="14"/>
        <v>0.52</v>
      </c>
      <c r="L33" s="136"/>
      <c r="M33" s="137">
        <f t="shared" si="1"/>
        <v>0</v>
      </c>
      <c r="N33" s="137">
        <f t="shared" si="2"/>
        <v>0</v>
      </c>
      <c r="O33" s="137">
        <f t="shared" si="3"/>
        <v>0</v>
      </c>
      <c r="P33" s="138">
        <f t="shared" si="4"/>
        <v>0</v>
      </c>
      <c r="Q33" s="139" t="str">
        <f t="shared" si="5"/>
        <v/>
      </c>
      <c r="R33" s="140" t="str">
        <f>IF(OR($AI33="",ISNUMBER($AI33)=FALSE),"",IF(AND(#REF!="Tolerance",$E33&lt;&gt;""),($O33-$E33)/(($J33-$K33)/2),IF(AND(#REF!="GD&amp;T",$F33&lt;&gt;""),$O33/$F33,"")))</f>
        <v/>
      </c>
      <c r="S33" s="140" t="str">
        <f t="shared" si="6"/>
        <v/>
      </c>
      <c r="T33" s="139" t="str">
        <f t="shared" si="7"/>
        <v/>
      </c>
      <c r="U33" s="139" t="str">
        <f t="shared" si="8"/>
        <v/>
      </c>
      <c r="V33" s="139" t="str">
        <f t="shared" si="9"/>
        <v/>
      </c>
      <c r="W33" s="141" t="str">
        <f t="shared" si="10"/>
        <v/>
      </c>
      <c r="X33" s="142" t="e">
        <f>IF($O33="","",IF(#REF!="Tolerance",IF((#REF!*3*P33+O33)-E33&lt;F33,"",(#REF!*3*P33+O33)-E33),IF(OR(#REF!="GD&amp;T",#REF!="MAX"),IF((#REF!*3*P33+O33)&lt;F33,"",(#REF!*3*P33+O33)),"")))</f>
        <v>#REF!</v>
      </c>
      <c r="Y33" s="142" t="e">
        <f>IF(O33="","",IF(#REF!="Tolerance",IF(-((#REF!*3*P33)-O33)-E33&gt;G33,"",-((#REF!*3*P33)-O33)-E33),IF(#REF!="MIN",IF(-((#REF!*3*P33)-O33)&gt;G33,"",-((#REF!*3*P33)-O33)),"")))</f>
        <v>#REF!</v>
      </c>
      <c r="Z33" s="142">
        <f t="shared" si="11"/>
        <v>0.55000000000000004</v>
      </c>
      <c r="AA33" s="142" t="str">
        <f t="shared" si="12"/>
        <v/>
      </c>
      <c r="AB33" s="143"/>
      <c r="AC33" s="144" t="str">
        <f t="shared" si="13"/>
        <v/>
      </c>
      <c r="AD33" s="145"/>
      <c r="AE33" s="146"/>
      <c r="AF33" s="146"/>
      <c r="AG33" s="147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  <c r="BM33" s="76"/>
      <c r="BN33" s="76"/>
    </row>
    <row r="34" spans="2:66" ht="19.149999999999999" customHeight="1">
      <c r="B34" s="72" t="s">
        <v>237</v>
      </c>
      <c r="C34" s="72" t="s">
        <v>83</v>
      </c>
      <c r="D34" s="74" t="s">
        <v>62</v>
      </c>
      <c r="E34" s="132">
        <v>3.18</v>
      </c>
      <c r="F34" s="133">
        <v>0.02</v>
      </c>
      <c r="G34" s="133">
        <v>-0.03</v>
      </c>
      <c r="H34" s="75" t="s">
        <v>60</v>
      </c>
      <c r="I34" s="39"/>
      <c r="J34" s="134">
        <f t="shared" si="0"/>
        <v>3.2</v>
      </c>
      <c r="K34" s="135">
        <f t="shared" si="14"/>
        <v>3.1500000000000004</v>
      </c>
      <c r="L34" s="136"/>
      <c r="M34" s="137">
        <f t="shared" si="1"/>
        <v>0</v>
      </c>
      <c r="N34" s="137">
        <f t="shared" si="2"/>
        <v>0</v>
      </c>
      <c r="O34" s="137">
        <f t="shared" si="3"/>
        <v>0</v>
      </c>
      <c r="P34" s="138">
        <f t="shared" si="4"/>
        <v>0</v>
      </c>
      <c r="Q34" s="139" t="str">
        <f t="shared" si="5"/>
        <v/>
      </c>
      <c r="R34" s="140" t="str">
        <f>IF(OR($AI34="",ISNUMBER($AI34)=FALSE),"",IF(AND(#REF!="Tolerance",$E34&lt;&gt;""),($O34-$E34)/(($J34-$K34)/2),IF(AND(#REF!="GD&amp;T",$F34&lt;&gt;""),$O34/$F34,"")))</f>
        <v/>
      </c>
      <c r="S34" s="140" t="str">
        <f t="shared" si="6"/>
        <v/>
      </c>
      <c r="T34" s="139" t="str">
        <f t="shared" si="7"/>
        <v/>
      </c>
      <c r="U34" s="139" t="str">
        <f t="shared" si="8"/>
        <v/>
      </c>
      <c r="V34" s="139" t="str">
        <f t="shared" si="9"/>
        <v/>
      </c>
      <c r="W34" s="141" t="str">
        <f t="shared" si="10"/>
        <v/>
      </c>
      <c r="X34" s="142" t="e">
        <f>IF($O34="","",IF(#REF!="Tolerance",IF((#REF!*3*P34+O34)-E34&lt;F34,"",(#REF!*3*P34+O34)-E34),IF(OR(#REF!="GD&amp;T",#REF!="MAX"),IF((#REF!*3*P34+O34)&lt;F34,"",(#REF!*3*P34+O34)),"")))</f>
        <v>#REF!</v>
      </c>
      <c r="Y34" s="142" t="e">
        <f>IF(O34="","",IF(#REF!="Tolerance",IF(-((#REF!*3*P34)-O34)-E34&gt;G34,"",-((#REF!*3*P34)-O34)-E34),IF(#REF!="MIN",IF(-((#REF!*3*P34)-O34)&gt;G34,"",-((#REF!*3*P34)-O34)),"")))</f>
        <v>#REF!</v>
      </c>
      <c r="Z34" s="142">
        <f t="shared" si="11"/>
        <v>3.1750000000000003</v>
      </c>
      <c r="AA34" s="142" t="str">
        <f t="shared" si="12"/>
        <v/>
      </c>
      <c r="AB34" s="143"/>
      <c r="AC34" s="144" t="str">
        <f t="shared" si="13"/>
        <v/>
      </c>
      <c r="AD34" s="145"/>
      <c r="AE34" s="146"/>
      <c r="AF34" s="146"/>
      <c r="AG34" s="147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  <c r="BM34" s="76"/>
      <c r="BN34" s="76"/>
    </row>
    <row r="35" spans="2:66" ht="19.149999999999999" customHeight="1">
      <c r="B35" s="72" t="s">
        <v>238</v>
      </c>
      <c r="C35" s="72" t="s">
        <v>239</v>
      </c>
      <c r="D35" s="74" t="s">
        <v>62</v>
      </c>
      <c r="E35" s="132">
        <v>3.18</v>
      </c>
      <c r="F35" s="133">
        <v>0.02</v>
      </c>
      <c r="G35" s="133">
        <v>-0.03</v>
      </c>
      <c r="H35" s="75" t="s">
        <v>60</v>
      </c>
      <c r="I35" s="39"/>
      <c r="J35" s="134">
        <f t="shared" si="0"/>
        <v>3.2</v>
      </c>
      <c r="K35" s="135">
        <f t="shared" si="14"/>
        <v>3.1500000000000004</v>
      </c>
      <c r="L35" s="136"/>
      <c r="M35" s="137">
        <f t="shared" si="1"/>
        <v>0</v>
      </c>
      <c r="N35" s="137">
        <f t="shared" si="2"/>
        <v>0</v>
      </c>
      <c r="O35" s="137">
        <f t="shared" si="3"/>
        <v>0</v>
      </c>
      <c r="P35" s="138">
        <f t="shared" si="4"/>
        <v>0</v>
      </c>
      <c r="Q35" s="139" t="str">
        <f t="shared" si="5"/>
        <v/>
      </c>
      <c r="R35" s="140" t="str">
        <f>IF(OR($AI35="",ISNUMBER($AI35)=FALSE),"",IF(AND(#REF!="Tolerance",$E35&lt;&gt;""),($O35-$E35)/(($J35-$K35)/2),IF(AND(#REF!="GD&amp;T",$F35&lt;&gt;""),$O35/$F35,"")))</f>
        <v/>
      </c>
      <c r="S35" s="140" t="str">
        <f t="shared" si="6"/>
        <v/>
      </c>
      <c r="T35" s="139" t="str">
        <f t="shared" si="7"/>
        <v/>
      </c>
      <c r="U35" s="139" t="str">
        <f t="shared" si="8"/>
        <v/>
      </c>
      <c r="V35" s="139" t="str">
        <f t="shared" si="9"/>
        <v/>
      </c>
      <c r="W35" s="141" t="str">
        <f t="shared" si="10"/>
        <v/>
      </c>
      <c r="X35" s="142" t="e">
        <f>IF($O35="","",IF(#REF!="Tolerance",IF((#REF!*3*P35+O35)-E35&lt;F35,"",(#REF!*3*P35+O35)-E35),IF(OR(#REF!="GD&amp;T",#REF!="MAX"),IF((#REF!*3*P35+O35)&lt;F35,"",(#REF!*3*P35+O35)),"")))</f>
        <v>#REF!</v>
      </c>
      <c r="Y35" s="142" t="e">
        <f>IF(O35="","",IF(#REF!="Tolerance",IF(-((#REF!*3*P35)-O35)-E35&gt;G35,"",-((#REF!*3*P35)-O35)-E35),IF(#REF!="MIN",IF(-((#REF!*3*P35)-O35)&gt;G35,"",-((#REF!*3*P35)-O35)),"")))</f>
        <v>#REF!</v>
      </c>
      <c r="Z35" s="142">
        <f t="shared" si="11"/>
        <v>3.1750000000000003</v>
      </c>
      <c r="AA35" s="142" t="str">
        <f t="shared" si="12"/>
        <v/>
      </c>
      <c r="AB35" s="143"/>
      <c r="AC35" s="144" t="str">
        <f t="shared" si="13"/>
        <v/>
      </c>
      <c r="AD35" s="145"/>
      <c r="AE35" s="146"/>
      <c r="AF35" s="146"/>
      <c r="AG35" s="147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6"/>
      <c r="BM35" s="76"/>
      <c r="BN35" s="76"/>
    </row>
    <row r="36" spans="2:66" ht="19.149999999999999" customHeight="1">
      <c r="B36" s="72" t="s">
        <v>240</v>
      </c>
      <c r="C36" s="72" t="s">
        <v>85</v>
      </c>
      <c r="D36" s="74" t="s">
        <v>62</v>
      </c>
      <c r="E36" s="132">
        <v>13.05</v>
      </c>
      <c r="F36" s="133">
        <v>0.03</v>
      </c>
      <c r="G36" s="133">
        <v>-0.03</v>
      </c>
      <c r="H36" s="75" t="s">
        <v>60</v>
      </c>
      <c r="I36" s="39"/>
      <c r="J36" s="134">
        <f t="shared" si="0"/>
        <v>13.08</v>
      </c>
      <c r="K36" s="135">
        <f t="shared" si="14"/>
        <v>13.020000000000001</v>
      </c>
      <c r="L36" s="136"/>
      <c r="M36" s="137">
        <f t="shared" si="1"/>
        <v>0</v>
      </c>
      <c r="N36" s="137">
        <f t="shared" si="2"/>
        <v>0</v>
      </c>
      <c r="O36" s="137">
        <f t="shared" si="3"/>
        <v>0</v>
      </c>
      <c r="P36" s="138">
        <f t="shared" si="4"/>
        <v>0</v>
      </c>
      <c r="Q36" s="139" t="str">
        <f t="shared" si="5"/>
        <v/>
      </c>
      <c r="R36" s="140" t="str">
        <f>IF(OR($AI36="",ISNUMBER($AI36)=FALSE),"",IF(AND(#REF!="Tolerance",$E36&lt;&gt;""),($O36-$E36)/(($J36-$K36)/2),IF(AND(#REF!="GD&amp;T",$F36&lt;&gt;""),$O36/$F36,"")))</f>
        <v/>
      </c>
      <c r="S36" s="140" t="str">
        <f t="shared" si="6"/>
        <v/>
      </c>
      <c r="T36" s="139" t="str">
        <f t="shared" si="7"/>
        <v/>
      </c>
      <c r="U36" s="139" t="str">
        <f t="shared" si="8"/>
        <v/>
      </c>
      <c r="V36" s="139" t="str">
        <f t="shared" si="9"/>
        <v/>
      </c>
      <c r="W36" s="141" t="str">
        <f t="shared" si="10"/>
        <v/>
      </c>
      <c r="X36" s="142" t="e">
        <f>IF($O36="","",IF(#REF!="Tolerance",IF((#REF!*3*P36+O36)-E36&lt;F36,"",(#REF!*3*P36+O36)-E36),IF(OR(#REF!="GD&amp;T",#REF!="MAX"),IF((#REF!*3*P36+O36)&lt;F36,"",(#REF!*3*P36+O36)),"")))</f>
        <v>#REF!</v>
      </c>
      <c r="Y36" s="142" t="e">
        <f>IF(O36="","",IF(#REF!="Tolerance",IF(-((#REF!*3*P36)-O36)-E36&gt;G36,"",-((#REF!*3*P36)-O36)-E36),IF(#REF!="MIN",IF(-((#REF!*3*P36)-O36)&gt;G36,"",-((#REF!*3*P36)-O36)),"")))</f>
        <v>#REF!</v>
      </c>
      <c r="Z36" s="142">
        <f t="shared" si="11"/>
        <v>13.05</v>
      </c>
      <c r="AA36" s="142" t="str">
        <f t="shared" si="12"/>
        <v/>
      </c>
      <c r="AB36" s="143"/>
      <c r="AC36" s="144" t="str">
        <f t="shared" si="13"/>
        <v/>
      </c>
      <c r="AD36" s="145"/>
      <c r="AE36" s="146"/>
      <c r="AF36" s="146"/>
      <c r="AG36" s="147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6"/>
      <c r="BM36" s="76"/>
      <c r="BN36" s="76"/>
    </row>
    <row r="37" spans="2:66" ht="19.149999999999999" customHeight="1">
      <c r="B37" s="72" t="s">
        <v>241</v>
      </c>
      <c r="C37" s="72" t="s">
        <v>242</v>
      </c>
      <c r="D37" s="74" t="s">
        <v>62</v>
      </c>
      <c r="E37" s="132">
        <v>13.05</v>
      </c>
      <c r="F37" s="133">
        <v>0.03</v>
      </c>
      <c r="G37" s="133">
        <v>-0.03</v>
      </c>
      <c r="H37" s="75" t="s">
        <v>60</v>
      </c>
      <c r="I37" s="39"/>
      <c r="J37" s="134">
        <f t="shared" si="0"/>
        <v>13.08</v>
      </c>
      <c r="K37" s="135">
        <f t="shared" si="14"/>
        <v>13.020000000000001</v>
      </c>
      <c r="L37" s="136"/>
      <c r="M37" s="137">
        <f t="shared" si="1"/>
        <v>0</v>
      </c>
      <c r="N37" s="137">
        <f t="shared" si="2"/>
        <v>0</v>
      </c>
      <c r="O37" s="137">
        <f t="shared" si="3"/>
        <v>0</v>
      </c>
      <c r="P37" s="138">
        <f t="shared" si="4"/>
        <v>0</v>
      </c>
      <c r="Q37" s="139" t="str">
        <f t="shared" si="5"/>
        <v/>
      </c>
      <c r="R37" s="140" t="str">
        <f>IF(OR($AI37="",ISNUMBER($AI37)=FALSE),"",IF(AND(#REF!="Tolerance",$E37&lt;&gt;""),($O37-$E37)/(($J37-$K37)/2),IF(AND(#REF!="GD&amp;T",$F37&lt;&gt;""),$O37/$F37,"")))</f>
        <v/>
      </c>
      <c r="S37" s="140" t="str">
        <f t="shared" si="6"/>
        <v/>
      </c>
      <c r="T37" s="139" t="str">
        <f t="shared" si="7"/>
        <v/>
      </c>
      <c r="U37" s="139" t="str">
        <f t="shared" si="8"/>
        <v/>
      </c>
      <c r="V37" s="139" t="str">
        <f t="shared" si="9"/>
        <v/>
      </c>
      <c r="W37" s="141" t="str">
        <f t="shared" si="10"/>
        <v/>
      </c>
      <c r="X37" s="142" t="e">
        <f>IF($O37="","",IF(#REF!="Tolerance",IF((#REF!*3*P37+O37)-E37&lt;F37,"",(#REF!*3*P37+O37)-E37),IF(OR(#REF!="GD&amp;T",#REF!="MAX"),IF((#REF!*3*P37+O37)&lt;F37,"",(#REF!*3*P37+O37)),"")))</f>
        <v>#REF!</v>
      </c>
      <c r="Y37" s="142" t="e">
        <f>IF(O37="","",IF(#REF!="Tolerance",IF(-((#REF!*3*P37)-O37)-E37&gt;G37,"",-((#REF!*3*P37)-O37)-E37),IF(#REF!="MIN",IF(-((#REF!*3*P37)-O37)&gt;G37,"",-((#REF!*3*P37)-O37)),"")))</f>
        <v>#REF!</v>
      </c>
      <c r="Z37" s="142">
        <f t="shared" si="11"/>
        <v>13.05</v>
      </c>
      <c r="AA37" s="142" t="str">
        <f t="shared" si="12"/>
        <v/>
      </c>
      <c r="AB37" s="143"/>
      <c r="AC37" s="144" t="str">
        <f t="shared" si="13"/>
        <v/>
      </c>
      <c r="AD37" s="145"/>
      <c r="AE37" s="146"/>
      <c r="AF37" s="146"/>
      <c r="AG37" s="147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  <c r="BM37" s="76"/>
      <c r="BN37" s="76"/>
    </row>
    <row r="38" spans="2:66" ht="19.149999999999999" customHeight="1">
      <c r="B38" s="72" t="s">
        <v>243</v>
      </c>
      <c r="C38" s="72" t="s">
        <v>87</v>
      </c>
      <c r="D38" s="74" t="s">
        <v>62</v>
      </c>
      <c r="E38" s="132">
        <v>1.79</v>
      </c>
      <c r="F38" s="133">
        <v>2.5000000000000001E-2</v>
      </c>
      <c r="G38" s="133">
        <v>-0.02</v>
      </c>
      <c r="H38" s="75" t="s">
        <v>60</v>
      </c>
      <c r="I38" s="39"/>
      <c r="J38" s="134">
        <f t="shared" si="0"/>
        <v>1.8149999999999999</v>
      </c>
      <c r="K38" s="135">
        <f t="shared" si="14"/>
        <v>1.77</v>
      </c>
      <c r="L38" s="136"/>
      <c r="M38" s="137">
        <f t="shared" si="1"/>
        <v>0</v>
      </c>
      <c r="N38" s="137">
        <f t="shared" si="2"/>
        <v>0</v>
      </c>
      <c r="O38" s="137">
        <f t="shared" si="3"/>
        <v>0</v>
      </c>
      <c r="P38" s="138">
        <f t="shared" si="4"/>
        <v>0</v>
      </c>
      <c r="Q38" s="139" t="str">
        <f t="shared" si="5"/>
        <v/>
      </c>
      <c r="R38" s="140" t="str">
        <f>IF(OR($AI38="",ISNUMBER($AI38)=FALSE),"",IF(AND(#REF!="Tolerance",$E38&lt;&gt;""),($O38-$E38)/(($J38-$K38)/2),IF(AND(#REF!="GD&amp;T",$F38&lt;&gt;""),$O38/$F38,"")))</f>
        <v/>
      </c>
      <c r="S38" s="140" t="str">
        <f t="shared" si="6"/>
        <v/>
      </c>
      <c r="T38" s="139" t="str">
        <f t="shared" si="7"/>
        <v/>
      </c>
      <c r="U38" s="139" t="str">
        <f t="shared" si="8"/>
        <v/>
      </c>
      <c r="V38" s="139" t="str">
        <f t="shared" si="9"/>
        <v/>
      </c>
      <c r="W38" s="141" t="str">
        <f t="shared" si="10"/>
        <v/>
      </c>
      <c r="X38" s="142" t="e">
        <f>IF($O38="","",IF(#REF!="Tolerance",IF((#REF!*3*P38+O38)-E38&lt;F38,"",(#REF!*3*P38+O38)-E38),IF(OR(#REF!="GD&amp;T",#REF!="MAX"),IF((#REF!*3*P38+O38)&lt;F38,"",(#REF!*3*P38+O38)),"")))</f>
        <v>#REF!</v>
      </c>
      <c r="Y38" s="142" t="e">
        <f>IF(O38="","",IF(#REF!="Tolerance",IF(-((#REF!*3*P38)-O38)-E38&gt;G38,"",-((#REF!*3*P38)-O38)-E38),IF(#REF!="MIN",IF(-((#REF!*3*P38)-O38)&gt;G38,"",-((#REF!*3*P38)-O38)),"")))</f>
        <v>#REF!</v>
      </c>
      <c r="Z38" s="142">
        <f t="shared" si="11"/>
        <v>1.7925</v>
      </c>
      <c r="AA38" s="142" t="str">
        <f t="shared" si="12"/>
        <v/>
      </c>
      <c r="AB38" s="143"/>
      <c r="AC38" s="144" t="str">
        <f t="shared" si="13"/>
        <v/>
      </c>
      <c r="AD38" s="145"/>
      <c r="AE38" s="146"/>
      <c r="AF38" s="146"/>
      <c r="AG38" s="147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76"/>
      <c r="BL38" s="76"/>
      <c r="BM38" s="76"/>
      <c r="BN38" s="76"/>
    </row>
    <row r="39" spans="2:66" ht="19.149999999999999" customHeight="1">
      <c r="B39" s="72" t="s">
        <v>244</v>
      </c>
      <c r="C39" s="72" t="s">
        <v>88</v>
      </c>
      <c r="D39" s="74" t="s">
        <v>62</v>
      </c>
      <c r="E39" s="132">
        <v>1.79</v>
      </c>
      <c r="F39" s="133">
        <v>2.5000000000000001E-2</v>
      </c>
      <c r="G39" s="133">
        <v>-0.02</v>
      </c>
      <c r="H39" s="75" t="s">
        <v>60</v>
      </c>
      <c r="I39" s="39"/>
      <c r="J39" s="134">
        <f t="shared" si="0"/>
        <v>1.8149999999999999</v>
      </c>
      <c r="K39" s="135">
        <f t="shared" si="14"/>
        <v>1.77</v>
      </c>
      <c r="L39" s="136"/>
      <c r="M39" s="137">
        <f t="shared" si="1"/>
        <v>0</v>
      </c>
      <c r="N39" s="137">
        <f t="shared" si="2"/>
        <v>0</v>
      </c>
      <c r="O39" s="137">
        <f t="shared" si="3"/>
        <v>0</v>
      </c>
      <c r="P39" s="138">
        <f t="shared" si="4"/>
        <v>0</v>
      </c>
      <c r="Q39" s="139" t="str">
        <f t="shared" si="5"/>
        <v/>
      </c>
      <c r="R39" s="140" t="str">
        <f>IF(OR($AI39="",ISNUMBER($AI39)=FALSE),"",IF(AND(#REF!="Tolerance",$E39&lt;&gt;""),($O39-$E39)/(($J39-$K39)/2),IF(AND(#REF!="GD&amp;T",$F39&lt;&gt;""),$O39/$F39,"")))</f>
        <v/>
      </c>
      <c r="S39" s="140" t="str">
        <f t="shared" si="6"/>
        <v/>
      </c>
      <c r="T39" s="139" t="str">
        <f t="shared" si="7"/>
        <v/>
      </c>
      <c r="U39" s="139" t="str">
        <f t="shared" si="8"/>
        <v/>
      </c>
      <c r="V39" s="139" t="str">
        <f t="shared" si="9"/>
        <v/>
      </c>
      <c r="W39" s="141" t="str">
        <f t="shared" si="10"/>
        <v/>
      </c>
      <c r="X39" s="142" t="e">
        <f>IF($O39="","",IF(#REF!="Tolerance",IF((#REF!*3*P39+O39)-E39&lt;F39,"",(#REF!*3*P39+O39)-E39),IF(OR(#REF!="GD&amp;T",#REF!="MAX"),IF((#REF!*3*P39+O39)&lt;F39,"",(#REF!*3*P39+O39)),"")))</f>
        <v>#REF!</v>
      </c>
      <c r="Y39" s="142" t="e">
        <f>IF(O39="","",IF(#REF!="Tolerance",IF(-((#REF!*3*P39)-O39)-E39&gt;G39,"",-((#REF!*3*P39)-O39)-E39),IF(#REF!="MIN",IF(-((#REF!*3*P39)-O39)&gt;G39,"",-((#REF!*3*P39)-O39)),"")))</f>
        <v>#REF!</v>
      </c>
      <c r="Z39" s="142">
        <f t="shared" si="11"/>
        <v>1.7925</v>
      </c>
      <c r="AA39" s="142" t="str">
        <f t="shared" si="12"/>
        <v/>
      </c>
      <c r="AB39" s="143"/>
      <c r="AC39" s="144" t="str">
        <f t="shared" si="13"/>
        <v/>
      </c>
      <c r="AD39" s="145"/>
      <c r="AE39" s="146"/>
      <c r="AF39" s="146"/>
      <c r="AG39" s="147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6"/>
      <c r="BK39" s="76"/>
      <c r="BL39" s="76"/>
      <c r="BM39" s="76"/>
      <c r="BN39" s="76"/>
    </row>
    <row r="40" spans="2:66" ht="19.149999999999999" customHeight="1">
      <c r="B40" s="72" t="s">
        <v>245</v>
      </c>
      <c r="C40" s="72" t="s">
        <v>89</v>
      </c>
      <c r="D40" s="74" t="s">
        <v>62</v>
      </c>
      <c r="E40" s="132">
        <v>1.79</v>
      </c>
      <c r="F40" s="133">
        <v>2.5000000000000001E-2</v>
      </c>
      <c r="G40" s="133">
        <v>-0.02</v>
      </c>
      <c r="H40" s="75" t="s">
        <v>60</v>
      </c>
      <c r="I40" s="39"/>
      <c r="J40" s="134">
        <f t="shared" si="0"/>
        <v>1.8149999999999999</v>
      </c>
      <c r="K40" s="135">
        <f t="shared" si="14"/>
        <v>1.77</v>
      </c>
      <c r="L40" s="136"/>
      <c r="M40" s="137">
        <f t="shared" si="1"/>
        <v>0</v>
      </c>
      <c r="N40" s="137">
        <f t="shared" si="2"/>
        <v>0</v>
      </c>
      <c r="O40" s="137">
        <f t="shared" si="3"/>
        <v>0</v>
      </c>
      <c r="P40" s="138">
        <f t="shared" si="4"/>
        <v>0</v>
      </c>
      <c r="Q40" s="139" t="str">
        <f t="shared" si="5"/>
        <v/>
      </c>
      <c r="R40" s="140" t="str">
        <f>IF(OR($AI40="",ISNUMBER($AI40)=FALSE),"",IF(AND(#REF!="Tolerance",$E40&lt;&gt;""),($O40-$E40)/(($J40-$K40)/2),IF(AND(#REF!="GD&amp;T",$F40&lt;&gt;""),$O40/$F40,"")))</f>
        <v/>
      </c>
      <c r="S40" s="140" t="str">
        <f t="shared" si="6"/>
        <v/>
      </c>
      <c r="T40" s="139" t="str">
        <f t="shared" si="7"/>
        <v/>
      </c>
      <c r="U40" s="139" t="str">
        <f t="shared" si="8"/>
        <v/>
      </c>
      <c r="V40" s="139" t="str">
        <f t="shared" si="9"/>
        <v/>
      </c>
      <c r="W40" s="141" t="str">
        <f t="shared" si="10"/>
        <v/>
      </c>
      <c r="X40" s="142" t="e">
        <f>IF($O40="","",IF(#REF!="Tolerance",IF((#REF!*3*P40+O40)-E40&lt;F40,"",(#REF!*3*P40+O40)-E40),IF(OR(#REF!="GD&amp;T",#REF!="MAX"),IF((#REF!*3*P40+O40)&lt;F40,"",(#REF!*3*P40+O40)),"")))</f>
        <v>#REF!</v>
      </c>
      <c r="Y40" s="142" t="e">
        <f>IF(O40="","",IF(#REF!="Tolerance",IF(-((#REF!*3*P40)-O40)-E40&gt;G40,"",-((#REF!*3*P40)-O40)-E40),IF(#REF!="MIN",IF(-((#REF!*3*P40)-O40)&gt;G40,"",-((#REF!*3*P40)-O40)),"")))</f>
        <v>#REF!</v>
      </c>
      <c r="Z40" s="142">
        <f t="shared" si="11"/>
        <v>1.7925</v>
      </c>
      <c r="AA40" s="142" t="str">
        <f t="shared" si="12"/>
        <v/>
      </c>
      <c r="AB40" s="143"/>
      <c r="AC40" s="144" t="str">
        <f t="shared" si="13"/>
        <v/>
      </c>
      <c r="AD40" s="145"/>
      <c r="AE40" s="146"/>
      <c r="AF40" s="146"/>
      <c r="AG40" s="147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6"/>
      <c r="BM40" s="76"/>
      <c r="BN40" s="76"/>
    </row>
    <row r="41" spans="2:66" ht="19.149999999999999" customHeight="1">
      <c r="B41" s="72" t="s">
        <v>246</v>
      </c>
      <c r="C41" s="72" t="s">
        <v>90</v>
      </c>
      <c r="D41" s="74" t="s">
        <v>62</v>
      </c>
      <c r="E41" s="132">
        <v>1.79</v>
      </c>
      <c r="F41" s="133">
        <v>2.5000000000000001E-2</v>
      </c>
      <c r="G41" s="133">
        <v>-0.02</v>
      </c>
      <c r="H41" s="75" t="s">
        <v>60</v>
      </c>
      <c r="I41" s="39"/>
      <c r="J41" s="134">
        <f t="shared" si="0"/>
        <v>1.8149999999999999</v>
      </c>
      <c r="K41" s="135">
        <f t="shared" si="14"/>
        <v>1.77</v>
      </c>
      <c r="L41" s="136"/>
      <c r="M41" s="137">
        <f t="shared" si="1"/>
        <v>0</v>
      </c>
      <c r="N41" s="137">
        <f t="shared" si="2"/>
        <v>0</v>
      </c>
      <c r="O41" s="137">
        <f t="shared" si="3"/>
        <v>0</v>
      </c>
      <c r="P41" s="138">
        <f t="shared" si="4"/>
        <v>0</v>
      </c>
      <c r="Q41" s="139" t="str">
        <f t="shared" si="5"/>
        <v/>
      </c>
      <c r="R41" s="140" t="str">
        <f>IF(OR($AI41="",ISNUMBER($AI41)=FALSE),"",IF(AND(#REF!="Tolerance",$E41&lt;&gt;""),($O41-$E41)/(($J41-$K41)/2),IF(AND(#REF!="GD&amp;T",$F41&lt;&gt;""),$O41/$F41,"")))</f>
        <v/>
      </c>
      <c r="S41" s="140" t="str">
        <f t="shared" si="6"/>
        <v/>
      </c>
      <c r="T41" s="139" t="str">
        <f t="shared" si="7"/>
        <v/>
      </c>
      <c r="U41" s="139" t="str">
        <f t="shared" si="8"/>
        <v/>
      </c>
      <c r="V41" s="139" t="str">
        <f t="shared" si="9"/>
        <v/>
      </c>
      <c r="W41" s="141" t="str">
        <f t="shared" si="10"/>
        <v/>
      </c>
      <c r="X41" s="142" t="e">
        <f>IF($O41="","",IF(#REF!="Tolerance",IF((#REF!*3*P41+O41)-E41&lt;F41,"",(#REF!*3*P41+O41)-E41),IF(OR(#REF!="GD&amp;T",#REF!="MAX"),IF((#REF!*3*P41+O41)&lt;F41,"",(#REF!*3*P41+O41)),"")))</f>
        <v>#REF!</v>
      </c>
      <c r="Y41" s="142" t="e">
        <f>IF(O41="","",IF(#REF!="Tolerance",IF(-((#REF!*3*P41)-O41)-E41&gt;G41,"",-((#REF!*3*P41)-O41)-E41),IF(#REF!="MIN",IF(-((#REF!*3*P41)-O41)&gt;G41,"",-((#REF!*3*P41)-O41)),"")))</f>
        <v>#REF!</v>
      </c>
      <c r="Z41" s="142">
        <f t="shared" si="11"/>
        <v>1.7925</v>
      </c>
      <c r="AA41" s="142" t="str">
        <f t="shared" si="12"/>
        <v/>
      </c>
      <c r="AB41" s="143"/>
      <c r="AC41" s="144" t="str">
        <f t="shared" si="13"/>
        <v/>
      </c>
      <c r="AD41" s="145"/>
      <c r="AE41" s="146"/>
      <c r="AF41" s="146"/>
      <c r="AG41" s="147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6"/>
      <c r="BM41" s="76"/>
      <c r="BN41" s="76"/>
    </row>
    <row r="42" spans="2:66" ht="19.149999999999999" customHeight="1">
      <c r="B42" s="72" t="s">
        <v>247</v>
      </c>
      <c r="C42" s="72" t="s">
        <v>91</v>
      </c>
      <c r="D42" s="74" t="s">
        <v>62</v>
      </c>
      <c r="E42" s="132">
        <v>12.22</v>
      </c>
      <c r="F42" s="133">
        <v>2.5000000000000001E-2</v>
      </c>
      <c r="G42" s="133">
        <v>-2.5000000000000001E-2</v>
      </c>
      <c r="H42" s="75" t="s">
        <v>60</v>
      </c>
      <c r="I42" s="39"/>
      <c r="J42" s="134">
        <f t="shared" si="0"/>
        <v>12.245000000000001</v>
      </c>
      <c r="K42" s="135">
        <f t="shared" si="14"/>
        <v>12.195</v>
      </c>
      <c r="L42" s="136"/>
      <c r="M42" s="137">
        <f t="shared" si="1"/>
        <v>0</v>
      </c>
      <c r="N42" s="137">
        <f t="shared" si="2"/>
        <v>0</v>
      </c>
      <c r="O42" s="137">
        <f t="shared" si="3"/>
        <v>0</v>
      </c>
      <c r="P42" s="138">
        <f t="shared" si="4"/>
        <v>0</v>
      </c>
      <c r="Q42" s="139" t="str">
        <f t="shared" si="5"/>
        <v/>
      </c>
      <c r="R42" s="140" t="str">
        <f>IF(OR($AI42="",ISNUMBER($AI42)=FALSE),"",IF(AND(#REF!="Tolerance",$E42&lt;&gt;""),($O42-$E42)/(($J42-$K42)/2),IF(AND(#REF!="GD&amp;T",$F42&lt;&gt;""),$O42/$F42,"")))</f>
        <v/>
      </c>
      <c r="S42" s="140" t="str">
        <f t="shared" si="6"/>
        <v/>
      </c>
      <c r="T42" s="139" t="str">
        <f t="shared" si="7"/>
        <v/>
      </c>
      <c r="U42" s="139" t="str">
        <f t="shared" si="8"/>
        <v/>
      </c>
      <c r="V42" s="139" t="str">
        <f t="shared" si="9"/>
        <v/>
      </c>
      <c r="W42" s="141" t="str">
        <f t="shared" si="10"/>
        <v/>
      </c>
      <c r="X42" s="142" t="e">
        <f>IF($O42="","",IF(#REF!="Tolerance",IF((#REF!*3*P42+O42)-E42&lt;F42,"",(#REF!*3*P42+O42)-E42),IF(OR(#REF!="GD&amp;T",#REF!="MAX"),IF((#REF!*3*P42+O42)&lt;F42,"",(#REF!*3*P42+O42)),"")))</f>
        <v>#REF!</v>
      </c>
      <c r="Y42" s="142" t="e">
        <f>IF(O42="","",IF(#REF!="Tolerance",IF(-((#REF!*3*P42)-O42)-E42&gt;G42,"",-((#REF!*3*P42)-O42)-E42),IF(#REF!="MIN",IF(-((#REF!*3*P42)-O42)&gt;G42,"",-((#REF!*3*P42)-O42)),"")))</f>
        <v>#REF!</v>
      </c>
      <c r="Z42" s="142">
        <f t="shared" si="11"/>
        <v>12.22</v>
      </c>
      <c r="AA42" s="142" t="str">
        <f t="shared" si="12"/>
        <v/>
      </c>
      <c r="AB42" s="143"/>
      <c r="AC42" s="144" t="str">
        <f t="shared" si="13"/>
        <v/>
      </c>
      <c r="AD42" s="145"/>
      <c r="AE42" s="146"/>
      <c r="AF42" s="146"/>
      <c r="AG42" s="147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76"/>
      <c r="BL42" s="76"/>
      <c r="BM42" s="76"/>
      <c r="BN42" s="76"/>
    </row>
    <row r="43" spans="2:66" ht="19.149999999999999" customHeight="1">
      <c r="B43" s="72" t="s">
        <v>248</v>
      </c>
      <c r="C43" s="72" t="s">
        <v>92</v>
      </c>
      <c r="D43" s="74" t="s">
        <v>62</v>
      </c>
      <c r="E43" s="132">
        <v>0.9</v>
      </c>
      <c r="F43" s="133">
        <v>1.4999999999999999E-2</v>
      </c>
      <c r="G43" s="133">
        <v>-1.4999999999999999E-2</v>
      </c>
      <c r="H43" s="75" t="s">
        <v>60</v>
      </c>
      <c r="I43" s="39"/>
      <c r="J43" s="134">
        <f t="shared" si="0"/>
        <v>0.91500000000000004</v>
      </c>
      <c r="K43" s="135">
        <f t="shared" si="14"/>
        <v>0.88500000000000001</v>
      </c>
      <c r="L43" s="136"/>
      <c r="M43" s="137">
        <f t="shared" si="1"/>
        <v>0</v>
      </c>
      <c r="N43" s="137">
        <f t="shared" si="2"/>
        <v>0</v>
      </c>
      <c r="O43" s="137">
        <f t="shared" si="3"/>
        <v>0</v>
      </c>
      <c r="P43" s="138">
        <f t="shared" si="4"/>
        <v>0</v>
      </c>
      <c r="Q43" s="139" t="str">
        <f t="shared" si="5"/>
        <v/>
      </c>
      <c r="R43" s="140" t="str">
        <f>IF(OR($AI43="",ISNUMBER($AI43)=FALSE),"",IF(AND(#REF!="Tolerance",$E43&lt;&gt;""),($O43-$E43)/(($J43-$K43)/2),IF(AND(#REF!="GD&amp;T",$F43&lt;&gt;""),$O43/$F43,"")))</f>
        <v/>
      </c>
      <c r="S43" s="140" t="str">
        <f t="shared" si="6"/>
        <v/>
      </c>
      <c r="T43" s="139" t="str">
        <f t="shared" si="7"/>
        <v/>
      </c>
      <c r="U43" s="139" t="str">
        <f t="shared" si="8"/>
        <v/>
      </c>
      <c r="V43" s="139" t="str">
        <f t="shared" si="9"/>
        <v/>
      </c>
      <c r="W43" s="141" t="str">
        <f t="shared" si="10"/>
        <v/>
      </c>
      <c r="X43" s="142" t="e">
        <f>IF($O43="","",IF(#REF!="Tolerance",IF((#REF!*3*P43+O43)-E43&lt;F43,"",(#REF!*3*P43+O43)-E43),IF(OR(#REF!="GD&amp;T",#REF!="MAX"),IF((#REF!*3*P43+O43)&lt;F43,"",(#REF!*3*P43+O43)),"")))</f>
        <v>#REF!</v>
      </c>
      <c r="Y43" s="142" t="e">
        <f>IF(O43="","",IF(#REF!="Tolerance",IF(-((#REF!*3*P43)-O43)-E43&gt;G43,"",-((#REF!*3*P43)-O43)-E43),IF(#REF!="MIN",IF(-((#REF!*3*P43)-O43)&gt;G43,"",-((#REF!*3*P43)-O43)),"")))</f>
        <v>#REF!</v>
      </c>
      <c r="Z43" s="142">
        <f t="shared" si="11"/>
        <v>0.9</v>
      </c>
      <c r="AA43" s="142" t="str">
        <f t="shared" si="12"/>
        <v/>
      </c>
      <c r="AB43" s="143"/>
      <c r="AC43" s="144" t="str">
        <f t="shared" si="13"/>
        <v/>
      </c>
      <c r="AD43" s="145"/>
      <c r="AE43" s="146"/>
      <c r="AF43" s="146"/>
      <c r="AG43" s="147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  <c r="BL43" s="76"/>
      <c r="BM43" s="76"/>
      <c r="BN43" s="76"/>
    </row>
    <row r="44" spans="2:66" ht="19.149999999999999" customHeight="1">
      <c r="B44" s="72" t="s">
        <v>249</v>
      </c>
      <c r="C44" s="72" t="s">
        <v>93</v>
      </c>
      <c r="D44" s="74" t="s">
        <v>62</v>
      </c>
      <c r="E44" s="132">
        <v>14.22</v>
      </c>
      <c r="F44" s="133">
        <v>0.02</v>
      </c>
      <c r="G44" s="133">
        <v>-0.03</v>
      </c>
      <c r="H44" s="75" t="s">
        <v>60</v>
      </c>
      <c r="I44" s="39"/>
      <c r="J44" s="134">
        <f t="shared" si="0"/>
        <v>14.24</v>
      </c>
      <c r="K44" s="135">
        <f t="shared" si="14"/>
        <v>14.190000000000001</v>
      </c>
      <c r="L44" s="136"/>
      <c r="M44" s="137">
        <f t="shared" si="1"/>
        <v>0</v>
      </c>
      <c r="N44" s="137">
        <f t="shared" si="2"/>
        <v>0</v>
      </c>
      <c r="O44" s="137">
        <f t="shared" si="3"/>
        <v>0</v>
      </c>
      <c r="P44" s="138">
        <f t="shared" si="4"/>
        <v>0</v>
      </c>
      <c r="Q44" s="139" t="str">
        <f t="shared" si="5"/>
        <v/>
      </c>
      <c r="R44" s="140" t="str">
        <f>IF(OR($AI44="",ISNUMBER($AI44)=FALSE),"",IF(AND(#REF!="Tolerance",$E44&lt;&gt;""),($O44-$E44)/(($J44-$K44)/2),IF(AND(#REF!="GD&amp;T",$F44&lt;&gt;""),$O44/$F44,"")))</f>
        <v/>
      </c>
      <c r="S44" s="140" t="str">
        <f t="shared" si="6"/>
        <v/>
      </c>
      <c r="T44" s="139" t="str">
        <f t="shared" si="7"/>
        <v/>
      </c>
      <c r="U44" s="139" t="str">
        <f t="shared" si="8"/>
        <v/>
      </c>
      <c r="V44" s="139" t="str">
        <f t="shared" si="9"/>
        <v/>
      </c>
      <c r="W44" s="141" t="str">
        <f t="shared" si="10"/>
        <v/>
      </c>
      <c r="X44" s="142" t="e">
        <f>IF($O44="","",IF(#REF!="Tolerance",IF((#REF!*3*P44+O44)-E44&lt;F44,"",(#REF!*3*P44+O44)-E44),IF(OR(#REF!="GD&amp;T",#REF!="MAX"),IF((#REF!*3*P44+O44)&lt;F44,"",(#REF!*3*P44+O44)),"")))</f>
        <v>#REF!</v>
      </c>
      <c r="Y44" s="142" t="e">
        <f>IF(O44="","",IF(#REF!="Tolerance",IF(-((#REF!*3*P44)-O44)-E44&gt;G44,"",-((#REF!*3*P44)-O44)-E44),IF(#REF!="MIN",IF(-((#REF!*3*P44)-O44)&gt;G44,"",-((#REF!*3*P44)-O44)),"")))</f>
        <v>#REF!</v>
      </c>
      <c r="Z44" s="142">
        <f t="shared" si="11"/>
        <v>14.215</v>
      </c>
      <c r="AA44" s="142" t="str">
        <f t="shared" si="12"/>
        <v/>
      </c>
      <c r="AB44" s="143"/>
      <c r="AC44" s="144" t="str">
        <f t="shared" si="13"/>
        <v/>
      </c>
      <c r="AD44" s="145"/>
      <c r="AE44" s="146"/>
      <c r="AF44" s="146"/>
      <c r="AG44" s="147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  <c r="BM44" s="76"/>
      <c r="BN44" s="76"/>
    </row>
    <row r="45" spans="2:66" ht="19.149999999999999" customHeight="1">
      <c r="B45" s="72" t="s">
        <v>250</v>
      </c>
      <c r="C45" s="72" t="s">
        <v>94</v>
      </c>
      <c r="D45" s="74" t="s">
        <v>62</v>
      </c>
      <c r="E45" s="132">
        <v>11.88</v>
      </c>
      <c r="F45" s="133">
        <v>0.03</v>
      </c>
      <c r="G45" s="133">
        <v>-0.02</v>
      </c>
      <c r="H45" s="75" t="s">
        <v>60</v>
      </c>
      <c r="I45" s="39"/>
      <c r="J45" s="134">
        <f t="shared" si="0"/>
        <v>11.91</v>
      </c>
      <c r="K45" s="135">
        <f t="shared" si="14"/>
        <v>11.860000000000001</v>
      </c>
      <c r="L45" s="136"/>
      <c r="M45" s="137">
        <f t="shared" si="1"/>
        <v>0</v>
      </c>
      <c r="N45" s="137">
        <f t="shared" si="2"/>
        <v>0</v>
      </c>
      <c r="O45" s="137">
        <f t="shared" si="3"/>
        <v>0</v>
      </c>
      <c r="P45" s="138">
        <f t="shared" si="4"/>
        <v>0</v>
      </c>
      <c r="Q45" s="139" t="str">
        <f t="shared" si="5"/>
        <v/>
      </c>
      <c r="R45" s="140" t="str">
        <f>IF(OR($AI45="",ISNUMBER($AI45)=FALSE),"",IF(AND(#REF!="Tolerance",$E45&lt;&gt;""),($O45-$E45)/(($J45-$K45)/2),IF(AND(#REF!="GD&amp;T",$F45&lt;&gt;""),$O45/$F45,"")))</f>
        <v/>
      </c>
      <c r="S45" s="140" t="str">
        <f t="shared" si="6"/>
        <v/>
      </c>
      <c r="T45" s="139" t="str">
        <f t="shared" si="7"/>
        <v/>
      </c>
      <c r="U45" s="139" t="str">
        <f t="shared" si="8"/>
        <v/>
      </c>
      <c r="V45" s="139" t="str">
        <f t="shared" si="9"/>
        <v/>
      </c>
      <c r="W45" s="141" t="str">
        <f t="shared" si="10"/>
        <v/>
      </c>
      <c r="X45" s="142" t="e">
        <f>IF($O45="","",IF(#REF!="Tolerance",IF((#REF!*3*P45+O45)-E45&lt;F45,"",(#REF!*3*P45+O45)-E45),IF(OR(#REF!="GD&amp;T",#REF!="MAX"),IF((#REF!*3*P45+O45)&lt;F45,"",(#REF!*3*P45+O45)),"")))</f>
        <v>#REF!</v>
      </c>
      <c r="Y45" s="142" t="e">
        <f>IF(O45="","",IF(#REF!="Tolerance",IF(-((#REF!*3*P45)-O45)-E45&gt;G45,"",-((#REF!*3*P45)-O45)-E45),IF(#REF!="MIN",IF(-((#REF!*3*P45)-O45)&gt;G45,"",-((#REF!*3*P45)-O45)),"")))</f>
        <v>#REF!</v>
      </c>
      <c r="Z45" s="142">
        <f t="shared" si="11"/>
        <v>11.885000000000002</v>
      </c>
      <c r="AA45" s="142" t="str">
        <f t="shared" si="12"/>
        <v/>
      </c>
      <c r="AB45" s="143"/>
      <c r="AC45" s="144" t="str">
        <f t="shared" si="13"/>
        <v/>
      </c>
      <c r="AD45" s="145"/>
      <c r="AE45" s="146"/>
      <c r="AF45" s="146"/>
      <c r="AG45" s="147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</row>
    <row r="46" spans="2:66" ht="19.149999999999999" customHeight="1">
      <c r="B46" s="72" t="s">
        <v>251</v>
      </c>
      <c r="C46" s="72" t="s">
        <v>95</v>
      </c>
      <c r="D46" s="74" t="s">
        <v>62</v>
      </c>
      <c r="E46" s="132">
        <v>12.13</v>
      </c>
      <c r="F46" s="133">
        <v>0.02</v>
      </c>
      <c r="G46" s="133">
        <v>-0.04</v>
      </c>
      <c r="H46" s="75" t="s">
        <v>60</v>
      </c>
      <c r="I46" s="39"/>
      <c r="J46" s="134">
        <f t="shared" si="0"/>
        <v>12.15</v>
      </c>
      <c r="K46" s="135">
        <f t="shared" si="14"/>
        <v>12.090000000000002</v>
      </c>
      <c r="L46" s="136"/>
      <c r="M46" s="137">
        <f t="shared" si="1"/>
        <v>0</v>
      </c>
      <c r="N46" s="137">
        <f t="shared" si="2"/>
        <v>0</v>
      </c>
      <c r="O46" s="137">
        <f t="shared" si="3"/>
        <v>0</v>
      </c>
      <c r="P46" s="138">
        <f t="shared" si="4"/>
        <v>0</v>
      </c>
      <c r="Q46" s="139" t="str">
        <f t="shared" si="5"/>
        <v/>
      </c>
      <c r="R46" s="140" t="str">
        <f>IF(OR($AI46="",ISNUMBER($AI46)=FALSE),"",IF(AND(#REF!="Tolerance",$E46&lt;&gt;""),($O46-$E46)/(($J46-$K46)/2),IF(AND(#REF!="GD&amp;T",$F46&lt;&gt;""),$O46/$F46,"")))</f>
        <v/>
      </c>
      <c r="S46" s="140" t="str">
        <f t="shared" si="6"/>
        <v/>
      </c>
      <c r="T46" s="139" t="str">
        <f t="shared" si="7"/>
        <v/>
      </c>
      <c r="U46" s="139" t="str">
        <f t="shared" si="8"/>
        <v/>
      </c>
      <c r="V46" s="139" t="str">
        <f t="shared" si="9"/>
        <v/>
      </c>
      <c r="W46" s="141" t="str">
        <f t="shared" si="10"/>
        <v/>
      </c>
      <c r="X46" s="142" t="e">
        <f>IF($O46="","",IF(#REF!="Tolerance",IF((#REF!*3*P46+O46)-E46&lt;F46,"",(#REF!*3*P46+O46)-E46),IF(OR(#REF!="GD&amp;T",#REF!="MAX"),IF((#REF!*3*P46+O46)&lt;F46,"",(#REF!*3*P46+O46)),"")))</f>
        <v>#REF!</v>
      </c>
      <c r="Y46" s="142" t="e">
        <f>IF(O46="","",IF(#REF!="Tolerance",IF(-((#REF!*3*P46)-O46)-E46&gt;G46,"",-((#REF!*3*P46)-O46)-E46),IF(#REF!="MIN",IF(-((#REF!*3*P46)-O46)&gt;G46,"",-((#REF!*3*P46)-O46)),"")))</f>
        <v>#REF!</v>
      </c>
      <c r="Z46" s="142">
        <f t="shared" si="11"/>
        <v>12.120000000000001</v>
      </c>
      <c r="AA46" s="142" t="str">
        <f t="shared" si="12"/>
        <v/>
      </c>
      <c r="AB46" s="143"/>
      <c r="AC46" s="144" t="str">
        <f t="shared" si="13"/>
        <v/>
      </c>
      <c r="AD46" s="145"/>
      <c r="AE46" s="146"/>
      <c r="AF46" s="146"/>
      <c r="AG46" s="147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  <c r="BM46" s="76"/>
      <c r="BN46" s="76"/>
    </row>
    <row r="47" spans="2:66" ht="19.149999999999999" customHeight="1">
      <c r="B47" s="72" t="s">
        <v>252</v>
      </c>
      <c r="C47" s="72" t="s">
        <v>96</v>
      </c>
      <c r="D47" s="74" t="s">
        <v>62</v>
      </c>
      <c r="E47" s="132">
        <v>0.51</v>
      </c>
      <c r="F47" s="133">
        <v>0.02</v>
      </c>
      <c r="G47" s="133">
        <v>-0.02</v>
      </c>
      <c r="H47" s="75" t="s">
        <v>60</v>
      </c>
      <c r="I47" s="39"/>
      <c r="J47" s="134">
        <f t="shared" si="0"/>
        <v>0.53</v>
      </c>
      <c r="K47" s="135">
        <f t="shared" si="14"/>
        <v>0.49</v>
      </c>
      <c r="L47" s="136"/>
      <c r="M47" s="137">
        <f t="shared" si="1"/>
        <v>0</v>
      </c>
      <c r="N47" s="137">
        <f t="shared" si="2"/>
        <v>0</v>
      </c>
      <c r="O47" s="137">
        <f t="shared" si="3"/>
        <v>0</v>
      </c>
      <c r="P47" s="138">
        <f t="shared" si="4"/>
        <v>0</v>
      </c>
      <c r="Q47" s="139" t="str">
        <f t="shared" si="5"/>
        <v/>
      </c>
      <c r="R47" s="140" t="str">
        <f>IF(OR($AI47="",ISNUMBER($AI47)=FALSE),"",IF(AND(#REF!="Tolerance",$E47&lt;&gt;""),($O47-$E47)/(($J47-$K47)/2),IF(AND(#REF!="GD&amp;T",$F47&lt;&gt;""),$O47/$F47,"")))</f>
        <v/>
      </c>
      <c r="S47" s="140" t="str">
        <f t="shared" si="6"/>
        <v/>
      </c>
      <c r="T47" s="139" t="str">
        <f t="shared" si="7"/>
        <v/>
      </c>
      <c r="U47" s="139" t="str">
        <f t="shared" si="8"/>
        <v/>
      </c>
      <c r="V47" s="139" t="str">
        <f t="shared" si="9"/>
        <v/>
      </c>
      <c r="W47" s="141" t="str">
        <f t="shared" si="10"/>
        <v/>
      </c>
      <c r="X47" s="142" t="e">
        <f>IF($O47="","",IF(#REF!="Tolerance",IF((#REF!*3*P47+O47)-E47&lt;F47,"",(#REF!*3*P47+O47)-E47),IF(OR(#REF!="GD&amp;T",#REF!="MAX"),IF((#REF!*3*P47+O47)&lt;F47,"",(#REF!*3*P47+O47)),"")))</f>
        <v>#REF!</v>
      </c>
      <c r="Y47" s="142" t="e">
        <f>IF(O47="","",IF(#REF!="Tolerance",IF(-((#REF!*3*P47)-O47)-E47&gt;G47,"",-((#REF!*3*P47)-O47)-E47),IF(#REF!="MIN",IF(-((#REF!*3*P47)-O47)&gt;G47,"",-((#REF!*3*P47)-O47)),"")))</f>
        <v>#REF!</v>
      </c>
      <c r="Z47" s="142">
        <f t="shared" si="11"/>
        <v>0.51</v>
      </c>
      <c r="AA47" s="142" t="str">
        <f t="shared" si="12"/>
        <v/>
      </c>
      <c r="AB47" s="143"/>
      <c r="AC47" s="144" t="str">
        <f t="shared" si="13"/>
        <v/>
      </c>
      <c r="AD47" s="145"/>
      <c r="AE47" s="146"/>
      <c r="AF47" s="146"/>
      <c r="AG47" s="147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76"/>
      <c r="BL47" s="76"/>
      <c r="BM47" s="76"/>
      <c r="BN47" s="76"/>
    </row>
    <row r="48" spans="2:66" ht="19.149999999999999" customHeight="1">
      <c r="B48" s="72" t="s">
        <v>253</v>
      </c>
      <c r="C48" s="72" t="s">
        <v>97</v>
      </c>
      <c r="D48" s="74" t="s">
        <v>62</v>
      </c>
      <c r="E48" s="132">
        <v>0.51</v>
      </c>
      <c r="F48" s="133">
        <v>0.02</v>
      </c>
      <c r="G48" s="133">
        <v>-0.02</v>
      </c>
      <c r="H48" s="75" t="s">
        <v>60</v>
      </c>
      <c r="I48" s="39"/>
      <c r="J48" s="134">
        <f t="shared" si="0"/>
        <v>0.53</v>
      </c>
      <c r="K48" s="135">
        <f t="shared" si="14"/>
        <v>0.49</v>
      </c>
      <c r="L48" s="136"/>
      <c r="M48" s="137">
        <f t="shared" si="1"/>
        <v>0</v>
      </c>
      <c r="N48" s="137">
        <f t="shared" si="2"/>
        <v>0</v>
      </c>
      <c r="O48" s="137">
        <f t="shared" si="3"/>
        <v>0</v>
      </c>
      <c r="P48" s="138">
        <f t="shared" si="4"/>
        <v>0</v>
      </c>
      <c r="Q48" s="139" t="str">
        <f t="shared" si="5"/>
        <v/>
      </c>
      <c r="R48" s="140" t="str">
        <f>IF(OR($AI48="",ISNUMBER($AI48)=FALSE),"",IF(AND(#REF!="Tolerance",$E48&lt;&gt;""),($O48-$E48)/(($J48-$K48)/2),IF(AND(#REF!="GD&amp;T",$F48&lt;&gt;""),$O48/$F48,"")))</f>
        <v/>
      </c>
      <c r="S48" s="140" t="str">
        <f t="shared" si="6"/>
        <v/>
      </c>
      <c r="T48" s="139" t="str">
        <f t="shared" si="7"/>
        <v/>
      </c>
      <c r="U48" s="139" t="str">
        <f t="shared" si="8"/>
        <v/>
      </c>
      <c r="V48" s="139" t="str">
        <f t="shared" si="9"/>
        <v/>
      </c>
      <c r="W48" s="141" t="str">
        <f t="shared" si="10"/>
        <v/>
      </c>
      <c r="X48" s="142" t="e">
        <f>IF($O48="","",IF(#REF!="Tolerance",IF((#REF!*3*P48+O48)-E48&lt;F48,"",(#REF!*3*P48+O48)-E48),IF(OR(#REF!="GD&amp;T",#REF!="MAX"),IF((#REF!*3*P48+O48)&lt;F48,"",(#REF!*3*P48+O48)),"")))</f>
        <v>#REF!</v>
      </c>
      <c r="Y48" s="142" t="e">
        <f>IF(O48="","",IF(#REF!="Tolerance",IF(-((#REF!*3*P48)-O48)-E48&gt;G48,"",-((#REF!*3*P48)-O48)-E48),IF(#REF!="MIN",IF(-((#REF!*3*P48)-O48)&gt;G48,"",-((#REF!*3*P48)-O48)),"")))</f>
        <v>#REF!</v>
      </c>
      <c r="Z48" s="142">
        <f t="shared" si="11"/>
        <v>0.51</v>
      </c>
      <c r="AA48" s="142" t="str">
        <f t="shared" si="12"/>
        <v/>
      </c>
      <c r="AB48" s="143"/>
      <c r="AC48" s="144" t="str">
        <f t="shared" si="13"/>
        <v/>
      </c>
      <c r="AD48" s="145"/>
      <c r="AE48" s="146"/>
      <c r="AF48" s="146"/>
      <c r="AG48" s="147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/>
      <c r="BG48" s="76"/>
      <c r="BH48" s="76"/>
      <c r="BI48" s="76"/>
      <c r="BJ48" s="76"/>
      <c r="BK48" s="76"/>
      <c r="BL48" s="76"/>
      <c r="BM48" s="76"/>
      <c r="BN48" s="76"/>
    </row>
    <row r="49" spans="2:66" ht="19.149999999999999" customHeight="1">
      <c r="B49" s="72" t="s">
        <v>254</v>
      </c>
      <c r="C49" s="72" t="s">
        <v>98</v>
      </c>
      <c r="D49" s="74" t="s">
        <v>62</v>
      </c>
      <c r="E49" s="132">
        <v>0.81</v>
      </c>
      <c r="F49" s="133">
        <v>0.03</v>
      </c>
      <c r="G49" s="133">
        <v>-0.02</v>
      </c>
      <c r="H49" s="75" t="s">
        <v>60</v>
      </c>
      <c r="I49" s="39"/>
      <c r="J49" s="134">
        <f t="shared" si="0"/>
        <v>0.84000000000000008</v>
      </c>
      <c r="K49" s="135">
        <f t="shared" si="14"/>
        <v>0.79</v>
      </c>
      <c r="L49" s="136"/>
      <c r="M49" s="137">
        <f t="shared" si="1"/>
        <v>0</v>
      </c>
      <c r="N49" s="137">
        <f t="shared" si="2"/>
        <v>0</v>
      </c>
      <c r="O49" s="137">
        <f t="shared" si="3"/>
        <v>0</v>
      </c>
      <c r="P49" s="138">
        <f t="shared" si="4"/>
        <v>0</v>
      </c>
      <c r="Q49" s="139" t="str">
        <f t="shared" si="5"/>
        <v/>
      </c>
      <c r="R49" s="140" t="str">
        <f>IF(OR($AI49="",ISNUMBER($AI49)=FALSE),"",IF(AND(#REF!="Tolerance",$E49&lt;&gt;""),($O49-$E49)/(($J49-$K49)/2),IF(AND(#REF!="GD&amp;T",$F49&lt;&gt;""),$O49/$F49,"")))</f>
        <v/>
      </c>
      <c r="S49" s="140" t="str">
        <f t="shared" si="6"/>
        <v/>
      </c>
      <c r="T49" s="139" t="str">
        <f t="shared" si="7"/>
        <v/>
      </c>
      <c r="U49" s="139" t="str">
        <f t="shared" si="8"/>
        <v/>
      </c>
      <c r="V49" s="139" t="str">
        <f t="shared" si="9"/>
        <v/>
      </c>
      <c r="W49" s="141" t="str">
        <f t="shared" si="10"/>
        <v/>
      </c>
      <c r="X49" s="142" t="e">
        <f>IF($O49="","",IF(#REF!="Tolerance",IF((#REF!*3*P49+O49)-E49&lt;F49,"",(#REF!*3*P49+O49)-E49),IF(OR(#REF!="GD&amp;T",#REF!="MAX"),IF((#REF!*3*P49+O49)&lt;F49,"",(#REF!*3*P49+O49)),"")))</f>
        <v>#REF!</v>
      </c>
      <c r="Y49" s="142" t="e">
        <f>IF(O49="","",IF(#REF!="Tolerance",IF(-((#REF!*3*P49)-O49)-E49&gt;G49,"",-((#REF!*3*P49)-O49)-E49),IF(#REF!="MIN",IF(-((#REF!*3*P49)-O49)&gt;G49,"",-((#REF!*3*P49)-O49)),"")))</f>
        <v>#REF!</v>
      </c>
      <c r="Z49" s="142">
        <f t="shared" si="11"/>
        <v>0.81500000000000006</v>
      </c>
      <c r="AA49" s="142" t="str">
        <f t="shared" si="12"/>
        <v/>
      </c>
      <c r="AB49" s="143"/>
      <c r="AC49" s="144" t="str">
        <f t="shared" si="13"/>
        <v/>
      </c>
      <c r="AD49" s="145"/>
      <c r="AE49" s="146"/>
      <c r="AF49" s="146"/>
      <c r="AG49" s="147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</row>
    <row r="50" spans="2:66" ht="19.149999999999999" customHeight="1">
      <c r="B50" s="72" t="s">
        <v>254</v>
      </c>
      <c r="C50" s="72" t="s">
        <v>99</v>
      </c>
      <c r="D50" s="74" t="s">
        <v>62</v>
      </c>
      <c r="E50" s="132">
        <v>0.81</v>
      </c>
      <c r="F50" s="133">
        <v>0.03</v>
      </c>
      <c r="G50" s="133">
        <v>-0.02</v>
      </c>
      <c r="H50" s="75" t="s">
        <v>60</v>
      </c>
      <c r="I50" s="39"/>
      <c r="J50" s="134">
        <f t="shared" si="0"/>
        <v>0.84000000000000008</v>
      </c>
      <c r="K50" s="135">
        <f t="shared" si="14"/>
        <v>0.79</v>
      </c>
      <c r="L50" s="136"/>
      <c r="M50" s="137">
        <f t="shared" si="1"/>
        <v>0</v>
      </c>
      <c r="N50" s="137">
        <f t="shared" si="2"/>
        <v>0</v>
      </c>
      <c r="O50" s="137">
        <f t="shared" si="3"/>
        <v>0</v>
      </c>
      <c r="P50" s="138">
        <f t="shared" si="4"/>
        <v>0</v>
      </c>
      <c r="Q50" s="139" t="str">
        <f t="shared" si="5"/>
        <v/>
      </c>
      <c r="R50" s="140" t="str">
        <f>IF(OR($AI50="",ISNUMBER($AI50)=FALSE),"",IF(AND(#REF!="Tolerance",$E50&lt;&gt;""),($O50-$E50)/(($J50-$K50)/2),IF(AND(#REF!="GD&amp;T",$F50&lt;&gt;""),$O50/$F50,"")))</f>
        <v/>
      </c>
      <c r="S50" s="140" t="str">
        <f t="shared" si="6"/>
        <v/>
      </c>
      <c r="T50" s="139" t="str">
        <f t="shared" si="7"/>
        <v/>
      </c>
      <c r="U50" s="139" t="str">
        <f t="shared" si="8"/>
        <v/>
      </c>
      <c r="V50" s="139" t="str">
        <f t="shared" si="9"/>
        <v/>
      </c>
      <c r="W50" s="141" t="str">
        <f t="shared" si="10"/>
        <v/>
      </c>
      <c r="X50" s="142" t="e">
        <f>IF($O50="","",IF(#REF!="Tolerance",IF((#REF!*3*P50+O50)-E50&lt;F50,"",(#REF!*3*P50+O50)-E50),IF(OR(#REF!="GD&amp;T",#REF!="MAX"),IF((#REF!*3*P50+O50)&lt;F50,"",(#REF!*3*P50+O50)),"")))</f>
        <v>#REF!</v>
      </c>
      <c r="Y50" s="142" t="e">
        <f>IF(O50="","",IF(#REF!="Tolerance",IF(-((#REF!*3*P50)-O50)-E50&gt;G50,"",-((#REF!*3*P50)-O50)-E50),IF(#REF!="MIN",IF(-((#REF!*3*P50)-O50)&gt;G50,"",-((#REF!*3*P50)-O50)),"")))</f>
        <v>#REF!</v>
      </c>
      <c r="Z50" s="142">
        <f t="shared" si="11"/>
        <v>0.81500000000000006</v>
      </c>
      <c r="AA50" s="142" t="str">
        <f t="shared" si="12"/>
        <v/>
      </c>
      <c r="AB50" s="143"/>
      <c r="AC50" s="144" t="str">
        <f t="shared" si="13"/>
        <v/>
      </c>
      <c r="AD50" s="145"/>
      <c r="AE50" s="146"/>
      <c r="AF50" s="146"/>
      <c r="AG50" s="147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</row>
    <row r="51" spans="2:66" ht="19.149999999999999" customHeight="1">
      <c r="B51" s="72" t="s">
        <v>254</v>
      </c>
      <c r="C51" s="72" t="s">
        <v>100</v>
      </c>
      <c r="D51" s="74" t="s">
        <v>62</v>
      </c>
      <c r="E51" s="132">
        <v>0.81</v>
      </c>
      <c r="F51" s="133">
        <v>0.03</v>
      </c>
      <c r="G51" s="133">
        <v>-0.02</v>
      </c>
      <c r="H51" s="75" t="s">
        <v>60</v>
      </c>
      <c r="I51" s="39"/>
      <c r="J51" s="134">
        <f t="shared" si="0"/>
        <v>0.84000000000000008</v>
      </c>
      <c r="K51" s="135">
        <f t="shared" si="14"/>
        <v>0.79</v>
      </c>
      <c r="L51" s="136"/>
      <c r="M51" s="137">
        <f t="shared" si="1"/>
        <v>0</v>
      </c>
      <c r="N51" s="137">
        <f t="shared" si="2"/>
        <v>0</v>
      </c>
      <c r="O51" s="137">
        <f t="shared" si="3"/>
        <v>0</v>
      </c>
      <c r="P51" s="138">
        <f t="shared" si="4"/>
        <v>0</v>
      </c>
      <c r="Q51" s="139" t="str">
        <f t="shared" si="5"/>
        <v/>
      </c>
      <c r="R51" s="140" t="str">
        <f>IF(OR($AI51="",ISNUMBER($AI51)=FALSE),"",IF(AND(#REF!="Tolerance",$E51&lt;&gt;""),($O51-$E51)/(($J51-$K51)/2),IF(AND(#REF!="GD&amp;T",$F51&lt;&gt;""),$O51/$F51,"")))</f>
        <v/>
      </c>
      <c r="S51" s="140" t="str">
        <f t="shared" si="6"/>
        <v/>
      </c>
      <c r="T51" s="139" t="str">
        <f t="shared" si="7"/>
        <v/>
      </c>
      <c r="U51" s="139" t="str">
        <f t="shared" si="8"/>
        <v/>
      </c>
      <c r="V51" s="139" t="str">
        <f t="shared" si="9"/>
        <v/>
      </c>
      <c r="W51" s="141" t="str">
        <f t="shared" si="10"/>
        <v/>
      </c>
      <c r="X51" s="142" t="e">
        <f>IF($O51="","",IF(#REF!="Tolerance",IF((#REF!*3*P51+O51)-E51&lt;F51,"",(#REF!*3*P51+O51)-E51),IF(OR(#REF!="GD&amp;T",#REF!="MAX"),IF((#REF!*3*P51+O51)&lt;F51,"",(#REF!*3*P51+O51)),"")))</f>
        <v>#REF!</v>
      </c>
      <c r="Y51" s="142" t="e">
        <f>IF(O51="","",IF(#REF!="Tolerance",IF(-((#REF!*3*P51)-O51)-E51&gt;G51,"",-((#REF!*3*P51)-O51)-E51),IF(#REF!="MIN",IF(-((#REF!*3*P51)-O51)&gt;G51,"",-((#REF!*3*P51)-O51)),"")))</f>
        <v>#REF!</v>
      </c>
      <c r="Z51" s="142">
        <f t="shared" si="11"/>
        <v>0.81500000000000006</v>
      </c>
      <c r="AA51" s="142" t="str">
        <f t="shared" si="12"/>
        <v/>
      </c>
      <c r="AB51" s="143"/>
      <c r="AC51" s="144" t="str">
        <f t="shared" si="13"/>
        <v/>
      </c>
      <c r="AD51" s="145"/>
      <c r="AE51" s="146"/>
      <c r="AF51" s="146"/>
      <c r="AG51" s="147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</row>
    <row r="52" spans="2:66" ht="19.149999999999999" customHeight="1">
      <c r="B52" s="72" t="s">
        <v>254</v>
      </c>
      <c r="C52" s="72" t="s">
        <v>101</v>
      </c>
      <c r="D52" s="74" t="s">
        <v>62</v>
      </c>
      <c r="E52" s="132">
        <v>0.81</v>
      </c>
      <c r="F52" s="133">
        <v>0.03</v>
      </c>
      <c r="G52" s="133">
        <v>-0.02</v>
      </c>
      <c r="H52" s="75" t="s">
        <v>60</v>
      </c>
      <c r="I52" s="39"/>
      <c r="J52" s="134">
        <f t="shared" si="0"/>
        <v>0.84000000000000008</v>
      </c>
      <c r="K52" s="135">
        <f t="shared" si="14"/>
        <v>0.79</v>
      </c>
      <c r="L52" s="136"/>
      <c r="M52" s="137">
        <f t="shared" si="1"/>
        <v>0</v>
      </c>
      <c r="N52" s="137">
        <f t="shared" si="2"/>
        <v>0</v>
      </c>
      <c r="O52" s="137">
        <f t="shared" si="3"/>
        <v>0</v>
      </c>
      <c r="P52" s="138">
        <f t="shared" si="4"/>
        <v>0</v>
      </c>
      <c r="Q52" s="139" t="str">
        <f t="shared" si="5"/>
        <v/>
      </c>
      <c r="R52" s="140" t="str">
        <f>IF(OR($AI52="",ISNUMBER($AI52)=FALSE),"",IF(AND(#REF!="Tolerance",$E52&lt;&gt;""),($O52-$E52)/(($J52-$K52)/2),IF(AND(#REF!="GD&amp;T",$F52&lt;&gt;""),$O52/$F52,"")))</f>
        <v/>
      </c>
      <c r="S52" s="140" t="str">
        <f t="shared" si="6"/>
        <v/>
      </c>
      <c r="T52" s="139" t="str">
        <f t="shared" si="7"/>
        <v/>
      </c>
      <c r="U52" s="139" t="str">
        <f t="shared" si="8"/>
        <v/>
      </c>
      <c r="V52" s="139" t="str">
        <f t="shared" si="9"/>
        <v/>
      </c>
      <c r="W52" s="141" t="str">
        <f t="shared" si="10"/>
        <v/>
      </c>
      <c r="X52" s="142" t="e">
        <f>IF($O52="","",IF(#REF!="Tolerance",IF((#REF!*3*P52+O52)-E52&lt;F52,"",(#REF!*3*P52+O52)-E52),IF(OR(#REF!="GD&amp;T",#REF!="MAX"),IF((#REF!*3*P52+O52)&lt;F52,"",(#REF!*3*P52+O52)),"")))</f>
        <v>#REF!</v>
      </c>
      <c r="Y52" s="142" t="e">
        <f>IF(O52="","",IF(#REF!="Tolerance",IF(-((#REF!*3*P52)-O52)-E52&gt;G52,"",-((#REF!*3*P52)-O52)-E52),IF(#REF!="MIN",IF(-((#REF!*3*P52)-O52)&gt;G52,"",-((#REF!*3*P52)-O52)),"")))</f>
        <v>#REF!</v>
      </c>
      <c r="Z52" s="142">
        <f t="shared" si="11"/>
        <v>0.81500000000000006</v>
      </c>
      <c r="AA52" s="142" t="str">
        <f t="shared" si="12"/>
        <v/>
      </c>
      <c r="AB52" s="143"/>
      <c r="AC52" s="144" t="str">
        <f t="shared" si="13"/>
        <v/>
      </c>
      <c r="AD52" s="145"/>
      <c r="AE52" s="146"/>
      <c r="AF52" s="146"/>
      <c r="AG52" s="147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</row>
    <row r="53" spans="2:66" ht="19.149999999999999" customHeight="1">
      <c r="B53" s="72" t="s">
        <v>255</v>
      </c>
      <c r="C53" s="72" t="s">
        <v>102</v>
      </c>
      <c r="D53" s="74" t="s">
        <v>62</v>
      </c>
      <c r="E53" s="132">
        <v>14</v>
      </c>
      <c r="F53" s="133">
        <v>3.5000000000000003E-2</v>
      </c>
      <c r="G53" s="133">
        <v>-0.02</v>
      </c>
      <c r="H53" s="75" t="s">
        <v>60</v>
      </c>
      <c r="I53" s="39"/>
      <c r="J53" s="134">
        <f t="shared" si="0"/>
        <v>14.035</v>
      </c>
      <c r="K53" s="135">
        <f t="shared" si="14"/>
        <v>13.98</v>
      </c>
      <c r="L53" s="136"/>
      <c r="M53" s="137">
        <f t="shared" si="1"/>
        <v>0</v>
      </c>
      <c r="N53" s="137">
        <f t="shared" si="2"/>
        <v>0</v>
      </c>
      <c r="O53" s="137">
        <f t="shared" si="3"/>
        <v>0</v>
      </c>
      <c r="P53" s="138">
        <f t="shared" si="4"/>
        <v>0</v>
      </c>
      <c r="Q53" s="139" t="str">
        <f t="shared" si="5"/>
        <v/>
      </c>
      <c r="R53" s="140" t="str">
        <f>IF(OR($AI53="",ISNUMBER($AI53)=FALSE),"",IF(AND(#REF!="Tolerance",$E53&lt;&gt;""),($O53-$E53)/(($J53-$K53)/2),IF(AND(#REF!="GD&amp;T",$F53&lt;&gt;""),$O53/$F53,"")))</f>
        <v/>
      </c>
      <c r="S53" s="140" t="str">
        <f t="shared" si="6"/>
        <v/>
      </c>
      <c r="T53" s="139" t="str">
        <f t="shared" si="7"/>
        <v/>
      </c>
      <c r="U53" s="139" t="str">
        <f t="shared" si="8"/>
        <v/>
      </c>
      <c r="V53" s="139" t="str">
        <f t="shared" si="9"/>
        <v/>
      </c>
      <c r="W53" s="141" t="str">
        <f t="shared" si="10"/>
        <v/>
      </c>
      <c r="X53" s="142" t="e">
        <f>IF($O53="","",IF(#REF!="Tolerance",IF((#REF!*3*P53+O53)-E53&lt;F53,"",(#REF!*3*P53+O53)-E53),IF(OR(#REF!="GD&amp;T",#REF!="MAX"),IF((#REF!*3*P53+O53)&lt;F53,"",(#REF!*3*P53+O53)),"")))</f>
        <v>#REF!</v>
      </c>
      <c r="Y53" s="142" t="e">
        <f>IF(O53="","",IF(#REF!="Tolerance",IF(-((#REF!*3*P53)-O53)-E53&gt;G53,"",-((#REF!*3*P53)-O53)-E53),IF(#REF!="MIN",IF(-((#REF!*3*P53)-O53)&gt;G53,"",-((#REF!*3*P53)-O53)),"")))</f>
        <v>#REF!</v>
      </c>
      <c r="Z53" s="142">
        <f t="shared" si="11"/>
        <v>14.0075</v>
      </c>
      <c r="AA53" s="142" t="str">
        <f t="shared" si="12"/>
        <v/>
      </c>
      <c r="AB53" s="143"/>
      <c r="AC53" s="144" t="str">
        <f t="shared" si="13"/>
        <v/>
      </c>
      <c r="AD53" s="145"/>
      <c r="AE53" s="146"/>
      <c r="AF53" s="146"/>
      <c r="AG53" s="147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</row>
    <row r="54" spans="2:66" ht="19.149999999999999" customHeight="1">
      <c r="B54" s="72" t="s">
        <v>256</v>
      </c>
      <c r="C54" s="72" t="s">
        <v>103</v>
      </c>
      <c r="D54" s="74" t="s">
        <v>62</v>
      </c>
      <c r="E54" s="132">
        <v>1.29</v>
      </c>
      <c r="F54" s="133">
        <v>0.02</v>
      </c>
      <c r="G54" s="133">
        <v>-0.03</v>
      </c>
      <c r="H54" s="75" t="s">
        <v>60</v>
      </c>
      <c r="I54" s="39"/>
      <c r="J54" s="134">
        <f t="shared" si="0"/>
        <v>1.31</v>
      </c>
      <c r="K54" s="135">
        <f t="shared" si="14"/>
        <v>1.26</v>
      </c>
      <c r="L54" s="136"/>
      <c r="M54" s="137">
        <f t="shared" si="1"/>
        <v>0</v>
      </c>
      <c r="N54" s="137">
        <f t="shared" si="2"/>
        <v>0</v>
      </c>
      <c r="O54" s="137">
        <f t="shared" si="3"/>
        <v>0</v>
      </c>
      <c r="P54" s="138">
        <f t="shared" si="4"/>
        <v>0</v>
      </c>
      <c r="Q54" s="139" t="str">
        <f t="shared" si="5"/>
        <v/>
      </c>
      <c r="R54" s="140" t="str">
        <f>IF(OR($AI54="",ISNUMBER($AI54)=FALSE),"",IF(AND(#REF!="Tolerance",$E54&lt;&gt;""),($O54-$E54)/(($J54-$K54)/2),IF(AND(#REF!="GD&amp;T",$F54&lt;&gt;""),$O54/$F54,"")))</f>
        <v/>
      </c>
      <c r="S54" s="140" t="str">
        <f t="shared" si="6"/>
        <v/>
      </c>
      <c r="T54" s="139" t="str">
        <f t="shared" si="7"/>
        <v/>
      </c>
      <c r="U54" s="139" t="str">
        <f t="shared" si="8"/>
        <v/>
      </c>
      <c r="V54" s="139" t="str">
        <f t="shared" si="9"/>
        <v/>
      </c>
      <c r="W54" s="141" t="str">
        <f t="shared" si="10"/>
        <v/>
      </c>
      <c r="X54" s="142" t="e">
        <f>IF($O54="","",IF(#REF!="Tolerance",IF((#REF!*3*P54+O54)-E54&lt;F54,"",(#REF!*3*P54+O54)-E54),IF(OR(#REF!="GD&amp;T",#REF!="MAX"),IF((#REF!*3*P54+O54)&lt;F54,"",(#REF!*3*P54+O54)),"")))</f>
        <v>#REF!</v>
      </c>
      <c r="Y54" s="142" t="e">
        <f>IF(O54="","",IF(#REF!="Tolerance",IF(-((#REF!*3*P54)-O54)-E54&gt;G54,"",-((#REF!*3*P54)-O54)-E54),IF(#REF!="MIN",IF(-((#REF!*3*P54)-O54)&gt;G54,"",-((#REF!*3*P54)-O54)),"")))</f>
        <v>#REF!</v>
      </c>
      <c r="Z54" s="142">
        <f t="shared" si="11"/>
        <v>1.2850000000000001</v>
      </c>
      <c r="AA54" s="142" t="str">
        <f t="shared" si="12"/>
        <v/>
      </c>
      <c r="AB54" s="143"/>
      <c r="AC54" s="144" t="str">
        <f t="shared" si="13"/>
        <v/>
      </c>
      <c r="AD54" s="145"/>
      <c r="AE54" s="146"/>
      <c r="AF54" s="146"/>
      <c r="AG54" s="147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</row>
    <row r="55" spans="2:66" ht="19.149999999999999" customHeight="1">
      <c r="B55" s="72" t="s">
        <v>257</v>
      </c>
      <c r="C55" s="72" t="s">
        <v>104</v>
      </c>
      <c r="D55" s="74" t="s">
        <v>62</v>
      </c>
      <c r="E55" s="132">
        <v>0.43</v>
      </c>
      <c r="F55" s="133">
        <v>0.02</v>
      </c>
      <c r="G55" s="133">
        <v>-0.02</v>
      </c>
      <c r="H55" s="75" t="s">
        <v>60</v>
      </c>
      <c r="I55" s="39"/>
      <c r="J55" s="134">
        <f t="shared" si="0"/>
        <v>0.45</v>
      </c>
      <c r="K55" s="135">
        <f t="shared" si="14"/>
        <v>0.41</v>
      </c>
      <c r="L55" s="136"/>
      <c r="M55" s="137">
        <f t="shared" si="1"/>
        <v>0</v>
      </c>
      <c r="N55" s="137">
        <f t="shared" si="2"/>
        <v>0</v>
      </c>
      <c r="O55" s="137">
        <f t="shared" si="3"/>
        <v>0</v>
      </c>
      <c r="P55" s="138">
        <f t="shared" si="4"/>
        <v>0</v>
      </c>
      <c r="Q55" s="139" t="str">
        <f t="shared" si="5"/>
        <v/>
      </c>
      <c r="R55" s="140" t="str">
        <f>IF(OR($AI55="",ISNUMBER($AI55)=FALSE),"",IF(AND(#REF!="Tolerance",$E55&lt;&gt;""),($O55-$E55)/(($J55-$K55)/2),IF(AND(#REF!="GD&amp;T",$F55&lt;&gt;""),$O55/$F55,"")))</f>
        <v/>
      </c>
      <c r="S55" s="140" t="str">
        <f t="shared" si="6"/>
        <v/>
      </c>
      <c r="T55" s="139" t="str">
        <f t="shared" si="7"/>
        <v/>
      </c>
      <c r="U55" s="139" t="str">
        <f t="shared" si="8"/>
        <v/>
      </c>
      <c r="V55" s="139" t="str">
        <f t="shared" si="9"/>
        <v/>
      </c>
      <c r="W55" s="141" t="str">
        <f t="shared" si="10"/>
        <v/>
      </c>
      <c r="X55" s="142" t="e">
        <f>IF($O55="","",IF(#REF!="Tolerance",IF((#REF!*3*P55+O55)-E55&lt;F55,"",(#REF!*3*P55+O55)-E55),IF(OR(#REF!="GD&amp;T",#REF!="MAX"),IF((#REF!*3*P55+O55)&lt;F55,"",(#REF!*3*P55+O55)),"")))</f>
        <v>#REF!</v>
      </c>
      <c r="Y55" s="142" t="e">
        <f>IF(O55="","",IF(#REF!="Tolerance",IF(-((#REF!*3*P55)-O55)-E55&gt;G55,"",-((#REF!*3*P55)-O55)-E55),IF(#REF!="MIN",IF(-((#REF!*3*P55)-O55)&gt;G55,"",-((#REF!*3*P55)-O55)),"")))</f>
        <v>#REF!</v>
      </c>
      <c r="Z55" s="142">
        <f t="shared" si="11"/>
        <v>0.43</v>
      </c>
      <c r="AA55" s="142" t="str">
        <f t="shared" si="12"/>
        <v/>
      </c>
      <c r="AB55" s="143"/>
      <c r="AC55" s="144" t="str">
        <f t="shared" si="13"/>
        <v/>
      </c>
      <c r="AD55" s="145"/>
      <c r="AE55" s="146"/>
      <c r="AF55" s="146"/>
      <c r="AG55" s="147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</row>
    <row r="56" spans="2:66" ht="19.149999999999999" customHeight="1">
      <c r="B56" s="72" t="s">
        <v>258</v>
      </c>
      <c r="C56" s="72" t="s">
        <v>106</v>
      </c>
      <c r="D56" s="74" t="s">
        <v>62</v>
      </c>
      <c r="E56" s="132">
        <v>2.0299999999999998</v>
      </c>
      <c r="F56" s="133">
        <v>0.02</v>
      </c>
      <c r="G56" s="133">
        <v>-0.02</v>
      </c>
      <c r="H56" s="75" t="s">
        <v>60</v>
      </c>
      <c r="I56" s="39"/>
      <c r="J56" s="134">
        <f t="shared" si="0"/>
        <v>2.0499999999999998</v>
      </c>
      <c r="K56" s="135">
        <f t="shared" si="14"/>
        <v>2.0099999999999998</v>
      </c>
      <c r="L56" s="136"/>
      <c r="M56" s="137">
        <f t="shared" si="1"/>
        <v>0</v>
      </c>
      <c r="N56" s="137">
        <f t="shared" si="2"/>
        <v>0</v>
      </c>
      <c r="O56" s="137">
        <f t="shared" si="3"/>
        <v>0</v>
      </c>
      <c r="P56" s="138">
        <f t="shared" si="4"/>
        <v>0</v>
      </c>
      <c r="Q56" s="139" t="str">
        <f t="shared" si="5"/>
        <v/>
      </c>
      <c r="R56" s="140" t="str">
        <f>IF(OR($AI56="",ISNUMBER($AI56)=FALSE),"",IF(AND(#REF!="Tolerance",$E56&lt;&gt;""),($O56-$E56)/(($J56-$K56)/2),IF(AND(#REF!="GD&amp;T",$F56&lt;&gt;""),$O56/$F56,"")))</f>
        <v/>
      </c>
      <c r="S56" s="140" t="str">
        <f t="shared" si="6"/>
        <v/>
      </c>
      <c r="T56" s="139" t="str">
        <f t="shared" si="7"/>
        <v/>
      </c>
      <c r="U56" s="139" t="str">
        <f t="shared" si="8"/>
        <v/>
      </c>
      <c r="V56" s="139" t="str">
        <f t="shared" si="9"/>
        <v/>
      </c>
      <c r="W56" s="141" t="str">
        <f t="shared" si="10"/>
        <v/>
      </c>
      <c r="X56" s="142" t="e">
        <f>IF($O56="","",IF(#REF!="Tolerance",IF((#REF!*3*P56+O56)-E56&lt;F56,"",(#REF!*3*P56+O56)-E56),IF(OR(#REF!="GD&amp;T",#REF!="MAX"),IF((#REF!*3*P56+O56)&lt;F56,"",(#REF!*3*P56+O56)),"")))</f>
        <v>#REF!</v>
      </c>
      <c r="Y56" s="142" t="e">
        <f>IF(O56="","",IF(#REF!="Tolerance",IF(-((#REF!*3*P56)-O56)-E56&gt;G56,"",-((#REF!*3*P56)-O56)-E56),IF(#REF!="MIN",IF(-((#REF!*3*P56)-O56)&gt;G56,"",-((#REF!*3*P56)-O56)),"")))</f>
        <v>#REF!</v>
      </c>
      <c r="Z56" s="142">
        <f t="shared" si="11"/>
        <v>2.0299999999999998</v>
      </c>
      <c r="AA56" s="142" t="str">
        <f t="shared" si="12"/>
        <v/>
      </c>
      <c r="AB56" s="143"/>
      <c r="AC56" s="144" t="str">
        <f t="shared" si="13"/>
        <v/>
      </c>
      <c r="AD56" s="145"/>
      <c r="AE56" s="146"/>
      <c r="AF56" s="146"/>
      <c r="AG56" s="147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</row>
    <row r="57" spans="2:66" ht="19.149999999999999" customHeight="1">
      <c r="B57" s="72" t="s">
        <v>259</v>
      </c>
      <c r="C57" s="72" t="s">
        <v>107</v>
      </c>
      <c r="D57" s="74" t="s">
        <v>62</v>
      </c>
      <c r="E57" s="132">
        <v>1.117</v>
      </c>
      <c r="F57" s="133">
        <v>2.5000000000000001E-2</v>
      </c>
      <c r="G57" s="133">
        <v>-2.5000000000000001E-2</v>
      </c>
      <c r="H57" s="75" t="s">
        <v>60</v>
      </c>
      <c r="I57" s="39"/>
      <c r="J57" s="134">
        <f t="shared" si="0"/>
        <v>1.1419999999999999</v>
      </c>
      <c r="K57" s="135">
        <f t="shared" si="14"/>
        <v>1.0920000000000001</v>
      </c>
      <c r="L57" s="136"/>
      <c r="M57" s="137">
        <f t="shared" si="1"/>
        <v>0</v>
      </c>
      <c r="N57" s="137">
        <f t="shared" si="2"/>
        <v>0</v>
      </c>
      <c r="O57" s="137">
        <f t="shared" si="3"/>
        <v>0</v>
      </c>
      <c r="P57" s="138">
        <f t="shared" si="4"/>
        <v>0</v>
      </c>
      <c r="Q57" s="139" t="str">
        <f t="shared" si="5"/>
        <v/>
      </c>
      <c r="R57" s="140" t="str">
        <f>IF(OR($AI57="",ISNUMBER($AI57)=FALSE),"",IF(AND(#REF!="Tolerance",$E57&lt;&gt;""),($O57-$E57)/(($J57-$K57)/2),IF(AND(#REF!="GD&amp;T",$F57&lt;&gt;""),$O57/$F57,"")))</f>
        <v/>
      </c>
      <c r="S57" s="140" t="str">
        <f t="shared" si="6"/>
        <v/>
      </c>
      <c r="T57" s="139" t="str">
        <f t="shared" si="7"/>
        <v/>
      </c>
      <c r="U57" s="139" t="str">
        <f t="shared" si="8"/>
        <v/>
      </c>
      <c r="V57" s="139" t="str">
        <f t="shared" si="9"/>
        <v/>
      </c>
      <c r="W57" s="141" t="str">
        <f t="shared" si="10"/>
        <v/>
      </c>
      <c r="X57" s="142" t="e">
        <f>IF($O57="","",IF(#REF!="Tolerance",IF((#REF!*3*P57+O57)-E57&lt;F57,"",(#REF!*3*P57+O57)-E57),IF(OR(#REF!="GD&amp;T",#REF!="MAX"),IF((#REF!*3*P57+O57)&lt;F57,"",(#REF!*3*P57+O57)),"")))</f>
        <v>#REF!</v>
      </c>
      <c r="Y57" s="142" t="e">
        <f>IF(O57="","",IF(#REF!="Tolerance",IF(-((#REF!*3*P57)-O57)-E57&gt;G57,"",-((#REF!*3*P57)-O57)-E57),IF(#REF!="MIN",IF(-((#REF!*3*P57)-O57)&gt;G57,"",-((#REF!*3*P57)-O57)),"")))</f>
        <v>#REF!</v>
      </c>
      <c r="Z57" s="142">
        <f t="shared" si="11"/>
        <v>1.117</v>
      </c>
      <c r="AA57" s="142" t="str">
        <f t="shared" si="12"/>
        <v/>
      </c>
      <c r="AB57" s="143"/>
      <c r="AC57" s="144" t="str">
        <f t="shared" si="13"/>
        <v/>
      </c>
      <c r="AD57" s="145"/>
      <c r="AE57" s="146"/>
      <c r="AF57" s="146"/>
      <c r="AG57" s="147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</row>
    <row r="58" spans="2:66" ht="19.149999999999999" customHeight="1">
      <c r="B58" s="72" t="s">
        <v>260</v>
      </c>
      <c r="C58" s="72" t="s">
        <v>112</v>
      </c>
      <c r="D58" s="74" t="s">
        <v>62</v>
      </c>
      <c r="E58" s="132">
        <v>0.32</v>
      </c>
      <c r="F58" s="133">
        <v>0.03</v>
      </c>
      <c r="G58" s="133">
        <v>-0.03</v>
      </c>
      <c r="H58" s="75" t="s">
        <v>60</v>
      </c>
      <c r="I58" s="39"/>
      <c r="J58" s="134">
        <f t="shared" si="0"/>
        <v>0.35</v>
      </c>
      <c r="K58" s="135">
        <f t="shared" si="14"/>
        <v>0.29000000000000004</v>
      </c>
      <c r="L58" s="136"/>
      <c r="M58" s="137">
        <f t="shared" si="1"/>
        <v>0</v>
      </c>
      <c r="N58" s="137">
        <f t="shared" si="2"/>
        <v>0</v>
      </c>
      <c r="O58" s="137">
        <f t="shared" si="3"/>
        <v>0</v>
      </c>
      <c r="P58" s="138">
        <f t="shared" si="4"/>
        <v>0</v>
      </c>
      <c r="Q58" s="139" t="str">
        <f t="shared" si="5"/>
        <v/>
      </c>
      <c r="R58" s="140" t="str">
        <f>IF(OR($AI58="",ISNUMBER($AI58)=FALSE),"",IF(AND(#REF!="Tolerance",$E58&lt;&gt;""),($O58-$E58)/(($J58-$K58)/2),IF(AND(#REF!="GD&amp;T",$F58&lt;&gt;""),$O58/$F58,"")))</f>
        <v/>
      </c>
      <c r="S58" s="140" t="str">
        <f t="shared" si="6"/>
        <v/>
      </c>
      <c r="T58" s="139" t="str">
        <f t="shared" si="7"/>
        <v/>
      </c>
      <c r="U58" s="139" t="str">
        <f t="shared" si="8"/>
        <v/>
      </c>
      <c r="V58" s="139" t="str">
        <f t="shared" si="9"/>
        <v/>
      </c>
      <c r="W58" s="141" t="str">
        <f t="shared" si="10"/>
        <v/>
      </c>
      <c r="X58" s="142" t="e">
        <f>IF($O58="","",IF(#REF!="Tolerance",IF((#REF!*3*P58+O58)-E58&lt;F58,"",(#REF!*3*P58+O58)-E58),IF(OR(#REF!="GD&amp;T",#REF!="MAX"),IF((#REF!*3*P58+O58)&lt;F58,"",(#REF!*3*P58+O58)),"")))</f>
        <v>#REF!</v>
      </c>
      <c r="Y58" s="142" t="e">
        <f>IF(O58="","",IF(#REF!="Tolerance",IF(-((#REF!*3*P58)-O58)-E58&gt;G58,"",-((#REF!*3*P58)-O58)-E58),IF(#REF!="MIN",IF(-((#REF!*3*P58)-O58)&gt;G58,"",-((#REF!*3*P58)-O58)),"")))</f>
        <v>#REF!</v>
      </c>
      <c r="Z58" s="142">
        <f t="shared" si="11"/>
        <v>0.32</v>
      </c>
      <c r="AA58" s="142" t="str">
        <f t="shared" si="12"/>
        <v/>
      </c>
      <c r="AB58" s="143"/>
      <c r="AC58" s="144" t="str">
        <f t="shared" si="13"/>
        <v/>
      </c>
      <c r="AD58" s="145"/>
      <c r="AE58" s="146"/>
      <c r="AF58" s="146"/>
      <c r="AG58" s="147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</row>
    <row r="59" spans="2:66" ht="19.149999999999999" customHeight="1">
      <c r="B59" s="72" t="s">
        <v>260</v>
      </c>
      <c r="C59" s="72" t="s">
        <v>113</v>
      </c>
      <c r="D59" s="74" t="s">
        <v>62</v>
      </c>
      <c r="E59" s="132">
        <v>0.32</v>
      </c>
      <c r="F59" s="133">
        <v>0.03</v>
      </c>
      <c r="G59" s="133">
        <v>-0.03</v>
      </c>
      <c r="H59" s="75" t="s">
        <v>60</v>
      </c>
      <c r="I59" s="39"/>
      <c r="J59" s="134">
        <f t="shared" si="0"/>
        <v>0.35</v>
      </c>
      <c r="K59" s="135">
        <f t="shared" si="14"/>
        <v>0.29000000000000004</v>
      </c>
      <c r="L59" s="136"/>
      <c r="M59" s="137">
        <f t="shared" si="1"/>
        <v>0</v>
      </c>
      <c r="N59" s="137">
        <f t="shared" si="2"/>
        <v>0</v>
      </c>
      <c r="O59" s="137">
        <f t="shared" si="3"/>
        <v>0</v>
      </c>
      <c r="P59" s="138">
        <f t="shared" si="4"/>
        <v>0</v>
      </c>
      <c r="Q59" s="139" t="str">
        <f t="shared" si="5"/>
        <v/>
      </c>
      <c r="R59" s="140" t="str">
        <f>IF(OR($AI59="",ISNUMBER($AI59)=FALSE),"",IF(AND(#REF!="Tolerance",$E59&lt;&gt;""),($O59-$E59)/(($J59-$K59)/2),IF(AND(#REF!="GD&amp;T",$F59&lt;&gt;""),$O59/$F59,"")))</f>
        <v/>
      </c>
      <c r="S59" s="140" t="str">
        <f t="shared" si="6"/>
        <v/>
      </c>
      <c r="T59" s="139" t="str">
        <f t="shared" si="7"/>
        <v/>
      </c>
      <c r="U59" s="139" t="str">
        <f t="shared" si="8"/>
        <v/>
      </c>
      <c r="V59" s="139" t="str">
        <f t="shared" si="9"/>
        <v/>
      </c>
      <c r="W59" s="141" t="str">
        <f t="shared" si="10"/>
        <v/>
      </c>
      <c r="X59" s="142" t="e">
        <f>IF($O59="","",IF(#REF!="Tolerance",IF((#REF!*3*P59+O59)-E59&lt;F59,"",(#REF!*3*P59+O59)-E59),IF(OR(#REF!="GD&amp;T",#REF!="MAX"),IF((#REF!*3*P59+O59)&lt;F59,"",(#REF!*3*P59+O59)),"")))</f>
        <v>#REF!</v>
      </c>
      <c r="Y59" s="142" t="e">
        <f>IF(O59="","",IF(#REF!="Tolerance",IF(-((#REF!*3*P59)-O59)-E59&gt;G59,"",-((#REF!*3*P59)-O59)-E59),IF(#REF!="MIN",IF(-((#REF!*3*P59)-O59)&gt;G59,"",-((#REF!*3*P59)-O59)),"")))</f>
        <v>#REF!</v>
      </c>
      <c r="Z59" s="142">
        <f t="shared" si="11"/>
        <v>0.32</v>
      </c>
      <c r="AA59" s="142" t="str">
        <f t="shared" si="12"/>
        <v/>
      </c>
      <c r="AB59" s="143"/>
      <c r="AC59" s="144" t="str">
        <f t="shared" si="13"/>
        <v/>
      </c>
      <c r="AD59" s="145"/>
      <c r="AE59" s="146"/>
      <c r="AF59" s="146"/>
      <c r="AG59" s="147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</row>
    <row r="60" spans="2:66" ht="19.149999999999999" customHeight="1">
      <c r="B60" s="72" t="s">
        <v>261</v>
      </c>
      <c r="C60" s="72" t="s">
        <v>114</v>
      </c>
      <c r="D60" s="74" t="s">
        <v>62</v>
      </c>
      <c r="E60" s="132">
        <v>0.32</v>
      </c>
      <c r="F60" s="133">
        <v>0.03</v>
      </c>
      <c r="G60" s="133">
        <v>-0.03</v>
      </c>
      <c r="H60" s="75" t="s">
        <v>60</v>
      </c>
      <c r="I60" s="39"/>
      <c r="J60" s="134">
        <f t="shared" si="0"/>
        <v>0.35</v>
      </c>
      <c r="K60" s="135">
        <f t="shared" si="14"/>
        <v>0.29000000000000004</v>
      </c>
      <c r="L60" s="136"/>
      <c r="M60" s="137">
        <f t="shared" si="1"/>
        <v>0</v>
      </c>
      <c r="N60" s="137">
        <f t="shared" si="2"/>
        <v>0</v>
      </c>
      <c r="O60" s="137">
        <f t="shared" si="3"/>
        <v>0</v>
      </c>
      <c r="P60" s="138">
        <f t="shared" si="4"/>
        <v>0</v>
      </c>
      <c r="Q60" s="139" t="str">
        <f t="shared" si="5"/>
        <v/>
      </c>
      <c r="R60" s="140" t="str">
        <f>IF(OR($AI60="",ISNUMBER($AI60)=FALSE),"",IF(AND(#REF!="Tolerance",$E60&lt;&gt;""),($O60-$E60)/(($J60-$K60)/2),IF(AND(#REF!="GD&amp;T",$F60&lt;&gt;""),$O60/$F60,"")))</f>
        <v/>
      </c>
      <c r="S60" s="140" t="str">
        <f t="shared" si="6"/>
        <v/>
      </c>
      <c r="T60" s="139" t="str">
        <f t="shared" si="7"/>
        <v/>
      </c>
      <c r="U60" s="139" t="str">
        <f t="shared" si="8"/>
        <v/>
      </c>
      <c r="V60" s="139" t="str">
        <f t="shared" si="9"/>
        <v/>
      </c>
      <c r="W60" s="141" t="str">
        <f t="shared" si="10"/>
        <v/>
      </c>
      <c r="X60" s="142" t="e">
        <f>IF($O60="","",IF(#REF!="Tolerance",IF((#REF!*3*P60+O60)-E60&lt;F60,"",(#REF!*3*P60+O60)-E60),IF(OR(#REF!="GD&amp;T",#REF!="MAX"),IF((#REF!*3*P60+O60)&lt;F60,"",(#REF!*3*P60+O60)),"")))</f>
        <v>#REF!</v>
      </c>
      <c r="Y60" s="142" t="e">
        <f>IF(O60="","",IF(#REF!="Tolerance",IF(-((#REF!*3*P60)-O60)-E60&gt;G60,"",-((#REF!*3*P60)-O60)-E60),IF(#REF!="MIN",IF(-((#REF!*3*P60)-O60)&gt;G60,"",-((#REF!*3*P60)-O60)),"")))</f>
        <v>#REF!</v>
      </c>
      <c r="Z60" s="142">
        <f t="shared" si="11"/>
        <v>0.32</v>
      </c>
      <c r="AA60" s="142" t="str">
        <f t="shared" si="12"/>
        <v/>
      </c>
      <c r="AB60" s="143"/>
      <c r="AC60" s="144" t="str">
        <f t="shared" si="13"/>
        <v/>
      </c>
      <c r="AD60" s="145"/>
      <c r="AE60" s="146"/>
      <c r="AF60" s="146"/>
      <c r="AG60" s="147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</row>
    <row r="61" spans="2:66" ht="19.149999999999999" customHeight="1">
      <c r="B61" s="72" t="s">
        <v>261</v>
      </c>
      <c r="C61" s="72" t="s">
        <v>115</v>
      </c>
      <c r="D61" s="74" t="s">
        <v>62</v>
      </c>
      <c r="E61" s="132">
        <v>0.32</v>
      </c>
      <c r="F61" s="133">
        <v>0.03</v>
      </c>
      <c r="G61" s="133">
        <v>-0.03</v>
      </c>
      <c r="H61" s="75" t="s">
        <v>60</v>
      </c>
      <c r="I61" s="39"/>
      <c r="J61" s="134">
        <f t="shared" si="0"/>
        <v>0.35</v>
      </c>
      <c r="K61" s="135">
        <f t="shared" si="14"/>
        <v>0.29000000000000004</v>
      </c>
      <c r="L61" s="136"/>
      <c r="M61" s="137">
        <f t="shared" si="1"/>
        <v>0</v>
      </c>
      <c r="N61" s="137">
        <f t="shared" si="2"/>
        <v>0</v>
      </c>
      <c r="O61" s="137">
        <f t="shared" si="3"/>
        <v>0</v>
      </c>
      <c r="P61" s="138">
        <f t="shared" si="4"/>
        <v>0</v>
      </c>
      <c r="Q61" s="139" t="str">
        <f t="shared" si="5"/>
        <v/>
      </c>
      <c r="R61" s="140" t="str">
        <f>IF(OR($AI61="",ISNUMBER($AI61)=FALSE),"",IF(AND(#REF!="Tolerance",$E61&lt;&gt;""),($O61-$E61)/(($J61-$K61)/2),IF(AND(#REF!="GD&amp;T",$F61&lt;&gt;""),$O61/$F61,"")))</f>
        <v/>
      </c>
      <c r="S61" s="140" t="str">
        <f t="shared" si="6"/>
        <v/>
      </c>
      <c r="T61" s="139" t="str">
        <f t="shared" si="7"/>
        <v/>
      </c>
      <c r="U61" s="139" t="str">
        <f t="shared" si="8"/>
        <v/>
      </c>
      <c r="V61" s="139" t="str">
        <f t="shared" si="9"/>
        <v/>
      </c>
      <c r="W61" s="141" t="str">
        <f t="shared" si="10"/>
        <v/>
      </c>
      <c r="X61" s="142" t="e">
        <f>IF($O61="","",IF(#REF!="Tolerance",IF((#REF!*3*P61+O61)-E61&lt;F61,"",(#REF!*3*P61+O61)-E61),IF(OR(#REF!="GD&amp;T",#REF!="MAX"),IF((#REF!*3*P61+O61)&lt;F61,"",(#REF!*3*P61+O61)),"")))</f>
        <v>#REF!</v>
      </c>
      <c r="Y61" s="142" t="e">
        <f>IF(O61="","",IF(#REF!="Tolerance",IF(-((#REF!*3*P61)-O61)-E61&gt;G61,"",-((#REF!*3*P61)-O61)-E61),IF(#REF!="MIN",IF(-((#REF!*3*P61)-O61)&gt;G61,"",-((#REF!*3*P61)-O61)),"")))</f>
        <v>#REF!</v>
      </c>
      <c r="Z61" s="142">
        <f t="shared" si="11"/>
        <v>0.32</v>
      </c>
      <c r="AA61" s="142" t="str">
        <f t="shared" si="12"/>
        <v/>
      </c>
      <c r="AB61" s="143"/>
      <c r="AC61" s="144" t="str">
        <f t="shared" si="13"/>
        <v/>
      </c>
      <c r="AD61" s="145"/>
      <c r="AE61" s="146"/>
      <c r="AF61" s="146"/>
      <c r="AG61" s="147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</row>
    <row r="62" spans="2:66" ht="19.149999999999999" customHeight="1">
      <c r="B62" s="72" t="s">
        <v>262</v>
      </c>
      <c r="C62" s="73" t="s">
        <v>121</v>
      </c>
      <c r="D62" s="74" t="s">
        <v>62</v>
      </c>
      <c r="E62" s="132">
        <v>15.45</v>
      </c>
      <c r="F62" s="133">
        <v>0.02</v>
      </c>
      <c r="G62" s="133">
        <v>-0.02</v>
      </c>
      <c r="H62" s="75" t="s">
        <v>60</v>
      </c>
      <c r="I62" s="39"/>
      <c r="J62" s="134">
        <f t="shared" si="0"/>
        <v>15.469999999999999</v>
      </c>
      <c r="K62" s="135">
        <f t="shared" si="14"/>
        <v>15.43</v>
      </c>
      <c r="L62" s="136"/>
      <c r="M62" s="137">
        <f t="shared" si="1"/>
        <v>0</v>
      </c>
      <c r="N62" s="137">
        <f t="shared" si="2"/>
        <v>0</v>
      </c>
      <c r="O62" s="137">
        <f t="shared" si="3"/>
        <v>0</v>
      </c>
      <c r="P62" s="138">
        <f t="shared" si="4"/>
        <v>0</v>
      </c>
      <c r="Q62" s="139" t="str">
        <f t="shared" si="5"/>
        <v/>
      </c>
      <c r="R62" s="140" t="str">
        <f>IF(OR($AI62="",ISNUMBER($AI62)=FALSE),"",IF(AND(#REF!="Tolerance",$E62&lt;&gt;""),($O62-$E62)/(($J62-$K62)/2),IF(AND(#REF!="GD&amp;T",$F62&lt;&gt;""),$O62/$F62,"")))</f>
        <v/>
      </c>
      <c r="S62" s="140" t="str">
        <f t="shared" si="6"/>
        <v/>
      </c>
      <c r="T62" s="139" t="str">
        <f t="shared" si="7"/>
        <v/>
      </c>
      <c r="U62" s="139" t="str">
        <f t="shared" si="8"/>
        <v/>
      </c>
      <c r="V62" s="139" t="str">
        <f t="shared" si="9"/>
        <v/>
      </c>
      <c r="W62" s="141" t="str">
        <f t="shared" si="10"/>
        <v/>
      </c>
      <c r="X62" s="142" t="e">
        <f>IF($O62="","",IF(#REF!="Tolerance",IF((#REF!*3*P62+O62)-E62&lt;F62,"",(#REF!*3*P62+O62)-E62),IF(OR(#REF!="GD&amp;T",#REF!="MAX"),IF((#REF!*3*P62+O62)&lt;F62,"",(#REF!*3*P62+O62)),"")))</f>
        <v>#REF!</v>
      </c>
      <c r="Y62" s="142" t="e">
        <f>IF(O62="","",IF(#REF!="Tolerance",IF(-((#REF!*3*P62)-O62)-E62&gt;G62,"",-((#REF!*3*P62)-O62)-E62),IF(#REF!="MIN",IF(-((#REF!*3*P62)-O62)&gt;G62,"",-((#REF!*3*P62)-O62)),"")))</f>
        <v>#REF!</v>
      </c>
      <c r="Z62" s="142">
        <f t="shared" si="11"/>
        <v>15.45</v>
      </c>
      <c r="AA62" s="142" t="str">
        <f t="shared" si="12"/>
        <v/>
      </c>
      <c r="AB62" s="143"/>
      <c r="AC62" s="144" t="str">
        <f t="shared" si="13"/>
        <v/>
      </c>
      <c r="AD62" s="145"/>
      <c r="AE62" s="146"/>
      <c r="AF62" s="146"/>
      <c r="AG62" s="147"/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  <c r="AU62" s="149"/>
      <c r="AV62" s="149"/>
      <c r="AW62" s="149"/>
      <c r="AX62" s="149"/>
      <c r="AY62" s="149"/>
      <c r="AZ62" s="149"/>
      <c r="BA62" s="149"/>
      <c r="BB62" s="149"/>
      <c r="BC62" s="149"/>
      <c r="BD62" s="149"/>
      <c r="BE62" s="149"/>
      <c r="BF62" s="149"/>
      <c r="BG62" s="149"/>
      <c r="BH62" s="149"/>
      <c r="BI62" s="149"/>
      <c r="BJ62" s="149"/>
      <c r="BK62" s="149"/>
      <c r="BL62" s="149"/>
      <c r="BM62" s="76"/>
      <c r="BN62" s="76"/>
    </row>
    <row r="63" spans="2:66" ht="19.149999999999999" customHeight="1">
      <c r="B63" s="72" t="s">
        <v>263</v>
      </c>
      <c r="C63" s="73" t="s">
        <v>264</v>
      </c>
      <c r="D63" s="74" t="s">
        <v>62</v>
      </c>
      <c r="E63" s="132">
        <v>0.33</v>
      </c>
      <c r="F63" s="133">
        <v>0.03</v>
      </c>
      <c r="G63" s="133">
        <v>-0.03</v>
      </c>
      <c r="H63" s="75" t="s">
        <v>60</v>
      </c>
      <c r="I63" s="39"/>
      <c r="J63" s="134">
        <f t="shared" si="0"/>
        <v>0.36</v>
      </c>
      <c r="K63" s="135">
        <f t="shared" si="14"/>
        <v>0.30000000000000004</v>
      </c>
      <c r="L63" s="136"/>
      <c r="M63" s="137">
        <f t="shared" si="1"/>
        <v>0</v>
      </c>
      <c r="N63" s="137">
        <f t="shared" si="2"/>
        <v>0</v>
      </c>
      <c r="O63" s="137">
        <f t="shared" si="3"/>
        <v>0</v>
      </c>
      <c r="P63" s="138">
        <f t="shared" si="4"/>
        <v>0</v>
      </c>
      <c r="Q63" s="139" t="str">
        <f t="shared" si="5"/>
        <v/>
      </c>
      <c r="R63" s="140" t="str">
        <f>IF(OR($AI63="",ISNUMBER($AI63)=FALSE),"",IF(AND(#REF!="Tolerance",$E63&lt;&gt;""),($O63-$E63)/(($J63-$K63)/2),IF(AND(#REF!="GD&amp;T",$F63&lt;&gt;""),$O63/$F63,"")))</f>
        <v/>
      </c>
      <c r="S63" s="140" t="str">
        <f t="shared" si="6"/>
        <v/>
      </c>
      <c r="T63" s="139" t="str">
        <f t="shared" si="7"/>
        <v/>
      </c>
      <c r="U63" s="139" t="str">
        <f t="shared" si="8"/>
        <v/>
      </c>
      <c r="V63" s="139" t="str">
        <f t="shared" si="9"/>
        <v/>
      </c>
      <c r="W63" s="141" t="str">
        <f t="shared" si="10"/>
        <v/>
      </c>
      <c r="X63" s="142" t="e">
        <f>IF($O63="","",IF(#REF!="Tolerance",IF((#REF!*3*P63+O63)-E63&lt;F63,"",(#REF!*3*P63+O63)-E63),IF(OR(#REF!="GD&amp;T",#REF!="MAX"),IF((#REF!*3*P63+O63)&lt;F63,"",(#REF!*3*P63+O63)),"")))</f>
        <v>#REF!</v>
      </c>
      <c r="Y63" s="142" t="e">
        <f>IF(O63="","",IF(#REF!="Tolerance",IF(-((#REF!*3*P63)-O63)-E63&gt;G63,"",-((#REF!*3*P63)-O63)-E63),IF(#REF!="MIN",IF(-((#REF!*3*P63)-O63)&gt;G63,"",-((#REF!*3*P63)-O63)),"")))</f>
        <v>#REF!</v>
      </c>
      <c r="Z63" s="142">
        <f t="shared" si="11"/>
        <v>0.33</v>
      </c>
      <c r="AA63" s="142" t="str">
        <f t="shared" si="12"/>
        <v/>
      </c>
      <c r="AB63" s="143"/>
      <c r="AC63" s="144" t="str">
        <f t="shared" si="13"/>
        <v/>
      </c>
      <c r="AD63" s="145"/>
      <c r="AE63" s="146"/>
      <c r="AF63" s="146"/>
      <c r="AG63" s="147"/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  <c r="BI63" s="149"/>
      <c r="BJ63" s="149"/>
      <c r="BK63" s="149"/>
      <c r="BL63" s="149"/>
      <c r="BM63" s="76"/>
      <c r="BN63" s="76"/>
    </row>
    <row r="64" spans="2:66" ht="19.149999999999999" customHeight="1">
      <c r="B64" s="70" t="s">
        <v>265</v>
      </c>
      <c r="C64" s="70" t="s">
        <v>266</v>
      </c>
      <c r="D64" s="74" t="s">
        <v>62</v>
      </c>
      <c r="E64" s="132">
        <v>2.44</v>
      </c>
      <c r="F64" s="133">
        <v>0.02</v>
      </c>
      <c r="G64" s="133">
        <v>-0.02</v>
      </c>
      <c r="H64" s="75" t="s">
        <v>60</v>
      </c>
      <c r="I64" s="39"/>
      <c r="J64" s="134">
        <f t="shared" si="0"/>
        <v>2.46</v>
      </c>
      <c r="K64" s="135">
        <f t="shared" si="14"/>
        <v>2.42</v>
      </c>
      <c r="L64" s="136"/>
      <c r="M64" s="137">
        <f t="shared" si="1"/>
        <v>0</v>
      </c>
      <c r="N64" s="137">
        <f t="shared" si="2"/>
        <v>0</v>
      </c>
      <c r="O64" s="137">
        <f t="shared" si="3"/>
        <v>0</v>
      </c>
      <c r="P64" s="138">
        <f t="shared" si="4"/>
        <v>0</v>
      </c>
      <c r="Q64" s="139" t="str">
        <f t="shared" si="5"/>
        <v/>
      </c>
      <c r="R64" s="140" t="str">
        <f>IF(OR($AI64="",ISNUMBER($AI64)=FALSE),"",IF(AND(#REF!="Tolerance",$E64&lt;&gt;""),($O64-$E64)/(($J64-$K64)/2),IF(AND(#REF!="GD&amp;T",$F64&lt;&gt;""),$O64/$F64,"")))</f>
        <v/>
      </c>
      <c r="S64" s="140" t="str">
        <f t="shared" si="6"/>
        <v/>
      </c>
      <c r="T64" s="139" t="str">
        <f t="shared" si="7"/>
        <v/>
      </c>
      <c r="U64" s="139" t="str">
        <f t="shared" si="8"/>
        <v/>
      </c>
      <c r="V64" s="139" t="str">
        <f t="shared" si="9"/>
        <v/>
      </c>
      <c r="W64" s="141" t="str">
        <f t="shared" si="10"/>
        <v/>
      </c>
      <c r="X64" s="142" t="e">
        <f>IF($O64="","",IF(#REF!="Tolerance",IF((#REF!*3*P64+O64)-E64&lt;F64,"",(#REF!*3*P64+O64)-E64),IF(OR(#REF!="GD&amp;T",#REF!="MAX"),IF((#REF!*3*P64+O64)&lt;F64,"",(#REF!*3*P64+O64)),"")))</f>
        <v>#REF!</v>
      </c>
      <c r="Y64" s="142" t="e">
        <f>IF(O64="","",IF(#REF!="Tolerance",IF(-((#REF!*3*P64)-O64)-E64&gt;G64,"",-((#REF!*3*P64)-O64)-E64),IF(#REF!="MIN",IF(-((#REF!*3*P64)-O64)&gt;G64,"",-((#REF!*3*P64)-O64)),"")))</f>
        <v>#REF!</v>
      </c>
      <c r="Z64" s="142">
        <f t="shared" si="11"/>
        <v>2.44</v>
      </c>
      <c r="AA64" s="142" t="str">
        <f t="shared" si="12"/>
        <v/>
      </c>
      <c r="AB64" s="143"/>
      <c r="AC64" s="144" t="str">
        <f t="shared" si="13"/>
        <v/>
      </c>
      <c r="AD64" s="145"/>
      <c r="AE64" s="146"/>
      <c r="AF64" s="146"/>
      <c r="AG64" s="147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</row>
    <row r="65" spans="2:66" ht="19.149999999999999" customHeight="1">
      <c r="B65" s="70" t="s">
        <v>267</v>
      </c>
      <c r="C65" s="71" t="s">
        <v>132</v>
      </c>
      <c r="D65" s="74" t="s">
        <v>62</v>
      </c>
      <c r="E65" s="132">
        <v>15.38</v>
      </c>
      <c r="F65" s="133">
        <v>0.02</v>
      </c>
      <c r="G65" s="133">
        <v>-0.03</v>
      </c>
      <c r="H65" s="75" t="s">
        <v>60</v>
      </c>
      <c r="I65" s="39"/>
      <c r="J65" s="134">
        <f t="shared" si="0"/>
        <v>15.4</v>
      </c>
      <c r="K65" s="135">
        <f t="shared" si="14"/>
        <v>15.350000000000001</v>
      </c>
      <c r="L65" s="136"/>
      <c r="M65" s="137">
        <f t="shared" si="1"/>
        <v>0</v>
      </c>
      <c r="N65" s="137">
        <f t="shared" si="2"/>
        <v>0</v>
      </c>
      <c r="O65" s="137">
        <f t="shared" si="3"/>
        <v>0</v>
      </c>
      <c r="P65" s="138">
        <f t="shared" si="4"/>
        <v>0</v>
      </c>
      <c r="Q65" s="139" t="str">
        <f t="shared" si="5"/>
        <v/>
      </c>
      <c r="R65" s="140" t="str">
        <f>IF(OR($AI65="",ISNUMBER($AI65)=FALSE),"",IF(AND(#REF!="Tolerance",$E65&lt;&gt;""),($O65-$E65)/(($J65-$K65)/2),IF(AND(#REF!="GD&amp;T",$F65&lt;&gt;""),$O65/$F65,"")))</f>
        <v/>
      </c>
      <c r="S65" s="140" t="str">
        <f t="shared" si="6"/>
        <v/>
      </c>
      <c r="T65" s="139" t="str">
        <f t="shared" si="7"/>
        <v/>
      </c>
      <c r="U65" s="139" t="str">
        <f t="shared" si="8"/>
        <v/>
      </c>
      <c r="V65" s="139" t="str">
        <f t="shared" si="9"/>
        <v/>
      </c>
      <c r="W65" s="141" t="str">
        <f t="shared" si="10"/>
        <v/>
      </c>
      <c r="X65" s="142" t="e">
        <f>IF($O65="","",IF(#REF!="Tolerance",IF((#REF!*3*P65+O65)-E65&lt;F65,"",(#REF!*3*P65+O65)-E65),IF(OR(#REF!="GD&amp;T",#REF!="MAX"),IF((#REF!*3*P65+O65)&lt;F65,"",(#REF!*3*P65+O65)),"")))</f>
        <v>#REF!</v>
      </c>
      <c r="Y65" s="142" t="e">
        <f>IF(O65="","",IF(#REF!="Tolerance",IF(-((#REF!*3*P65)-O65)-E65&gt;G65,"",-((#REF!*3*P65)-O65)-E65),IF(#REF!="MIN",IF(-((#REF!*3*P65)-O65)&gt;G65,"",-((#REF!*3*P65)-O65)),"")))</f>
        <v>#REF!</v>
      </c>
      <c r="Z65" s="142">
        <f t="shared" si="11"/>
        <v>15.375</v>
      </c>
      <c r="AA65" s="142" t="str">
        <f t="shared" si="12"/>
        <v/>
      </c>
      <c r="AB65" s="143"/>
      <c r="AC65" s="144" t="str">
        <f t="shared" si="13"/>
        <v/>
      </c>
      <c r="AD65" s="145"/>
      <c r="AE65" s="146"/>
      <c r="AF65" s="146"/>
      <c r="AG65" s="147"/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  <c r="BI65" s="149"/>
      <c r="BJ65" s="149"/>
      <c r="BK65" s="149"/>
      <c r="BL65" s="149"/>
      <c r="BM65" s="76"/>
      <c r="BN65" s="76"/>
    </row>
    <row r="66" spans="2:66" ht="19.149999999999999" customHeight="1">
      <c r="B66" s="70" t="s">
        <v>268</v>
      </c>
      <c r="C66" s="71" t="s">
        <v>137</v>
      </c>
      <c r="D66" s="74" t="s">
        <v>62</v>
      </c>
      <c r="E66" s="132">
        <v>0.23</v>
      </c>
      <c r="F66" s="133">
        <v>0.02</v>
      </c>
      <c r="G66" s="133">
        <v>-0.02</v>
      </c>
      <c r="H66" s="75" t="s">
        <v>60</v>
      </c>
      <c r="I66" s="39"/>
      <c r="J66" s="134">
        <f t="shared" si="0"/>
        <v>0.25</v>
      </c>
      <c r="K66" s="135">
        <f t="shared" si="14"/>
        <v>0.21000000000000002</v>
      </c>
      <c r="L66" s="136"/>
      <c r="M66" s="137">
        <f t="shared" si="1"/>
        <v>0</v>
      </c>
      <c r="N66" s="137">
        <f t="shared" si="2"/>
        <v>0</v>
      </c>
      <c r="O66" s="137">
        <f t="shared" si="3"/>
        <v>0</v>
      </c>
      <c r="P66" s="138">
        <f t="shared" si="4"/>
        <v>0</v>
      </c>
      <c r="Q66" s="139" t="str">
        <f t="shared" si="5"/>
        <v/>
      </c>
      <c r="R66" s="140" t="str">
        <f>IF(OR($AI66="",ISNUMBER($AI66)=FALSE),"",IF(AND(#REF!="Tolerance",$E66&lt;&gt;""),($O66-$E66)/(($J66-$K66)/2),IF(AND(#REF!="GD&amp;T",$F66&lt;&gt;""),$O66/$F66,"")))</f>
        <v/>
      </c>
      <c r="S66" s="140" t="str">
        <f t="shared" si="6"/>
        <v/>
      </c>
      <c r="T66" s="139" t="str">
        <f t="shared" si="7"/>
        <v/>
      </c>
      <c r="U66" s="139" t="str">
        <f t="shared" si="8"/>
        <v/>
      </c>
      <c r="V66" s="139" t="str">
        <f t="shared" si="9"/>
        <v/>
      </c>
      <c r="W66" s="141" t="str">
        <f t="shared" si="10"/>
        <v/>
      </c>
      <c r="X66" s="142" t="e">
        <f>IF($O66="","",IF(#REF!="Tolerance",IF((#REF!*3*P66+O66)-E66&lt;F66,"",(#REF!*3*P66+O66)-E66),IF(OR(#REF!="GD&amp;T",#REF!="MAX"),IF((#REF!*3*P66+O66)&lt;F66,"",(#REF!*3*P66+O66)),"")))</f>
        <v>#REF!</v>
      </c>
      <c r="Y66" s="142" t="e">
        <f>IF(O66="","",IF(#REF!="Tolerance",IF(-((#REF!*3*P66)-O66)-E66&gt;G66,"",-((#REF!*3*P66)-O66)-E66),IF(#REF!="MIN",IF(-((#REF!*3*P66)-O66)&gt;G66,"",-((#REF!*3*P66)-O66)),"")))</f>
        <v>#REF!</v>
      </c>
      <c r="Z66" s="142">
        <f t="shared" si="11"/>
        <v>0.23</v>
      </c>
      <c r="AA66" s="142" t="str">
        <f t="shared" si="12"/>
        <v/>
      </c>
      <c r="AB66" s="143"/>
      <c r="AC66" s="144" t="str">
        <f t="shared" si="13"/>
        <v/>
      </c>
      <c r="AD66" s="145"/>
      <c r="AE66" s="146"/>
      <c r="AF66" s="146"/>
      <c r="AG66" s="147"/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  <c r="BI66" s="149"/>
      <c r="BJ66" s="149"/>
      <c r="BK66" s="149"/>
      <c r="BL66" s="149"/>
      <c r="BM66" s="76"/>
      <c r="BN66" s="76"/>
    </row>
    <row r="67" spans="2:66" ht="19.149999999999999" customHeight="1">
      <c r="B67" s="70" t="s">
        <v>268</v>
      </c>
      <c r="C67" s="70" t="s">
        <v>269</v>
      </c>
      <c r="D67" s="74" t="s">
        <v>62</v>
      </c>
      <c r="E67" s="132">
        <v>0.23</v>
      </c>
      <c r="F67" s="133">
        <v>0.02</v>
      </c>
      <c r="G67" s="133">
        <v>-0.02</v>
      </c>
      <c r="H67" s="75" t="s">
        <v>60</v>
      </c>
      <c r="I67" s="39"/>
      <c r="J67" s="134">
        <f t="shared" si="0"/>
        <v>0.25</v>
      </c>
      <c r="K67" s="135">
        <f t="shared" si="14"/>
        <v>0.21000000000000002</v>
      </c>
      <c r="L67" s="136"/>
      <c r="M67" s="137">
        <f t="shared" si="1"/>
        <v>0</v>
      </c>
      <c r="N67" s="137">
        <f t="shared" si="2"/>
        <v>0</v>
      </c>
      <c r="O67" s="137">
        <f t="shared" si="3"/>
        <v>0</v>
      </c>
      <c r="P67" s="138">
        <f t="shared" si="4"/>
        <v>0</v>
      </c>
      <c r="Q67" s="139" t="str">
        <f t="shared" si="5"/>
        <v/>
      </c>
      <c r="R67" s="140" t="str">
        <f>IF(OR($AI67="",ISNUMBER($AI67)=FALSE),"",IF(AND(#REF!="Tolerance",$E67&lt;&gt;""),($O67-$E67)/(($J67-$K67)/2),IF(AND(#REF!="GD&amp;T",$F67&lt;&gt;""),$O67/$F67,"")))</f>
        <v/>
      </c>
      <c r="S67" s="140" t="str">
        <f t="shared" si="6"/>
        <v/>
      </c>
      <c r="T67" s="139" t="str">
        <f t="shared" si="7"/>
        <v/>
      </c>
      <c r="U67" s="139" t="str">
        <f t="shared" si="8"/>
        <v/>
      </c>
      <c r="V67" s="139" t="str">
        <f t="shared" si="9"/>
        <v/>
      </c>
      <c r="W67" s="141" t="str">
        <f t="shared" si="10"/>
        <v/>
      </c>
      <c r="X67" s="142" t="e">
        <f>IF($O67="","",IF(#REF!="Tolerance",IF((#REF!*3*P67+O67)-E67&lt;F67,"",(#REF!*3*P67+O67)-E67),IF(OR(#REF!="GD&amp;T",#REF!="MAX"),IF((#REF!*3*P67+O67)&lt;F67,"",(#REF!*3*P67+O67)),"")))</f>
        <v>#REF!</v>
      </c>
      <c r="Y67" s="142" t="e">
        <f>IF(O67="","",IF(#REF!="Tolerance",IF(-((#REF!*3*P67)-O67)-E67&gt;G67,"",-((#REF!*3*P67)-O67)-E67),IF(#REF!="MIN",IF(-((#REF!*3*P67)-O67)&gt;G67,"",-((#REF!*3*P67)-O67)),"")))</f>
        <v>#REF!</v>
      </c>
      <c r="Z67" s="142">
        <f t="shared" si="11"/>
        <v>0.23</v>
      </c>
      <c r="AA67" s="142" t="str">
        <f t="shared" si="12"/>
        <v/>
      </c>
      <c r="AB67" s="143"/>
      <c r="AC67" s="144" t="str">
        <f t="shared" si="13"/>
        <v/>
      </c>
      <c r="AD67" s="145"/>
      <c r="AE67" s="146"/>
      <c r="AF67" s="146"/>
      <c r="AG67" s="147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</row>
    <row r="68" spans="2:66" ht="19.149999999999999" customHeight="1">
      <c r="B68" s="70" t="s">
        <v>270</v>
      </c>
      <c r="C68" s="70" t="s">
        <v>151</v>
      </c>
      <c r="D68" s="74" t="s">
        <v>62</v>
      </c>
      <c r="E68" s="132">
        <v>1.5049999999999999</v>
      </c>
      <c r="F68" s="133">
        <v>0.03</v>
      </c>
      <c r="G68" s="133">
        <v>-0.03</v>
      </c>
      <c r="H68" s="75" t="s">
        <v>60</v>
      </c>
      <c r="I68" s="39"/>
      <c r="J68" s="134">
        <f t="shared" si="0"/>
        <v>1.5349999999999999</v>
      </c>
      <c r="K68" s="135">
        <f t="shared" si="14"/>
        <v>1.4749999999999999</v>
      </c>
      <c r="L68" s="136"/>
      <c r="M68" s="137">
        <f t="shared" si="1"/>
        <v>0</v>
      </c>
      <c r="N68" s="137">
        <f t="shared" si="2"/>
        <v>0</v>
      </c>
      <c r="O68" s="137">
        <f t="shared" si="3"/>
        <v>0</v>
      </c>
      <c r="P68" s="138">
        <f t="shared" si="4"/>
        <v>0</v>
      </c>
      <c r="Q68" s="139" t="str">
        <f t="shared" si="5"/>
        <v/>
      </c>
      <c r="R68" s="140" t="str">
        <f>IF(OR($AI68="",ISNUMBER($AI68)=FALSE),"",IF(AND(#REF!="Tolerance",$E68&lt;&gt;""),($O68-$E68)/(($J68-$K68)/2),IF(AND(#REF!="GD&amp;T",$F68&lt;&gt;""),$O68/$F68,"")))</f>
        <v/>
      </c>
      <c r="S68" s="140" t="str">
        <f t="shared" si="6"/>
        <v/>
      </c>
      <c r="T68" s="139" t="str">
        <f t="shared" si="7"/>
        <v/>
      </c>
      <c r="U68" s="139" t="str">
        <f t="shared" si="8"/>
        <v/>
      </c>
      <c r="V68" s="139" t="str">
        <f t="shared" si="9"/>
        <v/>
      </c>
      <c r="W68" s="141" t="str">
        <f t="shared" si="10"/>
        <v/>
      </c>
      <c r="X68" s="142" t="e">
        <f>IF($O68="","",IF(#REF!="Tolerance",IF((#REF!*3*P68+O68)-E68&lt;F68,"",(#REF!*3*P68+O68)-E68),IF(OR(#REF!="GD&amp;T",#REF!="MAX"),IF((#REF!*3*P68+O68)&lt;F68,"",(#REF!*3*P68+O68)),"")))</f>
        <v>#REF!</v>
      </c>
      <c r="Y68" s="142" t="e">
        <f>IF(O68="","",IF(#REF!="Tolerance",IF(-((#REF!*3*P68)-O68)-E68&gt;G68,"",-((#REF!*3*P68)-O68)-E68),IF(#REF!="MIN",IF(-((#REF!*3*P68)-O68)&gt;G68,"",-((#REF!*3*P68)-O68)),"")))</f>
        <v>#REF!</v>
      </c>
      <c r="Z68" s="142">
        <f t="shared" si="11"/>
        <v>1.5049999999999999</v>
      </c>
      <c r="AA68" s="142" t="str">
        <f t="shared" si="12"/>
        <v/>
      </c>
      <c r="AB68" s="143"/>
      <c r="AC68" s="144" t="str">
        <f t="shared" si="13"/>
        <v/>
      </c>
      <c r="AD68" s="145"/>
      <c r="AE68" s="146"/>
      <c r="AF68" s="146"/>
      <c r="AG68" s="147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</row>
    <row r="69" spans="2:66" ht="19.149999999999999" customHeight="1">
      <c r="B69" s="70" t="s">
        <v>270</v>
      </c>
      <c r="C69" s="71" t="s">
        <v>271</v>
      </c>
      <c r="D69" s="150" t="s">
        <v>62</v>
      </c>
      <c r="E69" s="132">
        <v>1.5049999999999999</v>
      </c>
      <c r="F69" s="133">
        <v>0.03</v>
      </c>
      <c r="G69" s="133">
        <v>-0.03</v>
      </c>
      <c r="H69" s="75" t="s">
        <v>60</v>
      </c>
      <c r="I69" s="39"/>
      <c r="J69" s="134">
        <f t="shared" si="0"/>
        <v>1.5349999999999999</v>
      </c>
      <c r="K69" s="135">
        <f t="shared" si="14"/>
        <v>1.4749999999999999</v>
      </c>
      <c r="L69" s="136"/>
      <c r="M69" s="137">
        <f t="shared" si="1"/>
        <v>0</v>
      </c>
      <c r="N69" s="137">
        <f t="shared" si="2"/>
        <v>0</v>
      </c>
      <c r="O69" s="137">
        <f t="shared" si="3"/>
        <v>0</v>
      </c>
      <c r="P69" s="138">
        <f t="shared" si="4"/>
        <v>0</v>
      </c>
      <c r="Q69" s="139" t="str">
        <f t="shared" si="5"/>
        <v/>
      </c>
      <c r="R69" s="140" t="str">
        <f>IF(OR($AI69="",ISNUMBER($AI69)=FALSE),"",IF(AND(#REF!="Tolerance",$E69&lt;&gt;""),($O69-$E69)/(($J69-$K69)/2),IF(AND(#REF!="GD&amp;T",$F69&lt;&gt;""),$O69/$F69,"")))</f>
        <v/>
      </c>
      <c r="S69" s="140" t="str">
        <f t="shared" si="6"/>
        <v/>
      </c>
      <c r="T69" s="139" t="str">
        <f t="shared" si="7"/>
        <v/>
      </c>
      <c r="U69" s="139" t="str">
        <f t="shared" si="8"/>
        <v/>
      </c>
      <c r="V69" s="139" t="str">
        <f t="shared" si="9"/>
        <v/>
      </c>
      <c r="W69" s="141" t="str">
        <f t="shared" si="10"/>
        <v/>
      </c>
      <c r="X69" s="142" t="e">
        <f>IF($O69="","",IF(#REF!="Tolerance",IF((#REF!*3*P69+O69)-E69&lt;F69,"",(#REF!*3*P69+O69)-E69),IF(OR(#REF!="GD&amp;T",#REF!="MAX"),IF((#REF!*3*P69+O69)&lt;F69,"",(#REF!*3*P69+O69)),"")))</f>
        <v>#REF!</v>
      </c>
      <c r="Y69" s="142" t="e">
        <f>IF(O69="","",IF(#REF!="Tolerance",IF(-((#REF!*3*P69)-O69)-E69&gt;G69,"",-((#REF!*3*P69)-O69)-E69),IF(#REF!="MIN",IF(-((#REF!*3*P69)-O69)&gt;G69,"",-((#REF!*3*P69)-O69)),"")))</f>
        <v>#REF!</v>
      </c>
      <c r="Z69" s="142">
        <f t="shared" si="11"/>
        <v>1.5049999999999999</v>
      </c>
      <c r="AA69" s="142" t="str">
        <f t="shared" si="12"/>
        <v/>
      </c>
      <c r="AB69" s="143"/>
      <c r="AC69" s="144" t="str">
        <f t="shared" si="13"/>
        <v/>
      </c>
      <c r="AD69" s="145"/>
      <c r="AE69" s="146"/>
      <c r="AF69" s="146"/>
      <c r="AG69" s="147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  <c r="BI69" s="149"/>
      <c r="BJ69" s="149"/>
      <c r="BK69" s="149"/>
      <c r="BL69" s="149"/>
      <c r="BM69" s="76"/>
      <c r="BN69" s="76"/>
    </row>
    <row r="70" spans="2:66" ht="19.149999999999999" customHeight="1">
      <c r="B70" s="70" t="s">
        <v>272</v>
      </c>
      <c r="C70" s="71" t="s">
        <v>153</v>
      </c>
      <c r="D70" s="150" t="s">
        <v>62</v>
      </c>
      <c r="E70" s="132">
        <v>14</v>
      </c>
      <c r="F70" s="133">
        <v>0.03</v>
      </c>
      <c r="G70" s="133">
        <v>-0.03</v>
      </c>
      <c r="H70" s="75" t="s">
        <v>60</v>
      </c>
      <c r="I70" s="39"/>
      <c r="J70" s="134">
        <f t="shared" ref="J70:J72" si="15">IF(AND(E70="",F70=""),"",IF(E70="",F70,E70+F70))</f>
        <v>14.03</v>
      </c>
      <c r="K70" s="135">
        <f t="shared" ref="K70:K72" si="16">IF(AND(E70="",G70=""),"",IF(E70="",G70,E70+G70))</f>
        <v>13.97</v>
      </c>
      <c r="L70" s="136"/>
      <c r="M70" s="137">
        <f t="shared" ref="M70:M72" si="17">IF(OR($AI70=ISBLANK(TRUE),ISNUMBER($AI70)=FALSE),,MAX(AI70:AX70))</f>
        <v>0</v>
      </c>
      <c r="N70" s="137">
        <f t="shared" ref="N70:N72" si="18">IF(OR($AI70=ISBLANK(TRUE),ISNUMBER($AI70)=FALSE),,MIN(AI70:AX70))</f>
        <v>0</v>
      </c>
      <c r="O70" s="137">
        <f t="shared" ref="O70:O72" si="19">IF(OR($AI70=ISBLANK(TRUE),ISNUMBER($AI70)=FALSE),,AVERAGE(AI70:AX70))</f>
        <v>0</v>
      </c>
      <c r="P70" s="138">
        <f t="shared" ref="P70:P72" si="20">IF(OR($AI70=ISBLANK(TRUE),ISNUMBER($AI70)=FALSE),,STDEV(AI70:AX70))</f>
        <v>0</v>
      </c>
      <c r="Q70" s="139" t="str">
        <f t="shared" ref="Q70:Q72" si="21">IF(OR($AI70="",ISNUMBER($AI70)=FALSE),"",IF(AND(E70=0,G70=0),T70,IF(AND(E70="",F70=""),U70,(F70+ABS(G70))/(6*P70))))</f>
        <v/>
      </c>
      <c r="R70" s="140" t="str">
        <f>IF(OR($AI70="",ISNUMBER($AI70)=FALSE),"",IF(AND(#REF!="Tolerance",$E70&lt;&gt;""),($O70-$E70)/(($J70-$K70)/2),IF(AND(#REF!="GD&amp;T",$F70&lt;&gt;""),$O70/$F70,"")))</f>
        <v/>
      </c>
      <c r="S70" s="140" t="str">
        <f t="shared" ref="S70:S79" si="22">IF($R70="","",IF(ABS($R70)&lt;=0.125, "Level A",IF(AND(ABS($R70)&gt;0.125,ABS($R70)&lt;=0.25), "Level B",IF(AND(ABS($R70)&gt;0.25,ABS($R70)&lt;=0.5), "Level C", IF(ABS($R70)&gt;0.5, "Level D")))))</f>
        <v/>
      </c>
      <c r="T70" s="139" t="str">
        <f t="shared" ref="T70:T72" si="23">IF(OR($AI70="",ISNUMBER($AI70)=FALSE),"",IF(F70="","",(J70-O70)/(3*P70)))</f>
        <v/>
      </c>
      <c r="U70" s="139" t="str">
        <f t="shared" ref="U70:U72" si="24">IF(OR($AI70="",ISNUMBER($AI70)=FALSE),"",IF(G70="","",(O70-K70)/(3*P70)))</f>
        <v/>
      </c>
      <c r="V70" s="139" t="str">
        <f t="shared" ref="V70:V72" si="25">IF(OR($AI70="",ISNUMBER($AI70)=FALSE),"",IF(AND(E70=0,G70=0),((F70)-(O70))/(3*P70),MIN(T70:U70)))</f>
        <v/>
      </c>
      <c r="W70" s="141" t="str">
        <f t="shared" ref="W70:W72" si="26">IF(OR($AI70="",ISNUMBER($AI70)=FALSE),"",IF(AND(E70=0,G70=0),NORMSDIST(3*V70),NORMSDIST(3*V70)+NORMSDIST(6*Q70-3*V70)-1))</f>
        <v/>
      </c>
      <c r="X70" s="142" t="e">
        <f>IF($O70="","",IF(#REF!="Tolerance",IF((#REF!*3*P70+O70)-E70&lt;F70,"",(#REF!*3*P70+O70)-E70),IF(OR(#REF!="GD&amp;T",#REF!="MAX"),IF((#REF!*3*P70+O70)&lt;F70,"",(#REF!*3*P70+O70)),"")))</f>
        <v>#REF!</v>
      </c>
      <c r="Y70" s="142" t="e">
        <f>IF(O70="","",IF(#REF!="Tolerance",IF(-((#REF!*3*P70)-O70)-E70&gt;G70,"",-((#REF!*3*P70)-O70)-E70),IF(#REF!="MIN",IF(-((#REF!*3*P70)-O70)&gt;G70,"",-((#REF!*3*P70)-O70)),"")))</f>
        <v>#REF!</v>
      </c>
      <c r="Z70" s="142">
        <f t="shared" ref="Z70:Z71" si="27">IF(OR(E70="",O70=""),"",(J70+K70)/2-O70)</f>
        <v>14</v>
      </c>
      <c r="AA70" s="142" t="str">
        <f t="shared" ref="AA70:AA79" si="28">IF(OR($Q70&gt;$AA$4,$P70=""),"",$AA$4*6*$P70)</f>
        <v/>
      </c>
      <c r="AB70" s="143"/>
      <c r="AC70" s="144" t="str">
        <f t="shared" ref="AC70:AC71" si="29">IF(AB70="","",IF(AB70&gt;=0.966,"Normal","Not Normal"))</f>
        <v/>
      </c>
      <c r="AD70" s="145"/>
      <c r="AE70" s="146"/>
      <c r="AF70" s="146"/>
      <c r="AG70" s="147"/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  <c r="BI70" s="149"/>
      <c r="BJ70" s="149"/>
      <c r="BK70" s="149"/>
      <c r="BL70" s="149"/>
      <c r="BM70" s="76"/>
      <c r="BN70" s="76"/>
    </row>
    <row r="71" spans="2:66" ht="19.149999999999999" customHeight="1">
      <c r="B71" s="70" t="s">
        <v>272</v>
      </c>
      <c r="C71" s="71" t="s">
        <v>273</v>
      </c>
      <c r="D71" s="150" t="s">
        <v>62</v>
      </c>
      <c r="E71" s="132">
        <v>14</v>
      </c>
      <c r="F71" s="133">
        <v>0.03</v>
      </c>
      <c r="G71" s="133">
        <v>-0.03</v>
      </c>
      <c r="H71" s="75" t="s">
        <v>60</v>
      </c>
      <c r="I71" s="39"/>
      <c r="J71" s="134">
        <f t="shared" si="15"/>
        <v>14.03</v>
      </c>
      <c r="K71" s="135">
        <f t="shared" si="16"/>
        <v>13.97</v>
      </c>
      <c r="L71" s="136"/>
      <c r="M71" s="137">
        <f t="shared" si="17"/>
        <v>0</v>
      </c>
      <c r="N71" s="137">
        <f t="shared" si="18"/>
        <v>0</v>
      </c>
      <c r="O71" s="137">
        <f t="shared" si="19"/>
        <v>0</v>
      </c>
      <c r="P71" s="138">
        <f t="shared" si="20"/>
        <v>0</v>
      </c>
      <c r="Q71" s="139" t="str">
        <f t="shared" si="21"/>
        <v/>
      </c>
      <c r="R71" s="140" t="str">
        <f>IF(OR($AI71="",ISNUMBER($AI71)=FALSE),"",IF(AND(#REF!="Tolerance",$E71&lt;&gt;""),($O71-$E71)/(($J71-$K71)/2),IF(AND(#REF!="GD&amp;T",$F71&lt;&gt;""),$O71/$F71,"")))</f>
        <v/>
      </c>
      <c r="S71" s="140" t="str">
        <f t="shared" si="22"/>
        <v/>
      </c>
      <c r="T71" s="139" t="str">
        <f t="shared" si="23"/>
        <v/>
      </c>
      <c r="U71" s="139" t="str">
        <f t="shared" si="24"/>
        <v/>
      </c>
      <c r="V71" s="139" t="str">
        <f t="shared" si="25"/>
        <v/>
      </c>
      <c r="W71" s="141" t="str">
        <f t="shared" si="26"/>
        <v/>
      </c>
      <c r="X71" s="142" t="e">
        <f>IF($O71="","",IF(#REF!="Tolerance",IF((#REF!*3*P71+O71)-E71&lt;F71,"",(#REF!*3*P71+O71)-E71),IF(OR(#REF!="GD&amp;T",#REF!="MAX"),IF((#REF!*3*P71+O71)&lt;F71,"",(#REF!*3*P71+O71)),"")))</f>
        <v>#REF!</v>
      </c>
      <c r="Y71" s="142" t="e">
        <f>IF(O71="","",IF(#REF!="Tolerance",IF(-((#REF!*3*P71)-O71)-E71&gt;G71,"",-((#REF!*3*P71)-O71)-E71),IF(#REF!="MIN",IF(-((#REF!*3*P71)-O71)&gt;G71,"",-((#REF!*3*P71)-O71)),"")))</f>
        <v>#REF!</v>
      </c>
      <c r="Z71" s="142">
        <f t="shared" si="27"/>
        <v>14</v>
      </c>
      <c r="AA71" s="142" t="str">
        <f t="shared" si="28"/>
        <v/>
      </c>
      <c r="AB71" s="143"/>
      <c r="AC71" s="144" t="str">
        <f t="shared" si="29"/>
        <v/>
      </c>
      <c r="AD71" s="145"/>
      <c r="AE71" s="146"/>
      <c r="AF71" s="146"/>
      <c r="AG71" s="147"/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  <c r="BI71" s="149"/>
      <c r="BJ71" s="149"/>
      <c r="BK71" s="149"/>
      <c r="BL71" s="149"/>
      <c r="BM71" s="76"/>
      <c r="BN71" s="76"/>
    </row>
    <row r="72" spans="2:66">
      <c r="B72" s="70" t="s">
        <v>274</v>
      </c>
      <c r="C72" s="96" t="s">
        <v>155</v>
      </c>
      <c r="D72" s="150" t="s">
        <v>62</v>
      </c>
      <c r="E72" s="132">
        <v>-0.45</v>
      </c>
      <c r="F72" s="133">
        <v>0.01</v>
      </c>
      <c r="G72" s="133">
        <v>-0.01</v>
      </c>
      <c r="H72" s="75" t="s">
        <v>48</v>
      </c>
      <c r="I72" s="39"/>
      <c r="J72" s="134">
        <f t="shared" si="15"/>
        <v>-0.44</v>
      </c>
      <c r="K72" s="135">
        <f t="shared" si="16"/>
        <v>-0.46</v>
      </c>
      <c r="L72" s="136"/>
      <c r="M72" s="137">
        <f t="shared" si="17"/>
        <v>0</v>
      </c>
      <c r="N72" s="137">
        <f t="shared" si="18"/>
        <v>0</v>
      </c>
      <c r="O72" s="137">
        <f t="shared" si="19"/>
        <v>0</v>
      </c>
      <c r="P72" s="138">
        <f t="shared" si="20"/>
        <v>0</v>
      </c>
      <c r="Q72" s="139" t="str">
        <f t="shared" si="21"/>
        <v/>
      </c>
      <c r="R72" s="140" t="str">
        <f>IF(OR($AI72="",ISNUMBER($AI72)=FALSE),"",IF(AND(#REF!="Tolerance",$E72&lt;&gt;""),($O72-$E72)/(($J72-$K72)/2),IF(AND(#REF!="GD&amp;T",$F72&lt;&gt;""),$O72/$F72,"")))</f>
        <v/>
      </c>
      <c r="S72" s="140" t="str">
        <f t="shared" si="22"/>
        <v/>
      </c>
      <c r="T72" s="139" t="str">
        <f t="shared" si="23"/>
        <v/>
      </c>
      <c r="U72" s="139" t="str">
        <f t="shared" si="24"/>
        <v/>
      </c>
      <c r="V72" s="139" t="str">
        <f t="shared" si="25"/>
        <v/>
      </c>
      <c r="W72" s="141" t="str">
        <f t="shared" si="26"/>
        <v/>
      </c>
      <c r="X72" s="142" t="e">
        <f>IF($O72="","",IF(#REF!="Tolerance",IF((#REF!*3*P72+O72)-E72&lt;F72,"",(#REF!*3*P72+O72)-E72),IF(OR(#REF!="GD&amp;T",#REF!="MAX"),IF((#REF!*3*P72+O72)&lt;F72,"",(#REF!*3*P72+O72)),"")))</f>
        <v>#REF!</v>
      </c>
      <c r="Y72" s="142" t="e">
        <f>IF(O72="","",IF(#REF!="Tolerance",IF(-((#REF!*3*P72)-O72)-E72&gt;G72,"",-((#REF!*3*P72)-O72)-E72),IF(#REF!="MIN",IF(-((#REF!*3*P72)-O72)&gt;G72,"",-((#REF!*3*P72)-O72)),"")))</f>
        <v>#REF!</v>
      </c>
      <c r="Z72" s="142">
        <f>IF(OR(E72="",O72=""),"",(J72+K72)/2-O72)</f>
        <v>-0.45</v>
      </c>
      <c r="AA72" s="142" t="str">
        <f t="shared" si="28"/>
        <v/>
      </c>
      <c r="AB72" s="143"/>
      <c r="AC72" s="144" t="str">
        <f>IF(AB72="","",IF(AB72&gt;=0.966,"Normal","Not Normal"))</f>
        <v/>
      </c>
      <c r="AD72" s="145"/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AV72" s="149"/>
      <c r="AW72" s="149"/>
      <c r="AX72" s="149"/>
      <c r="AY72" s="149"/>
      <c r="AZ72" s="149"/>
      <c r="BA72" s="149"/>
      <c r="BB72" s="149"/>
      <c r="BC72" s="149"/>
      <c r="BD72" s="149"/>
      <c r="BE72" s="149"/>
      <c r="BF72" s="149"/>
      <c r="BG72" s="149"/>
      <c r="BH72" s="149"/>
      <c r="BI72" s="149"/>
      <c r="BJ72" s="149"/>
      <c r="BK72" s="149"/>
      <c r="BL72" s="149"/>
      <c r="BM72" s="76"/>
      <c r="BN72" s="76"/>
    </row>
    <row r="73" spans="2:66">
      <c r="B73" s="152"/>
      <c r="C73" s="110" t="s">
        <v>160</v>
      </c>
      <c r="D73" s="99" t="s">
        <v>62</v>
      </c>
      <c r="E73" s="98"/>
      <c r="F73" s="98">
        <v>0.01</v>
      </c>
      <c r="G73" s="98">
        <v>-0.01</v>
      </c>
      <c r="H73" s="99" t="s">
        <v>48</v>
      </c>
      <c r="I73" s="39"/>
      <c r="J73" s="134">
        <f t="shared" ref="J73:J79" si="30">IF(AND(E73="",F73=""),"",IF(E73="",F73,E73+F73))</f>
        <v>0.01</v>
      </c>
      <c r="K73" s="135">
        <f t="shared" ref="K73:K79" si="31">IF(AND(E73="",G73=""),"",IF(E73="",G73,E73+G73))</f>
        <v>-0.01</v>
      </c>
      <c r="L73" s="136"/>
      <c r="M73" s="137">
        <f t="shared" ref="M73:M79" si="32">IF(OR($AI73=ISBLANK(TRUE),ISNUMBER($AI73)=FALSE),,MAX(AI73:AX73))</f>
        <v>0</v>
      </c>
      <c r="N73" s="137">
        <f t="shared" ref="N73:N79" si="33">IF(OR($AI73=ISBLANK(TRUE),ISNUMBER($AI73)=FALSE),,MIN(AI73:AX73))</f>
        <v>0</v>
      </c>
      <c r="O73" s="137">
        <f t="shared" ref="O73:O79" si="34">IF(OR($AI73=ISBLANK(TRUE),ISNUMBER($AI73)=FALSE),,AVERAGE(AI73:AX73))</f>
        <v>0</v>
      </c>
      <c r="P73" s="138">
        <f t="shared" ref="P73:P79" si="35">IF(OR($AI73=ISBLANK(TRUE),ISNUMBER($AI73)=FALSE),,STDEV(AI73:AX73))</f>
        <v>0</v>
      </c>
      <c r="Q73" s="139" t="str">
        <f t="shared" ref="Q73:Q79" si="36">IF(OR($AI73="",ISNUMBER($AI73)=FALSE),"",IF(AND(E73=0,G73=0),T73,IF(AND(E73="",F73=""),U73,(F73+ABS(G73))/(6*P73))))</f>
        <v/>
      </c>
      <c r="R73" s="140" t="str">
        <f>IF(OR($AI73="",ISNUMBER($AI73)=FALSE),"",IF(AND(#REF!="Tolerance",$E73&lt;&gt;""),($O73-$E73)/(($J73-$K73)/2),IF(AND(#REF!="GD&amp;T",$F73&lt;&gt;""),$O73/$F73,"")))</f>
        <v/>
      </c>
      <c r="S73" s="140" t="str">
        <f t="shared" si="22"/>
        <v/>
      </c>
      <c r="T73" s="139" t="str">
        <f t="shared" ref="T73:T79" si="37">IF(OR($AI73="",ISNUMBER($AI73)=FALSE),"",IF(F73="","",(J73-O73)/(3*P73)))</f>
        <v/>
      </c>
      <c r="U73" s="139" t="str">
        <f t="shared" ref="U73:U79" si="38">IF(OR($AI73="",ISNUMBER($AI73)=FALSE),"",IF(G73="","",(O73-K73)/(3*P73)))</f>
        <v/>
      </c>
      <c r="V73" s="139" t="str">
        <f t="shared" ref="V73:V79" si="39">IF(OR($AI73="",ISNUMBER($AI73)=FALSE),"",IF(AND(E73=0,G73=0),((F73)-(O73))/(3*P73),MIN(T73:U73)))</f>
        <v/>
      </c>
      <c r="W73" s="141" t="str">
        <f t="shared" ref="W73:W79" si="40">IF(OR($AI73="",ISNUMBER($AI73)=FALSE),"",IF(AND(E73=0,G73=0),NORMSDIST(3*V73),NORMSDIST(3*V73)+NORMSDIST(6*Q73-3*V73)-1))</f>
        <v/>
      </c>
      <c r="X73" s="142" t="e">
        <f>IF($O73="","",IF(#REF!="Tolerance",IF((#REF!*3*P73+O73)-E73&lt;F73,"",(#REF!*3*P73+O73)-E73),IF(OR(#REF!="GD&amp;T",#REF!="MAX"),IF((#REF!*3*P73+O73)&lt;F73,"",(#REF!*3*P73+O73)),"")))</f>
        <v>#REF!</v>
      </c>
      <c r="Y73" s="142" t="e">
        <f>IF(O73="","",IF(#REF!="Tolerance",IF(-((#REF!*3*P73)-O73)-E73&gt;G73,"",-((#REF!*3*P73)-O73)-E73),IF(#REF!="MIN",IF(-((#REF!*3*P73)-O73)&gt;G73,"",-((#REF!*3*P73)-O73)),"")))</f>
        <v>#REF!</v>
      </c>
      <c r="Z73" s="142" t="str">
        <f t="shared" ref="Z73:Z79" si="41">IF(OR(E73="",O73=""),"",(J73+K73)/2-O73)</f>
        <v/>
      </c>
      <c r="AA73" s="142" t="str">
        <f t="shared" si="28"/>
        <v/>
      </c>
      <c r="AB73" s="143"/>
      <c r="AC73" s="144" t="str">
        <f t="shared" ref="AC73:AC79" si="42">IF(AB73="","",IF(AB73&gt;=0.966,"Normal","Not Normal"))</f>
        <v/>
      </c>
      <c r="AD73" s="145"/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  <c r="BI73" s="149"/>
      <c r="BJ73" s="149"/>
      <c r="BK73" s="149"/>
      <c r="BL73" s="149"/>
      <c r="BM73" s="76"/>
      <c r="BN73" s="76"/>
    </row>
    <row r="74" spans="2:66">
      <c r="B74" s="70" t="s">
        <v>274</v>
      </c>
      <c r="C74" s="110" t="s">
        <v>161</v>
      </c>
      <c r="D74" s="150" t="s">
        <v>62</v>
      </c>
      <c r="E74" s="132">
        <v>-0.45</v>
      </c>
      <c r="F74" s="133">
        <v>0.01</v>
      </c>
      <c r="G74" s="133">
        <v>-0.01</v>
      </c>
      <c r="H74" s="75" t="s">
        <v>48</v>
      </c>
      <c r="I74" s="39"/>
      <c r="J74" s="134">
        <f t="shared" si="30"/>
        <v>-0.44</v>
      </c>
      <c r="K74" s="135">
        <f t="shared" si="31"/>
        <v>-0.46</v>
      </c>
      <c r="L74" s="136"/>
      <c r="M74" s="137">
        <f t="shared" si="32"/>
        <v>0</v>
      </c>
      <c r="N74" s="137">
        <f t="shared" si="33"/>
        <v>0</v>
      </c>
      <c r="O74" s="137">
        <f t="shared" si="34"/>
        <v>0</v>
      </c>
      <c r="P74" s="138">
        <f t="shared" si="35"/>
        <v>0</v>
      </c>
      <c r="Q74" s="139" t="str">
        <f t="shared" si="36"/>
        <v/>
      </c>
      <c r="R74" s="140" t="str">
        <f>IF(OR($AI74="",ISNUMBER($AI74)=FALSE),"",IF(AND(#REF!="Tolerance",$E74&lt;&gt;""),($O74-$E74)/(($J74-$K74)/2),IF(AND(#REF!="GD&amp;T",$F74&lt;&gt;""),$O74/$F74,"")))</f>
        <v/>
      </c>
      <c r="S74" s="140" t="str">
        <f t="shared" si="22"/>
        <v/>
      </c>
      <c r="T74" s="139" t="str">
        <f t="shared" si="37"/>
        <v/>
      </c>
      <c r="U74" s="139" t="str">
        <f t="shared" si="38"/>
        <v/>
      </c>
      <c r="V74" s="139" t="str">
        <f t="shared" si="39"/>
        <v/>
      </c>
      <c r="W74" s="141" t="str">
        <f t="shared" si="40"/>
        <v/>
      </c>
      <c r="X74" s="142" t="e">
        <f>IF($O74="","",IF(#REF!="Tolerance",IF((#REF!*3*P74+O74)-E74&lt;F74,"",(#REF!*3*P74+O74)-E74),IF(OR(#REF!="GD&amp;T",#REF!="MAX"),IF((#REF!*3*P74+O74)&lt;F74,"",(#REF!*3*P74+O74)),"")))</f>
        <v>#REF!</v>
      </c>
      <c r="Y74" s="142" t="e">
        <f>IF(O74="","",IF(#REF!="Tolerance",IF(-((#REF!*3*P74)-O74)-E74&gt;G74,"",-((#REF!*3*P74)-O74)-E74),IF(#REF!="MIN",IF(-((#REF!*3*P74)-O74)&gt;G74,"",-((#REF!*3*P74)-O74)),"")))</f>
        <v>#REF!</v>
      </c>
      <c r="Z74" s="142">
        <f t="shared" si="41"/>
        <v>-0.45</v>
      </c>
      <c r="AA74" s="142" t="str">
        <f t="shared" si="28"/>
        <v/>
      </c>
      <c r="AB74" s="143"/>
      <c r="AC74" s="144" t="str">
        <f t="shared" si="42"/>
        <v/>
      </c>
      <c r="AD74" s="145"/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  <c r="BI74" s="149"/>
      <c r="BJ74" s="149"/>
      <c r="BK74" s="149"/>
      <c r="BL74" s="149"/>
      <c r="BM74" s="76"/>
      <c r="BN74" s="76"/>
    </row>
    <row r="75" spans="2:66">
      <c r="B75" s="152"/>
      <c r="C75" s="110" t="s">
        <v>166</v>
      </c>
      <c r="D75" s="99" t="s">
        <v>62</v>
      </c>
      <c r="E75" s="98"/>
      <c r="F75" s="98">
        <v>0.01</v>
      </c>
      <c r="G75" s="98">
        <v>-0.01</v>
      </c>
      <c r="H75" s="99" t="s">
        <v>48</v>
      </c>
      <c r="I75" s="39"/>
      <c r="J75" s="134">
        <f t="shared" ref="J75" si="43">IF(AND(E75="",F75=""),"",IF(E75="",F75,E75+F75))</f>
        <v>0.01</v>
      </c>
      <c r="K75" s="135">
        <f t="shared" si="31"/>
        <v>-0.01</v>
      </c>
      <c r="L75" s="136"/>
      <c r="M75" s="137">
        <f t="shared" si="32"/>
        <v>0</v>
      </c>
      <c r="N75" s="137">
        <f t="shared" si="33"/>
        <v>0</v>
      </c>
      <c r="O75" s="137">
        <f t="shared" si="34"/>
        <v>0</v>
      </c>
      <c r="P75" s="138">
        <f t="shared" si="35"/>
        <v>0</v>
      </c>
      <c r="Q75" s="139" t="str">
        <f t="shared" si="36"/>
        <v/>
      </c>
      <c r="R75" s="140" t="str">
        <f>IF(OR($AI75="",ISNUMBER($AI75)=FALSE),"",IF(AND(#REF!="Tolerance",$E75&lt;&gt;""),($O75-$E75)/(($J75-$K75)/2),IF(AND(#REF!="GD&amp;T",$F75&lt;&gt;""),$O75/$F75,"")))</f>
        <v/>
      </c>
      <c r="S75" s="140" t="str">
        <f t="shared" si="22"/>
        <v/>
      </c>
      <c r="T75" s="139" t="str">
        <f t="shared" si="37"/>
        <v/>
      </c>
      <c r="U75" s="139" t="str">
        <f t="shared" si="38"/>
        <v/>
      </c>
      <c r="V75" s="139" t="str">
        <f t="shared" si="39"/>
        <v/>
      </c>
      <c r="W75" s="141" t="str">
        <f t="shared" si="40"/>
        <v/>
      </c>
      <c r="X75" s="142" t="e">
        <f>IF($O75="","",IF(#REF!="Tolerance",IF((#REF!*3*P75+O75)-E75&lt;F75,"",(#REF!*3*P75+O75)-E75),IF(OR(#REF!="GD&amp;T",#REF!="MAX"),IF((#REF!*3*P75+O75)&lt;F75,"",(#REF!*3*P75+O75)),"")))</f>
        <v>#REF!</v>
      </c>
      <c r="Y75" s="142" t="e">
        <f>IF(O75="","",IF(#REF!="Tolerance",IF(-((#REF!*3*P75)-O75)-E75&gt;G75,"",-((#REF!*3*P75)-O75)-E75),IF(#REF!="MIN",IF(-((#REF!*3*P75)-O75)&gt;G75,"",-((#REF!*3*P75)-O75)),"")))</f>
        <v>#REF!</v>
      </c>
      <c r="Z75" s="142" t="str">
        <f t="shared" si="41"/>
        <v/>
      </c>
      <c r="AA75" s="142" t="str">
        <f t="shared" si="28"/>
        <v/>
      </c>
      <c r="AB75" s="143"/>
      <c r="AC75" s="144" t="str">
        <f t="shared" si="42"/>
        <v/>
      </c>
      <c r="AD75" s="145"/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49"/>
      <c r="BI75" s="149"/>
      <c r="BJ75" s="149"/>
      <c r="BK75" s="149"/>
      <c r="BL75" s="149"/>
      <c r="BM75" s="76"/>
      <c r="BN75" s="76"/>
    </row>
    <row r="76" spans="2:66">
      <c r="B76" s="70" t="s">
        <v>275</v>
      </c>
      <c r="C76" s="110" t="s">
        <v>167</v>
      </c>
      <c r="D76" s="150" t="s">
        <v>62</v>
      </c>
      <c r="E76" s="132">
        <v>-0.45</v>
      </c>
      <c r="F76" s="133">
        <v>0.01</v>
      </c>
      <c r="G76" s="133">
        <v>-0.01</v>
      </c>
      <c r="H76" s="75" t="s">
        <v>48</v>
      </c>
      <c r="I76" s="39"/>
      <c r="J76" s="134">
        <f t="shared" si="30"/>
        <v>-0.44</v>
      </c>
      <c r="K76" s="135">
        <f t="shared" si="31"/>
        <v>-0.46</v>
      </c>
      <c r="L76" s="136"/>
      <c r="M76" s="137">
        <f t="shared" si="32"/>
        <v>0</v>
      </c>
      <c r="N76" s="137">
        <f t="shared" si="33"/>
        <v>0</v>
      </c>
      <c r="O76" s="137">
        <f t="shared" si="34"/>
        <v>0</v>
      </c>
      <c r="P76" s="138">
        <f t="shared" si="35"/>
        <v>0</v>
      </c>
      <c r="Q76" s="139" t="str">
        <f t="shared" si="36"/>
        <v/>
      </c>
      <c r="R76" s="140" t="str">
        <f>IF(OR($AI76="",ISNUMBER($AI76)=FALSE),"",IF(AND(#REF!="Tolerance",$E76&lt;&gt;""),($O76-$E76)/(($J76-$K76)/2),IF(AND(#REF!="GD&amp;T",$F76&lt;&gt;""),$O76/$F76,"")))</f>
        <v/>
      </c>
      <c r="S76" s="140" t="str">
        <f t="shared" si="22"/>
        <v/>
      </c>
      <c r="T76" s="139" t="str">
        <f t="shared" si="37"/>
        <v/>
      </c>
      <c r="U76" s="139" t="str">
        <f t="shared" si="38"/>
        <v/>
      </c>
      <c r="V76" s="139" t="str">
        <f t="shared" si="39"/>
        <v/>
      </c>
      <c r="W76" s="141" t="str">
        <f t="shared" si="40"/>
        <v/>
      </c>
      <c r="X76" s="142" t="e">
        <f>IF($O76="","",IF(#REF!="Tolerance",IF((#REF!*3*P76+O76)-E76&lt;F76,"",(#REF!*3*P76+O76)-E76),IF(OR(#REF!="GD&amp;T",#REF!="MAX"),IF((#REF!*3*P76+O76)&lt;F76,"",(#REF!*3*P76+O76)),"")))</f>
        <v>#REF!</v>
      </c>
      <c r="Y76" s="142" t="e">
        <f>IF(O76="","",IF(#REF!="Tolerance",IF(-((#REF!*3*P76)-O76)-E76&gt;G76,"",-((#REF!*3*P76)-O76)-E76),IF(#REF!="MIN",IF(-((#REF!*3*P76)-O76)&gt;G76,"",-((#REF!*3*P76)-O76)),"")))</f>
        <v>#REF!</v>
      </c>
      <c r="Z76" s="142">
        <f t="shared" si="41"/>
        <v>-0.45</v>
      </c>
      <c r="AA76" s="142" t="str">
        <f t="shared" si="28"/>
        <v/>
      </c>
      <c r="AB76" s="143"/>
      <c r="AC76" s="144" t="str">
        <f t="shared" si="42"/>
        <v/>
      </c>
      <c r="AD76" s="145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  <c r="BI76" s="149"/>
      <c r="BJ76" s="149"/>
      <c r="BK76" s="149"/>
      <c r="BL76" s="149"/>
      <c r="BM76" s="76"/>
      <c r="BN76" s="76"/>
    </row>
    <row r="77" spans="2:66">
      <c r="B77" s="152"/>
      <c r="C77" s="96" t="s">
        <v>172</v>
      </c>
      <c r="D77" s="99" t="s">
        <v>62</v>
      </c>
      <c r="E77" s="98"/>
      <c r="F77" s="98">
        <v>5.0000000000000001E-3</v>
      </c>
      <c r="G77" s="98">
        <v>-1.4999999999999999E-2</v>
      </c>
      <c r="H77" s="99" t="s">
        <v>48</v>
      </c>
      <c r="I77" s="39"/>
      <c r="J77" s="134">
        <f t="shared" si="30"/>
        <v>5.0000000000000001E-3</v>
      </c>
      <c r="K77" s="135">
        <f t="shared" si="31"/>
        <v>-1.4999999999999999E-2</v>
      </c>
      <c r="L77" s="136"/>
      <c r="M77" s="137">
        <f t="shared" si="32"/>
        <v>0</v>
      </c>
      <c r="N77" s="137">
        <f t="shared" si="33"/>
        <v>0</v>
      </c>
      <c r="O77" s="137">
        <f t="shared" si="34"/>
        <v>0</v>
      </c>
      <c r="P77" s="138">
        <f t="shared" si="35"/>
        <v>0</v>
      </c>
      <c r="Q77" s="139" t="str">
        <f t="shared" si="36"/>
        <v/>
      </c>
      <c r="R77" s="140" t="str">
        <f>IF(OR($AI77="",ISNUMBER($AI77)=FALSE),"",IF(AND(#REF!="Tolerance",$E77&lt;&gt;""),($O77-$E77)/(($J77-$K77)/2),IF(AND(#REF!="GD&amp;T",$F77&lt;&gt;""),$O77/$F77,"")))</f>
        <v/>
      </c>
      <c r="S77" s="140" t="str">
        <f t="shared" si="22"/>
        <v/>
      </c>
      <c r="T77" s="139" t="str">
        <f t="shared" si="37"/>
        <v/>
      </c>
      <c r="U77" s="139" t="str">
        <f t="shared" si="38"/>
        <v/>
      </c>
      <c r="V77" s="139" t="str">
        <f t="shared" si="39"/>
        <v/>
      </c>
      <c r="W77" s="141" t="str">
        <f t="shared" si="40"/>
        <v/>
      </c>
      <c r="X77" s="142" t="e">
        <f>IF($O77="","",IF(#REF!="Tolerance",IF((#REF!*3*P77+O77)-E77&lt;F77,"",(#REF!*3*P77+O77)-E77),IF(OR(#REF!="GD&amp;T",#REF!="MAX"),IF((#REF!*3*P77+O77)&lt;F77,"",(#REF!*3*P77+O77)),"")))</f>
        <v>#REF!</v>
      </c>
      <c r="Y77" s="142" t="e">
        <f>IF(O77="","",IF(#REF!="Tolerance",IF(-((#REF!*3*P77)-O77)-E77&gt;G77,"",-((#REF!*3*P77)-O77)-E77),IF(#REF!="MIN",IF(-((#REF!*3*P77)-O77)&gt;G77,"",-((#REF!*3*P77)-O77)),"")))</f>
        <v>#REF!</v>
      </c>
      <c r="Z77" s="142" t="str">
        <f t="shared" si="41"/>
        <v/>
      </c>
      <c r="AA77" s="142" t="str">
        <f t="shared" si="28"/>
        <v/>
      </c>
      <c r="AB77" s="143"/>
      <c r="AC77" s="144" t="str">
        <f t="shared" si="42"/>
        <v/>
      </c>
      <c r="AD77" s="145"/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  <c r="BI77" s="149"/>
      <c r="BJ77" s="149"/>
      <c r="BK77" s="149"/>
      <c r="BL77" s="149"/>
      <c r="BM77" s="76"/>
      <c r="BN77" s="76"/>
    </row>
    <row r="78" spans="2:66">
      <c r="B78" s="70" t="s">
        <v>275</v>
      </c>
      <c r="C78" s="96" t="s">
        <v>173</v>
      </c>
      <c r="D78" s="150" t="s">
        <v>62</v>
      </c>
      <c r="E78" s="132">
        <v>-0.45</v>
      </c>
      <c r="F78" s="133">
        <v>0.01</v>
      </c>
      <c r="G78" s="133">
        <v>-0.01</v>
      </c>
      <c r="H78" s="75" t="s">
        <v>48</v>
      </c>
      <c r="I78" s="39"/>
      <c r="J78" s="134">
        <f t="shared" si="30"/>
        <v>-0.44</v>
      </c>
      <c r="K78" s="135">
        <f t="shared" si="31"/>
        <v>-0.46</v>
      </c>
      <c r="L78" s="136"/>
      <c r="M78" s="137">
        <f t="shared" si="32"/>
        <v>0</v>
      </c>
      <c r="N78" s="137">
        <f t="shared" si="33"/>
        <v>0</v>
      </c>
      <c r="O78" s="137">
        <f t="shared" si="34"/>
        <v>0</v>
      </c>
      <c r="P78" s="138">
        <f t="shared" si="35"/>
        <v>0</v>
      </c>
      <c r="Q78" s="139" t="str">
        <f t="shared" si="36"/>
        <v/>
      </c>
      <c r="R78" s="140" t="str">
        <f>IF(OR($AI78="",ISNUMBER($AI78)=FALSE),"",IF(AND(#REF!="Tolerance",$E78&lt;&gt;""),($O78-$E78)/(($J78-$K78)/2),IF(AND(#REF!="GD&amp;T",$F78&lt;&gt;""),$O78/$F78,"")))</f>
        <v/>
      </c>
      <c r="S78" s="140" t="str">
        <f t="shared" si="22"/>
        <v/>
      </c>
      <c r="T78" s="139" t="str">
        <f t="shared" si="37"/>
        <v/>
      </c>
      <c r="U78" s="139" t="str">
        <f t="shared" si="38"/>
        <v/>
      </c>
      <c r="V78" s="139" t="str">
        <f t="shared" si="39"/>
        <v/>
      </c>
      <c r="W78" s="141" t="str">
        <f t="shared" si="40"/>
        <v/>
      </c>
      <c r="X78" s="142" t="e">
        <f>IF($O78="","",IF(#REF!="Tolerance",IF((#REF!*3*P78+O78)-E78&lt;F78,"",(#REF!*3*P78+O78)-E78),IF(OR(#REF!="GD&amp;T",#REF!="MAX"),IF((#REF!*3*P78+O78)&lt;F78,"",(#REF!*3*P78+O78)),"")))</f>
        <v>#REF!</v>
      </c>
      <c r="Y78" s="142" t="e">
        <f>IF(O78="","",IF(#REF!="Tolerance",IF(-((#REF!*3*P78)-O78)-E78&gt;G78,"",-((#REF!*3*P78)-O78)-E78),IF(#REF!="MIN",IF(-((#REF!*3*P78)-O78)&gt;G78,"",-((#REF!*3*P78)-O78)),"")))</f>
        <v>#REF!</v>
      </c>
      <c r="Z78" s="142">
        <f t="shared" si="41"/>
        <v>-0.45</v>
      </c>
      <c r="AA78" s="142" t="str">
        <f t="shared" si="28"/>
        <v/>
      </c>
      <c r="AB78" s="143"/>
      <c r="AC78" s="144" t="str">
        <f t="shared" si="42"/>
        <v/>
      </c>
      <c r="AD78" s="145"/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  <c r="BI78" s="149"/>
      <c r="BJ78" s="149"/>
      <c r="BK78" s="149"/>
      <c r="BL78" s="149"/>
      <c r="BM78" s="76"/>
      <c r="BN78" s="76"/>
    </row>
    <row r="79" spans="2:66">
      <c r="B79" s="152"/>
      <c r="C79" s="96" t="s">
        <v>178</v>
      </c>
      <c r="D79" s="99" t="s">
        <v>62</v>
      </c>
      <c r="E79" s="98"/>
      <c r="F79" s="98">
        <v>5.0000000000000001E-3</v>
      </c>
      <c r="G79" s="98">
        <v>-1.4999999999999999E-2</v>
      </c>
      <c r="H79" s="99" t="s">
        <v>48</v>
      </c>
      <c r="I79" s="39"/>
      <c r="J79" s="134">
        <f t="shared" si="30"/>
        <v>5.0000000000000001E-3</v>
      </c>
      <c r="K79" s="135">
        <f t="shared" si="31"/>
        <v>-1.4999999999999999E-2</v>
      </c>
      <c r="L79" s="136"/>
      <c r="M79" s="137">
        <f t="shared" si="32"/>
        <v>0</v>
      </c>
      <c r="N79" s="137">
        <f t="shared" si="33"/>
        <v>0</v>
      </c>
      <c r="O79" s="137">
        <f t="shared" si="34"/>
        <v>0</v>
      </c>
      <c r="P79" s="138">
        <f t="shared" si="35"/>
        <v>0</v>
      </c>
      <c r="Q79" s="139" t="str">
        <f t="shared" si="36"/>
        <v/>
      </c>
      <c r="R79" s="140" t="str">
        <f>IF(OR($AI79="",ISNUMBER($AI79)=FALSE),"",IF(AND(#REF!="Tolerance",$E79&lt;&gt;""),($O79-$E79)/(($J79-$K79)/2),IF(AND(#REF!="GD&amp;T",$F79&lt;&gt;""),$O79/$F79,"")))</f>
        <v/>
      </c>
      <c r="S79" s="140" t="str">
        <f t="shared" si="22"/>
        <v/>
      </c>
      <c r="T79" s="139" t="str">
        <f t="shared" si="37"/>
        <v/>
      </c>
      <c r="U79" s="139" t="str">
        <f t="shared" si="38"/>
        <v/>
      </c>
      <c r="V79" s="139" t="str">
        <f t="shared" si="39"/>
        <v/>
      </c>
      <c r="W79" s="141" t="str">
        <f t="shared" si="40"/>
        <v/>
      </c>
      <c r="X79" s="142" t="e">
        <f>IF($O79="","",IF(#REF!="Tolerance",IF((#REF!*3*P79+O79)-E79&lt;F79,"",(#REF!*3*P79+O79)-E79),IF(OR(#REF!="GD&amp;T",#REF!="MAX"),IF((#REF!*3*P79+O79)&lt;F79,"",(#REF!*3*P79+O79)),"")))</f>
        <v>#REF!</v>
      </c>
      <c r="Y79" s="142" t="e">
        <f>IF(O79="","",IF(#REF!="Tolerance",IF(-((#REF!*3*P79)-O79)-E79&gt;G79,"",-((#REF!*3*P79)-O79)-E79),IF(#REF!="MIN",IF(-((#REF!*3*P79)-O79)&gt;G79,"",-((#REF!*3*P79)-O79)),"")))</f>
        <v>#REF!</v>
      </c>
      <c r="Z79" s="142" t="str">
        <f t="shared" si="41"/>
        <v/>
      </c>
      <c r="AA79" s="142" t="str">
        <f t="shared" si="28"/>
        <v/>
      </c>
      <c r="AB79" s="143"/>
      <c r="AC79" s="144" t="str">
        <f t="shared" si="42"/>
        <v/>
      </c>
      <c r="AD79" s="145"/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V79" s="149"/>
      <c r="AW79" s="149"/>
      <c r="AX79" s="149"/>
      <c r="AY79" s="149"/>
      <c r="AZ79" s="149"/>
      <c r="BA79" s="149"/>
      <c r="BB79" s="149"/>
      <c r="BC79" s="149"/>
      <c r="BD79" s="149"/>
      <c r="BE79" s="149"/>
      <c r="BF79" s="149"/>
      <c r="BG79" s="149"/>
      <c r="BH79" s="149"/>
      <c r="BI79" s="149"/>
      <c r="BJ79" s="149"/>
      <c r="BK79" s="149"/>
      <c r="BL79" s="149"/>
      <c r="BM79" s="76"/>
      <c r="BN79" s="76"/>
    </row>
  </sheetData>
  <mergeCells count="6">
    <mergeCell ref="AI3:BN4"/>
    <mergeCell ref="A1:AC1"/>
    <mergeCell ref="B3:K3"/>
    <mergeCell ref="M3:AC3"/>
    <mergeCell ref="AE3:AG3"/>
    <mergeCell ref="X4:Y4"/>
  </mergeCells>
  <phoneticPr fontId="11" type="noConversion"/>
  <conditionalFormatting sqref="AI6:BN9">
    <cfRule type="cellIs" dxfId="75" priority="107" operator="greaterThan">
      <formula>0.015</formula>
    </cfRule>
  </conditionalFormatting>
  <conditionalFormatting sqref="AI6:BN14">
    <cfRule type="cellIs" dxfId="74" priority="102" operator="lessThan">
      <formula>0</formula>
    </cfRule>
  </conditionalFormatting>
  <conditionalFormatting sqref="AI10:BN13">
    <cfRule type="cellIs" dxfId="73" priority="105" operator="greaterThan">
      <formula>0.008</formula>
    </cfRule>
  </conditionalFormatting>
  <conditionalFormatting sqref="AI14:BN14">
    <cfRule type="cellIs" dxfId="72" priority="103" operator="greaterThan">
      <formula>0.03</formula>
    </cfRule>
  </conditionalFormatting>
  <conditionalFormatting sqref="AI15:BN17">
    <cfRule type="cellIs" dxfId="71" priority="101" operator="greaterThan">
      <formula>0.5</formula>
    </cfRule>
    <cfRule type="cellIs" dxfId="70" priority="100" operator="lessThan">
      <formula>0.48</formula>
    </cfRule>
  </conditionalFormatting>
  <conditionalFormatting sqref="AI18:BN20">
    <cfRule type="cellIs" dxfId="69" priority="99" operator="greaterThan">
      <formula>0.79</formula>
    </cfRule>
    <cfRule type="cellIs" dxfId="68" priority="98" operator="lessThan">
      <formula>0.75</formula>
    </cfRule>
  </conditionalFormatting>
  <conditionalFormatting sqref="AI21:BN22">
    <cfRule type="cellIs" dxfId="67" priority="96" operator="lessThan">
      <formula>0.475</formula>
    </cfRule>
    <cfRule type="cellIs" dxfId="66" priority="97" operator="greaterThan">
      <formula>0.505</formula>
    </cfRule>
  </conditionalFormatting>
  <conditionalFormatting sqref="AI23:BN28">
    <cfRule type="cellIs" dxfId="65" priority="95" operator="greaterThan">
      <formula>3.11</formula>
    </cfRule>
    <cfRule type="cellIs" dxfId="64" priority="94" operator="lessThan">
      <formula>3.05</formula>
    </cfRule>
  </conditionalFormatting>
  <conditionalFormatting sqref="AI29:BN29">
    <cfRule type="cellIs" dxfId="63" priority="93" operator="greaterThan">
      <formula>0.03</formula>
    </cfRule>
    <cfRule type="cellIs" dxfId="62" priority="92" operator="lessThan">
      <formula>0</formula>
    </cfRule>
  </conditionalFormatting>
  <conditionalFormatting sqref="AI30:BN33">
    <cfRule type="cellIs" dxfId="61" priority="90" operator="lessThan">
      <formula>0.52</formula>
    </cfRule>
    <cfRule type="cellIs" dxfId="60" priority="91" operator="greaterThan">
      <formula>0.58</formula>
    </cfRule>
  </conditionalFormatting>
  <conditionalFormatting sqref="AI34:BN35">
    <cfRule type="cellIs" dxfId="59" priority="88" operator="lessThan">
      <formula>3.15</formula>
    </cfRule>
    <cfRule type="cellIs" dxfId="58" priority="89" operator="greaterThan">
      <formula>3.2</formula>
    </cfRule>
  </conditionalFormatting>
  <conditionalFormatting sqref="AI36:BN37">
    <cfRule type="cellIs" dxfId="57" priority="87" operator="greaterThan">
      <formula>13.08</formula>
    </cfRule>
    <cfRule type="cellIs" dxfId="56" priority="86" operator="lessThan">
      <formula>13.02</formula>
    </cfRule>
  </conditionalFormatting>
  <conditionalFormatting sqref="AI38:BN41">
    <cfRule type="cellIs" dxfId="55" priority="85" operator="greaterThan">
      <formula>1.815</formula>
    </cfRule>
    <cfRule type="cellIs" dxfId="54" priority="84" operator="lessThan">
      <formula>1.77</formula>
    </cfRule>
  </conditionalFormatting>
  <conditionalFormatting sqref="AI42:BN42">
    <cfRule type="cellIs" dxfId="53" priority="83" operator="greaterThan">
      <formula>12.245</formula>
    </cfRule>
    <cfRule type="cellIs" dxfId="52" priority="82" operator="lessThan">
      <formula>12.195</formula>
    </cfRule>
  </conditionalFormatting>
  <conditionalFormatting sqref="AI43:BN43">
    <cfRule type="cellIs" dxfId="51" priority="81" operator="greaterThan">
      <formula>0.915</formula>
    </cfRule>
    <cfRule type="cellIs" dxfId="50" priority="80" operator="lessThan">
      <formula>0.885</formula>
    </cfRule>
  </conditionalFormatting>
  <conditionalFormatting sqref="AI44:BN44">
    <cfRule type="cellIs" dxfId="49" priority="79" operator="greaterThan">
      <formula>14.24</formula>
    </cfRule>
    <cfRule type="cellIs" dxfId="48" priority="78" operator="lessThan">
      <formula>14.19</formula>
    </cfRule>
  </conditionalFormatting>
  <conditionalFormatting sqref="AI45:BN45">
    <cfRule type="cellIs" dxfId="47" priority="76" operator="lessThan">
      <formula>11.86</formula>
    </cfRule>
    <cfRule type="cellIs" dxfId="46" priority="77" operator="greaterThan">
      <formula>11.91</formula>
    </cfRule>
  </conditionalFormatting>
  <conditionalFormatting sqref="AI46:BN46">
    <cfRule type="cellIs" dxfId="45" priority="75" operator="greaterThan">
      <formula>12.15</formula>
    </cfRule>
    <cfRule type="cellIs" dxfId="44" priority="74" operator="lessThan">
      <formula>12.09</formula>
    </cfRule>
  </conditionalFormatting>
  <conditionalFormatting sqref="AI47:BN48">
    <cfRule type="cellIs" priority="73" operator="between">
      <formula>0.53</formula>
      <formula>0.49</formula>
    </cfRule>
    <cfRule type="cellIs" dxfId="43" priority="72" operator="greaterThan">
      <formula>0.53</formula>
    </cfRule>
    <cfRule type="cellIs" dxfId="42" priority="71" operator="lessThan">
      <formula>0.49</formula>
    </cfRule>
  </conditionalFormatting>
  <conditionalFormatting sqref="AI49:BN52">
    <cfRule type="cellIs" dxfId="41" priority="69" operator="lessThan">
      <formula>0.79</formula>
    </cfRule>
    <cfRule type="cellIs" dxfId="40" priority="70" operator="greaterThan">
      <formula>0.84</formula>
    </cfRule>
  </conditionalFormatting>
  <conditionalFormatting sqref="AI53:BN53">
    <cfRule type="cellIs" dxfId="39" priority="68" operator="greaterThan">
      <formula>14.035</formula>
    </cfRule>
    <cfRule type="cellIs" dxfId="38" priority="67" operator="lessThan">
      <formula>13.98</formula>
    </cfRule>
  </conditionalFormatting>
  <conditionalFormatting sqref="AI54:BN54">
    <cfRule type="cellIs" dxfId="37" priority="66" operator="greaterThan">
      <formula>1.31</formula>
    </cfRule>
    <cfRule type="cellIs" dxfId="36" priority="65" operator="lessThan">
      <formula>1.26</formula>
    </cfRule>
  </conditionalFormatting>
  <conditionalFormatting sqref="AI55:BN55">
    <cfRule type="cellIs" dxfId="35" priority="64" operator="greaterThan">
      <formula>0.45</formula>
    </cfRule>
    <cfRule type="cellIs" dxfId="34" priority="63" operator="lessThan">
      <formula>0.41</formula>
    </cfRule>
  </conditionalFormatting>
  <conditionalFormatting sqref="AI56:BN56">
    <cfRule type="cellIs" dxfId="33" priority="62" operator="greaterThan">
      <formula>2.05</formula>
    </cfRule>
    <cfRule type="cellIs" dxfId="32" priority="61" operator="lessThan">
      <formula>2.01</formula>
    </cfRule>
  </conditionalFormatting>
  <conditionalFormatting sqref="AI57:BN57">
    <cfRule type="cellIs" dxfId="31" priority="60" operator="greaterThan">
      <formula>1.142</formula>
    </cfRule>
    <cfRule type="cellIs" dxfId="30" priority="59" operator="lessThan">
      <formula>1.092</formula>
    </cfRule>
  </conditionalFormatting>
  <conditionalFormatting sqref="AI58:BN61">
    <cfRule type="cellIs" dxfId="29" priority="58" operator="greaterThan">
      <formula>0.35</formula>
    </cfRule>
    <cfRule type="cellIs" dxfId="28" priority="57" operator="lessThan">
      <formula>0.29</formula>
    </cfRule>
  </conditionalFormatting>
  <conditionalFormatting sqref="AI62:BN62">
    <cfRule type="cellIs" dxfId="27" priority="55" operator="greaterThan">
      <formula>15.47</formula>
    </cfRule>
    <cfRule type="cellIs" dxfId="26" priority="54" operator="lessThan">
      <formula>15.43</formula>
    </cfRule>
  </conditionalFormatting>
  <conditionalFormatting sqref="AI63:BN63">
    <cfRule type="cellIs" dxfId="25" priority="53" operator="greaterThan">
      <formula>0.36</formula>
    </cfRule>
    <cfRule type="cellIs" dxfId="24" priority="52" operator="lessThan">
      <formula>0.3</formula>
    </cfRule>
  </conditionalFormatting>
  <conditionalFormatting sqref="AI64:BN64">
    <cfRule type="cellIs" dxfId="23" priority="50" operator="greaterThan">
      <formula>2.46</formula>
    </cfRule>
    <cfRule type="cellIs" dxfId="22" priority="49" operator="lessThan">
      <formula>2.42</formula>
    </cfRule>
  </conditionalFormatting>
  <conditionalFormatting sqref="AI65:BN65">
    <cfRule type="cellIs" dxfId="21" priority="47" operator="lessThan">
      <formula>15.35</formula>
    </cfRule>
    <cfRule type="cellIs" dxfId="20" priority="48" operator="greaterThan">
      <formula>15.4</formula>
    </cfRule>
  </conditionalFormatting>
  <conditionalFormatting sqref="AI66:BN67">
    <cfRule type="cellIs" dxfId="19" priority="43" operator="lessThan">
      <formula>0.21</formula>
    </cfRule>
    <cfRule type="cellIs" dxfId="18" priority="44" operator="greaterThan">
      <formula>0.25</formula>
    </cfRule>
  </conditionalFormatting>
  <conditionalFormatting sqref="AI68:BN69">
    <cfRule type="cellIs" dxfId="17" priority="42" operator="greaterThan">
      <formula>1.535</formula>
    </cfRule>
    <cfRule type="cellIs" dxfId="16" priority="41" operator="lessThan">
      <formula>1.475</formula>
    </cfRule>
  </conditionalFormatting>
  <conditionalFormatting sqref="AI70:BN71">
    <cfRule type="cellIs" dxfId="15" priority="40" operator="greaterThan">
      <formula>14.03</formula>
    </cfRule>
    <cfRule type="cellIs" dxfId="14" priority="39" operator="lessThan">
      <formula>13.97</formula>
    </cfRule>
  </conditionalFormatting>
  <conditionalFormatting sqref="AI72:BN72 AI74:BN74 AI76:BN76 AI78:BN78">
    <cfRule type="cellIs" dxfId="13" priority="32" operator="greaterThan">
      <formula>-0.44</formula>
    </cfRule>
    <cfRule type="cellIs" dxfId="12" priority="31" operator="lessThan">
      <formula>-0.46</formula>
    </cfRule>
  </conditionalFormatting>
  <conditionalFormatting sqref="AI73:BN73 AI75:BN75">
    <cfRule type="cellIs" dxfId="11" priority="9" operator="greaterThan">
      <formula>0.01</formula>
    </cfRule>
    <cfRule type="cellIs" dxfId="10" priority="8" operator="lessThan">
      <formula>-0.01</formula>
    </cfRule>
  </conditionalFormatting>
  <conditionalFormatting sqref="AI73:BN73">
    <cfRule type="cellIs" dxfId="9" priority="16" operator="greaterThan">
      <formula>0.003</formula>
    </cfRule>
    <cfRule type="cellIs" dxfId="8" priority="15" operator="lessThan">
      <formula>-0.007</formula>
    </cfRule>
  </conditionalFormatting>
  <conditionalFormatting sqref="AI75:BN75">
    <cfRule type="cellIs" dxfId="7" priority="12" operator="greaterThan">
      <formula>0.003</formula>
    </cfRule>
    <cfRule type="cellIs" dxfId="6" priority="10" operator="lessThan">
      <formula>-0.007</formula>
    </cfRule>
  </conditionalFormatting>
  <conditionalFormatting sqref="AI77:BN77 AI79:BN79">
    <cfRule type="cellIs" dxfId="5" priority="1" operator="lessThan">
      <formula>-0.015</formula>
    </cfRule>
    <cfRule type="cellIs" dxfId="4" priority="2" operator="greaterThan">
      <formula>0.005</formula>
    </cfRule>
  </conditionalFormatting>
  <conditionalFormatting sqref="AI77:BN77">
    <cfRule type="cellIs" dxfId="3" priority="14" operator="greaterThan">
      <formula>0.002</formula>
    </cfRule>
    <cfRule type="cellIs" dxfId="2" priority="13" operator="lessThan">
      <formula>-0.012</formula>
    </cfRule>
  </conditionalFormatting>
  <conditionalFormatting sqref="AI79:BN79">
    <cfRule type="cellIs" dxfId="1" priority="7" operator="greaterThan">
      <formula>0.002</formula>
    </cfRule>
    <cfRule type="cellIs" dxfId="0" priority="5" operator="lessThan">
      <formula>-0.012</formula>
    </cfRule>
  </conditionalFormatting>
  <dataValidations disablePrompts="1" count="2">
    <dataValidation type="list" allowBlank="1" showInputMessage="1" showErrorMessage="1" sqref="H6:H18" xr:uid="{D0D35B03-A5E2-EC45-94CA-D3E54C8D3A23}">
      <formula1>insp_meth</formula1>
    </dataValidation>
    <dataValidation type="list" allowBlank="1" showInputMessage="1" showErrorMessage="1" sqref="I6:I18" xr:uid="{CECBB98B-4FFF-334A-869B-9A6F37D6ED56}">
      <formula1>gauging</formula1>
    </dataValidation>
  </dataValidations>
  <pageMargins left="0.75" right="0.75" top="1" bottom="1" header="0.5" footer="0.5"/>
  <pageSetup orientation="portrait" horizontalDpi="4294967292" verticalDpi="4294967292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62F7D-E159-D44F-8720-9F4278C60DF6}">
  <sheetPr codeName="Sheet5"/>
  <dimension ref="B2:R16"/>
  <sheetViews>
    <sheetView showGridLines="0" zoomScaleNormal="70" workbookViewId="0">
      <selection activeCell="D11" sqref="D11"/>
    </sheetView>
  </sheetViews>
  <sheetFormatPr defaultColWidth="11" defaultRowHeight="18"/>
  <cols>
    <col min="1" max="1" width="1.44140625" style="43" customWidth="1"/>
    <col min="2" max="2" width="7.44140625" style="43" customWidth="1"/>
    <col min="3" max="3" width="20.77734375" style="42" customWidth="1"/>
    <col min="4" max="5" width="30.77734375" style="43" customWidth="1"/>
    <col min="6" max="6" width="13" style="43" customWidth="1"/>
    <col min="7" max="7" width="13" style="42" customWidth="1"/>
    <col min="8" max="13" width="13" style="43" customWidth="1"/>
    <col min="14" max="14" width="60.77734375" style="44" customWidth="1"/>
    <col min="15" max="15" width="60.77734375" style="43" customWidth="1"/>
    <col min="16" max="18" width="29.77734375" style="43" customWidth="1"/>
    <col min="19" max="19" width="11" style="43"/>
    <col min="20" max="20" width="27.5546875" style="43" bestFit="1" customWidth="1"/>
    <col min="21" max="16384" width="11" style="43"/>
  </cols>
  <sheetData>
    <row r="2" spans="2:18" ht="40.15" customHeight="1">
      <c r="B2" s="40" t="s">
        <v>276</v>
      </c>
      <c r="C2" s="41"/>
      <c r="D2" s="41"/>
      <c r="E2" s="41"/>
      <c r="F2" s="41"/>
    </row>
    <row r="3" spans="2:18" ht="18" customHeight="1">
      <c r="B3" s="41"/>
      <c r="C3" s="41"/>
      <c r="D3" s="41"/>
      <c r="E3" s="41"/>
      <c r="F3" s="41"/>
    </row>
    <row r="4" spans="2:18" s="45" customFormat="1" ht="19.149999999999999" customHeight="1">
      <c r="B4" s="186" t="s">
        <v>277</v>
      </c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7" t="s">
        <v>18</v>
      </c>
      <c r="Q4" s="187"/>
      <c r="R4" s="187"/>
    </row>
    <row r="5" spans="2:18" s="47" customFormat="1" ht="19.899999999999999" customHeight="1">
      <c r="B5" s="185" t="s">
        <v>278</v>
      </c>
      <c r="C5" s="185" t="s">
        <v>279</v>
      </c>
      <c r="D5" s="185" t="s">
        <v>280</v>
      </c>
      <c r="E5" s="185" t="s">
        <v>281</v>
      </c>
      <c r="F5" s="185" t="s">
        <v>282</v>
      </c>
      <c r="G5" s="185"/>
      <c r="H5" s="185" t="s">
        <v>283</v>
      </c>
      <c r="I5" s="185"/>
      <c r="J5" s="185" t="s">
        <v>284</v>
      </c>
      <c r="K5" s="185"/>
      <c r="L5" s="185"/>
      <c r="M5" s="185"/>
      <c r="N5" s="185" t="s">
        <v>285</v>
      </c>
      <c r="O5" s="185" t="s">
        <v>286</v>
      </c>
      <c r="P5" s="185" t="s">
        <v>287</v>
      </c>
      <c r="Q5" s="185" t="s">
        <v>288</v>
      </c>
      <c r="R5" s="185" t="s">
        <v>289</v>
      </c>
    </row>
    <row r="6" spans="2:18" s="47" customFormat="1" ht="19.899999999999999" customHeight="1">
      <c r="B6" s="185"/>
      <c r="C6" s="185"/>
      <c r="D6" s="185"/>
      <c r="E6" s="185"/>
      <c r="F6" s="46" t="s">
        <v>290</v>
      </c>
      <c r="G6" s="46" t="s">
        <v>291</v>
      </c>
      <c r="H6" s="46" t="s">
        <v>292</v>
      </c>
      <c r="I6" s="46" t="s">
        <v>291</v>
      </c>
      <c r="J6" s="46" t="s">
        <v>293</v>
      </c>
      <c r="K6" s="46" t="s">
        <v>294</v>
      </c>
      <c r="L6" s="46" t="s">
        <v>295</v>
      </c>
      <c r="M6" s="46" t="s">
        <v>296</v>
      </c>
      <c r="N6" s="185"/>
      <c r="O6" s="185"/>
      <c r="P6" s="185"/>
      <c r="Q6" s="185"/>
      <c r="R6" s="185"/>
    </row>
    <row r="7" spans="2:18" s="45" customFormat="1" ht="40.15" customHeight="1">
      <c r="B7" s="48">
        <v>1</v>
      </c>
      <c r="C7" s="49"/>
      <c r="D7" s="49"/>
      <c r="E7" s="50"/>
      <c r="F7" s="51"/>
      <c r="G7" s="51"/>
      <c r="H7" s="52"/>
      <c r="I7" s="51"/>
      <c r="J7" s="51"/>
      <c r="K7" s="51"/>
      <c r="L7" s="51"/>
      <c r="M7" s="51"/>
      <c r="N7" s="53"/>
      <c r="O7" s="54"/>
      <c r="P7" s="55"/>
      <c r="Q7" s="55"/>
      <c r="R7" s="55"/>
    </row>
    <row r="8" spans="2:18" s="45" customFormat="1" ht="40.15" customHeight="1">
      <c r="B8" s="48">
        <v>2</v>
      </c>
      <c r="C8" s="49"/>
      <c r="D8" s="56"/>
      <c r="E8" s="50"/>
      <c r="F8" s="51"/>
      <c r="G8" s="51"/>
      <c r="H8" s="52"/>
      <c r="I8" s="51"/>
      <c r="J8" s="51"/>
      <c r="K8" s="51"/>
      <c r="L8" s="51"/>
      <c r="M8" s="51"/>
      <c r="N8" s="53"/>
      <c r="O8" s="57"/>
      <c r="P8" s="55"/>
      <c r="Q8" s="55"/>
      <c r="R8" s="55"/>
    </row>
    <row r="9" spans="2:18" s="45" customFormat="1" ht="40.15" customHeight="1">
      <c r="B9" s="48">
        <v>3</v>
      </c>
      <c r="C9" s="49"/>
      <c r="D9" s="56"/>
      <c r="E9" s="50"/>
      <c r="F9" s="51"/>
      <c r="G9" s="51"/>
      <c r="H9" s="52"/>
      <c r="I9" s="51"/>
      <c r="J9" s="51"/>
      <c r="K9" s="51"/>
      <c r="L9" s="51"/>
      <c r="M9" s="51"/>
      <c r="N9" s="53"/>
      <c r="O9" s="57"/>
      <c r="P9" s="55"/>
      <c r="Q9" s="55"/>
      <c r="R9" s="55"/>
    </row>
    <row r="10" spans="2:18" s="45" customFormat="1" ht="40.15" customHeight="1">
      <c r="B10" s="48">
        <v>4</v>
      </c>
      <c r="C10" s="49"/>
      <c r="D10" s="56"/>
      <c r="E10" s="50"/>
      <c r="F10" s="51"/>
      <c r="G10" s="51"/>
      <c r="H10" s="52"/>
      <c r="I10" s="51"/>
      <c r="J10" s="51"/>
      <c r="K10" s="51"/>
      <c r="L10" s="51"/>
      <c r="M10" s="51"/>
      <c r="N10" s="53"/>
      <c r="O10" s="57"/>
      <c r="P10" s="55"/>
      <c r="Q10" s="55"/>
      <c r="R10" s="55"/>
    </row>
    <row r="11" spans="2:18" s="45" customFormat="1" ht="40.15" customHeight="1">
      <c r="B11" s="48">
        <v>5</v>
      </c>
      <c r="C11" s="49"/>
      <c r="D11" s="56"/>
      <c r="E11" s="50"/>
      <c r="F11" s="51"/>
      <c r="G11" s="51"/>
      <c r="H11" s="52"/>
      <c r="I11" s="51"/>
      <c r="J11" s="51"/>
      <c r="K11" s="51"/>
      <c r="L11" s="51"/>
      <c r="M11" s="51"/>
      <c r="N11" s="53"/>
      <c r="O11" s="57"/>
      <c r="P11" s="55"/>
      <c r="Q11" s="55"/>
      <c r="R11" s="55"/>
    </row>
    <row r="12" spans="2:18" s="45" customFormat="1" ht="40.15" customHeight="1">
      <c r="B12" s="48">
        <v>6</v>
      </c>
      <c r="C12" s="49"/>
      <c r="D12" s="56"/>
      <c r="E12" s="50"/>
      <c r="F12" s="51"/>
      <c r="G12" s="51"/>
      <c r="H12" s="52"/>
      <c r="I12" s="51"/>
      <c r="J12" s="51"/>
      <c r="K12" s="51"/>
      <c r="L12" s="51"/>
      <c r="M12" s="51"/>
      <c r="N12" s="53"/>
      <c r="O12" s="57"/>
      <c r="P12" s="55"/>
      <c r="Q12" s="55"/>
      <c r="R12" s="55"/>
    </row>
    <row r="13" spans="2:18" s="45" customFormat="1" ht="40.15" customHeight="1">
      <c r="B13" s="48">
        <v>7</v>
      </c>
      <c r="C13" s="49"/>
      <c r="D13" s="56"/>
      <c r="E13" s="50"/>
      <c r="F13" s="51"/>
      <c r="G13" s="51"/>
      <c r="H13" s="52"/>
      <c r="I13" s="51"/>
      <c r="J13" s="51"/>
      <c r="K13" s="51"/>
      <c r="L13" s="51"/>
      <c r="M13" s="51"/>
      <c r="N13" s="53"/>
      <c r="O13" s="57"/>
      <c r="P13" s="55"/>
      <c r="Q13" s="55"/>
      <c r="R13" s="55"/>
    </row>
    <row r="14" spans="2:18" s="45" customFormat="1" ht="40.15" customHeight="1">
      <c r="B14" s="48">
        <v>8</v>
      </c>
      <c r="C14" s="49"/>
      <c r="D14" s="56"/>
      <c r="E14" s="50"/>
      <c r="F14" s="51"/>
      <c r="G14" s="51"/>
      <c r="H14" s="52"/>
      <c r="I14" s="51"/>
      <c r="J14" s="51"/>
      <c r="K14" s="51"/>
      <c r="L14" s="51"/>
      <c r="M14" s="51"/>
      <c r="N14" s="53"/>
      <c r="O14" s="57"/>
      <c r="P14" s="55"/>
      <c r="Q14" s="55"/>
      <c r="R14" s="55"/>
    </row>
    <row r="15" spans="2:18" s="45" customFormat="1" ht="40.15" customHeight="1">
      <c r="B15" s="48">
        <v>9</v>
      </c>
      <c r="C15" s="49"/>
      <c r="D15" s="56"/>
      <c r="E15" s="50"/>
      <c r="F15" s="51"/>
      <c r="G15" s="51"/>
      <c r="H15" s="52"/>
      <c r="I15" s="51"/>
      <c r="J15" s="51"/>
      <c r="K15" s="51"/>
      <c r="L15" s="51"/>
      <c r="M15" s="51"/>
      <c r="N15" s="53"/>
      <c r="O15" s="57"/>
      <c r="P15" s="55"/>
      <c r="Q15" s="55"/>
      <c r="R15" s="55"/>
    </row>
    <row r="16" spans="2:18" s="45" customFormat="1" ht="40.15" customHeight="1">
      <c r="B16" s="48">
        <v>10</v>
      </c>
      <c r="C16" s="49"/>
      <c r="D16" s="56"/>
      <c r="E16" s="50"/>
      <c r="F16" s="51"/>
      <c r="G16" s="51"/>
      <c r="H16" s="52"/>
      <c r="I16" s="51"/>
      <c r="J16" s="51"/>
      <c r="K16" s="51"/>
      <c r="L16" s="51"/>
      <c r="M16" s="51"/>
      <c r="N16" s="53"/>
      <c r="O16" s="57"/>
      <c r="P16" s="55"/>
      <c r="Q16" s="55"/>
      <c r="R16" s="55"/>
    </row>
  </sheetData>
  <mergeCells count="14">
    <mergeCell ref="O5:O6"/>
    <mergeCell ref="P5:P6"/>
    <mergeCell ref="Q5:Q6"/>
    <mergeCell ref="R5:R6"/>
    <mergeCell ref="B4:O4"/>
    <mergeCell ref="P4:R4"/>
    <mergeCell ref="B5:B6"/>
    <mergeCell ref="C5:C6"/>
    <mergeCell ref="D5:D6"/>
    <mergeCell ref="E5:E6"/>
    <mergeCell ref="F5:G5"/>
    <mergeCell ref="H5:I5"/>
    <mergeCell ref="J5:M5"/>
    <mergeCell ref="N5:N6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A05A2-73AF-344A-8002-15D3E99CBF25}">
  <sheetPr codeName="Sheet6"/>
  <dimension ref="B2:W207"/>
  <sheetViews>
    <sheetView showGridLines="0" topLeftCell="A4" zoomScale="85" zoomScaleNormal="70" workbookViewId="0">
      <selection activeCell="F17" sqref="F17"/>
    </sheetView>
  </sheetViews>
  <sheetFormatPr defaultColWidth="11" defaultRowHeight="18"/>
  <cols>
    <col min="1" max="1" width="1.44140625" style="43" customWidth="1"/>
    <col min="2" max="2" width="7.44140625" style="43" customWidth="1"/>
    <col min="3" max="3" width="15.77734375" style="42" customWidth="1"/>
    <col min="4" max="4" width="15.77734375" style="43" customWidth="1"/>
    <col min="5" max="6" width="30.77734375" style="43" customWidth="1"/>
    <col min="7" max="8" width="13" style="43" customWidth="1"/>
    <col min="9" max="9" width="13" style="42" customWidth="1"/>
    <col min="10" max="18" width="15.77734375" style="43" customWidth="1"/>
    <col min="19" max="19" width="60.77734375" style="44" customWidth="1"/>
    <col min="20" max="20" width="60.77734375" style="43" customWidth="1"/>
    <col min="21" max="23" width="29.77734375" style="43" hidden="1" customWidth="1"/>
    <col min="24" max="24" width="11" style="43"/>
    <col min="25" max="25" width="27.5546875" style="43" bestFit="1" customWidth="1"/>
    <col min="26" max="16384" width="11" style="43"/>
  </cols>
  <sheetData>
    <row r="2" spans="2:23" ht="40.15" customHeight="1">
      <c r="B2" s="40" t="s">
        <v>297</v>
      </c>
      <c r="C2" s="41"/>
      <c r="D2" s="41"/>
      <c r="E2" s="41"/>
      <c r="F2" s="41"/>
      <c r="G2" s="41"/>
      <c r="H2" s="41"/>
    </row>
    <row r="3" spans="2:23" ht="18" customHeight="1">
      <c r="B3" s="41"/>
      <c r="C3" s="41"/>
      <c r="D3" s="41"/>
      <c r="E3" s="41"/>
      <c r="F3" s="41"/>
      <c r="G3" s="41"/>
      <c r="H3" s="41"/>
    </row>
    <row r="4" spans="2:23" s="45" customFormat="1" ht="19.149999999999999" customHeight="1">
      <c r="B4" s="186" t="s">
        <v>277</v>
      </c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7" t="s">
        <v>18</v>
      </c>
      <c r="V4" s="187"/>
      <c r="W4" s="187"/>
    </row>
    <row r="5" spans="2:23" s="47" customFormat="1" ht="19.899999999999999" customHeight="1">
      <c r="B5" s="185" t="s">
        <v>278</v>
      </c>
      <c r="C5" s="185" t="s">
        <v>298</v>
      </c>
      <c r="D5" s="185" t="s">
        <v>299</v>
      </c>
      <c r="E5" s="185" t="s">
        <v>280</v>
      </c>
      <c r="F5" s="185" t="s">
        <v>300</v>
      </c>
      <c r="G5" s="185" t="s">
        <v>301</v>
      </c>
      <c r="H5" s="185"/>
      <c r="I5" s="185"/>
      <c r="J5" s="185" t="s">
        <v>205</v>
      </c>
      <c r="K5" s="185"/>
      <c r="L5" s="185"/>
      <c r="M5" s="185" t="s">
        <v>302</v>
      </c>
      <c r="N5" s="185"/>
      <c r="O5" s="185"/>
      <c r="P5" s="185"/>
      <c r="Q5" s="185"/>
      <c r="R5" s="185"/>
      <c r="S5" s="185" t="s">
        <v>285</v>
      </c>
      <c r="T5" s="185" t="s">
        <v>286</v>
      </c>
      <c r="U5" s="185" t="s">
        <v>287</v>
      </c>
      <c r="V5" s="185" t="s">
        <v>288</v>
      </c>
      <c r="W5" s="185" t="s">
        <v>289</v>
      </c>
    </row>
    <row r="6" spans="2:23" s="47" customFormat="1" ht="19.899999999999999" customHeight="1">
      <c r="B6" s="185"/>
      <c r="C6" s="185"/>
      <c r="D6" s="185"/>
      <c r="E6" s="185"/>
      <c r="F6" s="185"/>
      <c r="G6" s="46" t="s">
        <v>33</v>
      </c>
      <c r="H6" s="46" t="s">
        <v>303</v>
      </c>
      <c r="I6" s="46" t="s">
        <v>304</v>
      </c>
      <c r="J6" s="46" t="s">
        <v>199</v>
      </c>
      <c r="K6" s="46" t="s">
        <v>204</v>
      </c>
      <c r="L6" s="46" t="s">
        <v>305</v>
      </c>
      <c r="M6" s="46" t="s">
        <v>33</v>
      </c>
      <c r="N6" s="46" t="s">
        <v>303</v>
      </c>
      <c r="O6" s="46" t="s">
        <v>304</v>
      </c>
      <c r="P6" s="46" t="s">
        <v>199</v>
      </c>
      <c r="Q6" s="46" t="s">
        <v>204</v>
      </c>
      <c r="R6" s="46" t="s">
        <v>305</v>
      </c>
      <c r="S6" s="185"/>
      <c r="T6" s="185"/>
      <c r="U6" s="185"/>
      <c r="V6" s="185"/>
      <c r="W6" s="185"/>
    </row>
    <row r="7" spans="2:23" s="45" customFormat="1" ht="40.15" customHeight="1">
      <c r="B7" s="48">
        <v>1</v>
      </c>
      <c r="C7" s="49"/>
      <c r="D7" s="49"/>
      <c r="E7" s="49"/>
      <c r="F7" s="49"/>
      <c r="G7" s="58"/>
      <c r="H7" s="58"/>
      <c r="I7" s="58"/>
      <c r="J7" s="58"/>
      <c r="K7" s="58"/>
      <c r="L7" s="58"/>
      <c r="M7" s="51"/>
      <c r="N7" s="51"/>
      <c r="O7" s="51"/>
      <c r="P7" s="51"/>
      <c r="Q7" s="51"/>
      <c r="R7" s="51"/>
      <c r="S7" s="59"/>
      <c r="T7" s="57"/>
      <c r="U7" s="55"/>
      <c r="V7" s="55"/>
      <c r="W7" s="55"/>
    </row>
    <row r="8" spans="2:23" s="45" customFormat="1" ht="40.15" customHeight="1">
      <c r="B8" s="48">
        <v>2</v>
      </c>
      <c r="C8" s="49"/>
      <c r="D8" s="49"/>
      <c r="E8" s="49"/>
      <c r="F8" s="49"/>
      <c r="G8" s="58"/>
      <c r="H8" s="58"/>
      <c r="I8" s="58"/>
      <c r="J8" s="58"/>
      <c r="K8" s="58"/>
      <c r="L8" s="58"/>
      <c r="M8" s="51"/>
      <c r="N8" s="51"/>
      <c r="O8" s="51"/>
      <c r="P8" s="51"/>
      <c r="Q8" s="51"/>
      <c r="R8" s="51"/>
      <c r="S8" s="60"/>
      <c r="T8" s="57"/>
      <c r="U8" s="55"/>
      <c r="V8" s="55"/>
      <c r="W8" s="55"/>
    </row>
    <row r="9" spans="2:23" s="45" customFormat="1" ht="40.15" customHeight="1">
      <c r="B9" s="48">
        <v>3</v>
      </c>
      <c r="C9" s="49"/>
      <c r="D9" s="49"/>
      <c r="E9" s="49"/>
      <c r="F9" s="49"/>
      <c r="G9" s="56"/>
      <c r="H9" s="51"/>
      <c r="I9" s="51"/>
      <c r="J9" s="53"/>
      <c r="K9" s="57"/>
      <c r="L9" s="55"/>
      <c r="M9" s="55"/>
      <c r="N9" s="55"/>
      <c r="O9" s="55"/>
      <c r="P9" s="55"/>
      <c r="Q9" s="55"/>
      <c r="R9" s="55"/>
      <c r="S9" s="55"/>
      <c r="T9" s="55"/>
    </row>
    <row r="10" spans="2:23" s="45" customFormat="1" ht="40.15" customHeight="1">
      <c r="B10" s="48">
        <v>4</v>
      </c>
      <c r="C10" s="49"/>
      <c r="D10" s="49"/>
      <c r="E10" s="49"/>
      <c r="F10" s="49"/>
      <c r="G10" s="56"/>
      <c r="H10" s="51"/>
      <c r="I10" s="51"/>
      <c r="J10" s="53"/>
      <c r="K10" s="57"/>
      <c r="L10" s="55"/>
      <c r="M10" s="55"/>
      <c r="N10" s="55"/>
      <c r="O10" s="55"/>
      <c r="P10" s="55"/>
      <c r="Q10" s="55"/>
      <c r="R10" s="55"/>
      <c r="S10" s="55"/>
      <c r="T10" s="55"/>
    </row>
    <row r="11" spans="2:23" s="45" customFormat="1" ht="40.15" customHeight="1">
      <c r="B11" s="48">
        <v>5</v>
      </c>
      <c r="C11" s="49"/>
      <c r="D11" s="49"/>
      <c r="E11" s="49"/>
      <c r="F11" s="49"/>
      <c r="G11" s="56"/>
      <c r="H11" s="51"/>
      <c r="I11" s="51"/>
      <c r="J11" s="53"/>
      <c r="K11" s="57"/>
      <c r="L11" s="55"/>
      <c r="M11" s="55"/>
      <c r="N11" s="55"/>
      <c r="O11" s="55"/>
      <c r="P11" s="55"/>
      <c r="Q11" s="55"/>
      <c r="R11" s="55"/>
      <c r="S11" s="55"/>
      <c r="T11" s="55"/>
    </row>
    <row r="143" spans="11:14">
      <c r="K143" s="43">
        <v>2.3400000000000001E-2</v>
      </c>
      <c r="L143" s="43">
        <v>2.29E-2</v>
      </c>
      <c r="M143" s="43">
        <v>1.6299999999999999E-2</v>
      </c>
      <c r="N143" s="43">
        <v>2.1399999999999864E-2</v>
      </c>
    </row>
    <row r="144" spans="11:14">
      <c r="K144" s="43">
        <v>3.8043999999999998</v>
      </c>
      <c r="L144" s="43">
        <v>3.8050000000000002</v>
      </c>
      <c r="M144" s="43">
        <v>3.8065000000000002</v>
      </c>
      <c r="N144" s="43">
        <v>3.8069999999999999</v>
      </c>
    </row>
    <row r="145" spans="11:14">
      <c r="K145" s="43">
        <v>3.8022999999999998</v>
      </c>
      <c r="L145" s="43">
        <v>3.8048000000000002</v>
      </c>
      <c r="M145" s="43">
        <v>3.8027000000000002</v>
      </c>
      <c r="N145" s="43">
        <v>3.7972999999999999</v>
      </c>
    </row>
    <row r="146" spans="11:14">
      <c r="K146" s="43">
        <v>1.1999999999999999E-3</v>
      </c>
      <c r="L146" s="43">
        <v>1.8E-3</v>
      </c>
      <c r="M146" s="43">
        <v>1.1000000000000001E-3</v>
      </c>
      <c r="N146" s="43">
        <v>1.6000000000000001E-3</v>
      </c>
    </row>
    <row r="147" spans="11:14">
      <c r="K147" s="43">
        <v>3.8309000000000002</v>
      </c>
      <c r="L147" s="43">
        <v>3.8290000000000002</v>
      </c>
      <c r="M147" s="43">
        <v>3.8308</v>
      </c>
      <c r="N147" s="43">
        <v>3.8304999999999998</v>
      </c>
    </row>
    <row r="148" spans="11:14">
      <c r="K148" s="43">
        <v>3.8237000000000001</v>
      </c>
      <c r="L148" s="43">
        <v>3.8235999999999999</v>
      </c>
      <c r="M148" s="43">
        <v>3.8233999999999999</v>
      </c>
      <c r="N148" s="43">
        <v>3.8250000000000002</v>
      </c>
    </row>
    <row r="149" spans="11:14">
      <c r="K149" s="43">
        <v>3.7000000000000002E-3</v>
      </c>
      <c r="L149" s="43">
        <v>2.8E-3</v>
      </c>
      <c r="M149" s="43">
        <v>2.3E-3</v>
      </c>
      <c r="N149" s="43">
        <v>1.9E-3</v>
      </c>
    </row>
    <row r="150" spans="11:14">
      <c r="K150" s="43">
        <v>2.3E-3</v>
      </c>
      <c r="L150" s="43">
        <v>2E-3</v>
      </c>
      <c r="M150" s="43">
        <v>1.9E-3</v>
      </c>
      <c r="N150" s="43">
        <v>2.3E-3</v>
      </c>
    </row>
    <row r="151" spans="11:14">
      <c r="K151" s="43">
        <v>4.1000000000000003E-3</v>
      </c>
      <c r="L151" s="43">
        <v>3.3E-3</v>
      </c>
      <c r="M151" s="43">
        <v>4.0000000000000001E-3</v>
      </c>
      <c r="N151" s="43">
        <v>4.8999999999999998E-3</v>
      </c>
    </row>
    <row r="152" spans="11:14">
      <c r="K152" s="43">
        <v>1.9E-3</v>
      </c>
      <c r="L152" s="43">
        <v>2E-3</v>
      </c>
      <c r="M152" s="43">
        <v>2.3E-3</v>
      </c>
      <c r="N152" s="43">
        <v>1.6999999999999999E-3</v>
      </c>
    </row>
    <row r="153" spans="11:14">
      <c r="K153" s="43">
        <v>1.6000000000000001E-3</v>
      </c>
      <c r="L153" s="43">
        <v>1.6000000000000001E-3</v>
      </c>
      <c r="M153" s="43">
        <v>1.5E-3</v>
      </c>
      <c r="N153" s="43">
        <v>1.8E-3</v>
      </c>
    </row>
    <row r="154" spans="11:14">
      <c r="K154" s="43">
        <v>3.8999999999999998E-3</v>
      </c>
      <c r="L154" s="43">
        <v>3.2000000000000002E-3</v>
      </c>
      <c r="M154" s="43">
        <v>3.7000000000000002E-3</v>
      </c>
      <c r="N154" s="43">
        <v>3.8E-3</v>
      </c>
    </row>
    <row r="155" spans="11:14">
      <c r="K155" s="43">
        <v>8.5000000000000006E-3</v>
      </c>
      <c r="L155" s="43">
        <v>8.0999999999999996E-3</v>
      </c>
      <c r="M155" s="43">
        <v>8.0000000000000002E-3</v>
      </c>
      <c r="N155" s="43">
        <v>3.3999999999999998E-3</v>
      </c>
    </row>
    <row r="156" spans="11:14">
      <c r="K156" s="43">
        <v>1.8100000000000002E-2</v>
      </c>
      <c r="L156" s="43">
        <v>1.6899999999999998E-2</v>
      </c>
      <c r="M156" s="43">
        <v>1.7999999999999999E-2</v>
      </c>
      <c r="N156" s="43">
        <v>1.89E-2</v>
      </c>
    </row>
    <row r="157" spans="11:14">
      <c r="K157" s="43">
        <v>18.197800000000001</v>
      </c>
      <c r="L157" s="43">
        <v>18.203600000000002</v>
      </c>
      <c r="M157" s="43">
        <v>18.202000000000002</v>
      </c>
      <c r="N157" s="43">
        <v>18.2043</v>
      </c>
    </row>
    <row r="158" spans="11:14">
      <c r="K158" s="43">
        <v>18.195499999999999</v>
      </c>
      <c r="L158" s="43">
        <v>18.198699999999999</v>
      </c>
      <c r="M158" s="43">
        <v>18.1982</v>
      </c>
      <c r="N158" s="43">
        <v>18.199400000000001</v>
      </c>
    </row>
    <row r="159" spans="11:14">
      <c r="K159" s="43">
        <v>18.203800000000001</v>
      </c>
      <c r="L159" s="43">
        <v>18.204699999999999</v>
      </c>
      <c r="M159" s="43">
        <v>18.204599999999999</v>
      </c>
      <c r="N159" s="43">
        <v>18.207699999999999</v>
      </c>
    </row>
    <row r="160" spans="11:14">
      <c r="K160" s="43">
        <v>17.216000000000001</v>
      </c>
      <c r="L160" s="43">
        <v>17.2149</v>
      </c>
      <c r="M160" s="43">
        <v>17.213200000000001</v>
      </c>
      <c r="N160" s="43">
        <v>17.211500000000001</v>
      </c>
    </row>
    <row r="161" spans="11:14">
      <c r="K161" s="43">
        <v>14.5411</v>
      </c>
      <c r="L161" s="43">
        <v>14.541700000000001</v>
      </c>
      <c r="M161" s="43">
        <v>14.543200000000001</v>
      </c>
      <c r="N161" s="43">
        <v>14.5487</v>
      </c>
    </row>
    <row r="162" spans="11:14">
      <c r="K162" s="43">
        <v>3.8601999999999999</v>
      </c>
      <c r="L162" s="43">
        <v>3.8622999999999998</v>
      </c>
      <c r="M162" s="43">
        <v>3.8601000000000001</v>
      </c>
      <c r="N162" s="43">
        <v>3.8603000000000001</v>
      </c>
    </row>
    <row r="163" spans="11:14">
      <c r="K163" s="43">
        <v>7.7363999999999997</v>
      </c>
      <c r="L163" s="43">
        <v>7.7366999999999999</v>
      </c>
      <c r="M163" s="43">
        <v>7.7394999999999996</v>
      </c>
      <c r="N163" s="43">
        <v>7.7366000000000001</v>
      </c>
    </row>
    <row r="164" spans="11:14">
      <c r="K164" s="43">
        <v>7.7245999999999997</v>
      </c>
      <c r="L164" s="43">
        <v>7.7236000000000002</v>
      </c>
      <c r="M164" s="43">
        <v>7.7252999999999998</v>
      </c>
      <c r="N164" s="43">
        <v>7.7263000000000002</v>
      </c>
    </row>
    <row r="165" spans="11:14">
      <c r="K165" s="43">
        <v>9.0328999999999997</v>
      </c>
      <c r="L165" s="43">
        <v>9.0351999999999997</v>
      </c>
      <c r="M165" s="43">
        <v>9.0253999999999994</v>
      </c>
      <c r="N165" s="43">
        <v>9.0373999999999999</v>
      </c>
    </row>
    <row r="166" spans="11:14">
      <c r="K166" s="43">
        <v>22.351099999999999</v>
      </c>
      <c r="L166" s="43">
        <v>22.352799999999998</v>
      </c>
      <c r="M166" s="43">
        <v>22.3537</v>
      </c>
      <c r="N166" s="43">
        <v>22.365100000000002</v>
      </c>
    </row>
    <row r="167" spans="11:14">
      <c r="K167" s="43">
        <v>20.3459</v>
      </c>
      <c r="L167" s="43">
        <v>20.349699999999999</v>
      </c>
      <c r="M167" s="43">
        <v>20.345199999999998</v>
      </c>
      <c r="N167" s="43">
        <v>20.345800000000001</v>
      </c>
    </row>
    <row r="168" spans="11:14">
      <c r="K168" s="43">
        <v>21.7639</v>
      </c>
      <c r="L168" s="43">
        <v>21.763100000000001</v>
      </c>
      <c r="M168" s="43">
        <v>21.7637</v>
      </c>
      <c r="N168" s="43">
        <v>21.765999999999998</v>
      </c>
    </row>
    <row r="169" spans="11:14">
      <c r="K169" s="43">
        <v>7.8285</v>
      </c>
      <c r="L169" s="43">
        <v>7.8338999999999999</v>
      </c>
      <c r="M169" s="43">
        <v>7.8289999999999997</v>
      </c>
      <c r="N169" s="43">
        <v>7.8335999999999997</v>
      </c>
    </row>
    <row r="170" spans="11:14">
      <c r="K170" s="43">
        <v>7.8151000000000002</v>
      </c>
      <c r="L170" s="43">
        <v>7.8173000000000004</v>
      </c>
      <c r="M170" s="43">
        <v>7.8125999999999998</v>
      </c>
      <c r="N170" s="43">
        <v>7.8223000000000003</v>
      </c>
    </row>
    <row r="171" spans="11:14">
      <c r="K171" s="43">
        <v>21.118600000000001</v>
      </c>
      <c r="L171" s="43">
        <v>21.1264</v>
      </c>
      <c r="M171" s="43">
        <v>21.126899999999999</v>
      </c>
      <c r="N171" s="43">
        <v>21.134599999999999</v>
      </c>
    </row>
    <row r="172" spans="11:14">
      <c r="K172" s="43">
        <v>21.1295</v>
      </c>
      <c r="L172" s="43">
        <v>21.1295</v>
      </c>
      <c r="M172" s="43">
        <v>21.135100000000001</v>
      </c>
      <c r="N172" s="43">
        <v>21.133700000000001</v>
      </c>
    </row>
    <row r="173" spans="11:14">
      <c r="K173" s="43">
        <v>21.129100000000001</v>
      </c>
      <c r="L173" s="43">
        <v>21.128900000000002</v>
      </c>
      <c r="M173" s="43">
        <v>21.133099999999999</v>
      </c>
      <c r="N173" s="43">
        <v>21.128299999999999</v>
      </c>
    </row>
    <row r="174" spans="11:14">
      <c r="K174" s="43">
        <v>21.490200000000002</v>
      </c>
      <c r="L174" s="43">
        <v>21.495000000000001</v>
      </c>
      <c r="M174" s="43">
        <v>21.491399999999999</v>
      </c>
      <c r="N174" s="43">
        <v>21.490200000000002</v>
      </c>
    </row>
    <row r="175" spans="11:14">
      <c r="K175" s="43">
        <v>21.500399999999999</v>
      </c>
      <c r="L175" s="43">
        <v>21.504100000000001</v>
      </c>
      <c r="M175" s="43">
        <v>21.501000000000001</v>
      </c>
      <c r="N175" s="43">
        <v>21.506399999999999</v>
      </c>
    </row>
    <row r="176" spans="11:14">
      <c r="K176" s="43">
        <v>16.889800000000001</v>
      </c>
      <c r="L176" s="43">
        <v>16.8887</v>
      </c>
      <c r="M176" s="43">
        <v>16.888300000000001</v>
      </c>
      <c r="N176" s="43">
        <v>16.881699999999999</v>
      </c>
    </row>
    <row r="177" spans="11:14">
      <c r="K177" s="43">
        <v>16.883700000000001</v>
      </c>
      <c r="L177" s="43">
        <v>16.8843</v>
      </c>
      <c r="M177" s="43">
        <v>16.885400000000001</v>
      </c>
      <c r="N177" s="43">
        <v>16.8825</v>
      </c>
    </row>
    <row r="178" spans="11:14">
      <c r="K178" s="43">
        <v>16.8901</v>
      </c>
      <c r="L178" s="43">
        <v>16.892900000000001</v>
      </c>
      <c r="M178" s="43">
        <v>16.893000000000001</v>
      </c>
      <c r="N178" s="43">
        <v>16.893799999999999</v>
      </c>
    </row>
    <row r="179" spans="11:14">
      <c r="K179" s="43">
        <v>1.5369999999999999</v>
      </c>
      <c r="L179" s="43">
        <v>1.5390999999999999</v>
      </c>
      <c r="M179" s="43">
        <v>1.5366</v>
      </c>
      <c r="N179" s="43">
        <v>1.5319</v>
      </c>
    </row>
    <row r="180" spans="11:14">
      <c r="K180" s="43">
        <v>1.5287999999999999</v>
      </c>
      <c r="L180" s="43">
        <v>1.5324</v>
      </c>
      <c r="M180" s="43">
        <v>1.5294000000000001</v>
      </c>
      <c r="N180" s="43">
        <v>1.5378000000000001</v>
      </c>
    </row>
    <row r="181" spans="11:14">
      <c r="K181" s="43">
        <v>0.73799999999999999</v>
      </c>
      <c r="L181" s="43">
        <v>0.74129999999999996</v>
      </c>
      <c r="M181" s="43">
        <v>0.73870000000000002</v>
      </c>
      <c r="N181" s="43">
        <v>0.73460000000000003</v>
      </c>
    </row>
    <row r="182" spans="11:14">
      <c r="K182" s="43">
        <v>0.93440000000000001</v>
      </c>
      <c r="L182" s="43">
        <v>0.9355</v>
      </c>
      <c r="M182" s="43">
        <v>0.9345</v>
      </c>
      <c r="N182" s="43">
        <v>0.94310000000000005</v>
      </c>
    </row>
    <row r="183" spans="11:14">
      <c r="K183" s="43">
        <v>0.9304</v>
      </c>
      <c r="L183" s="43">
        <v>0.92859999999999998</v>
      </c>
      <c r="M183" s="43">
        <v>0.93100000000000005</v>
      </c>
      <c r="N183" s="43">
        <v>0.93159999999999998</v>
      </c>
    </row>
    <row r="184" spans="11:14">
      <c r="K184" s="43">
        <v>0.93</v>
      </c>
      <c r="L184" s="43">
        <v>0.92900000000000005</v>
      </c>
      <c r="M184" s="43">
        <v>0.93089999999999995</v>
      </c>
      <c r="N184" s="43">
        <v>0.93530000000000002</v>
      </c>
    </row>
    <row r="185" spans="11:14">
      <c r="K185" s="43">
        <v>0.93459999999999999</v>
      </c>
      <c r="L185" s="43">
        <v>0.93130000000000002</v>
      </c>
      <c r="M185" s="43">
        <v>0.93269999999999997</v>
      </c>
      <c r="N185" s="43">
        <v>0.93889999999999996</v>
      </c>
    </row>
    <row r="186" spans="11:14">
      <c r="K186" s="43">
        <v>0.93679999999999997</v>
      </c>
      <c r="L186" s="43">
        <v>0.93510000000000004</v>
      </c>
      <c r="M186" s="43">
        <v>0.93430000000000002</v>
      </c>
      <c r="N186" s="43">
        <v>0.94040000000000001</v>
      </c>
    </row>
    <row r="187" spans="11:14">
      <c r="K187" s="43">
        <v>16.815899999999999</v>
      </c>
      <c r="L187" s="43">
        <v>16.8157</v>
      </c>
      <c r="M187" s="43">
        <v>16.817</v>
      </c>
      <c r="N187" s="43">
        <v>16.815799999999999</v>
      </c>
    </row>
    <row r="188" spans="11:14">
      <c r="K188" s="43">
        <v>0.40550000000000003</v>
      </c>
      <c r="L188" s="43">
        <v>0.40579999999999999</v>
      </c>
      <c r="M188" s="43">
        <v>0.40479999999999999</v>
      </c>
      <c r="N188" s="43">
        <v>0.40649999999999997</v>
      </c>
    </row>
    <row r="189" spans="11:14">
      <c r="K189" s="43">
        <v>9.9000000000000008E-3</v>
      </c>
      <c r="L189" s="43">
        <v>1.04E-2</v>
      </c>
      <c r="M189" s="43">
        <v>2.4E-2</v>
      </c>
      <c r="N189" s="43">
        <v>1.34E-2</v>
      </c>
    </row>
    <row r="190" spans="11:14">
      <c r="K190" s="43">
        <v>14.1487</v>
      </c>
      <c r="L190" s="43">
        <v>14.1501</v>
      </c>
      <c r="M190" s="43">
        <v>14.148400000000001</v>
      </c>
      <c r="N190" s="43">
        <v>14.143599999999999</v>
      </c>
    </row>
    <row r="191" spans="11:14">
      <c r="K191" s="43">
        <v>4.4391999999999996</v>
      </c>
      <c r="L191" s="43">
        <v>4.4429999999999996</v>
      </c>
      <c r="M191" s="43">
        <v>4.4413999999999998</v>
      </c>
      <c r="N191" s="43">
        <v>4.4459999999999997</v>
      </c>
    </row>
    <row r="192" spans="11:14">
      <c r="K192" s="43">
        <v>18.284199999999998</v>
      </c>
      <c r="L192" s="43">
        <v>18.282800000000002</v>
      </c>
      <c r="M192" s="43">
        <v>18.282499999999999</v>
      </c>
      <c r="N192" s="43">
        <v>18.293600000000001</v>
      </c>
    </row>
    <row r="193" spans="11:14">
      <c r="K193" s="43">
        <v>4.3052999999999999</v>
      </c>
      <c r="L193" s="43">
        <v>4.3064999999999998</v>
      </c>
      <c r="M193" s="43">
        <v>4.3094999999999999</v>
      </c>
      <c r="N193" s="43">
        <v>4.3112000000000004</v>
      </c>
    </row>
    <row r="194" spans="11:14">
      <c r="K194" s="43">
        <v>4.3132999999999999</v>
      </c>
      <c r="L194" s="43">
        <v>4.3116000000000003</v>
      </c>
      <c r="M194" s="43">
        <v>4.3146000000000004</v>
      </c>
      <c r="N194" s="43">
        <v>4.3170000000000002</v>
      </c>
    </row>
    <row r="195" spans="11:14">
      <c r="K195" s="43">
        <v>4.3164999999999996</v>
      </c>
      <c r="L195" s="43">
        <v>4.3163</v>
      </c>
      <c r="M195" s="43">
        <v>4.3136999999999999</v>
      </c>
      <c r="N195" s="43">
        <v>4.3109999999999999</v>
      </c>
    </row>
    <row r="196" spans="11:14">
      <c r="K196" s="43">
        <v>4.3202999999999996</v>
      </c>
      <c r="L196" s="43">
        <v>4.3207000000000004</v>
      </c>
      <c r="M196" s="43">
        <v>4.3152999999999997</v>
      </c>
      <c r="N196" s="43">
        <v>4.3105000000000002</v>
      </c>
    </row>
    <row r="197" spans="11:14">
      <c r="K197" s="43">
        <v>4.3305999999999996</v>
      </c>
      <c r="L197" s="43">
        <v>4.3310000000000004</v>
      </c>
      <c r="M197" s="43">
        <v>4.3259999999999996</v>
      </c>
      <c r="N197" s="43">
        <v>4.3253000000000004</v>
      </c>
    </row>
    <row r="198" spans="11:14">
      <c r="K198" s="43">
        <v>4.3227000000000002</v>
      </c>
      <c r="L198" s="43">
        <v>4.3236999999999997</v>
      </c>
      <c r="M198" s="43">
        <v>4.3228</v>
      </c>
      <c r="N198" s="43">
        <v>4.3278999999999996</v>
      </c>
    </row>
    <row r="199" spans="11:14">
      <c r="K199" s="43">
        <v>0.2155</v>
      </c>
      <c r="L199" s="43">
        <v>0.21510000000000001</v>
      </c>
      <c r="M199" s="43">
        <v>0.21290000000000001</v>
      </c>
      <c r="N199" s="43">
        <v>0.20660000000000001</v>
      </c>
    </row>
    <row r="200" spans="11:14">
      <c r="K200" s="43">
        <v>21.387599999999999</v>
      </c>
      <c r="L200" s="43">
        <v>21.3857</v>
      </c>
      <c r="M200" s="43">
        <v>21.386700000000001</v>
      </c>
      <c r="N200" s="43">
        <v>21.3855</v>
      </c>
    </row>
    <row r="201" spans="11:14">
      <c r="K201" s="43">
        <v>3.9600000000000003E-2</v>
      </c>
      <c r="L201" s="43">
        <v>3.8199999999999998E-2</v>
      </c>
      <c r="M201" s="43">
        <v>4.0099999999999997E-2</v>
      </c>
      <c r="N201" s="43">
        <v>3.32E-2</v>
      </c>
    </row>
    <row r="202" spans="11:14">
      <c r="K202" s="43">
        <v>4.8399999999999999E-2</v>
      </c>
      <c r="L202" s="43">
        <v>4.2900000000000001E-2</v>
      </c>
      <c r="M202" s="43">
        <v>4.9000000000000002E-2</v>
      </c>
      <c r="N202" s="43">
        <v>4.6600000000000003E-2</v>
      </c>
    </row>
    <row r="203" spans="11:14">
      <c r="K203" s="43">
        <v>4.8500000000000001E-2</v>
      </c>
      <c r="L203" s="43">
        <v>4.5900000000000003E-2</v>
      </c>
      <c r="M203" s="43">
        <v>4.7E-2</v>
      </c>
      <c r="N203" s="43">
        <v>5.3100000000000001E-2</v>
      </c>
    </row>
    <row r="204" spans="11:14">
      <c r="K204" s="43">
        <v>4.3799999999999999E-2</v>
      </c>
      <c r="L204" s="43">
        <v>4.2999999999999997E-2</v>
      </c>
      <c r="M204" s="43">
        <v>4.1500000000000002E-2</v>
      </c>
      <c r="N204" s="43">
        <v>3.3399999999999999E-2</v>
      </c>
    </row>
    <row r="205" spans="11:14">
      <c r="K205" s="43">
        <v>5.3199999999999997E-2</v>
      </c>
      <c r="L205" s="43">
        <v>5.33E-2</v>
      </c>
      <c r="M205" s="43">
        <v>5.0900000000000001E-2</v>
      </c>
      <c r="N205" s="43">
        <v>4.6199999999999998E-2</v>
      </c>
    </row>
    <row r="206" spans="11:14">
      <c r="K206" s="43">
        <v>4.6899999999999997E-2</v>
      </c>
      <c r="L206" s="43">
        <v>4.7600000000000003E-2</v>
      </c>
      <c r="M206" s="43">
        <v>4.6600000000000003E-2</v>
      </c>
      <c r="N206" s="43">
        <v>5.0299999999999997E-2</v>
      </c>
    </row>
    <row r="207" spans="11:14">
      <c r="K207" s="43">
        <v>1.7894000000000001</v>
      </c>
      <c r="L207" s="43">
        <v>1.7887999999999999</v>
      </c>
      <c r="M207" s="43">
        <v>1.7878000000000001</v>
      </c>
      <c r="N207" s="43">
        <v>1.7855000000000001</v>
      </c>
    </row>
  </sheetData>
  <mergeCells count="15">
    <mergeCell ref="B4:T4"/>
    <mergeCell ref="U4:W4"/>
    <mergeCell ref="B5:B6"/>
    <mergeCell ref="C5:C6"/>
    <mergeCell ref="D5:D6"/>
    <mergeCell ref="E5:E6"/>
    <mergeCell ref="F5:F6"/>
    <mergeCell ref="G5:I5"/>
    <mergeCell ref="J5:L5"/>
    <mergeCell ref="M5:R5"/>
    <mergeCell ref="S5:S6"/>
    <mergeCell ref="T5:T6"/>
    <mergeCell ref="U5:U6"/>
    <mergeCell ref="V5:V6"/>
    <mergeCell ref="W5:W6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FE9E9-A250-9C4B-94F6-C7C3F0D0EFD3}">
  <sheetPr codeName="Sheet7"/>
  <dimension ref="B2:W16"/>
  <sheetViews>
    <sheetView showGridLines="0" zoomScaleNormal="100" workbookViewId="0">
      <selection activeCell="E9" sqref="E9"/>
    </sheetView>
  </sheetViews>
  <sheetFormatPr defaultColWidth="11" defaultRowHeight="18"/>
  <cols>
    <col min="1" max="1" width="1.44140625" style="43" customWidth="1"/>
    <col min="2" max="2" width="7.44140625" style="43" customWidth="1"/>
    <col min="3" max="3" width="15.77734375" style="42" customWidth="1"/>
    <col min="4" max="4" width="15.77734375" style="43" customWidth="1"/>
    <col min="5" max="6" width="30.77734375" style="43" customWidth="1"/>
    <col min="7" max="8" width="13" style="43" customWidth="1"/>
    <col min="9" max="9" width="13" style="42" customWidth="1"/>
    <col min="10" max="18" width="15.77734375" style="43" customWidth="1"/>
    <col min="19" max="19" width="60.77734375" style="44" customWidth="1"/>
    <col min="20" max="20" width="60.77734375" style="43" customWidth="1"/>
    <col min="21" max="23" width="29.77734375" style="43" customWidth="1"/>
    <col min="24" max="24" width="11" style="43"/>
    <col min="25" max="25" width="27.5546875" style="43" bestFit="1" customWidth="1"/>
    <col min="26" max="16384" width="11" style="43"/>
  </cols>
  <sheetData>
    <row r="2" spans="2:23" ht="40.15" customHeight="1">
      <c r="B2" s="40" t="s">
        <v>306</v>
      </c>
      <c r="C2" s="41"/>
      <c r="D2" s="41"/>
      <c r="E2" s="41"/>
      <c r="F2" s="41"/>
      <c r="G2" s="41"/>
      <c r="H2" s="41"/>
    </row>
    <row r="3" spans="2:23" ht="18" customHeight="1">
      <c r="B3" s="41"/>
      <c r="C3" s="41"/>
      <c r="D3" s="41"/>
      <c r="E3" s="41"/>
      <c r="F3" s="41"/>
      <c r="G3" s="41"/>
      <c r="H3" s="41"/>
    </row>
    <row r="4" spans="2:23" s="45" customFormat="1" ht="19.149999999999999" customHeight="1">
      <c r="B4" s="186" t="s">
        <v>277</v>
      </c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7" t="s">
        <v>18</v>
      </c>
      <c r="V4" s="187"/>
      <c r="W4" s="187"/>
    </row>
    <row r="5" spans="2:23" s="47" customFormat="1" ht="19.899999999999999" customHeight="1">
      <c r="B5" s="185" t="s">
        <v>278</v>
      </c>
      <c r="C5" s="188" t="s">
        <v>298</v>
      </c>
      <c r="D5" s="188" t="s">
        <v>299</v>
      </c>
      <c r="E5" s="185" t="s">
        <v>280</v>
      </c>
      <c r="F5" s="185" t="s">
        <v>36</v>
      </c>
      <c r="G5" s="185" t="s">
        <v>301</v>
      </c>
      <c r="H5" s="185"/>
      <c r="I5" s="185"/>
      <c r="J5" s="185" t="s">
        <v>205</v>
      </c>
      <c r="K5" s="185"/>
      <c r="L5" s="185"/>
      <c r="M5" s="185" t="s">
        <v>302</v>
      </c>
      <c r="N5" s="185"/>
      <c r="O5" s="185"/>
      <c r="P5" s="185"/>
      <c r="Q5" s="185"/>
      <c r="R5" s="185"/>
      <c r="S5" s="185" t="s">
        <v>285</v>
      </c>
      <c r="T5" s="185" t="s">
        <v>286</v>
      </c>
      <c r="U5" s="185" t="s">
        <v>287</v>
      </c>
      <c r="V5" s="185" t="s">
        <v>288</v>
      </c>
      <c r="W5" s="185" t="s">
        <v>289</v>
      </c>
    </row>
    <row r="6" spans="2:23" s="47" customFormat="1" ht="19.899999999999999" customHeight="1">
      <c r="B6" s="185"/>
      <c r="C6" s="189"/>
      <c r="D6" s="189"/>
      <c r="E6" s="185"/>
      <c r="F6" s="185"/>
      <c r="G6" s="46" t="s">
        <v>33</v>
      </c>
      <c r="H6" s="46" t="s">
        <v>303</v>
      </c>
      <c r="I6" s="46" t="s">
        <v>304</v>
      </c>
      <c r="J6" s="46" t="s">
        <v>199</v>
      </c>
      <c r="K6" s="46" t="s">
        <v>204</v>
      </c>
      <c r="L6" s="46" t="s">
        <v>305</v>
      </c>
      <c r="M6" s="46" t="s">
        <v>33</v>
      </c>
      <c r="N6" s="46" t="s">
        <v>303</v>
      </c>
      <c r="O6" s="46" t="s">
        <v>304</v>
      </c>
      <c r="P6" s="46" t="s">
        <v>199</v>
      </c>
      <c r="Q6" s="46" t="s">
        <v>204</v>
      </c>
      <c r="R6" s="46" t="s">
        <v>305</v>
      </c>
      <c r="S6" s="185"/>
      <c r="T6" s="185"/>
      <c r="U6" s="185"/>
      <c r="V6" s="185"/>
      <c r="W6" s="185"/>
    </row>
    <row r="7" spans="2:23" s="45" customFormat="1" ht="40.15" customHeight="1">
      <c r="B7" s="48">
        <v>1</v>
      </c>
      <c r="C7" s="49"/>
      <c r="D7" s="56"/>
      <c r="E7" s="50"/>
      <c r="F7" s="50"/>
      <c r="G7" s="51"/>
      <c r="H7" s="51"/>
      <c r="I7" s="51"/>
      <c r="J7" s="52"/>
      <c r="K7" s="52"/>
      <c r="L7" s="51"/>
      <c r="M7" s="51"/>
      <c r="N7" s="51"/>
      <c r="O7" s="51"/>
      <c r="P7" s="51"/>
      <c r="Q7" s="51"/>
      <c r="R7" s="51"/>
      <c r="S7" s="53"/>
      <c r="T7" s="57"/>
      <c r="U7" s="55"/>
      <c r="V7" s="55"/>
      <c r="W7" s="55"/>
    </row>
    <row r="8" spans="2:23" s="45" customFormat="1" ht="40.15" customHeight="1">
      <c r="B8" s="48">
        <v>2</v>
      </c>
      <c r="C8" s="49"/>
      <c r="D8" s="56"/>
      <c r="E8" s="50"/>
      <c r="F8" s="50"/>
      <c r="G8" s="51"/>
      <c r="H8" s="51"/>
      <c r="I8" s="51"/>
      <c r="J8" s="52"/>
      <c r="K8" s="52"/>
      <c r="L8" s="51"/>
      <c r="M8" s="51"/>
      <c r="N8" s="51"/>
      <c r="O8" s="51"/>
      <c r="P8" s="51"/>
      <c r="Q8" s="51"/>
      <c r="R8" s="51"/>
      <c r="S8" s="53"/>
      <c r="T8" s="57"/>
      <c r="U8" s="55"/>
      <c r="V8" s="55"/>
      <c r="W8" s="55"/>
    </row>
    <row r="9" spans="2:23" s="45" customFormat="1" ht="40.15" customHeight="1">
      <c r="B9" s="48">
        <v>3</v>
      </c>
      <c r="C9" s="49"/>
      <c r="D9" s="56"/>
      <c r="E9" s="50"/>
      <c r="F9" s="50"/>
      <c r="G9" s="51"/>
      <c r="H9" s="51"/>
      <c r="I9" s="51"/>
      <c r="J9" s="52"/>
      <c r="K9" s="52"/>
      <c r="L9" s="51"/>
      <c r="M9" s="51"/>
      <c r="N9" s="51"/>
      <c r="O9" s="51"/>
      <c r="P9" s="51"/>
      <c r="Q9" s="51"/>
      <c r="R9" s="51"/>
      <c r="S9" s="53"/>
      <c r="T9" s="57"/>
      <c r="U9" s="55"/>
      <c r="V9" s="55"/>
      <c r="W9" s="55"/>
    </row>
    <row r="10" spans="2:23" s="45" customFormat="1" ht="40.15" customHeight="1">
      <c r="B10" s="48">
        <v>4</v>
      </c>
      <c r="C10" s="49"/>
      <c r="D10" s="56"/>
      <c r="E10" s="50"/>
      <c r="F10" s="50"/>
      <c r="G10" s="51"/>
      <c r="H10" s="51"/>
      <c r="I10" s="51"/>
      <c r="J10" s="52"/>
      <c r="K10" s="52"/>
      <c r="L10" s="51"/>
      <c r="M10" s="51"/>
      <c r="N10" s="51"/>
      <c r="O10" s="51"/>
      <c r="P10" s="51"/>
      <c r="Q10" s="51"/>
      <c r="R10" s="51"/>
      <c r="S10" s="53"/>
      <c r="T10" s="57"/>
      <c r="U10" s="55"/>
      <c r="V10" s="55"/>
      <c r="W10" s="55"/>
    </row>
    <row r="11" spans="2:23" s="45" customFormat="1" ht="40.15" customHeight="1">
      <c r="B11" s="48">
        <v>5</v>
      </c>
      <c r="C11" s="49"/>
      <c r="D11" s="56"/>
      <c r="E11" s="50"/>
      <c r="F11" s="50"/>
      <c r="G11" s="51"/>
      <c r="H11" s="51"/>
      <c r="I11" s="51"/>
      <c r="J11" s="52"/>
      <c r="K11" s="52"/>
      <c r="L11" s="51"/>
      <c r="M11" s="51"/>
      <c r="N11" s="51"/>
      <c r="O11" s="51"/>
      <c r="P11" s="51"/>
      <c r="Q11" s="51"/>
      <c r="R11" s="51"/>
      <c r="S11" s="53"/>
      <c r="T11" s="57"/>
      <c r="U11" s="55"/>
      <c r="V11" s="55"/>
      <c r="W11" s="55"/>
    </row>
    <row r="12" spans="2:23" s="45" customFormat="1" ht="40.15" customHeight="1">
      <c r="B12" s="48">
        <v>6</v>
      </c>
      <c r="C12" s="49"/>
      <c r="D12" s="56"/>
      <c r="E12" s="50"/>
      <c r="F12" s="50"/>
      <c r="G12" s="51"/>
      <c r="H12" s="51"/>
      <c r="I12" s="51"/>
      <c r="J12" s="52"/>
      <c r="K12" s="52"/>
      <c r="L12" s="51"/>
      <c r="M12" s="51"/>
      <c r="N12" s="51"/>
      <c r="O12" s="51"/>
      <c r="P12" s="51"/>
      <c r="Q12" s="51"/>
      <c r="R12" s="51"/>
      <c r="S12" s="53"/>
      <c r="T12" s="57"/>
      <c r="U12" s="55"/>
      <c r="V12" s="55"/>
      <c r="W12" s="55"/>
    </row>
    <row r="13" spans="2:23" s="45" customFormat="1" ht="40.15" customHeight="1">
      <c r="B13" s="48">
        <v>7</v>
      </c>
      <c r="C13" s="49"/>
      <c r="D13" s="56"/>
      <c r="E13" s="50"/>
      <c r="F13" s="50"/>
      <c r="G13" s="51"/>
      <c r="H13" s="51"/>
      <c r="I13" s="51"/>
      <c r="J13" s="52"/>
      <c r="K13" s="52"/>
      <c r="L13" s="51"/>
      <c r="M13" s="51"/>
      <c r="N13" s="51"/>
      <c r="O13" s="51"/>
      <c r="P13" s="51"/>
      <c r="Q13" s="51"/>
      <c r="R13" s="51"/>
      <c r="S13" s="53"/>
      <c r="T13" s="57"/>
      <c r="U13" s="55"/>
      <c r="V13" s="55"/>
      <c r="W13" s="55"/>
    </row>
    <row r="14" spans="2:23" s="45" customFormat="1" ht="40.15" customHeight="1">
      <c r="B14" s="48">
        <v>8</v>
      </c>
      <c r="C14" s="49"/>
      <c r="D14" s="56"/>
      <c r="E14" s="50"/>
      <c r="F14" s="50"/>
      <c r="G14" s="51"/>
      <c r="H14" s="51"/>
      <c r="I14" s="51"/>
      <c r="J14" s="52"/>
      <c r="K14" s="52"/>
      <c r="L14" s="51"/>
      <c r="M14" s="51"/>
      <c r="N14" s="51"/>
      <c r="O14" s="51"/>
      <c r="P14" s="51"/>
      <c r="Q14" s="51"/>
      <c r="R14" s="51"/>
      <c r="S14" s="53"/>
      <c r="T14" s="57"/>
      <c r="U14" s="55"/>
      <c r="V14" s="55"/>
      <c r="W14" s="55"/>
    </row>
    <row r="15" spans="2:23" s="45" customFormat="1" ht="40.15" customHeight="1">
      <c r="B15" s="48">
        <v>9</v>
      </c>
      <c r="C15" s="49"/>
      <c r="D15" s="56"/>
      <c r="E15" s="50"/>
      <c r="F15" s="50"/>
      <c r="G15" s="51"/>
      <c r="H15" s="51"/>
      <c r="I15" s="51"/>
      <c r="J15" s="52"/>
      <c r="K15" s="52"/>
      <c r="L15" s="51"/>
      <c r="M15" s="51"/>
      <c r="N15" s="51"/>
      <c r="O15" s="51"/>
      <c r="P15" s="51"/>
      <c r="Q15" s="51"/>
      <c r="R15" s="51"/>
      <c r="S15" s="53"/>
      <c r="T15" s="57"/>
      <c r="U15" s="55"/>
      <c r="V15" s="55"/>
      <c r="W15" s="55"/>
    </row>
    <row r="16" spans="2:23" s="45" customFormat="1" ht="40.15" customHeight="1">
      <c r="B16" s="48">
        <v>10</v>
      </c>
      <c r="C16" s="49"/>
      <c r="D16" s="56"/>
      <c r="E16" s="50"/>
      <c r="F16" s="50"/>
      <c r="G16" s="51"/>
      <c r="H16" s="51"/>
      <c r="I16" s="51"/>
      <c r="J16" s="52"/>
      <c r="K16" s="52"/>
      <c r="L16" s="51"/>
      <c r="M16" s="51"/>
      <c r="N16" s="51"/>
      <c r="O16" s="51"/>
      <c r="P16" s="51"/>
      <c r="Q16" s="51"/>
      <c r="R16" s="51"/>
      <c r="S16" s="53"/>
      <c r="T16" s="57"/>
      <c r="U16" s="55"/>
      <c r="V16" s="55"/>
      <c r="W16" s="55"/>
    </row>
  </sheetData>
  <mergeCells count="15">
    <mergeCell ref="B4:T4"/>
    <mergeCell ref="U4:W4"/>
    <mergeCell ref="B5:B6"/>
    <mergeCell ref="C5:C6"/>
    <mergeCell ref="D5:D6"/>
    <mergeCell ref="E5:E6"/>
    <mergeCell ref="F5:F6"/>
    <mergeCell ref="G5:I5"/>
    <mergeCell ref="J5:L5"/>
    <mergeCell ref="M5:R5"/>
    <mergeCell ref="S5:S6"/>
    <mergeCell ref="T5:T6"/>
    <mergeCell ref="U5:U6"/>
    <mergeCell ref="V5:V6"/>
    <mergeCell ref="W5:W6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72B99-F1B0-3D4A-93CA-F02494518775}">
  <sheetPr codeName="Sheet8"/>
  <dimension ref="B2:N10"/>
  <sheetViews>
    <sheetView showGridLines="0" zoomScaleNormal="100" workbookViewId="0">
      <selection activeCell="J126" sqref="J126"/>
    </sheetView>
  </sheetViews>
  <sheetFormatPr defaultColWidth="11" defaultRowHeight="18"/>
  <cols>
    <col min="1" max="1" width="1.44140625" style="43" customWidth="1"/>
    <col min="2" max="2" width="7.44140625" style="43" customWidth="1"/>
    <col min="3" max="6" width="30.77734375" style="42" customWidth="1"/>
    <col min="7" max="7" width="30.77734375" style="43" customWidth="1"/>
    <col min="8" max="9" width="20.77734375" style="43" customWidth="1"/>
    <col min="10" max="10" width="60.77734375" style="44" customWidth="1"/>
    <col min="11" max="11" width="60.77734375" style="43" customWidth="1"/>
    <col min="12" max="14" width="29.77734375" style="43" customWidth="1"/>
    <col min="15" max="15" width="11" style="43"/>
    <col min="16" max="16" width="27.5546875" style="43" bestFit="1" customWidth="1"/>
    <col min="17" max="16384" width="11" style="43"/>
  </cols>
  <sheetData>
    <row r="2" spans="2:14" ht="40.15" customHeight="1">
      <c r="B2" s="40" t="s">
        <v>307</v>
      </c>
      <c r="C2" s="41"/>
      <c r="D2" s="41"/>
      <c r="E2" s="41"/>
      <c r="F2" s="41"/>
      <c r="G2" s="41"/>
      <c r="H2" s="41"/>
    </row>
    <row r="3" spans="2:14" ht="18" customHeight="1">
      <c r="B3" s="41"/>
      <c r="C3" s="41"/>
      <c r="D3" s="41"/>
      <c r="E3" s="41"/>
      <c r="F3" s="41"/>
      <c r="G3" s="41"/>
      <c r="H3" s="41"/>
    </row>
    <row r="4" spans="2:14" s="45" customFormat="1" ht="19.149999999999999" customHeight="1">
      <c r="B4" s="186" t="s">
        <v>277</v>
      </c>
      <c r="C4" s="186"/>
      <c r="D4" s="186"/>
      <c r="E4" s="186"/>
      <c r="F4" s="186"/>
      <c r="G4" s="186"/>
      <c r="H4" s="186"/>
      <c r="I4" s="186"/>
      <c r="J4" s="186"/>
      <c r="K4" s="186"/>
      <c r="L4" s="187" t="s">
        <v>18</v>
      </c>
      <c r="M4" s="187"/>
      <c r="N4" s="187"/>
    </row>
    <row r="5" spans="2:14" s="47" customFormat="1" ht="19.899999999999999" customHeight="1">
      <c r="B5" s="46" t="s">
        <v>278</v>
      </c>
      <c r="C5" s="61" t="s">
        <v>308</v>
      </c>
      <c r="D5" s="61" t="s">
        <v>309</v>
      </c>
      <c r="E5" s="61" t="s">
        <v>310</v>
      </c>
      <c r="F5" s="61" t="s">
        <v>311</v>
      </c>
      <c r="G5" s="61" t="s">
        <v>312</v>
      </c>
      <c r="H5" s="46" t="s">
        <v>301</v>
      </c>
      <c r="I5" s="46" t="s">
        <v>302</v>
      </c>
      <c r="J5" s="61" t="s">
        <v>285</v>
      </c>
      <c r="K5" s="61" t="s">
        <v>286</v>
      </c>
      <c r="L5" s="61" t="s">
        <v>287</v>
      </c>
      <c r="M5" s="61" t="s">
        <v>288</v>
      </c>
      <c r="N5" s="61" t="s">
        <v>289</v>
      </c>
    </row>
    <row r="6" spans="2:14" s="45" customFormat="1" ht="40.15" customHeight="1">
      <c r="B6" s="48">
        <v>1</v>
      </c>
      <c r="C6" s="62"/>
      <c r="D6" s="62"/>
      <c r="E6" s="62"/>
      <c r="F6" s="62"/>
      <c r="G6" s="56"/>
      <c r="H6" s="51"/>
      <c r="I6" s="51"/>
      <c r="J6" s="53"/>
      <c r="K6" s="57"/>
      <c r="L6" s="55"/>
      <c r="M6" s="55"/>
      <c r="N6" s="55"/>
    </row>
    <row r="7" spans="2:14" s="45" customFormat="1" ht="40.15" customHeight="1">
      <c r="B7" s="48">
        <v>2</v>
      </c>
      <c r="C7" s="49"/>
      <c r="D7" s="49"/>
      <c r="E7" s="49"/>
      <c r="F7" s="49"/>
      <c r="G7" s="56"/>
      <c r="H7" s="51"/>
      <c r="I7" s="51"/>
      <c r="J7" s="53"/>
      <c r="K7" s="57"/>
      <c r="L7" s="55"/>
      <c r="M7" s="55"/>
      <c r="N7" s="55"/>
    </row>
    <row r="8" spans="2:14" s="45" customFormat="1" ht="40.15" customHeight="1">
      <c r="B8" s="48">
        <v>3</v>
      </c>
      <c r="C8" s="49"/>
      <c r="D8" s="49"/>
      <c r="E8" s="49"/>
      <c r="F8" s="49"/>
      <c r="G8" s="56"/>
      <c r="H8" s="51"/>
      <c r="I8" s="51"/>
      <c r="J8" s="53"/>
      <c r="K8" s="57"/>
      <c r="L8" s="55"/>
      <c r="M8" s="55"/>
      <c r="N8" s="55"/>
    </row>
    <row r="9" spans="2:14" s="45" customFormat="1" ht="40.15" customHeight="1">
      <c r="B9" s="48">
        <v>4</v>
      </c>
      <c r="C9" s="49"/>
      <c r="D9" s="49"/>
      <c r="E9" s="49"/>
      <c r="F9" s="49"/>
      <c r="G9" s="56"/>
      <c r="H9" s="51"/>
      <c r="I9" s="51"/>
      <c r="J9" s="53"/>
      <c r="K9" s="57"/>
      <c r="L9" s="55"/>
      <c r="M9" s="55"/>
      <c r="N9" s="55"/>
    </row>
    <row r="10" spans="2:14" s="45" customFormat="1" ht="40.15" customHeight="1">
      <c r="B10" s="48">
        <v>5</v>
      </c>
      <c r="C10" s="49"/>
      <c r="D10" s="49"/>
      <c r="E10" s="49"/>
      <c r="F10" s="49"/>
      <c r="G10" s="56"/>
      <c r="H10" s="51"/>
      <c r="I10" s="51"/>
      <c r="J10" s="53"/>
      <c r="K10" s="57"/>
      <c r="L10" s="55"/>
      <c r="M10" s="55"/>
      <c r="N10" s="55"/>
    </row>
  </sheetData>
  <mergeCells count="2">
    <mergeCell ref="B4:K4"/>
    <mergeCell ref="L4:N4"/>
  </mergeCells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B237-4A21-6E4A-B552-C2219C86357A}">
  <sheetPr codeName="Sheet9"/>
  <dimension ref="B2:E3"/>
  <sheetViews>
    <sheetView showGridLines="0" workbookViewId="0">
      <selection activeCell="J126" sqref="J126"/>
    </sheetView>
  </sheetViews>
  <sheetFormatPr defaultColWidth="11.5546875" defaultRowHeight="17.25"/>
  <cols>
    <col min="1" max="1" width="1.77734375" customWidth="1"/>
    <col min="2" max="4" width="15.77734375" customWidth="1"/>
    <col min="5" max="5" width="90.77734375" customWidth="1"/>
  </cols>
  <sheetData>
    <row r="2" spans="2:5">
      <c r="B2" s="63" t="s">
        <v>313</v>
      </c>
      <c r="C2" s="63" t="s">
        <v>314</v>
      </c>
      <c r="D2" s="63" t="s">
        <v>315</v>
      </c>
      <c r="E2" s="63" t="s">
        <v>316</v>
      </c>
    </row>
    <row r="3" spans="2:5">
      <c r="B3" s="64">
        <v>1</v>
      </c>
      <c r="C3" s="65">
        <v>43315</v>
      </c>
      <c r="D3" s="66" t="s">
        <v>317</v>
      </c>
      <c r="E3" s="67" t="s">
        <v>318</v>
      </c>
    </row>
  </sheetData>
  <phoneticPr fontId="1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Waiver Summary</vt:lpstr>
      <vt:lpstr>Shipping Lot List</vt:lpstr>
      <vt:lpstr>FAI</vt:lpstr>
      <vt:lpstr>SPC</vt:lpstr>
      <vt:lpstr>Cosmetic Waivers</vt:lpstr>
      <vt:lpstr>Dimensional Waivers</vt:lpstr>
      <vt:lpstr>Functional Waivers</vt:lpstr>
      <vt:lpstr>Reliability Waivers</vt:lpstr>
      <vt:lpstr>Rev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Winter Test</cp:lastModifiedBy>
  <dcterms:created xsi:type="dcterms:W3CDTF">2018-08-03T17:39:04Z</dcterms:created>
  <dcterms:modified xsi:type="dcterms:W3CDTF">2025-04-22T00:20:10Z</dcterms:modified>
</cp:coreProperties>
</file>