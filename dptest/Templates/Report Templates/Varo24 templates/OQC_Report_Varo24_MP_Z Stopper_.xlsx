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Winter Test\Desktop\Report Maker\Complete\성적서 양식\Varo24 양식\"/>
    </mc:Choice>
  </mc:AlternateContent>
  <xr:revisionPtr revIDLastSave="0" documentId="13_ncr:1_{0F93858D-0E2A-4245-AEEE-760BA5D0209E}" xr6:coauthVersionLast="47" xr6:coauthVersionMax="47" xr10:uidLastSave="{00000000-0000-0000-0000-000000000000}"/>
  <bookViews>
    <workbookView xWindow="-120" yWindow="480" windowWidth="29040" windowHeight="15840" activeTab="3" xr2:uid="{558B7DC1-779D-BB42-B43A-ED7A08375808}"/>
  </bookViews>
  <sheets>
    <sheet name="Waiver Summary" sheetId="5" r:id="rId1"/>
    <sheet name="Shipping Lot List" sheetId="12" r:id="rId2"/>
    <sheet name="FAI" sheetId="13" r:id="rId3"/>
    <sheet name="SPC" sheetId="14" r:id="rId4"/>
    <sheet name="Cosmetic Waivers" sheetId="15" r:id="rId5"/>
    <sheet name="Dimensional Waivers" sheetId="16" r:id="rId6"/>
    <sheet name="Functional Waivers" sheetId="17" r:id="rId7"/>
    <sheet name="Reliability Waivers" sheetId="18" r:id="rId8"/>
    <sheet name="Rev History" sheetId="19" r:id="rId9"/>
  </sheets>
  <definedNames>
    <definedName name="________XG2" hidden="1">{#N/A,#N/A,FALSE,"단축1";#N/A,#N/A,FALSE,"단축2";#N/A,#N/A,FALSE,"단축3";#N/A,#N/A,FALSE,"장축";#N/A,#N/A,FALSE,"4WD"}</definedName>
    <definedName name="______AS6" hidden="1">{#N/A,#N/A,FALSE,"Australien";#N/A,#N/A,FALSE,"Birmingham";#N/A,#N/A,FALSE,"Brasilien";#N/A,#N/A,FALSE,"Prag";#N/A,#N/A,FALSE,"Spanien";#N/A,#N/A,FALSE,"Malaysia ( Com)";#N/A,#N/A,FALSE,"Malaysia (Instr)"}</definedName>
    <definedName name="______XG2" hidden="1">{#N/A,#N/A,FALSE,"단축1";#N/A,#N/A,FALSE,"단축2";#N/A,#N/A,FALSE,"단축3";#N/A,#N/A,FALSE,"장축";#N/A,#N/A,FALSE,"4WD"}</definedName>
    <definedName name="_____XG2" hidden="1">{#N/A,#N/A,FALSE,"단축1";#N/A,#N/A,FALSE,"단축2";#N/A,#N/A,FALSE,"단축3";#N/A,#N/A,FALSE,"장축";#N/A,#N/A,FALSE,"4WD"}</definedName>
    <definedName name="____AS6" hidden="1">{#N/A,#N/A,FALSE,"Australien";#N/A,#N/A,FALSE,"Birmingham";#N/A,#N/A,FALSE,"Brasilien";#N/A,#N/A,FALSE,"Prag";#N/A,#N/A,FALSE,"Spanien";#N/A,#N/A,FALSE,"Malaysia ( Com)";#N/A,#N/A,FALSE,"Malaysia (Instr)"}</definedName>
    <definedName name="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LPS2" hidden="1">{#N/A,#N/A,FALSE,"단축1";#N/A,#N/A,FALSE,"단축2";#N/A,#N/A,FALSE,"단축3";#N/A,#N/A,FALSE,"장축";#N/A,#N/A,FALSE,"4WD"}</definedName>
    <definedName name="____PU7" hidden="1">{#N/A,#N/A,TRUE,"일정"}</definedName>
    <definedName name="____XG2" hidden="1">{#N/A,#N/A,FALSE,"단축1";#N/A,#N/A,FALSE,"단축2";#N/A,#N/A,FALSE,"단축3";#N/A,#N/A,FALSE,"장축";#N/A,#N/A,FALSE,"4WD"}</definedName>
    <definedName name="___A3" hidden="1">{#N/A,#N/A,FALSE,"단축1";#N/A,#N/A,FALSE,"단축2";#N/A,#N/A,FALSE,"단축3";#N/A,#N/A,FALSE,"장축";#N/A,#N/A,FALSE,"4WD"}</definedName>
    <definedName name="___AS6" hidden="1">{#N/A,#N/A,FALSE,"Australien";#N/A,#N/A,FALSE,"Birmingham";#N/A,#N/A,FALSE,"Brasilien";#N/A,#N/A,FALSE,"Prag";#N/A,#N/A,FALSE,"Spanien";#N/A,#N/A,FALSE,"Malaysia ( Com)";#N/A,#N/A,FALSE,"Malaysia (Instr)"}</definedName>
    <definedName name="___cp3" hidden="1">{#N/A,#N/A,FALSE,"신규dep";#N/A,#N/A,FALSE,"신규dep-금형상각후";#N/A,#N/A,FALSE,"신규dep-연구비상각후";#N/A,#N/A,FALSE,"신규dep-기계,공구상각후"}</definedName>
    <definedName name="___FG1" hidden="1">{#N/A,#N/A,FALSE,"단축1";#N/A,#N/A,FALSE,"단축2";#N/A,#N/A,FALSE,"단축3";#N/A,#N/A,FALSE,"장축";#N/A,#N/A,FALSE,"4WD"}</definedName>
    <definedName name="___k2" hidden="1">{#N/A,#N/A,FALSE,"Cst of Sales (2)"}</definedName>
    <definedName name="___LPS2" hidden="1">{#N/A,#N/A,FALSE,"단축1";#N/A,#N/A,FALSE,"단축2";#N/A,#N/A,FALSE,"단축3";#N/A,#N/A,FALSE,"장축";#N/A,#N/A,FALSE,"4WD"}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XG2" hidden="1">{#N/A,#N/A,FALSE,"단축1";#N/A,#N/A,FALSE,"단축2";#N/A,#N/A,FALSE,"단축3";#N/A,#N/A,FALSE,"장축";#N/A,#N/A,FALSE,"4WD"}</definedName>
    <definedName name="__AS6" hidden="1">{#N/A,#N/A,FALSE,"Australien";#N/A,#N/A,FALSE,"Birmingham";#N/A,#N/A,FALSE,"Brasilien";#N/A,#N/A,FALSE,"Prag";#N/A,#N/A,FALSE,"Spanien";#N/A,#N/A,FALSE,"Malaysia ( Com)";#N/A,#N/A,FALSE,"Malaysia (Instr)"}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cp3" hidden="1">{#N/A,#N/A,FALSE,"신규dep";#N/A,#N/A,FALSE,"신규dep-금형상각후";#N/A,#N/A,FALSE,"신규dep-연구비상각후";#N/A,#N/A,FALSE,"신규dep-기계,공구상각후"}</definedName>
    <definedName name="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FG1" hidden="1">{#N/A,#N/A,FALSE,"단축1";#N/A,#N/A,FALSE,"단축2";#N/A,#N/A,FALSE,"단축3";#N/A,#N/A,FALSE,"장축";#N/A,#N/A,FALSE,"4WD"}</definedName>
    <definedName name="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2" hidden="1">{#N/A,#N/A,FALSE,"Cst of Sales (2)"}</definedName>
    <definedName name="__LPS2" hidden="1">{#N/A,#N/A,FALSE,"단축1";#N/A,#N/A,FALSE,"단축2";#N/A,#N/A,FALSE,"단축3";#N/A,#N/A,FALSE,"장축";#N/A,#N/A,FALSE,"4WD"}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PU7" hidden="1">{#N/A,#N/A,TRUE,"일정"}</definedName>
    <definedName name="__T2" hidden="1">{#N/A,#N/A,FALSE,"단축1";#N/A,#N/A,FALSE,"단축2";#N/A,#N/A,FALSE,"단축3";#N/A,#N/A,FALSE,"장축";#N/A,#N/A,FALSE,"4WD"}</definedName>
    <definedName name="__ws2" hidden="1">{#N/A,#N/A,FALSE,"단축1";#N/A,#N/A,FALSE,"단축2";#N/A,#N/A,FALSE,"단축3";#N/A,#N/A,FALSE,"장축";#N/A,#N/A,FALSE,"4WD"}</definedName>
    <definedName name="__XG2" hidden="1">{#N/A,#N/A,FALSE,"단축1";#N/A,#N/A,FALSE,"단축2";#N/A,#N/A,FALSE,"단축3";#N/A,#N/A,FALSE,"장축";#N/A,#N/A,FALSE,"4WD"}</definedName>
    <definedName name="_2____S" hidden="1">#REF!</definedName>
    <definedName name="_3____S" hidden="1">#REF!</definedName>
    <definedName name="_55cp3_" hidden="1">{#N/A,#N/A,FALSE,"신규dep";#N/A,#N/A,FALSE,"신규dep-금형상각후";#N/A,#N/A,FALSE,"신규dep-연구비상각후";#N/A,#N/A,FALSE,"신규dep-기계,공구상각후"}</definedName>
    <definedName name="_56cp3_" hidden="1">{#N/A,#N/A,FALSE,"신규dep";#N/A,#N/A,FALSE,"신규dep-금형상각후";#N/A,#N/A,FALSE,"신규dep-연구비상각후";#N/A,#N/A,FALSE,"신규dep-기계,공구상각후"}</definedName>
    <definedName name="_57FG1_" hidden="1">{#N/A,#N/A,FALSE,"단축1";#N/A,#N/A,FALSE,"단축2";#N/A,#N/A,FALSE,"단축3";#N/A,#N/A,FALSE,"장축";#N/A,#N/A,FALSE,"4WD"}</definedName>
    <definedName name="_58k2_" hidden="1">{#N/A,#N/A,FALSE,"Cst of Sales (2)"}</definedName>
    <definedName name="_59FG1_" hidden="1">{#N/A,#N/A,FALSE,"단축1";#N/A,#N/A,FALSE,"단축2";#N/A,#N/A,FALSE,"단축3";#N/A,#N/A,FALSE,"장축";#N/A,#N/A,FALSE,"4WD"}</definedName>
    <definedName name="_60k2_" hidden="1">{#N/A,#N/A,FALSE,"Cst of Sales (2)"}</definedName>
    <definedName name="_61T2_" hidden="1">{#N/A,#N/A,FALSE,"단축1";#N/A,#N/A,FALSE,"단축2";#N/A,#N/A,FALSE,"단축3";#N/A,#N/A,FALSE,"장축";#N/A,#N/A,FALSE,"4WD"}</definedName>
    <definedName name="_63T2_" hidden="1">{#N/A,#N/A,FALSE,"단축1";#N/A,#N/A,FALSE,"단축2";#N/A,#N/A,FALSE,"단축3";#N/A,#N/A,FALSE,"장축";#N/A,#N/A,FALSE,"4WD"}</definedName>
    <definedName name="_65____S" hidden="1">#REF!</definedName>
    <definedName name="_66__0_S" hidden="1">#REF!</definedName>
    <definedName name="_67____S" hidden="1">#REF!</definedName>
    <definedName name="_68__0_S" hidden="1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cp3" hidden="1">{#N/A,#N/A,FALSE,"신규dep";#N/A,#N/A,FALSE,"신규dep-금형상각후";#N/A,#N/A,FALSE,"신규dep-연구비상각후";#N/A,#N/A,FALSE,"신규dep-기계,공구상각후"}</definedName>
    <definedName name="_Dist_Bin" hidden="1">#REF!</definedName>
    <definedName name="_Dist_Values" hidden="1">#REF!</definedName>
    <definedName name="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FG1" hidden="1">{#N/A,#N/A,FALSE,"단축1";#N/A,#N/A,FALSE,"단축2";#N/A,#N/A,FALSE,"단축3";#N/A,#N/A,FALSE,"장축";#N/A,#N/A,FALSE,"4WD"}</definedName>
    <definedName name="_Fill" hidden="1">#REF!</definedName>
    <definedName name="_xlnm._FilterDatabase" hidden="1">#REF!</definedName>
    <definedName name="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2" hidden="1">{#N/A,#N/A,FALSE,"Cst of Sales (2)"}</definedName>
    <definedName name="_Key1" hidden="1">#REF!</definedName>
    <definedName name="_Key2" hidden="1">#REF!</definedName>
    <definedName name="_LPS2" hidden="1">{#N/A,#N/A,FALSE,"단축1";#N/A,#N/A,FALSE,"단축2";#N/A,#N/A,FALSE,"단축3";#N/A,#N/A,FALSE,"장축";#N/A,#N/A,FALSE,"4WD"}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rder1" hidden="1">255</definedName>
    <definedName name="_Order2" hidden="1">255</definedName>
    <definedName name="_Parse_Out" hidden="1">#REF!</definedName>
    <definedName name="_PU7" hidden="1">{#N/A,#N/A,TRUE,"일정"}</definedName>
    <definedName name="_Sort" hidden="1">#REF!</definedName>
    <definedName name="_T2" hidden="1">{#N/A,#N/A,FALSE,"단축1";#N/A,#N/A,FALSE,"단축2";#N/A,#N/A,FALSE,"단축3";#N/A,#N/A,FALSE,"장축";#N/A,#N/A,FALSE,"4WD"}</definedName>
    <definedName name="_XG2" hidden="1">{#N/A,#N/A,FALSE,"단축1";#N/A,#N/A,FALSE,"단축2";#N/A,#N/A,FALSE,"단축3";#N/A,#N/A,FALSE,"장축";#N/A,#N/A,FALSE,"4WD"}</definedName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1_00근거" hidden="1">{#N/A,#N/A,FALSE,"단축1";#N/A,#N/A,FALSE,"단축2";#N/A,#N/A,FALSE,"단축3";#N/A,#N/A,FALSE,"장축";#N/A,#N/A,FALSE,"4WD"}</definedName>
    <definedName name="AAAAAAA" hidden="1">{#N/A,#N/A,TRUE,"Y생산";#N/A,#N/A,TRUE,"Y판매";#N/A,#N/A,TRUE,"Y총물량";#N/A,#N/A,TRUE,"Y능력";#N/A,#N/A,TRUE,"YKD"}</definedName>
    <definedName name="AAQSAS" hidden="1">{#N/A,#N/A,FALSE,"단축1";#N/A,#N/A,FALSE,"단축2";#N/A,#N/A,FALSE,"단축3";#N/A,#N/A,FALSE,"장축";#N/A,#N/A,FALSE,"4WD"}</definedName>
    <definedName name="Aas" hidden="1">{#N/A,#N/A,FALSE,"을지 (4)";#N/A,#N/A,FALSE,"을지 (5)";#N/A,#N/A,FALSE,"을지 (6)"}</definedName>
    <definedName name="ABDD" hidden="1">{#N/A,#N/A,FALSE,"단축1";#N/A,#N/A,FALSE,"단축2";#N/A,#N/A,FALSE,"단축3";#N/A,#N/A,FALSE,"장축";#N/A,#N/A,FALSE,"4WD"}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TDSVTTVG" hidden="1">{#N/A,#N/A,FALSE,"단축1";#N/A,#N/A,FALSE,"단축2";#N/A,#N/A,FALSE,"단축3";#N/A,#N/A,FALSE,"장축";#N/A,#N/A,FALSE,"4WD"}</definedName>
    <definedName name="AD" hidden="1">{#N/A,#N/A,FALSE,"을지 (4)";#N/A,#N/A,FALSE,"을지 (5)";#N/A,#N/A,FALSE,"을지 (6)"}</definedName>
    <definedName name="adsacdz" hidden="1">{#N/A,#N/A,FALSE,"단축1";#N/A,#N/A,FALSE,"단축2";#N/A,#N/A,FALSE,"단축3";#N/A,#N/A,FALSE,"장축";#N/A,#N/A,FALSE,"4WD"}</definedName>
    <definedName name="ADSDF" hidden="1">{#N/A,#N/A,TRUE,"Y생산";#N/A,#N/A,TRUE,"Y판매";#N/A,#N/A,TRUE,"Y총물량";#N/A,#N/A,TRUE,"Y능력";#N/A,#N/A,TRUE,"YKD"}</definedName>
    <definedName name="AERGA" hidden="1">{#N/A,#N/A,FALSE,"원가검토서"}</definedName>
    <definedName name="AFDAGA" hidden="1">{#N/A,#N/A,FALSE,"원가검토서"}</definedName>
    <definedName name="anscount" hidden="1">4</definedName>
    <definedName name="AQWAQ" hidden="1">{#N/A,#N/A,FALSE,"단축1";#N/A,#N/A,FALSE,"단축2";#N/A,#N/A,FALSE,"단축3";#N/A,#N/A,FALSE,"장축";#N/A,#N/A,FALSE,"4WD"}</definedName>
    <definedName name="asadcs" hidden="1">{#N/A,#N/A,FALSE,"단축1";#N/A,#N/A,FALSE,"단축2";#N/A,#N/A,FALSE,"단축3";#N/A,#N/A,FALSE,"장축";#N/A,#N/A,FALSE,"4WD"}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ERDHFGTR" hidden="1">{#N/A,#N/A,FALSE,"단축1";#N/A,#N/A,FALSE,"단축2";#N/A,#N/A,FALSE,"단축3";#N/A,#N/A,FALSE,"장축";#N/A,#N/A,FALSE,"4WD"}</definedName>
    <definedName name="ASFD" hidden="1">#REF!</definedName>
    <definedName name="ASS" hidden="1">{#N/A,#N/A,FALSE,"을지 (4)";#N/A,#N/A,FALSE,"을지 (5)";#N/A,#N/A,FALSE,"을지 (6)"}</definedName>
    <definedName name="ASSY" hidden="1">{#N/A,#N/A,FALSE,"단축1";#N/A,#N/A,FALSE,"단축2";#N/A,#N/A,FALSE,"단축3";#N/A,#N/A,FALSE,"장축";#N/A,#N/A,FALSE,"4WD"}</definedName>
    <definedName name="AVTRWEAVTSRGFD" hidden="1">{#N/A,#N/A,FALSE,"단축1";#N/A,#N/A,FALSE,"단축2";#N/A,#N/A,FALSE,"단축3";#N/A,#N/A,FALSE,"장축";#N/A,#N/A,FALSE,"4WD"}</definedName>
    <definedName name="AVWTRFUHF" hidden="1">{#N/A,#N/A,FALSE,"단축1";#N/A,#N/A,FALSE,"단축2";#N/A,#N/A,FALSE,"단축3";#N/A,#N/A,FALSE,"장축";#N/A,#N/A,FALSE,"4WD"}</definedName>
    <definedName name="AVYDAVYHDTH" hidden="1">{#N/A,#N/A,FALSE,"단축1";#N/A,#N/A,FALSE,"단축2";#N/A,#N/A,FALSE,"단축3";#N/A,#N/A,FALSE,"장축";#N/A,#N/A,FALSE,"4WD"}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etbgxsv" hidden="1">{#N/A,#N/A,FALSE,"단축1";#N/A,#N/A,FALSE,"단축2";#N/A,#N/A,FALSE,"단축3";#N/A,#N/A,FALSE,"장축";#N/A,#N/A,FALSE,"4WD"}</definedName>
    <definedName name="BGJK" hidden="1">{#N/A,#N/A,FALSE,"단축1";#N/A,#N/A,FALSE,"단축2";#N/A,#N/A,FALSE,"단축3";#N/A,#N/A,FALSE,"장축";#N/A,#N/A,FALSE,"4WD"}</definedName>
    <definedName name="book1" hidden="1">{#N/A,#N/A,TRUE,"Y생산";#N/A,#N/A,TRUE,"Y판매";#N/A,#N/A,TRUE,"Y총물량";#N/A,#N/A,TRUE,"Y능력";#N/A,#N/A,TRUE,"YKD"}</definedName>
    <definedName name="BUTFGY" hidden="1">{#N/A,#N/A,FALSE,"단축1";#N/A,#N/A,FALSE,"단축2";#N/A,#N/A,FALSE,"단축3";#N/A,#N/A,FALSE,"장축";#N/A,#N/A,FALSE,"4WD"}</definedName>
    <definedName name="CAE해석" hidden="1">{#N/A,#N/A,FALSE,"단축1";#N/A,#N/A,FALSE,"단축2";#N/A,#N/A,FALSE,"단축3";#N/A,#N/A,FALSE,"장축";#N/A,#N/A,FALSE,"4WD"}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cddd" hidden="1">{#N/A,#N/A,FALSE,"단축1";#N/A,#N/A,FALSE,"단축2";#N/A,#N/A,FALSE,"단축3";#N/A,#N/A,FALSE,"장축";#N/A,#N/A,FALSE,"4WD"}</definedName>
    <definedName name="cdhbkjbkjnkjnlmmn" hidden="1">{#N/A,#N/A,TRUE,"일정"}</definedName>
    <definedName name="CFVGYTU" hidden="1">{#N/A,#N/A,FALSE,"원가검토서"}</definedName>
    <definedName name="chang" hidden="1">{#N/A,#N/A,FALSE,"을지 (4)";#N/A,#N/A,FALSE,"을지 (5)";#N/A,#N/A,FALSE,"을지 (6)"}</definedName>
    <definedName name="choi" hidden="1">{#N/A,#N/A,FALSE,"Australien";#N/A,#N/A,FALSE,"Birmingham";#N/A,#N/A,FALSE,"Brasilien";#N/A,#N/A,FALSE,"Prag";#N/A,#N/A,FALSE,"Spanien";#N/A,#N/A,FALSE,"Malaysia ( Com)";#N/A,#N/A,FALSE,"Malaysia (Instr)"}</definedName>
    <definedName name="ci" hidden="1">{#N/A,#N/A,FALSE,"단축1";#N/A,#N/A,FALSE,"단축2";#N/A,#N/A,FALSE,"단축3";#N/A,#N/A,FALSE,"장축";#N/A,#N/A,FALSE,"4WD"}</definedName>
    <definedName name="CONT대책" hidden="1">{#N/A,#N/A,FALSE,"단축1";#N/A,#N/A,FALSE,"단축2";#N/A,#N/A,FALSE,"단축3";#N/A,#N/A,FALSE,"장축";#N/A,#N/A,FALSE,"4WD"}</definedName>
    <definedName name="DATGTSGHFD" hidden="1">{#N/A,#N/A,FALSE,"단축1";#N/A,#N/A,FALSE,"단축2";#N/A,#N/A,FALSE,"단축3";#N/A,#N/A,FALSE,"장축";#N/A,#N/A,FALSE,"4WD"}</definedName>
    <definedName name="DDDD" hidden="1">{#N/A,#N/A,FALSE,"단축1";#N/A,#N/A,FALSE,"단축2";#N/A,#N/A,FALSE,"단축3";#N/A,#N/A,FALSE,"장축";#N/A,#N/A,FALSE,"4WD"}</definedName>
    <definedName name="DDDDDD" hidden="1">{#N/A,#N/A,TRUE,"일정"}</definedName>
    <definedName name="DDDDDDD" hidden="1">#REF!</definedName>
    <definedName name="dddddf" hidden="1">{#N/A,#N/A,FALSE,"단축1";#N/A,#N/A,FALSE,"단축2";#N/A,#N/A,FALSE,"단축3";#N/A,#N/A,FALSE,"장축";#N/A,#N/A,FALSE,"4WD"}</definedName>
    <definedName name="DDE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dfg" hidden="1">{#N/A,#N/A,FALSE,"원가검토서"}</definedName>
    <definedName name="DDS" hidden="1">{#N/A,#N/A,FALSE,"을지 (4)";#N/A,#N/A,FALSE,"을지 (5)";#N/A,#N/A,FALSE,"을지 (6)"}</definedName>
    <definedName name="DDSS" hidden="1">{#N/A,#N/A,FALSE,"단축1";#N/A,#N/A,FALSE,"단축2";#N/A,#N/A,FALSE,"단축3";#N/A,#N/A,FALSE,"장축";#N/A,#N/A,FALSE,"4WD"}</definedName>
    <definedName name="DFA" hidden="1">{#N/A,#N/A,FALSE,"단축1";#N/A,#N/A,FALSE,"단축2";#N/A,#N/A,FALSE,"단축3";#N/A,#N/A,FALSE,"장축";#N/A,#N/A,FALSE,"4WD"}</definedName>
    <definedName name="DFAGF" hidden="1">{#N/A,#N/A,FALSE,"원가검토서"}</definedName>
    <definedName name="DFDF" hidden="1">{#N/A,#N/A,FALSE,"단축1";#N/A,#N/A,FALSE,"단축2";#N/A,#N/A,FALSE,"단축3";#N/A,#N/A,FALSE,"장축";#N/A,#N/A,FALSE,"4WD"}</definedName>
    <definedName name="DFF" hidden="1">{#N/A,#N/A,FALSE,"단축1";#N/A,#N/A,FALSE,"단축2";#N/A,#N/A,FALSE,"단축3";#N/A,#N/A,FALSE,"장축";#N/A,#N/A,FALSE,"4WD"}</definedName>
    <definedName name="DFG" hidden="1">{#N/A,#N/A,FALSE,"원가검토서"}</definedName>
    <definedName name="DFGEERT" hidden="1">{#N/A,#N/A,FALSE,"원가검토서"}</definedName>
    <definedName name="DFHJ" hidden="1">{#N/A,#N/A,FALSE,"단축1";#N/A,#N/A,FALSE,"단축2";#N/A,#N/A,FALSE,"단축3";#N/A,#N/A,FALSE,"장축";#N/A,#N/A,FALSE,"4WD"}</definedName>
    <definedName name="DFJHD" hidden="1">{#N/A,#N/A,FALSE,"단축1";#N/A,#N/A,FALSE,"단축2";#N/A,#N/A,FALSE,"단축3";#N/A,#N/A,FALSE,"장축";#N/A,#N/A,FALSE,"4WD"}</definedName>
    <definedName name="dfsf" hidden="1">{#N/A,#N/A,FALSE,"원가검토서"}</definedName>
    <definedName name="DGF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HGFYJMGJM" hidden="1">{#N/A,#N/A,FALSE,"단축1";#N/A,#N/A,FALSE,"단축2";#N/A,#N/A,FALSE,"단축3";#N/A,#N/A,FALSE,"장축";#N/A,#N/A,FALSE,"4WD"}</definedName>
    <definedName name="DHHDH" hidden="1">{#N/A,#N/A,FALSE,"단축1";#N/A,#N/A,FALSE,"단축2";#N/A,#N/A,FALSE,"단축3";#N/A,#N/A,FALSE,"장축";#N/A,#N/A,FALSE,"4WD"}</definedName>
    <definedName name="djbtezsr" hidden="1">{#N/A,#N/A,FALSE,"단축1";#N/A,#N/A,FALSE,"단축2";#N/A,#N/A,FALSE,"단축3";#N/A,#N/A,FALSE,"장축";#N/A,#N/A,FALSE,"4WD"}</definedName>
    <definedName name="DJFHJ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LAKL" hidden="1">{#N/A,#N/A,TRUE,"Y생산";#N/A,#N/A,TRUE,"Y판매";#N/A,#N/A,TRUE,"Y총물량";#N/A,#N/A,TRUE,"Y능력";#N/A,#N/A,TRUE,"YKD"}</definedName>
    <definedName name="DLDL" hidden="1">{#N/A,#N/A,FALSE,"단축1";#N/A,#N/A,FALSE,"단축2";#N/A,#N/A,FALSE,"단축3";#N/A,#N/A,FALSE,"장축";#N/A,#N/A,FALSE,"4WD"}</definedName>
    <definedName name="DLDLDLD" hidden="1">{#N/A,#N/A,FALSE,"단축1";#N/A,#N/A,FALSE,"단축2";#N/A,#N/A,FALSE,"단축3";#N/A,#N/A,FALSE,"장축";#N/A,#N/A,FALSE,"4WD"}</definedName>
    <definedName name="DLF" hidden="1">{#N/A,#N/A,TRUE,"일정"}</definedName>
    <definedName name="DLS" hidden="1">{#N/A,#N/A,TRUE,"Y생산";#N/A,#N/A,TRUE,"Y판매";#N/A,#N/A,TRUE,"Y총물량";#N/A,#N/A,TRUE,"Y능력";#N/A,#N/A,TRUE,"YKD"}</definedName>
    <definedName name="dn" hidden="1">{#N/A,#N/A,FALSE,"단축1";#N/A,#N/A,FALSE,"단축2";#N/A,#N/A,FALSE,"단축3";#N/A,#N/A,FALSE,"장축";#N/A,#N/A,FALSE,"4WD"}</definedName>
    <definedName name="DNFLA" hidden="1">{#N/A,#N/A,FALSE,"단축1";#N/A,#N/A,FALSE,"단축2";#N/A,#N/A,FALSE,"단축3";#N/A,#N/A,FALSE,"장축";#N/A,#N/A,FALSE,"4WD"}</definedName>
    <definedName name="DRFDGH" hidden="1">{#N/A,#N/A,FALSE,"단축1";#N/A,#N/A,FALSE,"단축2";#N/A,#N/A,FALSE,"단축3";#N/A,#N/A,FALSE,"장축";#N/A,#N/A,FALSE,"4WD"}</definedName>
    <definedName name="DRGDTHMH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S" hidden="1">{#N/A,#N/A,FALSE,"원가검토서"}</definedName>
    <definedName name="DSRIIHWQLW" hidden="1">{#N/A,#N/A,FALSE,"단축1";#N/A,#N/A,FALSE,"단축2";#N/A,#N/A,FALSE,"단축3";#N/A,#N/A,FALSE,"장축";#N/A,#N/A,FALSE,"4WD"}</definedName>
    <definedName name="DTHDGFGHJHJMH" hidden="1">{#N/A,#N/A,FALSE,"단축1";#N/A,#N/A,FALSE,"단축2";#N/A,#N/A,FALSE,"단축3";#N/A,#N/A,FALSE,"장축";#N/A,#N/A,FALSE,"4WD"}</definedName>
    <definedName name="DVD" hidden="1">{#N/A,#N/A,FALSE,"단축1";#N/A,#N/A,FALSE,"단축2";#N/A,#N/A,FALSE,"단축3";#N/A,#N/A,FALSE,"장축";#N/A,#N/A,FALSE,"4WD"}</definedName>
    <definedName name="EAWR" hidden="1">{#N/A,#N/A,FALSE,"단축1";#N/A,#N/A,FALSE,"단축2";#N/A,#N/A,FALSE,"단축3";#N/A,#N/A,FALSE,"장축";#N/A,#N/A,FALSE,"4WD"}</definedName>
    <definedName name="edrte6utfyf" hidden="1">{#N/A,#N/A,FALSE,"단축1";#N/A,#N/A,FALSE,"단축2";#N/A,#N/A,FALSE,"단축3";#N/A,#N/A,FALSE,"장축";#N/A,#N/A,FALSE,"4WD"}</definedName>
    <definedName name="EDWSA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yhbfgrsv" hidden="1">{#N/A,#N/A,FALSE,"단축1";#N/A,#N/A,FALSE,"단축2";#N/A,#N/A,FALSE,"단축3";#N/A,#N/A,FALSE,"장축";#N/A,#N/A,FALSE,"4WD"}</definedName>
    <definedName name="EEE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SDWERF" hidden="1">{#N/A,#N/A,FALSE,"단축1";#N/A,#N/A,FALSE,"단축2";#N/A,#N/A,FALSE,"단축3";#N/A,#N/A,FALSE,"장축";#N/A,#N/A,FALSE,"4WD"}</definedName>
    <definedName name="efffgsdcasdarae" hidden="1">{#N/A,#N/A,FALSE,"단축1";#N/A,#N/A,FALSE,"단축2";#N/A,#N/A,FALSE,"단축3";#N/A,#N/A,FALSE,"장축";#N/A,#N/A,FALSE,"4WD"}</definedName>
    <definedName name="EFFOG" hidden="1">{#N/A,#N/A,FALSE,"단축1";#N/A,#N/A,FALSE,"단축2";#N/A,#N/A,FALSE,"단축3";#N/A,#N/A,FALSE,"장축";#N/A,#N/A,FALSE,"4WD"}</definedName>
    <definedName name="EGRCFTRG" hidden="1">{#N/A,#N/A,FALSE,"단축1";#N/A,#N/A,FALSE,"단축2";#N/A,#N/A,FALSE,"단축3";#N/A,#N/A,FALSE,"장축";#N/A,#N/A,FALSE,"4WD"}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OFHSFSSJF" hidden="1">{#N/A,#N/A,FALSE,"단축1";#N/A,#N/A,FALSE,"단축2";#N/A,#N/A,FALSE,"단축3";#N/A,#N/A,FALSE,"장축";#N/A,#N/A,FALSE,"4WD"}</definedName>
    <definedName name="EOGH" hidden="1">{#N/A,#N/A,FALSE,"단축1";#N/A,#N/A,FALSE,"단축2";#N/A,#N/A,FALSE,"단축3";#N/A,#N/A,FALSE,"장축";#N/A,#N/A,FALSE,"4WD"}</definedName>
    <definedName name="EO계획" hidden="1">#REF!</definedName>
    <definedName name="ERG" hidden="1">{"Wire Charts",#N/A,TRUE,"Wires"}</definedName>
    <definedName name="estgret" hidden="1">{#N/A,#N/A,FALSE,"단축1";#N/A,#N/A,FALSE,"단축2";#N/A,#N/A,FALSE,"단축3";#N/A,#N/A,FALSE,"장축";#N/A,#N/A,FALSE,"4WD"}</definedName>
    <definedName name="ETRYU" hidden="1">{#N/A,#N/A,FALSE,"단축1";#N/A,#N/A,FALSE,"단축2";#N/A,#N/A,FALSE,"단축3";#N/A,#N/A,FALSE,"장축";#N/A,#N/A,FALSE,"4WD"}</definedName>
    <definedName name="ETY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URO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fsteg" hidden="1">{#N/A,#N/A,FALSE,"단축1";#N/A,#N/A,FALSE,"단축2";#N/A,#N/A,FALSE,"단축3";#N/A,#N/A,FALSE,"장축";#N/A,#N/A,FALSE,"4WD"}</definedName>
    <definedName name="EWY" hidden="1">{#N/A,#N/A,FALSE,"단축1";#N/A,#N/A,FALSE,"단축2";#N/A,#N/A,FALSE,"단축3";#N/A,#N/A,FALSE,"장축";#N/A,#N/A,FALSE,"4WD"}</definedName>
    <definedName name="EWYTFVXYTDUY" hidden="1">{#N/A,#N/A,FALSE,"단축1";#N/A,#N/A,FALSE,"단축2";#N/A,#N/A,FALSE,"단축3";#N/A,#N/A,FALSE,"장축";#N/A,#N/A,FALSE,"4WD"}</definedName>
    <definedName name="EYERYWEYTRWWW4" hidden="1">{#N/A,#N/A,FALSE,"단축1";#N/A,#N/A,FALSE,"단축2";#N/A,#N/A,FALSE,"단축3";#N/A,#N/A,FALSE,"장축";#N/A,#N/A,FALSE,"4WD"}</definedName>
    <definedName name="EYREYTRUTYTR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FC_신차_PERT" hidden="1">#REF!</definedName>
    <definedName name="FDGHDFG" hidden="1">{#N/A,#N/A,FALSE,"단축1";#N/A,#N/A,FALSE,"단축2";#N/A,#N/A,FALSE,"단축3";#N/A,#N/A,FALSE,"장축";#N/A,#N/A,FALSE,"4WD"}</definedName>
    <definedName name="FDGS" hidden="1">{"'KET'!$A$1:$E$2423"}</definedName>
    <definedName name="FDJGDFHJ" hidden="1">{#N/A,#N/A,FALSE,"단축1";#N/A,#N/A,FALSE,"단축2";#N/A,#N/A,FALSE,"단축3";#N/A,#N/A,FALSE,"장축";#N/A,#N/A,FALSE,"4WD"}</definedName>
    <definedName name="FDKLI" hidden="1">{#N/A,#N/A,FALSE,"단축1";#N/A,#N/A,FALSE,"단축2";#N/A,#N/A,FALSE,"단축3";#N/A,#N/A,FALSE,"장축";#N/A,#N/A,FALSE,"4WD"}</definedName>
    <definedName name="fds" hidden="1">#REF!</definedName>
    <definedName name="FFDF" hidden="1">{#N/A,#N/A,FALSE,"단축1";#N/A,#N/A,FALSE,"단축2";#N/A,#N/A,FALSE,"단축3";#N/A,#N/A,FALSE,"장축";#N/A,#N/A,FALSE,"4WD"}</definedName>
    <definedName name="fffgfg" hidden="1">{#N/A,#N/A,FALSE,"단축1";#N/A,#N/A,FALSE,"단축2";#N/A,#N/A,FALSE,"단축3";#N/A,#N/A,FALSE,"장축";#N/A,#N/A,FALSE,"4WD"}</definedName>
    <definedName name="FGF" hidden="1">{"'OPEN'G압출'!$A$4:$P$34"}</definedName>
    <definedName name="FGGHNMK" hidden="1">{#N/A,#N/A,FALSE,"원가검토서"}</definedName>
    <definedName name="FGH" hidden="1">{#N/A,#N/A,FALSE,"단축1";#N/A,#N/A,FALSE,"단축2";#N/A,#N/A,FALSE,"단축3";#N/A,#N/A,FALSE,"장축";#N/A,#N/A,FALSE,"4WD"}</definedName>
    <definedName name="FGHJ" hidden="1">{#N/A,#N/A,FALSE,"원가검토서"}</definedName>
    <definedName name="FGS" hidden="1">{"Wire Charts",#N/A,TRUE,"Wires"}</definedName>
    <definedName name="FH" hidden="1">{#N/A,#N/A,FALSE,"단축1";#N/A,#N/A,FALSE,"단축2";#N/A,#N/A,FALSE,"단축3";#N/A,#N/A,FALSE,"장축";#N/A,#N/A,FALSE,"4WD"}</definedName>
    <definedName name="fjalaslaslfasllaa" hidden="1">{#N/A,#N/A,FALSE,"을지 (4)";#N/A,#N/A,FALSE,"을지 (5)";#N/A,#N/A,FALSE,"을지 (6)"}</definedName>
    <definedName name="FJFJ" hidden="1">{#N/A,#N/A,FALSE,"단축1";#N/A,#N/A,FALSE,"단축2";#N/A,#N/A,FALSE,"단축3";#N/A,#N/A,FALSE,"장축";#N/A,#N/A,FALSE,"4WD"}</definedName>
    <definedName name="fkfkfkfkfkf" hidden="1">{#N/A,#N/A,FALSE,"을지 (4)";#N/A,#N/A,FALSE,"을지 (5)";#N/A,#N/A,FALSE,"을지 (6)"}</definedName>
    <definedName name="fkfkfkfkfkfkfkfk" hidden="1">{#N/A,#N/A,FALSE,"을지 (4)";#N/A,#N/A,FALSE,"을지 (5)";#N/A,#N/A,FALSE,"을지 (6)"}</definedName>
    <definedName name="fkla" hidden="1">{#N/A,#N/A,TRUE,"Y생산";#N/A,#N/A,TRUE,"Y판매";#N/A,#N/A,TRUE,"Y총물량";#N/A,#N/A,TRUE,"Y능력";#N/A,#N/A,TRUE,"YKD"}</definedName>
    <definedName name="FMEA" hidden="1">#REF!</definedName>
    <definedName name="FMEA양식갑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rmotor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gdmhgdmhg" hidden="1">{#N/A,#N/A,TRUE,"일정"}</definedName>
    <definedName name="GFD" hidden="1">{#N/A,#N/A,TRUE,"일정"}</definedName>
    <definedName name="GFDG" hidden="1">{#N/A,#N/A,FALSE,"신규dep";#N/A,#N/A,FALSE,"신규dep-금형상각후";#N/A,#N/A,FALSE,"신규dep-연구비상각후";#N/A,#N/A,FALSE,"신규dep-기계,공구상각후"}</definedName>
    <definedName name="GFDS" hidden="1">{#N/A,#N/A,FALSE,"단축1";#N/A,#N/A,FALSE,"단축2";#N/A,#N/A,FALSE,"단축3";#N/A,#N/A,FALSE,"장축";#N/A,#N/A,FALSE,"4WD"}</definedName>
    <definedName name="GFDVBFDGF" hidden="1">{#N/A,#N/A,FALSE,"단축1";#N/A,#N/A,FALSE,"단축2";#N/A,#N/A,FALSE,"단축3";#N/A,#N/A,FALSE,"장축";#N/A,#N/A,FALSE,"4WD"}</definedName>
    <definedName name="GFJG" hidden="1">{#N/A,#N/A,FALSE,"단축1";#N/A,#N/A,FALSE,"단축2";#N/A,#N/A,FALSE,"단축3";#N/A,#N/A,FALSE,"장축";#N/A,#N/A,FALSE,"4WD"}</definedName>
    <definedName name="gfld" hidden="1">{#N/A,#N/A,TRUE,"Y생산";#N/A,#N/A,TRUE,"Y판매";#N/A,#N/A,TRUE,"Y총물량";#N/A,#N/A,TRUE,"Y능력";#N/A,#N/A,TRUE,"YKD"}</definedName>
    <definedName name="GHDJDG" hidden="1">{#N/A,#N/A,FALSE,"단축1";#N/A,#N/A,FALSE,"단축2";#N/A,#N/A,FALSE,"단축3";#N/A,#N/A,FALSE,"장축";#N/A,#N/A,FALSE,"4WD"}</definedName>
    <definedName name="GHUTGHF" hidden="1">{#N/A,#N/A,FALSE,"96 3월물량표";#N/A,#N/A,FALSE,"96 4월물량표";#N/A,#N/A,FALSE,"96 5월물량표"}</definedName>
    <definedName name="GJ" hidden="1">{#N/A,#N/A,FALSE,"단축1";#N/A,#N/A,FALSE,"단축2";#N/A,#N/A,FALSE,"단축3";#N/A,#N/A,FALSE,"장축";#N/A,#N/A,FALSE,"4WD"}</definedName>
    <definedName name="GJKGJK" hidden="1">{#N/A,#N/A,FALSE,"단축1";#N/A,#N/A,FALSE,"단축2";#N/A,#N/A,FALSE,"단축3";#N/A,#N/A,FALSE,"장축";#N/A,#N/A,FALSE,"4WD"}</definedName>
    <definedName name="GRE" hidden="1">{#N/A,#N/A,FALSE,"단축1";#N/A,#N/A,FALSE,"단축2";#N/A,#N/A,FALSE,"단축3";#N/A,#N/A,FALSE,"장축";#N/A,#N/A,FALSE,"4WD"}</definedName>
    <definedName name="GUIGU" hidden="1">{#N/A,#N/A,FALSE,"단축1";#N/A,#N/A,FALSE,"단축2";#N/A,#N/A,FALSE,"단축3";#N/A,#N/A,FALSE,"장축";#N/A,#N/A,FALSE,"4WD"}</definedName>
    <definedName name="gvdasskv" hidden="1">{#N/A,#N/A,TRUE,"일정"}</definedName>
    <definedName name="HDTFJYDTYFTY" hidden="1">{#N/A,#N/A,FALSE,"단축1";#N/A,#N/A,FALSE,"단축2";#N/A,#N/A,FALSE,"단축3";#N/A,#N/A,FALSE,"장축";#N/A,#N/A,FALSE,"4WD"}</definedName>
    <definedName name="HFG" hidden="1">{#N/A,#N/A,TRUE,"Y생산";#N/A,#N/A,TRUE,"Y판매";#N/A,#N/A,TRUE,"Y총물량";#N/A,#N/A,TRUE,"Y능력";#N/A,#N/A,TRUE,"YKD"}</definedName>
    <definedName name="HFGJFGJJ" hidden="1">{"'OPEN'G압출'!$A$4:$P$34"}</definedName>
    <definedName name="hgfshg" hidden="1">{#N/A,#N/A,TRUE,"일정"}</definedName>
    <definedName name="hgfxd" hidden="1">{#N/A,#N/A,TRUE,"일정"}</definedName>
    <definedName name="HJ" hidden="1">{#N/A,#N/A,FALSE,"단축1";#N/A,#N/A,FALSE,"단축2";#N/A,#N/A,FALSE,"단축3";#N/A,#N/A,FALSE,"장축";#N/A,#N/A,FALSE,"4WD"}</definedName>
    <definedName name="HJGFJHFJH" hidden="1">{#N/A,#N/A,FALSE,"원가검토서"}</definedName>
    <definedName name="HJKLL" hidden="1">{#N/A,#N/A,TRUE,"Y생산";#N/A,#N/A,TRUE,"Y판매";#N/A,#N/A,TRUE,"Y총물량";#N/A,#N/A,TRUE,"Y능력";#N/A,#N/A,TRUE,"YKD"}</definedName>
    <definedName name="HKJ" hidden="1">{#N/A,#N/A,FALSE,"단축1";#N/A,#N/A,FALSE,"단축2";#N/A,#N/A,FALSE,"단축3";#N/A,#N/A,FALSE,"장축";#N/A,#N/A,FALSE,"4WD"}</definedName>
    <definedName name="HLAMP4" hidden="1">{#N/A,#N/A,FALSE,"단축1";#N/A,#N/A,FALSE,"단축2";#N/A,#N/A,FALSE,"단축3";#N/A,#N/A,FALSE,"장축";#N/A,#N/A,FALSE,"4WD"}</definedName>
    <definedName name="HOOD" hidden="1">{#N/A,#N/A,FALSE,"단축1";#N/A,#N/A,FALSE,"단축2";#N/A,#N/A,FALSE,"단축3";#N/A,#N/A,FALSE,"장축";#N/A,#N/A,FALSE,"4WD"}</definedName>
    <definedName name="HP종합" hidden="1">{#N/A,#N/A,FALSE,"단축1";#N/A,#N/A,FALSE,"단축2";#N/A,#N/A,FALSE,"단축3";#N/A,#N/A,FALSE,"장축";#N/A,#N/A,FALSE,"4WD"}</definedName>
    <definedName name="HTML_CodePage" hidden="1">1</definedName>
    <definedName name="HTML_Control" hidden="1">{"'Sheet9'!$K$8"}</definedName>
    <definedName name="HTML_Description" hidden="1">""</definedName>
    <definedName name="HTML_Email" hidden="1">""</definedName>
    <definedName name="HTML_Header" hidden="1">"Sheet9"</definedName>
    <definedName name="HTML_LastUpdate" hidden="1">"99-5-30"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"书"</definedName>
    <definedName name="htrestg" hidden="1">{#N/A,#N/A,FALSE,"단축1";#N/A,#N/A,FALSE,"단축2";#N/A,#N/A,FALSE,"단축3";#N/A,#N/A,FALSE,"장축";#N/A,#N/A,FALSE,"4WD"}</definedName>
    <definedName name="ic" hidden="1">{#N/A,#N/A,FALSE,"단축1";#N/A,#N/A,FALSE,"단축2";#N/A,#N/A,FALSE,"단축3";#N/A,#N/A,FALSE,"장축";#N/A,#N/A,FALSE,"4WD"}</definedName>
    <definedName name="IIII" hidden="1">{#N/A,#N/A,FALSE,"신규dep";#N/A,#N/A,FALSE,"신규dep-금형상각후";#N/A,#N/A,FALSE,"신규dep-연구비상각후";#N/A,#N/A,FALSE,"신규dep-기계,공구상각후"}</definedName>
    <definedName name="INSULATION" hidden="1">{#N/A,#N/A,FALSE,"단축1";#N/A,#N/A,FALSE,"단축2";#N/A,#N/A,FALSE,"단축3";#N/A,#N/A,FALSE,"장축";#N/A,#N/A,FALSE,"4WD"}</definedName>
    <definedName name="JGFHFDKJGHJ" hidden="1">{#N/A,#N/A,FALSE,"단축1";#N/A,#N/A,FALSE,"단축2";#N/A,#N/A,FALSE,"단축3";#N/A,#N/A,FALSE,"장축";#N/A,#N/A,FALSE,"4WD"}</definedName>
    <definedName name="jgfsjhgfsjhgfsdjhgfds" hidden="1">{#N/A,#N/A,TRUE,"일정"}</definedName>
    <definedName name="JGHJ" hidden="1">{#N/A,#N/A,FALSE,"단축1";#N/A,#N/A,FALSE,"단축2";#N/A,#N/A,FALSE,"단축3";#N/A,#N/A,FALSE,"장축";#N/A,#N/A,FALSE,"4WD"}</definedName>
    <definedName name="JJUHG" hidden="1">{#N/A,#N/A,FALSE,"원가검토서"}</definedName>
    <definedName name="JK" hidden="1">{#N/A,#N/A,FALSE,"신규dep";#N/A,#N/A,FALSE,"신규dep-금형상각후";#N/A,#N/A,FALSE,"신규dep-연구비상각후";#N/A,#N/A,FALSE,"신규dep-기계,공구상각후"}</definedName>
    <definedName name="JMHMSL부품현황" hidden="1">{#N/A,#N/A,FALSE,"단축1";#N/A,#N/A,FALSE,"단축2";#N/A,#N/A,FALSE,"단축3";#N/A,#N/A,FALSE,"장축";#N/A,#N/A,FALSE,"4WD"}</definedName>
    <definedName name="JWG" hidden="1">{#N/A,#N/A,FALSE,"단축1";#N/A,#N/A,FALSE,"단축2";#N/A,#N/A,FALSE,"단축3";#N/A,#N/A,FALSE,"장축";#N/A,#N/A,FALSE,"4WD"}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DS" hidden="1">{#N/A,#N/A,FALSE,"단축1";#N/A,#N/A,FALSE,"단축2";#N/A,#N/A,FALSE,"단축3";#N/A,#N/A,FALSE,"장축";#N/A,#N/A,FALSE,"4WD"}</definedName>
    <definedName name="KIM" hidden="1">{#N/A,#N/A,FALSE,"단축1";#N/A,#N/A,FALSE,"단축2";#N/A,#N/A,FALSE,"단축3";#N/A,#N/A,FALSE,"장축";#N/A,#N/A,FALSE,"4WD"}</definedName>
    <definedName name="KJHDFKS" hidden="1">{"'OPEN'G압출'!$A$4:$P$34"}</definedName>
    <definedName name="kthrsbth" hidden="1">{#N/A,#N/A,FALSE,"단축1";#N/A,#N/A,FALSE,"단축2";#N/A,#N/A,FALSE,"단축3";#N/A,#N/A,FALSE,"장축";#N/A,#N/A,FALSE,"4WD"}</definedName>
    <definedName name="KTY" hidden="1">{#N/A,#N/A,FALSE,"단축1";#N/A,#N/A,FALSE,"단축2";#N/A,#N/A,FALSE,"단축3";#N/A,#N/A,FALSE,"장축";#N/A,#N/A,FALSE,"4WD"}</definedName>
    <definedName name="KU" hidden="1">{#N/A,#N/A,TRUE,"Y생산";#N/A,#N/A,TRUE,"Y판매";#N/A,#N/A,TRUE,"Y총물량";#N/A,#N/A,TRUE,"Y능력";#N/A,#N/A,TRUE,"YKD"}</definedName>
    <definedName name="LHSDHSD" hidden="1">{#N/A,#N/A,TRUE,"일정"}</definedName>
    <definedName name="LINE검토2" hidden="1">{#N/A,#N/A,TRUE,"Y생산";#N/A,#N/A,TRUE,"Y판매";#N/A,#N/A,TRUE,"Y총물량";#N/A,#N/A,TRUE,"Y능력";#N/A,#N/A,TRUE,"YKD"}</definedName>
    <definedName name="link_ds_be" hidden="1">{#N/A,#N/A,FALSE,"Cst of Sales (2)"}</definedName>
    <definedName name="LKGFLDKGF" hidden="1">{"'OPEN'G압출'!$A$4:$P$34"}</definedName>
    <definedName name="LKHGFDF" hidden="1">{#N/A,#N/A,TRUE,"Y생산";#N/A,#N/A,TRUE,"Y판매";#N/A,#N/A,TRUE,"Y총물량";#N/A,#N/A,TRUE,"Y능력";#N/A,#N/A,TRUE,"YKD"}</definedName>
    <definedName name="LKJ" hidden="1">{#N/A,#N/A,FALSE,"을지 (4)";#N/A,#N/A,FALSE,"을지 (5)";#N/A,#N/A,FALSE,"을지 (6)"}</definedName>
    <definedName name="LKLKLK" hidden="1">{"'OPEN'G압출'!$A$4:$P$34"}</definedName>
    <definedName name="lll" hidden="1">{#N/A,#N/A,FALSE,"단축1";#N/A,#N/A,FALSE,"단축2";#N/A,#N/A,FALSE,"단축3";#N/A,#N/A,FALSE,"장축";#N/A,#N/A,FALSE,"4WD"}</definedName>
    <definedName name="LLLLL" hidden="1">{#N/A,#N/A,FALSE,"단축1";#N/A,#N/A,FALSE,"단축2";#N/A,#N/A,FALSE,"단축3";#N/A,#N/A,FALSE,"장축";#N/A,#N/A,FALSE,"4WD"}</definedName>
    <definedName name="lps" hidden="1">{#N/A,#N/A,FALSE,"단축1";#N/A,#N/A,FALSE,"단축2";#N/A,#N/A,FALSE,"단축3";#N/A,#N/A,FALSE,"장축";#N/A,#N/A,FALSE,"4WD"}</definedName>
    <definedName name="L값8월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STER" hidden="1">{#N/A,#N/A,TRUE,"일정"}</definedName>
    <definedName name="MDGVTESYERY" hidden="1">{#N/A,#N/A,FALSE,"단축1";#N/A,#N/A,FALSE,"단축2";#N/A,#N/A,FALSE,"단축3";#N/A,#N/A,FALSE,"장축";#N/A,#N/A,FALSE,"4WD"}</definedName>
    <definedName name="MM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NNNNNN" hidden="1">{#N/A,#N/A,FALSE,"단축1";#N/A,#N/A,FALSE,"단축2";#N/A,#N/A,FALSE,"단축3";#N/A,#N/A,FALSE,"장축";#N/A,#N/A,FALSE,"4WD"}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2예산" hidden="1">{#N/A,#N/A,FALSE,"단축1";#N/A,#N/A,FALSE,"단축2";#N/A,#N/A,FALSE,"단축3";#N/A,#N/A,FALSE,"장축";#N/A,#N/A,FALSE,"4WD"}</definedName>
    <definedName name="P3가공향상" hidden="1">{#N/A,#N/A,TRUE,"Y생산";#N/A,#N/A,TRUE,"Y판매";#N/A,#N/A,TRUE,"Y총물량";#N/A,#N/A,TRUE,"Y능력";#N/A,#N/A,TRUE,"YKD"}</definedName>
    <definedName name="PAGE4" hidden="1">{#N/A,#N/A,FALSE,"단축1";#N/A,#N/A,FALSE,"단축2";#N/A,#N/A,FALSE,"단축3";#N/A,#N/A,FALSE,"장축";#N/A,#N/A,FALSE,"4WD"}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H단계별" hidden="1">{#N/A,#N/A,TRUE,"일정"}</definedName>
    <definedName name="PI" hidden="1">{#N/A,#N/A,TRUE,"Y생산";#N/A,#N/A,TRUE,"Y판매";#N/A,#N/A,TRUE,"Y총물량";#N/A,#N/A,TRUE,"Y능력";#N/A,#N/A,TRUE,"YKD"}</definedName>
    <definedName name="PO" hidden="1">{#N/A,#N/A,FALSE,"단축1";#N/A,#N/A,FALSE,"단축2";#N/A,#N/A,FALSE,"단축3";#N/A,#N/A,FALSE,"장축";#N/A,#N/A,FALSE,"4WD"}</definedName>
    <definedName name="POI" hidden="1">{#N/A,#N/A,FALSE,"단축1";#N/A,#N/A,FALSE,"단축2";#N/A,#N/A,FALSE,"단축3";#N/A,#N/A,FALSE,"장축";#N/A,#N/A,FALSE,"4WD"}</definedName>
    <definedName name="PPK" hidden="1">{#N/A,#N/A,FALSE,"96 3월물량표";#N/A,#N/A,FALSE,"96 4월물량표";#N/A,#N/A,FALSE,"96 5월물량표"}</definedName>
    <definedName name="PPPP" hidden="1">{#N/A,#N/A,TRUE,"일정"}</definedName>
    <definedName name="PRO" hidden="1">{#N/A,#N/A,TRUE,"일정"}</definedName>
    <definedName name="ProzessKette3" hidden="1">#REF!</definedName>
    <definedName name="QAW" hidden="1">{#N/A,#N/A,FALSE,"을지 (4)";#N/A,#N/A,FALSE,"을지 (5)";#N/A,#N/A,FALSE,"을지 (6)"}</definedName>
    <definedName name="QAWVRXTHXFG" hidden="1">{#N/A,#N/A,FALSE,"단축1";#N/A,#N/A,FALSE,"단축2";#N/A,#N/A,FALSE,"단축3";#N/A,#N/A,FALSE,"장축";#N/A,#N/A,FALSE,"4WD"}</definedName>
    <definedName name="QAZ" hidden="1">{#N/A,#N/A,FALSE,"단축1";#N/A,#N/A,FALSE,"단축2";#N/A,#N/A,FALSE,"단축3";#N/A,#N/A,FALSE,"장축";#N/A,#N/A,FALSE,"4WD"}</definedName>
    <definedName name="qc" hidden="1">{#N/A,#N/A,FALSE,"Cst of Sales (2)"}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KQ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R" hidden="1">{#N/A,#N/A,FALSE,"단축1";#N/A,#N/A,FALSE,"단축2";#N/A,#N/A,FALSE,"단축3";#N/A,#N/A,FALSE,"장축";#N/A,#N/A,FALSE,"4WD"}</definedName>
    <definedName name="QQQAAASSS" hidden="1">{#N/A,#N/A,TRUE,"Y생산";#N/A,#N/A,TRUE,"Y판매";#N/A,#N/A,TRUE,"Y총물량";#N/A,#N/A,TRUE,"Y능력";#N/A,#N/A,TRUE,"YKD"}</definedName>
    <definedName name="QQQQQQ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Q" hidden="1">{#N/A,#N/A,TRUE,"Y생산";#N/A,#N/A,TRUE,"Y판매";#N/A,#N/A,TRUE,"Y총물량";#N/A,#N/A,TRUE,"Y능력";#N/A,#N/A,TRUE,"YKD"}</definedName>
    <definedName name="QS" hidden="1">{#N/A,#N/A,FALSE,"단축1";#N/A,#N/A,FALSE,"단축2";#N/A,#N/A,FALSE,"단축3";#N/A,#N/A,FALSE,"장축";#N/A,#N/A,FALSE,"4WD"}</definedName>
    <definedName name="QSS" hidden="1">{#N/A,#N/A,FALSE,"을지 (4)";#N/A,#N/A,FALSE,"을지 (5)";#N/A,#N/A,FALSE,"을지 (6)"}</definedName>
    <definedName name="QVWTDRDJHUG" hidden="1">{#N/A,#N/A,FALSE,"단축1";#N/A,#N/A,FALSE,"단축2";#N/A,#N/A,FALSE,"단축3";#N/A,#N/A,FALSE,"장축";#N/A,#N/A,FALSE,"4WD"}</definedName>
    <definedName name="QW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AVTGFHT" hidden="1">{#N/A,#N/A,FALSE,"단축1";#N/A,#N/A,FALSE,"단축2";#N/A,#N/A,FALSE,"단축3";#N/A,#N/A,FALSE,"장축";#N/A,#N/A,FALSE,"4WD"}</definedName>
    <definedName name="QWE" hidden="1">{#N/A,#N/A,FALSE,"을지 (4)";#N/A,#N/A,FALSE,"을지 (5)";#N/A,#N/A,FALSE,"을지 (6)"}</definedName>
    <definedName name="qwefydc" hidden="1">{#N/A,#N/A,FALSE,"단축1";#N/A,#N/A,FALSE,"단축2";#N/A,#N/A,FALSE,"단축3";#N/A,#N/A,FALSE,"장축";#N/A,#N/A,FALSE,"4WD"}</definedName>
    <definedName name="QWQW" hidden="1">{#N/A,#N/A,FALSE,"단축1";#N/A,#N/A,FALSE,"단축2";#N/A,#N/A,FALSE,"단축3";#N/A,#N/A,FALSE,"장축";#N/A,#N/A,FALSE,"4WD"}</definedName>
    <definedName name="QWRSTGDFTGF" hidden="1">{#N/A,#N/A,FALSE,"단축1";#N/A,#N/A,FALSE,"단축2";#N/A,#N/A,FALSE,"단축3";#N/A,#N/A,FALSE,"장축";#N/A,#N/A,FALSE,"4WD"}</definedName>
    <definedName name="QWVTEXC6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B" hidden="1">{#N/A,#N/A,FALSE,"단축1";#N/A,#N/A,FALSE,"단축2";#N/A,#N/A,FALSE,"단축3";#N/A,#N/A,FALSE,"장축";#N/A,#N/A,FALSE,"4WD"}</definedName>
    <definedName name="rdtfrytws" hidden="1">{#N/A,#N/A,FALSE,"단축1";#N/A,#N/A,FALSE,"단축2";#N/A,#N/A,FALSE,"단축3";#N/A,#N/A,FALSE,"장축";#N/A,#N/A,FALSE,"4WD"}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AR" hidden="1">{#N/A,#N/A,FALSE,"단축1";#N/A,#N/A,FALSE,"단축2";#N/A,#N/A,FALSE,"단축3";#N/A,#N/A,FALSE,"장축";#N/A,#N/A,FALSE,"4WD"}</definedName>
    <definedName name="RG" hidden="1">{#N/A,#N/A,FALSE,"단축1";#N/A,#N/A,FALSE,"단축2";#N/A,#N/A,FALSE,"단축3";#N/A,#N/A,FALSE,"장축";#N/A,#N/A,FALSE,"4WD"}</definedName>
    <definedName name="RHD" hidden="1">{#N/A,#N/A,FALSE,"단축1";#N/A,#N/A,FALSE,"단축2";#N/A,#N/A,FALSE,"단축3";#N/A,#N/A,FALSE,"장축";#N/A,#N/A,FALSE,"4WD"}</definedName>
    <definedName name="RKLLL" hidden="1">{#N/A,#N/A,FALSE,"단축1";#N/A,#N/A,FALSE,"단축2";#N/A,#N/A,FALSE,"단축3";#N/A,#N/A,FALSE,"장축";#N/A,#N/A,FALSE,"4WD"}</definedName>
    <definedName name="RKSKDKFLK" hidden="1">{#N/A,#N/A,FALSE,"단축1";#N/A,#N/A,FALSE,"단축2";#N/A,#N/A,FALSE,"단축3";#N/A,#N/A,FALSE,"장축";#N/A,#N/A,FALSE,"4WD"}</definedName>
    <definedName name="RKSKEKF" hidden="1">{#N/A,#N/A,FALSE,"단축1";#N/A,#N/A,FALSE,"단축2";#N/A,#N/A,FALSE,"단축3";#N/A,#N/A,FALSE,"장축";#N/A,#N/A,FALSE,"4WD"}</definedName>
    <definedName name="rl" hidden="1">#REF!</definedName>
    <definedName name="RLAMP01" hidden="1">{#N/A,#N/A,FALSE,"단축1";#N/A,#N/A,FALSE,"단축2";#N/A,#N/A,FALSE,"단축3";#N/A,#N/A,FALSE,"장축";#N/A,#N/A,FALSE,"4WD"}</definedName>
    <definedName name="rlawkd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O" hidden="1">{#N/A,#N/A,FALSE,"단축1";#N/A,#N/A,FALSE,"단축2";#N/A,#N/A,FALSE,"단축3";#N/A,#N/A,FALSE,"장축";#N/A,#N/A,FALSE,"4WD"}</definedName>
    <definedName name="ROTJSRHKWJD1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llrlrl" hidden="1">{#N/A,#N/A,FALSE,"단축1";#N/A,#N/A,FALSE,"단축2";#N/A,#N/A,FALSE,"단축3";#N/A,#N/A,FALSE,"장축";#N/A,#N/A,FALSE,"4WD"}</definedName>
    <definedName name="RRR" hidden="1">{#N/A,#N/A,FALSE,"단축1";#N/A,#N/A,FALSE,"단축2";#N/A,#N/A,FALSE,"단축3";#N/A,#N/A,FALSE,"장축";#N/A,#N/A,FALSE,"4WD"}</definedName>
    <definedName name="RRT" hidden="1">{#N/A,#N/A,FALSE,"단축1";#N/A,#N/A,FALSE,"단축2";#N/A,#N/A,FALSE,"단축3";#N/A,#N/A,FALSE,"장축";#N/A,#N/A,FALSE,"4WD"}</definedName>
    <definedName name="RUB_HOU" hidden="1">{#N/A,#N/A,FALSE,"Cst of Sales (2)"}</definedName>
    <definedName name="SAD" hidden="1">{#N/A,#N/A,FALSE,"단축1";#N/A,#N/A,FALSE,"단축2";#N/A,#N/A,FALSE,"단축3";#N/A,#N/A,FALSE,"장축";#N/A,#N/A,FALSE,"4WD"}</definedName>
    <definedName name="SAS" hidden="1">{#N/A,#N/A,FALSE,"단축1";#N/A,#N/A,FALSE,"단축2";#N/A,#N/A,FALSE,"단축3";#N/A,#N/A,FALSE,"장축";#N/A,#N/A,FALSE,"4WD"}</definedName>
    <definedName name="sawrhbAZ" hidden="1">{#N/A,#N/A,FALSE,"단축1";#N/A,#N/A,FALSE,"단축2";#N/A,#N/A,FALSE,"단축3";#N/A,#N/A,FALSE,"장축";#N/A,#N/A,FALSE,"4WD"}</definedName>
    <definedName name="SCTSRUYT" hidden="1">{#N/A,#N/A,FALSE,"단축1";#N/A,#N/A,FALSE,"단축2";#N/A,#N/A,FALSE,"단축3";#N/A,#N/A,FALSE,"장축";#N/A,#N/A,FALSE,"4WD"}</definedName>
    <definedName name="SDDSD" hidden="1">{#N/A,#N/A,FALSE,"단축1";#N/A,#N/A,FALSE,"단축2";#N/A,#N/A,FALSE,"단축3";#N/A,#N/A,FALSE,"장축";#N/A,#N/A,FALSE,"4WD"}</definedName>
    <definedName name="SDF" hidden="1">{#N/A,#N/A,FALSE,"Status";#N/A,#N/A,FALSE,"Deckblatt 1";#N/A,#N/A,FALSE,"Deckblatt2"}</definedName>
    <definedName name="SDFGH" hidden="1">{#N/A,#N/A,FALSE,"단축1";#N/A,#N/A,FALSE,"단축2";#N/A,#N/A,FALSE,"단축3";#N/A,#N/A,FALSE,"장축";#N/A,#N/A,FALSE,"4WD"}</definedName>
    <definedName name="SDFG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H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FWG" hidden="1">{#N/A,#N/A,FALSE,"단축1";#N/A,#N/A,FALSE,"단축2";#N/A,#N/A,FALSE,"단축3";#N/A,#N/A,FALSE,"장축";#N/A,#N/A,FALSE,"4WD"}</definedName>
    <definedName name="SDHGFGMGJ" hidden="1">{#N/A,#N/A,FALSE,"단축1";#N/A,#N/A,FALSE,"단축2";#N/A,#N/A,FALSE,"단축3";#N/A,#N/A,FALSE,"장축";#N/A,#N/A,FALSE,"4WD"}</definedName>
    <definedName name="SDSD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EGHRTH" hidden="1">{#N/A,#N/A,FALSE,"단축1";#N/A,#N/A,FALSE,"단축2";#N/A,#N/A,FALSE,"단축3";#N/A,#N/A,FALSE,"장축";#N/A,#N/A,FALSE,"4WD"}</definedName>
    <definedName name="senythgct" hidden="1">{#N/A,#N/A,FALSE,"단축1";#N/A,#N/A,FALSE,"단축2";#N/A,#N/A,FALSE,"단축3";#N/A,#N/A,FALSE,"장축";#N/A,#N/A,FALSE,"4WD"}</definedName>
    <definedName name="SES" hidden="1">#REF!</definedName>
    <definedName name="SFASDFASFASFASFSAFASDFASDFASDFASDF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GHG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F" hidden="1">{#N/A,#N/A,TRUE,"일정"}</definedName>
    <definedName name="SFSFSFS" hidden="1">{#N/A,#N/A,FALSE,"단축1";#N/A,#N/A,FALSE,"단축2";#N/A,#N/A,FALSE,"단축3";#N/A,#N/A,FALSE,"장축";#N/A,#N/A,FALSE,"4WD"}</definedName>
    <definedName name="SHEET10" hidden="1">{#N/A,#N/A,FALSE,"단축1";#N/A,#N/A,FALSE,"단축2";#N/A,#N/A,FALSE,"단축3";#N/A,#N/A,FALSE,"장축";#N/A,#N/A,FALSE,"4WD"}</definedName>
    <definedName name="SIDE" hidden="1">{#N/A,#N/A,FALSE,"단축1";#N/A,#N/A,FALSE,"단축2";#N/A,#N/A,FALSE,"단축3";#N/A,#N/A,FALSE,"장축";#N/A,#N/A,FALSE,"4WD"}</definedName>
    <definedName name="SM" hidden="1">{#N/A,#N/A,FALSE,"단축1";#N/A,#N/A,FALSE,"단축2";#N/A,#N/A,FALSE,"단축3";#N/A,#N/A,FALSE,"장축";#N/A,#N/A,FALSE,"4WD"}</definedName>
    <definedName name="SMS" hidden="1">{#N/A,#N/A,FALSE,"단축1";#N/A,#N/A,FALSE,"단축2";#N/A,#N/A,FALSE,"단축3";#N/A,#N/A,FALSE,"장축";#N/A,#N/A,FALSE,"4WD"}</definedName>
    <definedName name="SONATA" hidden="1">{#N/A,#N/A,FALSE,"해외크레임";#N/A,#N/A,FALSE,"ACCENT현황";#N/A,#N/A,FALSE,"AVANTE";#N/A,#N/A,FALSE,"SONATA(3)";#N/A,#N/A,FALSE,"국내크레임"}</definedName>
    <definedName name="song" hidden="1">{#N/A,#N/A,FALSE,"단축1";#N/A,#N/A,FALSE,"단축2";#N/A,#N/A,FALSE,"단축3";#N/A,#N/A,FALSE,"장축";#N/A,#N/A,FALSE,"4WD"}</definedName>
    <definedName name="song1" hidden="1">{#N/A,#N/A,FALSE,"단축1";#N/A,#N/A,FALSE,"단축2";#N/A,#N/A,FALSE,"단축3";#N/A,#N/A,FALSE,"장축";#N/A,#N/A,FALSE,"4WD"}</definedName>
    <definedName name="SPEC2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RTDTRYFGT" hidden="1">{#N/A,#N/A,FALSE,"단축1";#N/A,#N/A,FALSE,"단축2";#N/A,#N/A,FALSE,"단축3";#N/A,#N/A,FALSE,"장축";#N/A,#N/A,FALSE,"4WD"}</definedName>
    <definedName name="SS" hidden="1">{#N/A,#N/A,FALSE,"단축1";#N/A,#N/A,FALSE,"단축2";#N/A,#N/A,FALSE,"단축3";#N/A,#N/A,FALSE,"장축";#N/A,#N/A,FALSE,"4WD"}</definedName>
    <definedName name="SSD" hidden="1">{#N/A,#N/A,FALSE,"을지 (4)";#N/A,#N/A,FALSE,"을지 (5)";#N/A,#N/A,FALSE,"을지 (6)"}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DGTGF" hidden="1">{#N/A,#N/A,FALSE,"단축1";#N/A,#N/A,FALSE,"단축2";#N/A,#N/A,FALSE,"단축3";#N/A,#N/A,FALSE,"장축";#N/A,#N/A,FALSE,"4WD"}</definedName>
    <definedName name="STH" hidden="1">{#N/A,#N/A,FALSE,"단축1";#N/A,#N/A,FALSE,"단축2";#N/A,#N/A,FALSE,"단축3";#N/A,#N/A,FALSE,"장축";#N/A,#N/A,FALSE,"4WD"}</definedName>
    <definedName name="SVETRUXT" hidden="1">{#N/A,#N/A,FALSE,"단축1";#N/A,#N/A,FALSE,"단축2";#N/A,#N/A,FALSE,"단축3";#N/A,#N/A,FALSE,"장축";#N/A,#N/A,FALSE,"4WD"}</definedName>
    <definedName name="TB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DHFJMHM" hidden="1">{#N/A,#N/A,FALSE,"단축1";#N/A,#N/A,FALSE,"단축2";#N/A,#N/A,FALSE,"단축3";#N/A,#N/A,FALSE,"장축";#N/A,#N/A,FALSE,"4WD"}</definedName>
    <definedName name="TH" hidden="1">{#N/A,#N/A,FALSE,"단축1";#N/A,#N/A,FALSE,"단축2";#N/A,#N/A,FALSE,"단축3";#N/A,#N/A,FALSE,"장축";#N/A,#N/A,FALSE,"4WD"}</definedName>
    <definedName name="THEME2" hidden="1">{#N/A,#N/A,FALSE,"96 3월물량표";#N/A,#N/A,FALSE,"96 4월물량표";#N/A,#N/A,FALSE,"96 5월물량표"}</definedName>
    <definedName name="TIBURON" hidden="1">{#N/A,#N/A,FALSE,"해외크레임";#N/A,#N/A,FALSE,"ACCENT현황";#N/A,#N/A,FALSE,"AVANTE";#N/A,#N/A,FALSE,"SONATA(3)";#N/A,#N/A,FALSE,"국내크레임"}</definedName>
    <definedName name="TJAUDLWS" hidden="1">{#N/A,#N/A,TRUE,"Y생산";#N/A,#N/A,TRUE,"Y판매";#N/A,#N/A,TRUE,"Y총물량";#N/A,#N/A,TRUE,"Y능력";#N/A,#N/A,TRUE,"YKD"}</definedName>
    <definedName name="TLS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RETRETERWTF" hidden="1">{#N/A,#N/A,FALSE,"단축1";#N/A,#N/A,FALSE,"단축2";#N/A,#N/A,FALSE,"단축3";#N/A,#N/A,FALSE,"장축";#N/A,#N/A,FALSE,"4WD"}</definedName>
    <definedName name="TT" hidden="1">{#N/A,#N/A,FALSE,"단축1";#N/A,#N/A,FALSE,"단축2";#N/A,#N/A,FALSE,"단축3";#N/A,#N/A,FALSE,"장축";#N/A,#N/A,FALSE,"4WD"}</definedName>
    <definedName name="TTH" hidden="1">{#N/A,#N/A,FALSE,"신규dep";#N/A,#N/A,FALSE,"신규dep-금형상각후";#N/A,#N/A,FALSE,"신규dep-연구비상각후";#N/A,#N/A,FALSE,"신규dep-기계,공구상각후"}</definedName>
    <definedName name="tynervwsgrte" hidden="1">{#N/A,#N/A,FALSE,"단축1";#N/A,#N/A,FALSE,"단축2";#N/A,#N/A,FALSE,"단축3";#N/A,#N/A,FALSE,"장축";#N/A,#N/A,FALSE,"4WD"}</definedName>
    <definedName name="TYRUI" hidden="1">{#N/A,#N/A,FALSE,"단축1";#N/A,#N/A,FALSE,"단축2";#N/A,#N/A,FALSE,"단축3";#N/A,#N/A,FALSE,"장축";#N/A,#N/A,FALSE,"4WD"}</definedName>
    <definedName name="UEDGBSESTGRSE" hidden="1">{#N/A,#N/A,FALSE,"단축1";#N/A,#N/A,FALSE,"단축2";#N/A,#N/A,FALSE,"단축3";#N/A,#N/A,FALSE,"장축";#N/A,#N/A,FALSE,"4WD"}</definedName>
    <definedName name="UIDTYBHSERBFG" hidden="1">{#N/A,#N/A,FALSE,"단축1";#N/A,#N/A,FALSE,"단축2";#N/A,#N/A,FALSE,"단축3";#N/A,#N/A,FALSE,"장축";#N/A,#N/A,FALSE,"4WD"}</definedName>
    <definedName name="UIP" hidden="1">{#N/A,#N/A,FALSE,"단축1";#N/A,#N/A,FALSE,"단축2";#N/A,#N/A,FALSE,"단축3";#N/A,#N/A,FALSE,"장축";#N/A,#N/A,FALSE,"4WD"}</definedName>
    <definedName name="UYR" hidden="1">{#N/A,#N/A,FALSE,"단축1";#N/A,#N/A,FALSE,"단축2";#N/A,#N/A,FALSE,"단축3";#N/A,#N/A,FALSE,"장축";#N/A,#N/A,FALSE,"4WD"}</definedName>
    <definedName name="VDSAG" hidden="1">{#N/A,#N/A,TRUE,"일정"}</definedName>
    <definedName name="vttdfvgf" hidden="1">{#N/A,#N/A,FALSE,"단축1";#N/A,#N/A,FALSE,"단축2";#N/A,#N/A,FALSE,"단축3";#N/A,#N/A,FALSE,"장축";#N/A,#N/A,FALSE,"4WD"}</definedName>
    <definedName name="VYVY" hidden="1">{#N/A,#N/A,FALSE,"단축1";#N/A,#N/A,FALSE,"단축2";#N/A,#N/A,FALSE,"단축3";#N/A,#N/A,FALSE,"장축";#N/A,#N/A,FALSE,"4WD"}</definedName>
    <definedName name="WA" hidden="1">{#N/A,#N/A,FALSE,"초도품";#N/A,#N/A,FALSE,"초도품 (2)";#N/A,#N/A,FALSE,"초도품 (3)";#N/A,#N/A,FALSE,"초도품 (4)";#N/A,#N/A,FALSE,"초도품 (5)";#N/A,#N/A,FALSE,"초도품 (6)"}</definedName>
    <definedName name="WAFTDCYH" hidden="1">{#N/A,#N/A,FALSE,"단축1";#N/A,#N/A,FALSE,"단축2";#N/A,#N/A,FALSE,"단축3";#N/A,#N/A,FALSE,"장축";#N/A,#N/A,FALSE,"4WD"}</definedName>
    <definedName name="WARTFVGTUH" hidden="1">{#N/A,#N/A,FALSE,"단축1";#N/A,#N/A,FALSE,"단축2";#N/A,#N/A,FALSE,"단축3";#N/A,#N/A,FALSE,"장축";#N/A,#N/A,FALSE,"4WD"}</definedName>
    <definedName name="WAVTGDFDACER" hidden="1">{#N/A,#N/A,FALSE,"단축1";#N/A,#N/A,FALSE,"단축2";#N/A,#N/A,FALSE,"단축3";#N/A,#N/A,FALSE,"장축";#N/A,#N/A,FALSE,"4WD"}</definedName>
    <definedName name="WE" hidden="1">{#N/A,#N/A,FALSE,"을지 (4)";#N/A,#N/A,FALSE,"을지 (5)";#N/A,#N/A,FALSE,"을지 (6)"}</definedName>
    <definedName name="WEARF" hidden="1">{#N/A,#N/A,TRUE,"Y생산";#N/A,#N/A,TRUE,"Y판매";#N/A,#N/A,TRUE,"Y총물량";#N/A,#N/A,TRUE,"Y능력";#N/A,#N/A,TRUE,"YKD"}</definedName>
    <definedName name="WEE" hidden="1">{#N/A,#N/A,FALSE,"신규dep";#N/A,#N/A,FALSE,"신규dep-금형상각후";#N/A,#N/A,FALSE,"신규dep-연구비상각후";#N/A,#N/A,FALSE,"신규dep-기계,공구상각후"}</definedName>
    <definedName name="WEQ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" hidden="1">{#N/A,#N/A,FALSE,"원가검토서"}</definedName>
    <definedName name="WETDRF" hidden="1">{#N/A,#N/A,FALSE,"단축1";#N/A,#N/A,FALSE,"단축2";#N/A,#N/A,FALSE,"단축3";#N/A,#N/A,FALSE,"장축";#N/A,#N/A,FALSE,"4WD"}</definedName>
    <definedName name="WETDSRGSRF" hidden="1">{#N/A,#N/A,FALSE,"단축1";#N/A,#N/A,FALSE,"단축2";#N/A,#N/A,FALSE,"단축3";#N/A,#N/A,FALSE,"장축";#N/A,#N/A,FALSE,"4WD"}</definedName>
    <definedName name="WETHFBY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frdtcyuf" hidden="1">{#N/A,#N/A,FALSE,"단축1";#N/A,#N/A,FALSE,"단축2";#N/A,#N/A,FALSE,"단축3";#N/A,#N/A,FALSE,"장축";#N/A,#N/A,FALSE,"4WD"}</definedName>
    <definedName name="WGEG" hidden="1">{#N/A,#N/A,FALSE,"원가검토서"}</definedName>
    <definedName name="WGREG" hidden="1">{#N/A,#N/A,FALSE,"원가검토서"}</definedName>
    <definedName name="WHRL" hidden="1">{#N/A,#N/A,FALSE,"단축1";#N/A,#N/A,FALSE,"단축2";#N/A,#N/A,FALSE,"단축3";#N/A,#N/A,FALSE,"장축";#N/A,#N/A,FALSE,"4WD"}</definedName>
    <definedName name="Wire_Chart" hidden="1">{"Wire Charts",#N/A,TRUE,"Wires"}</definedName>
    <definedName name="wkworhgk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NEYGH" hidden="1">{#N/A,#N/A,FALSE,"단축1";#N/A,#N/A,FALSE,"단축2";#N/A,#N/A,FALSE,"단축3";#N/A,#N/A,FALSE,"장축";#N/A,#N/A,FALSE,"4WD"}</definedName>
    <definedName name="WNTEGFB" hidden="1">{#N/A,#N/A,FALSE,"단축1";#N/A,#N/A,FALSE,"단축2";#N/A,#N/A,FALSE,"단축3";#N/A,#N/A,FALSE,"장축";#N/A,#N/A,FALSE,"4WD"}</definedName>
    <definedName name="wpwkrdlfwjd" hidden="1">{#N/A,#N/A,FALSE,"단축1";#N/A,#N/A,FALSE,"단축2";#N/A,#N/A,FALSE,"단축3";#N/A,#N/A,FALSE,"장축";#N/A,#N/A,FALSE,"4WD"}</definedName>
    <definedName name="WQ" hidden="1">{#N/A,#N/A,FALSE,"을지 (4)";#N/A,#N/A,FALSE,"을지 (5)";#N/A,#N/A,FALSE,"을지 (6)"}</definedName>
    <definedName name="WQBYHCJYBHUH" hidden="1">{#N/A,#N/A,FALSE,"단축1";#N/A,#N/A,FALSE,"단축2";#N/A,#N/A,FALSE,"단축3";#N/A,#N/A,FALSE,"장축";#N/A,#N/A,FALSE,"4WD"}</definedName>
    <definedName name="wqsdsasrsacsd" hidden="1">{#N/A,#N/A,FALSE,"단축1";#N/A,#N/A,FALSE,"단축2";#N/A,#N/A,FALSE,"단축3";#N/A,#N/A,FALSE,"장축";#N/A,#N/A,FALSE,"4WD"}</definedName>
    <definedName name="WQTFGSDF" hidden="1">{#N/A,#N/A,FALSE,"단축1";#N/A,#N/A,FALSE,"단축2";#N/A,#N/A,FALSE,"단축3";#N/A,#N/A,FALSE,"장축";#N/A,#N/A,FALSE,"4WD"}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11." hidden="1">{#N/A,#N/A,FALSE,"해외크레임";#N/A,#N/A,FALSE,"ACCENT현황";#N/A,#N/A,FALSE,"AVANTE";#N/A,#N/A,FALSE,"SONATA(3)";#N/A,#N/A,FALSE,"국내크레임"}</definedName>
    <definedName name="wrn.1ECC49." hidden="1">{#N/A,#N/A,FALSE,"성적서";#N/A,#N/A,FALSE,"기준을"}</definedName>
    <definedName name="wrn.345." hidden="1">{#N/A,#N/A,FALSE,"96 3월물량표";#N/A,#N/A,FALSE,"96 4월물량표";#N/A,#N/A,FALSE,"96 5월물량표"}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ntrolled._.Shipping._.Orion." hidden="1">{#N/A,#N/A,FALSE,"Repair";#N/A,#N/A,FALSE,"Audit Room";#N/A,#N/A,FALSE,"Simulator"}</definedName>
    <definedName name="wrn.COST_CEN." hidden="1">{#N/A,#N/A,TRUE,"orig";#N/A,#N/A,TRUE,"dvd_key";#N/A,#N/A,TRUE,"OH1";#N/A,#N/A,TRUE,"allc_key";#N/A,#N/A,TRUE,"OH2"}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ckblatt." hidden="1">{#N/A,#N/A,FALSE,"Status";#N/A,#N/A,FALSE,"Deckblatt 1";#N/A,#N/A,FALSE,"Deckblatt2"}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HWITEM." hidden="1">{#N/A,#N/A,FALSE,"삼진정공";#N/A,#N/A,FALSE,"영신금속";#N/A,#N/A,FALSE,"태양금속";#N/A,#N/A,FALSE,"진합정공";#N/A,#N/A,FALSE,"코리아";#N/A,#N/A,FALSE,"풍강금속";#N/A,#N/A,FALSE,"선일기계"}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hidden="1">{#N/A,#N/A,FALSE,"AG";#N/A,#N/A,FALSE,"UB-I";#N/A,#N/A,FALSE,"UB--SR_K";#N/A,#N/A,FALSE,"UB-SR_B";#N/A,#N/A,FALSE,"UB-KS";#N/A,#N/A,FALSE,"Kienzle"}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ire._.Chart._.Summary." hidden="1">{"Wire Charts",#N/A,TRUE,"Wires"}</definedName>
    <definedName name="wrn.Y차._.종합." hidden="1">{#N/A,#N/A,TRUE,"Y생산";#N/A,#N/A,TRUE,"Y판매";#N/A,#N/A,TRUE,"Y총물량";#N/A,#N/A,TRUE,"Y능력";#N/A,#N/A,TRUE,"YKD"}</definedName>
    <definedName name="wrn.고명석._.하반기._.업무보고." hidden="1">{#N/A,#N/A,FALSE,"검사-1";#N/A,#N/A,FALSE,"품질관리공정도";#N/A,#N/A,FALSE,"DR-1";#N/A,#N/A,FALSE,"DR-부적합";#N/A,#N/A,FALSE,"검사-부적합";#N/A,#N/A,FALSE,"검사기준서"}</definedName>
    <definedName name="wrn.남재연._.하반기._.업무보고.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업체선정보고서.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원가검토서." hidden="1">{#N/A,#N/A,FALSE,"원가검토서"}</definedName>
    <definedName name="wrn.윤원훈._.하반기._.보고." hidden="1">{#N/A,#N/A,FALSE,"검사-1";#N/A,#N/A,FALSE,"품질관리공정도";#N/A,#N/A,FALSE,"DR-1";#N/A,#N/A,FALSE,"검사-부적합";#N/A,#N/A,FALSE,"DR-부적합";#N/A,#N/A,FALSE,"검사기준서"}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료비계정." hidden="1">{#N/A,#N/A,FALSE,"Cst of Sales (2)"}</definedName>
    <definedName name="wrn.전부인쇄." hidden="1">{#N/A,#N/A,FALSE,"단축1";#N/A,#N/A,FALSE,"단축2";#N/A,#N/A,FALSE,"단축3";#N/A,#N/A,FALSE,"장축";#N/A,#N/A,FALSE,"4WD"}</definedName>
    <definedName name="wrn.주간._.보고." hidden="1">{#N/A,#N/A,TRUE,"일정"}</definedName>
    <definedName name="wrn.하반기2팀._.보고서.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허치환씨._.하반기._.자료.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현대정공구매현황." hidden="1">{#N/A,#N/A,FALSE,"정공"}</definedName>
    <definedName name="WRTETDTRY" hidden="1">{#N/A,#N/A,FALSE,"단축1";#N/A,#N/A,FALSE,"단축2";#N/A,#N/A,FALSE,"단축3";#N/A,#N/A,FALSE,"장축";#N/A,#N/A,FALSE,"4WD"}</definedName>
    <definedName name="WS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QETFDTRGF" hidden="1">{#N/A,#N/A,FALSE,"단축1";#N/A,#N/A,FALSE,"단축2";#N/A,#N/A,FALSE,"단축3";#N/A,#N/A,FALSE,"장축";#N/A,#N/A,FALSE,"4WD"}</definedName>
    <definedName name="wtresfd" hidden="1">{#N/A,#N/A,FALSE,"단축1";#N/A,#N/A,FALSE,"단축2";#N/A,#N/A,FALSE,"단축3";#N/A,#N/A,FALSE,"장축";#N/A,#N/A,FALSE,"4WD"}</definedName>
    <definedName name="WVTFUYCTY" hidden="1">{#N/A,#N/A,FALSE,"단축1";#N/A,#N/A,FALSE,"단축2";#N/A,#N/A,FALSE,"단축3";#N/A,#N/A,FALSE,"장축";#N/A,#N/A,FALSE,"4WD"}</definedName>
    <definedName name="WVTYXG" hidden="1">{#N/A,#N/A,FALSE,"단축1";#N/A,#N/A,FALSE,"단축2";#N/A,#N/A,FALSE,"단축3";#N/A,#N/A,FALSE,"장축";#N/A,#N/A,FALSE,"4WD"}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EWERE" hidden="1">{#N/A,#N/A,FALSE,"신규dep";#N/A,#N/A,FALSE,"신규dep-금형상각후";#N/A,#N/A,FALSE,"신규dep-연구비상각후";#N/A,#N/A,FALSE,"신규dep-기계,공구상각후"}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w" hidden="1">{#N/A,#N/A,FALSE,"단축1";#N/A,#N/A,FALSE,"단축2";#N/A,#N/A,FALSE,"단축3";#N/A,#N/A,FALSE,"장축";#N/A,#N/A,FALSE,"4WD"}</definedName>
    <definedName name="WYU" hidden="1">{#N/A,#N/A,FALSE,"단축1";#N/A,#N/A,FALSE,"단축2";#N/A,#N/A,FALSE,"단축3";#N/A,#N/A,FALSE,"장축";#N/A,#N/A,FALSE,"4WD"}</definedName>
    <definedName name="XDS" hidden="1">{#N/A,#N/A,FALSE,"을지 (4)";#N/A,#N/A,FALSE,"을지 (5)";#N/A,#N/A,FALSE,"을지 (6)"}</definedName>
    <definedName name="XD개선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S" hidden="1">{#N/A,#N/A,FALSE,"을지 (4)";#N/A,#N/A,FALSE,"을지 (5)";#N/A,#N/A,FALSE,"을지 (6)"}</definedName>
    <definedName name="XWDSTGFTF" hidden="1">{#N/A,#N/A,FALSE,"단축1";#N/A,#N/A,FALSE,"단축2";#N/A,#N/A,FALSE,"단축3";#N/A,#N/A,FALSE,"장축";#N/A,#N/A,FALSE,"4WD"}</definedName>
    <definedName name="YCS" hidden="1">{#N/A,#N/A,FALSE,"단축1";#N/A,#N/A,FALSE,"단축2";#N/A,#N/A,FALSE,"단축3";#N/A,#N/A,FALSE,"장축";#N/A,#N/A,FALSE,"4WD"}</definedName>
    <definedName name="YTUJYTU" hidden="1">{#N/A,#N/A,FALSE,"단축1";#N/A,#N/A,FALSE,"단축2";#N/A,#N/A,FALSE,"단축3";#N/A,#N/A,FALSE,"장축";#N/A,#N/A,FALSE,"4WD"}</definedName>
    <definedName name="YYY" hidden="1">{#N/A,#N/A,TRUE,"Y생산";#N/A,#N/A,TRUE,"Y판매";#N/A,#N/A,TRUE,"Y총물량";#N/A,#N/A,TRUE,"Y능력";#N/A,#N/A,TRUE,"YKD"}</definedName>
    <definedName name="yyyy" hidden="1">{#N/A,#N/A,FALSE,"단축1";#N/A,#N/A,FALSE,"단축2";#N/A,#N/A,FALSE,"단축3";#N/A,#N/A,FALSE,"장축";#N/A,#N/A,FALSE,"4WD"}</definedName>
    <definedName name="YYYYY" hidden="1">{#N/A,#N/A,FALSE,"단축1";#N/A,#N/A,FALSE,"단축2";#N/A,#N/A,FALSE,"단축3";#N/A,#N/A,FALSE,"장축";#N/A,#N/A,FALSE,"4WD"}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_030BCFA9_A76B_11D1_B759_08000E21FF8D_.wvu.Cols" hidden="1">#REF!,#REF!,#REF!</definedName>
    <definedName name="Z_030BCFA9_A76B_11D1_B759_08000E21FF8D_.wvu.FilterData" hidden="1">#REF!</definedName>
    <definedName name="Z_030BCFA9_A76B_11D1_B759_08000E21FF8D_.wvu.PrintArea" hidden="1">#REF!</definedName>
    <definedName name="Z_030BCFA9_A76B_11D1_B759_08000E21FF8D_.wvu.PrintTitles" hidden="1">#REF!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ㄱ" hidden="1">{#N/A,#N/A,FALSE,"단축1";#N/A,#N/A,FALSE,"단축2";#N/A,#N/A,FALSE,"단축3";#N/A,#N/A,FALSE,"장축";#N/A,#N/A,FALSE,"4WD"}</definedName>
    <definedName name="ㄱㄱ" hidden="1">{#N/A,#N/A,FALSE,"단축1";#N/A,#N/A,FALSE,"단축2";#N/A,#N/A,FALSE,"단축3";#N/A,#N/A,FALSE,"장축";#N/A,#N/A,FALSE,"4WD"}</definedName>
    <definedName name="ㄱㄱㄱ" hidden="1">{#N/A,#N/A,FALSE,"단축1";#N/A,#N/A,FALSE,"단축2";#N/A,#N/A,FALSE,"단축3";#N/A,#N/A,FALSE,"장축";#N/A,#N/A,FALSE,"4WD"}</definedName>
    <definedName name="ㄱㄱㄱㅇ" hidden="1">{#N/A,#N/A,FALSE,"단축1";#N/A,#N/A,FALSE,"단축2";#N/A,#N/A,FALSE,"단축3";#N/A,#N/A,FALSE,"장축";#N/A,#N/A,FALSE,"4WD"}</definedName>
    <definedName name="ㄱㄳ" hidden="1">{#N/A,#N/A,FALSE,"단축1";#N/A,#N/A,FALSE,"단축2";#N/A,#N/A,FALSE,"단축3";#N/A,#N/A,FALSE,"장축";#N/A,#N/A,FALSE,"4WD"}</definedName>
    <definedName name="ㄱㄷㄱㄱ" hidden="1">{#N/A,#N/A,TRUE,"일정"}</definedName>
    <definedName name="ㄱㄷㅁㄱ" hidden="1">{#N/A,#N/A,FALSE,"단축1";#N/A,#N/A,FALSE,"단축2";#N/A,#N/A,FALSE,"단축3";#N/A,#N/A,FALSE,"장축";#N/A,#N/A,FALSE,"4WD"}</definedName>
    <definedName name="ㄱㄷㅎㄱㄷㅎㄷㄱ" hidden="1">{#N/A,#N/A,FALSE,"단축1";#N/A,#N/A,FALSE,"단축2";#N/A,#N/A,FALSE,"단축3";#N/A,#N/A,FALSE,"장축";#N/A,#N/A,FALSE,"4WD"}</definedName>
    <definedName name="ㄱㄷㅎㄱㅎㄱ" hidden="1">{#N/A,#N/A,FALSE,"단축1";#N/A,#N/A,FALSE,"단축2";#N/A,#N/A,FALSE,"단축3";#N/A,#N/A,FALSE,"장축";#N/A,#N/A,FALSE,"4WD"}</definedName>
    <definedName name="ㄱㄹㄹㅇㅍㄹㅇㄴㅇㄿㅍㄹㄹㄹ" hidden="1">{#N/A,#N/A,FALSE,"단축1";#N/A,#N/A,FALSE,"단축2";#N/A,#N/A,FALSE,"단축3";#N/A,#N/A,FALSE,"장축";#N/A,#N/A,FALSE,"4WD"}</definedName>
    <definedName name="ㄱ쇼" hidden="1">{#N/A,#N/A,FALSE,"원가검토서"}</definedName>
    <definedName name="ㄱ쇼ㅗㅕ7ㅑ" hidden="1">{#N/A,#N/A,FALSE,"신규dep";#N/A,#N/A,FALSE,"신규dep-금형상각후";#N/A,#N/A,FALSE,"신규dep-연구비상각후";#N/A,#N/A,FALSE,"신규dep-기계,공구상각후"}</definedName>
    <definedName name="ㄱㅇ" hidden="1">{#N/A,#N/A,FALSE,"단축1";#N/A,#N/A,FALSE,"단축2";#N/A,#N/A,FALSE,"단축3";#N/A,#N/A,FALSE,"장축";#N/A,#N/A,FALSE,"4WD"}</definedName>
    <definedName name="ㄱㅇㄴㅇㄴㅇㄹㄻㅁ" hidden="1">{#N/A,#N/A,FALSE,"단축1";#N/A,#N/A,FALSE,"단축2";#N/A,#N/A,FALSE,"단축3";#N/A,#N/A,FALSE,"장축";#N/A,#N/A,FALSE,"4WD"}</definedName>
    <definedName name="가1" hidden="1">{#N/A,#N/A,TRUE,"Y생산";#N/A,#N/A,TRUE,"Y판매";#N/A,#N/A,TRUE,"Y총물량";#N/A,#N/A,TRUE,"Y능력";#N/A,#N/A,TRUE,"YKD"}</definedName>
    <definedName name="가고싶다" hidden="1">{#N/A,#N/A,FALSE,"단축1";#N/A,#N/A,FALSE,"단축2";#N/A,#N/A,FALSE,"단축3";#N/A,#N/A,FALSE,"장축";#N/A,#N/A,FALSE,"4WD"}</definedName>
    <definedName name="가나" hidden="1">{#N/A,#N/A,FALSE,"단축1";#N/A,#N/A,FALSE,"단축2";#N/A,#N/A,FALSE,"단축3";#N/A,#N/A,FALSE,"장축";#N/A,#N/A,FALSE,"4WD"}</definedName>
    <definedName name="가나다라" hidden="1">{#N/A,#N/A,FALSE,"단축1";#N/A,#N/A,FALSE,"단축2";#N/A,#N/A,FALSE,"단축3";#N/A,#N/A,FALSE,"장축";#N/A,#N/A,FALSE,"4WD"}</definedName>
    <definedName name="가나다라마" hidden="1">{#N/A,#N/A,FALSE,"성적서";#N/A,#N/A,FALSE,"기준을"}</definedName>
    <definedName name="가나마" hidden="1">{#N/A,#N/A,FALSE,"신규dep";#N/A,#N/A,FALSE,"신규dep-금형상각후";#N/A,#N/A,FALSE,"신규dep-연구비상각후";#N/A,#N/A,FALSE,"신규dep-기계,공구상각후"}</definedName>
    <definedName name="가동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을" hidden="1">{#N/A,#N/A,FALSE,"단축1";#N/A,#N/A,FALSE,"단축2";#N/A,#N/A,FALSE,"단축3";#N/A,#N/A,FALSE,"장축";#N/A,#N/A,FALSE,"4WD"}</definedName>
    <definedName name="각" hidden="1">{#N/A,#N/A,FALSE,"단축1";#N/A,#N/A,FALSE,"단축2";#N/A,#N/A,FALSE,"단축3";#N/A,#N/A,FALSE,"장축";#N/A,#N/A,FALSE,"4WD"}</definedName>
    <definedName name="각가가" hidden="1">{#N/A,#N/A,FALSE,"단축1";#N/A,#N/A,FALSE,"단축2";#N/A,#N/A,FALSE,"단축3";#N/A,#N/A,FALSE,"장축";#N/A,#N/A,FALSE,"4WD"}</definedName>
    <definedName name="각방안" hidden="1">{#N/A,#N/A,FALSE,"단축1";#N/A,#N/A,FALSE,"단축2";#N/A,#N/A,FALSE,"단축3";#N/A,#N/A,FALSE,"장축";#N/A,#N/A,FALSE,"4WD"}</definedName>
    <definedName name="각자" hidden="1">{#N/A,#N/A,FALSE,"단축1";#N/A,#N/A,FALSE,"단축2";#N/A,#N/A,FALSE,"단축3";#N/A,#N/A,FALSE,"장축";#N/A,#N/A,FALSE,"4WD"}</definedName>
    <definedName name="개" hidden="1">{#N/A,#N/A,FALSE,"단축1";#N/A,#N/A,FALSE,"단축2";#N/A,#N/A,FALSE,"단축3";#N/A,#N/A,FALSE,"장축";#N/A,#N/A,FALSE,"4WD"}</definedName>
    <definedName name="개발문제범" hidden="1">{#N/A,#N/A,FALSE,"단축1";#N/A,#N/A,FALSE,"단축2";#N/A,#N/A,FALSE,"단축3";#N/A,#N/A,FALSE,"장축";#N/A,#N/A,FALSE,"4WD"}</definedName>
    <definedName name="개발문제범2" hidden="1">{#N/A,#N/A,FALSE,"단축1";#N/A,#N/A,FALSE,"단축2";#N/A,#N/A,FALSE,"단축3";#N/A,#N/A,FALSE,"장축";#N/A,#N/A,FALSE,"4WD"}</definedName>
    <definedName name="개발시험종합" hidden="1">#REF!</definedName>
    <definedName name="개발일정수정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개선과장1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개선내용" hidden="1">{#N/A,#N/A,FALSE,"단축1";#N/A,#N/A,FALSE,"단축2";#N/A,#N/A,FALSE,"단축3";#N/A,#N/A,FALSE,"장축";#N/A,#N/A,FALSE,"4WD"}</definedName>
    <definedName name="개선대책CONT" hidden="1">{#N/A,#N/A,FALSE,"단축1";#N/A,#N/A,FALSE,"단축2";#N/A,#N/A,FALSE,"단축3";#N/A,#N/A,FALSE,"장축";#N/A,#N/A,FALSE,"4WD"}</definedName>
    <definedName name="개선실적" hidden="1">{#N/A,#N/A,TRUE,"Y생산";#N/A,#N/A,TRUE,"Y판매";#N/A,#N/A,TRUE,"Y총물량";#N/A,#N/A,TRUE,"Y능력";#N/A,#N/A,TRUE,"YKD"}</definedName>
    <definedName name="검사기준서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을지" hidden="1">{#N/A,#N/A,FALSE,"단축1";#N/A,#N/A,FALSE,"단축2";#N/A,#N/A,FALSE,"단축3";#N/A,#N/A,FALSE,"장축";#N/A,#N/A,FALSE,"4WD"}</definedName>
    <definedName name="검사협정FRT" hidden="1">{#N/A,#N/A,FALSE,"단축1";#N/A,#N/A,FALSE,"단축2";#N/A,#N/A,FALSE,"단축3";#N/A,#N/A,FALSE,"장축";#N/A,#N/A,FALSE,"4WD"}</definedName>
    <definedName name="검토" hidden="1">{#N/A,#N/A,FALSE,"단축1";#N/A,#N/A,FALSE,"단축2";#N/A,#N/A,FALSE,"단축3";#N/A,#N/A,FALSE,"장축";#N/A,#N/A,FALSE,"4WD"}</definedName>
    <definedName name="검토3" hidden="1">{#N/A,#N/A,FALSE,"단축1";#N/A,#N/A,FALSE,"단축2";#N/A,#N/A,FALSE,"단축3";#N/A,#N/A,FALSE,"장축";#N/A,#N/A,FALSE,"4WD"}</definedName>
    <definedName name="검토6학" hidden="1">{#N/A,#N/A,FALSE,"단축1";#N/A,#N/A,FALSE,"단축2";#N/A,#N/A,FALSE,"단축3";#N/A,#N/A,FALSE,"장축";#N/A,#N/A,FALSE,"4WD"}</definedName>
    <definedName name="검협갑지" hidden="1">#REF!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합금2과운연계획" hidden="1">{#N/A,#N/A,TRUE,"Y생산";#N/A,#N/A,TRUE,"Y판매";#N/A,#N/A,TRUE,"Y총물량";#N/A,#N/A,TRUE,"Y능력";#N/A,#N/A,TRUE,"YKD"}</definedName>
    <definedName name="계획" hidden="1">{#N/A,#N/A,FALSE,"단축1";#N/A,#N/A,FALSE,"단축2";#N/A,#N/A,FALSE,"단축3";#N/A,#N/A,FALSE,"장축";#N/A,#N/A,FALSE,"4WD"}</definedName>
    <definedName name="계획.1" hidden="1">{#N/A,#N/A,FALSE,"단축1";#N/A,#N/A,FALSE,"단축2";#N/A,#N/A,FALSE,"단축3";#N/A,#N/A,FALSE,"장축";#N/A,#N/A,FALSE,"4WD"}</definedName>
    <definedName name="계획1" hidden="1">{#N/A,#N/A,FALSE,"단축1";#N/A,#N/A,FALSE,"단축2";#N/A,#N/A,FALSE,"단축3";#N/A,#N/A,FALSE,"장축";#N/A,#N/A,FALSE,"4WD"}</definedName>
    <definedName name="계획2" hidden="1">{#N/A,#N/A,FALSE,"단축1";#N/A,#N/A,FALSE,"단축2";#N/A,#N/A,FALSE,"단축3";#N/A,#N/A,FALSE,"장축";#N/A,#N/A,FALSE,"4WD"}</definedName>
    <definedName name="계획서" hidden="1">{"Wire Charts",#N/A,TRUE,"Wires"}</definedName>
    <definedName name="고고고" hidden="1">{#N/A,#N/A,FALSE,"원가검토서"}</definedName>
    <definedName name="고어얼어러럴" hidden="1">{#N/A,#N/A,FALSE,"단축1";#N/A,#N/A,FALSE,"단축2";#N/A,#N/A,FALSE,"단축3";#N/A,#N/A,FALSE,"장축";#N/A,#N/A,FALSE,"4WD"}</definedName>
    <definedName name="공" hidden="1">{#N/A,#N/A,FALSE,"단축1";#N/A,#N/A,FALSE,"단축2";#N/A,#N/A,FALSE,"단축3";#N/A,#N/A,FALSE,"장축";#N/A,#N/A,FALSE,"4WD"}</definedName>
    <definedName name="공급자" hidden="1">#REF!</definedName>
    <definedName name="공성환" hidden="1">{#N/A,#N/A,FALSE,"단축1";#N/A,#N/A,FALSE,"단축2";#N/A,#N/A,FALSE,"단축3";#N/A,#N/A,FALSE,"장축";#N/A,#N/A,FALSE,"4WD"}</definedName>
    <definedName name="공정도" hidden="1">{#N/A,#N/A,FALSE,"원가검토서"}</definedName>
    <definedName name="공통" hidden="1">{#N/A,#N/A,FALSE,"단축1";#N/A,#N/A,FALSE,"단축2";#N/A,#N/A,FALSE,"단축3";#N/A,#N/A,FALSE,"장축";#N/A,#N/A,FALSE,"4WD"}</definedName>
    <definedName name="과거" hidden="1">{#N/A,#N/A,FALSE,"단축1";#N/A,#N/A,FALSE,"단축2";#N/A,#N/A,FALSE,"단축3";#N/A,#N/A,FALSE,"장축";#N/A,#N/A,FALSE,"4WD"}</definedName>
    <definedName name="과거차" hidden="1">{#N/A,#N/A,FALSE,"단축1";#N/A,#N/A,FALSE,"단축2";#N/A,#N/A,FALSE,"단축3";#N/A,#N/A,FALSE,"장축";#N/A,#N/A,FALSE,"4WD"}</definedName>
    <definedName name="과거차_01" hidden="1">{#N/A,#N/A,FALSE,"단축1";#N/A,#N/A,FALSE,"단축2";#N/A,#N/A,FALSE,"단축3";#N/A,#N/A,FALSE,"장축";#N/A,#N/A,FALSE,"4WD"}</definedName>
    <definedName name="과거차06" hidden="1">{#N/A,#N/A,FALSE,"단축1";#N/A,#N/A,FALSE,"단축2";#N/A,#N/A,FALSE,"단축3";#N/A,#N/A,FALSE,"장축";#N/A,#N/A,FALSE,"4WD"}</definedName>
    <definedName name="과거차07" hidden="1">{#N/A,#N/A,FALSE,"단축1";#N/A,#N/A,FALSE,"단축2";#N/A,#N/A,FALSE,"단축3";#N/A,#N/A,FALSE,"장축";#N/A,#N/A,FALSE,"4WD"}</definedName>
    <definedName name="과거차문제1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관리지표2" hidden="1">{#N/A,#N/A,TRUE,"Y생산";#N/A,#N/A,TRUE,"Y판매";#N/A,#N/A,TRUE,"Y총물량";#N/A,#N/A,TRUE,"Y능력";#N/A,#N/A,TRUE,"YKD"}</definedName>
    <definedName name="권오종" hidden="1">{#N/A,#N/A,FALSE,"단축1";#N/A,#N/A,FALSE,"단축2";#N/A,#N/A,FALSE,"단축3";#N/A,#N/A,FALSE,"장축";#N/A,#N/A,FALSE,"4WD"}</definedName>
    <definedName name="그레이스2" hidden="1">{#N/A,#N/A,FALSE,"단축1";#N/A,#N/A,FALSE,"단축2";#N/A,#N/A,FALSE,"단축3";#N/A,#N/A,FALSE,"장축";#N/A,#N/A,FALSE,"4WD"}</definedName>
    <definedName name="그룹나눈" hidden="1">{#N/A,#N/A,FALSE,"단축1";#N/A,#N/A,FALSE,"단축2";#N/A,#N/A,FALSE,"단축3";#N/A,#N/A,FALSE,"장축";#N/A,#N/A,FALSE,"4WD"}</definedName>
    <definedName name="그림1" hidden="1">{#N/A,#N/A,FALSE,"을지 (4)";#N/A,#N/A,FALSE,"을지 (5)";#N/A,#N/A,FALSE,"을지 (6)"}</definedName>
    <definedName name="근거2" hidden="1">{#N/A,#N/A,FALSE,"단축1";#N/A,#N/A,FALSE,"단축2";#N/A,#N/A,FALSE,"단축3";#N/A,#N/A,FALSE,"장축";#N/A,#N/A,FALSE,"4WD"}</definedName>
    <definedName name="금" hidden="1">{#N/A,#N/A,FALSE,"원가검토서"}</definedName>
    <definedName name="금월" hidden="1">{#N/A,#N/A,TRUE,"Y생산";#N/A,#N/A,TRUE,"Y판매";#N/A,#N/A,TRUE,"Y총물량";#N/A,#N/A,TRUE,"Y능력";#N/A,#N/A,TRUE,"YKD"}</definedName>
    <definedName name="금형" hidden="1">{#N/A,#N/A,FALSE,"원가검토서"}</definedName>
    <definedName name="금형3" hidden="1">{#N/A,#N/A,FALSE,"단축1";#N/A,#N/A,FALSE,"단축2";#N/A,#N/A,FALSE,"단축3";#N/A,#N/A,FALSE,"장축";#N/A,#N/A,FALSE,"4WD"}</definedName>
    <definedName name="금형견적" hidden="1">{#N/A,#N/A,FALSE,"원가검토서"}</definedName>
    <definedName name="금형제작일정" hidden="1">{#N/A,#N/A,FALSE,"단축1";#N/A,#N/A,FALSE,"단축2";#N/A,#N/A,FALSE,"단축3";#N/A,#N/A,FALSE,"장축";#N/A,#N/A,FALSE,"4WD"}</definedName>
    <definedName name="금형진행현황" hidden="1">{#N/A,#N/A,FALSE,"Cst of Sales (2)"}</definedName>
    <definedName name="기관예산" hidden="1">{#N/A,#N/A,FALSE,"단축1";#N/A,#N/A,FALSE,"단축2";#N/A,#N/A,FALSE,"단축3";#N/A,#N/A,FALSE,"장축";#N/A,#N/A,FALSE,"4WD"}</definedName>
    <definedName name="기르는" hidden="1">{#N/A,#N/A,FALSE,"단축1";#N/A,#N/A,FALSE,"단축2";#N/A,#N/A,FALSE,"단축3";#N/A,#N/A,FALSE,"장축";#N/A,#N/A,FALSE,"4WD"}</definedName>
    <definedName name="기른" hidden="1">{#N/A,#N/A,FALSE,"단축1";#N/A,#N/A,FALSE,"단축2";#N/A,#N/A,FALSE,"단축3";#N/A,#N/A,FALSE,"장축";#N/A,#N/A,FALSE,"4WD"}</definedName>
    <definedName name="기를다" hidden="1">{#N/A,#N/A,FALSE,"단축1";#N/A,#N/A,FALSE,"단축2";#N/A,#N/A,FALSE,"단축3";#N/A,#N/A,FALSE,"장축";#N/A,#N/A,FALSE,"4WD"}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" hidden="1">{#N/A,#N/A,FALSE,"단축1";#N/A,#N/A,FALSE,"단축2";#N/A,#N/A,FALSE,"단축3";#N/A,#N/A,FALSE,"장축";#N/A,#N/A,FALSE,"4WD"}</definedName>
    <definedName name="기술" hidden="1">{#N/A,#N/A,FALSE,"단축1";#N/A,#N/A,FALSE,"단축2";#N/A,#N/A,FALSE,"단축3";#N/A,#N/A,FALSE,"장축";#N/A,#N/A,FALSE,"4WD"}</definedName>
    <definedName name="기아" hidden="1">{#N/A,#N/A,FALSE,"단축1";#N/A,#N/A,FALSE,"단축2";#N/A,#N/A,FALSE,"단축3";#N/A,#N/A,FALSE,"장축";#N/A,#N/A,FALSE,"4WD"}</definedName>
    <definedName name="기아자동차" hidden="1">{#N/A,#N/A,FALSE,"단축1";#N/A,#N/A,FALSE,"단축2";#N/A,#N/A,FALSE,"단축3";#N/A,#N/A,FALSE,"장축";#N/A,#N/A,FALSE,"4WD"}</definedName>
    <definedName name="기존차" hidden="1">{#N/A,#N/A,FALSE,"단축1";#N/A,#N/A,FALSE,"단축2";#N/A,#N/A,FALSE,"단축3";#N/A,#N/A,FALSE,"장축";#N/A,#N/A,FALSE,"4WD"}</definedName>
    <definedName name="김광태" hidden="1">{#N/A,#N/A,FALSE,"단축1";#N/A,#N/A,FALSE,"단축2";#N/A,#N/A,FALSE,"단축3";#N/A,#N/A,FALSE,"장축";#N/A,#N/A,FALSE,"4WD"}</definedName>
    <definedName name="김윤기" hidden="1">{#N/A,#N/A,FALSE,"단축1";#N/A,#N/A,FALSE,"단축2";#N/A,#N/A,FALSE,"단축3";#N/A,#N/A,FALSE,"장축";#N/A,#N/A,FALSE,"4WD"}</definedName>
    <definedName name="김종경" hidden="1">{#N/A,#N/A,FALSE,"단축1";#N/A,#N/A,FALSE,"단축2";#N/A,#N/A,FALSE,"단축3";#N/A,#N/A,FALSE,"장축";#N/A,#N/A,FALSE,"4WD"}</definedName>
    <definedName name="ㄳㄱㄷㄱ" hidden="1">{#N/A,#N/A,FALSE,"단축1";#N/A,#N/A,FALSE,"단축2";#N/A,#N/A,FALSE,"단축3";#N/A,#N/A,FALSE,"장축";#N/A,#N/A,FALSE,"4WD"}</definedName>
    <definedName name="ㄳㄷㄳ" hidden="1">{#N/A,#N/A,FALSE,"단축1";#N/A,#N/A,FALSE,"단축2";#N/A,#N/A,FALSE,"단축3";#N/A,#N/A,FALSE,"장축";#N/A,#N/A,FALSE,"4WD"}</definedName>
    <definedName name="ㄳㅁㄴ" hidden="1">{#N/A,#N/A,FALSE,"단축1";#N/A,#N/A,FALSE,"단축2";#N/A,#N/A,FALSE,"단축3";#N/A,#N/A,FALSE,"장축";#N/A,#N/A,FALSE,"4WD"}</definedName>
    <definedName name="ㄴㄹ" hidden="1">{#N/A,#N/A,FALSE,"단축1";#N/A,#N/A,FALSE,"단축2";#N/A,#N/A,FALSE,"단축3";#N/A,#N/A,FALSE,"장축";#N/A,#N/A,FALSE,"4WD"}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ㄹ" hidden="1">{#N/A,#N/A,FALSE,"단축1";#N/A,#N/A,FALSE,"단축2";#N/A,#N/A,FALSE,"단축3";#N/A,#N/A,FALSE,"장축";#N/A,#N/A,FALSE,"4WD"}</definedName>
    <definedName name="ㄴㅁㄹㅊㅇ" hidden="1">{#N/A,#N/A,FALSE,"단축1";#N/A,#N/A,FALSE,"단축2";#N/A,#N/A,FALSE,"단축3";#N/A,#N/A,FALSE,"장축";#N/A,#N/A,FALSE,"4WD"}</definedName>
    <definedName name="ㄴㅁㅅㅎㄹㅇ놀허ㅗㅎ" hidden="1">{#N/A,#N/A,FALSE,"단축1";#N/A,#N/A,FALSE,"단축2";#N/A,#N/A,FALSE,"단축3";#N/A,#N/A,FALSE,"장축";#N/A,#N/A,FALSE,"4WD"}</definedName>
    <definedName name="ㄴㅁㅇㅎㅇ롱로" hidden="1">#REF!</definedName>
    <definedName name="ㄴㅁ표ㅕㅓㅗ올ㅇ" hidden="1">{#N/A,#N/A,FALSE,"단축1";#N/A,#N/A,FALSE,"단축2";#N/A,#N/A,FALSE,"단축3";#N/A,#N/A,FALSE,"장축";#N/A,#N/A,FALSE,"4WD"}</definedName>
    <definedName name="ㄴㅅㄹ흁ㅇ" hidden="1">{#N/A,#N/A,FALSE,"단축1";#N/A,#N/A,FALSE,"단축2";#N/A,#N/A,FALSE,"단축3";#N/A,#N/A,FALSE,"장축";#N/A,#N/A,FALSE,"4WD"}</definedName>
    <definedName name="ㄴㅇ" hidden="1">{#N/A,#N/A,TRUE,"Y생산";#N/A,#N/A,TRUE,"Y판매";#N/A,#N/A,TRUE,"Y총물량";#N/A,#N/A,TRUE,"Y능력";#N/A,#N/A,TRUE,"YKD"}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ㅇㄴㄹ" hidden="1">{#N/A,#N/A,FALSE,"단축1";#N/A,#N/A,FALSE,"단축2";#N/A,#N/A,FALSE,"단축3";#N/A,#N/A,FALSE,"장축";#N/A,#N/A,FALSE,"4WD"}</definedName>
    <definedName name="ㄴㅇㄻㄴ" hidden="1">{#N/A,#N/A,FALSE,"Status";#N/A,#N/A,FALSE,"Deckblatt 1";#N/A,#N/A,FALSE,"Deckblatt2"}</definedName>
    <definedName name="ㄴㅇㅊㄹㄴㅇㄹ" hidden="1">{#N/A,#N/A,FALSE,"단축1";#N/A,#N/A,FALSE,"단축2";#N/A,#N/A,FALSE,"단축3";#N/A,#N/A,FALSE,"장축";#N/A,#N/A,FALSE,"4WD"}</definedName>
    <definedName name="ㄴㅇㅎㅇㅀ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ㄴ퓰ㅇㅍㄴㅅㅇ" hidden="1">{#N/A,#N/A,FALSE,"단축1";#N/A,#N/A,FALSE,"단축2";#N/A,#N/A,FALSE,"단축3";#N/A,#N/A,FALSE,"장축";#N/A,#N/A,FALSE,"4WD"}</definedName>
    <definedName name="나나나" hidden="1">{#N/A,#N/A,FALSE,"단축1";#N/A,#N/A,FALSE,"단축2";#N/A,#N/A,FALSE,"단축3";#N/A,#N/A,FALSE,"장축";#N/A,#N/A,FALSE,"4WD"}</definedName>
    <definedName name="나다라" hidden="1">{#N/A,#N/A,FALSE,"단축1";#N/A,#N/A,FALSE,"단축2";#N/A,#N/A,FALSE,"단축3";#N/A,#N/A,FALSE,"장축";#N/A,#N/A,FALSE,"4WD"}</definedName>
    <definedName name="나라말" hidden="1">{#N/A,#N/A,FALSE,"단축1";#N/A,#N/A,FALSE,"단축2";#N/A,#N/A,FALSE,"단축3";#N/A,#N/A,FALSE,"장축";#N/A,#N/A,FALSE,"4WD"}</definedName>
    <definedName name="내역분석" hidden="1">{#N/A,#N/A,FALSE,"을지 (4)";#N/A,#N/A,FALSE,"을지 (5)";#N/A,#N/A,FALSE,"을지 (6)"}</definedName>
    <definedName name="냉각" hidden="1">{#N/A,#N/A,FALSE,"단축1";#N/A,#N/A,FALSE,"단축2";#N/A,#N/A,FALSE,"단축3";#N/A,#N/A,FALSE,"장축";#N/A,#N/A,FALSE,"4WD"}</definedName>
    <definedName name="년도" hidden="1">{#N/A,#N/A,FALSE,"단축1";#N/A,#N/A,FALSE,"단축2";#N/A,#N/A,FALSE,"단축3";#N/A,#N/A,FALSE,"장축";#N/A,#N/A,FALSE,"4WD"}</definedName>
    <definedName name="ㄶㄱㅍㄱㅎㄱㅍ" hidden="1">{#N/A,#N/A,FALSE,"단축1";#N/A,#N/A,FALSE,"단축2";#N/A,#N/A,FALSE,"단축3";#N/A,#N/A,FALSE,"장축";#N/A,#N/A,FALSE,"4WD"}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ㄱㄱㄷ" hidden="1">{#N/A,#N/A,FALSE,"신규dep";#N/A,#N/A,FALSE,"신규dep-금형상각후";#N/A,#N/A,FALSE,"신규dep-연구비상각후";#N/A,#N/A,FALSE,"신규dep-기계,공구상각후"}</definedName>
    <definedName name="ㄷㄱㄱㄾㅊ" hidden="1">{#N/A,#N/A,FALSE,"단축1";#N/A,#N/A,FALSE,"단축2";#N/A,#N/A,FALSE,"단축3";#N/A,#N/A,FALSE,"장축";#N/A,#N/A,FALSE,"4WD"}</definedName>
    <definedName name="ㄷㄱㄷㄱ" hidden="1">{#N/A,#N/A,FALSE,"단축1";#N/A,#N/A,FALSE,"단축2";#N/A,#N/A,FALSE,"단축3";#N/A,#N/A,FALSE,"장축";#N/A,#N/A,FALSE,"4WD"}</definedName>
    <definedName name="ㄷㄱㄷㄱㄱ" hidden="1">{#N/A,#N/A,FALSE,"단축1";#N/A,#N/A,FALSE,"단축2";#N/A,#N/A,FALSE,"단축3";#N/A,#N/A,FALSE,"장축";#N/A,#N/A,FALSE,"4WD"}</definedName>
    <definedName name="ㄷㄱㄹㄷㄱㄷ" hidden="1">{#N/A,#N/A,FALSE,"단축1";#N/A,#N/A,FALSE,"단축2";#N/A,#N/A,FALSE,"단축3";#N/A,#N/A,FALSE,"장축";#N/A,#N/A,FALSE,"4WD"}</definedName>
    <definedName name="ㄷㄱㄹㄷㄱㄹㄹ" hidden="1">{#N/A,#N/A,FALSE,"단축1";#N/A,#N/A,FALSE,"단축2";#N/A,#N/A,FALSE,"단축3";#N/A,#N/A,FALSE,"장축";#N/A,#N/A,FALSE,"4WD"}</definedName>
    <definedName name="ㄷㄱㄺ" hidden="1">{#N/A,#N/A,FALSE,"단축1";#N/A,#N/A,FALSE,"단축2";#N/A,#N/A,FALSE,"단축3";#N/A,#N/A,FALSE,"장축";#N/A,#N/A,FALSE,"4WD"}</definedName>
    <definedName name="ㄷㄱㅎㄱㄷㅎ" hidden="1">{#N/A,#N/A,FALSE,"단축1";#N/A,#N/A,FALSE,"단축2";#N/A,#N/A,FALSE,"단축3";#N/A,#N/A,FALSE,"장축";#N/A,#N/A,FALSE,"4WD"}</definedName>
    <definedName name="ㄷㄱㅎㄷ" hidden="1">{#N/A,#N/A,FALSE,"단축1";#N/A,#N/A,FALSE,"단축2";#N/A,#N/A,FALSE,"단축3";#N/A,#N/A,FALSE,"장축";#N/A,#N/A,FALSE,"4WD"}</definedName>
    <definedName name="ㄷㄱㅎㄷㄱㅍ" hidden="1">{#N/A,#N/A,FALSE,"단축1";#N/A,#N/A,FALSE,"단축2";#N/A,#N/A,FALSE,"단축3";#N/A,#N/A,FALSE,"장축";#N/A,#N/A,FALSE,"4WD"}</definedName>
    <definedName name="ㄷ고ㅓ서" hidden="1">{#N/A,#N/A,FALSE,"단축1";#N/A,#N/A,FALSE,"단축2";#N/A,#N/A,FALSE,"단축3";#N/A,#N/A,FALSE,"장축";#N/A,#N/A,FALSE,"4WD"}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ㄷㄱㄹㅇ" hidden="1">{#N/A,#N/A,FALSE,"단축1";#N/A,#N/A,FALSE,"단축2";#N/A,#N/A,FALSE,"단축3";#N/A,#N/A,FALSE,"장축";#N/A,#N/A,FALSE,"4WD"}</definedName>
    <definedName name="ㄷㄴㅁㅅㅎㅀ" hidden="1">{#N/A,#N/A,FALSE,"단축1";#N/A,#N/A,FALSE,"단축2";#N/A,#N/A,FALSE,"단축3";#N/A,#N/A,FALSE,"장축";#N/A,#N/A,FALSE,"4WD"}</definedName>
    <definedName name="ㄷㄷ" hidden="1">{#N/A,#N/A,FALSE,"단축1";#N/A,#N/A,FALSE,"단축2";#N/A,#N/A,FALSE,"단축3";#N/A,#N/A,FALSE,"장축";#N/A,#N/A,FALSE,"4WD"}</definedName>
    <definedName name="ㄷㄷㄷ" hidden="1">{#N/A,#N/A,FALSE,"단축1";#N/A,#N/A,FALSE,"단축2";#N/A,#N/A,FALSE,"단축3";#N/A,#N/A,FALSE,"장축";#N/A,#N/A,FALSE,"4WD"}</definedName>
    <definedName name="ㄷㅂㄷㄱㅍㅌㅌㅌ" hidden="1">{#N/A,#N/A,FALSE,"단축1";#N/A,#N/A,FALSE,"단축2";#N/A,#N/A,FALSE,"단축3";#N/A,#N/A,FALSE,"장축";#N/A,#N/A,FALSE,"4WD"}</definedName>
    <definedName name="ㄷㅇ" hidden="1">{#N/A,#N/A,TRUE,"Y생산";#N/A,#N/A,TRUE,"Y판매";#N/A,#N/A,TRUE,"Y총물량";#N/A,#N/A,TRUE,"Y능력";#N/A,#N/A,TRUE,"YKD"}</definedName>
    <definedName name="ㄷㅇ굣ㄴㄷㅁ" hidden="1">{#N/A,#N/A,FALSE,"단축1";#N/A,#N/A,FALSE,"단축2";#N/A,#N/A,FALSE,"단축3";#N/A,#N/A,FALSE,"장축";#N/A,#N/A,FALSE,"4WD"}</definedName>
    <definedName name="ㄷㅇㅅㄹ" hidden="1">{#N/A,#N/A,FALSE,"단축1";#N/A,#N/A,FALSE,"단축2";#N/A,#N/A,FALSE,"단축3";#N/A,#N/A,FALSE,"장축";#N/A,#N/A,FALSE,"4WD"}</definedName>
    <definedName name="ㄷㅈㄱㄱㄷ" hidden="1">{#N/A,#N/A,FALSE,"단축1";#N/A,#N/A,FALSE,"단축2";#N/A,#N/A,FALSE,"단축3";#N/A,#N/A,FALSE,"장축";#N/A,#N/A,FALSE,"4WD"}</definedName>
    <definedName name="ㄷ춋ㅇㅍ" hidden="1">{#N/A,#N/A,FALSE,"단축1";#N/A,#N/A,FALSE,"단축2";#N/A,#N/A,FALSE,"단축3";#N/A,#N/A,FALSE,"장축";#N/A,#N/A,FALSE,"4WD"}</definedName>
    <definedName name="ㄷㅎㄱㄷㅅㄱ" hidden="1">{#N/A,#N/A,FALSE,"단축1";#N/A,#N/A,FALSE,"단축2";#N/A,#N/A,FALSE,"단축3";#N/A,#N/A,FALSE,"장축";#N/A,#N/A,FALSE,"4WD"}</definedName>
    <definedName name="ㄷㅎㅎㄱ" hidden="1">{#N/A,#N/A,FALSE,"단축1";#N/A,#N/A,FALSE,"단축2";#N/A,#N/A,FALSE,"단축3";#N/A,#N/A,FALSE,"장축";#N/A,#N/A,FALSE,"4WD"}</definedName>
    <definedName name="다나가라" hidden="1">{#N/A,#N/A,FALSE,"단축1";#N/A,#N/A,FALSE,"단축2";#N/A,#N/A,FALSE,"단축3";#N/A,#N/A,FALSE,"장축";#N/A,#N/A,FALSE,"4WD"}</definedName>
    <definedName name="단가기준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담당1" hidden="1">{#N/A,#N/A,TRUE,"일정"}</definedName>
    <definedName name="대부" hidden="1">{#N/A,#N/A,FALSE,"단축1";#N/A,#N/A,FALSE,"단축2";#N/A,#N/A,FALSE,"단축3";#N/A,#N/A,FALSE,"장축";#N/A,#N/A,FALSE,"4WD"}</definedName>
    <definedName name="대부분" hidden="1">{#N/A,#N/A,FALSE,"단축1";#N/A,#N/A,FALSE,"단축2";#N/A,#N/A,FALSE,"단축3";#N/A,#N/A,FALSE,"장축";#N/A,#N/A,FALSE,"4WD"}</definedName>
    <definedName name="대책11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대책서분" hidden="1">{#N/A,#N/A,FALSE,"단축1";#N/A,#N/A,FALSE,"단축2";#N/A,#N/A,FALSE,"단축3";#N/A,#N/A,FALSE,"장축";#N/A,#N/A,FALSE,"4WD"}</definedName>
    <definedName name="덕양" hidden="1">{#N/A,#N/A,FALSE,"해외크레임";#N/A,#N/A,FALSE,"ACCENT현황";#N/A,#N/A,FALSE,"AVANTE";#N/A,#N/A,FALSE,"SONATA(3)";#N/A,#N/A,FALSE,"국내크레임"}</definedName>
    <definedName name="뎌768" hidden="1">{#N/A,#N/A,FALSE,"단축1";#N/A,#N/A,FALSE,"단축2";#N/A,#N/A,FALSE,"단축3";#N/A,#N/A,FALSE,"장축";#N/A,#N/A,FALSE,"4WD"}</definedName>
    <definedName name="도면반" hidden="1">{#N/A,#N/A,FALSE,"단축1";#N/A,#N/A,FALSE,"단축2";#N/A,#N/A,FALSE,"단축3";#N/A,#N/A,FALSE,"장축";#N/A,#N/A,FALSE,"4WD"}</definedName>
    <definedName name="동국" hidden="1">{#N/A,#N/A,FALSE,"해외크레임";#N/A,#N/A,FALSE,"ACCENT현황";#N/A,#N/A,FALSE,"AVANTE";#N/A,#N/A,FALSE,"SONATA(3)";#N/A,#N/A,FALSE,"국내크레임"}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" hidden="1">{#N/A,#N/A,FALSE,"단축1";#N/A,#N/A,FALSE,"단축2";#N/A,#N/A,FALSE,"단축3";#N/A,#N/A,FALSE,"장축";#N/A,#N/A,FALSE,"4WD"}</definedName>
    <definedName name="ㄹㄹㄹㄹㄹ" hidden="1">{#N/A,#N/A,FALSE,"단축1";#N/A,#N/A,FALSE,"단축2";#N/A,#N/A,FALSE,"단축3";#N/A,#N/A,FALSE,"장축";#N/A,#N/A,FALSE,"4WD"}</definedName>
    <definedName name="ㄹㄹㅇ" hidden="1">{#N/A,#N/A,FALSE,"단축1";#N/A,#N/A,FALSE,"단축2";#N/A,#N/A,FALSE,"단축3";#N/A,#N/A,FALSE,"장축";#N/A,#N/A,FALSE,"4WD"}</definedName>
    <definedName name="ㄹㅇ" hidden="1">{#N/A,#N/A,TRUE,"Y생산";#N/A,#N/A,TRUE,"Y판매";#N/A,#N/A,TRUE,"Y총물량";#N/A,#N/A,TRUE,"Y능력";#N/A,#N/A,TRUE,"YKD"}</definedName>
    <definedName name="ㄹㅇㄹㅇㅇㄹ" hidden="1">{#N/A,#N/A,FALSE,"단축1";#N/A,#N/A,FALSE,"단축2";#N/A,#N/A,FALSE,"단축3";#N/A,#N/A,FALSE,"장축";#N/A,#N/A,FALSE,"4WD"}</definedName>
    <definedName name="ㄹㅇㅀ" hidden="1">{#N/A,#N/A,FALSE,"단축1";#N/A,#N/A,FALSE,"단축2";#N/A,#N/A,FALSE,"단축3";#N/A,#N/A,FALSE,"장축";#N/A,#N/A,FALSE,"4WD"}</definedName>
    <definedName name="ㄹㅇㅇㄹ" hidden="1">{#N/A,#N/A,FALSE,"단축1";#N/A,#N/A,FALSE,"단축2";#N/A,#N/A,FALSE,"단축3";#N/A,#N/A,FALSE,"장축";#N/A,#N/A,FALSE,"4WD"}</definedName>
    <definedName name="ㄹㅇㅎㄷㅀㄴㄷ" hidden="1">{#N/A,#N/A,FALSE,"단축1";#N/A,#N/A,FALSE,"단축2";#N/A,#N/A,FALSE,"단축3";#N/A,#N/A,FALSE,"장축";#N/A,#N/A,FALSE,"4WD"}</definedName>
    <definedName name="ㄹㅇ후ㅗㅜ" hidden="1">{#N/A,#N/A,FALSE,"단축1";#N/A,#N/A,FALSE,"단축2";#N/A,#N/A,FALSE,"단축3";#N/A,#N/A,FALSE,"장축";#N/A,#N/A,FALSE,"4WD"}</definedName>
    <definedName name="ㄹ어ㅓ럴" hidden="1">{#N/A,#N/A,FALSE,"단축1";#N/A,#N/A,FALSE,"단축2";#N/A,#N/A,FALSE,"단축3";#N/A,#N/A,FALSE,"장축";#N/A,#N/A,FALSE,"4WD"}</definedName>
    <definedName name="ㄹ유" hidden="1">{#N/A,#N/A,FALSE,"단축1";#N/A,#N/A,FALSE,"단축2";#N/A,#N/A,FALSE,"단축3";#N/A,#N/A,FALSE,"장축";#N/A,#N/A,FALSE,"4WD"}</definedName>
    <definedName name="ㄹ호" hidden="1">{#N/A,#N/A,FALSE,"단축1";#N/A,#N/A,FALSE,"단축2";#N/A,#N/A,FALSE,"단축3";#N/A,#N/A,FALSE,"장축";#N/A,#N/A,FALSE,"4WD"}</definedName>
    <definedName name="ㄹ호ㅎㄹ" hidden="1">{#N/A,#N/A,FALSE,"단축1";#N/A,#N/A,FALSE,"단축2";#N/A,#N/A,FALSE,"단축3";#N/A,#N/A,FALSE,"장축";#N/A,#N/A,FALSE,"4WD"}</definedName>
    <definedName name="ㄹ후ㅗㅗ후ㅗㅎ" hidden="1">{#N/A,#N/A,FALSE,"단축1";#N/A,#N/A,FALSE,"단축2";#N/A,#N/A,FALSE,"단축3";#N/A,#N/A,FALSE,"장축";#N/A,#N/A,FALSE,"4WD"}</definedName>
    <definedName name="ㄹ히" hidden="1">{#N/A,#N/A,TRUE,"Y생산";#N/A,#N/A,TRUE,"Y판매";#N/A,#N/A,TRUE,"Y총물량";#N/A,#N/A,TRUE,"Y능력";#N/A,#N/A,TRUE,"YKD"}</definedName>
    <definedName name="라이ㅣㅇ" hidden="1">{#N/A,#N/A,FALSE,"단축1";#N/A,#N/A,FALSE,"단축2";#N/A,#N/A,FALSE,"단축3";#N/A,#N/A,FALSE,"장축";#N/A,#N/A,FALSE,"4WD"}</definedName>
    <definedName name="러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로커망러ㅏ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로ㅎ루ㅗㅗㅎ" hidden="1">{#N/A,#N/A,FALSE,"단축1";#N/A,#N/A,FALSE,"단축2";#N/A,#N/A,FALSE,"단축3";#N/A,#N/A,FALSE,"장축";#N/A,#N/A,FALSE,"4WD"}</definedName>
    <definedName name="롱" hidden="1">{#N/A,#N/A,FALSE,"단축1";#N/A,#N/A,FALSE,"단축2";#N/A,#N/A,FALSE,"단축3";#N/A,#N/A,FALSE,"장축";#N/A,#N/A,FALSE,"4WD"}</definedName>
    <definedName name="롸ㅡㅗ" hidden="1">{#N/A,#N/A,FALSE,"단축1";#N/A,#N/A,FALSE,"단축2";#N/A,#N/A,FALSE,"단축3";#N/A,#N/A,FALSE,"장축";#N/A,#N/A,FALSE,"4WD"}</definedName>
    <definedName name="류ㅎ호ㅗ" hidden="1">{#N/A,#N/A,FALSE,"단축1";#N/A,#N/A,FALSE,"단축2";#N/A,#N/A,FALSE,"단축3";#N/A,#N/A,FALSE,"장축";#N/A,#N/A,FALSE,"4WD"}</definedName>
    <definedName name="률율" hidden="1">{#N/A,#N/A,FALSE,"단축1";#N/A,#N/A,FALSE,"단축2";#N/A,#N/A,FALSE,"단축3";#N/A,#N/A,FALSE,"장축";#N/A,#N/A,FALSE,"4WD"}</definedName>
    <definedName name="링오" hidden="1">{#N/A,#N/A,FALSE,"단축1";#N/A,#N/A,FALSE,"단축2";#N/A,#N/A,FALSE,"단축3";#N/A,#N/A,FALSE,"장축";#N/A,#N/A,FALSE,"4WD"}</definedName>
    <definedName name="ㄻㄴ" hidden="1">{#N/A,#N/A,FALSE,"단축1";#N/A,#N/A,FALSE,"단축2";#N/A,#N/A,FALSE,"단축3";#N/A,#N/A,FALSE,"장축";#N/A,#N/A,FALSE,"4WD"}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ㄿㄹㅇ" hidden="1">{#N/A,#N/A,FALSE,"단축1";#N/A,#N/A,FALSE,"단축2";#N/A,#N/A,FALSE,"단축3";#N/A,#N/A,FALSE,"장축";#N/A,#N/A,FALSE,"4WD"}</definedName>
    <definedName name="ㄿㅁㅁㅁ" hidden="1">{#N/A,#N/A,FALSE,"단축1";#N/A,#N/A,FALSE,"단축2";#N/A,#N/A,FALSE,"단축3";#N/A,#N/A,FALSE,"장축";#N/A,#N/A,FALSE,"4WD"}</definedName>
    <definedName name="ㅀ" hidden="1">{#N/A,#N/A,FALSE,"단축1";#N/A,#N/A,FALSE,"단축2";#N/A,#N/A,FALSE,"단축3";#N/A,#N/A,FALSE,"장축";#N/A,#N/A,FALSE,"4WD"}</definedName>
    <definedName name="ㅀㅁ오" hidden="1">{#N/A,#N/A,FALSE,"신규dep";#N/A,#N/A,FALSE,"신규dep-금형상각후";#N/A,#N/A,FALSE,"신규dep-연구비상각후";#N/A,#N/A,FALSE,"신규dep-기계,공구상각후"}</definedName>
    <definedName name="ㅀ미리밀ㅎ밈림" hidden="1">{#N/A,#N/A,FALSE,"을지 (4)";#N/A,#N/A,FALSE,"을지 (5)";#N/A,#N/A,FALSE,"을지 (6)"}</definedName>
    <definedName name="ㅀㅇ" hidden="1">#REF!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ㄹ호" hidden="1">{#N/A,#N/A,FALSE,"단축1";#N/A,#N/A,FALSE,"단축2";#N/A,#N/A,FALSE,"단축3";#N/A,#N/A,FALSE,"장축";#N/A,#N/A,FALSE,"4WD"}</definedName>
    <definedName name="ㅀ후ㅎ루" hidden="1">{#N/A,#N/A,FALSE,"신규dep";#N/A,#N/A,FALSE,"신규dep-금형상각후";#N/A,#N/A,FALSE,"신규dep-연구비상각후";#N/A,#N/A,FALSE,"신규dep-기계,공구상각후"}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ㅇ" hidden="1">{#N/A,#N/A,FALSE,"단축1";#N/A,#N/A,FALSE,"단축2";#N/A,#N/A,FALSE,"단축3";#N/A,#N/A,FALSE,"장축";#N/A,#N/A,FALSE,"4WD"}</definedName>
    <definedName name="ㅁㄴㅇ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ㄴㅁㄹ" hidden="1">{#N/A,#N/A,FALSE,"단축1";#N/A,#N/A,FALSE,"단축2";#N/A,#N/A,FALSE,"단축3";#N/A,#N/A,FALSE,"장축";#N/A,#N/A,FALSE,"4WD"}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ㄹ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ㅁㄴㅁ" hidden="1">{#N/A,#N/A,FALSE,"단축1";#N/A,#N/A,FALSE,"단축2";#N/A,#N/A,FALSE,"단축3";#N/A,#N/A,FALSE,"장축";#N/A,#N/A,FALSE,"4WD"}</definedName>
    <definedName name="ㅁㅅㅎㄴㅀㄹ" hidden="1">{#N/A,#N/A,FALSE,"단축1";#N/A,#N/A,FALSE,"단축2";#N/A,#N/A,FALSE,"단축3";#N/A,#N/A,FALSE,"장축";#N/A,#N/A,FALSE,"4WD"}</definedName>
    <definedName name="ㅁㅇ" hidden="1">{#N/A,#N/A,TRUE,"Y생산";#N/A,#N/A,TRUE,"Y판매";#N/A,#N/A,TRUE,"Y총물량";#N/A,#N/A,TRUE,"Y능력";#N/A,#N/A,TRUE,"YKD"}</definedName>
    <definedName name="ㅁㅇㄱㅎ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ㄻ" hidden="1">{#N/A,#N/A,FALSE,"단축1";#N/A,#N/A,FALSE,"단축2";#N/A,#N/A,FALSE,"단축3";#N/A,#N/A,FALSE,"장축";#N/A,#N/A,FALSE,"4WD"}</definedName>
    <definedName name="ㅁㅇㅀ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ㅇㅊㅁㄴㅇㄹ" hidden="1">{#N/A,#N/A,FALSE,"단축1";#N/A,#N/A,FALSE,"단축2";#N/A,#N/A,FALSE,"단축3";#N/A,#N/A,FALSE,"장축";#N/A,#N/A,FALSE,"4WD"}</definedName>
    <definedName name="ㅁㅇㅎㅁㅎㅁ" hidden="1">{#N/A,#N/A,FALSE,"단축1";#N/A,#N/A,FALSE,"단축2";#N/A,#N/A,FALSE,"단축3";#N/A,#N/A,FALSE,"장축";#N/A,#N/A,FALSE,"4WD"}</definedName>
    <definedName name="ㅁㅇㅎㅁㅎㅁㅎ뫃ㅁ" hidden="1">{#N/A,#N/A,FALSE,"단축1";#N/A,#N/A,FALSE,"단축2";#N/A,#N/A,FALSE,"단축3";#N/A,#N/A,FALSE,"장축";#N/A,#N/A,FALSE,"4WD"}</definedName>
    <definedName name="ㅁㅈㄴㄱㅇ횰솧" hidden="1">{#N/A,#N/A,FALSE,"단축1";#N/A,#N/A,FALSE,"단축2";#N/A,#N/A,FALSE,"단축3";#N/A,#N/A,FALSE,"장축";#N/A,#N/A,FALSE,"4WD"}</definedName>
    <definedName name="ㅁㅈㄹㄴ우ㅛ슉ㄴ" hidden="1">{#N/A,#N/A,FALSE,"단축1";#N/A,#N/A,FALSE,"단축2";#N/A,#N/A,FALSE,"단축3";#N/A,#N/A,FALSE,"장축";#N/A,#N/A,FALSE,"4WD"}</definedName>
    <definedName name="ㅁㅈㅂ" hidden="1">{#N/A,#N/A,TRUE,"Y생산";#N/A,#N/A,TRUE,"Y판매";#N/A,#N/A,TRUE,"Y총물량";#N/A,#N/A,TRUE,"Y능력";#N/A,#N/A,TRUE,"YKD"}</definedName>
    <definedName name="ㅁㅈㅂㅈㅂ" hidden="1">#REF!</definedName>
    <definedName name="ㅁ좀ㄹㅇㅎ" hidden="1">{#N/A,#N/A,FALSE,"단축1";#N/A,#N/A,FALSE,"단축2";#N/A,#N/A,FALSE,"단축3";#N/A,#N/A,FALSE,"장축";#N/A,#N/A,FALSE,"4WD"}</definedName>
    <definedName name="ㅁㅊㄷㄴㄳ" hidden="1">{#N/A,#N/A,FALSE,"단축1";#N/A,#N/A,FALSE,"단축2";#N/A,#N/A,FALSE,"단축3";#N/A,#N/A,FALSE,"장축";#N/A,#N/A,FALSE,"4WD"}</definedName>
    <definedName name="ㅁㅊㅅㄳㅎㄴㄹ" hidden="1">{#N/A,#N/A,FALSE,"단축1";#N/A,#N/A,FALSE,"단축2";#N/A,#N/A,FALSE,"단축3";#N/A,#N/A,FALSE,"장축";#N/A,#N/A,FALSE,"4WD"}</definedName>
    <definedName name="ㅁㅊㅇㄹㄶ류" hidden="1">{#N/A,#N/A,FALSE,"단축1";#N/A,#N/A,FALSE,"단축2";#N/A,#N/A,FALSE,"단축3";#N/A,#N/A,FALSE,"장축";#N/A,#N/A,FALSE,"4WD"}</definedName>
    <definedName name="ㅁㅍㅅㄴㅇㅁㄹㅇㄹ" hidden="1">{#N/A,#N/A,FALSE,"단축1";#N/A,#N/A,FALSE,"단축2";#N/A,#N/A,FALSE,"단축3";#N/A,#N/A,FALSE,"장축";#N/A,#N/A,FALSE,"4WD"}</definedName>
    <definedName name="마음" hidden="1">{#N/A,#N/A,FALSE,"단축1";#N/A,#N/A,FALSE,"단축2";#N/A,#N/A,FALSE,"단축3";#N/A,#N/A,FALSE,"장축";#N/A,#N/A,FALSE,"4WD"}</definedName>
    <definedName name="마지막" hidden="1">{#N/A,#N/A,FALSE,"단축1";#N/A,#N/A,FALSE,"단축2";#N/A,#N/A,FALSE,"단축3";#N/A,#N/A,FALSE,"장축";#N/A,#N/A,FALSE,"4WD"}</definedName>
    <definedName name="마지막이야" hidden="1">{#N/A,#N/A,FALSE,"단축1";#N/A,#N/A,FALSE,"단축2";#N/A,#N/A,FALSE,"단축3";#N/A,#N/A,FALSE,"장축";#N/A,#N/A,FALSE,"4WD"}</definedName>
    <definedName name="매가추정" hidden="1">{#N/A,#N/A,FALSE,"단축1";#N/A,#N/A,FALSE,"단축2";#N/A,#N/A,FALSE,"단축3";#N/A,#N/A,FALSE,"장축";#N/A,#N/A,FALSE,"4WD"}</definedName>
    <definedName name="머ㅣ거ㅏㅏ" hidden="1">{#N/A,#N/A,FALSE,"단축1";#N/A,#N/A,FALSE,"단축2";#N/A,#N/A,FALSE,"단축3";#N/A,#N/A,FALSE,"장축";#N/A,#N/A,FALSE,"4WD"}</definedName>
    <definedName name="목차" hidden="1">{#N/A,#N/A,FALSE,"단축1";#N/A,#N/A,FALSE,"단축2";#N/A,#N/A,FALSE,"단축3";#N/A,#N/A,FALSE,"장축";#N/A,#N/A,FALSE,"4WD"}</definedName>
    <definedName name="목표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hidden="1">{#N/A,#N/A,TRUE,"Y생산";#N/A,#N/A,TRUE,"Y판매";#N/A,#N/A,TRUE,"Y총물량";#N/A,#N/A,TRUE,"Y능력";#N/A,#N/A,TRUE,"YKD"}</definedName>
    <definedName name="미러ㅣ머" hidden="1">{#N/A,#N/A,FALSE,"단축1";#N/A,#N/A,FALSE,"단축2";#N/A,#N/A,FALSE,"단축3";#N/A,#N/A,FALSE,"장축";#N/A,#N/A,FALSE,"4WD"}</definedName>
    <definedName name="미머ㅣㄹ" hidden="1">{#N/A,#N/A,FALSE,"단축1";#N/A,#N/A,FALSE,"단축2";#N/A,#N/A,FALSE,"단축3";#N/A,#N/A,FALSE,"장축";#N/A,#N/A,FALSE,"4WD"}</definedName>
    <definedName name="미미미" hidden="1">{#N/A,#N/A,FALSE,"단축1";#N/A,#N/A,FALSE,"단축2";#N/A,#N/A,FALSE,"단축3";#N/A,#N/A,FALSE,"장축";#N/A,#N/A,FALSE,"4WD"}</definedName>
    <definedName name="미미미ㅣ" hidden="1">{#N/A,#N/A,FALSE,"단축1";#N/A,#N/A,FALSE,"단축2";#N/A,#N/A,FALSE,"단축3";#N/A,#N/A,FALSE,"장축";#N/A,#N/A,FALSE,"4WD"}</definedName>
    <definedName name="미밀" hidden="1">{#N/A,#N/A,FALSE,"단축1";#N/A,#N/A,FALSE,"단축2";#N/A,#N/A,FALSE,"단축3";#N/A,#N/A,FALSE,"장축";#N/A,#N/A,FALSE,"4WD"}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ㅓㅁ" hidden="1">{#N/A,#N/A,FALSE,"단축1";#N/A,#N/A,FALSE,"단축2";#N/A,#N/A,FALSE,"단축3";#N/A,#N/A,FALSE,"장축";#N/A,#N/A,FALSE,"4WD"}</definedName>
    <definedName name="미ㅓㅣ멀" hidden="1">{#N/A,#N/A,FALSE,"단축1";#N/A,#N/A,FALSE,"단축2";#N/A,#N/A,FALSE,"단축3";#N/A,#N/A,FALSE,"장축";#N/A,#N/A,FALSE,"4WD"}</definedName>
    <definedName name="미ㅣ미" hidden="1">{#N/A,#N/A,FALSE,"단축1";#N/A,#N/A,FALSE,"단축2";#N/A,#N/A,FALSE,"단축3";#N/A,#N/A,FALSE,"장축";#N/A,#N/A,FALSE,"4WD"}</definedName>
    <definedName name="민총2" hidden="1">{#N/A,#N/A,FALSE,"을지 (4)";#N/A,#N/A,FALSE,"을지 (5)";#N/A,#N/A,FALSE,"을지 (6)"}</definedName>
    <definedName name="ㅂ" hidden="1">{#N/A,#N/A,FALSE,"단축1";#N/A,#N/A,FALSE,"단축2";#N/A,#N/A,FALSE,"단축3";#N/A,#N/A,FALSE,"장축";#N/A,#N/A,FALSE,"4WD"}</definedName>
    <definedName name="ㅂㄱㄷㅎㄷㄱㅎ" hidden="1">{#N/A,#N/A,FALSE,"단축1";#N/A,#N/A,FALSE,"단축2";#N/A,#N/A,FALSE,"단축3";#N/A,#N/A,FALSE,"장축";#N/A,#N/A,FALSE,"4WD"}</definedName>
    <definedName name="ㅂㄴㄴㄴㄴㅌㅌㄴㅁㅁ" hidden="1">{#N/A,#N/A,FALSE,"단축1";#N/A,#N/A,FALSE,"단축2";#N/A,#N/A,FALSE,"단축3";#N/A,#N/A,FALSE,"장축";#N/A,#N/A,FALSE,"4WD"}</definedName>
    <definedName name="ㅂㄵㄷㅅㄱㄹㅇㅅㅎㅅㅎㄹ" hidden="1">{#N/A,#N/A,FALSE,"단축1";#N/A,#N/A,FALSE,"단축2";#N/A,#N/A,FALSE,"단축3";#N/A,#N/A,FALSE,"장축";#N/A,#N/A,FALSE,"4WD"}</definedName>
    <definedName name="ㅂㅁ" hidden="1">{#N/A,#N/A,FALSE,"단축1";#N/A,#N/A,FALSE,"단축2";#N/A,#N/A,FALSE,"단축3";#N/A,#N/A,FALSE,"장축";#N/A,#N/A,FALSE,"4WD"}</definedName>
    <definedName name="ㅂㅂ" hidden="1">{#N/A,#N/A,FALSE,"단축1";#N/A,#N/A,FALSE,"단축2";#N/A,#N/A,FALSE,"단축3";#N/A,#N/A,FALSE,"장축";#N/A,#N/A,FALSE,"4WD"}</definedName>
    <definedName name="ㅂㅂㅂ" hidden="1">[0]!ㅂㅂㅂ</definedName>
    <definedName name="ㅂㅈㅇㅇ" hidden="1">{#N/A,#N/A,FALSE,"단축1";#N/A,#N/A,FALSE,"단축2";#N/A,#N/A,FALSE,"단축3";#N/A,#N/A,FALSE,"장축";#N/A,#N/A,FALSE,"4WD"}</definedName>
    <definedName name="ㅂㅍㅅ4ㄷㅅㄴ" hidden="1">{#N/A,#N/A,FALSE,"단축1";#N/A,#N/A,FALSE,"단축2";#N/A,#N/A,FALSE,"단축3";#N/A,#N/A,FALSE,"장축";#N/A,#N/A,FALSE,"4WD"}</definedName>
    <definedName name="바로가기" hidden="1">{#N/A,#N/A,FALSE,"단축1";#N/A,#N/A,FALSE,"단축2";#N/A,#N/A,FALSE,"단축3";#N/A,#N/A,FALSE,"장축";#N/A,#N/A,FALSE,"4WD"}</definedName>
    <definedName name="바바라" hidden="1">{#N/A,#N/A,TRUE,"Y생산";#N/A,#N/A,TRUE,"Y판매";#N/A,#N/A,TRUE,"Y총물량";#N/A,#N/A,TRUE,"Y능력";#N/A,#N/A,TRUE,"YKD"}</definedName>
    <definedName name="바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지호" hidden="1">{#N/A,#N/A,FALSE,"단축1";#N/A,#N/A,FALSE,"단축2";#N/A,#N/A,FALSE,"단축3";#N/A,#N/A,FALSE,"장축";#N/A,#N/A,FALSE,"4WD"}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벼며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병" hidden="1">{#N/A,#N/A,FALSE,"단축1";#N/A,#N/A,FALSE,"단축2";#N/A,#N/A,FALSE,"단축3";#N/A,#N/A,FALSE,"장축";#N/A,#N/A,FALSE,"4WD"}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볼트수정" hidden="1">{#N/A,#N/A,FALSE,"단축1";#N/A,#N/A,FALSE,"단축2";#N/A,#N/A,FALSE,"단축3";#N/A,#N/A,FALSE,"장축";#N/A,#N/A,FALSE,"4WD"}</definedName>
    <definedName name="분기별" hidden="1">{#N/A,#N/A,TRUE,"Y생산";#N/A,#N/A,TRUE,"Y판매";#N/A,#N/A,TRUE,"Y총물량";#N/A,#N/A,TRUE,"Y능력";#N/A,#N/A,TRUE,"YKD"}</definedName>
    <definedName name="분석" hidden="1">{#N/A,#N/A,FALSE,"단축1";#N/A,#N/A,FALSE,"단축2";#N/A,#N/A,FALSE,"단축3";#N/A,#N/A,FALSE,"장축";#N/A,#N/A,FALSE,"4WD"}</definedName>
    <definedName name="분석이" hidden="1">{#N/A,#N/A,FALSE,"단축1";#N/A,#N/A,FALSE,"단축2";#N/A,#N/A,FALSE,"단축3";#N/A,#N/A,FALSE,"장축";#N/A,#N/A,FALSE,"4WD"}</definedName>
    <definedName name="비버" hidden="1">{#N/A,#N/A,FALSE,"단축1";#N/A,#N/A,FALSE,"단축2";#N/A,#N/A,FALSE,"단축3";#N/A,#N/A,FALSE,"장축";#N/A,#N/A,FALSE,"4WD"}</definedName>
    <definedName name="비비" hidden="1">{#N/A,#N/A,FALSE,"단축1";#N/A,#N/A,FALSE,"단축2";#N/A,#N/A,FALSE,"단축3";#N/A,#N/A,FALSE,"장축";#N/A,#N/A,FALSE,"4WD"}</definedName>
    <definedName name="ㅅ교ㄳㄱ" hidden="1">{#N/A,#N/A,FALSE,"단축1";#N/A,#N/A,FALSE,"단축2";#N/A,#N/A,FALSE,"단축3";#N/A,#N/A,FALSE,"장축";#N/A,#N/A,FALSE,"4WD"}</definedName>
    <definedName name="ㅅㄹ녀ㅛㅅ누ㅛㅅㄴ구ㅛㅅㄱ누" hidden="1">{#N/A,#N/A,TRUE,"일정"}</definedName>
    <definedName name="ㅅㅅㅅ" hidden="1">{#N/A,#N/A,FALSE,"단축1";#N/A,#N/A,FALSE,"단축2";#N/A,#N/A,FALSE,"단축3";#N/A,#N/A,FALSE,"장축";#N/A,#N/A,FALSE,"4WD"}</definedName>
    <definedName name="ㅅㅎㅁㄹㅊㅍㄴㅁ" hidden="1">{#N/A,#N/A,FALSE,"단축1";#N/A,#N/A,FALSE,"단축2";#N/A,#N/A,FALSE,"단축3";#N/A,#N/A,FALSE,"장축";#N/A,#N/A,FALSE,"4WD"}</definedName>
    <definedName name="ㅅ호ㅗ노" hidden="1">{#N/A,#N/A,FALSE,"단축1";#N/A,#N/A,FALSE,"단축2";#N/A,#N/A,FALSE,"단축3";#N/A,#N/A,FALSE,"장축";#N/A,#N/A,FALSE,"4WD"}</definedName>
    <definedName name="사랑" hidden="1">{#N/A,#N/A,FALSE,"단축1";#N/A,#N/A,FALSE,"단축2";#N/A,#N/A,FALSE,"단축3";#N/A,#N/A,FALSE,"장축";#N/A,#N/A,FALSE,"4WD"}</definedName>
    <definedName name="사양" hidden="1">{#N/A,#N/A,FALSE,"신규dep";#N/A,#N/A,FALSE,"신규dep-금형상각후";#N/A,#N/A,FALSE,"신규dep-연구비상각후";#N/A,#N/A,FALSE,"신규dep-기계,공구상각후"}</definedName>
    <definedName name="사진" hidden="1">{#N/A,#N/A,FALSE,"단축1";#N/A,#N/A,FALSE,"단축2";#N/A,#N/A,FALSE,"단축3";#N/A,#N/A,FALSE,"장축";#N/A,#N/A,FALSE,"4WD"}</definedName>
    <definedName name="사진2" hidden="1">{#N/A,#N/A,FALSE,"단축1";#N/A,#N/A,FALSE,"단축2";#N/A,#N/A,FALSE,"단축3";#N/A,#N/A,FALSE,"장축";#N/A,#N/A,FALSE,"4WD"}</definedName>
    <definedName name="산토끼" hidden="1">{#N/A,#N/A,FALSE,"단축1";#N/A,#N/A,FALSE,"단축2";#N/A,#N/A,FALSE,"단축3";#N/A,#N/A,FALSE,"장축";#N/A,#N/A,FALSE,"4WD"}</definedName>
    <definedName name="삼성" hidden="1">{#N/A,#N/A,FALSE,"정공"}</definedName>
    <definedName name="새" hidden="1">{#N/A,#N/A,FALSE,"단축1";#N/A,#N/A,FALSE,"단축2";#N/A,#N/A,FALSE,"단축3";#N/A,#N/A,FALSE,"장축";#N/A,#N/A,FALSE,"4WD"}</definedName>
    <definedName name="새脸" hidden="1">{#N/A,#N/A,FALSE,"단축1";#N/A,#N/A,FALSE,"단축2";#N/A,#N/A,FALSE,"단축3";#N/A,#N/A,FALSE,"장축";#N/A,#N/A,FALSE,"4WD"}</definedName>
    <definedName name="새세" hidden="1">{#N/A,#N/A,FALSE,"단축1";#N/A,#N/A,FALSE,"단축2";#N/A,#N/A,FALSE,"단축3";#N/A,#N/A,FALSE,"장축";#N/A,#N/A,FALSE,"4WD"}</definedName>
    <definedName name="새이르" hidden="1">{#N/A,#N/A,FALSE,"단축1";#N/A,#N/A,FALSE,"단축2";#N/A,#N/A,FALSE,"단축3";#N/A,#N/A,FALSE,"장축";#N/A,#N/A,FALSE,"4WD"}</definedName>
    <definedName name="생기요건1" hidden="1">{#N/A,#N/A,FALSE,"단축1";#N/A,#N/A,FALSE,"단축2";#N/A,#N/A,FALSE,"단축3";#N/A,#N/A,FALSE,"장축";#N/A,#N/A,FALSE,"4WD"}</definedName>
    <definedName name="생산TON" hidden="1">{#N/A,#N/A,TRUE,"Y생산";#N/A,#N/A,TRUE,"Y판매";#N/A,#N/A,TRUE,"Y총물량";#N/A,#N/A,TRUE,"Y능력";#N/A,#N/A,TRUE,"YKD"}</definedName>
    <definedName name="생요서4" hidden="1">{#N/A,#N/A,FALSE,"단축1";#N/A,#N/A,FALSE,"단축2";#N/A,#N/A,FALSE,"단축3";#N/A,#N/A,FALSE,"장축";#N/A,#N/A,FALSE,"4WD"}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선" hidden="1">{#N/A,#N/A,FALSE,"단축1";#N/A,#N/A,FALSE,"단축2";#N/A,#N/A,FALSE,"단축3";#N/A,#N/A,FALSE,"장축";#N/A,#N/A,FALSE,"4WD"}</definedName>
    <definedName name="선정사유" hidden="1">{#N/A,#N/A,FALSE,"단축1";#N/A,#N/A,FALSE,"단축2";#N/A,#N/A,FALSE,"단축3";#N/A,#N/A,FALSE,"장축";#N/A,#N/A,FALSE,"4WD"}</definedName>
    <definedName name="설변" hidden="1">{#N/A,#N/A,FALSE,"단축1";#N/A,#N/A,FALSE,"단축2";#N/A,#N/A,FALSE,"단축3";#N/A,#N/A,FALSE,"장축";#N/A,#N/A,FALSE,"4WD"}</definedName>
    <definedName name="설변요청" hidden="1">{#N/A,#N/A,FALSE,"단축1";#N/A,#N/A,FALSE,"단축2";#N/A,#N/A,FALSE,"단축3";#N/A,#N/A,FALSE,"장축";#N/A,#N/A,FALSE,"4WD"}</definedName>
    <definedName name="세부생산계획" hidden="1">{#N/A,#N/A,TRUE,"Y생산";#N/A,#N/A,TRUE,"Y판매";#N/A,#N/A,TRUE,"Y총물량";#N/A,#N/A,TRUE,"Y능력";#N/A,#N/A,TRUE,"YKD"}</definedName>
    <definedName name="세왕123" hidden="1">{#N/A,#N/A,FALSE,"단축1";#N/A,#N/A,FALSE,"단축2";#N/A,#N/A,FALSE,"단축3";#N/A,#N/A,FALSE,"장축";#N/A,#N/A,FALSE,"4WD"}</definedName>
    <definedName name="셀리카" hidden="1">#REF!</definedName>
    <definedName name="소무" hidden="1">{#N/A,#N/A,FALSE,"단축1";#N/A,#N/A,FALSE,"단축2";#N/A,#N/A,FALSE,"단축3";#N/A,#N/A,FALSE,"장축";#N/A,#N/A,FALSE,"4WD"}</definedName>
    <definedName name="소뮨" hidden="1">{#N/A,#N/A,FALSE,"단축1";#N/A,#N/A,FALSE,"단축2";#N/A,#N/A,FALSE,"단축3";#N/A,#N/A,FALSE,"장축";#N/A,#N/A,FALSE,"4WD"}</definedName>
    <definedName name="소ㅎㅀㄹ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송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바2" hidden="1">{#N/A,#N/A,FALSE,"단축1";#N/A,#N/A,FALSE,"단축2";#N/A,#N/A,FALSE,"단축3";#N/A,#N/A,FALSE,"장축";#N/A,#N/A,FALSE,"4WD"}</definedName>
    <definedName name="쇼쇼쇼" hidden="1">{#N/A,#N/A,FALSE,"단축1";#N/A,#N/A,FALSE,"단축2";#N/A,#N/A,FALSE,"단축3";#N/A,#N/A,FALSE,"장축";#N/A,#N/A,FALSE,"4WD"}</definedName>
    <definedName name="쇼ㅛㄱ" hidden="1">{#N/A,#N/A,FALSE,"단축1";#N/A,#N/A,FALSE,"단축2";#N/A,#N/A,FALSE,"단축3";#N/A,#N/A,FALSE,"장축";#N/A,#N/A,FALSE,"4WD"}</definedName>
    <definedName name="수정물량" hidden="1">{#N/A,#N/A,TRUE,"Y생산";#N/A,#N/A,TRUE,"Y판매";#N/A,#N/A,TRUE,"Y총물량";#N/A,#N/A,TRUE,"Y능력";#N/A,#N/A,TRUE,"YKD"}</definedName>
    <definedName name="수직편차_19041" hidden="1">{#N/A,#N/A,FALSE,"원가검토서"}</definedName>
    <definedName name="수직편차_190419" hidden="1">{#N/A,#N/A,FALSE,"원가검토서"}</definedName>
    <definedName name="스타렉스2" hidden="1">{#N/A,#N/A,FALSE,"단축1";#N/A,#N/A,FALSE,"단축2";#N/A,#N/A,FALSE,"단축3";#N/A,#N/A,FALSE,"장축";#N/A,#N/A,FALSE,"4WD"}</definedName>
    <definedName name="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시간" hidden="1">{#N/A,#N/A,TRUE,"Y생산";#N/A,#N/A,TRUE,"Y판매";#N/A,#N/A,TRUE,"Y총물량";#N/A,#N/A,TRUE,"Y능력";#N/A,#N/A,TRUE,"YKD"}</definedName>
    <definedName name="시그마1" hidden="1">{#N/A,#N/A,FALSE,"단축1";#N/A,#N/A,FALSE,"단축2";#N/A,#N/A,FALSE,"단축3";#N/A,#N/A,FALSE,"장축";#N/A,#N/A,FALSE,"4WD"}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동성" hidden="1">{"'KET'!$A$1:$E$2423"}</definedName>
    <definedName name="시리즈" hidden="1">{#N/A,#N/A,FALSE,"단축1";#N/A,#N/A,FALSE,"단축2";#N/A,#N/A,FALSE,"단축3";#N/A,#N/A,FALSE,"장축";#N/A,#N/A,FALSE,"4WD"}</definedName>
    <definedName name="시작차반" hidden="1">{#N/A,#N/A,FALSE,"단축1";#N/A,#N/A,FALSE,"단축2";#N/A,#N/A,FALSE,"단축3";#N/A,#N/A,FALSE,"장축";#N/A,#N/A,FALSE,"4WD"}</definedName>
    <definedName name="시험일정p2" hidden="1">{#N/A,#N/A,FALSE,"단축1";#N/A,#N/A,FALSE,"단축2";#N/A,#N/A,FALSE,"단축3";#N/A,#N/A,FALSE,"장축";#N/A,#N/A,FALSE,"4WD"}</definedName>
    <definedName name="시험장비3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차개발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심의보고단기종합" hidden="1">{#N/A,#N/A,FALSE,"단축1";#N/A,#N/A,FALSE,"단축2";#N/A,#N/A,FALSE,"단축3";#N/A,#N/A,FALSE,"장축";#N/A,#N/A,FALSE,"4WD"}</definedName>
    <definedName name="ㅇㄴㄹ" hidden="1">{#N/A,#N/A,FALSE,"단축1";#N/A,#N/A,FALSE,"단축2";#N/A,#N/A,FALSE,"단축3";#N/A,#N/A,FALSE,"장축";#N/A,#N/A,FALSE,"4WD"}</definedName>
    <definedName name="ㅇㄴㄹㄴㅇㄹ" hidden="1">{#N/A,#N/A,FALSE,"단축1";#N/A,#N/A,FALSE,"단축2";#N/A,#N/A,FALSE,"단축3";#N/A,#N/A,FALSE,"장축";#N/A,#N/A,FALSE,"4WD"}</definedName>
    <definedName name="ㅇㄴㅀㅇ" hidden="1">{#N/A,#N/A,FALSE,"단축1";#N/A,#N/A,FALSE,"단축2";#N/A,#N/A,FALSE,"단축3";#N/A,#N/A,FALSE,"장축";#N/A,#N/A,FALSE,"4WD"}</definedName>
    <definedName name="ㅇㄴ푝ㅈㄷㄱ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ㄹㄹ" hidden="1">{#N/A,#N/A,FALSE,"단축1";#N/A,#N/A,FALSE,"단축2";#N/A,#N/A,FALSE,"단축3";#N/A,#N/A,FALSE,"장축";#N/A,#N/A,FALSE,"4WD"}</definedName>
    <definedName name="ㅇㄹ호" hidden="1">{#N/A,#N/A,FALSE,"원가검토서"}</definedName>
    <definedName name="ㅇ롱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ㄻ" hidden="1">{#N/A,#N/A,FALSE,"단축1";#N/A,#N/A,FALSE,"단축2";#N/A,#N/A,FALSE,"단축3";#N/A,#N/A,FALSE,"장축";#N/A,#N/A,FALSE,"4WD"}</definedName>
    <definedName name="ㅇㄻㄴㅇ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ㄻㅇㄻㄴㄹㅇㅁㄴ" hidden="1">{#N/A,#N/A,FALSE,"단축1";#N/A,#N/A,FALSE,"단축2";#N/A,#N/A,FALSE,"단축3";#N/A,#N/A,FALSE,"장축";#N/A,#N/A,FALSE,"4WD"}</definedName>
    <definedName name="ㅇㅀㄷㄱ쇼" hidden="1">{#N/A,#N/A,FALSE,"원가검토서"}</definedName>
    <definedName name="ㅇㅀㄷㄱㅈ" hidden="1">{#N/A,#N/A,FALSE,"원가검토서"}</definedName>
    <definedName name="ㅇㅀ호" hidden="1">{#N/A,#N/A,FALSE,"단축1";#N/A,#N/A,FALSE,"단축2";#N/A,#N/A,FALSE,"단축3";#N/A,#N/A,FALSE,"장축";#N/A,#N/A,FALSE,"4WD"}</definedName>
    <definedName name="ㅇㅁㄹ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ㅇㅇㅇㅇ" hidden="1">{#N/A,#N/A,FALSE,"단축1";#N/A,#N/A,FALSE,"단축2";#N/A,#N/A,FALSE,"단축3";#N/A,#N/A,FALSE,"장축";#N/A,#N/A,FALSE,"4WD"}</definedName>
    <definedName name="ㅇㅇㅇㅇㅇㅇㅇ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ㅇㅎ오" hidden="1">{#N/A,#N/A,FALSE,"단축1";#N/A,#N/A,FALSE,"단축2";#N/A,#N/A,FALSE,"단축3";#N/A,#N/A,FALSE,"장축";#N/A,#N/A,FALSE,"4WD"}</definedName>
    <definedName name="ㅇ홍" hidden="1">{#N/A,#N/A,FALSE,"단축1";#N/A,#N/A,FALSE,"단축2";#N/A,#N/A,FALSE,"단축3";#N/A,#N/A,FALSE,"장축";#N/A,#N/A,FALSE,"4WD"}</definedName>
    <definedName name="아아아아아아아" hidden="1">{#N/A,#N/A,FALSE,"초도품";#N/A,#N/A,FALSE,"초도품 (2)";#N/A,#N/A,FALSE,"초도품 (3)";#N/A,#N/A,FALSE,"초도품 (4)";#N/A,#N/A,FALSE,"초도품 (5)";#N/A,#N/A,FALSE,"초도품 (6)"}</definedName>
    <definedName name="아아아아아아아앙" hidden="1">{#N/A,#N/A,FALSE,"신규dep";#N/A,#N/A,FALSE,"신규dep-금형상각후";#N/A,#N/A,FALSE,"신규dep-연구비상각후";#N/A,#N/A,FALSE,"신규dep-기계,공구상각후"}</definedName>
    <definedName name="안현모" hidden="1">{#N/A,#N/A,FALSE,"단축1";#N/A,#N/A,FALSE,"단축2";#N/A,#N/A,FALSE,"단축3";#N/A,#N/A,FALSE,"장축";#N/A,#N/A,FALSE,"4WD"}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식" hidden="1">{#N/A,#N/A,FALSE,"단축1";#N/A,#N/A,FALSE,"단축2";#N/A,#N/A,FALSE,"단축3";#N/A,#N/A,FALSE,"장축";#N/A,#N/A,FALSE,"4WD"}</definedName>
    <definedName name="에어벤트" hidden="1">{#N/A,#N/A,FALSE,"단축1";#N/A,#N/A,FALSE,"단축2";#N/A,#N/A,FALSE,"단축3";#N/A,#N/A,FALSE,"장축";#N/A,#N/A,FALSE,"4WD"}</definedName>
    <definedName name="에이" hidden="1">{#N/A,#N/A,TRUE,"Y생산";#N/A,#N/A,TRUE,"Y판매";#N/A,#N/A,TRUE,"Y총물량";#N/A,#N/A,TRUE,"Y능력";#N/A,#N/A,TRUE,"YKD"}</definedName>
    <definedName name="연료2" hidden="1">{#N/A,#N/A,FALSE,"단축1";#N/A,#N/A,FALSE,"단축2";#N/A,#N/A,FALSE,"단축3";#N/A,#N/A,FALSE,"장축";#N/A,#N/A,FALSE,"4WD"}</definedName>
    <definedName name="연료탱크3" hidden="1">{#N/A,#N/A,FALSE,"단축1";#N/A,#N/A,FALSE,"단축2";#N/A,#N/A,FALSE,"단축3";#N/A,#N/A,FALSE,"장축";#N/A,#N/A,FALSE,"4WD"}</definedName>
    <definedName name="영업" hidden="1">#REF!</definedName>
    <definedName name="오" hidden="1">{#N/A,#N/A,FALSE,"단축1";#N/A,#N/A,FALSE,"단축2";#N/A,#N/A,FALSE,"단축3";#N/A,#N/A,FALSE,"장축";#N/A,#N/A,FALSE,"4WD"}</definedName>
    <definedName name="오성협" hidden="1">{#N/A,#N/A,TRUE,"Y생산";#N/A,#N/A,TRUE,"Y판매";#N/A,#N/A,TRUE,"Y총물량";#N/A,#N/A,TRUE,"Y능력";#N/A,#N/A,TRUE,"YKD"}</definedName>
    <definedName name="와이퍼일" hidden="1">{#N/A,#N/A,FALSE,"단축1";#N/A,#N/A,FALSE,"단축2";#N/A,#N/A,FALSE,"단축3";#N/A,#N/A,FALSE,"장축";#N/A,#N/A,FALSE,"4WD"}</definedName>
    <definedName name="외주계획" hidden="1">{#N/A,#N/A,TRUE,"Y생산";#N/A,#N/A,TRUE,"Y판매";#N/A,#N/A,TRUE,"Y총물량";#N/A,#N/A,TRUE,"Y능력";#N/A,#N/A,TRUE,"YKD"}</definedName>
    <definedName name="요약" hidden="1">#REF!</definedName>
    <definedName name="용역" hidden="1">{#N/A,#N/A,TRUE,"Y생산";#N/A,#N/A,TRUE,"Y판매";#N/A,#N/A,TRUE,"Y총물량";#N/A,#N/A,TRUE,"Y능력";#N/A,#N/A,TRUE,"YKD"}</definedName>
    <definedName name="우리" hidden="1">{#N/A,#N/A,FALSE,"단축1";#N/A,#N/A,FALSE,"단축2";#N/A,#N/A,FALSE,"단축3";#N/A,#N/A,FALSE,"장축";#N/A,#N/A,FALSE,"4WD"}</definedName>
    <definedName name="운영1" hidden="1">{#N/A,#N/A,FALSE,"단축1";#N/A,#N/A,FALSE,"단축2";#N/A,#N/A,FALSE,"단축3";#N/A,#N/A,FALSE,"장축";#N/A,#N/A,FALSE,"4WD"}</definedName>
    <definedName name="울산공장만" hidden="1">{#N/A,#N/A,FALSE,"단축1";#N/A,#N/A,FALSE,"단축2";#N/A,#N/A,FALSE,"단축3";#N/A,#N/A,FALSE,"장축";#N/A,#N/A,FALSE,"4WD"}</definedName>
    <definedName name="원자재종합" hidden="1">{#N/A,#N/A,FALSE,"단축1";#N/A,#N/A,FALSE,"단축2";#N/A,#N/A,FALSE,"단축3";#N/A,#N/A,FALSE,"장축";#N/A,#N/A,FALSE,"4WD"}</definedName>
    <definedName name="유사차" hidden="1">{#N/A,#N/A,FALSE,"신규dep";#N/A,#N/A,FALSE,"신규dep-금형상각후";#N/A,#N/A,FALSE,"신규dep-연구비상각후";#N/A,#N/A,FALSE,"신규dep-기계,공구상각후"}</definedName>
    <definedName name="유형" hidden="1">{#N/A,#N/A,TRUE,"Y생산";#N/A,#N/A,TRUE,"Y판매";#N/A,#N/A,TRUE,"Y총물량";#N/A,#N/A,TRUE,"Y능력";#N/A,#N/A,TRUE,"YKD"}</definedName>
    <definedName name="유ㅕㄴ됵ㄷ" hidden="1">{#N/A,#N/A,FALSE,"단축1";#N/A,#N/A,FALSE,"단축2";#N/A,#N/A,FALSE,"단축3";#N/A,#N/A,FALSE,"장축";#N/A,#N/A,FALSE,"4WD"}</definedName>
    <definedName name="이근한" hidden="1">{#N/A,#N/A,FALSE,"단축1";#N/A,#N/A,FALSE,"단축2";#N/A,#N/A,FALSE,"단축3";#N/A,#N/A,FALSE,"장축";#N/A,#N/A,FALSE,"4WD"}</definedName>
    <definedName name="이리니다" hidden="1">{#N/A,#N/A,FALSE,"단축1";#N/A,#N/A,FALSE,"단축2";#N/A,#N/A,FALSE,"단축3";#N/A,#N/A,FALSE,"장축";#N/A,#N/A,FALSE,"4WD"}</definedName>
    <definedName name="이혁준" hidden="1">{#N/A,#N/A,FALSE,"단축1";#N/A,#N/A,FALSE,"단축2";#N/A,#N/A,FALSE,"단축3";#N/A,#N/A,FALSE,"장축";#N/A,#N/A,FALSE,"4WD"}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일르낟" hidden="1">{#N/A,#N/A,FALSE,"단축1";#N/A,#N/A,FALSE,"단축2";#N/A,#N/A,FALSE,"단축3";#N/A,#N/A,FALSE,"장축";#N/A,#N/A,FALSE,"4WD"}</definedName>
    <definedName name="일반문서" hidden="1">{#N/A,#N/A,FALSE,"단축1";#N/A,#N/A,FALSE,"단축2";#N/A,#N/A,FALSE,"단축3";#N/A,#N/A,FALSE,"장축";#N/A,#N/A,FALSE,"4WD"}</definedName>
    <definedName name="일반문서3" hidden="1">{#N/A,#N/A,FALSE,"단축1";#N/A,#N/A,FALSE,"단축2";#N/A,#N/A,FALSE,"단축3";#N/A,#N/A,FALSE,"장축";#N/A,#N/A,FALSE,"4WD"}</definedName>
    <definedName name="일반문서4" hidden="1">{#N/A,#N/A,FALSE,"단축1";#N/A,#N/A,FALSE,"단축2";#N/A,#N/A,FALSE,"단축3";#N/A,#N/A,FALSE,"장축";#N/A,#N/A,FALSE,"4WD"}</definedName>
    <definedName name="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계획" hidden="1">{#N/A,#N/A,FALSE,"신규dep";#N/A,#N/A,FALSE,"신규dep-금형상각후";#N/A,#N/A,FALSE,"신규dep-연구비상각후";#N/A,#N/A,FALSE,"신규dep-기계,공구상각후"}</definedName>
    <definedName name="ㅈㄱㄹ" hidden="1">{#N/A,#N/A,FALSE,"단축1";#N/A,#N/A,FALSE,"단축2";#N/A,#N/A,FALSE,"단축3";#N/A,#N/A,FALSE,"장축";#N/A,#N/A,FALSE,"4WD"}</definedName>
    <definedName name="ㅈ고모" hidden="1">{#N/A,#N/A,FALSE,"단축1";#N/A,#N/A,FALSE,"단축2";#N/A,#N/A,FALSE,"단축3";#N/A,#N/A,FALSE,"장축";#N/A,#N/A,FALSE,"4WD"}</definedName>
    <definedName name="ㅈㄴㄴ" hidden="1">{#N/A,#N/A,FALSE,"단축1";#N/A,#N/A,FALSE,"단축2";#N/A,#N/A,FALSE,"단축3";#N/A,#N/A,FALSE,"장축";#N/A,#N/A,FALSE,"4WD"}</definedName>
    <definedName name="ㅈㄴㅇㄹㅊㅁ" hidden="1">{#N/A,#N/A,FALSE,"단축1";#N/A,#N/A,FALSE,"단축2";#N/A,#N/A,FALSE,"단축3";#N/A,#N/A,FALSE,"장축";#N/A,#N/A,FALSE,"4WD"}</definedName>
    <definedName name="ㅈㄵ" hidden="1">{#N/A,#N/A,FALSE,"단축1";#N/A,#N/A,FALSE,"단축2";#N/A,#N/A,FALSE,"단축3";#N/A,#N/A,FALSE,"장축";#N/A,#N/A,FALSE,"4WD"}</definedName>
    <definedName name="ㅈㄷㄱㄷㅈ" hidden="1">{#N/A,#N/A,FALSE,"단축1";#N/A,#N/A,FALSE,"단축2";#N/A,#N/A,FALSE,"단축3";#N/A,#N/A,FALSE,"장축";#N/A,#N/A,FALSE,"4WD"}</definedName>
    <definedName name="ㅈㄷㄱ쇼ㅗㅎㄹㅇ" hidden="1">{#N/A,#N/A,FALSE,"단축1";#N/A,#N/A,FALSE,"단축2";#N/A,#N/A,FALSE,"단축3";#N/A,#N/A,FALSE,"장축";#N/A,#N/A,FALSE,"4WD"}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ㅇㅅ셔ㅛㅎ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ㅁㅅㅎㄹㅇㅍㅎ" hidden="1">{#N/A,#N/A,FALSE,"단축1";#N/A,#N/A,FALSE,"단축2";#N/A,#N/A,FALSE,"단축3";#N/A,#N/A,FALSE,"장축";#N/A,#N/A,FALSE,"4WD"}</definedName>
    <definedName name="ㅈㅂㄴㅅ5ㅛㅇㄱㄷ" hidden="1">{#N/A,#N/A,FALSE,"단축1";#N/A,#N/A,FALSE,"단축2";#N/A,#N/A,FALSE,"단축3";#N/A,#N/A,FALSE,"장축";#N/A,#N/A,FALSE,"4WD"}</definedName>
    <definedName name="ㅈ뵫군ㄴㄱㄷ묘" hidden="1">{#N/A,#N/A,FALSE,"단축1";#N/A,#N/A,FALSE,"단축2";#N/A,#N/A,FALSE,"단축3";#N/A,#N/A,FALSE,"장축";#N/A,#N/A,FALSE,"4WD"}</definedName>
    <definedName name="ㅈㅅㅎㄷㄱㅀ" hidden="1">{#N/A,#N/A,FALSE,"단축1";#N/A,#N/A,FALSE,"단축2";#N/A,#N/A,FALSE,"단축3";#N/A,#N/A,FALSE,"장축";#N/A,#N/A,FALSE,"4WD"}</definedName>
    <definedName name="ㅈㅇㄷㅅㄱㅁㅅ" hidden="1">{#N/A,#N/A,FALSE,"단축1";#N/A,#N/A,FALSE,"단축2";#N/A,#N/A,FALSE,"단축3";#N/A,#N/A,FALSE,"장축";#N/A,#N/A,FALSE,"4WD"}</definedName>
    <definedName name="ㅈㅈ" hidden="1">{#N/A,#N/A,FALSE,"단축1";#N/A,#N/A,FALSE,"단축2";#N/A,#N/A,FALSE,"단축3";#N/A,#N/A,FALSE,"장축";#N/A,#N/A,FALSE,"4WD"}</definedName>
    <definedName name="ㅈㅈㅂㅈㄷ" hidden="1">{#N/A,#N/A,FALSE,"단축1";#N/A,#N/A,FALSE,"단축2";#N/A,#N/A,FALSE,"단축3";#N/A,#N/A,FALSE,"장축";#N/A,#N/A,FALSE,"4WD"}</definedName>
    <definedName name="ㅈ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재기준" hidden="1">{#N/A,#N/A,TRUE,"Y생산";#N/A,#N/A,TRUE,"Y판매";#N/A,#N/A,TRUE,"Y총물량";#N/A,#N/A,TRUE,"Y능력";#N/A,#N/A,TRUE,"YKD"}</definedName>
    <definedName name="장" hidden="1">{#N/A,#N/A,FALSE,"단축1";#N/A,#N/A,FALSE,"단축2";#N/A,#N/A,FALSE,"단축3";#N/A,#N/A,FALSE,"장축";#N/A,#N/A,FALSE,"4WD"}</definedName>
    <definedName name="장민ㄹ" hidden="1">{#N/A,#N/A,FALSE,"단축1";#N/A,#N/A,FALSE,"단축2";#N/A,#N/A,FALSE,"단축3";#N/A,#N/A,FALSE,"장축";#N/A,#N/A,FALSE,"4WD"}</definedName>
    <definedName name="재료예산" hidden="1">{#N/A,#N/A,FALSE,"단축1";#N/A,#N/A,FALSE,"단축2";#N/A,#N/A,FALSE,"단축3";#N/A,#N/A,FALSE,"장축";#N/A,#N/A,FALSE,"4WD"}</definedName>
    <definedName name="전개계획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개방안3" hidden="1">{#N/A,#N/A,FALSE,"단축1";#N/A,#N/A,FALSE,"단축2";#N/A,#N/A,FALSE,"단축3";#N/A,#N/A,FALSE,"장축";#N/A,#N/A,FALSE,"4WD"}</definedName>
    <definedName name="전개방안4" hidden="1">{#N/A,#N/A,FALSE,"단축1";#N/A,#N/A,FALSE,"단축2";#N/A,#N/A,FALSE,"단축3";#N/A,#N/A,FALSE,"장축";#N/A,#N/A,FALSE,"4WD"}</definedName>
    <definedName name="전체1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전후" hidden="1">{#N/A,#N/A,FALSE,"단축1";#N/A,#N/A,FALSE,"단축2";#N/A,#N/A,FALSE,"단축3";#N/A,#N/A,FALSE,"장축";#N/A,#N/A,FALSE,"4WD"}</definedName>
    <definedName name="전후분석" hidden="1">{#N/A,#N/A,FALSE,"단축1";#N/A,#N/A,FALSE,"단축2";#N/A,#N/A,FALSE,"단축3";#N/A,#N/A,FALSE,"장축";#N/A,#N/A,FALSE,"4WD"}</definedName>
    <definedName name="전후분석을" hidden="1">{#N/A,#N/A,FALSE,"단축1";#N/A,#N/A,FALSE,"단축2";#N/A,#N/A,FALSE,"단축3";#N/A,#N/A,FALSE,"장축";#N/A,#N/A,FALSE,"4WD"}</definedName>
    <definedName name="절감" hidden="1">{#N/A,#N/A,FALSE,"단축1";#N/A,#N/A,FALSE,"단축2";#N/A,#N/A,FALSE,"단축3";#N/A,#N/A,FALSE,"장축";#N/A,#N/A,FALSE,"4WD"}</definedName>
    <definedName name="절감계산2" hidden="1">{#N/A,#N/A,FALSE,"단축1";#N/A,#N/A,FALSE,"단축2";#N/A,#N/A,FALSE,"단축3";#N/A,#N/A,FALSE,"장축";#N/A,#N/A,FALSE,"4WD"}</definedName>
    <definedName name="정" hidden="1">{#N/A,#N/A,FALSE,"단축1";#N/A,#N/A,FALSE,"단축2";#N/A,#N/A,FALSE,"단축3";#N/A,#N/A,FALSE,"장축";#N/A,#N/A,FALSE,"4WD"}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동" hidden="1">{#N/A,#N/A,FALSE,"단축1";#N/A,#N/A,FALSE,"단축2";#N/A,#N/A,FALSE,"단축3";#N/A,#N/A,FALSE,"장축";#N/A,#N/A,FALSE,"4WD"}</definedName>
    <definedName name="제조" hidden="1">{#N/A,#N/A,FALSE,"단축1";#N/A,#N/A,FALSE,"단축2";#N/A,#N/A,FALSE,"단축3";#N/A,#N/A,FALSE,"장축";#N/A,#N/A,FALSE,"4WD"}</definedName>
    <definedName name="제품설계예산" hidden="1">{#N/A,#N/A,FALSE,"단축1";#N/A,#N/A,FALSE,"단축2";#N/A,#N/A,FALSE,"단축3";#N/A,#N/A,FALSE,"장축";#N/A,#N/A,FALSE,"4WD"}</definedName>
    <definedName name="종합3" hidden="1">{"'KET'!$A$1:$E$2423"}</definedName>
    <definedName name="종합그래프" hidden="1">{#N/A,#N/A,FALSE,"단축1";#N/A,#N/A,FALSE,"단축2";#N/A,#N/A,FALSE,"단축3";#N/A,#N/A,FALSE,"장축";#N/A,#N/A,FALSE,"4WD"}</definedName>
    <definedName name="종합그래프1" hidden="1">{#N/A,#N/A,FALSE,"단축1";#N/A,#N/A,FALSE,"단축2";#N/A,#N/A,FALSE,"단축3";#N/A,#N/A,FALSE,"장축";#N/A,#N/A,FALSE,"4WD"}</definedName>
    <definedName name="죠홀ㅇㅎㄹ펴ㅛㅗ" hidden="1">{#N/A,#N/A,FALSE,"단축1";#N/A,#N/A,FALSE,"단축2";#N/A,#N/A,FALSE,"단축3";#N/A,#N/A,FALSE,"장축";#N/A,#N/A,FALSE,"4WD"}</definedName>
    <definedName name="주리원" hidden="1">{#N/A,#N/A,FALSE,"단축1";#N/A,#N/A,FALSE,"단축2";#N/A,#N/A,FALSE,"단축3";#N/A,#N/A,FALSE,"장축";#N/A,#N/A,FALSE,"4WD"}</definedName>
    <definedName name="주요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원" hidden="1">{#N/A,#N/A,FALSE,"단축1";#N/A,#N/A,FALSE,"단축2";#N/A,#N/A,FALSE,"단축3";#N/A,#N/A,FALSE,"장축";#N/A,#N/A,FALSE,"4WD"}</definedName>
    <definedName name="주정관" hidden="1">{#N/A,#N/A,TRUE,"일정"}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발루" hidden="1">{#N/A,#N/A,FALSE,"단축1";#N/A,#N/A,FALSE,"단축2";#N/A,#N/A,FALSE,"단축3";#N/A,#N/A,FALSE,"장축";#N/A,#N/A,FALSE,"4WD"}</definedName>
    <definedName name="지태면" hidden="1">{#N/A,#N/A,TRUE,"Y생산";#N/A,#N/A,TRUE,"Y판매";#N/A,#N/A,TRUE,"Y총물량";#N/A,#N/A,TRUE,"Y능력";#N/A,#N/A,TRUE,"YKD"}</definedName>
    <definedName name="지호" hidden="1">{#N/A,#N/A,FALSE,"단축1";#N/A,#N/A,FALSE,"단축2";#N/A,#N/A,FALSE,"단축3";#N/A,#N/A,FALSE,"장축";#N/A,#N/A,FALSE,"4WD"}</definedName>
    <definedName name="ㅉ" hidden="1">{#N/A,#N/A,TRUE,"Y생산";#N/A,#N/A,TRUE,"Y판매";#N/A,#N/A,TRUE,"Y총물량";#N/A,#N/A,TRUE,"Y능력";#N/A,#N/A,TRUE,"YKD"}</definedName>
    <definedName name="ㅊㄷㅁㅈㄷㄼㄹ" hidden="1">{#N/A,#N/A,FALSE,"단축1";#N/A,#N/A,FALSE,"단축2";#N/A,#N/A,FALSE,"단축3";#N/A,#N/A,FALSE,"장축";#N/A,#N/A,FALSE,"4WD"}</definedName>
    <definedName name="ㅊㅊ" hidden="1">{#N/A,#N/A,FALSE,"단축1";#N/A,#N/A,FALSE,"단축2";#N/A,#N/A,FALSE,"단축3";#N/A,#N/A,FALSE,"장축";#N/A,#N/A,FALSE,"4WD"}</definedName>
    <definedName name="ㅊㅊㅊ" hidden="1">{#N/A,#N/A,FALSE,"단축1";#N/A,#N/A,FALSE,"단축2";#N/A,#N/A,FALSE,"단축3";#N/A,#N/A,FALSE,"장축";#N/A,#N/A,FALSE,"4WD"}</definedName>
    <definedName name="참고사항" hidden="1">{#N/A,#N/A,FALSE,"단축1";#N/A,#N/A,FALSE,"단축2";#N/A,#N/A,FALSE,"단축3";#N/A,#N/A,FALSE,"장축";#N/A,#N/A,FALSE,"4WD"}</definedName>
    <definedName name="최영" hidden="1">{#N/A,#N/A,FALSE,"정공"}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충돌" hidden="1">{#N/A,#N/A,FALSE,"단축1";#N/A,#N/A,FALSE,"단축2";#N/A,#N/A,FALSE,"단축3";#N/A,#N/A,FALSE,"장축";#N/A,#N/A,FALSE,"4WD"}</definedName>
    <definedName name="측정기" hidden="1">#REF!</definedName>
    <definedName name="ㅋㅇㅍ" hidden="1">{#N/A,#N/A,FALSE,"단축1";#N/A,#N/A,FALSE,"단축2";#N/A,#N/A,FALSE,"단축3";#N/A,#N/A,FALSE,"장축";#N/A,#N/A,FALSE,"4WD"}</definedName>
    <definedName name="ㅋㅋ" hidden="1">{#N/A,#N/A,FALSE,"단축1";#N/A,#N/A,FALSE,"단축2";#N/A,#N/A,FALSE,"단축3";#N/A,#N/A,FALSE,"장축";#N/A,#N/A,FALSE,"4WD"}</definedName>
    <definedName name="ㅋㅋㅋㅋ" hidden="1">{#N/A,#N/A,FALSE,"단축1";#N/A,#N/A,FALSE,"단축2";#N/A,#N/A,FALSE,"단축3";#N/A,#N/A,FALSE,"장축";#N/A,#N/A,FALSE,"4WD"}</definedName>
    <definedName name="ㅋㅋㅋㅋㅋ" hidden="1">{#N/A,#N/A,FALSE,"단축1";#N/A,#N/A,FALSE,"단축2";#N/A,#N/A,FALSE,"단축3";#N/A,#N/A,FALSE,"장축";#N/A,#N/A,FALSE,"4WD"}</definedName>
    <definedName name="캄코11" hidden="1">{#N/A,#N/A,FALSE,"Cst of Sales (2)"}</definedName>
    <definedName name="크랑" hidden="1">{#N/A,#N/A,FALSE,"단축1";#N/A,#N/A,FALSE,"단축2";#N/A,#N/A,FALSE,"단축3";#N/A,#N/A,FALSE,"장축";#N/A,#N/A,FALSE,"4WD"}</definedName>
    <definedName name="키프코" hidden="1">{#N/A,#N/A,FALSE,"을지 (4)";#N/A,#N/A,FALSE,"을지 (5)";#N/A,#N/A,FALSE,"을지 (6)"}</definedName>
    <definedName name="ㅌ" hidden="1">{#N/A,#N/A,FALSE,"단축1";#N/A,#N/A,FALSE,"단축2";#N/A,#N/A,FALSE,"단축3";#N/A,#N/A,FALSE,"장축";#N/A,#N/A,FALSE,"4WD"}</definedName>
    <definedName name="ㅌㅇ" hidden="1">{#N/A,#N/A,FALSE,"단축1";#N/A,#N/A,FALSE,"단축2";#N/A,#N/A,FALSE,"단축3";#N/A,#N/A,FALSE,"장축";#N/A,#N/A,FALSE,"4WD"}</definedName>
    <definedName name="ㅌㅇㄳ됴" hidden="1">{#N/A,#N/A,FALSE,"단축1";#N/A,#N/A,FALSE,"단축2";#N/A,#N/A,FALSE,"단축3";#N/A,#N/A,FALSE,"장축";#N/A,#N/A,FALSE,"4WD"}</definedName>
    <definedName name="ㅌㅇ로" hidden="1">{#N/A,#N/A,FALSE,"단축1";#N/A,#N/A,FALSE,"단축2";#N/A,#N/A,FALSE,"단축3";#N/A,#N/A,FALSE,"장축";#N/A,#N/A,FALSE,"4WD"}</definedName>
    <definedName name="ㅌㅊ" hidden="1">{#N/A,#N/A,FALSE,"단축1";#N/A,#N/A,FALSE,"단축2";#N/A,#N/A,FALSE,"단축3";#N/A,#N/A,FALSE,"장축";#N/A,#N/A,FALSE,"4WD"}</definedName>
    <definedName name="ㅌㅋㅊㅍ츄ㅍ" hidden="1">{#N/A,#N/A,FALSE,"신규dep";#N/A,#N/A,FALSE,"신규dep-금형상각후";#N/A,#N/A,FALSE,"신규dep-연구비상각후";#N/A,#N/A,FALSE,"신규dep-기계,공구상각후"}</definedName>
    <definedName name="ㅌㅌ" hidden="1">{#N/A,#N/A,TRUE,"일정"}</definedName>
    <definedName name="ㅌㅌㅌㅌ" hidden="1">{#N/A,#N/A,FALSE,"단축1";#N/A,#N/A,FALSE,"단축2";#N/A,#N/A,FALSE,"단축3";#N/A,#N/A,FALSE,"장축";#N/A,#N/A,FALSE,"4WD"}</definedName>
    <definedName name="터" hidden="1">{#N/A,#N/A,FALSE,"단축1";#N/A,#N/A,FALSE,"단축2";#N/A,#N/A,FALSE,"단축3";#N/A,#N/A,FALSE,"장축";#N/A,#N/A,FALSE,"4WD"}</definedName>
    <definedName name="통합1장" hidden="1">{#N/A,#N/A,FALSE,"단축1";#N/A,#N/A,FALSE,"단축2";#N/A,#N/A,FALSE,"단축3";#N/A,#N/A,FALSE,"장축";#N/A,#N/A,FALSE,"4WD"}</definedName>
    <definedName name="투자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투자사업개요서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예산2" hidden="1">{#N/A,#N/A,FALSE,"단축1";#N/A,#N/A,FALSE,"단축2";#N/A,#N/A,FALSE,"단축3";#N/A,#N/A,FALSE,"장축";#N/A,#N/A,FALSE,"4WD"}</definedName>
    <definedName name="ㅍㅎ류" hidden="1">{#N/A,#N/A,FALSE,"단축1";#N/A,#N/A,FALSE,"단축2";#N/A,#N/A,FALSE,"단축3";#N/A,#N/A,FALSE,"장축";#N/A,#N/A,FALSE,"4WD"}</definedName>
    <definedName name="판매" hidden="1">{#N/A,#N/A,FALSE,"단축1";#N/A,#N/A,FALSE,"단축2";#N/A,#N/A,FALSE,"단축3";#N/A,#N/A,FALSE,"장축";#N/A,#N/A,FALSE,"4WD"}</definedName>
    <definedName name="판매목표2" hidden="1">{#N/A,#N/A,FALSE,"단축1";#N/A,#N/A,FALSE,"단축2";#N/A,#N/A,FALSE,"단축3";#N/A,#N/A,FALSE,"장축";#N/A,#N/A,FALSE,"4WD"}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포장" hidden="1">{#N/A,#N/A,FALSE,"원가검토서"}</definedName>
    <definedName name="포장사양" hidden="1">#REF!</definedName>
    <definedName name="포장사양서" hidden="1">{#N/A,#N/A,FALSE,"원가검토서"}</definedName>
    <definedName name="표지1" hidden="1">{#N/A,#N/A,FALSE,"단축1";#N/A,#N/A,FALSE,"단축2";#N/A,#N/A,FALSE,"단축3";#N/A,#N/A,FALSE,"장축";#N/A,#N/A,FALSE,"4WD"}</definedName>
    <definedName name="품" hidden="1">{#N/A,#N/A,TRUE,"Y생산";#N/A,#N/A,TRUE,"Y판매";#N/A,#N/A,TRUE,"Y총물량";#N/A,#N/A,TRUE,"Y능력";#N/A,#N/A,TRUE,"YKD"}</definedName>
    <definedName name="품질확보계획2" hidden="1">{#N/A,#N/A,FALSE,"단축1";#N/A,#N/A,FALSE,"단축2";#N/A,#N/A,FALSE,"단축3";#N/A,#N/A,FALSE,"장축";#N/A,#N/A,FALSE,"4WD"}</definedName>
    <definedName name="품질확보추진현황" hidden="1">{#N/A,#N/A,FALSE,"단축1";#N/A,#N/A,FALSE,"단축2";#N/A,#N/A,FALSE,"단축3";#N/A,#N/A,FALSE,"장축";#N/A,#N/A,FALSE,"4WD"}</definedName>
    <definedName name="품확" hidden="1">{#N/A,#N/A,FALSE,"단축1";#N/A,#N/A,FALSE,"단축2";#N/A,#N/A,FALSE,"단축3";#N/A,#N/A,FALSE,"장축";#N/A,#N/A,FALSE,"4WD"}</definedName>
    <definedName name="퓨ㅠ" hidden="1">{#N/A,#N/A,FALSE,"단축1";#N/A,#N/A,FALSE,"단축2";#N/A,#N/A,FALSE,"단축3";#N/A,#N/A,FALSE,"장축";#N/A,#N/A,FALSE,"4WD"}</definedName>
    <definedName name="프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골호" hidden="1">{#N/A,#N/A,FALSE,"단축1";#N/A,#N/A,FALSE,"단축2";#N/A,#N/A,FALSE,"단축3";#N/A,#N/A,FALSE,"장축";#N/A,#N/A,FALSE,"4WD"}</definedName>
    <definedName name="ㅎㄴ" hidden="1">{#N/A,#N/A,FALSE,"단축1";#N/A,#N/A,FALSE,"단축2";#N/A,#N/A,FALSE,"단축3";#N/A,#N/A,FALSE,"장축";#N/A,#N/A,FALSE,"4WD"}</definedName>
    <definedName name="ㅎㄷㅁㄱ" hidden="1">{#N/A,#N/A,FALSE,"단축1";#N/A,#N/A,FALSE,"단축2";#N/A,#N/A,FALSE,"단축3";#N/A,#N/A,FALSE,"장축";#N/A,#N/A,FALSE,"4WD"}</definedName>
    <definedName name="ㅎㄹㅇㄴ" hidden="1">{#N/A,#N/A,FALSE,"신규dep";#N/A,#N/A,FALSE,"신규dep-금형상각후";#N/A,#N/A,FALSE,"신규dep-연구비상각후";#N/A,#N/A,FALSE,"신규dep-기계,공구상각후"}</definedName>
    <definedName name="ㅎㄹㅇㅎ" hidden="1">{#N/A,#N/A,FALSE,"단축1";#N/A,#N/A,FALSE,"단축2";#N/A,#N/A,FALSE,"단축3";#N/A,#N/A,FALSE,"장축";#N/A,#N/A,FALSE,"4WD"}</definedName>
    <definedName name="ㅎ라" hidden="1">{#N/A,#N/A,TRUE,"Y생산";#N/A,#N/A,TRUE,"Y판매";#N/A,#N/A,TRUE,"Y총물량";#N/A,#N/A,TRUE,"Y능력";#N/A,#N/A,TRUE,"YKD"}</definedName>
    <definedName name="ㅎ러ㅗㅀ" hidden="1">{#N/A,#N/A,FALSE,"단축1";#N/A,#N/A,FALSE,"단축2";#N/A,#N/A,FALSE,"단축3";#N/A,#N/A,FALSE,"장축";#N/A,#N/A,FALSE,"4WD"}</definedName>
    <definedName name="ㅎ로" hidden="1">{#N/A,#N/A,FALSE,"단축1";#N/A,#N/A,FALSE,"단축2";#N/A,#N/A,FALSE,"단축3";#N/A,#N/A,FALSE,"장축";#N/A,#N/A,FALSE,"4WD"}</definedName>
    <definedName name="ㅎ로ㅎ" hidden="1">{#N/A,#N/A,FALSE,"단축1";#N/A,#N/A,FALSE,"단축2";#N/A,#N/A,FALSE,"단축3";#N/A,#N/A,FALSE,"장축";#N/A,#N/A,FALSE,"4WD"}</definedName>
    <definedName name="ㅎ로호" hidden="1">{#N/A,#N/A,FALSE,"단축1";#N/A,#N/A,FALSE,"단축2";#N/A,#N/A,FALSE,"단축3";#N/A,#N/A,FALSE,"장축";#N/A,#N/A,FALSE,"4WD"}</definedName>
    <definedName name="ㅎ로호ㅗ" hidden="1">{#N/A,#N/A,FALSE,"단축1";#N/A,#N/A,FALSE,"단축2";#N/A,#N/A,FALSE,"단축3";#N/A,#N/A,FALSE,"장축";#N/A,#N/A,FALSE,"4WD"}</definedName>
    <definedName name="ㅎ로ㅗㅗ" hidden="1">{#N/A,#N/A,FALSE,"신규dep";#N/A,#N/A,FALSE,"신규dep-금형상각후";#N/A,#N/A,FALSE,"신규dep-연구비상각후";#N/A,#N/A,FALSE,"신규dep-기계,공구상각후"}</definedName>
    <definedName name="ㅎ롤ㅎ" hidden="1">{#N/A,#N/A,FALSE,"단축1";#N/A,#N/A,FALSE,"단축2";#N/A,#N/A,FALSE,"단축3";#N/A,#N/A,FALSE,"장축";#N/A,#N/A,FALSE,"4WD"}</definedName>
    <definedName name="ㅎ룰후ㅎㅎ" hidden="1">{#N/A,#N/A,FALSE,"단축1";#N/A,#N/A,FALSE,"단축2";#N/A,#N/A,FALSE,"단축3";#N/A,#N/A,FALSE,"장축";#N/A,#N/A,FALSE,"4WD"}</definedName>
    <definedName name="ㅎㅀ로흐ㅗ" hidden="1">{#N/A,#N/A,FALSE,"단축1";#N/A,#N/A,FALSE,"단축2";#N/A,#N/A,FALSE,"단축3";#N/A,#N/A,FALSE,"장축";#N/A,#N/A,FALSE,"4WD"}</definedName>
    <definedName name="ㅎㅀㅀㅎㄹㄹ" hidden="1">{#N/A,#N/A,FALSE,"단축1";#N/A,#N/A,FALSE,"단축2";#N/A,#N/A,FALSE,"단축3";#N/A,#N/A,FALSE,"장축";#N/A,#N/A,FALSE,"4WD"}</definedName>
    <definedName name="ㅎㅀㅎ" hidden="1">{#N/A,#N/A,FALSE,"단축1";#N/A,#N/A,FALSE,"단축2";#N/A,#N/A,FALSE,"단축3";#N/A,#N/A,FALSE,"장축";#N/A,#N/A,FALSE,"4WD"}</definedName>
    <definedName name="ㅎㅎ로호ㅎ" hidden="1">{#N/A,#N/A,FALSE,"단축1";#N/A,#N/A,FALSE,"단축2";#N/A,#N/A,FALSE,"단축3";#N/A,#N/A,FALSE,"장축";#N/A,#N/A,FALSE,"4WD"}</definedName>
    <definedName name="ㅎㅎ루ㅎㄹ" hidden="1">{#N/A,#N/A,FALSE,"단축1";#N/A,#N/A,FALSE,"단축2";#N/A,#N/A,FALSE,"단축3";#N/A,#N/A,FALSE,"장축";#N/A,#N/A,FALSE,"4WD"}</definedName>
    <definedName name="ㅎㅎㅀㄹ" hidden="1">{#N/A,#N/A,FALSE,"단축1";#N/A,#N/A,FALSE,"단축2";#N/A,#N/A,FALSE,"단축3";#N/A,#N/A,FALSE,"장축";#N/A,#N/A,FALSE,"4WD"}</definedName>
    <definedName name="ㅎ호ㅓㅓㅗ" hidden="1">{#N/A,#N/A,FALSE,"단축1";#N/A,#N/A,FALSE,"단축2";#N/A,#N/A,FALSE,"단축3";#N/A,#N/A,FALSE,"장축";#N/A,#N/A,FALSE,"4WD"}</definedName>
    <definedName name="하지마" hidden="1">{#N/A,#N/A,FALSE,"단축1";#N/A,#N/A,FALSE,"단축2";#N/A,#N/A,FALSE,"단축3";#N/A,#N/A,FALSE,"장축";#N/A,#N/A,FALSE,"4WD"}</definedName>
    <definedName name="하하핳" hidden="1">{#N/A,#N/A,FALSE,"단축1";#N/A,#N/A,FALSE,"단축2";#N/A,#N/A,FALSE,"단축3";#N/A,#N/A,FALSE,"장축";#N/A,#N/A,FALSE,"4WD"}</definedName>
    <definedName name="하핳" hidden="1">{#N/A,#N/A,FALSE,"단축1";#N/A,#N/A,FALSE,"단축2";#N/A,#N/A,FALSE,"단축3";#N/A,#N/A,FALSE,"장축";#N/A,#N/A,FALSE,"4WD"}</definedName>
    <definedName name="학" hidden="1">{#N/A,#N/A,FALSE,"단축1";#N/A,#N/A,FALSE,"단축2";#N/A,#N/A,FALSE,"단축3";#N/A,#N/A,FALSE,"장축";#N/A,#N/A,FALSE,"4WD"}</definedName>
    <definedName name="학교" hidden="1">{#N/A,#N/A,FALSE,"단축1";#N/A,#N/A,FALSE,"단축2";#N/A,#N/A,FALSE,"단축3";#N/A,#N/A,FALSE,"장축";#N/A,#N/A,FALSE,"4WD"}</definedName>
    <definedName name="한국" hidden="1">{#N/A,#N/A,FALSE,"단축1";#N/A,#N/A,FALSE,"단축2";#N/A,#N/A,FALSE,"단축3";#N/A,#N/A,FALSE,"장축";#N/A,#N/A,FALSE,"4WD"}</definedName>
    <definedName name="한영사전" hidden="1">{#N/A,#N/A,TRUE,"Y생산";#N/A,#N/A,TRUE,"Y판매";#N/A,#N/A,TRUE,"Y총물량";#N/A,#N/A,TRUE,"Y능력";#N/A,#N/A,TRUE,"YKD"}</definedName>
    <definedName name="한총2" hidden="1">{#N/A,#N/A,FALSE,"을지 (4)";#N/A,#N/A,FALSE,"을지 (5)";#N/A,#N/A,FALSE,"을지 (6)"}</definedName>
    <definedName name="해정" hidden="1">{#N/A,#N/A,FALSE,"단축1";#N/A,#N/A,FALSE,"단축2";#N/A,#N/A,FALSE,"단축3";#N/A,#N/A,FALSE,"장축";#N/A,#N/A,FALSE,"4WD"}</definedName>
    <definedName name="향후계획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현대" hidden="1">{#N/A,#N/A,FALSE,"정공"}</definedName>
    <definedName name="현주" hidden="1">{#N/A,#N/A,FALSE,"단축1";#N/A,#N/A,FALSE,"단축2";#N/A,#N/A,FALSE,"단축3";#N/A,#N/A,FALSE,"장축";#N/A,#N/A,FALSE,"4WD"}</definedName>
    <definedName name="현주1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호ㅎㅀㄹ" hidden="1">{#N/A,#N/A,FALSE,"단축1";#N/A,#N/A,FALSE,"단축2";#N/A,#N/A,FALSE,"단축3";#N/A,#N/A,FALSE,"장축";#N/A,#N/A,FALSE,"4WD"}</definedName>
    <definedName name="호ㅓㅏ" hidden="1">{#N/A,#N/A,FALSE,"96 3월물량표";#N/A,#N/A,FALSE,"96 4월물량표";#N/A,#N/A,FALSE,"96 5월물량표"}</definedName>
    <definedName name="호ㅓㅗ" hidden="1">{#N/A,#N/A,FALSE,"단축1";#N/A,#N/A,FALSE,"단축2";#N/A,#N/A,FALSE,"단축3";#N/A,#N/A,FALSE,"장축";#N/A,#N/A,FALSE,"4WD"}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홋곡ㅅㅈ" hidden="1">{#N/A,#N/A,FALSE,"단축1";#N/A,#N/A,FALSE,"단축2";#N/A,#N/A,FALSE,"단축3";#N/A,#N/A,FALSE,"장축";#N/A,#N/A,FALSE,"4WD"}</definedName>
    <definedName name="확인" hidden="1">{#N/A,#N/A,FALSE,"단축1";#N/A,#N/A,FALSE,"단축2";#N/A,#N/A,FALSE,"단축3";#N/A,#N/A,FALSE,"장축";#N/A,#N/A,FALSE,"4WD"}</definedName>
    <definedName name="회의록" hidden="1">{#N/A,#N/A,FALSE,"Cst of Sales (2)"}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ㅑㅡ" hidden="1">{#N/A,#N/A,FALSE,"단축1";#N/A,#N/A,FALSE,"단축2";#N/A,#N/A,FALSE,"단축3";#N/A,#N/A,FALSE,"장축";#N/A,#N/A,FALSE,"4WD"}</definedName>
    <definedName name="ㅏㅣㅣㅣ" hidden="1">{#N/A,#N/A,FALSE,"단축1";#N/A,#N/A,FALSE,"단축2";#N/A,#N/A,FALSE,"단축3";#N/A,#N/A,FALSE,"장축";#N/A,#N/A,FALSE,"4WD"}</definedName>
    <definedName name="ㅐㅐ" hidden="1">{#N/A,#N/A,FALSE,"단축1";#N/A,#N/A,FALSE,"단축2";#N/A,#N/A,FALSE,"단축3";#N/A,#N/A,FALSE,"장축";#N/A,#N/A,FALSE,"4WD"}</definedName>
    <definedName name="ㅐ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ㅔ" hidden="1">{#N/A,#N/A,FALSE,"신규dep";#N/A,#N/A,FALSE,"신규dep-금형상각후";#N/A,#N/A,FALSE,"신규dep-연구비상각후";#N/A,#N/A,FALSE,"신규dep-기계,공구상각후"}</definedName>
    <definedName name="ㅑ숑ㅎㅁㄹㄴㄴㅁ" hidden="1">{#N/A,#N/A,FALSE,"단축1";#N/A,#N/A,FALSE,"단축2";#N/A,#N/A,FALSE,"단축3";#N/A,#N/A,FALSE,"장축";#N/A,#N/A,FALSE,"4WD"}</definedName>
    <definedName name="ㅑㅎㄹㅇㅀㅀ" hidden="1">{#N/A,#N/A,FALSE,"단축1";#N/A,#N/A,FALSE,"단축2";#N/A,#N/A,FALSE,"단축3";#N/A,#N/A,FALSE,"장축";#N/A,#N/A,FALSE,"4WD"}</definedName>
    <definedName name="ㅑㅐㅔㅕㅑㅐ" hidden="1">{#N/A,#N/A,FALSE,"단축1";#N/A,#N/A,FALSE,"단축2";#N/A,#N/A,FALSE,"단축3";#N/A,#N/A,FALSE,"장축";#N/A,#N/A,FALSE,"4WD"}</definedName>
    <definedName name="ㅑㅑㅏㅏㅓ" hidden="1">{#N/A,#N/A,FALSE,"단축1";#N/A,#N/A,FALSE,"단축2";#N/A,#N/A,FALSE,"단축3";#N/A,#N/A,FALSE,"장축";#N/A,#N/A,FALSE,"4WD"}</definedName>
    <definedName name="ㅑㅘㅕㅓㅎㄹ" hidden="1">{#N/A,#N/A,FALSE,"단축1";#N/A,#N/A,FALSE,"단축2";#N/A,#N/A,FALSE,"단축3";#N/A,#N/A,FALSE,"장축";#N/A,#N/A,FALSE,"4WD"}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로럴" hidden="1">{#N/A,#N/A,FALSE,"단축1";#N/A,#N/A,FALSE,"단축2";#N/A,#N/A,FALSE,"단축3";#N/A,#N/A,FALSE,"장축";#N/A,#N/A,FALSE,"4WD"}</definedName>
    <definedName name="ㅓㅏㅣㅕㅑㅔ" hidden="1">{#N/A,#N/A,FALSE,"단축1";#N/A,#N/A,FALSE,"단축2";#N/A,#N/A,FALSE,"단축3";#N/A,#N/A,FALSE,"장축";#N/A,#N/A,FALSE,"4WD"}</definedName>
    <definedName name="ㅓㅓ로" hidden="1">{#N/A,#N/A,FALSE,"단축1";#N/A,#N/A,FALSE,"단축2";#N/A,#N/A,FALSE,"단축3";#N/A,#N/A,FALSE,"장축";#N/A,#N/A,FALSE,"4WD"}</definedName>
    <definedName name="ㅓㅗㄹ호" hidden="1">{#N/A,#N/A,FALSE,"단축1";#N/A,#N/A,FALSE,"단축2";#N/A,#N/A,FALSE,"단축3";#N/A,#N/A,FALSE,"장축";#N/A,#N/A,FALSE,"4WD"}</definedName>
    <definedName name="ㅔㅔ" hidden="1">{#N/A,#N/A,FALSE,"Status";#N/A,#N/A,FALSE,"Deckblatt 1";#N/A,#N/A,FALSE,"Deckblatt2"}</definedName>
    <definedName name="ㅔㅔㅔ" hidden="1">{#N/A,#N/A,FALSE,"단축1";#N/A,#N/A,FALSE,"단축2";#N/A,#N/A,FALSE,"단축3";#N/A,#N/A,FALSE,"장축";#N/A,#N/A,FALSE,"4WD"}</definedName>
    <definedName name="ㅔㅔㅔㅔ" hidden="1">{#N/A,#N/A,FALSE,"단축1";#N/A,#N/A,FALSE,"단축2";#N/A,#N/A,FALSE,"단축3";#N/A,#N/A,FALSE,"장축";#N/A,#N/A,FALSE,"4WD"}</definedName>
    <definedName name="ㅕ" hidden="1">{#N/A,#N/A,FALSE,"단축1";#N/A,#N/A,FALSE,"단축2";#N/A,#N/A,FALSE,"단축3";#N/A,#N/A,FALSE,"장축";#N/A,#N/A,FALSE,"4WD"}</definedName>
    <definedName name="ㅕㅓㅗㅎㄹㅇ" hidden="1">{#N/A,#N/A,FALSE,"단축1";#N/A,#N/A,FALSE,"단축2";#N/A,#N/A,FALSE,"단축3";#N/A,#N/A,FALSE,"장축";#N/A,#N/A,FALSE,"4WD"}</definedName>
    <definedName name="ㅕㅛㅅㄱㄷㄹ휴" hidden="1">{#N/A,#N/A,FALSE,"단축1";#N/A,#N/A,FALSE,"단축2";#N/A,#N/A,FALSE,"단축3";#N/A,#N/A,FALSE,"장축";#N/A,#N/A,FALSE,"4WD"}</definedName>
    <definedName name="ㅕㅠㅅㄱㅍㅈㅁㅍ" hidden="1">{#N/A,#N/A,FALSE,"단축1";#N/A,#N/A,FALSE,"단축2";#N/A,#N/A,FALSE,"단축3";#N/A,#N/A,FALSE,"장축";#N/A,#N/A,FALSE,"4WD"}</definedName>
    <definedName name="ㅗㄱㄴㅅㅎㄷ" hidden="1">{#N/A,#N/A,FALSE,"단축1";#N/A,#N/A,FALSE,"단축2";#N/A,#N/A,FALSE,"단축3";#N/A,#N/A,FALSE,"장축";#N/A,#N/A,FALSE,"4WD"}</definedName>
    <definedName name="ㅗㄱㄴㅇㅁ" hidden="1">{#N/A,#N/A,TRUE,"일정"}</definedName>
    <definedName name="ㅗㄴㅇㄱㅎㅇㄹㄶㅇ" hidden="1">{#N/A,#N/A,FALSE,"단축1";#N/A,#N/A,FALSE,"단축2";#N/A,#N/A,FALSE,"단축3";#N/A,#N/A,FALSE,"장축";#N/A,#N/A,FALSE,"4WD"}</definedName>
    <definedName name="ㅗ돟ㄷ" hidden="1">{#N/A,#N/A,FALSE,"단축1";#N/A,#N/A,FALSE,"단축2";#N/A,#N/A,FALSE,"단축3";#N/A,#N/A,FALSE,"장축";#N/A,#N/A,FALSE,"4WD"}</definedName>
    <definedName name="ㅗㅁㄶㄹㄴㅇ" hidden="1">{#N/A,#N/A,FALSE,"단축1";#N/A,#N/A,FALSE,"단축2";#N/A,#N/A,FALSE,"단축3";#N/A,#N/A,FALSE,"장축";#N/A,#N/A,FALSE,"4WD"}</definedName>
    <definedName name="ㅗㅁㅈ몸조" hidden="1">{#N/A,#N/A,FALSE,"단축1";#N/A,#N/A,FALSE,"단축2";#N/A,#N/A,FALSE,"단축3";#N/A,#N/A,FALSE,"장축";#N/A,#N/A,FALSE,"4WD"}</definedName>
    <definedName name="ㅗㅎ" hidden="1">{#N/A,#N/A,TRUE,"Y생산";#N/A,#N/A,TRUE,"Y판매";#N/A,#N/A,TRUE,"Y총물량";#N/A,#N/A,TRUE,"Y능력";#N/A,#N/A,TRUE,"YKD"}</definedName>
    <definedName name="ㅗㅎㅓ" hidden="1">{#N/A,#N/A,FALSE,"단축1";#N/A,#N/A,FALSE,"단축2";#N/A,#N/A,FALSE,"단축3";#N/A,#N/A,FALSE,"장축";#N/A,#N/A,FALSE,"4WD"}</definedName>
    <definedName name="ㅗㅓㅏ" hidden="1">#REF!</definedName>
    <definedName name="ㅗㅓㅏㅣ" hidden="1">{#N/A,#N/A,FALSE,"단축1";#N/A,#N/A,FALSE,"단축2";#N/A,#N/A,FALSE,"단축3";#N/A,#N/A,FALSE,"장축";#N/A,#N/A,FALSE,"4WD"}</definedName>
    <definedName name="ㅗㅓㅓ" hidden="1">{#N/A,#N/A,FALSE,"단축1";#N/A,#N/A,FALSE,"단축2";#N/A,#N/A,FALSE,"단축3";#N/A,#N/A,FALSE,"장축";#N/A,#N/A,FALSE,"4WD"}</definedName>
    <definedName name="ㅗㅓㅕ" hidden="1">{#N/A,#N/A,FALSE,"단축1";#N/A,#N/A,FALSE,"단축2";#N/A,#N/A,FALSE,"단축3";#N/A,#N/A,FALSE,"장축";#N/A,#N/A,FALSE,"4WD"}</definedName>
    <definedName name="ㅗㅓㅜ" hidden="1">{#N/A,#N/A,FALSE,"단축1";#N/A,#N/A,FALSE,"단축2";#N/A,#N/A,FALSE,"단축3";#N/A,#N/A,FALSE,"장축";#N/A,#N/A,FALSE,"4WD"}</definedName>
    <definedName name="ㅗㅗ" hidden="1">{#N/A,#N/A,FALSE,"단축1";#N/A,#N/A,FALSE,"단축2";#N/A,#N/A,FALSE,"단축3";#N/A,#N/A,FALSE,"장축";#N/A,#N/A,FALSE,"4WD"}</definedName>
    <definedName name="ㅗㅛ서ㅛㅅ" hidden="1">{#N/A,#N/A,FALSE,"단축1";#N/A,#N/A,FALSE,"단축2";#N/A,#N/A,FALSE,"단축3";#N/A,#N/A,FALSE,"장축";#N/A,#N/A,FALSE,"4WD"}</definedName>
    <definedName name="ㅗㅠㄹ후ㅡㅗㅡ" hidden="1">{#N/A,#N/A,FALSE,"단축1";#N/A,#N/A,FALSE,"단축2";#N/A,#N/A,FALSE,"단축3";#N/A,#N/A,FALSE,"장축";#N/A,#N/A,FALSE,"4WD"}</definedName>
    <definedName name="ㅛㄱ됴ㄱㄷ죠ㅅㄱ됴ㅅㄱㄷ죡ㄷ죠" hidden="1">{#N/A,#N/A,TRUE,"일정"}</definedName>
    <definedName name="ㅛㅅㄱㄷㅈ" hidden="1">{#N/A,#N/A,FALSE,"단축1";#N/A,#N/A,FALSE,"단축2";#N/A,#N/A,FALSE,"단축3";#N/A,#N/A,FALSE,"장축";#N/A,#N/A,FALSE,"4WD"}</definedName>
    <definedName name="ㅛ허ㅗ" hidden="1">{#N/A,#N/A,FALSE,"신규dep";#N/A,#N/A,FALSE,"신규dep-금형상각후";#N/A,#N/A,FALSE,"신규dep-연구비상각후";#N/A,#N/A,FALSE,"신규dep-기계,공구상각후"}</definedName>
    <definedName name="ㅛㅕ셔" hidden="1">{#N/A,#N/A,FALSE,"단축1";#N/A,#N/A,FALSE,"단축2";#N/A,#N/A,FALSE,"단축3";#N/A,#N/A,FALSE,"장축";#N/A,#N/A,FALSE,"4WD"}</definedName>
    <definedName name="ㅛㅗㅎㅅㄺ" hidden="1">{#N/A,#N/A,FALSE,"단축1";#N/A,#N/A,FALSE,"단축2";#N/A,#N/A,FALSE,"단축3";#N/A,#N/A,FALSE,"장축";#N/A,#N/A,FALSE,"4WD"}</definedName>
    <definedName name="ㅛㅛ" hidden="1">{#N/A,#N/A,FALSE,"단축1";#N/A,#N/A,FALSE,"단축2";#N/A,#N/A,FALSE,"단축3";#N/A,#N/A,FALSE,"장축";#N/A,#N/A,FALSE,"4WD"}</definedName>
    <definedName name="ㅜㅛㅅㄱ누ㅛㅅㄱ누ㅛㅅㄴ구ㅛㅅㄱㄴ" hidden="1">{#N/A,#N/A,TRUE,"일정"}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ㅡㅓㅗㅎ" hidden="1">{#N/A,#N/A,FALSE,"신규dep";#N/A,#N/A,FALSE,"신규dep-금형상각후";#N/A,#N/A,FALSE,"신규dep-연구비상각후";#N/A,#N/A,FALSE,"신규dep-기계,공구상각후"}</definedName>
    <definedName name="ㅠㅍㅇㅌㄹ" hidden="1">{#N/A,#N/A,FALSE,"단축1";#N/A,#N/A,FALSE,"단축2";#N/A,#N/A,FALSE,"단축3";#N/A,#N/A,FALSE,"장축";#N/A,#N/A,FALSE,"4WD"}</definedName>
    <definedName name="ㅠㅎㅀ" hidden="1">{#N/A,#N/A,FALSE,"단축1";#N/A,#N/A,FALSE,"단축2";#N/A,#N/A,FALSE,"단축3";#N/A,#N/A,FALSE,"장축";#N/A,#N/A,FALSE,"4WD"}</definedName>
    <definedName name="ㅠㅓㅣㅏ" hidden="1">{#N/A,#N/A,FALSE,"단축1";#N/A,#N/A,FALSE,"단축2";#N/A,#N/A,FALSE,"단축3";#N/A,#N/A,FALSE,"장축";#N/A,#N/A,FALSE,"4WD"}</definedName>
    <definedName name="ㅠㅜㅊ" hidden="1">{#N/A,#N/A,FALSE,"단축1";#N/A,#N/A,FALSE,"단축2";#N/A,#N/A,FALSE,"단축3";#N/A,#N/A,FALSE,"장축";#N/A,#N/A,FALSE,"4WD"}</definedName>
    <definedName name="ㅠㅠㅜㅜㅜ" hidden="1">{#N/A,#N/A,FALSE,"신규dep";#N/A,#N/A,FALSE,"신규dep-금형상각후";#N/A,#N/A,FALSE,"신규dep-연구비상각후";#N/A,#N/A,FALSE,"신규dep-기계,공구상각후"}</definedName>
    <definedName name="ㅡㅡ" hidden="1">{#N/A,#N/A,FALSE,"단축1";#N/A,#N/A,FALSE,"단축2";#N/A,#N/A,FALSE,"단축3";#N/A,#N/A,FALSE,"장축";#N/A,#N/A,FALSE,"4WD"}</definedName>
    <definedName name="ㅣㅏㄹㅇㅌㄱㅎ" hidden="1">{#N/A,#N/A,FALSE,"단축1";#N/A,#N/A,FALSE,"단축2";#N/A,#N/A,FALSE,"단축3";#N/A,#N/A,FALSE,"장축";#N/A,#N/A,FALSE,"4WD"}</definedName>
    <definedName name="ㅣㅏㅓ일ㄴ어" hidden="1">{#N/A,#N/A,FALSE,"Status";#N/A,#N/A,FALSE,"Deckblatt 1";#N/A,#N/A,FALSE,"Deckblatt2"}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28" i="14" l="1"/>
  <c r="AA28" i="14"/>
  <c r="Y28" i="14"/>
  <c r="X28" i="14"/>
  <c r="W28" i="14"/>
  <c r="V28" i="14"/>
  <c r="U28" i="14"/>
  <c r="T28" i="14"/>
  <c r="R28" i="14"/>
  <c r="S28" i="14" s="1"/>
  <c r="Q28" i="14"/>
  <c r="P28" i="14"/>
  <c r="O28" i="14"/>
  <c r="N28" i="14"/>
  <c r="M28" i="14"/>
  <c r="K28" i="14"/>
  <c r="J28" i="14"/>
  <c r="Z28" i="14" s="1"/>
  <c r="AC27" i="14"/>
  <c r="AA27" i="14"/>
  <c r="Y27" i="14"/>
  <c r="W27" i="14"/>
  <c r="V27" i="14"/>
  <c r="U27" i="14"/>
  <c r="T27" i="14"/>
  <c r="S27" i="14"/>
  <c r="R27" i="14"/>
  <c r="Q27" i="14"/>
  <c r="P27" i="14"/>
  <c r="O27" i="14"/>
  <c r="Z27" i="14" s="1"/>
  <c r="N27" i="14"/>
  <c r="M27" i="14"/>
  <c r="K27" i="14"/>
  <c r="J27" i="14"/>
  <c r="AC26" i="14"/>
  <c r="AA26" i="14"/>
  <c r="W26" i="14"/>
  <c r="V26" i="14"/>
  <c r="U26" i="14"/>
  <c r="T26" i="14"/>
  <c r="R26" i="14"/>
  <c r="S26" i="14" s="1"/>
  <c r="Q26" i="14"/>
  <c r="P26" i="14"/>
  <c r="O26" i="14"/>
  <c r="Z26" i="14" s="1"/>
  <c r="N26" i="14"/>
  <c r="M26" i="14"/>
  <c r="K26" i="14"/>
  <c r="J26" i="14"/>
  <c r="AC25" i="14"/>
  <c r="X25" i="14"/>
  <c r="W25" i="14"/>
  <c r="V25" i="14"/>
  <c r="U25" i="14"/>
  <c r="T25" i="14"/>
  <c r="S25" i="14"/>
  <c r="R25" i="14"/>
  <c r="Q25" i="14"/>
  <c r="AA25" i="14" s="1"/>
  <c r="P25" i="14"/>
  <c r="O25" i="14"/>
  <c r="Y25" i="14" s="1"/>
  <c r="N25" i="14"/>
  <c r="M25" i="14"/>
  <c r="K25" i="14"/>
  <c r="J25" i="14"/>
  <c r="AC24" i="14"/>
  <c r="W24" i="14"/>
  <c r="V24" i="14"/>
  <c r="U24" i="14"/>
  <c r="T24" i="14"/>
  <c r="S24" i="14"/>
  <c r="R24" i="14"/>
  <c r="Q24" i="14"/>
  <c r="AA24" i="14" s="1"/>
  <c r="P24" i="14"/>
  <c r="O24" i="14"/>
  <c r="Z24" i="14" s="1"/>
  <c r="N24" i="14"/>
  <c r="M24" i="14"/>
  <c r="K24" i="14"/>
  <c r="J24" i="14"/>
  <c r="AC23" i="14"/>
  <c r="Y23" i="14"/>
  <c r="X23" i="14"/>
  <c r="W23" i="14"/>
  <c r="V23" i="14"/>
  <c r="U23" i="14"/>
  <c r="T23" i="14"/>
  <c r="S23" i="14"/>
  <c r="R23" i="14"/>
  <c r="Q23" i="14"/>
  <c r="AA23" i="14" s="1"/>
  <c r="P23" i="14"/>
  <c r="O23" i="14"/>
  <c r="Z23" i="14" s="1"/>
  <c r="N23" i="14"/>
  <c r="M23" i="14"/>
  <c r="K23" i="14"/>
  <c r="J23" i="14"/>
  <c r="AC22" i="14"/>
  <c r="AA22" i="14"/>
  <c r="Z22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K22" i="14"/>
  <c r="J22" i="14"/>
  <c r="AC21" i="14"/>
  <c r="AA21" i="14"/>
  <c r="Y21" i="14"/>
  <c r="X21" i="14"/>
  <c r="W21" i="14"/>
  <c r="V21" i="14"/>
  <c r="U21" i="14"/>
  <c r="T21" i="14"/>
  <c r="S21" i="14"/>
  <c r="R21" i="14"/>
  <c r="Q21" i="14"/>
  <c r="P21" i="14"/>
  <c r="O21" i="14"/>
  <c r="Z21" i="14" s="1"/>
  <c r="N21" i="14"/>
  <c r="M21" i="14"/>
  <c r="K21" i="14"/>
  <c r="J21" i="14"/>
  <c r="AC20" i="14"/>
  <c r="AA20" i="14"/>
  <c r="Y20" i="14"/>
  <c r="X20" i="14"/>
  <c r="W20" i="14"/>
  <c r="V20" i="14"/>
  <c r="U20" i="14"/>
  <c r="T20" i="14"/>
  <c r="R20" i="14"/>
  <c r="S20" i="14" s="1"/>
  <c r="Q20" i="14"/>
  <c r="P20" i="14"/>
  <c r="O20" i="14"/>
  <c r="N20" i="14"/>
  <c r="M20" i="14"/>
  <c r="K20" i="14"/>
  <c r="J20" i="14"/>
  <c r="Z20" i="14" s="1"/>
  <c r="AC19" i="14"/>
  <c r="AA19" i="14"/>
  <c r="Y19" i="14"/>
  <c r="W19" i="14"/>
  <c r="V19" i="14"/>
  <c r="U19" i="14"/>
  <c r="T19" i="14"/>
  <c r="S19" i="14"/>
  <c r="R19" i="14"/>
  <c r="Q19" i="14"/>
  <c r="P19" i="14"/>
  <c r="O19" i="14"/>
  <c r="Z19" i="14" s="1"/>
  <c r="N19" i="14"/>
  <c r="M19" i="14"/>
  <c r="K19" i="14"/>
  <c r="J19" i="14"/>
  <c r="AC18" i="14"/>
  <c r="AA18" i="14"/>
  <c r="W18" i="14"/>
  <c r="V18" i="14"/>
  <c r="U18" i="14"/>
  <c r="T18" i="14"/>
  <c r="R18" i="14"/>
  <c r="S18" i="14" s="1"/>
  <c r="Q18" i="14"/>
  <c r="P18" i="14"/>
  <c r="O18" i="14"/>
  <c r="Z18" i="14" s="1"/>
  <c r="N18" i="14"/>
  <c r="M18" i="14"/>
  <c r="K18" i="14"/>
  <c r="J18" i="14"/>
  <c r="AC17" i="14"/>
  <c r="W17" i="14"/>
  <c r="V17" i="14"/>
  <c r="U17" i="14"/>
  <c r="T17" i="14"/>
  <c r="S17" i="14"/>
  <c r="R17" i="14"/>
  <c r="Q17" i="14"/>
  <c r="AA17" i="14" s="1"/>
  <c r="P17" i="14"/>
  <c r="O17" i="14"/>
  <c r="Y17" i="14" s="1"/>
  <c r="N17" i="14"/>
  <c r="M17" i="14"/>
  <c r="K17" i="14"/>
  <c r="J17" i="14"/>
  <c r="AC16" i="14"/>
  <c r="W16" i="14"/>
  <c r="V16" i="14"/>
  <c r="U16" i="14"/>
  <c r="T16" i="14"/>
  <c r="S16" i="14"/>
  <c r="R16" i="14"/>
  <c r="Q16" i="14"/>
  <c r="AA16" i="14" s="1"/>
  <c r="P16" i="14"/>
  <c r="O16" i="14"/>
  <c r="Z16" i="14" s="1"/>
  <c r="N16" i="14"/>
  <c r="M16" i="14"/>
  <c r="K16" i="14"/>
  <c r="J16" i="14"/>
  <c r="AC15" i="14"/>
  <c r="Y15" i="14"/>
  <c r="X15" i="14"/>
  <c r="W15" i="14"/>
  <c r="V15" i="14"/>
  <c r="U15" i="14"/>
  <c r="T15" i="14"/>
  <c r="S15" i="14"/>
  <c r="R15" i="14"/>
  <c r="Q15" i="14"/>
  <c r="AA15" i="14" s="1"/>
  <c r="P15" i="14"/>
  <c r="O15" i="14"/>
  <c r="Z15" i="14" s="1"/>
  <c r="N15" i="14"/>
  <c r="M15" i="14"/>
  <c r="K15" i="14"/>
  <c r="J15" i="14"/>
  <c r="AC14" i="14"/>
  <c r="AA14" i="14"/>
  <c r="Z14" i="14"/>
  <c r="Y14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K14" i="14"/>
  <c r="J14" i="14"/>
  <c r="AC13" i="14"/>
  <c r="AA13" i="14"/>
  <c r="Y13" i="14"/>
  <c r="X13" i="14"/>
  <c r="W13" i="14"/>
  <c r="V13" i="14"/>
  <c r="U13" i="14"/>
  <c r="T13" i="14"/>
  <c r="S13" i="14"/>
  <c r="R13" i="14"/>
  <c r="Q13" i="14"/>
  <c r="P13" i="14"/>
  <c r="O13" i="14"/>
  <c r="Z13" i="14" s="1"/>
  <c r="N13" i="14"/>
  <c r="M13" i="14"/>
  <c r="K13" i="14"/>
  <c r="J13" i="14"/>
  <c r="AC12" i="14"/>
  <c r="AA12" i="14"/>
  <c r="Y12" i="14"/>
  <c r="X12" i="14"/>
  <c r="W12" i="14"/>
  <c r="V12" i="14"/>
  <c r="U12" i="14"/>
  <c r="T12" i="14"/>
  <c r="R12" i="14"/>
  <c r="S12" i="14" s="1"/>
  <c r="Q12" i="14"/>
  <c r="P12" i="14"/>
  <c r="O12" i="14"/>
  <c r="N12" i="14"/>
  <c r="M12" i="14"/>
  <c r="K12" i="14"/>
  <c r="J12" i="14"/>
  <c r="Z12" i="14" s="1"/>
  <c r="AC11" i="14"/>
  <c r="AA11" i="14"/>
  <c r="Y11" i="14"/>
  <c r="W11" i="14"/>
  <c r="V11" i="14"/>
  <c r="U11" i="14"/>
  <c r="T11" i="14"/>
  <c r="S11" i="14"/>
  <c r="R11" i="14"/>
  <c r="Q11" i="14"/>
  <c r="P11" i="14"/>
  <c r="O11" i="14"/>
  <c r="Z11" i="14" s="1"/>
  <c r="N11" i="14"/>
  <c r="M11" i="14"/>
  <c r="K11" i="14"/>
  <c r="J11" i="14"/>
  <c r="AC10" i="14"/>
  <c r="AA10" i="14"/>
  <c r="W10" i="14"/>
  <c r="V10" i="14"/>
  <c r="U10" i="14"/>
  <c r="T10" i="14"/>
  <c r="R10" i="14"/>
  <c r="S10" i="14" s="1"/>
  <c r="Q10" i="14"/>
  <c r="P10" i="14"/>
  <c r="O10" i="14"/>
  <c r="Z10" i="14" s="1"/>
  <c r="N10" i="14"/>
  <c r="M10" i="14"/>
  <c r="K10" i="14"/>
  <c r="J10" i="14"/>
  <c r="AC9" i="14"/>
  <c r="W9" i="14"/>
  <c r="V9" i="14"/>
  <c r="U9" i="14"/>
  <c r="T9" i="14"/>
  <c r="S9" i="14"/>
  <c r="R9" i="14"/>
  <c r="Q9" i="14"/>
  <c r="AA9" i="14" s="1"/>
  <c r="P9" i="14"/>
  <c r="O9" i="14"/>
  <c r="X9" i="14" s="1"/>
  <c r="N9" i="14"/>
  <c r="M9" i="14"/>
  <c r="K9" i="14"/>
  <c r="J9" i="14"/>
  <c r="AC8" i="14"/>
  <c r="W8" i="14"/>
  <c r="V8" i="14"/>
  <c r="U8" i="14"/>
  <c r="T8" i="14"/>
  <c r="S8" i="14"/>
  <c r="R8" i="14"/>
  <c r="Q8" i="14"/>
  <c r="AA8" i="14" s="1"/>
  <c r="P8" i="14"/>
  <c r="O8" i="14"/>
  <c r="Z8" i="14" s="1"/>
  <c r="N8" i="14"/>
  <c r="M8" i="14"/>
  <c r="K8" i="14"/>
  <c r="J8" i="14"/>
  <c r="AC7" i="14"/>
  <c r="Y7" i="14"/>
  <c r="X7" i="14"/>
  <c r="W7" i="14"/>
  <c r="V7" i="14"/>
  <c r="U7" i="14"/>
  <c r="T7" i="14"/>
  <c r="S7" i="14"/>
  <c r="R7" i="14"/>
  <c r="Q7" i="14"/>
  <c r="AA7" i="14" s="1"/>
  <c r="P7" i="14"/>
  <c r="O7" i="14"/>
  <c r="Z7" i="14" s="1"/>
  <c r="N7" i="14"/>
  <c r="M7" i="14"/>
  <c r="K7" i="14"/>
  <c r="J7" i="14"/>
  <c r="AC6" i="14"/>
  <c r="AA6" i="14"/>
  <c r="Z6" i="14"/>
  <c r="Y6" i="14"/>
  <c r="X6" i="14"/>
  <c r="W6" i="14"/>
  <c r="V6" i="14"/>
  <c r="U6" i="14"/>
  <c r="T6" i="14"/>
  <c r="S6" i="14"/>
  <c r="R6" i="14"/>
  <c r="Q6" i="14"/>
  <c r="P6" i="14"/>
  <c r="O6" i="14"/>
  <c r="N6" i="14"/>
  <c r="M6" i="14"/>
  <c r="K6" i="14"/>
  <c r="J6" i="14"/>
  <c r="R80" i="13"/>
  <c r="P80" i="13"/>
  <c r="O80" i="13"/>
  <c r="Q80" i="13" s="1"/>
  <c r="N80" i="13"/>
  <c r="M80" i="13"/>
  <c r="L80" i="13"/>
  <c r="K80" i="13"/>
  <c r="R79" i="13"/>
  <c r="P79" i="13"/>
  <c r="O79" i="13"/>
  <c r="Q79" i="13" s="1"/>
  <c r="N79" i="13"/>
  <c r="M79" i="13"/>
  <c r="L79" i="13"/>
  <c r="K79" i="13"/>
  <c r="R78" i="13"/>
  <c r="P78" i="13"/>
  <c r="O78" i="13"/>
  <c r="Q78" i="13" s="1"/>
  <c r="N78" i="13"/>
  <c r="M78" i="13"/>
  <c r="L78" i="13"/>
  <c r="K78" i="13"/>
  <c r="R77" i="13"/>
  <c r="P77" i="13"/>
  <c r="O77" i="13"/>
  <c r="Q77" i="13" s="1"/>
  <c r="N77" i="13"/>
  <c r="M77" i="13"/>
  <c r="L77" i="13"/>
  <c r="K77" i="13"/>
  <c r="R76" i="13"/>
  <c r="P76" i="13"/>
  <c r="O76" i="13"/>
  <c r="Q76" i="13" s="1"/>
  <c r="N76" i="13"/>
  <c r="M76" i="13"/>
  <c r="L76" i="13"/>
  <c r="K76" i="13"/>
  <c r="R75" i="13"/>
  <c r="P75" i="13"/>
  <c r="O75" i="13"/>
  <c r="Q75" i="13" s="1"/>
  <c r="N75" i="13"/>
  <c r="M75" i="13"/>
  <c r="L75" i="13"/>
  <c r="K75" i="13"/>
  <c r="R74" i="13"/>
  <c r="P74" i="13"/>
  <c r="O74" i="13"/>
  <c r="Q74" i="13" s="1"/>
  <c r="N74" i="13"/>
  <c r="M74" i="13"/>
  <c r="L74" i="13"/>
  <c r="K74" i="13"/>
  <c r="R73" i="13"/>
  <c r="P73" i="13"/>
  <c r="O73" i="13"/>
  <c r="Q73" i="13" s="1"/>
  <c r="N73" i="13"/>
  <c r="M73" i="13"/>
  <c r="L73" i="13"/>
  <c r="K73" i="13"/>
  <c r="R72" i="13"/>
  <c r="P72" i="13"/>
  <c r="O72" i="13"/>
  <c r="Q72" i="13" s="1"/>
  <c r="N72" i="13"/>
  <c r="M72" i="13"/>
  <c r="L72" i="13"/>
  <c r="K72" i="13"/>
  <c r="R71" i="13"/>
  <c r="P71" i="13"/>
  <c r="O71" i="13"/>
  <c r="Q71" i="13" s="1"/>
  <c r="N71" i="13"/>
  <c r="M71" i="13"/>
  <c r="L71" i="13"/>
  <c r="K71" i="13"/>
  <c r="R70" i="13"/>
  <c r="P70" i="13"/>
  <c r="O70" i="13"/>
  <c r="Q70" i="13" s="1"/>
  <c r="N70" i="13"/>
  <c r="M70" i="13"/>
  <c r="L70" i="13"/>
  <c r="K70" i="13"/>
  <c r="R69" i="13"/>
  <c r="P69" i="13"/>
  <c r="O69" i="13"/>
  <c r="Q69" i="13" s="1"/>
  <c r="N69" i="13"/>
  <c r="M69" i="13"/>
  <c r="L69" i="13"/>
  <c r="K69" i="13"/>
  <c r="R68" i="13"/>
  <c r="P68" i="13"/>
  <c r="O68" i="13"/>
  <c r="Q68" i="13" s="1"/>
  <c r="N68" i="13"/>
  <c r="M68" i="13"/>
  <c r="L68" i="13"/>
  <c r="K68" i="13"/>
  <c r="R67" i="13"/>
  <c r="P67" i="13"/>
  <c r="O67" i="13"/>
  <c r="Q67" i="13" s="1"/>
  <c r="N67" i="13"/>
  <c r="M67" i="13"/>
  <c r="L67" i="13"/>
  <c r="K67" i="13"/>
  <c r="R66" i="13"/>
  <c r="P66" i="13"/>
  <c r="O66" i="13"/>
  <c r="Q66" i="13" s="1"/>
  <c r="N66" i="13"/>
  <c r="M66" i="13"/>
  <c r="L66" i="13"/>
  <c r="K66" i="13"/>
  <c r="R65" i="13"/>
  <c r="P65" i="13"/>
  <c r="O65" i="13"/>
  <c r="Q65" i="13" s="1"/>
  <c r="N65" i="13"/>
  <c r="M65" i="13"/>
  <c r="L65" i="13"/>
  <c r="K65" i="13"/>
  <c r="R64" i="13"/>
  <c r="P64" i="13"/>
  <c r="O64" i="13"/>
  <c r="Q64" i="13" s="1"/>
  <c r="N64" i="13"/>
  <c r="M64" i="13"/>
  <c r="L64" i="13"/>
  <c r="K64" i="13"/>
  <c r="R63" i="13"/>
  <c r="P63" i="13"/>
  <c r="O63" i="13"/>
  <c r="Q63" i="13" s="1"/>
  <c r="N63" i="13"/>
  <c r="M63" i="13"/>
  <c r="L63" i="13"/>
  <c r="K63" i="13"/>
  <c r="R62" i="13"/>
  <c r="P62" i="13"/>
  <c r="O62" i="13"/>
  <c r="Q62" i="13" s="1"/>
  <c r="N62" i="13"/>
  <c r="M62" i="13"/>
  <c r="L62" i="13"/>
  <c r="K62" i="13"/>
  <c r="R61" i="13"/>
  <c r="P61" i="13"/>
  <c r="O61" i="13"/>
  <c r="Q61" i="13" s="1"/>
  <c r="N61" i="13"/>
  <c r="M61" i="13"/>
  <c r="L61" i="13"/>
  <c r="K61" i="13"/>
  <c r="R60" i="13"/>
  <c r="P60" i="13"/>
  <c r="O60" i="13"/>
  <c r="Q60" i="13" s="1"/>
  <c r="N60" i="13"/>
  <c r="M60" i="13"/>
  <c r="L60" i="13"/>
  <c r="K60" i="13"/>
  <c r="R59" i="13"/>
  <c r="P59" i="13"/>
  <c r="O59" i="13"/>
  <c r="Q59" i="13" s="1"/>
  <c r="N59" i="13"/>
  <c r="M59" i="13"/>
  <c r="L59" i="13"/>
  <c r="K59" i="13"/>
  <c r="R58" i="13"/>
  <c r="P58" i="13"/>
  <c r="O58" i="13"/>
  <c r="Q58" i="13" s="1"/>
  <c r="N58" i="13"/>
  <c r="M58" i="13"/>
  <c r="L58" i="13"/>
  <c r="K58" i="13"/>
  <c r="R57" i="13"/>
  <c r="P57" i="13"/>
  <c r="O57" i="13"/>
  <c r="Q57" i="13" s="1"/>
  <c r="N57" i="13"/>
  <c r="M57" i="13"/>
  <c r="L57" i="13"/>
  <c r="K57" i="13"/>
  <c r="R56" i="13"/>
  <c r="P56" i="13"/>
  <c r="O56" i="13"/>
  <c r="Q56" i="13" s="1"/>
  <c r="N56" i="13"/>
  <c r="M56" i="13"/>
  <c r="L56" i="13"/>
  <c r="K56" i="13"/>
  <c r="R55" i="13"/>
  <c r="P55" i="13"/>
  <c r="O55" i="13"/>
  <c r="Q55" i="13" s="1"/>
  <c r="N55" i="13"/>
  <c r="M55" i="13"/>
  <c r="L55" i="13"/>
  <c r="K55" i="13"/>
  <c r="R54" i="13"/>
  <c r="P54" i="13"/>
  <c r="O54" i="13"/>
  <c r="Q54" i="13" s="1"/>
  <c r="N54" i="13"/>
  <c r="M54" i="13"/>
  <c r="L54" i="13"/>
  <c r="K54" i="13"/>
  <c r="R53" i="13"/>
  <c r="P53" i="13"/>
  <c r="O53" i="13"/>
  <c r="Q53" i="13" s="1"/>
  <c r="N53" i="13"/>
  <c r="M53" i="13"/>
  <c r="L53" i="13"/>
  <c r="K53" i="13"/>
  <c r="R52" i="13"/>
  <c r="P52" i="13"/>
  <c r="O52" i="13"/>
  <c r="Q52" i="13" s="1"/>
  <c r="N52" i="13"/>
  <c r="M52" i="13"/>
  <c r="L52" i="13"/>
  <c r="K52" i="13"/>
  <c r="R51" i="13"/>
  <c r="P51" i="13"/>
  <c r="O51" i="13"/>
  <c r="Q51" i="13" s="1"/>
  <c r="N51" i="13"/>
  <c r="M51" i="13"/>
  <c r="L51" i="13"/>
  <c r="K51" i="13"/>
  <c r="R50" i="13"/>
  <c r="P50" i="13"/>
  <c r="O50" i="13"/>
  <c r="Q50" i="13" s="1"/>
  <c r="N50" i="13"/>
  <c r="M50" i="13"/>
  <c r="L50" i="13"/>
  <c r="K50" i="13"/>
  <c r="R47" i="13"/>
  <c r="P47" i="13"/>
  <c r="O47" i="13"/>
  <c r="Q47" i="13" s="1"/>
  <c r="N47" i="13"/>
  <c r="M47" i="13"/>
  <c r="L47" i="13"/>
  <c r="K47" i="13"/>
  <c r="R46" i="13"/>
  <c r="P46" i="13"/>
  <c r="O46" i="13"/>
  <c r="Q46" i="13" s="1"/>
  <c r="N46" i="13"/>
  <c r="M46" i="13"/>
  <c r="L46" i="13"/>
  <c r="K46" i="13"/>
  <c r="R45" i="13"/>
  <c r="P45" i="13"/>
  <c r="O45" i="13"/>
  <c r="Q45" i="13" s="1"/>
  <c r="N45" i="13"/>
  <c r="M45" i="13"/>
  <c r="L45" i="13"/>
  <c r="K45" i="13"/>
  <c r="R44" i="13"/>
  <c r="P44" i="13"/>
  <c r="O44" i="13"/>
  <c r="Q44" i="13" s="1"/>
  <c r="N44" i="13"/>
  <c r="M44" i="13"/>
  <c r="L44" i="13"/>
  <c r="K44" i="13"/>
  <c r="R43" i="13"/>
  <c r="P43" i="13"/>
  <c r="O43" i="13"/>
  <c r="Q43" i="13" s="1"/>
  <c r="N43" i="13"/>
  <c r="M43" i="13"/>
  <c r="L43" i="13"/>
  <c r="K43" i="13"/>
  <c r="R42" i="13"/>
  <c r="P42" i="13"/>
  <c r="O42" i="13"/>
  <c r="Q42" i="13" s="1"/>
  <c r="N42" i="13"/>
  <c r="M42" i="13"/>
  <c r="L42" i="13"/>
  <c r="K42" i="13"/>
  <c r="R41" i="13"/>
  <c r="P41" i="13"/>
  <c r="O41" i="13"/>
  <c r="Q41" i="13" s="1"/>
  <c r="N41" i="13"/>
  <c r="M41" i="13"/>
  <c r="L41" i="13"/>
  <c r="K41" i="13"/>
  <c r="R40" i="13"/>
  <c r="P40" i="13"/>
  <c r="O40" i="13"/>
  <c r="Q40" i="13" s="1"/>
  <c r="N40" i="13"/>
  <c r="M40" i="13"/>
  <c r="L40" i="13"/>
  <c r="K40" i="13"/>
  <c r="R39" i="13"/>
  <c r="P39" i="13"/>
  <c r="O39" i="13"/>
  <c r="Q39" i="13" s="1"/>
  <c r="N39" i="13"/>
  <c r="M39" i="13"/>
  <c r="L39" i="13"/>
  <c r="K39" i="13"/>
  <c r="R38" i="13"/>
  <c r="P38" i="13"/>
  <c r="O38" i="13"/>
  <c r="Q38" i="13" s="1"/>
  <c r="N38" i="13"/>
  <c r="M38" i="13"/>
  <c r="L38" i="13"/>
  <c r="K38" i="13"/>
  <c r="R37" i="13"/>
  <c r="P37" i="13"/>
  <c r="O37" i="13"/>
  <c r="Q37" i="13" s="1"/>
  <c r="N37" i="13"/>
  <c r="M37" i="13"/>
  <c r="L37" i="13"/>
  <c r="K37" i="13"/>
  <c r="R36" i="13"/>
  <c r="P36" i="13"/>
  <c r="O36" i="13"/>
  <c r="Q36" i="13" s="1"/>
  <c r="N36" i="13"/>
  <c r="M36" i="13"/>
  <c r="L36" i="13"/>
  <c r="K36" i="13"/>
  <c r="R35" i="13"/>
  <c r="P35" i="13"/>
  <c r="O35" i="13"/>
  <c r="Q35" i="13" s="1"/>
  <c r="N35" i="13"/>
  <c r="M35" i="13"/>
  <c r="L35" i="13"/>
  <c r="K35" i="13"/>
  <c r="R34" i="13"/>
  <c r="P34" i="13"/>
  <c r="O34" i="13"/>
  <c r="Q34" i="13" s="1"/>
  <c r="N34" i="13"/>
  <c r="M34" i="13"/>
  <c r="L34" i="13"/>
  <c r="K34" i="13"/>
  <c r="R33" i="13"/>
  <c r="P33" i="13"/>
  <c r="O33" i="13"/>
  <c r="Q33" i="13" s="1"/>
  <c r="N33" i="13"/>
  <c r="M33" i="13"/>
  <c r="L33" i="13"/>
  <c r="K33" i="13"/>
  <c r="R32" i="13"/>
  <c r="P32" i="13"/>
  <c r="O32" i="13"/>
  <c r="Q32" i="13" s="1"/>
  <c r="N32" i="13"/>
  <c r="M32" i="13"/>
  <c r="L32" i="13"/>
  <c r="K32" i="13"/>
  <c r="R31" i="13"/>
  <c r="P31" i="13"/>
  <c r="O31" i="13"/>
  <c r="Q31" i="13" s="1"/>
  <c r="N31" i="13"/>
  <c r="M31" i="13"/>
  <c r="L31" i="13"/>
  <c r="K31" i="13"/>
  <c r="R30" i="13"/>
  <c r="P30" i="13"/>
  <c r="O30" i="13"/>
  <c r="Q30" i="13" s="1"/>
  <c r="N30" i="13"/>
  <c r="M30" i="13"/>
  <c r="L30" i="13"/>
  <c r="K30" i="13"/>
  <c r="R29" i="13"/>
  <c r="P29" i="13"/>
  <c r="O29" i="13"/>
  <c r="Q29" i="13" s="1"/>
  <c r="N29" i="13"/>
  <c r="M29" i="13"/>
  <c r="L29" i="13"/>
  <c r="K29" i="13"/>
  <c r="R28" i="13"/>
  <c r="P28" i="13"/>
  <c r="O28" i="13"/>
  <c r="Q28" i="13" s="1"/>
  <c r="N28" i="13"/>
  <c r="M28" i="13"/>
  <c r="L28" i="13"/>
  <c r="K28" i="13"/>
  <c r="R27" i="13"/>
  <c r="P27" i="13"/>
  <c r="O27" i="13"/>
  <c r="Q27" i="13" s="1"/>
  <c r="N27" i="13"/>
  <c r="M27" i="13"/>
  <c r="L27" i="13"/>
  <c r="K27" i="13"/>
  <c r="R26" i="13"/>
  <c r="P26" i="13"/>
  <c r="O26" i="13"/>
  <c r="Q26" i="13" s="1"/>
  <c r="N26" i="13"/>
  <c r="M26" i="13"/>
  <c r="L26" i="13"/>
  <c r="K26" i="13"/>
  <c r="R25" i="13"/>
  <c r="P25" i="13"/>
  <c r="O25" i="13"/>
  <c r="Q25" i="13" s="1"/>
  <c r="N25" i="13"/>
  <c r="M25" i="13"/>
  <c r="L25" i="13"/>
  <c r="K25" i="13"/>
  <c r="R24" i="13"/>
  <c r="P24" i="13"/>
  <c r="O24" i="13"/>
  <c r="Q24" i="13" s="1"/>
  <c r="N24" i="13"/>
  <c r="M24" i="13"/>
  <c r="L24" i="13"/>
  <c r="K24" i="13"/>
  <c r="R23" i="13"/>
  <c r="P23" i="13"/>
  <c r="O23" i="13"/>
  <c r="Q23" i="13" s="1"/>
  <c r="N23" i="13"/>
  <c r="M23" i="13"/>
  <c r="L23" i="13"/>
  <c r="K23" i="13"/>
  <c r="R22" i="13"/>
  <c r="P22" i="13"/>
  <c r="O22" i="13"/>
  <c r="Q22" i="13" s="1"/>
  <c r="N22" i="13"/>
  <c r="M22" i="13"/>
  <c r="L22" i="13"/>
  <c r="K22" i="13"/>
  <c r="R21" i="13"/>
  <c r="P21" i="13"/>
  <c r="O21" i="13"/>
  <c r="Q21" i="13" s="1"/>
  <c r="N21" i="13"/>
  <c r="M21" i="13"/>
  <c r="L21" i="13"/>
  <c r="K21" i="13"/>
  <c r="R20" i="13"/>
  <c r="P20" i="13"/>
  <c r="O20" i="13"/>
  <c r="Q20" i="13" s="1"/>
  <c r="N20" i="13"/>
  <c r="M20" i="13"/>
  <c r="L20" i="13"/>
  <c r="K20" i="13"/>
  <c r="R19" i="13"/>
  <c r="P19" i="13"/>
  <c r="O19" i="13"/>
  <c r="Q19" i="13" s="1"/>
  <c r="N19" i="13"/>
  <c r="M19" i="13"/>
  <c r="L19" i="13"/>
  <c r="K19" i="13"/>
  <c r="R18" i="13"/>
  <c r="P18" i="13"/>
  <c r="O18" i="13"/>
  <c r="Q18" i="13" s="1"/>
  <c r="N18" i="13"/>
  <c r="M18" i="13"/>
  <c r="L18" i="13"/>
  <c r="K18" i="13"/>
  <c r="R17" i="13"/>
  <c r="P17" i="13"/>
  <c r="O17" i="13"/>
  <c r="Q17" i="13" s="1"/>
  <c r="N17" i="13"/>
  <c r="M17" i="13"/>
  <c r="L17" i="13"/>
  <c r="K17" i="13"/>
  <c r="R16" i="13"/>
  <c r="P16" i="13"/>
  <c r="O16" i="13"/>
  <c r="Q16" i="13" s="1"/>
  <c r="N16" i="13"/>
  <c r="M16" i="13"/>
  <c r="L16" i="13"/>
  <c r="K16" i="13"/>
  <c r="R15" i="13"/>
  <c r="P15" i="13"/>
  <c r="O15" i="13"/>
  <c r="Q15" i="13" s="1"/>
  <c r="N15" i="13"/>
  <c r="M15" i="13"/>
  <c r="L15" i="13"/>
  <c r="K15" i="13"/>
  <c r="R14" i="13"/>
  <c r="P14" i="13"/>
  <c r="O14" i="13"/>
  <c r="Q14" i="13" s="1"/>
  <c r="N14" i="13"/>
  <c r="M14" i="13"/>
  <c r="L14" i="13"/>
  <c r="K14" i="13"/>
  <c r="R13" i="13"/>
  <c r="P13" i="13"/>
  <c r="O13" i="13"/>
  <c r="Q13" i="13" s="1"/>
  <c r="N13" i="13"/>
  <c r="M13" i="13"/>
  <c r="L13" i="13"/>
  <c r="K13" i="13"/>
  <c r="R12" i="13"/>
  <c r="P12" i="13"/>
  <c r="O12" i="13"/>
  <c r="Q12" i="13" s="1"/>
  <c r="N12" i="13"/>
  <c r="M12" i="13"/>
  <c r="L12" i="13"/>
  <c r="K12" i="13"/>
  <c r="R11" i="13"/>
  <c r="P11" i="13"/>
  <c r="O11" i="13"/>
  <c r="Q11" i="13" s="1"/>
  <c r="N11" i="13"/>
  <c r="M11" i="13"/>
  <c r="L11" i="13"/>
  <c r="K11" i="13"/>
  <c r="R10" i="13"/>
  <c r="P10" i="13"/>
  <c r="O10" i="13"/>
  <c r="Q10" i="13" s="1"/>
  <c r="N10" i="13"/>
  <c r="M10" i="13"/>
  <c r="L10" i="13"/>
  <c r="K10" i="13"/>
  <c r="R9" i="13"/>
  <c r="P9" i="13"/>
  <c r="O9" i="13"/>
  <c r="Q9" i="13" s="1"/>
  <c r="N9" i="13"/>
  <c r="M9" i="13"/>
  <c r="L9" i="13"/>
  <c r="K9" i="13"/>
  <c r="R8" i="13"/>
  <c r="P8" i="13"/>
  <c r="O8" i="13"/>
  <c r="Q8" i="13" s="1"/>
  <c r="N8" i="13"/>
  <c r="M8" i="13"/>
  <c r="L8" i="13"/>
  <c r="K8" i="13"/>
  <c r="R7" i="13"/>
  <c r="P7" i="13"/>
  <c r="O7" i="13"/>
  <c r="Q7" i="13" s="1"/>
  <c r="N7" i="13"/>
  <c r="M7" i="13"/>
  <c r="L7" i="13"/>
  <c r="K7" i="13"/>
  <c r="R6" i="13"/>
  <c r="P6" i="13"/>
  <c r="O6" i="13"/>
  <c r="Q6" i="13" s="1"/>
  <c r="N6" i="13"/>
  <c r="M6" i="13"/>
  <c r="L6" i="13"/>
  <c r="K6" i="13"/>
  <c r="E8" i="5"/>
  <c r="X8" i="14" l="1"/>
  <c r="X16" i="14"/>
  <c r="X24" i="14"/>
  <c r="Y24" i="14"/>
  <c r="Y8" i="14"/>
  <c r="X17" i="14"/>
  <c r="Y9" i="14"/>
  <c r="Z9" i="14"/>
  <c r="X10" i="14"/>
  <c r="Z17" i="14"/>
  <c r="X18" i="14"/>
  <c r="Z25" i="14"/>
  <c r="X26" i="14"/>
  <c r="Y16" i="14"/>
  <c r="Y10" i="14"/>
  <c r="Y18" i="14"/>
  <c r="Y26" i="14"/>
  <c r="X11" i="14"/>
  <c r="X19" i="14"/>
  <c r="X27" i="14"/>
  <c r="E6" i="5"/>
  <c r="E10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</authors>
  <commentList>
    <comment ref="G4" authorId="0" shapeId="0" xr:uid="{492CA66C-7F5A-43F0-A6E3-80A552D02EE8}">
      <text>
        <r>
          <rPr>
            <b/>
            <sz val="9"/>
            <color indexed="81"/>
            <rFont val="Calibri"/>
            <family val="2"/>
          </rPr>
          <t xml:space="preserve">HG = Height Gauge
MIC = Micrometer
CMM = Coordinate Measuring Machine
OMM = Optical CMM
TG = Thickness Gauge
HT = Hardness Tester
PG = Plug Gauge
FT = Force Tester
DC = Dial/Digital Caliper
P = Protractor
OC = Optical Comparotor
CG = Checking Gauge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  <author>Adam Xu</author>
  </authors>
  <commentList>
    <comment ref="H5" authorId="0" shapeId="0" xr:uid="{F68F3668-2750-40F7-B4C4-55B37168BF64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S5" authorId="1" shapeId="0" xr:uid="{C7F9A0D9-FFAF-4923-B7B1-E8EEFFFE752D}">
      <text>
        <r>
          <rPr>
            <b/>
            <sz val="9"/>
            <color rgb="FF000000"/>
            <rFont val="Calibri"/>
            <family val="2"/>
          </rPr>
          <t>Adam Xu: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General Process accuracy Index Level setting as below:
</t>
        </r>
        <r>
          <rPr>
            <sz val="9"/>
            <color rgb="FF000000"/>
            <rFont val="Calibri"/>
            <family val="2"/>
          </rPr>
          <t xml:space="preserve">Level A: |Ca|&lt;=12.5%
</t>
        </r>
        <r>
          <rPr>
            <sz val="9"/>
            <color rgb="FF000000"/>
            <rFont val="Calibri"/>
            <family val="2"/>
          </rPr>
          <t xml:space="preserve">Level B: 12.5%&lt;|Ca|&lt;=25%
</t>
        </r>
        <r>
          <rPr>
            <sz val="9"/>
            <color rgb="FF000000"/>
            <rFont val="Calibri"/>
            <family val="2"/>
          </rPr>
          <t xml:space="preserve">Level C: 25%&lt;|Ca|&lt;=50%
</t>
        </r>
        <r>
          <rPr>
            <sz val="9"/>
            <color rgb="FF000000"/>
            <rFont val="Calibri"/>
            <family val="2"/>
          </rPr>
          <t>Level D: |Ca|&gt;50%</t>
        </r>
      </text>
    </comment>
  </commentList>
</comments>
</file>

<file path=xl/sharedStrings.xml><?xml version="1.0" encoding="utf-8"?>
<sst xmlns="http://schemas.openxmlformats.org/spreadsheetml/2006/main" count="543" uniqueCount="235">
  <si>
    <t>Vendor:</t>
  </si>
  <si>
    <t>Build:</t>
  </si>
  <si>
    <t>Shipment Quantity:</t>
  </si>
  <si>
    <t>Waived Quantity:</t>
  </si>
  <si>
    <t>OK Quantity:</t>
    <phoneticPr fontId="0" type="noConversion"/>
  </si>
  <si>
    <t>APN:</t>
  </si>
  <si>
    <t>Program:</t>
  </si>
  <si>
    <t>Waiver Request Date:</t>
  </si>
  <si>
    <t>Planned Shipment Date:</t>
  </si>
  <si>
    <t>Current Spec</t>
  </si>
  <si>
    <t>Waiver Request Spec</t>
  </si>
  <si>
    <t>Cosmetic</t>
  </si>
  <si>
    <t>Dimension</t>
  </si>
  <si>
    <t>Function</t>
  </si>
  <si>
    <t>Defect Qty</t>
  </si>
  <si>
    <t>Defect</t>
  </si>
  <si>
    <t>Type</t>
  </si>
  <si>
    <t xml:space="preserve">Vendor Input </t>
  </si>
  <si>
    <t> Input</t>
  </si>
  <si>
    <t>Reliability</t>
  </si>
  <si>
    <t>OQC Waiver Request</t>
  </si>
  <si>
    <t>Revision:</t>
  </si>
  <si>
    <t>Dpamstech</t>
    <phoneticPr fontId="8" type="noConversion"/>
  </si>
  <si>
    <t>Varo-Project</t>
    <phoneticPr fontId="8" type="noConversion"/>
  </si>
  <si>
    <t>-</t>
    <phoneticPr fontId="8" type="noConversion"/>
  </si>
  <si>
    <t>Config:</t>
    <phoneticPr fontId="8" type="noConversion"/>
  </si>
  <si>
    <t>Shipping Qty</t>
  </si>
  <si>
    <t>Unit</t>
  </si>
  <si>
    <t>817-09239</t>
    <phoneticPr fontId="8" type="noConversion"/>
  </si>
  <si>
    <t>APN</t>
  </si>
  <si>
    <t>Shipping Date</t>
  </si>
  <si>
    <t>Build</t>
  </si>
  <si>
    <t>Inner package</t>
  </si>
  <si>
    <t>Shipping Lot No</t>
  </si>
  <si>
    <t>Total Q'TY</t>
  </si>
  <si>
    <t>Cavity</t>
  </si>
  <si>
    <t>MCO Rev.1 / MSoP Rev.A /
PGM Rev.A</t>
    <phoneticPr fontId="8" type="noConversion"/>
  </si>
  <si>
    <t>FAI Data Sheet  Enclosures MD</t>
  </si>
  <si>
    <t>DRAWING SPECIFICATIONS</t>
    <phoneticPr fontId="8" type="noConversion"/>
  </si>
  <si>
    <t>INSPECTION RESULTS</t>
  </si>
  <si>
    <t>INSPECTION ANALYSIS</t>
  </si>
  <si>
    <t xml:space="preserve"> Supplier Comment</t>
    <phoneticPr fontId="8" type="noConversion"/>
  </si>
  <si>
    <t>FAI#</t>
  </si>
  <si>
    <t>Description</t>
    <phoneticPr fontId="40" type="noConversion"/>
  </si>
  <si>
    <t>Nominal</t>
  </si>
  <si>
    <t>+TOL</t>
    <phoneticPr fontId="8" type="noConversion"/>
  </si>
  <si>
    <t>TOL</t>
    <phoneticPr fontId="8" type="noConversion"/>
  </si>
  <si>
    <t>Inspection Method</t>
  </si>
  <si>
    <t>Sample Number</t>
  </si>
  <si>
    <t>Deviation from Nominal</t>
  </si>
  <si>
    <t>Mean</t>
  </si>
  <si>
    <t>% Tolerance</t>
  </si>
  <si>
    <t>Alert/Reject</t>
  </si>
  <si>
    <t>Upper</t>
  </si>
  <si>
    <t>Lower</t>
  </si>
  <si>
    <t>High</t>
  </si>
  <si>
    <t>Low</t>
  </si>
  <si>
    <t>FAI 1</t>
  </si>
  <si>
    <t>Flatness</t>
  </si>
  <si>
    <t>AOI</t>
    <phoneticPr fontId="8" type="noConversion"/>
  </si>
  <si>
    <t>FAI 2-1</t>
  </si>
  <si>
    <t>Distance</t>
  </si>
  <si>
    <t>FAI 2-2</t>
  </si>
  <si>
    <t>FAI 2-3</t>
  </si>
  <si>
    <t>FAI 2-4</t>
  </si>
  <si>
    <t>FAI 5-1</t>
  </si>
  <si>
    <t>Bumper height</t>
  </si>
  <si>
    <t>FAI 5-2</t>
  </si>
  <si>
    <t>FAI 6-1</t>
  </si>
  <si>
    <t>FAI 6-2</t>
  </si>
  <si>
    <t>FAI 7-1</t>
  </si>
  <si>
    <t>FAI 7-2</t>
  </si>
  <si>
    <t>FAI 7-3</t>
  </si>
  <si>
    <t>FAI 7-4</t>
  </si>
  <si>
    <t>FAI 9-1</t>
  </si>
  <si>
    <t>Angle</t>
  </si>
  <si>
    <t>OMM</t>
  </si>
  <si>
    <t>FAI 9-2</t>
  </si>
  <si>
    <t>FAI 10-1</t>
  </si>
  <si>
    <t>FAI 10-2</t>
  </si>
  <si>
    <t>FAI 12-1</t>
  </si>
  <si>
    <t>FAI 13</t>
  </si>
  <si>
    <t>FAI 14</t>
  </si>
  <si>
    <t>FAI 15</t>
  </si>
  <si>
    <t>FAI 16</t>
  </si>
  <si>
    <t>FAI 17-1</t>
  </si>
  <si>
    <t>FAI 17-2</t>
  </si>
  <si>
    <t>FAI 19-1</t>
  </si>
  <si>
    <t>FAI 19-2</t>
  </si>
  <si>
    <t>FAI 20</t>
  </si>
  <si>
    <t>FAI 21</t>
  </si>
  <si>
    <t>FAI 22</t>
  </si>
  <si>
    <t>FAI 23</t>
  </si>
  <si>
    <t>FAI 24-1</t>
  </si>
  <si>
    <t>FAI 24-2</t>
  </si>
  <si>
    <t>FAI 25-1</t>
  </si>
  <si>
    <t>FAI 25-2</t>
  </si>
  <si>
    <t>FAI 26</t>
  </si>
  <si>
    <t>FAI 27-1</t>
  </si>
  <si>
    <t>FAI 27-2</t>
  </si>
  <si>
    <t>FAI 28</t>
  </si>
  <si>
    <t>FAI 29</t>
  </si>
  <si>
    <t>FAI 31</t>
  </si>
  <si>
    <t>FAI 32</t>
  </si>
  <si>
    <t>FAI 33-1</t>
  </si>
  <si>
    <t>Thickness</t>
  </si>
  <si>
    <t>Mic</t>
  </si>
  <si>
    <t>FAI 33-2</t>
  </si>
  <si>
    <t>FAI 33-3</t>
  </si>
  <si>
    <t>FAI 34-1</t>
  </si>
  <si>
    <t>FAI 34-2</t>
  </si>
  <si>
    <t>FAI 35-1</t>
  </si>
  <si>
    <t>FAI 35-2</t>
  </si>
  <si>
    <t>FAI 39-1</t>
  </si>
  <si>
    <t>FAI 39-2</t>
  </si>
  <si>
    <t>FAI 40</t>
  </si>
  <si>
    <t>FAI 41</t>
  </si>
  <si>
    <t>FAI 42</t>
  </si>
  <si>
    <t>FAI 43</t>
  </si>
  <si>
    <t>FAI 44-1</t>
  </si>
  <si>
    <t>FAI 44-2</t>
  </si>
  <si>
    <t>FAI 46</t>
  </si>
  <si>
    <t>FAI 47</t>
  </si>
  <si>
    <t>FAI 48</t>
  </si>
  <si>
    <t>FAI 49</t>
  </si>
  <si>
    <t>FAI 50</t>
  </si>
  <si>
    <t>FAI 51-1</t>
  </si>
  <si>
    <t>Emboss height</t>
  </si>
  <si>
    <t>FAI 51-2</t>
  </si>
  <si>
    <t>FAI 52-1</t>
  </si>
  <si>
    <t>FAI 52-2</t>
  </si>
  <si>
    <t>FAI 53-1</t>
  </si>
  <si>
    <t>FAI 53-2</t>
  </si>
  <si>
    <t>FAI 54-1</t>
  </si>
  <si>
    <t>FAI 54-2</t>
  </si>
  <si>
    <t>FAI 54-3</t>
  </si>
  <si>
    <t>FAI 54-4</t>
  </si>
  <si>
    <t>FAI 55-1</t>
  </si>
  <si>
    <t>FAI 55-2</t>
  </si>
  <si>
    <t>FAI 56-1</t>
  </si>
  <si>
    <t>FAI 56-2</t>
  </si>
  <si>
    <t xml:space="preserve"> </t>
    <phoneticPr fontId="8" type="noConversion"/>
  </si>
  <si>
    <t>Enhanced Cpk Data Sheet - Enclosures MD</t>
  </si>
  <si>
    <t xml:space="preserve">  </t>
    <phoneticPr fontId="46" type="noConversion"/>
  </si>
  <si>
    <t>DRAWING SPECIFICATIONS</t>
  </si>
  <si>
    <t>CALCULATED RESULTS</t>
  </si>
  <si>
    <t>DO NOT DELETE COLUMNS</t>
  </si>
  <si>
    <t xml:space="preserve">     MEASURED DATA</t>
  </si>
  <si>
    <t>(USL for one sided spec)</t>
  </si>
  <si>
    <t>(LSL for one sided spec)</t>
  </si>
  <si>
    <t>Tolerance needed to hit target Cpk</t>
  </si>
  <si>
    <t>Cp* =</t>
  </si>
  <si>
    <t>SPC</t>
    <phoneticPr fontId="50" type="noConversion"/>
  </si>
  <si>
    <t>Description</t>
    <phoneticPr fontId="51"/>
  </si>
  <si>
    <t>TOL+</t>
  </si>
  <si>
    <t>TOL-</t>
  </si>
  <si>
    <t>100% Gauged</t>
  </si>
  <si>
    <t>USL</t>
  </si>
  <si>
    <t>LSL</t>
  </si>
  <si>
    <t>Maximum</t>
  </si>
  <si>
    <t>Minimum</t>
  </si>
  <si>
    <t>Std Dev</t>
    <phoneticPr fontId="46" type="noConversion"/>
  </si>
  <si>
    <t>Cp</t>
  </si>
  <si>
    <t>Ca</t>
  </si>
  <si>
    <t>Ca Level</t>
  </si>
  <si>
    <t>UCPK</t>
    <phoneticPr fontId="52" type="noConversion"/>
  </si>
  <si>
    <t>LCPK</t>
    <phoneticPr fontId="52" type="noConversion"/>
  </si>
  <si>
    <t>Cpk</t>
  </si>
  <si>
    <t>Yield</t>
  </si>
  <si>
    <t>+Tol =&gt; Cpk*</t>
  </si>
  <si>
    <t>-Tol =&gt; Cpk*</t>
  </si>
  <si>
    <t>Mean Shift</t>
    <phoneticPr fontId="46" type="noConversion"/>
  </si>
  <si>
    <t>Tol Range
=&gt; Cp*</t>
  </si>
  <si>
    <t>Normality Test</t>
    <phoneticPr fontId="8" type="noConversion"/>
  </si>
  <si>
    <t>Normality Result</t>
  </si>
  <si>
    <t>Notes</t>
  </si>
  <si>
    <t>A</t>
  </si>
  <si>
    <t>No</t>
  </si>
  <si>
    <t>B</t>
  </si>
  <si>
    <t>E</t>
  </si>
  <si>
    <t>F</t>
  </si>
  <si>
    <t>G</t>
  </si>
  <si>
    <t>I</t>
  </si>
  <si>
    <t>J</t>
  </si>
  <si>
    <t>L</t>
  </si>
  <si>
    <t>FAI 12</t>
  </si>
  <si>
    <t>M</t>
  </si>
  <si>
    <t>O</t>
  </si>
  <si>
    <t>P</t>
  </si>
  <si>
    <t>Cosmetic Waiver List</t>
  </si>
  <si>
    <t>Vendor Input</t>
  </si>
  <si>
    <t>No.</t>
  </si>
  <si>
    <t>Defect Name</t>
  </si>
  <si>
    <t>Description</t>
  </si>
  <si>
    <t>Picture</t>
  </si>
  <si>
    <t>Limit Sample</t>
    <phoneticPr fontId="0" type="noConversion"/>
  </si>
  <si>
    <t>Proposal</t>
    <phoneticPr fontId="0" type="noConversion"/>
  </si>
  <si>
    <r>
      <t xml:space="preserve"> Grading  Yield</t>
    </r>
    <r>
      <rPr>
        <sz val="14"/>
        <rFont val="細明體"/>
        <family val="3"/>
        <charset val="136"/>
      </rPr>
      <t/>
    </r>
  </si>
  <si>
    <t>Root Cause</t>
    <phoneticPr fontId="0" type="noConversion"/>
  </si>
  <si>
    <t>Corrective Action</t>
    <phoneticPr fontId="0" type="noConversion"/>
  </si>
  <si>
    <t>SQE disposition</t>
    <phoneticPr fontId="0" type="noConversion"/>
  </si>
  <si>
    <t>SBE disposition</t>
    <phoneticPr fontId="0" type="noConversion"/>
  </si>
  <si>
    <t>PD disposition</t>
    <phoneticPr fontId="0" type="noConversion"/>
  </si>
  <si>
    <t xml:space="preserve"> Spec</t>
    <phoneticPr fontId="0" type="noConversion"/>
  </si>
  <si>
    <t>Yield</t>
    <phoneticPr fontId="0" type="noConversion"/>
  </si>
  <si>
    <t>Waiver Spec</t>
    <phoneticPr fontId="0" type="noConversion"/>
  </si>
  <si>
    <t>A</t>
    <phoneticPr fontId="0" type="noConversion"/>
  </si>
  <si>
    <t>B</t>
    <phoneticPr fontId="0" type="noConversion"/>
  </si>
  <si>
    <t>C</t>
    <phoneticPr fontId="0" type="noConversion"/>
  </si>
  <si>
    <t>D</t>
    <phoneticPr fontId="0" type="noConversion"/>
  </si>
  <si>
    <t>Dimensional Waiver List</t>
  </si>
  <si>
    <t>FAI</t>
  </si>
  <si>
    <t>SPC</t>
  </si>
  <si>
    <t>Inpsection Method</t>
  </si>
  <si>
    <t>Spec</t>
  </si>
  <si>
    <t>Waiver Proposal</t>
  </si>
  <si>
    <t>Tol+</t>
  </si>
  <si>
    <t>Tol-</t>
  </si>
  <si>
    <t>Yield %</t>
  </si>
  <si>
    <t>Functional Waiver List</t>
  </si>
  <si>
    <t>Reliability Waiver List</t>
  </si>
  <si>
    <t>REL/ORT Test</t>
  </si>
  <si>
    <t>Checkpoint</t>
  </si>
  <si>
    <t>Input Qty</t>
  </si>
  <si>
    <t>NG Qty</t>
  </si>
  <si>
    <t>Failure Mode</t>
  </si>
  <si>
    <t>Revision</t>
  </si>
  <si>
    <t>Date</t>
  </si>
  <si>
    <t>Author</t>
    <phoneticPr fontId="0" type="noConversion"/>
  </si>
  <si>
    <t>Comments</t>
  </si>
  <si>
    <t>Tim Burks</t>
  </si>
  <si>
    <t>Initial Release</t>
  </si>
  <si>
    <t>OBA:</t>
    <phoneticPr fontId="0" type="noConversion"/>
  </si>
  <si>
    <t>OK</t>
    <phoneticPr fontId="8" type="noConversion"/>
  </si>
  <si>
    <t>MP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</si>
</sst>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* #,##0_);_(* \(#,##0\);_(* &quot;-&quot;_);_(@_)"/>
    <numFmt numFmtId="177" formatCode="0.0%"/>
    <numFmt numFmtId="178" formatCode="[$-409]d/mmm;@"/>
    <numFmt numFmtId="179" formatCode="0_);[Red]\(0\)"/>
    <numFmt numFmtId="180" formatCode="#,##0.0000"/>
    <numFmt numFmtId="181" formatCode="0.00_);[Red]\(0.00\)"/>
    <numFmt numFmtId="182" formatCode="0.000"/>
    <numFmt numFmtId="183" formatCode="0.000_ "/>
    <numFmt numFmtId="184" formatCode="yyyy\-mm\-dd;@"/>
    <numFmt numFmtId="185" formatCode="m/d/yyyy;@"/>
  </numFmts>
  <fonts count="68">
    <font>
      <sz val="12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25"/>
      <name val="Helvetica Neue"/>
      <family val="2"/>
    </font>
    <font>
      <sz val="12"/>
      <name val="Helvetica Neue"/>
      <family val="2"/>
    </font>
    <font>
      <b/>
      <sz val="12"/>
      <name val="Helvetica Neue"/>
      <family val="2"/>
    </font>
    <font>
      <sz val="12"/>
      <name val="新細明體"/>
      <family val="1"/>
    </font>
    <font>
      <sz val="12"/>
      <name val="宋体"/>
      <family val="3"/>
      <charset val="134"/>
    </font>
    <font>
      <sz val="12"/>
      <color theme="1"/>
      <name val="맑은 고딕"/>
      <family val="2"/>
      <charset val="134"/>
      <scheme val="minor"/>
    </font>
    <font>
      <sz val="8"/>
      <name val="맑은 고딕"/>
      <family val="3"/>
      <charset val="129"/>
      <scheme val="minor"/>
    </font>
    <font>
      <sz val="10"/>
      <name val="Verdana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2"/>
      <name val="____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theme="1"/>
      <name val="Meiryo UI"/>
      <family val="2"/>
      <charset val="128"/>
    </font>
    <font>
      <sz val="12"/>
      <color theme="1"/>
      <name val="맑은 고딕"/>
      <family val="2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indexed="8"/>
      <name val="맑은 고딕"/>
      <family val="3"/>
      <charset val="129"/>
      <scheme val="major"/>
    </font>
    <font>
      <sz val="12"/>
      <color theme="1"/>
      <name val="Helvetica Neue"/>
    </font>
    <font>
      <b/>
      <sz val="16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9"/>
      <name val="맑은 고딕"/>
      <family val="3"/>
      <charset val="134"/>
      <scheme val="minor"/>
    </font>
    <font>
      <b/>
      <sz val="9"/>
      <name val="Arial"/>
      <family val="2"/>
    </font>
    <font>
      <sz val="10"/>
      <color theme="1"/>
      <name val="Arial"/>
      <family val="2"/>
    </font>
    <font>
      <sz val="11"/>
      <color rgb="FFFF0000"/>
      <name val="宋体"/>
      <family val="3"/>
      <charset val="134"/>
    </font>
    <font>
      <sz val="12"/>
      <color rgb="FFFF0000"/>
      <name val="Arial"/>
      <family val="2"/>
    </font>
    <font>
      <b/>
      <sz val="9"/>
      <color indexed="81"/>
      <name val="Calibri"/>
      <family val="2"/>
    </font>
    <font>
      <sz val="8"/>
      <name val="Calibri"/>
      <family val="2"/>
    </font>
    <font>
      <sz val="8"/>
      <name val="Arial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  <font>
      <i/>
      <u/>
      <sz val="12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sz val="12"/>
      <color theme="1"/>
      <name val="Arial"/>
      <family val="2"/>
    </font>
    <font>
      <sz val="10"/>
      <color rgb="FF000000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12"/>
      <name val="Times New Roman"/>
      <family val="1"/>
    </font>
    <font>
      <b/>
      <i/>
      <sz val="12"/>
      <color theme="1"/>
      <name val="맑은 고딕"/>
      <family val="2"/>
      <scheme val="minor"/>
    </font>
    <font>
      <sz val="9"/>
      <color theme="1"/>
      <name val="맑은 고딕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20"/>
      <name val="Helvetica Neue"/>
      <family val="2"/>
    </font>
    <font>
      <sz val="14"/>
      <name val="Helvetica Neue"/>
      <family val="2"/>
    </font>
    <font>
      <sz val="14"/>
      <name val="細明體"/>
      <family val="3"/>
      <charset val="136"/>
    </font>
    <font>
      <sz val="12"/>
      <name val="Helvetica Neue"/>
      <family val="1"/>
    </font>
    <font>
      <b/>
      <sz val="12"/>
      <color rgb="FF212121"/>
      <name val="Helvetica Neue"/>
      <family val="2"/>
    </font>
    <font>
      <b/>
      <sz val="12"/>
      <color rgb="FF000000"/>
      <name val="Helvetica Neue"/>
      <family val="2"/>
    </font>
    <font>
      <sz val="12"/>
      <color rgb="FF000000"/>
      <name val="Helvetica Neue"/>
      <family val="2"/>
    </font>
  </fonts>
  <fills count="3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68">
    <xf numFmtId="0" fontId="0" fillId="0" borderId="0"/>
    <xf numFmtId="0" fontId="5" fillId="0" borderId="0"/>
    <xf numFmtId="9" fontId="5" fillId="0" borderId="0" applyFont="0" applyFill="0" applyBorder="0" applyAlignment="0" applyProtection="0"/>
    <xf numFmtId="0" fontId="7" fillId="0" borderId="0"/>
    <xf numFmtId="178" fontId="9" fillId="0" borderId="0"/>
    <xf numFmtId="178" fontId="9" fillId="0" borderId="0"/>
    <xf numFmtId="9" fontId="10" fillId="0" borderId="0" applyFont="0" applyFill="0" applyBorder="0" applyAlignment="0" applyProtection="0">
      <alignment vertical="center"/>
    </xf>
    <xf numFmtId="176" fontId="15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11" applyNumberFormat="0" applyAlignment="0" applyProtection="0">
      <alignment vertical="center"/>
    </xf>
    <xf numFmtId="0" fontId="25" fillId="10" borderId="12" applyNumberFormat="0" applyAlignment="0" applyProtection="0">
      <alignment vertical="center"/>
    </xf>
    <xf numFmtId="0" fontId="26" fillId="10" borderId="11" applyNumberFormat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11" borderId="14" applyNumberForma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3" fillId="0" borderId="0"/>
    <xf numFmtId="9" fontId="16" fillId="0" borderId="0" applyFont="0" applyFill="0" applyBorder="0" applyAlignment="0" applyProtection="0"/>
    <xf numFmtId="0" fontId="13" fillId="0" borderId="0"/>
    <xf numFmtId="9" fontId="6" fillId="0" borderId="0" applyFont="0" applyFill="0" applyBorder="0" applyAlignment="0" applyProtection="0"/>
    <xf numFmtId="0" fontId="12" fillId="0" borderId="0"/>
    <xf numFmtId="177" fontId="10" fillId="0" borderId="0" applyFill="0" applyBorder="0" applyAlignment="0"/>
    <xf numFmtId="180" fontId="10" fillId="0" borderId="0" applyFill="0" applyBorder="0" applyAlignment="0"/>
    <xf numFmtId="0" fontId="14" fillId="0" borderId="17" applyNumberFormat="0" applyAlignment="0" applyProtection="0">
      <alignment horizontal="left" vertical="center"/>
    </xf>
    <xf numFmtId="0" fontId="14" fillId="0" borderId="7">
      <alignment horizontal="left" vertical="center"/>
    </xf>
    <xf numFmtId="180" fontId="10" fillId="0" borderId="0" applyFill="0" applyBorder="0" applyAlignment="0"/>
    <xf numFmtId="0" fontId="13" fillId="0" borderId="0"/>
    <xf numFmtId="180" fontId="10" fillId="0" borderId="0" applyFill="0" applyBorder="0" applyAlignment="0"/>
    <xf numFmtId="49" fontId="11" fillId="0" borderId="0" applyFill="0" applyBorder="0" applyAlignment="0"/>
    <xf numFmtId="180" fontId="10" fillId="0" borderId="0" applyFill="0" applyBorder="0" applyAlignment="0"/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6" fillId="0" borderId="0"/>
    <xf numFmtId="0" fontId="33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56" fillId="0" borderId="0"/>
  </cellStyleXfs>
  <cellXfs count="18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14" fontId="3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shrinkToFit="1"/>
    </xf>
    <xf numFmtId="0" fontId="2" fillId="0" borderId="0" xfId="0" applyFont="1" applyAlignment="1">
      <alignment vertical="center"/>
    </xf>
    <xf numFmtId="0" fontId="3" fillId="0" borderId="2" xfId="0" applyFont="1" applyBorder="1" applyAlignment="1">
      <alignment horizontal="left" vertical="center" shrinkToFit="1"/>
    </xf>
    <xf numFmtId="0" fontId="3" fillId="0" borderId="3" xfId="0" applyFont="1" applyBorder="1" applyAlignment="1">
      <alignment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shrinkToFit="1"/>
    </xf>
    <xf numFmtId="3" fontId="3" fillId="0" borderId="2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wrapText="1"/>
    </xf>
    <xf numFmtId="14" fontId="35" fillId="4" borderId="18" xfId="62" applyNumberFormat="1" applyFont="1" applyFill="1" applyBorder="1" applyAlignment="1">
      <alignment horizontal="center" vertical="center"/>
    </xf>
    <xf numFmtId="49" fontId="35" fillId="4" borderId="18" xfId="62" applyNumberFormat="1" applyFont="1" applyFill="1" applyBorder="1" applyAlignment="1">
      <alignment horizontal="center" vertical="center"/>
    </xf>
    <xf numFmtId="0" fontId="35" fillId="0" borderId="18" xfId="62" applyFont="1" applyBorder="1" applyAlignment="1">
      <alignment horizontal="center" vertical="center"/>
    </xf>
    <xf numFmtId="179" fontId="35" fillId="0" borderId="18" xfId="62" applyNumberFormat="1" applyFont="1" applyBorder="1" applyAlignment="1">
      <alignment horizontal="center" vertical="center"/>
    </xf>
    <xf numFmtId="0" fontId="35" fillId="0" borderId="0" xfId="62" applyFont="1">
      <alignment vertical="center"/>
    </xf>
    <xf numFmtId="179" fontId="35" fillId="4" borderId="18" xfId="62" applyNumberFormat="1" applyFont="1" applyFill="1" applyBorder="1" applyAlignment="1">
      <alignment horizontal="center" vertical="center"/>
    </xf>
    <xf numFmtId="0" fontId="35" fillId="4" borderId="18" xfId="62" applyFont="1" applyFill="1" applyBorder="1" applyAlignment="1">
      <alignment horizontal="center" vertical="center"/>
    </xf>
    <xf numFmtId="0" fontId="35" fillId="0" borderId="0" xfId="62" applyFont="1" applyAlignment="1">
      <alignment horizontal="center" vertical="center"/>
    </xf>
    <xf numFmtId="179" fontId="35" fillId="0" borderId="0" xfId="62" applyNumberFormat="1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10" fillId="0" borderId="0" xfId="0" applyFont="1" applyAlignment="1" applyProtection="1">
      <alignment vertical="center"/>
      <protection locked="0"/>
    </xf>
    <xf numFmtId="0" fontId="38" fillId="0" borderId="0" xfId="0" applyFont="1" applyAlignment="1">
      <alignment vertical="center"/>
    </xf>
    <xf numFmtId="0" fontId="39" fillId="0" borderId="1" xfId="0" applyFont="1" applyBorder="1" applyAlignment="1">
      <alignment horizontal="center" vertical="center"/>
    </xf>
    <xf numFmtId="0" fontId="10" fillId="0" borderId="0" xfId="0" applyFont="1" applyAlignment="1" applyProtection="1">
      <alignment horizontal="center" vertical="center"/>
      <protection locked="0"/>
    </xf>
    <xf numFmtId="0" fontId="39" fillId="0" borderId="0" xfId="0" applyFont="1" applyAlignment="1">
      <alignment horizontal="center" vertical="center"/>
    </xf>
    <xf numFmtId="0" fontId="39" fillId="0" borderId="20" xfId="0" applyFont="1" applyBorder="1" applyAlignment="1">
      <alignment horizontal="center" vertical="center"/>
    </xf>
    <xf numFmtId="0" fontId="39" fillId="0" borderId="21" xfId="0" applyFont="1" applyBorder="1" applyAlignment="1">
      <alignment horizontal="center" vertical="center"/>
    </xf>
    <xf numFmtId="0" fontId="39" fillId="0" borderId="6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39" fillId="0" borderId="5" xfId="0" applyFont="1" applyBorder="1" applyAlignment="1">
      <alignment horizontal="center" vertical="center"/>
    </xf>
    <xf numFmtId="182" fontId="10" fillId="0" borderId="0" xfId="0" applyNumberFormat="1" applyFont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center" vertical="center"/>
      <protection locked="0"/>
    </xf>
    <xf numFmtId="182" fontId="10" fillId="0" borderId="1" xfId="0" applyNumberFormat="1" applyFont="1" applyBorder="1" applyAlignment="1" applyProtection="1">
      <alignment horizontal="center" vertical="center"/>
      <protection locked="0"/>
    </xf>
    <xf numFmtId="49" fontId="10" fillId="0" borderId="1" xfId="0" applyNumberFormat="1" applyFont="1" applyBorder="1" applyAlignment="1" applyProtection="1">
      <alignment horizontal="center" vertical="center"/>
      <protection locked="0"/>
    </xf>
    <xf numFmtId="182" fontId="10" fillId="0" borderId="21" xfId="0" applyNumberFormat="1" applyFont="1" applyBorder="1" applyAlignment="1" applyProtection="1">
      <alignment horizontal="center" vertical="center"/>
      <protection locked="0"/>
    </xf>
    <xf numFmtId="182" fontId="10" fillId="0" borderId="22" xfId="0" applyNumberFormat="1" applyFont="1" applyBorder="1" applyAlignment="1" applyProtection="1">
      <alignment horizontal="center" vertical="center"/>
      <protection locked="0"/>
    </xf>
    <xf numFmtId="182" fontId="10" fillId="0" borderId="21" xfId="0" applyNumberFormat="1" applyFont="1" applyBorder="1" applyAlignment="1">
      <alignment horizontal="center" vertical="center"/>
    </xf>
    <xf numFmtId="182" fontId="10" fillId="0" borderId="22" xfId="0" applyNumberFormat="1" applyFont="1" applyBorder="1" applyAlignment="1">
      <alignment horizontal="center" vertical="center"/>
    </xf>
    <xf numFmtId="9" fontId="11" fillId="0" borderId="22" xfId="0" quotePrefix="1" applyNumberFormat="1" applyFont="1" applyBorder="1" applyAlignment="1">
      <alignment horizontal="center" vertical="center"/>
    </xf>
    <xf numFmtId="9" fontId="11" fillId="0" borderId="22" xfId="0" applyNumberFormat="1" applyFont="1" applyBorder="1" applyAlignment="1">
      <alignment horizontal="center" vertical="center"/>
    </xf>
    <xf numFmtId="49" fontId="10" fillId="0" borderId="22" xfId="0" applyNumberFormat="1" applyFont="1" applyBorder="1" applyAlignment="1" applyProtection="1">
      <alignment horizontal="center" vertical="center" wrapText="1"/>
      <protection locked="0"/>
    </xf>
    <xf numFmtId="49" fontId="10" fillId="0" borderId="1" xfId="0" applyNumberFormat="1" applyFont="1" applyBorder="1" applyAlignment="1" applyProtection="1">
      <alignment horizontal="center" vertical="center" wrapText="1"/>
      <protection locked="0"/>
    </xf>
    <xf numFmtId="182" fontId="42" fillId="0" borderId="5" xfId="0" applyNumberFormat="1" applyFont="1" applyBorder="1" applyAlignment="1">
      <alignment horizontal="center" vertical="center"/>
    </xf>
    <xf numFmtId="182" fontId="42" fillId="0" borderId="1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right" vertical="center"/>
      <protection locked="0"/>
    </xf>
    <xf numFmtId="0" fontId="37" fillId="0" borderId="0" xfId="0" applyFont="1" applyAlignment="1">
      <alignment horizontal="center"/>
    </xf>
    <xf numFmtId="0" fontId="10" fillId="0" borderId="0" xfId="0" applyFont="1" applyProtection="1">
      <protection locked="0"/>
    </xf>
    <xf numFmtId="0" fontId="10" fillId="0" borderId="0" xfId="0" applyFont="1" applyAlignment="1">
      <alignment horizontal="center"/>
    </xf>
    <xf numFmtId="0" fontId="10" fillId="0" borderId="0" xfId="0" applyFont="1"/>
    <xf numFmtId="0" fontId="38" fillId="0" borderId="23" xfId="0" applyFont="1" applyBorder="1"/>
    <xf numFmtId="0" fontId="38" fillId="0" borderId="19" xfId="0" applyFont="1" applyBorder="1"/>
    <xf numFmtId="0" fontId="10" fillId="0" borderId="20" xfId="0" applyFont="1" applyBorder="1" applyAlignment="1" applyProtection="1">
      <alignment horizontal="center"/>
      <protection locked="0"/>
    </xf>
    <xf numFmtId="0" fontId="38" fillId="0" borderId="3" xfId="0" applyFont="1" applyBorder="1"/>
    <xf numFmtId="0" fontId="10" fillId="0" borderId="0" xfId="0" applyFont="1" applyAlignment="1" applyProtection="1">
      <alignment horizontal="center"/>
      <protection locked="0"/>
    </xf>
    <xf numFmtId="58" fontId="39" fillId="0" borderId="19" xfId="48" applyNumberFormat="1" applyFont="1" applyBorder="1" applyAlignment="1" applyProtection="1">
      <alignment wrapText="1"/>
      <protection locked="0"/>
    </xf>
    <xf numFmtId="2" fontId="39" fillId="0" borderId="19" xfId="48" applyNumberFormat="1" applyFont="1" applyBorder="1" applyAlignment="1" applyProtection="1">
      <alignment wrapText="1"/>
      <protection locked="0"/>
    </xf>
    <xf numFmtId="0" fontId="47" fillId="0" borderId="19" xfId="0" quotePrefix="1" applyFont="1" applyBorder="1" applyAlignment="1">
      <alignment horizontal="center" vertical="center" wrapText="1"/>
    </xf>
    <xf numFmtId="0" fontId="39" fillId="0" borderId="19" xfId="0" applyFont="1" applyBorder="1" applyAlignment="1">
      <alignment wrapText="1"/>
    </xf>
    <xf numFmtId="0" fontId="39" fillId="0" borderId="19" xfId="48" applyFont="1" applyBorder="1" applyAlignment="1">
      <alignment wrapText="1"/>
    </xf>
    <xf numFmtId="0" fontId="39" fillId="0" borderId="19" xfId="48" applyFont="1" applyBorder="1"/>
    <xf numFmtId="2" fontId="39" fillId="0" borderId="19" xfId="48" applyNumberFormat="1" applyFont="1" applyBorder="1"/>
    <xf numFmtId="182" fontId="39" fillId="0" borderId="19" xfId="48" applyNumberFormat="1" applyFont="1" applyBorder="1"/>
    <xf numFmtId="0" fontId="39" fillId="0" borderId="2" xfId="0" applyFont="1" applyBorder="1" applyAlignment="1">
      <alignment horizontal="center" vertical="center" wrapText="1"/>
    </xf>
    <xf numFmtId="2" fontId="10" fillId="0" borderId="5" xfId="0" applyNumberFormat="1" applyFont="1" applyBorder="1" applyAlignment="1">
      <alignment horizontal="center" vertical="center" wrapText="1"/>
    </xf>
    <xf numFmtId="0" fontId="48" fillId="0" borderId="19" xfId="48" applyFont="1" applyBorder="1" applyAlignment="1" applyProtection="1">
      <alignment wrapText="1"/>
      <protection locked="0"/>
    </xf>
    <xf numFmtId="0" fontId="38" fillId="0" borderId="19" xfId="0" applyFont="1" applyBorder="1" applyAlignment="1">
      <alignment vertical="center"/>
    </xf>
    <xf numFmtId="0" fontId="38" fillId="0" borderId="3" xfId="0" applyFont="1" applyBorder="1" applyAlignment="1">
      <alignment vertical="center"/>
    </xf>
    <xf numFmtId="0" fontId="49" fillId="0" borderId="23" xfId="0" applyFont="1" applyBorder="1"/>
    <xf numFmtId="58" fontId="39" fillId="0" borderId="22" xfId="48" applyNumberFormat="1" applyFont="1" applyBorder="1" applyAlignment="1" applyProtection="1">
      <alignment horizontal="center" vertical="center" wrapText="1"/>
      <protection locked="0"/>
    </xf>
    <xf numFmtId="2" fontId="39" fillId="0" borderId="22" xfId="48" applyNumberFormat="1" applyFont="1" applyBorder="1" applyAlignment="1" applyProtection="1">
      <alignment horizontal="center" vertical="center" wrapText="1"/>
      <protection locked="0"/>
    </xf>
    <xf numFmtId="49" fontId="39" fillId="0" borderId="22" xfId="0" quotePrefix="1" applyNumberFormat="1" applyFont="1" applyBorder="1" applyAlignment="1">
      <alignment horizontal="center" vertical="center" wrapText="1"/>
    </xf>
    <xf numFmtId="0" fontId="39" fillId="0" borderId="22" xfId="0" applyFont="1" applyBorder="1" applyAlignment="1">
      <alignment horizontal="center" vertical="center" wrapText="1"/>
    </xf>
    <xf numFmtId="0" fontId="39" fillId="0" borderId="22" xfId="48" applyFont="1" applyBorder="1" applyAlignment="1">
      <alignment horizontal="center" wrapText="1"/>
    </xf>
    <xf numFmtId="0" fontId="39" fillId="0" borderId="22" xfId="48" applyFont="1" applyBorder="1" applyAlignment="1">
      <alignment horizontal="center" vertical="center"/>
    </xf>
    <xf numFmtId="2" fontId="39" fillId="0" borderId="22" xfId="48" applyNumberFormat="1" applyFont="1" applyBorder="1" applyAlignment="1">
      <alignment horizontal="center" vertical="center"/>
    </xf>
    <xf numFmtId="182" fontId="39" fillId="0" borderId="22" xfId="48" applyNumberFormat="1" applyFont="1" applyBorder="1" applyAlignment="1">
      <alignment horizontal="center" vertical="center"/>
    </xf>
    <xf numFmtId="182" fontId="39" fillId="0" borderId="22" xfId="48" quotePrefix="1" applyNumberFormat="1" applyFont="1" applyBorder="1" applyAlignment="1">
      <alignment horizontal="center" vertical="center"/>
    </xf>
    <xf numFmtId="182" fontId="39" fillId="0" borderId="22" xfId="48" quotePrefix="1" applyNumberFormat="1" applyFont="1" applyBorder="1" applyAlignment="1">
      <alignment horizontal="center" vertical="center" wrapText="1"/>
    </xf>
    <xf numFmtId="0" fontId="39" fillId="0" borderId="22" xfId="48" applyFont="1" applyBorder="1" applyAlignment="1" applyProtection="1">
      <alignment horizontal="center" wrapText="1"/>
      <protection locked="0"/>
    </xf>
    <xf numFmtId="0" fontId="39" fillId="0" borderId="1" xfId="48" applyFont="1" applyBorder="1" applyAlignment="1" applyProtection="1">
      <alignment horizontal="center" vertical="center"/>
      <protection locked="0"/>
    </xf>
    <xf numFmtId="0" fontId="53" fillId="0" borderId="0" xfId="0" applyFont="1"/>
    <xf numFmtId="0" fontId="54" fillId="0" borderId="22" xfId="364" applyFont="1" applyBorder="1" applyAlignment="1" applyProtection="1">
      <alignment horizontal="center"/>
      <protection locked="0"/>
    </xf>
    <xf numFmtId="179" fontId="54" fillId="0" borderId="21" xfId="7" quotePrefix="1" applyNumberFormat="1" applyFont="1" applyFill="1" applyBorder="1" applyAlignment="1" applyProtection="1">
      <alignment horizontal="center" vertical="center"/>
      <protection locked="0"/>
    </xf>
    <xf numFmtId="0" fontId="55" fillId="0" borderId="22" xfId="364" applyFont="1" applyBorder="1" applyAlignment="1" applyProtection="1">
      <alignment horizontal="center"/>
      <protection locked="0"/>
    </xf>
    <xf numFmtId="182" fontId="10" fillId="0" borderId="1" xfId="364" applyNumberFormat="1" applyFont="1" applyBorder="1" applyAlignment="1" applyProtection="1">
      <alignment horizontal="center"/>
      <protection locked="0"/>
    </xf>
    <xf numFmtId="182" fontId="10" fillId="0" borderId="1" xfId="367" applyNumberFormat="1" applyFont="1" applyBorder="1" applyAlignment="1" applyProtection="1">
      <alignment horizontal="center" wrapText="1"/>
      <protection locked="0"/>
    </xf>
    <xf numFmtId="49" fontId="10" fillId="0" borderId="1" xfId="367" applyNumberFormat="1" applyFont="1" applyBorder="1" applyAlignment="1" applyProtection="1">
      <alignment horizontal="center" vertical="center" wrapText="1"/>
      <protection locked="0"/>
    </xf>
    <xf numFmtId="49" fontId="10" fillId="0" borderId="20" xfId="367" applyNumberFormat="1" applyFont="1" applyBorder="1" applyAlignment="1" applyProtection="1">
      <alignment horizontal="center" vertical="center" wrapText="1"/>
      <protection locked="0"/>
    </xf>
    <xf numFmtId="182" fontId="10" fillId="0" borderId="20" xfId="0" applyNumberFormat="1" applyFont="1" applyBorder="1" applyAlignment="1" applyProtection="1">
      <alignment horizontal="center"/>
      <protection locked="0"/>
    </xf>
    <xf numFmtId="0" fontId="55" fillId="0" borderId="23" xfId="0" applyFont="1" applyBorder="1"/>
    <xf numFmtId="183" fontId="10" fillId="0" borderId="1" xfId="367" applyNumberFormat="1" applyFont="1" applyBorder="1" applyAlignment="1">
      <alignment horizontal="center"/>
    </xf>
    <xf numFmtId="183" fontId="10" fillId="0" borderId="1" xfId="48" applyNumberFormat="1" applyFont="1" applyBorder="1" applyAlignment="1">
      <alignment horizontal="center"/>
    </xf>
    <xf numFmtId="182" fontId="10" fillId="0" borderId="1" xfId="48" applyNumberFormat="1" applyFont="1" applyBorder="1" applyAlignment="1">
      <alignment horizontal="center"/>
    </xf>
    <xf numFmtId="10" fontId="10" fillId="0" borderId="1" xfId="48" applyNumberFormat="1" applyFont="1" applyBorder="1" applyAlignment="1">
      <alignment horizontal="center"/>
    </xf>
    <xf numFmtId="9" fontId="10" fillId="0" borderId="2" xfId="49" applyFont="1" applyFill="1" applyBorder="1" applyAlignment="1">
      <alignment horizontal="center"/>
    </xf>
    <xf numFmtId="182" fontId="10" fillId="0" borderId="2" xfId="49" applyNumberFormat="1" applyFont="1" applyFill="1" applyBorder="1" applyAlignment="1">
      <alignment horizontal="center"/>
    </xf>
    <xf numFmtId="182" fontId="10" fillId="0" borderId="1" xfId="367" applyNumberFormat="1" applyFont="1" applyBorder="1" applyAlignment="1" applyProtection="1">
      <alignment horizontal="center"/>
      <protection locked="0"/>
    </xf>
    <xf numFmtId="0" fontId="39" fillId="0" borderId="1" xfId="367" applyFont="1" applyBorder="1" applyAlignment="1" applyProtection="1">
      <alignment horizontal="center"/>
      <protection locked="0"/>
    </xf>
    <xf numFmtId="0" fontId="39" fillId="0" borderId="1" xfId="367" applyFont="1" applyBorder="1" applyAlignment="1" applyProtection="1">
      <alignment horizontal="left"/>
      <protection locked="0"/>
    </xf>
    <xf numFmtId="0" fontId="39" fillId="0" borderId="0" xfId="367" applyFont="1" applyAlignment="1" applyProtection="1">
      <alignment horizontal="center"/>
      <protection locked="0"/>
    </xf>
    <xf numFmtId="0" fontId="39" fillId="0" borderId="3" xfId="367" applyFont="1" applyBorder="1" applyAlignment="1" applyProtection="1">
      <alignment horizontal="center"/>
      <protection locked="0"/>
    </xf>
    <xf numFmtId="182" fontId="10" fillId="0" borderId="1" xfId="0" applyNumberFormat="1" applyFont="1" applyBorder="1" applyAlignment="1" applyProtection="1">
      <alignment horizontal="center"/>
      <protection locked="0"/>
    </xf>
    <xf numFmtId="0" fontId="57" fillId="0" borderId="0" xfId="0" applyFont="1"/>
    <xf numFmtId="0" fontId="54" fillId="0" borderId="21" xfId="364" applyFont="1" applyBorder="1" applyAlignment="1" applyProtection="1">
      <alignment horizontal="center"/>
      <protection locked="0"/>
    </xf>
    <xf numFmtId="0" fontId="58" fillId="0" borderId="23" xfId="0" applyFont="1" applyBorder="1"/>
    <xf numFmtId="0" fontId="2" fillId="0" borderId="0" xfId="1" applyFont="1" applyAlignment="1">
      <alignment vertical="center"/>
    </xf>
    <xf numFmtId="0" fontId="61" fillId="0" borderId="0" xfId="1" applyFont="1" applyAlignment="1">
      <alignment vertical="center"/>
    </xf>
    <xf numFmtId="0" fontId="62" fillId="0" borderId="0" xfId="1" applyFont="1" applyAlignment="1">
      <alignment horizontal="center" vertical="center"/>
    </xf>
    <xf numFmtId="0" fontId="62" fillId="0" borderId="0" xfId="1" applyFont="1" applyAlignment="1">
      <alignment vertical="center"/>
    </xf>
    <xf numFmtId="0" fontId="62" fillId="0" borderId="0" xfId="1" applyFont="1"/>
    <xf numFmtId="0" fontId="3" fillId="0" borderId="0" xfId="1" applyFont="1" applyAlignment="1">
      <alignment vertical="center"/>
    </xf>
    <xf numFmtId="0" fontId="4" fillId="5" borderId="1" xfId="1" applyFont="1" applyFill="1" applyBorder="1" applyAlignment="1">
      <alignment horizontal="center" vertical="center"/>
    </xf>
    <xf numFmtId="0" fontId="4" fillId="0" borderId="0" xfId="1" applyFont="1" applyAlignment="1">
      <alignment vertical="center"/>
    </xf>
    <xf numFmtId="0" fontId="3" fillId="4" borderId="1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177" fontId="3" fillId="0" borderId="1" xfId="2" applyNumberFormat="1" applyFont="1" applyFill="1" applyBorder="1" applyAlignment="1">
      <alignment horizontal="left" vertical="center" wrapText="1"/>
    </xf>
    <xf numFmtId="9" fontId="3" fillId="0" borderId="1" xfId="2" applyFont="1" applyFill="1" applyBorder="1" applyAlignment="1">
      <alignment horizontal="center" vertical="center" wrapText="1"/>
    </xf>
    <xf numFmtId="9" fontId="3" fillId="4" borderId="1" xfId="2" applyFont="1" applyFill="1" applyBorder="1" applyAlignment="1">
      <alignment horizontal="center" vertical="center" wrapText="1"/>
    </xf>
    <xf numFmtId="10" fontId="3" fillId="4" borderId="1" xfId="2" applyNumberFormat="1" applyFont="1" applyFill="1" applyBorder="1" applyAlignment="1">
      <alignment horizontal="left" vertical="center" wrapText="1"/>
    </xf>
    <xf numFmtId="0" fontId="3" fillId="4" borderId="1" xfId="2" quotePrefix="1" applyNumberFormat="1" applyFont="1" applyFill="1" applyBorder="1" applyAlignment="1">
      <alignment horizontal="left" vertical="center" wrapText="1"/>
    </xf>
    <xf numFmtId="9" fontId="3" fillId="4" borderId="1" xfId="2" applyFont="1" applyFill="1" applyBorder="1" applyAlignment="1">
      <alignment horizontal="left" vertical="center" wrapText="1"/>
    </xf>
    <xf numFmtId="0" fontId="3" fillId="0" borderId="1" xfId="1" applyFont="1" applyBorder="1" applyAlignment="1">
      <alignment horizontal="left" vertical="center" wrapText="1"/>
    </xf>
    <xf numFmtId="0" fontId="3" fillId="4" borderId="1" xfId="2" applyNumberFormat="1" applyFont="1" applyFill="1" applyBorder="1" applyAlignment="1">
      <alignment horizontal="left" vertical="center" wrapText="1"/>
    </xf>
    <xf numFmtId="0" fontId="3" fillId="0" borderId="1" xfId="2" applyNumberFormat="1" applyFont="1" applyFill="1" applyBorder="1" applyAlignment="1">
      <alignment horizontal="center" vertical="center" wrapText="1"/>
    </xf>
    <xf numFmtId="10" fontId="3" fillId="4" borderId="1" xfId="2" quotePrefix="1" applyNumberFormat="1" applyFont="1" applyFill="1" applyBorder="1" applyAlignment="1">
      <alignment horizontal="left" vertical="center" wrapText="1"/>
    </xf>
    <xf numFmtId="10" fontId="64" fillId="4" borderId="1" xfId="2" quotePrefix="1" applyNumberFormat="1" applyFont="1" applyFill="1" applyBorder="1" applyAlignment="1">
      <alignment horizontal="left" vertical="center" wrapText="1"/>
    </xf>
    <xf numFmtId="0" fontId="4" fillId="5" borderId="19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5" fillId="5" borderId="1" xfId="3" applyFont="1" applyFill="1" applyBorder="1" applyAlignment="1">
      <alignment horizontal="center" vertical="center"/>
    </xf>
    <xf numFmtId="0" fontId="66" fillId="4" borderId="1" xfId="3" applyFont="1" applyFill="1" applyBorder="1" applyAlignment="1">
      <alignment horizontal="center" vertical="center"/>
    </xf>
    <xf numFmtId="184" fontId="67" fillId="4" borderId="1" xfId="3" applyNumberFormat="1" applyFont="1" applyFill="1" applyBorder="1" applyAlignment="1">
      <alignment horizontal="center" vertical="center"/>
    </xf>
    <xf numFmtId="185" fontId="67" fillId="4" borderId="1" xfId="3" applyNumberFormat="1" applyFont="1" applyFill="1" applyBorder="1" applyAlignment="1">
      <alignment horizontal="center" vertical="center"/>
    </xf>
    <xf numFmtId="0" fontId="67" fillId="4" borderId="1" xfId="3" applyFont="1" applyFill="1" applyBorder="1" applyAlignment="1">
      <alignment vertical="center" wrapText="1"/>
    </xf>
    <xf numFmtId="0" fontId="36" fillId="0" borderId="27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5" fillId="0" borderId="18" xfId="62" applyFont="1" applyBorder="1" applyAlignment="1">
      <alignment horizontal="center" vertical="center"/>
    </xf>
    <xf numFmtId="49" fontId="35" fillId="4" borderId="18" xfId="62" applyNumberFormat="1" applyFont="1" applyFill="1" applyBorder="1" applyAlignment="1">
      <alignment horizontal="center" vertical="center"/>
    </xf>
    <xf numFmtId="0" fontId="44" fillId="0" borderId="0" xfId="0" applyFont="1" applyAlignment="1" applyProtection="1">
      <alignment horizontal="center" vertical="center"/>
      <protection locked="0"/>
    </xf>
    <xf numFmtId="0" fontId="37" fillId="0" borderId="0" xfId="0" applyFont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8" fillId="0" borderId="7" xfId="0" applyFont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0" fontId="38" fillId="0" borderId="5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181" fontId="39" fillId="0" borderId="1" xfId="0" applyNumberFormat="1" applyFont="1" applyBorder="1" applyAlignment="1">
      <alignment horizontal="center" vertical="center"/>
    </xf>
    <xf numFmtId="0" fontId="39" fillId="0" borderId="1" xfId="0" quotePrefix="1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39" fillId="0" borderId="7" xfId="0" applyFont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39" fillId="0" borderId="19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7" fillId="0" borderId="0" xfId="0" applyFont="1" applyAlignment="1">
      <alignment horizontal="center"/>
    </xf>
    <xf numFmtId="0" fontId="38" fillId="0" borderId="2" xfId="0" applyFont="1" applyBorder="1" applyAlignment="1">
      <alignment horizontal="center"/>
    </xf>
    <xf numFmtId="0" fontId="38" fillId="0" borderId="7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0" xfId="0" applyFont="1" applyAlignment="1">
      <alignment horizontal="center" vertical="center"/>
    </xf>
    <xf numFmtId="0" fontId="38" fillId="0" borderId="24" xfId="0" applyFont="1" applyBorder="1" applyAlignment="1">
      <alignment horizontal="center" vertical="center"/>
    </xf>
    <xf numFmtId="0" fontId="38" fillId="0" borderId="25" xfId="0" applyFont="1" applyBorder="1" applyAlignment="1">
      <alignment horizontal="center" vertical="center"/>
    </xf>
    <xf numFmtId="0" fontId="38" fillId="0" borderId="26" xfId="0" applyFont="1" applyBorder="1" applyAlignment="1">
      <alignment horizontal="center" vertical="center"/>
    </xf>
    <xf numFmtId="0" fontId="38" fillId="0" borderId="20" xfId="0" applyFont="1" applyBorder="1" applyAlignment="1">
      <alignment horizontal="center" vertical="center"/>
    </xf>
    <xf numFmtId="0" fontId="38" fillId="0" borderId="6" xfId="0" applyFont="1" applyBorder="1" applyAlignment="1">
      <alignment horizontal="center" vertical="center"/>
    </xf>
    <xf numFmtId="0" fontId="38" fillId="0" borderId="21" xfId="0" applyFont="1" applyBorder="1" applyAlignment="1">
      <alignment horizontal="center" vertical="center"/>
    </xf>
    <xf numFmtId="0" fontId="39" fillId="0" borderId="2" xfId="0" applyFont="1" applyBorder="1" applyAlignment="1">
      <alignment horizontal="center" vertical="center" wrapText="1"/>
    </xf>
    <xf numFmtId="0" fontId="39" fillId="0" borderId="5" xfId="0" applyFont="1" applyBorder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5" borderId="19" xfId="1" applyFont="1" applyFill="1" applyBorder="1" applyAlignment="1">
      <alignment horizontal="center" vertical="center"/>
    </xf>
    <xf numFmtId="0" fontId="4" fillId="5" borderId="22" xfId="1" applyFont="1" applyFill="1" applyBorder="1" applyAlignment="1">
      <alignment horizontal="center" vertical="center"/>
    </xf>
  </cellXfs>
  <cellStyles count="368">
    <cellStyle name="___CPK__" xfId="52" xr:uid="{66B5D527-70B2-400F-8B63-DFBD3372561C}"/>
    <cellStyle name="20% - 강조색1" xfId="25" builtinId="30" customBuiltin="1"/>
    <cellStyle name="20% - 강조색1 10" xfId="226" xr:uid="{144ACF6C-EC76-4508-8082-1FFC5044376A}"/>
    <cellStyle name="20% - 강조색1 11" xfId="246" xr:uid="{A0133E03-4FF6-4773-83EB-E1C71755515E}"/>
    <cellStyle name="20% - 강조색1 12" xfId="266" xr:uid="{69765A4B-5601-441F-932C-239E408BA924}"/>
    <cellStyle name="20% - 강조색1 13" xfId="286" xr:uid="{2D93951E-88EE-4D56-A398-D06CE1F6EA5E}"/>
    <cellStyle name="20% - 강조색1 14" xfId="306" xr:uid="{D2E72044-9889-43C0-AEC5-6EB1830CA591}"/>
    <cellStyle name="20% - 강조색1 15" xfId="326" xr:uid="{F699FD11-AFE7-4F15-B0D0-594A5B59A6DC}"/>
    <cellStyle name="20% - 강조색1 16" xfId="346" xr:uid="{B2D40CCE-D2F7-47F4-A6D2-B2E79757B518}"/>
    <cellStyle name="20% - 강조색1 2" xfId="66" xr:uid="{C000C105-B9B6-4FCD-955D-5C51AE01AD63}"/>
    <cellStyle name="20% - 강조색1 3" xfId="86" xr:uid="{F5A672B4-D06D-4DB2-937D-339516178143}"/>
    <cellStyle name="20% - 강조색1 4" xfId="106" xr:uid="{3C64C37A-44A9-4367-B271-41D2A0E02959}"/>
    <cellStyle name="20% - 강조색1 5" xfId="126" xr:uid="{85AD6993-9104-4803-AB92-CF10796A4D3D}"/>
    <cellStyle name="20% - 강조색1 6" xfId="146" xr:uid="{72C18894-A5F7-4A98-BC89-75E38C4C69E0}"/>
    <cellStyle name="20% - 강조색1 7" xfId="166" xr:uid="{3D432729-A8DE-423D-A1F2-8BB10728B8A7}"/>
    <cellStyle name="20% - 강조색1 8" xfId="186" xr:uid="{EA8B51F4-DF1C-4AD3-B065-82345EB025A5}"/>
    <cellStyle name="20% - 강조색1 9" xfId="206" xr:uid="{3AF2B297-8D3F-4630-89A2-074B4220D709}"/>
    <cellStyle name="20% - 강조색2" xfId="29" builtinId="34" customBuiltin="1"/>
    <cellStyle name="20% - 강조색2 10" xfId="229" xr:uid="{626F9513-4C92-4F94-B200-104CF2CD402B}"/>
    <cellStyle name="20% - 강조색2 11" xfId="249" xr:uid="{26249CFF-D7A2-4344-AF21-7004B903DE59}"/>
    <cellStyle name="20% - 강조색2 12" xfId="269" xr:uid="{4C7B131D-BF00-41A3-A47F-EF7251B28828}"/>
    <cellStyle name="20% - 강조색2 13" xfId="289" xr:uid="{DDA91409-2ECB-49B2-9139-3C4AB69E3086}"/>
    <cellStyle name="20% - 강조색2 14" xfId="309" xr:uid="{28A644DC-7FF4-4C83-BFE4-A6C26544894C}"/>
    <cellStyle name="20% - 강조색2 15" xfId="329" xr:uid="{03343EA4-A181-4A6B-9013-D99EAEB9A7B5}"/>
    <cellStyle name="20% - 강조색2 16" xfId="349" xr:uid="{90DF914E-13D3-42B4-90E8-30C7D1A3016E}"/>
    <cellStyle name="20% - 강조색2 2" xfId="69" xr:uid="{D6F77B8E-DA75-4D1F-84E3-B26EE1B4E3DC}"/>
    <cellStyle name="20% - 강조색2 3" xfId="89" xr:uid="{E95C3191-E88A-42C1-9017-12532ABFFD51}"/>
    <cellStyle name="20% - 강조색2 4" xfId="109" xr:uid="{D686A997-3988-4BCE-82AC-AEACBF73748C}"/>
    <cellStyle name="20% - 강조색2 5" xfId="129" xr:uid="{0A64B3A1-8AA3-494D-9AD7-DACAB7C93F5B}"/>
    <cellStyle name="20% - 강조색2 6" xfId="149" xr:uid="{F82DB304-D754-4E19-ACEA-7104782A493D}"/>
    <cellStyle name="20% - 강조색2 7" xfId="169" xr:uid="{3ACEDB0C-3AB5-42A9-8A54-0171BEA68931}"/>
    <cellStyle name="20% - 강조색2 8" xfId="189" xr:uid="{92D06AA7-BD79-4A08-A0AC-19FAAE141A9A}"/>
    <cellStyle name="20% - 강조색2 9" xfId="209" xr:uid="{87FEFB61-F2A8-431E-926D-D0AA74DBDF54}"/>
    <cellStyle name="20% - 강조색3" xfId="33" builtinId="38" customBuiltin="1"/>
    <cellStyle name="20% - 강조색3 10" xfId="232" xr:uid="{61651A33-B832-41AE-9EBF-C4749E3E2278}"/>
    <cellStyle name="20% - 강조색3 11" xfId="252" xr:uid="{E949058E-E0C6-4200-8EC6-DBEF142DAD18}"/>
    <cellStyle name="20% - 강조색3 12" xfId="272" xr:uid="{426D12DE-A4BE-4992-808E-7DC40B9718AD}"/>
    <cellStyle name="20% - 강조색3 13" xfId="292" xr:uid="{0768D020-6E83-4F1E-AF32-AE5A782C18B5}"/>
    <cellStyle name="20% - 강조색3 14" xfId="312" xr:uid="{1703ADAA-77C1-42AF-988A-62849F1C5366}"/>
    <cellStyle name="20% - 강조색3 15" xfId="332" xr:uid="{8893DAEB-8166-4103-ADD1-C300EA23E857}"/>
    <cellStyle name="20% - 강조색3 16" xfId="352" xr:uid="{A4F2511B-64D6-493B-AC77-889421CE3F84}"/>
    <cellStyle name="20% - 강조색3 2" xfId="72" xr:uid="{DADA5BBF-655E-4DF7-8AF7-F67FAB006F70}"/>
    <cellStyle name="20% - 강조색3 3" xfId="92" xr:uid="{8A2B4D20-D914-4DED-AD89-24BEA2F842A1}"/>
    <cellStyle name="20% - 강조색3 4" xfId="112" xr:uid="{D02C6126-C8BA-436E-A7C9-F01EB6D42534}"/>
    <cellStyle name="20% - 강조색3 5" xfId="132" xr:uid="{0B27F645-BFC1-4271-97C7-A69C5A0D1187}"/>
    <cellStyle name="20% - 강조색3 6" xfId="152" xr:uid="{BC6E1FF5-9FA1-457C-807E-0DDB42F82165}"/>
    <cellStyle name="20% - 강조색3 7" xfId="172" xr:uid="{FBCAFDFA-76DB-42D8-9AFC-73132063C498}"/>
    <cellStyle name="20% - 강조색3 8" xfId="192" xr:uid="{7B7916C4-7649-4B69-BBA1-586F1F8236AC}"/>
    <cellStyle name="20% - 강조색3 9" xfId="212" xr:uid="{B05A3FC1-2BD3-4D5D-BBD1-AF122FFA97D0}"/>
    <cellStyle name="20% - 강조색4" xfId="37" builtinId="42" customBuiltin="1"/>
    <cellStyle name="20% - 강조색4 10" xfId="235" xr:uid="{D7777BE9-BACF-476F-AC89-842F95EB340A}"/>
    <cellStyle name="20% - 강조색4 11" xfId="255" xr:uid="{8CECB8CF-16A3-4C86-9941-19EB25997AC4}"/>
    <cellStyle name="20% - 강조색4 12" xfId="275" xr:uid="{11494E53-DE89-497B-B9CA-0A28AD5C723D}"/>
    <cellStyle name="20% - 강조색4 13" xfId="295" xr:uid="{542C1C52-CA1D-4EBF-A46A-733955597A8B}"/>
    <cellStyle name="20% - 강조색4 14" xfId="315" xr:uid="{9865A804-0170-4131-AACE-8F585E2184FD}"/>
    <cellStyle name="20% - 강조색4 15" xfId="335" xr:uid="{7574BF02-A4A9-44E1-BE7C-980F480A446B}"/>
    <cellStyle name="20% - 강조색4 16" xfId="355" xr:uid="{90B0289A-96D5-4BC4-A0B4-357B6F7EC418}"/>
    <cellStyle name="20% - 강조색4 2" xfId="75" xr:uid="{05A71B88-BCC1-42C7-A0B3-5CF2BDB8026A}"/>
    <cellStyle name="20% - 강조색4 3" xfId="95" xr:uid="{CEEC9913-54C2-470C-AD1F-B0DEF55F5A3D}"/>
    <cellStyle name="20% - 강조색4 4" xfId="115" xr:uid="{9D29B216-1327-471D-A20E-ACED39D6B564}"/>
    <cellStyle name="20% - 강조색4 5" xfId="135" xr:uid="{1F96C247-4CD8-4046-9DC3-CA3F66EB2D71}"/>
    <cellStyle name="20% - 강조색4 6" xfId="155" xr:uid="{45777F64-79FC-4C0E-B98D-EE32497B449E}"/>
    <cellStyle name="20% - 강조색4 7" xfId="175" xr:uid="{D8023C2B-337C-4793-B1D3-453BF274B485}"/>
    <cellStyle name="20% - 강조색4 8" xfId="195" xr:uid="{8113DDBD-D399-448B-B8ED-873D89E0096A}"/>
    <cellStyle name="20% - 강조색4 9" xfId="215" xr:uid="{14FB7DB9-C519-47BE-8EC1-AA255607A88C}"/>
    <cellStyle name="20% - 강조색5" xfId="41" builtinId="46" customBuiltin="1"/>
    <cellStyle name="20% - 강조색5 10" xfId="238" xr:uid="{E411D9CE-490D-4DFD-94EE-328AACF8795E}"/>
    <cellStyle name="20% - 강조색5 11" xfId="258" xr:uid="{A182F85F-D434-4461-A92A-139E7B12C467}"/>
    <cellStyle name="20% - 강조색5 12" xfId="278" xr:uid="{EB7F973A-7A61-4F6E-A5B0-410E883B7724}"/>
    <cellStyle name="20% - 강조색5 13" xfId="298" xr:uid="{E467C45C-A85E-4CBD-8151-8F87AEF39C33}"/>
    <cellStyle name="20% - 강조색5 14" xfId="318" xr:uid="{BD4DAB35-D038-4546-91FD-449946C108CB}"/>
    <cellStyle name="20% - 강조색5 15" xfId="338" xr:uid="{C5DB7B8A-2BB1-4DD5-AC2D-C79121582DE1}"/>
    <cellStyle name="20% - 강조색5 16" xfId="358" xr:uid="{1937A4F5-0471-44D0-B2CD-DBF9CC2D59D1}"/>
    <cellStyle name="20% - 강조색5 2" xfId="78" xr:uid="{09E915A1-162C-49F6-8553-DBB874A046DF}"/>
    <cellStyle name="20% - 강조색5 3" xfId="98" xr:uid="{32594ED3-3038-4CDC-9C30-0B355FD9C119}"/>
    <cellStyle name="20% - 강조색5 4" xfId="118" xr:uid="{7C16B7F5-F116-4837-AC93-56230614F5EB}"/>
    <cellStyle name="20% - 강조색5 5" xfId="138" xr:uid="{AD61E653-6D02-4993-BE8B-BC8C624BE249}"/>
    <cellStyle name="20% - 강조색5 6" xfId="158" xr:uid="{79AED299-6773-43D7-859D-1841B1C64F91}"/>
    <cellStyle name="20% - 강조색5 7" xfId="178" xr:uid="{4E271861-0A9C-4BD9-AA4B-8EC2BC60B6CD}"/>
    <cellStyle name="20% - 강조색5 8" xfId="198" xr:uid="{065D2FA9-1C3F-4C00-BAA7-41A137662E55}"/>
    <cellStyle name="20% - 강조색5 9" xfId="218" xr:uid="{772F6110-8CBC-401D-913D-DFF9BBD2E526}"/>
    <cellStyle name="20% - 강조색6" xfId="45" builtinId="50" customBuiltin="1"/>
    <cellStyle name="20% - 강조색6 10" xfId="241" xr:uid="{A9D7E7EF-A19E-4C1A-AB1C-96A3CDA2DCD8}"/>
    <cellStyle name="20% - 강조색6 11" xfId="261" xr:uid="{8D2F71CB-6051-471E-94A7-4CAE37718795}"/>
    <cellStyle name="20% - 강조색6 12" xfId="281" xr:uid="{2976DA9E-E40C-4CBB-B753-8F3838D90FF5}"/>
    <cellStyle name="20% - 강조색6 13" xfId="301" xr:uid="{1CF5B089-D809-40CF-978F-C0726662BAD4}"/>
    <cellStyle name="20% - 강조색6 14" xfId="321" xr:uid="{5C69464F-281D-4BAC-8941-618B90636E59}"/>
    <cellStyle name="20% - 강조색6 15" xfId="341" xr:uid="{40F01361-CA31-4499-9DBE-6C6AB30963FF}"/>
    <cellStyle name="20% - 강조색6 16" xfId="361" xr:uid="{F40D55B9-7FFD-4629-BBAC-33FEAF6B353F}"/>
    <cellStyle name="20% - 강조색6 2" xfId="81" xr:uid="{E94A4951-3DCE-4107-A172-07961584A1EC}"/>
    <cellStyle name="20% - 강조색6 3" xfId="101" xr:uid="{F0F6CE67-9038-4292-8AD0-D6B8B02E23D6}"/>
    <cellStyle name="20% - 강조색6 4" xfId="121" xr:uid="{CFE1F780-5DD4-4234-A16D-F6D66B1D0248}"/>
    <cellStyle name="20% - 강조색6 5" xfId="141" xr:uid="{5190C24C-3DB1-4404-98F9-AAA2ABDACE24}"/>
    <cellStyle name="20% - 강조색6 6" xfId="161" xr:uid="{068ACF7A-B94A-4263-9EA3-BAD4356213EE}"/>
    <cellStyle name="20% - 강조색6 7" xfId="181" xr:uid="{7F0E0991-186C-46D1-849C-F961850DAF91}"/>
    <cellStyle name="20% - 강조색6 8" xfId="201" xr:uid="{25052CED-D218-4512-8F9B-138DD7092BA0}"/>
    <cellStyle name="20% - 강조색6 9" xfId="221" xr:uid="{CE3D1595-0958-48A2-B9EE-416DA293B80D}"/>
    <cellStyle name="40% - 강조색1" xfId="26" builtinId="31" customBuiltin="1"/>
    <cellStyle name="40% - 강조색1 10" xfId="227" xr:uid="{E08ED7FC-FA6B-4FD9-A116-0BE127A8255A}"/>
    <cellStyle name="40% - 강조색1 11" xfId="247" xr:uid="{1995D369-4950-4911-8B5B-D6D1B63DABEC}"/>
    <cellStyle name="40% - 강조색1 12" xfId="267" xr:uid="{28FA5F6C-C506-48F5-972A-4BD8254ECA20}"/>
    <cellStyle name="40% - 강조색1 13" xfId="287" xr:uid="{DC801FBA-B5DC-4833-A0E5-0880E2C9FA75}"/>
    <cellStyle name="40% - 강조색1 14" xfId="307" xr:uid="{D86DB530-F8E8-4256-A055-C4DCF24DF42B}"/>
    <cellStyle name="40% - 강조색1 15" xfId="327" xr:uid="{C6DEF322-810C-450F-8439-21E9E59A2120}"/>
    <cellStyle name="40% - 강조색1 16" xfId="347" xr:uid="{7A654AAF-A51C-4D06-AD76-DDD5C11DEE5E}"/>
    <cellStyle name="40% - 강조색1 2" xfId="67" xr:uid="{B3DEA3BC-2994-4847-AB57-CDE22DE2526D}"/>
    <cellStyle name="40% - 강조색1 3" xfId="87" xr:uid="{BC042DC4-BE1F-4C1C-B3E7-DAD07FE4A460}"/>
    <cellStyle name="40% - 강조색1 4" xfId="107" xr:uid="{0657A2DC-39FC-4EAF-86E3-357E212E02A7}"/>
    <cellStyle name="40% - 강조색1 5" xfId="127" xr:uid="{578BAB59-F1C4-40D9-A0B9-4F984791752D}"/>
    <cellStyle name="40% - 강조색1 6" xfId="147" xr:uid="{8FFBF4F8-FB29-4DA6-9794-9A1398CED210}"/>
    <cellStyle name="40% - 강조색1 7" xfId="167" xr:uid="{1927FD0E-4BE2-4492-BB2E-1966527C7123}"/>
    <cellStyle name="40% - 강조색1 8" xfId="187" xr:uid="{534FA0DC-8F7C-49E0-9E23-7705211A8717}"/>
    <cellStyle name="40% - 강조색1 9" xfId="207" xr:uid="{3AE69E2A-7B92-4C93-BFD7-548085599299}"/>
    <cellStyle name="40% - 강조색2" xfId="30" builtinId="35" customBuiltin="1"/>
    <cellStyle name="40% - 강조색2 10" xfId="230" xr:uid="{382D258B-D946-495B-BB96-23BC5A2A4906}"/>
    <cellStyle name="40% - 강조색2 11" xfId="250" xr:uid="{BCC6833B-7F37-4366-AB03-A4189D5D1A5C}"/>
    <cellStyle name="40% - 강조색2 12" xfId="270" xr:uid="{403E36EF-A38B-4C19-8BA7-DB8475CFAFF4}"/>
    <cellStyle name="40% - 강조색2 13" xfId="290" xr:uid="{A2F10307-2B51-454B-A85E-4616A0F5935B}"/>
    <cellStyle name="40% - 강조색2 14" xfId="310" xr:uid="{B4141A08-22E1-4CDC-BA81-C732B403F5E0}"/>
    <cellStyle name="40% - 강조색2 15" xfId="330" xr:uid="{33712066-8439-4FAC-8F5C-5F034E7A6D27}"/>
    <cellStyle name="40% - 강조색2 16" xfId="350" xr:uid="{AFC6F076-90EA-4581-8BDE-36F03B53E5FA}"/>
    <cellStyle name="40% - 강조색2 2" xfId="70" xr:uid="{146568DE-76ED-412C-8120-A894E6D0A4B0}"/>
    <cellStyle name="40% - 강조색2 3" xfId="90" xr:uid="{6937B661-ED94-4445-9C14-01D5D09A333C}"/>
    <cellStyle name="40% - 강조색2 4" xfId="110" xr:uid="{EF3AB1E6-F129-4803-A904-8F5D2B56F839}"/>
    <cellStyle name="40% - 강조색2 5" xfId="130" xr:uid="{3B2608EE-CC80-4ED2-A47A-206D0C8833A2}"/>
    <cellStyle name="40% - 강조색2 6" xfId="150" xr:uid="{3036EC20-0BD7-4FB0-9452-B74E026CC1F0}"/>
    <cellStyle name="40% - 강조색2 7" xfId="170" xr:uid="{06D71241-9842-4FB1-92CC-B4734351DE63}"/>
    <cellStyle name="40% - 강조색2 8" xfId="190" xr:uid="{E4CD3BF1-0702-4D79-8779-88F0FB3618AE}"/>
    <cellStyle name="40% - 강조색2 9" xfId="210" xr:uid="{132DE09A-2130-4280-B94F-352BF1679BB9}"/>
    <cellStyle name="40% - 강조색3" xfId="34" builtinId="39" customBuiltin="1"/>
    <cellStyle name="40% - 강조색3 10" xfId="233" xr:uid="{5DCA0145-145D-477F-9C69-0E7D0BDAA8CE}"/>
    <cellStyle name="40% - 강조색3 11" xfId="253" xr:uid="{12DE31AC-58EA-478B-B2F8-EC3A4EF8B964}"/>
    <cellStyle name="40% - 강조색3 12" xfId="273" xr:uid="{4D7B6B2B-88B6-4009-9330-B8230883E09C}"/>
    <cellStyle name="40% - 강조색3 13" xfId="293" xr:uid="{9D4232AF-38AE-4270-A53D-2285EF09B933}"/>
    <cellStyle name="40% - 강조색3 14" xfId="313" xr:uid="{4DD5EB19-A054-4F9C-BA8A-F25A1F5CA218}"/>
    <cellStyle name="40% - 강조색3 15" xfId="333" xr:uid="{B100FFB5-33E8-41BF-8CBF-C81607218082}"/>
    <cellStyle name="40% - 강조색3 16" xfId="353" xr:uid="{3A0E85DF-FC63-43E3-BC34-1401B1198215}"/>
    <cellStyle name="40% - 강조색3 2" xfId="73" xr:uid="{C705B1AE-544A-4371-ADBE-70B9BA64B990}"/>
    <cellStyle name="40% - 강조색3 3" xfId="93" xr:uid="{75AFCD94-0305-4697-A3EE-8E26414271F6}"/>
    <cellStyle name="40% - 강조색3 4" xfId="113" xr:uid="{A46A58AF-ADF1-4CD5-8249-50FFE2BB1134}"/>
    <cellStyle name="40% - 강조색3 5" xfId="133" xr:uid="{0800A894-E1D7-40D2-8B77-A8F344BA31E2}"/>
    <cellStyle name="40% - 강조색3 6" xfId="153" xr:uid="{54F5813A-1F40-4B47-825B-478DA88788F1}"/>
    <cellStyle name="40% - 강조색3 7" xfId="173" xr:uid="{31D59DE3-E49F-462A-9662-80189E92696D}"/>
    <cellStyle name="40% - 강조색3 8" xfId="193" xr:uid="{B9B7443B-9F0E-4C88-B960-D2AFA151E97E}"/>
    <cellStyle name="40% - 강조색3 9" xfId="213" xr:uid="{4A23610B-77CE-47A2-B2FB-E8C44A920724}"/>
    <cellStyle name="40% - 강조색4" xfId="38" builtinId="43" customBuiltin="1"/>
    <cellStyle name="40% - 강조색4 10" xfId="236" xr:uid="{279AACC2-5F8A-4635-BD30-C38CC99F5BBF}"/>
    <cellStyle name="40% - 강조색4 11" xfId="256" xr:uid="{9192174F-5DD8-40D2-8FBE-748F54596A66}"/>
    <cellStyle name="40% - 강조색4 12" xfId="276" xr:uid="{E7D5EA16-D63E-4C1A-AF42-E59203C3D5BE}"/>
    <cellStyle name="40% - 강조색4 13" xfId="296" xr:uid="{CD315F74-634E-45B3-B400-D1F3A704B954}"/>
    <cellStyle name="40% - 강조색4 14" xfId="316" xr:uid="{AEE24686-1DFF-44DB-AACB-CB3518FE212E}"/>
    <cellStyle name="40% - 강조색4 15" xfId="336" xr:uid="{8AB618DB-58B6-4512-9B5B-DEFD00DF04CB}"/>
    <cellStyle name="40% - 강조색4 16" xfId="356" xr:uid="{E771F947-75DA-4814-9184-2E49D604F767}"/>
    <cellStyle name="40% - 강조색4 2" xfId="76" xr:uid="{EB5178A4-8D44-4DCF-8595-8E58742034D4}"/>
    <cellStyle name="40% - 강조색4 3" xfId="96" xr:uid="{7DDF99F7-62C4-4110-8149-7035429412C4}"/>
    <cellStyle name="40% - 강조색4 4" xfId="116" xr:uid="{1E9F2364-AB0C-4410-BDC1-1AE32AB9EBB0}"/>
    <cellStyle name="40% - 강조색4 5" xfId="136" xr:uid="{E68D7333-2DDE-4C3C-926E-5C42685FBF6F}"/>
    <cellStyle name="40% - 강조색4 6" xfId="156" xr:uid="{4ACE2520-D97A-432B-9F39-F4AEAB87806C}"/>
    <cellStyle name="40% - 강조색4 7" xfId="176" xr:uid="{45C0AF15-E90B-4919-B72B-1328E7C285F5}"/>
    <cellStyle name="40% - 강조색4 8" xfId="196" xr:uid="{42FE4E23-137F-4281-896F-4A37A35DF536}"/>
    <cellStyle name="40% - 강조색4 9" xfId="216" xr:uid="{5FE4A7DD-4F23-4F4B-9A91-26CA02F74E9F}"/>
    <cellStyle name="40% - 강조색5" xfId="42" builtinId="47" customBuiltin="1"/>
    <cellStyle name="40% - 강조색5 10" xfId="239" xr:uid="{BA76548E-7B5B-498D-8406-8634949E5754}"/>
    <cellStyle name="40% - 강조색5 11" xfId="259" xr:uid="{424F185F-7460-4E6C-A653-EFCCE0B5C804}"/>
    <cellStyle name="40% - 강조색5 12" xfId="279" xr:uid="{F5BD1F5E-3484-4B88-A4B4-9A38BB4DB575}"/>
    <cellStyle name="40% - 강조색5 13" xfId="299" xr:uid="{A664C5D0-FB12-4A05-B564-030B6E90913C}"/>
    <cellStyle name="40% - 강조색5 14" xfId="319" xr:uid="{BE37C2E4-E4CE-499D-B8C6-1A2D96C594B2}"/>
    <cellStyle name="40% - 강조색5 15" xfId="339" xr:uid="{A60B9A30-D593-48D8-B8B7-DA95F35BD562}"/>
    <cellStyle name="40% - 강조색5 16" xfId="359" xr:uid="{3572AD67-08C0-4CA1-9D33-A662BC77D774}"/>
    <cellStyle name="40% - 강조색5 2" xfId="79" xr:uid="{2FD2444E-57DF-4113-B480-858C6A8D4451}"/>
    <cellStyle name="40% - 강조색5 3" xfId="99" xr:uid="{F226EFB6-2501-4022-91DE-D0995D383E3C}"/>
    <cellStyle name="40% - 강조색5 4" xfId="119" xr:uid="{48F82457-8C9B-4497-BFC6-D40C30AE952B}"/>
    <cellStyle name="40% - 강조색5 5" xfId="139" xr:uid="{5D18B759-CFA1-423A-8896-513E7463EA2D}"/>
    <cellStyle name="40% - 강조색5 6" xfId="159" xr:uid="{92D981D6-A165-4648-B862-13C2C8AF5A2B}"/>
    <cellStyle name="40% - 강조색5 7" xfId="179" xr:uid="{0E855858-D7BA-4E58-A50B-DF778967EFAA}"/>
    <cellStyle name="40% - 강조색5 8" xfId="199" xr:uid="{4D7F1574-D752-49B6-892C-7686097E072D}"/>
    <cellStyle name="40% - 강조색5 9" xfId="219" xr:uid="{C3599F2D-029D-43AC-A322-099F96CB9902}"/>
    <cellStyle name="40% - 강조색6" xfId="46" builtinId="51" customBuiltin="1"/>
    <cellStyle name="40% - 강조색6 10" xfId="242" xr:uid="{E82BFB48-84FD-41B7-AB7F-3FC7DAD9B6DF}"/>
    <cellStyle name="40% - 강조색6 11" xfId="262" xr:uid="{7F222311-21F8-4F52-86D3-B6BCB9F92164}"/>
    <cellStyle name="40% - 강조색6 12" xfId="282" xr:uid="{620521F1-AF1F-4213-A635-B81EA35B4D80}"/>
    <cellStyle name="40% - 강조색6 13" xfId="302" xr:uid="{918AA8C0-6591-4A67-A306-A8D34B2778DA}"/>
    <cellStyle name="40% - 강조색6 14" xfId="322" xr:uid="{0F489502-E054-437F-BAD6-962A518FFF7D}"/>
    <cellStyle name="40% - 강조색6 15" xfId="342" xr:uid="{D02158DF-36FE-4148-9949-1B565C11BBDF}"/>
    <cellStyle name="40% - 강조색6 16" xfId="362" xr:uid="{0228A41F-3552-403A-BEB9-13D91F7107B5}"/>
    <cellStyle name="40% - 강조색6 2" xfId="82" xr:uid="{ABAFEDE8-FFD6-42E3-AE21-8DF4E8E999CF}"/>
    <cellStyle name="40% - 강조색6 3" xfId="102" xr:uid="{261FF799-21A4-4DFD-BC41-AD36A40AB6C0}"/>
    <cellStyle name="40% - 강조색6 4" xfId="122" xr:uid="{6D2E5168-6F7B-4B98-A80D-3A36768628F3}"/>
    <cellStyle name="40% - 강조색6 5" xfId="142" xr:uid="{4647BD6D-3215-4C41-8EF3-2645F2D1CA00}"/>
    <cellStyle name="40% - 강조색6 6" xfId="162" xr:uid="{7E3D72B4-30A0-4B08-BDD0-18D2D7826858}"/>
    <cellStyle name="40% - 강조색6 7" xfId="182" xr:uid="{05CFEC58-67B0-46E3-A580-AB3F892F5F02}"/>
    <cellStyle name="40% - 강조색6 8" xfId="202" xr:uid="{3DB6A435-9D18-41C8-A80C-5CA6BC3C8EC3}"/>
    <cellStyle name="40% - 강조색6 9" xfId="222" xr:uid="{437FDFC9-C82F-4230-A465-4560C5905C74}"/>
    <cellStyle name="60% - 강조색1" xfId="27" builtinId="32" customBuiltin="1"/>
    <cellStyle name="60% - 강조색1 10" xfId="228" xr:uid="{B2CB40AD-4A4F-4918-9765-E0E0363F2909}"/>
    <cellStyle name="60% - 강조색1 11" xfId="248" xr:uid="{E4397767-24DE-4A4E-8808-6EE3AC7ADD6A}"/>
    <cellStyle name="60% - 강조색1 12" xfId="268" xr:uid="{45163B68-6E14-49BA-BFA4-ECA510354E09}"/>
    <cellStyle name="60% - 강조색1 13" xfId="288" xr:uid="{4ECEC866-C940-4B1D-8E38-55A23D2D0542}"/>
    <cellStyle name="60% - 강조색1 14" xfId="308" xr:uid="{DF8043AD-8773-4D93-B2C8-1B5C7502C135}"/>
    <cellStyle name="60% - 강조색1 15" xfId="328" xr:uid="{AE574A2D-9FB0-4ACE-B888-47AD5434508A}"/>
    <cellStyle name="60% - 강조색1 16" xfId="348" xr:uid="{8CEA539B-6240-42C9-B368-161B9EDC0A45}"/>
    <cellStyle name="60% - 강조색1 2" xfId="68" xr:uid="{D96F520C-0939-4D6D-A16E-E458CF2912C2}"/>
    <cellStyle name="60% - 강조색1 3" xfId="88" xr:uid="{F66CE541-3BD7-4504-AC6D-7AF378A3DEDA}"/>
    <cellStyle name="60% - 강조색1 4" xfId="108" xr:uid="{6FA34F41-E20A-49FA-BFCA-CD52598158FD}"/>
    <cellStyle name="60% - 강조색1 5" xfId="128" xr:uid="{3463E9EE-F8EC-4E54-834C-9B81B7FECD98}"/>
    <cellStyle name="60% - 강조색1 6" xfId="148" xr:uid="{5B333DEA-5B17-48AA-B16F-C66878B0742C}"/>
    <cellStyle name="60% - 강조색1 7" xfId="168" xr:uid="{8212DAC3-9A02-42BE-8CA2-BF85CA1F7FF5}"/>
    <cellStyle name="60% - 강조색1 8" xfId="188" xr:uid="{C4DD9030-1D5F-45AE-A9B8-68EA671C2427}"/>
    <cellStyle name="60% - 강조색1 9" xfId="208" xr:uid="{17F085EB-9BA6-42BC-90C0-6F0174349845}"/>
    <cellStyle name="60% - 강조색2" xfId="31" builtinId="36" customBuiltin="1"/>
    <cellStyle name="60% - 강조색2 10" xfId="231" xr:uid="{14C597ED-74A6-41A0-B9C3-84CD44CA0D59}"/>
    <cellStyle name="60% - 강조색2 11" xfId="251" xr:uid="{8C1F64DB-16E4-48E9-A735-71A04F737194}"/>
    <cellStyle name="60% - 강조색2 12" xfId="271" xr:uid="{8AF8D59B-02D0-4311-9B00-197848AD0A13}"/>
    <cellStyle name="60% - 강조색2 13" xfId="291" xr:uid="{092D3EDE-EB8C-4BC8-A3E3-6F8586AFA4F1}"/>
    <cellStyle name="60% - 강조색2 14" xfId="311" xr:uid="{67D6E8F6-6671-4854-A51D-68A4D4178F79}"/>
    <cellStyle name="60% - 강조색2 15" xfId="331" xr:uid="{AFB5EB0C-80FD-4EB2-B8A6-C7F9EA67F76F}"/>
    <cellStyle name="60% - 강조색2 16" xfId="351" xr:uid="{509739BE-ABF1-4169-8BB8-402FA881B622}"/>
    <cellStyle name="60% - 강조색2 2" xfId="71" xr:uid="{644D7E5D-D95D-4561-AA7D-F03E99268569}"/>
    <cellStyle name="60% - 강조색2 3" xfId="91" xr:uid="{6D8DD7CB-BAD5-42BD-8CAA-D865CE7EE7B0}"/>
    <cellStyle name="60% - 강조색2 4" xfId="111" xr:uid="{EB7CA402-BA71-47F3-AA96-0364DD842CDA}"/>
    <cellStyle name="60% - 강조색2 5" xfId="131" xr:uid="{F4E8DAEC-7A51-4F25-AF51-75342EDBB9BF}"/>
    <cellStyle name="60% - 강조색2 6" xfId="151" xr:uid="{232C6D60-F69C-4131-BA00-A2518A57C92F}"/>
    <cellStyle name="60% - 강조색2 7" xfId="171" xr:uid="{54B6E76E-4A23-423C-A58F-0036EF4BD218}"/>
    <cellStyle name="60% - 강조색2 8" xfId="191" xr:uid="{CAB13629-03F9-4D57-B12A-3727FBAF4666}"/>
    <cellStyle name="60% - 강조색2 9" xfId="211" xr:uid="{A63107D2-B5A6-4F95-8B93-DE528608944A}"/>
    <cellStyle name="60% - 강조색3" xfId="35" builtinId="40" customBuiltin="1"/>
    <cellStyle name="60% - 강조색3 10" xfId="234" xr:uid="{ED75E9BB-902D-42DB-AF09-843CCDFA3E09}"/>
    <cellStyle name="60% - 강조색3 11" xfId="254" xr:uid="{EA1454C4-3A62-4C0E-9767-7776B2D9DF0C}"/>
    <cellStyle name="60% - 강조색3 12" xfId="274" xr:uid="{758273EF-D7DF-41A3-A017-443AF2472E7F}"/>
    <cellStyle name="60% - 강조색3 13" xfId="294" xr:uid="{9D1FA834-CFEF-4C9E-A7EE-EB66B3C4C5F0}"/>
    <cellStyle name="60% - 강조색3 14" xfId="314" xr:uid="{8A0584AF-AF63-476E-9C0B-405244535428}"/>
    <cellStyle name="60% - 강조색3 15" xfId="334" xr:uid="{814BFB90-17CB-4D6B-A673-DDF213A4D15F}"/>
    <cellStyle name="60% - 강조색3 16" xfId="354" xr:uid="{37125019-D4FC-4E93-9440-04BD06B12DCE}"/>
    <cellStyle name="60% - 강조색3 2" xfId="74" xr:uid="{8A119AEB-6E38-4FDE-B0BF-D55711F2A704}"/>
    <cellStyle name="60% - 강조색3 3" xfId="94" xr:uid="{3C8C73D0-4078-4609-BAB5-8A20ADB91724}"/>
    <cellStyle name="60% - 강조색3 4" xfId="114" xr:uid="{EC9E5DEB-280D-4710-9F22-874497065958}"/>
    <cellStyle name="60% - 강조색3 5" xfId="134" xr:uid="{CBEAA6D1-B501-4E4F-92F6-55490AEBEF24}"/>
    <cellStyle name="60% - 강조색3 6" xfId="154" xr:uid="{BF2604A9-F699-4508-B09F-0FCF998B8E7C}"/>
    <cellStyle name="60% - 강조색3 7" xfId="174" xr:uid="{CC34085C-2DF9-4B63-BC74-48FB0D0B41C0}"/>
    <cellStyle name="60% - 강조색3 8" xfId="194" xr:uid="{92B4DA0C-F19C-4089-8BF9-BBEE225A05A5}"/>
    <cellStyle name="60% - 강조색3 9" xfId="214" xr:uid="{FB8BE683-8343-4BEB-9B06-CDF01B070856}"/>
    <cellStyle name="60% - 강조색4" xfId="39" builtinId="44" customBuiltin="1"/>
    <cellStyle name="60% - 강조색4 10" xfId="237" xr:uid="{70E89AC4-5EED-43E7-9ED8-EF9FC159426C}"/>
    <cellStyle name="60% - 강조색4 11" xfId="257" xr:uid="{069866A3-60DC-46EA-9CD7-FBE3CA7D5DA3}"/>
    <cellStyle name="60% - 강조색4 12" xfId="277" xr:uid="{D7C60D16-EB4F-4F13-94C9-22FBC38F668A}"/>
    <cellStyle name="60% - 강조색4 13" xfId="297" xr:uid="{6F27FC83-76D1-46F7-B3AD-56241F0BE553}"/>
    <cellStyle name="60% - 강조색4 14" xfId="317" xr:uid="{E2708639-9E78-49CB-99B9-C5695C11F1AA}"/>
    <cellStyle name="60% - 강조색4 15" xfId="337" xr:uid="{C85AEFAC-1A27-465A-808B-FF9B657C1459}"/>
    <cellStyle name="60% - 강조색4 16" xfId="357" xr:uid="{19EA790D-267E-40B1-9477-DADE12FD25CC}"/>
    <cellStyle name="60% - 강조색4 2" xfId="77" xr:uid="{1792CD84-041D-468B-B354-D747C2D04C1D}"/>
    <cellStyle name="60% - 강조색4 3" xfId="97" xr:uid="{A1937497-621F-41D7-853F-4DF5D3F9421B}"/>
    <cellStyle name="60% - 강조색4 4" xfId="117" xr:uid="{77FD045A-28DE-49C3-9FED-388E253D598A}"/>
    <cellStyle name="60% - 강조색4 5" xfId="137" xr:uid="{990E823D-6CD7-4AD7-A165-238769E1884C}"/>
    <cellStyle name="60% - 강조색4 6" xfId="157" xr:uid="{DEC53E00-AB73-4777-A99B-B832E160D84A}"/>
    <cellStyle name="60% - 강조색4 7" xfId="177" xr:uid="{98FF8F1B-C298-4C4F-8370-A09AC3F2FFB8}"/>
    <cellStyle name="60% - 강조색4 8" xfId="197" xr:uid="{5C8022D0-2716-4511-BCE5-F749E9A7505F}"/>
    <cellStyle name="60% - 강조색4 9" xfId="217" xr:uid="{398F5B73-4152-4111-A6C1-88930B304A8F}"/>
    <cellStyle name="60% - 강조색5" xfId="43" builtinId="48" customBuiltin="1"/>
    <cellStyle name="60% - 강조색5 10" xfId="240" xr:uid="{A4732F92-E2E7-47F7-8962-09A53158E49E}"/>
    <cellStyle name="60% - 강조색5 11" xfId="260" xr:uid="{833A5587-5E37-4DDD-A9A7-B9B835D4EEC6}"/>
    <cellStyle name="60% - 강조색5 12" xfId="280" xr:uid="{0CF639C7-E6D7-4838-8BD1-2A7DDFC35C69}"/>
    <cellStyle name="60% - 강조색5 13" xfId="300" xr:uid="{DD9DC0D0-B0AA-4409-BC18-73F74EE6DC64}"/>
    <cellStyle name="60% - 강조색5 14" xfId="320" xr:uid="{509A9514-662E-4223-8C47-3AF46E407071}"/>
    <cellStyle name="60% - 강조색5 15" xfId="340" xr:uid="{9B28C65F-3F16-43C9-9433-48DBF0EA6B76}"/>
    <cellStyle name="60% - 강조색5 16" xfId="360" xr:uid="{77D17A4D-0892-4BC2-B936-5A54501FA2FF}"/>
    <cellStyle name="60% - 강조색5 2" xfId="80" xr:uid="{83C87137-7D9D-4435-8D26-FB3DD7FDD5B2}"/>
    <cellStyle name="60% - 강조색5 3" xfId="100" xr:uid="{8A3FC43A-9273-4EDE-A3D4-12656ACA2B00}"/>
    <cellStyle name="60% - 강조색5 4" xfId="120" xr:uid="{8C64B1C1-5D00-4464-8C70-D32A97402830}"/>
    <cellStyle name="60% - 강조색5 5" xfId="140" xr:uid="{CEEB8C43-7F0B-422B-AD7B-CFAA54FDBE61}"/>
    <cellStyle name="60% - 강조색5 6" xfId="160" xr:uid="{7CAA41A2-41F0-4F2A-852C-9148935AF173}"/>
    <cellStyle name="60% - 강조색5 7" xfId="180" xr:uid="{B8F7E0E2-4C83-4F44-B59F-356F510E044A}"/>
    <cellStyle name="60% - 강조색5 8" xfId="200" xr:uid="{6D2D570D-EC52-4E0C-B1E9-5D2AB26D118B}"/>
    <cellStyle name="60% - 강조색5 9" xfId="220" xr:uid="{922B3494-236E-4C09-974D-F60AAF6C7BE7}"/>
    <cellStyle name="60% - 강조색6" xfId="47" builtinId="52" customBuiltin="1"/>
    <cellStyle name="60% - 강조색6 10" xfId="243" xr:uid="{45C2A6A0-CD21-437A-82CA-BC3AD53B6A17}"/>
    <cellStyle name="60% - 강조색6 11" xfId="263" xr:uid="{A320767B-703A-471C-8140-F1287F2FFA6B}"/>
    <cellStyle name="60% - 강조색6 12" xfId="283" xr:uid="{089059AD-EDC4-453B-8BF0-CD3801C452E4}"/>
    <cellStyle name="60% - 강조색6 13" xfId="303" xr:uid="{DF5BB59F-4766-4740-8D6D-9EFC37439CE9}"/>
    <cellStyle name="60% - 강조색6 14" xfId="323" xr:uid="{7F342A78-9A20-4FA7-A393-60C2CB5924F1}"/>
    <cellStyle name="60% - 강조색6 15" xfId="343" xr:uid="{ED88BECD-6E0C-45E7-99FA-A4CDF3CF7ADD}"/>
    <cellStyle name="60% - 강조색6 16" xfId="363" xr:uid="{606700C0-23F4-4BB8-B081-FB2BDB824788}"/>
    <cellStyle name="60% - 강조색6 2" xfId="83" xr:uid="{17B91430-62BE-4134-AC04-1D7C5943D02F}"/>
    <cellStyle name="60% - 강조색6 3" xfId="103" xr:uid="{9331A509-0875-4C0F-8C3D-D5FB52FB4174}"/>
    <cellStyle name="60% - 강조색6 4" xfId="123" xr:uid="{B9658C44-09E3-424D-B22E-7C3FCC9C0806}"/>
    <cellStyle name="60% - 강조색6 5" xfId="143" xr:uid="{C1BAFC03-FA40-4450-840A-F36FB1A6041B}"/>
    <cellStyle name="60% - 강조색6 6" xfId="163" xr:uid="{1089B983-8593-4207-A1CE-09349D3C4605}"/>
    <cellStyle name="60% - 강조색6 7" xfId="183" xr:uid="{FF60C2DA-079A-4EE1-A9B5-1AD3A9A8D643}"/>
    <cellStyle name="60% - 강조색6 8" xfId="203" xr:uid="{1DBB24E1-EC94-4394-B3EB-483F05503DF3}"/>
    <cellStyle name="60% - 강조색6 9" xfId="223" xr:uid="{3EA00A76-CBFA-49F9-B4AE-8BB59E2AEFE3}"/>
    <cellStyle name="Calc Percent (0)" xfId="53" xr:uid="{507211AE-C622-42FD-950A-E12D57DF3E2F}"/>
    <cellStyle name="Enter Currency (0)" xfId="54" xr:uid="{94338179-BDF3-46CB-B563-D4F56FF98DFE}"/>
    <cellStyle name="Header1" xfId="55" xr:uid="{3C5D0C7A-7C7B-4BB1-A687-F9EAF14512CB}"/>
    <cellStyle name="Header2" xfId="56" xr:uid="{E9E7FE2C-4353-4129-8679-D3E77832CB79}"/>
    <cellStyle name="Link Currency (0)" xfId="57" xr:uid="{87CEB823-2919-4E6F-BE6D-B992E0E86E79}"/>
    <cellStyle name="Normal 2" xfId="50" xr:uid="{D720B2A1-4B29-4BE9-AA30-E92F9F1291E0}"/>
    <cellStyle name="Normal 2 2" xfId="58" xr:uid="{8329D9AA-1571-4C32-9358-95196A31DFA1}"/>
    <cellStyle name="Normal 2 3" xfId="3" xr:uid="{411E133B-F811-924E-BBCB-7E1EC9EB8B56}"/>
    <cellStyle name="Normal 2 3 2" xfId="364" xr:uid="{54F649C6-F241-4D85-AAE7-81475BCCF8B7}"/>
    <cellStyle name="Normal_069-0711-D FAI temp copy.xls" xfId="4" xr:uid="{7E7B823B-E616-D24F-A691-DCEA812D5F69}"/>
    <cellStyle name="Normal_Capability Study - IPEG EVT1 0713a.xls" xfId="367" xr:uid="{74593FA1-7A7F-4F4C-A0E3-2285CE394BD1}"/>
    <cellStyle name="Percent 2" xfId="51" xr:uid="{6B9C1A28-5A0E-449C-8276-9890F8914D5A}"/>
    <cellStyle name="Percent 4" xfId="6" xr:uid="{1562D7E4-9DC6-BC4E-BF33-1AEC82F81A2C}"/>
    <cellStyle name="PrePop Currency (0)" xfId="59" xr:uid="{011529D7-C760-4C88-8E9D-F1167D2FE0AB}"/>
    <cellStyle name="Text Indent A" xfId="60" xr:uid="{DBCAAEB4-FCA1-4A86-9E72-4AB119B0DF9B}"/>
    <cellStyle name="Text Indent B" xfId="61" xr:uid="{49B06124-8F30-4376-AF00-ED1364E50F8D}"/>
    <cellStyle name="강조색1" xfId="24" builtinId="29" customBuiltin="1"/>
    <cellStyle name="강조색2" xfId="28" builtinId="33" customBuiltin="1"/>
    <cellStyle name="강조색3" xfId="32" builtinId="37" customBuiltin="1"/>
    <cellStyle name="강조색4" xfId="36" builtinId="41" customBuiltin="1"/>
    <cellStyle name="강조색5" xfId="40" builtinId="45" customBuiltin="1"/>
    <cellStyle name="강조색6" xfId="44" builtinId="49" customBuiltin="1"/>
    <cellStyle name="경고문" xfId="21" builtinId="11" customBuiltin="1"/>
    <cellStyle name="계산" xfId="18" builtinId="22" customBuiltin="1"/>
    <cellStyle name="나쁨" xfId="14" builtinId="27" customBuiltin="1"/>
    <cellStyle name="나쁨 2" xfId="365" xr:uid="{4ED3288D-E3DB-4489-ADE3-90A1AB80120C}"/>
    <cellStyle name="메모 10" xfId="205" xr:uid="{F1E6B1A6-DFCC-43B5-938B-AC4EA38735C0}"/>
    <cellStyle name="메모 11" xfId="225" xr:uid="{96156C23-3B33-4EC6-904C-30CD9C6AE460}"/>
    <cellStyle name="메모 12" xfId="245" xr:uid="{5CB831BA-C7F1-474B-BA74-58288726F36E}"/>
    <cellStyle name="메모 13" xfId="265" xr:uid="{91BBAD60-6ED6-4715-A410-BA21B2B80F9B}"/>
    <cellStyle name="메모 14" xfId="285" xr:uid="{72C31025-9F67-4651-9FD6-55D175EBD059}"/>
    <cellStyle name="메모 15" xfId="305" xr:uid="{64142A57-8907-4EB8-81F0-21D0FC161584}"/>
    <cellStyle name="메모 16" xfId="325" xr:uid="{429D3280-652F-41CC-BE36-941A19F819E6}"/>
    <cellStyle name="메모 17" xfId="345" xr:uid="{42ECB233-434C-45FD-A02B-764D46565700}"/>
    <cellStyle name="메모 2" xfId="63" xr:uid="{C5E085BA-2B59-45F4-9A7F-16FA145D7B84}"/>
    <cellStyle name="메모 3" xfId="65" xr:uid="{CF354A69-28DB-401C-A63E-3F347A572426}"/>
    <cellStyle name="메모 4" xfId="85" xr:uid="{775D36BA-F6FE-4815-AEDB-99DCD30B3F80}"/>
    <cellStyle name="메모 5" xfId="105" xr:uid="{A16EE7B9-2783-46EF-847B-5843EB9314E0}"/>
    <cellStyle name="메모 6" xfId="125" xr:uid="{99D5518B-558D-4D06-8223-349768351A5B}"/>
    <cellStyle name="메모 7" xfId="145" xr:uid="{46215A0F-5D5F-4A1E-AE77-6F7125E3F5FD}"/>
    <cellStyle name="메모 8" xfId="165" xr:uid="{3F7FA357-98BF-476F-AC6F-5346764332E9}"/>
    <cellStyle name="메모 9" xfId="185" xr:uid="{3BDA0B01-7855-47A6-943B-A22238ECF36D}"/>
    <cellStyle name="百分比 3" xfId="2" xr:uid="{D6C95A67-1C7B-404B-8CDF-2921498D764C}"/>
    <cellStyle name="백분율 2" xfId="49" xr:uid="{E41B836F-9572-4D1C-9D74-1056A2A9CD16}"/>
    <cellStyle name="보통" xfId="15" builtinId="28" customBuiltin="1"/>
    <cellStyle name="보통 2" xfId="366" xr:uid="{7EC43471-86A2-400A-A5A9-BBBBF5CACFAD}"/>
    <cellStyle name="常规 4" xfId="5" xr:uid="{79A5A741-AEC6-8E4D-AD07-F06A72B84B5A}"/>
    <cellStyle name="常规_8364B 2009415" xfId="48" xr:uid="{0B47AFBD-263D-4B7F-B2E7-B395D86BCEE1}"/>
    <cellStyle name="설명 텍스트" xfId="22" builtinId="53" customBuiltin="1"/>
    <cellStyle name="셀 확인" xfId="20" builtinId="23" customBuiltin="1"/>
    <cellStyle name="쉼표 [0] 2" xfId="7" xr:uid="{404A706B-A3F0-6D4E-AC76-48F566C7C22E}"/>
    <cellStyle name="연결된 셀" xfId="19" builtinId="24" customBuiltin="1"/>
    <cellStyle name="요약" xfId="23" builtinId="25" customBuiltin="1"/>
    <cellStyle name="一般 3" xfId="1" xr:uid="{CBDF56BD-CEEB-C64C-84C9-24C904CBE56D}"/>
    <cellStyle name="입력" xfId="16" builtinId="20" customBuiltin="1"/>
    <cellStyle name="제목" xfId="8" builtinId="15" customBuiltin="1"/>
    <cellStyle name="제목 1" xfId="9" builtinId="16" customBuiltin="1"/>
    <cellStyle name="제목 2" xfId="10" builtinId="17" customBuiltin="1"/>
    <cellStyle name="제목 3" xfId="11" builtinId="18" customBuiltin="1"/>
    <cellStyle name="제목 4" xfId="12" builtinId="19" customBuiltin="1"/>
    <cellStyle name="좋음" xfId="13" builtinId="26" customBuiltin="1"/>
    <cellStyle name="출력" xfId="17" builtinId="21" customBuiltin="1"/>
    <cellStyle name="표준" xfId="0" builtinId="0"/>
    <cellStyle name="표준 10" xfId="204" xr:uid="{97A0A5AD-B5E0-4681-B396-4D85486E02B2}"/>
    <cellStyle name="표준 11" xfId="224" xr:uid="{DCBD210C-C26C-487C-AAFF-E96EFCCBF417}"/>
    <cellStyle name="표준 12" xfId="244" xr:uid="{88A20BFC-BAA2-4A3D-B20F-C81594BE5818}"/>
    <cellStyle name="표준 13" xfId="264" xr:uid="{5A98D856-1E8E-4B48-AB04-D5F9C62DEF9B}"/>
    <cellStyle name="표준 14" xfId="284" xr:uid="{C1185FA1-2FFE-424F-966F-F35568CDFD2A}"/>
    <cellStyle name="표준 15" xfId="304" xr:uid="{34CB0A49-8C75-4926-9182-6D33642A8364}"/>
    <cellStyle name="표준 16" xfId="324" xr:uid="{2AF502FC-B8DF-40F3-8A1B-C5F51B61B3E9}"/>
    <cellStyle name="표준 17" xfId="344" xr:uid="{C24D31C8-5BE4-420F-9B14-38B86A495FDF}"/>
    <cellStyle name="표준 2" xfId="62" xr:uid="{2BCC682B-7B18-403A-8898-3D72D1F92BEA}"/>
    <cellStyle name="표준 3" xfId="64" xr:uid="{8A91C379-9E86-4ECE-8FC9-502778FF8674}"/>
    <cellStyle name="표준 4" xfId="84" xr:uid="{D49317C4-0983-47D2-9FEE-B35901E022C0}"/>
    <cellStyle name="표준 5" xfId="104" xr:uid="{C846E875-D831-4D02-8B7F-240014E6224A}"/>
    <cellStyle name="표준 6" xfId="124" xr:uid="{96BBFF81-0E0D-49A8-8075-BE29211F8FD1}"/>
    <cellStyle name="표준 7" xfId="144" xr:uid="{CCEE4C6D-6860-49F6-BD89-D6BFB3C97F52}"/>
    <cellStyle name="표준 8" xfId="164" xr:uid="{C8006356-40C1-4BB8-AE4A-A787D7EEC51F}"/>
    <cellStyle name="표준 9" xfId="184" xr:uid="{546D25E5-03AC-4E09-9A2E-CEA11BAB5BC9}"/>
  </cellStyles>
  <dxfs count="89">
    <dxf>
      <font>
        <color auto="1"/>
      </font>
      <fill>
        <patternFill>
          <bgColor rgb="FFFFC1B7"/>
        </patternFill>
      </fill>
    </dxf>
    <dxf>
      <font>
        <color auto="1"/>
      </font>
      <fill>
        <patternFill>
          <bgColor rgb="FFFFC1B7"/>
        </patternFill>
      </fill>
    </dxf>
    <dxf>
      <font>
        <color auto="1"/>
      </font>
      <fill>
        <patternFill>
          <bgColor rgb="FFFFC1B7"/>
        </patternFill>
      </fill>
    </dxf>
    <dxf>
      <font>
        <color auto="1"/>
      </font>
      <fill>
        <patternFill>
          <bgColor rgb="FFFFC1B7"/>
        </patternFill>
      </fill>
    </dxf>
    <dxf>
      <font>
        <color auto="1"/>
      </font>
      <fill>
        <patternFill>
          <bgColor rgb="FFFFC1B7"/>
        </patternFill>
      </fill>
    </dxf>
    <dxf>
      <font>
        <color auto="1"/>
      </font>
      <fill>
        <patternFill>
          <bgColor rgb="FFFFC1B7"/>
        </patternFill>
      </fill>
    </dxf>
    <dxf>
      <font>
        <color auto="1"/>
      </font>
      <fill>
        <patternFill>
          <bgColor rgb="FFFFC1B7"/>
        </patternFill>
      </fill>
    </dxf>
    <dxf>
      <font>
        <color auto="1"/>
      </font>
      <fill>
        <patternFill>
          <bgColor rgb="FFFFC1B7"/>
        </patternFill>
      </fill>
    </dxf>
    <dxf>
      <font>
        <color auto="1"/>
      </font>
      <fill>
        <patternFill>
          <bgColor rgb="FFFFC1B7"/>
        </patternFill>
      </fill>
    </dxf>
    <dxf>
      <font>
        <color auto="1"/>
      </font>
      <fill>
        <patternFill>
          <bgColor rgb="FFFFC1B7"/>
        </patternFill>
      </fill>
    </dxf>
    <dxf>
      <font>
        <color auto="1"/>
      </font>
      <fill>
        <patternFill>
          <bgColor rgb="FFFFC1B7"/>
        </patternFill>
      </fill>
    </dxf>
    <dxf>
      <font>
        <color auto="1"/>
      </font>
      <fill>
        <patternFill patternType="solid">
          <bgColor rgb="FFFFC1B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1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81568-1FAC-2B47-9C47-A4A560421BB4}">
  <sheetPr codeName="Sheet2"/>
  <dimension ref="A2:J53"/>
  <sheetViews>
    <sheetView showGridLines="0" zoomScale="140" workbookViewId="0">
      <selection activeCell="C10" sqref="C10"/>
    </sheetView>
  </sheetViews>
  <sheetFormatPr defaultColWidth="10.88671875" defaultRowHeight="17.25"/>
  <cols>
    <col min="1" max="1" width="10.88671875" style="16"/>
    <col min="2" max="2" width="13.88671875" style="16" customWidth="1"/>
    <col min="3" max="3" width="30.88671875" style="16" customWidth="1"/>
    <col min="4" max="5" width="25.88671875" style="16" customWidth="1"/>
    <col min="6" max="6" width="13.88671875" style="15" customWidth="1"/>
    <col min="7" max="7" width="10.88671875" style="16"/>
    <col min="8" max="9" width="10.88671875" style="16" customWidth="1"/>
    <col min="10" max="16384" width="10.88671875" style="16"/>
  </cols>
  <sheetData>
    <row r="2" spans="1:10" ht="39.950000000000003" customHeight="1">
      <c r="A2" s="9"/>
      <c r="B2" s="149" t="s">
        <v>20</v>
      </c>
      <c r="C2" s="149"/>
      <c r="D2" s="149"/>
      <c r="E2" s="149"/>
      <c r="F2" s="149"/>
      <c r="G2" s="9"/>
      <c r="H2" s="9"/>
      <c r="I2" s="9"/>
      <c r="J2" s="9"/>
    </row>
    <row r="3" spans="1:10" ht="15.95" customHeight="1">
      <c r="A3" s="9"/>
      <c r="B3" s="1"/>
      <c r="C3" s="1"/>
      <c r="D3" s="1"/>
      <c r="E3" s="1"/>
      <c r="F3" s="1"/>
      <c r="G3" s="9"/>
      <c r="H3" s="9"/>
      <c r="I3" s="9"/>
      <c r="J3" s="9"/>
    </row>
    <row r="4" spans="1:10" ht="15.95" customHeight="1">
      <c r="A4" s="9"/>
      <c r="B4" s="9"/>
      <c r="C4" s="12" t="s">
        <v>17</v>
      </c>
      <c r="D4" s="9"/>
      <c r="E4" s="12" t="s">
        <v>17</v>
      </c>
      <c r="F4" s="1"/>
      <c r="G4" s="9"/>
      <c r="H4" s="9"/>
      <c r="I4" s="9"/>
      <c r="J4" s="9"/>
    </row>
    <row r="5" spans="1:10" ht="15.95" customHeight="1">
      <c r="A5" s="9"/>
      <c r="B5" s="2" t="s">
        <v>6</v>
      </c>
      <c r="C5" s="3" t="s">
        <v>23</v>
      </c>
      <c r="D5" s="2" t="s">
        <v>7</v>
      </c>
      <c r="E5" s="5" t="s">
        <v>24</v>
      </c>
      <c r="H5" s="9"/>
      <c r="I5" s="9"/>
      <c r="J5" s="9"/>
    </row>
    <row r="6" spans="1:10" ht="15.95" customHeight="1">
      <c r="A6" s="1"/>
      <c r="B6" s="2" t="s">
        <v>0</v>
      </c>
      <c r="C6" s="3" t="s">
        <v>22</v>
      </c>
      <c r="D6" s="2" t="s">
        <v>8</v>
      </c>
      <c r="E6" s="5">
        <f>'Shipping Lot List'!B2</f>
        <v>0</v>
      </c>
      <c r="H6" s="1"/>
      <c r="I6" s="1"/>
      <c r="J6" s="1"/>
    </row>
    <row r="7" spans="1:10">
      <c r="A7" s="4"/>
      <c r="B7" s="2" t="s">
        <v>5</v>
      </c>
      <c r="C7" s="3" t="s">
        <v>28</v>
      </c>
      <c r="D7" s="2" t="s">
        <v>232</v>
      </c>
      <c r="E7" s="146" t="s">
        <v>233</v>
      </c>
      <c r="H7" s="4"/>
      <c r="I7" s="4"/>
      <c r="J7" s="4"/>
    </row>
    <row r="8" spans="1:10" ht="30">
      <c r="A8" s="4"/>
      <c r="B8" s="2" t="s">
        <v>21</v>
      </c>
      <c r="C8" s="22" t="s">
        <v>36</v>
      </c>
      <c r="D8" s="2" t="s">
        <v>4</v>
      </c>
      <c r="E8" s="20">
        <f>SUM('Shipping Lot List'!H:H)</f>
        <v>0</v>
      </c>
      <c r="F8" s="13" t="s">
        <v>17</v>
      </c>
      <c r="H8" s="4"/>
      <c r="I8" s="4"/>
      <c r="J8" s="4"/>
    </row>
    <row r="9" spans="1:10">
      <c r="A9" s="4"/>
      <c r="B9" s="2" t="s">
        <v>1</v>
      </c>
      <c r="C9" s="3" t="s">
        <v>234</v>
      </c>
      <c r="D9" s="2" t="s">
        <v>3</v>
      </c>
      <c r="E9" s="20">
        <v>0</v>
      </c>
      <c r="F9" s="150" t="s">
        <v>18</v>
      </c>
      <c r="H9" s="4"/>
      <c r="I9" s="4"/>
      <c r="J9" s="4"/>
    </row>
    <row r="10" spans="1:10">
      <c r="A10" s="4"/>
      <c r="B10" s="2" t="s">
        <v>25</v>
      </c>
      <c r="C10" s="3"/>
      <c r="D10" s="2" t="s">
        <v>2</v>
      </c>
      <c r="E10" s="20">
        <f>E8</f>
        <v>0</v>
      </c>
      <c r="F10" s="150"/>
      <c r="H10" s="4"/>
      <c r="I10" s="4"/>
      <c r="J10" s="4"/>
    </row>
    <row r="11" spans="1:10">
      <c r="A11" s="4"/>
      <c r="B11" s="2"/>
      <c r="C11" s="4"/>
      <c r="H11" s="4"/>
      <c r="I11" s="4"/>
      <c r="J11" s="4"/>
    </row>
    <row r="12" spans="1:10">
      <c r="A12" s="4"/>
      <c r="B12" s="151" t="s">
        <v>17</v>
      </c>
      <c r="C12" s="151"/>
      <c r="D12" s="151"/>
      <c r="E12" s="151"/>
      <c r="F12" s="151"/>
      <c r="G12" s="4"/>
      <c r="H12" s="4"/>
      <c r="I12" s="4"/>
      <c r="J12" s="4"/>
    </row>
    <row r="13" spans="1:10">
      <c r="A13" s="4"/>
      <c r="B13" s="18" t="s">
        <v>16</v>
      </c>
      <c r="C13" s="18" t="s">
        <v>15</v>
      </c>
      <c r="D13" s="18" t="s">
        <v>9</v>
      </c>
      <c r="E13" s="18" t="s">
        <v>10</v>
      </c>
      <c r="F13" s="18" t="s">
        <v>14</v>
      </c>
      <c r="G13" s="4"/>
      <c r="H13" s="4"/>
      <c r="I13" s="6"/>
      <c r="J13" s="6"/>
    </row>
    <row r="14" spans="1:10">
      <c r="A14" s="11"/>
      <c r="B14" s="148" t="s">
        <v>11</v>
      </c>
      <c r="C14" s="7"/>
      <c r="D14" s="14"/>
      <c r="E14" s="19"/>
      <c r="F14" s="21"/>
    </row>
    <row r="15" spans="1:10">
      <c r="A15" s="11"/>
      <c r="B15" s="148"/>
      <c r="C15" s="7"/>
      <c r="D15" s="8"/>
      <c r="E15" s="10"/>
      <c r="F15" s="14"/>
    </row>
    <row r="16" spans="1:10">
      <c r="A16" s="11"/>
      <c r="B16" s="148"/>
      <c r="C16" s="7"/>
      <c r="D16" s="8"/>
      <c r="E16" s="10"/>
      <c r="F16" s="14"/>
    </row>
    <row r="17" spans="1:6">
      <c r="A17" s="11"/>
      <c r="B17" s="148"/>
      <c r="C17" s="7"/>
      <c r="D17" s="8"/>
      <c r="E17" s="10"/>
      <c r="F17" s="14"/>
    </row>
    <row r="18" spans="1:6">
      <c r="A18" s="11"/>
      <c r="B18" s="148"/>
      <c r="C18" s="7"/>
      <c r="D18" s="8"/>
      <c r="E18" s="10"/>
      <c r="F18" s="14"/>
    </row>
    <row r="19" spans="1:6">
      <c r="A19" s="11"/>
      <c r="B19" s="148"/>
      <c r="C19" s="7"/>
      <c r="D19" s="8"/>
      <c r="E19" s="10"/>
      <c r="F19" s="14"/>
    </row>
    <row r="20" spans="1:6">
      <c r="A20" s="11"/>
      <c r="B20" s="148"/>
      <c r="C20" s="7"/>
      <c r="D20" s="8"/>
      <c r="E20" s="10"/>
      <c r="F20" s="14"/>
    </row>
    <row r="21" spans="1:6">
      <c r="A21" s="11"/>
      <c r="B21" s="148"/>
      <c r="C21" s="7"/>
      <c r="D21" s="8"/>
      <c r="E21" s="10"/>
      <c r="F21" s="14"/>
    </row>
    <row r="22" spans="1:6">
      <c r="A22" s="11"/>
      <c r="B22" s="148"/>
      <c r="C22" s="7"/>
      <c r="D22" s="8"/>
      <c r="E22" s="10"/>
      <c r="F22" s="14"/>
    </row>
    <row r="23" spans="1:6">
      <c r="A23" s="11"/>
      <c r="B23" s="148"/>
      <c r="C23" s="7"/>
      <c r="D23" s="8"/>
      <c r="E23" s="10"/>
      <c r="F23" s="14"/>
    </row>
    <row r="24" spans="1:6">
      <c r="A24" s="11"/>
      <c r="B24" s="148" t="s">
        <v>12</v>
      </c>
      <c r="C24" s="7"/>
      <c r="D24" s="14"/>
      <c r="E24" s="19"/>
      <c r="F24" s="21"/>
    </row>
    <row r="25" spans="1:6">
      <c r="A25" s="11"/>
      <c r="B25" s="148"/>
      <c r="C25" s="7"/>
      <c r="D25" s="14"/>
      <c r="E25" s="19"/>
      <c r="F25" s="21"/>
    </row>
    <row r="26" spans="1:6">
      <c r="A26" s="11"/>
      <c r="B26" s="148"/>
      <c r="C26" s="7"/>
      <c r="D26" s="14"/>
      <c r="E26" s="19"/>
      <c r="F26" s="14"/>
    </row>
    <row r="27" spans="1:6">
      <c r="A27" s="17"/>
      <c r="B27" s="148"/>
      <c r="C27" s="7"/>
      <c r="D27" s="14"/>
      <c r="E27" s="19"/>
      <c r="F27" s="14"/>
    </row>
    <row r="28" spans="1:6">
      <c r="A28" s="17"/>
      <c r="B28" s="148"/>
      <c r="C28" s="7"/>
      <c r="D28" s="14"/>
      <c r="E28" s="19"/>
      <c r="F28" s="14"/>
    </row>
    <row r="29" spans="1:6">
      <c r="A29" s="17"/>
      <c r="B29" s="148"/>
      <c r="C29" s="7"/>
      <c r="D29" s="14"/>
      <c r="E29" s="19"/>
      <c r="F29" s="14"/>
    </row>
    <row r="30" spans="1:6">
      <c r="A30" s="17"/>
      <c r="B30" s="148"/>
      <c r="C30" s="7"/>
      <c r="D30" s="14"/>
      <c r="E30" s="19"/>
      <c r="F30" s="14"/>
    </row>
    <row r="31" spans="1:6">
      <c r="A31" s="17"/>
      <c r="B31" s="148"/>
      <c r="C31" s="7"/>
      <c r="D31" s="14"/>
      <c r="E31" s="19"/>
      <c r="F31" s="14"/>
    </row>
    <row r="32" spans="1:6">
      <c r="A32" s="17"/>
      <c r="B32" s="148"/>
      <c r="C32" s="7"/>
      <c r="D32" s="14"/>
      <c r="E32" s="19"/>
      <c r="F32" s="14"/>
    </row>
    <row r="33" spans="1:6">
      <c r="A33" s="17"/>
      <c r="B33" s="148"/>
      <c r="C33" s="7"/>
      <c r="D33" s="14"/>
      <c r="E33" s="19"/>
      <c r="F33" s="14"/>
    </row>
    <row r="34" spans="1:6">
      <c r="A34" s="17"/>
      <c r="B34" s="148" t="s">
        <v>13</v>
      </c>
      <c r="C34" s="7"/>
      <c r="D34" s="8"/>
      <c r="E34" s="8"/>
      <c r="F34" s="14"/>
    </row>
    <row r="35" spans="1:6">
      <c r="A35" s="17"/>
      <c r="B35" s="148"/>
      <c r="C35" s="7"/>
      <c r="D35" s="8"/>
      <c r="E35" s="8"/>
      <c r="F35" s="14"/>
    </row>
    <row r="36" spans="1:6">
      <c r="A36" s="17"/>
      <c r="B36" s="148"/>
      <c r="C36" s="7"/>
      <c r="D36" s="8"/>
      <c r="E36" s="8"/>
      <c r="F36" s="14"/>
    </row>
    <row r="37" spans="1:6">
      <c r="A37" s="17"/>
      <c r="B37" s="148"/>
      <c r="C37" s="7"/>
      <c r="D37" s="8"/>
      <c r="E37" s="8"/>
      <c r="F37" s="14"/>
    </row>
    <row r="38" spans="1:6">
      <c r="A38" s="17"/>
      <c r="B38" s="148"/>
      <c r="C38" s="7"/>
      <c r="D38" s="8"/>
      <c r="E38" s="8"/>
      <c r="F38" s="14"/>
    </row>
    <row r="39" spans="1:6">
      <c r="A39" s="17"/>
      <c r="B39" s="148"/>
      <c r="C39" s="7"/>
      <c r="D39" s="8"/>
      <c r="E39" s="8"/>
      <c r="F39" s="14"/>
    </row>
    <row r="40" spans="1:6">
      <c r="A40" s="17"/>
      <c r="B40" s="148"/>
      <c r="C40" s="7"/>
      <c r="D40" s="8"/>
      <c r="E40" s="8"/>
      <c r="F40" s="14"/>
    </row>
    <row r="41" spans="1:6">
      <c r="A41" s="17"/>
      <c r="B41" s="148"/>
      <c r="C41" s="7"/>
      <c r="D41" s="8"/>
      <c r="E41" s="8"/>
      <c r="F41" s="14"/>
    </row>
    <row r="42" spans="1:6">
      <c r="A42" s="17"/>
      <c r="B42" s="148"/>
      <c r="C42" s="7"/>
      <c r="D42" s="8"/>
      <c r="E42" s="8"/>
      <c r="F42" s="14"/>
    </row>
    <row r="43" spans="1:6">
      <c r="A43" s="17"/>
      <c r="B43" s="148"/>
      <c r="C43" s="7"/>
      <c r="D43" s="8"/>
      <c r="E43" s="8"/>
      <c r="F43" s="14"/>
    </row>
    <row r="44" spans="1:6">
      <c r="B44" s="147" t="s">
        <v>19</v>
      </c>
      <c r="C44" s="7"/>
      <c r="D44" s="8"/>
      <c r="E44" s="8"/>
      <c r="F44" s="14"/>
    </row>
    <row r="45" spans="1:6">
      <c r="B45" s="147"/>
      <c r="C45" s="7"/>
      <c r="D45" s="8"/>
      <c r="E45" s="8"/>
      <c r="F45" s="14"/>
    </row>
    <row r="46" spans="1:6">
      <c r="B46" s="147"/>
      <c r="C46" s="7"/>
      <c r="D46" s="8"/>
      <c r="E46" s="8"/>
      <c r="F46" s="14"/>
    </row>
    <row r="47" spans="1:6">
      <c r="B47" s="147"/>
      <c r="C47" s="7"/>
      <c r="D47" s="8"/>
      <c r="E47" s="8"/>
      <c r="F47" s="14"/>
    </row>
    <row r="48" spans="1:6">
      <c r="B48" s="147"/>
      <c r="C48" s="7"/>
      <c r="D48" s="8"/>
      <c r="E48" s="8"/>
      <c r="F48" s="14"/>
    </row>
    <row r="49" spans="2:6">
      <c r="B49" s="147"/>
      <c r="C49" s="7"/>
      <c r="D49" s="8"/>
      <c r="E49" s="8"/>
      <c r="F49" s="14"/>
    </row>
    <row r="50" spans="2:6">
      <c r="B50" s="147"/>
      <c r="C50" s="7"/>
      <c r="D50" s="8"/>
      <c r="E50" s="8"/>
      <c r="F50" s="14"/>
    </row>
    <row r="51" spans="2:6">
      <c r="B51" s="147"/>
      <c r="C51" s="7"/>
      <c r="D51" s="8"/>
      <c r="E51" s="8"/>
      <c r="F51" s="14"/>
    </row>
    <row r="52" spans="2:6">
      <c r="B52" s="147"/>
      <c r="C52" s="7"/>
      <c r="D52" s="8"/>
      <c r="E52" s="8"/>
      <c r="F52" s="14"/>
    </row>
    <row r="53" spans="2:6">
      <c r="B53" s="147"/>
      <c r="C53" s="7"/>
      <c r="D53" s="8"/>
      <c r="E53" s="8"/>
      <c r="F53" s="14"/>
    </row>
  </sheetData>
  <mergeCells count="7">
    <mergeCell ref="B44:B53"/>
    <mergeCell ref="B14:B23"/>
    <mergeCell ref="B24:B33"/>
    <mergeCell ref="B34:B43"/>
    <mergeCell ref="B2:F2"/>
    <mergeCell ref="F9:F10"/>
    <mergeCell ref="B12:F12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21CBD-B364-46D3-AA53-B5CDD5A0A6D2}">
  <sheetPr codeName="Sheet3"/>
  <dimension ref="A1:I46"/>
  <sheetViews>
    <sheetView showGridLines="0" zoomScale="85" zoomScaleNormal="85" workbookViewId="0">
      <selection activeCell="A2" sqref="A2:I46"/>
    </sheetView>
  </sheetViews>
  <sheetFormatPr defaultColWidth="10.88671875" defaultRowHeight="17.25"/>
  <cols>
    <col min="1" max="1" width="17.77734375" style="27" customWidth="1"/>
    <col min="2" max="2" width="16.6640625" style="27" customWidth="1"/>
    <col min="3" max="3" width="10.77734375" style="27" customWidth="1"/>
    <col min="4" max="4" width="35.6640625" style="30" customWidth="1"/>
    <col min="5" max="5" width="16.6640625" style="30" customWidth="1"/>
    <col min="6" max="6" width="10.6640625" style="30" customWidth="1"/>
    <col min="7" max="7" width="13.77734375" style="31" bestFit="1" customWidth="1"/>
    <col min="8" max="8" width="12.5546875" style="30" bestFit="1" customWidth="1"/>
    <col min="9" max="16384" width="10.88671875" style="27"/>
  </cols>
  <sheetData>
    <row r="1" spans="1:9">
      <c r="A1" s="23" t="s">
        <v>29</v>
      </c>
      <c r="B1" s="23" t="s">
        <v>30</v>
      </c>
      <c r="C1" s="24" t="s">
        <v>31</v>
      </c>
      <c r="D1" s="25" t="s">
        <v>32</v>
      </c>
      <c r="E1" s="25" t="s">
        <v>33</v>
      </c>
      <c r="F1" s="25" t="s">
        <v>34</v>
      </c>
      <c r="G1" s="26" t="s">
        <v>35</v>
      </c>
      <c r="H1" s="25" t="s">
        <v>26</v>
      </c>
      <c r="I1" s="24" t="s">
        <v>27</v>
      </c>
    </row>
    <row r="2" spans="1:9" ht="19.149999999999999" customHeight="1">
      <c r="A2" s="23"/>
      <c r="B2" s="23"/>
      <c r="C2" s="24"/>
      <c r="D2" s="24"/>
      <c r="E2" s="153"/>
      <c r="F2" s="153"/>
      <c r="G2" s="28"/>
      <c r="H2" s="29"/>
      <c r="I2" s="24"/>
    </row>
    <row r="3" spans="1:9">
      <c r="A3" s="23"/>
      <c r="B3" s="23"/>
      <c r="C3" s="24"/>
      <c r="D3" s="25"/>
      <c r="E3" s="153"/>
      <c r="F3" s="153"/>
      <c r="G3" s="26"/>
      <c r="H3" s="25"/>
      <c r="I3" s="24"/>
    </row>
    <row r="4" spans="1:9">
      <c r="A4" s="23"/>
      <c r="B4" s="23"/>
      <c r="C4" s="24"/>
      <c r="D4" s="25"/>
      <c r="E4" s="153"/>
      <c r="F4" s="153"/>
      <c r="G4" s="26"/>
      <c r="H4" s="25"/>
      <c r="I4" s="24"/>
    </row>
    <row r="5" spans="1:9">
      <c r="A5" s="23"/>
      <c r="B5" s="23"/>
      <c r="C5" s="24"/>
      <c r="D5" s="25"/>
      <c r="E5" s="153"/>
      <c r="F5" s="153"/>
      <c r="G5" s="26"/>
      <c r="H5" s="25"/>
      <c r="I5" s="24"/>
    </row>
    <row r="6" spans="1:9">
      <c r="A6" s="23"/>
      <c r="B6" s="23"/>
      <c r="C6" s="24"/>
      <c r="D6" s="25"/>
      <c r="E6" s="153"/>
      <c r="F6" s="153"/>
      <c r="G6" s="26"/>
      <c r="H6" s="25"/>
      <c r="I6" s="24"/>
    </row>
    <row r="7" spans="1:9">
      <c r="A7" s="23"/>
      <c r="B7" s="23"/>
      <c r="C7" s="24"/>
      <c r="D7" s="25"/>
      <c r="E7" s="153"/>
      <c r="F7" s="153"/>
      <c r="G7" s="26"/>
      <c r="H7" s="25"/>
      <c r="I7" s="24"/>
    </row>
    <row r="8" spans="1:9">
      <c r="A8" s="23"/>
      <c r="B8" s="23"/>
      <c r="C8" s="24"/>
      <c r="D8" s="25"/>
      <c r="E8" s="153"/>
      <c r="F8" s="153"/>
      <c r="G8" s="26"/>
      <c r="H8" s="25"/>
      <c r="I8" s="24"/>
    </row>
    <row r="9" spans="1:9">
      <c r="A9" s="23"/>
      <c r="B9" s="23"/>
      <c r="C9" s="24"/>
      <c r="D9" s="25"/>
      <c r="E9" s="153"/>
      <c r="F9" s="153"/>
      <c r="G9" s="26"/>
      <c r="H9" s="25"/>
      <c r="I9" s="24"/>
    </row>
    <row r="10" spans="1:9">
      <c r="A10" s="23"/>
      <c r="B10" s="23"/>
      <c r="C10" s="24"/>
      <c r="D10" s="25"/>
      <c r="E10" s="153"/>
      <c r="F10" s="153"/>
      <c r="G10" s="26"/>
      <c r="H10" s="25"/>
      <c r="I10" s="24"/>
    </row>
    <row r="11" spans="1:9">
      <c r="A11" s="23"/>
      <c r="B11" s="23"/>
      <c r="C11" s="24"/>
      <c r="D11" s="25"/>
      <c r="E11" s="153"/>
      <c r="F11" s="153"/>
      <c r="G11" s="26"/>
      <c r="H11" s="25"/>
      <c r="I11" s="24"/>
    </row>
    <row r="12" spans="1:9">
      <c r="A12" s="23"/>
      <c r="B12" s="23"/>
      <c r="C12" s="24"/>
      <c r="D12" s="25"/>
      <c r="E12" s="153"/>
      <c r="F12" s="153"/>
      <c r="G12" s="26"/>
      <c r="H12" s="25"/>
      <c r="I12" s="24"/>
    </row>
    <row r="13" spans="1:9">
      <c r="A13" s="23"/>
      <c r="B13" s="23"/>
      <c r="C13" s="24"/>
      <c r="D13" s="25"/>
      <c r="E13" s="153"/>
      <c r="F13" s="153"/>
      <c r="G13" s="26"/>
      <c r="H13" s="25"/>
      <c r="I13" s="24"/>
    </row>
    <row r="14" spans="1:9">
      <c r="A14" s="23"/>
      <c r="B14" s="23"/>
      <c r="C14" s="24"/>
      <c r="D14" s="25"/>
      <c r="E14" s="152"/>
      <c r="F14" s="152"/>
      <c r="G14" s="26"/>
      <c r="H14" s="25"/>
      <c r="I14" s="24"/>
    </row>
    <row r="15" spans="1:9">
      <c r="A15" s="23"/>
      <c r="B15" s="23"/>
      <c r="C15" s="24"/>
      <c r="D15" s="25"/>
      <c r="E15" s="152"/>
      <c r="F15" s="152"/>
      <c r="G15" s="26"/>
      <c r="H15" s="25"/>
      <c r="I15" s="24"/>
    </row>
    <row r="16" spans="1:9">
      <c r="A16" s="23"/>
      <c r="B16" s="23"/>
      <c r="C16" s="24"/>
      <c r="D16" s="25"/>
      <c r="E16" s="152"/>
      <c r="F16" s="152"/>
      <c r="G16" s="26"/>
      <c r="H16" s="25"/>
      <c r="I16" s="24"/>
    </row>
    <row r="17" spans="1:9">
      <c r="A17" s="23"/>
      <c r="B17" s="23"/>
      <c r="C17" s="24"/>
      <c r="D17" s="25"/>
      <c r="E17" s="152"/>
      <c r="F17" s="152"/>
      <c r="G17" s="26"/>
      <c r="H17" s="25"/>
      <c r="I17" s="24"/>
    </row>
    <row r="18" spans="1:9">
      <c r="A18" s="23"/>
      <c r="B18" s="23"/>
      <c r="C18" s="24"/>
      <c r="D18" s="25"/>
      <c r="E18" s="152"/>
      <c r="F18" s="152"/>
      <c r="G18" s="26"/>
      <c r="H18" s="25"/>
      <c r="I18" s="24"/>
    </row>
    <row r="19" spans="1:9">
      <c r="A19" s="23"/>
      <c r="B19" s="23"/>
      <c r="C19" s="24"/>
      <c r="D19" s="25"/>
      <c r="E19" s="152"/>
      <c r="F19" s="152"/>
      <c r="G19" s="26"/>
      <c r="H19" s="25"/>
      <c r="I19" s="24"/>
    </row>
    <row r="20" spans="1:9">
      <c r="A20" s="23"/>
      <c r="B20" s="23"/>
      <c r="C20" s="24"/>
      <c r="D20" s="25"/>
      <c r="E20" s="152"/>
      <c r="F20" s="152"/>
      <c r="G20" s="26"/>
      <c r="H20" s="25"/>
      <c r="I20" s="24"/>
    </row>
    <row r="21" spans="1:9">
      <c r="A21" s="23"/>
      <c r="B21" s="23"/>
      <c r="C21" s="24"/>
      <c r="D21" s="25"/>
      <c r="E21" s="152"/>
      <c r="F21" s="152"/>
      <c r="G21" s="26"/>
      <c r="H21" s="25"/>
      <c r="I21" s="24"/>
    </row>
    <row r="22" spans="1:9">
      <c r="A22" s="23"/>
      <c r="B22" s="23"/>
      <c r="C22" s="24"/>
      <c r="D22" s="25"/>
      <c r="E22" s="152"/>
      <c r="F22" s="152"/>
      <c r="G22" s="26"/>
      <c r="H22" s="25"/>
      <c r="I22" s="24"/>
    </row>
    <row r="23" spans="1:9">
      <c r="A23" s="23"/>
      <c r="B23" s="23"/>
      <c r="C23" s="24"/>
      <c r="D23" s="25"/>
      <c r="E23" s="152"/>
      <c r="F23" s="152"/>
      <c r="G23" s="26"/>
      <c r="H23" s="25"/>
      <c r="I23" s="24"/>
    </row>
    <row r="24" spans="1:9">
      <c r="A24" s="23"/>
      <c r="B24" s="23"/>
      <c r="C24" s="24"/>
      <c r="D24" s="25"/>
      <c r="E24" s="152"/>
      <c r="F24" s="152"/>
      <c r="G24" s="26"/>
      <c r="H24" s="25"/>
      <c r="I24" s="24"/>
    </row>
    <row r="25" spans="1:9">
      <c r="A25" s="23"/>
      <c r="B25" s="23"/>
      <c r="C25" s="24"/>
      <c r="D25" s="25"/>
      <c r="E25" s="152"/>
      <c r="F25" s="152"/>
      <c r="G25" s="26"/>
      <c r="H25" s="25"/>
      <c r="I25" s="24"/>
    </row>
    <row r="26" spans="1:9">
      <c r="A26" s="23"/>
      <c r="B26" s="23"/>
      <c r="C26" s="24"/>
      <c r="D26" s="25"/>
      <c r="E26" s="152"/>
      <c r="F26" s="152"/>
      <c r="G26" s="26"/>
      <c r="H26" s="25"/>
      <c r="I26" s="24"/>
    </row>
    <row r="27" spans="1:9">
      <c r="A27" s="23"/>
      <c r="B27" s="23"/>
      <c r="C27" s="24"/>
      <c r="D27" s="25"/>
      <c r="E27" s="152"/>
      <c r="F27" s="152"/>
      <c r="G27" s="26"/>
      <c r="H27" s="25"/>
      <c r="I27" s="24"/>
    </row>
    <row r="28" spans="1:9">
      <c r="A28" s="23"/>
      <c r="B28" s="23"/>
      <c r="C28" s="24"/>
      <c r="D28" s="25"/>
      <c r="E28" s="152"/>
      <c r="F28" s="152"/>
      <c r="G28" s="26"/>
      <c r="H28" s="25"/>
      <c r="I28" s="24"/>
    </row>
    <row r="29" spans="1:9">
      <c r="A29" s="23"/>
      <c r="B29" s="23"/>
      <c r="C29" s="24"/>
      <c r="D29" s="25"/>
      <c r="E29" s="152"/>
      <c r="F29" s="152"/>
      <c r="G29" s="26"/>
      <c r="H29" s="25"/>
      <c r="I29" s="24"/>
    </row>
    <row r="30" spans="1:9">
      <c r="A30" s="23"/>
      <c r="B30" s="23"/>
      <c r="C30" s="24"/>
      <c r="D30" s="25"/>
      <c r="E30" s="152"/>
      <c r="F30" s="152"/>
      <c r="G30" s="26"/>
      <c r="H30" s="25"/>
      <c r="I30" s="24"/>
    </row>
    <row r="31" spans="1:9">
      <c r="A31" s="23"/>
      <c r="B31" s="23"/>
      <c r="C31" s="24"/>
      <c r="D31" s="25"/>
      <c r="E31" s="152"/>
      <c r="F31" s="152"/>
      <c r="G31" s="26"/>
      <c r="H31" s="25"/>
      <c r="I31" s="24"/>
    </row>
    <row r="32" spans="1:9">
      <c r="A32" s="23"/>
      <c r="B32" s="23"/>
      <c r="C32" s="24"/>
      <c r="D32" s="25"/>
      <c r="E32" s="152"/>
      <c r="F32" s="152"/>
      <c r="G32" s="26"/>
      <c r="H32" s="25"/>
      <c r="I32" s="24"/>
    </row>
    <row r="33" spans="1:9">
      <c r="A33" s="23"/>
      <c r="B33" s="23"/>
      <c r="C33" s="24"/>
      <c r="D33" s="25"/>
      <c r="E33" s="152"/>
      <c r="F33" s="152"/>
      <c r="G33" s="26"/>
      <c r="H33" s="25"/>
      <c r="I33" s="24"/>
    </row>
    <row r="34" spans="1:9">
      <c r="A34" s="23"/>
      <c r="B34" s="23"/>
      <c r="C34" s="24"/>
      <c r="D34" s="25"/>
      <c r="E34" s="152"/>
      <c r="F34" s="152"/>
      <c r="G34" s="26"/>
      <c r="H34" s="25"/>
      <c r="I34" s="24"/>
    </row>
    <row r="35" spans="1:9">
      <c r="A35" s="23"/>
      <c r="B35" s="23"/>
      <c r="C35" s="24"/>
      <c r="D35" s="25"/>
      <c r="E35" s="152"/>
      <c r="F35" s="152"/>
      <c r="G35" s="26"/>
      <c r="H35" s="25"/>
      <c r="I35" s="24"/>
    </row>
    <row r="36" spans="1:9">
      <c r="A36" s="23"/>
      <c r="B36" s="23"/>
      <c r="C36" s="24"/>
      <c r="D36" s="25"/>
      <c r="E36" s="152"/>
      <c r="F36" s="152"/>
      <c r="G36" s="26"/>
      <c r="H36" s="25"/>
      <c r="I36" s="24"/>
    </row>
    <row r="37" spans="1:9">
      <c r="A37" s="23"/>
      <c r="B37" s="23"/>
      <c r="C37" s="24"/>
      <c r="D37" s="25"/>
      <c r="E37" s="152"/>
      <c r="F37" s="152"/>
      <c r="G37" s="26"/>
      <c r="H37" s="25"/>
      <c r="I37" s="24"/>
    </row>
    <row r="38" spans="1:9">
      <c r="A38" s="23"/>
      <c r="B38" s="23"/>
      <c r="C38" s="24"/>
      <c r="D38" s="25"/>
      <c r="E38" s="152"/>
      <c r="F38" s="152"/>
      <c r="G38" s="26"/>
      <c r="H38" s="25"/>
      <c r="I38" s="24"/>
    </row>
    <row r="39" spans="1:9">
      <c r="A39" s="23"/>
      <c r="B39" s="23"/>
      <c r="C39" s="24"/>
      <c r="D39" s="25"/>
      <c r="E39" s="152"/>
      <c r="F39" s="152"/>
      <c r="G39" s="26"/>
      <c r="H39" s="25"/>
      <c r="I39" s="24"/>
    </row>
    <row r="40" spans="1:9">
      <c r="A40" s="23"/>
      <c r="B40" s="23"/>
      <c r="C40" s="24"/>
      <c r="D40" s="25"/>
      <c r="E40" s="152"/>
      <c r="F40" s="152"/>
      <c r="G40" s="26"/>
      <c r="H40" s="25"/>
      <c r="I40" s="24"/>
    </row>
    <row r="41" spans="1:9">
      <c r="A41" s="23"/>
      <c r="B41" s="23"/>
      <c r="C41" s="24"/>
      <c r="D41" s="25"/>
      <c r="E41" s="152"/>
      <c r="F41" s="152"/>
      <c r="G41" s="26"/>
      <c r="H41" s="25"/>
      <c r="I41" s="24"/>
    </row>
    <row r="42" spans="1:9">
      <c r="A42" s="23"/>
      <c r="B42" s="23"/>
      <c r="C42" s="24"/>
      <c r="D42" s="25"/>
      <c r="E42" s="152"/>
      <c r="F42" s="152"/>
      <c r="G42" s="26"/>
      <c r="H42" s="25"/>
      <c r="I42" s="24"/>
    </row>
    <row r="43" spans="1:9">
      <c r="A43" s="23"/>
      <c r="B43" s="23"/>
      <c r="C43" s="24"/>
      <c r="D43" s="25"/>
      <c r="E43" s="152"/>
      <c r="F43" s="152"/>
      <c r="G43" s="26"/>
      <c r="H43" s="25"/>
      <c r="I43" s="24"/>
    </row>
    <row r="44" spans="1:9">
      <c r="A44" s="23"/>
      <c r="B44" s="23"/>
      <c r="C44" s="24"/>
      <c r="D44" s="25"/>
      <c r="E44" s="152"/>
      <c r="F44" s="152"/>
      <c r="G44" s="26"/>
      <c r="H44" s="25"/>
      <c r="I44" s="24"/>
    </row>
    <row r="45" spans="1:9">
      <c r="A45" s="23"/>
      <c r="B45" s="23"/>
      <c r="C45" s="24"/>
      <c r="D45" s="25"/>
      <c r="E45" s="152"/>
      <c r="F45" s="152"/>
      <c r="G45" s="26"/>
      <c r="H45" s="25"/>
      <c r="I45" s="24"/>
    </row>
    <row r="46" spans="1:9">
      <c r="A46" s="23"/>
      <c r="B46" s="23"/>
      <c r="C46" s="24"/>
      <c r="D46" s="25"/>
      <c r="E46" s="152"/>
      <c r="F46" s="152"/>
      <c r="G46" s="26"/>
      <c r="H46" s="25"/>
      <c r="I46" s="24"/>
    </row>
  </sheetData>
  <mergeCells count="8">
    <mergeCell ref="E26:E37"/>
    <mergeCell ref="F26:F37"/>
    <mergeCell ref="E38:E46"/>
    <mergeCell ref="F38:F46"/>
    <mergeCell ref="E2:E13"/>
    <mergeCell ref="F2:F13"/>
    <mergeCell ref="E14:E25"/>
    <mergeCell ref="F14:F25"/>
  </mergeCells>
  <phoneticPr fontId="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F1051-20AC-4856-9BCD-B2B7C9BC9D6F}">
  <sheetPr codeName="Sheet1"/>
  <dimension ref="A1:W82"/>
  <sheetViews>
    <sheetView zoomScale="85" zoomScaleNormal="85" workbookViewId="0">
      <selection activeCell="J12" sqref="J12"/>
    </sheetView>
  </sheetViews>
  <sheetFormatPr defaultColWidth="12.44140625" defaultRowHeight="12.75"/>
  <cols>
    <col min="1" max="1" width="0.77734375" style="33" customWidth="1"/>
    <col min="2" max="2" width="9" style="33" customWidth="1"/>
    <col min="3" max="3" width="12.21875" style="33" bestFit="1" customWidth="1"/>
    <col min="4" max="18" width="9" style="33" customWidth="1"/>
    <col min="19" max="19" width="36" style="33" customWidth="1"/>
    <col min="20" max="16384" width="12.44140625" style="33"/>
  </cols>
  <sheetData>
    <row r="1" spans="1:19" ht="20.25">
      <c r="A1" s="155" t="s">
        <v>37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</row>
    <row r="2" spans="1:19" ht="10.15" customHeight="1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</row>
    <row r="3" spans="1:19" s="36" customFormat="1" ht="15" customHeight="1">
      <c r="A3" s="34"/>
      <c r="B3" s="156" t="s">
        <v>38</v>
      </c>
      <c r="C3" s="156"/>
      <c r="D3" s="156"/>
      <c r="E3" s="156"/>
      <c r="F3" s="156"/>
      <c r="G3" s="156"/>
      <c r="H3" s="157" t="s">
        <v>39</v>
      </c>
      <c r="I3" s="157"/>
      <c r="J3" s="157"/>
      <c r="K3" s="157"/>
      <c r="L3" s="157"/>
      <c r="M3" s="157"/>
      <c r="N3" s="158" t="s">
        <v>40</v>
      </c>
      <c r="O3" s="157"/>
      <c r="P3" s="157"/>
      <c r="Q3" s="157"/>
      <c r="R3" s="159"/>
      <c r="S3" s="160" t="s">
        <v>41</v>
      </c>
    </row>
    <row r="4" spans="1:19" ht="15" customHeight="1">
      <c r="A4" s="37"/>
      <c r="B4" s="160" t="s">
        <v>42</v>
      </c>
      <c r="C4" s="160" t="s">
        <v>43</v>
      </c>
      <c r="D4" s="161" t="s">
        <v>44</v>
      </c>
      <c r="E4" s="162" t="s">
        <v>45</v>
      </c>
      <c r="F4" s="162" t="s">
        <v>46</v>
      </c>
      <c r="G4" s="163" t="s">
        <v>47</v>
      </c>
      <c r="H4" s="164" t="s">
        <v>48</v>
      </c>
      <c r="I4" s="164"/>
      <c r="J4" s="164"/>
      <c r="K4" s="165" t="s">
        <v>49</v>
      </c>
      <c r="L4" s="164"/>
      <c r="M4" s="164"/>
      <c r="N4" s="166" t="s">
        <v>50</v>
      </c>
      <c r="O4" s="38" t="s">
        <v>51</v>
      </c>
      <c r="P4" s="39"/>
      <c r="Q4" s="40" t="s">
        <v>52</v>
      </c>
      <c r="R4" s="39"/>
      <c r="S4" s="160"/>
    </row>
    <row r="5" spans="1:19" ht="18" customHeight="1">
      <c r="A5" s="41"/>
      <c r="B5" s="160"/>
      <c r="C5" s="160"/>
      <c r="D5" s="161"/>
      <c r="E5" s="162"/>
      <c r="F5" s="162"/>
      <c r="G5" s="163"/>
      <c r="H5" s="42"/>
      <c r="I5" s="35"/>
      <c r="J5" s="35"/>
      <c r="K5" s="35">
        <v>1</v>
      </c>
      <c r="L5" s="35">
        <v>2</v>
      </c>
      <c r="M5" s="35">
        <v>3</v>
      </c>
      <c r="N5" s="167"/>
      <c r="O5" s="35" t="s">
        <v>53</v>
      </c>
      <c r="P5" s="39" t="s">
        <v>54</v>
      </c>
      <c r="Q5" s="35" t="s">
        <v>55</v>
      </c>
      <c r="R5" s="39" t="s">
        <v>56</v>
      </c>
      <c r="S5" s="160"/>
    </row>
    <row r="6" spans="1:19" ht="18" customHeight="1">
      <c r="A6" s="43"/>
      <c r="B6" s="44" t="s">
        <v>57</v>
      </c>
      <c r="C6" s="44" t="s">
        <v>58</v>
      </c>
      <c r="D6" s="45"/>
      <c r="E6" s="45">
        <v>7.0000000000000007E-2</v>
      </c>
      <c r="F6" s="45"/>
      <c r="G6" s="46" t="s">
        <v>59</v>
      </c>
      <c r="H6" s="47"/>
      <c r="I6" s="48"/>
      <c r="J6" s="48"/>
      <c r="K6" s="49" t="str">
        <f t="shared" ref="K6:M37" si="0">IF(ISERR(H6/H6)=TRUE," ",H6-$D6)</f>
        <v xml:space="preserve"> </v>
      </c>
      <c r="L6" s="49" t="str">
        <f t="shared" si="0"/>
        <v xml:space="preserve"> </v>
      </c>
      <c r="M6" s="49" t="str">
        <f t="shared" si="0"/>
        <v xml:space="preserve"> </v>
      </c>
      <c r="N6" s="50" t="str">
        <f t="shared" ref="N6:N69" si="1">IF(ISERR(H6/H6)=TRUE," ",AVERAGE(H6:J6))</f>
        <v xml:space="preserve"> </v>
      </c>
      <c r="O6" s="51" t="str">
        <f t="shared" ref="O6:O69" si="2">IF(ISERR(E6/E6)=TRUE," ",IF(ISERR(H6/H6)=TRUE," ",IF(ISNUMBER($H6)=FALSE," ",IF(MAX($H6:$J6)&lt;$D6,0,(MAX($H6:$J6)-$D6)/$E6))))</f>
        <v xml:space="preserve"> </v>
      </c>
      <c r="P6" s="52" t="str">
        <f t="shared" ref="P6:P69" si="3">IF(ISERR(F6/D6)=TRUE," ",IF(ISERR(F6/F6)=TRUE," ",IF(ISERR(H6/H6)=TRUE," ",IF(ISNUMBER(H6)=FALSE," ",IF(MIN(H6:J6)&gt;$D6,0,($D6-MIN(H6:J6))/-F6)))))</f>
        <v xml:space="preserve"> </v>
      </c>
      <c r="Q6" s="50" t="str">
        <f t="shared" ref="Q6:Q69" si="4">IF(ISNUMBER($O6)=TRUE,IF($O6&gt;0.651,IF($O6&gt;1.001,"Reject","Alert"),""),"")</f>
        <v/>
      </c>
      <c r="R6" s="50" t="str">
        <f t="shared" ref="R6:R69" si="5">IF(H6="","",IF(ISERR(F6/F6)=TRUE,"",IF(ISERR(F6/D6)=TRUE,IF((F6-MIN(H6:J6))&gt;0.001,"Reject",""),IF(ISNUMBER($P6)=TRUE,IF($P6&gt;0.651,IF($P6&gt;1.001,"Reject","Alert"),""),""))))</f>
        <v/>
      </c>
      <c r="S6" s="53"/>
    </row>
    <row r="7" spans="1:19" ht="18" customHeight="1">
      <c r="A7" s="43"/>
      <c r="B7" s="44" t="s">
        <v>60</v>
      </c>
      <c r="C7" s="54" t="s">
        <v>61</v>
      </c>
      <c r="D7" s="45">
        <v>2.0150000000000001</v>
      </c>
      <c r="E7" s="45">
        <v>0.04</v>
      </c>
      <c r="F7" s="45">
        <v>-0.02</v>
      </c>
      <c r="G7" s="46" t="s">
        <v>59</v>
      </c>
      <c r="H7" s="47"/>
      <c r="I7" s="48"/>
      <c r="J7" s="48"/>
      <c r="K7" s="49" t="str">
        <f t="shared" si="0"/>
        <v xml:space="preserve"> </v>
      </c>
      <c r="L7" s="49" t="str">
        <f t="shared" si="0"/>
        <v xml:space="preserve"> </v>
      </c>
      <c r="M7" s="49" t="str">
        <f t="shared" si="0"/>
        <v xml:space="preserve"> </v>
      </c>
      <c r="N7" s="50" t="str">
        <f t="shared" si="1"/>
        <v xml:space="preserve"> </v>
      </c>
      <c r="O7" s="51" t="str">
        <f t="shared" si="2"/>
        <v xml:space="preserve"> </v>
      </c>
      <c r="P7" s="52" t="str">
        <f t="shared" si="3"/>
        <v xml:space="preserve"> </v>
      </c>
      <c r="Q7" s="50" t="str">
        <f t="shared" si="4"/>
        <v/>
      </c>
      <c r="R7" s="50" t="str">
        <f t="shared" si="5"/>
        <v/>
      </c>
      <c r="S7" s="53"/>
    </row>
    <row r="8" spans="1:19" ht="18" customHeight="1">
      <c r="A8" s="43"/>
      <c r="B8" s="44" t="s">
        <v>62</v>
      </c>
      <c r="C8" s="46" t="s">
        <v>61</v>
      </c>
      <c r="D8" s="45">
        <v>2.0150000000000001</v>
      </c>
      <c r="E8" s="45">
        <v>0.04</v>
      </c>
      <c r="F8" s="45">
        <v>-0.02</v>
      </c>
      <c r="G8" s="46" t="s">
        <v>59</v>
      </c>
      <c r="H8" s="47"/>
      <c r="I8" s="48"/>
      <c r="J8" s="48"/>
      <c r="K8" s="49" t="str">
        <f t="shared" si="0"/>
        <v xml:space="preserve"> </v>
      </c>
      <c r="L8" s="49" t="str">
        <f t="shared" si="0"/>
        <v xml:space="preserve"> </v>
      </c>
      <c r="M8" s="49" t="str">
        <f t="shared" si="0"/>
        <v xml:space="preserve"> </v>
      </c>
      <c r="N8" s="50" t="str">
        <f t="shared" si="1"/>
        <v xml:space="preserve"> </v>
      </c>
      <c r="O8" s="51" t="str">
        <f t="shared" si="2"/>
        <v xml:space="preserve"> </v>
      </c>
      <c r="P8" s="52" t="str">
        <f t="shared" si="3"/>
        <v xml:space="preserve"> </v>
      </c>
      <c r="Q8" s="50" t="str">
        <f t="shared" si="4"/>
        <v/>
      </c>
      <c r="R8" s="50" t="str">
        <f t="shared" si="5"/>
        <v/>
      </c>
      <c r="S8" s="53"/>
    </row>
    <row r="9" spans="1:19" ht="18" customHeight="1">
      <c r="A9" s="43"/>
      <c r="B9" s="44" t="s">
        <v>63</v>
      </c>
      <c r="C9" s="46" t="s">
        <v>61</v>
      </c>
      <c r="D9" s="45">
        <v>2.0150000000000001</v>
      </c>
      <c r="E9" s="45">
        <v>0.04</v>
      </c>
      <c r="F9" s="45">
        <v>-0.02</v>
      </c>
      <c r="G9" s="46" t="s">
        <v>59</v>
      </c>
      <c r="H9" s="47"/>
      <c r="I9" s="48"/>
      <c r="J9" s="48"/>
      <c r="K9" s="49" t="str">
        <f t="shared" si="0"/>
        <v xml:space="preserve"> </v>
      </c>
      <c r="L9" s="49" t="str">
        <f t="shared" si="0"/>
        <v xml:space="preserve"> </v>
      </c>
      <c r="M9" s="49" t="str">
        <f t="shared" si="0"/>
        <v xml:space="preserve"> </v>
      </c>
      <c r="N9" s="50" t="str">
        <f t="shared" si="1"/>
        <v xml:space="preserve"> </v>
      </c>
      <c r="O9" s="51" t="str">
        <f t="shared" si="2"/>
        <v xml:space="preserve"> </v>
      </c>
      <c r="P9" s="52" t="str">
        <f t="shared" si="3"/>
        <v xml:space="preserve"> </v>
      </c>
      <c r="Q9" s="50" t="str">
        <f t="shared" si="4"/>
        <v/>
      </c>
      <c r="R9" s="50" t="str">
        <f t="shared" si="5"/>
        <v/>
      </c>
      <c r="S9" s="53"/>
    </row>
    <row r="10" spans="1:19" ht="18" customHeight="1">
      <c r="A10" s="43"/>
      <c r="B10" s="44" t="s">
        <v>64</v>
      </c>
      <c r="C10" s="46" t="s">
        <v>61</v>
      </c>
      <c r="D10" s="45">
        <v>2.0150000000000001</v>
      </c>
      <c r="E10" s="45">
        <v>0.04</v>
      </c>
      <c r="F10" s="45">
        <v>-0.02</v>
      </c>
      <c r="G10" s="46" t="s">
        <v>59</v>
      </c>
      <c r="H10" s="47"/>
      <c r="I10" s="48"/>
      <c r="J10" s="48"/>
      <c r="K10" s="49" t="str">
        <f t="shared" si="0"/>
        <v xml:space="preserve"> </v>
      </c>
      <c r="L10" s="49" t="str">
        <f t="shared" si="0"/>
        <v xml:space="preserve"> </v>
      </c>
      <c r="M10" s="49" t="str">
        <f t="shared" si="0"/>
        <v xml:space="preserve"> </v>
      </c>
      <c r="N10" s="50" t="str">
        <f t="shared" si="1"/>
        <v xml:space="preserve"> </v>
      </c>
      <c r="O10" s="51" t="str">
        <f t="shared" si="2"/>
        <v xml:space="preserve"> </v>
      </c>
      <c r="P10" s="52" t="str">
        <f t="shared" si="3"/>
        <v xml:space="preserve"> </v>
      </c>
      <c r="Q10" s="50" t="str">
        <f t="shared" si="4"/>
        <v/>
      </c>
      <c r="R10" s="50" t="str">
        <f t="shared" si="5"/>
        <v/>
      </c>
      <c r="S10" s="53"/>
    </row>
    <row r="11" spans="1:19" ht="18" customHeight="1">
      <c r="A11" s="43"/>
      <c r="B11" s="44" t="s">
        <v>65</v>
      </c>
      <c r="C11" s="46" t="s">
        <v>66</v>
      </c>
      <c r="D11" s="45">
        <v>0.3</v>
      </c>
      <c r="E11" s="45">
        <v>0.03</v>
      </c>
      <c r="F11" s="45">
        <v>-0.03</v>
      </c>
      <c r="G11" s="46" t="s">
        <v>59</v>
      </c>
      <c r="H11" s="47"/>
      <c r="I11" s="48"/>
      <c r="J11" s="48"/>
      <c r="K11" s="49" t="str">
        <f t="shared" si="0"/>
        <v xml:space="preserve"> </v>
      </c>
      <c r="L11" s="49" t="str">
        <f t="shared" si="0"/>
        <v xml:space="preserve"> </v>
      </c>
      <c r="M11" s="49" t="str">
        <f t="shared" si="0"/>
        <v xml:space="preserve"> </v>
      </c>
      <c r="N11" s="50" t="str">
        <f t="shared" si="1"/>
        <v xml:space="preserve"> </v>
      </c>
      <c r="O11" s="51" t="str">
        <f t="shared" si="2"/>
        <v xml:space="preserve"> </v>
      </c>
      <c r="P11" s="52" t="str">
        <f t="shared" si="3"/>
        <v xml:space="preserve"> </v>
      </c>
      <c r="Q11" s="50" t="str">
        <f t="shared" si="4"/>
        <v/>
      </c>
      <c r="R11" s="50" t="str">
        <f t="shared" si="5"/>
        <v/>
      </c>
      <c r="S11" s="53"/>
    </row>
    <row r="12" spans="1:19" ht="18" customHeight="1">
      <c r="A12" s="43"/>
      <c r="B12" s="44" t="s">
        <v>67</v>
      </c>
      <c r="C12" s="46" t="s">
        <v>66</v>
      </c>
      <c r="D12" s="45">
        <v>0.3</v>
      </c>
      <c r="E12" s="45">
        <v>0.03</v>
      </c>
      <c r="F12" s="45">
        <v>-0.03</v>
      </c>
      <c r="G12" s="46" t="s">
        <v>59</v>
      </c>
      <c r="H12" s="47"/>
      <c r="I12" s="48"/>
      <c r="J12" s="48"/>
      <c r="K12" s="49" t="str">
        <f t="shared" si="0"/>
        <v xml:space="preserve"> </v>
      </c>
      <c r="L12" s="49" t="str">
        <f t="shared" si="0"/>
        <v xml:space="preserve"> </v>
      </c>
      <c r="M12" s="49" t="str">
        <f t="shared" si="0"/>
        <v xml:space="preserve"> </v>
      </c>
      <c r="N12" s="50" t="str">
        <f t="shared" si="1"/>
        <v xml:space="preserve"> </v>
      </c>
      <c r="O12" s="51" t="str">
        <f t="shared" si="2"/>
        <v xml:space="preserve"> </v>
      </c>
      <c r="P12" s="52" t="str">
        <f t="shared" si="3"/>
        <v xml:space="preserve"> </v>
      </c>
      <c r="Q12" s="50" t="str">
        <f t="shared" si="4"/>
        <v/>
      </c>
      <c r="R12" s="50" t="str">
        <f t="shared" si="5"/>
        <v/>
      </c>
      <c r="S12" s="53"/>
    </row>
    <row r="13" spans="1:19" ht="18" customHeight="1">
      <c r="A13" s="43"/>
      <c r="B13" s="44" t="s">
        <v>68</v>
      </c>
      <c r="C13" s="54" t="s">
        <v>66</v>
      </c>
      <c r="D13" s="45">
        <v>0.3</v>
      </c>
      <c r="E13" s="45">
        <v>0.03</v>
      </c>
      <c r="F13" s="45">
        <v>-0.03</v>
      </c>
      <c r="G13" s="46" t="s">
        <v>59</v>
      </c>
      <c r="H13" s="47"/>
      <c r="I13" s="48"/>
      <c r="J13" s="48"/>
      <c r="K13" s="49" t="str">
        <f t="shared" si="0"/>
        <v xml:space="preserve"> </v>
      </c>
      <c r="L13" s="49" t="str">
        <f t="shared" si="0"/>
        <v xml:space="preserve"> </v>
      </c>
      <c r="M13" s="49" t="str">
        <f t="shared" si="0"/>
        <v xml:space="preserve"> </v>
      </c>
      <c r="N13" s="50" t="str">
        <f t="shared" si="1"/>
        <v xml:space="preserve"> </v>
      </c>
      <c r="O13" s="51" t="str">
        <f t="shared" si="2"/>
        <v xml:space="preserve"> </v>
      </c>
      <c r="P13" s="52" t="str">
        <f t="shared" si="3"/>
        <v xml:space="preserve"> </v>
      </c>
      <c r="Q13" s="50" t="str">
        <f t="shared" si="4"/>
        <v/>
      </c>
      <c r="R13" s="50" t="str">
        <f t="shared" si="5"/>
        <v/>
      </c>
      <c r="S13" s="53"/>
    </row>
    <row r="14" spans="1:19" ht="18" customHeight="1">
      <c r="A14" s="43"/>
      <c r="B14" s="44" t="s">
        <v>69</v>
      </c>
      <c r="C14" s="46" t="s">
        <v>66</v>
      </c>
      <c r="D14" s="45">
        <v>0.3</v>
      </c>
      <c r="E14" s="45">
        <v>0.03</v>
      </c>
      <c r="F14" s="45">
        <v>-0.03</v>
      </c>
      <c r="G14" s="46" t="s">
        <v>59</v>
      </c>
      <c r="H14" s="47"/>
      <c r="I14" s="48"/>
      <c r="J14" s="48"/>
      <c r="K14" s="49" t="str">
        <f t="shared" si="0"/>
        <v xml:space="preserve"> </v>
      </c>
      <c r="L14" s="49" t="str">
        <f t="shared" si="0"/>
        <v xml:space="preserve"> </v>
      </c>
      <c r="M14" s="49" t="str">
        <f t="shared" si="0"/>
        <v xml:space="preserve"> </v>
      </c>
      <c r="N14" s="50" t="str">
        <f t="shared" si="1"/>
        <v xml:space="preserve"> </v>
      </c>
      <c r="O14" s="51" t="str">
        <f t="shared" si="2"/>
        <v xml:space="preserve"> </v>
      </c>
      <c r="P14" s="52" t="str">
        <f t="shared" si="3"/>
        <v xml:space="preserve"> </v>
      </c>
      <c r="Q14" s="50" t="str">
        <f t="shared" si="4"/>
        <v/>
      </c>
      <c r="R14" s="50" t="str">
        <f t="shared" si="5"/>
        <v/>
      </c>
      <c r="S14" s="53"/>
    </row>
    <row r="15" spans="1:19" ht="18" customHeight="1">
      <c r="A15" s="43"/>
      <c r="B15" s="44" t="s">
        <v>70</v>
      </c>
      <c r="C15" s="46" t="s">
        <v>66</v>
      </c>
      <c r="D15" s="45">
        <v>0.1</v>
      </c>
      <c r="E15" s="45">
        <v>0.01</v>
      </c>
      <c r="F15" s="45">
        <v>-0.04</v>
      </c>
      <c r="G15" s="46" t="s">
        <v>59</v>
      </c>
      <c r="H15" s="47"/>
      <c r="I15" s="48"/>
      <c r="J15" s="48"/>
      <c r="K15" s="49" t="str">
        <f t="shared" si="0"/>
        <v xml:space="preserve"> </v>
      </c>
      <c r="L15" s="49" t="str">
        <f t="shared" si="0"/>
        <v xml:space="preserve"> </v>
      </c>
      <c r="M15" s="49" t="str">
        <f t="shared" si="0"/>
        <v xml:space="preserve"> </v>
      </c>
      <c r="N15" s="50" t="str">
        <f t="shared" si="1"/>
        <v xml:space="preserve"> </v>
      </c>
      <c r="O15" s="51" t="str">
        <f t="shared" si="2"/>
        <v xml:space="preserve"> </v>
      </c>
      <c r="P15" s="52" t="str">
        <f t="shared" si="3"/>
        <v xml:space="preserve"> </v>
      </c>
      <c r="Q15" s="50" t="str">
        <f t="shared" si="4"/>
        <v/>
      </c>
      <c r="R15" s="50" t="str">
        <f t="shared" si="5"/>
        <v/>
      </c>
      <c r="S15" s="53"/>
    </row>
    <row r="16" spans="1:19" ht="18" customHeight="1">
      <c r="A16" s="43"/>
      <c r="B16" s="44" t="s">
        <v>71</v>
      </c>
      <c r="C16" s="46" t="s">
        <v>66</v>
      </c>
      <c r="D16" s="45">
        <v>0.1</v>
      </c>
      <c r="E16" s="45">
        <v>0.01</v>
      </c>
      <c r="F16" s="45">
        <v>-0.04</v>
      </c>
      <c r="G16" s="46" t="s">
        <v>59</v>
      </c>
      <c r="H16" s="47"/>
      <c r="I16" s="48"/>
      <c r="J16" s="48"/>
      <c r="K16" s="49" t="str">
        <f t="shared" si="0"/>
        <v xml:space="preserve"> </v>
      </c>
      <c r="L16" s="49" t="str">
        <f t="shared" si="0"/>
        <v xml:space="preserve"> </v>
      </c>
      <c r="M16" s="49" t="str">
        <f t="shared" si="0"/>
        <v xml:space="preserve"> </v>
      </c>
      <c r="N16" s="50" t="str">
        <f t="shared" si="1"/>
        <v xml:space="preserve"> </v>
      </c>
      <c r="O16" s="51" t="str">
        <f t="shared" si="2"/>
        <v xml:space="preserve"> </v>
      </c>
      <c r="P16" s="52" t="str">
        <f t="shared" si="3"/>
        <v xml:space="preserve"> </v>
      </c>
      <c r="Q16" s="50" t="str">
        <f t="shared" si="4"/>
        <v/>
      </c>
      <c r="R16" s="50" t="str">
        <f t="shared" si="5"/>
        <v/>
      </c>
      <c r="S16" s="53"/>
    </row>
    <row r="17" spans="1:19" ht="18" customHeight="1">
      <c r="A17" s="43"/>
      <c r="B17" s="44" t="s">
        <v>72</v>
      </c>
      <c r="C17" s="46" t="s">
        <v>66</v>
      </c>
      <c r="D17" s="45">
        <v>0.1</v>
      </c>
      <c r="E17" s="45">
        <v>0.01</v>
      </c>
      <c r="F17" s="45">
        <v>-0.04</v>
      </c>
      <c r="G17" s="46" t="s">
        <v>59</v>
      </c>
      <c r="H17" s="47"/>
      <c r="I17" s="48"/>
      <c r="J17" s="48"/>
      <c r="K17" s="49" t="str">
        <f t="shared" si="0"/>
        <v xml:space="preserve"> </v>
      </c>
      <c r="L17" s="49" t="str">
        <f t="shared" si="0"/>
        <v xml:space="preserve"> </v>
      </c>
      <c r="M17" s="49" t="str">
        <f t="shared" si="0"/>
        <v xml:space="preserve"> </v>
      </c>
      <c r="N17" s="50" t="str">
        <f t="shared" si="1"/>
        <v xml:space="preserve"> </v>
      </c>
      <c r="O17" s="51" t="str">
        <f t="shared" si="2"/>
        <v xml:space="preserve"> </v>
      </c>
      <c r="P17" s="52" t="str">
        <f t="shared" si="3"/>
        <v xml:space="preserve"> </v>
      </c>
      <c r="Q17" s="50" t="str">
        <f t="shared" si="4"/>
        <v/>
      </c>
      <c r="R17" s="50" t="str">
        <f t="shared" si="5"/>
        <v/>
      </c>
      <c r="S17" s="53"/>
    </row>
    <row r="18" spans="1:19" ht="18" customHeight="1">
      <c r="A18" s="43"/>
      <c r="B18" s="44" t="s">
        <v>73</v>
      </c>
      <c r="C18" s="46" t="s">
        <v>66</v>
      </c>
      <c r="D18" s="45">
        <v>0.1</v>
      </c>
      <c r="E18" s="45">
        <v>0.01</v>
      </c>
      <c r="F18" s="45">
        <v>-0.04</v>
      </c>
      <c r="G18" s="46" t="s">
        <v>59</v>
      </c>
      <c r="H18" s="47"/>
      <c r="I18" s="48"/>
      <c r="J18" s="48"/>
      <c r="K18" s="49" t="str">
        <f t="shared" si="0"/>
        <v xml:space="preserve"> </v>
      </c>
      <c r="L18" s="49" t="str">
        <f t="shared" si="0"/>
        <v xml:space="preserve"> </v>
      </c>
      <c r="M18" s="49" t="str">
        <f t="shared" si="0"/>
        <v xml:space="preserve"> </v>
      </c>
      <c r="N18" s="50" t="str">
        <f t="shared" si="1"/>
        <v xml:space="preserve"> </v>
      </c>
      <c r="O18" s="51" t="str">
        <f t="shared" si="2"/>
        <v xml:space="preserve"> </v>
      </c>
      <c r="P18" s="52" t="str">
        <f t="shared" si="3"/>
        <v xml:space="preserve"> </v>
      </c>
      <c r="Q18" s="50" t="str">
        <f t="shared" si="4"/>
        <v/>
      </c>
      <c r="R18" s="50" t="str">
        <f t="shared" si="5"/>
        <v/>
      </c>
      <c r="S18" s="53"/>
    </row>
    <row r="19" spans="1:19" ht="18" customHeight="1">
      <c r="A19" s="43"/>
      <c r="B19" s="44" t="s">
        <v>74</v>
      </c>
      <c r="C19" s="46" t="s">
        <v>75</v>
      </c>
      <c r="D19" s="45">
        <v>90</v>
      </c>
      <c r="E19" s="45">
        <v>1</v>
      </c>
      <c r="F19" s="45">
        <v>-2</v>
      </c>
      <c r="G19" s="46" t="s">
        <v>76</v>
      </c>
      <c r="H19" s="47"/>
      <c r="I19" s="48"/>
      <c r="J19" s="48"/>
      <c r="K19" s="49" t="str">
        <f t="shared" si="0"/>
        <v xml:space="preserve"> </v>
      </c>
      <c r="L19" s="49" t="str">
        <f t="shared" si="0"/>
        <v xml:space="preserve"> </v>
      </c>
      <c r="M19" s="49" t="str">
        <f t="shared" si="0"/>
        <v xml:space="preserve"> </v>
      </c>
      <c r="N19" s="50" t="str">
        <f t="shared" si="1"/>
        <v xml:space="preserve"> </v>
      </c>
      <c r="O19" s="51" t="str">
        <f t="shared" si="2"/>
        <v xml:space="preserve"> </v>
      </c>
      <c r="P19" s="52" t="str">
        <f t="shared" si="3"/>
        <v xml:space="preserve"> </v>
      </c>
      <c r="Q19" s="50" t="str">
        <f t="shared" si="4"/>
        <v/>
      </c>
      <c r="R19" s="50" t="str">
        <f t="shared" si="5"/>
        <v/>
      </c>
      <c r="S19" s="53"/>
    </row>
    <row r="20" spans="1:19" ht="18" customHeight="1">
      <c r="A20" s="43"/>
      <c r="B20" s="44" t="s">
        <v>77</v>
      </c>
      <c r="C20" s="46" t="s">
        <v>75</v>
      </c>
      <c r="D20" s="45">
        <v>90</v>
      </c>
      <c r="E20" s="45">
        <v>1</v>
      </c>
      <c r="F20" s="45">
        <v>-2</v>
      </c>
      <c r="G20" s="46" t="s">
        <v>76</v>
      </c>
      <c r="H20" s="47"/>
      <c r="I20" s="48"/>
      <c r="J20" s="48"/>
      <c r="K20" s="49" t="str">
        <f t="shared" si="0"/>
        <v xml:space="preserve"> </v>
      </c>
      <c r="L20" s="49" t="str">
        <f t="shared" si="0"/>
        <v xml:space="preserve"> </v>
      </c>
      <c r="M20" s="49" t="str">
        <f t="shared" si="0"/>
        <v xml:space="preserve"> </v>
      </c>
      <c r="N20" s="50" t="str">
        <f t="shared" si="1"/>
        <v xml:space="preserve"> </v>
      </c>
      <c r="O20" s="51" t="str">
        <f t="shared" si="2"/>
        <v xml:space="preserve"> </v>
      </c>
      <c r="P20" s="52" t="str">
        <f t="shared" si="3"/>
        <v xml:space="preserve"> </v>
      </c>
      <c r="Q20" s="50" t="str">
        <f t="shared" si="4"/>
        <v/>
      </c>
      <c r="R20" s="50" t="str">
        <f t="shared" si="5"/>
        <v/>
      </c>
      <c r="S20" s="53"/>
    </row>
    <row r="21" spans="1:19" ht="18" customHeight="1">
      <c r="A21" s="43"/>
      <c r="B21" s="44" t="s">
        <v>78</v>
      </c>
      <c r="C21" s="46" t="s">
        <v>75</v>
      </c>
      <c r="D21" s="45">
        <v>90</v>
      </c>
      <c r="E21" s="45">
        <v>1</v>
      </c>
      <c r="F21" s="45">
        <v>-2</v>
      </c>
      <c r="G21" s="46" t="s">
        <v>76</v>
      </c>
      <c r="H21" s="47"/>
      <c r="I21" s="48"/>
      <c r="J21" s="48"/>
      <c r="K21" s="49" t="str">
        <f t="shared" si="0"/>
        <v xml:space="preserve"> </v>
      </c>
      <c r="L21" s="49" t="str">
        <f t="shared" si="0"/>
        <v xml:space="preserve"> </v>
      </c>
      <c r="M21" s="49" t="str">
        <f t="shared" si="0"/>
        <v xml:space="preserve"> </v>
      </c>
      <c r="N21" s="50" t="str">
        <f t="shared" si="1"/>
        <v xml:space="preserve"> </v>
      </c>
      <c r="O21" s="51" t="str">
        <f t="shared" si="2"/>
        <v xml:space="preserve"> </v>
      </c>
      <c r="P21" s="52" t="str">
        <f t="shared" si="3"/>
        <v xml:space="preserve"> </v>
      </c>
      <c r="Q21" s="50" t="str">
        <f t="shared" si="4"/>
        <v/>
      </c>
      <c r="R21" s="50" t="str">
        <f t="shared" si="5"/>
        <v/>
      </c>
      <c r="S21" s="53"/>
    </row>
    <row r="22" spans="1:19" ht="18" customHeight="1">
      <c r="A22" s="43"/>
      <c r="B22" s="44" t="s">
        <v>79</v>
      </c>
      <c r="C22" s="46" t="s">
        <v>75</v>
      </c>
      <c r="D22" s="45">
        <v>90</v>
      </c>
      <c r="E22" s="45">
        <v>1</v>
      </c>
      <c r="F22" s="45">
        <v>-2</v>
      </c>
      <c r="G22" s="46" t="s">
        <v>76</v>
      </c>
      <c r="H22" s="47"/>
      <c r="I22" s="48"/>
      <c r="J22" s="48"/>
      <c r="K22" s="49" t="str">
        <f t="shared" si="0"/>
        <v xml:space="preserve"> </v>
      </c>
      <c r="L22" s="49" t="str">
        <f t="shared" si="0"/>
        <v xml:space="preserve"> </v>
      </c>
      <c r="M22" s="49" t="str">
        <f t="shared" si="0"/>
        <v xml:space="preserve"> </v>
      </c>
      <c r="N22" s="50" t="str">
        <f t="shared" si="1"/>
        <v xml:space="preserve"> </v>
      </c>
      <c r="O22" s="51" t="str">
        <f t="shared" si="2"/>
        <v xml:space="preserve"> </v>
      </c>
      <c r="P22" s="52" t="str">
        <f t="shared" si="3"/>
        <v xml:space="preserve"> </v>
      </c>
      <c r="Q22" s="50" t="str">
        <f t="shared" si="4"/>
        <v/>
      </c>
      <c r="R22" s="50" t="str">
        <f t="shared" si="5"/>
        <v/>
      </c>
      <c r="S22" s="53"/>
    </row>
    <row r="23" spans="1:19" ht="18" customHeight="1">
      <c r="A23" s="43"/>
      <c r="B23" s="44" t="s">
        <v>80</v>
      </c>
      <c r="C23" s="46" t="s">
        <v>66</v>
      </c>
      <c r="D23" s="45">
        <v>0.122</v>
      </c>
      <c r="E23" s="45">
        <v>0.01</v>
      </c>
      <c r="F23" s="45">
        <v>-0.02</v>
      </c>
      <c r="G23" s="46" t="s">
        <v>59</v>
      </c>
      <c r="H23" s="47"/>
      <c r="I23" s="48"/>
      <c r="J23" s="48"/>
      <c r="K23" s="49" t="str">
        <f t="shared" si="0"/>
        <v xml:space="preserve"> </v>
      </c>
      <c r="L23" s="49" t="str">
        <f t="shared" si="0"/>
        <v xml:space="preserve"> </v>
      </c>
      <c r="M23" s="49" t="str">
        <f t="shared" si="0"/>
        <v xml:space="preserve"> </v>
      </c>
      <c r="N23" s="50" t="str">
        <f t="shared" si="1"/>
        <v xml:space="preserve"> </v>
      </c>
      <c r="O23" s="51" t="str">
        <f t="shared" si="2"/>
        <v xml:space="preserve"> </v>
      </c>
      <c r="P23" s="52" t="str">
        <f t="shared" si="3"/>
        <v xml:space="preserve"> </v>
      </c>
      <c r="Q23" s="50" t="str">
        <f t="shared" si="4"/>
        <v/>
      </c>
      <c r="R23" s="50" t="str">
        <f t="shared" si="5"/>
        <v/>
      </c>
      <c r="S23" s="53"/>
    </row>
    <row r="24" spans="1:19" ht="18" customHeight="1">
      <c r="A24" s="43"/>
      <c r="B24" s="44" t="s">
        <v>81</v>
      </c>
      <c r="C24" s="46" t="s">
        <v>66</v>
      </c>
      <c r="D24" s="45">
        <v>0.122</v>
      </c>
      <c r="E24" s="45">
        <v>0.01</v>
      </c>
      <c r="F24" s="45">
        <v>-0.02</v>
      </c>
      <c r="G24" s="46" t="s">
        <v>59</v>
      </c>
      <c r="H24" s="47"/>
      <c r="I24" s="48"/>
      <c r="J24" s="48"/>
      <c r="K24" s="49" t="str">
        <f t="shared" si="0"/>
        <v xml:space="preserve"> </v>
      </c>
      <c r="L24" s="49" t="str">
        <f t="shared" si="0"/>
        <v xml:space="preserve"> </v>
      </c>
      <c r="M24" s="49" t="str">
        <f t="shared" si="0"/>
        <v xml:space="preserve"> </v>
      </c>
      <c r="N24" s="50" t="str">
        <f t="shared" si="1"/>
        <v xml:space="preserve"> </v>
      </c>
      <c r="O24" s="51" t="str">
        <f t="shared" si="2"/>
        <v xml:space="preserve"> </v>
      </c>
      <c r="P24" s="52" t="str">
        <f t="shared" si="3"/>
        <v xml:space="preserve"> </v>
      </c>
      <c r="Q24" s="50" t="str">
        <f t="shared" si="4"/>
        <v/>
      </c>
      <c r="R24" s="50" t="str">
        <f t="shared" si="5"/>
        <v/>
      </c>
      <c r="S24" s="53"/>
    </row>
    <row r="25" spans="1:19" ht="18" customHeight="1">
      <c r="A25" s="43"/>
      <c r="B25" s="44" t="s">
        <v>82</v>
      </c>
      <c r="C25" s="46" t="s">
        <v>66</v>
      </c>
      <c r="D25" s="45">
        <v>7.8E-2</v>
      </c>
      <c r="E25" s="45">
        <v>0.01</v>
      </c>
      <c r="F25" s="45">
        <v>-0.02</v>
      </c>
      <c r="G25" s="46" t="s">
        <v>76</v>
      </c>
      <c r="H25" s="47"/>
      <c r="I25" s="48"/>
      <c r="J25" s="48"/>
      <c r="K25" s="49" t="str">
        <f t="shared" si="0"/>
        <v xml:space="preserve"> </v>
      </c>
      <c r="L25" s="49" t="str">
        <f t="shared" si="0"/>
        <v xml:space="preserve"> </v>
      </c>
      <c r="M25" s="49" t="str">
        <f t="shared" si="0"/>
        <v xml:space="preserve"> </v>
      </c>
      <c r="N25" s="50" t="str">
        <f t="shared" si="1"/>
        <v xml:space="preserve"> </v>
      </c>
      <c r="O25" s="51" t="str">
        <f t="shared" si="2"/>
        <v xml:space="preserve"> </v>
      </c>
      <c r="P25" s="52" t="str">
        <f t="shared" si="3"/>
        <v xml:space="preserve"> </v>
      </c>
      <c r="Q25" s="50" t="str">
        <f t="shared" si="4"/>
        <v/>
      </c>
      <c r="R25" s="50" t="str">
        <f t="shared" si="5"/>
        <v/>
      </c>
      <c r="S25" s="53"/>
    </row>
    <row r="26" spans="1:19" ht="18" customHeight="1">
      <c r="A26" s="43"/>
      <c r="B26" s="44" t="s">
        <v>83</v>
      </c>
      <c r="C26" s="46" t="s">
        <v>66</v>
      </c>
      <c r="D26" s="45">
        <v>7.8E-2</v>
      </c>
      <c r="E26" s="45">
        <v>0.01</v>
      </c>
      <c r="F26" s="45">
        <v>-0.02</v>
      </c>
      <c r="G26" s="46" t="s">
        <v>76</v>
      </c>
      <c r="H26" s="47"/>
      <c r="I26" s="48"/>
      <c r="J26" s="48"/>
      <c r="K26" s="49" t="str">
        <f t="shared" si="0"/>
        <v xml:space="preserve"> </v>
      </c>
      <c r="L26" s="49" t="str">
        <f t="shared" si="0"/>
        <v xml:space="preserve"> </v>
      </c>
      <c r="M26" s="49" t="str">
        <f t="shared" si="0"/>
        <v xml:space="preserve"> </v>
      </c>
      <c r="N26" s="50" t="str">
        <f t="shared" si="1"/>
        <v xml:space="preserve"> </v>
      </c>
      <c r="O26" s="51" t="str">
        <f t="shared" si="2"/>
        <v xml:space="preserve"> </v>
      </c>
      <c r="P26" s="52" t="str">
        <f t="shared" si="3"/>
        <v xml:space="preserve"> </v>
      </c>
      <c r="Q26" s="50" t="str">
        <f t="shared" si="4"/>
        <v/>
      </c>
      <c r="R26" s="50" t="str">
        <f t="shared" si="5"/>
        <v/>
      </c>
      <c r="S26" s="53"/>
    </row>
    <row r="27" spans="1:19" ht="18" customHeight="1">
      <c r="A27" s="43"/>
      <c r="B27" s="44" t="s">
        <v>84</v>
      </c>
      <c r="C27" s="46" t="s">
        <v>61</v>
      </c>
      <c r="D27" s="45">
        <v>11.26</v>
      </c>
      <c r="E27" s="45">
        <v>0.03</v>
      </c>
      <c r="F27" s="45">
        <v>-0.03</v>
      </c>
      <c r="G27" s="46" t="s">
        <v>76</v>
      </c>
      <c r="H27" s="55"/>
      <c r="I27" s="56"/>
      <c r="J27" s="56"/>
      <c r="K27" s="49" t="str">
        <f t="shared" si="0"/>
        <v xml:space="preserve"> </v>
      </c>
      <c r="L27" s="49" t="str">
        <f t="shared" si="0"/>
        <v xml:space="preserve"> </v>
      </c>
      <c r="M27" s="49" t="str">
        <f t="shared" si="0"/>
        <v xml:space="preserve"> </v>
      </c>
      <c r="N27" s="50" t="str">
        <f t="shared" si="1"/>
        <v xml:space="preserve"> </v>
      </c>
      <c r="O27" s="51" t="str">
        <f t="shared" si="2"/>
        <v xml:space="preserve"> </v>
      </c>
      <c r="P27" s="52" t="str">
        <f t="shared" si="3"/>
        <v xml:space="preserve"> </v>
      </c>
      <c r="Q27" s="50" t="str">
        <f t="shared" si="4"/>
        <v/>
      </c>
      <c r="R27" s="50" t="str">
        <f t="shared" si="5"/>
        <v/>
      </c>
      <c r="S27" s="53"/>
    </row>
    <row r="28" spans="1:19" ht="18" customHeight="1">
      <c r="A28" s="43"/>
      <c r="B28" s="44" t="s">
        <v>85</v>
      </c>
      <c r="C28" s="46" t="s">
        <v>61</v>
      </c>
      <c r="D28" s="45">
        <v>0.53200000000000003</v>
      </c>
      <c r="E28" s="45">
        <v>0.03</v>
      </c>
      <c r="F28" s="45">
        <v>-0.03</v>
      </c>
      <c r="G28" s="46" t="s">
        <v>76</v>
      </c>
      <c r="H28" s="47"/>
      <c r="I28" s="48"/>
      <c r="J28" s="48"/>
      <c r="K28" s="49" t="str">
        <f t="shared" si="0"/>
        <v xml:space="preserve"> </v>
      </c>
      <c r="L28" s="49" t="str">
        <f t="shared" si="0"/>
        <v xml:space="preserve"> </v>
      </c>
      <c r="M28" s="49" t="str">
        <f t="shared" si="0"/>
        <v xml:space="preserve"> </v>
      </c>
      <c r="N28" s="50" t="str">
        <f t="shared" si="1"/>
        <v xml:space="preserve"> </v>
      </c>
      <c r="O28" s="51" t="str">
        <f t="shared" si="2"/>
        <v xml:space="preserve"> </v>
      </c>
      <c r="P28" s="52" t="str">
        <f t="shared" si="3"/>
        <v xml:space="preserve"> </v>
      </c>
      <c r="Q28" s="50" t="str">
        <f t="shared" si="4"/>
        <v/>
      </c>
      <c r="R28" s="50" t="str">
        <f t="shared" si="5"/>
        <v/>
      </c>
      <c r="S28" s="53"/>
    </row>
    <row r="29" spans="1:19" ht="18" customHeight="1">
      <c r="A29" s="43"/>
      <c r="B29" s="44" t="s">
        <v>86</v>
      </c>
      <c r="C29" s="46" t="s">
        <v>61</v>
      </c>
      <c r="D29" s="45">
        <v>0.53200000000000003</v>
      </c>
      <c r="E29" s="45">
        <v>0.03</v>
      </c>
      <c r="F29" s="45">
        <v>-0.03</v>
      </c>
      <c r="G29" s="46" t="s">
        <v>76</v>
      </c>
      <c r="H29" s="47"/>
      <c r="I29" s="48"/>
      <c r="J29" s="48"/>
      <c r="K29" s="49" t="str">
        <f t="shared" si="0"/>
        <v xml:space="preserve"> </v>
      </c>
      <c r="L29" s="49" t="str">
        <f t="shared" si="0"/>
        <v xml:space="preserve"> </v>
      </c>
      <c r="M29" s="49" t="str">
        <f t="shared" si="0"/>
        <v xml:space="preserve"> </v>
      </c>
      <c r="N29" s="50" t="str">
        <f t="shared" si="1"/>
        <v xml:space="preserve"> </v>
      </c>
      <c r="O29" s="51" t="str">
        <f t="shared" si="2"/>
        <v xml:space="preserve"> </v>
      </c>
      <c r="P29" s="52" t="str">
        <f t="shared" si="3"/>
        <v xml:space="preserve"> </v>
      </c>
      <c r="Q29" s="50" t="str">
        <f t="shared" si="4"/>
        <v/>
      </c>
      <c r="R29" s="50" t="str">
        <f t="shared" si="5"/>
        <v/>
      </c>
      <c r="S29" s="53"/>
    </row>
    <row r="30" spans="1:19" ht="18" customHeight="1">
      <c r="A30" s="43"/>
      <c r="B30" s="44" t="s">
        <v>87</v>
      </c>
      <c r="C30" s="46" t="s">
        <v>61</v>
      </c>
      <c r="D30" s="45">
        <v>14.1</v>
      </c>
      <c r="E30" s="45">
        <v>0.03</v>
      </c>
      <c r="F30" s="45">
        <v>-0.03</v>
      </c>
      <c r="G30" s="46" t="s">
        <v>76</v>
      </c>
      <c r="H30" s="47"/>
      <c r="I30" s="48"/>
      <c r="J30" s="48"/>
      <c r="K30" s="49" t="str">
        <f t="shared" si="0"/>
        <v xml:space="preserve"> </v>
      </c>
      <c r="L30" s="49" t="str">
        <f t="shared" si="0"/>
        <v xml:space="preserve"> </v>
      </c>
      <c r="M30" s="49" t="str">
        <f t="shared" si="0"/>
        <v xml:space="preserve"> </v>
      </c>
      <c r="N30" s="50" t="str">
        <f t="shared" si="1"/>
        <v xml:space="preserve"> </v>
      </c>
      <c r="O30" s="51" t="str">
        <f t="shared" si="2"/>
        <v xml:space="preserve"> </v>
      </c>
      <c r="P30" s="52" t="str">
        <f t="shared" si="3"/>
        <v xml:space="preserve"> </v>
      </c>
      <c r="Q30" s="50" t="str">
        <f t="shared" si="4"/>
        <v/>
      </c>
      <c r="R30" s="50" t="str">
        <f t="shared" si="5"/>
        <v/>
      </c>
      <c r="S30" s="53"/>
    </row>
    <row r="31" spans="1:19" ht="18" customHeight="1">
      <c r="A31" s="43"/>
      <c r="B31" s="44" t="s">
        <v>88</v>
      </c>
      <c r="C31" s="46" t="s">
        <v>61</v>
      </c>
      <c r="D31" s="45">
        <v>14.1</v>
      </c>
      <c r="E31" s="45">
        <v>0.03</v>
      </c>
      <c r="F31" s="45">
        <v>-0.03</v>
      </c>
      <c r="G31" s="46" t="s">
        <v>76</v>
      </c>
      <c r="H31" s="47"/>
      <c r="I31" s="48"/>
      <c r="J31" s="48"/>
      <c r="K31" s="49" t="str">
        <f t="shared" si="0"/>
        <v xml:space="preserve"> </v>
      </c>
      <c r="L31" s="49" t="str">
        <f t="shared" si="0"/>
        <v xml:space="preserve"> </v>
      </c>
      <c r="M31" s="49" t="str">
        <f t="shared" si="0"/>
        <v xml:space="preserve"> </v>
      </c>
      <c r="N31" s="50" t="str">
        <f t="shared" si="1"/>
        <v xml:space="preserve"> </v>
      </c>
      <c r="O31" s="51" t="str">
        <f t="shared" si="2"/>
        <v xml:space="preserve"> </v>
      </c>
      <c r="P31" s="52" t="str">
        <f t="shared" si="3"/>
        <v xml:space="preserve"> </v>
      </c>
      <c r="Q31" s="50" t="str">
        <f t="shared" si="4"/>
        <v/>
      </c>
      <c r="R31" s="50" t="str">
        <f t="shared" si="5"/>
        <v/>
      </c>
      <c r="S31" s="53"/>
    </row>
    <row r="32" spans="1:19" ht="18" customHeight="1">
      <c r="A32" s="43"/>
      <c r="B32" s="44" t="s">
        <v>89</v>
      </c>
      <c r="C32" s="46" t="s">
        <v>61</v>
      </c>
      <c r="D32" s="45">
        <v>1.0149999999999999</v>
      </c>
      <c r="E32" s="45">
        <v>0.03</v>
      </c>
      <c r="F32" s="45">
        <v>-0.03</v>
      </c>
      <c r="G32" s="46" t="s">
        <v>76</v>
      </c>
      <c r="H32" s="47"/>
      <c r="I32" s="48"/>
      <c r="J32" s="48"/>
      <c r="K32" s="49" t="str">
        <f t="shared" si="0"/>
        <v xml:space="preserve"> </v>
      </c>
      <c r="L32" s="49" t="str">
        <f t="shared" si="0"/>
        <v xml:space="preserve"> </v>
      </c>
      <c r="M32" s="49" t="str">
        <f t="shared" si="0"/>
        <v xml:space="preserve"> </v>
      </c>
      <c r="N32" s="50" t="str">
        <f t="shared" si="1"/>
        <v xml:space="preserve"> </v>
      </c>
      <c r="O32" s="51" t="str">
        <f t="shared" si="2"/>
        <v xml:space="preserve"> </v>
      </c>
      <c r="P32" s="52" t="str">
        <f t="shared" si="3"/>
        <v xml:space="preserve"> </v>
      </c>
      <c r="Q32" s="50" t="str">
        <f t="shared" si="4"/>
        <v/>
      </c>
      <c r="R32" s="50" t="str">
        <f t="shared" si="5"/>
        <v/>
      </c>
      <c r="S32" s="53"/>
    </row>
    <row r="33" spans="1:19" ht="18" customHeight="1">
      <c r="A33" s="43"/>
      <c r="B33" s="44" t="s">
        <v>90</v>
      </c>
      <c r="C33" s="46" t="s">
        <v>61</v>
      </c>
      <c r="D33" s="45">
        <v>13.385</v>
      </c>
      <c r="E33" s="45">
        <v>0.03</v>
      </c>
      <c r="F33" s="45">
        <v>-0.04</v>
      </c>
      <c r="G33" s="46" t="s">
        <v>76</v>
      </c>
      <c r="H33" s="47"/>
      <c r="I33" s="48"/>
      <c r="J33" s="48"/>
      <c r="K33" s="49" t="str">
        <f t="shared" si="0"/>
        <v xml:space="preserve"> </v>
      </c>
      <c r="L33" s="49" t="str">
        <f t="shared" si="0"/>
        <v xml:space="preserve"> </v>
      </c>
      <c r="M33" s="49" t="str">
        <f t="shared" si="0"/>
        <v xml:space="preserve"> </v>
      </c>
      <c r="N33" s="50" t="str">
        <f t="shared" si="1"/>
        <v xml:space="preserve"> </v>
      </c>
      <c r="O33" s="51" t="str">
        <f t="shared" si="2"/>
        <v xml:space="preserve"> </v>
      </c>
      <c r="P33" s="52" t="str">
        <f t="shared" si="3"/>
        <v xml:space="preserve"> </v>
      </c>
      <c r="Q33" s="50" t="str">
        <f t="shared" si="4"/>
        <v/>
      </c>
      <c r="R33" s="50" t="str">
        <f t="shared" si="5"/>
        <v/>
      </c>
      <c r="S33" s="53"/>
    </row>
    <row r="34" spans="1:19" ht="18" customHeight="1">
      <c r="A34" s="43"/>
      <c r="B34" s="44" t="s">
        <v>91</v>
      </c>
      <c r="C34" s="46" t="s">
        <v>61</v>
      </c>
      <c r="D34" s="45">
        <v>11.27</v>
      </c>
      <c r="E34" s="45">
        <v>0.03</v>
      </c>
      <c r="F34" s="45">
        <v>-0.03</v>
      </c>
      <c r="G34" s="46" t="s">
        <v>76</v>
      </c>
      <c r="H34" s="47"/>
      <c r="I34" s="48"/>
      <c r="J34" s="48"/>
      <c r="K34" s="49" t="str">
        <f t="shared" si="0"/>
        <v xml:space="preserve"> </v>
      </c>
      <c r="L34" s="49" t="str">
        <f t="shared" si="0"/>
        <v xml:space="preserve"> </v>
      </c>
      <c r="M34" s="49" t="str">
        <f t="shared" si="0"/>
        <v xml:space="preserve"> </v>
      </c>
      <c r="N34" s="50" t="str">
        <f t="shared" si="1"/>
        <v xml:space="preserve"> </v>
      </c>
      <c r="O34" s="51" t="str">
        <f t="shared" si="2"/>
        <v xml:space="preserve"> </v>
      </c>
      <c r="P34" s="52" t="str">
        <f t="shared" si="3"/>
        <v xml:space="preserve"> </v>
      </c>
      <c r="Q34" s="50" t="str">
        <f t="shared" si="4"/>
        <v/>
      </c>
      <c r="R34" s="50" t="str">
        <f t="shared" si="5"/>
        <v/>
      </c>
      <c r="S34" s="53"/>
    </row>
    <row r="35" spans="1:19" ht="18" customHeight="1">
      <c r="A35" s="43"/>
      <c r="B35" s="44" t="s">
        <v>92</v>
      </c>
      <c r="C35" s="46" t="s">
        <v>61</v>
      </c>
      <c r="D35" s="45">
        <v>0.86</v>
      </c>
      <c r="E35" s="45">
        <v>0.03</v>
      </c>
      <c r="F35" s="45">
        <v>-0.03</v>
      </c>
      <c r="G35" s="46" t="s">
        <v>76</v>
      </c>
      <c r="H35" s="47"/>
      <c r="I35" s="48"/>
      <c r="J35" s="48"/>
      <c r="K35" s="49" t="str">
        <f t="shared" si="0"/>
        <v xml:space="preserve"> </v>
      </c>
      <c r="L35" s="49" t="str">
        <f t="shared" si="0"/>
        <v xml:space="preserve"> </v>
      </c>
      <c r="M35" s="49" t="str">
        <f t="shared" si="0"/>
        <v xml:space="preserve"> </v>
      </c>
      <c r="N35" s="50" t="str">
        <f t="shared" si="1"/>
        <v xml:space="preserve"> </v>
      </c>
      <c r="O35" s="51" t="str">
        <f t="shared" si="2"/>
        <v xml:space="preserve"> </v>
      </c>
      <c r="P35" s="52" t="str">
        <f t="shared" si="3"/>
        <v xml:space="preserve"> </v>
      </c>
      <c r="Q35" s="50" t="str">
        <f t="shared" si="4"/>
        <v/>
      </c>
      <c r="R35" s="50" t="str">
        <f t="shared" si="5"/>
        <v/>
      </c>
      <c r="S35" s="53"/>
    </row>
    <row r="36" spans="1:19" ht="18" customHeight="1">
      <c r="A36" s="43"/>
      <c r="B36" s="44" t="s">
        <v>93</v>
      </c>
      <c r="C36" s="46" t="s">
        <v>61</v>
      </c>
      <c r="D36" s="45">
        <v>9.17</v>
      </c>
      <c r="E36" s="45">
        <v>0.03</v>
      </c>
      <c r="F36" s="45">
        <v>-0.03</v>
      </c>
      <c r="G36" s="46" t="s">
        <v>76</v>
      </c>
      <c r="H36" s="47"/>
      <c r="I36" s="48"/>
      <c r="J36" s="48"/>
      <c r="K36" s="49" t="str">
        <f t="shared" si="0"/>
        <v xml:space="preserve"> </v>
      </c>
      <c r="L36" s="49" t="str">
        <f t="shared" si="0"/>
        <v xml:space="preserve"> </v>
      </c>
      <c r="M36" s="49" t="str">
        <f t="shared" si="0"/>
        <v xml:space="preserve"> </v>
      </c>
      <c r="N36" s="50" t="str">
        <f t="shared" si="1"/>
        <v xml:space="preserve"> </v>
      </c>
      <c r="O36" s="51" t="str">
        <f t="shared" si="2"/>
        <v xml:space="preserve"> </v>
      </c>
      <c r="P36" s="52" t="str">
        <f t="shared" si="3"/>
        <v xml:space="preserve"> </v>
      </c>
      <c r="Q36" s="50" t="str">
        <f t="shared" si="4"/>
        <v/>
      </c>
      <c r="R36" s="50" t="str">
        <f t="shared" si="5"/>
        <v/>
      </c>
      <c r="S36" s="53"/>
    </row>
    <row r="37" spans="1:19" ht="18" customHeight="1">
      <c r="A37" s="43"/>
      <c r="B37" s="44" t="s">
        <v>94</v>
      </c>
      <c r="C37" s="46" t="s">
        <v>61</v>
      </c>
      <c r="D37" s="45">
        <v>9.17</v>
      </c>
      <c r="E37" s="45">
        <v>0.03</v>
      </c>
      <c r="F37" s="45">
        <v>-0.03</v>
      </c>
      <c r="G37" s="46" t="s">
        <v>76</v>
      </c>
      <c r="H37" s="47"/>
      <c r="I37" s="48"/>
      <c r="J37" s="48"/>
      <c r="K37" s="49" t="str">
        <f t="shared" si="0"/>
        <v xml:space="preserve"> </v>
      </c>
      <c r="L37" s="49" t="str">
        <f t="shared" si="0"/>
        <v xml:space="preserve"> </v>
      </c>
      <c r="M37" s="49" t="str">
        <f t="shared" si="0"/>
        <v xml:space="preserve"> </v>
      </c>
      <c r="N37" s="50" t="str">
        <f t="shared" si="1"/>
        <v xml:space="preserve"> </v>
      </c>
      <c r="O37" s="51" t="str">
        <f t="shared" si="2"/>
        <v xml:space="preserve"> </v>
      </c>
      <c r="P37" s="52" t="str">
        <f t="shared" si="3"/>
        <v xml:space="preserve"> </v>
      </c>
      <c r="Q37" s="50" t="str">
        <f t="shared" si="4"/>
        <v/>
      </c>
      <c r="R37" s="50" t="str">
        <f t="shared" si="5"/>
        <v/>
      </c>
      <c r="S37" s="53"/>
    </row>
    <row r="38" spans="1:19" ht="18" customHeight="1">
      <c r="A38" s="43"/>
      <c r="B38" s="44" t="s">
        <v>95</v>
      </c>
      <c r="C38" s="46" t="s">
        <v>61</v>
      </c>
      <c r="D38" s="45">
        <v>0.57499999999999996</v>
      </c>
      <c r="E38" s="45">
        <v>0.03</v>
      </c>
      <c r="F38" s="45">
        <v>-0.03</v>
      </c>
      <c r="G38" s="46" t="s">
        <v>76</v>
      </c>
      <c r="H38" s="47"/>
      <c r="I38" s="48"/>
      <c r="J38" s="48"/>
      <c r="K38" s="49" t="str">
        <f t="shared" ref="K38:M69" si="6">IF(ISERR(H38/H38)=TRUE," ",H38-$D38)</f>
        <v xml:space="preserve"> </v>
      </c>
      <c r="L38" s="49" t="str">
        <f t="shared" si="6"/>
        <v xml:space="preserve"> </v>
      </c>
      <c r="M38" s="49" t="str">
        <f t="shared" si="6"/>
        <v xml:space="preserve"> </v>
      </c>
      <c r="N38" s="50" t="str">
        <f t="shared" si="1"/>
        <v xml:space="preserve"> </v>
      </c>
      <c r="O38" s="51" t="str">
        <f t="shared" si="2"/>
        <v xml:space="preserve"> </v>
      </c>
      <c r="P38" s="52" t="str">
        <f t="shared" si="3"/>
        <v xml:space="preserve"> </v>
      </c>
      <c r="Q38" s="50" t="str">
        <f t="shared" si="4"/>
        <v/>
      </c>
      <c r="R38" s="50" t="str">
        <f t="shared" si="5"/>
        <v/>
      </c>
      <c r="S38" s="53"/>
    </row>
    <row r="39" spans="1:19" ht="18" customHeight="1">
      <c r="A39" s="43"/>
      <c r="B39" s="44" t="s">
        <v>96</v>
      </c>
      <c r="C39" s="46" t="s">
        <v>61</v>
      </c>
      <c r="D39" s="45">
        <v>0.57499999999999996</v>
      </c>
      <c r="E39" s="45">
        <v>0.03</v>
      </c>
      <c r="F39" s="45">
        <v>-0.03</v>
      </c>
      <c r="G39" s="46" t="s">
        <v>76</v>
      </c>
      <c r="H39" s="47"/>
      <c r="I39" s="48"/>
      <c r="J39" s="48"/>
      <c r="K39" s="49" t="str">
        <f t="shared" si="6"/>
        <v xml:space="preserve"> </v>
      </c>
      <c r="L39" s="49" t="str">
        <f t="shared" si="6"/>
        <v xml:space="preserve"> </v>
      </c>
      <c r="M39" s="49" t="str">
        <f t="shared" si="6"/>
        <v xml:space="preserve"> </v>
      </c>
      <c r="N39" s="50" t="str">
        <f t="shared" si="1"/>
        <v xml:space="preserve"> </v>
      </c>
      <c r="O39" s="51" t="str">
        <f t="shared" si="2"/>
        <v xml:space="preserve"> </v>
      </c>
      <c r="P39" s="52" t="str">
        <f t="shared" si="3"/>
        <v xml:space="preserve"> </v>
      </c>
      <c r="Q39" s="50" t="str">
        <f t="shared" si="4"/>
        <v/>
      </c>
      <c r="R39" s="50" t="str">
        <f t="shared" si="5"/>
        <v/>
      </c>
      <c r="S39" s="53"/>
    </row>
    <row r="40" spans="1:19" ht="18" customHeight="1">
      <c r="A40" s="43"/>
      <c r="B40" s="44" t="s">
        <v>97</v>
      </c>
      <c r="C40" s="46" t="s">
        <v>61</v>
      </c>
      <c r="D40" s="45">
        <v>1.125</v>
      </c>
      <c r="E40" s="45">
        <v>0.03</v>
      </c>
      <c r="F40" s="45">
        <v>-0.03</v>
      </c>
      <c r="G40" s="46" t="s">
        <v>76</v>
      </c>
      <c r="H40" s="47"/>
      <c r="I40" s="48"/>
      <c r="J40" s="48"/>
      <c r="K40" s="49" t="str">
        <f t="shared" si="6"/>
        <v xml:space="preserve"> </v>
      </c>
      <c r="L40" s="49" t="str">
        <f t="shared" si="6"/>
        <v xml:space="preserve"> </v>
      </c>
      <c r="M40" s="49" t="str">
        <f t="shared" si="6"/>
        <v xml:space="preserve"> </v>
      </c>
      <c r="N40" s="50" t="str">
        <f t="shared" si="1"/>
        <v xml:space="preserve"> </v>
      </c>
      <c r="O40" s="51" t="str">
        <f t="shared" si="2"/>
        <v xml:space="preserve"> </v>
      </c>
      <c r="P40" s="52" t="str">
        <f t="shared" si="3"/>
        <v xml:space="preserve"> </v>
      </c>
      <c r="Q40" s="50" t="str">
        <f t="shared" si="4"/>
        <v/>
      </c>
      <c r="R40" s="50" t="str">
        <f t="shared" si="5"/>
        <v/>
      </c>
      <c r="S40" s="53"/>
    </row>
    <row r="41" spans="1:19" ht="18" customHeight="1">
      <c r="A41" s="43"/>
      <c r="B41" s="44" t="s">
        <v>98</v>
      </c>
      <c r="C41" s="46" t="s">
        <v>61</v>
      </c>
      <c r="D41" s="45">
        <v>3.13</v>
      </c>
      <c r="E41" s="45">
        <v>0.03</v>
      </c>
      <c r="F41" s="45">
        <v>-0.03</v>
      </c>
      <c r="G41" s="46" t="s">
        <v>76</v>
      </c>
      <c r="H41" s="47"/>
      <c r="I41" s="48"/>
      <c r="J41" s="48"/>
      <c r="K41" s="49" t="str">
        <f t="shared" si="6"/>
        <v xml:space="preserve"> </v>
      </c>
      <c r="L41" s="49" t="str">
        <f t="shared" si="6"/>
        <v xml:space="preserve"> </v>
      </c>
      <c r="M41" s="49" t="str">
        <f t="shared" si="6"/>
        <v xml:space="preserve"> </v>
      </c>
      <c r="N41" s="50" t="str">
        <f t="shared" si="1"/>
        <v xml:space="preserve"> </v>
      </c>
      <c r="O41" s="51" t="str">
        <f t="shared" si="2"/>
        <v xml:space="preserve"> </v>
      </c>
      <c r="P41" s="52" t="str">
        <f t="shared" si="3"/>
        <v xml:space="preserve"> </v>
      </c>
      <c r="Q41" s="50" t="str">
        <f t="shared" si="4"/>
        <v/>
      </c>
      <c r="R41" s="50" t="str">
        <f t="shared" si="5"/>
        <v/>
      </c>
      <c r="S41" s="53"/>
    </row>
    <row r="42" spans="1:19" ht="18" customHeight="1">
      <c r="A42" s="43"/>
      <c r="B42" s="44" t="s">
        <v>99</v>
      </c>
      <c r="C42" s="46" t="s">
        <v>61</v>
      </c>
      <c r="D42" s="45">
        <v>3.13</v>
      </c>
      <c r="E42" s="45">
        <v>0.03</v>
      </c>
      <c r="F42" s="45">
        <v>-0.03</v>
      </c>
      <c r="G42" s="46" t="s">
        <v>76</v>
      </c>
      <c r="H42" s="47"/>
      <c r="I42" s="48"/>
      <c r="J42" s="48"/>
      <c r="K42" s="49" t="str">
        <f t="shared" si="6"/>
        <v xml:space="preserve"> </v>
      </c>
      <c r="L42" s="49" t="str">
        <f t="shared" si="6"/>
        <v xml:space="preserve"> </v>
      </c>
      <c r="M42" s="49" t="str">
        <f t="shared" si="6"/>
        <v xml:space="preserve"> </v>
      </c>
      <c r="N42" s="50" t="str">
        <f t="shared" si="1"/>
        <v xml:space="preserve"> </v>
      </c>
      <c r="O42" s="51" t="str">
        <f t="shared" si="2"/>
        <v xml:space="preserve"> </v>
      </c>
      <c r="P42" s="52" t="str">
        <f t="shared" si="3"/>
        <v xml:space="preserve"> </v>
      </c>
      <c r="Q42" s="50" t="str">
        <f t="shared" si="4"/>
        <v/>
      </c>
      <c r="R42" s="50" t="str">
        <f t="shared" si="5"/>
        <v/>
      </c>
      <c r="S42" s="53"/>
    </row>
    <row r="43" spans="1:19" ht="18" customHeight="1">
      <c r="A43" s="43"/>
      <c r="B43" s="44" t="s">
        <v>100</v>
      </c>
      <c r="C43" s="46" t="s">
        <v>61</v>
      </c>
      <c r="D43" s="45">
        <v>3.9249999999999998</v>
      </c>
      <c r="E43" s="45">
        <v>0.03</v>
      </c>
      <c r="F43" s="45">
        <v>-0.03</v>
      </c>
      <c r="G43" s="46" t="s">
        <v>76</v>
      </c>
      <c r="H43" s="47"/>
      <c r="I43" s="48"/>
      <c r="J43" s="48"/>
      <c r="K43" s="49" t="str">
        <f t="shared" si="6"/>
        <v xml:space="preserve"> </v>
      </c>
      <c r="L43" s="49" t="str">
        <f t="shared" si="6"/>
        <v xml:space="preserve"> </v>
      </c>
      <c r="M43" s="49" t="str">
        <f t="shared" si="6"/>
        <v xml:space="preserve"> </v>
      </c>
      <c r="N43" s="50" t="str">
        <f t="shared" si="1"/>
        <v xml:space="preserve"> </v>
      </c>
      <c r="O43" s="51" t="str">
        <f t="shared" si="2"/>
        <v xml:space="preserve"> </v>
      </c>
      <c r="P43" s="52" t="str">
        <f t="shared" si="3"/>
        <v xml:space="preserve"> </v>
      </c>
      <c r="Q43" s="50" t="str">
        <f t="shared" si="4"/>
        <v/>
      </c>
      <c r="R43" s="50" t="str">
        <f t="shared" si="5"/>
        <v/>
      </c>
      <c r="S43" s="53"/>
    </row>
    <row r="44" spans="1:19" ht="18" customHeight="1">
      <c r="A44" s="43"/>
      <c r="B44" s="44" t="s">
        <v>101</v>
      </c>
      <c r="C44" s="46" t="s">
        <v>61</v>
      </c>
      <c r="D44" s="45">
        <v>1.01</v>
      </c>
      <c r="E44" s="45">
        <v>0.03</v>
      </c>
      <c r="F44" s="45">
        <v>-0.03</v>
      </c>
      <c r="G44" s="46" t="s">
        <v>76</v>
      </c>
      <c r="H44" s="47"/>
      <c r="I44" s="48"/>
      <c r="J44" s="48"/>
      <c r="K44" s="49" t="str">
        <f t="shared" si="6"/>
        <v xml:space="preserve"> </v>
      </c>
      <c r="L44" s="49" t="str">
        <f t="shared" si="6"/>
        <v xml:space="preserve"> </v>
      </c>
      <c r="M44" s="49" t="str">
        <f t="shared" si="6"/>
        <v xml:space="preserve"> </v>
      </c>
      <c r="N44" s="50" t="str">
        <f t="shared" si="1"/>
        <v xml:space="preserve"> </v>
      </c>
      <c r="O44" s="51" t="str">
        <f t="shared" si="2"/>
        <v xml:space="preserve"> </v>
      </c>
      <c r="P44" s="52" t="str">
        <f t="shared" si="3"/>
        <v xml:space="preserve"> </v>
      </c>
      <c r="Q44" s="50" t="str">
        <f t="shared" si="4"/>
        <v/>
      </c>
      <c r="R44" s="50" t="str">
        <f t="shared" si="5"/>
        <v/>
      </c>
      <c r="S44" s="53"/>
    </row>
    <row r="45" spans="1:19" ht="18" customHeight="1">
      <c r="A45" s="43"/>
      <c r="B45" s="44" t="s">
        <v>102</v>
      </c>
      <c r="C45" s="46" t="s">
        <v>61</v>
      </c>
      <c r="D45" s="45">
        <v>10.365</v>
      </c>
      <c r="E45" s="45">
        <v>0.03</v>
      </c>
      <c r="F45" s="45">
        <v>-0.03</v>
      </c>
      <c r="G45" s="46" t="s">
        <v>76</v>
      </c>
      <c r="H45" s="47"/>
      <c r="I45" s="48"/>
      <c r="J45" s="48"/>
      <c r="K45" s="49" t="str">
        <f t="shared" si="6"/>
        <v xml:space="preserve"> </v>
      </c>
      <c r="L45" s="49" t="str">
        <f t="shared" si="6"/>
        <v xml:space="preserve"> </v>
      </c>
      <c r="M45" s="49" t="str">
        <f t="shared" si="6"/>
        <v xml:space="preserve"> </v>
      </c>
      <c r="N45" s="50" t="str">
        <f t="shared" si="1"/>
        <v xml:space="preserve"> </v>
      </c>
      <c r="O45" s="51" t="str">
        <f t="shared" si="2"/>
        <v xml:space="preserve"> </v>
      </c>
      <c r="P45" s="52" t="str">
        <f t="shared" si="3"/>
        <v xml:space="preserve"> </v>
      </c>
      <c r="Q45" s="50" t="str">
        <f t="shared" si="4"/>
        <v/>
      </c>
      <c r="R45" s="50" t="str">
        <f t="shared" si="5"/>
        <v/>
      </c>
      <c r="S45" s="53"/>
    </row>
    <row r="46" spans="1:19" ht="18" customHeight="1">
      <c r="A46" s="43"/>
      <c r="B46" s="44" t="s">
        <v>103</v>
      </c>
      <c r="C46" s="46" t="s">
        <v>61</v>
      </c>
      <c r="D46" s="45">
        <v>13.375</v>
      </c>
      <c r="E46" s="45">
        <v>0.03</v>
      </c>
      <c r="F46" s="45">
        <v>-0.03</v>
      </c>
      <c r="G46" s="46" t="s">
        <v>76</v>
      </c>
      <c r="H46" s="47"/>
      <c r="I46" s="48"/>
      <c r="J46" s="48"/>
      <c r="K46" s="49" t="str">
        <f t="shared" si="6"/>
        <v xml:space="preserve"> </v>
      </c>
      <c r="L46" s="49" t="str">
        <f t="shared" si="6"/>
        <v xml:space="preserve"> </v>
      </c>
      <c r="M46" s="49" t="str">
        <f t="shared" si="6"/>
        <v xml:space="preserve"> </v>
      </c>
      <c r="N46" s="50" t="str">
        <f t="shared" si="1"/>
        <v xml:space="preserve"> </v>
      </c>
      <c r="O46" s="51" t="str">
        <f t="shared" si="2"/>
        <v xml:space="preserve"> </v>
      </c>
      <c r="P46" s="52" t="str">
        <f t="shared" si="3"/>
        <v xml:space="preserve"> </v>
      </c>
      <c r="Q46" s="50" t="str">
        <f t="shared" si="4"/>
        <v/>
      </c>
      <c r="R46" s="50" t="str">
        <f t="shared" si="5"/>
        <v/>
      </c>
      <c r="S46" s="53"/>
    </row>
    <row r="47" spans="1:19" ht="17.25" customHeight="1">
      <c r="A47" s="43"/>
      <c r="B47" s="44" t="s">
        <v>104</v>
      </c>
      <c r="C47" s="46" t="s">
        <v>105</v>
      </c>
      <c r="D47" s="45">
        <v>0.13500000000000001</v>
      </c>
      <c r="E47" s="45">
        <v>5.0000000000000001E-3</v>
      </c>
      <c r="F47" s="45">
        <v>-5.0000000000000001E-3</v>
      </c>
      <c r="G47" s="46" t="s">
        <v>106</v>
      </c>
      <c r="H47" s="47"/>
      <c r="I47" s="48"/>
      <c r="J47" s="48"/>
      <c r="K47" s="49" t="str">
        <f t="shared" si="6"/>
        <v xml:space="preserve"> </v>
      </c>
      <c r="L47" s="49" t="str">
        <f t="shared" si="6"/>
        <v xml:space="preserve"> </v>
      </c>
      <c r="M47" s="49" t="str">
        <f t="shared" si="6"/>
        <v xml:space="preserve"> </v>
      </c>
      <c r="N47" s="50" t="str">
        <f t="shared" si="1"/>
        <v xml:space="preserve"> </v>
      </c>
      <c r="O47" s="51" t="str">
        <f t="shared" si="2"/>
        <v xml:space="preserve"> </v>
      </c>
      <c r="P47" s="52" t="str">
        <f t="shared" si="3"/>
        <v xml:space="preserve"> </v>
      </c>
      <c r="Q47" s="50" t="str">
        <f t="shared" si="4"/>
        <v/>
      </c>
      <c r="R47" s="50" t="str">
        <f t="shared" si="5"/>
        <v/>
      </c>
      <c r="S47" s="53"/>
    </row>
    <row r="48" spans="1:19" ht="17.25" customHeight="1">
      <c r="A48" s="43"/>
      <c r="B48" s="44" t="s">
        <v>107</v>
      </c>
      <c r="C48" s="46" t="s">
        <v>105</v>
      </c>
      <c r="D48" s="45">
        <v>0.13500000000000001</v>
      </c>
      <c r="E48" s="45">
        <v>5.0000000000000001E-3</v>
      </c>
      <c r="F48" s="45">
        <v>-5.0000000000000001E-3</v>
      </c>
      <c r="G48" s="46" t="s">
        <v>106</v>
      </c>
      <c r="H48" s="47"/>
      <c r="I48" s="48"/>
      <c r="J48" s="48"/>
      <c r="K48" s="49"/>
      <c r="L48" s="49"/>
      <c r="M48" s="49"/>
      <c r="N48" s="50"/>
      <c r="O48" s="51"/>
      <c r="P48" s="52"/>
      <c r="Q48" s="50"/>
      <c r="R48" s="50"/>
      <c r="S48" s="53"/>
    </row>
    <row r="49" spans="1:23" ht="17.25" customHeight="1">
      <c r="A49" s="43"/>
      <c r="B49" s="44" t="s">
        <v>108</v>
      </c>
      <c r="C49" s="46" t="s">
        <v>105</v>
      </c>
      <c r="D49" s="45">
        <v>0.13500000000000001</v>
      </c>
      <c r="E49" s="45">
        <v>5.0000000000000001E-3</v>
      </c>
      <c r="F49" s="45">
        <v>-5.0000000000000001E-3</v>
      </c>
      <c r="G49" s="46" t="s">
        <v>106</v>
      </c>
      <c r="H49" s="47"/>
      <c r="I49" s="48"/>
      <c r="J49" s="48"/>
      <c r="K49" s="49"/>
      <c r="L49" s="49"/>
      <c r="M49" s="49"/>
      <c r="N49" s="50"/>
      <c r="O49" s="51"/>
      <c r="P49" s="52"/>
      <c r="Q49" s="50"/>
      <c r="R49" s="50"/>
      <c r="S49" s="53"/>
    </row>
    <row r="50" spans="1:23" ht="18" customHeight="1">
      <c r="A50" s="43"/>
      <c r="B50" s="44" t="s">
        <v>109</v>
      </c>
      <c r="C50" s="46" t="s">
        <v>61</v>
      </c>
      <c r="D50" s="45">
        <v>2.12</v>
      </c>
      <c r="E50" s="45">
        <v>0.03</v>
      </c>
      <c r="F50" s="45">
        <v>-0.03</v>
      </c>
      <c r="G50" s="46" t="s">
        <v>76</v>
      </c>
      <c r="H50" s="47"/>
      <c r="I50" s="48"/>
      <c r="J50" s="48"/>
      <c r="K50" s="49" t="str">
        <f t="shared" si="6"/>
        <v xml:space="preserve"> </v>
      </c>
      <c r="L50" s="49" t="str">
        <f t="shared" si="6"/>
        <v xml:space="preserve"> </v>
      </c>
      <c r="M50" s="49" t="str">
        <f t="shared" si="6"/>
        <v xml:space="preserve"> </v>
      </c>
      <c r="N50" s="50" t="str">
        <f t="shared" si="1"/>
        <v xml:space="preserve"> </v>
      </c>
      <c r="O50" s="51" t="str">
        <f t="shared" si="2"/>
        <v xml:space="preserve"> </v>
      </c>
      <c r="P50" s="52" t="str">
        <f t="shared" si="3"/>
        <v xml:space="preserve"> </v>
      </c>
      <c r="Q50" s="50" t="str">
        <f t="shared" si="4"/>
        <v/>
      </c>
      <c r="R50" s="50" t="str">
        <f t="shared" si="5"/>
        <v/>
      </c>
      <c r="S50" s="53"/>
    </row>
    <row r="51" spans="1:23" ht="18" customHeight="1">
      <c r="A51" s="43"/>
      <c r="B51" s="44" t="s">
        <v>110</v>
      </c>
      <c r="C51" s="46" t="s">
        <v>61</v>
      </c>
      <c r="D51" s="45">
        <v>2.12</v>
      </c>
      <c r="E51" s="45">
        <v>0.03</v>
      </c>
      <c r="F51" s="45">
        <v>-0.03</v>
      </c>
      <c r="G51" s="46" t="s">
        <v>76</v>
      </c>
      <c r="H51" s="47"/>
      <c r="I51" s="48"/>
      <c r="J51" s="48"/>
      <c r="K51" s="49" t="str">
        <f t="shared" si="6"/>
        <v xml:space="preserve"> </v>
      </c>
      <c r="L51" s="49" t="str">
        <f t="shared" si="6"/>
        <v xml:space="preserve"> </v>
      </c>
      <c r="M51" s="49" t="str">
        <f t="shared" si="6"/>
        <v xml:space="preserve"> </v>
      </c>
      <c r="N51" s="50" t="str">
        <f t="shared" si="1"/>
        <v xml:space="preserve"> </v>
      </c>
      <c r="O51" s="51" t="str">
        <f t="shared" si="2"/>
        <v xml:space="preserve"> </v>
      </c>
      <c r="P51" s="52" t="str">
        <f t="shared" si="3"/>
        <v xml:space="preserve"> </v>
      </c>
      <c r="Q51" s="50" t="str">
        <f t="shared" si="4"/>
        <v/>
      </c>
      <c r="R51" s="50" t="str">
        <f t="shared" si="5"/>
        <v/>
      </c>
      <c r="S51" s="53"/>
    </row>
    <row r="52" spans="1:23" ht="18" customHeight="1">
      <c r="A52" s="43"/>
      <c r="B52" s="44" t="s">
        <v>111</v>
      </c>
      <c r="C52" s="46" t="s">
        <v>61</v>
      </c>
      <c r="D52" s="45">
        <v>13.16</v>
      </c>
      <c r="E52" s="45">
        <v>0.03</v>
      </c>
      <c r="F52" s="45">
        <v>-0.03</v>
      </c>
      <c r="G52" s="46" t="s">
        <v>76</v>
      </c>
      <c r="H52" s="47"/>
      <c r="I52" s="48"/>
      <c r="J52" s="48"/>
      <c r="K52" s="49" t="str">
        <f t="shared" si="6"/>
        <v xml:space="preserve"> </v>
      </c>
      <c r="L52" s="49" t="str">
        <f t="shared" si="6"/>
        <v xml:space="preserve"> </v>
      </c>
      <c r="M52" s="49" t="str">
        <f t="shared" si="6"/>
        <v xml:space="preserve"> </v>
      </c>
      <c r="N52" s="50" t="str">
        <f t="shared" si="1"/>
        <v xml:space="preserve"> </v>
      </c>
      <c r="O52" s="51" t="str">
        <f t="shared" si="2"/>
        <v xml:space="preserve"> </v>
      </c>
      <c r="P52" s="52" t="str">
        <f t="shared" si="3"/>
        <v xml:space="preserve"> </v>
      </c>
      <c r="Q52" s="50" t="str">
        <f t="shared" si="4"/>
        <v/>
      </c>
      <c r="R52" s="50" t="str">
        <f t="shared" si="5"/>
        <v/>
      </c>
      <c r="S52" s="53"/>
    </row>
    <row r="53" spans="1:23" ht="18" customHeight="1">
      <c r="A53" s="43"/>
      <c r="B53" s="44" t="s">
        <v>112</v>
      </c>
      <c r="C53" s="46" t="s">
        <v>61</v>
      </c>
      <c r="D53" s="45">
        <v>13.16</v>
      </c>
      <c r="E53" s="45">
        <v>0.03</v>
      </c>
      <c r="F53" s="45">
        <v>-0.03</v>
      </c>
      <c r="G53" s="46" t="s">
        <v>76</v>
      </c>
      <c r="H53" s="47"/>
      <c r="I53" s="48"/>
      <c r="J53" s="48"/>
      <c r="K53" s="49" t="str">
        <f t="shared" si="6"/>
        <v xml:space="preserve"> </v>
      </c>
      <c r="L53" s="49" t="str">
        <f t="shared" si="6"/>
        <v xml:space="preserve"> </v>
      </c>
      <c r="M53" s="49" t="str">
        <f t="shared" si="6"/>
        <v xml:space="preserve"> </v>
      </c>
      <c r="N53" s="50" t="str">
        <f t="shared" si="1"/>
        <v xml:space="preserve"> </v>
      </c>
      <c r="O53" s="51" t="str">
        <f t="shared" si="2"/>
        <v xml:space="preserve"> </v>
      </c>
      <c r="P53" s="52" t="str">
        <f t="shared" si="3"/>
        <v xml:space="preserve"> </v>
      </c>
      <c r="Q53" s="50" t="str">
        <f t="shared" si="4"/>
        <v/>
      </c>
      <c r="R53" s="50" t="str">
        <f t="shared" si="5"/>
        <v/>
      </c>
      <c r="S53" s="53"/>
    </row>
    <row r="54" spans="1:23" ht="18" customHeight="1">
      <c r="A54" s="43"/>
      <c r="B54" s="44" t="s">
        <v>113</v>
      </c>
      <c r="C54" s="46" t="s">
        <v>61</v>
      </c>
      <c r="D54" s="45">
        <v>0.2</v>
      </c>
      <c r="E54" s="45">
        <v>0.04</v>
      </c>
      <c r="F54" s="45">
        <v>-7.0000000000000007E-2</v>
      </c>
      <c r="G54" s="46" t="s">
        <v>76</v>
      </c>
      <c r="H54" s="47"/>
      <c r="I54" s="48"/>
      <c r="J54" s="48"/>
      <c r="K54" s="49" t="str">
        <f t="shared" si="6"/>
        <v xml:space="preserve"> </v>
      </c>
      <c r="L54" s="49" t="str">
        <f t="shared" si="6"/>
        <v xml:space="preserve"> </v>
      </c>
      <c r="M54" s="49" t="str">
        <f t="shared" si="6"/>
        <v xml:space="preserve"> </v>
      </c>
      <c r="N54" s="50" t="str">
        <f t="shared" si="1"/>
        <v xml:space="preserve"> </v>
      </c>
      <c r="O54" s="51" t="str">
        <f t="shared" si="2"/>
        <v xml:space="preserve"> </v>
      </c>
      <c r="P54" s="52" t="str">
        <f t="shared" si="3"/>
        <v xml:space="preserve"> </v>
      </c>
      <c r="Q54" s="50" t="str">
        <f t="shared" si="4"/>
        <v/>
      </c>
      <c r="R54" s="50" t="str">
        <f t="shared" si="5"/>
        <v/>
      </c>
      <c r="S54" s="53"/>
    </row>
    <row r="55" spans="1:23" ht="18" customHeight="1">
      <c r="A55" s="43"/>
      <c r="B55" s="44" t="s">
        <v>114</v>
      </c>
      <c r="C55" s="46" t="s">
        <v>61</v>
      </c>
      <c r="D55" s="45">
        <v>0.2</v>
      </c>
      <c r="E55" s="45">
        <v>0.04</v>
      </c>
      <c r="F55" s="45">
        <v>-7.0000000000000007E-2</v>
      </c>
      <c r="G55" s="46" t="s">
        <v>76</v>
      </c>
      <c r="H55" s="47"/>
      <c r="I55" s="48"/>
      <c r="J55" s="48"/>
      <c r="K55" s="49" t="str">
        <f t="shared" si="6"/>
        <v xml:space="preserve"> </v>
      </c>
      <c r="L55" s="49" t="str">
        <f t="shared" si="6"/>
        <v xml:space="preserve"> </v>
      </c>
      <c r="M55" s="49" t="str">
        <f t="shared" si="6"/>
        <v xml:space="preserve"> </v>
      </c>
      <c r="N55" s="50" t="str">
        <f t="shared" si="1"/>
        <v xml:space="preserve"> </v>
      </c>
      <c r="O55" s="51" t="str">
        <f t="shared" si="2"/>
        <v xml:space="preserve"> </v>
      </c>
      <c r="P55" s="52" t="str">
        <f t="shared" si="3"/>
        <v xml:space="preserve"> </v>
      </c>
      <c r="Q55" s="50" t="str">
        <f t="shared" si="4"/>
        <v/>
      </c>
      <c r="R55" s="50" t="str">
        <f t="shared" si="5"/>
        <v/>
      </c>
      <c r="S55" s="53"/>
    </row>
    <row r="56" spans="1:23" ht="18" customHeight="1">
      <c r="A56" s="43"/>
      <c r="B56" s="44" t="s">
        <v>115</v>
      </c>
      <c r="C56" s="46" t="s">
        <v>61</v>
      </c>
      <c r="D56" s="45">
        <v>1.0900000000000001</v>
      </c>
      <c r="E56" s="45">
        <v>0.03</v>
      </c>
      <c r="F56" s="45">
        <v>-0.03</v>
      </c>
      <c r="G56" s="46" t="s">
        <v>76</v>
      </c>
      <c r="H56" s="47"/>
      <c r="I56" s="48"/>
      <c r="J56" s="48"/>
      <c r="K56" s="49" t="str">
        <f t="shared" si="6"/>
        <v xml:space="preserve"> </v>
      </c>
      <c r="L56" s="49" t="str">
        <f t="shared" si="6"/>
        <v xml:space="preserve"> </v>
      </c>
      <c r="M56" s="49" t="str">
        <f t="shared" si="6"/>
        <v xml:space="preserve"> </v>
      </c>
      <c r="N56" s="50" t="str">
        <f t="shared" si="1"/>
        <v xml:space="preserve"> </v>
      </c>
      <c r="O56" s="51" t="str">
        <f t="shared" si="2"/>
        <v xml:space="preserve"> </v>
      </c>
      <c r="P56" s="52" t="str">
        <f t="shared" si="3"/>
        <v xml:space="preserve"> </v>
      </c>
      <c r="Q56" s="50" t="str">
        <f t="shared" si="4"/>
        <v/>
      </c>
      <c r="R56" s="50" t="str">
        <f t="shared" si="5"/>
        <v/>
      </c>
      <c r="S56" s="53"/>
    </row>
    <row r="57" spans="1:23" ht="18" customHeight="1">
      <c r="A57" s="43"/>
      <c r="B57" s="44" t="s">
        <v>116</v>
      </c>
      <c r="C57" s="46" t="s">
        <v>61</v>
      </c>
      <c r="D57" s="45">
        <v>13.5</v>
      </c>
      <c r="E57" s="45">
        <v>0.03</v>
      </c>
      <c r="F57" s="45">
        <v>-0.03</v>
      </c>
      <c r="G57" s="46" t="s">
        <v>76</v>
      </c>
      <c r="H57" s="47"/>
      <c r="I57" s="48"/>
      <c r="J57" s="48"/>
      <c r="K57" s="49" t="str">
        <f t="shared" si="6"/>
        <v xml:space="preserve"> </v>
      </c>
      <c r="L57" s="49" t="str">
        <f t="shared" si="6"/>
        <v xml:space="preserve"> </v>
      </c>
      <c r="M57" s="49" t="str">
        <f t="shared" si="6"/>
        <v xml:space="preserve"> </v>
      </c>
      <c r="N57" s="50" t="str">
        <f t="shared" si="1"/>
        <v xml:space="preserve"> </v>
      </c>
      <c r="O57" s="51" t="str">
        <f t="shared" si="2"/>
        <v xml:space="preserve"> </v>
      </c>
      <c r="P57" s="52" t="str">
        <f t="shared" si="3"/>
        <v xml:space="preserve"> </v>
      </c>
      <c r="Q57" s="50" t="str">
        <f t="shared" si="4"/>
        <v/>
      </c>
      <c r="R57" s="50" t="str">
        <f t="shared" si="5"/>
        <v/>
      </c>
      <c r="S57" s="53"/>
    </row>
    <row r="58" spans="1:23" ht="18" customHeight="1">
      <c r="A58" s="43"/>
      <c r="B58" s="44" t="s">
        <v>117</v>
      </c>
      <c r="C58" s="46" t="s">
        <v>61</v>
      </c>
      <c r="D58" s="45">
        <v>1</v>
      </c>
      <c r="E58" s="45">
        <v>0.03</v>
      </c>
      <c r="F58" s="45">
        <v>-0.03</v>
      </c>
      <c r="G58" s="46" t="s">
        <v>76</v>
      </c>
      <c r="H58" s="47"/>
      <c r="I58" s="48"/>
      <c r="J58" s="48"/>
      <c r="K58" s="49" t="str">
        <f t="shared" si="6"/>
        <v xml:space="preserve"> </v>
      </c>
      <c r="L58" s="49" t="str">
        <f t="shared" si="6"/>
        <v xml:space="preserve"> </v>
      </c>
      <c r="M58" s="49" t="str">
        <f t="shared" si="6"/>
        <v xml:space="preserve"> </v>
      </c>
      <c r="N58" s="50" t="str">
        <f t="shared" si="1"/>
        <v xml:space="preserve"> </v>
      </c>
      <c r="O58" s="51" t="str">
        <f t="shared" si="2"/>
        <v xml:space="preserve"> </v>
      </c>
      <c r="P58" s="52" t="str">
        <f t="shared" si="3"/>
        <v xml:space="preserve"> </v>
      </c>
      <c r="Q58" s="50" t="str">
        <f t="shared" si="4"/>
        <v/>
      </c>
      <c r="R58" s="50" t="str">
        <f t="shared" si="5"/>
        <v/>
      </c>
      <c r="S58" s="53"/>
    </row>
    <row r="59" spans="1:23" ht="18" customHeight="1">
      <c r="A59" s="43"/>
      <c r="B59" s="44" t="s">
        <v>118</v>
      </c>
      <c r="C59" s="46" t="s">
        <v>61</v>
      </c>
      <c r="D59" s="45">
        <v>0.95</v>
      </c>
      <c r="E59" s="45">
        <v>0.03</v>
      </c>
      <c r="F59" s="45">
        <v>-0.03</v>
      </c>
      <c r="G59" s="46" t="s">
        <v>76</v>
      </c>
      <c r="H59" s="47"/>
      <c r="I59" s="48"/>
      <c r="J59" s="48"/>
      <c r="K59" s="49" t="str">
        <f t="shared" si="6"/>
        <v xml:space="preserve"> </v>
      </c>
      <c r="L59" s="49" t="str">
        <f t="shared" si="6"/>
        <v xml:space="preserve"> </v>
      </c>
      <c r="M59" s="49" t="str">
        <f t="shared" si="6"/>
        <v xml:space="preserve"> </v>
      </c>
      <c r="N59" s="50" t="str">
        <f t="shared" si="1"/>
        <v xml:space="preserve"> </v>
      </c>
      <c r="O59" s="51" t="str">
        <f t="shared" si="2"/>
        <v xml:space="preserve"> </v>
      </c>
      <c r="P59" s="52" t="str">
        <f t="shared" si="3"/>
        <v xml:space="preserve"> </v>
      </c>
      <c r="Q59" s="50" t="str">
        <f t="shared" si="4"/>
        <v/>
      </c>
      <c r="R59" s="50" t="str">
        <f t="shared" si="5"/>
        <v/>
      </c>
      <c r="S59" s="53"/>
    </row>
    <row r="60" spans="1:23" ht="18" customHeight="1">
      <c r="A60" s="43"/>
      <c r="B60" s="44" t="s">
        <v>119</v>
      </c>
      <c r="C60" s="46" t="s">
        <v>61</v>
      </c>
      <c r="D60" s="45">
        <v>2.12</v>
      </c>
      <c r="E60" s="45">
        <v>0.03</v>
      </c>
      <c r="F60" s="45">
        <v>-0.03</v>
      </c>
      <c r="G60" s="46" t="s">
        <v>76</v>
      </c>
      <c r="H60" s="47"/>
      <c r="I60" s="48"/>
      <c r="J60" s="48"/>
      <c r="K60" s="49" t="str">
        <f t="shared" si="6"/>
        <v xml:space="preserve"> </v>
      </c>
      <c r="L60" s="49" t="str">
        <f t="shared" si="6"/>
        <v xml:space="preserve"> </v>
      </c>
      <c r="M60" s="49" t="str">
        <f t="shared" si="6"/>
        <v xml:space="preserve"> </v>
      </c>
      <c r="N60" s="50" t="str">
        <f t="shared" si="1"/>
        <v xml:space="preserve"> </v>
      </c>
      <c r="O60" s="51" t="str">
        <f t="shared" si="2"/>
        <v xml:space="preserve"> </v>
      </c>
      <c r="P60" s="52" t="str">
        <f t="shared" si="3"/>
        <v xml:space="preserve"> </v>
      </c>
      <c r="Q60" s="50" t="str">
        <f t="shared" si="4"/>
        <v/>
      </c>
      <c r="R60" s="50" t="str">
        <f t="shared" si="5"/>
        <v/>
      </c>
      <c r="S60" s="53"/>
      <c r="U60" s="57"/>
    </row>
    <row r="61" spans="1:23" ht="18" customHeight="1">
      <c r="A61" s="43"/>
      <c r="B61" s="44" t="s">
        <v>120</v>
      </c>
      <c r="C61" s="46" t="s">
        <v>61</v>
      </c>
      <c r="D61" s="45">
        <v>2.12</v>
      </c>
      <c r="E61" s="45">
        <v>0.03</v>
      </c>
      <c r="F61" s="45">
        <v>-0.03</v>
      </c>
      <c r="G61" s="46" t="s">
        <v>76</v>
      </c>
      <c r="H61" s="47"/>
      <c r="I61" s="48"/>
      <c r="J61" s="48"/>
      <c r="K61" s="49" t="str">
        <f t="shared" si="6"/>
        <v xml:space="preserve"> </v>
      </c>
      <c r="L61" s="49" t="str">
        <f t="shared" si="6"/>
        <v xml:space="preserve"> </v>
      </c>
      <c r="M61" s="49" t="str">
        <f t="shared" si="6"/>
        <v xml:space="preserve"> </v>
      </c>
      <c r="N61" s="50" t="str">
        <f t="shared" si="1"/>
        <v xml:space="preserve"> </v>
      </c>
      <c r="O61" s="51" t="str">
        <f t="shared" si="2"/>
        <v xml:space="preserve"> </v>
      </c>
      <c r="P61" s="52" t="str">
        <f t="shared" si="3"/>
        <v xml:space="preserve"> </v>
      </c>
      <c r="Q61" s="50" t="str">
        <f t="shared" si="4"/>
        <v/>
      </c>
      <c r="R61" s="50" t="str">
        <f t="shared" si="5"/>
        <v/>
      </c>
      <c r="S61" s="53"/>
      <c r="V61" s="154"/>
      <c r="W61" s="154"/>
    </row>
    <row r="62" spans="1:23" ht="18" customHeight="1">
      <c r="A62" s="43"/>
      <c r="B62" s="44" t="s">
        <v>121</v>
      </c>
      <c r="C62" s="46" t="s">
        <v>61</v>
      </c>
      <c r="D62" s="45">
        <v>11.128</v>
      </c>
      <c r="E62" s="45">
        <v>0.03</v>
      </c>
      <c r="F62" s="45">
        <v>-0.03</v>
      </c>
      <c r="G62" s="46" t="s">
        <v>76</v>
      </c>
      <c r="H62" s="47"/>
      <c r="I62" s="48"/>
      <c r="J62" s="48"/>
      <c r="K62" s="49" t="str">
        <f t="shared" si="6"/>
        <v xml:space="preserve"> </v>
      </c>
      <c r="L62" s="49" t="str">
        <f t="shared" si="6"/>
        <v xml:space="preserve"> </v>
      </c>
      <c r="M62" s="49" t="str">
        <f t="shared" si="6"/>
        <v xml:space="preserve"> </v>
      </c>
      <c r="N62" s="50" t="str">
        <f t="shared" si="1"/>
        <v xml:space="preserve"> </v>
      </c>
      <c r="O62" s="51" t="str">
        <f t="shared" si="2"/>
        <v xml:space="preserve"> </v>
      </c>
      <c r="P62" s="52" t="str">
        <f t="shared" si="3"/>
        <v xml:space="preserve"> </v>
      </c>
      <c r="Q62" s="50" t="str">
        <f t="shared" si="4"/>
        <v/>
      </c>
      <c r="R62" s="50" t="str">
        <f t="shared" si="5"/>
        <v/>
      </c>
      <c r="S62" s="53"/>
      <c r="V62" s="154"/>
      <c r="W62" s="154"/>
    </row>
    <row r="63" spans="1:23" ht="18" customHeight="1">
      <c r="A63" s="43"/>
      <c r="B63" s="44" t="s">
        <v>122</v>
      </c>
      <c r="C63" s="46" t="s">
        <v>61</v>
      </c>
      <c r="D63" s="45">
        <v>1.2</v>
      </c>
      <c r="E63" s="45">
        <v>0.03</v>
      </c>
      <c r="F63" s="45">
        <v>-0.03</v>
      </c>
      <c r="G63" s="46" t="s">
        <v>76</v>
      </c>
      <c r="H63" s="47"/>
      <c r="I63" s="48"/>
      <c r="J63" s="48"/>
      <c r="K63" s="49" t="str">
        <f t="shared" si="6"/>
        <v xml:space="preserve"> </v>
      </c>
      <c r="L63" s="49" t="str">
        <f t="shared" si="6"/>
        <v xml:space="preserve"> </v>
      </c>
      <c r="M63" s="49" t="str">
        <f t="shared" si="6"/>
        <v xml:space="preserve"> </v>
      </c>
      <c r="N63" s="50" t="str">
        <f t="shared" si="1"/>
        <v xml:space="preserve"> </v>
      </c>
      <c r="O63" s="51" t="str">
        <f t="shared" si="2"/>
        <v xml:space="preserve"> </v>
      </c>
      <c r="P63" s="52" t="str">
        <f t="shared" si="3"/>
        <v xml:space="preserve"> </v>
      </c>
      <c r="Q63" s="50" t="str">
        <f t="shared" si="4"/>
        <v/>
      </c>
      <c r="R63" s="50" t="str">
        <f t="shared" si="5"/>
        <v/>
      </c>
      <c r="S63" s="53"/>
    </row>
    <row r="64" spans="1:23" ht="18" customHeight="1">
      <c r="A64" s="43"/>
      <c r="B64" s="44" t="s">
        <v>123</v>
      </c>
      <c r="C64" s="46" t="s">
        <v>61</v>
      </c>
      <c r="D64" s="45">
        <v>0.99</v>
      </c>
      <c r="E64" s="45">
        <v>0.03</v>
      </c>
      <c r="F64" s="45">
        <v>-0.03</v>
      </c>
      <c r="G64" s="46" t="s">
        <v>76</v>
      </c>
      <c r="H64" s="47"/>
      <c r="I64" s="48"/>
      <c r="J64" s="48"/>
      <c r="K64" s="49" t="str">
        <f t="shared" si="6"/>
        <v xml:space="preserve"> </v>
      </c>
      <c r="L64" s="49" t="str">
        <f t="shared" si="6"/>
        <v xml:space="preserve"> </v>
      </c>
      <c r="M64" s="49" t="str">
        <f t="shared" si="6"/>
        <v xml:space="preserve"> </v>
      </c>
      <c r="N64" s="50" t="str">
        <f t="shared" si="1"/>
        <v xml:space="preserve"> </v>
      </c>
      <c r="O64" s="51" t="str">
        <f t="shared" si="2"/>
        <v xml:space="preserve"> </v>
      </c>
      <c r="P64" s="52" t="str">
        <f t="shared" si="3"/>
        <v xml:space="preserve"> </v>
      </c>
      <c r="Q64" s="50" t="str">
        <f t="shared" si="4"/>
        <v/>
      </c>
      <c r="R64" s="50" t="str">
        <f t="shared" si="5"/>
        <v/>
      </c>
      <c r="S64" s="53"/>
    </row>
    <row r="65" spans="1:19" ht="18" customHeight="1">
      <c r="A65" s="43"/>
      <c r="B65" s="44" t="s">
        <v>124</v>
      </c>
      <c r="C65" s="46" t="s">
        <v>61</v>
      </c>
      <c r="D65" s="45">
        <v>13.625</v>
      </c>
      <c r="E65" s="45">
        <v>0.03</v>
      </c>
      <c r="F65" s="45">
        <v>-0.04</v>
      </c>
      <c r="G65" s="46" t="s">
        <v>76</v>
      </c>
      <c r="H65" s="47"/>
      <c r="I65" s="48"/>
      <c r="J65" s="48"/>
      <c r="K65" s="49" t="str">
        <f t="shared" si="6"/>
        <v xml:space="preserve"> </v>
      </c>
      <c r="L65" s="49" t="str">
        <f t="shared" si="6"/>
        <v xml:space="preserve"> </v>
      </c>
      <c r="M65" s="49" t="str">
        <f t="shared" si="6"/>
        <v xml:space="preserve"> </v>
      </c>
      <c r="N65" s="50" t="str">
        <f t="shared" si="1"/>
        <v xml:space="preserve"> </v>
      </c>
      <c r="O65" s="51" t="str">
        <f t="shared" si="2"/>
        <v xml:space="preserve"> </v>
      </c>
      <c r="P65" s="52" t="str">
        <f t="shared" si="3"/>
        <v xml:space="preserve"> </v>
      </c>
      <c r="Q65" s="50" t="str">
        <f t="shared" si="4"/>
        <v/>
      </c>
      <c r="R65" s="50" t="str">
        <f t="shared" si="5"/>
        <v/>
      </c>
      <c r="S65" s="53"/>
    </row>
    <row r="66" spans="1:19" ht="18" customHeight="1">
      <c r="A66" s="43"/>
      <c r="B66" s="44" t="s">
        <v>125</v>
      </c>
      <c r="C66" s="46" t="s">
        <v>61</v>
      </c>
      <c r="D66" s="45">
        <v>14.7</v>
      </c>
      <c r="E66" s="45">
        <v>0.03</v>
      </c>
      <c r="F66" s="45">
        <v>-0.03</v>
      </c>
      <c r="G66" s="46" t="s">
        <v>76</v>
      </c>
      <c r="H66" s="47"/>
      <c r="I66" s="48"/>
      <c r="J66" s="48"/>
      <c r="K66" s="49" t="str">
        <f t="shared" si="6"/>
        <v xml:space="preserve"> </v>
      </c>
      <c r="L66" s="49" t="str">
        <f t="shared" si="6"/>
        <v xml:space="preserve"> </v>
      </c>
      <c r="M66" s="49" t="str">
        <f t="shared" si="6"/>
        <v xml:space="preserve"> </v>
      </c>
      <c r="N66" s="50" t="str">
        <f t="shared" si="1"/>
        <v xml:space="preserve"> </v>
      </c>
      <c r="O66" s="51" t="str">
        <f t="shared" si="2"/>
        <v xml:space="preserve"> </v>
      </c>
      <c r="P66" s="52" t="str">
        <f t="shared" si="3"/>
        <v xml:space="preserve"> </v>
      </c>
      <c r="Q66" s="50" t="str">
        <f t="shared" si="4"/>
        <v/>
      </c>
      <c r="R66" s="50" t="str">
        <f t="shared" si="5"/>
        <v/>
      </c>
      <c r="S66" s="53"/>
    </row>
    <row r="67" spans="1:19" ht="18" customHeight="1">
      <c r="A67" s="43"/>
      <c r="B67" s="44" t="s">
        <v>126</v>
      </c>
      <c r="C67" s="46" t="s">
        <v>127</v>
      </c>
      <c r="D67" s="45">
        <v>7.0000000000000007E-2</v>
      </c>
      <c r="E67" s="45">
        <v>0.03</v>
      </c>
      <c r="F67" s="45">
        <v>-0.03</v>
      </c>
      <c r="G67" s="46" t="s">
        <v>76</v>
      </c>
      <c r="H67" s="47"/>
      <c r="I67" s="48"/>
      <c r="J67" s="48"/>
      <c r="K67" s="49" t="str">
        <f t="shared" si="6"/>
        <v xml:space="preserve"> </v>
      </c>
      <c r="L67" s="49" t="str">
        <f t="shared" si="6"/>
        <v xml:space="preserve"> </v>
      </c>
      <c r="M67" s="49" t="str">
        <f t="shared" si="6"/>
        <v xml:space="preserve"> </v>
      </c>
      <c r="N67" s="50" t="str">
        <f t="shared" si="1"/>
        <v xml:space="preserve"> </v>
      </c>
      <c r="O67" s="51" t="str">
        <f t="shared" si="2"/>
        <v xml:space="preserve"> </v>
      </c>
      <c r="P67" s="52" t="str">
        <f t="shared" si="3"/>
        <v xml:space="preserve"> </v>
      </c>
      <c r="Q67" s="50" t="str">
        <f t="shared" si="4"/>
        <v/>
      </c>
      <c r="R67" s="50" t="str">
        <f t="shared" si="5"/>
        <v/>
      </c>
      <c r="S67" s="53"/>
    </row>
    <row r="68" spans="1:19" ht="18" customHeight="1">
      <c r="A68" s="43"/>
      <c r="B68" s="44" t="s">
        <v>128</v>
      </c>
      <c r="C68" s="46" t="s">
        <v>127</v>
      </c>
      <c r="D68" s="45">
        <v>7.0000000000000007E-2</v>
      </c>
      <c r="E68" s="45">
        <v>0.03</v>
      </c>
      <c r="F68" s="45">
        <v>-0.03</v>
      </c>
      <c r="G68" s="46" t="s">
        <v>76</v>
      </c>
      <c r="H68" s="47"/>
      <c r="I68" s="48"/>
      <c r="J68" s="48"/>
      <c r="K68" s="49" t="str">
        <f t="shared" si="6"/>
        <v xml:space="preserve"> </v>
      </c>
      <c r="L68" s="49" t="str">
        <f t="shared" si="6"/>
        <v xml:space="preserve"> </v>
      </c>
      <c r="M68" s="49" t="str">
        <f t="shared" si="6"/>
        <v xml:space="preserve"> </v>
      </c>
      <c r="N68" s="50" t="str">
        <f t="shared" si="1"/>
        <v xml:space="preserve"> </v>
      </c>
      <c r="O68" s="51" t="str">
        <f t="shared" si="2"/>
        <v xml:space="preserve"> </v>
      </c>
      <c r="P68" s="52" t="str">
        <f t="shared" si="3"/>
        <v xml:space="preserve"> </v>
      </c>
      <c r="Q68" s="50" t="str">
        <f t="shared" si="4"/>
        <v/>
      </c>
      <c r="R68" s="50" t="str">
        <f t="shared" si="5"/>
        <v/>
      </c>
      <c r="S68" s="53"/>
    </row>
    <row r="69" spans="1:19" ht="18" customHeight="1">
      <c r="A69" s="43"/>
      <c r="B69" s="44" t="s">
        <v>129</v>
      </c>
      <c r="C69" s="46" t="s">
        <v>127</v>
      </c>
      <c r="D69" s="45">
        <v>7.0000000000000007E-2</v>
      </c>
      <c r="E69" s="45">
        <v>0.03</v>
      </c>
      <c r="F69" s="45">
        <v>-0.03</v>
      </c>
      <c r="G69" s="46" t="s">
        <v>76</v>
      </c>
      <c r="H69" s="47"/>
      <c r="I69" s="48"/>
      <c r="J69" s="48"/>
      <c r="K69" s="49" t="str">
        <f t="shared" si="6"/>
        <v xml:space="preserve"> </v>
      </c>
      <c r="L69" s="49" t="str">
        <f t="shared" si="6"/>
        <v xml:space="preserve"> </v>
      </c>
      <c r="M69" s="49" t="str">
        <f t="shared" si="6"/>
        <v xml:space="preserve"> </v>
      </c>
      <c r="N69" s="50" t="str">
        <f t="shared" si="1"/>
        <v xml:space="preserve"> </v>
      </c>
      <c r="O69" s="51" t="str">
        <f t="shared" si="2"/>
        <v xml:space="preserve"> </v>
      </c>
      <c r="P69" s="52" t="str">
        <f t="shared" si="3"/>
        <v xml:space="preserve"> </v>
      </c>
      <c r="Q69" s="50" t="str">
        <f t="shared" si="4"/>
        <v/>
      </c>
      <c r="R69" s="50" t="str">
        <f t="shared" si="5"/>
        <v/>
      </c>
      <c r="S69" s="53"/>
    </row>
    <row r="70" spans="1:19" ht="18" customHeight="1">
      <c r="A70" s="43"/>
      <c r="B70" s="44" t="s">
        <v>130</v>
      </c>
      <c r="C70" s="46" t="s">
        <v>127</v>
      </c>
      <c r="D70" s="45">
        <v>7.0000000000000007E-2</v>
      </c>
      <c r="E70" s="45">
        <v>0.03</v>
      </c>
      <c r="F70" s="45">
        <v>-0.03</v>
      </c>
      <c r="G70" s="46" t="s">
        <v>76</v>
      </c>
      <c r="H70" s="47"/>
      <c r="I70" s="48"/>
      <c r="J70" s="48"/>
      <c r="K70" s="49" t="str">
        <f t="shared" ref="K70:M80" si="7">IF(ISERR(H70/H70)=TRUE," ",H70-$D70)</f>
        <v xml:space="preserve"> </v>
      </c>
      <c r="L70" s="49" t="str">
        <f t="shared" si="7"/>
        <v xml:space="preserve"> </v>
      </c>
      <c r="M70" s="49" t="str">
        <f t="shared" si="7"/>
        <v xml:space="preserve"> </v>
      </c>
      <c r="N70" s="50" t="str">
        <f t="shared" ref="N70:N80" si="8">IF(ISERR(H70/H70)=TRUE," ",AVERAGE(H70:J70))</f>
        <v xml:space="preserve"> </v>
      </c>
      <c r="O70" s="51" t="str">
        <f t="shared" ref="O70:O80" si="9">IF(ISERR(E70/E70)=TRUE," ",IF(ISERR(H70/H70)=TRUE," ",IF(ISNUMBER($H70)=FALSE," ",IF(MAX($H70:$J70)&lt;$D70,0,(MAX($H70:$J70)-$D70)/$E70))))</f>
        <v xml:space="preserve"> </v>
      </c>
      <c r="P70" s="52" t="str">
        <f t="shared" ref="P70:P80" si="10">IF(ISERR(F70/D70)=TRUE," ",IF(ISERR(F70/F70)=TRUE," ",IF(ISERR(H70/H70)=TRUE," ",IF(ISNUMBER(H70)=FALSE," ",IF(MIN(H70:J70)&gt;$D70,0,($D70-MIN(H70:J70))/-F70)))))</f>
        <v xml:space="preserve"> </v>
      </c>
      <c r="Q70" s="50" t="str">
        <f t="shared" ref="Q70:Q80" si="11">IF(ISNUMBER($O70)=TRUE,IF($O70&gt;0.651,IF($O70&gt;1.001,"Reject","Alert"),""),"")</f>
        <v/>
      </c>
      <c r="R70" s="50" t="str">
        <f t="shared" ref="R70:R80" si="12">IF(H70="","",IF(ISERR(F70/F70)=TRUE,"",IF(ISERR(F70/D70)=TRUE,IF((F70-MIN(H70:J70))&gt;0.001,"Reject",""),IF(ISNUMBER($P70)=TRUE,IF($P70&gt;0.651,IF($P70&gt;1.001,"Reject","Alert"),""),""))))</f>
        <v/>
      </c>
      <c r="S70" s="53"/>
    </row>
    <row r="71" spans="1:19" ht="18" customHeight="1">
      <c r="A71" s="43"/>
      <c r="B71" s="44" t="s">
        <v>131</v>
      </c>
      <c r="C71" s="46" t="s">
        <v>127</v>
      </c>
      <c r="D71" s="45">
        <v>7.0000000000000007E-2</v>
      </c>
      <c r="E71" s="45">
        <v>0.03</v>
      </c>
      <c r="F71" s="45">
        <v>-0.03</v>
      </c>
      <c r="G71" s="46" t="s">
        <v>76</v>
      </c>
      <c r="H71" s="47"/>
      <c r="I71" s="48"/>
      <c r="J71" s="48"/>
      <c r="K71" s="49" t="str">
        <f t="shared" si="7"/>
        <v xml:space="preserve"> </v>
      </c>
      <c r="L71" s="49" t="str">
        <f t="shared" si="7"/>
        <v xml:space="preserve"> </v>
      </c>
      <c r="M71" s="49" t="str">
        <f t="shared" si="7"/>
        <v xml:space="preserve"> </v>
      </c>
      <c r="N71" s="50" t="str">
        <f t="shared" si="8"/>
        <v xml:space="preserve"> </v>
      </c>
      <c r="O71" s="51" t="str">
        <f t="shared" si="9"/>
        <v xml:space="preserve"> </v>
      </c>
      <c r="P71" s="52" t="str">
        <f t="shared" si="10"/>
        <v xml:space="preserve"> </v>
      </c>
      <c r="Q71" s="50" t="str">
        <f t="shared" si="11"/>
        <v/>
      </c>
      <c r="R71" s="50" t="str">
        <f t="shared" si="12"/>
        <v/>
      </c>
      <c r="S71" s="53"/>
    </row>
    <row r="72" spans="1:19" ht="18" customHeight="1">
      <c r="A72" s="43"/>
      <c r="B72" s="44" t="s">
        <v>132</v>
      </c>
      <c r="C72" s="46" t="s">
        <v>127</v>
      </c>
      <c r="D72" s="45">
        <v>7.0000000000000007E-2</v>
      </c>
      <c r="E72" s="45">
        <v>0.03</v>
      </c>
      <c r="F72" s="45">
        <v>-0.03</v>
      </c>
      <c r="G72" s="46" t="s">
        <v>76</v>
      </c>
      <c r="H72" s="47"/>
      <c r="I72" s="48"/>
      <c r="J72" s="48"/>
      <c r="K72" s="49" t="str">
        <f t="shared" si="7"/>
        <v xml:space="preserve"> </v>
      </c>
      <c r="L72" s="49" t="str">
        <f t="shared" si="7"/>
        <v xml:space="preserve"> </v>
      </c>
      <c r="M72" s="49" t="str">
        <f t="shared" si="7"/>
        <v xml:space="preserve"> </v>
      </c>
      <c r="N72" s="50" t="str">
        <f t="shared" si="8"/>
        <v xml:space="preserve"> </v>
      </c>
      <c r="O72" s="51" t="str">
        <f t="shared" si="9"/>
        <v xml:space="preserve"> </v>
      </c>
      <c r="P72" s="52" t="str">
        <f t="shared" si="10"/>
        <v xml:space="preserve"> </v>
      </c>
      <c r="Q72" s="50" t="str">
        <f t="shared" si="11"/>
        <v/>
      </c>
      <c r="R72" s="50" t="str">
        <f t="shared" si="12"/>
        <v/>
      </c>
      <c r="S72" s="53"/>
    </row>
    <row r="73" spans="1:19" ht="18" customHeight="1">
      <c r="A73" s="43"/>
      <c r="B73" s="44" t="s">
        <v>133</v>
      </c>
      <c r="C73" s="46" t="s">
        <v>66</v>
      </c>
      <c r="D73" s="45">
        <v>9.7000000000000003E-2</v>
      </c>
      <c r="E73" s="45">
        <v>0.01</v>
      </c>
      <c r="F73" s="45">
        <v>-0.04</v>
      </c>
      <c r="G73" s="46" t="s">
        <v>76</v>
      </c>
      <c r="H73" s="47"/>
      <c r="I73" s="48"/>
      <c r="J73" s="48"/>
      <c r="K73" s="49" t="str">
        <f t="shared" si="7"/>
        <v xml:space="preserve"> </v>
      </c>
      <c r="L73" s="49" t="str">
        <f t="shared" si="7"/>
        <v xml:space="preserve"> </v>
      </c>
      <c r="M73" s="49" t="str">
        <f t="shared" si="7"/>
        <v xml:space="preserve"> </v>
      </c>
      <c r="N73" s="50" t="str">
        <f t="shared" si="8"/>
        <v xml:space="preserve"> </v>
      </c>
      <c r="O73" s="51" t="str">
        <f t="shared" si="9"/>
        <v xml:space="preserve"> </v>
      </c>
      <c r="P73" s="52" t="str">
        <f t="shared" si="10"/>
        <v xml:space="preserve"> </v>
      </c>
      <c r="Q73" s="50" t="str">
        <f t="shared" si="11"/>
        <v/>
      </c>
      <c r="R73" s="50" t="str">
        <f t="shared" si="12"/>
        <v/>
      </c>
      <c r="S73" s="53"/>
    </row>
    <row r="74" spans="1:19" ht="18" customHeight="1">
      <c r="A74" s="43"/>
      <c r="B74" s="44" t="s">
        <v>134</v>
      </c>
      <c r="C74" s="46" t="s">
        <v>66</v>
      </c>
      <c r="D74" s="45">
        <v>9.7000000000000003E-2</v>
      </c>
      <c r="E74" s="45">
        <v>0.01</v>
      </c>
      <c r="F74" s="45">
        <v>-0.04</v>
      </c>
      <c r="G74" s="46" t="s">
        <v>76</v>
      </c>
      <c r="H74" s="47"/>
      <c r="I74" s="48"/>
      <c r="J74" s="48"/>
      <c r="K74" s="49" t="str">
        <f t="shared" si="7"/>
        <v xml:space="preserve"> </v>
      </c>
      <c r="L74" s="49" t="str">
        <f t="shared" si="7"/>
        <v xml:space="preserve"> </v>
      </c>
      <c r="M74" s="49" t="str">
        <f t="shared" si="7"/>
        <v xml:space="preserve"> </v>
      </c>
      <c r="N74" s="50" t="str">
        <f t="shared" si="8"/>
        <v xml:space="preserve"> </v>
      </c>
      <c r="O74" s="51" t="str">
        <f t="shared" si="9"/>
        <v xml:space="preserve"> </v>
      </c>
      <c r="P74" s="52" t="str">
        <f t="shared" si="10"/>
        <v xml:space="preserve"> </v>
      </c>
      <c r="Q74" s="50" t="str">
        <f t="shared" si="11"/>
        <v/>
      </c>
      <c r="R74" s="50" t="str">
        <f t="shared" si="12"/>
        <v/>
      </c>
      <c r="S74" s="53"/>
    </row>
    <row r="75" spans="1:19" ht="18" customHeight="1">
      <c r="A75" s="43"/>
      <c r="B75" s="44" t="s">
        <v>135</v>
      </c>
      <c r="C75" s="46" t="s">
        <v>66</v>
      </c>
      <c r="D75" s="45">
        <v>9.7000000000000003E-2</v>
      </c>
      <c r="E75" s="45">
        <v>0.01</v>
      </c>
      <c r="F75" s="45">
        <v>-0.04</v>
      </c>
      <c r="G75" s="46" t="s">
        <v>76</v>
      </c>
      <c r="H75" s="47"/>
      <c r="I75" s="48"/>
      <c r="J75" s="48"/>
      <c r="K75" s="49" t="str">
        <f t="shared" si="7"/>
        <v xml:space="preserve"> </v>
      </c>
      <c r="L75" s="49" t="str">
        <f t="shared" si="7"/>
        <v xml:space="preserve"> </v>
      </c>
      <c r="M75" s="49" t="str">
        <f t="shared" si="7"/>
        <v xml:space="preserve"> </v>
      </c>
      <c r="N75" s="50" t="str">
        <f t="shared" si="8"/>
        <v xml:space="preserve"> </v>
      </c>
      <c r="O75" s="51" t="str">
        <f t="shared" si="9"/>
        <v xml:space="preserve"> </v>
      </c>
      <c r="P75" s="52" t="str">
        <f t="shared" si="10"/>
        <v xml:space="preserve"> </v>
      </c>
      <c r="Q75" s="50" t="str">
        <f t="shared" si="11"/>
        <v/>
      </c>
      <c r="R75" s="50" t="str">
        <f t="shared" si="12"/>
        <v/>
      </c>
      <c r="S75" s="53"/>
    </row>
    <row r="76" spans="1:19" ht="18" customHeight="1">
      <c r="A76" s="43"/>
      <c r="B76" s="44" t="s">
        <v>136</v>
      </c>
      <c r="C76" s="46" t="s">
        <v>66</v>
      </c>
      <c r="D76" s="45">
        <v>9.7000000000000003E-2</v>
      </c>
      <c r="E76" s="45">
        <v>0.01</v>
      </c>
      <c r="F76" s="45">
        <v>-0.04</v>
      </c>
      <c r="G76" s="46" t="s">
        <v>76</v>
      </c>
      <c r="H76" s="47"/>
      <c r="I76" s="48"/>
      <c r="J76" s="48"/>
      <c r="K76" s="49" t="str">
        <f t="shared" si="7"/>
        <v xml:space="preserve"> </v>
      </c>
      <c r="L76" s="49" t="str">
        <f t="shared" si="7"/>
        <v xml:space="preserve"> </v>
      </c>
      <c r="M76" s="49" t="str">
        <f t="shared" si="7"/>
        <v xml:space="preserve"> </v>
      </c>
      <c r="N76" s="50" t="str">
        <f t="shared" si="8"/>
        <v xml:space="preserve"> </v>
      </c>
      <c r="O76" s="51" t="str">
        <f t="shared" si="9"/>
        <v xml:space="preserve"> </v>
      </c>
      <c r="P76" s="52" t="str">
        <f t="shared" si="10"/>
        <v xml:space="preserve"> </v>
      </c>
      <c r="Q76" s="50" t="str">
        <f t="shared" si="11"/>
        <v/>
      </c>
      <c r="R76" s="50" t="str">
        <f t="shared" si="12"/>
        <v/>
      </c>
      <c r="S76" s="53"/>
    </row>
    <row r="77" spans="1:19" ht="18" customHeight="1">
      <c r="A77" s="43"/>
      <c r="B77" s="44" t="s">
        <v>137</v>
      </c>
      <c r="C77" s="46" t="s">
        <v>105</v>
      </c>
      <c r="D77" s="45">
        <v>0.13500000000000001</v>
      </c>
      <c r="E77" s="45">
        <v>5.0000000000000001E-3</v>
      </c>
      <c r="F77" s="45">
        <v>-5.0000000000000001E-3</v>
      </c>
      <c r="G77" s="46" t="s">
        <v>106</v>
      </c>
      <c r="H77" s="47"/>
      <c r="I77" s="48"/>
      <c r="J77" s="48"/>
      <c r="K77" s="49" t="str">
        <f t="shared" si="7"/>
        <v xml:space="preserve"> </v>
      </c>
      <c r="L77" s="49" t="str">
        <f t="shared" si="7"/>
        <v xml:space="preserve"> </v>
      </c>
      <c r="M77" s="49" t="str">
        <f t="shared" si="7"/>
        <v xml:space="preserve"> </v>
      </c>
      <c r="N77" s="50" t="str">
        <f t="shared" si="8"/>
        <v xml:space="preserve"> </v>
      </c>
      <c r="O77" s="51" t="str">
        <f t="shared" si="9"/>
        <v xml:space="preserve"> </v>
      </c>
      <c r="P77" s="52" t="str">
        <f t="shared" si="10"/>
        <v xml:space="preserve"> </v>
      </c>
      <c r="Q77" s="50" t="str">
        <f t="shared" si="11"/>
        <v/>
      </c>
      <c r="R77" s="50" t="str">
        <f t="shared" si="12"/>
        <v/>
      </c>
      <c r="S77" s="53"/>
    </row>
    <row r="78" spans="1:19" ht="18" customHeight="1">
      <c r="A78" s="43"/>
      <c r="B78" s="44" t="s">
        <v>138</v>
      </c>
      <c r="C78" s="46" t="s">
        <v>105</v>
      </c>
      <c r="D78" s="45">
        <v>0.13500000000000001</v>
      </c>
      <c r="E78" s="45">
        <v>5.0000000000000001E-3</v>
      </c>
      <c r="F78" s="45">
        <v>-5.0000000000000001E-3</v>
      </c>
      <c r="G78" s="46" t="s">
        <v>106</v>
      </c>
      <c r="H78" s="47"/>
      <c r="I78" s="48"/>
      <c r="J78" s="48"/>
      <c r="K78" s="49" t="str">
        <f t="shared" si="7"/>
        <v xml:space="preserve"> </v>
      </c>
      <c r="L78" s="49" t="str">
        <f t="shared" si="7"/>
        <v xml:space="preserve"> </v>
      </c>
      <c r="M78" s="49" t="str">
        <f t="shared" si="7"/>
        <v xml:space="preserve"> </v>
      </c>
      <c r="N78" s="50" t="str">
        <f t="shared" si="8"/>
        <v xml:space="preserve"> </v>
      </c>
      <c r="O78" s="51" t="str">
        <f t="shared" si="9"/>
        <v xml:space="preserve"> </v>
      </c>
      <c r="P78" s="52" t="str">
        <f t="shared" si="10"/>
        <v xml:space="preserve"> </v>
      </c>
      <c r="Q78" s="50" t="str">
        <f t="shared" si="11"/>
        <v/>
      </c>
      <c r="R78" s="50" t="str">
        <f t="shared" si="12"/>
        <v/>
      </c>
      <c r="S78" s="53"/>
    </row>
    <row r="79" spans="1:19" ht="18" customHeight="1">
      <c r="A79" s="43"/>
      <c r="B79" s="44" t="s">
        <v>139</v>
      </c>
      <c r="C79" s="46" t="s">
        <v>105</v>
      </c>
      <c r="D79" s="45">
        <v>0.13500000000000001</v>
      </c>
      <c r="E79" s="45">
        <v>5.0000000000000001E-3</v>
      </c>
      <c r="F79" s="45">
        <v>-5.0000000000000001E-3</v>
      </c>
      <c r="G79" s="46" t="s">
        <v>106</v>
      </c>
      <c r="H79" s="47"/>
      <c r="I79" s="48"/>
      <c r="J79" s="48"/>
      <c r="K79" s="49" t="str">
        <f t="shared" si="7"/>
        <v xml:space="preserve"> </v>
      </c>
      <c r="L79" s="49" t="str">
        <f t="shared" si="7"/>
        <v xml:space="preserve"> </v>
      </c>
      <c r="M79" s="49" t="str">
        <f t="shared" si="7"/>
        <v xml:space="preserve"> </v>
      </c>
      <c r="N79" s="50" t="str">
        <f t="shared" si="8"/>
        <v xml:space="preserve"> </v>
      </c>
      <c r="O79" s="51" t="str">
        <f t="shared" si="9"/>
        <v xml:space="preserve"> </v>
      </c>
      <c r="P79" s="52" t="str">
        <f t="shared" si="10"/>
        <v xml:space="preserve"> </v>
      </c>
      <c r="Q79" s="50" t="str">
        <f t="shared" si="11"/>
        <v/>
      </c>
      <c r="R79" s="50" t="str">
        <f t="shared" si="12"/>
        <v/>
      </c>
      <c r="S79" s="53"/>
    </row>
    <row r="80" spans="1:19" ht="18" customHeight="1">
      <c r="A80" s="43"/>
      <c r="B80" s="44" t="s">
        <v>140</v>
      </c>
      <c r="C80" s="46" t="s">
        <v>105</v>
      </c>
      <c r="D80" s="45">
        <v>0.13500000000000001</v>
      </c>
      <c r="E80" s="45">
        <v>5.0000000000000001E-3</v>
      </c>
      <c r="F80" s="45">
        <v>-5.0000000000000001E-3</v>
      </c>
      <c r="G80" s="46" t="s">
        <v>106</v>
      </c>
      <c r="H80" s="47"/>
      <c r="I80" s="48"/>
      <c r="J80" s="48"/>
      <c r="K80" s="49" t="str">
        <f t="shared" si="7"/>
        <v xml:space="preserve"> </v>
      </c>
      <c r="L80" s="49" t="str">
        <f t="shared" si="7"/>
        <v xml:space="preserve"> </v>
      </c>
      <c r="M80" s="49" t="str">
        <f t="shared" si="7"/>
        <v xml:space="preserve"> </v>
      </c>
      <c r="N80" s="50" t="str">
        <f t="shared" si="8"/>
        <v xml:space="preserve"> </v>
      </c>
      <c r="O80" s="51" t="str">
        <f t="shared" si="9"/>
        <v xml:space="preserve"> </v>
      </c>
      <c r="P80" s="52" t="str">
        <f t="shared" si="10"/>
        <v xml:space="preserve"> </v>
      </c>
      <c r="Q80" s="50" t="str">
        <f t="shared" si="11"/>
        <v/>
      </c>
      <c r="R80" s="50" t="str">
        <f t="shared" si="12"/>
        <v/>
      </c>
      <c r="S80" s="53"/>
    </row>
    <row r="82" spans="12:12">
      <c r="L82" s="33" t="s">
        <v>141</v>
      </c>
    </row>
  </sheetData>
  <mergeCells count="15">
    <mergeCell ref="V61:W62"/>
    <mergeCell ref="A1:S1"/>
    <mergeCell ref="B3:G3"/>
    <mergeCell ref="H3:M3"/>
    <mergeCell ref="N3:R3"/>
    <mergeCell ref="S3:S5"/>
    <mergeCell ref="B4:B5"/>
    <mergeCell ref="C4:C5"/>
    <mergeCell ref="D4:D5"/>
    <mergeCell ref="E4:E5"/>
    <mergeCell ref="F4:F5"/>
    <mergeCell ref="G4:G5"/>
    <mergeCell ref="H4:J4"/>
    <mergeCell ref="K4:M4"/>
    <mergeCell ref="N4:N5"/>
  </mergeCells>
  <phoneticPr fontId="8" type="noConversion"/>
  <conditionalFormatting sqref="H6:J6">
    <cfRule type="cellIs" dxfId="88" priority="79" operator="greaterThan">
      <formula>0.07</formula>
    </cfRule>
  </conditionalFormatting>
  <conditionalFormatting sqref="H7:J10">
    <cfRule type="cellIs" dxfId="87" priority="78" operator="greaterThan">
      <formula>2.055</formula>
    </cfRule>
    <cfRule type="cellIs" dxfId="86" priority="77" operator="lessThan">
      <formula>1.995</formula>
    </cfRule>
  </conditionalFormatting>
  <conditionalFormatting sqref="H11:J14">
    <cfRule type="cellIs" dxfId="85" priority="74" operator="greaterThan">
      <formula>0.33</formula>
    </cfRule>
    <cfRule type="cellIs" dxfId="84" priority="73" operator="lessThan">
      <formula>0.27</formula>
    </cfRule>
  </conditionalFormatting>
  <conditionalFormatting sqref="H15:J18">
    <cfRule type="cellIs" dxfId="83" priority="72" operator="greaterThan">
      <formula>0.11</formula>
    </cfRule>
    <cfRule type="cellIs" dxfId="82" priority="71" operator="lessThan">
      <formula>0.06</formula>
    </cfRule>
  </conditionalFormatting>
  <conditionalFormatting sqref="H19:J22">
    <cfRule type="cellIs" dxfId="81" priority="70" operator="greaterThan">
      <formula>91</formula>
    </cfRule>
    <cfRule type="cellIs" dxfId="80" priority="69" operator="lessThan">
      <formula>88</formula>
    </cfRule>
  </conditionalFormatting>
  <conditionalFormatting sqref="H23:J24">
    <cfRule type="cellIs" dxfId="79" priority="68" operator="greaterThan">
      <formula>0.132</formula>
    </cfRule>
    <cfRule type="cellIs" dxfId="78" priority="67" operator="lessThan">
      <formula>0.102</formula>
    </cfRule>
  </conditionalFormatting>
  <conditionalFormatting sqref="H25:J26">
    <cfRule type="cellIs" dxfId="77" priority="66" operator="greaterThan">
      <formula>0.088</formula>
    </cfRule>
    <cfRule type="cellIs" dxfId="76" priority="65" operator="lessThan">
      <formula>0.058</formula>
    </cfRule>
  </conditionalFormatting>
  <conditionalFormatting sqref="H27:J27">
    <cfRule type="cellIs" dxfId="75" priority="64" operator="greaterThan">
      <formula>11.29</formula>
    </cfRule>
    <cfRule type="cellIs" dxfId="74" priority="63" operator="lessThan">
      <formula>11.23</formula>
    </cfRule>
  </conditionalFormatting>
  <conditionalFormatting sqref="H28:J29">
    <cfRule type="cellIs" dxfId="73" priority="61" operator="lessThan">
      <formula>0.502</formula>
    </cfRule>
    <cfRule type="cellIs" dxfId="72" priority="62" operator="greaterThan">
      <formula>0.562</formula>
    </cfRule>
  </conditionalFormatting>
  <conditionalFormatting sqref="H30:J31">
    <cfRule type="cellIs" dxfId="71" priority="60" operator="greaterThan">
      <formula>14.13</formula>
    </cfRule>
    <cfRule type="cellIs" dxfId="70" priority="59" operator="lessThan">
      <formula>14.07</formula>
    </cfRule>
  </conditionalFormatting>
  <conditionalFormatting sqref="H32:J32">
    <cfRule type="cellIs" dxfId="69" priority="58" operator="greaterThan">
      <formula>1.045</formula>
    </cfRule>
    <cfRule type="cellIs" dxfId="68" priority="57" operator="lessThan">
      <formula>0.985</formula>
    </cfRule>
  </conditionalFormatting>
  <conditionalFormatting sqref="H33:J33">
    <cfRule type="cellIs" dxfId="67" priority="56" operator="greaterThan">
      <formula>13.415</formula>
    </cfRule>
    <cfRule type="cellIs" dxfId="66" priority="55" operator="lessThan">
      <formula>13.345</formula>
    </cfRule>
  </conditionalFormatting>
  <conditionalFormatting sqref="H34:J34">
    <cfRule type="cellIs" dxfId="65" priority="54" operator="greaterThan">
      <formula>11.3</formula>
    </cfRule>
    <cfRule type="cellIs" dxfId="64" priority="53" operator="lessThan">
      <formula>11.24</formula>
    </cfRule>
  </conditionalFormatting>
  <conditionalFormatting sqref="H35:J35">
    <cfRule type="cellIs" dxfId="63" priority="52" operator="greaterThan">
      <formula>0.89</formula>
    </cfRule>
    <cfRule type="cellIs" dxfId="62" priority="51" operator="lessThan">
      <formula>0.83</formula>
    </cfRule>
  </conditionalFormatting>
  <conditionalFormatting sqref="H36:J37">
    <cfRule type="cellIs" dxfId="61" priority="50" operator="greaterThan">
      <formula>9.2</formula>
    </cfRule>
    <cfRule type="cellIs" dxfId="60" priority="49" operator="lessThan">
      <formula>9.14</formula>
    </cfRule>
  </conditionalFormatting>
  <conditionalFormatting sqref="H38:J39">
    <cfRule type="cellIs" dxfId="59" priority="48" operator="greaterThan">
      <formula>0.605</formula>
    </cfRule>
    <cfRule type="cellIs" dxfId="58" priority="47" operator="lessThan">
      <formula>0.545</formula>
    </cfRule>
  </conditionalFormatting>
  <conditionalFormatting sqref="H40:J40">
    <cfRule type="cellIs" dxfId="57" priority="46" operator="greaterThan">
      <formula>1.155</formula>
    </cfRule>
    <cfRule type="cellIs" dxfId="56" priority="45" operator="lessThan">
      <formula>1.095</formula>
    </cfRule>
  </conditionalFormatting>
  <conditionalFormatting sqref="H41:J42">
    <cfRule type="cellIs" dxfId="55" priority="44" operator="greaterThan">
      <formula>3.16</formula>
    </cfRule>
    <cfRule type="cellIs" dxfId="54" priority="43" operator="lessThan">
      <formula>3.1</formula>
    </cfRule>
  </conditionalFormatting>
  <conditionalFormatting sqref="H43:J43">
    <cfRule type="cellIs" dxfId="53" priority="41" operator="lessThan">
      <formula>3.895</formula>
    </cfRule>
    <cfRule type="cellIs" dxfId="52" priority="42" operator="greaterThan">
      <formula>3.955</formula>
    </cfRule>
  </conditionalFormatting>
  <conditionalFormatting sqref="H44:J44">
    <cfRule type="cellIs" dxfId="51" priority="40" operator="greaterThan">
      <formula>1.04</formula>
    </cfRule>
    <cfRule type="cellIs" dxfId="50" priority="39" operator="lessThan">
      <formula>0.98</formula>
    </cfRule>
  </conditionalFormatting>
  <conditionalFormatting sqref="H45:J45">
    <cfRule type="cellIs" dxfId="49" priority="38" operator="greaterThan">
      <formula>10.395</formula>
    </cfRule>
    <cfRule type="cellIs" dxfId="48" priority="37" operator="lessThan">
      <formula>10.335</formula>
    </cfRule>
  </conditionalFormatting>
  <conditionalFormatting sqref="H46:J46">
    <cfRule type="cellIs" dxfId="47" priority="36" operator="greaterThan">
      <formula>13.405</formula>
    </cfRule>
    <cfRule type="cellIs" dxfId="46" priority="35" operator="lessThan">
      <formula>13.345</formula>
    </cfRule>
  </conditionalFormatting>
  <conditionalFormatting sqref="H47:J49">
    <cfRule type="cellIs" dxfId="45" priority="34" operator="greaterThan">
      <formula>0.14</formula>
    </cfRule>
    <cfRule type="cellIs" dxfId="44" priority="33" operator="lessThan">
      <formula>0.13</formula>
    </cfRule>
  </conditionalFormatting>
  <conditionalFormatting sqref="H50:J51">
    <cfRule type="cellIs" dxfId="43" priority="32" operator="greaterThan">
      <formula>2.15</formula>
    </cfRule>
    <cfRule type="cellIs" dxfId="42" priority="31" operator="lessThan">
      <formula>2.09</formula>
    </cfRule>
  </conditionalFormatting>
  <conditionalFormatting sqref="H52:J53">
    <cfRule type="cellIs" dxfId="41" priority="30" operator="greaterThan">
      <formula>13.19</formula>
    </cfRule>
    <cfRule type="cellIs" dxfId="40" priority="29" operator="lessThan">
      <formula>13.13</formula>
    </cfRule>
  </conditionalFormatting>
  <conditionalFormatting sqref="H54:J55">
    <cfRule type="cellIs" dxfId="39" priority="28" operator="greaterThan">
      <formula>0.24</formula>
    </cfRule>
    <cfRule type="cellIs" dxfId="38" priority="27" operator="lessThan">
      <formula>0.13</formula>
    </cfRule>
  </conditionalFormatting>
  <conditionalFormatting sqref="H56:J56">
    <cfRule type="cellIs" dxfId="37" priority="26" operator="greaterThan">
      <formula>1.12</formula>
    </cfRule>
    <cfRule type="cellIs" dxfId="36" priority="25" operator="lessThan">
      <formula>1.06</formula>
    </cfRule>
  </conditionalFormatting>
  <conditionalFormatting sqref="H57:J57">
    <cfRule type="cellIs" dxfId="35" priority="24" operator="greaterThan">
      <formula>13.53</formula>
    </cfRule>
    <cfRule type="cellIs" dxfId="34" priority="23" operator="lessThan">
      <formula>13.47</formula>
    </cfRule>
  </conditionalFormatting>
  <conditionalFormatting sqref="H58:J58">
    <cfRule type="cellIs" dxfId="33" priority="21" operator="lessThan">
      <formula>0.97</formula>
    </cfRule>
    <cfRule type="cellIs" dxfId="32" priority="22" operator="greaterThan">
      <formula>1.03</formula>
    </cfRule>
  </conditionalFormatting>
  <conditionalFormatting sqref="H59:J59">
    <cfRule type="cellIs" dxfId="31" priority="19" operator="lessThan">
      <formula>0.92</formula>
    </cfRule>
    <cfRule type="cellIs" dxfId="30" priority="20" operator="greaterThan">
      <formula>0.98</formula>
    </cfRule>
  </conditionalFormatting>
  <conditionalFormatting sqref="H60:J61">
    <cfRule type="cellIs" dxfId="29" priority="18" operator="greaterThan">
      <formula>2.15</formula>
    </cfRule>
    <cfRule type="cellIs" dxfId="28" priority="17" operator="lessThan">
      <formula>2.09</formula>
    </cfRule>
  </conditionalFormatting>
  <conditionalFormatting sqref="H62:J62">
    <cfRule type="cellIs" dxfId="27" priority="16" operator="greaterThan">
      <formula>11.158</formula>
    </cfRule>
    <cfRule type="cellIs" dxfId="26" priority="15" operator="lessThan">
      <formula>11.098</formula>
    </cfRule>
  </conditionalFormatting>
  <conditionalFormatting sqref="H63:J63">
    <cfRule type="cellIs" dxfId="25" priority="14" operator="greaterThan">
      <formula>1.23</formula>
    </cfRule>
    <cfRule type="cellIs" dxfId="24" priority="13" operator="lessThan">
      <formula>1.17</formula>
    </cfRule>
  </conditionalFormatting>
  <conditionalFormatting sqref="H64:J64">
    <cfRule type="cellIs" dxfId="23" priority="12" operator="greaterThan">
      <formula>1.02</formula>
    </cfRule>
    <cfRule type="cellIs" dxfId="22" priority="11" operator="lessThan">
      <formula>0.96</formula>
    </cfRule>
  </conditionalFormatting>
  <conditionalFormatting sqref="H65:J65">
    <cfRule type="cellIs" dxfId="21" priority="10" operator="greaterThan">
      <formula>13.655</formula>
    </cfRule>
    <cfRule type="cellIs" dxfId="20" priority="9" operator="lessThan">
      <formula>13.585</formula>
    </cfRule>
  </conditionalFormatting>
  <conditionalFormatting sqref="H66:J66">
    <cfRule type="cellIs" dxfId="19" priority="8" operator="greaterThan">
      <formula>14.73</formula>
    </cfRule>
    <cfRule type="cellIs" dxfId="18" priority="7" operator="lessThan">
      <formula>14.67</formula>
    </cfRule>
  </conditionalFormatting>
  <conditionalFormatting sqref="H67:J72">
    <cfRule type="cellIs" dxfId="17" priority="6" operator="greaterThan">
      <formula>0.1</formula>
    </cfRule>
    <cfRule type="cellIs" dxfId="16" priority="5" operator="lessThan">
      <formula>0.04</formula>
    </cfRule>
  </conditionalFormatting>
  <conditionalFormatting sqref="H73:J76">
    <cfRule type="cellIs" dxfId="15" priority="4" operator="greaterThan">
      <formula>0.107</formula>
    </cfRule>
    <cfRule type="cellIs" dxfId="14" priority="3" operator="lessThan">
      <formula>0.057</formula>
    </cfRule>
  </conditionalFormatting>
  <conditionalFormatting sqref="H77:J80">
    <cfRule type="cellIs" dxfId="13" priority="1" operator="lessThan">
      <formula>0.13</formula>
    </cfRule>
    <cfRule type="cellIs" dxfId="12" priority="2" operator="greaterThan">
      <formula>0.14</formula>
    </cfRule>
  </conditionalFormatting>
  <pageMargins left="0.7" right="0.7" top="0.75" bottom="0.75" header="0.3" footer="0.3"/>
  <pageSetup paperSize="9" orientation="portrait" horizontalDpi="90" verticalDpi="9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BE638-87C2-4DEB-B143-652E54DE86E7}">
  <sheetPr codeName="Sheet4"/>
  <dimension ref="A1:EDK28"/>
  <sheetViews>
    <sheetView showGridLines="0" tabSelected="1" zoomScaleNormal="100" zoomScalePageLayoutView="125" workbookViewId="0">
      <pane xSplit="12" ySplit="1" topLeftCell="M2" activePane="bottomRight" state="frozen"/>
      <selection activeCell="J12" sqref="J12"/>
      <selection pane="topRight" activeCell="J12" sqref="J12"/>
      <selection pane="bottomLeft" activeCell="J12" sqref="J12"/>
      <selection pane="bottomRight" activeCell="AI15" sqref="AI15"/>
    </sheetView>
  </sheetViews>
  <sheetFormatPr defaultColWidth="8.77734375" defaultRowHeight="17.25"/>
  <cols>
    <col min="1" max="1" width="0.77734375" customWidth="1"/>
    <col min="2" max="2" width="7.77734375" customWidth="1"/>
    <col min="3" max="3" width="11.21875" bestFit="1" customWidth="1"/>
    <col min="4" max="4" width="24" customWidth="1"/>
    <col min="5" max="5" width="7.77734375" customWidth="1"/>
    <col min="6" max="7" width="8.21875" customWidth="1"/>
    <col min="8" max="8" width="7.77734375" customWidth="1"/>
    <col min="9" max="9" width="7.77734375" hidden="1" customWidth="1"/>
    <col min="10" max="11" width="7.77734375" customWidth="1"/>
    <col min="12" max="12" width="0.77734375" customWidth="1"/>
    <col min="13" max="16" width="7.77734375" customWidth="1"/>
    <col min="17" max="22" width="7.77734375" hidden="1" customWidth="1"/>
    <col min="23" max="23" width="7.77734375" customWidth="1"/>
    <col min="24" max="24" width="10" hidden="1" customWidth="1"/>
    <col min="25" max="27" width="9.44140625" hidden="1" customWidth="1"/>
    <col min="28" max="28" width="7.77734375" customWidth="1"/>
    <col min="29" max="29" width="9" customWidth="1"/>
    <col min="30" max="30" width="22" customWidth="1"/>
    <col min="31" max="32" width="9" hidden="1" customWidth="1"/>
    <col min="33" max="33" width="7.5546875" hidden="1" customWidth="1"/>
    <col min="34" max="34" width="0.77734375" customWidth="1"/>
    <col min="35" max="66" width="7.77734375" customWidth="1"/>
  </cols>
  <sheetData>
    <row r="1" spans="1:1023 1025:2040 2061:3066 3097:3494" s="59" customFormat="1" ht="22.15" customHeight="1">
      <c r="A1" s="168" t="s">
        <v>142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58"/>
      <c r="AE1" s="58"/>
      <c r="AF1" s="58"/>
      <c r="AG1" s="58"/>
      <c r="AH1" s="58"/>
    </row>
    <row r="2" spans="1:1023 1025:2040 2061:3066 3097:3494" s="59" customFormat="1" ht="9" customHeight="1">
      <c r="B2" s="60"/>
      <c r="C2" s="60"/>
      <c r="D2" s="60"/>
      <c r="E2" s="60"/>
      <c r="F2" s="60"/>
      <c r="G2" s="60"/>
      <c r="H2" s="60"/>
      <c r="I2" s="60"/>
      <c r="J2" s="60"/>
      <c r="K2" s="60"/>
      <c r="M2" s="60"/>
      <c r="N2" s="60"/>
      <c r="O2" s="60"/>
      <c r="P2" s="60"/>
      <c r="Q2" s="60" t="s">
        <v>143</v>
      </c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I2" s="61"/>
    </row>
    <row r="3" spans="1:1023 1025:2040 2061:3066 3097:3494" s="66" customFormat="1" ht="15" customHeight="1">
      <c r="A3" s="62"/>
      <c r="B3" s="169" t="s">
        <v>144</v>
      </c>
      <c r="C3" s="170"/>
      <c r="D3" s="170"/>
      <c r="E3" s="170"/>
      <c r="F3" s="170"/>
      <c r="G3" s="170"/>
      <c r="H3" s="170"/>
      <c r="I3" s="170"/>
      <c r="J3" s="170"/>
      <c r="K3" s="171"/>
      <c r="L3" s="63"/>
      <c r="M3" s="169" t="s">
        <v>145</v>
      </c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1"/>
      <c r="AD3" s="64"/>
      <c r="AE3" s="172" t="s">
        <v>146</v>
      </c>
      <c r="AF3" s="172"/>
      <c r="AG3" s="172"/>
      <c r="AH3" s="65"/>
      <c r="AI3" s="173" t="s">
        <v>147</v>
      </c>
      <c r="AJ3" s="174"/>
      <c r="AK3" s="174"/>
      <c r="AL3" s="174"/>
      <c r="AM3" s="174"/>
      <c r="AN3" s="174"/>
      <c r="AO3" s="174"/>
      <c r="AP3" s="174"/>
      <c r="AQ3" s="174"/>
      <c r="AR3" s="174"/>
      <c r="AS3" s="174"/>
      <c r="AT3" s="174"/>
      <c r="AU3" s="174"/>
      <c r="AV3" s="174"/>
      <c r="AW3" s="174"/>
      <c r="AX3" s="174"/>
      <c r="AY3" s="174"/>
      <c r="AZ3" s="174"/>
      <c r="BA3" s="174"/>
      <c r="BB3" s="174"/>
      <c r="BC3" s="174"/>
      <c r="BD3" s="174"/>
      <c r="BE3" s="174"/>
      <c r="BF3" s="174"/>
      <c r="BG3" s="174"/>
      <c r="BH3" s="174"/>
      <c r="BI3" s="174"/>
      <c r="BJ3" s="174"/>
      <c r="BK3" s="174"/>
      <c r="BL3" s="174"/>
      <c r="BM3" s="174"/>
      <c r="BN3" s="175"/>
    </row>
    <row r="4" spans="1:1023 1025:2040 2061:3066 3097:3494" s="66" customFormat="1" ht="25.15" customHeight="1">
      <c r="A4" s="62"/>
      <c r="B4" s="67"/>
      <c r="C4" s="67"/>
      <c r="D4" s="67"/>
      <c r="E4" s="68"/>
      <c r="F4" s="69" t="s">
        <v>148</v>
      </c>
      <c r="G4" s="69" t="s">
        <v>149</v>
      </c>
      <c r="H4" s="70"/>
      <c r="I4" s="70"/>
      <c r="J4" s="71"/>
      <c r="K4" s="71"/>
      <c r="L4" s="62"/>
      <c r="M4" s="72"/>
      <c r="N4" s="72"/>
      <c r="O4" s="73"/>
      <c r="P4" s="72"/>
      <c r="Q4" s="74"/>
      <c r="R4" s="74"/>
      <c r="S4" s="74"/>
      <c r="T4" s="74"/>
      <c r="U4" s="74"/>
      <c r="V4" s="74"/>
      <c r="W4" s="74"/>
      <c r="X4" s="179" t="s">
        <v>150</v>
      </c>
      <c r="Y4" s="180"/>
      <c r="Z4" s="75" t="s">
        <v>151</v>
      </c>
      <c r="AA4" s="76">
        <v>1.5</v>
      </c>
      <c r="AB4" s="77"/>
      <c r="AC4" s="77"/>
      <c r="AD4" s="78"/>
      <c r="AE4" s="34"/>
      <c r="AF4" s="34"/>
      <c r="AG4" s="79"/>
      <c r="AH4" s="62"/>
      <c r="AI4" s="176"/>
      <c r="AJ4" s="177"/>
      <c r="AK4" s="177"/>
      <c r="AL4" s="177"/>
      <c r="AM4" s="177"/>
      <c r="AN4" s="177"/>
      <c r="AO4" s="177"/>
      <c r="AP4" s="177"/>
      <c r="AQ4" s="177"/>
      <c r="AR4" s="177"/>
      <c r="AS4" s="177"/>
      <c r="AT4" s="177"/>
      <c r="AU4" s="177"/>
      <c r="AV4" s="177"/>
      <c r="AW4" s="177"/>
      <c r="AX4" s="177"/>
      <c r="AY4" s="177"/>
      <c r="AZ4" s="177"/>
      <c r="BA4" s="177"/>
      <c r="BB4" s="177"/>
      <c r="BC4" s="177"/>
      <c r="BD4" s="177"/>
      <c r="BE4" s="177"/>
      <c r="BF4" s="177"/>
      <c r="BG4" s="177"/>
      <c r="BH4" s="177"/>
      <c r="BI4" s="177"/>
      <c r="BJ4" s="177"/>
      <c r="BK4" s="177"/>
      <c r="BL4" s="177"/>
      <c r="BM4" s="177"/>
      <c r="BN4" s="178"/>
    </row>
    <row r="5" spans="1:1023 1025:2040 2061:3066 3097:3494" s="93" customFormat="1" ht="24">
      <c r="A5" s="80"/>
      <c r="B5" s="81" t="s">
        <v>152</v>
      </c>
      <c r="C5" s="81" t="s">
        <v>42</v>
      </c>
      <c r="D5" s="81" t="s">
        <v>153</v>
      </c>
      <c r="E5" s="82" t="s">
        <v>44</v>
      </c>
      <c r="F5" s="83" t="s">
        <v>154</v>
      </c>
      <c r="G5" s="83" t="s">
        <v>155</v>
      </c>
      <c r="H5" s="84" t="s">
        <v>47</v>
      </c>
      <c r="I5" s="84" t="s">
        <v>156</v>
      </c>
      <c r="J5" s="85" t="s">
        <v>157</v>
      </c>
      <c r="K5" s="85" t="s">
        <v>158</v>
      </c>
      <c r="L5" s="80"/>
      <c r="M5" s="86" t="s">
        <v>159</v>
      </c>
      <c r="N5" s="86" t="s">
        <v>160</v>
      </c>
      <c r="O5" s="87" t="s">
        <v>50</v>
      </c>
      <c r="P5" s="86" t="s">
        <v>161</v>
      </c>
      <c r="Q5" s="88" t="s">
        <v>162</v>
      </c>
      <c r="R5" s="88" t="s">
        <v>163</v>
      </c>
      <c r="S5" s="88" t="s">
        <v>164</v>
      </c>
      <c r="T5" s="88" t="s">
        <v>165</v>
      </c>
      <c r="U5" s="88" t="s">
        <v>166</v>
      </c>
      <c r="V5" s="88" t="s">
        <v>167</v>
      </c>
      <c r="W5" s="88" t="s">
        <v>168</v>
      </c>
      <c r="X5" s="89" t="s">
        <v>169</v>
      </c>
      <c r="Y5" s="89" t="s">
        <v>170</v>
      </c>
      <c r="Z5" s="89" t="s">
        <v>171</v>
      </c>
      <c r="AA5" s="90" t="s">
        <v>172</v>
      </c>
      <c r="AB5" s="91" t="s">
        <v>173</v>
      </c>
      <c r="AC5" s="91" t="s">
        <v>174</v>
      </c>
      <c r="AD5" s="91" t="s">
        <v>175</v>
      </c>
      <c r="AE5" s="34"/>
      <c r="AF5" s="34"/>
      <c r="AG5" s="79"/>
      <c r="AH5" s="80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2"/>
      <c r="BF5" s="92"/>
      <c r="BG5" s="92"/>
      <c r="BH5" s="92"/>
      <c r="BI5" s="92"/>
      <c r="BJ5" s="92"/>
      <c r="BK5" s="92"/>
      <c r="BL5" s="92"/>
      <c r="BM5" s="92"/>
      <c r="BN5" s="92"/>
    </row>
    <row r="6" spans="1:1023 1025:2040 2061:3066 3097:3494" ht="15" customHeight="1">
      <c r="A6">
        <v>1</v>
      </c>
      <c r="B6" s="94" t="s">
        <v>176</v>
      </c>
      <c r="C6" s="95" t="s">
        <v>57</v>
      </c>
      <c r="D6" s="96" t="s">
        <v>58</v>
      </c>
      <c r="E6" s="97">
        <v>0</v>
      </c>
      <c r="F6" s="98">
        <v>7.0000000000000007E-2</v>
      </c>
      <c r="G6" s="98">
        <v>0</v>
      </c>
      <c r="H6" s="99" t="s">
        <v>59</v>
      </c>
      <c r="I6" s="100" t="s">
        <v>177</v>
      </c>
      <c r="J6" s="101">
        <f>IF(AND(E6="",F6=""),"",IF(E6="",F6,E6+F6))</f>
        <v>7.0000000000000007E-2</v>
      </c>
      <c r="K6" s="101">
        <f>IF(AND(E6="",G6=""),"",IF(E6="",G6,E6+G6))</f>
        <v>0</v>
      </c>
      <c r="L6" s="102"/>
      <c r="M6" s="103">
        <f t="shared" ref="M6:M28" si="0">IF(OR($AI6=ISBLANK(TRUE),ISNUMBER($AI6)=FALSE),,MAX(AI6:BN6))</f>
        <v>0</v>
      </c>
      <c r="N6" s="103">
        <f t="shared" ref="N6:N28" si="1">IF(OR($AI6=ISBLANK(TRUE),ISNUMBER($AI6)=FALSE),,MIN(AI6:BN6))</f>
        <v>0</v>
      </c>
      <c r="O6" s="103">
        <f t="shared" ref="O6:O28" si="2">IF(OR($AI6=ISBLANK(TRUE),ISNUMBER($AI6)=FALSE),,AVERAGE(AI6:BN6))</f>
        <v>0</v>
      </c>
      <c r="P6" s="104">
        <f t="shared" ref="P6:P28" si="3">IF(OR($AI6=ISBLANK(TRUE),ISNUMBER($AI6)=FALSE),,STDEV(AI6:BN6))</f>
        <v>0</v>
      </c>
      <c r="Q6" s="105" t="str">
        <f t="shared" ref="Q6:Q28" si="4">IF(OR($AI6="",ISNUMBER($AI6)=FALSE),"",IF(AND(E6=0,G6=0),T6,IF(AND(E6="",F6=""),U6,(F6+ABS(G6))/(6*P6))))</f>
        <v/>
      </c>
      <c r="R6" s="106" t="str">
        <f>IF(OR($AI6="",ISNUMBER($AI6)=FALSE),"",IF(AND(#REF!="Tolerance",$E6&lt;&gt;""),($O6-$E6)/(($J6-$K6)/2),IF(AND(#REF!="GD&amp;T",$F6&lt;&gt;""),$O6/$F6,"")))</f>
        <v/>
      </c>
      <c r="S6" s="106" t="str">
        <f>IF($R6="","",IF(ABS($R6)&lt;=0.125, "Level A",IF(AND(ABS($R6)&gt;0.125,ABS($R6)&lt;=0.25), "Level B",IF(AND(ABS($R6)&gt;0.25,ABS($R6)&lt;=0.5), "Level C", IF(ABS($R6)&gt;0.5, "Level D")))))</f>
        <v/>
      </c>
      <c r="T6" s="105" t="str">
        <f t="shared" ref="T6:T28" si="5">IF(OR($AI6="",ISNUMBER($AI6)=FALSE),"",IF(F6="","",(J6-O6)/(3*P6)))</f>
        <v/>
      </c>
      <c r="U6" s="105" t="str">
        <f t="shared" ref="U6:U28" si="6">IF(OR($AI6="",ISNUMBER($AI6)=FALSE),"",IF(G6="","",(O6-K6)/(3*P6)))</f>
        <v/>
      </c>
      <c r="V6" s="105" t="str">
        <f t="shared" ref="V6:V28" si="7">IF(OR($AI6="",ISNUMBER($AI6)=FALSE),"",IF(AND(E6=0,G6=0),((F6)-(O6))/(3*P6),MIN(T6:U6)))</f>
        <v/>
      </c>
      <c r="W6" s="107" t="str">
        <f t="shared" ref="W6:W28" si="8">IF(OR($AI6="",ISNUMBER($AI6)=FALSE),"",IF(AND(E6=0,G6=0),NORMSDIST(3*V6),NORMSDIST(3*V6)+NORMSDIST(6*Q6-3*V6)-1))</f>
        <v/>
      </c>
      <c r="X6" s="108" t="e">
        <f>IF($O6="","",IF(#REF!="Tolerance",IF((#REF!*3*P6+O6)-E6&lt;F6,"",(#REF!*3*P6+O6)-E6),IF(OR(#REF!="GD&amp;T",#REF!="MAX"),IF((#REF!*3*P6+O6)&lt;F6,"",(#REF!*3*P6+O6)),"")))</f>
        <v>#REF!</v>
      </c>
      <c r="Y6" s="108" t="e">
        <f>IF(O6="","",IF(#REF!="Tolerance",IF(-((#REF!*3*P6)-O6)-E6&gt;G6,"",-((#REF!*3*P6)-O6)-E6),IF(#REF!="MIN",IF(-((#REF!*3*P6)-O6)&gt;G6,"",-((#REF!*3*P6)-O6)),"")))</f>
        <v>#REF!</v>
      </c>
      <c r="Z6" s="108">
        <f>IF(OR(E6="",O6=""),"",(J6+K6)/2-O6)</f>
        <v>3.5000000000000003E-2</v>
      </c>
      <c r="AA6" s="108" t="str">
        <f t="shared" ref="AA6:AA28" si="9">IF(OR($Q6&gt;$AA$4,$P6=""),"",$AA$4*6*$P6)</f>
        <v/>
      </c>
      <c r="AB6" s="109"/>
      <c r="AC6" s="110" t="str">
        <f>IF(AB6="","",IF(AB6&gt;=0.966,"Normal","Not Normal"))</f>
        <v/>
      </c>
      <c r="AD6" s="111"/>
      <c r="AE6" s="112"/>
      <c r="AF6" s="112"/>
      <c r="AG6" s="113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  <c r="AX6" s="114"/>
      <c r="AY6" s="114"/>
      <c r="AZ6" s="114"/>
      <c r="BA6" s="114"/>
      <c r="BB6" s="114"/>
      <c r="BC6" s="114"/>
      <c r="BD6" s="114"/>
      <c r="BE6" s="114"/>
      <c r="BF6" s="114"/>
      <c r="BG6" s="114"/>
      <c r="BH6" s="114"/>
      <c r="BI6" s="114"/>
      <c r="BJ6" s="114"/>
      <c r="BK6" s="114"/>
      <c r="BL6" s="114"/>
      <c r="BM6" s="114"/>
      <c r="BN6" s="114"/>
      <c r="NC6" s="115"/>
      <c r="SV6" s="115"/>
      <c r="TR6" s="115"/>
      <c r="AJP6" s="115"/>
      <c r="AKV6" s="115"/>
      <c r="AXI6" s="115"/>
      <c r="AYA6" s="115"/>
      <c r="BCE6" s="115"/>
      <c r="BEA6" s="115"/>
      <c r="CKC6" s="115"/>
      <c r="CQD6" s="115"/>
      <c r="DJV6" s="115"/>
      <c r="DPF6" s="115"/>
      <c r="EBX6" s="115"/>
      <c r="EDB6" s="115"/>
    </row>
    <row r="7" spans="1:1023 1025:2040 2061:3066 3097:3494" ht="15" customHeight="1">
      <c r="A7">
        <v>2</v>
      </c>
      <c r="B7" s="94" t="s">
        <v>178</v>
      </c>
      <c r="C7" s="95" t="s">
        <v>60</v>
      </c>
      <c r="D7" s="116" t="s">
        <v>61</v>
      </c>
      <c r="E7" s="97">
        <v>2.0150000000000001</v>
      </c>
      <c r="F7" s="98">
        <v>0.04</v>
      </c>
      <c r="G7" s="98">
        <v>-0.02</v>
      </c>
      <c r="H7" s="99" t="s">
        <v>59</v>
      </c>
      <c r="I7" s="100" t="s">
        <v>177</v>
      </c>
      <c r="J7" s="101">
        <f t="shared" ref="J7:J28" si="10">IF(AND(E7="",F7=""),"",IF(E7="",F7,E7+F7))</f>
        <v>2.0550000000000002</v>
      </c>
      <c r="K7" s="101">
        <f t="shared" ref="K7:K28" si="11">IF(AND(E7="",G7=""),"",IF(E7="",G7,E7+G7))</f>
        <v>1.9950000000000001</v>
      </c>
      <c r="L7" s="102"/>
      <c r="M7" s="103">
        <f t="shared" si="0"/>
        <v>0</v>
      </c>
      <c r="N7" s="103">
        <f t="shared" si="1"/>
        <v>0</v>
      </c>
      <c r="O7" s="103">
        <f t="shared" si="2"/>
        <v>0</v>
      </c>
      <c r="P7" s="104">
        <f t="shared" si="3"/>
        <v>0</v>
      </c>
      <c r="Q7" s="105" t="str">
        <f t="shared" si="4"/>
        <v/>
      </c>
      <c r="R7" s="106" t="str">
        <f>IF(OR($AI7="",ISNUMBER($AI7)=FALSE),"",IF(AND(#REF!="Tolerance",$E7&lt;&gt;""),($O7-$E7)/(($J7-$K7)/2),IF(AND(#REF!="GD&amp;T",$F7&lt;&gt;""),$O7/$F7,"")))</f>
        <v/>
      </c>
      <c r="S7" s="106" t="str">
        <f t="shared" ref="S7:S28" si="12">IF($R7="","",IF(ABS($R7)&lt;=0.125, "Level A",IF(AND(ABS($R7)&gt;0.125,ABS($R7)&lt;=0.25), "Level B",IF(AND(ABS($R7)&gt;0.25,ABS($R7)&lt;=0.5), "Level C", IF(ABS($R7)&gt;0.5, "Level D")))))</f>
        <v/>
      </c>
      <c r="T7" s="105" t="str">
        <f t="shared" si="5"/>
        <v/>
      </c>
      <c r="U7" s="105" t="str">
        <f t="shared" si="6"/>
        <v/>
      </c>
      <c r="V7" s="105" t="str">
        <f t="shared" si="7"/>
        <v/>
      </c>
      <c r="W7" s="107" t="str">
        <f t="shared" si="8"/>
        <v/>
      </c>
      <c r="X7" s="108" t="e">
        <f>IF($O7="","",IF(#REF!="Tolerance",IF((#REF!*3*P7+O7)-E7&lt;F7,"",(#REF!*3*P7+O7)-E7),IF(OR(#REF!="GD&amp;T",#REF!="MAX"),IF((#REF!*3*P7+O7)&lt;F7,"",(#REF!*3*P7+O7)),"")))</f>
        <v>#REF!</v>
      </c>
      <c r="Y7" s="108" t="e">
        <f>IF(O7="","",IF(#REF!="Tolerance",IF(-((#REF!*3*P7)-O7)-E7&gt;G7,"",-((#REF!*3*P7)-O7)-E7),IF(#REF!="MIN",IF(-((#REF!*3*P7)-O7)&gt;G7,"",-((#REF!*3*P7)-O7)),"")))</f>
        <v>#REF!</v>
      </c>
      <c r="Z7" s="108">
        <f t="shared" ref="Z7:Z28" si="13">IF(OR(E7="",O7=""),"",(J7+K7)/2-O7)</f>
        <v>2.0250000000000004</v>
      </c>
      <c r="AA7" s="108" t="str">
        <f t="shared" si="9"/>
        <v/>
      </c>
      <c r="AB7" s="109"/>
      <c r="AC7" s="110" t="str">
        <f t="shared" ref="AC7:AC28" si="14">IF(AB7="","",IF(AB7&gt;=0.966,"Normal","Not Normal"))</f>
        <v/>
      </c>
      <c r="AD7" s="111"/>
      <c r="AE7" s="112"/>
      <c r="AF7" s="112"/>
      <c r="AG7" s="113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  <c r="AX7" s="114"/>
      <c r="AY7" s="114"/>
      <c r="AZ7" s="114"/>
      <c r="BA7" s="114"/>
      <c r="BB7" s="114"/>
      <c r="BC7" s="114"/>
      <c r="BD7" s="114"/>
      <c r="BE7" s="114"/>
      <c r="BF7" s="114"/>
      <c r="BG7" s="114"/>
      <c r="BH7" s="114"/>
      <c r="BI7" s="114"/>
      <c r="BJ7" s="114"/>
      <c r="BK7" s="114"/>
      <c r="BL7" s="114"/>
      <c r="BM7" s="114"/>
      <c r="BN7" s="114"/>
      <c r="FU7" s="115"/>
      <c r="HC7" s="115"/>
      <c r="JW7" s="115"/>
      <c r="NQ7" s="115"/>
      <c r="SV7" s="115"/>
      <c r="AKV7" s="115"/>
      <c r="AOS7" s="115"/>
      <c r="AST7" s="115"/>
      <c r="AXQ7" s="115"/>
      <c r="BJF7" s="115"/>
      <c r="BME7" s="115"/>
      <c r="BOW7" s="115"/>
      <c r="BQE7" s="115"/>
      <c r="BQG7" s="115"/>
      <c r="BTU7" s="115"/>
      <c r="BUB7" s="115"/>
      <c r="BUV7" s="115"/>
      <c r="CAG7" s="115"/>
      <c r="CON7" s="115"/>
      <c r="COQ7" s="115"/>
      <c r="COT7" s="115"/>
      <c r="CVM7" s="115"/>
      <c r="CZO7" s="115"/>
      <c r="CZW7" s="115"/>
      <c r="DHX7" s="115"/>
      <c r="DJE7" s="115"/>
      <c r="DMF7" s="115"/>
      <c r="DTB7" s="115"/>
      <c r="DTF7" s="115"/>
      <c r="DUH7" s="115"/>
      <c r="DYR7" s="115"/>
      <c r="EBF7" s="115"/>
    </row>
    <row r="8" spans="1:1023 1025:2040 2061:3066 3097:3494" ht="15" customHeight="1">
      <c r="A8">
        <v>3</v>
      </c>
      <c r="B8" s="94" t="s">
        <v>178</v>
      </c>
      <c r="C8" s="95" t="s">
        <v>62</v>
      </c>
      <c r="D8" s="96" t="s">
        <v>61</v>
      </c>
      <c r="E8" s="97">
        <v>2.0150000000000001</v>
      </c>
      <c r="F8" s="98">
        <v>0.04</v>
      </c>
      <c r="G8" s="98">
        <v>-0.02</v>
      </c>
      <c r="H8" s="99" t="s">
        <v>59</v>
      </c>
      <c r="I8" s="100" t="s">
        <v>177</v>
      </c>
      <c r="J8" s="101">
        <f t="shared" si="10"/>
        <v>2.0550000000000002</v>
      </c>
      <c r="K8" s="101">
        <f t="shared" si="11"/>
        <v>1.9950000000000001</v>
      </c>
      <c r="L8" s="102"/>
      <c r="M8" s="103">
        <f t="shared" si="0"/>
        <v>0</v>
      </c>
      <c r="N8" s="103">
        <f t="shared" si="1"/>
        <v>0</v>
      </c>
      <c r="O8" s="103">
        <f t="shared" si="2"/>
        <v>0</v>
      </c>
      <c r="P8" s="104">
        <f t="shared" si="3"/>
        <v>0</v>
      </c>
      <c r="Q8" s="105" t="str">
        <f t="shared" si="4"/>
        <v/>
      </c>
      <c r="R8" s="106" t="str">
        <f>IF(OR($AI8="",ISNUMBER($AI8)=FALSE),"",IF(AND(#REF!="Tolerance",$E8&lt;&gt;""),($O8-$E8)/(($J8-$K8)/2),IF(AND(#REF!="GD&amp;T",$F8&lt;&gt;""),$O8/$F8,"")))</f>
        <v/>
      </c>
      <c r="S8" s="106" t="str">
        <f t="shared" si="12"/>
        <v/>
      </c>
      <c r="T8" s="105" t="str">
        <f t="shared" si="5"/>
        <v/>
      </c>
      <c r="U8" s="105" t="str">
        <f t="shared" si="6"/>
        <v/>
      </c>
      <c r="V8" s="105" t="str">
        <f t="shared" si="7"/>
        <v/>
      </c>
      <c r="W8" s="107" t="str">
        <f t="shared" si="8"/>
        <v/>
      </c>
      <c r="X8" s="108" t="e">
        <f>IF($O8="","",IF(#REF!="Tolerance",IF((#REF!*3*P8+O8)-E8&lt;F8,"",(#REF!*3*P8+O8)-E8),IF(OR(#REF!="GD&amp;T",#REF!="MAX"),IF((#REF!*3*P8+O8)&lt;F8,"",(#REF!*3*P8+O8)),"")))</f>
        <v>#REF!</v>
      </c>
      <c r="Y8" s="108" t="e">
        <f>IF(O8="","",IF(#REF!="Tolerance",IF(-((#REF!*3*P8)-O8)-E8&gt;G8,"",-((#REF!*3*P8)-O8)-E8),IF(#REF!="MIN",IF(-((#REF!*3*P8)-O8)&gt;G8,"",-((#REF!*3*P8)-O8)),"")))</f>
        <v>#REF!</v>
      </c>
      <c r="Z8" s="108">
        <f t="shared" si="13"/>
        <v>2.0250000000000004</v>
      </c>
      <c r="AA8" s="108" t="str">
        <f t="shared" si="9"/>
        <v/>
      </c>
      <c r="AB8" s="109"/>
      <c r="AC8" s="110" t="str">
        <f t="shared" si="14"/>
        <v/>
      </c>
      <c r="AD8" s="111"/>
      <c r="AE8" s="112"/>
      <c r="AF8" s="112"/>
      <c r="AG8" s="113"/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  <c r="AX8" s="114"/>
      <c r="AY8" s="114"/>
      <c r="AZ8" s="114"/>
      <c r="BA8" s="114"/>
      <c r="BB8" s="114"/>
      <c r="BC8" s="114"/>
      <c r="BD8" s="114"/>
      <c r="BE8" s="114"/>
      <c r="BF8" s="114"/>
      <c r="BG8" s="114"/>
      <c r="BH8" s="114"/>
      <c r="BI8" s="114"/>
      <c r="BJ8" s="114"/>
      <c r="BK8" s="114"/>
      <c r="BL8" s="114"/>
      <c r="BM8" s="114"/>
      <c r="BN8" s="114"/>
      <c r="FV8" s="115"/>
      <c r="JW8" s="115"/>
      <c r="AGG8" s="115"/>
      <c r="BFQ8" s="115"/>
      <c r="BKG8" s="115"/>
      <c r="BPJ8" s="115"/>
      <c r="BQE8" s="115"/>
      <c r="BSE8" s="115"/>
      <c r="BSK8" s="115"/>
      <c r="BUV8" s="115"/>
      <c r="BWJ8" s="115"/>
      <c r="BWR8" s="115"/>
      <c r="BZL8" s="115"/>
      <c r="CAG8" s="115"/>
      <c r="DIA8" s="115"/>
      <c r="DJE8" s="115"/>
      <c r="DPG8" s="115"/>
      <c r="ECE8" s="115"/>
    </row>
    <row r="9" spans="1:1023 1025:2040 2061:3066 3097:3494" ht="15" customHeight="1">
      <c r="A9">
        <v>4</v>
      </c>
      <c r="B9" s="94" t="s">
        <v>178</v>
      </c>
      <c r="C9" s="95" t="s">
        <v>63</v>
      </c>
      <c r="D9" s="96" t="s">
        <v>61</v>
      </c>
      <c r="E9" s="97">
        <v>2.0150000000000001</v>
      </c>
      <c r="F9" s="98">
        <v>0.04</v>
      </c>
      <c r="G9" s="98">
        <v>-0.02</v>
      </c>
      <c r="H9" s="99" t="s">
        <v>59</v>
      </c>
      <c r="I9" s="100" t="s">
        <v>177</v>
      </c>
      <c r="J9" s="101">
        <f t="shared" si="10"/>
        <v>2.0550000000000002</v>
      </c>
      <c r="K9" s="101">
        <f t="shared" si="11"/>
        <v>1.9950000000000001</v>
      </c>
      <c r="L9" s="102"/>
      <c r="M9" s="103">
        <f t="shared" si="0"/>
        <v>0</v>
      </c>
      <c r="N9" s="103">
        <f t="shared" si="1"/>
        <v>0</v>
      </c>
      <c r="O9" s="103">
        <f t="shared" si="2"/>
        <v>0</v>
      </c>
      <c r="P9" s="104">
        <f t="shared" si="3"/>
        <v>0</v>
      </c>
      <c r="Q9" s="105" t="str">
        <f t="shared" si="4"/>
        <v/>
      </c>
      <c r="R9" s="106" t="str">
        <f>IF(OR($AI9="",ISNUMBER($AI9)=FALSE),"",IF(AND(#REF!="Tolerance",$E9&lt;&gt;""),($O9-$E9)/(($J9-$K9)/2),IF(AND(#REF!="GD&amp;T",$F9&lt;&gt;""),$O9/$F9,"")))</f>
        <v/>
      </c>
      <c r="S9" s="106" t="str">
        <f t="shared" si="12"/>
        <v/>
      </c>
      <c r="T9" s="105" t="str">
        <f t="shared" si="5"/>
        <v/>
      </c>
      <c r="U9" s="105" t="str">
        <f t="shared" si="6"/>
        <v/>
      </c>
      <c r="V9" s="105" t="str">
        <f t="shared" si="7"/>
        <v/>
      </c>
      <c r="W9" s="107" t="str">
        <f t="shared" si="8"/>
        <v/>
      </c>
      <c r="X9" s="108" t="e">
        <f>IF($O9="","",IF(#REF!="Tolerance",IF((#REF!*3*P9+O9)-E9&lt;F9,"",(#REF!*3*P9+O9)-E9),IF(OR(#REF!="GD&amp;T",#REF!="MAX"),IF((#REF!*3*P9+O9)&lt;F9,"",(#REF!*3*P9+O9)),"")))</f>
        <v>#REF!</v>
      </c>
      <c r="Y9" s="108" t="e">
        <f>IF(O9="","",IF(#REF!="Tolerance",IF(-((#REF!*3*P9)-O9)-E9&gt;G9,"",-((#REF!*3*P9)-O9)-E9),IF(#REF!="MIN",IF(-((#REF!*3*P9)-O9)&gt;G9,"",-((#REF!*3*P9)-O9)),"")))</f>
        <v>#REF!</v>
      </c>
      <c r="Z9" s="108">
        <f t="shared" si="13"/>
        <v>2.0250000000000004</v>
      </c>
      <c r="AA9" s="108" t="str">
        <f t="shared" si="9"/>
        <v/>
      </c>
      <c r="AB9" s="109"/>
      <c r="AC9" s="110" t="str">
        <f t="shared" si="14"/>
        <v/>
      </c>
      <c r="AD9" s="111"/>
      <c r="AE9" s="112"/>
      <c r="AF9" s="112"/>
      <c r="AG9" s="113"/>
      <c r="AI9" s="114"/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  <c r="AV9" s="114"/>
      <c r="AW9" s="114"/>
      <c r="AX9" s="114"/>
      <c r="AY9" s="114"/>
      <c r="AZ9" s="114"/>
      <c r="BA9" s="114"/>
      <c r="BB9" s="114"/>
      <c r="BC9" s="114"/>
      <c r="BD9" s="114"/>
      <c r="BE9" s="114"/>
      <c r="BF9" s="114"/>
      <c r="BG9" s="114"/>
      <c r="BH9" s="114"/>
      <c r="BI9" s="114"/>
      <c r="BJ9" s="114"/>
      <c r="BK9" s="114"/>
      <c r="BL9" s="114"/>
      <c r="BM9" s="114"/>
      <c r="BN9" s="114"/>
      <c r="BW9" s="115"/>
      <c r="FA9" s="115"/>
      <c r="LE9" s="115"/>
      <c r="QT9" s="115"/>
      <c r="TS9" s="115"/>
      <c r="ABL9" s="115"/>
      <c r="ABZ9" s="115"/>
      <c r="AMI9" s="115"/>
      <c r="ANI9" s="115"/>
      <c r="AQR9" s="115"/>
      <c r="ARW9" s="115"/>
      <c r="AVL9" s="115"/>
      <c r="BAR9" s="115"/>
      <c r="BBB9" s="115"/>
      <c r="BHD9" s="115"/>
      <c r="BJR9" s="115"/>
      <c r="BPC9" s="115"/>
      <c r="BSV9" s="115"/>
      <c r="BTK9" s="115"/>
      <c r="BVZ9" s="115"/>
      <c r="BWE9" s="115"/>
      <c r="BWO9" s="115"/>
      <c r="BYE9" s="115"/>
      <c r="CDE9" s="115"/>
      <c r="CFB9" s="115"/>
      <c r="CFT9" s="115"/>
      <c r="CFU9" s="115"/>
      <c r="CKQ9" s="115"/>
      <c r="CMR9" s="115"/>
      <c r="COO9" s="115"/>
      <c r="CQE9" s="115"/>
      <c r="CRH9" s="115"/>
      <c r="CSC9" s="115"/>
      <c r="CTV9" s="115"/>
      <c r="CZS9" s="115"/>
      <c r="DDL9" s="115"/>
      <c r="DEW9" s="115"/>
      <c r="DIG9" s="115"/>
      <c r="DIP9" s="115"/>
      <c r="DMX9" s="115"/>
      <c r="DSX9" s="115"/>
      <c r="DSY9" s="115"/>
      <c r="DVO9" s="115"/>
      <c r="EBY9" s="115"/>
    </row>
    <row r="10" spans="1:1023 1025:2040 2061:3066 3097:3494" ht="15" customHeight="1">
      <c r="A10">
        <v>5</v>
      </c>
      <c r="B10" s="94" t="s">
        <v>178</v>
      </c>
      <c r="C10" s="95" t="s">
        <v>64</v>
      </c>
      <c r="D10" s="116" t="s">
        <v>61</v>
      </c>
      <c r="E10" s="97">
        <v>2.0150000000000001</v>
      </c>
      <c r="F10" s="98">
        <v>0.04</v>
      </c>
      <c r="G10" s="98">
        <v>-0.02</v>
      </c>
      <c r="H10" s="99" t="s">
        <v>59</v>
      </c>
      <c r="I10" s="100" t="s">
        <v>177</v>
      </c>
      <c r="J10" s="101">
        <f t="shared" si="10"/>
        <v>2.0550000000000002</v>
      </c>
      <c r="K10" s="101">
        <f t="shared" si="11"/>
        <v>1.9950000000000001</v>
      </c>
      <c r="L10" s="102"/>
      <c r="M10" s="103">
        <f t="shared" si="0"/>
        <v>0</v>
      </c>
      <c r="N10" s="103">
        <f t="shared" si="1"/>
        <v>0</v>
      </c>
      <c r="O10" s="103">
        <f t="shared" si="2"/>
        <v>0</v>
      </c>
      <c r="P10" s="104">
        <f t="shared" si="3"/>
        <v>0</v>
      </c>
      <c r="Q10" s="105" t="str">
        <f t="shared" si="4"/>
        <v/>
      </c>
      <c r="R10" s="106" t="str">
        <f>IF(OR($AI10="",ISNUMBER($AI10)=FALSE),"",IF(AND(#REF!="Tolerance",$E10&lt;&gt;""),($O10-$E10)/(($J10-$K10)/2),IF(AND(#REF!="GD&amp;T",$F10&lt;&gt;""),$O10/$F10,"")))</f>
        <v/>
      </c>
      <c r="S10" s="106" t="str">
        <f t="shared" si="12"/>
        <v/>
      </c>
      <c r="T10" s="105" t="str">
        <f t="shared" si="5"/>
        <v/>
      </c>
      <c r="U10" s="105" t="str">
        <f t="shared" si="6"/>
        <v/>
      </c>
      <c r="V10" s="105" t="str">
        <f t="shared" si="7"/>
        <v/>
      </c>
      <c r="W10" s="107" t="str">
        <f t="shared" si="8"/>
        <v/>
      </c>
      <c r="X10" s="108" t="e">
        <f>IF($O10="","",IF(#REF!="Tolerance",IF((#REF!*3*P10+O10)-E10&lt;F10,"",(#REF!*3*P10+O10)-E10),IF(OR(#REF!="GD&amp;T",#REF!="MAX"),IF((#REF!*3*P10+O10)&lt;F10,"",(#REF!*3*P10+O10)),"")))</f>
        <v>#REF!</v>
      </c>
      <c r="Y10" s="108" t="e">
        <f>IF(O10="","",IF(#REF!="Tolerance",IF(-((#REF!*3*P10)-O10)-E10&gt;G10,"",-((#REF!*3*P10)-O10)-E10),IF(#REF!="MIN",IF(-((#REF!*3*P10)-O10)&gt;G10,"",-((#REF!*3*P10)-O10)),"")))</f>
        <v>#REF!</v>
      </c>
      <c r="Z10" s="108">
        <f t="shared" si="13"/>
        <v>2.0250000000000004</v>
      </c>
      <c r="AA10" s="108" t="str">
        <f t="shared" si="9"/>
        <v/>
      </c>
      <c r="AB10" s="109"/>
      <c r="AC10" s="110" t="str">
        <f t="shared" si="14"/>
        <v/>
      </c>
      <c r="AD10" s="111"/>
      <c r="AE10" s="112"/>
      <c r="AF10" s="112"/>
      <c r="AG10" s="113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  <c r="AX10" s="114"/>
      <c r="AY10" s="114"/>
      <c r="AZ10" s="114"/>
      <c r="BA10" s="114"/>
      <c r="BB10" s="114"/>
      <c r="BC10" s="114"/>
      <c r="BD10" s="114"/>
      <c r="BE10" s="114"/>
      <c r="BF10" s="114"/>
      <c r="BG10" s="114"/>
      <c r="BH10" s="114"/>
      <c r="BI10" s="114"/>
      <c r="BJ10" s="114"/>
      <c r="BK10" s="114"/>
      <c r="BL10" s="114"/>
      <c r="BM10" s="114"/>
      <c r="BN10" s="114"/>
      <c r="DR10" s="115"/>
      <c r="DX10" s="115"/>
      <c r="FA10" s="115"/>
      <c r="FH10" s="115"/>
      <c r="FS10" s="115"/>
      <c r="GE10" s="115"/>
      <c r="UP10" s="115"/>
      <c r="XU10" s="115"/>
      <c r="YV10" s="115"/>
      <c r="ABL10" s="115"/>
      <c r="ALD10" s="115"/>
      <c r="BJR10" s="115"/>
      <c r="BKR10" s="115"/>
      <c r="BNF10" s="115"/>
      <c r="BPE10" s="115"/>
      <c r="BPH10" s="115"/>
      <c r="BPO10" s="115"/>
      <c r="BTK10" s="115"/>
      <c r="BWE10" s="115"/>
      <c r="BYL10" s="115"/>
      <c r="CFU10" s="115"/>
      <c r="CKU10" s="115"/>
      <c r="COK10" s="115"/>
      <c r="COO10" s="115"/>
      <c r="CQB10" s="115"/>
      <c r="CQL10" s="115"/>
      <c r="CQW10" s="115"/>
      <c r="CXY10" s="115"/>
      <c r="CZS10" s="115"/>
      <c r="DDL10" s="115"/>
      <c r="DGP10" s="115"/>
      <c r="DHC10" s="115"/>
      <c r="DHD10" s="115"/>
      <c r="DIA10" s="115"/>
      <c r="DIR10" s="115"/>
      <c r="DSY10" s="115"/>
      <c r="DUI10" s="115"/>
    </row>
    <row r="11" spans="1:1023 1025:2040 2061:3066 3097:3494" ht="15" customHeight="1">
      <c r="A11">
        <v>6</v>
      </c>
      <c r="B11" s="94" t="s">
        <v>179</v>
      </c>
      <c r="C11" s="95" t="s">
        <v>65</v>
      </c>
      <c r="D11" s="116" t="s">
        <v>66</v>
      </c>
      <c r="E11" s="97">
        <v>0.3</v>
      </c>
      <c r="F11" s="98">
        <v>0.03</v>
      </c>
      <c r="G11" s="98">
        <v>-0.03</v>
      </c>
      <c r="H11" s="99" t="s">
        <v>59</v>
      </c>
      <c r="I11" s="100" t="s">
        <v>177</v>
      </c>
      <c r="J11" s="101">
        <f t="shared" si="10"/>
        <v>0.32999999999999996</v>
      </c>
      <c r="K11" s="101">
        <f t="shared" si="11"/>
        <v>0.27</v>
      </c>
      <c r="L11" s="102"/>
      <c r="M11" s="103">
        <f t="shared" si="0"/>
        <v>0</v>
      </c>
      <c r="N11" s="103">
        <f t="shared" si="1"/>
        <v>0</v>
      </c>
      <c r="O11" s="103">
        <f t="shared" si="2"/>
        <v>0</v>
      </c>
      <c r="P11" s="104">
        <f t="shared" si="3"/>
        <v>0</v>
      </c>
      <c r="Q11" s="105" t="str">
        <f t="shared" si="4"/>
        <v/>
      </c>
      <c r="R11" s="106" t="str">
        <f>IF(OR($AI11="",ISNUMBER($AI11)=FALSE),"",IF(AND(#REF!="Tolerance",$E11&lt;&gt;""),($O11-$E11)/(($J11-$K11)/2),IF(AND(#REF!="GD&amp;T",$F11&lt;&gt;""),$O11/$F11,"")))</f>
        <v/>
      </c>
      <c r="S11" s="106" t="str">
        <f t="shared" si="12"/>
        <v/>
      </c>
      <c r="T11" s="105" t="str">
        <f t="shared" si="5"/>
        <v/>
      </c>
      <c r="U11" s="105" t="str">
        <f t="shared" si="6"/>
        <v/>
      </c>
      <c r="V11" s="105" t="str">
        <f t="shared" si="7"/>
        <v/>
      </c>
      <c r="W11" s="107" t="str">
        <f t="shared" si="8"/>
        <v/>
      </c>
      <c r="X11" s="108" t="e">
        <f>IF($O11="","",IF(#REF!="Tolerance",IF((#REF!*3*P11+O11)-E11&lt;F11,"",(#REF!*3*P11+O11)-E11),IF(OR(#REF!="GD&amp;T",#REF!="MAX"),IF((#REF!*3*P11+O11)&lt;F11,"",(#REF!*3*P11+O11)),"")))</f>
        <v>#REF!</v>
      </c>
      <c r="Y11" s="108" t="e">
        <f>IF(O11="","",IF(#REF!="Tolerance",IF(-((#REF!*3*P11)-O11)-E11&gt;G11,"",-((#REF!*3*P11)-O11)-E11),IF(#REF!="MIN",IF(-((#REF!*3*P11)-O11)&gt;G11,"",-((#REF!*3*P11)-O11)),"")))</f>
        <v>#REF!</v>
      </c>
      <c r="Z11" s="108">
        <f t="shared" si="13"/>
        <v>0.3</v>
      </c>
      <c r="AA11" s="108" t="str">
        <f t="shared" si="9"/>
        <v/>
      </c>
      <c r="AB11" s="109"/>
      <c r="AC11" s="110" t="str">
        <f t="shared" si="14"/>
        <v/>
      </c>
      <c r="AD11" s="111"/>
      <c r="AE11" s="112"/>
      <c r="AF11" s="112"/>
      <c r="AG11" s="113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4"/>
      <c r="AW11" s="114"/>
      <c r="AX11" s="114"/>
      <c r="AY11" s="114"/>
      <c r="AZ11" s="114"/>
      <c r="BA11" s="114"/>
      <c r="BB11" s="114"/>
      <c r="BC11" s="114"/>
      <c r="BD11" s="114"/>
      <c r="BE11" s="114"/>
      <c r="BF11" s="114"/>
      <c r="BG11" s="114"/>
      <c r="BH11" s="114"/>
      <c r="BI11" s="114"/>
      <c r="BJ11" s="114"/>
      <c r="BK11" s="114"/>
      <c r="BL11" s="114"/>
      <c r="BM11" s="114"/>
      <c r="BN11" s="114"/>
      <c r="DQ11" s="115"/>
      <c r="FU11" s="115"/>
      <c r="HC11" s="115"/>
      <c r="JW11" s="115"/>
      <c r="NQ11" s="115"/>
      <c r="PT11" s="115"/>
      <c r="SV11" s="115"/>
      <c r="AKV11" s="115"/>
      <c r="AOS11" s="115"/>
      <c r="AXQ11" s="115"/>
      <c r="BME11" s="115"/>
      <c r="BOW11" s="115"/>
      <c r="BQG11" s="115"/>
      <c r="BSV11" s="115"/>
      <c r="BUV11" s="115"/>
      <c r="CDA11" s="115"/>
      <c r="CHN11" s="115"/>
      <c r="CKC11" s="115"/>
      <c r="COT11" s="115"/>
      <c r="CZW11" s="115"/>
      <c r="DTF11" s="115"/>
    </row>
    <row r="12" spans="1:1023 1025:2040 2061:3066 3097:3494" ht="15" customHeight="1">
      <c r="A12">
        <v>7</v>
      </c>
      <c r="B12" s="94" t="s">
        <v>179</v>
      </c>
      <c r="C12" s="95" t="s">
        <v>67</v>
      </c>
      <c r="D12" s="116" t="s">
        <v>66</v>
      </c>
      <c r="E12" s="97">
        <v>0.3</v>
      </c>
      <c r="F12" s="98">
        <v>0.03</v>
      </c>
      <c r="G12" s="98">
        <v>-0.03</v>
      </c>
      <c r="H12" s="99" t="s">
        <v>59</v>
      </c>
      <c r="I12" s="100" t="s">
        <v>177</v>
      </c>
      <c r="J12" s="101">
        <f t="shared" si="10"/>
        <v>0.32999999999999996</v>
      </c>
      <c r="K12" s="101">
        <f t="shared" si="11"/>
        <v>0.27</v>
      </c>
      <c r="L12" s="102"/>
      <c r="M12" s="103">
        <f t="shared" si="0"/>
        <v>0</v>
      </c>
      <c r="N12" s="103">
        <f t="shared" si="1"/>
        <v>0</v>
      </c>
      <c r="O12" s="103">
        <f t="shared" si="2"/>
        <v>0</v>
      </c>
      <c r="P12" s="104">
        <f t="shared" si="3"/>
        <v>0</v>
      </c>
      <c r="Q12" s="105" t="str">
        <f t="shared" si="4"/>
        <v/>
      </c>
      <c r="R12" s="106" t="str">
        <f>IF(OR($AI12="",ISNUMBER($AI12)=FALSE),"",IF(AND(#REF!="Tolerance",$E12&lt;&gt;""),($O12-$E12)/(($J12-$K12)/2),IF(AND(#REF!="GD&amp;T",$F12&lt;&gt;""),$O12/$F12,"")))</f>
        <v/>
      </c>
      <c r="S12" s="106" t="str">
        <f t="shared" si="12"/>
        <v/>
      </c>
      <c r="T12" s="105" t="str">
        <f t="shared" si="5"/>
        <v/>
      </c>
      <c r="U12" s="105" t="str">
        <f t="shared" si="6"/>
        <v/>
      </c>
      <c r="V12" s="105" t="str">
        <f t="shared" si="7"/>
        <v/>
      </c>
      <c r="W12" s="107" t="str">
        <f t="shared" si="8"/>
        <v/>
      </c>
      <c r="X12" s="108" t="e">
        <f>IF($O12="","",IF(#REF!="Tolerance",IF((#REF!*3*P12+O12)-E12&lt;F12,"",(#REF!*3*P12+O12)-E12),IF(OR(#REF!="GD&amp;T",#REF!="MAX"),IF((#REF!*3*P12+O12)&lt;F12,"",(#REF!*3*P12+O12)),"")))</f>
        <v>#REF!</v>
      </c>
      <c r="Y12" s="108" t="e">
        <f>IF(O12="","",IF(#REF!="Tolerance",IF(-((#REF!*3*P12)-O12)-E12&gt;G12,"",-((#REF!*3*P12)-O12)-E12),IF(#REF!="MIN",IF(-((#REF!*3*P12)-O12)&gt;G12,"",-((#REF!*3*P12)-O12)),"")))</f>
        <v>#REF!</v>
      </c>
      <c r="Z12" s="108">
        <f t="shared" si="13"/>
        <v>0.3</v>
      </c>
      <c r="AA12" s="108" t="str">
        <f t="shared" si="9"/>
        <v/>
      </c>
      <c r="AB12" s="109"/>
      <c r="AC12" s="110" t="str">
        <f t="shared" si="14"/>
        <v/>
      </c>
      <c r="AD12" s="111"/>
      <c r="AE12" s="112"/>
      <c r="AF12" s="112"/>
      <c r="AG12" s="113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/>
      <c r="AX12" s="114"/>
      <c r="AY12" s="114"/>
      <c r="AZ12" s="114"/>
      <c r="BA12" s="114"/>
      <c r="BB12" s="114"/>
      <c r="BC12" s="114"/>
      <c r="BD12" s="114"/>
      <c r="BE12" s="114"/>
      <c r="BF12" s="114"/>
      <c r="BG12" s="114"/>
      <c r="BH12" s="114"/>
      <c r="BI12" s="114"/>
      <c r="BJ12" s="114"/>
      <c r="BK12" s="114"/>
      <c r="BL12" s="114"/>
      <c r="BM12" s="114"/>
      <c r="BN12" s="114"/>
      <c r="BT12" s="115"/>
      <c r="DB12" s="115"/>
      <c r="GD12" s="115"/>
      <c r="HR12" s="115"/>
      <c r="NL12" s="115"/>
      <c r="NY12" s="115"/>
      <c r="QO12" s="115"/>
      <c r="XF12" s="115"/>
      <c r="YF12" s="115"/>
      <c r="AAP12" s="115"/>
      <c r="ABZ12" s="115"/>
      <c r="ACN12" s="115"/>
      <c r="ADU12" s="115"/>
      <c r="AHX12" s="115"/>
      <c r="AJN12" s="115"/>
      <c r="ALK12" s="115"/>
      <c r="AMK12" s="115"/>
      <c r="ANZ12" s="115"/>
      <c r="AOX12" s="115"/>
      <c r="APB12" s="115"/>
      <c r="APR12" s="115"/>
      <c r="APY12" s="115"/>
      <c r="APZ12" s="115"/>
      <c r="ARB12" s="115"/>
      <c r="ATM12" s="115"/>
      <c r="AZL12" s="115"/>
      <c r="BBN12" s="115"/>
      <c r="BCN12" s="115"/>
      <c r="BEF12" s="115"/>
      <c r="BFA12" s="115"/>
      <c r="BRH12" s="115"/>
      <c r="BTG12" s="115"/>
      <c r="CEW12" s="115"/>
      <c r="CFT12" s="115"/>
      <c r="CLG12" s="115"/>
      <c r="CWR12" s="115"/>
      <c r="DMF12" s="115"/>
      <c r="DSN12" s="115"/>
      <c r="DSY12" s="115"/>
      <c r="DTX12" s="115"/>
      <c r="DVA12" s="115"/>
    </row>
    <row r="13" spans="1:1023 1025:2040 2061:3066 3097:3494" ht="15" customHeight="1">
      <c r="A13">
        <v>8</v>
      </c>
      <c r="B13" s="94" t="s">
        <v>180</v>
      </c>
      <c r="C13" s="95" t="s">
        <v>68</v>
      </c>
      <c r="D13" s="116" t="s">
        <v>66</v>
      </c>
      <c r="E13" s="97">
        <v>0.3</v>
      </c>
      <c r="F13" s="98">
        <v>0.03</v>
      </c>
      <c r="G13" s="98">
        <v>-0.03</v>
      </c>
      <c r="H13" s="99" t="s">
        <v>59</v>
      </c>
      <c r="I13" s="100" t="s">
        <v>177</v>
      </c>
      <c r="J13" s="101">
        <f t="shared" si="10"/>
        <v>0.32999999999999996</v>
      </c>
      <c r="K13" s="101">
        <f t="shared" si="11"/>
        <v>0.27</v>
      </c>
      <c r="L13" s="102"/>
      <c r="M13" s="103">
        <f t="shared" si="0"/>
        <v>0</v>
      </c>
      <c r="N13" s="103">
        <f t="shared" si="1"/>
        <v>0</v>
      </c>
      <c r="O13" s="103">
        <f t="shared" si="2"/>
        <v>0</v>
      </c>
      <c r="P13" s="104">
        <f t="shared" si="3"/>
        <v>0</v>
      </c>
      <c r="Q13" s="105" t="str">
        <f t="shared" si="4"/>
        <v/>
      </c>
      <c r="R13" s="106" t="str">
        <f>IF(OR($AI13="",ISNUMBER($AI13)=FALSE),"",IF(AND(#REF!="Tolerance",$E13&lt;&gt;""),($O13-$E13)/(($J13-$K13)/2),IF(AND(#REF!="GD&amp;T",$F13&lt;&gt;""),$O13/$F13,"")))</f>
        <v/>
      </c>
      <c r="S13" s="106" t="str">
        <f t="shared" si="12"/>
        <v/>
      </c>
      <c r="T13" s="105" t="str">
        <f t="shared" si="5"/>
        <v/>
      </c>
      <c r="U13" s="105" t="str">
        <f t="shared" si="6"/>
        <v/>
      </c>
      <c r="V13" s="105" t="str">
        <f t="shared" si="7"/>
        <v/>
      </c>
      <c r="W13" s="107" t="str">
        <f t="shared" si="8"/>
        <v/>
      </c>
      <c r="X13" s="108" t="e">
        <f>IF($O13="","",IF(#REF!="Tolerance",IF((#REF!*3*P13+O13)-E13&lt;F13,"",(#REF!*3*P13+O13)-E13),IF(OR(#REF!="GD&amp;T",#REF!="MAX"),IF((#REF!*3*P13+O13)&lt;F13,"",(#REF!*3*P13+O13)),"")))</f>
        <v>#REF!</v>
      </c>
      <c r="Y13" s="108" t="e">
        <f>IF(O13="","",IF(#REF!="Tolerance",IF(-((#REF!*3*P13)-O13)-E13&gt;G13,"",-((#REF!*3*P13)-O13)-E13),IF(#REF!="MIN",IF(-((#REF!*3*P13)-O13)&gt;G13,"",-((#REF!*3*P13)-O13)),"")))</f>
        <v>#REF!</v>
      </c>
      <c r="Z13" s="108">
        <f t="shared" si="13"/>
        <v>0.3</v>
      </c>
      <c r="AA13" s="108" t="str">
        <f t="shared" si="9"/>
        <v/>
      </c>
      <c r="AB13" s="109"/>
      <c r="AC13" s="110" t="str">
        <f t="shared" si="14"/>
        <v/>
      </c>
      <c r="AD13" s="111"/>
      <c r="AE13" s="112"/>
      <c r="AF13" s="112"/>
      <c r="AG13" s="113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  <c r="AX13" s="114"/>
      <c r="AY13" s="114"/>
      <c r="AZ13" s="114"/>
      <c r="BA13" s="114"/>
      <c r="BB13" s="114"/>
      <c r="BC13" s="114"/>
      <c r="BD13" s="114"/>
      <c r="BE13" s="114"/>
      <c r="BF13" s="114"/>
      <c r="BG13" s="114"/>
      <c r="BH13" s="114"/>
      <c r="BI13" s="114"/>
      <c r="BJ13" s="114"/>
      <c r="BK13" s="114"/>
      <c r="BL13" s="114"/>
      <c r="BM13" s="114"/>
      <c r="BN13" s="114"/>
      <c r="BX13" s="115"/>
      <c r="CH13" s="115"/>
      <c r="JA13" s="115"/>
      <c r="JS13" s="115"/>
      <c r="AHY13" s="115"/>
      <c r="APB13" s="115"/>
      <c r="APQ13" s="115"/>
      <c r="APX13" s="115"/>
      <c r="ARL13" s="115"/>
      <c r="ASZ13" s="115"/>
      <c r="AUG13" s="115"/>
      <c r="AWU13" s="115"/>
      <c r="AYL13" s="115"/>
      <c r="BCW13" s="115"/>
      <c r="CCF13" s="115"/>
      <c r="CCK13" s="115"/>
      <c r="CHM13" s="115"/>
      <c r="CKG13" s="115"/>
      <c r="CLK13" s="115"/>
      <c r="DBD13" s="115"/>
      <c r="DCD13" s="115"/>
      <c r="DFM13" s="115"/>
      <c r="DQM13" s="115"/>
      <c r="DRB13" s="115"/>
      <c r="DWC13" s="115"/>
      <c r="EDJ13" s="115"/>
    </row>
    <row r="14" spans="1:1023 1025:2040 2061:3066 3097:3494" ht="15" customHeight="1">
      <c r="A14">
        <v>9</v>
      </c>
      <c r="B14" s="94" t="s">
        <v>180</v>
      </c>
      <c r="C14" s="95" t="s">
        <v>69</v>
      </c>
      <c r="D14" s="116" t="s">
        <v>66</v>
      </c>
      <c r="E14" s="97">
        <v>0.3</v>
      </c>
      <c r="F14" s="98">
        <v>0.03</v>
      </c>
      <c r="G14" s="98">
        <v>-0.03</v>
      </c>
      <c r="H14" s="99" t="s">
        <v>59</v>
      </c>
      <c r="I14" s="100" t="s">
        <v>177</v>
      </c>
      <c r="J14" s="101">
        <f t="shared" si="10"/>
        <v>0.32999999999999996</v>
      </c>
      <c r="K14" s="101">
        <f t="shared" si="11"/>
        <v>0.27</v>
      </c>
      <c r="L14" s="117"/>
      <c r="M14" s="103">
        <f t="shared" si="0"/>
        <v>0</v>
      </c>
      <c r="N14" s="103">
        <f t="shared" si="1"/>
        <v>0</v>
      </c>
      <c r="O14" s="103">
        <f t="shared" si="2"/>
        <v>0</v>
      </c>
      <c r="P14" s="104">
        <f t="shared" si="3"/>
        <v>0</v>
      </c>
      <c r="Q14" s="105" t="str">
        <f t="shared" si="4"/>
        <v/>
      </c>
      <c r="R14" s="106" t="str">
        <f>IF(OR($AI14="",ISNUMBER($AI14)=FALSE),"",IF(AND(#REF!="Tolerance",$E14&lt;&gt;""),($O14-$E14)/(($J14-$K14)/2),IF(AND(#REF!="GD&amp;T",$F14&lt;&gt;""),$O14/$F14,"")))</f>
        <v/>
      </c>
      <c r="S14" s="106" t="str">
        <f t="shared" si="12"/>
        <v/>
      </c>
      <c r="T14" s="105" t="str">
        <f t="shared" si="5"/>
        <v/>
      </c>
      <c r="U14" s="105" t="str">
        <f t="shared" si="6"/>
        <v/>
      </c>
      <c r="V14" s="105" t="str">
        <f t="shared" si="7"/>
        <v/>
      </c>
      <c r="W14" s="107" t="str">
        <f t="shared" si="8"/>
        <v/>
      </c>
      <c r="X14" s="108" t="e">
        <f>IF($O14="","",IF(#REF!="Tolerance",IF((#REF!*3*P14+O14)-E14&lt;F14,"",(#REF!*3*P14+O14)-E14),IF(OR(#REF!="GD&amp;T",#REF!="MAX"),IF((#REF!*3*P14+O14)&lt;F14,"",(#REF!*3*P14+O14)),"")))</f>
        <v>#REF!</v>
      </c>
      <c r="Y14" s="108" t="e">
        <f>IF(O14="","",IF(#REF!="Tolerance",IF(-((#REF!*3*P14)-O14)-E14&gt;G14,"",-((#REF!*3*P14)-O14)-E14),IF(#REF!="MIN",IF(-((#REF!*3*P14)-O14)&gt;G14,"",-((#REF!*3*P14)-O14)),"")))</f>
        <v>#REF!</v>
      </c>
      <c r="Z14" s="108">
        <f t="shared" si="13"/>
        <v>0.3</v>
      </c>
      <c r="AA14" s="108" t="str">
        <f t="shared" si="9"/>
        <v/>
      </c>
      <c r="AB14" s="109"/>
      <c r="AC14" s="110" t="str">
        <f t="shared" si="14"/>
        <v/>
      </c>
      <c r="AD14" s="111"/>
      <c r="AE14" s="112"/>
      <c r="AF14" s="112"/>
      <c r="AG14" s="113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  <c r="AV14" s="114"/>
      <c r="AW14" s="114"/>
      <c r="AX14" s="114"/>
      <c r="AY14" s="114"/>
      <c r="AZ14" s="114"/>
      <c r="BA14" s="114"/>
      <c r="BB14" s="114"/>
      <c r="BC14" s="114"/>
      <c r="BD14" s="114"/>
      <c r="BE14" s="114"/>
      <c r="BF14" s="114"/>
      <c r="BG14" s="114"/>
      <c r="BH14" s="114"/>
      <c r="BI14" s="114"/>
      <c r="BJ14" s="114"/>
      <c r="BK14" s="114"/>
      <c r="BL14" s="114"/>
      <c r="BM14" s="114"/>
      <c r="BN14" s="114"/>
      <c r="EN14" s="115"/>
      <c r="HC14" s="115"/>
      <c r="KF14" s="115"/>
      <c r="LE14" s="115"/>
      <c r="PS14" s="115"/>
      <c r="WC14" s="115"/>
      <c r="XQ14" s="115"/>
      <c r="YV14" s="115"/>
      <c r="AIZ14" s="115"/>
      <c r="AKV14" s="115"/>
      <c r="ALG14" s="115"/>
      <c r="AMM14" s="115"/>
      <c r="ANE14" s="115"/>
      <c r="AQR14" s="115"/>
      <c r="ASC14" s="115"/>
      <c r="AWH14" s="115"/>
      <c r="AYY14" s="115"/>
      <c r="BCJ14" s="115"/>
      <c r="BEA14" s="115"/>
      <c r="BFP14" s="115"/>
      <c r="BOQ14" s="115"/>
      <c r="BRU14" s="115"/>
      <c r="BSP14" s="115"/>
      <c r="BTE14" s="115"/>
      <c r="BXY14" s="115"/>
      <c r="BYL14" s="115"/>
      <c r="CGR14" s="115"/>
      <c r="CGU14" s="115"/>
      <c r="CLX14" s="115"/>
      <c r="CNI14" s="115"/>
      <c r="CYL14" s="115"/>
      <c r="CYT14" s="115"/>
      <c r="DEK14" s="115"/>
      <c r="DHZ14" s="115"/>
      <c r="DIC14" s="115"/>
      <c r="DIS14" s="115"/>
      <c r="DJS14" s="115"/>
      <c r="DOC14" s="115"/>
      <c r="DPQ14" s="115"/>
      <c r="DPU14" s="115"/>
      <c r="DQX14" s="115"/>
      <c r="EAF14" s="115"/>
      <c r="ECT14" s="115"/>
    </row>
    <row r="15" spans="1:1023 1025:2040 2061:3066 3097:3494" ht="15" customHeight="1">
      <c r="A15">
        <v>10</v>
      </c>
      <c r="B15" s="94" t="s">
        <v>181</v>
      </c>
      <c r="C15" s="95" t="s">
        <v>70</v>
      </c>
      <c r="D15" s="116" t="s">
        <v>66</v>
      </c>
      <c r="E15" s="97">
        <v>0.1</v>
      </c>
      <c r="F15" s="98">
        <v>0.01</v>
      </c>
      <c r="G15" s="98">
        <v>-0.04</v>
      </c>
      <c r="H15" s="99" t="s">
        <v>59</v>
      </c>
      <c r="I15" s="100" t="s">
        <v>177</v>
      </c>
      <c r="J15" s="101">
        <f t="shared" si="10"/>
        <v>0.11</v>
      </c>
      <c r="K15" s="101">
        <f t="shared" si="11"/>
        <v>6.0000000000000005E-2</v>
      </c>
      <c r="L15" s="102"/>
      <c r="M15" s="103">
        <f t="shared" si="0"/>
        <v>0</v>
      </c>
      <c r="N15" s="103">
        <f t="shared" si="1"/>
        <v>0</v>
      </c>
      <c r="O15" s="103">
        <f t="shared" si="2"/>
        <v>0</v>
      </c>
      <c r="P15" s="104">
        <f t="shared" si="3"/>
        <v>0</v>
      </c>
      <c r="Q15" s="105" t="str">
        <f t="shared" si="4"/>
        <v/>
      </c>
      <c r="R15" s="106" t="str">
        <f>IF(OR($AI15="",ISNUMBER($AI15)=FALSE),"",IF(AND(#REF!="Tolerance",$E15&lt;&gt;""),($O15-$E15)/(($J15-$K15)/2),IF(AND(#REF!="GD&amp;T",$F15&lt;&gt;""),$O15/$F15,"")))</f>
        <v/>
      </c>
      <c r="S15" s="106" t="str">
        <f t="shared" si="12"/>
        <v/>
      </c>
      <c r="T15" s="105" t="str">
        <f t="shared" si="5"/>
        <v/>
      </c>
      <c r="U15" s="105" t="str">
        <f t="shared" si="6"/>
        <v/>
      </c>
      <c r="V15" s="105" t="str">
        <f t="shared" si="7"/>
        <v/>
      </c>
      <c r="W15" s="107" t="str">
        <f t="shared" si="8"/>
        <v/>
      </c>
      <c r="X15" s="108" t="e">
        <f>IF($O15="","",IF(#REF!="Tolerance",IF((#REF!*3*P15+O15)-E15&lt;F15,"",(#REF!*3*P15+O15)-E15),IF(OR(#REF!="GD&amp;T",#REF!="MAX"),IF((#REF!*3*P15+O15)&lt;F15,"",(#REF!*3*P15+O15)),"")))</f>
        <v>#REF!</v>
      </c>
      <c r="Y15" s="108" t="e">
        <f>IF(O15="","",IF(#REF!="Tolerance",IF(-((#REF!*3*P15)-O15)-E15&gt;G15,"",-((#REF!*3*P15)-O15)-E15),IF(#REF!="MIN",IF(-((#REF!*3*P15)-O15)&gt;G15,"",-((#REF!*3*P15)-O15)),"")))</f>
        <v>#REF!</v>
      </c>
      <c r="Z15" s="108">
        <f t="shared" si="13"/>
        <v>8.5000000000000006E-2</v>
      </c>
      <c r="AA15" s="108" t="str">
        <f t="shared" si="9"/>
        <v/>
      </c>
      <c r="AB15" s="109"/>
      <c r="AC15" s="110" t="str">
        <f t="shared" si="14"/>
        <v/>
      </c>
      <c r="AD15" s="111"/>
      <c r="AE15" s="112"/>
      <c r="AF15" s="112"/>
      <c r="AG15" s="113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  <c r="AX15" s="114"/>
      <c r="AY15" s="114"/>
      <c r="AZ15" s="114"/>
      <c r="BA15" s="114"/>
      <c r="BB15" s="114"/>
      <c r="BC15" s="114"/>
      <c r="BD15" s="114"/>
      <c r="BE15" s="114"/>
      <c r="BF15" s="114"/>
      <c r="BG15" s="114"/>
      <c r="BH15" s="114"/>
      <c r="BI15" s="114"/>
      <c r="BJ15" s="114"/>
      <c r="BK15" s="114"/>
      <c r="BL15" s="114"/>
      <c r="BM15" s="114"/>
      <c r="BN15" s="114"/>
      <c r="EN15" s="115"/>
      <c r="HC15" s="115"/>
      <c r="KF15" s="115"/>
      <c r="LE15" s="115"/>
      <c r="PS15" s="115"/>
      <c r="WC15" s="115"/>
      <c r="XQ15" s="115"/>
      <c r="YV15" s="115"/>
      <c r="AIZ15" s="115"/>
      <c r="ALG15" s="115"/>
      <c r="AMM15" s="115"/>
      <c r="ANE15" s="115"/>
      <c r="AQE15" s="115"/>
      <c r="AQR15" s="115"/>
      <c r="ARG15" s="115"/>
      <c r="ASC15" s="115"/>
      <c r="AWH15" s="115"/>
      <c r="BCJ15" s="115"/>
      <c r="BEA15" s="115"/>
      <c r="BFP15" s="115"/>
      <c r="BJW15" s="115"/>
      <c r="BOQ15" s="115"/>
      <c r="BRU15" s="115"/>
      <c r="BSP15" s="115"/>
      <c r="BTE15" s="115"/>
      <c r="BXY15" s="115"/>
      <c r="BYL15" s="115"/>
      <c r="CGR15" s="115"/>
      <c r="CGU15" s="115"/>
      <c r="CLX15" s="115"/>
      <c r="CNI15" s="115"/>
      <c r="CWD15" s="115"/>
      <c r="CYT15" s="115"/>
      <c r="DHZ15" s="115"/>
      <c r="DIC15" s="115"/>
      <c r="DIS15" s="115"/>
      <c r="DJS15" s="115"/>
      <c r="DOQ15" s="115"/>
      <c r="DPQ15" s="115"/>
      <c r="DPU15" s="115"/>
      <c r="DQX15" s="115"/>
      <c r="DZL15" s="115"/>
      <c r="EAF15" s="115"/>
      <c r="EBX15" s="115"/>
      <c r="ECT15" s="115"/>
    </row>
    <row r="16" spans="1:1023 1025:2040 2061:3066 3097:3494" ht="15" customHeight="1">
      <c r="A16">
        <v>11</v>
      </c>
      <c r="B16" s="94" t="s">
        <v>181</v>
      </c>
      <c r="C16" s="95" t="s">
        <v>71</v>
      </c>
      <c r="D16" s="116" t="s">
        <v>66</v>
      </c>
      <c r="E16" s="97">
        <v>0.1</v>
      </c>
      <c r="F16" s="98">
        <v>0.01</v>
      </c>
      <c r="G16" s="98">
        <v>-0.04</v>
      </c>
      <c r="H16" s="99" t="s">
        <v>59</v>
      </c>
      <c r="I16" s="100" t="s">
        <v>177</v>
      </c>
      <c r="J16" s="101">
        <f t="shared" si="10"/>
        <v>0.11</v>
      </c>
      <c r="K16" s="101">
        <f t="shared" si="11"/>
        <v>6.0000000000000005E-2</v>
      </c>
      <c r="L16" s="102"/>
      <c r="M16" s="103">
        <f t="shared" si="0"/>
        <v>0</v>
      </c>
      <c r="N16" s="103">
        <f t="shared" si="1"/>
        <v>0</v>
      </c>
      <c r="O16" s="103">
        <f t="shared" si="2"/>
        <v>0</v>
      </c>
      <c r="P16" s="104">
        <f t="shared" si="3"/>
        <v>0</v>
      </c>
      <c r="Q16" s="105" t="str">
        <f t="shared" si="4"/>
        <v/>
      </c>
      <c r="R16" s="106" t="str">
        <f>IF(OR($AI16="",ISNUMBER($AI16)=FALSE),"",IF(AND(#REF!="Tolerance",$E16&lt;&gt;""),($O16-$E16)/(($J16-$K16)/2),IF(AND(#REF!="GD&amp;T",$F16&lt;&gt;""),$O16/$F16,"")))</f>
        <v/>
      </c>
      <c r="S16" s="106" t="str">
        <f t="shared" si="12"/>
        <v/>
      </c>
      <c r="T16" s="105" t="str">
        <f t="shared" si="5"/>
        <v/>
      </c>
      <c r="U16" s="105" t="str">
        <f t="shared" si="6"/>
        <v/>
      </c>
      <c r="V16" s="105" t="str">
        <f t="shared" si="7"/>
        <v/>
      </c>
      <c r="W16" s="107" t="str">
        <f t="shared" si="8"/>
        <v/>
      </c>
      <c r="X16" s="108" t="e">
        <f>IF($O16="","",IF(#REF!="Tolerance",IF((#REF!*3*P16+O16)-E16&lt;F16,"",(#REF!*3*P16+O16)-E16),IF(OR(#REF!="GD&amp;T",#REF!="MAX"),IF((#REF!*3*P16+O16)&lt;F16,"",(#REF!*3*P16+O16)),"")))</f>
        <v>#REF!</v>
      </c>
      <c r="Y16" s="108" t="e">
        <f>IF(O16="","",IF(#REF!="Tolerance",IF(-((#REF!*3*P16)-O16)-E16&gt;G16,"",-((#REF!*3*P16)-O16)-E16),IF(#REF!="MIN",IF(-((#REF!*3*P16)-O16)&gt;G16,"",-((#REF!*3*P16)-O16)),"")))</f>
        <v>#REF!</v>
      </c>
      <c r="Z16" s="108">
        <f t="shared" si="13"/>
        <v>8.5000000000000006E-2</v>
      </c>
      <c r="AA16" s="108" t="str">
        <f t="shared" si="9"/>
        <v/>
      </c>
      <c r="AB16" s="109"/>
      <c r="AC16" s="110" t="str">
        <f t="shared" si="14"/>
        <v/>
      </c>
      <c r="AD16" s="111"/>
      <c r="AE16" s="112"/>
      <c r="AF16" s="112"/>
      <c r="AG16" s="113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  <c r="AX16" s="114"/>
      <c r="AY16" s="114"/>
      <c r="AZ16" s="114"/>
      <c r="BA16" s="114"/>
      <c r="BB16" s="114"/>
      <c r="BC16" s="114"/>
      <c r="BD16" s="114"/>
      <c r="BE16" s="114"/>
      <c r="BF16" s="114"/>
      <c r="BG16" s="114"/>
      <c r="BH16" s="114"/>
      <c r="BI16" s="114"/>
      <c r="BJ16" s="114"/>
      <c r="BK16" s="114"/>
      <c r="BL16" s="114"/>
      <c r="BM16" s="114"/>
      <c r="BN16" s="114"/>
      <c r="EN16" s="115"/>
      <c r="HC16" s="115"/>
      <c r="LE16" s="115"/>
      <c r="PS16" s="115"/>
      <c r="WC16" s="115"/>
      <c r="XQ16" s="115"/>
      <c r="YV16" s="115"/>
      <c r="AIZ16" s="115"/>
      <c r="ALG16" s="115"/>
      <c r="AMM16" s="115"/>
      <c r="ANE16" s="115"/>
      <c r="AQE16" s="115"/>
      <c r="ASC16" s="115"/>
      <c r="AWH16" s="115"/>
      <c r="BCJ16" s="115"/>
      <c r="BEA16" s="115"/>
      <c r="BFP16" s="115"/>
      <c r="BKT16" s="115"/>
      <c r="BOQ16" s="115"/>
      <c r="BRU16" s="115"/>
      <c r="BSP16" s="115"/>
      <c r="BTE16" s="115"/>
      <c r="BXY16" s="115"/>
      <c r="BYL16" s="115"/>
      <c r="CGR16" s="115"/>
      <c r="CGU16" s="115"/>
      <c r="CTV16" s="115"/>
      <c r="DHZ16" s="115"/>
      <c r="DIC16" s="115"/>
      <c r="DIS16" s="115"/>
      <c r="DJS16" s="115"/>
      <c r="DPQ16" s="115"/>
      <c r="DPU16" s="115"/>
      <c r="DQX16" s="115"/>
      <c r="DZL16" s="115"/>
      <c r="EAF16" s="115"/>
      <c r="ECT16" s="115"/>
    </row>
    <row r="17" spans="1:1023 1027:2047 2057:3070 3082:3495" ht="15" customHeight="1">
      <c r="A17">
        <v>12</v>
      </c>
      <c r="B17" s="94" t="s">
        <v>181</v>
      </c>
      <c r="C17" s="95" t="s">
        <v>72</v>
      </c>
      <c r="D17" s="116" t="s">
        <v>66</v>
      </c>
      <c r="E17" s="97">
        <v>0.1</v>
      </c>
      <c r="F17" s="98">
        <v>0.01</v>
      </c>
      <c r="G17" s="98">
        <v>-0.04</v>
      </c>
      <c r="H17" s="99" t="s">
        <v>59</v>
      </c>
      <c r="I17" s="100" t="s">
        <v>177</v>
      </c>
      <c r="J17" s="101">
        <f t="shared" si="10"/>
        <v>0.11</v>
      </c>
      <c r="K17" s="101">
        <f t="shared" si="11"/>
        <v>6.0000000000000005E-2</v>
      </c>
      <c r="L17" s="117"/>
      <c r="M17" s="103">
        <f t="shared" si="0"/>
        <v>0</v>
      </c>
      <c r="N17" s="103">
        <f t="shared" si="1"/>
        <v>0</v>
      </c>
      <c r="O17" s="103">
        <f t="shared" si="2"/>
        <v>0</v>
      </c>
      <c r="P17" s="104">
        <f t="shared" si="3"/>
        <v>0</v>
      </c>
      <c r="Q17" s="105" t="str">
        <f t="shared" si="4"/>
        <v/>
      </c>
      <c r="R17" s="106" t="str">
        <f>IF(OR($AI17="",ISNUMBER($AI17)=FALSE),"",IF(AND(#REF!="Tolerance",$E17&lt;&gt;""),($O17-$E17)/(($J17-$K17)/2),IF(AND(#REF!="GD&amp;T",$F17&lt;&gt;""),$O17/$F17,"")))</f>
        <v/>
      </c>
      <c r="S17" s="106" t="str">
        <f t="shared" si="12"/>
        <v/>
      </c>
      <c r="T17" s="105" t="str">
        <f t="shared" si="5"/>
        <v/>
      </c>
      <c r="U17" s="105" t="str">
        <f t="shared" si="6"/>
        <v/>
      </c>
      <c r="V17" s="105" t="str">
        <f t="shared" si="7"/>
        <v/>
      </c>
      <c r="W17" s="107" t="str">
        <f t="shared" si="8"/>
        <v/>
      </c>
      <c r="X17" s="108" t="e">
        <f>IF($O17="","",IF(#REF!="Tolerance",IF((#REF!*3*P17+O17)-E17&lt;F17,"",(#REF!*3*P17+O17)-E17),IF(OR(#REF!="GD&amp;T",#REF!="MAX"),IF((#REF!*3*P17+O17)&lt;F17,"",(#REF!*3*P17+O17)),"")))</f>
        <v>#REF!</v>
      </c>
      <c r="Y17" s="108" t="e">
        <f>IF(O17="","",IF(#REF!="Tolerance",IF(-((#REF!*3*P17)-O17)-E17&gt;G17,"",-((#REF!*3*P17)-O17)-E17),IF(#REF!="MIN",IF(-((#REF!*3*P17)-O17)&gt;G17,"",-((#REF!*3*P17)-O17)),"")))</f>
        <v>#REF!</v>
      </c>
      <c r="Z17" s="108">
        <f t="shared" si="13"/>
        <v>8.5000000000000006E-2</v>
      </c>
      <c r="AA17" s="108" t="str">
        <f t="shared" si="9"/>
        <v/>
      </c>
      <c r="AB17" s="109"/>
      <c r="AC17" s="110" t="str">
        <f t="shared" si="14"/>
        <v/>
      </c>
      <c r="AD17" s="111"/>
      <c r="AE17" s="112"/>
      <c r="AF17" s="112"/>
      <c r="AG17" s="113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  <c r="AX17" s="114"/>
      <c r="AY17" s="114"/>
      <c r="AZ17" s="114"/>
      <c r="BA17" s="114"/>
      <c r="BB17" s="114"/>
      <c r="BC17" s="114"/>
      <c r="BD17" s="114"/>
      <c r="BE17" s="114"/>
      <c r="BF17" s="114"/>
      <c r="BG17" s="114"/>
      <c r="BH17" s="114"/>
      <c r="BI17" s="114"/>
      <c r="BJ17" s="114"/>
      <c r="BK17" s="114"/>
      <c r="BL17" s="114"/>
      <c r="BM17" s="114"/>
      <c r="BN17" s="114"/>
      <c r="HC17" s="115"/>
      <c r="LE17" s="115"/>
      <c r="XQ17" s="115"/>
      <c r="YV17" s="115"/>
      <c r="AIZ17" s="115"/>
      <c r="AKV17" s="115"/>
      <c r="ALG17" s="115"/>
      <c r="AMM17" s="115"/>
      <c r="ANE17" s="115"/>
      <c r="AQE17" s="115"/>
      <c r="AQR17" s="115"/>
      <c r="ASC17" s="115"/>
      <c r="AWH17" s="115"/>
      <c r="AYY17" s="115"/>
      <c r="BCJ17" s="115"/>
      <c r="BEA17" s="115"/>
      <c r="BFP17" s="115"/>
      <c r="BJW17" s="115"/>
      <c r="BOQ17" s="115"/>
      <c r="BRU17" s="115"/>
      <c r="BSP17" s="115"/>
      <c r="BXY17" s="115"/>
      <c r="BYL17" s="115"/>
      <c r="CGR17" s="115"/>
      <c r="DHZ17" s="115"/>
      <c r="DIC17" s="115"/>
      <c r="DIS17" s="115"/>
      <c r="DJS17" s="115"/>
      <c r="DPQ17" s="115"/>
      <c r="DPU17" s="115"/>
      <c r="DQX17" s="115"/>
      <c r="DSN17" s="115"/>
      <c r="DZL17" s="115"/>
      <c r="EAF17" s="115"/>
    </row>
    <row r="18" spans="1:1023 1027:2047 2057:3070 3082:3495" ht="15" customHeight="1">
      <c r="A18">
        <v>13</v>
      </c>
      <c r="B18" s="94" t="s">
        <v>181</v>
      </c>
      <c r="C18" s="95" t="s">
        <v>73</v>
      </c>
      <c r="D18" s="96" t="s">
        <v>66</v>
      </c>
      <c r="E18" s="97">
        <v>0.1</v>
      </c>
      <c r="F18" s="98">
        <v>0.01</v>
      </c>
      <c r="G18" s="98">
        <v>-0.04</v>
      </c>
      <c r="H18" s="99" t="s">
        <v>59</v>
      </c>
      <c r="I18" s="100" t="s">
        <v>177</v>
      </c>
      <c r="J18" s="101">
        <f t="shared" si="10"/>
        <v>0.11</v>
      </c>
      <c r="K18" s="101">
        <f t="shared" si="11"/>
        <v>6.0000000000000005E-2</v>
      </c>
      <c r="L18" s="117"/>
      <c r="M18" s="103">
        <f t="shared" si="0"/>
        <v>0</v>
      </c>
      <c r="N18" s="103">
        <f t="shared" si="1"/>
        <v>0</v>
      </c>
      <c r="O18" s="103">
        <f t="shared" si="2"/>
        <v>0</v>
      </c>
      <c r="P18" s="104">
        <f t="shared" si="3"/>
        <v>0</v>
      </c>
      <c r="Q18" s="105" t="str">
        <f t="shared" si="4"/>
        <v/>
      </c>
      <c r="R18" s="106" t="str">
        <f>IF(OR($AI18="",ISNUMBER($AI18)=FALSE),"",IF(AND(#REF!="Tolerance",$E18&lt;&gt;""),($O18-$E18)/(($J18-$K18)/2),IF(AND(#REF!="GD&amp;T",$F18&lt;&gt;""),$O18/$F18,"")))</f>
        <v/>
      </c>
      <c r="S18" s="106" t="str">
        <f t="shared" si="12"/>
        <v/>
      </c>
      <c r="T18" s="105" t="str">
        <f t="shared" si="5"/>
        <v/>
      </c>
      <c r="U18" s="105" t="str">
        <f t="shared" si="6"/>
        <v/>
      </c>
      <c r="V18" s="105" t="str">
        <f t="shared" si="7"/>
        <v/>
      </c>
      <c r="W18" s="107" t="str">
        <f t="shared" si="8"/>
        <v/>
      </c>
      <c r="X18" s="108" t="e">
        <f>IF($O18="","",IF(#REF!="Tolerance",IF((#REF!*3*P18+O18)-E18&lt;F18,"",(#REF!*3*P18+O18)-E18),IF(OR(#REF!="GD&amp;T",#REF!="MAX"),IF((#REF!*3*P18+O18)&lt;F18,"",(#REF!*3*P18+O18)),"")))</f>
        <v>#REF!</v>
      </c>
      <c r="Y18" s="108" t="e">
        <f>IF(O18="","",IF(#REF!="Tolerance",IF(-((#REF!*3*P18)-O18)-E18&gt;G18,"",-((#REF!*3*P18)-O18)-E18),IF(#REF!="MIN",IF(-((#REF!*3*P18)-O18)&gt;G18,"",-((#REF!*3*P18)-O18)),"")))</f>
        <v>#REF!</v>
      </c>
      <c r="Z18" s="108">
        <f t="shared" si="13"/>
        <v>8.5000000000000006E-2</v>
      </c>
      <c r="AA18" s="108" t="str">
        <f t="shared" si="9"/>
        <v/>
      </c>
      <c r="AB18" s="109"/>
      <c r="AC18" s="110" t="str">
        <f t="shared" si="14"/>
        <v/>
      </c>
      <c r="AD18" s="111"/>
      <c r="AE18" s="112"/>
      <c r="AF18" s="112"/>
      <c r="AG18" s="113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/>
      <c r="AX18" s="114"/>
      <c r="AY18" s="114"/>
      <c r="AZ18" s="114"/>
      <c r="BA18" s="114"/>
      <c r="BB18" s="114"/>
      <c r="BC18" s="114"/>
      <c r="BD18" s="114"/>
      <c r="BE18" s="114"/>
      <c r="BF18" s="114"/>
      <c r="BG18" s="114"/>
      <c r="BH18" s="114"/>
      <c r="BI18" s="114"/>
      <c r="BJ18" s="114"/>
      <c r="BK18" s="114"/>
      <c r="BL18" s="114"/>
      <c r="BM18" s="114"/>
      <c r="BN18" s="114"/>
      <c r="HC18" s="115"/>
      <c r="LE18" s="115"/>
      <c r="PS18" s="115"/>
      <c r="QC18" s="115"/>
      <c r="XQ18" s="115"/>
      <c r="YV18" s="115"/>
      <c r="AIZ18" s="115"/>
      <c r="ALG18" s="115"/>
      <c r="AMM18" s="115"/>
      <c r="ANE18" s="115"/>
      <c r="AQE18" s="115"/>
      <c r="AQR18" s="115"/>
      <c r="ASC18" s="115"/>
      <c r="AWH18" s="115"/>
      <c r="AYY18" s="115"/>
      <c r="BCJ18" s="115"/>
      <c r="BEA18" s="115"/>
      <c r="BFP18" s="115"/>
      <c r="BOQ18" s="115"/>
      <c r="BRU18" s="115"/>
      <c r="BSP18" s="115"/>
      <c r="BTE18" s="115"/>
      <c r="BXY18" s="115"/>
      <c r="BYL18" s="115"/>
      <c r="CGR18" s="115"/>
      <c r="DHZ18" s="115"/>
      <c r="DIC18" s="115"/>
      <c r="DIS18" s="115"/>
      <c r="DJS18" s="115"/>
      <c r="DPQ18" s="115"/>
      <c r="DPU18" s="115"/>
      <c r="DZL18" s="115"/>
      <c r="EAF18" s="115"/>
    </row>
    <row r="19" spans="1:1023 1027:2047 2057:3070 3082:3495" ht="15" customHeight="1">
      <c r="A19">
        <v>14</v>
      </c>
      <c r="B19" s="94" t="s">
        <v>182</v>
      </c>
      <c r="C19" s="95" t="s">
        <v>74</v>
      </c>
      <c r="D19" s="96" t="s">
        <v>75</v>
      </c>
      <c r="E19" s="97">
        <v>90</v>
      </c>
      <c r="F19" s="98">
        <v>1</v>
      </c>
      <c r="G19" s="98">
        <v>-2</v>
      </c>
      <c r="H19" s="99" t="s">
        <v>76</v>
      </c>
      <c r="I19" s="100" t="s">
        <v>177</v>
      </c>
      <c r="J19" s="101">
        <f t="shared" si="10"/>
        <v>91</v>
      </c>
      <c r="K19" s="101">
        <f t="shared" si="11"/>
        <v>88</v>
      </c>
      <c r="L19" s="102"/>
      <c r="M19" s="103">
        <f t="shared" si="0"/>
        <v>0</v>
      </c>
      <c r="N19" s="103">
        <f t="shared" si="1"/>
        <v>0</v>
      </c>
      <c r="O19" s="103">
        <f t="shared" si="2"/>
        <v>0</v>
      </c>
      <c r="P19" s="104">
        <f t="shared" si="3"/>
        <v>0</v>
      </c>
      <c r="Q19" s="105" t="str">
        <f t="shared" si="4"/>
        <v/>
      </c>
      <c r="R19" s="106" t="str">
        <f>IF(OR($AI19="",ISNUMBER($AI19)=FALSE),"",IF(AND(#REF!="Tolerance",$E19&lt;&gt;""),($O19-$E19)/(($J19-$K19)/2),IF(AND(#REF!="GD&amp;T",$F19&lt;&gt;""),$O19/$F19,"")))</f>
        <v/>
      </c>
      <c r="S19" s="106" t="str">
        <f t="shared" si="12"/>
        <v/>
      </c>
      <c r="T19" s="105" t="str">
        <f t="shared" si="5"/>
        <v/>
      </c>
      <c r="U19" s="105" t="str">
        <f t="shared" si="6"/>
        <v/>
      </c>
      <c r="V19" s="105" t="str">
        <f t="shared" si="7"/>
        <v/>
      </c>
      <c r="W19" s="107" t="str">
        <f t="shared" si="8"/>
        <v/>
      </c>
      <c r="X19" s="108" t="e">
        <f>IF($O19="","",IF(#REF!="Tolerance",IF((#REF!*3*P19+O19)-E19&lt;F19,"",(#REF!*3*P19+O19)-E19),IF(OR(#REF!="GD&amp;T",#REF!="MAX"),IF((#REF!*3*P19+O19)&lt;F19,"",(#REF!*3*P19+O19)),"")))</f>
        <v>#REF!</v>
      </c>
      <c r="Y19" s="108" t="e">
        <f>IF(O19="","",IF(#REF!="Tolerance",IF(-((#REF!*3*P19)-O19)-E19&gt;G19,"",-((#REF!*3*P19)-O19)-E19),IF(#REF!="MIN",IF(-((#REF!*3*P19)-O19)&gt;G19,"",-((#REF!*3*P19)-O19)),"")))</f>
        <v>#REF!</v>
      </c>
      <c r="Z19" s="108">
        <f t="shared" si="13"/>
        <v>89.5</v>
      </c>
      <c r="AA19" s="108" t="str">
        <f t="shared" si="9"/>
        <v/>
      </c>
      <c r="AB19" s="109"/>
      <c r="AC19" s="110" t="str">
        <f t="shared" si="14"/>
        <v/>
      </c>
      <c r="AD19" s="111"/>
      <c r="AE19" s="112"/>
      <c r="AF19" s="112"/>
      <c r="AG19" s="113"/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  <c r="AX19" s="114"/>
      <c r="AY19" s="114"/>
      <c r="AZ19" s="114"/>
      <c r="BA19" s="114"/>
      <c r="BB19" s="114"/>
      <c r="BC19" s="114"/>
      <c r="BD19" s="114"/>
      <c r="BE19" s="114"/>
      <c r="BF19" s="114"/>
      <c r="BG19" s="114"/>
      <c r="BH19" s="114"/>
      <c r="BI19" s="114"/>
      <c r="BJ19" s="114"/>
      <c r="BK19" s="114"/>
      <c r="BL19" s="114"/>
      <c r="BM19" s="114"/>
      <c r="BN19" s="114"/>
      <c r="CJ19" s="115"/>
      <c r="HC19" s="115"/>
      <c r="IO19" s="115"/>
      <c r="KF19" s="115"/>
      <c r="QK19" s="115"/>
      <c r="WC19" s="115"/>
      <c r="XG19" s="115"/>
      <c r="XJ19" s="115"/>
      <c r="AAC19" s="115"/>
      <c r="AIZ19" s="115"/>
      <c r="AKV19" s="115"/>
      <c r="AUE19" s="115"/>
      <c r="BCJ19" s="115"/>
      <c r="BFP19" s="115"/>
      <c r="BUU19" s="115"/>
      <c r="BXX19" s="115"/>
      <c r="CAD19" s="115"/>
      <c r="CGU19" s="115"/>
      <c r="CHH19" s="115"/>
      <c r="CIA19" s="115"/>
      <c r="CKW19" s="115"/>
      <c r="CLX19" s="115"/>
      <c r="CMH19" s="115"/>
      <c r="CNR19" s="115"/>
      <c r="CRI19" s="115"/>
      <c r="DEK19" s="115"/>
      <c r="DHZ19" s="115"/>
      <c r="DIC19" s="115"/>
      <c r="DIS19" s="115"/>
      <c r="DPJ19" s="115"/>
      <c r="EAF19" s="115"/>
    </row>
    <row r="20" spans="1:1023 1027:2047 2057:3070 3082:3495" ht="15" customHeight="1">
      <c r="A20">
        <v>15</v>
      </c>
      <c r="B20" s="94" t="s">
        <v>182</v>
      </c>
      <c r="C20" s="95" t="s">
        <v>77</v>
      </c>
      <c r="D20" s="96" t="s">
        <v>75</v>
      </c>
      <c r="E20" s="97">
        <v>90</v>
      </c>
      <c r="F20" s="98">
        <v>1</v>
      </c>
      <c r="G20" s="98">
        <v>-2</v>
      </c>
      <c r="H20" s="99" t="s">
        <v>76</v>
      </c>
      <c r="I20" s="100" t="s">
        <v>177</v>
      </c>
      <c r="J20" s="101">
        <f t="shared" si="10"/>
        <v>91</v>
      </c>
      <c r="K20" s="101">
        <f t="shared" si="11"/>
        <v>88</v>
      </c>
      <c r="L20" s="102"/>
      <c r="M20" s="103">
        <f t="shared" si="0"/>
        <v>0</v>
      </c>
      <c r="N20" s="103">
        <f t="shared" si="1"/>
        <v>0</v>
      </c>
      <c r="O20" s="103">
        <f t="shared" si="2"/>
        <v>0</v>
      </c>
      <c r="P20" s="104">
        <f t="shared" si="3"/>
        <v>0</v>
      </c>
      <c r="Q20" s="105" t="str">
        <f t="shared" si="4"/>
        <v/>
      </c>
      <c r="R20" s="106" t="str">
        <f>IF(OR($AI20="",ISNUMBER($AI20)=FALSE),"",IF(AND(#REF!="Tolerance",$E20&lt;&gt;""),($O20-$E20)/(($J20-$K20)/2),IF(AND(#REF!="GD&amp;T",$F20&lt;&gt;""),$O20/$F20,"")))</f>
        <v/>
      </c>
      <c r="S20" s="106" t="str">
        <f t="shared" si="12"/>
        <v/>
      </c>
      <c r="T20" s="105" t="str">
        <f t="shared" si="5"/>
        <v/>
      </c>
      <c r="U20" s="105" t="str">
        <f t="shared" si="6"/>
        <v/>
      </c>
      <c r="V20" s="105" t="str">
        <f t="shared" si="7"/>
        <v/>
      </c>
      <c r="W20" s="107" t="str">
        <f t="shared" si="8"/>
        <v/>
      </c>
      <c r="X20" s="108" t="e">
        <f>IF($O20="","",IF(#REF!="Tolerance",IF((#REF!*3*P20+O20)-E20&lt;F20,"",(#REF!*3*P20+O20)-E20),IF(OR(#REF!="GD&amp;T",#REF!="MAX"),IF((#REF!*3*P20+O20)&lt;F20,"",(#REF!*3*P20+O20)),"")))</f>
        <v>#REF!</v>
      </c>
      <c r="Y20" s="108" t="e">
        <f>IF(O20="","",IF(#REF!="Tolerance",IF(-((#REF!*3*P20)-O20)-E20&gt;G20,"",-((#REF!*3*P20)-O20)-E20),IF(#REF!="MIN",IF(-((#REF!*3*P20)-O20)&gt;G20,"",-((#REF!*3*P20)-O20)),"")))</f>
        <v>#REF!</v>
      </c>
      <c r="Z20" s="108">
        <f t="shared" si="13"/>
        <v>89.5</v>
      </c>
      <c r="AA20" s="108" t="str">
        <f t="shared" si="9"/>
        <v/>
      </c>
      <c r="AB20" s="109"/>
      <c r="AC20" s="110" t="str">
        <f t="shared" si="14"/>
        <v/>
      </c>
      <c r="AD20" s="111"/>
      <c r="AE20" s="112"/>
      <c r="AF20" s="112"/>
      <c r="AG20" s="113"/>
      <c r="AI20" s="114"/>
      <c r="AJ20" s="114"/>
      <c r="AK20" s="114"/>
      <c r="AL20" s="114"/>
      <c r="AM20" s="114"/>
      <c r="AN20" s="114"/>
      <c r="AO20" s="114"/>
      <c r="AP20" s="114"/>
      <c r="AQ20" s="114"/>
      <c r="AR20" s="114"/>
      <c r="AS20" s="114"/>
      <c r="AT20" s="114"/>
      <c r="AU20" s="114"/>
      <c r="AV20" s="114"/>
      <c r="AW20" s="114"/>
      <c r="AX20" s="114"/>
      <c r="AY20" s="114"/>
      <c r="AZ20" s="114"/>
      <c r="BA20" s="114"/>
      <c r="BB20" s="114"/>
      <c r="BC20" s="114"/>
      <c r="BD20" s="114"/>
      <c r="BE20" s="114"/>
      <c r="BF20" s="114"/>
      <c r="BG20" s="114"/>
      <c r="BH20" s="114"/>
      <c r="BI20" s="114"/>
      <c r="BJ20" s="114"/>
      <c r="BK20" s="114"/>
      <c r="BL20" s="114"/>
      <c r="BM20" s="114"/>
      <c r="BN20" s="114"/>
      <c r="CJ20" s="115"/>
      <c r="GL20" s="115"/>
      <c r="HC20" s="115"/>
      <c r="IO20" s="115"/>
      <c r="KF20" s="115"/>
      <c r="QK20" s="115"/>
      <c r="VV20" s="115"/>
      <c r="WC20" s="115"/>
      <c r="XG20" s="115"/>
      <c r="XJ20" s="115"/>
      <c r="AAC20" s="115"/>
      <c r="AIZ20" s="115"/>
      <c r="AKV20" s="115"/>
      <c r="AUE20" s="115"/>
      <c r="AZQ20" s="115"/>
      <c r="BCJ20" s="115"/>
      <c r="BFP20" s="115"/>
      <c r="BQX20" s="115"/>
      <c r="BSP20" s="115"/>
      <c r="BUU20" s="115"/>
      <c r="BXX20" s="115"/>
      <c r="CAD20" s="115"/>
      <c r="CGU20" s="115"/>
      <c r="CHH20" s="115"/>
      <c r="CIA20" s="115"/>
      <c r="CKX20" s="115"/>
      <c r="CLX20" s="115"/>
      <c r="CMH20" s="115"/>
      <c r="CNR20" s="115"/>
      <c r="CRI20" s="115"/>
      <c r="CYT20" s="115"/>
      <c r="DBH20" s="115"/>
      <c r="DEK20" s="115"/>
      <c r="DEU20" s="115"/>
      <c r="DHZ20" s="115"/>
      <c r="DIC20" s="115"/>
      <c r="DIF20" s="115"/>
      <c r="DIM20" s="115"/>
      <c r="DIS20" s="115"/>
      <c r="DJY20" s="115"/>
      <c r="DOK20" s="115"/>
      <c r="DPJ20" s="115"/>
      <c r="EAF20" s="115"/>
    </row>
    <row r="21" spans="1:1023 1027:2047 2057:3070 3082:3495" ht="15" customHeight="1">
      <c r="A21">
        <v>15</v>
      </c>
      <c r="B21" s="94" t="s">
        <v>183</v>
      </c>
      <c r="C21" s="95" t="s">
        <v>78</v>
      </c>
      <c r="D21" s="96" t="s">
        <v>75</v>
      </c>
      <c r="E21" s="97">
        <v>90</v>
      </c>
      <c r="F21" s="98">
        <v>1</v>
      </c>
      <c r="G21" s="98">
        <v>-2</v>
      </c>
      <c r="H21" s="99" t="s">
        <v>76</v>
      </c>
      <c r="I21" s="100" t="s">
        <v>177</v>
      </c>
      <c r="J21" s="101">
        <f t="shared" si="10"/>
        <v>91</v>
      </c>
      <c r="K21" s="101">
        <f t="shared" si="11"/>
        <v>88</v>
      </c>
      <c r="L21" s="102"/>
      <c r="M21" s="103">
        <f t="shared" si="0"/>
        <v>0</v>
      </c>
      <c r="N21" s="103">
        <f t="shared" si="1"/>
        <v>0</v>
      </c>
      <c r="O21" s="103">
        <f t="shared" si="2"/>
        <v>0</v>
      </c>
      <c r="P21" s="104">
        <f t="shared" si="3"/>
        <v>0</v>
      </c>
      <c r="Q21" s="105" t="str">
        <f t="shared" si="4"/>
        <v/>
      </c>
      <c r="R21" s="106" t="str">
        <f>IF(OR($AI21="",ISNUMBER($AI21)=FALSE),"",IF(AND(#REF!="Tolerance",$E21&lt;&gt;""),($O21-$E21)/(($J21-$K21)/2),IF(AND(#REF!="GD&amp;T",$F21&lt;&gt;""),$O21/$F21,"")))</f>
        <v/>
      </c>
      <c r="S21" s="106" t="str">
        <f t="shared" si="12"/>
        <v/>
      </c>
      <c r="T21" s="105" t="str">
        <f t="shared" si="5"/>
        <v/>
      </c>
      <c r="U21" s="105" t="str">
        <f t="shared" si="6"/>
        <v/>
      </c>
      <c r="V21" s="105" t="str">
        <f t="shared" si="7"/>
        <v/>
      </c>
      <c r="W21" s="107" t="str">
        <f t="shared" si="8"/>
        <v/>
      </c>
      <c r="X21" s="108" t="e">
        <f>IF($O21="","",IF(#REF!="Tolerance",IF((#REF!*3*P21+O21)-E21&lt;F21,"",(#REF!*3*P21+O21)-E21),IF(OR(#REF!="GD&amp;T",#REF!="MAX"),IF((#REF!*3*P21+O21)&lt;F21,"",(#REF!*3*P21+O21)),"")))</f>
        <v>#REF!</v>
      </c>
      <c r="Y21" s="108" t="e">
        <f>IF(O21="","",IF(#REF!="Tolerance",IF(-((#REF!*3*P21)-O21)-E21&gt;G21,"",-((#REF!*3*P21)-O21)-E21),IF(#REF!="MIN",IF(-((#REF!*3*P21)-O21)&gt;G21,"",-((#REF!*3*P21)-O21)),"")))</f>
        <v>#REF!</v>
      </c>
      <c r="Z21" s="108">
        <f>IF(OR(E21="",O21=""),"",(J21+K21)/2-O21)</f>
        <v>89.5</v>
      </c>
      <c r="AA21" s="108" t="str">
        <f t="shared" si="9"/>
        <v/>
      </c>
      <c r="AB21" s="109"/>
      <c r="AC21" s="110" t="str">
        <f t="shared" si="14"/>
        <v/>
      </c>
      <c r="AD21" s="111"/>
      <c r="AE21" s="112"/>
      <c r="AF21" s="112"/>
      <c r="AG21" s="113"/>
      <c r="AI21" s="114"/>
      <c r="AJ21" s="114"/>
      <c r="AK21" s="114"/>
      <c r="AL21" s="114"/>
      <c r="AM21" s="114"/>
      <c r="AN21" s="114"/>
      <c r="AO21" s="114"/>
      <c r="AP21" s="114"/>
      <c r="AQ21" s="114"/>
      <c r="AR21" s="114"/>
      <c r="AS21" s="114"/>
      <c r="AT21" s="114"/>
      <c r="AU21" s="114"/>
      <c r="AV21" s="114"/>
      <c r="AW21" s="114"/>
      <c r="AX21" s="114"/>
      <c r="AY21" s="114"/>
      <c r="AZ21" s="114"/>
      <c r="BA21" s="114"/>
      <c r="BB21" s="114"/>
      <c r="BC21" s="114"/>
      <c r="BD21" s="114"/>
      <c r="BE21" s="114"/>
      <c r="BF21" s="114"/>
      <c r="BG21" s="114"/>
      <c r="BH21" s="114"/>
      <c r="BI21" s="114"/>
      <c r="BJ21" s="114"/>
      <c r="BK21" s="114"/>
      <c r="BL21" s="114"/>
      <c r="BM21" s="114"/>
      <c r="BN21" s="114"/>
      <c r="CJ21" s="115"/>
      <c r="IN21" s="115"/>
      <c r="IO21" s="115"/>
      <c r="KF21" s="115"/>
      <c r="PD21" s="115"/>
      <c r="WC21" s="115"/>
      <c r="XG21" s="115"/>
      <c r="AAC21" s="115"/>
      <c r="AAZ21" s="115"/>
      <c r="AIZ21" s="115"/>
      <c r="AKV21" s="115"/>
      <c r="ALG21" s="115"/>
      <c r="AUE21" s="115"/>
      <c r="BCJ21" s="115"/>
      <c r="BFP21" s="115"/>
      <c r="BSP21" s="115"/>
      <c r="BUU21" s="115"/>
      <c r="CAD21" s="115"/>
      <c r="CGU21" s="115"/>
      <c r="CIA21" s="115"/>
      <c r="CKX21" s="115"/>
      <c r="CLX21" s="115"/>
      <c r="CNR21" s="115"/>
      <c r="CRI21" s="115"/>
      <c r="CYT21" s="115"/>
      <c r="DBH21" s="115"/>
      <c r="DEK21" s="115"/>
      <c r="DHZ21" s="115"/>
      <c r="DIA21" s="115"/>
      <c r="DIC21" s="115"/>
      <c r="DIF21" s="115"/>
      <c r="DIM21" s="115"/>
      <c r="DIS21" s="115"/>
      <c r="DMF21" s="115"/>
      <c r="DOK21" s="115"/>
      <c r="DPJ21" s="115"/>
      <c r="EAF21" s="115"/>
    </row>
    <row r="22" spans="1:1023 1027:2047 2057:3070 3082:3495" ht="15" customHeight="1">
      <c r="A22">
        <v>17</v>
      </c>
      <c r="B22" s="94" t="s">
        <v>183</v>
      </c>
      <c r="C22" s="95" t="s">
        <v>79</v>
      </c>
      <c r="D22" s="96" t="s">
        <v>75</v>
      </c>
      <c r="E22" s="97">
        <v>90</v>
      </c>
      <c r="F22" s="98">
        <v>1</v>
      </c>
      <c r="G22" s="98">
        <v>-2</v>
      </c>
      <c r="H22" s="99" t="s">
        <v>76</v>
      </c>
      <c r="I22" s="100" t="s">
        <v>177</v>
      </c>
      <c r="J22" s="101">
        <f t="shared" si="10"/>
        <v>91</v>
      </c>
      <c r="K22" s="101">
        <f t="shared" si="11"/>
        <v>88</v>
      </c>
      <c r="L22" s="117"/>
      <c r="M22" s="103">
        <f t="shared" si="0"/>
        <v>0</v>
      </c>
      <c r="N22" s="103">
        <f t="shared" si="1"/>
        <v>0</v>
      </c>
      <c r="O22" s="103">
        <f t="shared" si="2"/>
        <v>0</v>
      </c>
      <c r="P22" s="104">
        <f t="shared" si="3"/>
        <v>0</v>
      </c>
      <c r="Q22" s="105" t="str">
        <f t="shared" si="4"/>
        <v/>
      </c>
      <c r="R22" s="106" t="str">
        <f>IF(OR($AI22="",ISNUMBER($AI22)=FALSE),"",IF(AND(#REF!="Tolerance",$E22&lt;&gt;""),($O22-$E22)/(($J22-$K22)/2),IF(AND(#REF!="GD&amp;T",$F22&lt;&gt;""),$O22/$F22,"")))</f>
        <v/>
      </c>
      <c r="S22" s="106" t="str">
        <f t="shared" si="12"/>
        <v/>
      </c>
      <c r="T22" s="105" t="str">
        <f t="shared" si="5"/>
        <v/>
      </c>
      <c r="U22" s="105" t="str">
        <f t="shared" si="6"/>
        <v/>
      </c>
      <c r="V22" s="105" t="str">
        <f t="shared" si="7"/>
        <v/>
      </c>
      <c r="W22" s="107" t="str">
        <f t="shared" si="8"/>
        <v/>
      </c>
      <c r="X22" s="108" t="e">
        <f>IF($O22="","",IF(#REF!="Tolerance",IF((#REF!*3*P22+O22)-E22&lt;F22,"",(#REF!*3*P22+O22)-E22),IF(OR(#REF!="GD&amp;T",#REF!="MAX"),IF((#REF!*3*P22+O22)&lt;F22,"",(#REF!*3*P22+O22)),"")))</f>
        <v>#REF!</v>
      </c>
      <c r="Y22" s="108" t="e">
        <f>IF(O22="","",IF(#REF!="Tolerance",IF(-((#REF!*3*P22)-O22)-E22&gt;G22,"",-((#REF!*3*P22)-O22)-E22),IF(#REF!="MIN",IF(-((#REF!*3*P22)-O22)&gt;G22,"",-((#REF!*3*P22)-O22)),"")))</f>
        <v>#REF!</v>
      </c>
      <c r="Z22" s="108">
        <f t="shared" si="13"/>
        <v>89.5</v>
      </c>
      <c r="AA22" s="108" t="str">
        <f t="shared" si="9"/>
        <v/>
      </c>
      <c r="AB22" s="109"/>
      <c r="AC22" s="110" t="str">
        <f t="shared" si="14"/>
        <v/>
      </c>
      <c r="AD22" s="111"/>
      <c r="AE22" s="112"/>
      <c r="AF22" s="112"/>
      <c r="AG22" s="113"/>
      <c r="AI22" s="114"/>
      <c r="AJ22" s="114"/>
      <c r="AK22" s="114"/>
      <c r="AL22" s="114"/>
      <c r="AM22" s="114"/>
      <c r="AN22" s="114"/>
      <c r="AO22" s="114"/>
      <c r="AP22" s="114"/>
      <c r="AQ22" s="114"/>
      <c r="AR22" s="114"/>
      <c r="AS22" s="114"/>
      <c r="AT22" s="114"/>
      <c r="AU22" s="114"/>
      <c r="AV22" s="114"/>
      <c r="AW22" s="114"/>
      <c r="AX22" s="114"/>
      <c r="AY22" s="114"/>
      <c r="AZ22" s="114"/>
      <c r="BA22" s="114"/>
      <c r="BB22" s="114"/>
      <c r="BC22" s="114"/>
      <c r="BD22" s="114"/>
      <c r="BE22" s="114"/>
      <c r="BF22" s="114"/>
      <c r="BG22" s="114"/>
      <c r="BH22" s="114"/>
      <c r="BI22" s="114"/>
      <c r="BJ22" s="114"/>
      <c r="BK22" s="114"/>
      <c r="BL22" s="114"/>
      <c r="BM22" s="114"/>
      <c r="BN22" s="114"/>
      <c r="CJ22" s="115"/>
      <c r="HC22" s="115"/>
      <c r="IO22" s="115"/>
      <c r="KF22" s="115"/>
      <c r="QK22" s="115"/>
      <c r="WC22" s="115"/>
      <c r="XJ22" s="115"/>
      <c r="AAC22" s="115"/>
      <c r="AAZ22" s="115"/>
      <c r="AIZ22" s="115"/>
      <c r="AKV22" s="115"/>
      <c r="ALG22" s="115"/>
      <c r="BCJ22" s="115"/>
      <c r="BFP22" s="115"/>
      <c r="BRU22" s="115"/>
      <c r="BSP22" s="115"/>
      <c r="BUU22" s="115"/>
      <c r="BXX22" s="115"/>
      <c r="CAD22" s="115"/>
      <c r="CGU22" s="115"/>
      <c r="CHG22" s="115"/>
      <c r="CIA22" s="115"/>
      <c r="CLX22" s="115"/>
      <c r="CNR22" s="115"/>
      <c r="CRI22" s="115"/>
      <c r="CYT22" s="115"/>
      <c r="DBH22" s="115"/>
      <c r="DEK22" s="115"/>
      <c r="DHZ22" s="115"/>
      <c r="DIC22" s="115"/>
      <c r="DIS22" s="115"/>
      <c r="DOK22" s="115"/>
      <c r="DPJ22" s="115"/>
      <c r="EAF22" s="115"/>
    </row>
    <row r="23" spans="1:1023 1027:2047 2057:3070 3082:3495" ht="15" customHeight="1">
      <c r="A23">
        <v>18</v>
      </c>
      <c r="B23" s="94" t="s">
        <v>184</v>
      </c>
      <c r="C23" s="95" t="s">
        <v>185</v>
      </c>
      <c r="D23" s="96" t="s">
        <v>66</v>
      </c>
      <c r="E23" s="97">
        <v>0.122</v>
      </c>
      <c r="F23" s="98">
        <v>0.01</v>
      </c>
      <c r="G23" s="98">
        <v>-0.02</v>
      </c>
      <c r="H23" s="99" t="s">
        <v>59</v>
      </c>
      <c r="I23" s="100" t="s">
        <v>177</v>
      </c>
      <c r="J23" s="101">
        <f t="shared" si="10"/>
        <v>0.13200000000000001</v>
      </c>
      <c r="K23" s="101">
        <f t="shared" si="11"/>
        <v>0.10199999999999999</v>
      </c>
      <c r="L23" s="117"/>
      <c r="M23" s="103">
        <f t="shared" si="0"/>
        <v>0</v>
      </c>
      <c r="N23" s="103">
        <f t="shared" si="1"/>
        <v>0</v>
      </c>
      <c r="O23" s="103">
        <f t="shared" si="2"/>
        <v>0</v>
      </c>
      <c r="P23" s="104">
        <f t="shared" si="3"/>
        <v>0</v>
      </c>
      <c r="Q23" s="105" t="str">
        <f t="shared" si="4"/>
        <v/>
      </c>
      <c r="R23" s="106" t="str">
        <f>IF(OR($AI23="",ISNUMBER($AI23)=FALSE),"",IF(AND(#REF!="Tolerance",$E23&lt;&gt;""),($O23-$E23)/(($J23-$K23)/2),IF(AND(#REF!="GD&amp;T",$F23&lt;&gt;""),$O23/$F23,"")))</f>
        <v/>
      </c>
      <c r="S23" s="106" t="str">
        <f t="shared" si="12"/>
        <v/>
      </c>
      <c r="T23" s="105" t="str">
        <f t="shared" si="5"/>
        <v/>
      </c>
      <c r="U23" s="105" t="str">
        <f t="shared" si="6"/>
        <v/>
      </c>
      <c r="V23" s="105" t="str">
        <f t="shared" si="7"/>
        <v/>
      </c>
      <c r="W23" s="107" t="str">
        <f t="shared" si="8"/>
        <v/>
      </c>
      <c r="X23" s="108" t="e">
        <f>IF($O23="","",IF(#REF!="Tolerance",IF((#REF!*3*P23+O23)-E23&lt;F23,"",(#REF!*3*P23+O23)-E23),IF(OR(#REF!="GD&amp;T",#REF!="MAX"),IF((#REF!*3*P23+O23)&lt;F23,"",(#REF!*3*P23+O23)),"")))</f>
        <v>#REF!</v>
      </c>
      <c r="Y23" s="108" t="e">
        <f>IF(O23="","",IF(#REF!="Tolerance",IF(-((#REF!*3*P23)-O23)-E23&gt;G23,"",-((#REF!*3*P23)-O23)-E23),IF(#REF!="MIN",IF(-((#REF!*3*P23)-O23)&gt;G23,"",-((#REF!*3*P23)-O23)),"")))</f>
        <v>#REF!</v>
      </c>
      <c r="Z23" s="108">
        <f t="shared" si="13"/>
        <v>0.11699999999999999</v>
      </c>
      <c r="AA23" s="108" t="str">
        <f t="shared" si="9"/>
        <v/>
      </c>
      <c r="AB23" s="109"/>
      <c r="AC23" s="110" t="str">
        <f t="shared" si="14"/>
        <v/>
      </c>
      <c r="AD23" s="111"/>
      <c r="AE23" s="112"/>
      <c r="AF23" s="112"/>
      <c r="AG23" s="113"/>
      <c r="AI23" s="114"/>
      <c r="AJ23" s="114"/>
      <c r="AK23" s="114"/>
      <c r="AL23" s="114"/>
      <c r="AM23" s="114"/>
      <c r="AN23" s="114"/>
      <c r="AO23" s="114"/>
      <c r="AP23" s="114"/>
      <c r="AQ23" s="114"/>
      <c r="AR23" s="114"/>
      <c r="AS23" s="114"/>
      <c r="AT23" s="114"/>
      <c r="AU23" s="114"/>
      <c r="AV23" s="114"/>
      <c r="AW23" s="114"/>
      <c r="AX23" s="114"/>
      <c r="AY23" s="114"/>
      <c r="AZ23" s="114"/>
      <c r="BA23" s="114"/>
      <c r="BB23" s="114"/>
      <c r="BC23" s="114"/>
      <c r="BD23" s="114"/>
      <c r="BE23" s="114"/>
      <c r="BF23" s="114"/>
      <c r="BG23" s="114"/>
      <c r="BH23" s="114"/>
      <c r="BI23" s="114"/>
      <c r="BJ23" s="114"/>
      <c r="BK23" s="114"/>
      <c r="BL23" s="114"/>
      <c r="BM23" s="114"/>
      <c r="BN23" s="114"/>
      <c r="CJ23" s="115"/>
      <c r="HC23" s="115"/>
      <c r="IO23" s="115"/>
      <c r="KF23" s="115"/>
      <c r="WC23" s="115"/>
      <c r="XJ23" s="115"/>
      <c r="AAC23" s="115"/>
      <c r="AAZ23" s="115"/>
      <c r="AIS23" s="115"/>
      <c r="AIZ23" s="115"/>
      <c r="AKV23" s="115"/>
      <c r="ALG23" s="115"/>
      <c r="APJ23" s="115"/>
      <c r="BCJ23" s="115"/>
      <c r="BFP23" s="115"/>
      <c r="BSP23" s="115"/>
      <c r="BUU23" s="115"/>
      <c r="BYL23" s="115"/>
      <c r="CAD23" s="115"/>
      <c r="CGU23" s="115"/>
      <c r="CLX23" s="115"/>
      <c r="CNR23" s="115"/>
      <c r="CRI23" s="115"/>
      <c r="CYT23" s="115"/>
      <c r="DEK23" s="115"/>
      <c r="DHZ23" s="115"/>
      <c r="DIC23" s="115"/>
      <c r="DIS23" s="115"/>
      <c r="DOK23" s="115"/>
      <c r="DPJ23" s="115"/>
      <c r="DRA23" s="115"/>
      <c r="EAF23" s="115"/>
    </row>
    <row r="24" spans="1:1023 1027:2047 2057:3070 3082:3495" ht="15" customHeight="1">
      <c r="A24">
        <v>19</v>
      </c>
      <c r="B24" s="94" t="s">
        <v>186</v>
      </c>
      <c r="C24" s="95" t="s">
        <v>81</v>
      </c>
      <c r="D24" s="96" t="s">
        <v>66</v>
      </c>
      <c r="E24" s="97">
        <v>0.122</v>
      </c>
      <c r="F24" s="98">
        <v>0.01</v>
      </c>
      <c r="G24" s="98">
        <v>-0.02</v>
      </c>
      <c r="H24" s="99" t="s">
        <v>59</v>
      </c>
      <c r="I24" s="100" t="s">
        <v>177</v>
      </c>
      <c r="J24" s="101">
        <f t="shared" si="10"/>
        <v>0.13200000000000001</v>
      </c>
      <c r="K24" s="101">
        <f t="shared" si="11"/>
        <v>0.10199999999999999</v>
      </c>
      <c r="L24" s="117"/>
      <c r="M24" s="103">
        <f t="shared" si="0"/>
        <v>0</v>
      </c>
      <c r="N24" s="103">
        <f t="shared" si="1"/>
        <v>0</v>
      </c>
      <c r="O24" s="103">
        <f t="shared" si="2"/>
        <v>0</v>
      </c>
      <c r="P24" s="104">
        <f t="shared" si="3"/>
        <v>0</v>
      </c>
      <c r="Q24" s="105" t="str">
        <f t="shared" si="4"/>
        <v/>
      </c>
      <c r="R24" s="106" t="str">
        <f>IF(OR($AI24="",ISNUMBER($AI24)=FALSE),"",IF(AND(#REF!="Tolerance",$E24&lt;&gt;""),($O24-$E24)/(($J24-$K24)/2),IF(AND(#REF!="GD&amp;T",$F24&lt;&gt;""),$O24/$F24,"")))</f>
        <v/>
      </c>
      <c r="S24" s="106" t="str">
        <f t="shared" si="12"/>
        <v/>
      </c>
      <c r="T24" s="105" t="str">
        <f t="shared" si="5"/>
        <v/>
      </c>
      <c r="U24" s="105" t="str">
        <f t="shared" si="6"/>
        <v/>
      </c>
      <c r="V24" s="105" t="str">
        <f t="shared" si="7"/>
        <v/>
      </c>
      <c r="W24" s="107" t="str">
        <f t="shared" si="8"/>
        <v/>
      </c>
      <c r="X24" s="108" t="e">
        <f>IF($O24="","",IF(#REF!="Tolerance",IF((#REF!*3*P24+O24)-E24&lt;F24,"",(#REF!*3*P24+O24)-E24),IF(OR(#REF!="GD&amp;T",#REF!="MAX"),IF((#REF!*3*P24+O24)&lt;F24,"",(#REF!*3*P24+O24)),"")))</f>
        <v>#REF!</v>
      </c>
      <c r="Y24" s="108" t="e">
        <f>IF(O24="","",IF(#REF!="Tolerance",IF(-((#REF!*3*P24)-O24)-E24&gt;G24,"",-((#REF!*3*P24)-O24)-E24),IF(#REF!="MIN",IF(-((#REF!*3*P24)-O24)&gt;G24,"",-((#REF!*3*P24)-O24)),"")))</f>
        <v>#REF!</v>
      </c>
      <c r="Z24" s="108">
        <f t="shared" si="13"/>
        <v>0.11699999999999999</v>
      </c>
      <c r="AA24" s="108" t="str">
        <f t="shared" si="9"/>
        <v/>
      </c>
      <c r="AB24" s="109"/>
      <c r="AC24" s="110" t="str">
        <f t="shared" si="14"/>
        <v/>
      </c>
      <c r="AD24" s="111"/>
      <c r="AE24" s="112"/>
      <c r="AF24" s="112"/>
      <c r="AG24" s="113"/>
      <c r="AI24" s="114"/>
      <c r="AJ24" s="114"/>
      <c r="AK24" s="114"/>
      <c r="AL24" s="114"/>
      <c r="AM24" s="114"/>
      <c r="AN24" s="114"/>
      <c r="AO24" s="114"/>
      <c r="AP24" s="114"/>
      <c r="AQ24" s="114"/>
      <c r="AR24" s="114"/>
      <c r="AS24" s="114"/>
      <c r="AT24" s="114"/>
      <c r="AU24" s="114"/>
      <c r="AV24" s="114"/>
      <c r="AW24" s="114"/>
      <c r="AX24" s="114"/>
      <c r="AY24" s="114"/>
      <c r="AZ24" s="114"/>
      <c r="BA24" s="114"/>
      <c r="BB24" s="114"/>
      <c r="BC24" s="114"/>
      <c r="BD24" s="114"/>
      <c r="BE24" s="114"/>
      <c r="BF24" s="114"/>
      <c r="BG24" s="114"/>
      <c r="BH24" s="114"/>
      <c r="BI24" s="114"/>
      <c r="BJ24" s="114"/>
      <c r="BK24" s="114"/>
      <c r="BL24" s="114"/>
      <c r="BM24" s="114"/>
      <c r="BN24" s="114"/>
      <c r="BO24" s="115"/>
      <c r="EM24" s="115"/>
      <c r="GG24" s="115"/>
      <c r="PO24" s="115"/>
      <c r="PU24" s="115"/>
      <c r="UZ24" s="115"/>
      <c r="WQ24" s="115"/>
      <c r="WV24" s="115"/>
      <c r="ZG24" s="115"/>
      <c r="ADH24" s="115"/>
      <c r="ADK24" s="115"/>
      <c r="AFV24" s="115"/>
      <c r="AGF24" s="115"/>
      <c r="AGO24" s="115"/>
      <c r="AGV24" s="115"/>
      <c r="AHI24" s="115"/>
      <c r="AHT24" s="115"/>
      <c r="AIC24" s="115"/>
      <c r="AIV24" s="115"/>
      <c r="AOH24" s="115"/>
      <c r="AOV24" s="115"/>
      <c r="AQH24" s="115"/>
      <c r="BUN24" s="115"/>
      <c r="DNB24" s="115"/>
      <c r="DSQ24" s="115"/>
    </row>
    <row r="25" spans="1:1023 1027:2047 2057:3070 3082:3495" ht="15" customHeight="1">
      <c r="A25">
        <v>20</v>
      </c>
      <c r="B25" s="94" t="s">
        <v>187</v>
      </c>
      <c r="C25" s="95" t="s">
        <v>137</v>
      </c>
      <c r="D25" s="96" t="s">
        <v>105</v>
      </c>
      <c r="E25" s="97">
        <v>0.13500000000000001</v>
      </c>
      <c r="F25" s="98">
        <v>5.0000000000000001E-3</v>
      </c>
      <c r="G25" s="98">
        <v>-5.0000000000000001E-3</v>
      </c>
      <c r="H25" s="99" t="s">
        <v>106</v>
      </c>
      <c r="I25" s="100" t="s">
        <v>177</v>
      </c>
      <c r="J25" s="101">
        <f t="shared" si="10"/>
        <v>0.14000000000000001</v>
      </c>
      <c r="K25" s="101">
        <f t="shared" si="11"/>
        <v>0.13</v>
      </c>
      <c r="L25" s="117"/>
      <c r="M25" s="103">
        <f t="shared" si="0"/>
        <v>0</v>
      </c>
      <c r="N25" s="103">
        <f t="shared" si="1"/>
        <v>0</v>
      </c>
      <c r="O25" s="103">
        <f t="shared" si="2"/>
        <v>0</v>
      </c>
      <c r="P25" s="104">
        <f t="shared" si="3"/>
        <v>0</v>
      </c>
      <c r="Q25" s="105" t="str">
        <f t="shared" si="4"/>
        <v/>
      </c>
      <c r="R25" s="106" t="str">
        <f>IF(OR($AI25="",ISNUMBER($AI25)=FALSE),"",IF(AND(#REF!="Tolerance",$E25&lt;&gt;""),($O25-$E25)/(($J25-$K25)/2),IF(AND(#REF!="GD&amp;T",$F25&lt;&gt;""),$O25/$F25,"")))</f>
        <v/>
      </c>
      <c r="S25" s="106" t="str">
        <f t="shared" si="12"/>
        <v/>
      </c>
      <c r="T25" s="105" t="str">
        <f t="shared" si="5"/>
        <v/>
      </c>
      <c r="U25" s="105" t="str">
        <f t="shared" si="6"/>
        <v/>
      </c>
      <c r="V25" s="105" t="str">
        <f t="shared" si="7"/>
        <v/>
      </c>
      <c r="W25" s="107" t="str">
        <f t="shared" si="8"/>
        <v/>
      </c>
      <c r="X25" s="108" t="e">
        <f>IF($O25="","",IF(#REF!="Tolerance",IF((#REF!*3*P25+O25)-E25&lt;F25,"",(#REF!*3*P25+O25)-E25),IF(OR(#REF!="GD&amp;T",#REF!="MAX"),IF((#REF!*3*P25+O25)&lt;F25,"",(#REF!*3*P25+O25)),"")))</f>
        <v>#REF!</v>
      </c>
      <c r="Y25" s="108" t="e">
        <f>IF(O25="","",IF(#REF!="Tolerance",IF(-((#REF!*3*P25)-O25)-E25&gt;G25,"",-((#REF!*3*P25)-O25)-E25),IF(#REF!="MIN",IF(-((#REF!*3*P25)-O25)&gt;G25,"",-((#REF!*3*P25)-O25)),"")))</f>
        <v>#REF!</v>
      </c>
      <c r="Z25" s="108">
        <f t="shared" si="13"/>
        <v>0.13500000000000001</v>
      </c>
      <c r="AA25" s="108" t="str">
        <f t="shared" si="9"/>
        <v/>
      </c>
      <c r="AB25" s="109"/>
      <c r="AC25" s="110" t="str">
        <f t="shared" si="14"/>
        <v/>
      </c>
      <c r="AD25" s="111"/>
      <c r="AE25" s="112"/>
      <c r="AF25" s="112"/>
      <c r="AG25" s="113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  <c r="AX25" s="114"/>
      <c r="AY25" s="114"/>
      <c r="AZ25" s="114"/>
      <c r="BA25" s="114"/>
      <c r="BB25" s="114"/>
      <c r="BC25" s="114"/>
      <c r="BD25" s="114"/>
      <c r="BE25" s="114"/>
      <c r="BF25" s="114"/>
      <c r="BG25" s="114"/>
      <c r="BH25" s="114"/>
      <c r="BI25" s="114"/>
      <c r="BJ25" s="114"/>
      <c r="BK25" s="114"/>
      <c r="BL25" s="114"/>
      <c r="BM25" s="114"/>
      <c r="BN25" s="114"/>
      <c r="BZ25" s="115"/>
      <c r="IB25" s="115"/>
      <c r="TP25" s="115"/>
      <c r="UJ25" s="115"/>
      <c r="XJ25" s="115"/>
      <c r="XQ25" s="115"/>
      <c r="XZ25" s="115"/>
      <c r="YI25" s="115"/>
      <c r="AAZ25" s="115"/>
      <c r="ABN25" s="115"/>
      <c r="ACP25" s="115"/>
      <c r="ADK25" s="115"/>
      <c r="ADQ25" s="115"/>
      <c r="AGO25" s="115"/>
      <c r="AGY25" s="115"/>
      <c r="AHK25" s="115"/>
      <c r="ALG25" s="115"/>
      <c r="AUJ25" s="115"/>
      <c r="AUX25" s="115"/>
      <c r="BDE25" s="115"/>
      <c r="BIK25" s="115"/>
      <c r="BLL25" s="115"/>
      <c r="BPW25" s="115"/>
      <c r="BYK25" s="115"/>
      <c r="BYN25" s="115"/>
      <c r="BZQ25" s="115"/>
      <c r="CDW25" s="115"/>
      <c r="CEH25" s="115"/>
      <c r="DAN25" s="115"/>
      <c r="DCZ25" s="115"/>
      <c r="DIM25" s="115"/>
      <c r="DLZ25" s="115"/>
      <c r="DUY25" s="115"/>
    </row>
    <row r="26" spans="1:1023 1027:2047 2057:3070 3082:3495" ht="15" customHeight="1">
      <c r="A26">
        <v>21</v>
      </c>
      <c r="B26" s="94" t="s">
        <v>187</v>
      </c>
      <c r="C26" s="95" t="s">
        <v>138</v>
      </c>
      <c r="D26" s="96" t="s">
        <v>105</v>
      </c>
      <c r="E26" s="97">
        <v>0.13500000000000001</v>
      </c>
      <c r="F26" s="98">
        <v>5.0000000000000001E-3</v>
      </c>
      <c r="G26" s="98">
        <v>-5.0000000000000001E-3</v>
      </c>
      <c r="H26" s="99" t="s">
        <v>106</v>
      </c>
      <c r="I26" s="100" t="s">
        <v>177</v>
      </c>
      <c r="J26" s="101">
        <f t="shared" si="10"/>
        <v>0.14000000000000001</v>
      </c>
      <c r="K26" s="101">
        <f t="shared" si="11"/>
        <v>0.13</v>
      </c>
      <c r="L26" s="117"/>
      <c r="M26" s="103">
        <f t="shared" si="0"/>
        <v>0</v>
      </c>
      <c r="N26" s="103">
        <f t="shared" si="1"/>
        <v>0</v>
      </c>
      <c r="O26" s="103">
        <f t="shared" si="2"/>
        <v>0</v>
      </c>
      <c r="P26" s="104">
        <f t="shared" si="3"/>
        <v>0</v>
      </c>
      <c r="Q26" s="105" t="str">
        <f t="shared" si="4"/>
        <v/>
      </c>
      <c r="R26" s="106" t="str">
        <f>IF(OR($AI26="",ISNUMBER($AI26)=FALSE),"",IF(AND(#REF!="Tolerance",$E26&lt;&gt;""),($O26-$E26)/(($J26-$K26)/2),IF(AND(#REF!="GD&amp;T",$F26&lt;&gt;""),$O26/$F26,"")))</f>
        <v/>
      </c>
      <c r="S26" s="106" t="str">
        <f t="shared" si="12"/>
        <v/>
      </c>
      <c r="T26" s="105" t="str">
        <f t="shared" si="5"/>
        <v/>
      </c>
      <c r="U26" s="105" t="str">
        <f t="shared" si="6"/>
        <v/>
      </c>
      <c r="V26" s="105" t="str">
        <f t="shared" si="7"/>
        <v/>
      </c>
      <c r="W26" s="107" t="str">
        <f t="shared" si="8"/>
        <v/>
      </c>
      <c r="X26" s="108" t="e">
        <f>IF($O26="","",IF(#REF!="Tolerance",IF((#REF!*3*P26+O26)-E26&lt;F26,"",(#REF!*3*P26+O26)-E26),IF(OR(#REF!="GD&amp;T",#REF!="MAX"),IF((#REF!*3*P26+O26)&lt;F26,"",(#REF!*3*P26+O26)),"")))</f>
        <v>#REF!</v>
      </c>
      <c r="Y26" s="108" t="e">
        <f>IF(O26="","",IF(#REF!="Tolerance",IF(-((#REF!*3*P26)-O26)-E26&gt;G26,"",-((#REF!*3*P26)-O26)-E26),IF(#REF!="MIN",IF(-((#REF!*3*P26)-O26)&gt;G26,"",-((#REF!*3*P26)-O26)),"")))</f>
        <v>#REF!</v>
      </c>
      <c r="Z26" s="108">
        <f t="shared" si="13"/>
        <v>0.13500000000000001</v>
      </c>
      <c r="AA26" s="108" t="str">
        <f t="shared" si="9"/>
        <v/>
      </c>
      <c r="AB26" s="109"/>
      <c r="AC26" s="110" t="str">
        <f t="shared" si="14"/>
        <v/>
      </c>
      <c r="AD26" s="111"/>
      <c r="AE26" s="112"/>
      <c r="AF26" s="112"/>
      <c r="AG26" s="113"/>
      <c r="AI26" s="114"/>
      <c r="AJ26" s="114"/>
      <c r="AK26" s="114"/>
      <c r="AL26" s="114"/>
      <c r="AM26" s="114"/>
      <c r="AN26" s="114"/>
      <c r="AO26" s="114"/>
      <c r="AP26" s="114"/>
      <c r="AQ26" s="114"/>
      <c r="AR26" s="114"/>
      <c r="AS26" s="114"/>
      <c r="AT26" s="114"/>
      <c r="AU26" s="114"/>
      <c r="AV26" s="114"/>
      <c r="AW26" s="114"/>
      <c r="AX26" s="114"/>
      <c r="AY26" s="114"/>
      <c r="AZ26" s="114"/>
      <c r="BA26" s="114"/>
      <c r="BB26" s="114"/>
      <c r="BC26" s="114"/>
      <c r="BD26" s="114"/>
      <c r="BE26" s="114"/>
      <c r="BF26" s="114"/>
      <c r="BG26" s="114"/>
      <c r="BH26" s="114"/>
      <c r="BI26" s="114"/>
      <c r="BJ26" s="114"/>
      <c r="BK26" s="114"/>
      <c r="BL26" s="114"/>
      <c r="BM26" s="114"/>
      <c r="BN26" s="114"/>
      <c r="DV26" s="115"/>
      <c r="GA26" s="115"/>
      <c r="LF26" s="115"/>
      <c r="LK26" s="115"/>
      <c r="QZ26" s="115"/>
      <c r="TY26" s="115"/>
      <c r="WC26" s="115"/>
      <c r="YQ26" s="115"/>
      <c r="ZO26" s="115"/>
      <c r="AOZ26" s="115"/>
      <c r="ATO26" s="115"/>
      <c r="AZT26" s="115"/>
      <c r="BGS26" s="115"/>
      <c r="BIX26" s="115"/>
      <c r="BPN26" s="115"/>
      <c r="BQG26" s="115"/>
      <c r="BTM26" s="115"/>
      <c r="CAC26" s="115"/>
      <c r="CBQ26" s="115"/>
      <c r="CNA26" s="115"/>
      <c r="COJ26" s="115"/>
      <c r="CVO26" s="115"/>
      <c r="DAF26" s="115"/>
      <c r="DCA26" s="115"/>
      <c r="DEB26" s="115"/>
      <c r="DGU26" s="115"/>
      <c r="DHK26" s="115"/>
      <c r="DIC26" s="115"/>
      <c r="DKL26" s="115"/>
      <c r="DMB26" s="115"/>
      <c r="DTF26" s="115"/>
      <c r="DVR26" s="115"/>
      <c r="DYL26" s="115"/>
      <c r="EBB26" s="115"/>
    </row>
    <row r="27" spans="1:1023 1027:2047 2057:3070 3082:3495" ht="15" customHeight="1">
      <c r="A27">
        <v>22</v>
      </c>
      <c r="B27" s="94" t="s">
        <v>188</v>
      </c>
      <c r="C27" s="95" t="s">
        <v>139</v>
      </c>
      <c r="D27" s="96" t="s">
        <v>105</v>
      </c>
      <c r="E27" s="97">
        <v>0.13500000000000001</v>
      </c>
      <c r="F27" s="98">
        <v>5.0000000000000001E-3</v>
      </c>
      <c r="G27" s="98">
        <v>-5.0000000000000001E-3</v>
      </c>
      <c r="H27" s="99" t="s">
        <v>106</v>
      </c>
      <c r="I27" s="100" t="s">
        <v>177</v>
      </c>
      <c r="J27" s="101">
        <f t="shared" si="10"/>
        <v>0.14000000000000001</v>
      </c>
      <c r="K27" s="101">
        <f t="shared" si="11"/>
        <v>0.13</v>
      </c>
      <c r="L27" s="117"/>
      <c r="M27" s="103">
        <f t="shared" si="0"/>
        <v>0</v>
      </c>
      <c r="N27" s="103">
        <f t="shared" si="1"/>
        <v>0</v>
      </c>
      <c r="O27" s="103">
        <f t="shared" si="2"/>
        <v>0</v>
      </c>
      <c r="P27" s="104">
        <f t="shared" si="3"/>
        <v>0</v>
      </c>
      <c r="Q27" s="105" t="str">
        <f t="shared" si="4"/>
        <v/>
      </c>
      <c r="R27" s="106" t="str">
        <f>IF(OR($AI27="",ISNUMBER($AI27)=FALSE),"",IF(AND(#REF!="Tolerance",$E27&lt;&gt;""),($O27-$E27)/(($J27-$K27)/2),IF(AND(#REF!="GD&amp;T",$F27&lt;&gt;""),$O27/$F27,"")))</f>
        <v/>
      </c>
      <c r="S27" s="106" t="str">
        <f t="shared" si="12"/>
        <v/>
      </c>
      <c r="T27" s="105" t="str">
        <f t="shared" si="5"/>
        <v/>
      </c>
      <c r="U27" s="105" t="str">
        <f t="shared" si="6"/>
        <v/>
      </c>
      <c r="V27" s="105" t="str">
        <f t="shared" si="7"/>
        <v/>
      </c>
      <c r="W27" s="107" t="str">
        <f t="shared" si="8"/>
        <v/>
      </c>
      <c r="X27" s="108" t="e">
        <f>IF($O27="","",IF(#REF!="Tolerance",IF((#REF!*3*P27+O27)-E27&lt;F27,"",(#REF!*3*P27+O27)-E27),IF(OR(#REF!="GD&amp;T",#REF!="MAX"),IF((#REF!*3*P27+O27)&lt;F27,"",(#REF!*3*P27+O27)),"")))</f>
        <v>#REF!</v>
      </c>
      <c r="Y27" s="108" t="e">
        <f>IF(O27="","",IF(#REF!="Tolerance",IF(-((#REF!*3*P27)-O27)-E27&gt;G27,"",-((#REF!*3*P27)-O27)-E27),IF(#REF!="MIN",IF(-((#REF!*3*P27)-O27)&gt;G27,"",-((#REF!*3*P27)-O27)),"")))</f>
        <v>#REF!</v>
      </c>
      <c r="Z27" s="108">
        <f t="shared" si="13"/>
        <v>0.13500000000000001</v>
      </c>
      <c r="AA27" s="108" t="str">
        <f t="shared" si="9"/>
        <v/>
      </c>
      <c r="AB27" s="109"/>
      <c r="AC27" s="110" t="str">
        <f t="shared" si="14"/>
        <v/>
      </c>
      <c r="AD27" s="111"/>
      <c r="AE27" s="112"/>
      <c r="AF27" s="112"/>
      <c r="AG27" s="113"/>
      <c r="AI27" s="114"/>
      <c r="AJ27" s="114"/>
      <c r="AK27" s="114"/>
      <c r="AL27" s="114"/>
      <c r="AM27" s="114"/>
      <c r="AN27" s="114"/>
      <c r="AO27" s="114"/>
      <c r="AP27" s="114"/>
      <c r="AQ27" s="114"/>
      <c r="AR27" s="114"/>
      <c r="AS27" s="114"/>
      <c r="AT27" s="114"/>
      <c r="AU27" s="114"/>
      <c r="AV27" s="114"/>
      <c r="AW27" s="114"/>
      <c r="AX27" s="114"/>
      <c r="AY27" s="114"/>
      <c r="AZ27" s="114"/>
      <c r="BA27" s="114"/>
      <c r="BB27" s="114"/>
      <c r="BC27" s="114"/>
      <c r="BD27" s="114"/>
      <c r="BE27" s="114"/>
      <c r="BF27" s="114"/>
      <c r="BG27" s="114"/>
      <c r="BH27" s="114"/>
      <c r="BI27" s="114"/>
      <c r="BJ27" s="114"/>
      <c r="BK27" s="114"/>
      <c r="BL27" s="114"/>
      <c r="BM27" s="114"/>
      <c r="BN27" s="114"/>
      <c r="EQ27" s="115"/>
      <c r="PP27" s="115"/>
      <c r="VX27" s="115"/>
      <c r="WH27" s="115"/>
      <c r="WO27" s="115"/>
      <c r="ZD27" s="115"/>
      <c r="AAR27" s="115"/>
      <c r="AHJ27" s="115"/>
      <c r="AMI27" s="115"/>
      <c r="AON27" s="115"/>
      <c r="AVG27" s="115"/>
      <c r="BGS27" s="115"/>
      <c r="BLW27" s="115"/>
      <c r="BNM27" s="115"/>
      <c r="BOE27" s="115"/>
      <c r="BTM27" s="115"/>
      <c r="BZS27" s="115"/>
      <c r="CDZ27" s="115"/>
      <c r="COM27" s="115"/>
      <c r="CRM27" s="115"/>
      <c r="CXB27" s="115"/>
      <c r="CYS27" s="115"/>
      <c r="CYX27" s="115"/>
      <c r="CZZ27" s="115"/>
      <c r="DIP27" s="115"/>
      <c r="DKV27" s="115"/>
      <c r="DNN27" s="115"/>
      <c r="DOM27" s="115"/>
      <c r="DOR27" s="115"/>
      <c r="DSQ27" s="115"/>
      <c r="EDK27" s="115"/>
    </row>
    <row r="28" spans="1:1023 1027:2047 2057:3070 3082:3495" ht="15" customHeight="1">
      <c r="A28">
        <v>23</v>
      </c>
      <c r="B28" s="94" t="s">
        <v>188</v>
      </c>
      <c r="C28" s="95" t="s">
        <v>140</v>
      </c>
      <c r="D28" s="96" t="s">
        <v>105</v>
      </c>
      <c r="E28" s="97">
        <v>0.13500000000000001</v>
      </c>
      <c r="F28" s="98">
        <v>5.0000000000000001E-3</v>
      </c>
      <c r="G28" s="98">
        <v>-5.0000000000000001E-3</v>
      </c>
      <c r="H28" s="99" t="s">
        <v>106</v>
      </c>
      <c r="I28" s="100" t="s">
        <v>177</v>
      </c>
      <c r="J28" s="101">
        <f t="shared" si="10"/>
        <v>0.14000000000000001</v>
      </c>
      <c r="K28" s="101">
        <f t="shared" si="11"/>
        <v>0.13</v>
      </c>
      <c r="L28" s="117"/>
      <c r="M28" s="103">
        <f t="shared" si="0"/>
        <v>0</v>
      </c>
      <c r="N28" s="103">
        <f t="shared" si="1"/>
        <v>0</v>
      </c>
      <c r="O28" s="103">
        <f t="shared" si="2"/>
        <v>0</v>
      </c>
      <c r="P28" s="104">
        <f t="shared" si="3"/>
        <v>0</v>
      </c>
      <c r="Q28" s="105" t="str">
        <f t="shared" si="4"/>
        <v/>
      </c>
      <c r="R28" s="106" t="str">
        <f>IF(OR($AI28="",ISNUMBER($AI28)=FALSE),"",IF(AND(#REF!="Tolerance",$E28&lt;&gt;""),($O28-$E28)/(($J28-$K28)/2),IF(AND(#REF!="GD&amp;T",$F28&lt;&gt;""),$O28/$F28,"")))</f>
        <v/>
      </c>
      <c r="S28" s="106" t="str">
        <f t="shared" si="12"/>
        <v/>
      </c>
      <c r="T28" s="105" t="str">
        <f t="shared" si="5"/>
        <v/>
      </c>
      <c r="U28" s="105" t="str">
        <f t="shared" si="6"/>
        <v/>
      </c>
      <c r="V28" s="105" t="str">
        <f t="shared" si="7"/>
        <v/>
      </c>
      <c r="W28" s="107" t="str">
        <f t="shared" si="8"/>
        <v/>
      </c>
      <c r="X28" s="108" t="e">
        <f>IF($O28="","",IF(#REF!="Tolerance",IF((#REF!*3*P28+O28)-E28&lt;F28,"",(#REF!*3*P28+O28)-E28),IF(OR(#REF!="GD&amp;T",#REF!="MAX"),IF((#REF!*3*P28+O28)&lt;F28,"",(#REF!*3*P28+O28)),"")))</f>
        <v>#REF!</v>
      </c>
      <c r="Y28" s="108" t="e">
        <f>IF(O28="","",IF(#REF!="Tolerance",IF(-((#REF!*3*P28)-O28)-E28&gt;G28,"",-((#REF!*3*P28)-O28)-E28),IF(#REF!="MIN",IF(-((#REF!*3*P28)-O28)&gt;G28,"",-((#REF!*3*P28)-O28)),"")))</f>
        <v>#REF!</v>
      </c>
      <c r="Z28" s="108">
        <f t="shared" si="13"/>
        <v>0.13500000000000001</v>
      </c>
      <c r="AA28" s="108" t="str">
        <f t="shared" si="9"/>
        <v/>
      </c>
      <c r="AB28" s="109"/>
      <c r="AC28" s="110" t="str">
        <f t="shared" si="14"/>
        <v/>
      </c>
      <c r="AD28" s="111"/>
      <c r="AE28" s="112"/>
      <c r="AF28" s="112"/>
      <c r="AG28" s="113"/>
      <c r="AI28" s="114"/>
      <c r="AJ28" s="114"/>
      <c r="AK28" s="114"/>
      <c r="AL28" s="114"/>
      <c r="AM28" s="114"/>
      <c r="AN28" s="114"/>
      <c r="AO28" s="114"/>
      <c r="AP28" s="114"/>
      <c r="AQ28" s="114"/>
      <c r="AR28" s="114"/>
      <c r="AS28" s="114"/>
      <c r="AT28" s="114"/>
      <c r="AU28" s="114"/>
      <c r="AV28" s="114"/>
      <c r="AW28" s="114"/>
      <c r="AX28" s="114"/>
      <c r="AY28" s="114"/>
      <c r="AZ28" s="114"/>
      <c r="BA28" s="114"/>
      <c r="BB28" s="114"/>
      <c r="BC28" s="114"/>
      <c r="BD28" s="114"/>
      <c r="BE28" s="114"/>
      <c r="BF28" s="114"/>
      <c r="BG28" s="114"/>
      <c r="BH28" s="114"/>
      <c r="BI28" s="114"/>
      <c r="BJ28" s="114"/>
      <c r="BK28" s="114"/>
      <c r="BL28" s="114"/>
      <c r="BM28" s="114"/>
      <c r="BN28" s="114"/>
    </row>
  </sheetData>
  <mergeCells count="6">
    <mergeCell ref="A1:AC1"/>
    <mergeCell ref="B3:K3"/>
    <mergeCell ref="M3:AC3"/>
    <mergeCell ref="AE3:AG3"/>
    <mergeCell ref="AI3:BN4"/>
    <mergeCell ref="X4:Y4"/>
  </mergeCells>
  <phoneticPr fontId="8" type="noConversion"/>
  <conditionalFormatting sqref="AI19:AI22">
    <cfRule type="cellIs" dxfId="11" priority="16" operator="lessThan">
      <formula>88</formula>
    </cfRule>
  </conditionalFormatting>
  <conditionalFormatting sqref="AI6:BN6">
    <cfRule type="cellIs" dxfId="10" priority="13" operator="greaterThan">
      <formula>0.07</formula>
    </cfRule>
  </conditionalFormatting>
  <conditionalFormatting sqref="AI7:BN10">
    <cfRule type="cellIs" dxfId="9" priority="11" operator="lessThan">
      <formula>1.995</formula>
    </cfRule>
    <cfRule type="cellIs" dxfId="8" priority="12" operator="greaterThan">
      <formula>2.055</formula>
    </cfRule>
  </conditionalFormatting>
  <conditionalFormatting sqref="AI11:BN14">
    <cfRule type="cellIs" dxfId="7" priority="7" operator="lessThan">
      <formula>0.27</formula>
    </cfRule>
    <cfRule type="cellIs" dxfId="6" priority="8" operator="greaterThan">
      <formula>0.33</formula>
    </cfRule>
  </conditionalFormatting>
  <conditionalFormatting sqref="AI15:BN18">
    <cfRule type="cellIs" dxfId="5" priority="5" operator="lessThan">
      <formula>0.06</formula>
    </cfRule>
    <cfRule type="cellIs" dxfId="4" priority="6" operator="greaterThan">
      <formula>0.11</formula>
    </cfRule>
  </conditionalFormatting>
  <conditionalFormatting sqref="AI19:BN22">
    <cfRule type="cellIs" dxfId="3" priority="4" operator="greaterThan">
      <formula>91</formula>
    </cfRule>
  </conditionalFormatting>
  <conditionalFormatting sqref="AI25:BN28">
    <cfRule type="cellIs" dxfId="2" priority="1" operator="lessThan">
      <formula>0.13</formula>
    </cfRule>
    <cfRule type="cellIs" dxfId="1" priority="2" operator="greaterThan">
      <formula>0.14</formula>
    </cfRule>
  </conditionalFormatting>
  <conditionalFormatting sqref="AJ19:BN22">
    <cfRule type="cellIs" dxfId="0" priority="3" operator="lessThan">
      <formula>88</formula>
    </cfRule>
  </conditionalFormatting>
  <dataValidations count="2">
    <dataValidation type="list" allowBlank="1" showInputMessage="1" showErrorMessage="1" sqref="H6:H28" xr:uid="{AC5E78CD-4A64-47A4-995E-8F7014AD7C80}">
      <formula1>insp_meth</formula1>
    </dataValidation>
    <dataValidation type="list" allowBlank="1" showInputMessage="1" showErrorMessage="1" sqref="I6:I28" xr:uid="{F265908E-5109-4460-B77D-55A8F9C6A603}">
      <formula1>gauging</formula1>
    </dataValidation>
  </dataValidations>
  <pageMargins left="0.75" right="0.75" top="1" bottom="1" header="0.5" footer="0.5"/>
  <pageSetup orientation="portrait" horizontalDpi="4294967292" verticalDpi="4294967292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49E43-00A1-42EE-82B6-44A6C1958D90}">
  <sheetPr codeName="Sheet5"/>
  <dimension ref="B2:R16"/>
  <sheetViews>
    <sheetView showGridLines="0" zoomScaleNormal="70" workbookViewId="0">
      <selection activeCell="J12" sqref="J12"/>
    </sheetView>
  </sheetViews>
  <sheetFormatPr defaultColWidth="11" defaultRowHeight="18"/>
  <cols>
    <col min="1" max="1" width="1.44140625" style="121" customWidth="1"/>
    <col min="2" max="2" width="7.33203125" style="121" customWidth="1"/>
    <col min="3" max="3" width="20.88671875" style="120" customWidth="1"/>
    <col min="4" max="5" width="30.88671875" style="121" customWidth="1"/>
    <col min="6" max="6" width="13" style="121" customWidth="1"/>
    <col min="7" max="7" width="13" style="120" customWidth="1"/>
    <col min="8" max="13" width="13" style="121" customWidth="1"/>
    <col min="14" max="14" width="60.88671875" style="122" customWidth="1"/>
    <col min="15" max="15" width="60.88671875" style="121" customWidth="1"/>
    <col min="16" max="18" width="29.88671875" style="121" customWidth="1"/>
    <col min="19" max="19" width="11" style="121"/>
    <col min="20" max="20" width="27.6640625" style="121" bestFit="1" customWidth="1"/>
    <col min="21" max="16384" width="11" style="121"/>
  </cols>
  <sheetData>
    <row r="2" spans="2:18" ht="39.950000000000003" customHeight="1">
      <c r="B2" s="118" t="s">
        <v>189</v>
      </c>
      <c r="C2" s="119"/>
      <c r="D2" s="119"/>
      <c r="E2" s="119"/>
      <c r="F2" s="119"/>
    </row>
    <row r="3" spans="2:18" ht="18" customHeight="1">
      <c r="B3" s="119"/>
      <c r="C3" s="119"/>
      <c r="D3" s="119"/>
      <c r="E3" s="119"/>
      <c r="F3" s="119"/>
    </row>
    <row r="4" spans="2:18" s="123" customFormat="1" ht="18.95" customHeight="1">
      <c r="B4" s="182" t="s">
        <v>190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3" t="s">
        <v>18</v>
      </c>
      <c r="Q4" s="183"/>
      <c r="R4" s="183"/>
    </row>
    <row r="5" spans="2:18" s="125" customFormat="1" ht="20.100000000000001" customHeight="1">
      <c r="B5" s="181" t="s">
        <v>191</v>
      </c>
      <c r="C5" s="181" t="s">
        <v>192</v>
      </c>
      <c r="D5" s="181" t="s">
        <v>193</v>
      </c>
      <c r="E5" s="181" t="s">
        <v>194</v>
      </c>
      <c r="F5" s="181" t="s">
        <v>195</v>
      </c>
      <c r="G5" s="181"/>
      <c r="H5" s="181" t="s">
        <v>196</v>
      </c>
      <c r="I5" s="181"/>
      <c r="J5" s="181" t="s">
        <v>197</v>
      </c>
      <c r="K5" s="181"/>
      <c r="L5" s="181"/>
      <c r="M5" s="181"/>
      <c r="N5" s="181" t="s">
        <v>198</v>
      </c>
      <c r="O5" s="181" t="s">
        <v>199</v>
      </c>
      <c r="P5" s="181" t="s">
        <v>200</v>
      </c>
      <c r="Q5" s="181" t="s">
        <v>201</v>
      </c>
      <c r="R5" s="181" t="s">
        <v>202</v>
      </c>
    </row>
    <row r="6" spans="2:18" s="125" customFormat="1" ht="20.100000000000001" customHeight="1">
      <c r="B6" s="181"/>
      <c r="C6" s="181"/>
      <c r="D6" s="181"/>
      <c r="E6" s="181"/>
      <c r="F6" s="124" t="s">
        <v>203</v>
      </c>
      <c r="G6" s="124" t="s">
        <v>204</v>
      </c>
      <c r="H6" s="124" t="s">
        <v>205</v>
      </c>
      <c r="I6" s="124" t="s">
        <v>204</v>
      </c>
      <c r="J6" s="124" t="s">
        <v>206</v>
      </c>
      <c r="K6" s="124" t="s">
        <v>207</v>
      </c>
      <c r="L6" s="124" t="s">
        <v>208</v>
      </c>
      <c r="M6" s="124" t="s">
        <v>209</v>
      </c>
      <c r="N6" s="181"/>
      <c r="O6" s="181"/>
      <c r="P6" s="181"/>
      <c r="Q6" s="181"/>
      <c r="R6" s="181"/>
    </row>
    <row r="7" spans="2:18" s="123" customFormat="1" ht="40.15" customHeight="1">
      <c r="B7" s="126">
        <v>1</v>
      </c>
      <c r="C7" s="127"/>
      <c r="D7" s="127"/>
      <c r="E7" s="128"/>
      <c r="F7" s="129"/>
      <c r="G7" s="129"/>
      <c r="H7" s="130"/>
      <c r="I7" s="129"/>
      <c r="J7" s="129"/>
      <c r="K7" s="129"/>
      <c r="L7" s="129"/>
      <c r="M7" s="129"/>
      <c r="N7" s="131"/>
      <c r="O7" s="132"/>
      <c r="P7" s="133"/>
      <c r="Q7" s="133"/>
      <c r="R7" s="133"/>
    </row>
    <row r="8" spans="2:18" s="123" customFormat="1" ht="39.950000000000003" customHeight="1">
      <c r="B8" s="126">
        <v>2</v>
      </c>
      <c r="C8" s="127"/>
      <c r="D8" s="134"/>
      <c r="E8" s="128"/>
      <c r="F8" s="129"/>
      <c r="G8" s="129"/>
      <c r="H8" s="130"/>
      <c r="I8" s="129"/>
      <c r="J8" s="129"/>
      <c r="K8" s="129"/>
      <c r="L8" s="129"/>
      <c r="M8" s="129"/>
      <c r="N8" s="131"/>
      <c r="O8" s="135"/>
      <c r="P8" s="133"/>
      <c r="Q8" s="133"/>
      <c r="R8" s="133"/>
    </row>
    <row r="9" spans="2:18" s="123" customFormat="1" ht="39.950000000000003" customHeight="1">
      <c r="B9" s="126">
        <v>3</v>
      </c>
      <c r="C9" s="127"/>
      <c r="D9" s="134"/>
      <c r="E9" s="128"/>
      <c r="F9" s="129"/>
      <c r="G9" s="129"/>
      <c r="H9" s="130"/>
      <c r="I9" s="129"/>
      <c r="J9" s="129"/>
      <c r="K9" s="129"/>
      <c r="L9" s="129"/>
      <c r="M9" s="129"/>
      <c r="N9" s="131"/>
      <c r="O9" s="135"/>
      <c r="P9" s="133"/>
      <c r="Q9" s="133"/>
      <c r="R9" s="133"/>
    </row>
    <row r="10" spans="2:18" s="123" customFormat="1" ht="39.950000000000003" customHeight="1">
      <c r="B10" s="126">
        <v>4</v>
      </c>
      <c r="C10" s="127"/>
      <c r="D10" s="134"/>
      <c r="E10" s="128"/>
      <c r="F10" s="129"/>
      <c r="G10" s="129"/>
      <c r="H10" s="130"/>
      <c r="I10" s="129"/>
      <c r="J10" s="129"/>
      <c r="K10" s="129"/>
      <c r="L10" s="129"/>
      <c r="M10" s="129"/>
      <c r="N10" s="131"/>
      <c r="O10" s="135"/>
      <c r="P10" s="133"/>
      <c r="Q10" s="133"/>
      <c r="R10" s="133"/>
    </row>
    <row r="11" spans="2:18" s="123" customFormat="1" ht="39.950000000000003" customHeight="1">
      <c r="B11" s="126">
        <v>5</v>
      </c>
      <c r="C11" s="127"/>
      <c r="D11" s="134"/>
      <c r="E11" s="128"/>
      <c r="F11" s="129"/>
      <c r="G11" s="129"/>
      <c r="H11" s="130"/>
      <c r="I11" s="129"/>
      <c r="J11" s="129"/>
      <c r="K11" s="129"/>
      <c r="L11" s="129"/>
      <c r="M11" s="129"/>
      <c r="N11" s="131"/>
      <c r="O11" s="135"/>
      <c r="P11" s="133"/>
      <c r="Q11" s="133"/>
      <c r="R11" s="133"/>
    </row>
    <row r="12" spans="2:18" s="123" customFormat="1" ht="39.950000000000003" customHeight="1">
      <c r="B12" s="126">
        <v>6</v>
      </c>
      <c r="C12" s="127"/>
      <c r="D12" s="134"/>
      <c r="E12" s="128"/>
      <c r="F12" s="129"/>
      <c r="G12" s="129"/>
      <c r="H12" s="130"/>
      <c r="I12" s="129"/>
      <c r="J12" s="129"/>
      <c r="K12" s="129"/>
      <c r="L12" s="129"/>
      <c r="M12" s="129"/>
      <c r="N12" s="131"/>
      <c r="O12" s="135"/>
      <c r="P12" s="133"/>
      <c r="Q12" s="133"/>
      <c r="R12" s="133"/>
    </row>
    <row r="13" spans="2:18" s="123" customFormat="1" ht="39.950000000000003" customHeight="1">
      <c r="B13" s="126">
        <v>7</v>
      </c>
      <c r="C13" s="127"/>
      <c r="D13" s="134"/>
      <c r="E13" s="128"/>
      <c r="F13" s="129"/>
      <c r="G13" s="129"/>
      <c r="H13" s="130"/>
      <c r="I13" s="129"/>
      <c r="J13" s="129"/>
      <c r="K13" s="129"/>
      <c r="L13" s="129"/>
      <c r="M13" s="129"/>
      <c r="N13" s="131"/>
      <c r="O13" s="135"/>
      <c r="P13" s="133"/>
      <c r="Q13" s="133"/>
      <c r="R13" s="133"/>
    </row>
    <row r="14" spans="2:18" s="123" customFormat="1" ht="39.950000000000003" customHeight="1">
      <c r="B14" s="126">
        <v>8</v>
      </c>
      <c r="C14" s="127"/>
      <c r="D14" s="134"/>
      <c r="E14" s="128"/>
      <c r="F14" s="129"/>
      <c r="G14" s="129"/>
      <c r="H14" s="130"/>
      <c r="I14" s="129"/>
      <c r="J14" s="129"/>
      <c r="K14" s="129"/>
      <c r="L14" s="129"/>
      <c r="M14" s="129"/>
      <c r="N14" s="131"/>
      <c r="O14" s="135"/>
      <c r="P14" s="133"/>
      <c r="Q14" s="133"/>
      <c r="R14" s="133"/>
    </row>
    <row r="15" spans="2:18" s="123" customFormat="1" ht="39.950000000000003" customHeight="1">
      <c r="B15" s="126">
        <v>9</v>
      </c>
      <c r="C15" s="127"/>
      <c r="D15" s="134"/>
      <c r="E15" s="128"/>
      <c r="F15" s="129"/>
      <c r="G15" s="129"/>
      <c r="H15" s="130"/>
      <c r="I15" s="129"/>
      <c r="J15" s="129"/>
      <c r="K15" s="129"/>
      <c r="L15" s="129"/>
      <c r="M15" s="129"/>
      <c r="N15" s="131"/>
      <c r="O15" s="135"/>
      <c r="P15" s="133"/>
      <c r="Q15" s="133"/>
      <c r="R15" s="133"/>
    </row>
    <row r="16" spans="2:18" s="123" customFormat="1" ht="39.950000000000003" customHeight="1">
      <c r="B16" s="126">
        <v>10</v>
      </c>
      <c r="C16" s="127"/>
      <c r="D16" s="134"/>
      <c r="E16" s="128"/>
      <c r="F16" s="129"/>
      <c r="G16" s="129"/>
      <c r="H16" s="130"/>
      <c r="I16" s="129"/>
      <c r="J16" s="129"/>
      <c r="K16" s="129"/>
      <c r="L16" s="129"/>
      <c r="M16" s="129"/>
      <c r="N16" s="131"/>
      <c r="O16" s="135"/>
      <c r="P16" s="133"/>
      <c r="Q16" s="133"/>
      <c r="R16" s="133"/>
    </row>
  </sheetData>
  <mergeCells count="14">
    <mergeCell ref="O5:O6"/>
    <mergeCell ref="P5:P6"/>
    <mergeCell ref="Q5:Q6"/>
    <mergeCell ref="R5:R6"/>
    <mergeCell ref="B4:O4"/>
    <mergeCell ref="P4:R4"/>
    <mergeCell ref="B5:B6"/>
    <mergeCell ref="C5:C6"/>
    <mergeCell ref="D5:D6"/>
    <mergeCell ref="E5:E6"/>
    <mergeCell ref="F5:G5"/>
    <mergeCell ref="H5:I5"/>
    <mergeCell ref="J5:M5"/>
    <mergeCell ref="N5:N6"/>
  </mergeCells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5FE17-8184-4292-AAF3-AE85ABD6AC8E}">
  <sheetPr codeName="Sheet6"/>
  <dimension ref="B2:W207"/>
  <sheetViews>
    <sheetView showGridLines="0" zoomScale="70" zoomScaleNormal="70" workbookViewId="0">
      <selection activeCell="J12" sqref="J12"/>
    </sheetView>
  </sheetViews>
  <sheetFormatPr defaultColWidth="11" defaultRowHeight="18"/>
  <cols>
    <col min="1" max="1" width="1.44140625" style="121" customWidth="1"/>
    <col min="2" max="2" width="7.33203125" style="121" customWidth="1"/>
    <col min="3" max="3" width="15.88671875" style="120" customWidth="1"/>
    <col min="4" max="4" width="15.88671875" style="121" customWidth="1"/>
    <col min="5" max="6" width="30.88671875" style="121" customWidth="1"/>
    <col min="7" max="8" width="13" style="121" customWidth="1"/>
    <col min="9" max="9" width="13" style="120" customWidth="1"/>
    <col min="10" max="18" width="15.88671875" style="121" customWidth="1"/>
    <col min="19" max="19" width="60.88671875" style="122" customWidth="1"/>
    <col min="20" max="20" width="60.88671875" style="121" customWidth="1"/>
    <col min="21" max="23" width="29.88671875" style="121" hidden="1" customWidth="1"/>
    <col min="24" max="24" width="11" style="121"/>
    <col min="25" max="25" width="27.6640625" style="121" bestFit="1" customWidth="1"/>
    <col min="26" max="16384" width="11" style="121"/>
  </cols>
  <sheetData>
    <row r="2" spans="2:23" ht="39.950000000000003" customHeight="1">
      <c r="B2" s="118" t="s">
        <v>210</v>
      </c>
      <c r="C2" s="119"/>
      <c r="D2" s="119"/>
      <c r="E2" s="119"/>
      <c r="F2" s="119"/>
      <c r="G2" s="119"/>
      <c r="H2" s="119"/>
    </row>
    <row r="3" spans="2:23" ht="18" customHeight="1">
      <c r="B3" s="119"/>
      <c r="C3" s="119"/>
      <c r="D3" s="119"/>
      <c r="E3" s="119"/>
      <c r="F3" s="119"/>
      <c r="G3" s="119"/>
      <c r="H3" s="119"/>
    </row>
    <row r="4" spans="2:23" s="123" customFormat="1" ht="18.95" customHeight="1">
      <c r="B4" s="182" t="s">
        <v>190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3" t="s">
        <v>18</v>
      </c>
      <c r="V4" s="183"/>
      <c r="W4" s="183"/>
    </row>
    <row r="5" spans="2:23" s="125" customFormat="1" ht="20.100000000000001" customHeight="1">
      <c r="B5" s="181" t="s">
        <v>191</v>
      </c>
      <c r="C5" s="181" t="s">
        <v>211</v>
      </c>
      <c r="D5" s="181" t="s">
        <v>212</v>
      </c>
      <c r="E5" s="181" t="s">
        <v>193</v>
      </c>
      <c r="F5" s="181" t="s">
        <v>213</v>
      </c>
      <c r="G5" s="181" t="s">
        <v>214</v>
      </c>
      <c r="H5" s="181"/>
      <c r="I5" s="181"/>
      <c r="J5" s="181" t="s">
        <v>168</v>
      </c>
      <c r="K5" s="181"/>
      <c r="L5" s="181"/>
      <c r="M5" s="181" t="s">
        <v>215</v>
      </c>
      <c r="N5" s="181"/>
      <c r="O5" s="181"/>
      <c r="P5" s="181"/>
      <c r="Q5" s="181"/>
      <c r="R5" s="181"/>
      <c r="S5" s="181" t="s">
        <v>198</v>
      </c>
      <c r="T5" s="181" t="s">
        <v>199</v>
      </c>
      <c r="U5" s="181" t="s">
        <v>200</v>
      </c>
      <c r="V5" s="181" t="s">
        <v>201</v>
      </c>
      <c r="W5" s="181" t="s">
        <v>202</v>
      </c>
    </row>
    <row r="6" spans="2:23" s="125" customFormat="1" ht="20.100000000000001" customHeight="1">
      <c r="B6" s="181"/>
      <c r="C6" s="181"/>
      <c r="D6" s="181"/>
      <c r="E6" s="181"/>
      <c r="F6" s="181"/>
      <c r="G6" s="124" t="s">
        <v>44</v>
      </c>
      <c r="H6" s="124" t="s">
        <v>216</v>
      </c>
      <c r="I6" s="124" t="s">
        <v>217</v>
      </c>
      <c r="J6" s="124" t="s">
        <v>162</v>
      </c>
      <c r="K6" s="124" t="s">
        <v>167</v>
      </c>
      <c r="L6" s="124" t="s">
        <v>218</v>
      </c>
      <c r="M6" s="124" t="s">
        <v>44</v>
      </c>
      <c r="N6" s="124" t="s">
        <v>216</v>
      </c>
      <c r="O6" s="124" t="s">
        <v>217</v>
      </c>
      <c r="P6" s="124" t="s">
        <v>162</v>
      </c>
      <c r="Q6" s="124" t="s">
        <v>167</v>
      </c>
      <c r="R6" s="124" t="s">
        <v>218</v>
      </c>
      <c r="S6" s="181"/>
      <c r="T6" s="181"/>
      <c r="U6" s="181"/>
      <c r="V6" s="181"/>
      <c r="W6" s="181"/>
    </row>
    <row r="7" spans="2:23" s="123" customFormat="1" ht="39.950000000000003" customHeight="1">
      <c r="B7" s="126">
        <v>1</v>
      </c>
      <c r="C7" s="127"/>
      <c r="D7" s="127"/>
      <c r="E7" s="127"/>
      <c r="F7" s="127"/>
      <c r="G7" s="136"/>
      <c r="H7" s="136"/>
      <c r="I7" s="136"/>
      <c r="J7" s="136"/>
      <c r="K7" s="136"/>
      <c r="L7" s="136"/>
      <c r="M7" s="129"/>
      <c r="N7" s="129"/>
      <c r="O7" s="129"/>
      <c r="P7" s="129"/>
      <c r="Q7" s="129"/>
      <c r="R7" s="129"/>
      <c r="S7" s="137"/>
      <c r="T7" s="135"/>
      <c r="U7" s="133"/>
      <c r="V7" s="133"/>
      <c r="W7" s="133"/>
    </row>
    <row r="8" spans="2:23" s="123" customFormat="1" ht="40.15" customHeight="1">
      <c r="B8" s="126">
        <v>2</v>
      </c>
      <c r="C8" s="127"/>
      <c r="D8" s="127"/>
      <c r="E8" s="127"/>
      <c r="F8" s="127"/>
      <c r="G8" s="136"/>
      <c r="H8" s="136"/>
      <c r="I8" s="136"/>
      <c r="J8" s="136"/>
      <c r="K8" s="136"/>
      <c r="L8" s="136"/>
      <c r="M8" s="129"/>
      <c r="N8" s="129"/>
      <c r="O8" s="129"/>
      <c r="P8" s="129"/>
      <c r="Q8" s="129"/>
      <c r="R8" s="129"/>
      <c r="S8" s="138"/>
      <c r="T8" s="135"/>
      <c r="U8" s="133"/>
      <c r="V8" s="133"/>
      <c r="W8" s="133"/>
    </row>
    <row r="9" spans="2:23" s="123" customFormat="1" ht="39.950000000000003" customHeight="1">
      <c r="B9" s="126">
        <v>3</v>
      </c>
      <c r="C9" s="127"/>
      <c r="D9" s="127"/>
      <c r="E9" s="127"/>
      <c r="F9" s="127"/>
      <c r="G9" s="134"/>
      <c r="H9" s="129"/>
      <c r="I9" s="129"/>
      <c r="J9" s="131"/>
      <c r="K9" s="135"/>
      <c r="L9" s="133"/>
      <c r="M9" s="133"/>
      <c r="N9" s="133"/>
      <c r="O9" s="133"/>
      <c r="P9" s="133"/>
      <c r="Q9" s="133"/>
      <c r="R9" s="133"/>
      <c r="S9" s="133"/>
      <c r="T9" s="133"/>
    </row>
    <row r="10" spans="2:23" s="123" customFormat="1" ht="39.950000000000003" customHeight="1">
      <c r="B10" s="126">
        <v>4</v>
      </c>
      <c r="C10" s="127"/>
      <c r="D10" s="127"/>
      <c r="E10" s="127"/>
      <c r="F10" s="127"/>
      <c r="G10" s="134"/>
      <c r="H10" s="129"/>
      <c r="I10" s="129"/>
      <c r="J10" s="131"/>
      <c r="K10" s="135"/>
      <c r="L10" s="133"/>
      <c r="M10" s="133"/>
      <c r="N10" s="133"/>
      <c r="O10" s="133"/>
      <c r="P10" s="133"/>
      <c r="Q10" s="133"/>
      <c r="R10" s="133"/>
      <c r="S10" s="133"/>
      <c r="T10" s="133"/>
    </row>
    <row r="11" spans="2:23" s="123" customFormat="1" ht="39.950000000000003" customHeight="1">
      <c r="B11" s="126">
        <v>5</v>
      </c>
      <c r="C11" s="127"/>
      <c r="D11" s="127"/>
      <c r="E11" s="127"/>
      <c r="F11" s="127"/>
      <c r="G11" s="134"/>
      <c r="H11" s="129"/>
      <c r="I11" s="129"/>
      <c r="J11" s="131"/>
      <c r="K11" s="135"/>
      <c r="L11" s="133"/>
      <c r="M11" s="133"/>
      <c r="N11" s="133"/>
      <c r="O11" s="133"/>
      <c r="P11" s="133"/>
      <c r="Q11" s="133"/>
      <c r="R11" s="133"/>
      <c r="S11" s="133"/>
      <c r="T11" s="133"/>
    </row>
    <row r="143" spans="11:14">
      <c r="K143" s="121">
        <v>2.3400000000000001E-2</v>
      </c>
      <c r="L143" s="121">
        <v>2.29E-2</v>
      </c>
      <c r="M143" s="121">
        <v>1.6299999999999999E-2</v>
      </c>
      <c r="N143" s="121">
        <v>2.1399999999999864E-2</v>
      </c>
    </row>
    <row r="144" spans="11:14">
      <c r="K144" s="121">
        <v>3.8043999999999998</v>
      </c>
      <c r="L144" s="121">
        <v>3.8050000000000002</v>
      </c>
      <c r="M144" s="121">
        <v>3.8065000000000002</v>
      </c>
      <c r="N144" s="121">
        <v>3.8069999999999999</v>
      </c>
    </row>
    <row r="145" spans="11:14">
      <c r="K145" s="121">
        <v>3.8022999999999998</v>
      </c>
      <c r="L145" s="121">
        <v>3.8048000000000002</v>
      </c>
      <c r="M145" s="121">
        <v>3.8027000000000002</v>
      </c>
      <c r="N145" s="121">
        <v>3.7972999999999999</v>
      </c>
    </row>
    <row r="146" spans="11:14">
      <c r="K146" s="121">
        <v>1.1999999999999999E-3</v>
      </c>
      <c r="L146" s="121">
        <v>1.8E-3</v>
      </c>
      <c r="M146" s="121">
        <v>1.1000000000000001E-3</v>
      </c>
      <c r="N146" s="121">
        <v>1.6000000000000001E-3</v>
      </c>
    </row>
    <row r="147" spans="11:14">
      <c r="K147" s="121">
        <v>3.8309000000000002</v>
      </c>
      <c r="L147" s="121">
        <v>3.8290000000000002</v>
      </c>
      <c r="M147" s="121">
        <v>3.8308</v>
      </c>
      <c r="N147" s="121">
        <v>3.8304999999999998</v>
      </c>
    </row>
    <row r="148" spans="11:14">
      <c r="K148" s="121">
        <v>3.8237000000000001</v>
      </c>
      <c r="L148" s="121">
        <v>3.8235999999999999</v>
      </c>
      <c r="M148" s="121">
        <v>3.8233999999999999</v>
      </c>
      <c r="N148" s="121">
        <v>3.8250000000000002</v>
      </c>
    </row>
    <row r="149" spans="11:14">
      <c r="K149" s="121">
        <v>3.7000000000000002E-3</v>
      </c>
      <c r="L149" s="121">
        <v>2.8E-3</v>
      </c>
      <c r="M149" s="121">
        <v>2.3E-3</v>
      </c>
      <c r="N149" s="121">
        <v>1.9E-3</v>
      </c>
    </row>
    <row r="150" spans="11:14">
      <c r="K150" s="121">
        <v>2.3E-3</v>
      </c>
      <c r="L150" s="121">
        <v>2E-3</v>
      </c>
      <c r="M150" s="121">
        <v>1.9E-3</v>
      </c>
      <c r="N150" s="121">
        <v>2.3E-3</v>
      </c>
    </row>
    <row r="151" spans="11:14">
      <c r="K151" s="121">
        <v>4.1000000000000003E-3</v>
      </c>
      <c r="L151" s="121">
        <v>3.3E-3</v>
      </c>
      <c r="M151" s="121">
        <v>4.0000000000000001E-3</v>
      </c>
      <c r="N151" s="121">
        <v>4.8999999999999998E-3</v>
      </c>
    </row>
    <row r="152" spans="11:14">
      <c r="K152" s="121">
        <v>1.9E-3</v>
      </c>
      <c r="L152" s="121">
        <v>2E-3</v>
      </c>
      <c r="M152" s="121">
        <v>2.3E-3</v>
      </c>
      <c r="N152" s="121">
        <v>1.6999999999999999E-3</v>
      </c>
    </row>
    <row r="153" spans="11:14">
      <c r="K153" s="121">
        <v>1.6000000000000001E-3</v>
      </c>
      <c r="L153" s="121">
        <v>1.6000000000000001E-3</v>
      </c>
      <c r="M153" s="121">
        <v>1.5E-3</v>
      </c>
      <c r="N153" s="121">
        <v>1.8E-3</v>
      </c>
    </row>
    <row r="154" spans="11:14">
      <c r="K154" s="121">
        <v>3.8999999999999998E-3</v>
      </c>
      <c r="L154" s="121">
        <v>3.2000000000000002E-3</v>
      </c>
      <c r="M154" s="121">
        <v>3.7000000000000002E-3</v>
      </c>
      <c r="N154" s="121">
        <v>3.8E-3</v>
      </c>
    </row>
    <row r="155" spans="11:14">
      <c r="K155" s="121">
        <v>8.5000000000000006E-3</v>
      </c>
      <c r="L155" s="121">
        <v>8.0999999999999996E-3</v>
      </c>
      <c r="M155" s="121">
        <v>8.0000000000000002E-3</v>
      </c>
      <c r="N155" s="121">
        <v>3.3999999999999998E-3</v>
      </c>
    </row>
    <row r="156" spans="11:14">
      <c r="K156" s="121">
        <v>1.8100000000000002E-2</v>
      </c>
      <c r="L156" s="121">
        <v>1.6899999999999998E-2</v>
      </c>
      <c r="M156" s="121">
        <v>1.7999999999999999E-2</v>
      </c>
      <c r="N156" s="121">
        <v>1.89E-2</v>
      </c>
    </row>
    <row r="157" spans="11:14">
      <c r="K157" s="121">
        <v>18.197800000000001</v>
      </c>
      <c r="L157" s="121">
        <v>18.203600000000002</v>
      </c>
      <c r="M157" s="121">
        <v>18.202000000000002</v>
      </c>
      <c r="N157" s="121">
        <v>18.2043</v>
      </c>
    </row>
    <row r="158" spans="11:14">
      <c r="K158" s="121">
        <v>18.195499999999999</v>
      </c>
      <c r="L158" s="121">
        <v>18.198699999999999</v>
      </c>
      <c r="M158" s="121">
        <v>18.1982</v>
      </c>
      <c r="N158" s="121">
        <v>18.199400000000001</v>
      </c>
    </row>
    <row r="159" spans="11:14">
      <c r="K159" s="121">
        <v>18.203800000000001</v>
      </c>
      <c r="L159" s="121">
        <v>18.204699999999999</v>
      </c>
      <c r="M159" s="121">
        <v>18.204599999999999</v>
      </c>
      <c r="N159" s="121">
        <v>18.207699999999999</v>
      </c>
    </row>
    <row r="160" spans="11:14">
      <c r="K160" s="121">
        <v>17.216000000000001</v>
      </c>
      <c r="L160" s="121">
        <v>17.2149</v>
      </c>
      <c r="M160" s="121">
        <v>17.213200000000001</v>
      </c>
      <c r="N160" s="121">
        <v>17.211500000000001</v>
      </c>
    </row>
    <row r="161" spans="11:14">
      <c r="K161" s="121">
        <v>14.5411</v>
      </c>
      <c r="L161" s="121">
        <v>14.541700000000001</v>
      </c>
      <c r="M161" s="121">
        <v>14.543200000000001</v>
      </c>
      <c r="N161" s="121">
        <v>14.5487</v>
      </c>
    </row>
    <row r="162" spans="11:14">
      <c r="K162" s="121">
        <v>3.8601999999999999</v>
      </c>
      <c r="L162" s="121">
        <v>3.8622999999999998</v>
      </c>
      <c r="M162" s="121">
        <v>3.8601000000000001</v>
      </c>
      <c r="N162" s="121">
        <v>3.8603000000000001</v>
      </c>
    </row>
    <row r="163" spans="11:14">
      <c r="K163" s="121">
        <v>7.7363999999999997</v>
      </c>
      <c r="L163" s="121">
        <v>7.7366999999999999</v>
      </c>
      <c r="M163" s="121">
        <v>7.7394999999999996</v>
      </c>
      <c r="N163" s="121">
        <v>7.7366000000000001</v>
      </c>
    </row>
    <row r="164" spans="11:14">
      <c r="K164" s="121">
        <v>7.7245999999999997</v>
      </c>
      <c r="L164" s="121">
        <v>7.7236000000000002</v>
      </c>
      <c r="M164" s="121">
        <v>7.7252999999999998</v>
      </c>
      <c r="N164" s="121">
        <v>7.7263000000000002</v>
      </c>
    </row>
    <row r="165" spans="11:14">
      <c r="K165" s="121">
        <v>9.0328999999999997</v>
      </c>
      <c r="L165" s="121">
        <v>9.0351999999999997</v>
      </c>
      <c r="M165" s="121">
        <v>9.0253999999999994</v>
      </c>
      <c r="N165" s="121">
        <v>9.0373999999999999</v>
      </c>
    </row>
    <row r="166" spans="11:14">
      <c r="K166" s="121">
        <v>22.351099999999999</v>
      </c>
      <c r="L166" s="121">
        <v>22.352799999999998</v>
      </c>
      <c r="M166" s="121">
        <v>22.3537</v>
      </c>
      <c r="N166" s="121">
        <v>22.365100000000002</v>
      </c>
    </row>
    <row r="167" spans="11:14">
      <c r="K167" s="121">
        <v>20.3459</v>
      </c>
      <c r="L167" s="121">
        <v>20.349699999999999</v>
      </c>
      <c r="M167" s="121">
        <v>20.345199999999998</v>
      </c>
      <c r="N167" s="121">
        <v>20.345800000000001</v>
      </c>
    </row>
    <row r="168" spans="11:14">
      <c r="K168" s="121">
        <v>21.7639</v>
      </c>
      <c r="L168" s="121">
        <v>21.763100000000001</v>
      </c>
      <c r="M168" s="121">
        <v>21.7637</v>
      </c>
      <c r="N168" s="121">
        <v>21.765999999999998</v>
      </c>
    </row>
    <row r="169" spans="11:14">
      <c r="K169" s="121">
        <v>7.8285</v>
      </c>
      <c r="L169" s="121">
        <v>7.8338999999999999</v>
      </c>
      <c r="M169" s="121">
        <v>7.8289999999999997</v>
      </c>
      <c r="N169" s="121">
        <v>7.8335999999999997</v>
      </c>
    </row>
    <row r="170" spans="11:14">
      <c r="K170" s="121">
        <v>7.8151000000000002</v>
      </c>
      <c r="L170" s="121">
        <v>7.8173000000000004</v>
      </c>
      <c r="M170" s="121">
        <v>7.8125999999999998</v>
      </c>
      <c r="N170" s="121">
        <v>7.8223000000000003</v>
      </c>
    </row>
    <row r="171" spans="11:14">
      <c r="K171" s="121">
        <v>21.118600000000001</v>
      </c>
      <c r="L171" s="121">
        <v>21.1264</v>
      </c>
      <c r="M171" s="121">
        <v>21.126899999999999</v>
      </c>
      <c r="N171" s="121">
        <v>21.134599999999999</v>
      </c>
    </row>
    <row r="172" spans="11:14">
      <c r="K172" s="121">
        <v>21.1295</v>
      </c>
      <c r="L172" s="121">
        <v>21.1295</v>
      </c>
      <c r="M172" s="121">
        <v>21.135100000000001</v>
      </c>
      <c r="N172" s="121">
        <v>21.133700000000001</v>
      </c>
    </row>
    <row r="173" spans="11:14">
      <c r="K173" s="121">
        <v>21.129100000000001</v>
      </c>
      <c r="L173" s="121">
        <v>21.128900000000002</v>
      </c>
      <c r="M173" s="121">
        <v>21.133099999999999</v>
      </c>
      <c r="N173" s="121">
        <v>21.128299999999999</v>
      </c>
    </row>
    <row r="174" spans="11:14">
      <c r="K174" s="121">
        <v>21.490200000000002</v>
      </c>
      <c r="L174" s="121">
        <v>21.495000000000001</v>
      </c>
      <c r="M174" s="121">
        <v>21.491399999999999</v>
      </c>
      <c r="N174" s="121">
        <v>21.490200000000002</v>
      </c>
    </row>
    <row r="175" spans="11:14">
      <c r="K175" s="121">
        <v>21.500399999999999</v>
      </c>
      <c r="L175" s="121">
        <v>21.504100000000001</v>
      </c>
      <c r="M175" s="121">
        <v>21.501000000000001</v>
      </c>
      <c r="N175" s="121">
        <v>21.506399999999999</v>
      </c>
    </row>
    <row r="176" spans="11:14">
      <c r="K176" s="121">
        <v>16.889800000000001</v>
      </c>
      <c r="L176" s="121">
        <v>16.8887</v>
      </c>
      <c r="M176" s="121">
        <v>16.888300000000001</v>
      </c>
      <c r="N176" s="121">
        <v>16.881699999999999</v>
      </c>
    </row>
    <row r="177" spans="11:14">
      <c r="K177" s="121">
        <v>16.883700000000001</v>
      </c>
      <c r="L177" s="121">
        <v>16.8843</v>
      </c>
      <c r="M177" s="121">
        <v>16.885400000000001</v>
      </c>
      <c r="N177" s="121">
        <v>16.8825</v>
      </c>
    </row>
    <row r="178" spans="11:14">
      <c r="K178" s="121">
        <v>16.8901</v>
      </c>
      <c r="L178" s="121">
        <v>16.892900000000001</v>
      </c>
      <c r="M178" s="121">
        <v>16.893000000000001</v>
      </c>
      <c r="N178" s="121">
        <v>16.893799999999999</v>
      </c>
    </row>
    <row r="179" spans="11:14">
      <c r="K179" s="121">
        <v>1.5369999999999999</v>
      </c>
      <c r="L179" s="121">
        <v>1.5390999999999999</v>
      </c>
      <c r="M179" s="121">
        <v>1.5366</v>
      </c>
      <c r="N179" s="121">
        <v>1.5319</v>
      </c>
    </row>
    <row r="180" spans="11:14">
      <c r="K180" s="121">
        <v>1.5287999999999999</v>
      </c>
      <c r="L180" s="121">
        <v>1.5324</v>
      </c>
      <c r="M180" s="121">
        <v>1.5294000000000001</v>
      </c>
      <c r="N180" s="121">
        <v>1.5378000000000001</v>
      </c>
    </row>
    <row r="181" spans="11:14">
      <c r="K181" s="121">
        <v>0.73799999999999999</v>
      </c>
      <c r="L181" s="121">
        <v>0.74129999999999996</v>
      </c>
      <c r="M181" s="121">
        <v>0.73870000000000002</v>
      </c>
      <c r="N181" s="121">
        <v>0.73460000000000003</v>
      </c>
    </row>
    <row r="182" spans="11:14">
      <c r="K182" s="121">
        <v>0.93440000000000001</v>
      </c>
      <c r="L182" s="121">
        <v>0.9355</v>
      </c>
      <c r="M182" s="121">
        <v>0.9345</v>
      </c>
      <c r="N182" s="121">
        <v>0.94310000000000005</v>
      </c>
    </row>
    <row r="183" spans="11:14">
      <c r="K183" s="121">
        <v>0.9304</v>
      </c>
      <c r="L183" s="121">
        <v>0.92859999999999998</v>
      </c>
      <c r="M183" s="121">
        <v>0.93100000000000005</v>
      </c>
      <c r="N183" s="121">
        <v>0.93159999999999998</v>
      </c>
    </row>
    <row r="184" spans="11:14">
      <c r="K184" s="121">
        <v>0.93</v>
      </c>
      <c r="L184" s="121">
        <v>0.92900000000000005</v>
      </c>
      <c r="M184" s="121">
        <v>0.93089999999999995</v>
      </c>
      <c r="N184" s="121">
        <v>0.93530000000000002</v>
      </c>
    </row>
    <row r="185" spans="11:14">
      <c r="K185" s="121">
        <v>0.93459999999999999</v>
      </c>
      <c r="L185" s="121">
        <v>0.93130000000000002</v>
      </c>
      <c r="M185" s="121">
        <v>0.93269999999999997</v>
      </c>
      <c r="N185" s="121">
        <v>0.93889999999999996</v>
      </c>
    </row>
    <row r="186" spans="11:14">
      <c r="K186" s="121">
        <v>0.93679999999999997</v>
      </c>
      <c r="L186" s="121">
        <v>0.93510000000000004</v>
      </c>
      <c r="M186" s="121">
        <v>0.93430000000000002</v>
      </c>
      <c r="N186" s="121">
        <v>0.94040000000000001</v>
      </c>
    </row>
    <row r="187" spans="11:14">
      <c r="K187" s="121">
        <v>16.815899999999999</v>
      </c>
      <c r="L187" s="121">
        <v>16.8157</v>
      </c>
      <c r="M187" s="121">
        <v>16.817</v>
      </c>
      <c r="N187" s="121">
        <v>16.815799999999999</v>
      </c>
    </row>
    <row r="188" spans="11:14">
      <c r="K188" s="121">
        <v>0.40550000000000003</v>
      </c>
      <c r="L188" s="121">
        <v>0.40579999999999999</v>
      </c>
      <c r="M188" s="121">
        <v>0.40479999999999999</v>
      </c>
      <c r="N188" s="121">
        <v>0.40649999999999997</v>
      </c>
    </row>
    <row r="189" spans="11:14">
      <c r="K189" s="121">
        <v>9.9000000000000008E-3</v>
      </c>
      <c r="L189" s="121">
        <v>1.04E-2</v>
      </c>
      <c r="M189" s="121">
        <v>2.4E-2</v>
      </c>
      <c r="N189" s="121">
        <v>1.34E-2</v>
      </c>
    </row>
    <row r="190" spans="11:14">
      <c r="K190" s="121">
        <v>14.1487</v>
      </c>
      <c r="L190" s="121">
        <v>14.1501</v>
      </c>
      <c r="M190" s="121">
        <v>14.148400000000001</v>
      </c>
      <c r="N190" s="121">
        <v>14.143599999999999</v>
      </c>
    </row>
    <row r="191" spans="11:14">
      <c r="K191" s="121">
        <v>4.4391999999999996</v>
      </c>
      <c r="L191" s="121">
        <v>4.4429999999999996</v>
      </c>
      <c r="M191" s="121">
        <v>4.4413999999999998</v>
      </c>
      <c r="N191" s="121">
        <v>4.4459999999999997</v>
      </c>
    </row>
    <row r="192" spans="11:14">
      <c r="K192" s="121">
        <v>18.284199999999998</v>
      </c>
      <c r="L192" s="121">
        <v>18.282800000000002</v>
      </c>
      <c r="M192" s="121">
        <v>18.282499999999999</v>
      </c>
      <c r="N192" s="121">
        <v>18.293600000000001</v>
      </c>
    </row>
    <row r="193" spans="11:14">
      <c r="K193" s="121">
        <v>4.3052999999999999</v>
      </c>
      <c r="L193" s="121">
        <v>4.3064999999999998</v>
      </c>
      <c r="M193" s="121">
        <v>4.3094999999999999</v>
      </c>
      <c r="N193" s="121">
        <v>4.3112000000000004</v>
      </c>
    </row>
    <row r="194" spans="11:14">
      <c r="K194" s="121">
        <v>4.3132999999999999</v>
      </c>
      <c r="L194" s="121">
        <v>4.3116000000000003</v>
      </c>
      <c r="M194" s="121">
        <v>4.3146000000000004</v>
      </c>
      <c r="N194" s="121">
        <v>4.3170000000000002</v>
      </c>
    </row>
    <row r="195" spans="11:14">
      <c r="K195" s="121">
        <v>4.3164999999999996</v>
      </c>
      <c r="L195" s="121">
        <v>4.3163</v>
      </c>
      <c r="M195" s="121">
        <v>4.3136999999999999</v>
      </c>
      <c r="N195" s="121">
        <v>4.3109999999999999</v>
      </c>
    </row>
    <row r="196" spans="11:14">
      <c r="K196" s="121">
        <v>4.3202999999999996</v>
      </c>
      <c r="L196" s="121">
        <v>4.3207000000000004</v>
      </c>
      <c r="M196" s="121">
        <v>4.3152999999999997</v>
      </c>
      <c r="N196" s="121">
        <v>4.3105000000000002</v>
      </c>
    </row>
    <row r="197" spans="11:14">
      <c r="K197" s="121">
        <v>4.3305999999999996</v>
      </c>
      <c r="L197" s="121">
        <v>4.3310000000000004</v>
      </c>
      <c r="M197" s="121">
        <v>4.3259999999999996</v>
      </c>
      <c r="N197" s="121">
        <v>4.3253000000000004</v>
      </c>
    </row>
    <row r="198" spans="11:14">
      <c r="K198" s="121">
        <v>4.3227000000000002</v>
      </c>
      <c r="L198" s="121">
        <v>4.3236999999999997</v>
      </c>
      <c r="M198" s="121">
        <v>4.3228</v>
      </c>
      <c r="N198" s="121">
        <v>4.3278999999999996</v>
      </c>
    </row>
    <row r="199" spans="11:14">
      <c r="K199" s="121">
        <v>0.2155</v>
      </c>
      <c r="L199" s="121">
        <v>0.21510000000000001</v>
      </c>
      <c r="M199" s="121">
        <v>0.21290000000000001</v>
      </c>
      <c r="N199" s="121">
        <v>0.20660000000000001</v>
      </c>
    </row>
    <row r="200" spans="11:14">
      <c r="K200" s="121">
        <v>21.387599999999999</v>
      </c>
      <c r="L200" s="121">
        <v>21.3857</v>
      </c>
      <c r="M200" s="121">
        <v>21.386700000000001</v>
      </c>
      <c r="N200" s="121">
        <v>21.3855</v>
      </c>
    </row>
    <row r="201" spans="11:14">
      <c r="K201" s="121">
        <v>3.9600000000000003E-2</v>
      </c>
      <c r="L201" s="121">
        <v>3.8199999999999998E-2</v>
      </c>
      <c r="M201" s="121">
        <v>4.0099999999999997E-2</v>
      </c>
      <c r="N201" s="121">
        <v>3.32E-2</v>
      </c>
    </row>
    <row r="202" spans="11:14">
      <c r="K202" s="121">
        <v>4.8399999999999999E-2</v>
      </c>
      <c r="L202" s="121">
        <v>4.2900000000000001E-2</v>
      </c>
      <c r="M202" s="121">
        <v>4.9000000000000002E-2</v>
      </c>
      <c r="N202" s="121">
        <v>4.6600000000000003E-2</v>
      </c>
    </row>
    <row r="203" spans="11:14">
      <c r="K203" s="121">
        <v>4.8500000000000001E-2</v>
      </c>
      <c r="L203" s="121">
        <v>4.5900000000000003E-2</v>
      </c>
      <c r="M203" s="121">
        <v>4.7E-2</v>
      </c>
      <c r="N203" s="121">
        <v>5.3100000000000001E-2</v>
      </c>
    </row>
    <row r="204" spans="11:14">
      <c r="K204" s="121">
        <v>4.3799999999999999E-2</v>
      </c>
      <c r="L204" s="121">
        <v>4.2999999999999997E-2</v>
      </c>
      <c r="M204" s="121">
        <v>4.1500000000000002E-2</v>
      </c>
      <c r="N204" s="121">
        <v>3.3399999999999999E-2</v>
      </c>
    </row>
    <row r="205" spans="11:14">
      <c r="K205" s="121">
        <v>5.3199999999999997E-2</v>
      </c>
      <c r="L205" s="121">
        <v>5.33E-2</v>
      </c>
      <c r="M205" s="121">
        <v>5.0900000000000001E-2</v>
      </c>
      <c r="N205" s="121">
        <v>4.6199999999999998E-2</v>
      </c>
    </row>
    <row r="206" spans="11:14">
      <c r="K206" s="121">
        <v>4.6899999999999997E-2</v>
      </c>
      <c r="L206" s="121">
        <v>4.7600000000000003E-2</v>
      </c>
      <c r="M206" s="121">
        <v>4.6600000000000003E-2</v>
      </c>
      <c r="N206" s="121">
        <v>5.0299999999999997E-2</v>
      </c>
    </row>
    <row r="207" spans="11:14">
      <c r="K207" s="121">
        <v>1.7894000000000001</v>
      </c>
      <c r="L207" s="121">
        <v>1.7887999999999999</v>
      </c>
      <c r="M207" s="121">
        <v>1.7878000000000001</v>
      </c>
      <c r="N207" s="121">
        <v>1.7855000000000001</v>
      </c>
    </row>
  </sheetData>
  <mergeCells count="15">
    <mergeCell ref="B4:T4"/>
    <mergeCell ref="U4:W4"/>
    <mergeCell ref="B5:B6"/>
    <mergeCell ref="C5:C6"/>
    <mergeCell ref="D5:D6"/>
    <mergeCell ref="E5:E6"/>
    <mergeCell ref="F5:F6"/>
    <mergeCell ref="G5:I5"/>
    <mergeCell ref="J5:L5"/>
    <mergeCell ref="M5:R5"/>
    <mergeCell ref="S5:S6"/>
    <mergeCell ref="T5:T6"/>
    <mergeCell ref="U5:U6"/>
    <mergeCell ref="V5:V6"/>
    <mergeCell ref="W5:W6"/>
  </mergeCells>
  <phoneticPr fontId="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B4D2C-8F1B-4705-94E3-6478DDA4BD61}">
  <sheetPr codeName="Sheet7"/>
  <dimension ref="B2:W16"/>
  <sheetViews>
    <sheetView showGridLines="0" zoomScaleNormal="100" workbookViewId="0">
      <selection activeCell="J12" sqref="J12"/>
    </sheetView>
  </sheetViews>
  <sheetFormatPr defaultColWidth="11" defaultRowHeight="18"/>
  <cols>
    <col min="1" max="1" width="1.44140625" style="121" customWidth="1"/>
    <col min="2" max="2" width="7.33203125" style="121" customWidth="1"/>
    <col min="3" max="3" width="15.88671875" style="120" customWidth="1"/>
    <col min="4" max="4" width="15.88671875" style="121" customWidth="1"/>
    <col min="5" max="6" width="30.88671875" style="121" customWidth="1"/>
    <col min="7" max="8" width="13" style="121" customWidth="1"/>
    <col min="9" max="9" width="13" style="120" customWidth="1"/>
    <col min="10" max="18" width="15.88671875" style="121" customWidth="1"/>
    <col min="19" max="19" width="60.88671875" style="122" customWidth="1"/>
    <col min="20" max="20" width="60.88671875" style="121" customWidth="1"/>
    <col min="21" max="23" width="29.88671875" style="121" customWidth="1"/>
    <col min="24" max="24" width="11" style="121"/>
    <col min="25" max="25" width="27.6640625" style="121" bestFit="1" customWidth="1"/>
    <col min="26" max="16384" width="11" style="121"/>
  </cols>
  <sheetData>
    <row r="2" spans="2:23" ht="39.950000000000003" customHeight="1">
      <c r="B2" s="118" t="s">
        <v>219</v>
      </c>
      <c r="C2" s="119"/>
      <c r="D2" s="119"/>
      <c r="E2" s="119"/>
      <c r="F2" s="119"/>
      <c r="G2" s="119"/>
      <c r="H2" s="119"/>
    </row>
    <row r="3" spans="2:23" ht="18" customHeight="1">
      <c r="B3" s="119"/>
      <c r="C3" s="119"/>
      <c r="D3" s="119"/>
      <c r="E3" s="119"/>
      <c r="F3" s="119"/>
      <c r="G3" s="119"/>
      <c r="H3" s="119"/>
    </row>
    <row r="4" spans="2:23" s="123" customFormat="1" ht="18.95" customHeight="1">
      <c r="B4" s="182" t="s">
        <v>190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3" t="s">
        <v>18</v>
      </c>
      <c r="V4" s="183"/>
      <c r="W4" s="183"/>
    </row>
    <row r="5" spans="2:23" s="125" customFormat="1" ht="20.100000000000001" customHeight="1">
      <c r="B5" s="181" t="s">
        <v>191</v>
      </c>
      <c r="C5" s="184" t="s">
        <v>211</v>
      </c>
      <c r="D5" s="184" t="s">
        <v>212</v>
      </c>
      <c r="E5" s="181" t="s">
        <v>193</v>
      </c>
      <c r="F5" s="181" t="s">
        <v>47</v>
      </c>
      <c r="G5" s="181" t="s">
        <v>214</v>
      </c>
      <c r="H5" s="181"/>
      <c r="I5" s="181"/>
      <c r="J5" s="181" t="s">
        <v>168</v>
      </c>
      <c r="K5" s="181"/>
      <c r="L5" s="181"/>
      <c r="M5" s="181" t="s">
        <v>215</v>
      </c>
      <c r="N5" s="181"/>
      <c r="O5" s="181"/>
      <c r="P5" s="181"/>
      <c r="Q5" s="181"/>
      <c r="R5" s="181"/>
      <c r="S5" s="181" t="s">
        <v>198</v>
      </c>
      <c r="T5" s="181" t="s">
        <v>199</v>
      </c>
      <c r="U5" s="181" t="s">
        <v>200</v>
      </c>
      <c r="V5" s="181" t="s">
        <v>201</v>
      </c>
      <c r="W5" s="181" t="s">
        <v>202</v>
      </c>
    </row>
    <row r="6" spans="2:23" s="125" customFormat="1" ht="20.100000000000001" customHeight="1">
      <c r="B6" s="181"/>
      <c r="C6" s="185"/>
      <c r="D6" s="185"/>
      <c r="E6" s="181"/>
      <c r="F6" s="181"/>
      <c r="G6" s="124" t="s">
        <v>44</v>
      </c>
      <c r="H6" s="124" t="s">
        <v>216</v>
      </c>
      <c r="I6" s="124" t="s">
        <v>217</v>
      </c>
      <c r="J6" s="124" t="s">
        <v>162</v>
      </c>
      <c r="K6" s="124" t="s">
        <v>167</v>
      </c>
      <c r="L6" s="124" t="s">
        <v>218</v>
      </c>
      <c r="M6" s="124" t="s">
        <v>44</v>
      </c>
      <c r="N6" s="124" t="s">
        <v>216</v>
      </c>
      <c r="O6" s="124" t="s">
        <v>217</v>
      </c>
      <c r="P6" s="124" t="s">
        <v>162</v>
      </c>
      <c r="Q6" s="124" t="s">
        <v>167</v>
      </c>
      <c r="R6" s="124" t="s">
        <v>218</v>
      </c>
      <c r="S6" s="181"/>
      <c r="T6" s="181"/>
      <c r="U6" s="181"/>
      <c r="V6" s="181"/>
      <c r="W6" s="181"/>
    </row>
    <row r="7" spans="2:23" s="123" customFormat="1" ht="39.950000000000003" customHeight="1">
      <c r="B7" s="126">
        <v>1</v>
      </c>
      <c r="C7" s="127"/>
      <c r="D7" s="134"/>
      <c r="E7" s="128"/>
      <c r="F7" s="128"/>
      <c r="G7" s="129"/>
      <c r="H7" s="129"/>
      <c r="I7" s="129"/>
      <c r="J7" s="130"/>
      <c r="K7" s="130"/>
      <c r="L7" s="129"/>
      <c r="M7" s="129"/>
      <c r="N7" s="129"/>
      <c r="O7" s="129"/>
      <c r="P7" s="129"/>
      <c r="Q7" s="129"/>
      <c r="R7" s="129"/>
      <c r="S7" s="131"/>
      <c r="T7" s="135"/>
      <c r="U7" s="133"/>
      <c r="V7" s="133"/>
      <c r="W7" s="133"/>
    </row>
    <row r="8" spans="2:23" s="123" customFormat="1" ht="39.950000000000003" customHeight="1">
      <c r="B8" s="126">
        <v>2</v>
      </c>
      <c r="C8" s="127"/>
      <c r="D8" s="134"/>
      <c r="E8" s="128"/>
      <c r="F8" s="128"/>
      <c r="G8" s="129"/>
      <c r="H8" s="129"/>
      <c r="I8" s="129"/>
      <c r="J8" s="130"/>
      <c r="K8" s="130"/>
      <c r="L8" s="129"/>
      <c r="M8" s="129"/>
      <c r="N8" s="129"/>
      <c r="O8" s="129"/>
      <c r="P8" s="129"/>
      <c r="Q8" s="129"/>
      <c r="R8" s="129"/>
      <c r="S8" s="131"/>
      <c r="T8" s="135"/>
      <c r="U8" s="133"/>
      <c r="V8" s="133"/>
      <c r="W8" s="133"/>
    </row>
    <row r="9" spans="2:23" s="123" customFormat="1" ht="39.950000000000003" customHeight="1">
      <c r="B9" s="126">
        <v>3</v>
      </c>
      <c r="C9" s="127"/>
      <c r="D9" s="134"/>
      <c r="E9" s="128"/>
      <c r="F9" s="128"/>
      <c r="G9" s="129"/>
      <c r="H9" s="129"/>
      <c r="I9" s="129"/>
      <c r="J9" s="130"/>
      <c r="K9" s="130"/>
      <c r="L9" s="129"/>
      <c r="M9" s="129"/>
      <c r="N9" s="129"/>
      <c r="O9" s="129"/>
      <c r="P9" s="129"/>
      <c r="Q9" s="129"/>
      <c r="R9" s="129"/>
      <c r="S9" s="131"/>
      <c r="T9" s="135"/>
      <c r="U9" s="133"/>
      <c r="V9" s="133"/>
      <c r="W9" s="133"/>
    </row>
    <row r="10" spans="2:23" s="123" customFormat="1" ht="39.950000000000003" customHeight="1">
      <c r="B10" s="126">
        <v>4</v>
      </c>
      <c r="C10" s="127"/>
      <c r="D10" s="134"/>
      <c r="E10" s="128"/>
      <c r="F10" s="128"/>
      <c r="G10" s="129"/>
      <c r="H10" s="129"/>
      <c r="I10" s="129"/>
      <c r="J10" s="130"/>
      <c r="K10" s="130"/>
      <c r="L10" s="129"/>
      <c r="M10" s="129"/>
      <c r="N10" s="129"/>
      <c r="O10" s="129"/>
      <c r="P10" s="129"/>
      <c r="Q10" s="129"/>
      <c r="R10" s="129"/>
      <c r="S10" s="131"/>
      <c r="T10" s="135"/>
      <c r="U10" s="133"/>
      <c r="V10" s="133"/>
      <c r="W10" s="133"/>
    </row>
    <row r="11" spans="2:23" s="123" customFormat="1" ht="39.950000000000003" customHeight="1">
      <c r="B11" s="126">
        <v>5</v>
      </c>
      <c r="C11" s="127"/>
      <c r="D11" s="134"/>
      <c r="E11" s="128"/>
      <c r="F11" s="128"/>
      <c r="G11" s="129"/>
      <c r="H11" s="129"/>
      <c r="I11" s="129"/>
      <c r="J11" s="130"/>
      <c r="K11" s="130"/>
      <c r="L11" s="129"/>
      <c r="M11" s="129"/>
      <c r="N11" s="129"/>
      <c r="O11" s="129"/>
      <c r="P11" s="129"/>
      <c r="Q11" s="129"/>
      <c r="R11" s="129"/>
      <c r="S11" s="131"/>
      <c r="T11" s="135"/>
      <c r="U11" s="133"/>
      <c r="V11" s="133"/>
      <c r="W11" s="133"/>
    </row>
    <row r="12" spans="2:23" s="123" customFormat="1" ht="39.950000000000003" customHeight="1">
      <c r="B12" s="126">
        <v>6</v>
      </c>
      <c r="C12" s="127"/>
      <c r="D12" s="134"/>
      <c r="E12" s="128"/>
      <c r="F12" s="128"/>
      <c r="G12" s="129"/>
      <c r="H12" s="129"/>
      <c r="I12" s="129"/>
      <c r="J12" s="130"/>
      <c r="K12" s="130"/>
      <c r="L12" s="129"/>
      <c r="M12" s="129"/>
      <c r="N12" s="129"/>
      <c r="O12" s="129"/>
      <c r="P12" s="129"/>
      <c r="Q12" s="129"/>
      <c r="R12" s="129"/>
      <c r="S12" s="131"/>
      <c r="T12" s="135"/>
      <c r="U12" s="133"/>
      <c r="V12" s="133"/>
      <c r="W12" s="133"/>
    </row>
    <row r="13" spans="2:23" s="123" customFormat="1" ht="39.950000000000003" customHeight="1">
      <c r="B13" s="126">
        <v>7</v>
      </c>
      <c r="C13" s="127"/>
      <c r="D13" s="134"/>
      <c r="E13" s="128"/>
      <c r="F13" s="128"/>
      <c r="G13" s="129"/>
      <c r="H13" s="129"/>
      <c r="I13" s="129"/>
      <c r="J13" s="130"/>
      <c r="K13" s="130"/>
      <c r="L13" s="129"/>
      <c r="M13" s="129"/>
      <c r="N13" s="129"/>
      <c r="O13" s="129"/>
      <c r="P13" s="129"/>
      <c r="Q13" s="129"/>
      <c r="R13" s="129"/>
      <c r="S13" s="131"/>
      <c r="T13" s="135"/>
      <c r="U13" s="133"/>
      <c r="V13" s="133"/>
      <c r="W13" s="133"/>
    </row>
    <row r="14" spans="2:23" s="123" customFormat="1" ht="39.950000000000003" customHeight="1">
      <c r="B14" s="126">
        <v>8</v>
      </c>
      <c r="C14" s="127"/>
      <c r="D14" s="134"/>
      <c r="E14" s="128"/>
      <c r="F14" s="128"/>
      <c r="G14" s="129"/>
      <c r="H14" s="129"/>
      <c r="I14" s="129"/>
      <c r="J14" s="130"/>
      <c r="K14" s="130"/>
      <c r="L14" s="129"/>
      <c r="M14" s="129"/>
      <c r="N14" s="129"/>
      <c r="O14" s="129"/>
      <c r="P14" s="129"/>
      <c r="Q14" s="129"/>
      <c r="R14" s="129"/>
      <c r="S14" s="131"/>
      <c r="T14" s="135"/>
      <c r="U14" s="133"/>
      <c r="V14" s="133"/>
      <c r="W14" s="133"/>
    </row>
    <row r="15" spans="2:23" s="123" customFormat="1" ht="39.950000000000003" customHeight="1">
      <c r="B15" s="126">
        <v>9</v>
      </c>
      <c r="C15" s="127"/>
      <c r="D15" s="134"/>
      <c r="E15" s="128"/>
      <c r="F15" s="128"/>
      <c r="G15" s="129"/>
      <c r="H15" s="129"/>
      <c r="I15" s="129"/>
      <c r="J15" s="130"/>
      <c r="K15" s="130"/>
      <c r="L15" s="129"/>
      <c r="M15" s="129"/>
      <c r="N15" s="129"/>
      <c r="O15" s="129"/>
      <c r="P15" s="129"/>
      <c r="Q15" s="129"/>
      <c r="R15" s="129"/>
      <c r="S15" s="131"/>
      <c r="T15" s="135"/>
      <c r="U15" s="133"/>
      <c r="V15" s="133"/>
      <c r="W15" s="133"/>
    </row>
    <row r="16" spans="2:23" s="123" customFormat="1" ht="39.950000000000003" customHeight="1">
      <c r="B16" s="126">
        <v>10</v>
      </c>
      <c r="C16" s="127"/>
      <c r="D16" s="134"/>
      <c r="E16" s="128"/>
      <c r="F16" s="128"/>
      <c r="G16" s="129"/>
      <c r="H16" s="129"/>
      <c r="I16" s="129"/>
      <c r="J16" s="130"/>
      <c r="K16" s="130"/>
      <c r="L16" s="129"/>
      <c r="M16" s="129"/>
      <c r="N16" s="129"/>
      <c r="O16" s="129"/>
      <c r="P16" s="129"/>
      <c r="Q16" s="129"/>
      <c r="R16" s="129"/>
      <c r="S16" s="131"/>
      <c r="T16" s="135"/>
      <c r="U16" s="133"/>
      <c r="V16" s="133"/>
      <c r="W16" s="133"/>
    </row>
  </sheetData>
  <mergeCells count="15">
    <mergeCell ref="B4:T4"/>
    <mergeCell ref="U4:W4"/>
    <mergeCell ref="B5:B6"/>
    <mergeCell ref="C5:C6"/>
    <mergeCell ref="D5:D6"/>
    <mergeCell ref="E5:E6"/>
    <mergeCell ref="F5:F6"/>
    <mergeCell ref="G5:I5"/>
    <mergeCell ref="J5:L5"/>
    <mergeCell ref="M5:R5"/>
    <mergeCell ref="S5:S6"/>
    <mergeCell ref="T5:T6"/>
    <mergeCell ref="U5:U6"/>
    <mergeCell ref="V5:V6"/>
    <mergeCell ref="W5:W6"/>
  </mergeCells>
  <phoneticPr fontId="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F13CA-59BD-4A07-B1D1-AEAFBB2B38B1}">
  <sheetPr codeName="Sheet8"/>
  <dimension ref="B2:N10"/>
  <sheetViews>
    <sheetView showGridLines="0" zoomScaleNormal="100" workbookViewId="0">
      <selection activeCell="J12" sqref="J12"/>
    </sheetView>
  </sheetViews>
  <sheetFormatPr defaultColWidth="11" defaultRowHeight="18"/>
  <cols>
    <col min="1" max="1" width="1.44140625" style="121" customWidth="1"/>
    <col min="2" max="2" width="7.33203125" style="121" customWidth="1"/>
    <col min="3" max="6" width="30.88671875" style="120" customWidth="1"/>
    <col min="7" max="7" width="30.88671875" style="121" customWidth="1"/>
    <col min="8" max="9" width="20.88671875" style="121" customWidth="1"/>
    <col min="10" max="10" width="60.88671875" style="122" customWidth="1"/>
    <col min="11" max="11" width="60.88671875" style="121" customWidth="1"/>
    <col min="12" max="14" width="29.88671875" style="121" customWidth="1"/>
    <col min="15" max="15" width="11" style="121"/>
    <col min="16" max="16" width="27.6640625" style="121" bestFit="1" customWidth="1"/>
    <col min="17" max="16384" width="11" style="121"/>
  </cols>
  <sheetData>
    <row r="2" spans="2:14" ht="39.950000000000003" customHeight="1">
      <c r="B2" s="118" t="s">
        <v>220</v>
      </c>
      <c r="C2" s="119"/>
      <c r="D2" s="119"/>
      <c r="E2" s="119"/>
      <c r="F2" s="119"/>
      <c r="G2" s="119"/>
      <c r="H2" s="119"/>
    </row>
    <row r="3" spans="2:14" ht="18" customHeight="1">
      <c r="B3" s="119"/>
      <c r="C3" s="119"/>
      <c r="D3" s="119"/>
      <c r="E3" s="119"/>
      <c r="F3" s="119"/>
      <c r="G3" s="119"/>
      <c r="H3" s="119"/>
    </row>
    <row r="4" spans="2:14" s="123" customFormat="1" ht="18.95" customHeight="1">
      <c r="B4" s="182" t="s">
        <v>190</v>
      </c>
      <c r="C4" s="182"/>
      <c r="D4" s="182"/>
      <c r="E4" s="182"/>
      <c r="F4" s="182"/>
      <c r="G4" s="182"/>
      <c r="H4" s="182"/>
      <c r="I4" s="182"/>
      <c r="J4" s="182"/>
      <c r="K4" s="182"/>
      <c r="L4" s="183" t="s">
        <v>18</v>
      </c>
      <c r="M4" s="183"/>
      <c r="N4" s="183"/>
    </row>
    <row r="5" spans="2:14" s="125" customFormat="1" ht="20.100000000000001" customHeight="1">
      <c r="B5" s="124" t="s">
        <v>191</v>
      </c>
      <c r="C5" s="139" t="s">
        <v>221</v>
      </c>
      <c r="D5" s="139" t="s">
        <v>222</v>
      </c>
      <c r="E5" s="139" t="s">
        <v>223</v>
      </c>
      <c r="F5" s="139" t="s">
        <v>224</v>
      </c>
      <c r="G5" s="139" t="s">
        <v>225</v>
      </c>
      <c r="H5" s="124" t="s">
        <v>214</v>
      </c>
      <c r="I5" s="124" t="s">
        <v>215</v>
      </c>
      <c r="J5" s="139" t="s">
        <v>198</v>
      </c>
      <c r="K5" s="139" t="s">
        <v>199</v>
      </c>
      <c r="L5" s="139" t="s">
        <v>200</v>
      </c>
      <c r="M5" s="139" t="s">
        <v>201</v>
      </c>
      <c r="N5" s="139" t="s">
        <v>202</v>
      </c>
    </row>
    <row r="6" spans="2:14" s="123" customFormat="1" ht="39.950000000000003" customHeight="1">
      <c r="B6" s="126">
        <v>1</v>
      </c>
      <c r="C6" s="140"/>
      <c r="D6" s="140"/>
      <c r="E6" s="140"/>
      <c r="F6" s="140"/>
      <c r="G6" s="134"/>
      <c r="H6" s="129"/>
      <c r="I6" s="129"/>
      <c r="J6" s="131"/>
      <c r="K6" s="135"/>
      <c r="L6" s="133"/>
      <c r="M6" s="133"/>
      <c r="N6" s="133"/>
    </row>
    <row r="7" spans="2:14" s="123" customFormat="1" ht="39.950000000000003" customHeight="1">
      <c r="B7" s="126">
        <v>2</v>
      </c>
      <c r="C7" s="127"/>
      <c r="D7" s="127"/>
      <c r="E7" s="127"/>
      <c r="F7" s="127"/>
      <c r="G7" s="134"/>
      <c r="H7" s="129"/>
      <c r="I7" s="129"/>
      <c r="J7" s="131"/>
      <c r="K7" s="135"/>
      <c r="L7" s="133"/>
      <c r="M7" s="133"/>
      <c r="N7" s="133"/>
    </row>
    <row r="8" spans="2:14" s="123" customFormat="1" ht="39.950000000000003" customHeight="1">
      <c r="B8" s="126">
        <v>3</v>
      </c>
      <c r="C8" s="127"/>
      <c r="D8" s="127"/>
      <c r="E8" s="127"/>
      <c r="F8" s="127"/>
      <c r="G8" s="134"/>
      <c r="H8" s="129"/>
      <c r="I8" s="129"/>
      <c r="J8" s="131"/>
      <c r="K8" s="135"/>
      <c r="L8" s="133"/>
      <c r="M8" s="133"/>
      <c r="N8" s="133"/>
    </row>
    <row r="9" spans="2:14" s="123" customFormat="1" ht="39.950000000000003" customHeight="1">
      <c r="B9" s="126">
        <v>4</v>
      </c>
      <c r="C9" s="127"/>
      <c r="D9" s="127"/>
      <c r="E9" s="127"/>
      <c r="F9" s="127"/>
      <c r="G9" s="134"/>
      <c r="H9" s="129"/>
      <c r="I9" s="129"/>
      <c r="J9" s="131"/>
      <c r="K9" s="135"/>
      <c r="L9" s="133"/>
      <c r="M9" s="133"/>
      <c r="N9" s="133"/>
    </row>
    <row r="10" spans="2:14" s="123" customFormat="1" ht="39.950000000000003" customHeight="1">
      <c r="B10" s="126">
        <v>5</v>
      </c>
      <c r="C10" s="127"/>
      <c r="D10" s="127"/>
      <c r="E10" s="127"/>
      <c r="F10" s="127"/>
      <c r="G10" s="134"/>
      <c r="H10" s="129"/>
      <c r="I10" s="129"/>
      <c r="J10" s="131"/>
      <c r="K10" s="135"/>
      <c r="L10" s="133"/>
      <c r="M10" s="133"/>
      <c r="N10" s="133"/>
    </row>
  </sheetData>
  <mergeCells count="2">
    <mergeCell ref="B4:K4"/>
    <mergeCell ref="L4:N4"/>
  </mergeCells>
  <phoneticPr fontId="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A1470-55CA-4791-B793-28B03AF9C803}">
  <sheetPr codeName="Sheet9"/>
  <dimension ref="B2:E3"/>
  <sheetViews>
    <sheetView showGridLines="0" workbookViewId="0">
      <selection activeCell="J12" sqref="J12"/>
    </sheetView>
  </sheetViews>
  <sheetFormatPr defaultColWidth="11.5546875" defaultRowHeight="17.25"/>
  <cols>
    <col min="1" max="1" width="1.88671875" customWidth="1"/>
    <col min="2" max="4" width="15.88671875" customWidth="1"/>
    <col min="5" max="5" width="90.88671875" customWidth="1"/>
  </cols>
  <sheetData>
    <row r="2" spans="2:5">
      <c r="B2" s="141" t="s">
        <v>226</v>
      </c>
      <c r="C2" s="141" t="s">
        <v>227</v>
      </c>
      <c r="D2" s="141" t="s">
        <v>228</v>
      </c>
      <c r="E2" s="141" t="s">
        <v>229</v>
      </c>
    </row>
    <row r="3" spans="2:5">
      <c r="B3" s="142">
        <v>1</v>
      </c>
      <c r="C3" s="143">
        <v>43315</v>
      </c>
      <c r="D3" s="144" t="s">
        <v>230</v>
      </c>
      <c r="E3" s="145" t="s">
        <v>231</v>
      </c>
    </row>
  </sheetData>
  <phoneticPr fontId="8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Waiver Summary</vt:lpstr>
      <vt:lpstr>Shipping Lot List</vt:lpstr>
      <vt:lpstr>FAI</vt:lpstr>
      <vt:lpstr>SPC</vt:lpstr>
      <vt:lpstr>Cosmetic Waivers</vt:lpstr>
      <vt:lpstr>Dimensional Waivers</vt:lpstr>
      <vt:lpstr>Functional Waivers</vt:lpstr>
      <vt:lpstr>Reliability Waivers</vt:lpstr>
      <vt:lpstr>Rev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임정택</cp:lastModifiedBy>
  <dcterms:created xsi:type="dcterms:W3CDTF">2018-08-03T17:39:04Z</dcterms:created>
  <dcterms:modified xsi:type="dcterms:W3CDTF">2024-07-22T02:03:43Z</dcterms:modified>
</cp:coreProperties>
</file>