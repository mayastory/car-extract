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성적서 양식\Varo24 양식\"/>
    </mc:Choice>
  </mc:AlternateContent>
  <xr:revisionPtr revIDLastSave="0" documentId="13_ncr:1_{6C501DBD-9BCA-434C-AF2C-56170FE801D2}" xr6:coauthVersionLast="47" xr6:coauthVersionMax="47" xr10:uidLastSave="{00000000-0000-0000-0000-000000000000}"/>
  <bookViews>
    <workbookView xWindow="-120" yWindow="480" windowWidth="29040" windowHeight="15840" tabRatio="818" activeTab="2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" i="13" l="1"/>
  <c r="O53" i="13"/>
  <c r="N53" i="13"/>
  <c r="M53" i="13"/>
  <c r="L53" i="13"/>
  <c r="K53" i="13"/>
  <c r="P79" i="13"/>
  <c r="O79" i="13"/>
  <c r="N79" i="13"/>
  <c r="M79" i="13"/>
  <c r="L79" i="13"/>
  <c r="K79" i="13"/>
  <c r="P78" i="13"/>
  <c r="O78" i="13"/>
  <c r="N78" i="13"/>
  <c r="M78" i="13"/>
  <c r="L78" i="13"/>
  <c r="K78" i="13"/>
  <c r="P77" i="13"/>
  <c r="O77" i="13"/>
  <c r="N77" i="13"/>
  <c r="M77" i="13"/>
  <c r="L77" i="13"/>
  <c r="K77" i="13"/>
  <c r="P76" i="13"/>
  <c r="O76" i="13"/>
  <c r="N76" i="13"/>
  <c r="M76" i="13"/>
  <c r="L76" i="13"/>
  <c r="K76" i="13"/>
  <c r="P75" i="13"/>
  <c r="O75" i="13"/>
  <c r="N75" i="13"/>
  <c r="M75" i="13"/>
  <c r="L75" i="13"/>
  <c r="K75" i="13"/>
  <c r="P74" i="13"/>
  <c r="O74" i="13"/>
  <c r="N74" i="13"/>
  <c r="M74" i="13"/>
  <c r="L74" i="13"/>
  <c r="K74" i="13"/>
  <c r="P73" i="13"/>
  <c r="O73" i="13"/>
  <c r="N73" i="13"/>
  <c r="M73" i="13"/>
  <c r="L73" i="13"/>
  <c r="K73" i="13"/>
  <c r="P72" i="13"/>
  <c r="O72" i="13"/>
  <c r="N72" i="13"/>
  <c r="M72" i="13"/>
  <c r="L72" i="13"/>
  <c r="K72" i="13"/>
  <c r="P71" i="13"/>
  <c r="O71" i="13"/>
  <c r="N71" i="13"/>
  <c r="M71" i="13"/>
  <c r="L71" i="13"/>
  <c r="K71" i="13"/>
  <c r="P70" i="13"/>
  <c r="O70" i="13"/>
  <c r="N70" i="13"/>
  <c r="M70" i="13"/>
  <c r="L70" i="13"/>
  <c r="K70" i="13"/>
  <c r="P69" i="13"/>
  <c r="O69" i="13"/>
  <c r="N69" i="13"/>
  <c r="M69" i="13"/>
  <c r="L69" i="13"/>
  <c r="K69" i="13"/>
  <c r="P68" i="13"/>
  <c r="O68" i="13"/>
  <c r="N68" i="13"/>
  <c r="M68" i="13"/>
  <c r="L68" i="13"/>
  <c r="K68" i="13"/>
  <c r="AC62" i="14"/>
  <c r="R62" i="14"/>
  <c r="S62" i="14" s="1"/>
  <c r="P62" i="14"/>
  <c r="Q62" i="14" s="1"/>
  <c r="AA62" i="14" s="1"/>
  <c r="O62" i="14"/>
  <c r="X62" i="14" s="1"/>
  <c r="N62" i="14"/>
  <c r="M62" i="14"/>
  <c r="K62" i="14"/>
  <c r="J62" i="14"/>
  <c r="AC61" i="14"/>
  <c r="R61" i="14"/>
  <c r="S61" i="14" s="1"/>
  <c r="P61" i="14"/>
  <c r="Q61" i="14" s="1"/>
  <c r="AA61" i="14" s="1"/>
  <c r="O61" i="14"/>
  <c r="Z61" i="14" s="1"/>
  <c r="N61" i="14"/>
  <c r="M61" i="14"/>
  <c r="K61" i="14"/>
  <c r="J61" i="14"/>
  <c r="AC60" i="14"/>
  <c r="R60" i="14"/>
  <c r="S60" i="14" s="1"/>
  <c r="P60" i="14"/>
  <c r="Q60" i="14" s="1"/>
  <c r="AA60" i="14" s="1"/>
  <c r="O60" i="14"/>
  <c r="Z60" i="14" s="1"/>
  <c r="N60" i="14"/>
  <c r="M60" i="14"/>
  <c r="K60" i="14"/>
  <c r="J60" i="14"/>
  <c r="AC59" i="14"/>
  <c r="T59" i="14"/>
  <c r="R59" i="14"/>
  <c r="S59" i="14" s="1"/>
  <c r="P59" i="14"/>
  <c r="O59" i="14"/>
  <c r="Z59" i="14" s="1"/>
  <c r="N59" i="14"/>
  <c r="M59" i="14"/>
  <c r="K59" i="14"/>
  <c r="J59" i="14"/>
  <c r="AC58" i="14"/>
  <c r="U58" i="14"/>
  <c r="R58" i="14"/>
  <c r="S58" i="14" s="1"/>
  <c r="P58" i="14"/>
  <c r="Q58" i="14" s="1"/>
  <c r="AA58" i="14" s="1"/>
  <c r="O58" i="14"/>
  <c r="Y58" i="14" s="1"/>
  <c r="N58" i="14"/>
  <c r="M58" i="14"/>
  <c r="K58" i="14"/>
  <c r="J58" i="14"/>
  <c r="AC57" i="14"/>
  <c r="U57" i="14"/>
  <c r="R57" i="14"/>
  <c r="S57" i="14" s="1"/>
  <c r="P57" i="14"/>
  <c r="T57" i="14" s="1"/>
  <c r="V57" i="14" s="1"/>
  <c r="O57" i="14"/>
  <c r="Z57" i="14" s="1"/>
  <c r="N57" i="14"/>
  <c r="M57" i="14"/>
  <c r="K57" i="14"/>
  <c r="J57" i="14"/>
  <c r="AC56" i="14"/>
  <c r="Z56" i="14"/>
  <c r="Y56" i="14"/>
  <c r="U56" i="14"/>
  <c r="R56" i="14"/>
  <c r="S56" i="14" s="1"/>
  <c r="P56" i="14"/>
  <c r="T56" i="14" s="1"/>
  <c r="V56" i="14" s="1"/>
  <c r="O56" i="14"/>
  <c r="X56" i="14" s="1"/>
  <c r="N56" i="14"/>
  <c r="M56" i="14"/>
  <c r="K56" i="14"/>
  <c r="J56" i="14"/>
  <c r="AC55" i="14"/>
  <c r="X55" i="14"/>
  <c r="U55" i="14"/>
  <c r="R55" i="14"/>
  <c r="S55" i="14" s="1"/>
  <c r="P55" i="14"/>
  <c r="O55" i="14"/>
  <c r="Z55" i="14" s="1"/>
  <c r="N55" i="14"/>
  <c r="M55" i="14"/>
  <c r="K55" i="14"/>
  <c r="J55" i="14"/>
  <c r="AC54" i="14"/>
  <c r="R54" i="14"/>
  <c r="S54" i="14" s="1"/>
  <c r="P54" i="14"/>
  <c r="U54" i="14" s="1"/>
  <c r="O54" i="14"/>
  <c r="X54" i="14" s="1"/>
  <c r="N54" i="14"/>
  <c r="M54" i="14"/>
  <c r="K54" i="14"/>
  <c r="J54" i="14"/>
  <c r="AC53" i="14"/>
  <c r="Y53" i="14"/>
  <c r="U53" i="14"/>
  <c r="R53" i="14"/>
  <c r="S53" i="14" s="1"/>
  <c r="P53" i="14"/>
  <c r="T53" i="14" s="1"/>
  <c r="V53" i="14" s="1"/>
  <c r="O53" i="14"/>
  <c r="Z53" i="14" s="1"/>
  <c r="N53" i="14"/>
  <c r="M53" i="14"/>
  <c r="K53" i="14"/>
  <c r="J53" i="14"/>
  <c r="AC52" i="14"/>
  <c r="U52" i="14"/>
  <c r="R52" i="14"/>
  <c r="S52" i="14" s="1"/>
  <c r="Q52" i="14"/>
  <c r="P52" i="14"/>
  <c r="O52" i="14"/>
  <c r="Z52" i="14" s="1"/>
  <c r="N52" i="14"/>
  <c r="M52" i="14"/>
  <c r="K52" i="14"/>
  <c r="J52" i="14"/>
  <c r="AC51" i="14"/>
  <c r="R51" i="14"/>
  <c r="S51" i="14" s="1"/>
  <c r="Q51" i="14"/>
  <c r="P51" i="14"/>
  <c r="O51" i="14"/>
  <c r="Z51" i="14" s="1"/>
  <c r="N51" i="14"/>
  <c r="M51" i="14"/>
  <c r="K51" i="14"/>
  <c r="J51" i="14"/>
  <c r="AC50" i="14"/>
  <c r="R50" i="14"/>
  <c r="S50" i="14" s="1"/>
  <c r="P50" i="14"/>
  <c r="T50" i="14" s="1"/>
  <c r="O50" i="14"/>
  <c r="Y50" i="14" s="1"/>
  <c r="N50" i="14"/>
  <c r="M50" i="14"/>
  <c r="K50" i="14"/>
  <c r="J50" i="14"/>
  <c r="AC49" i="14"/>
  <c r="S49" i="14"/>
  <c r="R49" i="14"/>
  <c r="P49" i="14"/>
  <c r="Q49" i="14" s="1"/>
  <c r="AA49" i="14" s="1"/>
  <c r="O49" i="14"/>
  <c r="Z49" i="14" s="1"/>
  <c r="N49" i="14"/>
  <c r="M49" i="14"/>
  <c r="K49" i="14"/>
  <c r="J49" i="14"/>
  <c r="AC48" i="14"/>
  <c r="Z48" i="14"/>
  <c r="R48" i="14"/>
  <c r="S48" i="14" s="1"/>
  <c r="P48" i="14"/>
  <c r="Q48" i="14" s="1"/>
  <c r="AA48" i="14" s="1"/>
  <c r="O48" i="14"/>
  <c r="X48" i="14" s="1"/>
  <c r="N48" i="14"/>
  <c r="M48" i="14"/>
  <c r="K48" i="14"/>
  <c r="J48" i="14"/>
  <c r="AC47" i="14"/>
  <c r="R47" i="14"/>
  <c r="S47" i="14" s="1"/>
  <c r="P47" i="14"/>
  <c r="O47" i="14"/>
  <c r="Z47" i="14" s="1"/>
  <c r="N47" i="14"/>
  <c r="M47" i="14"/>
  <c r="K47" i="14"/>
  <c r="J47" i="14"/>
  <c r="AC46" i="14"/>
  <c r="R46" i="14"/>
  <c r="S46" i="14" s="1"/>
  <c r="P46" i="14"/>
  <c r="T46" i="14" s="1"/>
  <c r="O46" i="14"/>
  <c r="X46" i="14" s="1"/>
  <c r="N46" i="14"/>
  <c r="M46" i="14"/>
  <c r="K46" i="14"/>
  <c r="J46" i="14"/>
  <c r="AC45" i="14"/>
  <c r="S45" i="14"/>
  <c r="R45" i="14"/>
  <c r="P45" i="14"/>
  <c r="Q45" i="14" s="1"/>
  <c r="AA45" i="14" s="1"/>
  <c r="O45" i="14"/>
  <c r="Z45" i="14" s="1"/>
  <c r="N45" i="14"/>
  <c r="M45" i="14"/>
  <c r="K45" i="14"/>
  <c r="J45" i="14"/>
  <c r="AC44" i="14"/>
  <c r="R44" i="14"/>
  <c r="S44" i="14" s="1"/>
  <c r="P44" i="14"/>
  <c r="Q44" i="14" s="1"/>
  <c r="AA44" i="14" s="1"/>
  <c r="O44" i="14"/>
  <c r="Z44" i="14" s="1"/>
  <c r="N44" i="14"/>
  <c r="M44" i="14"/>
  <c r="K44" i="14"/>
  <c r="J44" i="14"/>
  <c r="AC43" i="14"/>
  <c r="R43" i="14"/>
  <c r="S43" i="14" s="1"/>
  <c r="P43" i="14"/>
  <c r="O43" i="14"/>
  <c r="Z43" i="14" s="1"/>
  <c r="N43" i="14"/>
  <c r="M43" i="14"/>
  <c r="K43" i="14"/>
  <c r="J43" i="14"/>
  <c r="AC42" i="14"/>
  <c r="U42" i="14"/>
  <c r="R42" i="14"/>
  <c r="S42" i="14" s="1"/>
  <c r="Q42" i="14"/>
  <c r="P42" i="14"/>
  <c r="O42" i="14"/>
  <c r="Y42" i="14" s="1"/>
  <c r="N42" i="14"/>
  <c r="M42" i="14"/>
  <c r="K42" i="14"/>
  <c r="J42" i="14"/>
  <c r="AC41" i="14"/>
  <c r="T41" i="14"/>
  <c r="R41" i="14"/>
  <c r="S41" i="14" s="1"/>
  <c r="P41" i="14"/>
  <c r="Q41" i="14" s="1"/>
  <c r="AA41" i="14" s="1"/>
  <c r="O41" i="14"/>
  <c r="Z41" i="14" s="1"/>
  <c r="N41" i="14"/>
  <c r="M41" i="14"/>
  <c r="K41" i="14"/>
  <c r="J41" i="14"/>
  <c r="AC40" i="14"/>
  <c r="Z40" i="14"/>
  <c r="T40" i="14"/>
  <c r="R40" i="14"/>
  <c r="S40" i="14" s="1"/>
  <c r="P40" i="14"/>
  <c r="Q40" i="14" s="1"/>
  <c r="AA40" i="14" s="1"/>
  <c r="O40" i="14"/>
  <c r="X40" i="14" s="1"/>
  <c r="N40" i="14"/>
  <c r="M40" i="14"/>
  <c r="K40" i="14"/>
  <c r="J40" i="14"/>
  <c r="AC39" i="14"/>
  <c r="Y39" i="14"/>
  <c r="T39" i="14"/>
  <c r="R39" i="14"/>
  <c r="S39" i="14" s="1"/>
  <c r="P39" i="14"/>
  <c r="O39" i="14"/>
  <c r="Z39" i="14" s="1"/>
  <c r="N39" i="14"/>
  <c r="M39" i="14"/>
  <c r="K39" i="14"/>
  <c r="J39" i="14"/>
  <c r="AC38" i="14"/>
  <c r="Y38" i="14"/>
  <c r="U38" i="14"/>
  <c r="R38" i="14"/>
  <c r="S38" i="14" s="1"/>
  <c r="P38" i="14"/>
  <c r="Q38" i="14" s="1"/>
  <c r="AA38" i="14" s="1"/>
  <c r="O38" i="14"/>
  <c r="X38" i="14" s="1"/>
  <c r="N38" i="14"/>
  <c r="M38" i="14"/>
  <c r="K38" i="14"/>
  <c r="J38" i="14"/>
  <c r="AC37" i="14"/>
  <c r="T37" i="14"/>
  <c r="R37" i="14"/>
  <c r="S37" i="14" s="1"/>
  <c r="P37" i="14"/>
  <c r="Q37" i="14" s="1"/>
  <c r="AA37" i="14" s="1"/>
  <c r="O37" i="14"/>
  <c r="Z37" i="14" s="1"/>
  <c r="N37" i="14"/>
  <c r="M37" i="14"/>
  <c r="K37" i="14"/>
  <c r="J37" i="14"/>
  <c r="AC36" i="14"/>
  <c r="T36" i="14"/>
  <c r="R36" i="14"/>
  <c r="S36" i="14" s="1"/>
  <c r="Q36" i="14"/>
  <c r="P36" i="14"/>
  <c r="O36" i="14"/>
  <c r="Z36" i="14" s="1"/>
  <c r="N36" i="14"/>
  <c r="M36" i="14"/>
  <c r="K36" i="14"/>
  <c r="J36" i="14"/>
  <c r="AC35" i="14"/>
  <c r="T35" i="14"/>
  <c r="R35" i="14"/>
  <c r="S35" i="14" s="1"/>
  <c r="Q35" i="14"/>
  <c r="P35" i="14"/>
  <c r="O35" i="14"/>
  <c r="Z35" i="14" s="1"/>
  <c r="N35" i="14"/>
  <c r="M35" i="14"/>
  <c r="K35" i="14"/>
  <c r="J35" i="14"/>
  <c r="AC34" i="14"/>
  <c r="U34" i="14"/>
  <c r="R34" i="14"/>
  <c r="S34" i="14" s="1"/>
  <c r="Q34" i="14"/>
  <c r="AA34" i="14" s="1"/>
  <c r="P34" i="14"/>
  <c r="O34" i="14"/>
  <c r="Y34" i="14" s="1"/>
  <c r="N34" i="14"/>
  <c r="M34" i="14"/>
  <c r="K34" i="14"/>
  <c r="J34" i="14"/>
  <c r="AC33" i="14"/>
  <c r="R33" i="14"/>
  <c r="S33" i="14" s="1"/>
  <c r="P33" i="14"/>
  <c r="Q33" i="14" s="1"/>
  <c r="AA33" i="14" s="1"/>
  <c r="O33" i="14"/>
  <c r="Z33" i="14" s="1"/>
  <c r="N33" i="14"/>
  <c r="M33" i="14"/>
  <c r="K33" i="14"/>
  <c r="J33" i="14"/>
  <c r="AC32" i="14"/>
  <c r="R32" i="14"/>
  <c r="S32" i="14" s="1"/>
  <c r="P32" i="14"/>
  <c r="Q32" i="14" s="1"/>
  <c r="AA32" i="14" s="1"/>
  <c r="O32" i="14"/>
  <c r="X32" i="14" s="1"/>
  <c r="N32" i="14"/>
  <c r="M32" i="14"/>
  <c r="K32" i="14"/>
  <c r="J32" i="14"/>
  <c r="AC31" i="14"/>
  <c r="R31" i="14"/>
  <c r="S31" i="14" s="1"/>
  <c r="P31" i="14"/>
  <c r="Q31" i="14" s="1"/>
  <c r="O31" i="14"/>
  <c r="Z31" i="14" s="1"/>
  <c r="N31" i="14"/>
  <c r="M31" i="14"/>
  <c r="K31" i="14"/>
  <c r="J31" i="14"/>
  <c r="AC30" i="14"/>
  <c r="R30" i="14"/>
  <c r="S30" i="14" s="1"/>
  <c r="P30" i="14"/>
  <c r="T30" i="14" s="1"/>
  <c r="O30" i="14"/>
  <c r="X30" i="14" s="1"/>
  <c r="N30" i="14"/>
  <c r="M30" i="14"/>
  <c r="K30" i="14"/>
  <c r="J30" i="14"/>
  <c r="AC29" i="14"/>
  <c r="R29" i="14"/>
  <c r="S29" i="14" s="1"/>
  <c r="Q29" i="14"/>
  <c r="AA29" i="14" s="1"/>
  <c r="P29" i="14"/>
  <c r="O29" i="14"/>
  <c r="Z29" i="14" s="1"/>
  <c r="N29" i="14"/>
  <c r="M29" i="14"/>
  <c r="K29" i="14"/>
  <c r="J29" i="14"/>
  <c r="AC28" i="14"/>
  <c r="R28" i="14"/>
  <c r="S28" i="14" s="1"/>
  <c r="P28" i="14"/>
  <c r="Q28" i="14" s="1"/>
  <c r="AA28" i="14" s="1"/>
  <c r="O28" i="14"/>
  <c r="Z28" i="14" s="1"/>
  <c r="N28" i="14"/>
  <c r="M28" i="14"/>
  <c r="K28" i="14"/>
  <c r="J28" i="14"/>
  <c r="AC27" i="14"/>
  <c r="S27" i="14"/>
  <c r="R27" i="14"/>
  <c r="P27" i="14"/>
  <c r="O27" i="14"/>
  <c r="Z27" i="14" s="1"/>
  <c r="N27" i="14"/>
  <c r="M27" i="14"/>
  <c r="K27" i="14"/>
  <c r="J27" i="14"/>
  <c r="AC26" i="14"/>
  <c r="U26" i="14"/>
  <c r="R26" i="14"/>
  <c r="S26" i="14" s="1"/>
  <c r="Q26" i="14"/>
  <c r="P26" i="14"/>
  <c r="O26" i="14"/>
  <c r="Y26" i="14" s="1"/>
  <c r="N26" i="14"/>
  <c r="M26" i="14"/>
  <c r="K26" i="14"/>
  <c r="J26" i="14"/>
  <c r="AC25" i="14"/>
  <c r="T25" i="14"/>
  <c r="R25" i="14"/>
  <c r="S25" i="14" s="1"/>
  <c r="P25" i="14"/>
  <c r="Q25" i="14" s="1"/>
  <c r="AA25" i="14" s="1"/>
  <c r="O25" i="14"/>
  <c r="Z25" i="14" s="1"/>
  <c r="N25" i="14"/>
  <c r="M25" i="14"/>
  <c r="K25" i="14"/>
  <c r="J25" i="14"/>
  <c r="AC24" i="14"/>
  <c r="T24" i="14"/>
  <c r="R24" i="14"/>
  <c r="S24" i="14" s="1"/>
  <c r="P24" i="14"/>
  <c r="Q24" i="14" s="1"/>
  <c r="AA24" i="14" s="1"/>
  <c r="O24" i="14"/>
  <c r="X24" i="14" s="1"/>
  <c r="N24" i="14"/>
  <c r="M24" i="14"/>
  <c r="K24" i="14"/>
  <c r="J24" i="14"/>
  <c r="AC23" i="14"/>
  <c r="T23" i="14"/>
  <c r="R23" i="14"/>
  <c r="S23" i="14" s="1"/>
  <c r="P23" i="14"/>
  <c r="O23" i="14"/>
  <c r="Z23" i="14" s="1"/>
  <c r="N23" i="14"/>
  <c r="M23" i="14"/>
  <c r="K23" i="14"/>
  <c r="J23" i="14"/>
  <c r="AC22" i="14"/>
  <c r="Y22" i="14"/>
  <c r="U22" i="14"/>
  <c r="R22" i="14"/>
  <c r="S22" i="14" s="1"/>
  <c r="P22" i="14"/>
  <c r="Q22" i="14" s="1"/>
  <c r="AA22" i="14" s="1"/>
  <c r="O22" i="14"/>
  <c r="X22" i="14" s="1"/>
  <c r="N22" i="14"/>
  <c r="M22" i="14"/>
  <c r="K22" i="14"/>
  <c r="J22" i="14"/>
  <c r="AC21" i="14"/>
  <c r="U21" i="14"/>
  <c r="S21" i="14"/>
  <c r="R21" i="14"/>
  <c r="Q21" i="14"/>
  <c r="AA21" i="14" s="1"/>
  <c r="P21" i="14"/>
  <c r="O21" i="14"/>
  <c r="Z21" i="14" s="1"/>
  <c r="N21" i="14"/>
  <c r="M21" i="14"/>
  <c r="K21" i="14"/>
  <c r="J21" i="14"/>
  <c r="AC20" i="14"/>
  <c r="U20" i="14"/>
  <c r="R20" i="14"/>
  <c r="S20" i="14" s="1"/>
  <c r="Q20" i="14"/>
  <c r="P20" i="14"/>
  <c r="O20" i="14"/>
  <c r="Z20" i="14" s="1"/>
  <c r="N20" i="14"/>
  <c r="M20" i="14"/>
  <c r="K20" i="14"/>
  <c r="J20" i="14"/>
  <c r="AC19" i="14"/>
  <c r="T19" i="14"/>
  <c r="R19" i="14"/>
  <c r="S19" i="14" s="1"/>
  <c r="Q19" i="14"/>
  <c r="P19" i="14"/>
  <c r="O19" i="14"/>
  <c r="Z19" i="14" s="1"/>
  <c r="N19" i="14"/>
  <c r="M19" i="14"/>
  <c r="K19" i="14"/>
  <c r="J19" i="14"/>
  <c r="AC18" i="14"/>
  <c r="R18" i="14"/>
  <c r="S18" i="14" s="1"/>
  <c r="P18" i="14"/>
  <c r="Q18" i="14" s="1"/>
  <c r="AA18" i="14" s="1"/>
  <c r="O18" i="14"/>
  <c r="Y18" i="14" s="1"/>
  <c r="N18" i="14"/>
  <c r="M18" i="14"/>
  <c r="K18" i="14"/>
  <c r="J18" i="14"/>
  <c r="AC17" i="14"/>
  <c r="R17" i="14"/>
  <c r="S17" i="14" s="1"/>
  <c r="P17" i="14"/>
  <c r="Q17" i="14" s="1"/>
  <c r="AA17" i="14" s="1"/>
  <c r="O17" i="14"/>
  <c r="Z17" i="14" s="1"/>
  <c r="N17" i="14"/>
  <c r="M17" i="14"/>
  <c r="K17" i="14"/>
  <c r="J17" i="14"/>
  <c r="AC16" i="14"/>
  <c r="S16" i="14"/>
  <c r="R16" i="14"/>
  <c r="P16" i="14"/>
  <c r="Q16" i="14" s="1"/>
  <c r="AA16" i="14" s="1"/>
  <c r="O16" i="14"/>
  <c r="X16" i="14" s="1"/>
  <c r="N16" i="14"/>
  <c r="M16" i="14"/>
  <c r="K16" i="14"/>
  <c r="J16" i="14"/>
  <c r="AC15" i="14"/>
  <c r="Y15" i="14"/>
  <c r="S15" i="14"/>
  <c r="R15" i="14"/>
  <c r="P15" i="14"/>
  <c r="Q15" i="14" s="1"/>
  <c r="O15" i="14"/>
  <c r="Z15" i="14" s="1"/>
  <c r="N15" i="14"/>
  <c r="M15" i="14"/>
  <c r="K15" i="14"/>
  <c r="J15" i="14"/>
  <c r="AC14" i="14"/>
  <c r="Y14" i="14"/>
  <c r="R14" i="14"/>
  <c r="S14" i="14" s="1"/>
  <c r="P14" i="14"/>
  <c r="Q14" i="14" s="1"/>
  <c r="AA14" i="14" s="1"/>
  <c r="O14" i="14"/>
  <c r="X14" i="14" s="1"/>
  <c r="N14" i="14"/>
  <c r="M14" i="14"/>
  <c r="K14" i="14"/>
  <c r="J14" i="14"/>
  <c r="AC13" i="14"/>
  <c r="R13" i="14"/>
  <c r="S13" i="14" s="1"/>
  <c r="P13" i="14"/>
  <c r="Q13" i="14" s="1"/>
  <c r="AA13" i="14" s="1"/>
  <c r="O13" i="14"/>
  <c r="Z13" i="14" s="1"/>
  <c r="N13" i="14"/>
  <c r="M13" i="14"/>
  <c r="K13" i="14"/>
  <c r="J13" i="14"/>
  <c r="AC12" i="14"/>
  <c r="U12" i="14"/>
  <c r="T12" i="14"/>
  <c r="V12" i="14" s="1"/>
  <c r="R12" i="14"/>
  <c r="S12" i="14" s="1"/>
  <c r="P12" i="14"/>
  <c r="Q12" i="14" s="1"/>
  <c r="AA12" i="14" s="1"/>
  <c r="O12" i="14"/>
  <c r="Z12" i="14" s="1"/>
  <c r="N12" i="14"/>
  <c r="M12" i="14"/>
  <c r="K12" i="14"/>
  <c r="J12" i="14"/>
  <c r="AC11" i="14"/>
  <c r="V11" i="14"/>
  <c r="W11" i="14" s="1"/>
  <c r="U11" i="14"/>
  <c r="T11" i="14"/>
  <c r="Q11" i="14" s="1"/>
  <c r="R11" i="14"/>
  <c r="S11" i="14" s="1"/>
  <c r="P11" i="14"/>
  <c r="O11" i="14"/>
  <c r="Z11" i="14" s="1"/>
  <c r="N11" i="14"/>
  <c r="M11" i="14"/>
  <c r="K11" i="14"/>
  <c r="J11" i="14"/>
  <c r="AC10" i="14"/>
  <c r="Z10" i="14"/>
  <c r="U10" i="14"/>
  <c r="R10" i="14"/>
  <c r="S10" i="14" s="1"/>
  <c r="P10" i="14"/>
  <c r="O10" i="14"/>
  <c r="Y10" i="14" s="1"/>
  <c r="N10" i="14"/>
  <c r="M10" i="14"/>
  <c r="K10" i="14"/>
  <c r="J10" i="14"/>
  <c r="AC9" i="14"/>
  <c r="U9" i="14"/>
  <c r="R9" i="14"/>
  <c r="S9" i="14" s="1"/>
  <c r="P9" i="14"/>
  <c r="T9" i="14" s="1"/>
  <c r="Q9" i="14" s="1"/>
  <c r="AA9" i="14" s="1"/>
  <c r="O9" i="14"/>
  <c r="Z9" i="14" s="1"/>
  <c r="N9" i="14"/>
  <c r="M9" i="14"/>
  <c r="K9" i="14"/>
  <c r="J9" i="14"/>
  <c r="AC8" i="14"/>
  <c r="U8" i="14"/>
  <c r="R8" i="14"/>
  <c r="S8" i="14" s="1"/>
  <c r="P8" i="14"/>
  <c r="T8" i="14" s="1"/>
  <c r="V8" i="14" s="1"/>
  <c r="O8" i="14"/>
  <c r="X8" i="14" s="1"/>
  <c r="N8" i="14"/>
  <c r="M8" i="14"/>
  <c r="K8" i="14"/>
  <c r="J8" i="14"/>
  <c r="AC7" i="14"/>
  <c r="X7" i="14"/>
  <c r="U7" i="14"/>
  <c r="R7" i="14"/>
  <c r="S7" i="14" s="1"/>
  <c r="P7" i="14"/>
  <c r="O7" i="14"/>
  <c r="Z7" i="14" s="1"/>
  <c r="N7" i="14"/>
  <c r="M7" i="14"/>
  <c r="K7" i="14"/>
  <c r="J7" i="14"/>
  <c r="AC6" i="14"/>
  <c r="R6" i="14"/>
  <c r="S6" i="14" s="1"/>
  <c r="P6" i="14"/>
  <c r="U6" i="14" s="1"/>
  <c r="O6" i="14"/>
  <c r="X6" i="14" s="1"/>
  <c r="N6" i="14"/>
  <c r="M6" i="14"/>
  <c r="K6" i="14"/>
  <c r="J6" i="14"/>
  <c r="P118" i="13"/>
  <c r="O118" i="13"/>
  <c r="N118" i="13"/>
  <c r="M118" i="13"/>
  <c r="L118" i="13"/>
  <c r="K118" i="13"/>
  <c r="P117" i="13"/>
  <c r="O117" i="13"/>
  <c r="N117" i="13"/>
  <c r="M117" i="13"/>
  <c r="L117" i="13"/>
  <c r="K117" i="13"/>
  <c r="P116" i="13"/>
  <c r="O116" i="13"/>
  <c r="N116" i="13"/>
  <c r="M116" i="13"/>
  <c r="L116" i="13"/>
  <c r="K116" i="13"/>
  <c r="P115" i="13"/>
  <c r="O115" i="13"/>
  <c r="N115" i="13"/>
  <c r="M115" i="13"/>
  <c r="L115" i="13"/>
  <c r="K115" i="13"/>
  <c r="P114" i="13"/>
  <c r="O114" i="13"/>
  <c r="N114" i="13"/>
  <c r="M114" i="13"/>
  <c r="L114" i="13"/>
  <c r="K114" i="13"/>
  <c r="P113" i="13"/>
  <c r="O113" i="13"/>
  <c r="N113" i="13"/>
  <c r="M113" i="13"/>
  <c r="L113" i="13"/>
  <c r="K113" i="13"/>
  <c r="P112" i="13"/>
  <c r="O112" i="13"/>
  <c r="N112" i="13"/>
  <c r="M112" i="13"/>
  <c r="L112" i="13"/>
  <c r="K112" i="13"/>
  <c r="P111" i="13"/>
  <c r="O111" i="13"/>
  <c r="N111" i="13"/>
  <c r="M111" i="13"/>
  <c r="L111" i="13"/>
  <c r="K111" i="13"/>
  <c r="P110" i="13"/>
  <c r="O110" i="13"/>
  <c r="N110" i="13"/>
  <c r="M110" i="13"/>
  <c r="L110" i="13"/>
  <c r="K110" i="13"/>
  <c r="P109" i="13"/>
  <c r="O109" i="13"/>
  <c r="N109" i="13"/>
  <c r="M109" i="13"/>
  <c r="L109" i="13"/>
  <c r="K109" i="13"/>
  <c r="P108" i="13"/>
  <c r="O108" i="13"/>
  <c r="N108" i="13"/>
  <c r="M108" i="13"/>
  <c r="L108" i="13"/>
  <c r="K108" i="13"/>
  <c r="P107" i="13"/>
  <c r="O107" i="13"/>
  <c r="N107" i="13"/>
  <c r="M107" i="13"/>
  <c r="L107" i="13"/>
  <c r="K107" i="13"/>
  <c r="P106" i="13"/>
  <c r="O106" i="13"/>
  <c r="N106" i="13"/>
  <c r="M106" i="13"/>
  <c r="L106" i="13"/>
  <c r="K106" i="13"/>
  <c r="P105" i="13"/>
  <c r="O105" i="13"/>
  <c r="N105" i="13"/>
  <c r="M105" i="13"/>
  <c r="L105" i="13"/>
  <c r="K105" i="13"/>
  <c r="P104" i="13"/>
  <c r="O104" i="13"/>
  <c r="N104" i="13"/>
  <c r="M104" i="13"/>
  <c r="L104" i="13"/>
  <c r="K104" i="13"/>
  <c r="P103" i="13"/>
  <c r="O103" i="13"/>
  <c r="N103" i="13"/>
  <c r="M103" i="13"/>
  <c r="L103" i="13"/>
  <c r="K103" i="13"/>
  <c r="P102" i="13"/>
  <c r="O102" i="13"/>
  <c r="N102" i="13"/>
  <c r="M102" i="13"/>
  <c r="L102" i="13"/>
  <c r="K102" i="13"/>
  <c r="P101" i="13"/>
  <c r="O101" i="13"/>
  <c r="N101" i="13"/>
  <c r="M101" i="13"/>
  <c r="L101" i="13"/>
  <c r="K101" i="13"/>
  <c r="P100" i="13"/>
  <c r="O100" i="13"/>
  <c r="N100" i="13"/>
  <c r="M100" i="13"/>
  <c r="L100" i="13"/>
  <c r="K100" i="13"/>
  <c r="P99" i="13"/>
  <c r="O99" i="13"/>
  <c r="N99" i="13"/>
  <c r="M99" i="13"/>
  <c r="L99" i="13"/>
  <c r="K99" i="13"/>
  <c r="P98" i="13"/>
  <c r="O98" i="13"/>
  <c r="N98" i="13"/>
  <c r="M98" i="13"/>
  <c r="L98" i="13"/>
  <c r="K98" i="13"/>
  <c r="P97" i="13"/>
  <c r="O97" i="13"/>
  <c r="N97" i="13"/>
  <c r="M97" i="13"/>
  <c r="L97" i="13"/>
  <c r="K97" i="13"/>
  <c r="P96" i="13"/>
  <c r="O96" i="13"/>
  <c r="N96" i="13"/>
  <c r="M96" i="13"/>
  <c r="L96" i="13"/>
  <c r="K96" i="13"/>
  <c r="P95" i="13"/>
  <c r="O95" i="13"/>
  <c r="N95" i="13"/>
  <c r="M95" i="13"/>
  <c r="L95" i="13"/>
  <c r="K95" i="13"/>
  <c r="P94" i="13"/>
  <c r="O94" i="13"/>
  <c r="N94" i="13"/>
  <c r="M94" i="13"/>
  <c r="L94" i="13"/>
  <c r="K94" i="13"/>
  <c r="P93" i="13"/>
  <c r="O93" i="13"/>
  <c r="N93" i="13"/>
  <c r="M93" i="13"/>
  <c r="L93" i="13"/>
  <c r="K93" i="13"/>
  <c r="P92" i="13"/>
  <c r="O92" i="13"/>
  <c r="N92" i="13"/>
  <c r="M92" i="13"/>
  <c r="L92" i="13"/>
  <c r="K92" i="13"/>
  <c r="P91" i="13"/>
  <c r="O91" i="13"/>
  <c r="N91" i="13"/>
  <c r="M91" i="13"/>
  <c r="L91" i="13"/>
  <c r="K91" i="13"/>
  <c r="P90" i="13"/>
  <c r="O90" i="13"/>
  <c r="N90" i="13"/>
  <c r="M90" i="13"/>
  <c r="L90" i="13"/>
  <c r="K90" i="13"/>
  <c r="P89" i="13"/>
  <c r="O89" i="13"/>
  <c r="N89" i="13"/>
  <c r="M89" i="13"/>
  <c r="L89" i="13"/>
  <c r="K89" i="13"/>
  <c r="P88" i="13"/>
  <c r="O88" i="13"/>
  <c r="N88" i="13"/>
  <c r="M88" i="13"/>
  <c r="L88" i="13"/>
  <c r="K88" i="13"/>
  <c r="P87" i="13"/>
  <c r="O87" i="13"/>
  <c r="N87" i="13"/>
  <c r="M87" i="13"/>
  <c r="L87" i="13"/>
  <c r="K87" i="13"/>
  <c r="P86" i="13"/>
  <c r="O86" i="13"/>
  <c r="N86" i="13"/>
  <c r="M86" i="13"/>
  <c r="L86" i="13"/>
  <c r="K86" i="13"/>
  <c r="P85" i="13"/>
  <c r="O85" i="13"/>
  <c r="N85" i="13"/>
  <c r="M85" i="13"/>
  <c r="L85" i="13"/>
  <c r="K85" i="13"/>
  <c r="P84" i="13"/>
  <c r="O84" i="13"/>
  <c r="N84" i="13"/>
  <c r="M84" i="13"/>
  <c r="L84" i="13"/>
  <c r="K84" i="13"/>
  <c r="P83" i="13"/>
  <c r="O83" i="13"/>
  <c r="N83" i="13"/>
  <c r="M83" i="13"/>
  <c r="L83" i="13"/>
  <c r="K83" i="13"/>
  <c r="P82" i="13"/>
  <c r="O82" i="13"/>
  <c r="N82" i="13"/>
  <c r="M82" i="13"/>
  <c r="L82" i="13"/>
  <c r="K82" i="13"/>
  <c r="P81" i="13"/>
  <c r="O81" i="13"/>
  <c r="N81" i="13"/>
  <c r="M81" i="13"/>
  <c r="L81" i="13"/>
  <c r="K81" i="13"/>
  <c r="P80" i="13"/>
  <c r="O80" i="13"/>
  <c r="N80" i="13"/>
  <c r="M80" i="13"/>
  <c r="L80" i="13"/>
  <c r="K80" i="13"/>
  <c r="P67" i="13"/>
  <c r="O67" i="13"/>
  <c r="N67" i="13"/>
  <c r="M67" i="13"/>
  <c r="L67" i="13"/>
  <c r="K67" i="13"/>
  <c r="P66" i="13"/>
  <c r="O66" i="13"/>
  <c r="N66" i="13"/>
  <c r="M66" i="13"/>
  <c r="L66" i="13"/>
  <c r="K66" i="13"/>
  <c r="P65" i="13"/>
  <c r="O65" i="13"/>
  <c r="N65" i="13"/>
  <c r="M65" i="13"/>
  <c r="L65" i="13"/>
  <c r="K65" i="13"/>
  <c r="P64" i="13"/>
  <c r="O64" i="13"/>
  <c r="N64" i="13"/>
  <c r="M64" i="13"/>
  <c r="L64" i="13"/>
  <c r="K64" i="13"/>
  <c r="P63" i="13"/>
  <c r="O63" i="13"/>
  <c r="N63" i="13"/>
  <c r="M63" i="13"/>
  <c r="L63" i="13"/>
  <c r="K63" i="13"/>
  <c r="P62" i="13"/>
  <c r="O62" i="13"/>
  <c r="N62" i="13"/>
  <c r="M62" i="13"/>
  <c r="L62" i="13"/>
  <c r="K62" i="13"/>
  <c r="P61" i="13"/>
  <c r="O61" i="13"/>
  <c r="N61" i="13"/>
  <c r="M61" i="13"/>
  <c r="L61" i="13"/>
  <c r="K61" i="13"/>
  <c r="P60" i="13"/>
  <c r="O60" i="13"/>
  <c r="N60" i="13"/>
  <c r="M60" i="13"/>
  <c r="L60" i="13"/>
  <c r="K60" i="13"/>
  <c r="P59" i="13"/>
  <c r="O59" i="13"/>
  <c r="N59" i="13"/>
  <c r="M59" i="13"/>
  <c r="L59" i="13"/>
  <c r="K59" i="13"/>
  <c r="P58" i="13"/>
  <c r="O58" i="13"/>
  <c r="N58" i="13"/>
  <c r="M58" i="13"/>
  <c r="L58" i="13"/>
  <c r="K58" i="13"/>
  <c r="P57" i="13"/>
  <c r="O57" i="13"/>
  <c r="N57" i="13"/>
  <c r="M57" i="13"/>
  <c r="L57" i="13"/>
  <c r="K57" i="13"/>
  <c r="P56" i="13"/>
  <c r="O56" i="13"/>
  <c r="N56" i="13"/>
  <c r="M56" i="13"/>
  <c r="L56" i="13"/>
  <c r="K56" i="13"/>
  <c r="P55" i="13"/>
  <c r="O55" i="13"/>
  <c r="N55" i="13"/>
  <c r="M55" i="13"/>
  <c r="L55" i="13"/>
  <c r="K55" i="13"/>
  <c r="P54" i="13"/>
  <c r="O54" i="13"/>
  <c r="N54" i="13"/>
  <c r="M54" i="13"/>
  <c r="L54" i="13"/>
  <c r="K54" i="13"/>
  <c r="P52" i="13"/>
  <c r="O52" i="13"/>
  <c r="N52" i="13"/>
  <c r="M52" i="13"/>
  <c r="L52" i="13"/>
  <c r="K52" i="13"/>
  <c r="P51" i="13"/>
  <c r="O51" i="13"/>
  <c r="N51" i="13"/>
  <c r="M51" i="13"/>
  <c r="L51" i="13"/>
  <c r="K51" i="13"/>
  <c r="P50" i="13"/>
  <c r="O50" i="13"/>
  <c r="N50" i="13"/>
  <c r="M50" i="13"/>
  <c r="L50" i="13"/>
  <c r="K50" i="13"/>
  <c r="P49" i="13"/>
  <c r="R49" i="13" s="1"/>
  <c r="O49" i="13"/>
  <c r="Q49" i="13" s="1"/>
  <c r="N49" i="13"/>
  <c r="M49" i="13"/>
  <c r="L49" i="13"/>
  <c r="K49" i="13"/>
  <c r="P48" i="13"/>
  <c r="R48" i="13" s="1"/>
  <c r="O48" i="13"/>
  <c r="Q48" i="13" s="1"/>
  <c r="N48" i="13"/>
  <c r="M48" i="13"/>
  <c r="L48" i="13"/>
  <c r="K48" i="13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P40" i="13"/>
  <c r="R40" i="13" s="1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P38" i="13"/>
  <c r="R38" i="13" s="1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P34" i="13"/>
  <c r="R34" i="13" s="1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P30" i="13"/>
  <c r="R30" i="13" s="1"/>
  <c r="O30" i="13"/>
  <c r="Q30" i="13" s="1"/>
  <c r="N30" i="13"/>
  <c r="M30" i="13"/>
  <c r="L30" i="13"/>
  <c r="K30" i="13"/>
  <c r="P29" i="13"/>
  <c r="R29" i="13" s="1"/>
  <c r="O29" i="13"/>
  <c r="Q29" i="13" s="1"/>
  <c r="N29" i="13"/>
  <c r="M29" i="13"/>
  <c r="L29" i="13"/>
  <c r="K29" i="13"/>
  <c r="P28" i="13"/>
  <c r="R28" i="13" s="1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P26" i="13"/>
  <c r="R26" i="13" s="1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P24" i="13"/>
  <c r="R24" i="13" s="1"/>
  <c r="O24" i="13"/>
  <c r="Q24" i="13" s="1"/>
  <c r="N24" i="13"/>
  <c r="M24" i="13"/>
  <c r="L24" i="13"/>
  <c r="K24" i="13"/>
  <c r="R23" i="13"/>
  <c r="P23" i="13"/>
  <c r="O23" i="13"/>
  <c r="Q23" i="13" s="1"/>
  <c r="N23" i="13"/>
  <c r="M23" i="13"/>
  <c r="L23" i="13"/>
  <c r="K23" i="13"/>
  <c r="P22" i="13"/>
  <c r="R22" i="13" s="1"/>
  <c r="O22" i="13"/>
  <c r="Q22" i="13" s="1"/>
  <c r="N22" i="13"/>
  <c r="M22" i="13"/>
  <c r="L22" i="13"/>
  <c r="K22" i="13"/>
  <c r="R21" i="13"/>
  <c r="P21" i="13"/>
  <c r="O21" i="13"/>
  <c r="Q21" i="13" s="1"/>
  <c r="N21" i="13"/>
  <c r="M21" i="13"/>
  <c r="L21" i="13"/>
  <c r="K21" i="13"/>
  <c r="R20" i="13"/>
  <c r="P20" i="13"/>
  <c r="O20" i="13"/>
  <c r="Q20" i="13" s="1"/>
  <c r="N20" i="13"/>
  <c r="M20" i="13"/>
  <c r="L20" i="13"/>
  <c r="K20" i="13"/>
  <c r="P19" i="13"/>
  <c r="R19" i="13" s="1"/>
  <c r="O19" i="13"/>
  <c r="Q19" i="13" s="1"/>
  <c r="N19" i="13"/>
  <c r="M19" i="13"/>
  <c r="L19" i="13"/>
  <c r="K19" i="13"/>
  <c r="R18" i="13"/>
  <c r="P18" i="13"/>
  <c r="O18" i="13"/>
  <c r="Q18" i="13" s="1"/>
  <c r="N18" i="13"/>
  <c r="M18" i="13"/>
  <c r="L18" i="13"/>
  <c r="K18" i="13"/>
  <c r="P17" i="13"/>
  <c r="R17" i="13" s="1"/>
  <c r="O17" i="13"/>
  <c r="Q17" i="13" s="1"/>
  <c r="N17" i="13"/>
  <c r="M17" i="13"/>
  <c r="L17" i="13"/>
  <c r="K17" i="13"/>
  <c r="R16" i="13"/>
  <c r="P16" i="13"/>
  <c r="O16" i="13"/>
  <c r="Q16" i="13" s="1"/>
  <c r="N16" i="13"/>
  <c r="M16" i="13"/>
  <c r="L16" i="13"/>
  <c r="K16" i="13"/>
  <c r="R15" i="13"/>
  <c r="P15" i="13"/>
  <c r="O15" i="13"/>
  <c r="Q15" i="13" s="1"/>
  <c r="N15" i="13"/>
  <c r="M15" i="13"/>
  <c r="L15" i="13"/>
  <c r="K15" i="13"/>
  <c r="P14" i="13"/>
  <c r="R14" i="13" s="1"/>
  <c r="O14" i="13"/>
  <c r="Q14" i="13" s="1"/>
  <c r="N14" i="13"/>
  <c r="M14" i="13"/>
  <c r="L14" i="13"/>
  <c r="K14" i="13"/>
  <c r="P13" i="13"/>
  <c r="R13" i="13" s="1"/>
  <c r="O13" i="13"/>
  <c r="Q13" i="13" s="1"/>
  <c r="N13" i="13"/>
  <c r="M13" i="13"/>
  <c r="L13" i="13"/>
  <c r="K13" i="13"/>
  <c r="P12" i="13"/>
  <c r="R12" i="13" s="1"/>
  <c r="O12" i="13"/>
  <c r="Q12" i="13" s="1"/>
  <c r="N12" i="13"/>
  <c r="M12" i="13"/>
  <c r="L12" i="13"/>
  <c r="K12" i="13"/>
  <c r="R11" i="13"/>
  <c r="P11" i="13"/>
  <c r="O11" i="13"/>
  <c r="Q11" i="13" s="1"/>
  <c r="N11" i="13"/>
  <c r="M11" i="13"/>
  <c r="L11" i="13"/>
  <c r="K11" i="13"/>
  <c r="R10" i="13"/>
  <c r="P10" i="13"/>
  <c r="O10" i="13"/>
  <c r="Q10" i="13" s="1"/>
  <c r="N10" i="13"/>
  <c r="M10" i="13"/>
  <c r="L10" i="13"/>
  <c r="K10" i="13"/>
  <c r="R9" i="13"/>
  <c r="P9" i="13"/>
  <c r="O9" i="13"/>
  <c r="Q9" i="13" s="1"/>
  <c r="N9" i="13"/>
  <c r="M9" i="13"/>
  <c r="L9" i="13"/>
  <c r="K9" i="13"/>
  <c r="P8" i="13"/>
  <c r="R8" i="13" s="1"/>
  <c r="O8" i="13"/>
  <c r="Q8" i="13" s="1"/>
  <c r="N8" i="13"/>
  <c r="M8" i="13"/>
  <c r="L8" i="13"/>
  <c r="K8" i="13"/>
  <c r="P7" i="13"/>
  <c r="R7" i="13" s="1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Y60" i="14" l="1"/>
  <c r="AA26" i="14"/>
  <c r="Y54" i="14"/>
  <c r="Y8" i="14"/>
  <c r="AA20" i="14"/>
  <c r="AA42" i="14"/>
  <c r="Z54" i="14"/>
  <c r="Z6" i="14"/>
  <c r="Z24" i="14"/>
  <c r="Y23" i="14"/>
  <c r="Y61" i="14"/>
  <c r="X59" i="14"/>
  <c r="AA36" i="14"/>
  <c r="AA52" i="14"/>
  <c r="Y6" i="14"/>
  <c r="Y55" i="14"/>
  <c r="Z58" i="14"/>
  <c r="Z16" i="14"/>
  <c r="Y47" i="14"/>
  <c r="Z62" i="14"/>
  <c r="W12" i="14"/>
  <c r="V19" i="14"/>
  <c r="W19" i="14" s="1"/>
  <c r="W57" i="14"/>
  <c r="V40" i="14"/>
  <c r="W40" i="14" s="1"/>
  <c r="V9" i="14"/>
  <c r="W9" i="14" s="1"/>
  <c r="Z22" i="14"/>
  <c r="X23" i="14"/>
  <c r="Y24" i="14"/>
  <c r="Q30" i="14"/>
  <c r="AA30" i="14" s="1"/>
  <c r="T34" i="14"/>
  <c r="V34" i="14" s="1"/>
  <c r="W34" i="14" s="1"/>
  <c r="U35" i="14"/>
  <c r="V35" i="14" s="1"/>
  <c r="W35" i="14" s="1"/>
  <c r="Y36" i="14"/>
  <c r="Y37" i="14"/>
  <c r="Z38" i="14"/>
  <c r="X39" i="14"/>
  <c r="Y40" i="14"/>
  <c r="Q50" i="14"/>
  <c r="AA50" i="14" s="1"/>
  <c r="T51" i="14"/>
  <c r="T18" i="14"/>
  <c r="V18" i="14" s="1"/>
  <c r="W18" i="14" s="1"/>
  <c r="U19" i="14"/>
  <c r="Y20" i="14"/>
  <c r="Q46" i="14"/>
  <c r="AA46" i="14" s="1"/>
  <c r="Q47" i="14"/>
  <c r="AA47" i="14" s="1"/>
  <c r="U51" i="14"/>
  <c r="Y52" i="14"/>
  <c r="Y7" i="14"/>
  <c r="Z8" i="14"/>
  <c r="U18" i="14"/>
  <c r="U30" i="14"/>
  <c r="V30" i="14" s="1"/>
  <c r="W30" i="14" s="1"/>
  <c r="T31" i="14"/>
  <c r="V31" i="14" s="1"/>
  <c r="W31" i="14" s="1"/>
  <c r="T32" i="14"/>
  <c r="V32" i="14" s="1"/>
  <c r="W32" i="14" s="1"/>
  <c r="T33" i="14"/>
  <c r="V33" i="14" s="1"/>
  <c r="W33" i="14" s="1"/>
  <c r="U50" i="14"/>
  <c r="V50" i="14" s="1"/>
  <c r="W50" i="14" s="1"/>
  <c r="AA15" i="14"/>
  <c r="T14" i="14"/>
  <c r="V14" i="14" s="1"/>
  <c r="W14" i="14" s="1"/>
  <c r="T29" i="14"/>
  <c r="U31" i="14"/>
  <c r="U32" i="14"/>
  <c r="U33" i="14"/>
  <c r="Z34" i="14"/>
  <c r="AA43" i="14"/>
  <c r="U14" i="14"/>
  <c r="T15" i="14"/>
  <c r="V15" i="14" s="1"/>
  <c r="W15" i="14" s="1"/>
  <c r="T16" i="14"/>
  <c r="V16" i="14" s="1"/>
  <c r="W16" i="14" s="1"/>
  <c r="T17" i="14"/>
  <c r="Q27" i="14"/>
  <c r="AA27" i="14" s="1"/>
  <c r="T28" i="14"/>
  <c r="V28" i="14" s="1"/>
  <c r="W28" i="14" s="1"/>
  <c r="U29" i="14"/>
  <c r="Q43" i="14"/>
  <c r="T44" i="14"/>
  <c r="V44" i="14" s="1"/>
  <c r="W44" i="14" s="1"/>
  <c r="T45" i="14"/>
  <c r="V45" i="14" s="1"/>
  <c r="W45" i="14" s="1"/>
  <c r="U46" i="14"/>
  <c r="V46" i="14" s="1"/>
  <c r="W46" i="14" s="1"/>
  <c r="T47" i="14"/>
  <c r="T48" i="14"/>
  <c r="T49" i="14"/>
  <c r="V49" i="14" s="1"/>
  <c r="W49" i="14" s="1"/>
  <c r="AA11" i="14"/>
  <c r="T13" i="14"/>
  <c r="V13" i="14" s="1"/>
  <c r="W13" i="14" s="1"/>
  <c r="U15" i="14"/>
  <c r="U16" i="14"/>
  <c r="U17" i="14"/>
  <c r="Z18" i="14"/>
  <c r="U28" i="14"/>
  <c r="Y30" i="14"/>
  <c r="U44" i="14"/>
  <c r="U45" i="14"/>
  <c r="U47" i="14"/>
  <c r="U48" i="14"/>
  <c r="U49" i="14"/>
  <c r="Z50" i="14"/>
  <c r="U13" i="14"/>
  <c r="Z30" i="14"/>
  <c r="X31" i="14"/>
  <c r="Y32" i="14"/>
  <c r="Q59" i="14"/>
  <c r="AA59" i="14" s="1"/>
  <c r="T62" i="14"/>
  <c r="V62" i="14" s="1"/>
  <c r="W62" i="14" s="1"/>
  <c r="T27" i="14"/>
  <c r="Y31" i="14"/>
  <c r="Z32" i="14"/>
  <c r="T43" i="14"/>
  <c r="V43" i="14" s="1"/>
  <c r="W43" i="14" s="1"/>
  <c r="Y46" i="14"/>
  <c r="T60" i="14"/>
  <c r="T61" i="14"/>
  <c r="U62" i="14"/>
  <c r="AA31" i="14"/>
  <c r="Z14" i="14"/>
  <c r="X15" i="14"/>
  <c r="Y16" i="14"/>
  <c r="Q23" i="14"/>
  <c r="AA23" i="14" s="1"/>
  <c r="T26" i="14"/>
  <c r="V26" i="14" s="1"/>
  <c r="W26" i="14" s="1"/>
  <c r="U27" i="14"/>
  <c r="Y28" i="14"/>
  <c r="Q39" i="14"/>
  <c r="AA39" i="14" s="1"/>
  <c r="T42" i="14"/>
  <c r="V42" i="14" s="1"/>
  <c r="W42" i="14" s="1"/>
  <c r="U43" i="14"/>
  <c r="Y44" i="14"/>
  <c r="Y45" i="14"/>
  <c r="Z46" i="14"/>
  <c r="X47" i="14"/>
  <c r="Y48" i="14"/>
  <c r="U60" i="14"/>
  <c r="U61" i="14"/>
  <c r="Q6" i="14"/>
  <c r="AA6" i="14" s="1"/>
  <c r="Q7" i="14"/>
  <c r="AA7" i="14" s="1"/>
  <c r="Q8" i="14"/>
  <c r="AA8" i="14" s="1"/>
  <c r="T10" i="14"/>
  <c r="Q10" i="14" s="1"/>
  <c r="AA10" i="14" s="1"/>
  <c r="Y12" i="14"/>
  <c r="T22" i="14"/>
  <c r="V22" i="14" s="1"/>
  <c r="W22" i="14" s="1"/>
  <c r="AA35" i="14"/>
  <c r="T38" i="14"/>
  <c r="V38" i="14" s="1"/>
  <c r="W38" i="14" s="1"/>
  <c r="Q53" i="14"/>
  <c r="AA53" i="14" s="1"/>
  <c r="Q54" i="14"/>
  <c r="AA54" i="14" s="1"/>
  <c r="Q55" i="14"/>
  <c r="AA55" i="14" s="1"/>
  <c r="Q56" i="14"/>
  <c r="AA56" i="14" s="1"/>
  <c r="Q57" i="14"/>
  <c r="AA57" i="14" s="1"/>
  <c r="T58" i="14"/>
  <c r="V58" i="14" s="1"/>
  <c r="W58" i="14" s="1"/>
  <c r="U59" i="14"/>
  <c r="V59" i="14" s="1"/>
  <c r="W59" i="14" s="1"/>
  <c r="Y62" i="14"/>
  <c r="T6" i="14"/>
  <c r="V6" i="14" s="1"/>
  <c r="W6" i="14" s="1"/>
  <c r="V10" i="14"/>
  <c r="W10" i="14" s="1"/>
  <c r="AA19" i="14"/>
  <c r="T21" i="14"/>
  <c r="V21" i="14" s="1"/>
  <c r="W21" i="14" s="1"/>
  <c r="U23" i="14"/>
  <c r="V23" i="14" s="1"/>
  <c r="W23" i="14" s="1"/>
  <c r="U24" i="14"/>
  <c r="V24" i="14" s="1"/>
  <c r="W24" i="14" s="1"/>
  <c r="U25" i="14"/>
  <c r="V25" i="14" s="1"/>
  <c r="W25" i="14" s="1"/>
  <c r="Z26" i="14"/>
  <c r="U36" i="14"/>
  <c r="V36" i="14" s="1"/>
  <c r="W36" i="14" s="1"/>
  <c r="U37" i="14"/>
  <c r="V37" i="14" s="1"/>
  <c r="W37" i="14" s="1"/>
  <c r="U39" i="14"/>
  <c r="V39" i="14" s="1"/>
  <c r="W39" i="14" s="1"/>
  <c r="U40" i="14"/>
  <c r="U41" i="14"/>
  <c r="V41" i="14" s="1"/>
  <c r="W41" i="14" s="1"/>
  <c r="Z42" i="14"/>
  <c r="AA51" i="14"/>
  <c r="T54" i="14"/>
  <c r="V54" i="14" s="1"/>
  <c r="W54" i="14" s="1"/>
  <c r="T7" i="14"/>
  <c r="V7" i="14" s="1"/>
  <c r="W7" i="14" s="1"/>
  <c r="T20" i="14"/>
  <c r="V20" i="14" s="1"/>
  <c r="W20" i="14" s="1"/>
  <c r="T52" i="14"/>
  <c r="V52" i="14" s="1"/>
  <c r="W52" i="14" s="1"/>
  <c r="T55" i="14"/>
  <c r="V55" i="14" s="1"/>
  <c r="W55" i="14" s="1"/>
  <c r="X9" i="14"/>
  <c r="X17" i="14"/>
  <c r="X25" i="14"/>
  <c r="X33" i="14"/>
  <c r="X41" i="14"/>
  <c r="X49" i="14"/>
  <c r="X57" i="14"/>
  <c r="Y9" i="14"/>
  <c r="Y17" i="14"/>
  <c r="Y25" i="14"/>
  <c r="Y33" i="14"/>
  <c r="Y41" i="14"/>
  <c r="Y49" i="14"/>
  <c r="Y57" i="14"/>
  <c r="X10" i="14"/>
  <c r="X18" i="14"/>
  <c r="X26" i="14"/>
  <c r="X34" i="14"/>
  <c r="X42" i="14"/>
  <c r="X50" i="14"/>
  <c r="X58" i="14"/>
  <c r="X11" i="14"/>
  <c r="Y11" i="14"/>
  <c r="Y19" i="14"/>
  <c r="Y27" i="14"/>
  <c r="Y35" i="14"/>
  <c r="Y43" i="14"/>
  <c r="Y51" i="14"/>
  <c r="Y59" i="14"/>
  <c r="X19" i="14"/>
  <c r="X27" i="14"/>
  <c r="X35" i="14"/>
  <c r="X43" i="14"/>
  <c r="X51" i="14"/>
  <c r="X12" i="14"/>
  <c r="X20" i="14"/>
  <c r="X28" i="14"/>
  <c r="X36" i="14"/>
  <c r="X44" i="14"/>
  <c r="X52" i="14"/>
  <c r="X60" i="14"/>
  <c r="X13" i="14"/>
  <c r="X21" i="14"/>
  <c r="X29" i="14"/>
  <c r="X37" i="14"/>
  <c r="X45" i="14"/>
  <c r="X53" i="14"/>
  <c r="X61" i="14"/>
  <c r="Y21" i="14"/>
  <c r="Y29" i="14"/>
  <c r="Y13" i="14"/>
  <c r="V27" i="14" l="1"/>
  <c r="W27" i="14" s="1"/>
  <c r="V17" i="14"/>
  <c r="W17" i="14" s="1"/>
  <c r="V48" i="14"/>
  <c r="W48" i="14" s="1"/>
  <c r="W53" i="14"/>
  <c r="V61" i="14"/>
  <c r="W61" i="14" s="1"/>
  <c r="V47" i="14"/>
  <c r="W47" i="14" s="1"/>
  <c r="V60" i="14"/>
  <c r="W60" i="14" s="1"/>
  <c r="V29" i="14"/>
  <c r="W29" i="14" s="1"/>
  <c r="W56" i="14"/>
  <c r="V51" i="14"/>
  <c r="W51" i="14" s="1"/>
  <c r="W8" i="14"/>
  <c r="E8" i="5"/>
  <c r="E6" i="5" l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12745397-343A-4E89-99B5-861224E935BF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6ABA3965-1346-4F86-A85B-B279679FAE4A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086B62CC-4252-4922-BA1C-6BD9D102D5C2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<sst xmlns="http://schemas.openxmlformats.org/spreadsheetml/2006/main" count="784" uniqueCount="310">
  <si>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</si>
  <si>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</si>
  <si>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</si>
  <si>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</si>
  <si>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</si>
  <si>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</si>
  <si>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</si>
  <si>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</si>
  <si>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</si>
  <si>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</si>
  <si>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</si>
  <si>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</si>
  <si>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</si>
  <si>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</si>
  <si>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</si>
  <si>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</si>
  <si>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</si>
  <si>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</si>
  <si>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</si>
  <si>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</si>
  <si>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</si>
  <si>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</si>
  <si>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</si>
  <si>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Varo-Project</t>
    <phoneticPr fontId="10" type="noConversion"/>
  </si>
  <si>
    <t>-</t>
    <phoneticPr fontId="10" type="noConversion"/>
  </si>
  <si>
    <t>Config:</t>
    <phoneticPr fontId="10" type="noConversion"/>
  </si>
  <si>
    <t>Shipping Qty</t>
  </si>
  <si>
    <t>Unit</t>
  </si>
  <si>
    <t>817-08749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</si>
  <si>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</si>
  <si>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</si>
  <si>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</si>
  <si>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</si>
  <si>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</si>
  <si>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</si>
  <si>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</si>
  <si>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</si>
  <si>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</si>
  <si>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</si>
  <si>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</si>
  <si>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</si>
  <si>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</si>
  <si>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2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</si>
  <si>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</si>
  <si>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</si>
  <si>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</si>
  <si>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</si>
  <si>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</si>
  <si>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</si>
  <si>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</si>
  <si>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</si>
  <si>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</si>
  <si>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</si>
  <si>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</si>
  <si>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</si>
  <si>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</si>
  <si>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FAI 3-1</t>
    <phoneticPr fontId="10" type="noConversion"/>
  </si>
  <si>
    <t>Distance</t>
  </si>
  <si>
    <t>OMM</t>
  </si>
  <si>
    <t>FAI 3-2</t>
  </si>
  <si>
    <t>FAI 3-3</t>
  </si>
  <si>
    <t>FAI 4</t>
    <phoneticPr fontId="10" type="noConversion"/>
  </si>
  <si>
    <t>Parallelism</t>
  </si>
  <si>
    <t>FAI 5</t>
  </si>
  <si>
    <t>FAI 6</t>
  </si>
  <si>
    <t>Flatness</t>
  </si>
  <si>
    <t>FAI 7</t>
  </si>
  <si>
    <t>FAI 8-1</t>
    <phoneticPr fontId="10" type="noConversion"/>
  </si>
  <si>
    <t>FAI 8-2</t>
  </si>
  <si>
    <t>FAI 9</t>
    <phoneticPr fontId="10" type="noConversion"/>
  </si>
  <si>
    <t>FAI 10</t>
  </si>
  <si>
    <t>AOI</t>
    <phoneticPr fontId="10" type="noConversion"/>
  </si>
  <si>
    <t>FAI 11</t>
  </si>
  <si>
    <t>FAI 12-1</t>
    <phoneticPr fontId="10" type="noConversion"/>
  </si>
  <si>
    <t>FAI 12-2</t>
  </si>
  <si>
    <t>FAI 13</t>
    <phoneticPr fontId="10" type="noConversion"/>
  </si>
  <si>
    <t>FAI 14</t>
  </si>
  <si>
    <t>FAI 16_1</t>
    <phoneticPr fontId="10" type="noConversion"/>
  </si>
  <si>
    <t>FAI 16_2</t>
  </si>
  <si>
    <t>FAI 18-1</t>
    <phoneticPr fontId="10" type="noConversion"/>
  </si>
  <si>
    <t>FAI 18-2</t>
  </si>
  <si>
    <t>FAI 18-3</t>
  </si>
  <si>
    <t>FAI 19</t>
    <phoneticPr fontId="10" type="noConversion"/>
  </si>
  <si>
    <t>FAI 24</t>
    <phoneticPr fontId="10" type="noConversion"/>
  </si>
  <si>
    <t>FAI 25</t>
  </si>
  <si>
    <t>FAI 26</t>
  </si>
  <si>
    <t>FAI 27-1</t>
    <phoneticPr fontId="10" type="noConversion"/>
  </si>
  <si>
    <t>FAI 27-2</t>
  </si>
  <si>
    <t>FAI 27-3</t>
  </si>
  <si>
    <t>FAI 27-4</t>
  </si>
  <si>
    <t>FAI 27-5</t>
  </si>
  <si>
    <t>FAI 28</t>
    <phoneticPr fontId="10" type="noConversion"/>
  </si>
  <si>
    <t>FAI 29</t>
  </si>
  <si>
    <t>FAI 30</t>
  </si>
  <si>
    <t>FAI 31</t>
  </si>
  <si>
    <t>FAI 32</t>
  </si>
  <si>
    <t>FAI 33</t>
  </si>
  <si>
    <t>FAI 34-1</t>
  </si>
  <si>
    <t>FAI 34-2</t>
  </si>
  <si>
    <t>FAI 34-3</t>
  </si>
  <si>
    <t>FAI 35-1</t>
  </si>
  <si>
    <t>FAI 35-2</t>
  </si>
  <si>
    <t>FAI 36</t>
    <phoneticPr fontId="10" type="noConversion"/>
  </si>
  <si>
    <t>FAI 37</t>
  </si>
  <si>
    <t>FAI 38-1</t>
  </si>
  <si>
    <t>FAI 38-2</t>
  </si>
  <si>
    <t>FAI 39-1</t>
  </si>
  <si>
    <t>FAI 39-2</t>
  </si>
  <si>
    <t>FAI 41</t>
    <phoneticPr fontId="10" type="noConversion"/>
  </si>
  <si>
    <t>FAI 42</t>
  </si>
  <si>
    <t>FAI 43</t>
  </si>
  <si>
    <t>FAI 44</t>
  </si>
  <si>
    <t>FAI 45</t>
  </si>
  <si>
    <t>FAI 46</t>
  </si>
  <si>
    <t>FAI 48-1</t>
  </si>
  <si>
    <t>FAI 48-2</t>
  </si>
  <si>
    <t>FAI 48-3</t>
  </si>
  <si>
    <t>FAI 49</t>
    <phoneticPr fontId="10" type="noConversion"/>
  </si>
  <si>
    <t>FAI 50</t>
  </si>
  <si>
    <t>FAI 51</t>
  </si>
  <si>
    <t>FAI 52</t>
  </si>
  <si>
    <t>FAI 53</t>
  </si>
  <si>
    <t>FAI 56</t>
    <phoneticPr fontId="10" type="noConversion"/>
  </si>
  <si>
    <t>FAI 57</t>
  </si>
  <si>
    <t>FAI 58-1</t>
    <phoneticPr fontId="10" type="noConversion"/>
  </si>
  <si>
    <t>FAI 58-2</t>
  </si>
  <si>
    <t>FAI 59</t>
    <phoneticPr fontId="10" type="noConversion"/>
  </si>
  <si>
    <t>FAI 60</t>
  </si>
  <si>
    <t>FAI 61</t>
  </si>
  <si>
    <t>FAI 62</t>
  </si>
  <si>
    <t>FAI 63</t>
  </si>
  <si>
    <t>FAI 64</t>
  </si>
  <si>
    <t>FAI 65</t>
  </si>
  <si>
    <t>FAI 66</t>
  </si>
  <si>
    <t>FAI 67_1</t>
    <phoneticPr fontId="10" type="noConversion"/>
  </si>
  <si>
    <t>FAI 67_2</t>
  </si>
  <si>
    <t>FAI 67_3</t>
  </si>
  <si>
    <t>FAI 67_4</t>
  </si>
  <si>
    <t>FAI 67_5</t>
  </si>
  <si>
    <t>FAI 67_6</t>
  </si>
  <si>
    <t>FAI 67_7</t>
  </si>
  <si>
    <t>FAI 67_8</t>
  </si>
  <si>
    <t>FAI 67_9</t>
  </si>
  <si>
    <t>FAI 67_10</t>
  </si>
  <si>
    <t>FAI 67_11</t>
  </si>
  <si>
    <t>FAI 67_12</t>
  </si>
  <si>
    <t>FAI 67_13</t>
  </si>
  <si>
    <t>FAI 68</t>
    <phoneticPr fontId="10" type="noConversion"/>
  </si>
  <si>
    <t>Thickness</t>
  </si>
  <si>
    <t>MIC</t>
  </si>
  <si>
    <t>FAI 69</t>
  </si>
  <si>
    <t>FAI 70</t>
  </si>
  <si>
    <t>FAI 71</t>
  </si>
  <si>
    <t>FAI 72</t>
  </si>
  <si>
    <t>FAI 73</t>
  </si>
  <si>
    <t>FAI 74</t>
  </si>
  <si>
    <t>Angle</t>
  </si>
  <si>
    <t>FAI 80</t>
    <phoneticPr fontId="10" type="noConversion"/>
  </si>
  <si>
    <t>FAI 81</t>
  </si>
  <si>
    <t>FAI 82</t>
  </si>
  <si>
    <t>FAI 83</t>
  </si>
  <si>
    <t>FAI 84</t>
  </si>
  <si>
    <t>FAI 85</t>
  </si>
  <si>
    <t>FAI 86</t>
  </si>
  <si>
    <t>Enhanced Cpk Data Sheet - Enclosures MD</t>
  </si>
  <si>
    <t xml:space="preserve">  </t>
    <phoneticPr fontId="45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</si>
  <si>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</si>
  <si>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</si>
  <si>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</si>
  <si>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</si>
  <si>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</si>
  <si>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</si>
  <si>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</si>
  <si>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</si>
  <si>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9" type="noConversion"/>
  </si>
  <si>
    <t>Description</t>
    <phoneticPr fontId="50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</si>
  <si>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</si>
  <si>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</si>
  <si>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</si>
  <si>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</si>
  <si>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</si>
  <si>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</si>
  <si>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</si>
  <si>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5" type="noConversion"/>
  </si>
  <si>
    <t>Cp</t>
  </si>
  <si>
    <t>Ca</t>
  </si>
  <si>
    <t>Ca Level</t>
  </si>
  <si>
    <t>UCPK</t>
    <phoneticPr fontId="51" type="noConversion"/>
  </si>
  <si>
    <t>LCPK</t>
    <phoneticPr fontId="51" type="noConversion"/>
  </si>
  <si>
    <t>Cpk</t>
  </si>
  <si>
    <t>Yield</t>
  </si>
  <si>
    <t>+Tol =&gt; Cpk*</t>
  </si>
  <si>
    <t>-Tol =&gt; Cpk*</t>
  </si>
  <si>
    <t>Mean Shift</t>
    <phoneticPr fontId="45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</si>
  <si>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</si>
  <si>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</si>
  <si>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</si>
  <si>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</si>
  <si>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</si>
  <si>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</si>
  <si>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</si>
  <si>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</si>
  <si>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</si>
  <si>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</si>
  <si>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</si>
  <si>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</si>
  <si>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</si>
  <si>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</si>
  <si>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</si>
  <si>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</si>
  <si>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</si>
  <si>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</si>
  <si>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FAI 16-1</t>
    <phoneticPr fontId="10" type="noConversion"/>
  </si>
  <si>
    <t>FAI 16-2</t>
  </si>
  <si>
    <t>R</t>
  </si>
  <si>
    <t>S</t>
  </si>
  <si>
    <t>X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</si>
  <si>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</si>
  <si>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</si>
  <si>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</si>
  <si>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</si>
  <si>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</si>
  <si>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</si>
  <si>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</si>
  <si>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</si>
  <si>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</si>
  <si>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</si>
  <si>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</si>
  <si>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</si>
  <si>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</si>
  <si>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FAI 67-1</t>
    <phoneticPr fontId="10" type="noConversion"/>
  </si>
  <si>
    <t>FAI 67-2</t>
  </si>
  <si>
    <t>FAI 67-3</t>
  </si>
  <si>
    <t>FAI 67-4</t>
  </si>
  <si>
    <t>FAI 67-5</t>
  </si>
  <si>
    <t>FAI 67-6</t>
  </si>
  <si>
    <t>FAI 67-7</t>
  </si>
  <si>
    <t>FAI 67-8</t>
  </si>
  <si>
    <t>FAI 67-9</t>
  </si>
  <si>
    <t>FAI 67-10</t>
  </si>
  <si>
    <t>FAI 67-11</t>
  </si>
  <si>
    <t>FAI 67-12</t>
  </si>
  <si>
    <t>FAI 67-13</t>
  </si>
  <si>
    <t>AJ</t>
  </si>
  <si>
    <t>AK</t>
  </si>
  <si>
    <t>AL</t>
  </si>
  <si>
    <t>AM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</si>
  <si>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</si>
  <si>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</si>
  <si>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</si>
  <si>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</si>
  <si>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</si>
  <si>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</si>
  <si>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</si>
  <si>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</si>
  <si>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</si>
  <si>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</si>
  <si>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</si>
  <si>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</si>
  <si>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</si>
  <si>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</si>
  <si>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</si>
  <si>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</si>
  <si>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</si>
  <si>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</si>
  <si>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</si>
  <si>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</si>
  <si>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</si>
  <si>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</si>
  <si>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</si>
  <si>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</si>
  <si>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</si>
  <si>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</si>
  <si>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</si>
  <si>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</si>
  <si>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</si>
  <si>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</si>
  <si>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</si>
  <si>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</si>
  <si>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</si>
  <si>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</si>
  <si>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</si>
  <si>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</si>
  <si>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</si>
  <si>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</si>
  <si>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</si>
  <si>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</si>
  <si>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</si>
  <si>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</si>
  <si>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</si>
  <si>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OBA:</t>
    <phoneticPr fontId="0" type="noConversion"/>
  </si>
  <si>
    <t>OK</t>
    <phoneticPr fontId="10" type="noConversion"/>
  </si>
  <si>
    <t>817-08749</t>
  </si>
  <si>
    <t>MP</t>
    <phoneticPr fontId="10" type="noConversion"/>
  </si>
  <si>
    <t>MCO Rev.A / MSoP Rev.B /
PGM Rev.A</t>
    <phoneticPr fontId="10" type="noConversion"/>
  </si>
  <si>
    <t>FAI 54-1</t>
    <phoneticPr fontId="10" type="noConversion"/>
  </si>
  <si>
    <t>Roughness</t>
  </si>
  <si>
    <t xml:space="preserve"> Roughness
Tester</t>
    <phoneticPr fontId="10" type="noConversion"/>
  </si>
  <si>
    <t>FAI 54-2</t>
  </si>
  <si>
    <t>FAI 54-3</t>
  </si>
  <si>
    <t>FAI 54-4</t>
  </si>
  <si>
    <t>FAI 54-5</t>
  </si>
  <si>
    <t>FAI 54-6</t>
  </si>
  <si>
    <t>FAI 54-7</t>
  </si>
  <si>
    <t>FAI 54-8</t>
  </si>
  <si>
    <t>FAI 54-9</t>
  </si>
  <si>
    <t>FAI 54-10</t>
  </si>
  <si>
    <t>FAI 54-11</t>
  </si>
  <si>
    <t>FAI 54-12</t>
  </si>
  <si>
    <t>FAI 40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</si>
</sst>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);[Red]\(0.0000\)"/>
    <numFmt numFmtId="184" formatCode="yyyy\-mm\-dd;@"/>
    <numFmt numFmtId="185" formatCode="m/d/yyyy;@"/>
  </numFmts>
  <fonts count="65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indexed="8"/>
      <name val="맑은 고딕"/>
      <family val="3"/>
      <charset val="129"/>
      <scheme val="major"/>
    </font>
    <font>
      <sz val="12"/>
      <color theme="1"/>
      <name val="Helvetica Neue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i/>
      <sz val="12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3" fillId="0" borderId="0"/>
  </cellStyleXfs>
  <cellXfs count="17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4" fontId="37" fillId="4" borderId="18" xfId="62" applyNumberFormat="1" applyFont="1" applyFill="1" applyBorder="1" applyAlignment="1">
      <alignment horizontal="center" vertical="center"/>
    </xf>
    <xf numFmtId="49" fontId="37" fillId="4" borderId="18" xfId="62" applyNumberFormat="1" applyFont="1" applyFill="1" applyBorder="1" applyAlignment="1">
      <alignment horizontal="center" vertical="center"/>
    </xf>
    <xf numFmtId="0" fontId="37" fillId="0" borderId="18" xfId="62" applyFont="1" applyBorder="1" applyAlignment="1">
      <alignment horizontal="center" vertical="center"/>
    </xf>
    <xf numFmtId="0" fontId="37" fillId="0" borderId="0" xfId="62" applyFont="1" applyAlignment="1">
      <alignment horizontal="center" vertical="center"/>
    </xf>
    <xf numFmtId="0" fontId="37" fillId="4" borderId="18" xfId="62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40" fillId="0" borderId="0" xfId="0" applyFont="1" applyAlignment="1">
      <alignment vertical="center"/>
    </xf>
    <xf numFmtId="0" fontId="41" fillId="0" borderId="1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81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181" fontId="12" fillId="0" borderId="21" xfId="0" applyNumberFormat="1" applyFont="1" applyBorder="1" applyAlignment="1" applyProtection="1">
      <alignment horizontal="center" vertical="center"/>
      <protection locked="0"/>
    </xf>
    <xf numFmtId="181" fontId="12" fillId="0" borderId="22" xfId="0" applyNumberFormat="1" applyFont="1" applyBorder="1" applyAlignment="1" applyProtection="1">
      <alignment horizontal="center" vertical="center"/>
      <protection locked="0"/>
    </xf>
    <xf numFmtId="181" fontId="12" fillId="0" borderId="21" xfId="0" applyNumberFormat="1" applyFont="1" applyBorder="1" applyAlignment="1">
      <alignment horizontal="center" vertical="center"/>
    </xf>
    <xf numFmtId="181" fontId="12" fillId="0" borderId="22" xfId="0" applyNumberFormat="1" applyFont="1" applyBorder="1" applyAlignment="1">
      <alignment horizontal="center" vertical="center"/>
    </xf>
    <xf numFmtId="9" fontId="13" fillId="0" borderId="22" xfId="0" quotePrefix="1" applyNumberFormat="1" applyFont="1" applyBorder="1" applyAlignment="1">
      <alignment horizontal="center" vertical="center"/>
    </xf>
    <xf numFmtId="9" fontId="13" fillId="0" borderId="22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 applyProtection="1">
      <alignment horizontal="center" vertical="center" wrapText="1"/>
      <protection locked="0"/>
    </xf>
    <xf numFmtId="49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0" fillId="0" borderId="23" xfId="0" applyFont="1" applyBorder="1" applyAlignment="1">
      <alignment vertical="center"/>
    </xf>
    <xf numFmtId="0" fontId="40" fillId="0" borderId="19" xfId="0" applyFont="1" applyBorder="1" applyAlignment="1">
      <alignment vertical="center"/>
    </xf>
    <xf numFmtId="0" fontId="12" fillId="0" borderId="20" xfId="0" applyFont="1" applyBorder="1" applyAlignment="1" applyProtection="1">
      <alignment horizontal="center" vertical="center"/>
      <protection locked="0"/>
    </xf>
    <xf numFmtId="58" fontId="41" fillId="0" borderId="19" xfId="48" applyNumberFormat="1" applyFont="1" applyBorder="1" applyAlignment="1" applyProtection="1">
      <alignment vertical="center" wrapText="1"/>
      <protection locked="0"/>
    </xf>
    <xf numFmtId="2" fontId="41" fillId="0" borderId="19" xfId="48" applyNumberFormat="1" applyFont="1" applyBorder="1" applyAlignment="1" applyProtection="1">
      <alignment vertical="center" wrapText="1"/>
      <protection locked="0"/>
    </xf>
    <xf numFmtId="0" fontId="46" fillId="0" borderId="19" xfId="0" quotePrefix="1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 wrapText="1"/>
    </xf>
    <xf numFmtId="0" fontId="41" fillId="0" borderId="19" xfId="48" applyFont="1" applyBorder="1" applyAlignment="1">
      <alignment vertical="center" wrapText="1"/>
    </xf>
    <xf numFmtId="0" fontId="41" fillId="0" borderId="19" xfId="48" applyFont="1" applyBorder="1" applyAlignment="1">
      <alignment vertical="center"/>
    </xf>
    <xf numFmtId="2" fontId="41" fillId="0" borderId="19" xfId="48" applyNumberFormat="1" applyFont="1" applyBorder="1" applyAlignment="1">
      <alignment vertical="center"/>
    </xf>
    <xf numFmtId="181" fontId="41" fillId="0" borderId="19" xfId="48" applyNumberFormat="1" applyFont="1" applyBorder="1" applyAlignment="1">
      <alignment vertical="center"/>
    </xf>
    <xf numFmtId="0" fontId="41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7" fillId="0" borderId="19" xfId="48" applyFont="1" applyBorder="1" applyAlignment="1" applyProtection="1">
      <alignment vertical="center" wrapText="1"/>
      <protection locked="0"/>
    </xf>
    <xf numFmtId="0" fontId="40" fillId="0" borderId="3" xfId="0" applyFont="1" applyBorder="1" applyAlignment="1">
      <alignment vertical="center"/>
    </xf>
    <xf numFmtId="0" fontId="40" fillId="0" borderId="4" xfId="0" applyFont="1" applyBorder="1" applyAlignment="1">
      <alignment vertical="center"/>
    </xf>
    <xf numFmtId="0" fontId="48" fillId="0" borderId="23" xfId="0" applyFont="1" applyBorder="1" applyAlignment="1">
      <alignment vertical="center"/>
    </xf>
    <xf numFmtId="58" fontId="41" fillId="0" borderId="22" xfId="48" applyNumberFormat="1" applyFont="1" applyBorder="1" applyAlignment="1" applyProtection="1">
      <alignment horizontal="center" vertical="center" wrapText="1"/>
      <protection locked="0"/>
    </xf>
    <xf numFmtId="2" fontId="41" fillId="0" borderId="22" xfId="48" applyNumberFormat="1" applyFont="1" applyBorder="1" applyAlignment="1" applyProtection="1">
      <alignment horizontal="center" vertical="center" wrapText="1"/>
      <protection locked="0"/>
    </xf>
    <xf numFmtId="49" fontId="41" fillId="0" borderId="22" xfId="0" quotePrefix="1" applyNumberFormat="1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1" fillId="0" borderId="22" xfId="48" applyFont="1" applyBorder="1" applyAlignment="1">
      <alignment horizontal="center" vertical="center" wrapText="1"/>
    </xf>
    <xf numFmtId="0" fontId="41" fillId="0" borderId="22" xfId="48" applyFont="1" applyBorder="1" applyAlignment="1">
      <alignment horizontal="center" vertical="center"/>
    </xf>
    <xf numFmtId="2" fontId="41" fillId="0" borderId="22" xfId="48" applyNumberFormat="1" applyFont="1" applyBorder="1" applyAlignment="1">
      <alignment horizontal="center" vertical="center"/>
    </xf>
    <xf numFmtId="181" fontId="41" fillId="0" borderId="22" xfId="48" applyNumberFormat="1" applyFont="1" applyBorder="1" applyAlignment="1">
      <alignment horizontal="center" vertical="center"/>
    </xf>
    <xf numFmtId="181" fontId="41" fillId="0" borderId="22" xfId="48" quotePrefix="1" applyNumberFormat="1" applyFont="1" applyBorder="1" applyAlignment="1">
      <alignment horizontal="center" vertical="center"/>
    </xf>
    <xf numFmtId="181" fontId="41" fillId="0" borderId="22" xfId="48" quotePrefix="1" applyNumberFormat="1" applyFont="1" applyBorder="1" applyAlignment="1">
      <alignment horizontal="center" vertical="center" wrapText="1"/>
    </xf>
    <xf numFmtId="0" fontId="41" fillId="0" borderId="22" xfId="48" applyFont="1" applyBorder="1" applyAlignment="1" applyProtection="1">
      <alignment horizontal="center" vertical="center" wrapText="1"/>
      <protection locked="0"/>
    </xf>
    <xf numFmtId="0" fontId="48" fillId="0" borderId="4" xfId="0" applyFont="1" applyBorder="1" applyAlignment="1">
      <alignment vertical="center"/>
    </xf>
    <xf numFmtId="0" fontId="41" fillId="0" borderId="1" xfId="48" applyFont="1" applyBorder="1" applyAlignment="1" applyProtection="1">
      <alignment horizontal="center" vertical="center"/>
      <protection locked="0"/>
    </xf>
    <xf numFmtId="0" fontId="52" fillId="0" borderId="0" xfId="0" applyFont="1" applyAlignment="1">
      <alignment vertical="center"/>
    </xf>
    <xf numFmtId="0" fontId="12" fillId="0" borderId="19" xfId="691" applyNumberFormat="1" applyFont="1" applyBorder="1" applyAlignment="1" applyProtection="1">
      <alignment horizontal="center" vertical="center"/>
      <protection locked="0"/>
    </xf>
    <xf numFmtId="0" fontId="12" fillId="0" borderId="1" xfId="4" applyNumberFormat="1" applyFont="1" applyBorder="1" applyAlignment="1">
      <alignment horizontal="center" vertical="center"/>
    </xf>
    <xf numFmtId="181" fontId="12" fillId="0" borderId="1" xfId="364" applyNumberFormat="1" applyFont="1" applyBorder="1" applyAlignment="1" applyProtection="1">
      <alignment horizontal="center" vertical="center"/>
      <protection locked="0"/>
    </xf>
    <xf numFmtId="181" fontId="12" fillId="0" borderId="1" xfId="692" applyNumberFormat="1" applyFont="1" applyBorder="1" applyAlignment="1" applyProtection="1">
      <alignment horizontal="center" vertical="center" wrapText="1"/>
      <protection locked="0"/>
    </xf>
    <xf numFmtId="49" fontId="12" fillId="0" borderId="1" xfId="692" applyNumberFormat="1" applyFont="1" applyBorder="1" applyAlignment="1" applyProtection="1">
      <alignment horizontal="center" vertical="center" wrapText="1"/>
      <protection locked="0"/>
    </xf>
    <xf numFmtId="49" fontId="12" fillId="0" borderId="20" xfId="692" applyNumberFormat="1" applyFont="1" applyBorder="1" applyAlignment="1" applyProtection="1">
      <alignment horizontal="center" vertical="center" wrapText="1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0" fontId="54" fillId="0" borderId="23" xfId="0" applyFont="1" applyBorder="1" applyAlignment="1">
      <alignment vertical="center"/>
    </xf>
    <xf numFmtId="182" fontId="12" fillId="0" borderId="1" xfId="692" applyNumberFormat="1" applyFont="1" applyBorder="1" applyAlignment="1">
      <alignment horizontal="center" vertical="center"/>
    </xf>
    <xf numFmtId="182" fontId="12" fillId="0" borderId="1" xfId="48" applyNumberFormat="1" applyFont="1" applyBorder="1" applyAlignment="1">
      <alignment horizontal="center" vertical="center"/>
    </xf>
    <xf numFmtId="181" fontId="12" fillId="0" borderId="1" xfId="48" applyNumberFormat="1" applyFont="1" applyBorder="1" applyAlignment="1">
      <alignment horizontal="center" vertical="center"/>
    </xf>
    <xf numFmtId="10" fontId="12" fillId="0" borderId="1" xfId="48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181" fontId="12" fillId="0" borderId="1" xfId="692" applyNumberFormat="1" applyFont="1" applyBorder="1" applyAlignment="1" applyProtection="1">
      <alignment horizontal="center" vertical="center"/>
      <protection locked="0"/>
    </xf>
    <xf numFmtId="0" fontId="41" fillId="0" borderId="1" xfId="692" applyFont="1" applyBorder="1" applyAlignment="1" applyProtection="1">
      <alignment horizontal="center" vertical="center"/>
      <protection locked="0"/>
    </xf>
    <xf numFmtId="0" fontId="41" fillId="0" borderId="1" xfId="692" applyFont="1" applyBorder="1" applyAlignment="1" applyProtection="1">
      <alignment horizontal="left" vertical="center"/>
      <protection locked="0"/>
    </xf>
    <xf numFmtId="0" fontId="41" fillId="0" borderId="0" xfId="692" applyFont="1" applyAlignment="1" applyProtection="1">
      <alignment horizontal="center" vertical="center"/>
      <protection locked="0"/>
    </xf>
    <xf numFmtId="0" fontId="41" fillId="0" borderId="3" xfId="692" applyFont="1" applyBorder="1" applyAlignment="1" applyProtection="1">
      <alignment horizontal="center" vertical="center"/>
      <protection locked="0"/>
    </xf>
    <xf numFmtId="183" fontId="12" fillId="0" borderId="1" xfId="691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12" fillId="0" borderId="1" xfId="69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0" fontId="58" fillId="0" borderId="0" xfId="1" applyFont="1" applyAlignment="1">
      <alignment vertical="center"/>
    </xf>
    <xf numFmtId="0" fontId="59" fillId="0" borderId="0" xfId="1" applyFont="1" applyAlignment="1">
      <alignment horizontal="center" vertical="center"/>
    </xf>
    <xf numFmtId="0" fontId="59" fillId="0" borderId="0" xfId="1" applyFont="1" applyAlignment="1">
      <alignment vertical="center"/>
    </xf>
    <xf numFmtId="0" fontId="59" fillId="0" borderId="0" xfId="1" applyFont="1"/>
    <xf numFmtId="0" fontId="5" fillId="0" borderId="0" xfId="1" applyFont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61" fillId="4" borderId="1" xfId="2" quotePrefix="1" applyNumberFormat="1" applyFont="1" applyFill="1" applyBorder="1" applyAlignment="1">
      <alignment horizontal="left" vertical="center" wrapText="1"/>
    </xf>
    <xf numFmtId="0" fontId="6" fillId="5" borderId="19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62" fillId="5" borderId="1" xfId="3" applyFont="1" applyFill="1" applyBorder="1" applyAlignment="1">
      <alignment horizontal="center" vertical="center"/>
    </xf>
    <xf numFmtId="0" fontId="63" fillId="4" borderId="1" xfId="3" applyFont="1" applyFill="1" applyBorder="1" applyAlignment="1">
      <alignment horizontal="center" vertical="center"/>
    </xf>
    <xf numFmtId="184" fontId="64" fillId="4" borderId="1" xfId="3" applyNumberFormat="1" applyFont="1" applyFill="1" applyBorder="1" applyAlignment="1">
      <alignment horizontal="center" vertical="center"/>
    </xf>
    <xf numFmtId="185" fontId="64" fillId="4" borderId="1" xfId="3" applyNumberFormat="1" applyFont="1" applyFill="1" applyBorder="1" applyAlignment="1">
      <alignment horizontal="center" vertical="center"/>
    </xf>
    <xf numFmtId="0" fontId="64" fillId="4" borderId="1" xfId="3" applyFont="1" applyFill="1" applyBorder="1" applyAlignment="1">
      <alignment vertical="center" wrapText="1"/>
    </xf>
    <xf numFmtId="0" fontId="38" fillId="0" borderId="27" xfId="0" applyFont="1" applyBorder="1" applyAlignment="1">
      <alignment horizontal="center" vertical="center"/>
    </xf>
    <xf numFmtId="49" fontId="37" fillId="4" borderId="18" xfId="62" applyNumberFormat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80" fontId="41" fillId="0" borderId="1" xfId="0" applyNumberFormat="1" applyFont="1" applyBorder="1" applyAlignment="1">
      <alignment horizontal="center" vertical="center"/>
    </xf>
    <xf numFmtId="0" fontId="41" fillId="0" borderId="1" xfId="0" quotePrefix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12" fillId="0" borderId="27" xfId="0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/>
      <protection locked="0"/>
    </xf>
    <xf numFmtId="181" fontId="12" fillId="0" borderId="27" xfId="0" applyNumberFormat="1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 wrapText="1"/>
      <protection locked="0"/>
    </xf>
  </cellXfs>
  <cellStyles count="693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9D5B0260-F412-498E-80B8-E8CF5DEF62F5}"/>
    <cellStyle name="Normal_Capability Study - IPEG EVT1 0713a.xls" xfId="692" xr:uid="{8630DFB8-7127-42E7-B4F2-47D60481CE9B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9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5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opLeftCell="A2" zoomScale="140" workbookViewId="0">
      <selection activeCell="E7" sqref="E7"/>
    </sheetView>
  </sheetViews>
  <sheetFormatPr defaultColWidth="10.88671875" defaultRowHeight="17.25"/>
  <cols>
    <col min="1" max="1" width="10.88671875" style="16"/>
    <col min="2" max="2" width="13.88671875" style="16" customWidth="1"/>
    <col min="3" max="3" width="30.88671875" style="16" customWidth="1"/>
    <col min="4" max="5" width="25.88671875" style="16" customWidth="1"/>
    <col min="6" max="6" width="13.88671875" style="15" customWidth="1"/>
    <col min="7" max="7" width="10.88671875" style="16"/>
    <col min="8" max="9" width="10.88671875" style="16" customWidth="1"/>
    <col min="10" max="16384" width="10.88671875" style="16"/>
  </cols>
  <sheetData>
    <row r="2" spans="1:10" ht="39.950000000000003" customHeight="1">
      <c r="A2" s="9"/>
      <c r="B2" s="138" t="s">
        <v>20</v>
      </c>
      <c r="C2" s="138"/>
      <c r="D2" s="138"/>
      <c r="E2" s="138"/>
      <c r="F2" s="138"/>
      <c r="G2" s="9"/>
      <c r="H2" s="9"/>
      <c r="I2" s="9"/>
      <c r="J2" s="9"/>
    </row>
    <row r="3" spans="1:10" ht="15.95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5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5.95" customHeight="1">
      <c r="A5" s="9"/>
      <c r="B5" s="2" t="s">
        <v>6</v>
      </c>
      <c r="C5" s="3" t="s">
        <v>23</v>
      </c>
      <c r="D5" s="2" t="s">
        <v>7</v>
      </c>
      <c r="E5" s="5" t="s">
        <v>24</v>
      </c>
      <c r="H5" s="9"/>
      <c r="I5" s="9"/>
      <c r="J5" s="9"/>
    </row>
    <row r="6" spans="1:10" ht="15.95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45444</v>
      </c>
      <c r="H6" s="1"/>
      <c r="I6" s="1"/>
      <c r="J6" s="1"/>
    </row>
    <row r="7" spans="1:10">
      <c r="A7" s="4"/>
      <c r="B7" s="2" t="s">
        <v>5</v>
      </c>
      <c r="C7" s="3" t="s">
        <v>28</v>
      </c>
      <c r="D7" s="2" t="s">
        <v>290</v>
      </c>
      <c r="E7" s="134" t="s">
        <v>291</v>
      </c>
      <c r="H7" s="4"/>
      <c r="I7" s="4"/>
      <c r="J7" s="4"/>
    </row>
    <row r="8" spans="1:10" ht="30">
      <c r="A8" s="4"/>
      <c r="B8" s="2" t="s">
        <v>21</v>
      </c>
      <c r="C8" s="22" t="s">
        <v>294</v>
      </c>
      <c r="D8" s="2" t="s">
        <v>4</v>
      </c>
      <c r="E8" s="20">
        <f>SUM('Shipping Lot List'!H:H)</f>
        <v>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3" t="s">
        <v>293</v>
      </c>
      <c r="D9" s="2" t="s">
        <v>3</v>
      </c>
      <c r="E9" s="20">
        <v>0</v>
      </c>
      <c r="F9" s="139" t="s">
        <v>18</v>
      </c>
      <c r="H9" s="4"/>
      <c r="I9" s="4"/>
      <c r="J9" s="4"/>
    </row>
    <row r="10" spans="1:10">
      <c r="A10" s="4"/>
      <c r="B10" s="2" t="s">
        <v>25</v>
      </c>
      <c r="C10" s="3"/>
      <c r="D10" s="2" t="s">
        <v>2</v>
      </c>
      <c r="E10" s="20">
        <f>E8</f>
        <v>0</v>
      </c>
      <c r="F10" s="139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40" t="s">
        <v>17</v>
      </c>
      <c r="C12" s="140"/>
      <c r="D12" s="140"/>
      <c r="E12" s="140"/>
      <c r="F12" s="140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37" t="s">
        <v>11</v>
      </c>
      <c r="C14" s="7"/>
      <c r="D14" s="14"/>
      <c r="E14" s="19"/>
      <c r="F14" s="21"/>
    </row>
    <row r="15" spans="1:10">
      <c r="A15" s="11"/>
      <c r="B15" s="137"/>
      <c r="C15" s="7"/>
      <c r="D15" s="8"/>
      <c r="E15" s="10"/>
      <c r="F15" s="14"/>
    </row>
    <row r="16" spans="1:10">
      <c r="A16" s="11"/>
      <c r="B16" s="137"/>
      <c r="C16" s="7"/>
      <c r="D16" s="8"/>
      <c r="E16" s="10"/>
      <c r="F16" s="14"/>
    </row>
    <row r="17" spans="1:6">
      <c r="A17" s="11"/>
      <c r="B17" s="137"/>
      <c r="C17" s="7"/>
      <c r="D17" s="8"/>
      <c r="E17" s="10"/>
      <c r="F17" s="14"/>
    </row>
    <row r="18" spans="1:6">
      <c r="A18" s="11"/>
      <c r="B18" s="137"/>
      <c r="C18" s="7"/>
      <c r="D18" s="8"/>
      <c r="E18" s="10"/>
      <c r="F18" s="14"/>
    </row>
    <row r="19" spans="1:6">
      <c r="A19" s="11"/>
      <c r="B19" s="137"/>
      <c r="C19" s="7"/>
      <c r="D19" s="8"/>
      <c r="E19" s="10"/>
      <c r="F19" s="14"/>
    </row>
    <row r="20" spans="1:6">
      <c r="A20" s="11"/>
      <c r="B20" s="137"/>
      <c r="C20" s="7"/>
      <c r="D20" s="8"/>
      <c r="E20" s="10"/>
      <c r="F20" s="14"/>
    </row>
    <row r="21" spans="1:6">
      <c r="A21" s="11"/>
      <c r="B21" s="137"/>
      <c r="C21" s="7"/>
      <c r="D21" s="8"/>
      <c r="E21" s="10"/>
      <c r="F21" s="14"/>
    </row>
    <row r="22" spans="1:6">
      <c r="A22" s="11"/>
      <c r="B22" s="137"/>
      <c r="C22" s="7"/>
      <c r="D22" s="8"/>
      <c r="E22" s="10"/>
      <c r="F22" s="14"/>
    </row>
    <row r="23" spans="1:6">
      <c r="A23" s="11"/>
      <c r="B23" s="137"/>
      <c r="C23" s="7"/>
      <c r="D23" s="8"/>
      <c r="E23" s="10"/>
      <c r="F23" s="14"/>
    </row>
    <row r="24" spans="1:6">
      <c r="A24" s="11"/>
      <c r="B24" s="137" t="s">
        <v>12</v>
      </c>
      <c r="C24" s="7"/>
      <c r="D24" s="14"/>
      <c r="E24" s="19"/>
      <c r="F24" s="21"/>
    </row>
    <row r="25" spans="1:6">
      <c r="A25" s="11"/>
      <c r="B25" s="137"/>
      <c r="C25" s="7"/>
      <c r="D25" s="14"/>
      <c r="E25" s="19"/>
      <c r="F25" s="21"/>
    </row>
    <row r="26" spans="1:6">
      <c r="A26" s="11"/>
      <c r="B26" s="137"/>
      <c r="C26" s="7"/>
      <c r="D26" s="14"/>
      <c r="E26" s="19"/>
      <c r="F26" s="14"/>
    </row>
    <row r="27" spans="1:6">
      <c r="A27" s="17"/>
      <c r="B27" s="137"/>
      <c r="C27" s="7"/>
      <c r="D27" s="14"/>
      <c r="E27" s="19"/>
      <c r="F27" s="14"/>
    </row>
    <row r="28" spans="1:6">
      <c r="A28" s="17"/>
      <c r="B28" s="137"/>
      <c r="C28" s="7"/>
      <c r="D28" s="14"/>
      <c r="E28" s="19"/>
      <c r="F28" s="14"/>
    </row>
    <row r="29" spans="1:6">
      <c r="A29" s="17"/>
      <c r="B29" s="137"/>
      <c r="C29" s="7"/>
      <c r="D29" s="14"/>
      <c r="E29" s="19"/>
      <c r="F29" s="14"/>
    </row>
    <row r="30" spans="1:6">
      <c r="A30" s="17"/>
      <c r="B30" s="137"/>
      <c r="C30" s="7"/>
      <c r="D30" s="14"/>
      <c r="E30" s="19"/>
      <c r="F30" s="14"/>
    </row>
    <row r="31" spans="1:6">
      <c r="A31" s="17"/>
      <c r="B31" s="137"/>
      <c r="C31" s="7"/>
      <c r="D31" s="14"/>
      <c r="E31" s="19"/>
      <c r="F31" s="14"/>
    </row>
    <row r="32" spans="1:6">
      <c r="A32" s="17"/>
      <c r="B32" s="137"/>
      <c r="C32" s="7"/>
      <c r="D32" s="14"/>
      <c r="E32" s="19"/>
      <c r="F32" s="14"/>
    </row>
    <row r="33" spans="1:6">
      <c r="A33" s="17"/>
      <c r="B33" s="137"/>
      <c r="C33" s="7"/>
      <c r="D33" s="14"/>
      <c r="E33" s="19"/>
      <c r="F33" s="14"/>
    </row>
    <row r="34" spans="1:6">
      <c r="A34" s="17"/>
      <c r="B34" s="137" t="s">
        <v>13</v>
      </c>
      <c r="C34" s="7"/>
      <c r="D34" s="8"/>
      <c r="E34" s="8"/>
      <c r="F34" s="14"/>
    </row>
    <row r="35" spans="1:6">
      <c r="A35" s="17"/>
      <c r="B35" s="137"/>
      <c r="C35" s="7"/>
      <c r="D35" s="8"/>
      <c r="E35" s="8"/>
      <c r="F35" s="14"/>
    </row>
    <row r="36" spans="1:6">
      <c r="A36" s="17"/>
      <c r="B36" s="137"/>
      <c r="C36" s="7"/>
      <c r="D36" s="8"/>
      <c r="E36" s="8"/>
      <c r="F36" s="14"/>
    </row>
    <row r="37" spans="1:6">
      <c r="A37" s="17"/>
      <c r="B37" s="137"/>
      <c r="C37" s="7"/>
      <c r="D37" s="8"/>
      <c r="E37" s="8"/>
      <c r="F37" s="14"/>
    </row>
    <row r="38" spans="1:6">
      <c r="A38" s="17"/>
      <c r="B38" s="137"/>
      <c r="C38" s="7"/>
      <c r="D38" s="8"/>
      <c r="E38" s="8"/>
      <c r="F38" s="14"/>
    </row>
    <row r="39" spans="1:6">
      <c r="A39" s="17"/>
      <c r="B39" s="137"/>
      <c r="C39" s="7"/>
      <c r="D39" s="8"/>
      <c r="E39" s="8"/>
      <c r="F39" s="14"/>
    </row>
    <row r="40" spans="1:6">
      <c r="A40" s="17"/>
      <c r="B40" s="137"/>
      <c r="C40" s="7"/>
      <c r="D40" s="8"/>
      <c r="E40" s="8"/>
      <c r="F40" s="14"/>
    </row>
    <row r="41" spans="1:6">
      <c r="A41" s="17"/>
      <c r="B41" s="137"/>
      <c r="C41" s="7"/>
      <c r="D41" s="8"/>
      <c r="E41" s="8"/>
      <c r="F41" s="14"/>
    </row>
    <row r="42" spans="1:6">
      <c r="A42" s="17"/>
      <c r="B42" s="137"/>
      <c r="C42" s="7"/>
      <c r="D42" s="8"/>
      <c r="E42" s="8"/>
      <c r="F42" s="14"/>
    </row>
    <row r="43" spans="1:6">
      <c r="A43" s="17"/>
      <c r="B43" s="137"/>
      <c r="C43" s="7"/>
      <c r="D43" s="8"/>
      <c r="E43" s="8"/>
      <c r="F43" s="14"/>
    </row>
    <row r="44" spans="1:6">
      <c r="B44" s="136" t="s">
        <v>19</v>
      </c>
      <c r="C44" s="7"/>
      <c r="D44" s="8"/>
      <c r="E44" s="8"/>
      <c r="F44" s="14"/>
    </row>
    <row r="45" spans="1:6">
      <c r="B45" s="136"/>
      <c r="C45" s="7"/>
      <c r="D45" s="8"/>
      <c r="E45" s="8"/>
      <c r="F45" s="14"/>
    </row>
    <row r="46" spans="1:6">
      <c r="B46" s="136"/>
      <c r="C46" s="7"/>
      <c r="D46" s="8"/>
      <c r="E46" s="8"/>
      <c r="F46" s="14"/>
    </row>
    <row r="47" spans="1:6">
      <c r="B47" s="136"/>
      <c r="C47" s="7"/>
      <c r="D47" s="8"/>
      <c r="E47" s="8"/>
      <c r="F47" s="14"/>
    </row>
    <row r="48" spans="1:6">
      <c r="B48" s="136"/>
      <c r="C48" s="7"/>
      <c r="D48" s="8"/>
      <c r="E48" s="8"/>
      <c r="F48" s="14"/>
    </row>
    <row r="49" spans="2:6">
      <c r="B49" s="136"/>
      <c r="C49" s="7"/>
      <c r="D49" s="8"/>
      <c r="E49" s="8"/>
      <c r="F49" s="14"/>
    </row>
    <row r="50" spans="2:6">
      <c r="B50" s="136"/>
      <c r="C50" s="7"/>
      <c r="D50" s="8"/>
      <c r="E50" s="8"/>
      <c r="F50" s="14"/>
    </row>
    <row r="51" spans="2:6">
      <c r="B51" s="136"/>
      <c r="C51" s="7"/>
      <c r="D51" s="8"/>
      <c r="E51" s="8"/>
      <c r="F51" s="14"/>
    </row>
    <row r="52" spans="2:6">
      <c r="B52" s="136"/>
      <c r="C52" s="7"/>
      <c r="D52" s="8"/>
      <c r="E52" s="8"/>
      <c r="F52" s="14"/>
    </row>
    <row r="53" spans="2:6">
      <c r="B53" s="136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2"/>
  <sheetViews>
    <sheetView showGridLines="0" zoomScale="70" zoomScaleNormal="70" workbookViewId="0">
      <selection activeCell="D17" sqref="D17"/>
    </sheetView>
  </sheetViews>
  <sheetFormatPr defaultColWidth="10.88671875" defaultRowHeight="17.25"/>
  <cols>
    <col min="1" max="2" width="17.6640625" style="26" customWidth="1"/>
    <col min="3" max="3" width="12.6640625" style="26" customWidth="1"/>
    <col min="4" max="4" width="35.6640625" style="26" customWidth="1"/>
    <col min="5" max="5" width="17.6640625" style="26" customWidth="1"/>
    <col min="6" max="9" width="12.6640625" style="26" customWidth="1"/>
    <col min="10" max="16384" width="10.88671875" style="26"/>
  </cols>
  <sheetData>
    <row r="1" spans="1:9">
      <c r="A1" s="23" t="s">
        <v>29</v>
      </c>
      <c r="B1" s="23" t="s">
        <v>30</v>
      </c>
      <c r="C1" s="24" t="s">
        <v>31</v>
      </c>
      <c r="D1" s="25" t="s">
        <v>32</v>
      </c>
      <c r="E1" s="25" t="s">
        <v>33</v>
      </c>
      <c r="F1" s="25" t="s">
        <v>34</v>
      </c>
      <c r="G1" s="25" t="s">
        <v>35</v>
      </c>
      <c r="H1" s="25" t="s">
        <v>26</v>
      </c>
      <c r="I1" s="24" t="s">
        <v>27</v>
      </c>
    </row>
    <row r="2" spans="1:9" ht="19.149999999999999" customHeight="1">
      <c r="A2" s="23" t="s">
        <v>292</v>
      </c>
      <c r="B2" s="23">
        <v>45444</v>
      </c>
      <c r="C2" s="24" t="s">
        <v>293</v>
      </c>
      <c r="D2" s="24"/>
      <c r="E2" s="135"/>
      <c r="F2" s="135"/>
      <c r="G2" s="27"/>
      <c r="H2" s="27"/>
      <c r="I2" s="24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9099-9D0A-4A21-98FB-FE6B0FB04168}">
  <sheetPr codeName="Sheet1"/>
  <dimension ref="A1:S118"/>
  <sheetViews>
    <sheetView tabSelected="1" zoomScaleNormal="100" workbookViewId="0">
      <selection activeCell="B4" sqref="B4:B5"/>
    </sheetView>
  </sheetViews>
  <sheetFormatPr defaultColWidth="12.44140625" defaultRowHeight="12.75"/>
  <cols>
    <col min="1" max="1" width="0.77734375" style="29" customWidth="1"/>
    <col min="2" max="2" width="9" style="29" customWidth="1"/>
    <col min="3" max="3" width="12.21875" style="29" bestFit="1" customWidth="1"/>
    <col min="4" max="18" width="9" style="29" customWidth="1"/>
    <col min="19" max="19" width="36" style="29" customWidth="1"/>
    <col min="20" max="16384" width="12.44140625" style="29"/>
  </cols>
  <sheetData>
    <row r="1" spans="1:19" ht="20.25">
      <c r="A1" s="146" t="s">
        <v>36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19" ht="10.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s="32" customFormat="1" ht="15" customHeight="1">
      <c r="A3" s="30"/>
      <c r="B3" s="147" t="s">
        <v>37</v>
      </c>
      <c r="C3" s="147"/>
      <c r="D3" s="147"/>
      <c r="E3" s="147"/>
      <c r="F3" s="147"/>
      <c r="G3" s="147"/>
      <c r="H3" s="148" t="s">
        <v>38</v>
      </c>
      <c r="I3" s="148"/>
      <c r="J3" s="148"/>
      <c r="K3" s="148"/>
      <c r="L3" s="148"/>
      <c r="M3" s="148"/>
      <c r="N3" s="149" t="s">
        <v>39</v>
      </c>
      <c r="O3" s="148"/>
      <c r="P3" s="148"/>
      <c r="Q3" s="148"/>
      <c r="R3" s="150"/>
      <c r="S3" s="151" t="s">
        <v>40</v>
      </c>
    </row>
    <row r="4" spans="1:19" ht="15" customHeight="1">
      <c r="A4" s="33"/>
      <c r="B4" s="151" t="s">
        <v>41</v>
      </c>
      <c r="C4" s="151" t="s">
        <v>42</v>
      </c>
      <c r="D4" s="152" t="s">
        <v>43</v>
      </c>
      <c r="E4" s="153" t="s">
        <v>44</v>
      </c>
      <c r="F4" s="153" t="s">
        <v>45</v>
      </c>
      <c r="G4" s="141" t="s">
        <v>46</v>
      </c>
      <c r="H4" s="142" t="s">
        <v>47</v>
      </c>
      <c r="I4" s="142"/>
      <c r="J4" s="142"/>
      <c r="K4" s="143" t="s">
        <v>48</v>
      </c>
      <c r="L4" s="142"/>
      <c r="M4" s="142"/>
      <c r="N4" s="144" t="s">
        <v>49</v>
      </c>
      <c r="O4" s="34" t="s">
        <v>50</v>
      </c>
      <c r="P4" s="35"/>
      <c r="Q4" s="36" t="s">
        <v>51</v>
      </c>
      <c r="R4" s="35"/>
      <c r="S4" s="151"/>
    </row>
    <row r="5" spans="1:19" ht="18" customHeight="1">
      <c r="A5" s="37"/>
      <c r="B5" s="151"/>
      <c r="C5" s="151"/>
      <c r="D5" s="152"/>
      <c r="E5" s="153"/>
      <c r="F5" s="153"/>
      <c r="G5" s="141"/>
      <c r="H5" s="38"/>
      <c r="I5" s="31"/>
      <c r="J5" s="31"/>
      <c r="K5" s="31">
        <v>1</v>
      </c>
      <c r="L5" s="31">
        <v>2</v>
      </c>
      <c r="M5" s="31">
        <v>3</v>
      </c>
      <c r="N5" s="145"/>
      <c r="O5" s="31" t="s">
        <v>52</v>
      </c>
      <c r="P5" s="35" t="s">
        <v>53</v>
      </c>
      <c r="Q5" s="31" t="s">
        <v>54</v>
      </c>
      <c r="R5" s="35" t="s">
        <v>55</v>
      </c>
      <c r="S5" s="151"/>
    </row>
    <row r="6" spans="1:19" ht="18" customHeight="1">
      <c r="A6" s="39"/>
      <c r="B6" s="40" t="s">
        <v>56</v>
      </c>
      <c r="C6" s="40" t="s">
        <v>57</v>
      </c>
      <c r="D6" s="41">
        <v>0.49</v>
      </c>
      <c r="E6" s="41">
        <v>0.01</v>
      </c>
      <c r="F6" s="41">
        <v>-0.01</v>
      </c>
      <c r="G6" s="42" t="s">
        <v>58</v>
      </c>
      <c r="H6" s="43"/>
      <c r="I6" s="44"/>
      <c r="J6" s="44"/>
      <c r="K6" s="45" t="str">
        <f t="shared" ref="K6:M37" si="0">IF(ISERR(H6/H6)=TRUE," ",H6-$D6)</f>
        <v xml:space="preserve"> </v>
      </c>
      <c r="L6" s="45" t="str">
        <f t="shared" si="0"/>
        <v xml:space="preserve"> </v>
      </c>
      <c r="M6" s="45" t="str">
        <f t="shared" si="0"/>
        <v xml:space="preserve"> </v>
      </c>
      <c r="N6" s="46" t="str">
        <f t="shared" ref="N6:N82" si="1">IF(ISERR(H6/H6)=TRUE," ",AVERAGE(H6:J6))</f>
        <v xml:space="preserve"> </v>
      </c>
      <c r="O6" s="47" t="str">
        <f t="shared" ref="O6:O82" si="2">IF(ISERR(E6/E6)=TRUE," ",IF(ISERR(H6/H6)=TRUE," ",IF(ISNUMBER($H6)=FALSE," ",IF(MAX($H6:$J6)&lt;$D6,0,(MAX($H6:$J6)-$D6)/$E6))))</f>
        <v xml:space="preserve"> </v>
      </c>
      <c r="P6" s="48" t="str">
        <f t="shared" ref="P6:P82" si="3">IF(ISERR(F6/D6)=TRUE," ",IF(ISERR(F6/F6)=TRUE," ",IF(ISERR(H6/H6)=TRUE," ",IF(ISNUMBER(H6)=FALSE," ",IF(MIN(H6:J6)&gt;$D6,0,($D6-MIN(H6:J6))/-F6)))))</f>
        <v xml:space="preserve"> </v>
      </c>
      <c r="Q6" s="46" t="str">
        <f t="shared" ref="Q6:Q49" si="4">IF(ISNUMBER($O6)=TRUE,IF($O6&gt;0.651,IF($O6&gt;1.001,"Reject","Alert"),""),"")</f>
        <v/>
      </c>
      <c r="R6" s="46" t="str">
        <f t="shared" ref="R6:R49" si="5">IF(H6="","",IF(ISERR(F6/F6)=TRUE,"",IF(ISERR(F6/D6)=TRUE,IF((F6-MIN(H6:J6))&gt;0.001,"Reject",""),IF(ISNUMBER($P6)=TRUE,IF($P6&gt;0.651,IF($P6&gt;1.001,"Reject","Alert"),""),""))))</f>
        <v/>
      </c>
      <c r="S6" s="49"/>
    </row>
    <row r="7" spans="1:19" ht="18" customHeight="1">
      <c r="A7" s="39"/>
      <c r="B7" s="40" t="s">
        <v>59</v>
      </c>
      <c r="C7" s="50" t="s">
        <v>57</v>
      </c>
      <c r="D7" s="41">
        <v>0.49</v>
      </c>
      <c r="E7" s="41">
        <v>0.01</v>
      </c>
      <c r="F7" s="41">
        <v>-0.01</v>
      </c>
      <c r="G7" s="42" t="s">
        <v>58</v>
      </c>
      <c r="H7" s="43"/>
      <c r="I7" s="44"/>
      <c r="J7" s="44"/>
      <c r="K7" s="45" t="str">
        <f t="shared" si="0"/>
        <v xml:space="preserve"> </v>
      </c>
      <c r="L7" s="45" t="str">
        <f t="shared" si="0"/>
        <v xml:space="preserve"> </v>
      </c>
      <c r="M7" s="45" t="str">
        <f t="shared" si="0"/>
        <v xml:space="preserve"> </v>
      </c>
      <c r="N7" s="46" t="str">
        <f t="shared" si="1"/>
        <v xml:space="preserve"> </v>
      </c>
      <c r="O7" s="47" t="str">
        <f t="shared" si="2"/>
        <v xml:space="preserve"> </v>
      </c>
      <c r="P7" s="48" t="str">
        <f t="shared" si="3"/>
        <v xml:space="preserve"> </v>
      </c>
      <c r="Q7" s="46" t="str">
        <f t="shared" si="4"/>
        <v/>
      </c>
      <c r="R7" s="46" t="str">
        <f t="shared" si="5"/>
        <v/>
      </c>
      <c r="S7" s="49"/>
    </row>
    <row r="8" spans="1:19" ht="18" customHeight="1">
      <c r="A8" s="39"/>
      <c r="B8" s="40" t="s">
        <v>60</v>
      </c>
      <c r="C8" s="42" t="s">
        <v>57</v>
      </c>
      <c r="D8" s="41">
        <v>0.49</v>
      </c>
      <c r="E8" s="41">
        <v>0.01</v>
      </c>
      <c r="F8" s="41">
        <v>-0.01</v>
      </c>
      <c r="G8" s="42" t="s">
        <v>58</v>
      </c>
      <c r="H8" s="43"/>
      <c r="I8" s="44"/>
      <c r="J8" s="44"/>
      <c r="K8" s="45" t="str">
        <f t="shared" si="0"/>
        <v xml:space="preserve"> </v>
      </c>
      <c r="L8" s="45" t="str">
        <f t="shared" si="0"/>
        <v xml:space="preserve"> </v>
      </c>
      <c r="M8" s="45" t="str">
        <f t="shared" si="0"/>
        <v xml:space="preserve"> </v>
      </c>
      <c r="N8" s="46" t="str">
        <f t="shared" si="1"/>
        <v xml:space="preserve"> </v>
      </c>
      <c r="O8" s="47" t="str">
        <f t="shared" si="2"/>
        <v xml:space="preserve"> </v>
      </c>
      <c r="P8" s="48" t="str">
        <f t="shared" si="3"/>
        <v xml:space="preserve"> </v>
      </c>
      <c r="Q8" s="46" t="str">
        <f t="shared" si="4"/>
        <v/>
      </c>
      <c r="R8" s="46" t="str">
        <f t="shared" si="5"/>
        <v/>
      </c>
      <c r="S8" s="49"/>
    </row>
    <row r="9" spans="1:19" ht="18" customHeight="1">
      <c r="A9" s="39"/>
      <c r="B9" s="40" t="s">
        <v>61</v>
      </c>
      <c r="C9" s="42" t="s">
        <v>62</v>
      </c>
      <c r="D9" s="41"/>
      <c r="E9" s="41">
        <v>0.02</v>
      </c>
      <c r="F9" s="41"/>
      <c r="G9" s="42" t="s">
        <v>58</v>
      </c>
      <c r="H9" s="43"/>
      <c r="I9" s="44"/>
      <c r="J9" s="44"/>
      <c r="K9" s="45" t="str">
        <f t="shared" si="0"/>
        <v xml:space="preserve"> </v>
      </c>
      <c r="L9" s="45" t="str">
        <f t="shared" si="0"/>
        <v xml:space="preserve"> </v>
      </c>
      <c r="M9" s="45" t="str">
        <f t="shared" si="0"/>
        <v xml:space="preserve"> </v>
      </c>
      <c r="N9" s="46" t="str">
        <f t="shared" si="1"/>
        <v xml:space="preserve"> </v>
      </c>
      <c r="O9" s="47" t="str">
        <f t="shared" si="2"/>
        <v xml:space="preserve"> </v>
      </c>
      <c r="P9" s="48" t="str">
        <f t="shared" si="3"/>
        <v xml:space="preserve"> </v>
      </c>
      <c r="Q9" s="46" t="str">
        <f t="shared" si="4"/>
        <v/>
      </c>
      <c r="R9" s="46" t="str">
        <f t="shared" si="5"/>
        <v/>
      </c>
      <c r="S9" s="49"/>
    </row>
    <row r="10" spans="1:19" ht="18" customHeight="1">
      <c r="A10" s="39"/>
      <c r="B10" s="40" t="s">
        <v>63</v>
      </c>
      <c r="C10" s="42" t="s">
        <v>62</v>
      </c>
      <c r="D10" s="41"/>
      <c r="E10" s="41">
        <v>2.5000000000000001E-2</v>
      </c>
      <c r="F10" s="41"/>
      <c r="G10" s="42" t="s">
        <v>58</v>
      </c>
      <c r="H10" s="43"/>
      <c r="I10" s="44"/>
      <c r="J10" s="44"/>
      <c r="K10" s="45" t="str">
        <f t="shared" si="0"/>
        <v xml:space="preserve"> </v>
      </c>
      <c r="L10" s="45" t="str">
        <f t="shared" si="0"/>
        <v xml:space="preserve"> </v>
      </c>
      <c r="M10" s="45" t="str">
        <f t="shared" si="0"/>
        <v xml:space="preserve"> </v>
      </c>
      <c r="N10" s="46" t="str">
        <f t="shared" si="1"/>
        <v xml:space="preserve"> </v>
      </c>
      <c r="O10" s="47" t="str">
        <f t="shared" si="2"/>
        <v xml:space="preserve"> </v>
      </c>
      <c r="P10" s="48" t="str">
        <f t="shared" si="3"/>
        <v xml:space="preserve"> </v>
      </c>
      <c r="Q10" s="46" t="str">
        <f t="shared" si="4"/>
        <v/>
      </c>
      <c r="R10" s="46" t="str">
        <f t="shared" si="5"/>
        <v/>
      </c>
      <c r="S10" s="49"/>
    </row>
    <row r="11" spans="1:19" ht="18" customHeight="1">
      <c r="A11" s="39"/>
      <c r="B11" s="40" t="s">
        <v>64</v>
      </c>
      <c r="C11" s="42" t="s">
        <v>65</v>
      </c>
      <c r="D11" s="41"/>
      <c r="E11" s="41">
        <v>0.02</v>
      </c>
      <c r="F11" s="41"/>
      <c r="G11" s="42" t="s">
        <v>58</v>
      </c>
      <c r="H11" s="43"/>
      <c r="I11" s="44"/>
      <c r="J11" s="44"/>
      <c r="K11" s="45" t="str">
        <f t="shared" si="0"/>
        <v xml:space="preserve"> </v>
      </c>
      <c r="L11" s="45" t="str">
        <f t="shared" si="0"/>
        <v xml:space="preserve"> </v>
      </c>
      <c r="M11" s="45" t="str">
        <f t="shared" si="0"/>
        <v xml:space="preserve"> </v>
      </c>
      <c r="N11" s="46" t="str">
        <f t="shared" si="1"/>
        <v xml:space="preserve"> </v>
      </c>
      <c r="O11" s="47" t="str">
        <f t="shared" si="2"/>
        <v xml:space="preserve"> </v>
      </c>
      <c r="P11" s="48" t="str">
        <f t="shared" si="3"/>
        <v xml:space="preserve"> </v>
      </c>
      <c r="Q11" s="46" t="str">
        <f t="shared" si="4"/>
        <v/>
      </c>
      <c r="R11" s="46" t="str">
        <f t="shared" si="5"/>
        <v/>
      </c>
      <c r="S11" s="49"/>
    </row>
    <row r="12" spans="1:19" ht="18" customHeight="1">
      <c r="A12" s="39"/>
      <c r="B12" s="40" t="s">
        <v>66</v>
      </c>
      <c r="C12" s="42" t="s">
        <v>57</v>
      </c>
      <c r="D12" s="41">
        <v>11.45</v>
      </c>
      <c r="E12" s="41">
        <v>0.02</v>
      </c>
      <c r="F12" s="41">
        <v>-0.02</v>
      </c>
      <c r="G12" s="42" t="s">
        <v>58</v>
      </c>
      <c r="H12" s="43"/>
      <c r="I12" s="44"/>
      <c r="J12" s="44"/>
      <c r="K12" s="45" t="str">
        <f t="shared" si="0"/>
        <v xml:space="preserve"> </v>
      </c>
      <c r="L12" s="45" t="str">
        <f t="shared" si="0"/>
        <v xml:space="preserve"> </v>
      </c>
      <c r="M12" s="45" t="str">
        <f t="shared" si="0"/>
        <v xml:space="preserve"> </v>
      </c>
      <c r="N12" s="46" t="str">
        <f t="shared" si="1"/>
        <v xml:space="preserve"> </v>
      </c>
      <c r="O12" s="47" t="str">
        <f t="shared" si="2"/>
        <v xml:space="preserve"> </v>
      </c>
      <c r="P12" s="48" t="str">
        <f t="shared" si="3"/>
        <v xml:space="preserve"> </v>
      </c>
      <c r="Q12" s="46" t="str">
        <f t="shared" si="4"/>
        <v/>
      </c>
      <c r="R12" s="46" t="str">
        <f t="shared" si="5"/>
        <v/>
      </c>
      <c r="S12" s="49"/>
    </row>
    <row r="13" spans="1:19" ht="18" customHeight="1">
      <c r="A13" s="39"/>
      <c r="B13" s="40" t="s">
        <v>67</v>
      </c>
      <c r="C13" s="50" t="s">
        <v>57</v>
      </c>
      <c r="D13" s="41">
        <v>0.04</v>
      </c>
      <c r="E13" s="41">
        <v>0.02</v>
      </c>
      <c r="F13" s="41">
        <v>-0.02</v>
      </c>
      <c r="G13" s="42" t="s">
        <v>58</v>
      </c>
      <c r="H13" s="43"/>
      <c r="I13" s="44"/>
      <c r="J13" s="44"/>
      <c r="K13" s="45" t="str">
        <f t="shared" si="0"/>
        <v xml:space="preserve"> </v>
      </c>
      <c r="L13" s="45" t="str">
        <f t="shared" si="0"/>
        <v xml:space="preserve"> </v>
      </c>
      <c r="M13" s="45" t="str">
        <f t="shared" si="0"/>
        <v xml:space="preserve"> </v>
      </c>
      <c r="N13" s="46" t="str">
        <f t="shared" si="1"/>
        <v xml:space="preserve"> </v>
      </c>
      <c r="O13" s="47" t="str">
        <f t="shared" si="2"/>
        <v xml:space="preserve"> </v>
      </c>
      <c r="P13" s="48" t="str">
        <f t="shared" si="3"/>
        <v xml:space="preserve"> </v>
      </c>
      <c r="Q13" s="46" t="str">
        <f t="shared" si="4"/>
        <v/>
      </c>
      <c r="R13" s="46" t="str">
        <f t="shared" si="5"/>
        <v/>
      </c>
      <c r="S13" s="49"/>
    </row>
    <row r="14" spans="1:19" ht="18" customHeight="1">
      <c r="A14" s="39"/>
      <c r="B14" s="40" t="s">
        <v>68</v>
      </c>
      <c r="C14" s="42" t="s">
        <v>57</v>
      </c>
      <c r="D14" s="41">
        <v>0.04</v>
      </c>
      <c r="E14" s="41">
        <v>0.02</v>
      </c>
      <c r="F14" s="41">
        <v>-0.02</v>
      </c>
      <c r="G14" s="42" t="s">
        <v>58</v>
      </c>
      <c r="H14" s="43"/>
      <c r="I14" s="44"/>
      <c r="J14" s="44"/>
      <c r="K14" s="45" t="str">
        <f t="shared" si="0"/>
        <v xml:space="preserve"> </v>
      </c>
      <c r="L14" s="45" t="str">
        <f t="shared" si="0"/>
        <v xml:space="preserve"> </v>
      </c>
      <c r="M14" s="45" t="str">
        <f t="shared" si="0"/>
        <v xml:space="preserve"> </v>
      </c>
      <c r="N14" s="46" t="str">
        <f t="shared" si="1"/>
        <v xml:space="preserve"> </v>
      </c>
      <c r="O14" s="47" t="str">
        <f t="shared" si="2"/>
        <v xml:space="preserve"> </v>
      </c>
      <c r="P14" s="48" t="str">
        <f t="shared" si="3"/>
        <v xml:space="preserve"> </v>
      </c>
      <c r="Q14" s="46" t="str">
        <f t="shared" si="4"/>
        <v/>
      </c>
      <c r="R14" s="46" t="str">
        <f t="shared" si="5"/>
        <v/>
      </c>
      <c r="S14" s="49"/>
    </row>
    <row r="15" spans="1:19" ht="18" customHeight="1">
      <c r="A15" s="39"/>
      <c r="B15" s="40" t="s">
        <v>69</v>
      </c>
      <c r="C15" s="42" t="s">
        <v>57</v>
      </c>
      <c r="D15" s="41">
        <v>11.2</v>
      </c>
      <c r="E15" s="41">
        <v>0.02</v>
      </c>
      <c r="F15" s="41">
        <v>-0.02</v>
      </c>
      <c r="G15" s="42" t="s">
        <v>58</v>
      </c>
      <c r="H15" s="43"/>
      <c r="I15" s="44"/>
      <c r="J15" s="44"/>
      <c r="K15" s="45" t="str">
        <f t="shared" si="0"/>
        <v xml:space="preserve"> </v>
      </c>
      <c r="L15" s="45" t="str">
        <f t="shared" si="0"/>
        <v xml:space="preserve"> </v>
      </c>
      <c r="M15" s="45" t="str">
        <f t="shared" si="0"/>
        <v xml:space="preserve"> </v>
      </c>
      <c r="N15" s="46" t="str">
        <f t="shared" si="1"/>
        <v xml:space="preserve"> </v>
      </c>
      <c r="O15" s="47" t="str">
        <f t="shared" si="2"/>
        <v xml:space="preserve"> </v>
      </c>
      <c r="P15" s="48" t="str">
        <f t="shared" si="3"/>
        <v xml:space="preserve"> </v>
      </c>
      <c r="Q15" s="46" t="str">
        <f t="shared" si="4"/>
        <v/>
      </c>
      <c r="R15" s="46" t="str">
        <f t="shared" si="5"/>
        <v/>
      </c>
      <c r="S15" s="49"/>
    </row>
    <row r="16" spans="1:19" ht="18" customHeight="1">
      <c r="A16" s="39"/>
      <c r="B16" s="40" t="s">
        <v>70</v>
      </c>
      <c r="C16" s="42" t="s">
        <v>57</v>
      </c>
      <c r="D16" s="41">
        <v>13.53</v>
      </c>
      <c r="E16" s="41">
        <v>0.02</v>
      </c>
      <c r="F16" s="41">
        <v>-0.02</v>
      </c>
      <c r="G16" s="42" t="s">
        <v>71</v>
      </c>
      <c r="H16" s="43"/>
      <c r="I16" s="44"/>
      <c r="J16" s="44"/>
      <c r="K16" s="45" t="str">
        <f t="shared" si="0"/>
        <v xml:space="preserve"> </v>
      </c>
      <c r="L16" s="45" t="str">
        <f t="shared" si="0"/>
        <v xml:space="preserve"> </v>
      </c>
      <c r="M16" s="45" t="str">
        <f t="shared" si="0"/>
        <v xml:space="preserve"> </v>
      </c>
      <c r="N16" s="46" t="str">
        <f t="shared" si="1"/>
        <v xml:space="preserve"> </v>
      </c>
      <c r="O16" s="47" t="str">
        <f t="shared" si="2"/>
        <v xml:space="preserve"> </v>
      </c>
      <c r="P16" s="48" t="str">
        <f t="shared" si="3"/>
        <v xml:space="preserve"> </v>
      </c>
      <c r="Q16" s="46" t="str">
        <f t="shared" si="4"/>
        <v/>
      </c>
      <c r="R16" s="46" t="str">
        <f t="shared" si="5"/>
        <v/>
      </c>
      <c r="S16" s="49"/>
    </row>
    <row r="17" spans="1:19" ht="18" customHeight="1">
      <c r="A17" s="39"/>
      <c r="B17" s="40" t="s">
        <v>72</v>
      </c>
      <c r="C17" s="42" t="s">
        <v>57</v>
      </c>
      <c r="D17" s="41">
        <v>13.31</v>
      </c>
      <c r="E17" s="41">
        <v>0.02</v>
      </c>
      <c r="F17" s="41">
        <v>-0.02</v>
      </c>
      <c r="G17" s="42" t="s">
        <v>71</v>
      </c>
      <c r="H17" s="43"/>
      <c r="I17" s="44"/>
      <c r="J17" s="44"/>
      <c r="K17" s="45" t="str">
        <f t="shared" si="0"/>
        <v xml:space="preserve"> </v>
      </c>
      <c r="L17" s="45" t="str">
        <f t="shared" si="0"/>
        <v xml:space="preserve"> </v>
      </c>
      <c r="M17" s="45" t="str">
        <f t="shared" si="0"/>
        <v xml:space="preserve"> </v>
      </c>
      <c r="N17" s="46" t="str">
        <f t="shared" si="1"/>
        <v xml:space="preserve"> </v>
      </c>
      <c r="O17" s="47" t="str">
        <f t="shared" si="2"/>
        <v xml:space="preserve"> </v>
      </c>
      <c r="P17" s="48" t="str">
        <f t="shared" si="3"/>
        <v xml:space="preserve"> </v>
      </c>
      <c r="Q17" s="46" t="str">
        <f t="shared" si="4"/>
        <v/>
      </c>
      <c r="R17" s="46" t="str">
        <f t="shared" si="5"/>
        <v/>
      </c>
      <c r="S17" s="49"/>
    </row>
    <row r="18" spans="1:19" ht="18" customHeight="1">
      <c r="A18" s="39"/>
      <c r="B18" s="40" t="s">
        <v>73</v>
      </c>
      <c r="C18" s="42" t="s">
        <v>57</v>
      </c>
      <c r="D18" s="41">
        <v>0.05</v>
      </c>
      <c r="E18" s="41">
        <v>0.02</v>
      </c>
      <c r="F18" s="41">
        <v>-0.02</v>
      </c>
      <c r="G18" s="42" t="s">
        <v>71</v>
      </c>
      <c r="H18" s="43"/>
      <c r="I18" s="44"/>
      <c r="J18" s="44"/>
      <c r="K18" s="45" t="str">
        <f t="shared" si="0"/>
        <v xml:space="preserve"> </v>
      </c>
      <c r="L18" s="45" t="str">
        <f t="shared" si="0"/>
        <v xml:space="preserve"> </v>
      </c>
      <c r="M18" s="45" t="str">
        <f t="shared" si="0"/>
        <v xml:space="preserve"> </v>
      </c>
      <c r="N18" s="46" t="str">
        <f t="shared" si="1"/>
        <v xml:space="preserve"> </v>
      </c>
      <c r="O18" s="47" t="str">
        <f t="shared" si="2"/>
        <v xml:space="preserve"> </v>
      </c>
      <c r="P18" s="48" t="str">
        <f t="shared" si="3"/>
        <v xml:space="preserve"> </v>
      </c>
      <c r="Q18" s="46" t="str">
        <f t="shared" si="4"/>
        <v/>
      </c>
      <c r="R18" s="46" t="str">
        <f t="shared" si="5"/>
        <v/>
      </c>
      <c r="S18" s="49"/>
    </row>
    <row r="19" spans="1:19" ht="18" customHeight="1">
      <c r="A19" s="39"/>
      <c r="B19" s="40" t="s">
        <v>74</v>
      </c>
      <c r="C19" s="42" t="s">
        <v>57</v>
      </c>
      <c r="D19" s="41">
        <v>0.05</v>
      </c>
      <c r="E19" s="41">
        <v>0.02</v>
      </c>
      <c r="F19" s="41">
        <v>-0.02</v>
      </c>
      <c r="G19" s="42" t="s">
        <v>71</v>
      </c>
      <c r="H19" s="43"/>
      <c r="I19" s="44"/>
      <c r="J19" s="44"/>
      <c r="K19" s="45" t="str">
        <f t="shared" si="0"/>
        <v xml:space="preserve"> </v>
      </c>
      <c r="L19" s="45" t="str">
        <f t="shared" si="0"/>
        <v xml:space="preserve"> </v>
      </c>
      <c r="M19" s="45" t="str">
        <f t="shared" si="0"/>
        <v xml:space="preserve"> </v>
      </c>
      <c r="N19" s="46" t="str">
        <f t="shared" si="1"/>
        <v xml:space="preserve"> </v>
      </c>
      <c r="O19" s="47" t="str">
        <f t="shared" si="2"/>
        <v xml:space="preserve"> </v>
      </c>
      <c r="P19" s="48" t="str">
        <f t="shared" si="3"/>
        <v xml:space="preserve"> </v>
      </c>
      <c r="Q19" s="46" t="str">
        <f t="shared" si="4"/>
        <v/>
      </c>
      <c r="R19" s="46" t="str">
        <f t="shared" si="5"/>
        <v/>
      </c>
      <c r="S19" s="49"/>
    </row>
    <row r="20" spans="1:19" ht="18" customHeight="1">
      <c r="A20" s="39"/>
      <c r="B20" s="40" t="s">
        <v>75</v>
      </c>
      <c r="C20" s="42" t="s">
        <v>57</v>
      </c>
      <c r="D20" s="41">
        <v>9.1150000000000002</v>
      </c>
      <c r="E20" s="41">
        <v>0.02</v>
      </c>
      <c r="F20" s="41">
        <v>-0.02</v>
      </c>
      <c r="G20" s="42" t="s">
        <v>71</v>
      </c>
      <c r="H20" s="43"/>
      <c r="I20" s="44"/>
      <c r="J20" s="44"/>
      <c r="K20" s="45" t="str">
        <f t="shared" si="0"/>
        <v xml:space="preserve"> </v>
      </c>
      <c r="L20" s="45" t="str">
        <f t="shared" si="0"/>
        <v xml:space="preserve"> </v>
      </c>
      <c r="M20" s="45" t="str">
        <f t="shared" si="0"/>
        <v xml:space="preserve"> </v>
      </c>
      <c r="N20" s="46" t="str">
        <f t="shared" si="1"/>
        <v xml:space="preserve"> </v>
      </c>
      <c r="O20" s="47" t="str">
        <f t="shared" si="2"/>
        <v xml:space="preserve"> </v>
      </c>
      <c r="P20" s="48" t="str">
        <f t="shared" si="3"/>
        <v xml:space="preserve"> </v>
      </c>
      <c r="Q20" s="46" t="str">
        <f t="shared" si="4"/>
        <v/>
      </c>
      <c r="R20" s="46" t="str">
        <f t="shared" si="5"/>
        <v/>
      </c>
      <c r="S20" s="49"/>
    </row>
    <row r="21" spans="1:19" ht="18" customHeight="1">
      <c r="A21" s="39"/>
      <c r="B21" s="40" t="s">
        <v>76</v>
      </c>
      <c r="C21" s="42" t="s">
        <v>57</v>
      </c>
      <c r="D21" s="41">
        <v>11.651</v>
      </c>
      <c r="E21" s="41">
        <v>0.02</v>
      </c>
      <c r="F21" s="41">
        <v>-0.02</v>
      </c>
      <c r="G21" s="42" t="s">
        <v>71</v>
      </c>
      <c r="H21" s="43"/>
      <c r="I21" s="44"/>
      <c r="J21" s="44"/>
      <c r="K21" s="45" t="str">
        <f t="shared" si="0"/>
        <v xml:space="preserve"> </v>
      </c>
      <c r="L21" s="45" t="str">
        <f t="shared" si="0"/>
        <v xml:space="preserve"> </v>
      </c>
      <c r="M21" s="45" t="str">
        <f t="shared" si="0"/>
        <v xml:space="preserve"> </v>
      </c>
      <c r="N21" s="46" t="str">
        <f t="shared" si="1"/>
        <v xml:space="preserve"> </v>
      </c>
      <c r="O21" s="47" t="str">
        <f t="shared" si="2"/>
        <v xml:space="preserve"> </v>
      </c>
      <c r="P21" s="48" t="str">
        <f t="shared" si="3"/>
        <v xml:space="preserve"> </v>
      </c>
      <c r="Q21" s="46" t="str">
        <f t="shared" si="4"/>
        <v/>
      </c>
      <c r="R21" s="46" t="str">
        <f t="shared" si="5"/>
        <v/>
      </c>
      <c r="S21" s="49"/>
    </row>
    <row r="22" spans="1:19" ht="18" customHeight="1">
      <c r="A22" s="39"/>
      <c r="B22" s="40" t="s">
        <v>77</v>
      </c>
      <c r="C22" s="42" t="s">
        <v>57</v>
      </c>
      <c r="D22" s="41">
        <v>9.5000000000000001E-2</v>
      </c>
      <c r="E22" s="41">
        <v>0.02</v>
      </c>
      <c r="F22" s="41">
        <v>-0.02</v>
      </c>
      <c r="G22" s="42" t="s">
        <v>58</v>
      </c>
      <c r="H22" s="43"/>
      <c r="I22" s="44"/>
      <c r="J22" s="44"/>
      <c r="K22" s="45" t="str">
        <f t="shared" si="0"/>
        <v xml:space="preserve"> </v>
      </c>
      <c r="L22" s="45" t="str">
        <f t="shared" si="0"/>
        <v xml:space="preserve"> </v>
      </c>
      <c r="M22" s="45" t="str">
        <f t="shared" si="0"/>
        <v xml:space="preserve"> </v>
      </c>
      <c r="N22" s="46" t="str">
        <f t="shared" si="1"/>
        <v xml:space="preserve"> </v>
      </c>
      <c r="O22" s="47" t="str">
        <f t="shared" si="2"/>
        <v xml:space="preserve"> </v>
      </c>
      <c r="P22" s="48" t="str">
        <f t="shared" si="3"/>
        <v xml:space="preserve"> </v>
      </c>
      <c r="Q22" s="46" t="str">
        <f t="shared" si="4"/>
        <v/>
      </c>
      <c r="R22" s="46" t="str">
        <f t="shared" si="5"/>
        <v/>
      </c>
      <c r="S22" s="49"/>
    </row>
    <row r="23" spans="1:19" ht="18" customHeight="1">
      <c r="A23" s="39"/>
      <c r="B23" s="40" t="s">
        <v>78</v>
      </c>
      <c r="C23" s="42" t="s">
        <v>57</v>
      </c>
      <c r="D23" s="41">
        <v>9.5000000000000001E-2</v>
      </c>
      <c r="E23" s="41">
        <v>0.02</v>
      </c>
      <c r="F23" s="41">
        <v>-0.02</v>
      </c>
      <c r="G23" s="42" t="s">
        <v>58</v>
      </c>
      <c r="H23" s="43"/>
      <c r="I23" s="44"/>
      <c r="J23" s="44"/>
      <c r="K23" s="45" t="str">
        <f t="shared" si="0"/>
        <v xml:space="preserve"> </v>
      </c>
      <c r="L23" s="45" t="str">
        <f t="shared" si="0"/>
        <v xml:space="preserve"> </v>
      </c>
      <c r="M23" s="45" t="str">
        <f t="shared" si="0"/>
        <v xml:space="preserve"> </v>
      </c>
      <c r="N23" s="46" t="str">
        <f t="shared" si="1"/>
        <v xml:space="preserve"> </v>
      </c>
      <c r="O23" s="47" t="str">
        <f t="shared" si="2"/>
        <v xml:space="preserve"> </v>
      </c>
      <c r="P23" s="48" t="str">
        <f t="shared" si="3"/>
        <v xml:space="preserve"> </v>
      </c>
      <c r="Q23" s="46" t="str">
        <f t="shared" si="4"/>
        <v/>
      </c>
      <c r="R23" s="46" t="str">
        <f t="shared" si="5"/>
        <v/>
      </c>
      <c r="S23" s="49"/>
    </row>
    <row r="24" spans="1:19" ht="18" customHeight="1">
      <c r="A24" s="39"/>
      <c r="B24" s="40" t="s">
        <v>79</v>
      </c>
      <c r="C24" s="42" t="s">
        <v>57</v>
      </c>
      <c r="D24" s="41">
        <v>0.87</v>
      </c>
      <c r="E24" s="41">
        <v>0.02</v>
      </c>
      <c r="F24" s="41">
        <v>-0.02</v>
      </c>
      <c r="G24" s="42" t="s">
        <v>71</v>
      </c>
      <c r="H24" s="43"/>
      <c r="I24" s="44"/>
      <c r="J24" s="44"/>
      <c r="K24" s="45" t="str">
        <f t="shared" si="0"/>
        <v xml:space="preserve"> </v>
      </c>
      <c r="L24" s="45" t="str">
        <f t="shared" si="0"/>
        <v xml:space="preserve"> </v>
      </c>
      <c r="M24" s="45" t="str">
        <f t="shared" si="0"/>
        <v xml:space="preserve"> </v>
      </c>
      <c r="N24" s="46" t="str">
        <f t="shared" si="1"/>
        <v xml:space="preserve"> </v>
      </c>
      <c r="O24" s="47" t="str">
        <f t="shared" si="2"/>
        <v xml:space="preserve"> </v>
      </c>
      <c r="P24" s="48" t="str">
        <f t="shared" si="3"/>
        <v xml:space="preserve"> </v>
      </c>
      <c r="Q24" s="46" t="str">
        <f t="shared" si="4"/>
        <v/>
      </c>
      <c r="R24" s="46" t="str">
        <f t="shared" si="5"/>
        <v/>
      </c>
      <c r="S24" s="49"/>
    </row>
    <row r="25" spans="1:19" ht="18" customHeight="1">
      <c r="A25" s="39"/>
      <c r="B25" s="40" t="s">
        <v>80</v>
      </c>
      <c r="C25" s="42" t="s">
        <v>57</v>
      </c>
      <c r="D25" s="41">
        <v>0.87</v>
      </c>
      <c r="E25" s="41">
        <v>0.02</v>
      </c>
      <c r="F25" s="41">
        <v>-0.02</v>
      </c>
      <c r="G25" s="42" t="s">
        <v>71</v>
      </c>
      <c r="H25" s="43"/>
      <c r="I25" s="44"/>
      <c r="J25" s="44"/>
      <c r="K25" s="45" t="str">
        <f t="shared" si="0"/>
        <v xml:space="preserve"> </v>
      </c>
      <c r="L25" s="45" t="str">
        <f t="shared" si="0"/>
        <v xml:space="preserve"> </v>
      </c>
      <c r="M25" s="45" t="str">
        <f t="shared" si="0"/>
        <v xml:space="preserve"> </v>
      </c>
      <c r="N25" s="46" t="str">
        <f t="shared" si="1"/>
        <v xml:space="preserve"> </v>
      </c>
      <c r="O25" s="47" t="str">
        <f t="shared" si="2"/>
        <v xml:space="preserve"> </v>
      </c>
      <c r="P25" s="48" t="str">
        <f t="shared" si="3"/>
        <v xml:space="preserve"> </v>
      </c>
      <c r="Q25" s="46" t="str">
        <f t="shared" si="4"/>
        <v/>
      </c>
      <c r="R25" s="46" t="str">
        <f t="shared" si="5"/>
        <v/>
      </c>
      <c r="S25" s="49"/>
    </row>
    <row r="26" spans="1:19" ht="18" customHeight="1">
      <c r="A26" s="39"/>
      <c r="B26" s="40" t="s">
        <v>81</v>
      </c>
      <c r="C26" s="42" t="s">
        <v>57</v>
      </c>
      <c r="D26" s="41">
        <v>0.87</v>
      </c>
      <c r="E26" s="41">
        <v>0.02</v>
      </c>
      <c r="F26" s="41">
        <v>-0.02</v>
      </c>
      <c r="G26" s="42" t="s">
        <v>71</v>
      </c>
      <c r="H26" s="43"/>
      <c r="I26" s="44"/>
      <c r="J26" s="44"/>
      <c r="K26" s="45" t="str">
        <f t="shared" si="0"/>
        <v xml:space="preserve"> </v>
      </c>
      <c r="L26" s="45" t="str">
        <f t="shared" si="0"/>
        <v xml:space="preserve"> </v>
      </c>
      <c r="M26" s="45" t="str">
        <f t="shared" si="0"/>
        <v xml:space="preserve"> </v>
      </c>
      <c r="N26" s="46" t="str">
        <f t="shared" si="1"/>
        <v xml:space="preserve"> </v>
      </c>
      <c r="O26" s="47" t="str">
        <f t="shared" si="2"/>
        <v xml:space="preserve"> </v>
      </c>
      <c r="P26" s="48" t="str">
        <f t="shared" si="3"/>
        <v xml:space="preserve"> </v>
      </c>
      <c r="Q26" s="46" t="str">
        <f t="shared" si="4"/>
        <v/>
      </c>
      <c r="R26" s="46" t="str">
        <f t="shared" si="5"/>
        <v/>
      </c>
      <c r="S26" s="49"/>
    </row>
    <row r="27" spans="1:19" ht="18" customHeight="1">
      <c r="A27" s="39"/>
      <c r="B27" s="40" t="s">
        <v>82</v>
      </c>
      <c r="C27" s="42" t="s">
        <v>57</v>
      </c>
      <c r="D27" s="41">
        <v>0.88</v>
      </c>
      <c r="E27" s="41">
        <v>2.5000000000000001E-2</v>
      </c>
      <c r="F27" s="41">
        <v>-2.5000000000000001E-2</v>
      </c>
      <c r="G27" s="42" t="s">
        <v>58</v>
      </c>
      <c r="H27" s="43"/>
      <c r="I27" s="44"/>
      <c r="J27" s="44"/>
      <c r="K27" s="45" t="str">
        <f t="shared" si="0"/>
        <v xml:space="preserve"> </v>
      </c>
      <c r="L27" s="45" t="str">
        <f t="shared" si="0"/>
        <v xml:space="preserve"> </v>
      </c>
      <c r="M27" s="45" t="str">
        <f t="shared" si="0"/>
        <v xml:space="preserve"> </v>
      </c>
      <c r="N27" s="46" t="str">
        <f t="shared" si="1"/>
        <v xml:space="preserve"> </v>
      </c>
      <c r="O27" s="47" t="str">
        <f t="shared" si="2"/>
        <v xml:space="preserve"> </v>
      </c>
      <c r="P27" s="48" t="str">
        <f t="shared" si="3"/>
        <v xml:space="preserve"> </v>
      </c>
      <c r="Q27" s="46" t="str">
        <f t="shared" si="4"/>
        <v/>
      </c>
      <c r="R27" s="46" t="str">
        <f t="shared" si="5"/>
        <v/>
      </c>
      <c r="S27" s="49"/>
    </row>
    <row r="28" spans="1:19" ht="18" customHeight="1">
      <c r="A28" s="39"/>
      <c r="B28" s="40" t="s">
        <v>83</v>
      </c>
      <c r="C28" s="42" t="s">
        <v>57</v>
      </c>
      <c r="D28" s="41">
        <v>0.89</v>
      </c>
      <c r="E28" s="41">
        <v>2.5000000000000001E-2</v>
      </c>
      <c r="F28" s="41">
        <v>-2.5000000000000001E-2</v>
      </c>
      <c r="G28" s="42" t="s">
        <v>71</v>
      </c>
      <c r="H28" s="43"/>
      <c r="I28" s="44"/>
      <c r="J28" s="44"/>
      <c r="K28" s="45" t="str">
        <f t="shared" si="0"/>
        <v xml:space="preserve"> </v>
      </c>
      <c r="L28" s="45" t="str">
        <f t="shared" si="0"/>
        <v xml:space="preserve"> </v>
      </c>
      <c r="M28" s="45" t="str">
        <f t="shared" si="0"/>
        <v xml:space="preserve"> </v>
      </c>
      <c r="N28" s="46" t="str">
        <f t="shared" si="1"/>
        <v xml:space="preserve"> </v>
      </c>
      <c r="O28" s="47" t="str">
        <f t="shared" si="2"/>
        <v xml:space="preserve"> </v>
      </c>
      <c r="P28" s="48" t="str">
        <f t="shared" si="3"/>
        <v xml:space="preserve"> </v>
      </c>
      <c r="Q28" s="46" t="str">
        <f t="shared" si="4"/>
        <v/>
      </c>
      <c r="R28" s="46" t="str">
        <f t="shared" si="5"/>
        <v/>
      </c>
      <c r="S28" s="49"/>
    </row>
    <row r="29" spans="1:19" ht="18" customHeight="1">
      <c r="A29" s="39"/>
      <c r="B29" s="40" t="s">
        <v>84</v>
      </c>
      <c r="C29" s="42" t="s">
        <v>57</v>
      </c>
      <c r="D29" s="41">
        <v>11.4</v>
      </c>
      <c r="E29" s="41">
        <v>0.02</v>
      </c>
      <c r="F29" s="41">
        <v>-0.02</v>
      </c>
      <c r="G29" s="42" t="s">
        <v>58</v>
      </c>
      <c r="H29" s="43"/>
      <c r="I29" s="44"/>
      <c r="J29" s="44"/>
      <c r="K29" s="45" t="str">
        <f t="shared" si="0"/>
        <v xml:space="preserve"> </v>
      </c>
      <c r="L29" s="45" t="str">
        <f t="shared" si="0"/>
        <v xml:space="preserve"> </v>
      </c>
      <c r="M29" s="45" t="str">
        <f t="shared" si="0"/>
        <v xml:space="preserve"> </v>
      </c>
      <c r="N29" s="46" t="str">
        <f t="shared" si="1"/>
        <v xml:space="preserve"> </v>
      </c>
      <c r="O29" s="47" t="str">
        <f t="shared" si="2"/>
        <v xml:space="preserve"> </v>
      </c>
      <c r="P29" s="48" t="str">
        <f t="shared" si="3"/>
        <v xml:space="preserve"> </v>
      </c>
      <c r="Q29" s="46" t="str">
        <f t="shared" si="4"/>
        <v/>
      </c>
      <c r="R29" s="46" t="str">
        <f t="shared" si="5"/>
        <v/>
      </c>
      <c r="S29" s="49"/>
    </row>
    <row r="30" spans="1:19" ht="18" customHeight="1">
      <c r="A30" s="39"/>
      <c r="B30" s="40" t="s">
        <v>85</v>
      </c>
      <c r="C30" s="42" t="s">
        <v>57</v>
      </c>
      <c r="D30" s="41">
        <v>11.15</v>
      </c>
      <c r="E30" s="41">
        <v>0.02</v>
      </c>
      <c r="F30" s="41">
        <v>-0.02</v>
      </c>
      <c r="G30" s="42" t="s">
        <v>58</v>
      </c>
      <c r="H30" s="43"/>
      <c r="I30" s="44"/>
      <c r="J30" s="44"/>
      <c r="K30" s="45" t="str">
        <f t="shared" si="0"/>
        <v xml:space="preserve"> </v>
      </c>
      <c r="L30" s="45" t="str">
        <f t="shared" si="0"/>
        <v xml:space="preserve"> </v>
      </c>
      <c r="M30" s="45" t="str">
        <f t="shared" si="0"/>
        <v xml:space="preserve"> </v>
      </c>
      <c r="N30" s="46" t="str">
        <f t="shared" si="1"/>
        <v xml:space="preserve"> </v>
      </c>
      <c r="O30" s="47" t="str">
        <f t="shared" si="2"/>
        <v xml:space="preserve"> </v>
      </c>
      <c r="P30" s="48" t="str">
        <f t="shared" si="3"/>
        <v xml:space="preserve"> </v>
      </c>
      <c r="Q30" s="46" t="str">
        <f t="shared" si="4"/>
        <v/>
      </c>
      <c r="R30" s="46" t="str">
        <f t="shared" si="5"/>
        <v/>
      </c>
      <c r="S30" s="49"/>
    </row>
    <row r="31" spans="1:19" ht="18" customHeight="1">
      <c r="A31" s="39"/>
      <c r="B31" s="40" t="s">
        <v>86</v>
      </c>
      <c r="C31" s="42" t="s">
        <v>57</v>
      </c>
      <c r="D31" s="41">
        <v>0.36499999999999999</v>
      </c>
      <c r="E31" s="41">
        <v>2.5000000000000001E-2</v>
      </c>
      <c r="F31" s="41">
        <v>-2.5000000000000001E-2</v>
      </c>
      <c r="G31" s="42" t="s">
        <v>58</v>
      </c>
      <c r="H31" s="43"/>
      <c r="I31" s="44"/>
      <c r="J31" s="44"/>
      <c r="K31" s="45" t="str">
        <f t="shared" si="0"/>
        <v xml:space="preserve"> </v>
      </c>
      <c r="L31" s="45" t="str">
        <f t="shared" si="0"/>
        <v xml:space="preserve"> </v>
      </c>
      <c r="M31" s="45" t="str">
        <f t="shared" si="0"/>
        <v xml:space="preserve"> </v>
      </c>
      <c r="N31" s="46" t="str">
        <f t="shared" si="1"/>
        <v xml:space="preserve"> </v>
      </c>
      <c r="O31" s="47" t="str">
        <f t="shared" si="2"/>
        <v xml:space="preserve"> </v>
      </c>
      <c r="P31" s="48" t="str">
        <f t="shared" si="3"/>
        <v xml:space="preserve"> </v>
      </c>
      <c r="Q31" s="46" t="str">
        <f t="shared" si="4"/>
        <v/>
      </c>
      <c r="R31" s="46" t="str">
        <f t="shared" si="5"/>
        <v/>
      </c>
      <c r="S31" s="49"/>
    </row>
    <row r="32" spans="1:19" ht="18" customHeight="1">
      <c r="A32" s="39"/>
      <c r="B32" s="40" t="s">
        <v>87</v>
      </c>
      <c r="C32" s="42" t="s">
        <v>57</v>
      </c>
      <c r="D32" s="41">
        <v>0.36499999999999999</v>
      </c>
      <c r="E32" s="41">
        <v>2.5000000000000001E-2</v>
      </c>
      <c r="F32" s="41">
        <v>-2.5000000000000001E-2</v>
      </c>
      <c r="G32" s="42" t="s">
        <v>58</v>
      </c>
      <c r="H32" s="43"/>
      <c r="I32" s="44"/>
      <c r="J32" s="44"/>
      <c r="K32" s="45" t="str">
        <f t="shared" si="0"/>
        <v xml:space="preserve"> </v>
      </c>
      <c r="L32" s="45" t="str">
        <f t="shared" si="0"/>
        <v xml:space="preserve"> </v>
      </c>
      <c r="M32" s="45" t="str">
        <f t="shared" si="0"/>
        <v xml:space="preserve"> </v>
      </c>
      <c r="N32" s="46" t="str">
        <f t="shared" si="1"/>
        <v xml:space="preserve"> </v>
      </c>
      <c r="O32" s="47" t="str">
        <f t="shared" si="2"/>
        <v xml:space="preserve"> </v>
      </c>
      <c r="P32" s="48" t="str">
        <f t="shared" si="3"/>
        <v xml:space="preserve"> </v>
      </c>
      <c r="Q32" s="46" t="str">
        <f t="shared" si="4"/>
        <v/>
      </c>
      <c r="R32" s="46" t="str">
        <f t="shared" si="5"/>
        <v/>
      </c>
      <c r="S32" s="49"/>
    </row>
    <row r="33" spans="1:19" ht="18" customHeight="1">
      <c r="A33" s="39"/>
      <c r="B33" s="40" t="s">
        <v>88</v>
      </c>
      <c r="C33" s="42" t="s">
        <v>57</v>
      </c>
      <c r="D33" s="41">
        <v>0.36499999999999999</v>
      </c>
      <c r="E33" s="41">
        <v>2.5000000000000001E-2</v>
      </c>
      <c r="F33" s="41">
        <v>-2.5000000000000001E-2</v>
      </c>
      <c r="G33" s="42" t="s">
        <v>58</v>
      </c>
      <c r="H33" s="43"/>
      <c r="I33" s="44"/>
      <c r="J33" s="44"/>
      <c r="K33" s="45" t="str">
        <f t="shared" si="0"/>
        <v xml:space="preserve"> </v>
      </c>
      <c r="L33" s="45" t="str">
        <f t="shared" si="0"/>
        <v xml:space="preserve"> </v>
      </c>
      <c r="M33" s="45" t="str">
        <f t="shared" si="0"/>
        <v xml:space="preserve"> </v>
      </c>
      <c r="N33" s="46" t="str">
        <f t="shared" si="1"/>
        <v xml:space="preserve"> </v>
      </c>
      <c r="O33" s="47" t="str">
        <f t="shared" si="2"/>
        <v xml:space="preserve"> </v>
      </c>
      <c r="P33" s="48" t="str">
        <f t="shared" si="3"/>
        <v xml:space="preserve"> </v>
      </c>
      <c r="Q33" s="46" t="str">
        <f t="shared" si="4"/>
        <v/>
      </c>
      <c r="R33" s="46" t="str">
        <f t="shared" si="5"/>
        <v/>
      </c>
      <c r="S33" s="49"/>
    </row>
    <row r="34" spans="1:19" ht="18" customHeight="1">
      <c r="A34" s="39"/>
      <c r="B34" s="40" t="s">
        <v>89</v>
      </c>
      <c r="C34" s="42" t="s">
        <v>57</v>
      </c>
      <c r="D34" s="41">
        <v>0.36499999999999999</v>
      </c>
      <c r="E34" s="41">
        <v>2.5000000000000001E-2</v>
      </c>
      <c r="F34" s="41">
        <v>-2.5000000000000001E-2</v>
      </c>
      <c r="G34" s="42" t="s">
        <v>58</v>
      </c>
      <c r="H34" s="43"/>
      <c r="I34" s="44"/>
      <c r="J34" s="44"/>
      <c r="K34" s="45" t="str">
        <f t="shared" si="0"/>
        <v xml:space="preserve"> </v>
      </c>
      <c r="L34" s="45" t="str">
        <f t="shared" si="0"/>
        <v xml:space="preserve"> </v>
      </c>
      <c r="M34" s="45" t="str">
        <f t="shared" si="0"/>
        <v xml:space="preserve"> </v>
      </c>
      <c r="N34" s="46" t="str">
        <f t="shared" si="1"/>
        <v xml:space="preserve"> </v>
      </c>
      <c r="O34" s="47" t="str">
        <f t="shared" si="2"/>
        <v xml:space="preserve"> </v>
      </c>
      <c r="P34" s="48" t="str">
        <f t="shared" si="3"/>
        <v xml:space="preserve"> </v>
      </c>
      <c r="Q34" s="46" t="str">
        <f t="shared" si="4"/>
        <v/>
      </c>
      <c r="R34" s="46" t="str">
        <f t="shared" si="5"/>
        <v/>
      </c>
      <c r="S34" s="49"/>
    </row>
    <row r="35" spans="1:19" ht="18" customHeight="1">
      <c r="A35" s="39"/>
      <c r="B35" s="40" t="s">
        <v>90</v>
      </c>
      <c r="C35" s="42" t="s">
        <v>57</v>
      </c>
      <c r="D35" s="41">
        <v>0.36499999999999999</v>
      </c>
      <c r="E35" s="41">
        <v>2.5000000000000001E-2</v>
      </c>
      <c r="F35" s="41">
        <v>-2.5000000000000001E-2</v>
      </c>
      <c r="G35" s="42" t="s">
        <v>58</v>
      </c>
      <c r="H35" s="43"/>
      <c r="I35" s="44"/>
      <c r="J35" s="44"/>
      <c r="K35" s="45" t="str">
        <f t="shared" si="0"/>
        <v xml:space="preserve"> </v>
      </c>
      <c r="L35" s="45" t="str">
        <f t="shared" si="0"/>
        <v xml:space="preserve"> </v>
      </c>
      <c r="M35" s="45" t="str">
        <f t="shared" si="0"/>
        <v xml:space="preserve"> </v>
      </c>
      <c r="N35" s="46" t="str">
        <f t="shared" si="1"/>
        <v xml:space="preserve"> </v>
      </c>
      <c r="O35" s="47" t="str">
        <f t="shared" si="2"/>
        <v xml:space="preserve"> </v>
      </c>
      <c r="P35" s="48" t="str">
        <f t="shared" si="3"/>
        <v xml:space="preserve"> </v>
      </c>
      <c r="Q35" s="46" t="str">
        <f t="shared" si="4"/>
        <v/>
      </c>
      <c r="R35" s="46" t="str">
        <f t="shared" si="5"/>
        <v/>
      </c>
      <c r="S35" s="49"/>
    </row>
    <row r="36" spans="1:19" ht="18" customHeight="1">
      <c r="A36" s="39"/>
      <c r="B36" s="40" t="s">
        <v>91</v>
      </c>
      <c r="C36" s="42" t="s">
        <v>57</v>
      </c>
      <c r="D36" s="41">
        <v>0.91300000000000003</v>
      </c>
      <c r="E36" s="41">
        <v>0.02</v>
      </c>
      <c r="F36" s="41">
        <v>-0.02</v>
      </c>
      <c r="G36" s="42" t="s">
        <v>58</v>
      </c>
      <c r="H36" s="43"/>
      <c r="I36" s="44"/>
      <c r="J36" s="44"/>
      <c r="K36" s="45" t="str">
        <f t="shared" si="0"/>
        <v xml:space="preserve"> </v>
      </c>
      <c r="L36" s="45" t="str">
        <f t="shared" si="0"/>
        <v xml:space="preserve"> </v>
      </c>
      <c r="M36" s="45" t="str">
        <f t="shared" si="0"/>
        <v xml:space="preserve"> </v>
      </c>
      <c r="N36" s="46" t="str">
        <f t="shared" si="1"/>
        <v xml:space="preserve"> </v>
      </c>
      <c r="O36" s="47" t="str">
        <f t="shared" si="2"/>
        <v xml:space="preserve"> </v>
      </c>
      <c r="P36" s="48" t="str">
        <f t="shared" si="3"/>
        <v xml:space="preserve"> </v>
      </c>
      <c r="Q36" s="46" t="str">
        <f t="shared" si="4"/>
        <v/>
      </c>
      <c r="R36" s="46" t="str">
        <f t="shared" si="5"/>
        <v/>
      </c>
      <c r="S36" s="49"/>
    </row>
    <row r="37" spans="1:19" ht="18" customHeight="1">
      <c r="A37" s="39"/>
      <c r="B37" s="40" t="s">
        <v>92</v>
      </c>
      <c r="C37" s="42" t="s">
        <v>57</v>
      </c>
      <c r="D37" s="41">
        <v>1.53</v>
      </c>
      <c r="E37" s="41">
        <v>0.02</v>
      </c>
      <c r="F37" s="41">
        <v>-0.02</v>
      </c>
      <c r="G37" s="42" t="s">
        <v>58</v>
      </c>
      <c r="H37" s="43"/>
      <c r="I37" s="44"/>
      <c r="J37" s="44"/>
      <c r="K37" s="45" t="str">
        <f t="shared" si="0"/>
        <v xml:space="preserve"> </v>
      </c>
      <c r="L37" s="45" t="str">
        <f t="shared" si="0"/>
        <v xml:space="preserve"> </v>
      </c>
      <c r="M37" s="45" t="str">
        <f t="shared" si="0"/>
        <v xml:space="preserve"> </v>
      </c>
      <c r="N37" s="46" t="str">
        <f t="shared" si="1"/>
        <v xml:space="preserve"> </v>
      </c>
      <c r="O37" s="47" t="str">
        <f t="shared" si="2"/>
        <v xml:space="preserve"> </v>
      </c>
      <c r="P37" s="48" t="str">
        <f t="shared" si="3"/>
        <v xml:space="preserve"> </v>
      </c>
      <c r="Q37" s="46" t="str">
        <f t="shared" si="4"/>
        <v/>
      </c>
      <c r="R37" s="46" t="str">
        <f t="shared" si="5"/>
        <v/>
      </c>
      <c r="S37" s="49"/>
    </row>
    <row r="38" spans="1:19" ht="18" customHeight="1">
      <c r="A38" s="39"/>
      <c r="B38" s="40" t="s">
        <v>93</v>
      </c>
      <c r="C38" s="42" t="s">
        <v>57</v>
      </c>
      <c r="D38" s="41">
        <v>1.8</v>
      </c>
      <c r="E38" s="41">
        <v>0.02</v>
      </c>
      <c r="F38" s="41">
        <v>-0.02</v>
      </c>
      <c r="G38" s="42" t="s">
        <v>58</v>
      </c>
      <c r="H38" s="43"/>
      <c r="I38" s="44"/>
      <c r="J38" s="44"/>
      <c r="K38" s="45" t="str">
        <f t="shared" ref="K38:M54" si="6">IF(ISERR(H38/H38)=TRUE," ",H38-$D38)</f>
        <v xml:space="preserve"> </v>
      </c>
      <c r="L38" s="45" t="str">
        <f t="shared" si="6"/>
        <v xml:space="preserve"> </v>
      </c>
      <c r="M38" s="45" t="str">
        <f t="shared" si="6"/>
        <v xml:space="preserve"> </v>
      </c>
      <c r="N38" s="46" t="str">
        <f t="shared" si="1"/>
        <v xml:space="preserve"> </v>
      </c>
      <c r="O38" s="47" t="str">
        <f t="shared" si="2"/>
        <v xml:space="preserve"> </v>
      </c>
      <c r="P38" s="48" t="str">
        <f t="shared" si="3"/>
        <v xml:space="preserve"> </v>
      </c>
      <c r="Q38" s="46" t="str">
        <f t="shared" si="4"/>
        <v/>
      </c>
      <c r="R38" s="46" t="str">
        <f t="shared" si="5"/>
        <v/>
      </c>
      <c r="S38" s="49"/>
    </row>
    <row r="39" spans="1:19" ht="18" customHeight="1">
      <c r="A39" s="39"/>
      <c r="B39" s="40" t="s">
        <v>94</v>
      </c>
      <c r="C39" s="42" t="s">
        <v>57</v>
      </c>
      <c r="D39" s="41">
        <v>6.08</v>
      </c>
      <c r="E39" s="41">
        <v>1.4999999999999999E-2</v>
      </c>
      <c r="F39" s="41">
        <v>-1.4999999999999999E-2</v>
      </c>
      <c r="G39" s="42" t="s">
        <v>58</v>
      </c>
      <c r="H39" s="43"/>
      <c r="I39" s="44"/>
      <c r="J39" s="44"/>
      <c r="K39" s="45" t="str">
        <f t="shared" si="6"/>
        <v xml:space="preserve"> </v>
      </c>
      <c r="L39" s="45" t="str">
        <f t="shared" si="6"/>
        <v xml:space="preserve"> </v>
      </c>
      <c r="M39" s="45" t="str">
        <f t="shared" si="6"/>
        <v xml:space="preserve"> </v>
      </c>
      <c r="N39" s="46" t="str">
        <f t="shared" si="1"/>
        <v xml:space="preserve"> </v>
      </c>
      <c r="O39" s="47" t="str">
        <f t="shared" si="2"/>
        <v xml:space="preserve"> </v>
      </c>
      <c r="P39" s="48" t="str">
        <f t="shared" si="3"/>
        <v xml:space="preserve"> </v>
      </c>
      <c r="Q39" s="46" t="str">
        <f t="shared" si="4"/>
        <v/>
      </c>
      <c r="R39" s="46" t="str">
        <f t="shared" si="5"/>
        <v/>
      </c>
      <c r="S39" s="49"/>
    </row>
    <row r="40" spans="1:19" ht="18" customHeight="1">
      <c r="A40" s="39"/>
      <c r="B40" s="40" t="s">
        <v>95</v>
      </c>
      <c r="C40" s="42" t="s">
        <v>57</v>
      </c>
      <c r="D40" s="41">
        <v>2.65</v>
      </c>
      <c r="E40" s="41">
        <v>0.02</v>
      </c>
      <c r="F40" s="41">
        <v>-0.02</v>
      </c>
      <c r="G40" s="42" t="s">
        <v>58</v>
      </c>
      <c r="H40" s="43"/>
      <c r="I40" s="44"/>
      <c r="J40" s="44"/>
      <c r="K40" s="45" t="str">
        <f t="shared" si="6"/>
        <v xml:space="preserve"> </v>
      </c>
      <c r="L40" s="45" t="str">
        <f t="shared" si="6"/>
        <v xml:space="preserve"> </v>
      </c>
      <c r="M40" s="45" t="str">
        <f t="shared" si="6"/>
        <v xml:space="preserve"> </v>
      </c>
      <c r="N40" s="46" t="str">
        <f t="shared" si="1"/>
        <v xml:space="preserve"> </v>
      </c>
      <c r="O40" s="47" t="str">
        <f t="shared" si="2"/>
        <v xml:space="preserve"> </v>
      </c>
      <c r="P40" s="48" t="str">
        <f t="shared" si="3"/>
        <v xml:space="preserve"> </v>
      </c>
      <c r="Q40" s="46" t="str">
        <f t="shared" si="4"/>
        <v/>
      </c>
      <c r="R40" s="46" t="str">
        <f t="shared" si="5"/>
        <v/>
      </c>
      <c r="S40" s="49"/>
    </row>
    <row r="41" spans="1:19" ht="18" customHeight="1">
      <c r="A41" s="39"/>
      <c r="B41" s="40" t="s">
        <v>96</v>
      </c>
      <c r="C41" s="42" t="s">
        <v>57</v>
      </c>
      <c r="D41" s="41">
        <v>3.7989999999999999</v>
      </c>
      <c r="E41" s="41">
        <v>0.03</v>
      </c>
      <c r="F41" s="41">
        <v>-0.03</v>
      </c>
      <c r="G41" s="42" t="s">
        <v>58</v>
      </c>
      <c r="H41" s="43"/>
      <c r="I41" s="44"/>
      <c r="J41" s="44"/>
      <c r="K41" s="45" t="str">
        <f t="shared" si="6"/>
        <v xml:space="preserve"> </v>
      </c>
      <c r="L41" s="45" t="str">
        <f t="shared" si="6"/>
        <v xml:space="preserve"> </v>
      </c>
      <c r="M41" s="45" t="str">
        <f t="shared" si="6"/>
        <v xml:space="preserve"> </v>
      </c>
      <c r="N41" s="46" t="str">
        <f t="shared" si="1"/>
        <v xml:space="preserve"> </v>
      </c>
      <c r="O41" s="47" t="str">
        <f t="shared" si="2"/>
        <v xml:space="preserve"> </v>
      </c>
      <c r="P41" s="48" t="str">
        <f t="shared" si="3"/>
        <v xml:space="preserve"> </v>
      </c>
      <c r="Q41" s="46" t="str">
        <f t="shared" si="4"/>
        <v/>
      </c>
      <c r="R41" s="46" t="str">
        <f t="shared" si="5"/>
        <v/>
      </c>
      <c r="S41" s="49"/>
    </row>
    <row r="42" spans="1:19" ht="18" customHeight="1">
      <c r="A42" s="39"/>
      <c r="B42" s="40" t="s">
        <v>97</v>
      </c>
      <c r="C42" s="42" t="s">
        <v>57</v>
      </c>
      <c r="D42" s="41">
        <v>7</v>
      </c>
      <c r="E42" s="41">
        <v>0.03</v>
      </c>
      <c r="F42" s="41">
        <v>-0.03</v>
      </c>
      <c r="G42" s="42" t="s">
        <v>58</v>
      </c>
      <c r="H42" s="43"/>
      <c r="I42" s="44"/>
      <c r="J42" s="44"/>
      <c r="K42" s="45" t="str">
        <f t="shared" si="6"/>
        <v xml:space="preserve"> </v>
      </c>
      <c r="L42" s="45" t="str">
        <f t="shared" si="6"/>
        <v xml:space="preserve"> </v>
      </c>
      <c r="M42" s="45" t="str">
        <f t="shared" si="6"/>
        <v xml:space="preserve"> </v>
      </c>
      <c r="N42" s="46" t="str">
        <f t="shared" si="1"/>
        <v xml:space="preserve"> </v>
      </c>
      <c r="O42" s="47" t="str">
        <f t="shared" si="2"/>
        <v xml:space="preserve"> </v>
      </c>
      <c r="P42" s="48" t="str">
        <f t="shared" si="3"/>
        <v xml:space="preserve"> </v>
      </c>
      <c r="Q42" s="46" t="str">
        <f t="shared" si="4"/>
        <v/>
      </c>
      <c r="R42" s="46" t="str">
        <f t="shared" si="5"/>
        <v/>
      </c>
      <c r="S42" s="49"/>
    </row>
    <row r="43" spans="1:19" ht="18" customHeight="1">
      <c r="A43" s="39"/>
      <c r="B43" s="40" t="s">
        <v>98</v>
      </c>
      <c r="C43" s="42" t="s">
        <v>57</v>
      </c>
      <c r="D43" s="41">
        <v>7</v>
      </c>
      <c r="E43" s="41">
        <v>0.03</v>
      </c>
      <c r="F43" s="41">
        <v>-0.03</v>
      </c>
      <c r="G43" s="42" t="s">
        <v>58</v>
      </c>
      <c r="H43" s="43"/>
      <c r="I43" s="44"/>
      <c r="J43" s="44"/>
      <c r="K43" s="45" t="str">
        <f t="shared" si="6"/>
        <v xml:space="preserve"> </v>
      </c>
      <c r="L43" s="45" t="str">
        <f t="shared" si="6"/>
        <v xml:space="preserve"> </v>
      </c>
      <c r="M43" s="45" t="str">
        <f t="shared" si="6"/>
        <v xml:space="preserve"> </v>
      </c>
      <c r="N43" s="46" t="str">
        <f t="shared" si="1"/>
        <v xml:space="preserve"> </v>
      </c>
      <c r="O43" s="47" t="str">
        <f t="shared" si="2"/>
        <v xml:space="preserve"> </v>
      </c>
      <c r="P43" s="48" t="str">
        <f t="shared" si="3"/>
        <v xml:space="preserve"> </v>
      </c>
      <c r="Q43" s="46" t="str">
        <f t="shared" si="4"/>
        <v/>
      </c>
      <c r="R43" s="46" t="str">
        <f t="shared" si="5"/>
        <v/>
      </c>
      <c r="S43" s="49"/>
    </row>
    <row r="44" spans="1:19" ht="18" customHeight="1">
      <c r="A44" s="39"/>
      <c r="B44" s="40" t="s">
        <v>99</v>
      </c>
      <c r="C44" s="42" t="s">
        <v>57</v>
      </c>
      <c r="D44" s="41">
        <v>7</v>
      </c>
      <c r="E44" s="41">
        <v>0.03</v>
      </c>
      <c r="F44" s="41">
        <v>-0.03</v>
      </c>
      <c r="G44" s="42" t="s">
        <v>58</v>
      </c>
      <c r="H44" s="43"/>
      <c r="I44" s="44"/>
      <c r="J44" s="44"/>
      <c r="K44" s="45" t="str">
        <f t="shared" si="6"/>
        <v xml:space="preserve"> </v>
      </c>
      <c r="L44" s="45" t="str">
        <f t="shared" si="6"/>
        <v xml:space="preserve"> </v>
      </c>
      <c r="M44" s="45" t="str">
        <f t="shared" si="6"/>
        <v xml:space="preserve"> </v>
      </c>
      <c r="N44" s="46" t="str">
        <f t="shared" si="1"/>
        <v xml:space="preserve"> </v>
      </c>
      <c r="O44" s="47" t="str">
        <f t="shared" si="2"/>
        <v xml:space="preserve"> </v>
      </c>
      <c r="P44" s="48" t="str">
        <f t="shared" si="3"/>
        <v xml:space="preserve"> </v>
      </c>
      <c r="Q44" s="46" t="str">
        <f t="shared" si="4"/>
        <v/>
      </c>
      <c r="R44" s="46" t="str">
        <f t="shared" si="5"/>
        <v/>
      </c>
      <c r="S44" s="49"/>
    </row>
    <row r="45" spans="1:19" ht="18" customHeight="1">
      <c r="A45" s="39"/>
      <c r="B45" s="40" t="s">
        <v>100</v>
      </c>
      <c r="C45" s="42" t="s">
        <v>57</v>
      </c>
      <c r="D45" s="41">
        <v>9.0150000000000006</v>
      </c>
      <c r="E45" s="41">
        <v>0.03</v>
      </c>
      <c r="F45" s="41">
        <v>-0.03</v>
      </c>
      <c r="G45" s="42" t="s">
        <v>58</v>
      </c>
      <c r="H45" s="43"/>
      <c r="I45" s="44"/>
      <c r="J45" s="44"/>
      <c r="K45" s="45" t="str">
        <f t="shared" si="6"/>
        <v xml:space="preserve"> </v>
      </c>
      <c r="L45" s="45" t="str">
        <f t="shared" si="6"/>
        <v xml:space="preserve"> </v>
      </c>
      <c r="M45" s="45" t="str">
        <f t="shared" si="6"/>
        <v xml:space="preserve"> </v>
      </c>
      <c r="N45" s="46" t="str">
        <f t="shared" si="1"/>
        <v xml:space="preserve"> </v>
      </c>
      <c r="O45" s="47" t="str">
        <f t="shared" si="2"/>
        <v xml:space="preserve"> </v>
      </c>
      <c r="P45" s="48" t="str">
        <f t="shared" si="3"/>
        <v xml:space="preserve"> </v>
      </c>
      <c r="Q45" s="46" t="str">
        <f t="shared" si="4"/>
        <v/>
      </c>
      <c r="R45" s="46" t="str">
        <f t="shared" si="5"/>
        <v/>
      </c>
      <c r="S45" s="49"/>
    </row>
    <row r="46" spans="1:19" ht="18" customHeight="1">
      <c r="A46" s="39"/>
      <c r="B46" s="40" t="s">
        <v>101</v>
      </c>
      <c r="C46" s="42" t="s">
        <v>57</v>
      </c>
      <c r="D46" s="41">
        <v>9.0150000000000006</v>
      </c>
      <c r="E46" s="41">
        <v>0.03</v>
      </c>
      <c r="F46" s="41">
        <v>-0.03</v>
      </c>
      <c r="G46" s="42" t="s">
        <v>58</v>
      </c>
      <c r="H46" s="43"/>
      <c r="I46" s="44"/>
      <c r="J46" s="44"/>
      <c r="K46" s="45" t="str">
        <f t="shared" si="6"/>
        <v xml:space="preserve"> </v>
      </c>
      <c r="L46" s="45" t="str">
        <f t="shared" si="6"/>
        <v xml:space="preserve"> </v>
      </c>
      <c r="M46" s="45" t="str">
        <f t="shared" si="6"/>
        <v xml:space="preserve"> </v>
      </c>
      <c r="N46" s="46" t="str">
        <f t="shared" si="1"/>
        <v xml:space="preserve"> </v>
      </c>
      <c r="O46" s="47" t="str">
        <f t="shared" si="2"/>
        <v xml:space="preserve"> </v>
      </c>
      <c r="P46" s="48" t="str">
        <f t="shared" si="3"/>
        <v xml:space="preserve"> </v>
      </c>
      <c r="Q46" s="46" t="str">
        <f t="shared" si="4"/>
        <v/>
      </c>
      <c r="R46" s="46" t="str">
        <f t="shared" si="5"/>
        <v/>
      </c>
      <c r="S46" s="49"/>
    </row>
    <row r="47" spans="1:19" ht="17.25" customHeight="1">
      <c r="A47" s="39"/>
      <c r="B47" s="40" t="s">
        <v>102</v>
      </c>
      <c r="C47" s="42" t="s">
        <v>57</v>
      </c>
      <c r="D47" s="41">
        <v>7.0540000000000003</v>
      </c>
      <c r="E47" s="41">
        <v>0.03</v>
      </c>
      <c r="F47" s="41">
        <v>-0.03</v>
      </c>
      <c r="G47" s="42" t="s">
        <v>58</v>
      </c>
      <c r="H47" s="43"/>
      <c r="I47" s="44"/>
      <c r="J47" s="44"/>
      <c r="K47" s="45" t="str">
        <f t="shared" si="6"/>
        <v xml:space="preserve"> </v>
      </c>
      <c r="L47" s="45" t="str">
        <f t="shared" si="6"/>
        <v xml:space="preserve"> </v>
      </c>
      <c r="M47" s="45" t="str">
        <f t="shared" si="6"/>
        <v xml:space="preserve"> </v>
      </c>
      <c r="N47" s="46" t="str">
        <f t="shared" si="1"/>
        <v xml:space="preserve"> </v>
      </c>
      <c r="O47" s="47" t="str">
        <f t="shared" si="2"/>
        <v xml:space="preserve"> </v>
      </c>
      <c r="P47" s="48" t="str">
        <f t="shared" si="3"/>
        <v xml:space="preserve"> </v>
      </c>
      <c r="Q47" s="46" t="str">
        <f t="shared" si="4"/>
        <v/>
      </c>
      <c r="R47" s="46" t="str">
        <f t="shared" si="5"/>
        <v/>
      </c>
      <c r="S47" s="49"/>
    </row>
    <row r="48" spans="1:19" ht="18" customHeight="1">
      <c r="A48" s="39"/>
      <c r="B48" s="40" t="s">
        <v>103</v>
      </c>
      <c r="C48" s="42" t="s">
        <v>57</v>
      </c>
      <c r="D48" s="41">
        <v>0.67400000000000004</v>
      </c>
      <c r="E48" s="41">
        <v>0.02</v>
      </c>
      <c r="F48" s="41">
        <v>-0.02</v>
      </c>
      <c r="G48" s="42" t="s">
        <v>58</v>
      </c>
      <c r="H48" s="43"/>
      <c r="I48" s="44"/>
      <c r="J48" s="44"/>
      <c r="K48" s="45" t="str">
        <f t="shared" si="6"/>
        <v xml:space="preserve"> </v>
      </c>
      <c r="L48" s="45" t="str">
        <f t="shared" si="6"/>
        <v xml:space="preserve"> </v>
      </c>
      <c r="M48" s="45" t="str">
        <f t="shared" si="6"/>
        <v xml:space="preserve"> </v>
      </c>
      <c r="N48" s="46" t="str">
        <f t="shared" si="1"/>
        <v xml:space="preserve"> </v>
      </c>
      <c r="O48" s="47" t="str">
        <f t="shared" si="2"/>
        <v xml:space="preserve"> </v>
      </c>
      <c r="P48" s="48" t="str">
        <f t="shared" si="3"/>
        <v xml:space="preserve"> </v>
      </c>
      <c r="Q48" s="46" t="str">
        <f t="shared" si="4"/>
        <v/>
      </c>
      <c r="R48" s="46" t="str">
        <f t="shared" si="5"/>
        <v/>
      </c>
      <c r="S48" s="49"/>
    </row>
    <row r="49" spans="1:19" ht="18" customHeight="1">
      <c r="A49" s="39"/>
      <c r="B49" s="40" t="s">
        <v>104</v>
      </c>
      <c r="C49" s="42" t="s">
        <v>57</v>
      </c>
      <c r="D49" s="41">
        <v>2</v>
      </c>
      <c r="E49" s="41">
        <v>0.03</v>
      </c>
      <c r="F49" s="41">
        <v>-0.03</v>
      </c>
      <c r="G49" s="42" t="s">
        <v>58</v>
      </c>
      <c r="H49" s="43"/>
      <c r="I49" s="44"/>
      <c r="J49" s="44"/>
      <c r="K49" s="45" t="str">
        <f t="shared" si="6"/>
        <v xml:space="preserve"> </v>
      </c>
      <c r="L49" s="45" t="str">
        <f t="shared" si="6"/>
        <v xml:space="preserve"> </v>
      </c>
      <c r="M49" s="45" t="str">
        <f t="shared" si="6"/>
        <v xml:space="preserve"> </v>
      </c>
      <c r="N49" s="46" t="str">
        <f t="shared" si="1"/>
        <v xml:space="preserve"> </v>
      </c>
      <c r="O49" s="47" t="str">
        <f t="shared" si="2"/>
        <v xml:space="preserve"> </v>
      </c>
      <c r="P49" s="48" t="str">
        <f t="shared" si="3"/>
        <v xml:space="preserve"> </v>
      </c>
      <c r="Q49" s="46" t="str">
        <f t="shared" si="4"/>
        <v/>
      </c>
      <c r="R49" s="46" t="str">
        <f t="shared" si="5"/>
        <v/>
      </c>
      <c r="S49" s="49"/>
    </row>
    <row r="50" spans="1:19" ht="18" customHeight="1">
      <c r="A50" s="39"/>
      <c r="B50" s="40" t="s">
        <v>105</v>
      </c>
      <c r="C50" s="42" t="s">
        <v>57</v>
      </c>
      <c r="D50" s="41">
        <v>2</v>
      </c>
      <c r="E50" s="41">
        <v>0.03</v>
      </c>
      <c r="F50" s="41">
        <v>-0.03</v>
      </c>
      <c r="G50" s="42" t="s">
        <v>58</v>
      </c>
      <c r="H50" s="43"/>
      <c r="I50" s="44"/>
      <c r="J50" s="44"/>
      <c r="K50" s="45" t="str">
        <f t="shared" si="6"/>
        <v xml:space="preserve"> </v>
      </c>
      <c r="L50" s="45" t="str">
        <f t="shared" si="6"/>
        <v xml:space="preserve"> </v>
      </c>
      <c r="M50" s="45" t="str">
        <f t="shared" si="6"/>
        <v xml:space="preserve"> </v>
      </c>
      <c r="N50" s="46" t="str">
        <f t="shared" si="1"/>
        <v xml:space="preserve"> </v>
      </c>
      <c r="O50" s="47" t="str">
        <f t="shared" si="2"/>
        <v xml:space="preserve"> </v>
      </c>
      <c r="P50" s="48" t="str">
        <f t="shared" si="3"/>
        <v xml:space="preserve"> </v>
      </c>
      <c r="Q50" s="46"/>
      <c r="R50" s="46"/>
      <c r="S50" s="49"/>
    </row>
    <row r="51" spans="1:19" ht="18" customHeight="1">
      <c r="A51" s="39"/>
      <c r="B51" s="40" t="s">
        <v>106</v>
      </c>
      <c r="C51" s="42" t="s">
        <v>57</v>
      </c>
      <c r="D51" s="41">
        <v>2.972</v>
      </c>
      <c r="E51" s="41">
        <v>0.03</v>
      </c>
      <c r="F51" s="41">
        <v>-0.03</v>
      </c>
      <c r="G51" s="42" t="s">
        <v>58</v>
      </c>
      <c r="H51" s="43"/>
      <c r="I51" s="44"/>
      <c r="J51" s="44"/>
      <c r="K51" s="45" t="str">
        <f t="shared" si="6"/>
        <v xml:space="preserve"> </v>
      </c>
      <c r="L51" s="45" t="str">
        <f t="shared" si="6"/>
        <v xml:space="preserve"> </v>
      </c>
      <c r="M51" s="45" t="str">
        <f t="shared" si="6"/>
        <v xml:space="preserve"> </v>
      </c>
      <c r="N51" s="46" t="str">
        <f t="shared" si="1"/>
        <v xml:space="preserve"> </v>
      </c>
      <c r="O51" s="47" t="str">
        <f t="shared" si="2"/>
        <v xml:space="preserve"> </v>
      </c>
      <c r="P51" s="48" t="str">
        <f t="shared" si="3"/>
        <v xml:space="preserve"> </v>
      </c>
      <c r="Q51" s="46"/>
      <c r="R51" s="46"/>
      <c r="S51" s="49"/>
    </row>
    <row r="52" spans="1:19" ht="18" customHeight="1">
      <c r="A52" s="39"/>
      <c r="B52" s="40" t="s">
        <v>107</v>
      </c>
      <c r="C52" s="42" t="s">
        <v>57</v>
      </c>
      <c r="D52" s="41">
        <v>2.972</v>
      </c>
      <c r="E52" s="41">
        <v>0.03</v>
      </c>
      <c r="F52" s="41">
        <v>-0.03</v>
      </c>
      <c r="G52" s="42" t="s">
        <v>58</v>
      </c>
      <c r="H52" s="43"/>
      <c r="I52" s="44"/>
      <c r="J52" s="44"/>
      <c r="K52" s="45" t="str">
        <f t="shared" si="6"/>
        <v xml:space="preserve"> </v>
      </c>
      <c r="L52" s="45" t="str">
        <f t="shared" si="6"/>
        <v xml:space="preserve"> </v>
      </c>
      <c r="M52" s="45" t="str">
        <f t="shared" si="6"/>
        <v xml:space="preserve"> </v>
      </c>
      <c r="N52" s="46" t="str">
        <f t="shared" si="1"/>
        <v xml:space="preserve"> </v>
      </c>
      <c r="O52" s="47" t="str">
        <f t="shared" si="2"/>
        <v xml:space="preserve"> </v>
      </c>
      <c r="P52" s="48" t="str">
        <f t="shared" si="3"/>
        <v xml:space="preserve"> </v>
      </c>
      <c r="Q52" s="46"/>
      <c r="R52" s="46"/>
      <c r="S52" s="49"/>
    </row>
    <row r="53" spans="1:19" ht="18" customHeight="1">
      <c r="A53" s="39"/>
      <c r="B53" s="168" t="s">
        <v>309</v>
      </c>
      <c r="C53" s="169" t="s">
        <v>296</v>
      </c>
      <c r="D53" s="170"/>
      <c r="E53" s="170">
        <v>1.6</v>
      </c>
      <c r="F53" s="170"/>
      <c r="G53" s="171" t="s">
        <v>297</v>
      </c>
      <c r="H53" s="43"/>
      <c r="I53" s="44"/>
      <c r="J53" s="44"/>
      <c r="K53" s="45" t="str">
        <f t="shared" si="6"/>
        <v xml:space="preserve"> </v>
      </c>
      <c r="L53" s="45" t="str">
        <f t="shared" si="6"/>
        <v xml:space="preserve"> </v>
      </c>
      <c r="M53" s="45" t="str">
        <f t="shared" si="6"/>
        <v xml:space="preserve"> </v>
      </c>
      <c r="N53" s="46" t="str">
        <f t="shared" si="1"/>
        <v xml:space="preserve"> </v>
      </c>
      <c r="O53" s="47" t="str">
        <f t="shared" si="2"/>
        <v xml:space="preserve"> </v>
      </c>
      <c r="P53" s="48" t="str">
        <f t="shared" si="3"/>
        <v xml:space="preserve"> </v>
      </c>
      <c r="Q53" s="46"/>
      <c r="R53" s="46"/>
      <c r="S53" s="49"/>
    </row>
    <row r="54" spans="1:19" ht="18" customHeight="1">
      <c r="A54" s="39"/>
      <c r="B54" s="40" t="s">
        <v>108</v>
      </c>
      <c r="C54" s="42" t="s">
        <v>57</v>
      </c>
      <c r="D54" s="41">
        <v>2.54</v>
      </c>
      <c r="E54" s="41">
        <v>0.03</v>
      </c>
      <c r="F54" s="41">
        <v>-0.03</v>
      </c>
      <c r="G54" s="42" t="s">
        <v>58</v>
      </c>
      <c r="H54" s="43"/>
      <c r="I54" s="44"/>
      <c r="J54" s="44"/>
      <c r="K54" s="45" t="str">
        <f t="shared" si="6"/>
        <v xml:space="preserve"> </v>
      </c>
      <c r="L54" s="45" t="str">
        <f t="shared" si="6"/>
        <v xml:space="preserve"> </v>
      </c>
      <c r="M54" s="45" t="str">
        <f t="shared" si="6"/>
        <v xml:space="preserve"> </v>
      </c>
      <c r="N54" s="46" t="str">
        <f t="shared" si="1"/>
        <v xml:space="preserve"> </v>
      </c>
      <c r="O54" s="47" t="str">
        <f t="shared" si="2"/>
        <v xml:space="preserve"> </v>
      </c>
      <c r="P54" s="48" t="str">
        <f t="shared" si="3"/>
        <v xml:space="preserve"> </v>
      </c>
      <c r="Q54" s="46"/>
      <c r="R54" s="46"/>
      <c r="S54" s="49"/>
    </row>
    <row r="55" spans="1:19" ht="18" customHeight="1">
      <c r="A55" s="39"/>
      <c r="B55" s="40" t="s">
        <v>109</v>
      </c>
      <c r="C55" s="42" t="s">
        <v>57</v>
      </c>
      <c r="D55" s="41">
        <v>0.97799999999999998</v>
      </c>
      <c r="E55" s="41">
        <v>0.03</v>
      </c>
      <c r="F55" s="41">
        <v>-0.03</v>
      </c>
      <c r="G55" s="42" t="s">
        <v>58</v>
      </c>
      <c r="H55" s="43"/>
      <c r="I55" s="44"/>
      <c r="J55" s="44"/>
      <c r="K55" s="45" t="str">
        <f t="shared" ref="K55:M118" si="7">IF(ISERR(H55/H55)=TRUE," ",H55-$D55)</f>
        <v xml:space="preserve"> </v>
      </c>
      <c r="L55" s="45" t="str">
        <f t="shared" si="7"/>
        <v xml:space="preserve"> </v>
      </c>
      <c r="M55" s="45" t="str">
        <f t="shared" si="7"/>
        <v xml:space="preserve"> </v>
      </c>
      <c r="N55" s="46" t="str">
        <f t="shared" si="1"/>
        <v xml:space="preserve"> </v>
      </c>
      <c r="O55" s="47" t="str">
        <f t="shared" si="2"/>
        <v xml:space="preserve"> </v>
      </c>
      <c r="P55" s="48" t="str">
        <f t="shared" si="3"/>
        <v xml:space="preserve"> </v>
      </c>
      <c r="Q55" s="46"/>
      <c r="R55" s="46"/>
      <c r="S55" s="49"/>
    </row>
    <row r="56" spans="1:19" ht="18" customHeight="1">
      <c r="A56" s="39"/>
      <c r="B56" s="40" t="s">
        <v>110</v>
      </c>
      <c r="C56" s="42" t="s">
        <v>57</v>
      </c>
      <c r="D56" s="41">
        <v>0.98499999999999999</v>
      </c>
      <c r="E56" s="41">
        <v>0.03</v>
      </c>
      <c r="F56" s="41">
        <v>-0.03</v>
      </c>
      <c r="G56" s="42" t="s">
        <v>58</v>
      </c>
      <c r="H56" s="43"/>
      <c r="I56" s="44"/>
      <c r="J56" s="44"/>
      <c r="K56" s="45" t="str">
        <f t="shared" si="7"/>
        <v xml:space="preserve"> </v>
      </c>
      <c r="L56" s="45" t="str">
        <f t="shared" si="7"/>
        <v xml:space="preserve"> </v>
      </c>
      <c r="M56" s="45" t="str">
        <f t="shared" si="7"/>
        <v xml:space="preserve"> </v>
      </c>
      <c r="N56" s="46" t="str">
        <f t="shared" si="1"/>
        <v xml:space="preserve"> </v>
      </c>
      <c r="O56" s="47" t="str">
        <f t="shared" si="2"/>
        <v xml:space="preserve"> </v>
      </c>
      <c r="P56" s="48" t="str">
        <f t="shared" si="3"/>
        <v xml:space="preserve"> </v>
      </c>
      <c r="Q56" s="46"/>
      <c r="R56" s="46"/>
      <c r="S56" s="49"/>
    </row>
    <row r="57" spans="1:19" ht="18" customHeight="1">
      <c r="A57" s="39"/>
      <c r="B57" s="40" t="s">
        <v>111</v>
      </c>
      <c r="C57" s="42" t="s">
        <v>57</v>
      </c>
      <c r="D57" s="41">
        <v>3.8</v>
      </c>
      <c r="E57" s="41">
        <v>0.03</v>
      </c>
      <c r="F57" s="41">
        <v>-0.03</v>
      </c>
      <c r="G57" s="42" t="s">
        <v>58</v>
      </c>
      <c r="H57" s="43"/>
      <c r="I57" s="44"/>
      <c r="J57" s="44"/>
      <c r="K57" s="45" t="str">
        <f t="shared" si="7"/>
        <v xml:space="preserve"> </v>
      </c>
      <c r="L57" s="45" t="str">
        <f t="shared" si="7"/>
        <v xml:space="preserve"> </v>
      </c>
      <c r="M57" s="45" t="str">
        <f t="shared" si="7"/>
        <v xml:space="preserve"> </v>
      </c>
      <c r="N57" s="46" t="str">
        <f t="shared" si="1"/>
        <v xml:space="preserve"> </v>
      </c>
      <c r="O57" s="47" t="str">
        <f t="shared" si="2"/>
        <v xml:space="preserve"> </v>
      </c>
      <c r="P57" s="48" t="str">
        <f t="shared" si="3"/>
        <v xml:space="preserve"> </v>
      </c>
      <c r="Q57" s="46"/>
      <c r="R57" s="46"/>
      <c r="S57" s="49"/>
    </row>
    <row r="58" spans="1:19" ht="18" customHeight="1">
      <c r="A58" s="39"/>
      <c r="B58" s="40" t="s">
        <v>112</v>
      </c>
      <c r="C58" s="42" t="s">
        <v>57</v>
      </c>
      <c r="D58" s="41">
        <v>6.4139999999999997</v>
      </c>
      <c r="E58" s="41">
        <v>0.03</v>
      </c>
      <c r="F58" s="41">
        <v>-0.03</v>
      </c>
      <c r="G58" s="42" t="s">
        <v>58</v>
      </c>
      <c r="H58" s="43"/>
      <c r="I58" s="44"/>
      <c r="J58" s="44"/>
      <c r="K58" s="45" t="str">
        <f t="shared" si="7"/>
        <v xml:space="preserve"> </v>
      </c>
      <c r="L58" s="45" t="str">
        <f t="shared" si="7"/>
        <v xml:space="preserve"> </v>
      </c>
      <c r="M58" s="45" t="str">
        <f t="shared" si="7"/>
        <v xml:space="preserve"> </v>
      </c>
      <c r="N58" s="46" t="str">
        <f t="shared" si="1"/>
        <v xml:space="preserve"> </v>
      </c>
      <c r="O58" s="47" t="str">
        <f t="shared" si="2"/>
        <v xml:space="preserve"> </v>
      </c>
      <c r="P58" s="48" t="str">
        <f t="shared" si="3"/>
        <v xml:space="preserve"> </v>
      </c>
      <c r="Q58" s="46"/>
      <c r="R58" s="46"/>
      <c r="S58" s="49"/>
    </row>
    <row r="59" spans="1:19" ht="18" customHeight="1">
      <c r="A59" s="39"/>
      <c r="B59" s="40" t="s">
        <v>113</v>
      </c>
      <c r="C59" s="42" t="s">
        <v>57</v>
      </c>
      <c r="D59" s="41">
        <v>0.61099999999999999</v>
      </c>
      <c r="E59" s="41">
        <v>0.03</v>
      </c>
      <c r="F59" s="41">
        <v>-0.03</v>
      </c>
      <c r="G59" s="42" t="s">
        <v>58</v>
      </c>
      <c r="H59" s="43"/>
      <c r="I59" s="44"/>
      <c r="J59" s="44"/>
      <c r="K59" s="45" t="str">
        <f t="shared" si="7"/>
        <v xml:space="preserve"> </v>
      </c>
      <c r="L59" s="45" t="str">
        <f t="shared" si="7"/>
        <v xml:space="preserve"> </v>
      </c>
      <c r="M59" s="45" t="str">
        <f t="shared" si="7"/>
        <v xml:space="preserve"> </v>
      </c>
      <c r="N59" s="46" t="str">
        <f t="shared" si="1"/>
        <v xml:space="preserve"> </v>
      </c>
      <c r="O59" s="47" t="str">
        <f t="shared" si="2"/>
        <v xml:space="preserve"> </v>
      </c>
      <c r="P59" s="48" t="str">
        <f t="shared" si="3"/>
        <v xml:space="preserve"> </v>
      </c>
      <c r="Q59" s="46"/>
      <c r="R59" s="46"/>
      <c r="S59" s="49"/>
    </row>
    <row r="60" spans="1:19" ht="18" customHeight="1">
      <c r="A60" s="39"/>
      <c r="B60" s="40" t="s">
        <v>114</v>
      </c>
      <c r="C60" s="42" t="s">
        <v>57</v>
      </c>
      <c r="D60" s="41">
        <v>1.91</v>
      </c>
      <c r="E60" s="41">
        <v>0.03</v>
      </c>
      <c r="F60" s="41">
        <v>-0.03</v>
      </c>
      <c r="G60" s="42" t="s">
        <v>58</v>
      </c>
      <c r="H60" s="43"/>
      <c r="I60" s="44"/>
      <c r="J60" s="44"/>
      <c r="K60" s="45" t="str">
        <f t="shared" si="7"/>
        <v xml:space="preserve"> </v>
      </c>
      <c r="L60" s="45" t="str">
        <f t="shared" si="7"/>
        <v xml:space="preserve"> </v>
      </c>
      <c r="M60" s="45" t="str">
        <f t="shared" si="7"/>
        <v xml:space="preserve"> </v>
      </c>
      <c r="N60" s="46" t="str">
        <f t="shared" si="1"/>
        <v xml:space="preserve"> </v>
      </c>
      <c r="O60" s="47" t="str">
        <f t="shared" si="2"/>
        <v xml:space="preserve"> </v>
      </c>
      <c r="P60" s="48" t="str">
        <f t="shared" si="3"/>
        <v xml:space="preserve"> </v>
      </c>
      <c r="Q60" s="46"/>
      <c r="R60" s="46"/>
      <c r="S60" s="49"/>
    </row>
    <row r="61" spans="1:19" ht="18" customHeight="1">
      <c r="A61" s="39"/>
      <c r="B61" s="40" t="s">
        <v>115</v>
      </c>
      <c r="C61" s="42" t="s">
        <v>57</v>
      </c>
      <c r="D61" s="41">
        <v>1.91</v>
      </c>
      <c r="E61" s="41">
        <v>0.03</v>
      </c>
      <c r="F61" s="41">
        <v>-0.03</v>
      </c>
      <c r="G61" s="42" t="s">
        <v>58</v>
      </c>
      <c r="H61" s="43"/>
      <c r="I61" s="44"/>
      <c r="J61" s="44"/>
      <c r="K61" s="45" t="str">
        <f t="shared" si="7"/>
        <v xml:space="preserve"> </v>
      </c>
      <c r="L61" s="45" t="str">
        <f t="shared" si="7"/>
        <v xml:space="preserve"> </v>
      </c>
      <c r="M61" s="45" t="str">
        <f t="shared" si="7"/>
        <v xml:space="preserve"> </v>
      </c>
      <c r="N61" s="46" t="str">
        <f t="shared" si="1"/>
        <v xml:space="preserve"> </v>
      </c>
      <c r="O61" s="47" t="str">
        <f t="shared" si="2"/>
        <v xml:space="preserve"> </v>
      </c>
      <c r="P61" s="48" t="str">
        <f t="shared" si="3"/>
        <v xml:space="preserve"> </v>
      </c>
      <c r="Q61" s="46"/>
      <c r="R61" s="46"/>
      <c r="S61" s="49"/>
    </row>
    <row r="62" spans="1:19" ht="18" customHeight="1">
      <c r="A62" s="39"/>
      <c r="B62" s="40" t="s">
        <v>116</v>
      </c>
      <c r="C62" s="42" t="s">
        <v>57</v>
      </c>
      <c r="D62" s="41">
        <v>1.91</v>
      </c>
      <c r="E62" s="41">
        <v>0.03</v>
      </c>
      <c r="F62" s="41">
        <v>-0.03</v>
      </c>
      <c r="G62" s="42" t="s">
        <v>58</v>
      </c>
      <c r="H62" s="43"/>
      <c r="I62" s="44"/>
      <c r="J62" s="44"/>
      <c r="K62" s="45" t="str">
        <f t="shared" si="7"/>
        <v xml:space="preserve"> </v>
      </c>
      <c r="L62" s="45" t="str">
        <f t="shared" si="7"/>
        <v xml:space="preserve"> </v>
      </c>
      <c r="M62" s="45" t="str">
        <f t="shared" si="7"/>
        <v xml:space="preserve"> </v>
      </c>
      <c r="N62" s="46" t="str">
        <f t="shared" si="1"/>
        <v xml:space="preserve"> </v>
      </c>
      <c r="O62" s="47" t="str">
        <f t="shared" si="2"/>
        <v xml:space="preserve"> </v>
      </c>
      <c r="P62" s="48" t="str">
        <f t="shared" si="3"/>
        <v xml:space="preserve"> </v>
      </c>
      <c r="Q62" s="46"/>
      <c r="R62" s="46"/>
      <c r="S62" s="49"/>
    </row>
    <row r="63" spans="1:19" ht="18" customHeight="1">
      <c r="A63" s="39"/>
      <c r="B63" s="40" t="s">
        <v>117</v>
      </c>
      <c r="C63" s="42" t="s">
        <v>65</v>
      </c>
      <c r="D63" s="41"/>
      <c r="E63" s="41">
        <v>0.02</v>
      </c>
      <c r="F63" s="41"/>
      <c r="G63" s="42" t="s">
        <v>58</v>
      </c>
      <c r="H63" s="43"/>
      <c r="I63" s="44"/>
      <c r="J63" s="44"/>
      <c r="K63" s="45" t="str">
        <f t="shared" si="7"/>
        <v xml:space="preserve"> </v>
      </c>
      <c r="L63" s="45" t="str">
        <f t="shared" si="7"/>
        <v xml:space="preserve"> </v>
      </c>
      <c r="M63" s="45" t="str">
        <f t="shared" si="7"/>
        <v xml:space="preserve"> </v>
      </c>
      <c r="N63" s="46" t="str">
        <f t="shared" si="1"/>
        <v xml:space="preserve"> </v>
      </c>
      <c r="O63" s="47" t="str">
        <f t="shared" si="2"/>
        <v xml:space="preserve"> </v>
      </c>
      <c r="P63" s="48" t="str">
        <f t="shared" si="3"/>
        <v xml:space="preserve"> </v>
      </c>
      <c r="Q63" s="46"/>
      <c r="R63" s="46"/>
      <c r="S63" s="49"/>
    </row>
    <row r="64" spans="1:19" ht="18" customHeight="1">
      <c r="A64" s="39"/>
      <c r="B64" s="40" t="s">
        <v>118</v>
      </c>
      <c r="C64" s="42" t="s">
        <v>57</v>
      </c>
      <c r="D64" s="41">
        <v>3.4449999999999998</v>
      </c>
      <c r="E64" s="41">
        <v>0.02</v>
      </c>
      <c r="F64" s="41">
        <v>-0.02</v>
      </c>
      <c r="G64" s="42" t="s">
        <v>58</v>
      </c>
      <c r="H64" s="43"/>
      <c r="I64" s="44"/>
      <c r="J64" s="44"/>
      <c r="K64" s="45" t="str">
        <f t="shared" si="7"/>
        <v xml:space="preserve"> </v>
      </c>
      <c r="L64" s="45" t="str">
        <f t="shared" si="7"/>
        <v xml:space="preserve"> </v>
      </c>
      <c r="M64" s="45" t="str">
        <f t="shared" si="7"/>
        <v xml:space="preserve"> </v>
      </c>
      <c r="N64" s="46" t="str">
        <f t="shared" si="1"/>
        <v xml:space="preserve"> </v>
      </c>
      <c r="O64" s="47" t="str">
        <f t="shared" si="2"/>
        <v xml:space="preserve"> </v>
      </c>
      <c r="P64" s="48" t="str">
        <f t="shared" si="3"/>
        <v xml:space="preserve"> </v>
      </c>
      <c r="Q64" s="46"/>
      <c r="R64" s="46"/>
      <c r="S64" s="49"/>
    </row>
    <row r="65" spans="1:19" ht="18" customHeight="1">
      <c r="A65" s="39"/>
      <c r="B65" s="40" t="s">
        <v>119</v>
      </c>
      <c r="C65" s="42" t="s">
        <v>57</v>
      </c>
      <c r="D65" s="41">
        <v>0.87</v>
      </c>
      <c r="E65" s="41">
        <v>0.02</v>
      </c>
      <c r="F65" s="41">
        <v>-0.02</v>
      </c>
      <c r="G65" s="42" t="s">
        <v>58</v>
      </c>
      <c r="H65" s="43"/>
      <c r="I65" s="44"/>
      <c r="J65" s="44"/>
      <c r="K65" s="45" t="str">
        <f t="shared" si="7"/>
        <v xml:space="preserve"> </v>
      </c>
      <c r="L65" s="45" t="str">
        <f t="shared" si="7"/>
        <v xml:space="preserve"> </v>
      </c>
      <c r="M65" s="45" t="str">
        <f t="shared" si="7"/>
        <v xml:space="preserve"> </v>
      </c>
      <c r="N65" s="46" t="str">
        <f t="shared" si="1"/>
        <v xml:space="preserve"> </v>
      </c>
      <c r="O65" s="47" t="str">
        <f t="shared" si="2"/>
        <v xml:space="preserve"> </v>
      </c>
      <c r="P65" s="48" t="str">
        <f t="shared" si="3"/>
        <v xml:space="preserve"> </v>
      </c>
      <c r="Q65" s="46"/>
      <c r="R65" s="46"/>
      <c r="S65" s="49"/>
    </row>
    <row r="66" spans="1:19" ht="18" customHeight="1">
      <c r="A66" s="39"/>
      <c r="B66" s="40" t="s">
        <v>120</v>
      </c>
      <c r="C66" s="42" t="s">
        <v>57</v>
      </c>
      <c r="D66" s="41">
        <v>6.48</v>
      </c>
      <c r="E66" s="41">
        <v>2.5000000000000001E-2</v>
      </c>
      <c r="F66" s="41">
        <v>-1.4999999999999999E-2</v>
      </c>
      <c r="G66" s="42" t="s">
        <v>58</v>
      </c>
      <c r="H66" s="43"/>
      <c r="I66" s="44"/>
      <c r="J66" s="44"/>
      <c r="K66" s="45" t="str">
        <f t="shared" si="7"/>
        <v xml:space="preserve"> </v>
      </c>
      <c r="L66" s="45" t="str">
        <f t="shared" si="7"/>
        <v xml:space="preserve"> </v>
      </c>
      <c r="M66" s="45" t="str">
        <f t="shared" si="7"/>
        <v xml:space="preserve"> </v>
      </c>
      <c r="N66" s="46" t="str">
        <f t="shared" si="1"/>
        <v xml:space="preserve"> </v>
      </c>
      <c r="O66" s="47" t="str">
        <f t="shared" si="2"/>
        <v xml:space="preserve"> </v>
      </c>
      <c r="P66" s="48" t="str">
        <f t="shared" si="3"/>
        <v xml:space="preserve"> </v>
      </c>
      <c r="Q66" s="46"/>
      <c r="R66" s="46"/>
      <c r="S66" s="49"/>
    </row>
    <row r="67" spans="1:19" ht="18" customHeight="1">
      <c r="A67" s="39"/>
      <c r="B67" s="40" t="s">
        <v>121</v>
      </c>
      <c r="C67" s="42" t="s">
        <v>57</v>
      </c>
      <c r="D67" s="41">
        <v>1.8</v>
      </c>
      <c r="E67" s="41">
        <v>0.02</v>
      </c>
      <c r="F67" s="41">
        <v>-0.02</v>
      </c>
      <c r="G67" s="42" t="s">
        <v>58</v>
      </c>
      <c r="H67" s="43"/>
      <c r="I67" s="44"/>
      <c r="J67" s="44"/>
      <c r="K67" s="45" t="str">
        <f t="shared" si="7"/>
        <v xml:space="preserve"> </v>
      </c>
      <c r="L67" s="45" t="str">
        <f t="shared" si="7"/>
        <v xml:space="preserve"> </v>
      </c>
      <c r="M67" s="45" t="str">
        <f t="shared" si="7"/>
        <v xml:space="preserve"> </v>
      </c>
      <c r="N67" s="46" t="str">
        <f t="shared" si="1"/>
        <v xml:space="preserve"> </v>
      </c>
      <c r="O67" s="47" t="str">
        <f t="shared" si="2"/>
        <v xml:space="preserve"> </v>
      </c>
      <c r="P67" s="48" t="str">
        <f t="shared" si="3"/>
        <v xml:space="preserve"> </v>
      </c>
      <c r="Q67" s="46"/>
      <c r="R67" s="46"/>
      <c r="S67" s="49"/>
    </row>
    <row r="68" spans="1:19" ht="18" customHeight="1">
      <c r="A68" s="39"/>
      <c r="B68" s="168" t="s">
        <v>295</v>
      </c>
      <c r="C68" s="169" t="s">
        <v>296</v>
      </c>
      <c r="D68" s="170"/>
      <c r="E68" s="170">
        <v>0.5</v>
      </c>
      <c r="F68" s="170"/>
      <c r="G68" s="171" t="s">
        <v>297</v>
      </c>
      <c r="H68" s="43"/>
      <c r="I68" s="44"/>
      <c r="J68" s="44"/>
      <c r="K68" s="45" t="str">
        <f t="shared" si="7"/>
        <v xml:space="preserve"> </v>
      </c>
      <c r="L68" s="45" t="str">
        <f t="shared" si="7"/>
        <v xml:space="preserve"> </v>
      </c>
      <c r="M68" s="45" t="str">
        <f t="shared" si="7"/>
        <v xml:space="preserve"> </v>
      </c>
      <c r="N68" s="46" t="str">
        <f t="shared" si="1"/>
        <v xml:space="preserve"> </v>
      </c>
      <c r="O68" s="47" t="str">
        <f t="shared" si="2"/>
        <v xml:space="preserve"> </v>
      </c>
      <c r="P68" s="48" t="str">
        <f t="shared" si="3"/>
        <v xml:space="preserve"> </v>
      </c>
      <c r="Q68" s="46"/>
      <c r="R68" s="46"/>
      <c r="S68" s="49"/>
    </row>
    <row r="69" spans="1:19" ht="18" customHeight="1">
      <c r="A69" s="39"/>
      <c r="B69" s="168" t="s">
        <v>298</v>
      </c>
      <c r="C69" s="169" t="s">
        <v>296</v>
      </c>
      <c r="D69" s="170"/>
      <c r="E69" s="170">
        <v>0.5</v>
      </c>
      <c r="F69" s="170"/>
      <c r="G69" s="171" t="s">
        <v>297</v>
      </c>
      <c r="H69" s="43"/>
      <c r="I69" s="44"/>
      <c r="J69" s="44"/>
      <c r="K69" s="45" t="str">
        <f t="shared" si="7"/>
        <v xml:space="preserve"> </v>
      </c>
      <c r="L69" s="45" t="str">
        <f t="shared" si="7"/>
        <v xml:space="preserve"> </v>
      </c>
      <c r="M69" s="45" t="str">
        <f t="shared" si="7"/>
        <v xml:space="preserve"> </v>
      </c>
      <c r="N69" s="46" t="str">
        <f t="shared" si="1"/>
        <v xml:space="preserve"> </v>
      </c>
      <c r="O69" s="47" t="str">
        <f t="shared" si="2"/>
        <v xml:space="preserve"> </v>
      </c>
      <c r="P69" s="48" t="str">
        <f t="shared" si="3"/>
        <v xml:space="preserve"> </v>
      </c>
      <c r="Q69" s="46"/>
      <c r="R69" s="46"/>
      <c r="S69" s="49"/>
    </row>
    <row r="70" spans="1:19" ht="18" customHeight="1">
      <c r="A70" s="39"/>
      <c r="B70" s="168" t="s">
        <v>299</v>
      </c>
      <c r="C70" s="169" t="s">
        <v>296</v>
      </c>
      <c r="D70" s="170"/>
      <c r="E70" s="170">
        <v>0.5</v>
      </c>
      <c r="F70" s="170"/>
      <c r="G70" s="171" t="s">
        <v>297</v>
      </c>
      <c r="H70" s="43"/>
      <c r="I70" s="44"/>
      <c r="J70" s="44"/>
      <c r="K70" s="45" t="str">
        <f t="shared" si="7"/>
        <v xml:space="preserve"> </v>
      </c>
      <c r="L70" s="45" t="str">
        <f t="shared" si="7"/>
        <v xml:space="preserve"> </v>
      </c>
      <c r="M70" s="45" t="str">
        <f t="shared" si="7"/>
        <v xml:space="preserve"> </v>
      </c>
      <c r="N70" s="46" t="str">
        <f t="shared" si="1"/>
        <v xml:space="preserve"> </v>
      </c>
      <c r="O70" s="47" t="str">
        <f t="shared" si="2"/>
        <v xml:space="preserve"> </v>
      </c>
      <c r="P70" s="48" t="str">
        <f t="shared" si="3"/>
        <v xml:space="preserve"> </v>
      </c>
      <c r="Q70" s="46"/>
      <c r="R70" s="46"/>
      <c r="S70" s="49"/>
    </row>
    <row r="71" spans="1:19" ht="18" customHeight="1">
      <c r="A71" s="39"/>
      <c r="B71" s="168" t="s">
        <v>300</v>
      </c>
      <c r="C71" s="169" t="s">
        <v>296</v>
      </c>
      <c r="D71" s="170"/>
      <c r="E71" s="170">
        <v>0.5</v>
      </c>
      <c r="F71" s="170"/>
      <c r="G71" s="171" t="s">
        <v>297</v>
      </c>
      <c r="H71" s="43"/>
      <c r="I71" s="44"/>
      <c r="J71" s="44"/>
      <c r="K71" s="45" t="str">
        <f t="shared" si="7"/>
        <v xml:space="preserve"> </v>
      </c>
      <c r="L71" s="45" t="str">
        <f t="shared" si="7"/>
        <v xml:space="preserve"> </v>
      </c>
      <c r="M71" s="45" t="str">
        <f t="shared" si="7"/>
        <v xml:space="preserve"> </v>
      </c>
      <c r="N71" s="46" t="str">
        <f t="shared" si="1"/>
        <v xml:space="preserve"> </v>
      </c>
      <c r="O71" s="47" t="str">
        <f t="shared" si="2"/>
        <v xml:space="preserve"> </v>
      </c>
      <c r="P71" s="48" t="str">
        <f t="shared" si="3"/>
        <v xml:space="preserve"> </v>
      </c>
      <c r="Q71" s="46"/>
      <c r="R71" s="46"/>
      <c r="S71" s="49"/>
    </row>
    <row r="72" spans="1:19" ht="18" customHeight="1">
      <c r="A72" s="39"/>
      <c r="B72" s="168" t="s">
        <v>301</v>
      </c>
      <c r="C72" s="169" t="s">
        <v>296</v>
      </c>
      <c r="D72" s="170"/>
      <c r="E72" s="170">
        <v>0.5</v>
      </c>
      <c r="F72" s="170"/>
      <c r="G72" s="171" t="s">
        <v>297</v>
      </c>
      <c r="H72" s="43"/>
      <c r="I72" s="44"/>
      <c r="J72" s="44"/>
      <c r="K72" s="45" t="str">
        <f t="shared" si="7"/>
        <v xml:space="preserve"> </v>
      </c>
      <c r="L72" s="45" t="str">
        <f t="shared" si="7"/>
        <v xml:space="preserve"> </v>
      </c>
      <c r="M72" s="45" t="str">
        <f t="shared" si="7"/>
        <v xml:space="preserve"> </v>
      </c>
      <c r="N72" s="46" t="str">
        <f t="shared" si="1"/>
        <v xml:space="preserve"> </v>
      </c>
      <c r="O72" s="47" t="str">
        <f t="shared" si="2"/>
        <v xml:space="preserve"> </v>
      </c>
      <c r="P72" s="48" t="str">
        <f t="shared" si="3"/>
        <v xml:space="preserve"> </v>
      </c>
      <c r="Q72" s="46"/>
      <c r="R72" s="46"/>
      <c r="S72" s="49"/>
    </row>
    <row r="73" spans="1:19" ht="18" customHeight="1">
      <c r="A73" s="39"/>
      <c r="B73" s="168" t="s">
        <v>302</v>
      </c>
      <c r="C73" s="169" t="s">
        <v>296</v>
      </c>
      <c r="D73" s="170"/>
      <c r="E73" s="170">
        <v>0.5</v>
      </c>
      <c r="F73" s="170"/>
      <c r="G73" s="171" t="s">
        <v>297</v>
      </c>
      <c r="H73" s="43"/>
      <c r="I73" s="44"/>
      <c r="J73" s="44"/>
      <c r="K73" s="45" t="str">
        <f t="shared" si="7"/>
        <v xml:space="preserve"> </v>
      </c>
      <c r="L73" s="45" t="str">
        <f t="shared" si="7"/>
        <v xml:space="preserve"> </v>
      </c>
      <c r="M73" s="45" t="str">
        <f t="shared" si="7"/>
        <v xml:space="preserve"> </v>
      </c>
      <c r="N73" s="46" t="str">
        <f t="shared" si="1"/>
        <v xml:space="preserve"> </v>
      </c>
      <c r="O73" s="47" t="str">
        <f t="shared" si="2"/>
        <v xml:space="preserve"> </v>
      </c>
      <c r="P73" s="48" t="str">
        <f t="shared" si="3"/>
        <v xml:space="preserve"> </v>
      </c>
      <c r="Q73" s="46"/>
      <c r="R73" s="46"/>
      <c r="S73" s="49"/>
    </row>
    <row r="74" spans="1:19" ht="18" customHeight="1">
      <c r="A74" s="39"/>
      <c r="B74" s="168" t="s">
        <v>303</v>
      </c>
      <c r="C74" s="169" t="s">
        <v>296</v>
      </c>
      <c r="D74" s="170"/>
      <c r="E74" s="170">
        <v>0.5</v>
      </c>
      <c r="F74" s="170"/>
      <c r="G74" s="171" t="s">
        <v>297</v>
      </c>
      <c r="H74" s="43"/>
      <c r="I74" s="44"/>
      <c r="J74" s="44"/>
      <c r="K74" s="45" t="str">
        <f t="shared" si="7"/>
        <v xml:space="preserve"> </v>
      </c>
      <c r="L74" s="45" t="str">
        <f t="shared" si="7"/>
        <v xml:space="preserve"> </v>
      </c>
      <c r="M74" s="45" t="str">
        <f t="shared" si="7"/>
        <v xml:space="preserve"> </v>
      </c>
      <c r="N74" s="46" t="str">
        <f t="shared" si="1"/>
        <v xml:space="preserve"> </v>
      </c>
      <c r="O74" s="47" t="str">
        <f t="shared" si="2"/>
        <v xml:space="preserve"> </v>
      </c>
      <c r="P74" s="48" t="str">
        <f t="shared" si="3"/>
        <v xml:space="preserve"> </v>
      </c>
      <c r="Q74" s="46"/>
      <c r="R74" s="46"/>
      <c r="S74" s="49"/>
    </row>
    <row r="75" spans="1:19" ht="18" customHeight="1">
      <c r="A75" s="39"/>
      <c r="B75" s="168" t="s">
        <v>304</v>
      </c>
      <c r="C75" s="169" t="s">
        <v>296</v>
      </c>
      <c r="D75" s="170"/>
      <c r="E75" s="170">
        <v>0.5</v>
      </c>
      <c r="F75" s="170"/>
      <c r="G75" s="171" t="s">
        <v>297</v>
      </c>
      <c r="H75" s="43"/>
      <c r="I75" s="44"/>
      <c r="J75" s="44"/>
      <c r="K75" s="45" t="str">
        <f t="shared" si="7"/>
        <v xml:space="preserve"> </v>
      </c>
      <c r="L75" s="45" t="str">
        <f t="shared" si="7"/>
        <v xml:space="preserve"> </v>
      </c>
      <c r="M75" s="45" t="str">
        <f t="shared" si="7"/>
        <v xml:space="preserve"> </v>
      </c>
      <c r="N75" s="46" t="str">
        <f t="shared" si="1"/>
        <v xml:space="preserve"> </v>
      </c>
      <c r="O75" s="47" t="str">
        <f t="shared" si="2"/>
        <v xml:space="preserve"> </v>
      </c>
      <c r="P75" s="48" t="str">
        <f t="shared" si="3"/>
        <v xml:space="preserve"> </v>
      </c>
      <c r="Q75" s="46"/>
      <c r="R75" s="46"/>
      <c r="S75" s="49"/>
    </row>
    <row r="76" spans="1:19" ht="18" customHeight="1">
      <c r="A76" s="39"/>
      <c r="B76" s="168" t="s">
        <v>305</v>
      </c>
      <c r="C76" s="169" t="s">
        <v>296</v>
      </c>
      <c r="D76" s="170"/>
      <c r="E76" s="170">
        <v>0.5</v>
      </c>
      <c r="F76" s="170"/>
      <c r="G76" s="171" t="s">
        <v>297</v>
      </c>
      <c r="H76" s="43"/>
      <c r="I76" s="44"/>
      <c r="J76" s="44"/>
      <c r="K76" s="45" t="str">
        <f t="shared" si="7"/>
        <v xml:space="preserve"> </v>
      </c>
      <c r="L76" s="45" t="str">
        <f t="shared" si="7"/>
        <v xml:space="preserve"> </v>
      </c>
      <c r="M76" s="45" t="str">
        <f t="shared" si="7"/>
        <v xml:space="preserve"> </v>
      </c>
      <c r="N76" s="46" t="str">
        <f t="shared" si="1"/>
        <v xml:space="preserve"> </v>
      </c>
      <c r="O76" s="47" t="str">
        <f t="shared" si="2"/>
        <v xml:space="preserve"> </v>
      </c>
      <c r="P76" s="48" t="str">
        <f t="shared" si="3"/>
        <v xml:space="preserve"> </v>
      </c>
      <c r="Q76" s="46"/>
      <c r="R76" s="46"/>
      <c r="S76" s="49"/>
    </row>
    <row r="77" spans="1:19" ht="18" customHeight="1">
      <c r="A77" s="39"/>
      <c r="B77" s="168" t="s">
        <v>306</v>
      </c>
      <c r="C77" s="169" t="s">
        <v>296</v>
      </c>
      <c r="D77" s="170"/>
      <c r="E77" s="170">
        <v>0.5</v>
      </c>
      <c r="F77" s="170"/>
      <c r="G77" s="171" t="s">
        <v>297</v>
      </c>
      <c r="H77" s="43"/>
      <c r="I77" s="44"/>
      <c r="J77" s="44"/>
      <c r="K77" s="45" t="str">
        <f t="shared" si="7"/>
        <v xml:space="preserve"> </v>
      </c>
      <c r="L77" s="45" t="str">
        <f t="shared" si="7"/>
        <v xml:space="preserve"> </v>
      </c>
      <c r="M77" s="45" t="str">
        <f t="shared" si="7"/>
        <v xml:space="preserve"> </v>
      </c>
      <c r="N77" s="46" t="str">
        <f t="shared" si="1"/>
        <v xml:space="preserve"> </v>
      </c>
      <c r="O77" s="47" t="str">
        <f t="shared" si="2"/>
        <v xml:space="preserve"> </v>
      </c>
      <c r="P77" s="48" t="str">
        <f t="shared" si="3"/>
        <v xml:space="preserve"> </v>
      </c>
      <c r="Q77" s="46"/>
      <c r="R77" s="46"/>
      <c r="S77" s="49"/>
    </row>
    <row r="78" spans="1:19" ht="18" customHeight="1">
      <c r="A78" s="39"/>
      <c r="B78" s="168" t="s">
        <v>307</v>
      </c>
      <c r="C78" s="169" t="s">
        <v>296</v>
      </c>
      <c r="D78" s="170"/>
      <c r="E78" s="170">
        <v>0.5</v>
      </c>
      <c r="F78" s="170"/>
      <c r="G78" s="171" t="s">
        <v>297</v>
      </c>
      <c r="H78" s="43"/>
      <c r="I78" s="44"/>
      <c r="J78" s="44"/>
      <c r="K78" s="45" t="str">
        <f t="shared" si="7"/>
        <v xml:space="preserve"> </v>
      </c>
      <c r="L78" s="45" t="str">
        <f t="shared" si="7"/>
        <v xml:space="preserve"> </v>
      </c>
      <c r="M78" s="45" t="str">
        <f t="shared" si="7"/>
        <v xml:space="preserve"> </v>
      </c>
      <c r="N78" s="46" t="str">
        <f t="shared" si="1"/>
        <v xml:space="preserve"> </v>
      </c>
      <c r="O78" s="47" t="str">
        <f t="shared" si="2"/>
        <v xml:space="preserve"> </v>
      </c>
      <c r="P78" s="48" t="str">
        <f t="shared" si="3"/>
        <v xml:space="preserve"> </v>
      </c>
      <c r="Q78" s="46"/>
      <c r="R78" s="46"/>
      <c r="S78" s="49"/>
    </row>
    <row r="79" spans="1:19" ht="18" customHeight="1">
      <c r="A79" s="39"/>
      <c r="B79" s="168" t="s">
        <v>308</v>
      </c>
      <c r="C79" s="169" t="s">
        <v>296</v>
      </c>
      <c r="D79" s="170"/>
      <c r="E79" s="170">
        <v>0.5</v>
      </c>
      <c r="F79" s="170"/>
      <c r="G79" s="171" t="s">
        <v>297</v>
      </c>
      <c r="H79" s="43"/>
      <c r="I79" s="44"/>
      <c r="J79" s="44"/>
      <c r="K79" s="45" t="str">
        <f t="shared" si="7"/>
        <v xml:space="preserve"> </v>
      </c>
      <c r="L79" s="45" t="str">
        <f t="shared" si="7"/>
        <v xml:space="preserve"> </v>
      </c>
      <c r="M79" s="45" t="str">
        <f t="shared" si="7"/>
        <v xml:space="preserve"> </v>
      </c>
      <c r="N79" s="46" t="str">
        <f t="shared" si="1"/>
        <v xml:space="preserve"> </v>
      </c>
      <c r="O79" s="47" t="str">
        <f t="shared" si="2"/>
        <v xml:space="preserve"> </v>
      </c>
      <c r="P79" s="48" t="str">
        <f t="shared" si="3"/>
        <v xml:space="preserve"> </v>
      </c>
      <c r="Q79" s="46"/>
      <c r="R79" s="46"/>
      <c r="S79" s="49"/>
    </row>
    <row r="80" spans="1:19" ht="18" customHeight="1">
      <c r="A80" s="39"/>
      <c r="B80" s="40" t="s">
        <v>122</v>
      </c>
      <c r="C80" s="42" t="s">
        <v>57</v>
      </c>
      <c r="D80" s="41">
        <v>0.45</v>
      </c>
      <c r="E80" s="41">
        <v>0.01</v>
      </c>
      <c r="F80" s="41">
        <v>-0.03</v>
      </c>
      <c r="G80" s="42" t="s">
        <v>58</v>
      </c>
      <c r="H80" s="43"/>
      <c r="I80" s="44"/>
      <c r="J80" s="44"/>
      <c r="K80" s="45" t="str">
        <f t="shared" si="7"/>
        <v xml:space="preserve"> </v>
      </c>
      <c r="L80" s="45" t="str">
        <f t="shared" si="7"/>
        <v xml:space="preserve"> </v>
      </c>
      <c r="M80" s="45" t="str">
        <f t="shared" si="7"/>
        <v xml:space="preserve"> </v>
      </c>
      <c r="N80" s="46" t="str">
        <f t="shared" si="1"/>
        <v xml:space="preserve"> </v>
      </c>
      <c r="O80" s="47" t="str">
        <f t="shared" si="2"/>
        <v xml:space="preserve"> </v>
      </c>
      <c r="P80" s="48" t="str">
        <f t="shared" si="3"/>
        <v xml:space="preserve"> </v>
      </c>
      <c r="Q80" s="46"/>
      <c r="R80" s="46"/>
      <c r="S80" s="49"/>
    </row>
    <row r="81" spans="1:19" ht="18" customHeight="1">
      <c r="A81" s="39"/>
      <c r="B81" s="40" t="s">
        <v>123</v>
      </c>
      <c r="C81" s="42" t="s">
        <v>57</v>
      </c>
      <c r="D81" s="41">
        <v>0.23</v>
      </c>
      <c r="E81" s="41">
        <v>0.01</v>
      </c>
      <c r="F81" s="41">
        <v>-0.03</v>
      </c>
      <c r="G81" s="42" t="s">
        <v>58</v>
      </c>
      <c r="H81" s="43"/>
      <c r="I81" s="44"/>
      <c r="J81" s="44"/>
      <c r="K81" s="45" t="str">
        <f t="shared" si="7"/>
        <v xml:space="preserve"> </v>
      </c>
      <c r="L81" s="45" t="str">
        <f t="shared" si="7"/>
        <v xml:space="preserve"> </v>
      </c>
      <c r="M81" s="45" t="str">
        <f t="shared" si="7"/>
        <v xml:space="preserve"> </v>
      </c>
      <c r="N81" s="46" t="str">
        <f t="shared" si="1"/>
        <v xml:space="preserve"> </v>
      </c>
      <c r="O81" s="47" t="str">
        <f t="shared" si="2"/>
        <v xml:space="preserve"> </v>
      </c>
      <c r="P81" s="48" t="str">
        <f t="shared" si="3"/>
        <v xml:space="preserve"> </v>
      </c>
      <c r="Q81" s="46"/>
      <c r="R81" s="46"/>
      <c r="S81" s="49"/>
    </row>
    <row r="82" spans="1:19" ht="18" customHeight="1">
      <c r="A82" s="39"/>
      <c r="B82" s="40" t="s">
        <v>124</v>
      </c>
      <c r="C82" s="42" t="s">
        <v>57</v>
      </c>
      <c r="D82" s="41">
        <v>0.4</v>
      </c>
      <c r="E82" s="41">
        <v>0.01</v>
      </c>
      <c r="F82" s="41">
        <v>-0.03</v>
      </c>
      <c r="G82" s="42" t="s">
        <v>58</v>
      </c>
      <c r="H82" s="43"/>
      <c r="I82" s="44"/>
      <c r="J82" s="44"/>
      <c r="K82" s="45" t="str">
        <f t="shared" si="7"/>
        <v xml:space="preserve"> </v>
      </c>
      <c r="L82" s="45" t="str">
        <f t="shared" si="7"/>
        <v xml:space="preserve"> </v>
      </c>
      <c r="M82" s="45" t="str">
        <f t="shared" si="7"/>
        <v xml:space="preserve"> </v>
      </c>
      <c r="N82" s="46" t="str">
        <f t="shared" si="1"/>
        <v xml:space="preserve"> </v>
      </c>
      <c r="O82" s="47" t="str">
        <f t="shared" si="2"/>
        <v xml:space="preserve"> </v>
      </c>
      <c r="P82" s="48" t="str">
        <f t="shared" si="3"/>
        <v xml:space="preserve"> </v>
      </c>
      <c r="Q82" s="46"/>
      <c r="R82" s="46"/>
      <c r="S82" s="49"/>
    </row>
    <row r="83" spans="1:19" ht="18" customHeight="1">
      <c r="A83" s="39"/>
      <c r="B83" s="40" t="s">
        <v>125</v>
      </c>
      <c r="C83" s="42" t="s">
        <v>57</v>
      </c>
      <c r="D83" s="41">
        <v>0.4</v>
      </c>
      <c r="E83" s="41">
        <v>0.01</v>
      </c>
      <c r="F83" s="41">
        <v>-0.03</v>
      </c>
      <c r="G83" s="42" t="s">
        <v>58</v>
      </c>
      <c r="H83" s="43"/>
      <c r="I83" s="44"/>
      <c r="J83" s="44"/>
      <c r="K83" s="45" t="str">
        <f t="shared" si="7"/>
        <v xml:space="preserve"> </v>
      </c>
      <c r="L83" s="45" t="str">
        <f t="shared" si="7"/>
        <v xml:space="preserve"> </v>
      </c>
      <c r="M83" s="45" t="str">
        <f t="shared" si="7"/>
        <v xml:space="preserve"> </v>
      </c>
      <c r="N83" s="46" t="str">
        <f t="shared" ref="N83:N118" si="8">IF(ISERR(H83/H83)=TRUE," ",AVERAGE(H83:J83))</f>
        <v xml:space="preserve"> </v>
      </c>
      <c r="O83" s="47" t="str">
        <f t="shared" ref="O83:O118" si="9">IF(ISERR(E83/E83)=TRUE," ",IF(ISERR(H83/H83)=TRUE," ",IF(ISNUMBER($H83)=FALSE," ",IF(MAX($H83:$J83)&lt;$D83,0,(MAX($H83:$J83)-$D83)/$E83))))</f>
        <v xml:space="preserve"> </v>
      </c>
      <c r="P83" s="48" t="str">
        <f t="shared" ref="P83:P118" si="10">IF(ISERR(F83/D83)=TRUE," ",IF(ISERR(F83/F83)=TRUE," ",IF(ISERR(H83/H83)=TRUE," ",IF(ISNUMBER(H83)=FALSE," ",IF(MIN(H83:J83)&gt;$D83,0,($D83-MIN(H83:J83))/-F83)))))</f>
        <v xml:space="preserve"> </v>
      </c>
      <c r="Q83" s="46"/>
      <c r="R83" s="46"/>
      <c r="S83" s="49"/>
    </row>
    <row r="84" spans="1:19" ht="18" customHeight="1">
      <c r="A84" s="39"/>
      <c r="B84" s="40" t="s">
        <v>126</v>
      </c>
      <c r="C84" s="42" t="s">
        <v>57</v>
      </c>
      <c r="D84" s="41">
        <v>0.16</v>
      </c>
      <c r="E84" s="41">
        <v>0.02</v>
      </c>
      <c r="F84" s="41">
        <v>-0.02</v>
      </c>
      <c r="G84" s="42" t="s">
        <v>58</v>
      </c>
      <c r="H84" s="43"/>
      <c r="I84" s="44"/>
      <c r="J84" s="44"/>
      <c r="K84" s="45" t="str">
        <f t="shared" si="7"/>
        <v xml:space="preserve"> </v>
      </c>
      <c r="L84" s="45" t="str">
        <f t="shared" si="7"/>
        <v xml:space="preserve"> </v>
      </c>
      <c r="M84" s="45" t="str">
        <f t="shared" si="7"/>
        <v xml:space="preserve"> </v>
      </c>
      <c r="N84" s="46" t="str">
        <f t="shared" si="8"/>
        <v xml:space="preserve"> </v>
      </c>
      <c r="O84" s="47" t="str">
        <f t="shared" si="9"/>
        <v xml:space="preserve"> </v>
      </c>
      <c r="P84" s="48" t="str">
        <f t="shared" si="10"/>
        <v xml:space="preserve"> </v>
      </c>
      <c r="Q84" s="46"/>
      <c r="R84" s="46"/>
      <c r="S84" s="49"/>
    </row>
    <row r="85" spans="1:19" ht="18" customHeight="1">
      <c r="A85" s="39"/>
      <c r="B85" s="40" t="s">
        <v>127</v>
      </c>
      <c r="C85" s="42" t="s">
        <v>57</v>
      </c>
      <c r="D85" s="41">
        <v>0.40500000000000003</v>
      </c>
      <c r="E85" s="41">
        <v>0.02</v>
      </c>
      <c r="F85" s="41">
        <v>-0.02</v>
      </c>
      <c r="G85" s="42" t="s">
        <v>58</v>
      </c>
      <c r="H85" s="43"/>
      <c r="I85" s="44"/>
      <c r="J85" s="44"/>
      <c r="K85" s="45" t="str">
        <f t="shared" si="7"/>
        <v xml:space="preserve"> </v>
      </c>
      <c r="L85" s="45" t="str">
        <f t="shared" si="7"/>
        <v xml:space="preserve"> </v>
      </c>
      <c r="M85" s="45" t="str">
        <f t="shared" si="7"/>
        <v xml:space="preserve"> </v>
      </c>
      <c r="N85" s="46" t="str">
        <f t="shared" si="8"/>
        <v xml:space="preserve"> </v>
      </c>
      <c r="O85" s="47" t="str">
        <f t="shared" si="9"/>
        <v xml:space="preserve"> </v>
      </c>
      <c r="P85" s="48" t="str">
        <f t="shared" si="10"/>
        <v xml:space="preserve"> </v>
      </c>
      <c r="Q85" s="46"/>
      <c r="R85" s="46"/>
      <c r="S85" s="49"/>
    </row>
    <row r="86" spans="1:19" ht="18" customHeight="1">
      <c r="A86" s="39"/>
      <c r="B86" s="40" t="s">
        <v>128</v>
      </c>
      <c r="C86" s="42" t="s">
        <v>57</v>
      </c>
      <c r="D86" s="41">
        <v>6.8140000000000001</v>
      </c>
      <c r="E86" s="41">
        <v>0.02</v>
      </c>
      <c r="F86" s="41">
        <v>-0.02</v>
      </c>
      <c r="G86" s="42" t="s">
        <v>58</v>
      </c>
      <c r="H86" s="43"/>
      <c r="I86" s="44"/>
      <c r="J86" s="44"/>
      <c r="K86" s="45" t="str">
        <f t="shared" si="7"/>
        <v xml:space="preserve"> </v>
      </c>
      <c r="L86" s="45" t="str">
        <f t="shared" si="7"/>
        <v xml:space="preserve"> </v>
      </c>
      <c r="M86" s="45" t="str">
        <f t="shared" si="7"/>
        <v xml:space="preserve"> </v>
      </c>
      <c r="N86" s="46" t="str">
        <f t="shared" si="8"/>
        <v xml:space="preserve"> </v>
      </c>
      <c r="O86" s="47" t="str">
        <f t="shared" si="9"/>
        <v xml:space="preserve"> </v>
      </c>
      <c r="P86" s="48" t="str">
        <f t="shared" si="10"/>
        <v xml:space="preserve"> </v>
      </c>
      <c r="Q86" s="46"/>
      <c r="R86" s="46"/>
      <c r="S86" s="49"/>
    </row>
    <row r="87" spans="1:19" ht="18" customHeight="1">
      <c r="A87" s="39"/>
      <c r="B87" s="40" t="s">
        <v>129</v>
      </c>
      <c r="C87" s="42" t="s">
        <v>57</v>
      </c>
      <c r="D87" s="41">
        <v>10.25</v>
      </c>
      <c r="E87" s="41">
        <v>0.02</v>
      </c>
      <c r="F87" s="41">
        <v>-0.02</v>
      </c>
      <c r="G87" s="42" t="s">
        <v>58</v>
      </c>
      <c r="H87" s="43"/>
      <c r="I87" s="44"/>
      <c r="J87" s="44"/>
      <c r="K87" s="45" t="str">
        <f t="shared" si="7"/>
        <v xml:space="preserve"> </v>
      </c>
      <c r="L87" s="45" t="str">
        <f t="shared" si="7"/>
        <v xml:space="preserve"> </v>
      </c>
      <c r="M87" s="45" t="str">
        <f t="shared" si="7"/>
        <v xml:space="preserve"> </v>
      </c>
      <c r="N87" s="46" t="str">
        <f t="shared" si="8"/>
        <v xml:space="preserve"> </v>
      </c>
      <c r="O87" s="47" t="str">
        <f t="shared" si="9"/>
        <v xml:space="preserve"> </v>
      </c>
      <c r="P87" s="48" t="str">
        <f t="shared" si="10"/>
        <v xml:space="preserve"> </v>
      </c>
      <c r="Q87" s="46"/>
      <c r="R87" s="46"/>
      <c r="S87" s="49"/>
    </row>
    <row r="88" spans="1:19" ht="18" customHeight="1">
      <c r="A88" s="39"/>
      <c r="B88" s="40" t="s">
        <v>130</v>
      </c>
      <c r="C88" s="42" t="s">
        <v>57</v>
      </c>
      <c r="D88" s="41">
        <v>0.77</v>
      </c>
      <c r="E88" s="41">
        <v>0.02</v>
      </c>
      <c r="F88" s="41">
        <v>-0.02</v>
      </c>
      <c r="G88" s="42" t="s">
        <v>58</v>
      </c>
      <c r="H88" s="43"/>
      <c r="I88" s="44"/>
      <c r="J88" s="44"/>
      <c r="K88" s="45" t="str">
        <f t="shared" si="7"/>
        <v xml:space="preserve"> </v>
      </c>
      <c r="L88" s="45" t="str">
        <f t="shared" si="7"/>
        <v xml:space="preserve"> </v>
      </c>
      <c r="M88" s="45" t="str">
        <f t="shared" si="7"/>
        <v xml:space="preserve"> </v>
      </c>
      <c r="N88" s="46" t="str">
        <f t="shared" si="8"/>
        <v xml:space="preserve"> </v>
      </c>
      <c r="O88" s="47" t="str">
        <f t="shared" si="9"/>
        <v xml:space="preserve"> </v>
      </c>
      <c r="P88" s="48" t="str">
        <f t="shared" si="10"/>
        <v xml:space="preserve"> </v>
      </c>
      <c r="Q88" s="46"/>
      <c r="R88" s="46"/>
      <c r="S88" s="49"/>
    </row>
    <row r="89" spans="1:19" ht="18" customHeight="1">
      <c r="A89" s="39"/>
      <c r="B89" s="40" t="s">
        <v>131</v>
      </c>
      <c r="C89" s="42" t="s">
        <v>57</v>
      </c>
      <c r="D89" s="41">
        <v>3.093</v>
      </c>
      <c r="E89" s="41">
        <v>0.02</v>
      </c>
      <c r="F89" s="41">
        <v>-0.02</v>
      </c>
      <c r="G89" s="42" t="s">
        <v>58</v>
      </c>
      <c r="H89" s="43"/>
      <c r="I89" s="44"/>
      <c r="J89" s="44"/>
      <c r="K89" s="45" t="str">
        <f t="shared" si="7"/>
        <v xml:space="preserve"> </v>
      </c>
      <c r="L89" s="45" t="str">
        <f t="shared" si="7"/>
        <v xml:space="preserve"> </v>
      </c>
      <c r="M89" s="45" t="str">
        <f t="shared" si="7"/>
        <v xml:space="preserve"> </v>
      </c>
      <c r="N89" s="46" t="str">
        <f t="shared" si="8"/>
        <v xml:space="preserve"> </v>
      </c>
      <c r="O89" s="47" t="str">
        <f t="shared" si="9"/>
        <v xml:space="preserve"> </v>
      </c>
      <c r="P89" s="48" t="str">
        <f t="shared" si="10"/>
        <v xml:space="preserve"> </v>
      </c>
      <c r="Q89" s="46"/>
      <c r="R89" s="46"/>
      <c r="S89" s="49"/>
    </row>
    <row r="90" spans="1:19" ht="18" customHeight="1">
      <c r="A90" s="39"/>
      <c r="B90" s="40" t="s">
        <v>132</v>
      </c>
      <c r="C90" s="42" t="s">
        <v>57</v>
      </c>
      <c r="D90" s="41">
        <v>1.129</v>
      </c>
      <c r="E90" s="41">
        <v>0.02</v>
      </c>
      <c r="F90" s="41">
        <v>-0.02</v>
      </c>
      <c r="G90" s="42" t="s">
        <v>58</v>
      </c>
      <c r="H90" s="43"/>
      <c r="I90" s="44"/>
      <c r="J90" s="44"/>
      <c r="K90" s="45" t="str">
        <f t="shared" si="7"/>
        <v xml:space="preserve"> </v>
      </c>
      <c r="L90" s="45" t="str">
        <f t="shared" si="7"/>
        <v xml:space="preserve"> </v>
      </c>
      <c r="M90" s="45" t="str">
        <f t="shared" si="7"/>
        <v xml:space="preserve"> </v>
      </c>
      <c r="N90" s="46" t="str">
        <f t="shared" si="8"/>
        <v xml:space="preserve"> </v>
      </c>
      <c r="O90" s="47" t="str">
        <f t="shared" si="9"/>
        <v xml:space="preserve"> </v>
      </c>
      <c r="P90" s="48" t="str">
        <f t="shared" si="10"/>
        <v xml:space="preserve"> </v>
      </c>
      <c r="Q90" s="46"/>
      <c r="R90" s="46"/>
      <c r="S90" s="49"/>
    </row>
    <row r="91" spans="1:19" ht="18" customHeight="1">
      <c r="A91" s="39"/>
      <c r="B91" s="40" t="s">
        <v>133</v>
      </c>
      <c r="C91" s="42" t="s">
        <v>57</v>
      </c>
      <c r="D91" s="41">
        <v>0.42899999999999999</v>
      </c>
      <c r="E91" s="41">
        <v>0.02</v>
      </c>
      <c r="F91" s="41">
        <v>-0.02</v>
      </c>
      <c r="G91" s="42" t="s">
        <v>58</v>
      </c>
      <c r="H91" s="43"/>
      <c r="I91" s="44"/>
      <c r="J91" s="44"/>
      <c r="K91" s="45" t="str">
        <f t="shared" si="7"/>
        <v xml:space="preserve"> </v>
      </c>
      <c r="L91" s="45" t="str">
        <f t="shared" si="7"/>
        <v xml:space="preserve"> </v>
      </c>
      <c r="M91" s="45" t="str">
        <f t="shared" si="7"/>
        <v xml:space="preserve"> </v>
      </c>
      <c r="N91" s="46" t="str">
        <f t="shared" si="8"/>
        <v xml:space="preserve"> </v>
      </c>
      <c r="O91" s="47" t="str">
        <f t="shared" si="9"/>
        <v xml:space="preserve"> </v>
      </c>
      <c r="P91" s="48" t="str">
        <f t="shared" si="10"/>
        <v xml:space="preserve"> </v>
      </c>
      <c r="Q91" s="46"/>
      <c r="R91" s="46"/>
      <c r="S91" s="49"/>
    </row>
    <row r="92" spans="1:19" ht="18" customHeight="1">
      <c r="A92" s="39"/>
      <c r="B92" s="40" t="s">
        <v>134</v>
      </c>
      <c r="C92" s="42" t="s">
        <v>57</v>
      </c>
      <c r="D92" s="41">
        <v>0.39200000000000002</v>
      </c>
      <c r="E92" s="41">
        <v>0.03</v>
      </c>
      <c r="F92" s="41">
        <v>-0.03</v>
      </c>
      <c r="G92" s="42" t="s">
        <v>58</v>
      </c>
      <c r="H92" s="43"/>
      <c r="I92" s="44"/>
      <c r="J92" s="44"/>
      <c r="K92" s="45" t="str">
        <f t="shared" si="7"/>
        <v xml:space="preserve"> </v>
      </c>
      <c r="L92" s="45" t="str">
        <f t="shared" si="7"/>
        <v xml:space="preserve"> </v>
      </c>
      <c r="M92" s="45" t="str">
        <f t="shared" si="7"/>
        <v xml:space="preserve"> </v>
      </c>
      <c r="N92" s="46" t="str">
        <f t="shared" si="8"/>
        <v xml:space="preserve"> </v>
      </c>
      <c r="O92" s="47" t="str">
        <f t="shared" si="9"/>
        <v xml:space="preserve"> </v>
      </c>
      <c r="P92" s="48" t="str">
        <f t="shared" si="10"/>
        <v xml:space="preserve"> </v>
      </c>
      <c r="Q92" s="46"/>
      <c r="R92" s="46"/>
      <c r="S92" s="49"/>
    </row>
    <row r="93" spans="1:19" ht="18" customHeight="1">
      <c r="A93" s="39"/>
      <c r="B93" s="40" t="s">
        <v>135</v>
      </c>
      <c r="C93" s="42" t="s">
        <v>57</v>
      </c>
      <c r="D93" s="41">
        <v>0.39200000000000002</v>
      </c>
      <c r="E93" s="41">
        <v>0.03</v>
      </c>
      <c r="F93" s="41">
        <v>-0.03</v>
      </c>
      <c r="G93" s="42" t="s">
        <v>58</v>
      </c>
      <c r="H93" s="43"/>
      <c r="I93" s="44"/>
      <c r="J93" s="44"/>
      <c r="K93" s="45" t="str">
        <f t="shared" si="7"/>
        <v xml:space="preserve"> </v>
      </c>
      <c r="L93" s="45" t="str">
        <f t="shared" si="7"/>
        <v xml:space="preserve"> </v>
      </c>
      <c r="M93" s="45" t="str">
        <f t="shared" si="7"/>
        <v xml:space="preserve"> </v>
      </c>
      <c r="N93" s="46" t="str">
        <f t="shared" si="8"/>
        <v xml:space="preserve"> </v>
      </c>
      <c r="O93" s="47" t="str">
        <f t="shared" si="9"/>
        <v xml:space="preserve"> </v>
      </c>
      <c r="P93" s="48" t="str">
        <f t="shared" si="10"/>
        <v xml:space="preserve"> </v>
      </c>
      <c r="Q93" s="46"/>
      <c r="R93" s="46"/>
      <c r="S93" s="49"/>
    </row>
    <row r="94" spans="1:19" ht="18" customHeight="1">
      <c r="A94" s="39"/>
      <c r="B94" s="40" t="s">
        <v>136</v>
      </c>
      <c r="C94" s="42" t="s">
        <v>57</v>
      </c>
      <c r="D94" s="41">
        <v>0.39200000000000002</v>
      </c>
      <c r="E94" s="41">
        <v>0.03</v>
      </c>
      <c r="F94" s="41">
        <v>-0.03</v>
      </c>
      <c r="G94" s="42" t="s">
        <v>58</v>
      </c>
      <c r="H94" s="43"/>
      <c r="I94" s="44"/>
      <c r="J94" s="44"/>
      <c r="K94" s="45" t="str">
        <f t="shared" si="7"/>
        <v xml:space="preserve"> </v>
      </c>
      <c r="L94" s="45" t="str">
        <f t="shared" si="7"/>
        <v xml:space="preserve"> </v>
      </c>
      <c r="M94" s="45" t="str">
        <f t="shared" si="7"/>
        <v xml:space="preserve"> </v>
      </c>
      <c r="N94" s="46" t="str">
        <f t="shared" si="8"/>
        <v xml:space="preserve"> </v>
      </c>
      <c r="O94" s="47" t="str">
        <f t="shared" si="9"/>
        <v xml:space="preserve"> </v>
      </c>
      <c r="P94" s="48" t="str">
        <f t="shared" si="10"/>
        <v xml:space="preserve"> </v>
      </c>
      <c r="Q94" s="46"/>
      <c r="R94" s="46"/>
      <c r="S94" s="49"/>
    </row>
    <row r="95" spans="1:19" ht="18" customHeight="1">
      <c r="A95" s="39"/>
      <c r="B95" s="40" t="s">
        <v>137</v>
      </c>
      <c r="C95" s="42" t="s">
        <v>57</v>
      </c>
      <c r="D95" s="41">
        <v>0.39200000000000002</v>
      </c>
      <c r="E95" s="41">
        <v>0.03</v>
      </c>
      <c r="F95" s="41">
        <v>-0.03</v>
      </c>
      <c r="G95" s="42" t="s">
        <v>58</v>
      </c>
      <c r="H95" s="43"/>
      <c r="I95" s="44"/>
      <c r="J95" s="44"/>
      <c r="K95" s="45" t="str">
        <f t="shared" si="7"/>
        <v xml:space="preserve"> </v>
      </c>
      <c r="L95" s="45" t="str">
        <f t="shared" si="7"/>
        <v xml:space="preserve"> </v>
      </c>
      <c r="M95" s="45" t="str">
        <f t="shared" si="7"/>
        <v xml:space="preserve"> </v>
      </c>
      <c r="N95" s="46" t="str">
        <f t="shared" si="8"/>
        <v xml:space="preserve"> </v>
      </c>
      <c r="O95" s="47" t="str">
        <f t="shared" si="9"/>
        <v xml:space="preserve"> </v>
      </c>
      <c r="P95" s="48" t="str">
        <f t="shared" si="10"/>
        <v xml:space="preserve"> </v>
      </c>
      <c r="Q95" s="46"/>
      <c r="R95" s="46"/>
      <c r="S95" s="49"/>
    </row>
    <row r="96" spans="1:19" ht="18" customHeight="1">
      <c r="A96" s="39"/>
      <c r="B96" s="40" t="s">
        <v>138</v>
      </c>
      <c r="C96" s="42" t="s">
        <v>57</v>
      </c>
      <c r="D96" s="41">
        <v>0.39200000000000002</v>
      </c>
      <c r="E96" s="41">
        <v>0.03</v>
      </c>
      <c r="F96" s="41">
        <v>-0.03</v>
      </c>
      <c r="G96" s="42" t="s">
        <v>58</v>
      </c>
      <c r="H96" s="43"/>
      <c r="I96" s="44"/>
      <c r="J96" s="44"/>
      <c r="K96" s="45" t="str">
        <f t="shared" si="7"/>
        <v xml:space="preserve"> </v>
      </c>
      <c r="L96" s="45" t="str">
        <f t="shared" si="7"/>
        <v xml:space="preserve"> </v>
      </c>
      <c r="M96" s="45" t="str">
        <f t="shared" si="7"/>
        <v xml:space="preserve"> </v>
      </c>
      <c r="N96" s="46" t="str">
        <f t="shared" si="8"/>
        <v xml:space="preserve"> </v>
      </c>
      <c r="O96" s="47" t="str">
        <f t="shared" si="9"/>
        <v xml:space="preserve"> </v>
      </c>
      <c r="P96" s="48" t="str">
        <f t="shared" si="10"/>
        <v xml:space="preserve"> </v>
      </c>
      <c r="Q96" s="46"/>
      <c r="R96" s="46"/>
      <c r="S96" s="49"/>
    </row>
    <row r="97" spans="1:19" ht="18" customHeight="1">
      <c r="A97" s="39"/>
      <c r="B97" s="40" t="s">
        <v>139</v>
      </c>
      <c r="C97" s="42" t="s">
        <v>57</v>
      </c>
      <c r="D97" s="41">
        <v>0.39200000000000002</v>
      </c>
      <c r="E97" s="41">
        <v>0.03</v>
      </c>
      <c r="F97" s="41">
        <v>-0.03</v>
      </c>
      <c r="G97" s="42" t="s">
        <v>58</v>
      </c>
      <c r="H97" s="43"/>
      <c r="I97" s="44"/>
      <c r="J97" s="44"/>
      <c r="K97" s="45" t="str">
        <f t="shared" si="7"/>
        <v xml:space="preserve"> </v>
      </c>
      <c r="L97" s="45" t="str">
        <f t="shared" si="7"/>
        <v xml:space="preserve"> </v>
      </c>
      <c r="M97" s="45" t="str">
        <f t="shared" si="7"/>
        <v xml:space="preserve"> </v>
      </c>
      <c r="N97" s="46" t="str">
        <f t="shared" si="8"/>
        <v xml:space="preserve"> </v>
      </c>
      <c r="O97" s="47" t="str">
        <f t="shared" si="9"/>
        <v xml:space="preserve"> </v>
      </c>
      <c r="P97" s="48" t="str">
        <f t="shared" si="10"/>
        <v xml:space="preserve"> </v>
      </c>
      <c r="Q97" s="46"/>
      <c r="R97" s="46"/>
      <c r="S97" s="49"/>
    </row>
    <row r="98" spans="1:19" ht="18" customHeight="1">
      <c r="A98" s="39"/>
      <c r="B98" s="40" t="s">
        <v>140</v>
      </c>
      <c r="C98" s="42" t="s">
        <v>57</v>
      </c>
      <c r="D98" s="41">
        <v>0.39200000000000002</v>
      </c>
      <c r="E98" s="41">
        <v>0.03</v>
      </c>
      <c r="F98" s="41">
        <v>-0.03</v>
      </c>
      <c r="G98" s="42" t="s">
        <v>58</v>
      </c>
      <c r="H98" s="43"/>
      <c r="I98" s="44"/>
      <c r="J98" s="44"/>
      <c r="K98" s="45" t="str">
        <f t="shared" si="7"/>
        <v xml:space="preserve"> </v>
      </c>
      <c r="L98" s="45" t="str">
        <f t="shared" si="7"/>
        <v xml:space="preserve"> </v>
      </c>
      <c r="M98" s="45" t="str">
        <f t="shared" si="7"/>
        <v xml:space="preserve"> </v>
      </c>
      <c r="N98" s="46" t="str">
        <f t="shared" si="8"/>
        <v xml:space="preserve"> </v>
      </c>
      <c r="O98" s="47" t="str">
        <f t="shared" si="9"/>
        <v xml:space="preserve"> </v>
      </c>
      <c r="P98" s="48" t="str">
        <f t="shared" si="10"/>
        <v xml:space="preserve"> </v>
      </c>
      <c r="Q98" s="46"/>
      <c r="R98" s="46"/>
      <c r="S98" s="49"/>
    </row>
    <row r="99" spans="1:19" ht="18" customHeight="1">
      <c r="A99" s="39"/>
      <c r="B99" s="40" t="s">
        <v>141</v>
      </c>
      <c r="C99" s="42" t="s">
        <v>57</v>
      </c>
      <c r="D99" s="41">
        <v>0.39200000000000002</v>
      </c>
      <c r="E99" s="41">
        <v>0.03</v>
      </c>
      <c r="F99" s="41">
        <v>-0.03</v>
      </c>
      <c r="G99" s="42" t="s">
        <v>58</v>
      </c>
      <c r="H99" s="43"/>
      <c r="I99" s="44"/>
      <c r="J99" s="44"/>
      <c r="K99" s="45" t="str">
        <f t="shared" si="7"/>
        <v xml:space="preserve"> </v>
      </c>
      <c r="L99" s="45" t="str">
        <f t="shared" si="7"/>
        <v xml:space="preserve"> </v>
      </c>
      <c r="M99" s="45" t="str">
        <f t="shared" si="7"/>
        <v xml:space="preserve"> </v>
      </c>
      <c r="N99" s="46" t="str">
        <f t="shared" si="8"/>
        <v xml:space="preserve"> </v>
      </c>
      <c r="O99" s="47" t="str">
        <f t="shared" si="9"/>
        <v xml:space="preserve"> </v>
      </c>
      <c r="P99" s="48" t="str">
        <f t="shared" si="10"/>
        <v xml:space="preserve"> </v>
      </c>
      <c r="Q99" s="46"/>
      <c r="R99" s="46"/>
      <c r="S99" s="49"/>
    </row>
    <row r="100" spans="1:19" ht="18" customHeight="1">
      <c r="A100" s="39"/>
      <c r="B100" s="40" t="s">
        <v>142</v>
      </c>
      <c r="C100" s="42" t="s">
        <v>57</v>
      </c>
      <c r="D100" s="41">
        <v>0.39200000000000002</v>
      </c>
      <c r="E100" s="41">
        <v>0.03</v>
      </c>
      <c r="F100" s="41">
        <v>-0.03</v>
      </c>
      <c r="G100" s="42" t="s">
        <v>58</v>
      </c>
      <c r="H100" s="43"/>
      <c r="I100" s="44"/>
      <c r="J100" s="44"/>
      <c r="K100" s="45" t="str">
        <f t="shared" si="7"/>
        <v xml:space="preserve"> </v>
      </c>
      <c r="L100" s="45" t="str">
        <f t="shared" si="7"/>
        <v xml:space="preserve"> </v>
      </c>
      <c r="M100" s="45" t="str">
        <f t="shared" si="7"/>
        <v xml:space="preserve"> </v>
      </c>
      <c r="N100" s="46" t="str">
        <f t="shared" si="8"/>
        <v xml:space="preserve"> </v>
      </c>
      <c r="O100" s="47" t="str">
        <f t="shared" si="9"/>
        <v xml:space="preserve"> </v>
      </c>
      <c r="P100" s="48" t="str">
        <f t="shared" si="10"/>
        <v xml:space="preserve"> </v>
      </c>
      <c r="Q100" s="46"/>
      <c r="R100" s="46"/>
      <c r="S100" s="49"/>
    </row>
    <row r="101" spans="1:19" ht="18" customHeight="1">
      <c r="A101" s="39"/>
      <c r="B101" s="40" t="s">
        <v>143</v>
      </c>
      <c r="C101" s="42" t="s">
        <v>57</v>
      </c>
      <c r="D101" s="41">
        <v>0.39200000000000002</v>
      </c>
      <c r="E101" s="41">
        <v>0.03</v>
      </c>
      <c r="F101" s="41">
        <v>-0.03</v>
      </c>
      <c r="G101" s="42" t="s">
        <v>58</v>
      </c>
      <c r="H101" s="43"/>
      <c r="I101" s="44"/>
      <c r="J101" s="44"/>
      <c r="K101" s="45" t="str">
        <f t="shared" si="7"/>
        <v xml:space="preserve"> </v>
      </c>
      <c r="L101" s="45" t="str">
        <f t="shared" si="7"/>
        <v xml:space="preserve"> </v>
      </c>
      <c r="M101" s="45" t="str">
        <f t="shared" si="7"/>
        <v xml:space="preserve"> </v>
      </c>
      <c r="N101" s="46" t="str">
        <f t="shared" si="8"/>
        <v xml:space="preserve"> </v>
      </c>
      <c r="O101" s="47" t="str">
        <f t="shared" si="9"/>
        <v xml:space="preserve"> </v>
      </c>
      <c r="P101" s="48" t="str">
        <f t="shared" si="10"/>
        <v xml:space="preserve"> </v>
      </c>
      <c r="Q101" s="46"/>
      <c r="R101" s="46"/>
      <c r="S101" s="49"/>
    </row>
    <row r="102" spans="1:19" ht="18" customHeight="1">
      <c r="A102" s="39"/>
      <c r="B102" s="40" t="s">
        <v>144</v>
      </c>
      <c r="C102" s="42" t="s">
        <v>57</v>
      </c>
      <c r="D102" s="41">
        <v>0.39200000000000002</v>
      </c>
      <c r="E102" s="41">
        <v>0.03</v>
      </c>
      <c r="F102" s="41">
        <v>-0.03</v>
      </c>
      <c r="G102" s="42" t="s">
        <v>58</v>
      </c>
      <c r="H102" s="43"/>
      <c r="I102" s="44"/>
      <c r="J102" s="44"/>
      <c r="K102" s="45" t="str">
        <f t="shared" si="7"/>
        <v xml:space="preserve"> </v>
      </c>
      <c r="L102" s="45" t="str">
        <f t="shared" si="7"/>
        <v xml:space="preserve"> </v>
      </c>
      <c r="M102" s="45" t="str">
        <f t="shared" si="7"/>
        <v xml:space="preserve"> </v>
      </c>
      <c r="N102" s="46" t="str">
        <f t="shared" si="8"/>
        <v xml:space="preserve"> </v>
      </c>
      <c r="O102" s="47" t="str">
        <f t="shared" si="9"/>
        <v xml:space="preserve"> </v>
      </c>
      <c r="P102" s="48" t="str">
        <f t="shared" si="10"/>
        <v xml:space="preserve"> </v>
      </c>
      <c r="Q102" s="46"/>
      <c r="R102" s="46"/>
      <c r="S102" s="49"/>
    </row>
    <row r="103" spans="1:19" ht="18" customHeight="1">
      <c r="A103" s="39"/>
      <c r="B103" s="40" t="s">
        <v>145</v>
      </c>
      <c r="C103" s="42" t="s">
        <v>57</v>
      </c>
      <c r="D103" s="41">
        <v>0.39200000000000002</v>
      </c>
      <c r="E103" s="41">
        <v>0.03</v>
      </c>
      <c r="F103" s="41">
        <v>-0.03</v>
      </c>
      <c r="G103" s="42" t="s">
        <v>58</v>
      </c>
      <c r="H103" s="43"/>
      <c r="I103" s="44"/>
      <c r="J103" s="44"/>
      <c r="K103" s="45" t="str">
        <f t="shared" si="7"/>
        <v xml:space="preserve"> </v>
      </c>
      <c r="L103" s="45" t="str">
        <f t="shared" si="7"/>
        <v xml:space="preserve"> </v>
      </c>
      <c r="M103" s="45" t="str">
        <f t="shared" si="7"/>
        <v xml:space="preserve"> </v>
      </c>
      <c r="N103" s="46" t="str">
        <f t="shared" si="8"/>
        <v xml:space="preserve"> </v>
      </c>
      <c r="O103" s="47" t="str">
        <f t="shared" si="9"/>
        <v xml:space="preserve"> </v>
      </c>
      <c r="P103" s="48" t="str">
        <f t="shared" si="10"/>
        <v xml:space="preserve"> </v>
      </c>
      <c r="Q103" s="46"/>
      <c r="R103" s="46"/>
      <c r="S103" s="49"/>
    </row>
    <row r="104" spans="1:19" ht="18" customHeight="1">
      <c r="A104" s="39"/>
      <c r="B104" s="40" t="s">
        <v>146</v>
      </c>
      <c r="C104" s="42" t="s">
        <v>57</v>
      </c>
      <c r="D104" s="41">
        <v>0.39200000000000002</v>
      </c>
      <c r="E104" s="41">
        <v>0.03</v>
      </c>
      <c r="F104" s="41">
        <v>-0.03</v>
      </c>
      <c r="G104" s="42" t="s">
        <v>58</v>
      </c>
      <c r="H104" s="43"/>
      <c r="I104" s="44"/>
      <c r="J104" s="44"/>
      <c r="K104" s="45" t="str">
        <f t="shared" si="7"/>
        <v xml:space="preserve"> </v>
      </c>
      <c r="L104" s="45" t="str">
        <f t="shared" si="7"/>
        <v xml:space="preserve"> </v>
      </c>
      <c r="M104" s="45" t="str">
        <f t="shared" si="7"/>
        <v xml:space="preserve"> </v>
      </c>
      <c r="N104" s="46" t="str">
        <f t="shared" si="8"/>
        <v xml:space="preserve"> </v>
      </c>
      <c r="O104" s="47" t="str">
        <f t="shared" si="9"/>
        <v xml:space="preserve"> </v>
      </c>
      <c r="P104" s="48" t="str">
        <f t="shared" si="10"/>
        <v xml:space="preserve"> </v>
      </c>
      <c r="Q104" s="46"/>
      <c r="R104" s="46"/>
      <c r="S104" s="49"/>
    </row>
    <row r="105" spans="1:19" ht="18" customHeight="1">
      <c r="A105" s="39"/>
      <c r="B105" s="40" t="s">
        <v>147</v>
      </c>
      <c r="C105" s="42" t="s">
        <v>148</v>
      </c>
      <c r="D105" s="41">
        <v>0.15</v>
      </c>
      <c r="E105" s="41">
        <v>5.0000000000000001E-3</v>
      </c>
      <c r="F105" s="41">
        <v>-5.0000000000000001E-3</v>
      </c>
      <c r="G105" s="42" t="s">
        <v>149</v>
      </c>
      <c r="H105" s="43"/>
      <c r="I105" s="44"/>
      <c r="J105" s="44"/>
      <c r="K105" s="45" t="str">
        <f t="shared" si="7"/>
        <v xml:space="preserve"> </v>
      </c>
      <c r="L105" s="45" t="str">
        <f t="shared" si="7"/>
        <v xml:space="preserve"> </v>
      </c>
      <c r="M105" s="45" t="str">
        <f t="shared" si="7"/>
        <v xml:space="preserve"> </v>
      </c>
      <c r="N105" s="46" t="str">
        <f t="shared" si="8"/>
        <v xml:space="preserve"> </v>
      </c>
      <c r="O105" s="47" t="str">
        <f t="shared" si="9"/>
        <v xml:space="preserve"> </v>
      </c>
      <c r="P105" s="48" t="str">
        <f t="shared" si="10"/>
        <v xml:space="preserve"> </v>
      </c>
      <c r="Q105" s="46"/>
      <c r="R105" s="46"/>
      <c r="S105" s="49"/>
    </row>
    <row r="106" spans="1:19" ht="18" customHeight="1">
      <c r="A106" s="39"/>
      <c r="B106" s="40" t="s">
        <v>150</v>
      </c>
      <c r="C106" s="42" t="s">
        <v>148</v>
      </c>
      <c r="D106" s="41">
        <v>0.15</v>
      </c>
      <c r="E106" s="41">
        <v>5.0000000000000001E-3</v>
      </c>
      <c r="F106" s="41">
        <v>-5.0000000000000001E-3</v>
      </c>
      <c r="G106" s="42" t="s">
        <v>149</v>
      </c>
      <c r="H106" s="43"/>
      <c r="I106" s="44"/>
      <c r="J106" s="44"/>
      <c r="K106" s="45" t="str">
        <f t="shared" si="7"/>
        <v xml:space="preserve"> </v>
      </c>
      <c r="L106" s="45" t="str">
        <f t="shared" si="7"/>
        <v xml:space="preserve"> </v>
      </c>
      <c r="M106" s="45" t="str">
        <f t="shared" si="7"/>
        <v xml:space="preserve"> </v>
      </c>
      <c r="N106" s="46" t="str">
        <f t="shared" si="8"/>
        <v xml:space="preserve"> </v>
      </c>
      <c r="O106" s="47" t="str">
        <f t="shared" si="9"/>
        <v xml:space="preserve"> </v>
      </c>
      <c r="P106" s="48" t="str">
        <f t="shared" si="10"/>
        <v xml:space="preserve"> </v>
      </c>
      <c r="Q106" s="46"/>
      <c r="R106" s="46"/>
      <c r="S106" s="49"/>
    </row>
    <row r="107" spans="1:19" ht="18" customHeight="1">
      <c r="A107" s="39"/>
      <c r="B107" s="40" t="s">
        <v>151</v>
      </c>
      <c r="C107" s="42" t="s">
        <v>57</v>
      </c>
      <c r="D107" s="41">
        <v>5.7</v>
      </c>
      <c r="E107" s="41">
        <v>0.3</v>
      </c>
      <c r="F107" s="41">
        <v>-0.3</v>
      </c>
      <c r="G107" s="42" t="s">
        <v>58</v>
      </c>
      <c r="H107" s="43"/>
      <c r="I107" s="44"/>
      <c r="J107" s="44"/>
      <c r="K107" s="45" t="str">
        <f t="shared" si="7"/>
        <v xml:space="preserve"> </v>
      </c>
      <c r="L107" s="45" t="str">
        <f t="shared" si="7"/>
        <v xml:space="preserve"> </v>
      </c>
      <c r="M107" s="45" t="str">
        <f t="shared" si="7"/>
        <v xml:space="preserve"> </v>
      </c>
      <c r="N107" s="46" t="str">
        <f t="shared" si="8"/>
        <v xml:space="preserve"> </v>
      </c>
      <c r="O107" s="47" t="str">
        <f t="shared" si="9"/>
        <v xml:space="preserve"> </v>
      </c>
      <c r="P107" s="48" t="str">
        <f t="shared" si="10"/>
        <v xml:space="preserve"> </v>
      </c>
      <c r="Q107" s="46"/>
      <c r="R107" s="46"/>
      <c r="S107" s="49"/>
    </row>
    <row r="108" spans="1:19" ht="18" customHeight="1">
      <c r="A108" s="39"/>
      <c r="B108" s="40" t="s">
        <v>152</v>
      </c>
      <c r="C108" s="42" t="s">
        <v>57</v>
      </c>
      <c r="D108" s="41">
        <v>13</v>
      </c>
      <c r="E108" s="41">
        <v>0.17499999999999999</v>
      </c>
      <c r="F108" s="41">
        <v>-0.17499999999999999</v>
      </c>
      <c r="G108" s="42" t="s">
        <v>58</v>
      </c>
      <c r="H108" s="43"/>
      <c r="I108" s="44"/>
      <c r="J108" s="44"/>
      <c r="K108" s="45" t="str">
        <f t="shared" si="7"/>
        <v xml:space="preserve"> </v>
      </c>
      <c r="L108" s="45" t="str">
        <f t="shared" si="7"/>
        <v xml:space="preserve"> </v>
      </c>
      <c r="M108" s="45" t="str">
        <f t="shared" si="7"/>
        <v xml:space="preserve"> </v>
      </c>
      <c r="N108" s="46" t="str">
        <f t="shared" si="8"/>
        <v xml:space="preserve"> </v>
      </c>
      <c r="O108" s="47" t="str">
        <f t="shared" si="9"/>
        <v xml:space="preserve"> </v>
      </c>
      <c r="P108" s="48" t="str">
        <f t="shared" si="10"/>
        <v xml:space="preserve"> </v>
      </c>
      <c r="Q108" s="46"/>
      <c r="R108" s="46"/>
      <c r="S108" s="49"/>
    </row>
    <row r="109" spans="1:19" ht="18" customHeight="1">
      <c r="A109" s="39"/>
      <c r="B109" s="40" t="s">
        <v>153</v>
      </c>
      <c r="C109" s="42" t="s">
        <v>57</v>
      </c>
      <c r="D109" s="41">
        <v>0.8</v>
      </c>
      <c r="E109" s="41">
        <v>0.02</v>
      </c>
      <c r="F109" s="41">
        <v>-0.02</v>
      </c>
      <c r="G109" s="42" t="s">
        <v>58</v>
      </c>
      <c r="H109" s="43"/>
      <c r="I109" s="44"/>
      <c r="J109" s="44"/>
      <c r="K109" s="45" t="str">
        <f t="shared" si="7"/>
        <v xml:space="preserve"> </v>
      </c>
      <c r="L109" s="45" t="str">
        <f t="shared" si="7"/>
        <v xml:space="preserve"> </v>
      </c>
      <c r="M109" s="45" t="str">
        <f t="shared" si="7"/>
        <v xml:space="preserve"> </v>
      </c>
      <c r="N109" s="46" t="str">
        <f t="shared" si="8"/>
        <v xml:space="preserve"> </v>
      </c>
      <c r="O109" s="47" t="str">
        <f t="shared" si="9"/>
        <v xml:space="preserve"> </v>
      </c>
      <c r="P109" s="48" t="str">
        <f t="shared" si="10"/>
        <v xml:space="preserve"> </v>
      </c>
      <c r="Q109" s="46"/>
      <c r="R109" s="46"/>
      <c r="S109" s="49"/>
    </row>
    <row r="110" spans="1:19" ht="18" customHeight="1">
      <c r="A110" s="39"/>
      <c r="B110" s="40" t="s">
        <v>154</v>
      </c>
      <c r="C110" s="42" t="s">
        <v>57</v>
      </c>
      <c r="D110" s="41">
        <v>0.8</v>
      </c>
      <c r="E110" s="41">
        <v>0.02</v>
      </c>
      <c r="F110" s="41">
        <v>-0.02</v>
      </c>
      <c r="G110" s="42" t="s">
        <v>58</v>
      </c>
      <c r="H110" s="43"/>
      <c r="I110" s="44"/>
      <c r="J110" s="44"/>
      <c r="K110" s="45" t="str">
        <f t="shared" si="7"/>
        <v xml:space="preserve"> </v>
      </c>
      <c r="L110" s="45" t="str">
        <f t="shared" si="7"/>
        <v xml:space="preserve"> </v>
      </c>
      <c r="M110" s="45" t="str">
        <f t="shared" si="7"/>
        <v xml:space="preserve"> </v>
      </c>
      <c r="N110" s="46" t="str">
        <f t="shared" si="8"/>
        <v xml:space="preserve"> </v>
      </c>
      <c r="O110" s="47" t="str">
        <f t="shared" si="9"/>
        <v xml:space="preserve"> </v>
      </c>
      <c r="P110" s="48" t="str">
        <f t="shared" si="10"/>
        <v xml:space="preserve"> </v>
      </c>
      <c r="Q110" s="46"/>
      <c r="R110" s="46"/>
      <c r="S110" s="49"/>
    </row>
    <row r="111" spans="1:19" ht="18" customHeight="1">
      <c r="A111" s="39"/>
      <c r="B111" s="40" t="s">
        <v>155</v>
      </c>
      <c r="C111" s="42" t="s">
        <v>156</v>
      </c>
      <c r="D111" s="41"/>
      <c r="E111" s="41">
        <v>3</v>
      </c>
      <c r="F111" s="41">
        <v>-3</v>
      </c>
      <c r="G111" s="42" t="s">
        <v>58</v>
      </c>
      <c r="H111" s="43"/>
      <c r="I111" s="44"/>
      <c r="J111" s="44"/>
      <c r="K111" s="45" t="str">
        <f t="shared" si="7"/>
        <v xml:space="preserve"> </v>
      </c>
      <c r="L111" s="45" t="str">
        <f t="shared" si="7"/>
        <v xml:space="preserve"> </v>
      </c>
      <c r="M111" s="45" t="str">
        <f t="shared" si="7"/>
        <v xml:space="preserve"> </v>
      </c>
      <c r="N111" s="46" t="str">
        <f t="shared" si="8"/>
        <v xml:space="preserve"> </v>
      </c>
      <c r="O111" s="47" t="str">
        <f t="shared" si="9"/>
        <v xml:space="preserve"> </v>
      </c>
      <c r="P111" s="48" t="str">
        <f t="shared" si="10"/>
        <v xml:space="preserve"> </v>
      </c>
      <c r="Q111" s="46"/>
      <c r="R111" s="46"/>
      <c r="S111" s="49"/>
    </row>
    <row r="112" spans="1:19" ht="18" customHeight="1">
      <c r="A112" s="39"/>
      <c r="B112" s="40" t="s">
        <v>157</v>
      </c>
      <c r="C112" s="42" t="s">
        <v>57</v>
      </c>
      <c r="D112" s="41">
        <v>11.82</v>
      </c>
      <c r="E112" s="41">
        <v>0.03</v>
      </c>
      <c r="F112" s="41">
        <v>-0.03</v>
      </c>
      <c r="G112" s="42" t="s">
        <v>58</v>
      </c>
      <c r="H112" s="43"/>
      <c r="I112" s="44"/>
      <c r="J112" s="44"/>
      <c r="K112" s="45" t="str">
        <f t="shared" si="7"/>
        <v xml:space="preserve"> </v>
      </c>
      <c r="L112" s="45" t="str">
        <f t="shared" si="7"/>
        <v xml:space="preserve"> </v>
      </c>
      <c r="M112" s="45" t="str">
        <f t="shared" si="7"/>
        <v xml:space="preserve"> </v>
      </c>
      <c r="N112" s="46" t="str">
        <f t="shared" si="8"/>
        <v xml:space="preserve"> </v>
      </c>
      <c r="O112" s="47" t="str">
        <f t="shared" si="9"/>
        <v xml:space="preserve"> </v>
      </c>
      <c r="P112" s="48" t="str">
        <f t="shared" si="10"/>
        <v xml:space="preserve"> </v>
      </c>
      <c r="Q112" s="46"/>
      <c r="R112" s="46"/>
      <c r="S112" s="49"/>
    </row>
    <row r="113" spans="1:19" ht="18" customHeight="1">
      <c r="A113" s="39"/>
      <c r="B113" s="40" t="s">
        <v>158</v>
      </c>
      <c r="C113" s="42" t="s">
        <v>57</v>
      </c>
      <c r="D113" s="41">
        <v>11.6</v>
      </c>
      <c r="E113" s="41">
        <v>0.03</v>
      </c>
      <c r="F113" s="41">
        <v>-0.03</v>
      </c>
      <c r="G113" s="42" t="s">
        <v>58</v>
      </c>
      <c r="H113" s="43"/>
      <c r="I113" s="44"/>
      <c r="J113" s="44"/>
      <c r="K113" s="45" t="str">
        <f t="shared" si="7"/>
        <v xml:space="preserve"> </v>
      </c>
      <c r="L113" s="45" t="str">
        <f t="shared" si="7"/>
        <v xml:space="preserve"> </v>
      </c>
      <c r="M113" s="45" t="str">
        <f t="shared" si="7"/>
        <v xml:space="preserve"> </v>
      </c>
      <c r="N113" s="46" t="str">
        <f t="shared" si="8"/>
        <v xml:space="preserve"> </v>
      </c>
      <c r="O113" s="47" t="str">
        <f t="shared" si="9"/>
        <v xml:space="preserve"> </v>
      </c>
      <c r="P113" s="48" t="str">
        <f t="shared" si="10"/>
        <v xml:space="preserve"> </v>
      </c>
      <c r="Q113" s="46"/>
      <c r="R113" s="46"/>
      <c r="S113" s="49"/>
    </row>
    <row r="114" spans="1:19" ht="18" customHeight="1">
      <c r="A114" s="39"/>
      <c r="B114" s="40" t="s">
        <v>159</v>
      </c>
      <c r="C114" s="42" t="s">
        <v>57</v>
      </c>
      <c r="D114" s="41">
        <v>1.66</v>
      </c>
      <c r="E114" s="41">
        <v>0.03</v>
      </c>
      <c r="F114" s="41">
        <v>-0.03</v>
      </c>
      <c r="G114" s="42" t="s">
        <v>58</v>
      </c>
      <c r="H114" s="43"/>
      <c r="I114" s="44"/>
      <c r="J114" s="44"/>
      <c r="K114" s="45" t="str">
        <f t="shared" si="7"/>
        <v xml:space="preserve"> </v>
      </c>
      <c r="L114" s="45" t="str">
        <f t="shared" si="7"/>
        <v xml:space="preserve"> </v>
      </c>
      <c r="M114" s="45" t="str">
        <f t="shared" si="7"/>
        <v xml:space="preserve"> </v>
      </c>
      <c r="N114" s="46" t="str">
        <f t="shared" si="8"/>
        <v xml:space="preserve"> </v>
      </c>
      <c r="O114" s="47" t="str">
        <f t="shared" si="9"/>
        <v xml:space="preserve"> </v>
      </c>
      <c r="P114" s="48" t="str">
        <f t="shared" si="10"/>
        <v xml:space="preserve"> </v>
      </c>
      <c r="Q114" s="46"/>
      <c r="R114" s="46"/>
      <c r="S114" s="49"/>
    </row>
    <row r="115" spans="1:19" ht="18" customHeight="1">
      <c r="A115" s="39"/>
      <c r="B115" s="40" t="s">
        <v>160</v>
      </c>
      <c r="C115" s="42" t="s">
        <v>62</v>
      </c>
      <c r="D115" s="41"/>
      <c r="E115" s="41">
        <v>0.03</v>
      </c>
      <c r="F115" s="41"/>
      <c r="G115" s="42" t="s">
        <v>58</v>
      </c>
      <c r="H115" s="43"/>
      <c r="I115" s="44"/>
      <c r="J115" s="44"/>
      <c r="K115" s="45" t="str">
        <f t="shared" si="7"/>
        <v xml:space="preserve"> </v>
      </c>
      <c r="L115" s="45" t="str">
        <f t="shared" si="7"/>
        <v xml:space="preserve"> </v>
      </c>
      <c r="M115" s="45" t="str">
        <f t="shared" si="7"/>
        <v xml:space="preserve"> </v>
      </c>
      <c r="N115" s="46" t="str">
        <f t="shared" si="8"/>
        <v xml:space="preserve"> </v>
      </c>
      <c r="O115" s="47" t="str">
        <f t="shared" si="9"/>
        <v xml:space="preserve"> </v>
      </c>
      <c r="P115" s="48" t="str">
        <f t="shared" si="10"/>
        <v xml:space="preserve"> </v>
      </c>
      <c r="Q115" s="46"/>
      <c r="R115" s="46"/>
      <c r="S115" s="49"/>
    </row>
    <row r="116" spans="1:19" ht="18" customHeight="1">
      <c r="A116" s="39"/>
      <c r="B116" s="40" t="s">
        <v>161</v>
      </c>
      <c r="C116" s="42" t="s">
        <v>62</v>
      </c>
      <c r="D116" s="41"/>
      <c r="E116" s="41">
        <v>0.03</v>
      </c>
      <c r="F116" s="41"/>
      <c r="G116" s="42" t="s">
        <v>58</v>
      </c>
      <c r="H116" s="43"/>
      <c r="I116" s="44"/>
      <c r="J116" s="44"/>
      <c r="K116" s="45" t="str">
        <f t="shared" si="7"/>
        <v xml:space="preserve"> </v>
      </c>
      <c r="L116" s="45" t="str">
        <f t="shared" si="7"/>
        <v xml:space="preserve"> </v>
      </c>
      <c r="M116" s="45" t="str">
        <f t="shared" si="7"/>
        <v xml:space="preserve"> </v>
      </c>
      <c r="N116" s="46" t="str">
        <f t="shared" si="8"/>
        <v xml:space="preserve"> </v>
      </c>
      <c r="O116" s="47" t="str">
        <f t="shared" si="9"/>
        <v xml:space="preserve"> </v>
      </c>
      <c r="P116" s="48" t="str">
        <f t="shared" si="10"/>
        <v xml:space="preserve"> </v>
      </c>
      <c r="Q116" s="46"/>
      <c r="R116" s="46"/>
      <c r="S116" s="49"/>
    </row>
    <row r="117" spans="1:19" ht="18" customHeight="1">
      <c r="A117" s="39"/>
      <c r="B117" s="40" t="s">
        <v>162</v>
      </c>
      <c r="C117" s="42" t="s">
        <v>57</v>
      </c>
      <c r="D117" s="41"/>
      <c r="E117" s="41">
        <v>0.03</v>
      </c>
      <c r="F117" s="41">
        <v>-0.03</v>
      </c>
      <c r="G117" s="42" t="s">
        <v>58</v>
      </c>
      <c r="H117" s="43"/>
      <c r="I117" s="44"/>
      <c r="J117" s="44"/>
      <c r="K117" s="45" t="str">
        <f t="shared" si="7"/>
        <v xml:space="preserve"> </v>
      </c>
      <c r="L117" s="45" t="str">
        <f t="shared" si="7"/>
        <v xml:space="preserve"> </v>
      </c>
      <c r="M117" s="45" t="str">
        <f t="shared" si="7"/>
        <v xml:space="preserve"> </v>
      </c>
      <c r="N117" s="46" t="str">
        <f t="shared" si="8"/>
        <v xml:space="preserve"> </v>
      </c>
      <c r="O117" s="47" t="str">
        <f t="shared" si="9"/>
        <v xml:space="preserve"> </v>
      </c>
      <c r="P117" s="48" t="str">
        <f t="shared" si="10"/>
        <v xml:space="preserve"> </v>
      </c>
      <c r="Q117" s="46"/>
      <c r="R117" s="46"/>
      <c r="S117" s="49"/>
    </row>
    <row r="118" spans="1:19" ht="18" customHeight="1">
      <c r="A118" s="39"/>
      <c r="B118" s="40" t="s">
        <v>163</v>
      </c>
      <c r="C118" s="42" t="s">
        <v>57</v>
      </c>
      <c r="D118" s="41"/>
      <c r="E118" s="41">
        <v>0.03</v>
      </c>
      <c r="F118" s="41">
        <v>-0.03</v>
      </c>
      <c r="G118" s="42" t="s">
        <v>58</v>
      </c>
      <c r="H118" s="43"/>
      <c r="I118" s="44"/>
      <c r="J118" s="44"/>
      <c r="K118" s="45" t="str">
        <f t="shared" si="7"/>
        <v xml:space="preserve"> </v>
      </c>
      <c r="L118" s="45" t="str">
        <f t="shared" si="7"/>
        <v xml:space="preserve"> </v>
      </c>
      <c r="M118" s="45" t="str">
        <f t="shared" si="7"/>
        <v xml:space="preserve"> </v>
      </c>
      <c r="N118" s="46" t="str">
        <f t="shared" si="8"/>
        <v xml:space="preserve"> </v>
      </c>
      <c r="O118" s="47" t="str">
        <f t="shared" si="9"/>
        <v xml:space="preserve"> </v>
      </c>
      <c r="P118" s="48" t="str">
        <f t="shared" si="10"/>
        <v xml:space="preserve"> </v>
      </c>
      <c r="Q118" s="46"/>
      <c r="R118" s="46"/>
      <c r="S118" s="49"/>
    </row>
  </sheetData>
  <mergeCells count="14">
    <mergeCell ref="G4:G5"/>
    <mergeCell ref="H4:J4"/>
    <mergeCell ref="K4:M4"/>
    <mergeCell ref="N4:N5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</mergeCells>
  <phoneticPr fontId="10" type="noConversion"/>
  <conditionalFormatting sqref="H6:J52 H80:J118 H54:J67">
    <cfRule type="cellIs" dxfId="4" priority="3" operator="lessThan">
      <formula>$D6+$F6</formula>
    </cfRule>
    <cfRule type="cellIs" dxfId="3" priority="4" operator="greaterThan">
      <formula>$D6+$E6</formula>
    </cfRule>
  </conditionalFormatting>
  <conditionalFormatting sqref="H68:J79">
    <cfRule type="cellIs" dxfId="2" priority="2" operator="greaterThan">
      <formula>0.5</formula>
    </cfRule>
  </conditionalFormatting>
  <conditionalFormatting sqref="H53:J53">
    <cfRule type="cellIs" dxfId="0" priority="1" operator="greaterThan">
      <formula>1.6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72D0-69FC-46EA-973E-D5D07FBC00E6}">
  <sheetPr codeName="Sheet4"/>
  <dimension ref="A1:EDJ62"/>
  <sheetViews>
    <sheetView showGridLines="0" zoomScale="85" zoomScaleNormal="85" zoomScalePageLayoutView="125" workbookViewId="0">
      <pane xSplit="12" ySplit="1" topLeftCell="AB2" activePane="bottomRight" state="frozen"/>
      <selection activeCell="J14" sqref="J14"/>
      <selection pane="topRight" activeCell="J14" sqref="J14"/>
      <selection pane="bottomLeft" activeCell="J14" sqref="J14"/>
      <selection pane="bottomRight" activeCell="AI5" sqref="AI5:BN62"/>
    </sheetView>
  </sheetViews>
  <sheetFormatPr defaultColWidth="8.77734375" defaultRowHeight="17.25"/>
  <cols>
    <col min="1" max="1" width="0.77734375" style="16" customWidth="1"/>
    <col min="2" max="2" width="7.77734375" style="16" customWidth="1"/>
    <col min="3" max="3" width="11.21875" style="16" bestFit="1" customWidth="1"/>
    <col min="4" max="4" width="24" style="16" customWidth="1"/>
    <col min="5" max="5" width="7.77734375" style="16" customWidth="1"/>
    <col min="6" max="7" width="8.21875" style="16" customWidth="1"/>
    <col min="8" max="8" width="7.77734375" style="16" customWidth="1"/>
    <col min="9" max="9" width="7.77734375" style="16" hidden="1" customWidth="1"/>
    <col min="10" max="11" width="7.77734375" style="16" customWidth="1"/>
    <col min="12" max="12" width="0.77734375" style="16" customWidth="1"/>
    <col min="13" max="16" width="7.77734375" style="16" customWidth="1"/>
    <col min="17" max="22" width="7.77734375" style="16" hidden="1" customWidth="1"/>
    <col min="23" max="23" width="7.77734375" style="16" customWidth="1"/>
    <col min="24" max="24" width="10" style="16" hidden="1" customWidth="1"/>
    <col min="25" max="27" width="9.44140625" style="16" hidden="1" customWidth="1"/>
    <col min="28" max="28" width="7.77734375" style="16" customWidth="1"/>
    <col min="29" max="29" width="9" style="16" customWidth="1"/>
    <col min="30" max="30" width="22" style="16" customWidth="1"/>
    <col min="31" max="32" width="9" style="16" hidden="1" customWidth="1"/>
    <col min="33" max="33" width="7.5546875" style="16" hidden="1" customWidth="1"/>
    <col min="34" max="34" width="0.77734375" style="16" customWidth="1"/>
    <col min="35" max="66" width="7.77734375" style="16" customWidth="1"/>
    <col min="67" max="16384" width="8.77734375" style="16"/>
  </cols>
  <sheetData>
    <row r="1" spans="1:1023 1025:2040 2061:3066 3097:3494" s="29" customFormat="1" ht="22.15" customHeight="1">
      <c r="A1" s="146" t="s">
        <v>164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28"/>
      <c r="AE1" s="28"/>
      <c r="AF1" s="28"/>
      <c r="AG1" s="28"/>
      <c r="AH1" s="28"/>
    </row>
    <row r="2" spans="1:1023 1025:2040 2061:3066 3097:3494" s="29" customFormat="1" ht="9" customHeight="1">
      <c r="B2" s="51"/>
      <c r="C2" s="51"/>
      <c r="D2" s="51"/>
      <c r="E2" s="51"/>
      <c r="F2" s="51"/>
      <c r="G2" s="51"/>
      <c r="H2" s="51"/>
      <c r="I2" s="51"/>
      <c r="J2" s="51"/>
      <c r="K2" s="51"/>
      <c r="M2" s="51"/>
      <c r="N2" s="51"/>
      <c r="O2" s="51"/>
      <c r="P2" s="51"/>
      <c r="Q2" s="51" t="s">
        <v>165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I2" s="52"/>
    </row>
    <row r="3" spans="1:1023 1025:2040 2061:3066 3097:3494" s="32" customFormat="1" ht="15" customHeight="1">
      <c r="A3" s="53"/>
      <c r="B3" s="149" t="s">
        <v>166</v>
      </c>
      <c r="C3" s="148"/>
      <c r="D3" s="148"/>
      <c r="E3" s="148"/>
      <c r="F3" s="148"/>
      <c r="G3" s="148"/>
      <c r="H3" s="148"/>
      <c r="I3" s="148"/>
      <c r="J3" s="148"/>
      <c r="K3" s="150"/>
      <c r="L3" s="54"/>
      <c r="M3" s="149" t="s">
        <v>167</v>
      </c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50"/>
      <c r="AD3" s="55"/>
      <c r="AE3" s="154" t="s">
        <v>168</v>
      </c>
      <c r="AF3" s="154"/>
      <c r="AG3" s="154"/>
      <c r="AH3" s="30"/>
      <c r="AI3" s="155" t="s">
        <v>169</v>
      </c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7"/>
    </row>
    <row r="4" spans="1:1023 1025:2040 2061:3066 3097:3494" s="32" customFormat="1" ht="25.15" customHeight="1">
      <c r="A4" s="53"/>
      <c r="B4" s="56"/>
      <c r="C4" s="56"/>
      <c r="D4" s="56"/>
      <c r="E4" s="57"/>
      <c r="F4" s="58" t="s">
        <v>170</v>
      </c>
      <c r="G4" s="58" t="s">
        <v>171</v>
      </c>
      <c r="H4" s="59"/>
      <c r="I4" s="59"/>
      <c r="J4" s="60"/>
      <c r="K4" s="60"/>
      <c r="L4" s="53"/>
      <c r="M4" s="61"/>
      <c r="N4" s="61"/>
      <c r="O4" s="62"/>
      <c r="P4" s="61"/>
      <c r="Q4" s="63"/>
      <c r="R4" s="63"/>
      <c r="S4" s="63"/>
      <c r="T4" s="63"/>
      <c r="U4" s="63"/>
      <c r="V4" s="63"/>
      <c r="W4" s="63"/>
      <c r="X4" s="161" t="s">
        <v>172</v>
      </c>
      <c r="Y4" s="162"/>
      <c r="Z4" s="64" t="s">
        <v>173</v>
      </c>
      <c r="AA4" s="65">
        <v>1.5</v>
      </c>
      <c r="AB4" s="66"/>
      <c r="AC4" s="66"/>
      <c r="AD4" s="54"/>
      <c r="AE4" s="30"/>
      <c r="AF4" s="30"/>
      <c r="AG4" s="67"/>
      <c r="AH4" s="68"/>
      <c r="AI4" s="158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60"/>
    </row>
    <row r="5" spans="1:1023 1025:2040 2061:3066 3097:3494" s="83" customFormat="1" ht="24">
      <c r="A5" s="69"/>
      <c r="B5" s="70" t="s">
        <v>174</v>
      </c>
      <c r="C5" s="70" t="s">
        <v>41</v>
      </c>
      <c r="D5" s="70" t="s">
        <v>175</v>
      </c>
      <c r="E5" s="71" t="s">
        <v>43</v>
      </c>
      <c r="F5" s="72" t="s">
        <v>176</v>
      </c>
      <c r="G5" s="72" t="s">
        <v>177</v>
      </c>
      <c r="H5" s="73" t="s">
        <v>46</v>
      </c>
      <c r="I5" s="73" t="s">
        <v>178</v>
      </c>
      <c r="J5" s="74" t="s">
        <v>179</v>
      </c>
      <c r="K5" s="74" t="s">
        <v>180</v>
      </c>
      <c r="L5" s="69"/>
      <c r="M5" s="75" t="s">
        <v>181</v>
      </c>
      <c r="N5" s="75" t="s">
        <v>182</v>
      </c>
      <c r="O5" s="76" t="s">
        <v>49</v>
      </c>
      <c r="P5" s="75" t="s">
        <v>183</v>
      </c>
      <c r="Q5" s="77" t="s">
        <v>184</v>
      </c>
      <c r="R5" s="77" t="s">
        <v>185</v>
      </c>
      <c r="S5" s="77" t="s">
        <v>186</v>
      </c>
      <c r="T5" s="77" t="s">
        <v>187</v>
      </c>
      <c r="U5" s="77" t="s">
        <v>188</v>
      </c>
      <c r="V5" s="77" t="s">
        <v>189</v>
      </c>
      <c r="W5" s="77" t="s">
        <v>190</v>
      </c>
      <c r="X5" s="78" t="s">
        <v>191</v>
      </c>
      <c r="Y5" s="78" t="s">
        <v>192</v>
      </c>
      <c r="Z5" s="78" t="s">
        <v>193</v>
      </c>
      <c r="AA5" s="79" t="s">
        <v>194</v>
      </c>
      <c r="AB5" s="80" t="s">
        <v>195</v>
      </c>
      <c r="AC5" s="80" t="s">
        <v>196</v>
      </c>
      <c r="AD5" s="80" t="s">
        <v>197</v>
      </c>
      <c r="AE5" s="30"/>
      <c r="AF5" s="30"/>
      <c r="AG5" s="67"/>
      <c r="AH5" s="81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</row>
    <row r="6" spans="1:1023 1025:2040 2061:3066 3097:3494" ht="19.149999999999999" customHeight="1">
      <c r="A6" s="16">
        <v>1</v>
      </c>
      <c r="B6" s="84" t="s">
        <v>198</v>
      </c>
      <c r="C6" s="40" t="s">
        <v>56</v>
      </c>
      <c r="D6" s="85" t="s">
        <v>57</v>
      </c>
      <c r="E6" s="86">
        <v>0.49</v>
      </c>
      <c r="F6" s="87">
        <v>0.01</v>
      </c>
      <c r="G6" s="87">
        <v>-0.01</v>
      </c>
      <c r="H6" s="88" t="s">
        <v>58</v>
      </c>
      <c r="I6" s="89" t="s">
        <v>199</v>
      </c>
      <c r="J6" s="90">
        <f>IF(AND(E6="",F6=""),"",IF(E6="",F6,E6+F6))</f>
        <v>0.5</v>
      </c>
      <c r="K6" s="90">
        <f>IF(AND(E6="",G6=""),"",IF(E6="",G6,E6+G6))</f>
        <v>0.48</v>
      </c>
      <c r="L6" s="91"/>
      <c r="M6" s="92">
        <f t="shared" ref="M6:M62" si="0">IF(OR($AI6=ISBLANK(TRUE),ISNUMBER($AI6)=FALSE),,MAX(AI6:BN6))</f>
        <v>0</v>
      </c>
      <c r="N6" s="92">
        <f t="shared" ref="N6:N62" si="1">IF(OR($AI6=ISBLANK(TRUE),ISNUMBER($AI6)=FALSE),,MIN(AI6:BN6))</f>
        <v>0</v>
      </c>
      <c r="O6" s="92">
        <f t="shared" ref="O6:O62" si="2">IF(OR($AI6=ISBLANK(TRUE),ISNUMBER($AI6)=FALSE),,AVERAGE(AI6:BN6))</f>
        <v>0</v>
      </c>
      <c r="P6" s="93">
        <f t="shared" ref="P6:P50" si="3">IF(OR($AI6=ISBLANK(TRUE),ISNUMBER($AI6)=FALSE),,STDEV(AI6:BN6))</f>
        <v>0</v>
      </c>
      <c r="Q6" s="94" t="str">
        <f t="shared" ref="Q6:Q62" si="4">IF(OR($AI6="",ISNUMBER($AI6)=FALSE),"",IF(AND(E6=0,G6=0),T6,IF(AND(E6="",F6=""),U6,(F6+ABS(G6))/(6*P6))))</f>
        <v/>
      </c>
      <c r="R6" s="95" t="str">
        <f>IF(OR($AI6="",ISNUMBER($AI6)=FALSE),"",IF(AND(#REF!="Tolerance",$E6&lt;&gt;""),($O6-$E6)/(($J6-$K6)/2),IF(AND(#REF!="GD&amp;T",$F6&lt;&gt;""),$O6/$F6,"")))</f>
        <v/>
      </c>
      <c r="S6" s="95" t="str">
        <f>IF($R6="","",IF(ABS($R6)&lt;=0.125, "Level A",IF(AND(ABS($R6)&gt;0.125,ABS($R6)&lt;=0.25), "Level B",IF(AND(ABS($R6)&gt;0.25,ABS($R6)&lt;=0.5), "Level C", IF(ABS($R6)&gt;0.5, "Level D")))))</f>
        <v/>
      </c>
      <c r="T6" s="94" t="str">
        <f t="shared" ref="T6:T62" si="5">IF(OR($AI6="",ISNUMBER($AI6)=FALSE),"",IF(F6="","",(J6-O6)/(3*P6)))</f>
        <v/>
      </c>
      <c r="U6" s="94" t="str">
        <f t="shared" ref="U6:U62" si="6">IF(OR($AI6="",ISNUMBER($AI6)=FALSE),"",IF(G6="","",(O6-K6)/(3*P6)))</f>
        <v/>
      </c>
      <c r="V6" s="94" t="str">
        <f t="shared" ref="V6:V62" si="7">IF(OR($AI6="",ISNUMBER($AI6)=FALSE),"",IF(AND(E6=0,G6=0),((F6)-(O6))/(3*P6),MIN(T6:U6)))</f>
        <v/>
      </c>
      <c r="W6" s="96" t="str">
        <f t="shared" ref="W6:W62" si="8">IF(OR($AI6="",ISNUMBER($AI6)=FALSE),"",IF(AND(E6=0,G6=0),NORMSDIST(3*V6),NORMSDIST(3*V6)+NORMSDIST(6*Q6-3*V6)-1))</f>
        <v/>
      </c>
      <c r="X6" s="97" t="e">
        <f>IF($O6="","",IF(#REF!="Tolerance",IF((#REF!*3*P6+O6)-E6&lt;F6,"",(#REF!*3*P6+O6)-E6),IF(OR(#REF!="GD&amp;T",#REF!="MAX"),IF((#REF!*3*P6+O6)&lt;F6,"",(#REF!*3*P6+O6)),"")))</f>
        <v>#REF!</v>
      </c>
      <c r="Y6" s="97" t="e">
        <f>IF(O6="","",IF(#REF!="Tolerance",IF(-((#REF!*3*P6)-O6)-E6&gt;G6,"",-((#REF!*3*P6)-O6)-E6),IF(#REF!="MIN",IF(-((#REF!*3*P6)-O6)&gt;G6,"",-((#REF!*3*P6)-O6)),"")))</f>
        <v>#REF!</v>
      </c>
      <c r="Z6" s="97">
        <f>IF(OR(E6="",O6=""),"",(J6+K6)/2-O6)</f>
        <v>0.49</v>
      </c>
      <c r="AA6" s="97" t="str">
        <f t="shared" ref="AA6:AA62" si="9">IF(OR($Q6&gt;$AA$4,$P6=""),"",$AA$4*6*$P6)</f>
        <v/>
      </c>
      <c r="AB6" s="98"/>
      <c r="AC6" s="99" t="str">
        <f>IF(AB6="","",IF(AB6&gt;=0.966,"Normal","Not Normal"))</f>
        <v/>
      </c>
      <c r="AD6" s="100"/>
      <c r="AE6" s="101"/>
      <c r="AF6" s="101"/>
      <c r="AG6" s="102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NC6" s="104"/>
      <c r="SV6" s="104"/>
      <c r="TR6" s="104"/>
      <c r="AJP6" s="104"/>
      <c r="AKV6" s="104"/>
      <c r="AXI6" s="104"/>
      <c r="AYA6" s="104"/>
      <c r="BCE6" s="104"/>
      <c r="BEA6" s="104"/>
      <c r="CKC6" s="104"/>
      <c r="CQD6" s="104"/>
      <c r="DJV6" s="104"/>
      <c r="DPF6" s="104"/>
      <c r="EBX6" s="104"/>
      <c r="EDB6" s="104"/>
    </row>
    <row r="7" spans="1:1023 1025:2040 2061:3066 3097:3494" ht="19.149999999999999" customHeight="1">
      <c r="A7" s="16">
        <v>2</v>
      </c>
      <c r="B7" s="84" t="s">
        <v>198</v>
      </c>
      <c r="C7" s="40" t="s">
        <v>59</v>
      </c>
      <c r="D7" s="85" t="s">
        <v>57</v>
      </c>
      <c r="E7" s="86">
        <v>0.49</v>
      </c>
      <c r="F7" s="87">
        <v>0.01</v>
      </c>
      <c r="G7" s="87">
        <v>-0.01</v>
      </c>
      <c r="H7" s="88" t="s">
        <v>58</v>
      </c>
      <c r="I7" s="89" t="s">
        <v>199</v>
      </c>
      <c r="J7" s="90">
        <f t="shared" ref="J7:J62" si="10">IF(AND(E7="",F7=""),"",IF(E7="",F7,E7+F7))</f>
        <v>0.5</v>
      </c>
      <c r="K7" s="90">
        <f t="shared" ref="K7:K62" si="11">IF(AND(E7="",G7=""),"",IF(E7="",G7,E7+G7))</f>
        <v>0.48</v>
      </c>
      <c r="L7" s="91"/>
      <c r="M7" s="92">
        <f t="shared" si="0"/>
        <v>0</v>
      </c>
      <c r="N7" s="92">
        <f t="shared" si="1"/>
        <v>0</v>
      </c>
      <c r="O7" s="92">
        <f t="shared" si="2"/>
        <v>0</v>
      </c>
      <c r="P7" s="93">
        <f t="shared" si="3"/>
        <v>0</v>
      </c>
      <c r="Q7" s="94" t="str">
        <f t="shared" si="4"/>
        <v/>
      </c>
      <c r="R7" s="95" t="str">
        <f>IF(OR($AI7="",ISNUMBER($AI7)=FALSE),"",IF(AND(#REF!="Tolerance",$E7&lt;&gt;""),($O7-$E7)/(($J7-$K7)/2),IF(AND(#REF!="GD&amp;T",$F7&lt;&gt;""),$O7/$F7,"")))</f>
        <v/>
      </c>
      <c r="S7" s="95" t="str">
        <f t="shared" ref="S7:S62" si="12">IF($R7="","",IF(ABS($R7)&lt;=0.125, "Level A",IF(AND(ABS($R7)&gt;0.125,ABS($R7)&lt;=0.25), "Level B",IF(AND(ABS($R7)&gt;0.25,ABS($R7)&lt;=0.5), "Level C", IF(ABS($R7)&gt;0.5, "Level D")))))</f>
        <v/>
      </c>
      <c r="T7" s="94" t="str">
        <f t="shared" si="5"/>
        <v/>
      </c>
      <c r="U7" s="94" t="str">
        <f t="shared" si="6"/>
        <v/>
      </c>
      <c r="V7" s="94" t="str">
        <f t="shared" si="7"/>
        <v/>
      </c>
      <c r="W7" s="96" t="str">
        <f t="shared" si="8"/>
        <v/>
      </c>
      <c r="X7" s="97" t="e">
        <f>IF($O7="","",IF(#REF!="Tolerance",IF((#REF!*3*P7+O7)-E7&lt;F7,"",(#REF!*3*P7+O7)-E7),IF(OR(#REF!="GD&amp;T",#REF!="MAX"),IF((#REF!*3*P7+O7)&lt;F7,"",(#REF!*3*P7+O7)),"")))</f>
        <v>#REF!</v>
      </c>
      <c r="Y7" s="97" t="e">
        <f>IF(O7="","",IF(#REF!="Tolerance",IF(-((#REF!*3*P7)-O7)-E7&gt;G7,"",-((#REF!*3*P7)-O7)-E7),IF(#REF!="MIN",IF(-((#REF!*3*P7)-O7)&gt;G7,"",-((#REF!*3*P7)-O7)),"")))</f>
        <v>#REF!</v>
      </c>
      <c r="Z7" s="97">
        <f t="shared" ref="Z7:Z62" si="13">IF(OR(E7="",O7=""),"",(J7+K7)/2-O7)</f>
        <v>0.49</v>
      </c>
      <c r="AA7" s="97" t="str">
        <f t="shared" si="9"/>
        <v/>
      </c>
      <c r="AB7" s="98"/>
      <c r="AC7" s="99" t="str">
        <f t="shared" ref="AC7:AC62" si="14">IF(AB7="","",IF(AB7&gt;=0.966,"Normal","Not Normal"))</f>
        <v/>
      </c>
      <c r="AD7" s="100"/>
      <c r="AE7" s="101"/>
      <c r="AF7" s="101"/>
      <c r="AG7" s="102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FU7" s="104"/>
      <c r="HC7" s="104"/>
      <c r="JW7" s="104"/>
      <c r="NQ7" s="104"/>
      <c r="SV7" s="104"/>
      <c r="AKV7" s="104"/>
      <c r="AOS7" s="104"/>
      <c r="AST7" s="104"/>
      <c r="AXQ7" s="104"/>
      <c r="BJF7" s="104"/>
      <c r="BME7" s="104"/>
      <c r="BOW7" s="104"/>
      <c r="BQE7" s="104"/>
      <c r="BQG7" s="104"/>
      <c r="BTU7" s="104"/>
      <c r="BUB7" s="104"/>
      <c r="BUV7" s="104"/>
      <c r="CAG7" s="104"/>
      <c r="CON7" s="104"/>
      <c r="COQ7" s="104"/>
      <c r="COT7" s="104"/>
      <c r="CVM7" s="104"/>
      <c r="CZO7" s="104"/>
      <c r="CZW7" s="104"/>
      <c r="DHX7" s="104"/>
      <c r="DJE7" s="104"/>
      <c r="DMF7" s="104"/>
      <c r="DTB7" s="104"/>
      <c r="DTF7" s="104"/>
      <c r="DUH7" s="104"/>
      <c r="DYR7" s="104"/>
      <c r="EBF7" s="104"/>
    </row>
    <row r="8" spans="1:1023 1025:2040 2061:3066 3097:3494" ht="19.149999999999999" customHeight="1">
      <c r="A8" s="16">
        <v>3</v>
      </c>
      <c r="B8" s="84" t="s">
        <v>198</v>
      </c>
      <c r="C8" s="40" t="s">
        <v>60</v>
      </c>
      <c r="D8" s="85" t="s">
        <v>57</v>
      </c>
      <c r="E8" s="86">
        <v>0.49</v>
      </c>
      <c r="F8" s="87">
        <v>0.01</v>
      </c>
      <c r="G8" s="87">
        <v>-0.01</v>
      </c>
      <c r="H8" s="88" t="s">
        <v>58</v>
      </c>
      <c r="I8" s="89" t="s">
        <v>199</v>
      </c>
      <c r="J8" s="90">
        <f t="shared" si="10"/>
        <v>0.5</v>
      </c>
      <c r="K8" s="90">
        <f t="shared" si="11"/>
        <v>0.48</v>
      </c>
      <c r="L8" s="91"/>
      <c r="M8" s="92">
        <f t="shared" si="0"/>
        <v>0</v>
      </c>
      <c r="N8" s="92">
        <f t="shared" si="1"/>
        <v>0</v>
      </c>
      <c r="O8" s="92">
        <f t="shared" si="2"/>
        <v>0</v>
      </c>
      <c r="P8" s="93">
        <f t="shared" si="3"/>
        <v>0</v>
      </c>
      <c r="Q8" s="94" t="str">
        <f t="shared" si="4"/>
        <v/>
      </c>
      <c r="R8" s="95" t="str">
        <f>IF(OR($AI8="",ISNUMBER($AI8)=FALSE),"",IF(AND(#REF!="Tolerance",$E8&lt;&gt;""),($O8-$E8)/(($J8-$K8)/2),IF(AND(#REF!="GD&amp;T",$F8&lt;&gt;""),$O8/$F8,"")))</f>
        <v/>
      </c>
      <c r="S8" s="95" t="str">
        <f t="shared" si="12"/>
        <v/>
      </c>
      <c r="T8" s="94" t="str">
        <f t="shared" si="5"/>
        <v/>
      </c>
      <c r="U8" s="94" t="str">
        <f t="shared" si="6"/>
        <v/>
      </c>
      <c r="V8" s="94" t="str">
        <f t="shared" si="7"/>
        <v/>
      </c>
      <c r="W8" s="96" t="str">
        <f t="shared" si="8"/>
        <v/>
      </c>
      <c r="X8" s="97" t="e">
        <f>IF($O8="","",IF(#REF!="Tolerance",IF((#REF!*3*P8+O8)-E8&lt;F8,"",(#REF!*3*P8+O8)-E8),IF(OR(#REF!="GD&amp;T",#REF!="MAX"),IF((#REF!*3*P8+O8)&lt;F8,"",(#REF!*3*P8+O8)),"")))</f>
        <v>#REF!</v>
      </c>
      <c r="Y8" s="97" t="e">
        <f>IF(O8="","",IF(#REF!="Tolerance",IF(-((#REF!*3*P8)-O8)-E8&gt;G8,"",-((#REF!*3*P8)-O8)-E8),IF(#REF!="MIN",IF(-((#REF!*3*P8)-O8)&gt;G8,"",-((#REF!*3*P8)-O8)),"")))</f>
        <v>#REF!</v>
      </c>
      <c r="Z8" s="97">
        <f t="shared" si="13"/>
        <v>0.49</v>
      </c>
      <c r="AA8" s="97" t="str">
        <f t="shared" si="9"/>
        <v/>
      </c>
      <c r="AB8" s="98"/>
      <c r="AC8" s="99" t="str">
        <f t="shared" si="14"/>
        <v/>
      </c>
      <c r="AD8" s="100"/>
      <c r="AE8" s="101"/>
      <c r="AF8" s="101"/>
      <c r="AG8" s="102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FV8" s="104"/>
      <c r="JW8" s="104"/>
      <c r="AGG8" s="104"/>
      <c r="BFQ8" s="104"/>
      <c r="BKG8" s="104"/>
      <c r="BPJ8" s="104"/>
      <c r="BQE8" s="104"/>
      <c r="BSE8" s="104"/>
      <c r="BSK8" s="104"/>
      <c r="BUV8" s="104"/>
      <c r="BWJ8" s="104"/>
      <c r="BWR8" s="104"/>
      <c r="BZL8" s="104"/>
      <c r="CAG8" s="104"/>
      <c r="DIA8" s="104"/>
      <c r="DJE8" s="104"/>
      <c r="DPG8" s="104"/>
      <c r="ECE8" s="104"/>
    </row>
    <row r="9" spans="1:1023 1025:2040 2061:3066 3097:3494" ht="19.149999999999999" customHeight="1">
      <c r="A9" s="16">
        <v>4</v>
      </c>
      <c r="B9" s="84" t="s">
        <v>200</v>
      </c>
      <c r="C9" s="40" t="s">
        <v>61</v>
      </c>
      <c r="D9" s="85" t="s">
        <v>62</v>
      </c>
      <c r="E9" s="86"/>
      <c r="F9" s="87">
        <v>0.02</v>
      </c>
      <c r="G9" s="87"/>
      <c r="H9" s="88" t="s">
        <v>58</v>
      </c>
      <c r="I9" s="89" t="s">
        <v>199</v>
      </c>
      <c r="J9" s="90">
        <f t="shared" si="10"/>
        <v>0.02</v>
      </c>
      <c r="K9" s="90" t="str">
        <f t="shared" si="11"/>
        <v/>
      </c>
      <c r="L9" s="91"/>
      <c r="M9" s="92">
        <f t="shared" si="0"/>
        <v>0</v>
      </c>
      <c r="N9" s="92">
        <f t="shared" si="1"/>
        <v>0</v>
      </c>
      <c r="O9" s="92">
        <f t="shared" si="2"/>
        <v>0</v>
      </c>
      <c r="P9" s="93">
        <f t="shared" si="3"/>
        <v>0</v>
      </c>
      <c r="Q9" s="94" t="str">
        <f t="shared" si="4"/>
        <v/>
      </c>
      <c r="R9" s="95" t="str">
        <f>IF(OR($AI9="",ISNUMBER($AI9)=FALSE),"",IF(AND(#REF!="Tolerance",$E9&lt;&gt;""),($O9-$E9)/(($J9-$K9)/2),IF(AND(#REF!="GD&amp;T",$F9&lt;&gt;""),$O9/$F9,"")))</f>
        <v/>
      </c>
      <c r="S9" s="95" t="str">
        <f t="shared" si="12"/>
        <v/>
      </c>
      <c r="T9" s="94" t="str">
        <f t="shared" si="5"/>
        <v/>
      </c>
      <c r="U9" s="94" t="str">
        <f t="shared" si="6"/>
        <v/>
      </c>
      <c r="V9" s="94" t="str">
        <f t="shared" si="7"/>
        <v/>
      </c>
      <c r="W9" s="96" t="str">
        <f t="shared" si="8"/>
        <v/>
      </c>
      <c r="X9" s="97" t="e">
        <f>IF($O9="","",IF(#REF!="Tolerance",IF((#REF!*3*P9+O9)-E9&lt;F9,"",(#REF!*3*P9+O9)-E9),IF(OR(#REF!="GD&amp;T",#REF!="MAX"),IF((#REF!*3*P9+O9)&lt;F9,"",(#REF!*3*P9+O9)),"")))</f>
        <v>#REF!</v>
      </c>
      <c r="Y9" s="97" t="e">
        <f>IF(O9="","",IF(#REF!="Tolerance",IF(-((#REF!*3*P9)-O9)-E9&gt;G9,"",-((#REF!*3*P9)-O9)-E9),IF(#REF!="MIN",IF(-((#REF!*3*P9)-O9)&gt;G9,"",-((#REF!*3*P9)-O9)),"")))</f>
        <v>#REF!</v>
      </c>
      <c r="Z9" s="97" t="str">
        <f t="shared" si="13"/>
        <v/>
      </c>
      <c r="AA9" s="97" t="str">
        <f t="shared" si="9"/>
        <v/>
      </c>
      <c r="AB9" s="98"/>
      <c r="AC9" s="99" t="str">
        <f t="shared" si="14"/>
        <v/>
      </c>
      <c r="AD9" s="100"/>
      <c r="AE9" s="101"/>
      <c r="AF9" s="101"/>
      <c r="AG9" s="102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W9" s="104"/>
      <c r="FA9" s="104"/>
      <c r="LE9" s="104"/>
      <c r="QT9" s="104"/>
      <c r="TS9" s="104"/>
      <c r="ABL9" s="104"/>
      <c r="ABZ9" s="104"/>
      <c r="AMI9" s="104"/>
      <c r="ANI9" s="104"/>
      <c r="AQR9" s="104"/>
      <c r="ARW9" s="104"/>
      <c r="AVL9" s="104"/>
      <c r="BAR9" s="104"/>
      <c r="BBB9" s="104"/>
      <c r="BHD9" s="104"/>
      <c r="BJR9" s="104"/>
      <c r="BPC9" s="104"/>
      <c r="BSV9" s="104"/>
      <c r="BTK9" s="104"/>
      <c r="BVZ9" s="104"/>
      <c r="BWE9" s="104"/>
      <c r="BWO9" s="104"/>
      <c r="BYE9" s="104"/>
      <c r="CDE9" s="104"/>
      <c r="CFB9" s="104"/>
      <c r="CFT9" s="104"/>
      <c r="CFU9" s="104"/>
      <c r="CKQ9" s="104"/>
      <c r="CMR9" s="104"/>
      <c r="COO9" s="104"/>
      <c r="CQE9" s="104"/>
      <c r="CRH9" s="104"/>
      <c r="CSC9" s="104"/>
      <c r="CTV9" s="104"/>
      <c r="CZS9" s="104"/>
      <c r="DDL9" s="104"/>
      <c r="DEW9" s="104"/>
      <c r="DIG9" s="104"/>
      <c r="DIP9" s="104"/>
      <c r="DMX9" s="104"/>
      <c r="DSX9" s="104"/>
      <c r="DSY9" s="104"/>
      <c r="DVO9" s="104"/>
      <c r="EBY9" s="104"/>
    </row>
    <row r="10" spans="1:1023 1025:2040 2061:3066 3097:3494" ht="19.149999999999999" customHeight="1">
      <c r="A10" s="16">
        <v>5</v>
      </c>
      <c r="B10" s="84" t="s">
        <v>201</v>
      </c>
      <c r="C10" s="40" t="s">
        <v>63</v>
      </c>
      <c r="D10" s="85" t="s">
        <v>62</v>
      </c>
      <c r="E10" s="86"/>
      <c r="F10" s="87">
        <v>2.5000000000000001E-2</v>
      </c>
      <c r="G10" s="87"/>
      <c r="H10" s="88" t="s">
        <v>58</v>
      </c>
      <c r="I10" s="89" t="s">
        <v>199</v>
      </c>
      <c r="J10" s="90">
        <f t="shared" si="10"/>
        <v>2.5000000000000001E-2</v>
      </c>
      <c r="K10" s="90" t="str">
        <f t="shared" si="11"/>
        <v/>
      </c>
      <c r="L10" s="91"/>
      <c r="M10" s="92">
        <f t="shared" si="0"/>
        <v>0</v>
      </c>
      <c r="N10" s="92">
        <f t="shared" si="1"/>
        <v>0</v>
      </c>
      <c r="O10" s="92">
        <f t="shared" si="2"/>
        <v>0</v>
      </c>
      <c r="P10" s="93">
        <f t="shared" si="3"/>
        <v>0</v>
      </c>
      <c r="Q10" s="94" t="str">
        <f t="shared" si="4"/>
        <v/>
      </c>
      <c r="R10" s="95" t="str">
        <f>IF(OR($AI10="",ISNUMBER($AI10)=FALSE),"",IF(AND(#REF!="Tolerance",$E10&lt;&gt;""),($O10-$E10)/(($J10-$K10)/2),IF(AND(#REF!="GD&amp;T",$F10&lt;&gt;""),$O10/$F10,"")))</f>
        <v/>
      </c>
      <c r="S10" s="95" t="str">
        <f t="shared" si="12"/>
        <v/>
      </c>
      <c r="T10" s="94" t="str">
        <f t="shared" si="5"/>
        <v/>
      </c>
      <c r="U10" s="94" t="str">
        <f t="shared" si="6"/>
        <v/>
      </c>
      <c r="V10" s="94" t="str">
        <f t="shared" si="7"/>
        <v/>
      </c>
      <c r="W10" s="96" t="str">
        <f t="shared" si="8"/>
        <v/>
      </c>
      <c r="X10" s="97" t="e">
        <f>IF($O10="","",IF(#REF!="Tolerance",IF((#REF!*3*P10+O10)-E10&lt;F10,"",(#REF!*3*P10+O10)-E10),IF(OR(#REF!="GD&amp;T",#REF!="MAX"),IF((#REF!*3*P10+O10)&lt;F10,"",(#REF!*3*P10+O10)),"")))</f>
        <v>#REF!</v>
      </c>
      <c r="Y10" s="97" t="e">
        <f>IF(O10="","",IF(#REF!="Tolerance",IF(-((#REF!*3*P10)-O10)-E10&gt;G10,"",-((#REF!*3*P10)-O10)-E10),IF(#REF!="MIN",IF(-((#REF!*3*P10)-O10)&gt;G10,"",-((#REF!*3*P10)-O10)),"")))</f>
        <v>#REF!</v>
      </c>
      <c r="Z10" s="97" t="str">
        <f t="shared" si="13"/>
        <v/>
      </c>
      <c r="AA10" s="97" t="str">
        <f t="shared" si="9"/>
        <v/>
      </c>
      <c r="AB10" s="98"/>
      <c r="AC10" s="99" t="str">
        <f t="shared" si="14"/>
        <v/>
      </c>
      <c r="AD10" s="100"/>
      <c r="AE10" s="101"/>
      <c r="AF10" s="101"/>
      <c r="AG10" s="102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DR10" s="104"/>
      <c r="DX10" s="104"/>
      <c r="FA10" s="104"/>
      <c r="FH10" s="104"/>
      <c r="FS10" s="104"/>
      <c r="GE10" s="104"/>
      <c r="UP10" s="104"/>
      <c r="XU10" s="104"/>
      <c r="YV10" s="104"/>
      <c r="ABL10" s="104"/>
      <c r="ALD10" s="104"/>
      <c r="BJR10" s="104"/>
      <c r="BKR10" s="104"/>
      <c r="BNF10" s="104"/>
      <c r="BPE10" s="104"/>
      <c r="BPH10" s="104"/>
      <c r="BPO10" s="104"/>
      <c r="BTK10" s="104"/>
      <c r="BWE10" s="104"/>
      <c r="BYL10" s="104"/>
      <c r="CFU10" s="104"/>
      <c r="CKU10" s="104"/>
      <c r="COK10" s="104"/>
      <c r="COO10" s="104"/>
      <c r="CQB10" s="104"/>
      <c r="CQL10" s="104"/>
      <c r="CQW10" s="104"/>
      <c r="CXY10" s="104"/>
      <c r="CZS10" s="104"/>
      <c r="DDL10" s="104"/>
      <c r="DGP10" s="104"/>
      <c r="DHC10" s="104"/>
      <c r="DHD10" s="104"/>
      <c r="DIA10" s="104"/>
      <c r="DIR10" s="104"/>
      <c r="DSY10" s="104"/>
      <c r="DUI10" s="104"/>
    </row>
    <row r="11" spans="1:1023 1025:2040 2061:3066 3097:3494" ht="19.149999999999999" customHeight="1">
      <c r="A11" s="16">
        <v>6</v>
      </c>
      <c r="B11" s="84" t="s">
        <v>202</v>
      </c>
      <c r="C11" s="40" t="s">
        <v>64</v>
      </c>
      <c r="D11" s="85" t="s">
        <v>65</v>
      </c>
      <c r="E11" s="86"/>
      <c r="F11" s="87">
        <v>0.02</v>
      </c>
      <c r="G11" s="87"/>
      <c r="H11" s="88" t="s">
        <v>58</v>
      </c>
      <c r="I11" s="89" t="s">
        <v>199</v>
      </c>
      <c r="J11" s="90">
        <f t="shared" si="10"/>
        <v>0.02</v>
      </c>
      <c r="K11" s="90" t="str">
        <f t="shared" si="11"/>
        <v/>
      </c>
      <c r="L11" s="91"/>
      <c r="M11" s="92">
        <f t="shared" si="0"/>
        <v>0</v>
      </c>
      <c r="N11" s="92">
        <f t="shared" si="1"/>
        <v>0</v>
      </c>
      <c r="O11" s="92">
        <f t="shared" si="2"/>
        <v>0</v>
      </c>
      <c r="P11" s="93">
        <f t="shared" si="3"/>
        <v>0</v>
      </c>
      <c r="Q11" s="94" t="str">
        <f t="shared" si="4"/>
        <v/>
      </c>
      <c r="R11" s="95" t="str">
        <f>IF(OR($AI11="",ISNUMBER($AI11)=FALSE),"",IF(AND(#REF!="Tolerance",$E11&lt;&gt;""),($O11-$E11)/(($J11-$K11)/2),IF(AND(#REF!="GD&amp;T",$F11&lt;&gt;""),$O11/$F11,"")))</f>
        <v/>
      </c>
      <c r="S11" s="95" t="str">
        <f t="shared" si="12"/>
        <v/>
      </c>
      <c r="T11" s="94" t="str">
        <f t="shared" si="5"/>
        <v/>
      </c>
      <c r="U11" s="94" t="str">
        <f t="shared" si="6"/>
        <v/>
      </c>
      <c r="V11" s="94" t="str">
        <f t="shared" si="7"/>
        <v/>
      </c>
      <c r="W11" s="96" t="str">
        <f t="shared" si="8"/>
        <v/>
      </c>
      <c r="X11" s="97" t="e">
        <f>IF($O11="","",IF(#REF!="Tolerance",IF((#REF!*3*P11+O11)-E11&lt;F11,"",(#REF!*3*P11+O11)-E11),IF(OR(#REF!="GD&amp;T",#REF!="MAX"),IF((#REF!*3*P11+O11)&lt;F11,"",(#REF!*3*P11+O11)),"")))</f>
        <v>#REF!</v>
      </c>
      <c r="Y11" s="97" t="e">
        <f>IF(O11="","",IF(#REF!="Tolerance",IF(-((#REF!*3*P11)-O11)-E11&gt;G11,"",-((#REF!*3*P11)-O11)-E11),IF(#REF!="MIN",IF(-((#REF!*3*P11)-O11)&gt;G11,"",-((#REF!*3*P11)-O11)),"")))</f>
        <v>#REF!</v>
      </c>
      <c r="Z11" s="97" t="str">
        <f t="shared" si="13"/>
        <v/>
      </c>
      <c r="AA11" s="97" t="str">
        <f t="shared" si="9"/>
        <v/>
      </c>
      <c r="AB11" s="98"/>
      <c r="AC11" s="99" t="str">
        <f t="shared" si="14"/>
        <v/>
      </c>
      <c r="AD11" s="100"/>
      <c r="AE11" s="101"/>
      <c r="AF11" s="101"/>
      <c r="AG11" s="102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DQ11" s="104"/>
      <c r="FU11" s="104"/>
      <c r="HC11" s="104"/>
      <c r="JW11" s="104"/>
      <c r="NQ11" s="104"/>
      <c r="PT11" s="104"/>
      <c r="SV11" s="104"/>
      <c r="AKV11" s="104"/>
      <c r="AOS11" s="104"/>
      <c r="AXQ11" s="104"/>
      <c r="BME11" s="104"/>
      <c r="BOW11" s="104"/>
      <c r="BQG11" s="104"/>
      <c r="BSV11" s="104"/>
      <c r="BUV11" s="104"/>
      <c r="CDA11" s="104"/>
      <c r="CHN11" s="104"/>
      <c r="CKC11" s="104"/>
      <c r="COT11" s="104"/>
      <c r="CZW11" s="104"/>
      <c r="DTF11" s="104"/>
    </row>
    <row r="12" spans="1:1023 1025:2040 2061:3066 3097:3494" ht="19.149999999999999" customHeight="1">
      <c r="A12" s="16">
        <v>7</v>
      </c>
      <c r="B12" s="84" t="s">
        <v>203</v>
      </c>
      <c r="C12" s="40" t="s">
        <v>66</v>
      </c>
      <c r="D12" s="85" t="s">
        <v>57</v>
      </c>
      <c r="E12" s="86">
        <v>11.45</v>
      </c>
      <c r="F12" s="87">
        <v>0.02</v>
      </c>
      <c r="G12" s="87">
        <v>-0.02</v>
      </c>
      <c r="H12" s="88" t="s">
        <v>58</v>
      </c>
      <c r="I12" s="89" t="s">
        <v>199</v>
      </c>
      <c r="J12" s="90">
        <f t="shared" si="10"/>
        <v>11.469999999999999</v>
      </c>
      <c r="K12" s="90">
        <f t="shared" si="11"/>
        <v>11.43</v>
      </c>
      <c r="L12" s="91"/>
      <c r="M12" s="92">
        <f t="shared" si="0"/>
        <v>0</v>
      </c>
      <c r="N12" s="92">
        <f t="shared" si="1"/>
        <v>0</v>
      </c>
      <c r="O12" s="92">
        <f t="shared" si="2"/>
        <v>0</v>
      </c>
      <c r="P12" s="93">
        <f t="shared" si="3"/>
        <v>0</v>
      </c>
      <c r="Q12" s="94" t="str">
        <f t="shared" si="4"/>
        <v/>
      </c>
      <c r="R12" s="95" t="str">
        <f>IF(OR($AI12="",ISNUMBER($AI12)=FALSE),"",IF(AND(#REF!="Tolerance",$E12&lt;&gt;""),($O12-$E12)/(($J12-$K12)/2),IF(AND(#REF!="GD&amp;T",$F12&lt;&gt;""),$O12/$F12,"")))</f>
        <v/>
      </c>
      <c r="S12" s="95" t="str">
        <f t="shared" si="12"/>
        <v/>
      </c>
      <c r="T12" s="94" t="str">
        <f t="shared" si="5"/>
        <v/>
      </c>
      <c r="U12" s="94" t="str">
        <f t="shared" si="6"/>
        <v/>
      </c>
      <c r="V12" s="94" t="str">
        <f t="shared" si="7"/>
        <v/>
      </c>
      <c r="W12" s="96" t="str">
        <f t="shared" si="8"/>
        <v/>
      </c>
      <c r="X12" s="97" t="e">
        <f>IF($O12="","",IF(#REF!="Tolerance",IF((#REF!*3*P12+O12)-E12&lt;F12,"",(#REF!*3*P12+O12)-E12),IF(OR(#REF!="GD&amp;T",#REF!="MAX"),IF((#REF!*3*P12+O12)&lt;F12,"",(#REF!*3*P12+O12)),"")))</f>
        <v>#REF!</v>
      </c>
      <c r="Y12" s="97" t="e">
        <f>IF(O12="","",IF(#REF!="Tolerance",IF(-((#REF!*3*P12)-O12)-E12&gt;G12,"",-((#REF!*3*P12)-O12)-E12),IF(#REF!="MIN",IF(-((#REF!*3*P12)-O12)&gt;G12,"",-((#REF!*3*P12)-O12)),"")))</f>
        <v>#REF!</v>
      </c>
      <c r="Z12" s="97">
        <f t="shared" si="13"/>
        <v>11.45</v>
      </c>
      <c r="AA12" s="97" t="str">
        <f t="shared" si="9"/>
        <v/>
      </c>
      <c r="AB12" s="98"/>
      <c r="AC12" s="99" t="str">
        <f t="shared" si="14"/>
        <v/>
      </c>
      <c r="AD12" s="100"/>
      <c r="AE12" s="101"/>
      <c r="AF12" s="101"/>
      <c r="AG12" s="102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T12" s="104"/>
      <c r="DB12" s="104"/>
      <c r="GD12" s="104"/>
      <c r="HR12" s="104"/>
      <c r="NL12" s="104"/>
      <c r="NY12" s="104"/>
      <c r="QO12" s="104"/>
      <c r="XF12" s="104"/>
      <c r="YF12" s="104"/>
      <c r="AAP12" s="104"/>
      <c r="ABZ12" s="104"/>
      <c r="ACN12" s="104"/>
      <c r="ADU12" s="104"/>
      <c r="AHX12" s="104"/>
      <c r="AJN12" s="104"/>
      <c r="ALK12" s="104"/>
      <c r="AMK12" s="104"/>
      <c r="ANZ12" s="104"/>
      <c r="AOX12" s="104"/>
      <c r="APB12" s="104"/>
      <c r="APR12" s="104"/>
      <c r="APY12" s="104"/>
      <c r="APZ12" s="104"/>
      <c r="ARB12" s="104"/>
      <c r="ATM12" s="104"/>
      <c r="AZL12" s="104"/>
      <c r="BBN12" s="104"/>
      <c r="BCN12" s="104"/>
      <c r="BEF12" s="104"/>
      <c r="BFA12" s="104"/>
      <c r="BRH12" s="104"/>
      <c r="BTG12" s="104"/>
      <c r="CEW12" s="104"/>
      <c r="CFT12" s="104"/>
      <c r="CLG12" s="104"/>
      <c r="CWR12" s="104"/>
      <c r="DMF12" s="104"/>
      <c r="DSN12" s="104"/>
      <c r="DSY12" s="104"/>
      <c r="DTX12" s="104"/>
      <c r="DVA12" s="104"/>
    </row>
    <row r="13" spans="1:1023 1025:2040 2061:3066 3097:3494" ht="19.149999999999999" customHeight="1">
      <c r="A13" s="16">
        <v>8</v>
      </c>
      <c r="B13" s="84" t="s">
        <v>204</v>
      </c>
      <c r="C13" s="40" t="s">
        <v>67</v>
      </c>
      <c r="D13" s="85" t="s">
        <v>57</v>
      </c>
      <c r="E13" s="86">
        <v>0.04</v>
      </c>
      <c r="F13" s="87">
        <v>0.02</v>
      </c>
      <c r="G13" s="87">
        <v>-0.02</v>
      </c>
      <c r="H13" s="88" t="s">
        <v>58</v>
      </c>
      <c r="I13" s="89" t="s">
        <v>199</v>
      </c>
      <c r="J13" s="90">
        <f t="shared" si="10"/>
        <v>0.06</v>
      </c>
      <c r="K13" s="90">
        <f t="shared" si="11"/>
        <v>0.02</v>
      </c>
      <c r="L13" s="91"/>
      <c r="M13" s="92">
        <f t="shared" si="0"/>
        <v>0</v>
      </c>
      <c r="N13" s="92">
        <f t="shared" si="1"/>
        <v>0</v>
      </c>
      <c r="O13" s="92">
        <f t="shared" si="2"/>
        <v>0</v>
      </c>
      <c r="P13" s="93">
        <f t="shared" si="3"/>
        <v>0</v>
      </c>
      <c r="Q13" s="94" t="str">
        <f t="shared" si="4"/>
        <v/>
      </c>
      <c r="R13" s="95" t="str">
        <f>IF(OR($AI13="",ISNUMBER($AI13)=FALSE),"",IF(AND(#REF!="Tolerance",$E13&lt;&gt;""),($O13-$E13)/(($J13-$K13)/2),IF(AND(#REF!="GD&amp;T",$F13&lt;&gt;""),$O13/$F13,"")))</f>
        <v/>
      </c>
      <c r="S13" s="95" t="str">
        <f t="shared" si="12"/>
        <v/>
      </c>
      <c r="T13" s="94" t="str">
        <f t="shared" si="5"/>
        <v/>
      </c>
      <c r="U13" s="94" t="str">
        <f t="shared" si="6"/>
        <v/>
      </c>
      <c r="V13" s="94" t="str">
        <f t="shared" si="7"/>
        <v/>
      </c>
      <c r="W13" s="96" t="str">
        <f t="shared" si="8"/>
        <v/>
      </c>
      <c r="X13" s="97" t="e">
        <f>IF($O13="","",IF(#REF!="Tolerance",IF((#REF!*3*P13+O13)-E13&lt;F13,"",(#REF!*3*P13+O13)-E13),IF(OR(#REF!="GD&amp;T",#REF!="MAX"),IF((#REF!*3*P13+O13)&lt;F13,"",(#REF!*3*P13+O13)),"")))</f>
        <v>#REF!</v>
      </c>
      <c r="Y13" s="97" t="e">
        <f>IF(O13="","",IF(#REF!="Tolerance",IF(-((#REF!*3*P13)-O13)-E13&gt;G13,"",-((#REF!*3*P13)-O13)-E13),IF(#REF!="MIN",IF(-((#REF!*3*P13)-O13)&gt;G13,"",-((#REF!*3*P13)-O13)),"")))</f>
        <v>#REF!</v>
      </c>
      <c r="Z13" s="97">
        <f t="shared" si="13"/>
        <v>0.04</v>
      </c>
      <c r="AA13" s="97" t="str">
        <f t="shared" si="9"/>
        <v/>
      </c>
      <c r="AB13" s="98"/>
      <c r="AC13" s="99" t="str">
        <f t="shared" si="14"/>
        <v/>
      </c>
      <c r="AD13" s="100"/>
      <c r="AE13" s="101"/>
      <c r="AF13" s="101"/>
      <c r="AG13" s="102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X13" s="104"/>
      <c r="CH13" s="104"/>
      <c r="JA13" s="104"/>
      <c r="JS13" s="104"/>
      <c r="AHY13" s="104"/>
      <c r="APB13" s="104"/>
      <c r="APQ13" s="104"/>
      <c r="APX13" s="104"/>
      <c r="ARL13" s="104"/>
      <c r="ASZ13" s="104"/>
      <c r="AUG13" s="104"/>
      <c r="AWU13" s="104"/>
      <c r="AYL13" s="104"/>
      <c r="BCW13" s="104"/>
      <c r="CCF13" s="104"/>
      <c r="CCK13" s="104"/>
      <c r="CHM13" s="104"/>
      <c r="CKG13" s="104"/>
      <c r="CLK13" s="104"/>
      <c r="DBD13" s="104"/>
      <c r="DCD13" s="104"/>
      <c r="DFM13" s="104"/>
      <c r="DQM13" s="104"/>
      <c r="DRB13" s="104"/>
      <c r="DWC13" s="104"/>
      <c r="EDJ13" s="104"/>
    </row>
    <row r="14" spans="1:1023 1025:2040 2061:3066 3097:3494" ht="19.149999999999999" customHeight="1">
      <c r="A14" s="16">
        <v>9</v>
      </c>
      <c r="B14" s="84" t="s">
        <v>204</v>
      </c>
      <c r="C14" s="40" t="s">
        <v>68</v>
      </c>
      <c r="D14" s="85" t="s">
        <v>57</v>
      </c>
      <c r="E14" s="86">
        <v>0.04</v>
      </c>
      <c r="F14" s="87">
        <v>0.02</v>
      </c>
      <c r="G14" s="87">
        <v>-0.02</v>
      </c>
      <c r="H14" s="88" t="s">
        <v>58</v>
      </c>
      <c r="I14" s="89" t="s">
        <v>199</v>
      </c>
      <c r="J14" s="90">
        <f t="shared" si="10"/>
        <v>0.06</v>
      </c>
      <c r="K14" s="90">
        <f t="shared" si="11"/>
        <v>0.02</v>
      </c>
      <c r="L14" s="91"/>
      <c r="M14" s="92">
        <f t="shared" si="0"/>
        <v>0</v>
      </c>
      <c r="N14" s="92">
        <f t="shared" si="1"/>
        <v>0</v>
      </c>
      <c r="O14" s="92">
        <f t="shared" si="2"/>
        <v>0</v>
      </c>
      <c r="P14" s="93">
        <f t="shared" si="3"/>
        <v>0</v>
      </c>
      <c r="Q14" s="94" t="str">
        <f t="shared" si="4"/>
        <v/>
      </c>
      <c r="R14" s="95" t="str">
        <f>IF(OR($AI14="",ISNUMBER($AI14)=FALSE),"",IF(AND(#REF!="Tolerance",$E14&lt;&gt;""),($O14-$E14)/(($J14-$K14)/2),IF(AND(#REF!="GD&amp;T",$F14&lt;&gt;""),$O14/$F14,"")))</f>
        <v/>
      </c>
      <c r="S14" s="95" t="str">
        <f t="shared" si="12"/>
        <v/>
      </c>
      <c r="T14" s="94" t="str">
        <f t="shared" si="5"/>
        <v/>
      </c>
      <c r="U14" s="94" t="str">
        <f t="shared" si="6"/>
        <v/>
      </c>
      <c r="V14" s="94" t="str">
        <f t="shared" si="7"/>
        <v/>
      </c>
      <c r="W14" s="96" t="str">
        <f t="shared" si="8"/>
        <v/>
      </c>
      <c r="X14" s="97" t="e">
        <f>IF($O14="","",IF(#REF!="Tolerance",IF((#REF!*3*P14+O14)-E14&lt;F14,"",(#REF!*3*P14+O14)-E14),IF(OR(#REF!="GD&amp;T",#REF!="MAX"),IF((#REF!*3*P14+O14)&lt;F14,"",(#REF!*3*P14+O14)),"")))</f>
        <v>#REF!</v>
      </c>
      <c r="Y14" s="97" t="e">
        <f>IF(O14="","",IF(#REF!="Tolerance",IF(-((#REF!*3*P14)-O14)-E14&gt;G14,"",-((#REF!*3*P14)-O14)-E14),IF(#REF!="MIN",IF(-((#REF!*3*P14)-O14)&gt;G14,"",-((#REF!*3*P14)-O14)),"")))</f>
        <v>#REF!</v>
      </c>
      <c r="Z14" s="97">
        <f t="shared" si="13"/>
        <v>0.04</v>
      </c>
      <c r="AA14" s="97" t="str">
        <f t="shared" si="9"/>
        <v/>
      </c>
      <c r="AB14" s="98"/>
      <c r="AC14" s="99" t="str">
        <f t="shared" si="14"/>
        <v/>
      </c>
      <c r="AD14" s="100"/>
      <c r="AE14" s="101"/>
      <c r="AF14" s="101"/>
      <c r="AG14" s="102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EN14" s="104"/>
      <c r="HC14" s="104"/>
      <c r="KF14" s="104"/>
      <c r="LE14" s="104"/>
      <c r="PS14" s="104"/>
      <c r="WC14" s="104"/>
      <c r="XQ14" s="104"/>
      <c r="YV14" s="104"/>
      <c r="AIZ14" s="104"/>
      <c r="AKV14" s="104"/>
      <c r="ALG14" s="104"/>
      <c r="AMM14" s="104"/>
      <c r="ANE14" s="104"/>
      <c r="AQR14" s="104"/>
      <c r="ASC14" s="104"/>
      <c r="AWH14" s="104"/>
      <c r="AYY14" s="104"/>
      <c r="BCJ14" s="104"/>
      <c r="BEA14" s="104"/>
      <c r="BFP14" s="104"/>
      <c r="BOQ14" s="104"/>
      <c r="BRU14" s="104"/>
      <c r="BSP14" s="104"/>
      <c r="BTE14" s="104"/>
      <c r="BXY14" s="104"/>
      <c r="BYL14" s="104"/>
      <c r="CGR14" s="104"/>
      <c r="CGU14" s="104"/>
      <c r="CLX14" s="104"/>
      <c r="CNI14" s="104"/>
      <c r="CYL14" s="104"/>
      <c r="CYT14" s="104"/>
      <c r="DEK14" s="104"/>
      <c r="DHZ14" s="104"/>
      <c r="DIC14" s="104"/>
      <c r="DIS14" s="104"/>
      <c r="DJS14" s="104"/>
      <c r="DOC14" s="104"/>
      <c r="DPQ14" s="104"/>
      <c r="DPU14" s="104"/>
      <c r="DQX14" s="104"/>
      <c r="EAF14" s="104"/>
      <c r="ECT14" s="104"/>
    </row>
    <row r="15" spans="1:1023 1025:2040 2061:3066 3097:3494" ht="19.149999999999999" customHeight="1">
      <c r="A15" s="16">
        <v>10</v>
      </c>
      <c r="B15" s="84" t="s">
        <v>205</v>
      </c>
      <c r="C15" s="40" t="s">
        <v>69</v>
      </c>
      <c r="D15" s="85" t="s">
        <v>57</v>
      </c>
      <c r="E15" s="86">
        <v>11.2</v>
      </c>
      <c r="F15" s="87">
        <v>0.02</v>
      </c>
      <c r="G15" s="87">
        <v>-0.02</v>
      </c>
      <c r="H15" s="88" t="s">
        <v>58</v>
      </c>
      <c r="I15" s="89" t="s">
        <v>199</v>
      </c>
      <c r="J15" s="90">
        <f t="shared" si="10"/>
        <v>11.219999999999999</v>
      </c>
      <c r="K15" s="90">
        <f t="shared" si="11"/>
        <v>11.18</v>
      </c>
      <c r="L15" s="91"/>
      <c r="M15" s="92">
        <f t="shared" si="0"/>
        <v>0</v>
      </c>
      <c r="N15" s="92">
        <f t="shared" si="1"/>
        <v>0</v>
      </c>
      <c r="O15" s="92">
        <f t="shared" si="2"/>
        <v>0</v>
      </c>
      <c r="P15" s="93">
        <f t="shared" si="3"/>
        <v>0</v>
      </c>
      <c r="Q15" s="94" t="str">
        <f t="shared" si="4"/>
        <v/>
      </c>
      <c r="R15" s="95" t="str">
        <f>IF(OR($AI15="",ISNUMBER($AI15)=FALSE),"",IF(AND(#REF!="Tolerance",$E15&lt;&gt;""),($O15-$E15)/(($J15-$K15)/2),IF(AND(#REF!="GD&amp;T",$F15&lt;&gt;""),$O15/$F15,"")))</f>
        <v/>
      </c>
      <c r="S15" s="95" t="str">
        <f t="shared" si="12"/>
        <v/>
      </c>
      <c r="T15" s="94" t="str">
        <f t="shared" si="5"/>
        <v/>
      </c>
      <c r="U15" s="94" t="str">
        <f t="shared" si="6"/>
        <v/>
      </c>
      <c r="V15" s="94" t="str">
        <f t="shared" si="7"/>
        <v/>
      </c>
      <c r="W15" s="96" t="str">
        <f t="shared" si="8"/>
        <v/>
      </c>
      <c r="X15" s="97" t="e">
        <f>IF($O15="","",IF(#REF!="Tolerance",IF((#REF!*3*P15+O15)-E15&lt;F15,"",(#REF!*3*P15+O15)-E15),IF(OR(#REF!="GD&amp;T",#REF!="MAX"),IF((#REF!*3*P15+O15)&lt;F15,"",(#REF!*3*P15+O15)),"")))</f>
        <v>#REF!</v>
      </c>
      <c r="Y15" s="97" t="e">
        <f>IF(O15="","",IF(#REF!="Tolerance",IF(-((#REF!*3*P15)-O15)-E15&gt;G15,"",-((#REF!*3*P15)-O15)-E15),IF(#REF!="MIN",IF(-((#REF!*3*P15)-O15)&gt;G15,"",-((#REF!*3*P15)-O15)),"")))</f>
        <v>#REF!</v>
      </c>
      <c r="Z15" s="97">
        <f t="shared" si="13"/>
        <v>11.2</v>
      </c>
      <c r="AA15" s="97" t="str">
        <f t="shared" si="9"/>
        <v/>
      </c>
      <c r="AB15" s="98"/>
      <c r="AC15" s="99" t="str">
        <f t="shared" si="14"/>
        <v/>
      </c>
      <c r="AD15" s="100"/>
      <c r="AE15" s="101"/>
      <c r="AF15" s="101"/>
      <c r="AG15" s="102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EN15" s="104"/>
      <c r="HC15" s="104"/>
      <c r="KF15" s="104"/>
      <c r="LE15" s="104"/>
      <c r="PS15" s="104"/>
      <c r="WC15" s="104"/>
      <c r="XQ15" s="104"/>
      <c r="YV15" s="104"/>
      <c r="AIZ15" s="104"/>
      <c r="ALG15" s="104"/>
      <c r="AMM15" s="104"/>
      <c r="ANE15" s="104"/>
      <c r="AQE15" s="104"/>
      <c r="AQR15" s="104"/>
      <c r="ARG15" s="104"/>
      <c r="ASC15" s="104"/>
      <c r="AWH15" s="104"/>
      <c r="BCJ15" s="104"/>
      <c r="BEA15" s="104"/>
      <c r="BFP15" s="104"/>
      <c r="BJW15" s="104"/>
      <c r="BOQ15" s="104"/>
      <c r="BRU15" s="104"/>
      <c r="BSP15" s="104"/>
      <c r="BTE15" s="104"/>
      <c r="BXY15" s="104"/>
      <c r="BYL15" s="104"/>
      <c r="CGR15" s="104"/>
      <c r="CGU15" s="104"/>
      <c r="CLX15" s="104"/>
      <c r="CNI15" s="104"/>
      <c r="CWD15" s="104"/>
      <c r="CYT15" s="104"/>
      <c r="DHZ15" s="104"/>
      <c r="DIC15" s="104"/>
      <c r="DIS15" s="104"/>
      <c r="DJS15" s="104"/>
      <c r="DOQ15" s="104"/>
      <c r="DPQ15" s="104"/>
      <c r="DPU15" s="104"/>
      <c r="DQX15" s="104"/>
      <c r="DZL15" s="104"/>
      <c r="EAF15" s="104"/>
      <c r="EBX15" s="104"/>
      <c r="ECT15" s="104"/>
    </row>
    <row r="16" spans="1:1023 1025:2040 2061:3066 3097:3494" ht="19.149999999999999" customHeight="1">
      <c r="A16" s="16">
        <v>11</v>
      </c>
      <c r="B16" s="84" t="s">
        <v>206</v>
      </c>
      <c r="C16" s="40" t="s">
        <v>70</v>
      </c>
      <c r="D16" s="85" t="s">
        <v>57</v>
      </c>
      <c r="E16" s="86">
        <v>13.53</v>
      </c>
      <c r="F16" s="87">
        <v>0.02</v>
      </c>
      <c r="G16" s="87">
        <v>-0.02</v>
      </c>
      <c r="H16" s="88" t="s">
        <v>58</v>
      </c>
      <c r="I16" s="89" t="s">
        <v>199</v>
      </c>
      <c r="J16" s="90">
        <f t="shared" si="10"/>
        <v>13.549999999999999</v>
      </c>
      <c r="K16" s="90">
        <f t="shared" si="11"/>
        <v>13.51</v>
      </c>
      <c r="L16" s="91"/>
      <c r="M16" s="92">
        <f t="shared" si="0"/>
        <v>0</v>
      </c>
      <c r="N16" s="92">
        <f t="shared" si="1"/>
        <v>0</v>
      </c>
      <c r="O16" s="92">
        <f t="shared" si="2"/>
        <v>0</v>
      </c>
      <c r="P16" s="93">
        <f t="shared" si="3"/>
        <v>0</v>
      </c>
      <c r="Q16" s="94" t="str">
        <f t="shared" si="4"/>
        <v/>
      </c>
      <c r="R16" s="95" t="str">
        <f>IF(OR($AI16="",ISNUMBER($AI16)=FALSE),"",IF(AND(#REF!="Tolerance",$E16&lt;&gt;""),($O16-$E16)/(($J16-$K16)/2),IF(AND(#REF!="GD&amp;T",$F16&lt;&gt;""),$O16/$F16,"")))</f>
        <v/>
      </c>
      <c r="S16" s="95" t="str">
        <f t="shared" si="12"/>
        <v/>
      </c>
      <c r="T16" s="94" t="str">
        <f t="shared" si="5"/>
        <v/>
      </c>
      <c r="U16" s="94" t="str">
        <f t="shared" si="6"/>
        <v/>
      </c>
      <c r="V16" s="94" t="str">
        <f t="shared" si="7"/>
        <v/>
      </c>
      <c r="W16" s="96" t="str">
        <f t="shared" si="8"/>
        <v/>
      </c>
      <c r="X16" s="97" t="e">
        <f>IF($O16="","",IF(#REF!="Tolerance",IF((#REF!*3*P16+O16)-E16&lt;F16,"",(#REF!*3*P16+O16)-E16),IF(OR(#REF!="GD&amp;T",#REF!="MAX"),IF((#REF!*3*P16+O16)&lt;F16,"",(#REF!*3*P16+O16)),"")))</f>
        <v>#REF!</v>
      </c>
      <c r="Y16" s="97" t="e">
        <f>IF(O16="","",IF(#REF!="Tolerance",IF(-((#REF!*3*P16)-O16)-E16&gt;G16,"",-((#REF!*3*P16)-O16)-E16),IF(#REF!="MIN",IF(-((#REF!*3*P16)-O16)&gt;G16,"",-((#REF!*3*P16)-O16)),"")))</f>
        <v>#REF!</v>
      </c>
      <c r="Z16" s="97">
        <f t="shared" si="13"/>
        <v>13.53</v>
      </c>
      <c r="AA16" s="97" t="str">
        <f t="shared" si="9"/>
        <v/>
      </c>
      <c r="AB16" s="98"/>
      <c r="AC16" s="99" t="str">
        <f t="shared" si="14"/>
        <v/>
      </c>
      <c r="AD16" s="100"/>
      <c r="AE16" s="101"/>
      <c r="AF16" s="101"/>
      <c r="AG16" s="102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EN16" s="104"/>
      <c r="HC16" s="104"/>
      <c r="LE16" s="104"/>
      <c r="PS16" s="104"/>
      <c r="WC16" s="104"/>
      <c r="XQ16" s="104"/>
      <c r="YV16" s="104"/>
      <c r="AIZ16" s="104"/>
      <c r="ALG16" s="104"/>
      <c r="AMM16" s="104"/>
      <c r="ANE16" s="104"/>
      <c r="AQE16" s="104"/>
      <c r="ASC16" s="104"/>
      <c r="AWH16" s="104"/>
      <c r="BCJ16" s="104"/>
      <c r="BEA16" s="104"/>
      <c r="BFP16" s="104"/>
      <c r="BKT16" s="104"/>
      <c r="BOQ16" s="104"/>
      <c r="BRU16" s="104"/>
      <c r="BSP16" s="104"/>
      <c r="BTE16" s="104"/>
      <c r="BXY16" s="104"/>
      <c r="BYL16" s="104"/>
      <c r="CGR16" s="104"/>
      <c r="CGU16" s="104"/>
      <c r="CTV16" s="104"/>
      <c r="DHZ16" s="104"/>
      <c r="DIC16" s="104"/>
      <c r="DIS16" s="104"/>
      <c r="DJS16" s="104"/>
      <c r="DPQ16" s="104"/>
      <c r="DPU16" s="104"/>
      <c r="DQX16" s="104"/>
      <c r="DZL16" s="104"/>
      <c r="EAF16" s="104"/>
      <c r="ECT16" s="104"/>
    </row>
    <row r="17" spans="1:995 1027:2014 2228:2983 3137:3412" ht="19.149999999999999" customHeight="1">
      <c r="A17" s="16">
        <v>12</v>
      </c>
      <c r="B17" s="84" t="s">
        <v>207</v>
      </c>
      <c r="C17" s="40" t="s">
        <v>72</v>
      </c>
      <c r="D17" s="85" t="s">
        <v>57</v>
      </c>
      <c r="E17" s="86">
        <v>13.31</v>
      </c>
      <c r="F17" s="87">
        <v>0.02</v>
      </c>
      <c r="G17" s="87">
        <v>-0.02</v>
      </c>
      <c r="H17" s="88" t="s">
        <v>58</v>
      </c>
      <c r="I17" s="89" t="s">
        <v>199</v>
      </c>
      <c r="J17" s="90">
        <f t="shared" si="10"/>
        <v>13.33</v>
      </c>
      <c r="K17" s="90">
        <f t="shared" si="11"/>
        <v>13.290000000000001</v>
      </c>
      <c r="L17" s="91"/>
      <c r="M17" s="92">
        <f t="shared" si="0"/>
        <v>0</v>
      </c>
      <c r="N17" s="92">
        <f t="shared" si="1"/>
        <v>0</v>
      </c>
      <c r="O17" s="92">
        <f t="shared" si="2"/>
        <v>0</v>
      </c>
      <c r="P17" s="93">
        <f t="shared" si="3"/>
        <v>0</v>
      </c>
      <c r="Q17" s="94" t="str">
        <f t="shared" si="4"/>
        <v/>
      </c>
      <c r="R17" s="95" t="str">
        <f>IF(OR($AI17="",ISNUMBER($AI17)=FALSE),"",IF(AND(#REF!="Tolerance",$E17&lt;&gt;""),($O17-$E17)/(($J17-$K17)/2),IF(AND(#REF!="GD&amp;T",$F17&lt;&gt;""),$O17/$F17,"")))</f>
        <v/>
      </c>
      <c r="S17" s="95" t="str">
        <f t="shared" si="12"/>
        <v/>
      </c>
      <c r="T17" s="94" t="str">
        <f t="shared" si="5"/>
        <v/>
      </c>
      <c r="U17" s="94" t="str">
        <f t="shared" si="6"/>
        <v/>
      </c>
      <c r="V17" s="94" t="str">
        <f t="shared" si="7"/>
        <v/>
      </c>
      <c r="W17" s="96" t="str">
        <f t="shared" si="8"/>
        <v/>
      </c>
      <c r="X17" s="97" t="e">
        <f>IF($O17="","",IF(#REF!="Tolerance",IF((#REF!*3*P17+O17)-E17&lt;F17,"",(#REF!*3*P17+O17)-E17),IF(OR(#REF!="GD&amp;T",#REF!="MAX"),IF((#REF!*3*P17+O17)&lt;F17,"",(#REF!*3*P17+O17)),"")))</f>
        <v>#REF!</v>
      </c>
      <c r="Y17" s="97" t="e">
        <f>IF(O17="","",IF(#REF!="Tolerance",IF(-((#REF!*3*P17)-O17)-E17&gt;G17,"",-((#REF!*3*P17)-O17)-E17),IF(#REF!="MIN",IF(-((#REF!*3*P17)-O17)&gt;G17,"",-((#REF!*3*P17)-O17)),"")))</f>
        <v>#REF!</v>
      </c>
      <c r="Z17" s="97">
        <f t="shared" si="13"/>
        <v>13.31</v>
      </c>
      <c r="AA17" s="97" t="str">
        <f t="shared" si="9"/>
        <v/>
      </c>
      <c r="AB17" s="98"/>
      <c r="AC17" s="99" t="str">
        <f t="shared" si="14"/>
        <v/>
      </c>
      <c r="AD17" s="100"/>
      <c r="AE17" s="101"/>
      <c r="AF17" s="101"/>
      <c r="AG17" s="102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HC17" s="104"/>
      <c r="LE17" s="104"/>
      <c r="XQ17" s="104"/>
      <c r="YV17" s="104"/>
      <c r="AIZ17" s="104"/>
      <c r="AKV17" s="104"/>
      <c r="ALG17" s="104"/>
      <c r="AMM17" s="104"/>
      <c r="ANE17" s="104"/>
      <c r="AQE17" s="104"/>
      <c r="AQR17" s="104"/>
      <c r="ASC17" s="104"/>
      <c r="AWH17" s="104"/>
      <c r="AYY17" s="104"/>
      <c r="BCJ17" s="104"/>
      <c r="BEA17" s="104"/>
      <c r="BFP17" s="104"/>
      <c r="BJW17" s="104"/>
      <c r="BOQ17" s="104"/>
      <c r="BRU17" s="104"/>
      <c r="BSP17" s="104"/>
      <c r="BXY17" s="104"/>
      <c r="BYL17" s="104"/>
      <c r="CGR17" s="104"/>
      <c r="DHZ17" s="104"/>
      <c r="DIC17" s="104"/>
      <c r="DIS17" s="104"/>
      <c r="DJS17" s="104"/>
      <c r="DPQ17" s="104"/>
      <c r="DPU17" s="104"/>
      <c r="DQX17" s="104"/>
      <c r="DSN17" s="104"/>
      <c r="DZL17" s="104"/>
      <c r="EAF17" s="104"/>
    </row>
    <row r="18" spans="1:995 1027:2014 2228:2983 3137:3412" ht="19.149999999999999" customHeight="1">
      <c r="A18" s="16">
        <v>13</v>
      </c>
      <c r="B18" s="84" t="s">
        <v>208</v>
      </c>
      <c r="C18" s="40" t="s">
        <v>73</v>
      </c>
      <c r="D18" s="85" t="s">
        <v>57</v>
      </c>
      <c r="E18" s="86">
        <v>0.05</v>
      </c>
      <c r="F18" s="87">
        <v>0.02</v>
      </c>
      <c r="G18" s="87">
        <v>-0.02</v>
      </c>
      <c r="H18" s="88" t="s">
        <v>58</v>
      </c>
      <c r="I18" s="89" t="s">
        <v>199</v>
      </c>
      <c r="J18" s="90">
        <f t="shared" si="10"/>
        <v>7.0000000000000007E-2</v>
      </c>
      <c r="K18" s="90">
        <f t="shared" si="11"/>
        <v>3.0000000000000002E-2</v>
      </c>
      <c r="L18" s="91"/>
      <c r="M18" s="92">
        <f t="shared" si="0"/>
        <v>0</v>
      </c>
      <c r="N18" s="92">
        <f t="shared" si="1"/>
        <v>0</v>
      </c>
      <c r="O18" s="92">
        <f t="shared" si="2"/>
        <v>0</v>
      </c>
      <c r="P18" s="93">
        <f t="shared" si="3"/>
        <v>0</v>
      </c>
      <c r="Q18" s="94" t="str">
        <f t="shared" si="4"/>
        <v/>
      </c>
      <c r="R18" s="95" t="str">
        <f>IF(OR($AI18="",ISNUMBER($AI18)=FALSE),"",IF(AND(#REF!="Tolerance",$E18&lt;&gt;""),($O18-$E18)/(($J18-$K18)/2),IF(AND(#REF!="GD&amp;T",$F18&lt;&gt;""),$O18/$F18,"")))</f>
        <v/>
      </c>
      <c r="S18" s="95" t="str">
        <f t="shared" si="12"/>
        <v/>
      </c>
      <c r="T18" s="94" t="str">
        <f t="shared" si="5"/>
        <v/>
      </c>
      <c r="U18" s="94" t="str">
        <f t="shared" si="6"/>
        <v/>
      </c>
      <c r="V18" s="94" t="str">
        <f t="shared" si="7"/>
        <v/>
      </c>
      <c r="W18" s="96" t="str">
        <f t="shared" si="8"/>
        <v/>
      </c>
      <c r="X18" s="97" t="e">
        <f>IF($O18="","",IF(#REF!="Tolerance",IF((#REF!*3*P18+O18)-E18&lt;F18,"",(#REF!*3*P18+O18)-E18),IF(OR(#REF!="GD&amp;T",#REF!="MAX"),IF((#REF!*3*P18+O18)&lt;F18,"",(#REF!*3*P18+O18)),"")))</f>
        <v>#REF!</v>
      </c>
      <c r="Y18" s="97" t="e">
        <f>IF(O18="","",IF(#REF!="Tolerance",IF(-((#REF!*3*P18)-O18)-E18&gt;G18,"",-((#REF!*3*P18)-O18)-E18),IF(#REF!="MIN",IF(-((#REF!*3*P18)-O18)&gt;G18,"",-((#REF!*3*P18)-O18)),"")))</f>
        <v>#REF!</v>
      </c>
      <c r="Z18" s="97">
        <f t="shared" si="13"/>
        <v>0.05</v>
      </c>
      <c r="AA18" s="97" t="str">
        <f t="shared" si="9"/>
        <v/>
      </c>
      <c r="AB18" s="98"/>
      <c r="AC18" s="99" t="str">
        <f t="shared" si="14"/>
        <v/>
      </c>
      <c r="AD18" s="100"/>
      <c r="AE18" s="101"/>
      <c r="AF18" s="101"/>
      <c r="AG18" s="102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HC18" s="104"/>
      <c r="LE18" s="104"/>
      <c r="PS18" s="104"/>
      <c r="QC18" s="104"/>
      <c r="XQ18" s="104"/>
      <c r="YV18" s="104"/>
      <c r="AIZ18" s="104"/>
      <c r="ALG18" s="104"/>
      <c r="AMM18" s="104"/>
      <c r="ANE18" s="104"/>
      <c r="AQE18" s="104"/>
      <c r="AQR18" s="104"/>
      <c r="ASC18" s="104"/>
      <c r="AWH18" s="104"/>
      <c r="AYY18" s="104"/>
      <c r="BCJ18" s="104"/>
      <c r="BEA18" s="104"/>
      <c r="BFP18" s="104"/>
      <c r="BOQ18" s="104"/>
      <c r="BRU18" s="104"/>
      <c r="BSP18" s="104"/>
      <c r="BTE18" s="104"/>
      <c r="BXY18" s="104"/>
      <c r="BYL18" s="104"/>
      <c r="CGR18" s="104"/>
      <c r="DHZ18" s="104"/>
      <c r="DIC18" s="104"/>
      <c r="DIS18" s="104"/>
      <c r="DJS18" s="104"/>
      <c r="DPQ18" s="104"/>
      <c r="DPU18" s="104"/>
      <c r="DZL18" s="104"/>
      <c r="EAF18" s="104"/>
    </row>
    <row r="19" spans="1:995 1027:2014 2228:2983 3137:3412" ht="19.149999999999999" customHeight="1">
      <c r="B19" s="84" t="s">
        <v>208</v>
      </c>
      <c r="C19" s="40" t="s">
        <v>74</v>
      </c>
      <c r="D19" s="85" t="s">
        <v>57</v>
      </c>
      <c r="E19" s="86">
        <v>0.05</v>
      </c>
      <c r="F19" s="87">
        <v>0.02</v>
      </c>
      <c r="G19" s="87">
        <v>-0.02</v>
      </c>
      <c r="H19" s="88" t="s">
        <v>58</v>
      </c>
      <c r="I19" s="89"/>
      <c r="J19" s="90">
        <f t="shared" si="10"/>
        <v>7.0000000000000007E-2</v>
      </c>
      <c r="K19" s="90">
        <f t="shared" si="11"/>
        <v>3.0000000000000002E-2</v>
      </c>
      <c r="L19" s="91"/>
      <c r="M19" s="92">
        <f t="shared" si="0"/>
        <v>0</v>
      </c>
      <c r="N19" s="92">
        <f t="shared" si="1"/>
        <v>0</v>
      </c>
      <c r="O19" s="92">
        <f t="shared" si="2"/>
        <v>0</v>
      </c>
      <c r="P19" s="93">
        <f t="shared" si="3"/>
        <v>0</v>
      </c>
      <c r="Q19" s="94" t="str">
        <f t="shared" si="4"/>
        <v/>
      </c>
      <c r="R19" s="95" t="str">
        <f>IF(OR($AI19="",ISNUMBER($AI19)=FALSE),"",IF(AND(#REF!="Tolerance",$E19&lt;&gt;""),($O19-$E19)/(($J19-$K19)/2),IF(AND(#REF!="GD&amp;T",$F19&lt;&gt;""),$O19/$F19,"")))</f>
        <v/>
      </c>
      <c r="S19" s="95" t="str">
        <f t="shared" si="12"/>
        <v/>
      </c>
      <c r="T19" s="94" t="str">
        <f t="shared" si="5"/>
        <v/>
      </c>
      <c r="U19" s="94" t="str">
        <f t="shared" si="6"/>
        <v/>
      </c>
      <c r="V19" s="94" t="str">
        <f t="shared" si="7"/>
        <v/>
      </c>
      <c r="W19" s="96" t="str">
        <f t="shared" si="8"/>
        <v/>
      </c>
      <c r="X19" s="97" t="e">
        <f>IF($O19="","",IF(#REF!="Tolerance",IF((#REF!*3*P19+O19)-E19&lt;F19,"",(#REF!*3*P19+O19)-E19),IF(OR(#REF!="GD&amp;T",#REF!="MAX"),IF((#REF!*3*P19+O19)&lt;F19,"",(#REF!*3*P19+O19)),"")))</f>
        <v>#REF!</v>
      </c>
      <c r="Y19" s="97" t="e">
        <f>IF(O19="","",IF(#REF!="Tolerance",IF(-((#REF!*3*P19)-O19)-E19&gt;G19,"",-((#REF!*3*P19)-O19)-E19),IF(#REF!="MIN",IF(-((#REF!*3*P19)-O19)&gt;G19,"",-((#REF!*3*P19)-O19)),"")))</f>
        <v>#REF!</v>
      </c>
      <c r="Z19" s="97">
        <f t="shared" si="13"/>
        <v>0.05</v>
      </c>
      <c r="AA19" s="97" t="str">
        <f t="shared" si="9"/>
        <v/>
      </c>
      <c r="AB19" s="98"/>
      <c r="AC19" s="99" t="str">
        <f t="shared" si="14"/>
        <v/>
      </c>
      <c r="AD19" s="100"/>
      <c r="AE19" s="101"/>
      <c r="AF19" s="101"/>
      <c r="AG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</row>
    <row r="20" spans="1:995 1027:2014 2228:2983 3137:3412" ht="19.149999999999999" customHeight="1">
      <c r="B20" s="84" t="s">
        <v>209</v>
      </c>
      <c r="C20" s="40" t="s">
        <v>75</v>
      </c>
      <c r="D20" s="85" t="s">
        <v>57</v>
      </c>
      <c r="E20" s="86">
        <v>9.1150000000000002</v>
      </c>
      <c r="F20" s="87">
        <v>0.02</v>
      </c>
      <c r="G20" s="87">
        <v>-0.02</v>
      </c>
      <c r="H20" s="88" t="s">
        <v>58</v>
      </c>
      <c r="I20" s="89"/>
      <c r="J20" s="90">
        <f t="shared" si="10"/>
        <v>9.1349999999999998</v>
      </c>
      <c r="K20" s="90">
        <f t="shared" si="11"/>
        <v>9.0950000000000006</v>
      </c>
      <c r="L20" s="91"/>
      <c r="M20" s="92">
        <f t="shared" si="0"/>
        <v>0</v>
      </c>
      <c r="N20" s="92">
        <f t="shared" si="1"/>
        <v>0</v>
      </c>
      <c r="O20" s="92">
        <f t="shared" si="2"/>
        <v>0</v>
      </c>
      <c r="P20" s="93">
        <f t="shared" si="3"/>
        <v>0</v>
      </c>
      <c r="Q20" s="94" t="str">
        <f t="shared" si="4"/>
        <v/>
      </c>
      <c r="R20" s="95" t="str">
        <f>IF(OR($AI20="",ISNUMBER($AI20)=FALSE),"",IF(AND(#REF!="Tolerance",$E20&lt;&gt;""),($O20-$E20)/(($J20-$K20)/2),IF(AND(#REF!="GD&amp;T",$F20&lt;&gt;""),$O20/$F20,"")))</f>
        <v/>
      </c>
      <c r="S20" s="95" t="str">
        <f t="shared" si="12"/>
        <v/>
      </c>
      <c r="T20" s="94" t="str">
        <f t="shared" si="5"/>
        <v/>
      </c>
      <c r="U20" s="94" t="str">
        <f t="shared" si="6"/>
        <v/>
      </c>
      <c r="V20" s="94" t="str">
        <f t="shared" si="7"/>
        <v/>
      </c>
      <c r="W20" s="96" t="str">
        <f t="shared" si="8"/>
        <v/>
      </c>
      <c r="X20" s="97" t="e">
        <f>IF($O20="","",IF(#REF!="Tolerance",IF((#REF!*3*P20+O20)-E20&lt;F20,"",(#REF!*3*P20+O20)-E20),IF(OR(#REF!="GD&amp;T",#REF!="MAX"),IF((#REF!*3*P20+O20)&lt;F20,"",(#REF!*3*P20+O20)),"")))</f>
        <v>#REF!</v>
      </c>
      <c r="Y20" s="97" t="e">
        <f>IF(O20="","",IF(#REF!="Tolerance",IF(-((#REF!*3*P20)-O20)-E20&gt;G20,"",-((#REF!*3*P20)-O20)-E20),IF(#REF!="MIN",IF(-((#REF!*3*P20)-O20)&gt;G20,"",-((#REF!*3*P20)-O20)),"")))</f>
        <v>#REF!</v>
      </c>
      <c r="Z20" s="97">
        <f t="shared" si="13"/>
        <v>9.1150000000000002</v>
      </c>
      <c r="AA20" s="97" t="str">
        <f t="shared" si="9"/>
        <v/>
      </c>
      <c r="AB20" s="98"/>
      <c r="AC20" s="99" t="str">
        <f t="shared" si="14"/>
        <v/>
      </c>
      <c r="AD20" s="100"/>
      <c r="AE20" s="101"/>
      <c r="AF20" s="101"/>
      <c r="AG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</row>
    <row r="21" spans="1:995 1027:2014 2228:2983 3137:3412" ht="19.149999999999999" customHeight="1">
      <c r="B21" s="84" t="s">
        <v>210</v>
      </c>
      <c r="C21" s="40" t="s">
        <v>76</v>
      </c>
      <c r="D21" s="85" t="s">
        <v>57</v>
      </c>
      <c r="E21" s="86">
        <v>11.651</v>
      </c>
      <c r="F21" s="87">
        <v>0.02</v>
      </c>
      <c r="G21" s="87">
        <v>-0.02</v>
      </c>
      <c r="H21" s="88" t="s">
        <v>58</v>
      </c>
      <c r="I21" s="89"/>
      <c r="J21" s="90">
        <f t="shared" si="10"/>
        <v>11.670999999999999</v>
      </c>
      <c r="K21" s="90">
        <f t="shared" si="11"/>
        <v>11.631</v>
      </c>
      <c r="L21" s="91"/>
      <c r="M21" s="92">
        <f t="shared" si="0"/>
        <v>0</v>
      </c>
      <c r="N21" s="92">
        <f t="shared" si="1"/>
        <v>0</v>
      </c>
      <c r="O21" s="92">
        <f t="shared" si="2"/>
        <v>0</v>
      </c>
      <c r="P21" s="93">
        <f t="shared" si="3"/>
        <v>0</v>
      </c>
      <c r="Q21" s="94" t="str">
        <f t="shared" si="4"/>
        <v/>
      </c>
      <c r="R21" s="95" t="str">
        <f>IF(OR($AI21="",ISNUMBER($AI21)=FALSE),"",IF(AND(#REF!="Tolerance",$E21&lt;&gt;""),($O21-$E21)/(($J21-$K21)/2),IF(AND(#REF!="GD&amp;T",$F21&lt;&gt;""),$O21/$F21,"")))</f>
        <v/>
      </c>
      <c r="S21" s="95" t="str">
        <f t="shared" si="12"/>
        <v/>
      </c>
      <c r="T21" s="94" t="str">
        <f t="shared" si="5"/>
        <v/>
      </c>
      <c r="U21" s="94" t="str">
        <f t="shared" si="6"/>
        <v/>
      </c>
      <c r="V21" s="94" t="str">
        <f t="shared" si="7"/>
        <v/>
      </c>
      <c r="W21" s="96" t="str">
        <f t="shared" si="8"/>
        <v/>
      </c>
      <c r="X21" s="97" t="e">
        <f>IF($O21="","",IF(#REF!="Tolerance",IF((#REF!*3*P21+O21)-E21&lt;F21,"",(#REF!*3*P21+O21)-E21),IF(OR(#REF!="GD&amp;T",#REF!="MAX"),IF((#REF!*3*P21+O21)&lt;F21,"",(#REF!*3*P21+O21)),"")))</f>
        <v>#REF!</v>
      </c>
      <c r="Y21" s="97" t="e">
        <f>IF(O21="","",IF(#REF!="Tolerance",IF(-((#REF!*3*P21)-O21)-E21&gt;G21,"",-((#REF!*3*P21)-O21)-E21),IF(#REF!="MIN",IF(-((#REF!*3*P21)-O21)&gt;G21,"",-((#REF!*3*P21)-O21)),"")))</f>
        <v>#REF!</v>
      </c>
      <c r="Z21" s="97">
        <f t="shared" si="13"/>
        <v>11.651</v>
      </c>
      <c r="AA21" s="97" t="str">
        <f t="shared" si="9"/>
        <v/>
      </c>
      <c r="AB21" s="98"/>
      <c r="AC21" s="99" t="str">
        <f t="shared" si="14"/>
        <v/>
      </c>
      <c r="AD21" s="100"/>
      <c r="AE21" s="101"/>
      <c r="AF21" s="101"/>
      <c r="AG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</row>
    <row r="22" spans="1:995 1027:2014 2228:2983 3137:3412" ht="19.149999999999999" customHeight="1">
      <c r="B22" s="84" t="s">
        <v>211</v>
      </c>
      <c r="C22" s="40" t="s">
        <v>212</v>
      </c>
      <c r="D22" s="85" t="s">
        <v>57</v>
      </c>
      <c r="E22" s="86">
        <v>9.5000000000000001E-2</v>
      </c>
      <c r="F22" s="87">
        <v>0.02</v>
      </c>
      <c r="G22" s="87">
        <v>-0.02</v>
      </c>
      <c r="H22" s="88" t="s">
        <v>58</v>
      </c>
      <c r="I22" s="89"/>
      <c r="J22" s="90">
        <f t="shared" si="10"/>
        <v>0.115</v>
      </c>
      <c r="K22" s="90">
        <f t="shared" si="11"/>
        <v>7.4999999999999997E-2</v>
      </c>
      <c r="L22" s="91"/>
      <c r="M22" s="92">
        <f t="shared" si="0"/>
        <v>0</v>
      </c>
      <c r="N22" s="92">
        <f t="shared" si="1"/>
        <v>0</v>
      </c>
      <c r="O22" s="92">
        <f t="shared" si="2"/>
        <v>0</v>
      </c>
      <c r="P22" s="93">
        <f t="shared" si="3"/>
        <v>0</v>
      </c>
      <c r="Q22" s="94" t="str">
        <f t="shared" si="4"/>
        <v/>
      </c>
      <c r="R22" s="95" t="str">
        <f>IF(OR($AI22="",ISNUMBER($AI22)=FALSE),"",IF(AND(#REF!="Tolerance",$E22&lt;&gt;""),($O22-$E22)/(($J22-$K22)/2),IF(AND(#REF!="GD&amp;T",$F22&lt;&gt;""),$O22/$F22,"")))</f>
        <v/>
      </c>
      <c r="S22" s="95" t="str">
        <f t="shared" si="12"/>
        <v/>
      </c>
      <c r="T22" s="94" t="str">
        <f t="shared" si="5"/>
        <v/>
      </c>
      <c r="U22" s="94" t="str">
        <f t="shared" si="6"/>
        <v/>
      </c>
      <c r="V22" s="94" t="str">
        <f t="shared" si="7"/>
        <v/>
      </c>
      <c r="W22" s="96" t="str">
        <f t="shared" si="8"/>
        <v/>
      </c>
      <c r="X22" s="97" t="e">
        <f>IF($O22="","",IF(#REF!="Tolerance",IF((#REF!*3*P22+O22)-E22&lt;F22,"",(#REF!*3*P22+O22)-E22),IF(OR(#REF!="GD&amp;T",#REF!="MAX"),IF((#REF!*3*P22+O22)&lt;F22,"",(#REF!*3*P22+O22)),"")))</f>
        <v>#REF!</v>
      </c>
      <c r="Y22" s="97" t="e">
        <f>IF(O22="","",IF(#REF!="Tolerance",IF(-((#REF!*3*P22)-O22)-E22&gt;G22,"",-((#REF!*3*P22)-O22)-E22),IF(#REF!="MIN",IF(-((#REF!*3*P22)-O22)&gt;G22,"",-((#REF!*3*P22)-O22)),"")))</f>
        <v>#REF!</v>
      </c>
      <c r="Z22" s="97">
        <f t="shared" si="13"/>
        <v>9.5000000000000001E-2</v>
      </c>
      <c r="AA22" s="97" t="str">
        <f t="shared" si="9"/>
        <v/>
      </c>
      <c r="AB22" s="98"/>
      <c r="AC22" s="99" t="str">
        <f t="shared" si="14"/>
        <v/>
      </c>
      <c r="AD22" s="100"/>
      <c r="AE22" s="101"/>
      <c r="AF22" s="101"/>
      <c r="AG22" s="102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</row>
    <row r="23" spans="1:995 1027:2014 2228:2983 3137:3412" ht="19.149999999999999" customHeight="1">
      <c r="B23" s="84" t="s">
        <v>211</v>
      </c>
      <c r="C23" s="40" t="s">
        <v>213</v>
      </c>
      <c r="D23" s="85" t="s">
        <v>57</v>
      </c>
      <c r="E23" s="86">
        <v>9.5000000000000001E-2</v>
      </c>
      <c r="F23" s="87">
        <v>0.02</v>
      </c>
      <c r="G23" s="87">
        <v>-0.02</v>
      </c>
      <c r="H23" s="88" t="s">
        <v>58</v>
      </c>
      <c r="I23" s="89"/>
      <c r="J23" s="90">
        <f t="shared" si="10"/>
        <v>0.115</v>
      </c>
      <c r="K23" s="90">
        <f t="shared" si="11"/>
        <v>7.4999999999999997E-2</v>
      </c>
      <c r="L23" s="91"/>
      <c r="M23" s="92">
        <f t="shared" si="0"/>
        <v>0</v>
      </c>
      <c r="N23" s="92">
        <f t="shared" si="1"/>
        <v>0</v>
      </c>
      <c r="O23" s="92">
        <f t="shared" si="2"/>
        <v>0</v>
      </c>
      <c r="P23" s="93">
        <f t="shared" si="3"/>
        <v>0</v>
      </c>
      <c r="Q23" s="94" t="str">
        <f t="shared" si="4"/>
        <v/>
      </c>
      <c r="R23" s="95" t="str">
        <f>IF(OR($AI23="",ISNUMBER($AI23)=FALSE),"",IF(AND(#REF!="Tolerance",$E23&lt;&gt;""),($O23-$E23)/(($J23-$K23)/2),IF(AND(#REF!="GD&amp;T",$F23&lt;&gt;""),$O23/$F23,"")))</f>
        <v/>
      </c>
      <c r="S23" s="95" t="str">
        <f t="shared" si="12"/>
        <v/>
      </c>
      <c r="T23" s="94" t="str">
        <f t="shared" si="5"/>
        <v/>
      </c>
      <c r="U23" s="94" t="str">
        <f t="shared" si="6"/>
        <v/>
      </c>
      <c r="V23" s="94" t="str">
        <f t="shared" si="7"/>
        <v/>
      </c>
      <c r="W23" s="96" t="str">
        <f t="shared" si="8"/>
        <v/>
      </c>
      <c r="X23" s="97" t="e">
        <f>IF($O23="","",IF(#REF!="Tolerance",IF((#REF!*3*P23+O23)-E23&lt;F23,"",(#REF!*3*P23+O23)-E23),IF(OR(#REF!="GD&amp;T",#REF!="MAX"),IF((#REF!*3*P23+O23)&lt;F23,"",(#REF!*3*P23+O23)),"")))</f>
        <v>#REF!</v>
      </c>
      <c r="Y23" s="97" t="e">
        <f>IF(O23="","",IF(#REF!="Tolerance",IF(-((#REF!*3*P23)-O23)-E23&gt;G23,"",-((#REF!*3*P23)-O23)-E23),IF(#REF!="MIN",IF(-((#REF!*3*P23)-O23)&gt;G23,"",-((#REF!*3*P23)-O23)),"")))</f>
        <v>#REF!</v>
      </c>
      <c r="Z23" s="97">
        <f t="shared" si="13"/>
        <v>9.5000000000000001E-2</v>
      </c>
      <c r="AA23" s="97" t="str">
        <f t="shared" si="9"/>
        <v/>
      </c>
      <c r="AB23" s="98"/>
      <c r="AC23" s="99" t="str">
        <f t="shared" si="14"/>
        <v/>
      </c>
      <c r="AD23" s="100"/>
      <c r="AE23" s="101"/>
      <c r="AF23" s="101"/>
      <c r="AG23" s="102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</row>
    <row r="24" spans="1:995 1027:2014 2228:2983 3137:3412" ht="19.149999999999999" customHeight="1">
      <c r="B24" s="84" t="s">
        <v>214</v>
      </c>
      <c r="C24" s="40" t="s">
        <v>79</v>
      </c>
      <c r="D24" s="85" t="s">
        <v>57</v>
      </c>
      <c r="E24" s="86">
        <v>0.87</v>
      </c>
      <c r="F24" s="87">
        <v>0.02</v>
      </c>
      <c r="G24" s="87">
        <v>-0.02</v>
      </c>
      <c r="H24" s="88" t="s">
        <v>58</v>
      </c>
      <c r="I24" s="89"/>
      <c r="J24" s="90">
        <f t="shared" si="10"/>
        <v>0.89</v>
      </c>
      <c r="K24" s="90">
        <f t="shared" si="11"/>
        <v>0.85</v>
      </c>
      <c r="L24" s="91"/>
      <c r="M24" s="92">
        <f t="shared" si="0"/>
        <v>0</v>
      </c>
      <c r="N24" s="92">
        <f t="shared" si="1"/>
        <v>0</v>
      </c>
      <c r="O24" s="92">
        <f t="shared" si="2"/>
        <v>0</v>
      </c>
      <c r="P24" s="93">
        <f t="shared" si="3"/>
        <v>0</v>
      </c>
      <c r="Q24" s="94" t="str">
        <f t="shared" si="4"/>
        <v/>
      </c>
      <c r="R24" s="95" t="str">
        <f>IF(OR($AI24="",ISNUMBER($AI24)=FALSE),"",IF(AND(#REF!="Tolerance",$E24&lt;&gt;""),($O24-$E24)/(($J24-$K24)/2),IF(AND(#REF!="GD&amp;T",$F24&lt;&gt;""),$O24/$F24,"")))</f>
        <v/>
      </c>
      <c r="S24" s="95" t="str">
        <f t="shared" si="12"/>
        <v/>
      </c>
      <c r="T24" s="94" t="str">
        <f t="shared" si="5"/>
        <v/>
      </c>
      <c r="U24" s="94" t="str">
        <f t="shared" si="6"/>
        <v/>
      </c>
      <c r="V24" s="94" t="str">
        <f t="shared" si="7"/>
        <v/>
      </c>
      <c r="W24" s="96" t="str">
        <f t="shared" si="8"/>
        <v/>
      </c>
      <c r="X24" s="97" t="e">
        <f>IF($O24="","",IF(#REF!="Tolerance",IF((#REF!*3*P24+O24)-E24&lt;F24,"",(#REF!*3*P24+O24)-E24),IF(OR(#REF!="GD&amp;T",#REF!="MAX"),IF((#REF!*3*P24+O24)&lt;F24,"",(#REF!*3*P24+O24)),"")))</f>
        <v>#REF!</v>
      </c>
      <c r="Y24" s="97" t="e">
        <f>IF(O24="","",IF(#REF!="Tolerance",IF(-((#REF!*3*P24)-O24)-E24&gt;G24,"",-((#REF!*3*P24)-O24)-E24),IF(#REF!="MIN",IF(-((#REF!*3*P24)-O24)&gt;G24,"",-((#REF!*3*P24)-O24)),"")))</f>
        <v>#REF!</v>
      </c>
      <c r="Z24" s="97">
        <f t="shared" si="13"/>
        <v>0.87</v>
      </c>
      <c r="AA24" s="97" t="str">
        <f t="shared" si="9"/>
        <v/>
      </c>
      <c r="AB24" s="98"/>
      <c r="AC24" s="99" t="str">
        <f t="shared" si="14"/>
        <v/>
      </c>
      <c r="AD24" s="100"/>
      <c r="AE24" s="101"/>
      <c r="AF24" s="101"/>
      <c r="AG24" s="102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</row>
    <row r="25" spans="1:995 1027:2014 2228:2983 3137:3412" ht="19.149999999999999" customHeight="1">
      <c r="B25" s="84" t="s">
        <v>214</v>
      </c>
      <c r="C25" s="40" t="s">
        <v>80</v>
      </c>
      <c r="D25" s="85" t="s">
        <v>57</v>
      </c>
      <c r="E25" s="86">
        <v>0.87</v>
      </c>
      <c r="F25" s="87">
        <v>0.02</v>
      </c>
      <c r="G25" s="87">
        <v>-0.02</v>
      </c>
      <c r="H25" s="88" t="s">
        <v>58</v>
      </c>
      <c r="I25" s="89"/>
      <c r="J25" s="90">
        <f t="shared" si="10"/>
        <v>0.89</v>
      </c>
      <c r="K25" s="90">
        <f t="shared" si="11"/>
        <v>0.85</v>
      </c>
      <c r="L25" s="91"/>
      <c r="M25" s="92">
        <f t="shared" si="0"/>
        <v>0</v>
      </c>
      <c r="N25" s="92">
        <f t="shared" si="1"/>
        <v>0</v>
      </c>
      <c r="O25" s="92">
        <f t="shared" si="2"/>
        <v>0</v>
      </c>
      <c r="P25" s="93">
        <f t="shared" si="3"/>
        <v>0</v>
      </c>
      <c r="Q25" s="94" t="str">
        <f t="shared" si="4"/>
        <v/>
      </c>
      <c r="R25" s="95" t="str">
        <f>IF(OR($AI25="",ISNUMBER($AI25)=FALSE),"",IF(AND(#REF!="Tolerance",$E25&lt;&gt;""),($O25-$E25)/(($J25-$K25)/2),IF(AND(#REF!="GD&amp;T",$F25&lt;&gt;""),$O25/$F25,"")))</f>
        <v/>
      </c>
      <c r="S25" s="95" t="str">
        <f t="shared" si="12"/>
        <v/>
      </c>
      <c r="T25" s="94" t="str">
        <f t="shared" si="5"/>
        <v/>
      </c>
      <c r="U25" s="94" t="str">
        <f t="shared" si="6"/>
        <v/>
      </c>
      <c r="V25" s="94" t="str">
        <f t="shared" si="7"/>
        <v/>
      </c>
      <c r="W25" s="96" t="str">
        <f t="shared" si="8"/>
        <v/>
      </c>
      <c r="X25" s="97" t="e">
        <f>IF($O25="","",IF(#REF!="Tolerance",IF((#REF!*3*P25+O25)-E25&lt;F25,"",(#REF!*3*P25+O25)-E25),IF(OR(#REF!="GD&amp;T",#REF!="MAX"),IF((#REF!*3*P25+O25)&lt;F25,"",(#REF!*3*P25+O25)),"")))</f>
        <v>#REF!</v>
      </c>
      <c r="Y25" s="97" t="e">
        <f>IF(O25="","",IF(#REF!="Tolerance",IF(-((#REF!*3*P25)-O25)-E25&gt;G25,"",-((#REF!*3*P25)-O25)-E25),IF(#REF!="MIN",IF(-((#REF!*3*P25)-O25)&gt;G25,"",-((#REF!*3*P25)-O25)),"")))</f>
        <v>#REF!</v>
      </c>
      <c r="Z25" s="97">
        <f t="shared" si="13"/>
        <v>0.87</v>
      </c>
      <c r="AA25" s="97" t="str">
        <f t="shared" si="9"/>
        <v/>
      </c>
      <c r="AB25" s="98"/>
      <c r="AC25" s="99" t="str">
        <f t="shared" si="14"/>
        <v/>
      </c>
      <c r="AD25" s="100"/>
      <c r="AE25" s="101"/>
      <c r="AF25" s="101"/>
      <c r="AG25" s="102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</row>
    <row r="26" spans="1:995 1027:2014 2228:2983 3137:3412" ht="19.149999999999999" customHeight="1">
      <c r="B26" s="84" t="s">
        <v>214</v>
      </c>
      <c r="C26" s="40" t="s">
        <v>81</v>
      </c>
      <c r="D26" s="85" t="s">
        <v>57</v>
      </c>
      <c r="E26" s="86">
        <v>0.87</v>
      </c>
      <c r="F26" s="87">
        <v>0.02</v>
      </c>
      <c r="G26" s="87">
        <v>-0.02</v>
      </c>
      <c r="H26" s="88" t="s">
        <v>58</v>
      </c>
      <c r="I26" s="89"/>
      <c r="J26" s="90">
        <f t="shared" si="10"/>
        <v>0.89</v>
      </c>
      <c r="K26" s="90">
        <f t="shared" si="11"/>
        <v>0.85</v>
      </c>
      <c r="L26" s="91"/>
      <c r="M26" s="92">
        <f t="shared" si="0"/>
        <v>0</v>
      </c>
      <c r="N26" s="92">
        <f t="shared" si="1"/>
        <v>0</v>
      </c>
      <c r="O26" s="92">
        <f t="shared" si="2"/>
        <v>0</v>
      </c>
      <c r="P26" s="93">
        <f t="shared" si="3"/>
        <v>0</v>
      </c>
      <c r="Q26" s="94" t="str">
        <f t="shared" si="4"/>
        <v/>
      </c>
      <c r="R26" s="95" t="str">
        <f>IF(OR($AI26="",ISNUMBER($AI26)=FALSE),"",IF(AND(#REF!="Tolerance",$E26&lt;&gt;""),($O26-$E26)/(($J26-$K26)/2),IF(AND(#REF!="GD&amp;T",$F26&lt;&gt;""),$O26/$F26,"")))</f>
        <v/>
      </c>
      <c r="S26" s="95" t="str">
        <f t="shared" si="12"/>
        <v/>
      </c>
      <c r="T26" s="94" t="str">
        <f t="shared" si="5"/>
        <v/>
      </c>
      <c r="U26" s="94" t="str">
        <f t="shared" si="6"/>
        <v/>
      </c>
      <c r="V26" s="94" t="str">
        <f t="shared" si="7"/>
        <v/>
      </c>
      <c r="W26" s="96" t="str">
        <f t="shared" si="8"/>
        <v/>
      </c>
      <c r="X26" s="97" t="e">
        <f>IF($O26="","",IF(#REF!="Tolerance",IF((#REF!*3*P26+O26)-E26&lt;F26,"",(#REF!*3*P26+O26)-E26),IF(OR(#REF!="GD&amp;T",#REF!="MAX"),IF((#REF!*3*P26+O26)&lt;F26,"",(#REF!*3*P26+O26)),"")))</f>
        <v>#REF!</v>
      </c>
      <c r="Y26" s="97" t="e">
        <f>IF(O26="","",IF(#REF!="Tolerance",IF(-((#REF!*3*P26)-O26)-E26&gt;G26,"",-((#REF!*3*P26)-O26)-E26),IF(#REF!="MIN",IF(-((#REF!*3*P26)-O26)&gt;G26,"",-((#REF!*3*P26)-O26)),"")))</f>
        <v>#REF!</v>
      </c>
      <c r="Z26" s="97">
        <f t="shared" si="13"/>
        <v>0.87</v>
      </c>
      <c r="AA26" s="97" t="str">
        <f t="shared" si="9"/>
        <v/>
      </c>
      <c r="AB26" s="98"/>
      <c r="AC26" s="99" t="str">
        <f t="shared" si="14"/>
        <v/>
      </c>
      <c r="AD26" s="100"/>
      <c r="AE26" s="101"/>
      <c r="AF26" s="101"/>
      <c r="AG26" s="102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</row>
    <row r="27" spans="1:995 1027:2014 2228:2983 3137:3412" ht="19.149999999999999" customHeight="1">
      <c r="B27" s="84" t="s">
        <v>215</v>
      </c>
      <c r="C27" s="40" t="s">
        <v>82</v>
      </c>
      <c r="D27" s="85" t="s">
        <v>57</v>
      </c>
      <c r="E27" s="86">
        <v>0.88</v>
      </c>
      <c r="F27" s="87">
        <v>2.5000000000000001E-2</v>
      </c>
      <c r="G27" s="87">
        <v>-2.5000000000000001E-2</v>
      </c>
      <c r="H27" s="88" t="s">
        <v>58</v>
      </c>
      <c r="I27" s="89"/>
      <c r="J27" s="90">
        <f t="shared" si="10"/>
        <v>0.90500000000000003</v>
      </c>
      <c r="K27" s="90">
        <f t="shared" si="11"/>
        <v>0.85499999999999998</v>
      </c>
      <c r="L27" s="91"/>
      <c r="M27" s="92">
        <f t="shared" si="0"/>
        <v>0</v>
      </c>
      <c r="N27" s="92">
        <f t="shared" si="1"/>
        <v>0</v>
      </c>
      <c r="O27" s="92">
        <f t="shared" si="2"/>
        <v>0</v>
      </c>
      <c r="P27" s="93">
        <f t="shared" si="3"/>
        <v>0</v>
      </c>
      <c r="Q27" s="94" t="str">
        <f t="shared" si="4"/>
        <v/>
      </c>
      <c r="R27" s="95" t="str">
        <f>IF(OR($AI27="",ISNUMBER($AI27)=FALSE),"",IF(AND(#REF!="Tolerance",$E27&lt;&gt;""),($O27-$E27)/(($J27-$K27)/2),IF(AND(#REF!="GD&amp;T",$F27&lt;&gt;""),$O27/$F27,"")))</f>
        <v/>
      </c>
      <c r="S27" s="95" t="str">
        <f t="shared" si="12"/>
        <v/>
      </c>
      <c r="T27" s="94" t="str">
        <f t="shared" si="5"/>
        <v/>
      </c>
      <c r="U27" s="94" t="str">
        <f t="shared" si="6"/>
        <v/>
      </c>
      <c r="V27" s="94" t="str">
        <f t="shared" si="7"/>
        <v/>
      </c>
      <c r="W27" s="96" t="str">
        <f t="shared" si="8"/>
        <v/>
      </c>
      <c r="X27" s="97" t="e">
        <f>IF($O27="","",IF(#REF!="Tolerance",IF((#REF!*3*P27+O27)-E27&lt;F27,"",(#REF!*3*P27+O27)-E27),IF(OR(#REF!="GD&amp;T",#REF!="MAX"),IF((#REF!*3*P27+O27)&lt;F27,"",(#REF!*3*P27+O27)),"")))</f>
        <v>#REF!</v>
      </c>
      <c r="Y27" s="97" t="e">
        <f>IF(O27="","",IF(#REF!="Tolerance",IF(-((#REF!*3*P27)-O27)-E27&gt;G27,"",-((#REF!*3*P27)-O27)-E27),IF(#REF!="MIN",IF(-((#REF!*3*P27)-O27)&gt;G27,"",-((#REF!*3*P27)-O27)),"")))</f>
        <v>#REF!</v>
      </c>
      <c r="Z27" s="97">
        <f t="shared" si="13"/>
        <v>0.88</v>
      </c>
      <c r="AA27" s="97" t="str">
        <f t="shared" si="9"/>
        <v/>
      </c>
      <c r="AB27" s="98"/>
      <c r="AC27" s="99" t="str">
        <f t="shared" si="14"/>
        <v/>
      </c>
      <c r="AD27" s="100"/>
      <c r="AE27" s="101"/>
      <c r="AF27" s="101"/>
      <c r="AG27" s="102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</row>
    <row r="28" spans="1:995 1027:2014 2228:2983 3137:3412" ht="19.149999999999999" customHeight="1">
      <c r="B28" s="84" t="s">
        <v>216</v>
      </c>
      <c r="C28" s="40" t="s">
        <v>83</v>
      </c>
      <c r="D28" s="85" t="s">
        <v>57</v>
      </c>
      <c r="E28" s="86">
        <v>0.89</v>
      </c>
      <c r="F28" s="87">
        <v>2.5000000000000001E-2</v>
      </c>
      <c r="G28" s="87">
        <v>-2.5000000000000001E-2</v>
      </c>
      <c r="H28" s="88" t="s">
        <v>58</v>
      </c>
      <c r="I28" s="89"/>
      <c r="J28" s="90">
        <f t="shared" si="10"/>
        <v>0.91500000000000004</v>
      </c>
      <c r="K28" s="90">
        <f t="shared" si="11"/>
        <v>0.86499999999999999</v>
      </c>
      <c r="L28" s="91"/>
      <c r="M28" s="92">
        <f t="shared" si="0"/>
        <v>0</v>
      </c>
      <c r="N28" s="92">
        <f t="shared" si="1"/>
        <v>0</v>
      </c>
      <c r="O28" s="92">
        <f t="shared" si="2"/>
        <v>0</v>
      </c>
      <c r="P28" s="93">
        <f t="shared" si="3"/>
        <v>0</v>
      </c>
      <c r="Q28" s="94" t="str">
        <f t="shared" si="4"/>
        <v/>
      </c>
      <c r="R28" s="95" t="str">
        <f>IF(OR($AI28="",ISNUMBER($AI28)=FALSE),"",IF(AND(#REF!="Tolerance",$E28&lt;&gt;""),($O28-$E28)/(($J28-$K28)/2),IF(AND(#REF!="GD&amp;T",$F28&lt;&gt;""),$O28/$F28,"")))</f>
        <v/>
      </c>
      <c r="S28" s="95" t="str">
        <f t="shared" si="12"/>
        <v/>
      </c>
      <c r="T28" s="94" t="str">
        <f t="shared" si="5"/>
        <v/>
      </c>
      <c r="U28" s="94" t="str">
        <f t="shared" si="6"/>
        <v/>
      </c>
      <c r="V28" s="94" t="str">
        <f t="shared" si="7"/>
        <v/>
      </c>
      <c r="W28" s="96" t="str">
        <f t="shared" si="8"/>
        <v/>
      </c>
      <c r="X28" s="97" t="e">
        <f>IF($O28="","",IF(#REF!="Tolerance",IF((#REF!*3*P28+O28)-E28&lt;F28,"",(#REF!*3*P28+O28)-E28),IF(OR(#REF!="GD&amp;T",#REF!="MAX"),IF((#REF!*3*P28+O28)&lt;F28,"",(#REF!*3*P28+O28)),"")))</f>
        <v>#REF!</v>
      </c>
      <c r="Y28" s="97" t="e">
        <f>IF(O28="","",IF(#REF!="Tolerance",IF(-((#REF!*3*P28)-O28)-E28&gt;G28,"",-((#REF!*3*P28)-O28)-E28),IF(#REF!="MIN",IF(-((#REF!*3*P28)-O28)&gt;G28,"",-((#REF!*3*P28)-O28)),"")))</f>
        <v>#REF!</v>
      </c>
      <c r="Z28" s="97">
        <f t="shared" si="13"/>
        <v>0.89</v>
      </c>
      <c r="AA28" s="97" t="str">
        <f t="shared" si="9"/>
        <v/>
      </c>
      <c r="AB28" s="98"/>
      <c r="AC28" s="99" t="str">
        <f t="shared" si="14"/>
        <v/>
      </c>
      <c r="AD28" s="100"/>
      <c r="AE28" s="101"/>
      <c r="AF28" s="101"/>
      <c r="AG28" s="102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</row>
    <row r="29" spans="1:995 1027:2014 2228:2983 3137:3412" ht="19.149999999999999" customHeight="1">
      <c r="B29" s="84" t="s">
        <v>217</v>
      </c>
      <c r="C29" s="40" t="s">
        <v>84</v>
      </c>
      <c r="D29" s="85" t="s">
        <v>57</v>
      </c>
      <c r="E29" s="86">
        <v>11.4</v>
      </c>
      <c r="F29" s="87">
        <v>0.02</v>
      </c>
      <c r="G29" s="87">
        <v>-0.02</v>
      </c>
      <c r="H29" s="88" t="s">
        <v>58</v>
      </c>
      <c r="I29" s="89"/>
      <c r="J29" s="90">
        <f t="shared" si="10"/>
        <v>11.42</v>
      </c>
      <c r="K29" s="90">
        <f t="shared" si="11"/>
        <v>11.38</v>
      </c>
      <c r="L29" s="91"/>
      <c r="M29" s="92">
        <f t="shared" si="0"/>
        <v>0</v>
      </c>
      <c r="N29" s="92">
        <f t="shared" si="1"/>
        <v>0</v>
      </c>
      <c r="O29" s="92">
        <f t="shared" si="2"/>
        <v>0</v>
      </c>
      <c r="P29" s="93">
        <f t="shared" si="3"/>
        <v>0</v>
      </c>
      <c r="Q29" s="94" t="str">
        <f t="shared" si="4"/>
        <v/>
      </c>
      <c r="R29" s="95" t="str">
        <f>IF(OR($AI29="",ISNUMBER($AI29)=FALSE),"",IF(AND(#REF!="Tolerance",$E29&lt;&gt;""),($O29-$E29)/(($J29-$K29)/2),IF(AND(#REF!="GD&amp;T",$F29&lt;&gt;""),$O29/$F29,"")))</f>
        <v/>
      </c>
      <c r="S29" s="95" t="str">
        <f t="shared" si="12"/>
        <v/>
      </c>
      <c r="T29" s="94" t="str">
        <f t="shared" si="5"/>
        <v/>
      </c>
      <c r="U29" s="94" t="str">
        <f t="shared" si="6"/>
        <v/>
      </c>
      <c r="V29" s="94" t="str">
        <f t="shared" si="7"/>
        <v/>
      </c>
      <c r="W29" s="96" t="str">
        <f t="shared" si="8"/>
        <v/>
      </c>
      <c r="X29" s="97" t="e">
        <f>IF($O29="","",IF(#REF!="Tolerance",IF((#REF!*3*P29+O29)-E29&lt;F29,"",(#REF!*3*P29+O29)-E29),IF(OR(#REF!="GD&amp;T",#REF!="MAX"),IF((#REF!*3*P29+O29)&lt;F29,"",(#REF!*3*P29+O29)),"")))</f>
        <v>#REF!</v>
      </c>
      <c r="Y29" s="97" t="e">
        <f>IF(O29="","",IF(#REF!="Tolerance",IF(-((#REF!*3*P29)-O29)-E29&gt;G29,"",-((#REF!*3*P29)-O29)-E29),IF(#REF!="MIN",IF(-((#REF!*3*P29)-O29)&gt;G29,"",-((#REF!*3*P29)-O29)),"")))</f>
        <v>#REF!</v>
      </c>
      <c r="Z29" s="97">
        <f t="shared" si="13"/>
        <v>11.4</v>
      </c>
      <c r="AA29" s="97" t="str">
        <f t="shared" si="9"/>
        <v/>
      </c>
      <c r="AB29" s="98"/>
      <c r="AC29" s="99" t="str">
        <f t="shared" si="14"/>
        <v/>
      </c>
      <c r="AD29" s="100"/>
      <c r="AE29" s="101"/>
      <c r="AF29" s="101"/>
      <c r="AG29" s="102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</row>
    <row r="30" spans="1:995 1027:2014 2228:2983 3137:3412" ht="19.149999999999999" customHeight="1">
      <c r="B30" s="84" t="s">
        <v>218</v>
      </c>
      <c r="C30" s="40" t="s">
        <v>85</v>
      </c>
      <c r="D30" s="85" t="s">
        <v>57</v>
      </c>
      <c r="E30" s="86">
        <v>11.15</v>
      </c>
      <c r="F30" s="87">
        <v>0.02</v>
      </c>
      <c r="G30" s="87">
        <v>-0.02</v>
      </c>
      <c r="H30" s="88" t="s">
        <v>58</v>
      </c>
      <c r="I30" s="89"/>
      <c r="J30" s="90">
        <f t="shared" si="10"/>
        <v>11.17</v>
      </c>
      <c r="K30" s="90">
        <f t="shared" si="11"/>
        <v>11.13</v>
      </c>
      <c r="L30" s="91"/>
      <c r="M30" s="92">
        <f t="shared" si="0"/>
        <v>0</v>
      </c>
      <c r="N30" s="92">
        <f t="shared" si="1"/>
        <v>0</v>
      </c>
      <c r="O30" s="92">
        <f t="shared" si="2"/>
        <v>0</v>
      </c>
      <c r="P30" s="93">
        <f t="shared" si="3"/>
        <v>0</v>
      </c>
      <c r="Q30" s="94" t="str">
        <f t="shared" si="4"/>
        <v/>
      </c>
      <c r="R30" s="95" t="str">
        <f>IF(OR($AI30="",ISNUMBER($AI30)=FALSE),"",IF(AND(#REF!="Tolerance",$E30&lt;&gt;""),($O30-$E30)/(($J30-$K30)/2),IF(AND(#REF!="GD&amp;T",$F30&lt;&gt;""),$O30/$F30,"")))</f>
        <v/>
      </c>
      <c r="S30" s="95" t="str">
        <f t="shared" si="12"/>
        <v/>
      </c>
      <c r="T30" s="94" t="str">
        <f t="shared" si="5"/>
        <v/>
      </c>
      <c r="U30" s="94" t="str">
        <f t="shared" si="6"/>
        <v/>
      </c>
      <c r="V30" s="94" t="str">
        <f t="shared" si="7"/>
        <v/>
      </c>
      <c r="W30" s="96" t="str">
        <f t="shared" si="8"/>
        <v/>
      </c>
      <c r="X30" s="97" t="e">
        <f>IF($O30="","",IF(#REF!="Tolerance",IF((#REF!*3*P30+O30)-E30&lt;F30,"",(#REF!*3*P30+O30)-E30),IF(OR(#REF!="GD&amp;T",#REF!="MAX"),IF((#REF!*3*P30+O30)&lt;F30,"",(#REF!*3*P30+O30)),"")))</f>
        <v>#REF!</v>
      </c>
      <c r="Y30" s="97" t="e">
        <f>IF(O30="","",IF(#REF!="Tolerance",IF(-((#REF!*3*P30)-O30)-E30&gt;G30,"",-((#REF!*3*P30)-O30)-E30),IF(#REF!="MIN",IF(-((#REF!*3*P30)-O30)&gt;G30,"",-((#REF!*3*P30)-O30)),"")))</f>
        <v>#REF!</v>
      </c>
      <c r="Z30" s="97">
        <f t="shared" si="13"/>
        <v>11.15</v>
      </c>
      <c r="AA30" s="97" t="str">
        <f t="shared" si="9"/>
        <v/>
      </c>
      <c r="AB30" s="98"/>
      <c r="AC30" s="99" t="str">
        <f t="shared" si="14"/>
        <v/>
      </c>
      <c r="AD30" s="100"/>
      <c r="AE30" s="101"/>
      <c r="AF30" s="101"/>
      <c r="AG30" s="102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</row>
    <row r="31" spans="1:995 1027:2014 2228:2983 3137:3412" ht="19.149999999999999" customHeight="1">
      <c r="B31" s="84" t="s">
        <v>219</v>
      </c>
      <c r="C31" s="40" t="s">
        <v>86</v>
      </c>
      <c r="D31" s="85" t="s">
        <v>57</v>
      </c>
      <c r="E31" s="86">
        <v>0.36499999999999999</v>
      </c>
      <c r="F31" s="87">
        <v>2.5000000000000001E-2</v>
      </c>
      <c r="G31" s="87">
        <v>-2.5000000000000001E-2</v>
      </c>
      <c r="H31" s="88" t="s">
        <v>58</v>
      </c>
      <c r="I31" s="89"/>
      <c r="J31" s="90">
        <f t="shared" si="10"/>
        <v>0.39</v>
      </c>
      <c r="K31" s="90">
        <f t="shared" si="11"/>
        <v>0.33999999999999997</v>
      </c>
      <c r="L31" s="91"/>
      <c r="M31" s="92">
        <f t="shared" si="0"/>
        <v>0</v>
      </c>
      <c r="N31" s="92">
        <f t="shared" si="1"/>
        <v>0</v>
      </c>
      <c r="O31" s="92">
        <f t="shared" si="2"/>
        <v>0</v>
      </c>
      <c r="P31" s="93">
        <f t="shared" si="3"/>
        <v>0</v>
      </c>
      <c r="Q31" s="94" t="str">
        <f t="shared" si="4"/>
        <v/>
      </c>
      <c r="R31" s="95" t="str">
        <f>IF(OR($AI31="",ISNUMBER($AI31)=FALSE),"",IF(AND(#REF!="Tolerance",$E31&lt;&gt;""),($O31-$E31)/(($J31-$K31)/2),IF(AND(#REF!="GD&amp;T",$F31&lt;&gt;""),$O31/$F31,"")))</f>
        <v/>
      </c>
      <c r="S31" s="95" t="str">
        <f t="shared" si="12"/>
        <v/>
      </c>
      <c r="T31" s="94" t="str">
        <f t="shared" si="5"/>
        <v/>
      </c>
      <c r="U31" s="94" t="str">
        <f t="shared" si="6"/>
        <v/>
      </c>
      <c r="V31" s="94" t="str">
        <f t="shared" si="7"/>
        <v/>
      </c>
      <c r="W31" s="96" t="str">
        <f t="shared" si="8"/>
        <v/>
      </c>
      <c r="X31" s="97" t="e">
        <f>IF($O31="","",IF(#REF!="Tolerance",IF((#REF!*3*P31+O31)-E31&lt;F31,"",(#REF!*3*P31+O31)-E31),IF(OR(#REF!="GD&amp;T",#REF!="MAX"),IF((#REF!*3*P31+O31)&lt;F31,"",(#REF!*3*P31+O31)),"")))</f>
        <v>#REF!</v>
      </c>
      <c r="Y31" s="97" t="e">
        <f>IF(O31="","",IF(#REF!="Tolerance",IF(-((#REF!*3*P31)-O31)-E31&gt;G31,"",-((#REF!*3*P31)-O31)-E31),IF(#REF!="MIN",IF(-((#REF!*3*P31)-O31)&gt;G31,"",-((#REF!*3*P31)-O31)),"")))</f>
        <v>#REF!</v>
      </c>
      <c r="Z31" s="97">
        <f t="shared" si="13"/>
        <v>0.36499999999999999</v>
      </c>
      <c r="AA31" s="97" t="str">
        <f t="shared" si="9"/>
        <v/>
      </c>
      <c r="AB31" s="98"/>
      <c r="AC31" s="99" t="str">
        <f t="shared" si="14"/>
        <v/>
      </c>
      <c r="AD31" s="100"/>
      <c r="AE31" s="101"/>
      <c r="AF31" s="101"/>
      <c r="AG31" s="102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</row>
    <row r="32" spans="1:995 1027:2014 2228:2983 3137:3412" ht="19.149999999999999" customHeight="1">
      <c r="B32" s="84" t="s">
        <v>219</v>
      </c>
      <c r="C32" s="40" t="s">
        <v>87</v>
      </c>
      <c r="D32" s="85" t="s">
        <v>57</v>
      </c>
      <c r="E32" s="86">
        <v>0.36499999999999999</v>
      </c>
      <c r="F32" s="87">
        <v>2.5000000000000001E-2</v>
      </c>
      <c r="G32" s="87">
        <v>-2.5000000000000001E-2</v>
      </c>
      <c r="H32" s="88" t="s">
        <v>58</v>
      </c>
      <c r="I32" s="89"/>
      <c r="J32" s="90">
        <f t="shared" si="10"/>
        <v>0.39</v>
      </c>
      <c r="K32" s="90">
        <f t="shared" si="11"/>
        <v>0.33999999999999997</v>
      </c>
      <c r="L32" s="91"/>
      <c r="M32" s="92">
        <f t="shared" si="0"/>
        <v>0</v>
      </c>
      <c r="N32" s="92">
        <f t="shared" si="1"/>
        <v>0</v>
      </c>
      <c r="O32" s="92">
        <f t="shared" si="2"/>
        <v>0</v>
      </c>
      <c r="P32" s="93">
        <f t="shared" si="3"/>
        <v>0</v>
      </c>
      <c r="Q32" s="94" t="str">
        <f t="shared" si="4"/>
        <v/>
      </c>
      <c r="R32" s="95" t="str">
        <f>IF(OR($AI32="",ISNUMBER($AI32)=FALSE),"",IF(AND(#REF!="Tolerance",$E32&lt;&gt;""),($O32-$E32)/(($J32-$K32)/2),IF(AND(#REF!="GD&amp;T",$F32&lt;&gt;""),$O32/$F32,"")))</f>
        <v/>
      </c>
      <c r="S32" s="95" t="str">
        <f t="shared" si="12"/>
        <v/>
      </c>
      <c r="T32" s="94" t="str">
        <f t="shared" si="5"/>
        <v/>
      </c>
      <c r="U32" s="94" t="str">
        <f t="shared" si="6"/>
        <v/>
      </c>
      <c r="V32" s="94" t="str">
        <f t="shared" si="7"/>
        <v/>
      </c>
      <c r="W32" s="96" t="str">
        <f t="shared" si="8"/>
        <v/>
      </c>
      <c r="X32" s="97" t="e">
        <f>IF($O32="","",IF(#REF!="Tolerance",IF((#REF!*3*P32+O32)-E32&lt;F32,"",(#REF!*3*P32+O32)-E32),IF(OR(#REF!="GD&amp;T",#REF!="MAX"),IF((#REF!*3*P32+O32)&lt;F32,"",(#REF!*3*P32+O32)),"")))</f>
        <v>#REF!</v>
      </c>
      <c r="Y32" s="97" t="e">
        <f>IF(O32="","",IF(#REF!="Tolerance",IF(-((#REF!*3*P32)-O32)-E32&gt;G32,"",-((#REF!*3*P32)-O32)-E32),IF(#REF!="MIN",IF(-((#REF!*3*P32)-O32)&gt;G32,"",-((#REF!*3*P32)-O32)),"")))</f>
        <v>#REF!</v>
      </c>
      <c r="Z32" s="97">
        <f t="shared" si="13"/>
        <v>0.36499999999999999</v>
      </c>
      <c r="AA32" s="97" t="str">
        <f t="shared" si="9"/>
        <v/>
      </c>
      <c r="AB32" s="98"/>
      <c r="AC32" s="99" t="str">
        <f t="shared" si="14"/>
        <v/>
      </c>
      <c r="AD32" s="100"/>
      <c r="AE32" s="101"/>
      <c r="AF32" s="101"/>
      <c r="AG32" s="102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</row>
    <row r="33" spans="2:66" ht="19.149999999999999" customHeight="1">
      <c r="B33" s="84" t="s">
        <v>219</v>
      </c>
      <c r="C33" s="40" t="s">
        <v>88</v>
      </c>
      <c r="D33" s="85" t="s">
        <v>57</v>
      </c>
      <c r="E33" s="86">
        <v>0.36499999999999999</v>
      </c>
      <c r="F33" s="87">
        <v>2.5000000000000001E-2</v>
      </c>
      <c r="G33" s="87">
        <v>-2.5000000000000001E-2</v>
      </c>
      <c r="H33" s="88" t="s">
        <v>58</v>
      </c>
      <c r="I33" s="89"/>
      <c r="J33" s="90">
        <f t="shared" si="10"/>
        <v>0.39</v>
      </c>
      <c r="K33" s="90">
        <f t="shared" si="11"/>
        <v>0.33999999999999997</v>
      </c>
      <c r="L33" s="91"/>
      <c r="M33" s="92">
        <f t="shared" si="0"/>
        <v>0</v>
      </c>
      <c r="N33" s="92">
        <f t="shared" si="1"/>
        <v>0</v>
      </c>
      <c r="O33" s="92">
        <f t="shared" si="2"/>
        <v>0</v>
      </c>
      <c r="P33" s="93">
        <f t="shared" si="3"/>
        <v>0</v>
      </c>
      <c r="Q33" s="94" t="str">
        <f t="shared" si="4"/>
        <v/>
      </c>
      <c r="R33" s="95" t="str">
        <f>IF(OR($AI33="",ISNUMBER($AI33)=FALSE),"",IF(AND(#REF!="Tolerance",$E33&lt;&gt;""),($O33-$E33)/(($J33-$K33)/2),IF(AND(#REF!="GD&amp;T",$F33&lt;&gt;""),$O33/$F33,"")))</f>
        <v/>
      </c>
      <c r="S33" s="95" t="str">
        <f t="shared" si="12"/>
        <v/>
      </c>
      <c r="T33" s="94" t="str">
        <f t="shared" si="5"/>
        <v/>
      </c>
      <c r="U33" s="94" t="str">
        <f t="shared" si="6"/>
        <v/>
      </c>
      <c r="V33" s="94" t="str">
        <f t="shared" si="7"/>
        <v/>
      </c>
      <c r="W33" s="96" t="str">
        <f t="shared" si="8"/>
        <v/>
      </c>
      <c r="X33" s="97" t="e">
        <f>IF($O33="","",IF(#REF!="Tolerance",IF((#REF!*3*P33+O33)-E33&lt;F33,"",(#REF!*3*P33+O33)-E33),IF(OR(#REF!="GD&amp;T",#REF!="MAX"),IF((#REF!*3*P33+O33)&lt;F33,"",(#REF!*3*P33+O33)),"")))</f>
        <v>#REF!</v>
      </c>
      <c r="Y33" s="97" t="e">
        <f>IF(O33="","",IF(#REF!="Tolerance",IF(-((#REF!*3*P33)-O33)-E33&gt;G33,"",-((#REF!*3*P33)-O33)-E33),IF(#REF!="MIN",IF(-((#REF!*3*P33)-O33)&gt;G33,"",-((#REF!*3*P33)-O33)),"")))</f>
        <v>#REF!</v>
      </c>
      <c r="Z33" s="97">
        <f t="shared" si="13"/>
        <v>0.36499999999999999</v>
      </c>
      <c r="AA33" s="97" t="str">
        <f t="shared" si="9"/>
        <v/>
      </c>
      <c r="AB33" s="98"/>
      <c r="AC33" s="99" t="str">
        <f t="shared" si="14"/>
        <v/>
      </c>
      <c r="AD33" s="100"/>
      <c r="AE33" s="101"/>
      <c r="AF33" s="101"/>
      <c r="AG33" s="102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</row>
    <row r="34" spans="2:66" ht="19.149999999999999" customHeight="1">
      <c r="B34" s="84" t="s">
        <v>219</v>
      </c>
      <c r="C34" s="40" t="s">
        <v>89</v>
      </c>
      <c r="D34" s="85" t="s">
        <v>57</v>
      </c>
      <c r="E34" s="86">
        <v>0.36499999999999999</v>
      </c>
      <c r="F34" s="87">
        <v>2.5000000000000001E-2</v>
      </c>
      <c r="G34" s="87">
        <v>-2.5000000000000001E-2</v>
      </c>
      <c r="H34" s="88" t="s">
        <v>58</v>
      </c>
      <c r="I34" s="89"/>
      <c r="J34" s="90">
        <f t="shared" si="10"/>
        <v>0.39</v>
      </c>
      <c r="K34" s="90">
        <f t="shared" si="11"/>
        <v>0.33999999999999997</v>
      </c>
      <c r="L34" s="91"/>
      <c r="M34" s="92">
        <f t="shared" si="0"/>
        <v>0</v>
      </c>
      <c r="N34" s="92">
        <f t="shared" si="1"/>
        <v>0</v>
      </c>
      <c r="O34" s="92">
        <f t="shared" si="2"/>
        <v>0</v>
      </c>
      <c r="P34" s="93">
        <f t="shared" si="3"/>
        <v>0</v>
      </c>
      <c r="Q34" s="94" t="str">
        <f t="shared" si="4"/>
        <v/>
      </c>
      <c r="R34" s="95" t="str">
        <f>IF(OR($AI34="",ISNUMBER($AI34)=FALSE),"",IF(AND(#REF!="Tolerance",$E34&lt;&gt;""),($O34-$E34)/(($J34-$K34)/2),IF(AND(#REF!="GD&amp;T",$F34&lt;&gt;""),$O34/$F34,"")))</f>
        <v/>
      </c>
      <c r="S34" s="95" t="str">
        <f t="shared" si="12"/>
        <v/>
      </c>
      <c r="T34" s="94" t="str">
        <f t="shared" si="5"/>
        <v/>
      </c>
      <c r="U34" s="94" t="str">
        <f t="shared" si="6"/>
        <v/>
      </c>
      <c r="V34" s="94" t="str">
        <f t="shared" si="7"/>
        <v/>
      </c>
      <c r="W34" s="96" t="str">
        <f t="shared" si="8"/>
        <v/>
      </c>
      <c r="X34" s="97" t="e">
        <f>IF($O34="","",IF(#REF!="Tolerance",IF((#REF!*3*P34+O34)-E34&lt;F34,"",(#REF!*3*P34+O34)-E34),IF(OR(#REF!="GD&amp;T",#REF!="MAX"),IF((#REF!*3*P34+O34)&lt;F34,"",(#REF!*3*P34+O34)),"")))</f>
        <v>#REF!</v>
      </c>
      <c r="Y34" s="97" t="e">
        <f>IF(O34="","",IF(#REF!="Tolerance",IF(-((#REF!*3*P34)-O34)-E34&gt;G34,"",-((#REF!*3*P34)-O34)-E34),IF(#REF!="MIN",IF(-((#REF!*3*P34)-O34)&gt;G34,"",-((#REF!*3*P34)-O34)),"")))</f>
        <v>#REF!</v>
      </c>
      <c r="Z34" s="97">
        <f t="shared" si="13"/>
        <v>0.36499999999999999</v>
      </c>
      <c r="AA34" s="97" t="str">
        <f t="shared" si="9"/>
        <v/>
      </c>
      <c r="AB34" s="98"/>
      <c r="AC34" s="99" t="str">
        <f t="shared" si="14"/>
        <v/>
      </c>
      <c r="AD34" s="100"/>
      <c r="AE34" s="101"/>
      <c r="AF34" s="101"/>
      <c r="AG34" s="102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</row>
    <row r="35" spans="2:66" ht="19.149999999999999" customHeight="1">
      <c r="B35" s="84" t="s">
        <v>219</v>
      </c>
      <c r="C35" s="40" t="s">
        <v>90</v>
      </c>
      <c r="D35" s="85" t="s">
        <v>57</v>
      </c>
      <c r="E35" s="86">
        <v>0.36499999999999999</v>
      </c>
      <c r="F35" s="87">
        <v>2.5000000000000001E-2</v>
      </c>
      <c r="G35" s="87">
        <v>-2.5000000000000001E-2</v>
      </c>
      <c r="H35" s="88" t="s">
        <v>58</v>
      </c>
      <c r="I35" s="89"/>
      <c r="J35" s="90">
        <f t="shared" si="10"/>
        <v>0.39</v>
      </c>
      <c r="K35" s="90">
        <f t="shared" si="11"/>
        <v>0.33999999999999997</v>
      </c>
      <c r="L35" s="91"/>
      <c r="M35" s="92">
        <f t="shared" si="0"/>
        <v>0</v>
      </c>
      <c r="N35" s="92">
        <f t="shared" si="1"/>
        <v>0</v>
      </c>
      <c r="O35" s="92">
        <f t="shared" si="2"/>
        <v>0</v>
      </c>
      <c r="P35" s="93">
        <f t="shared" si="3"/>
        <v>0</v>
      </c>
      <c r="Q35" s="94" t="str">
        <f t="shared" si="4"/>
        <v/>
      </c>
      <c r="R35" s="95" t="str">
        <f>IF(OR($AI35="",ISNUMBER($AI35)=FALSE),"",IF(AND(#REF!="Tolerance",$E35&lt;&gt;""),($O35-$E35)/(($J35-$K35)/2),IF(AND(#REF!="GD&amp;T",$F35&lt;&gt;""),$O35/$F35,"")))</f>
        <v/>
      </c>
      <c r="S35" s="95" t="str">
        <f t="shared" si="12"/>
        <v/>
      </c>
      <c r="T35" s="94" t="str">
        <f t="shared" si="5"/>
        <v/>
      </c>
      <c r="U35" s="94" t="str">
        <f t="shared" si="6"/>
        <v/>
      </c>
      <c r="V35" s="94" t="str">
        <f t="shared" si="7"/>
        <v/>
      </c>
      <c r="W35" s="96" t="str">
        <f t="shared" si="8"/>
        <v/>
      </c>
      <c r="X35" s="97" t="e">
        <f>IF($O35="","",IF(#REF!="Tolerance",IF((#REF!*3*P35+O35)-E35&lt;F35,"",(#REF!*3*P35+O35)-E35),IF(OR(#REF!="GD&amp;T",#REF!="MAX"),IF((#REF!*3*P35+O35)&lt;F35,"",(#REF!*3*P35+O35)),"")))</f>
        <v>#REF!</v>
      </c>
      <c r="Y35" s="97" t="e">
        <f>IF(O35="","",IF(#REF!="Tolerance",IF(-((#REF!*3*P35)-O35)-E35&gt;G35,"",-((#REF!*3*P35)-O35)-E35),IF(#REF!="MIN",IF(-((#REF!*3*P35)-O35)&gt;G35,"",-((#REF!*3*P35)-O35)),"")))</f>
        <v>#REF!</v>
      </c>
      <c r="Z35" s="97">
        <f t="shared" si="13"/>
        <v>0.36499999999999999</v>
      </c>
      <c r="AA35" s="97" t="str">
        <f t="shared" si="9"/>
        <v/>
      </c>
      <c r="AB35" s="98"/>
      <c r="AC35" s="99" t="str">
        <f t="shared" si="14"/>
        <v/>
      </c>
      <c r="AD35" s="100"/>
      <c r="AE35" s="101"/>
      <c r="AF35" s="101"/>
      <c r="AG35" s="102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</row>
    <row r="36" spans="2:66" ht="19.149999999999999" customHeight="1">
      <c r="B36" s="84" t="s">
        <v>220</v>
      </c>
      <c r="C36" s="40" t="s">
        <v>91</v>
      </c>
      <c r="D36" s="85" t="s">
        <v>57</v>
      </c>
      <c r="E36" s="86">
        <v>0.91300000000000003</v>
      </c>
      <c r="F36" s="87">
        <v>0.02</v>
      </c>
      <c r="G36" s="87">
        <v>-0.02</v>
      </c>
      <c r="H36" s="88" t="s">
        <v>58</v>
      </c>
      <c r="I36" s="89"/>
      <c r="J36" s="90">
        <f t="shared" si="10"/>
        <v>0.93300000000000005</v>
      </c>
      <c r="K36" s="90">
        <f t="shared" si="11"/>
        <v>0.89300000000000002</v>
      </c>
      <c r="L36" s="91"/>
      <c r="M36" s="92">
        <f t="shared" si="0"/>
        <v>0</v>
      </c>
      <c r="N36" s="92">
        <f t="shared" si="1"/>
        <v>0</v>
      </c>
      <c r="O36" s="92">
        <f t="shared" si="2"/>
        <v>0</v>
      </c>
      <c r="P36" s="93">
        <f t="shared" si="3"/>
        <v>0</v>
      </c>
      <c r="Q36" s="94" t="str">
        <f t="shared" si="4"/>
        <v/>
      </c>
      <c r="R36" s="95" t="str">
        <f>IF(OR($AI36="",ISNUMBER($AI36)=FALSE),"",IF(AND(#REF!="Tolerance",$E36&lt;&gt;""),($O36-$E36)/(($J36-$K36)/2),IF(AND(#REF!="GD&amp;T",$F36&lt;&gt;""),$O36/$F36,"")))</f>
        <v/>
      </c>
      <c r="S36" s="95" t="str">
        <f t="shared" si="12"/>
        <v/>
      </c>
      <c r="T36" s="94" t="str">
        <f t="shared" si="5"/>
        <v/>
      </c>
      <c r="U36" s="94" t="str">
        <f t="shared" si="6"/>
        <v/>
      </c>
      <c r="V36" s="94" t="str">
        <f t="shared" si="7"/>
        <v/>
      </c>
      <c r="W36" s="96" t="str">
        <f t="shared" si="8"/>
        <v/>
      </c>
      <c r="X36" s="97" t="e">
        <f>IF($O36="","",IF(#REF!="Tolerance",IF((#REF!*3*P36+O36)-E36&lt;F36,"",(#REF!*3*P36+O36)-E36),IF(OR(#REF!="GD&amp;T",#REF!="MAX"),IF((#REF!*3*P36+O36)&lt;F36,"",(#REF!*3*P36+O36)),"")))</f>
        <v>#REF!</v>
      </c>
      <c r="Y36" s="97" t="e">
        <f>IF(O36="","",IF(#REF!="Tolerance",IF(-((#REF!*3*P36)-O36)-E36&gt;G36,"",-((#REF!*3*P36)-O36)-E36),IF(#REF!="MIN",IF(-((#REF!*3*P36)-O36)&gt;G36,"",-((#REF!*3*P36)-O36)),"")))</f>
        <v>#REF!</v>
      </c>
      <c r="Z36" s="97">
        <f t="shared" si="13"/>
        <v>0.91300000000000003</v>
      </c>
      <c r="AA36" s="97" t="str">
        <f t="shared" si="9"/>
        <v/>
      </c>
      <c r="AB36" s="98"/>
      <c r="AC36" s="99" t="str">
        <f t="shared" si="14"/>
        <v/>
      </c>
      <c r="AD36" s="100"/>
      <c r="AE36" s="101"/>
      <c r="AF36" s="101"/>
      <c r="AG36" s="102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</row>
    <row r="37" spans="2:66" ht="19.149999999999999" customHeight="1">
      <c r="B37" s="84" t="s">
        <v>221</v>
      </c>
      <c r="C37" s="40" t="s">
        <v>92</v>
      </c>
      <c r="D37" s="85" t="s">
        <v>57</v>
      </c>
      <c r="E37" s="86">
        <v>1.53</v>
      </c>
      <c r="F37" s="87">
        <v>0.02</v>
      </c>
      <c r="G37" s="87">
        <v>-0.02</v>
      </c>
      <c r="H37" s="88" t="s">
        <v>58</v>
      </c>
      <c r="I37" s="89"/>
      <c r="J37" s="90">
        <f t="shared" si="10"/>
        <v>1.55</v>
      </c>
      <c r="K37" s="90">
        <f t="shared" si="11"/>
        <v>1.51</v>
      </c>
      <c r="L37" s="91"/>
      <c r="M37" s="92">
        <f t="shared" si="0"/>
        <v>0</v>
      </c>
      <c r="N37" s="92">
        <f t="shared" si="1"/>
        <v>0</v>
      </c>
      <c r="O37" s="92">
        <f t="shared" si="2"/>
        <v>0</v>
      </c>
      <c r="P37" s="93">
        <f t="shared" si="3"/>
        <v>0</v>
      </c>
      <c r="Q37" s="94" t="str">
        <f t="shared" si="4"/>
        <v/>
      </c>
      <c r="R37" s="95" t="str">
        <f>IF(OR($AI37="",ISNUMBER($AI37)=FALSE),"",IF(AND(#REF!="Tolerance",$E37&lt;&gt;""),($O37-$E37)/(($J37-$K37)/2),IF(AND(#REF!="GD&amp;T",$F37&lt;&gt;""),$O37/$F37,"")))</f>
        <v/>
      </c>
      <c r="S37" s="95" t="str">
        <f t="shared" si="12"/>
        <v/>
      </c>
      <c r="T37" s="94" t="str">
        <f t="shared" si="5"/>
        <v/>
      </c>
      <c r="U37" s="94" t="str">
        <f t="shared" si="6"/>
        <v/>
      </c>
      <c r="V37" s="94" t="str">
        <f t="shared" si="7"/>
        <v/>
      </c>
      <c r="W37" s="96" t="str">
        <f t="shared" si="8"/>
        <v/>
      </c>
      <c r="X37" s="97" t="e">
        <f>IF($O37="","",IF(#REF!="Tolerance",IF((#REF!*3*P37+O37)-E37&lt;F37,"",(#REF!*3*P37+O37)-E37),IF(OR(#REF!="GD&amp;T",#REF!="MAX"),IF((#REF!*3*P37+O37)&lt;F37,"",(#REF!*3*P37+O37)),"")))</f>
        <v>#REF!</v>
      </c>
      <c r="Y37" s="97" t="e">
        <f>IF(O37="","",IF(#REF!="Tolerance",IF(-((#REF!*3*P37)-O37)-E37&gt;G37,"",-((#REF!*3*P37)-O37)-E37),IF(#REF!="MIN",IF(-((#REF!*3*P37)-O37)&gt;G37,"",-((#REF!*3*P37)-O37)),"")))</f>
        <v>#REF!</v>
      </c>
      <c r="Z37" s="97">
        <f t="shared" si="13"/>
        <v>1.53</v>
      </c>
      <c r="AA37" s="97" t="str">
        <f t="shared" si="9"/>
        <v/>
      </c>
      <c r="AB37" s="98"/>
      <c r="AC37" s="99" t="str">
        <f t="shared" si="14"/>
        <v/>
      </c>
      <c r="AD37" s="100"/>
      <c r="AE37" s="101"/>
      <c r="AF37" s="101"/>
      <c r="AG37" s="102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</row>
    <row r="38" spans="2:66" ht="19.149999999999999" customHeight="1">
      <c r="B38" s="84" t="s">
        <v>222</v>
      </c>
      <c r="C38" s="40" t="s">
        <v>94</v>
      </c>
      <c r="D38" s="85" t="s">
        <v>57</v>
      </c>
      <c r="E38" s="86">
        <v>6.08</v>
      </c>
      <c r="F38" s="87">
        <v>1.4999999999999999E-2</v>
      </c>
      <c r="G38" s="87">
        <v>-1.4999999999999999E-2</v>
      </c>
      <c r="H38" s="88" t="s">
        <v>58</v>
      </c>
      <c r="I38" s="89"/>
      <c r="J38" s="90">
        <f t="shared" si="10"/>
        <v>6.0949999999999998</v>
      </c>
      <c r="K38" s="90">
        <f t="shared" si="11"/>
        <v>6.0650000000000004</v>
      </c>
      <c r="L38" s="91"/>
      <c r="M38" s="92">
        <f t="shared" si="0"/>
        <v>0</v>
      </c>
      <c r="N38" s="92">
        <f t="shared" si="1"/>
        <v>0</v>
      </c>
      <c r="O38" s="92">
        <f t="shared" si="2"/>
        <v>0</v>
      </c>
      <c r="P38" s="93">
        <f t="shared" si="3"/>
        <v>0</v>
      </c>
      <c r="Q38" s="94" t="str">
        <f t="shared" si="4"/>
        <v/>
      </c>
      <c r="R38" s="95" t="str">
        <f>IF(OR($AI38="",ISNUMBER($AI38)=FALSE),"",IF(AND(#REF!="Tolerance",$E38&lt;&gt;""),($O38-$E38)/(($J38-$K38)/2),IF(AND(#REF!="GD&amp;T",$F38&lt;&gt;""),$O38/$F38,"")))</f>
        <v/>
      </c>
      <c r="S38" s="95" t="str">
        <f t="shared" si="12"/>
        <v/>
      </c>
      <c r="T38" s="94" t="str">
        <f t="shared" si="5"/>
        <v/>
      </c>
      <c r="U38" s="94" t="str">
        <f t="shared" si="6"/>
        <v/>
      </c>
      <c r="V38" s="94" t="str">
        <f t="shared" si="7"/>
        <v/>
      </c>
      <c r="W38" s="96" t="str">
        <f t="shared" si="8"/>
        <v/>
      </c>
      <c r="X38" s="97" t="e">
        <f>IF($O38="","",IF(#REF!="Tolerance",IF((#REF!*3*P38+O38)-E38&lt;F38,"",(#REF!*3*P38+O38)-E38),IF(OR(#REF!="GD&amp;T",#REF!="MAX"),IF((#REF!*3*P38+O38)&lt;F38,"",(#REF!*3*P38+O38)),"")))</f>
        <v>#REF!</v>
      </c>
      <c r="Y38" s="97" t="e">
        <f>IF(O38="","",IF(#REF!="Tolerance",IF(-((#REF!*3*P38)-O38)-E38&gt;G38,"",-((#REF!*3*P38)-O38)-E38),IF(#REF!="MIN",IF(-((#REF!*3*P38)-O38)&gt;G38,"",-((#REF!*3*P38)-O38)),"")))</f>
        <v>#REF!</v>
      </c>
      <c r="Z38" s="97">
        <f t="shared" si="13"/>
        <v>6.08</v>
      </c>
      <c r="AA38" s="97" t="str">
        <f t="shared" si="9"/>
        <v/>
      </c>
      <c r="AB38" s="98"/>
      <c r="AC38" s="99" t="str">
        <f t="shared" si="14"/>
        <v/>
      </c>
      <c r="AD38" s="100"/>
      <c r="AE38" s="101"/>
      <c r="AF38" s="101"/>
      <c r="AG38" s="102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</row>
    <row r="39" spans="2:66" ht="19.149999999999999" customHeight="1">
      <c r="B39" s="84" t="s">
        <v>223</v>
      </c>
      <c r="C39" s="40" t="s">
        <v>120</v>
      </c>
      <c r="D39" s="85" t="s">
        <v>57</v>
      </c>
      <c r="E39" s="86">
        <v>6.48</v>
      </c>
      <c r="F39" s="87">
        <v>2.5000000000000001E-2</v>
      </c>
      <c r="G39" s="87">
        <v>-1.4999999999999999E-2</v>
      </c>
      <c r="H39" s="88" t="s">
        <v>58</v>
      </c>
      <c r="I39" s="89"/>
      <c r="J39" s="90">
        <f t="shared" si="10"/>
        <v>6.5050000000000008</v>
      </c>
      <c r="K39" s="90">
        <f t="shared" si="11"/>
        <v>6.4650000000000007</v>
      </c>
      <c r="L39" s="91"/>
      <c r="M39" s="92">
        <f t="shared" si="0"/>
        <v>0</v>
      </c>
      <c r="N39" s="92">
        <f t="shared" si="1"/>
        <v>0</v>
      </c>
      <c r="O39" s="92">
        <f t="shared" si="2"/>
        <v>0</v>
      </c>
      <c r="P39" s="93">
        <f t="shared" si="3"/>
        <v>0</v>
      </c>
      <c r="Q39" s="94" t="str">
        <f t="shared" si="4"/>
        <v/>
      </c>
      <c r="R39" s="95" t="str">
        <f>IF(OR($AI39="",ISNUMBER($AI39)=FALSE),"",IF(AND(#REF!="Tolerance",$E39&lt;&gt;""),($O39-$E39)/(($J39-$K39)/2),IF(AND(#REF!="GD&amp;T",$F39&lt;&gt;""),$O39/$F39,"")))</f>
        <v/>
      </c>
      <c r="S39" s="95" t="str">
        <f t="shared" si="12"/>
        <v/>
      </c>
      <c r="T39" s="94" t="str">
        <f t="shared" si="5"/>
        <v/>
      </c>
      <c r="U39" s="94" t="str">
        <f t="shared" si="6"/>
        <v/>
      </c>
      <c r="V39" s="94" t="str">
        <f t="shared" si="7"/>
        <v/>
      </c>
      <c r="W39" s="96" t="str">
        <f t="shared" si="8"/>
        <v/>
      </c>
      <c r="X39" s="97" t="e">
        <f>IF($O39="","",IF(#REF!="Tolerance",IF((#REF!*3*P39+O39)-E39&lt;F39,"",(#REF!*3*P39+O39)-E39),IF(OR(#REF!="GD&amp;T",#REF!="MAX"),IF((#REF!*3*P39+O39)&lt;F39,"",(#REF!*3*P39+O39)),"")))</f>
        <v>#REF!</v>
      </c>
      <c r="Y39" s="97" t="e">
        <f>IF(O39="","",IF(#REF!="Tolerance",IF(-((#REF!*3*P39)-O39)-E39&gt;G39,"",-((#REF!*3*P39)-O39)-E39),IF(#REF!="MIN",IF(-((#REF!*3*P39)-O39)&gt;G39,"",-((#REF!*3*P39)-O39)),"")))</f>
        <v>#REF!</v>
      </c>
      <c r="Z39" s="97">
        <f t="shared" si="13"/>
        <v>6.4850000000000012</v>
      </c>
      <c r="AA39" s="97" t="str">
        <f t="shared" si="9"/>
        <v/>
      </c>
      <c r="AB39" s="98"/>
      <c r="AC39" s="99" t="str">
        <f t="shared" si="14"/>
        <v/>
      </c>
      <c r="AD39" s="100"/>
      <c r="AE39" s="101"/>
      <c r="AF39" s="101"/>
      <c r="AG39" s="102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</row>
    <row r="40" spans="2:66" ht="19.149999999999999" customHeight="1">
      <c r="B40" s="84" t="s">
        <v>224</v>
      </c>
      <c r="C40" s="40" t="s">
        <v>122</v>
      </c>
      <c r="D40" s="85" t="s">
        <v>57</v>
      </c>
      <c r="E40" s="86">
        <v>0.45</v>
      </c>
      <c r="F40" s="87">
        <v>0.01</v>
      </c>
      <c r="G40" s="87">
        <v>-0.03</v>
      </c>
      <c r="H40" s="88" t="s">
        <v>58</v>
      </c>
      <c r="I40" s="89"/>
      <c r="J40" s="90">
        <f t="shared" si="10"/>
        <v>0.46</v>
      </c>
      <c r="K40" s="90">
        <f t="shared" si="11"/>
        <v>0.42000000000000004</v>
      </c>
      <c r="L40" s="91"/>
      <c r="M40" s="92">
        <f t="shared" si="0"/>
        <v>0</v>
      </c>
      <c r="N40" s="92">
        <f t="shared" si="1"/>
        <v>0</v>
      </c>
      <c r="O40" s="92">
        <f t="shared" si="2"/>
        <v>0</v>
      </c>
      <c r="P40" s="93">
        <f t="shared" si="3"/>
        <v>0</v>
      </c>
      <c r="Q40" s="94" t="str">
        <f t="shared" si="4"/>
        <v/>
      </c>
      <c r="R40" s="95" t="str">
        <f>IF(OR($AI40="",ISNUMBER($AI40)=FALSE),"",IF(AND(#REF!="Tolerance",$E40&lt;&gt;""),($O40-$E40)/(($J40-$K40)/2),IF(AND(#REF!="GD&amp;T",$F40&lt;&gt;""),$O40/$F40,"")))</f>
        <v/>
      </c>
      <c r="S40" s="95" t="str">
        <f t="shared" si="12"/>
        <v/>
      </c>
      <c r="T40" s="94" t="str">
        <f t="shared" si="5"/>
        <v/>
      </c>
      <c r="U40" s="94" t="str">
        <f t="shared" si="6"/>
        <v/>
      </c>
      <c r="V40" s="94" t="str">
        <f t="shared" si="7"/>
        <v/>
      </c>
      <c r="W40" s="96" t="str">
        <f t="shared" si="8"/>
        <v/>
      </c>
      <c r="X40" s="97" t="e">
        <f>IF($O40="","",IF(#REF!="Tolerance",IF((#REF!*3*P40+O40)-E40&lt;F40,"",(#REF!*3*P40+O40)-E40),IF(OR(#REF!="GD&amp;T",#REF!="MAX"),IF((#REF!*3*P40+O40)&lt;F40,"",(#REF!*3*P40+O40)),"")))</f>
        <v>#REF!</v>
      </c>
      <c r="Y40" s="97" t="e">
        <f>IF(O40="","",IF(#REF!="Tolerance",IF(-((#REF!*3*P40)-O40)-E40&gt;G40,"",-((#REF!*3*P40)-O40)-E40),IF(#REF!="MIN",IF(-((#REF!*3*P40)-O40)&gt;G40,"",-((#REF!*3*P40)-O40)),"")))</f>
        <v>#REF!</v>
      </c>
      <c r="Z40" s="97">
        <f t="shared" si="13"/>
        <v>0.44000000000000006</v>
      </c>
      <c r="AA40" s="97" t="str">
        <f t="shared" si="9"/>
        <v/>
      </c>
      <c r="AB40" s="98"/>
      <c r="AC40" s="99" t="str">
        <f t="shared" si="14"/>
        <v/>
      </c>
      <c r="AD40" s="100"/>
      <c r="AE40" s="101"/>
      <c r="AF40" s="101"/>
      <c r="AG40" s="102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</row>
    <row r="41" spans="2:66" ht="19.149999999999999" customHeight="1">
      <c r="B41" s="84" t="s">
        <v>225</v>
      </c>
      <c r="C41" s="40" t="s">
        <v>123</v>
      </c>
      <c r="D41" s="85" t="s">
        <v>57</v>
      </c>
      <c r="E41" s="86">
        <v>0.23</v>
      </c>
      <c r="F41" s="87">
        <v>0.01</v>
      </c>
      <c r="G41" s="87">
        <v>-0.03</v>
      </c>
      <c r="H41" s="88" t="s">
        <v>58</v>
      </c>
      <c r="I41" s="89"/>
      <c r="J41" s="90">
        <f t="shared" si="10"/>
        <v>0.24000000000000002</v>
      </c>
      <c r="K41" s="90">
        <f t="shared" si="11"/>
        <v>0.2</v>
      </c>
      <c r="L41" s="91"/>
      <c r="M41" s="92">
        <f t="shared" si="0"/>
        <v>0</v>
      </c>
      <c r="N41" s="92">
        <f t="shared" si="1"/>
        <v>0</v>
      </c>
      <c r="O41" s="92">
        <f t="shared" si="2"/>
        <v>0</v>
      </c>
      <c r="P41" s="93">
        <f t="shared" si="3"/>
        <v>0</v>
      </c>
      <c r="Q41" s="94" t="str">
        <f t="shared" si="4"/>
        <v/>
      </c>
      <c r="R41" s="95" t="str">
        <f>IF(OR($AI41="",ISNUMBER($AI41)=FALSE),"",IF(AND(#REF!="Tolerance",$E41&lt;&gt;""),($O41-$E41)/(($J41-$K41)/2),IF(AND(#REF!="GD&amp;T",$F41&lt;&gt;""),$O41/$F41,"")))</f>
        <v/>
      </c>
      <c r="S41" s="95" t="str">
        <f t="shared" si="12"/>
        <v/>
      </c>
      <c r="T41" s="94" t="str">
        <f t="shared" si="5"/>
        <v/>
      </c>
      <c r="U41" s="94" t="str">
        <f t="shared" si="6"/>
        <v/>
      </c>
      <c r="V41" s="94" t="str">
        <f t="shared" si="7"/>
        <v/>
      </c>
      <c r="W41" s="96" t="str">
        <f t="shared" si="8"/>
        <v/>
      </c>
      <c r="X41" s="97" t="e">
        <f>IF($O41="","",IF(#REF!="Tolerance",IF((#REF!*3*P41+O41)-E41&lt;F41,"",(#REF!*3*P41+O41)-E41),IF(OR(#REF!="GD&amp;T",#REF!="MAX"),IF((#REF!*3*P41+O41)&lt;F41,"",(#REF!*3*P41+O41)),"")))</f>
        <v>#REF!</v>
      </c>
      <c r="Y41" s="97" t="e">
        <f>IF(O41="","",IF(#REF!="Tolerance",IF(-((#REF!*3*P41)-O41)-E41&gt;G41,"",-((#REF!*3*P41)-O41)-E41),IF(#REF!="MIN",IF(-((#REF!*3*P41)-O41)&gt;G41,"",-((#REF!*3*P41)-O41)),"")))</f>
        <v>#REF!</v>
      </c>
      <c r="Z41" s="97">
        <f t="shared" si="13"/>
        <v>0.22000000000000003</v>
      </c>
      <c r="AA41" s="97" t="str">
        <f t="shared" si="9"/>
        <v/>
      </c>
      <c r="AB41" s="98"/>
      <c r="AC41" s="99" t="str">
        <f t="shared" si="14"/>
        <v/>
      </c>
      <c r="AD41" s="100"/>
      <c r="AE41" s="101"/>
      <c r="AF41" s="101"/>
      <c r="AG41" s="102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</row>
    <row r="42" spans="2:66" ht="19.149999999999999" customHeight="1">
      <c r="B42" s="84" t="s">
        <v>226</v>
      </c>
      <c r="C42" s="40" t="s">
        <v>124</v>
      </c>
      <c r="D42" s="85" t="s">
        <v>57</v>
      </c>
      <c r="E42" s="86">
        <v>0.4</v>
      </c>
      <c r="F42" s="87">
        <v>0.01</v>
      </c>
      <c r="G42" s="87">
        <v>-0.03</v>
      </c>
      <c r="H42" s="88" t="s">
        <v>58</v>
      </c>
      <c r="I42" s="89"/>
      <c r="J42" s="90">
        <f t="shared" si="10"/>
        <v>0.41000000000000003</v>
      </c>
      <c r="K42" s="90">
        <f t="shared" si="11"/>
        <v>0.37</v>
      </c>
      <c r="L42" s="91"/>
      <c r="M42" s="92">
        <f t="shared" si="0"/>
        <v>0</v>
      </c>
      <c r="N42" s="92">
        <f t="shared" si="1"/>
        <v>0</v>
      </c>
      <c r="O42" s="92">
        <f t="shared" si="2"/>
        <v>0</v>
      </c>
      <c r="P42" s="93">
        <f t="shared" si="3"/>
        <v>0</v>
      </c>
      <c r="Q42" s="94" t="str">
        <f t="shared" si="4"/>
        <v/>
      </c>
      <c r="R42" s="95" t="str">
        <f>IF(OR($AI42="",ISNUMBER($AI42)=FALSE),"",IF(AND(#REF!="Tolerance",$E42&lt;&gt;""),($O42-$E42)/(($J42-$K42)/2),IF(AND(#REF!="GD&amp;T",$F42&lt;&gt;""),$O42/$F42,"")))</f>
        <v/>
      </c>
      <c r="S42" s="95" t="str">
        <f t="shared" si="12"/>
        <v/>
      </c>
      <c r="T42" s="94" t="str">
        <f t="shared" si="5"/>
        <v/>
      </c>
      <c r="U42" s="94" t="str">
        <f t="shared" si="6"/>
        <v/>
      </c>
      <c r="V42" s="94" t="str">
        <f t="shared" si="7"/>
        <v/>
      </c>
      <c r="W42" s="96" t="str">
        <f t="shared" si="8"/>
        <v/>
      </c>
      <c r="X42" s="97" t="e">
        <f>IF($O42="","",IF(#REF!="Tolerance",IF((#REF!*3*P42+O42)-E42&lt;F42,"",(#REF!*3*P42+O42)-E42),IF(OR(#REF!="GD&amp;T",#REF!="MAX"),IF((#REF!*3*P42+O42)&lt;F42,"",(#REF!*3*P42+O42)),"")))</f>
        <v>#REF!</v>
      </c>
      <c r="Y42" s="97" t="e">
        <f>IF(O42="","",IF(#REF!="Tolerance",IF(-((#REF!*3*P42)-O42)-E42&gt;G42,"",-((#REF!*3*P42)-O42)-E42),IF(#REF!="MIN",IF(-((#REF!*3*P42)-O42)&gt;G42,"",-((#REF!*3*P42)-O42)),"")))</f>
        <v>#REF!</v>
      </c>
      <c r="Z42" s="97">
        <f t="shared" si="13"/>
        <v>0.39</v>
      </c>
      <c r="AA42" s="97" t="str">
        <f t="shared" si="9"/>
        <v/>
      </c>
      <c r="AB42" s="98"/>
      <c r="AC42" s="99" t="str">
        <f t="shared" si="14"/>
        <v/>
      </c>
      <c r="AD42" s="100"/>
      <c r="AE42" s="101"/>
      <c r="AF42" s="101"/>
      <c r="AG42" s="102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</row>
    <row r="43" spans="2:66" ht="19.149999999999999" customHeight="1">
      <c r="B43" s="84" t="s">
        <v>226</v>
      </c>
      <c r="C43" s="40" t="s">
        <v>125</v>
      </c>
      <c r="D43" s="85" t="s">
        <v>57</v>
      </c>
      <c r="E43" s="86">
        <v>0.4</v>
      </c>
      <c r="F43" s="87">
        <v>0.01</v>
      </c>
      <c r="G43" s="87">
        <v>-0.03</v>
      </c>
      <c r="H43" s="88" t="s">
        <v>58</v>
      </c>
      <c r="I43" s="89"/>
      <c r="J43" s="90">
        <f t="shared" si="10"/>
        <v>0.41000000000000003</v>
      </c>
      <c r="K43" s="90">
        <f t="shared" si="11"/>
        <v>0.37</v>
      </c>
      <c r="L43" s="91"/>
      <c r="M43" s="92">
        <f t="shared" si="0"/>
        <v>0</v>
      </c>
      <c r="N43" s="92">
        <f t="shared" si="1"/>
        <v>0</v>
      </c>
      <c r="O43" s="92">
        <f t="shared" si="2"/>
        <v>0</v>
      </c>
      <c r="P43" s="93">
        <f t="shared" si="3"/>
        <v>0</v>
      </c>
      <c r="Q43" s="94" t="str">
        <f t="shared" si="4"/>
        <v/>
      </c>
      <c r="R43" s="95" t="str">
        <f>IF(OR($AI43="",ISNUMBER($AI43)=FALSE),"",IF(AND(#REF!="Tolerance",$E43&lt;&gt;""),($O43-$E43)/(($J43-$K43)/2),IF(AND(#REF!="GD&amp;T",$F43&lt;&gt;""),$O43/$F43,"")))</f>
        <v/>
      </c>
      <c r="S43" s="95" t="str">
        <f t="shared" si="12"/>
        <v/>
      </c>
      <c r="T43" s="94" t="str">
        <f t="shared" si="5"/>
        <v/>
      </c>
      <c r="U43" s="94" t="str">
        <f t="shared" si="6"/>
        <v/>
      </c>
      <c r="V43" s="94" t="str">
        <f t="shared" si="7"/>
        <v/>
      </c>
      <c r="W43" s="96" t="str">
        <f t="shared" si="8"/>
        <v/>
      </c>
      <c r="X43" s="97" t="e">
        <f>IF($O43="","",IF(#REF!="Tolerance",IF((#REF!*3*P43+O43)-E43&lt;F43,"",(#REF!*3*P43+O43)-E43),IF(OR(#REF!="GD&amp;T",#REF!="MAX"),IF((#REF!*3*P43+O43)&lt;F43,"",(#REF!*3*P43+O43)),"")))</f>
        <v>#REF!</v>
      </c>
      <c r="Y43" s="97" t="e">
        <f>IF(O43="","",IF(#REF!="Tolerance",IF(-((#REF!*3*P43)-O43)-E43&gt;G43,"",-((#REF!*3*P43)-O43)-E43),IF(#REF!="MIN",IF(-((#REF!*3*P43)-O43)&gt;G43,"",-((#REF!*3*P43)-O43)),"")))</f>
        <v>#REF!</v>
      </c>
      <c r="Z43" s="97">
        <f t="shared" si="13"/>
        <v>0.39</v>
      </c>
      <c r="AA43" s="97" t="str">
        <f t="shared" si="9"/>
        <v/>
      </c>
      <c r="AB43" s="98"/>
      <c r="AC43" s="99" t="str">
        <f t="shared" si="14"/>
        <v/>
      </c>
      <c r="AD43" s="100"/>
      <c r="AE43" s="101"/>
      <c r="AF43" s="101"/>
      <c r="AG43" s="102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</row>
    <row r="44" spans="2:66" ht="19.149999999999999" customHeight="1">
      <c r="B44" s="84" t="s">
        <v>227</v>
      </c>
      <c r="C44" s="40" t="s">
        <v>126</v>
      </c>
      <c r="D44" s="85" t="s">
        <v>57</v>
      </c>
      <c r="E44" s="86">
        <v>0.16</v>
      </c>
      <c r="F44" s="87">
        <v>0.02</v>
      </c>
      <c r="G44" s="87">
        <v>-0.02</v>
      </c>
      <c r="H44" s="88" t="s">
        <v>58</v>
      </c>
      <c r="I44" s="89"/>
      <c r="J44" s="90">
        <f t="shared" si="10"/>
        <v>0.18</v>
      </c>
      <c r="K44" s="90">
        <f t="shared" si="11"/>
        <v>0.14000000000000001</v>
      </c>
      <c r="L44" s="91"/>
      <c r="M44" s="92">
        <f t="shared" si="0"/>
        <v>0</v>
      </c>
      <c r="N44" s="92">
        <f t="shared" si="1"/>
        <v>0</v>
      </c>
      <c r="O44" s="92">
        <f t="shared" si="2"/>
        <v>0</v>
      </c>
      <c r="P44" s="93">
        <f t="shared" si="3"/>
        <v>0</v>
      </c>
      <c r="Q44" s="94" t="str">
        <f t="shared" si="4"/>
        <v/>
      </c>
      <c r="R44" s="95" t="str">
        <f>IF(OR($AI44="",ISNUMBER($AI44)=FALSE),"",IF(AND(#REF!="Tolerance",$E44&lt;&gt;""),($O44-$E44)/(($J44-$K44)/2),IF(AND(#REF!="GD&amp;T",$F44&lt;&gt;""),$O44/$F44,"")))</f>
        <v/>
      </c>
      <c r="S44" s="95" t="str">
        <f t="shared" si="12"/>
        <v/>
      </c>
      <c r="T44" s="94" t="str">
        <f t="shared" si="5"/>
        <v/>
      </c>
      <c r="U44" s="94" t="str">
        <f t="shared" si="6"/>
        <v/>
      </c>
      <c r="V44" s="94" t="str">
        <f t="shared" si="7"/>
        <v/>
      </c>
      <c r="W44" s="96" t="str">
        <f t="shared" si="8"/>
        <v/>
      </c>
      <c r="X44" s="97" t="e">
        <f>IF($O44="","",IF(#REF!="Tolerance",IF((#REF!*3*P44+O44)-E44&lt;F44,"",(#REF!*3*P44+O44)-E44),IF(OR(#REF!="GD&amp;T",#REF!="MAX"),IF((#REF!*3*P44+O44)&lt;F44,"",(#REF!*3*P44+O44)),"")))</f>
        <v>#REF!</v>
      </c>
      <c r="Y44" s="97" t="e">
        <f>IF(O44="","",IF(#REF!="Tolerance",IF(-((#REF!*3*P44)-O44)-E44&gt;G44,"",-((#REF!*3*P44)-O44)-E44),IF(#REF!="MIN",IF(-((#REF!*3*P44)-O44)&gt;G44,"",-((#REF!*3*P44)-O44)),"")))</f>
        <v>#REF!</v>
      </c>
      <c r="Z44" s="97">
        <f t="shared" si="13"/>
        <v>0.16</v>
      </c>
      <c r="AA44" s="97" t="str">
        <f t="shared" si="9"/>
        <v/>
      </c>
      <c r="AB44" s="98"/>
      <c r="AC44" s="99" t="str">
        <f t="shared" si="14"/>
        <v/>
      </c>
      <c r="AD44" s="100"/>
      <c r="AE44" s="101"/>
      <c r="AF44" s="101"/>
      <c r="AG44" s="102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</row>
    <row r="45" spans="2:66" ht="19.149999999999999" customHeight="1">
      <c r="B45" s="84" t="s">
        <v>228</v>
      </c>
      <c r="C45" s="40" t="s">
        <v>132</v>
      </c>
      <c r="D45" s="85" t="s">
        <v>57</v>
      </c>
      <c r="E45" s="86">
        <v>1.129</v>
      </c>
      <c r="F45" s="87">
        <v>0.02</v>
      </c>
      <c r="G45" s="87">
        <v>-0.02</v>
      </c>
      <c r="H45" s="88" t="s">
        <v>58</v>
      </c>
      <c r="I45" s="89"/>
      <c r="J45" s="90">
        <f t="shared" si="10"/>
        <v>1.149</v>
      </c>
      <c r="K45" s="90">
        <f t="shared" si="11"/>
        <v>1.109</v>
      </c>
      <c r="L45" s="91"/>
      <c r="M45" s="92">
        <f t="shared" si="0"/>
        <v>0</v>
      </c>
      <c r="N45" s="92">
        <f t="shared" si="1"/>
        <v>0</v>
      </c>
      <c r="O45" s="92">
        <f t="shared" si="2"/>
        <v>0</v>
      </c>
      <c r="P45" s="93">
        <f t="shared" si="3"/>
        <v>0</v>
      </c>
      <c r="Q45" s="94" t="str">
        <f t="shared" si="4"/>
        <v/>
      </c>
      <c r="R45" s="95" t="str">
        <f>IF(OR($AI45="",ISNUMBER($AI45)=FALSE),"",IF(AND(#REF!="Tolerance",$E45&lt;&gt;""),($O45-$E45)/(($J45-$K45)/2),IF(AND(#REF!="GD&amp;T",$F45&lt;&gt;""),$O45/$F45,"")))</f>
        <v/>
      </c>
      <c r="S45" s="95" t="str">
        <f t="shared" si="12"/>
        <v/>
      </c>
      <c r="T45" s="94" t="str">
        <f t="shared" si="5"/>
        <v/>
      </c>
      <c r="U45" s="94" t="str">
        <f t="shared" si="6"/>
        <v/>
      </c>
      <c r="V45" s="94" t="str">
        <f t="shared" si="7"/>
        <v/>
      </c>
      <c r="W45" s="96" t="str">
        <f t="shared" si="8"/>
        <v/>
      </c>
      <c r="X45" s="97" t="e">
        <f>IF($O45="","",IF(#REF!="Tolerance",IF((#REF!*3*P45+O45)-E45&lt;F45,"",(#REF!*3*P45+O45)-E45),IF(OR(#REF!="GD&amp;T",#REF!="MAX"),IF((#REF!*3*P45+O45)&lt;F45,"",(#REF!*3*P45+O45)),"")))</f>
        <v>#REF!</v>
      </c>
      <c r="Y45" s="97" t="e">
        <f>IF(O45="","",IF(#REF!="Tolerance",IF(-((#REF!*3*P45)-O45)-E45&gt;G45,"",-((#REF!*3*P45)-O45)-E45),IF(#REF!="MIN",IF(-((#REF!*3*P45)-O45)&gt;G45,"",-((#REF!*3*P45)-O45)),"")))</f>
        <v>#REF!</v>
      </c>
      <c r="Z45" s="97">
        <f t="shared" si="13"/>
        <v>1.129</v>
      </c>
      <c r="AA45" s="97" t="str">
        <f t="shared" si="9"/>
        <v/>
      </c>
      <c r="AB45" s="98"/>
      <c r="AC45" s="99" t="str">
        <f t="shared" si="14"/>
        <v/>
      </c>
      <c r="AD45" s="100"/>
      <c r="AE45" s="101"/>
      <c r="AF45" s="101"/>
      <c r="AG45" s="102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</row>
    <row r="46" spans="2:66" ht="19.149999999999999" customHeight="1">
      <c r="B46" s="84" t="s">
        <v>229</v>
      </c>
      <c r="C46" s="40" t="s">
        <v>230</v>
      </c>
      <c r="D46" s="85" t="s">
        <v>57</v>
      </c>
      <c r="E46" s="86">
        <v>0.39200000000000002</v>
      </c>
      <c r="F46" s="87">
        <v>0.03</v>
      </c>
      <c r="G46" s="87">
        <v>-0.03</v>
      </c>
      <c r="H46" s="88" t="s">
        <v>58</v>
      </c>
      <c r="I46" s="89"/>
      <c r="J46" s="90">
        <f t="shared" si="10"/>
        <v>0.42200000000000004</v>
      </c>
      <c r="K46" s="90">
        <f t="shared" si="11"/>
        <v>0.36199999999999999</v>
      </c>
      <c r="L46" s="91"/>
      <c r="M46" s="92">
        <f t="shared" si="0"/>
        <v>0</v>
      </c>
      <c r="N46" s="92">
        <f t="shared" si="1"/>
        <v>0</v>
      </c>
      <c r="O46" s="92">
        <f t="shared" si="2"/>
        <v>0</v>
      </c>
      <c r="P46" s="93">
        <f t="shared" si="3"/>
        <v>0</v>
      </c>
      <c r="Q46" s="94" t="str">
        <f t="shared" si="4"/>
        <v/>
      </c>
      <c r="R46" s="95" t="str">
        <f>IF(OR($AI46="",ISNUMBER($AI46)=FALSE),"",IF(AND(#REF!="Tolerance",$E46&lt;&gt;""),($O46-$E46)/(($J46-$K46)/2),IF(AND(#REF!="GD&amp;T",$F46&lt;&gt;""),$O46/$F46,"")))</f>
        <v/>
      </c>
      <c r="S46" s="95" t="str">
        <f t="shared" si="12"/>
        <v/>
      </c>
      <c r="T46" s="94" t="str">
        <f t="shared" si="5"/>
        <v/>
      </c>
      <c r="U46" s="94" t="str">
        <f t="shared" si="6"/>
        <v/>
      </c>
      <c r="V46" s="94" t="str">
        <f t="shared" si="7"/>
        <v/>
      </c>
      <c r="W46" s="96" t="str">
        <f t="shared" si="8"/>
        <v/>
      </c>
      <c r="X46" s="97" t="e">
        <f>IF($O46="","",IF(#REF!="Tolerance",IF((#REF!*3*P46+O46)-E46&lt;F46,"",(#REF!*3*P46+O46)-E46),IF(OR(#REF!="GD&amp;T",#REF!="MAX"),IF((#REF!*3*P46+O46)&lt;F46,"",(#REF!*3*P46+O46)),"")))</f>
        <v>#REF!</v>
      </c>
      <c r="Y46" s="97" t="e">
        <f>IF(O46="","",IF(#REF!="Tolerance",IF(-((#REF!*3*P46)-O46)-E46&gt;G46,"",-((#REF!*3*P46)-O46)-E46),IF(#REF!="MIN",IF(-((#REF!*3*P46)-O46)&gt;G46,"",-((#REF!*3*P46)-O46)),"")))</f>
        <v>#REF!</v>
      </c>
      <c r="Z46" s="97">
        <f t="shared" si="13"/>
        <v>0.39200000000000002</v>
      </c>
      <c r="AA46" s="97" t="str">
        <f t="shared" si="9"/>
        <v/>
      </c>
      <c r="AB46" s="98"/>
      <c r="AC46" s="99" t="str">
        <f t="shared" si="14"/>
        <v/>
      </c>
      <c r="AD46" s="100"/>
      <c r="AE46" s="101"/>
      <c r="AF46" s="101"/>
      <c r="AG46" s="102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</row>
    <row r="47" spans="2:66" ht="19.149999999999999" customHeight="1">
      <c r="B47" s="84" t="s">
        <v>229</v>
      </c>
      <c r="C47" s="40" t="s">
        <v>231</v>
      </c>
      <c r="D47" s="85" t="s">
        <v>57</v>
      </c>
      <c r="E47" s="86">
        <v>0.39200000000000002</v>
      </c>
      <c r="F47" s="87">
        <v>0.03</v>
      </c>
      <c r="G47" s="87">
        <v>-0.03</v>
      </c>
      <c r="H47" s="88" t="s">
        <v>58</v>
      </c>
      <c r="I47" s="89"/>
      <c r="J47" s="90">
        <f t="shared" si="10"/>
        <v>0.42200000000000004</v>
      </c>
      <c r="K47" s="90">
        <f t="shared" si="11"/>
        <v>0.36199999999999999</v>
      </c>
      <c r="L47" s="91"/>
      <c r="M47" s="92">
        <f t="shared" si="0"/>
        <v>0</v>
      </c>
      <c r="N47" s="92">
        <f t="shared" si="1"/>
        <v>0</v>
      </c>
      <c r="O47" s="92">
        <f t="shared" si="2"/>
        <v>0</v>
      </c>
      <c r="P47" s="93">
        <f t="shared" si="3"/>
        <v>0</v>
      </c>
      <c r="Q47" s="94" t="str">
        <f t="shared" si="4"/>
        <v/>
      </c>
      <c r="R47" s="95" t="str">
        <f>IF(OR($AI47="",ISNUMBER($AI47)=FALSE),"",IF(AND(#REF!="Tolerance",$E47&lt;&gt;""),($O47-$E47)/(($J47-$K47)/2),IF(AND(#REF!="GD&amp;T",$F47&lt;&gt;""),$O47/$F47,"")))</f>
        <v/>
      </c>
      <c r="S47" s="95" t="str">
        <f t="shared" si="12"/>
        <v/>
      </c>
      <c r="T47" s="94" t="str">
        <f t="shared" si="5"/>
        <v/>
      </c>
      <c r="U47" s="94" t="str">
        <f t="shared" si="6"/>
        <v/>
      </c>
      <c r="V47" s="94" t="str">
        <f t="shared" si="7"/>
        <v/>
      </c>
      <c r="W47" s="96" t="str">
        <f t="shared" si="8"/>
        <v/>
      </c>
      <c r="X47" s="97" t="e">
        <f>IF($O47="","",IF(#REF!="Tolerance",IF((#REF!*3*P47+O47)-E47&lt;F47,"",(#REF!*3*P47+O47)-E47),IF(OR(#REF!="GD&amp;T",#REF!="MAX"),IF((#REF!*3*P47+O47)&lt;F47,"",(#REF!*3*P47+O47)),"")))</f>
        <v>#REF!</v>
      </c>
      <c r="Y47" s="97" t="e">
        <f>IF(O47="","",IF(#REF!="Tolerance",IF(-((#REF!*3*P47)-O47)-E47&gt;G47,"",-((#REF!*3*P47)-O47)-E47),IF(#REF!="MIN",IF(-((#REF!*3*P47)-O47)&gt;G47,"",-((#REF!*3*P47)-O47)),"")))</f>
        <v>#REF!</v>
      </c>
      <c r="Z47" s="97">
        <f t="shared" si="13"/>
        <v>0.39200000000000002</v>
      </c>
      <c r="AA47" s="97" t="str">
        <f t="shared" si="9"/>
        <v/>
      </c>
      <c r="AB47" s="98"/>
      <c r="AC47" s="99" t="str">
        <f t="shared" si="14"/>
        <v/>
      </c>
      <c r="AD47" s="100"/>
      <c r="AE47" s="101"/>
      <c r="AF47" s="101"/>
      <c r="AG47" s="102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3"/>
      <c r="BN47" s="103"/>
    </row>
    <row r="48" spans="2:66" ht="19.149999999999999" customHeight="1">
      <c r="B48" s="84" t="s">
        <v>229</v>
      </c>
      <c r="C48" s="40" t="s">
        <v>232</v>
      </c>
      <c r="D48" s="85" t="s">
        <v>57</v>
      </c>
      <c r="E48" s="86">
        <v>0.39200000000000002</v>
      </c>
      <c r="F48" s="87">
        <v>0.03</v>
      </c>
      <c r="G48" s="87">
        <v>-0.03</v>
      </c>
      <c r="H48" s="88" t="s">
        <v>58</v>
      </c>
      <c r="I48" s="89"/>
      <c r="J48" s="90">
        <f t="shared" si="10"/>
        <v>0.42200000000000004</v>
      </c>
      <c r="K48" s="90">
        <f t="shared" si="11"/>
        <v>0.36199999999999999</v>
      </c>
      <c r="L48" s="91"/>
      <c r="M48" s="92">
        <f t="shared" si="0"/>
        <v>0</v>
      </c>
      <c r="N48" s="92">
        <f t="shared" si="1"/>
        <v>0</v>
      </c>
      <c r="O48" s="92">
        <f t="shared" si="2"/>
        <v>0</v>
      </c>
      <c r="P48" s="93">
        <f t="shared" si="3"/>
        <v>0</v>
      </c>
      <c r="Q48" s="94" t="str">
        <f t="shared" si="4"/>
        <v/>
      </c>
      <c r="R48" s="95" t="str">
        <f>IF(OR($AI48="",ISNUMBER($AI48)=FALSE),"",IF(AND(#REF!="Tolerance",$E48&lt;&gt;""),($O48-$E48)/(($J48-$K48)/2),IF(AND(#REF!="GD&amp;T",$F48&lt;&gt;""),$O48/$F48,"")))</f>
        <v/>
      </c>
      <c r="S48" s="95" t="str">
        <f t="shared" si="12"/>
        <v/>
      </c>
      <c r="T48" s="94" t="str">
        <f t="shared" si="5"/>
        <v/>
      </c>
      <c r="U48" s="94" t="str">
        <f t="shared" si="6"/>
        <v/>
      </c>
      <c r="V48" s="94" t="str">
        <f t="shared" si="7"/>
        <v/>
      </c>
      <c r="W48" s="96" t="str">
        <f t="shared" si="8"/>
        <v/>
      </c>
      <c r="X48" s="97" t="e">
        <f>IF($O48="","",IF(#REF!="Tolerance",IF((#REF!*3*P48+O48)-E48&lt;F48,"",(#REF!*3*P48+O48)-E48),IF(OR(#REF!="GD&amp;T",#REF!="MAX"),IF((#REF!*3*P48+O48)&lt;F48,"",(#REF!*3*P48+O48)),"")))</f>
        <v>#REF!</v>
      </c>
      <c r="Y48" s="97" t="e">
        <f>IF(O48="","",IF(#REF!="Tolerance",IF(-((#REF!*3*P48)-O48)-E48&gt;G48,"",-((#REF!*3*P48)-O48)-E48),IF(#REF!="MIN",IF(-((#REF!*3*P48)-O48)&gt;G48,"",-((#REF!*3*P48)-O48)),"")))</f>
        <v>#REF!</v>
      </c>
      <c r="Z48" s="97">
        <f t="shared" si="13"/>
        <v>0.39200000000000002</v>
      </c>
      <c r="AA48" s="97" t="str">
        <f t="shared" si="9"/>
        <v/>
      </c>
      <c r="AB48" s="98"/>
      <c r="AC48" s="99" t="str">
        <f t="shared" si="14"/>
        <v/>
      </c>
      <c r="AD48" s="100"/>
      <c r="AE48" s="101"/>
      <c r="AF48" s="101"/>
      <c r="AG48" s="102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</row>
    <row r="49" spans="2:66" ht="19.149999999999999" customHeight="1">
      <c r="B49" s="84" t="s">
        <v>229</v>
      </c>
      <c r="C49" s="40" t="s">
        <v>233</v>
      </c>
      <c r="D49" s="85" t="s">
        <v>57</v>
      </c>
      <c r="E49" s="86">
        <v>0.39200000000000002</v>
      </c>
      <c r="F49" s="87">
        <v>0.03</v>
      </c>
      <c r="G49" s="87">
        <v>-0.03</v>
      </c>
      <c r="H49" s="88" t="s">
        <v>58</v>
      </c>
      <c r="I49" s="89"/>
      <c r="J49" s="90">
        <f t="shared" si="10"/>
        <v>0.42200000000000004</v>
      </c>
      <c r="K49" s="90">
        <f t="shared" si="11"/>
        <v>0.36199999999999999</v>
      </c>
      <c r="L49" s="91"/>
      <c r="M49" s="92">
        <f t="shared" si="0"/>
        <v>0</v>
      </c>
      <c r="N49" s="92">
        <f t="shared" si="1"/>
        <v>0</v>
      </c>
      <c r="O49" s="92">
        <f t="shared" si="2"/>
        <v>0</v>
      </c>
      <c r="P49" s="93">
        <f t="shared" si="3"/>
        <v>0</v>
      </c>
      <c r="Q49" s="94" t="str">
        <f t="shared" si="4"/>
        <v/>
      </c>
      <c r="R49" s="95" t="str">
        <f>IF(OR($AI49="",ISNUMBER($AI49)=FALSE),"",IF(AND(#REF!="Tolerance",$E49&lt;&gt;""),($O49-$E49)/(($J49-$K49)/2),IF(AND(#REF!="GD&amp;T",$F49&lt;&gt;""),$O49/$F49,"")))</f>
        <v/>
      </c>
      <c r="S49" s="95" t="str">
        <f t="shared" si="12"/>
        <v/>
      </c>
      <c r="T49" s="94" t="str">
        <f t="shared" si="5"/>
        <v/>
      </c>
      <c r="U49" s="94" t="str">
        <f t="shared" si="6"/>
        <v/>
      </c>
      <c r="V49" s="94" t="str">
        <f t="shared" si="7"/>
        <v/>
      </c>
      <c r="W49" s="96" t="str">
        <f t="shared" si="8"/>
        <v/>
      </c>
      <c r="X49" s="97" t="e">
        <f>IF($O49="","",IF(#REF!="Tolerance",IF((#REF!*3*P49+O49)-E49&lt;F49,"",(#REF!*3*P49+O49)-E49),IF(OR(#REF!="GD&amp;T",#REF!="MAX"),IF((#REF!*3*P49+O49)&lt;F49,"",(#REF!*3*P49+O49)),"")))</f>
        <v>#REF!</v>
      </c>
      <c r="Y49" s="97" t="e">
        <f>IF(O49="","",IF(#REF!="Tolerance",IF(-((#REF!*3*P49)-O49)-E49&gt;G49,"",-((#REF!*3*P49)-O49)-E49),IF(#REF!="MIN",IF(-((#REF!*3*P49)-O49)&gt;G49,"",-((#REF!*3*P49)-O49)),"")))</f>
        <v>#REF!</v>
      </c>
      <c r="Z49" s="97">
        <f t="shared" si="13"/>
        <v>0.39200000000000002</v>
      </c>
      <c r="AA49" s="97" t="str">
        <f t="shared" si="9"/>
        <v/>
      </c>
      <c r="AB49" s="98"/>
      <c r="AC49" s="99" t="str">
        <f t="shared" si="14"/>
        <v/>
      </c>
      <c r="AD49" s="100"/>
      <c r="AE49" s="101"/>
      <c r="AF49" s="101"/>
      <c r="AG49" s="102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</row>
    <row r="50" spans="2:66" ht="19.149999999999999" customHeight="1">
      <c r="B50" s="84" t="s">
        <v>229</v>
      </c>
      <c r="C50" s="40" t="s">
        <v>234</v>
      </c>
      <c r="D50" s="85" t="s">
        <v>57</v>
      </c>
      <c r="E50" s="86">
        <v>0.39200000000000002</v>
      </c>
      <c r="F50" s="87">
        <v>0.03</v>
      </c>
      <c r="G50" s="87">
        <v>-0.03</v>
      </c>
      <c r="H50" s="88" t="s">
        <v>58</v>
      </c>
      <c r="I50" s="89"/>
      <c r="J50" s="90">
        <f t="shared" si="10"/>
        <v>0.42200000000000004</v>
      </c>
      <c r="K50" s="90">
        <f t="shared" si="11"/>
        <v>0.36199999999999999</v>
      </c>
      <c r="L50" s="91"/>
      <c r="M50" s="92">
        <f t="shared" si="0"/>
        <v>0</v>
      </c>
      <c r="N50" s="92">
        <f t="shared" si="1"/>
        <v>0</v>
      </c>
      <c r="O50" s="92">
        <f t="shared" si="2"/>
        <v>0</v>
      </c>
      <c r="P50" s="93">
        <f t="shared" si="3"/>
        <v>0</v>
      </c>
      <c r="Q50" s="94" t="str">
        <f t="shared" si="4"/>
        <v/>
      </c>
      <c r="R50" s="95" t="str">
        <f>IF(OR($AI50="",ISNUMBER($AI50)=FALSE),"",IF(AND(#REF!="Tolerance",$E50&lt;&gt;""),($O50-$E50)/(($J50-$K50)/2),IF(AND(#REF!="GD&amp;T",$F50&lt;&gt;""),$O50/$F50,"")))</f>
        <v/>
      </c>
      <c r="S50" s="95" t="str">
        <f t="shared" si="12"/>
        <v/>
      </c>
      <c r="T50" s="94" t="str">
        <f t="shared" si="5"/>
        <v/>
      </c>
      <c r="U50" s="94" t="str">
        <f t="shared" si="6"/>
        <v/>
      </c>
      <c r="V50" s="94" t="str">
        <f t="shared" si="7"/>
        <v/>
      </c>
      <c r="W50" s="96" t="str">
        <f t="shared" si="8"/>
        <v/>
      </c>
      <c r="X50" s="97" t="e">
        <f>IF($O50="","",IF(#REF!="Tolerance",IF((#REF!*3*P50+O50)-E50&lt;F50,"",(#REF!*3*P50+O50)-E50),IF(OR(#REF!="GD&amp;T",#REF!="MAX"),IF((#REF!*3*P50+O50)&lt;F50,"",(#REF!*3*P50+O50)),"")))</f>
        <v>#REF!</v>
      </c>
      <c r="Y50" s="97" t="e">
        <f>IF(O50="","",IF(#REF!="Tolerance",IF(-((#REF!*3*P50)-O50)-E50&gt;G50,"",-((#REF!*3*P50)-O50)-E50),IF(#REF!="MIN",IF(-((#REF!*3*P50)-O50)&gt;G50,"",-((#REF!*3*P50)-O50)),"")))</f>
        <v>#REF!</v>
      </c>
      <c r="Z50" s="97">
        <f t="shared" si="13"/>
        <v>0.39200000000000002</v>
      </c>
      <c r="AA50" s="97" t="str">
        <f t="shared" si="9"/>
        <v/>
      </c>
      <c r="AB50" s="98"/>
      <c r="AC50" s="99" t="str">
        <f t="shared" si="14"/>
        <v/>
      </c>
      <c r="AD50" s="100"/>
      <c r="AE50" s="101"/>
      <c r="AF50" s="101"/>
      <c r="AG50" s="102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3"/>
      <c r="BN50" s="103"/>
    </row>
    <row r="51" spans="2:66" ht="19.149999999999999" customHeight="1">
      <c r="B51" s="84" t="s">
        <v>229</v>
      </c>
      <c r="C51" s="40" t="s">
        <v>235</v>
      </c>
      <c r="D51" s="85" t="s">
        <v>57</v>
      </c>
      <c r="E51" s="86">
        <v>0.39200000000000002</v>
      </c>
      <c r="F51" s="87">
        <v>0.03</v>
      </c>
      <c r="G51" s="87">
        <v>-0.03</v>
      </c>
      <c r="H51" s="88" t="s">
        <v>58</v>
      </c>
      <c r="I51" s="89"/>
      <c r="J51" s="90">
        <f t="shared" si="10"/>
        <v>0.42200000000000004</v>
      </c>
      <c r="K51" s="90">
        <f t="shared" si="11"/>
        <v>0.36199999999999999</v>
      </c>
      <c r="L51" s="91"/>
      <c r="M51" s="92">
        <f t="shared" si="0"/>
        <v>0</v>
      </c>
      <c r="N51" s="92">
        <f t="shared" si="1"/>
        <v>0</v>
      </c>
      <c r="O51" s="92">
        <f t="shared" si="2"/>
        <v>0</v>
      </c>
      <c r="P51" s="93">
        <f>IF(OR($AI51=ISBLANK(TRUE),ISNUMBER($AI51)=FALSE),,STDEV(AI51:BN51))</f>
        <v>0</v>
      </c>
      <c r="Q51" s="94" t="str">
        <f t="shared" si="4"/>
        <v/>
      </c>
      <c r="R51" s="95" t="str">
        <f>IF(OR($AI51="",ISNUMBER($AI51)=FALSE),"",IF(AND(#REF!="Tolerance",$E51&lt;&gt;""),($O51-$E51)/(($J51-$K51)/2),IF(AND(#REF!="GD&amp;T",$F51&lt;&gt;""),$O51/$F51,"")))</f>
        <v/>
      </c>
      <c r="S51" s="95" t="str">
        <f t="shared" si="12"/>
        <v/>
      </c>
      <c r="T51" s="94" t="str">
        <f t="shared" si="5"/>
        <v/>
      </c>
      <c r="U51" s="94" t="str">
        <f t="shared" si="6"/>
        <v/>
      </c>
      <c r="V51" s="94" t="str">
        <f t="shared" si="7"/>
        <v/>
      </c>
      <c r="W51" s="96" t="str">
        <f t="shared" si="8"/>
        <v/>
      </c>
      <c r="X51" s="97" t="e">
        <f>IF($O51="","",IF(#REF!="Tolerance",IF((#REF!*3*P51+O51)-E51&lt;F51,"",(#REF!*3*P51+O51)-E51),IF(OR(#REF!="GD&amp;T",#REF!="MAX"),IF((#REF!*3*P51+O51)&lt;F51,"",(#REF!*3*P51+O51)),"")))</f>
        <v>#REF!</v>
      </c>
      <c r="Y51" s="97" t="e">
        <f>IF(O51="","",IF(#REF!="Tolerance",IF(-((#REF!*3*P51)-O51)-E51&gt;G51,"",-((#REF!*3*P51)-O51)-E51),IF(#REF!="MIN",IF(-((#REF!*3*P51)-O51)&gt;G51,"",-((#REF!*3*P51)-O51)),"")))</f>
        <v>#REF!</v>
      </c>
      <c r="Z51" s="97">
        <f t="shared" si="13"/>
        <v>0.39200000000000002</v>
      </c>
      <c r="AA51" s="97" t="str">
        <f t="shared" si="9"/>
        <v/>
      </c>
      <c r="AB51" s="98"/>
      <c r="AC51" s="99" t="str">
        <f t="shared" si="14"/>
        <v/>
      </c>
      <c r="AD51" s="100"/>
      <c r="AE51" s="101"/>
      <c r="AF51" s="101"/>
      <c r="AG51" s="102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</row>
    <row r="52" spans="2:66" ht="19.149999999999999" customHeight="1">
      <c r="B52" s="84" t="s">
        <v>229</v>
      </c>
      <c r="C52" s="40" t="s">
        <v>236</v>
      </c>
      <c r="D52" s="85" t="s">
        <v>57</v>
      </c>
      <c r="E52" s="86">
        <v>0.39200000000000002</v>
      </c>
      <c r="F52" s="87">
        <v>0.03</v>
      </c>
      <c r="G52" s="87">
        <v>-0.03</v>
      </c>
      <c r="H52" s="88" t="s">
        <v>58</v>
      </c>
      <c r="I52" s="89"/>
      <c r="J52" s="90">
        <f t="shared" si="10"/>
        <v>0.42200000000000004</v>
      </c>
      <c r="K52" s="90">
        <f t="shared" si="11"/>
        <v>0.36199999999999999</v>
      </c>
      <c r="L52" s="91"/>
      <c r="M52" s="92">
        <f t="shared" si="0"/>
        <v>0</v>
      </c>
      <c r="N52" s="92">
        <f t="shared" si="1"/>
        <v>0</v>
      </c>
      <c r="O52" s="92">
        <f t="shared" si="2"/>
        <v>0</v>
      </c>
      <c r="P52" s="93">
        <f t="shared" ref="P52:P62" si="15">IF(OR($AI52=ISBLANK(TRUE),ISNUMBER($AI52)=FALSE),,STDEV(AI52:BN52))</f>
        <v>0</v>
      </c>
      <c r="Q52" s="94" t="str">
        <f t="shared" si="4"/>
        <v/>
      </c>
      <c r="R52" s="95" t="str">
        <f>IF(OR($AI52="",ISNUMBER($AI52)=FALSE),"",IF(AND(#REF!="Tolerance",$E52&lt;&gt;""),($O52-$E52)/(($J52-$K52)/2),IF(AND(#REF!="GD&amp;T",$F52&lt;&gt;""),$O52/$F52,"")))</f>
        <v/>
      </c>
      <c r="S52" s="95" t="str">
        <f t="shared" si="12"/>
        <v/>
      </c>
      <c r="T52" s="94" t="str">
        <f t="shared" si="5"/>
        <v/>
      </c>
      <c r="U52" s="94" t="str">
        <f t="shared" si="6"/>
        <v/>
      </c>
      <c r="V52" s="94" t="str">
        <f t="shared" si="7"/>
        <v/>
      </c>
      <c r="W52" s="96" t="str">
        <f t="shared" si="8"/>
        <v/>
      </c>
      <c r="X52" s="97" t="e">
        <f>IF($O52="","",IF(#REF!="Tolerance",IF((#REF!*3*P52+O52)-E52&lt;F52,"",(#REF!*3*P52+O52)-E52),IF(OR(#REF!="GD&amp;T",#REF!="MAX"),IF((#REF!*3*P52+O52)&lt;F52,"",(#REF!*3*P52+O52)),"")))</f>
        <v>#REF!</v>
      </c>
      <c r="Y52" s="97" t="e">
        <f>IF(O52="","",IF(#REF!="Tolerance",IF(-((#REF!*3*P52)-O52)-E52&gt;G52,"",-((#REF!*3*P52)-O52)-E52),IF(#REF!="MIN",IF(-((#REF!*3*P52)-O52)&gt;G52,"",-((#REF!*3*P52)-O52)),"")))</f>
        <v>#REF!</v>
      </c>
      <c r="Z52" s="97">
        <f t="shared" si="13"/>
        <v>0.39200000000000002</v>
      </c>
      <c r="AA52" s="97" t="str">
        <f t="shared" si="9"/>
        <v/>
      </c>
      <c r="AB52" s="98"/>
      <c r="AC52" s="99" t="str">
        <f t="shared" si="14"/>
        <v/>
      </c>
      <c r="AD52" s="100"/>
      <c r="AE52" s="101"/>
      <c r="AF52" s="101"/>
      <c r="AG52" s="102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3"/>
      <c r="BN52" s="103"/>
    </row>
    <row r="53" spans="2:66" ht="19.149999999999999" customHeight="1">
      <c r="B53" s="84" t="s">
        <v>229</v>
      </c>
      <c r="C53" s="40" t="s">
        <v>237</v>
      </c>
      <c r="D53" s="85" t="s">
        <v>57</v>
      </c>
      <c r="E53" s="86">
        <v>0.39200000000000002</v>
      </c>
      <c r="F53" s="87">
        <v>0.03</v>
      </c>
      <c r="G53" s="87">
        <v>-0.03</v>
      </c>
      <c r="H53" s="88" t="s">
        <v>58</v>
      </c>
      <c r="I53" s="89"/>
      <c r="J53" s="90">
        <f t="shared" si="10"/>
        <v>0.42200000000000004</v>
      </c>
      <c r="K53" s="90">
        <f t="shared" si="11"/>
        <v>0.36199999999999999</v>
      </c>
      <c r="L53" s="91"/>
      <c r="M53" s="92">
        <f t="shared" si="0"/>
        <v>0</v>
      </c>
      <c r="N53" s="92">
        <f t="shared" si="1"/>
        <v>0</v>
      </c>
      <c r="O53" s="92">
        <f t="shared" si="2"/>
        <v>0</v>
      </c>
      <c r="P53" s="93">
        <f t="shared" si="15"/>
        <v>0</v>
      </c>
      <c r="Q53" s="94" t="str">
        <f t="shared" si="4"/>
        <v/>
      </c>
      <c r="R53" s="95" t="str">
        <f>IF(OR($AI53="",ISNUMBER($AI53)=FALSE),"",IF(AND(#REF!="Tolerance",$E53&lt;&gt;""),($O53-$E53)/(($J53-$K53)/2),IF(AND(#REF!="GD&amp;T",$F53&lt;&gt;""),$O53/$F53,"")))</f>
        <v/>
      </c>
      <c r="S53" s="95" t="str">
        <f t="shared" si="12"/>
        <v/>
      </c>
      <c r="T53" s="94" t="str">
        <f t="shared" si="5"/>
        <v/>
      </c>
      <c r="U53" s="94" t="str">
        <f t="shared" si="6"/>
        <v/>
      </c>
      <c r="V53" s="94" t="str">
        <f t="shared" si="7"/>
        <v/>
      </c>
      <c r="W53" s="96" t="str">
        <f t="shared" si="8"/>
        <v/>
      </c>
      <c r="X53" s="97" t="e">
        <f>IF($O53="","",IF(#REF!="Tolerance",IF((#REF!*3*P53+O53)-E53&lt;F53,"",(#REF!*3*P53+O53)-E53),IF(OR(#REF!="GD&amp;T",#REF!="MAX"),IF((#REF!*3*P53+O53)&lt;F53,"",(#REF!*3*P53+O53)),"")))</f>
        <v>#REF!</v>
      </c>
      <c r="Y53" s="97" t="e">
        <f>IF(O53="","",IF(#REF!="Tolerance",IF(-((#REF!*3*P53)-O53)-E53&gt;G53,"",-((#REF!*3*P53)-O53)-E53),IF(#REF!="MIN",IF(-((#REF!*3*P53)-O53)&gt;G53,"",-((#REF!*3*P53)-O53)),"")))</f>
        <v>#REF!</v>
      </c>
      <c r="Z53" s="97">
        <f t="shared" si="13"/>
        <v>0.39200000000000002</v>
      </c>
      <c r="AA53" s="97" t="str">
        <f t="shared" si="9"/>
        <v/>
      </c>
      <c r="AB53" s="98"/>
      <c r="AC53" s="99" t="str">
        <f t="shared" si="14"/>
        <v/>
      </c>
      <c r="AD53" s="100"/>
      <c r="AE53" s="101"/>
      <c r="AF53" s="101"/>
      <c r="AG53" s="102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3"/>
      <c r="BN53" s="103"/>
    </row>
    <row r="54" spans="2:66" ht="19.149999999999999" customHeight="1">
      <c r="B54" s="84" t="s">
        <v>229</v>
      </c>
      <c r="C54" s="40" t="s">
        <v>238</v>
      </c>
      <c r="D54" s="85" t="s">
        <v>57</v>
      </c>
      <c r="E54" s="86">
        <v>0.39200000000000002</v>
      </c>
      <c r="F54" s="87">
        <v>0.03</v>
      </c>
      <c r="G54" s="87">
        <v>-0.03</v>
      </c>
      <c r="H54" s="88" t="s">
        <v>58</v>
      </c>
      <c r="I54" s="89"/>
      <c r="J54" s="90">
        <f t="shared" si="10"/>
        <v>0.42200000000000004</v>
      </c>
      <c r="K54" s="90">
        <f t="shared" si="11"/>
        <v>0.36199999999999999</v>
      </c>
      <c r="L54" s="91"/>
      <c r="M54" s="92">
        <f t="shared" si="0"/>
        <v>0</v>
      </c>
      <c r="N54" s="92">
        <f t="shared" si="1"/>
        <v>0</v>
      </c>
      <c r="O54" s="92">
        <f t="shared" si="2"/>
        <v>0</v>
      </c>
      <c r="P54" s="93">
        <f t="shared" si="15"/>
        <v>0</v>
      </c>
      <c r="Q54" s="94" t="str">
        <f t="shared" si="4"/>
        <v/>
      </c>
      <c r="R54" s="95" t="str">
        <f>IF(OR($AI54="",ISNUMBER($AI54)=FALSE),"",IF(AND(#REF!="Tolerance",$E54&lt;&gt;""),($O54-$E54)/(($J54-$K54)/2),IF(AND(#REF!="GD&amp;T",$F54&lt;&gt;""),$O54/$F54,"")))</f>
        <v/>
      </c>
      <c r="S54" s="95" t="str">
        <f t="shared" si="12"/>
        <v/>
      </c>
      <c r="T54" s="94" t="str">
        <f t="shared" si="5"/>
        <v/>
      </c>
      <c r="U54" s="94" t="str">
        <f t="shared" si="6"/>
        <v/>
      </c>
      <c r="V54" s="94" t="str">
        <f t="shared" si="7"/>
        <v/>
      </c>
      <c r="W54" s="96" t="str">
        <f t="shared" si="8"/>
        <v/>
      </c>
      <c r="X54" s="97" t="e">
        <f>IF($O54="","",IF(#REF!="Tolerance",IF((#REF!*3*P54+O54)-E54&lt;F54,"",(#REF!*3*P54+O54)-E54),IF(OR(#REF!="GD&amp;T",#REF!="MAX"),IF((#REF!*3*P54+O54)&lt;F54,"",(#REF!*3*P54+O54)),"")))</f>
        <v>#REF!</v>
      </c>
      <c r="Y54" s="97" t="e">
        <f>IF(O54="","",IF(#REF!="Tolerance",IF(-((#REF!*3*P54)-O54)-E54&gt;G54,"",-((#REF!*3*P54)-O54)-E54),IF(#REF!="MIN",IF(-((#REF!*3*P54)-O54)&gt;G54,"",-((#REF!*3*P54)-O54)),"")))</f>
        <v>#REF!</v>
      </c>
      <c r="Z54" s="97">
        <f t="shared" si="13"/>
        <v>0.39200000000000002</v>
      </c>
      <c r="AA54" s="97" t="str">
        <f t="shared" si="9"/>
        <v/>
      </c>
      <c r="AB54" s="98"/>
      <c r="AC54" s="99" t="str">
        <f t="shared" si="14"/>
        <v/>
      </c>
      <c r="AD54" s="100"/>
      <c r="AE54" s="101"/>
      <c r="AF54" s="101"/>
      <c r="AG54" s="102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</row>
    <row r="55" spans="2:66" ht="19.149999999999999" customHeight="1">
      <c r="B55" s="84" t="s">
        <v>229</v>
      </c>
      <c r="C55" s="40" t="s">
        <v>239</v>
      </c>
      <c r="D55" s="85" t="s">
        <v>57</v>
      </c>
      <c r="E55" s="86">
        <v>0.39200000000000002</v>
      </c>
      <c r="F55" s="87">
        <v>0.03</v>
      </c>
      <c r="G55" s="87">
        <v>-0.03</v>
      </c>
      <c r="H55" s="88" t="s">
        <v>58</v>
      </c>
      <c r="I55" s="89"/>
      <c r="J55" s="90">
        <f t="shared" si="10"/>
        <v>0.42200000000000004</v>
      </c>
      <c r="K55" s="90">
        <f t="shared" si="11"/>
        <v>0.36199999999999999</v>
      </c>
      <c r="L55" s="91"/>
      <c r="M55" s="92">
        <f t="shared" si="0"/>
        <v>0</v>
      </c>
      <c r="N55" s="92">
        <f t="shared" si="1"/>
        <v>0</v>
      </c>
      <c r="O55" s="92">
        <f t="shared" si="2"/>
        <v>0</v>
      </c>
      <c r="P55" s="93">
        <f t="shared" si="15"/>
        <v>0</v>
      </c>
      <c r="Q55" s="94" t="str">
        <f t="shared" si="4"/>
        <v/>
      </c>
      <c r="R55" s="95" t="str">
        <f>IF(OR($AI55="",ISNUMBER($AI55)=FALSE),"",IF(AND(#REF!="Tolerance",$E55&lt;&gt;""),($O55-$E55)/(($J55-$K55)/2),IF(AND(#REF!="GD&amp;T",$F55&lt;&gt;""),$O55/$F55,"")))</f>
        <v/>
      </c>
      <c r="S55" s="95" t="str">
        <f t="shared" si="12"/>
        <v/>
      </c>
      <c r="T55" s="94" t="str">
        <f t="shared" si="5"/>
        <v/>
      </c>
      <c r="U55" s="94" t="str">
        <f t="shared" si="6"/>
        <v/>
      </c>
      <c r="V55" s="94" t="str">
        <f t="shared" si="7"/>
        <v/>
      </c>
      <c r="W55" s="96" t="str">
        <f t="shared" si="8"/>
        <v/>
      </c>
      <c r="X55" s="97" t="e">
        <f>IF($O55="","",IF(#REF!="Tolerance",IF((#REF!*3*P55+O55)-E55&lt;F55,"",(#REF!*3*P55+O55)-E55),IF(OR(#REF!="GD&amp;T",#REF!="MAX"),IF((#REF!*3*P55+O55)&lt;F55,"",(#REF!*3*P55+O55)),"")))</f>
        <v>#REF!</v>
      </c>
      <c r="Y55" s="97" t="e">
        <f>IF(O55="","",IF(#REF!="Tolerance",IF(-((#REF!*3*P55)-O55)-E55&gt;G55,"",-((#REF!*3*P55)-O55)-E55),IF(#REF!="MIN",IF(-((#REF!*3*P55)-O55)&gt;G55,"",-((#REF!*3*P55)-O55)),"")))</f>
        <v>#REF!</v>
      </c>
      <c r="Z55" s="97">
        <f t="shared" si="13"/>
        <v>0.39200000000000002</v>
      </c>
      <c r="AA55" s="97" t="str">
        <f t="shared" si="9"/>
        <v/>
      </c>
      <c r="AB55" s="98"/>
      <c r="AC55" s="99" t="str">
        <f t="shared" si="14"/>
        <v/>
      </c>
      <c r="AD55" s="100"/>
      <c r="AE55" s="101"/>
      <c r="AF55" s="101"/>
      <c r="AG55" s="102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3"/>
      <c r="BN55" s="103"/>
    </row>
    <row r="56" spans="2:66" ht="19.149999999999999" customHeight="1">
      <c r="B56" s="84" t="s">
        <v>229</v>
      </c>
      <c r="C56" s="40" t="s">
        <v>240</v>
      </c>
      <c r="D56" s="85" t="s">
        <v>57</v>
      </c>
      <c r="E56" s="86">
        <v>0.39200000000000002</v>
      </c>
      <c r="F56" s="87">
        <v>0.03</v>
      </c>
      <c r="G56" s="87">
        <v>-0.03</v>
      </c>
      <c r="H56" s="88" t="s">
        <v>58</v>
      </c>
      <c r="I56" s="89"/>
      <c r="J56" s="90">
        <f t="shared" si="10"/>
        <v>0.42200000000000004</v>
      </c>
      <c r="K56" s="90">
        <f t="shared" si="11"/>
        <v>0.36199999999999999</v>
      </c>
      <c r="L56" s="91"/>
      <c r="M56" s="92">
        <f t="shared" si="0"/>
        <v>0</v>
      </c>
      <c r="N56" s="92">
        <f t="shared" si="1"/>
        <v>0</v>
      </c>
      <c r="O56" s="92">
        <f t="shared" si="2"/>
        <v>0</v>
      </c>
      <c r="P56" s="93">
        <f t="shared" si="15"/>
        <v>0</v>
      </c>
      <c r="Q56" s="94" t="str">
        <f t="shared" si="4"/>
        <v/>
      </c>
      <c r="R56" s="95" t="str">
        <f>IF(OR($AI56="",ISNUMBER($AI56)=FALSE),"",IF(AND(#REF!="Tolerance",$E56&lt;&gt;""),($O56-$E56)/(($J56-$K56)/2),IF(AND(#REF!="GD&amp;T",$F56&lt;&gt;""),$O56/$F56,"")))</f>
        <v/>
      </c>
      <c r="S56" s="95" t="str">
        <f t="shared" si="12"/>
        <v/>
      </c>
      <c r="T56" s="94" t="str">
        <f t="shared" si="5"/>
        <v/>
      </c>
      <c r="U56" s="94" t="str">
        <f t="shared" si="6"/>
        <v/>
      </c>
      <c r="V56" s="94" t="str">
        <f t="shared" si="7"/>
        <v/>
      </c>
      <c r="W56" s="96" t="str">
        <f t="shared" si="8"/>
        <v/>
      </c>
      <c r="X56" s="97" t="e">
        <f>IF($O56="","",IF(#REF!="Tolerance",IF((#REF!*3*P56+O56)-E56&lt;F56,"",(#REF!*3*P56+O56)-E56),IF(OR(#REF!="GD&amp;T",#REF!="MAX"),IF((#REF!*3*P56+O56)&lt;F56,"",(#REF!*3*P56+O56)),"")))</f>
        <v>#REF!</v>
      </c>
      <c r="Y56" s="97" t="e">
        <f>IF(O56="","",IF(#REF!="Tolerance",IF(-((#REF!*3*P56)-O56)-E56&gt;G56,"",-((#REF!*3*P56)-O56)-E56),IF(#REF!="MIN",IF(-((#REF!*3*P56)-O56)&gt;G56,"",-((#REF!*3*P56)-O56)),"")))</f>
        <v>#REF!</v>
      </c>
      <c r="Z56" s="97">
        <f t="shared" si="13"/>
        <v>0.39200000000000002</v>
      </c>
      <c r="AA56" s="97" t="str">
        <f t="shared" si="9"/>
        <v/>
      </c>
      <c r="AB56" s="98"/>
      <c r="AC56" s="99" t="str">
        <f t="shared" si="14"/>
        <v/>
      </c>
      <c r="AD56" s="100"/>
      <c r="AE56" s="101"/>
      <c r="AF56" s="101"/>
      <c r="AG56" s="102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</row>
    <row r="57" spans="2:66" ht="19.149999999999999" customHeight="1">
      <c r="B57" s="84" t="s">
        <v>229</v>
      </c>
      <c r="C57" s="40" t="s">
        <v>241</v>
      </c>
      <c r="D57" s="85" t="s">
        <v>57</v>
      </c>
      <c r="E57" s="86">
        <v>0.39200000000000002</v>
      </c>
      <c r="F57" s="87">
        <v>0.03</v>
      </c>
      <c r="G57" s="87">
        <v>-0.03</v>
      </c>
      <c r="H57" s="88" t="s">
        <v>58</v>
      </c>
      <c r="I57" s="89"/>
      <c r="J57" s="90">
        <f t="shared" si="10"/>
        <v>0.42200000000000004</v>
      </c>
      <c r="K57" s="90">
        <f t="shared" si="11"/>
        <v>0.36199999999999999</v>
      </c>
      <c r="L57" s="91"/>
      <c r="M57" s="92">
        <f t="shared" si="0"/>
        <v>0</v>
      </c>
      <c r="N57" s="92">
        <f t="shared" si="1"/>
        <v>0</v>
      </c>
      <c r="O57" s="92">
        <f t="shared" si="2"/>
        <v>0</v>
      </c>
      <c r="P57" s="93">
        <f t="shared" si="15"/>
        <v>0</v>
      </c>
      <c r="Q57" s="94" t="str">
        <f t="shared" si="4"/>
        <v/>
      </c>
      <c r="R57" s="95" t="str">
        <f>IF(OR($AI57="",ISNUMBER($AI57)=FALSE),"",IF(AND(#REF!="Tolerance",$E57&lt;&gt;""),($O57-$E57)/(($J57-$K57)/2),IF(AND(#REF!="GD&amp;T",$F57&lt;&gt;""),$O57/$F57,"")))</f>
        <v/>
      </c>
      <c r="S57" s="95" t="str">
        <f t="shared" si="12"/>
        <v/>
      </c>
      <c r="T57" s="94" t="str">
        <f t="shared" si="5"/>
        <v/>
      </c>
      <c r="U57" s="94" t="str">
        <f t="shared" si="6"/>
        <v/>
      </c>
      <c r="V57" s="94" t="str">
        <f t="shared" si="7"/>
        <v/>
      </c>
      <c r="W57" s="96" t="str">
        <f t="shared" si="8"/>
        <v/>
      </c>
      <c r="X57" s="97" t="e">
        <f>IF($O57="","",IF(#REF!="Tolerance",IF((#REF!*3*P57+O57)-E57&lt;F57,"",(#REF!*3*P57+O57)-E57),IF(OR(#REF!="GD&amp;T",#REF!="MAX"),IF((#REF!*3*P57+O57)&lt;F57,"",(#REF!*3*P57+O57)),"")))</f>
        <v>#REF!</v>
      </c>
      <c r="Y57" s="97" t="e">
        <f>IF(O57="","",IF(#REF!="Tolerance",IF(-((#REF!*3*P57)-O57)-E57&gt;G57,"",-((#REF!*3*P57)-O57)-E57),IF(#REF!="MIN",IF(-((#REF!*3*P57)-O57)&gt;G57,"",-((#REF!*3*P57)-O57)),"")))</f>
        <v>#REF!</v>
      </c>
      <c r="Z57" s="97">
        <f t="shared" si="13"/>
        <v>0.39200000000000002</v>
      </c>
      <c r="AA57" s="97" t="str">
        <f t="shared" si="9"/>
        <v/>
      </c>
      <c r="AB57" s="98"/>
      <c r="AC57" s="99" t="str">
        <f t="shared" si="14"/>
        <v/>
      </c>
      <c r="AD57" s="100"/>
      <c r="AE57" s="101"/>
      <c r="AF57" s="101"/>
      <c r="AG57" s="102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</row>
    <row r="58" spans="2:66" ht="19.149999999999999" customHeight="1">
      <c r="B58" s="84" t="s">
        <v>229</v>
      </c>
      <c r="C58" s="40" t="s">
        <v>242</v>
      </c>
      <c r="D58" s="85" t="s">
        <v>57</v>
      </c>
      <c r="E58" s="86">
        <v>0.39200000000000002</v>
      </c>
      <c r="F58" s="87">
        <v>0.03</v>
      </c>
      <c r="G58" s="87">
        <v>-0.03</v>
      </c>
      <c r="H58" s="88" t="s">
        <v>58</v>
      </c>
      <c r="I58" s="89"/>
      <c r="J58" s="90">
        <f t="shared" si="10"/>
        <v>0.42200000000000004</v>
      </c>
      <c r="K58" s="90">
        <f t="shared" si="11"/>
        <v>0.36199999999999999</v>
      </c>
      <c r="L58" s="91"/>
      <c r="M58" s="92">
        <f t="shared" si="0"/>
        <v>0</v>
      </c>
      <c r="N58" s="92">
        <f t="shared" si="1"/>
        <v>0</v>
      </c>
      <c r="O58" s="92">
        <f t="shared" si="2"/>
        <v>0</v>
      </c>
      <c r="P58" s="93">
        <f t="shared" si="15"/>
        <v>0</v>
      </c>
      <c r="Q58" s="94" t="str">
        <f t="shared" si="4"/>
        <v/>
      </c>
      <c r="R58" s="95" t="str">
        <f>IF(OR($AI58="",ISNUMBER($AI58)=FALSE),"",IF(AND(#REF!="Tolerance",$E58&lt;&gt;""),($O58-$E58)/(($J58-$K58)/2),IF(AND(#REF!="GD&amp;T",$F58&lt;&gt;""),$O58/$F58,"")))</f>
        <v/>
      </c>
      <c r="S58" s="95" t="str">
        <f t="shared" si="12"/>
        <v/>
      </c>
      <c r="T58" s="94" t="str">
        <f t="shared" si="5"/>
        <v/>
      </c>
      <c r="U58" s="94" t="str">
        <f t="shared" si="6"/>
        <v/>
      </c>
      <c r="V58" s="94" t="str">
        <f t="shared" si="7"/>
        <v/>
      </c>
      <c r="W58" s="96" t="str">
        <f t="shared" si="8"/>
        <v/>
      </c>
      <c r="X58" s="97" t="e">
        <f>IF($O58="","",IF(#REF!="Tolerance",IF((#REF!*3*P58+O58)-E58&lt;F58,"",(#REF!*3*P58+O58)-E58),IF(OR(#REF!="GD&amp;T",#REF!="MAX"),IF((#REF!*3*P58+O58)&lt;F58,"",(#REF!*3*P58+O58)),"")))</f>
        <v>#REF!</v>
      </c>
      <c r="Y58" s="97" t="e">
        <f>IF(O58="","",IF(#REF!="Tolerance",IF(-((#REF!*3*P58)-O58)-E58&gt;G58,"",-((#REF!*3*P58)-O58)-E58),IF(#REF!="MIN",IF(-((#REF!*3*P58)-O58)&gt;G58,"",-((#REF!*3*P58)-O58)),"")))</f>
        <v>#REF!</v>
      </c>
      <c r="Z58" s="97">
        <f t="shared" si="13"/>
        <v>0.39200000000000002</v>
      </c>
      <c r="AA58" s="97" t="str">
        <f t="shared" si="9"/>
        <v/>
      </c>
      <c r="AB58" s="98"/>
      <c r="AC58" s="99" t="str">
        <f t="shared" si="14"/>
        <v/>
      </c>
      <c r="AD58" s="100"/>
      <c r="AE58" s="101"/>
      <c r="AF58" s="101"/>
      <c r="AG58" s="102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</row>
    <row r="59" spans="2:66" ht="19.149999999999999" customHeight="1">
      <c r="B59" s="84" t="s">
        <v>243</v>
      </c>
      <c r="C59" s="40" t="s">
        <v>147</v>
      </c>
      <c r="D59" s="85" t="s">
        <v>148</v>
      </c>
      <c r="E59" s="86">
        <v>0.15</v>
      </c>
      <c r="F59" s="87">
        <v>5.0000000000000001E-3</v>
      </c>
      <c r="G59" s="87">
        <v>-5.0000000000000001E-3</v>
      </c>
      <c r="H59" s="88" t="s">
        <v>149</v>
      </c>
      <c r="I59" s="89"/>
      <c r="J59" s="90">
        <f t="shared" si="10"/>
        <v>0.155</v>
      </c>
      <c r="K59" s="90">
        <f t="shared" si="11"/>
        <v>0.14499999999999999</v>
      </c>
      <c r="L59" s="91"/>
      <c r="M59" s="92">
        <f t="shared" si="0"/>
        <v>0</v>
      </c>
      <c r="N59" s="92">
        <f t="shared" si="1"/>
        <v>0</v>
      </c>
      <c r="O59" s="92">
        <f t="shared" si="2"/>
        <v>0</v>
      </c>
      <c r="P59" s="93">
        <f t="shared" si="15"/>
        <v>0</v>
      </c>
      <c r="Q59" s="94" t="str">
        <f t="shared" si="4"/>
        <v/>
      </c>
      <c r="R59" s="95" t="str">
        <f>IF(OR($AI59="",ISNUMBER($AI59)=FALSE),"",IF(AND(#REF!="Tolerance",$E59&lt;&gt;""),($O59-$E59)/(($J59-$K59)/2),IF(AND(#REF!="GD&amp;T",$F59&lt;&gt;""),$O59/$F59,"")))</f>
        <v/>
      </c>
      <c r="S59" s="95" t="str">
        <f t="shared" si="12"/>
        <v/>
      </c>
      <c r="T59" s="94" t="str">
        <f t="shared" si="5"/>
        <v/>
      </c>
      <c r="U59" s="94" t="str">
        <f t="shared" si="6"/>
        <v/>
      </c>
      <c r="V59" s="94" t="str">
        <f t="shared" si="7"/>
        <v/>
      </c>
      <c r="W59" s="96" t="str">
        <f t="shared" si="8"/>
        <v/>
      </c>
      <c r="X59" s="97" t="e">
        <f>IF($O59="","",IF(#REF!="Tolerance",IF((#REF!*3*P59+O59)-E59&lt;F59,"",(#REF!*3*P59+O59)-E59),IF(OR(#REF!="GD&amp;T",#REF!="MAX"),IF((#REF!*3*P59+O59)&lt;F59,"",(#REF!*3*P59+O59)),"")))</f>
        <v>#REF!</v>
      </c>
      <c r="Y59" s="97" t="e">
        <f>IF(O59="","",IF(#REF!="Tolerance",IF(-((#REF!*3*P59)-O59)-E59&gt;G59,"",-((#REF!*3*P59)-O59)-E59),IF(#REF!="MIN",IF(-((#REF!*3*P59)-O59)&gt;G59,"",-((#REF!*3*P59)-O59)),"")))</f>
        <v>#REF!</v>
      </c>
      <c r="Z59" s="97">
        <f t="shared" si="13"/>
        <v>0.15</v>
      </c>
      <c r="AA59" s="97" t="str">
        <f t="shared" si="9"/>
        <v/>
      </c>
      <c r="AB59" s="98"/>
      <c r="AC59" s="99" t="str">
        <f t="shared" si="14"/>
        <v/>
      </c>
      <c r="AD59" s="100"/>
      <c r="AE59" s="101"/>
      <c r="AF59" s="101"/>
      <c r="AG59" s="102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</row>
    <row r="60" spans="2:66" ht="19.149999999999999" customHeight="1">
      <c r="B60" s="84" t="s">
        <v>244</v>
      </c>
      <c r="C60" s="40" t="s">
        <v>150</v>
      </c>
      <c r="D60" s="85" t="s">
        <v>148</v>
      </c>
      <c r="E60" s="86">
        <v>0.15</v>
      </c>
      <c r="F60" s="87">
        <v>5.0000000000000001E-3</v>
      </c>
      <c r="G60" s="87">
        <v>-5.0000000000000001E-3</v>
      </c>
      <c r="H60" s="88" t="s">
        <v>149</v>
      </c>
      <c r="I60" s="89"/>
      <c r="J60" s="90">
        <f t="shared" si="10"/>
        <v>0.155</v>
      </c>
      <c r="K60" s="90">
        <f t="shared" si="11"/>
        <v>0.14499999999999999</v>
      </c>
      <c r="L60" s="91"/>
      <c r="M60" s="92">
        <f t="shared" si="0"/>
        <v>0</v>
      </c>
      <c r="N60" s="92">
        <f t="shared" si="1"/>
        <v>0</v>
      </c>
      <c r="O60" s="92">
        <f t="shared" si="2"/>
        <v>0</v>
      </c>
      <c r="P60" s="93">
        <f t="shared" si="15"/>
        <v>0</v>
      </c>
      <c r="Q60" s="94" t="str">
        <f t="shared" si="4"/>
        <v/>
      </c>
      <c r="R60" s="95" t="str">
        <f>IF(OR($AI60="",ISNUMBER($AI60)=FALSE),"",IF(AND(#REF!="Tolerance",$E60&lt;&gt;""),($O60-$E60)/(($J60-$K60)/2),IF(AND(#REF!="GD&amp;T",$F60&lt;&gt;""),$O60/$F60,"")))</f>
        <v/>
      </c>
      <c r="S60" s="95" t="str">
        <f t="shared" si="12"/>
        <v/>
      </c>
      <c r="T60" s="94" t="str">
        <f t="shared" si="5"/>
        <v/>
      </c>
      <c r="U60" s="94" t="str">
        <f t="shared" si="6"/>
        <v/>
      </c>
      <c r="V60" s="94" t="str">
        <f t="shared" si="7"/>
        <v/>
      </c>
      <c r="W60" s="96" t="str">
        <f t="shared" si="8"/>
        <v/>
      </c>
      <c r="X60" s="97" t="e">
        <f>IF($O60="","",IF(#REF!="Tolerance",IF((#REF!*3*P60+O60)-E60&lt;F60,"",(#REF!*3*P60+O60)-E60),IF(OR(#REF!="GD&amp;T",#REF!="MAX"),IF((#REF!*3*P60+O60)&lt;F60,"",(#REF!*3*P60+O60)),"")))</f>
        <v>#REF!</v>
      </c>
      <c r="Y60" s="97" t="e">
        <f>IF(O60="","",IF(#REF!="Tolerance",IF(-((#REF!*3*P60)-O60)-E60&gt;G60,"",-((#REF!*3*P60)-O60)-E60),IF(#REF!="MIN",IF(-((#REF!*3*P60)-O60)&gt;G60,"",-((#REF!*3*P60)-O60)),"")))</f>
        <v>#REF!</v>
      </c>
      <c r="Z60" s="97">
        <f t="shared" si="13"/>
        <v>0.15</v>
      </c>
      <c r="AA60" s="97" t="str">
        <f t="shared" si="9"/>
        <v/>
      </c>
      <c r="AB60" s="98"/>
      <c r="AC60" s="99" t="str">
        <f t="shared" si="14"/>
        <v/>
      </c>
      <c r="AD60" s="100"/>
      <c r="AE60" s="101"/>
      <c r="AF60" s="101"/>
      <c r="AG60" s="102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</row>
    <row r="61" spans="2:66" ht="19.149999999999999" customHeight="1">
      <c r="B61" s="84" t="s">
        <v>245</v>
      </c>
      <c r="C61" s="40" t="s">
        <v>153</v>
      </c>
      <c r="D61" s="85" t="s">
        <v>57</v>
      </c>
      <c r="E61" s="86">
        <v>0.8</v>
      </c>
      <c r="F61" s="87">
        <v>0.02</v>
      </c>
      <c r="G61" s="87">
        <v>-0.02</v>
      </c>
      <c r="H61" s="88" t="s">
        <v>58</v>
      </c>
      <c r="I61" s="89"/>
      <c r="J61" s="90">
        <f t="shared" si="10"/>
        <v>0.82000000000000006</v>
      </c>
      <c r="K61" s="90">
        <f t="shared" si="11"/>
        <v>0.78</v>
      </c>
      <c r="L61" s="91"/>
      <c r="M61" s="92">
        <f t="shared" si="0"/>
        <v>0</v>
      </c>
      <c r="N61" s="92">
        <f t="shared" si="1"/>
        <v>0</v>
      </c>
      <c r="O61" s="92">
        <f t="shared" si="2"/>
        <v>0</v>
      </c>
      <c r="P61" s="93">
        <f t="shared" si="15"/>
        <v>0</v>
      </c>
      <c r="Q61" s="94" t="str">
        <f t="shared" si="4"/>
        <v/>
      </c>
      <c r="R61" s="95" t="str">
        <f>IF(OR($AI61="",ISNUMBER($AI61)=FALSE),"",IF(AND(#REF!="Tolerance",$E61&lt;&gt;""),($O61-$E61)/(($J61-$K61)/2),IF(AND(#REF!="GD&amp;T",$F61&lt;&gt;""),$O61/$F61,"")))</f>
        <v/>
      </c>
      <c r="S61" s="95" t="str">
        <f t="shared" si="12"/>
        <v/>
      </c>
      <c r="T61" s="94" t="str">
        <f t="shared" si="5"/>
        <v/>
      </c>
      <c r="U61" s="94" t="str">
        <f t="shared" si="6"/>
        <v/>
      </c>
      <c r="V61" s="94" t="str">
        <f t="shared" si="7"/>
        <v/>
      </c>
      <c r="W61" s="96" t="str">
        <f t="shared" si="8"/>
        <v/>
      </c>
      <c r="X61" s="97" t="e">
        <f>IF($O61="","",IF(#REF!="Tolerance",IF((#REF!*3*P61+O61)-E61&lt;F61,"",(#REF!*3*P61+O61)-E61),IF(OR(#REF!="GD&amp;T",#REF!="MAX"),IF((#REF!*3*P61+O61)&lt;F61,"",(#REF!*3*P61+O61)),"")))</f>
        <v>#REF!</v>
      </c>
      <c r="Y61" s="97" t="e">
        <f>IF(O61="","",IF(#REF!="Tolerance",IF(-((#REF!*3*P61)-O61)-E61&gt;G61,"",-((#REF!*3*P61)-O61)-E61),IF(#REF!="MIN",IF(-((#REF!*3*P61)-O61)&gt;G61,"",-((#REF!*3*P61)-O61)),"")))</f>
        <v>#REF!</v>
      </c>
      <c r="Z61" s="97">
        <f t="shared" si="13"/>
        <v>0.8</v>
      </c>
      <c r="AA61" s="97" t="str">
        <f t="shared" si="9"/>
        <v/>
      </c>
      <c r="AB61" s="98"/>
      <c r="AC61" s="99" t="str">
        <f t="shared" si="14"/>
        <v/>
      </c>
      <c r="AD61" s="100"/>
      <c r="AE61" s="101"/>
      <c r="AF61" s="101"/>
      <c r="AG61" s="102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</row>
    <row r="62" spans="2:66" ht="19.149999999999999" customHeight="1">
      <c r="B62" s="105" t="s">
        <v>246</v>
      </c>
      <c r="C62" s="40" t="s">
        <v>154</v>
      </c>
      <c r="D62" s="85" t="s">
        <v>57</v>
      </c>
      <c r="E62" s="86">
        <v>0.8</v>
      </c>
      <c r="F62" s="87">
        <v>0.02</v>
      </c>
      <c r="G62" s="87">
        <v>-0.02</v>
      </c>
      <c r="H62" s="88" t="s">
        <v>58</v>
      </c>
      <c r="I62" s="89"/>
      <c r="J62" s="90">
        <f t="shared" si="10"/>
        <v>0.82000000000000006</v>
      </c>
      <c r="K62" s="90">
        <f t="shared" si="11"/>
        <v>0.78</v>
      </c>
      <c r="L62" s="91"/>
      <c r="M62" s="92">
        <f t="shared" si="0"/>
        <v>0</v>
      </c>
      <c r="N62" s="92">
        <f t="shared" si="1"/>
        <v>0</v>
      </c>
      <c r="O62" s="92">
        <f t="shared" si="2"/>
        <v>0</v>
      </c>
      <c r="P62" s="93">
        <f t="shared" si="15"/>
        <v>0</v>
      </c>
      <c r="Q62" s="94" t="str">
        <f t="shared" si="4"/>
        <v/>
      </c>
      <c r="R62" s="95" t="str">
        <f>IF(OR($AI62="",ISNUMBER($AI62)=FALSE),"",IF(AND(#REF!="Tolerance",$E62&lt;&gt;""),($O62-$E62)/(($J62-$K62)/2),IF(AND(#REF!="GD&amp;T",$F62&lt;&gt;""),$O62/$F62,"")))</f>
        <v/>
      </c>
      <c r="S62" s="95" t="str">
        <f t="shared" si="12"/>
        <v/>
      </c>
      <c r="T62" s="94" t="str">
        <f t="shared" si="5"/>
        <v/>
      </c>
      <c r="U62" s="94" t="str">
        <f t="shared" si="6"/>
        <v/>
      </c>
      <c r="V62" s="94" t="str">
        <f t="shared" si="7"/>
        <v/>
      </c>
      <c r="W62" s="96" t="str">
        <f t="shared" si="8"/>
        <v/>
      </c>
      <c r="X62" s="97" t="e">
        <f>IF($O62="","",IF(#REF!="Tolerance",IF((#REF!*3*P62+O62)-E62&lt;F62,"",(#REF!*3*P62+O62)-E62),IF(OR(#REF!="GD&amp;T",#REF!="MAX"),IF((#REF!*3*P62+O62)&lt;F62,"",(#REF!*3*P62+O62)),"")))</f>
        <v>#REF!</v>
      </c>
      <c r="Y62" s="97" t="e">
        <f>IF(O62="","",IF(#REF!="Tolerance",IF(-((#REF!*3*P62)-O62)-E62&gt;G62,"",-((#REF!*3*P62)-O62)-E62),IF(#REF!="MIN",IF(-((#REF!*3*P62)-O62)&gt;G62,"",-((#REF!*3*P62)-O62)),"")))</f>
        <v>#REF!</v>
      </c>
      <c r="Z62" s="97">
        <f t="shared" si="13"/>
        <v>0.8</v>
      </c>
      <c r="AA62" s="97" t="str">
        <f t="shared" si="9"/>
        <v/>
      </c>
      <c r="AB62" s="98"/>
      <c r="AC62" s="99" t="str">
        <f t="shared" si="14"/>
        <v/>
      </c>
      <c r="AD62" s="100"/>
      <c r="AE62" s="101"/>
      <c r="AF62" s="101"/>
      <c r="AG62" s="102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</row>
  </sheetData>
  <mergeCells count="6">
    <mergeCell ref="A1:AC1"/>
    <mergeCell ref="B3:K3"/>
    <mergeCell ref="M3:AC3"/>
    <mergeCell ref="AE3:AG3"/>
    <mergeCell ref="AI3:BN4"/>
    <mergeCell ref="X4:Y4"/>
  </mergeCells>
  <phoneticPr fontId="10" type="noConversion"/>
  <conditionalFormatting sqref="AI6:BN62">
    <cfRule type="cellIs" dxfId="1" priority="1" operator="notBetween">
      <formula>$E6+$F6</formula>
      <formula>$E6+$G6</formula>
    </cfRule>
  </conditionalFormatting>
  <dataValidations count="2">
    <dataValidation type="list" allowBlank="1" showInputMessage="1" showErrorMessage="1" sqref="H6:H18" xr:uid="{7BD4D883-0A62-41D9-8F31-BAA884688065}">
      <formula1>insp_meth</formula1>
    </dataValidation>
    <dataValidation type="list" allowBlank="1" showInputMessage="1" showErrorMessage="1" sqref="I6:I18" xr:uid="{409F92A8-EBDC-4E1A-9848-EABD96763C50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BD4C-AB20-4591-82FE-98CFA3A4381F}">
  <sheetPr codeName="Sheet5"/>
  <dimension ref="B2:R16"/>
  <sheetViews>
    <sheetView showGridLines="0" zoomScaleNormal="70" workbookViewId="0">
      <selection activeCell="J14" sqref="J14"/>
    </sheetView>
  </sheetViews>
  <sheetFormatPr defaultColWidth="11" defaultRowHeight="18"/>
  <cols>
    <col min="1" max="1" width="1.44140625" style="109" customWidth="1"/>
    <col min="2" max="2" width="7.33203125" style="109" customWidth="1"/>
    <col min="3" max="3" width="20.88671875" style="108" customWidth="1"/>
    <col min="4" max="5" width="30.88671875" style="109" customWidth="1"/>
    <col min="6" max="6" width="13" style="109" customWidth="1"/>
    <col min="7" max="7" width="13" style="108" customWidth="1"/>
    <col min="8" max="13" width="13" style="109" customWidth="1"/>
    <col min="14" max="14" width="60.88671875" style="110" customWidth="1"/>
    <col min="15" max="15" width="60.88671875" style="109" customWidth="1"/>
    <col min="16" max="18" width="29.88671875" style="109" customWidth="1"/>
    <col min="19" max="19" width="11" style="109"/>
    <col min="20" max="20" width="27.6640625" style="109" bestFit="1" customWidth="1"/>
    <col min="21" max="16384" width="11" style="109"/>
  </cols>
  <sheetData>
    <row r="2" spans="2:18" ht="39.950000000000003" customHeight="1">
      <c r="B2" s="106" t="s">
        <v>247</v>
      </c>
      <c r="C2" s="107"/>
      <c r="D2" s="107"/>
      <c r="E2" s="107"/>
      <c r="F2" s="107"/>
    </row>
    <row r="3" spans="2:18" ht="18" customHeight="1">
      <c r="B3" s="107"/>
      <c r="C3" s="107"/>
      <c r="D3" s="107"/>
      <c r="E3" s="107"/>
      <c r="F3" s="107"/>
    </row>
    <row r="4" spans="2:18" s="111" customFormat="1" ht="18.95" customHeight="1">
      <c r="B4" s="164" t="s">
        <v>248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5" t="s">
        <v>18</v>
      </c>
      <c r="Q4" s="165"/>
      <c r="R4" s="165"/>
    </row>
    <row r="5" spans="2:18" s="113" customFormat="1" ht="20.100000000000001" customHeight="1">
      <c r="B5" s="163" t="s">
        <v>249</v>
      </c>
      <c r="C5" s="163" t="s">
        <v>250</v>
      </c>
      <c r="D5" s="163" t="s">
        <v>251</v>
      </c>
      <c r="E5" s="163" t="s">
        <v>252</v>
      </c>
      <c r="F5" s="163" t="s">
        <v>253</v>
      </c>
      <c r="G5" s="163"/>
      <c r="H5" s="163" t="s">
        <v>254</v>
      </c>
      <c r="I5" s="163"/>
      <c r="J5" s="163" t="s">
        <v>255</v>
      </c>
      <c r="K5" s="163"/>
      <c r="L5" s="163"/>
      <c r="M5" s="163"/>
      <c r="N5" s="163" t="s">
        <v>256</v>
      </c>
      <c r="O5" s="163" t="s">
        <v>257</v>
      </c>
      <c r="P5" s="163" t="s">
        <v>258</v>
      </c>
      <c r="Q5" s="163" t="s">
        <v>259</v>
      </c>
      <c r="R5" s="163" t="s">
        <v>260</v>
      </c>
    </row>
    <row r="6" spans="2:18" s="113" customFormat="1" ht="20.100000000000001" customHeight="1">
      <c r="B6" s="163"/>
      <c r="C6" s="163"/>
      <c r="D6" s="163"/>
      <c r="E6" s="163"/>
      <c r="F6" s="112" t="s">
        <v>261</v>
      </c>
      <c r="G6" s="112" t="s">
        <v>262</v>
      </c>
      <c r="H6" s="112" t="s">
        <v>263</v>
      </c>
      <c r="I6" s="112" t="s">
        <v>262</v>
      </c>
      <c r="J6" s="112" t="s">
        <v>264</v>
      </c>
      <c r="K6" s="112" t="s">
        <v>265</v>
      </c>
      <c r="L6" s="112" t="s">
        <v>266</v>
      </c>
      <c r="M6" s="112" t="s">
        <v>267</v>
      </c>
      <c r="N6" s="163"/>
      <c r="O6" s="163"/>
      <c r="P6" s="163"/>
      <c r="Q6" s="163"/>
      <c r="R6" s="163"/>
    </row>
    <row r="7" spans="2:18" s="111" customFormat="1" ht="40.15" customHeight="1">
      <c r="B7" s="114">
        <v>1</v>
      </c>
      <c r="C7" s="115"/>
      <c r="D7" s="115"/>
      <c r="E7" s="116"/>
      <c r="F7" s="117"/>
      <c r="G7" s="117"/>
      <c r="H7" s="118"/>
      <c r="I7" s="117"/>
      <c r="J7" s="117"/>
      <c r="K7" s="117"/>
      <c r="L7" s="117"/>
      <c r="M7" s="117"/>
      <c r="N7" s="119"/>
      <c r="O7" s="120"/>
      <c r="P7" s="121"/>
      <c r="Q7" s="121"/>
      <c r="R7" s="121"/>
    </row>
    <row r="8" spans="2:18" s="111" customFormat="1" ht="39.950000000000003" customHeight="1">
      <c r="B8" s="114">
        <v>2</v>
      </c>
      <c r="C8" s="115"/>
      <c r="D8" s="122"/>
      <c r="E8" s="116"/>
      <c r="F8" s="117"/>
      <c r="G8" s="117"/>
      <c r="H8" s="118"/>
      <c r="I8" s="117"/>
      <c r="J8" s="117"/>
      <c r="K8" s="117"/>
      <c r="L8" s="117"/>
      <c r="M8" s="117"/>
      <c r="N8" s="119"/>
      <c r="O8" s="123"/>
      <c r="P8" s="121"/>
      <c r="Q8" s="121"/>
      <c r="R8" s="121"/>
    </row>
    <row r="9" spans="2:18" s="111" customFormat="1" ht="39.950000000000003" customHeight="1">
      <c r="B9" s="114">
        <v>3</v>
      </c>
      <c r="C9" s="115"/>
      <c r="D9" s="122"/>
      <c r="E9" s="116"/>
      <c r="F9" s="117"/>
      <c r="G9" s="117"/>
      <c r="H9" s="118"/>
      <c r="I9" s="117"/>
      <c r="J9" s="117"/>
      <c r="K9" s="117"/>
      <c r="L9" s="117"/>
      <c r="M9" s="117"/>
      <c r="N9" s="119"/>
      <c r="O9" s="123"/>
      <c r="P9" s="121"/>
      <c r="Q9" s="121"/>
      <c r="R9" s="121"/>
    </row>
    <row r="10" spans="2:18" s="111" customFormat="1" ht="39.950000000000003" customHeight="1">
      <c r="B10" s="114">
        <v>4</v>
      </c>
      <c r="C10" s="115"/>
      <c r="D10" s="122"/>
      <c r="E10" s="116"/>
      <c r="F10" s="117"/>
      <c r="G10" s="117"/>
      <c r="H10" s="118"/>
      <c r="I10" s="117"/>
      <c r="J10" s="117"/>
      <c r="K10" s="117"/>
      <c r="L10" s="117"/>
      <c r="M10" s="117"/>
      <c r="N10" s="119"/>
      <c r="O10" s="123"/>
      <c r="P10" s="121"/>
      <c r="Q10" s="121"/>
      <c r="R10" s="121"/>
    </row>
    <row r="11" spans="2:18" s="111" customFormat="1" ht="39.950000000000003" customHeight="1">
      <c r="B11" s="114">
        <v>5</v>
      </c>
      <c r="C11" s="115"/>
      <c r="D11" s="122"/>
      <c r="E11" s="116"/>
      <c r="F11" s="117"/>
      <c r="G11" s="117"/>
      <c r="H11" s="118"/>
      <c r="I11" s="117"/>
      <c r="J11" s="117"/>
      <c r="K11" s="117"/>
      <c r="L11" s="117"/>
      <c r="M11" s="117"/>
      <c r="N11" s="119"/>
      <c r="O11" s="123"/>
      <c r="P11" s="121"/>
      <c r="Q11" s="121"/>
      <c r="R11" s="121"/>
    </row>
    <row r="12" spans="2:18" s="111" customFormat="1" ht="39.950000000000003" customHeight="1">
      <c r="B12" s="114">
        <v>6</v>
      </c>
      <c r="C12" s="115"/>
      <c r="D12" s="122"/>
      <c r="E12" s="116"/>
      <c r="F12" s="117"/>
      <c r="G12" s="117"/>
      <c r="H12" s="118"/>
      <c r="I12" s="117"/>
      <c r="J12" s="117"/>
      <c r="K12" s="117"/>
      <c r="L12" s="117"/>
      <c r="M12" s="117"/>
      <c r="N12" s="119"/>
      <c r="O12" s="123"/>
      <c r="P12" s="121"/>
      <c r="Q12" s="121"/>
      <c r="R12" s="121"/>
    </row>
    <row r="13" spans="2:18" s="111" customFormat="1" ht="39.950000000000003" customHeight="1">
      <c r="B13" s="114">
        <v>7</v>
      </c>
      <c r="C13" s="115"/>
      <c r="D13" s="122"/>
      <c r="E13" s="116"/>
      <c r="F13" s="117"/>
      <c r="G13" s="117"/>
      <c r="H13" s="118"/>
      <c r="I13" s="117"/>
      <c r="J13" s="117"/>
      <c r="K13" s="117"/>
      <c r="L13" s="117"/>
      <c r="M13" s="117"/>
      <c r="N13" s="119"/>
      <c r="O13" s="123"/>
      <c r="P13" s="121"/>
      <c r="Q13" s="121"/>
      <c r="R13" s="121"/>
    </row>
    <row r="14" spans="2:18" s="111" customFormat="1" ht="39.950000000000003" customHeight="1">
      <c r="B14" s="114">
        <v>8</v>
      </c>
      <c r="C14" s="115"/>
      <c r="D14" s="122"/>
      <c r="E14" s="116"/>
      <c r="F14" s="117"/>
      <c r="G14" s="117"/>
      <c r="H14" s="118"/>
      <c r="I14" s="117"/>
      <c r="J14" s="117"/>
      <c r="K14" s="117"/>
      <c r="L14" s="117"/>
      <c r="M14" s="117"/>
      <c r="N14" s="119"/>
      <c r="O14" s="123"/>
      <c r="P14" s="121"/>
      <c r="Q14" s="121"/>
      <c r="R14" s="121"/>
    </row>
    <row r="15" spans="2:18" s="111" customFormat="1" ht="39.950000000000003" customHeight="1">
      <c r="B15" s="114">
        <v>9</v>
      </c>
      <c r="C15" s="115"/>
      <c r="D15" s="122"/>
      <c r="E15" s="116"/>
      <c r="F15" s="117"/>
      <c r="G15" s="117"/>
      <c r="H15" s="118"/>
      <c r="I15" s="117"/>
      <c r="J15" s="117"/>
      <c r="K15" s="117"/>
      <c r="L15" s="117"/>
      <c r="M15" s="117"/>
      <c r="N15" s="119"/>
      <c r="O15" s="123"/>
      <c r="P15" s="121"/>
      <c r="Q15" s="121"/>
      <c r="R15" s="121"/>
    </row>
    <row r="16" spans="2:18" s="111" customFormat="1" ht="39.950000000000003" customHeight="1">
      <c r="B16" s="114">
        <v>10</v>
      </c>
      <c r="C16" s="115"/>
      <c r="D16" s="122"/>
      <c r="E16" s="116"/>
      <c r="F16" s="117"/>
      <c r="G16" s="117"/>
      <c r="H16" s="118"/>
      <c r="I16" s="117"/>
      <c r="J16" s="117"/>
      <c r="K16" s="117"/>
      <c r="L16" s="117"/>
      <c r="M16" s="117"/>
      <c r="N16" s="119"/>
      <c r="O16" s="123"/>
      <c r="P16" s="121"/>
      <c r="Q16" s="121"/>
      <c r="R16" s="121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7F27-A4EF-4C1E-857E-7258E59D66CC}">
  <sheetPr codeName="Sheet6"/>
  <dimension ref="B2:W207"/>
  <sheetViews>
    <sheetView showGridLines="0" zoomScale="70" zoomScaleNormal="70" workbookViewId="0">
      <selection activeCell="J14" sqref="J14"/>
    </sheetView>
  </sheetViews>
  <sheetFormatPr defaultColWidth="11" defaultRowHeight="18"/>
  <cols>
    <col min="1" max="1" width="1.44140625" style="109" customWidth="1"/>
    <col min="2" max="2" width="7.33203125" style="109" customWidth="1"/>
    <col min="3" max="3" width="15.88671875" style="108" customWidth="1"/>
    <col min="4" max="4" width="15.88671875" style="109" customWidth="1"/>
    <col min="5" max="6" width="30.88671875" style="109" customWidth="1"/>
    <col min="7" max="8" width="13" style="109" customWidth="1"/>
    <col min="9" max="9" width="13" style="108" customWidth="1"/>
    <col min="10" max="18" width="15.88671875" style="109" customWidth="1"/>
    <col min="19" max="19" width="60.88671875" style="110" customWidth="1"/>
    <col min="20" max="20" width="60.88671875" style="109" customWidth="1"/>
    <col min="21" max="23" width="29.88671875" style="109" hidden="1" customWidth="1"/>
    <col min="24" max="24" width="11" style="109"/>
    <col min="25" max="25" width="27.6640625" style="109" bestFit="1" customWidth="1"/>
    <col min="26" max="16384" width="11" style="109"/>
  </cols>
  <sheetData>
    <row r="2" spans="2:23" ht="39.950000000000003" customHeight="1">
      <c r="B2" s="106" t="s">
        <v>268</v>
      </c>
      <c r="C2" s="107"/>
      <c r="D2" s="107"/>
      <c r="E2" s="107"/>
      <c r="F2" s="107"/>
      <c r="G2" s="107"/>
      <c r="H2" s="107"/>
    </row>
    <row r="3" spans="2:23" ht="18" customHeight="1">
      <c r="B3" s="107"/>
      <c r="C3" s="107"/>
      <c r="D3" s="107"/>
      <c r="E3" s="107"/>
      <c r="F3" s="107"/>
      <c r="G3" s="107"/>
      <c r="H3" s="107"/>
    </row>
    <row r="4" spans="2:23" s="111" customFormat="1" ht="18.95" customHeight="1">
      <c r="B4" s="164" t="s">
        <v>248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5" t="s">
        <v>18</v>
      </c>
      <c r="V4" s="165"/>
      <c r="W4" s="165"/>
    </row>
    <row r="5" spans="2:23" s="113" customFormat="1" ht="20.100000000000001" customHeight="1">
      <c r="B5" s="163" t="s">
        <v>249</v>
      </c>
      <c r="C5" s="163" t="s">
        <v>269</v>
      </c>
      <c r="D5" s="163" t="s">
        <v>270</v>
      </c>
      <c r="E5" s="163" t="s">
        <v>251</v>
      </c>
      <c r="F5" s="163" t="s">
        <v>271</v>
      </c>
      <c r="G5" s="163" t="s">
        <v>272</v>
      </c>
      <c r="H5" s="163"/>
      <c r="I5" s="163"/>
      <c r="J5" s="163" t="s">
        <v>190</v>
      </c>
      <c r="K5" s="163"/>
      <c r="L5" s="163"/>
      <c r="M5" s="163" t="s">
        <v>273</v>
      </c>
      <c r="N5" s="163"/>
      <c r="O5" s="163"/>
      <c r="P5" s="163"/>
      <c r="Q5" s="163"/>
      <c r="R5" s="163"/>
      <c r="S5" s="163" t="s">
        <v>256</v>
      </c>
      <c r="T5" s="163" t="s">
        <v>257</v>
      </c>
      <c r="U5" s="163" t="s">
        <v>258</v>
      </c>
      <c r="V5" s="163" t="s">
        <v>259</v>
      </c>
      <c r="W5" s="163" t="s">
        <v>260</v>
      </c>
    </row>
    <row r="6" spans="2:23" s="113" customFormat="1" ht="20.100000000000001" customHeight="1">
      <c r="B6" s="163"/>
      <c r="C6" s="163"/>
      <c r="D6" s="163"/>
      <c r="E6" s="163"/>
      <c r="F6" s="163"/>
      <c r="G6" s="112" t="s">
        <v>43</v>
      </c>
      <c r="H6" s="112" t="s">
        <v>274</v>
      </c>
      <c r="I6" s="112" t="s">
        <v>275</v>
      </c>
      <c r="J6" s="112" t="s">
        <v>184</v>
      </c>
      <c r="K6" s="112" t="s">
        <v>189</v>
      </c>
      <c r="L6" s="112" t="s">
        <v>276</v>
      </c>
      <c r="M6" s="112" t="s">
        <v>43</v>
      </c>
      <c r="N6" s="112" t="s">
        <v>274</v>
      </c>
      <c r="O6" s="112" t="s">
        <v>275</v>
      </c>
      <c r="P6" s="112" t="s">
        <v>184</v>
      </c>
      <c r="Q6" s="112" t="s">
        <v>189</v>
      </c>
      <c r="R6" s="112" t="s">
        <v>276</v>
      </c>
      <c r="S6" s="163"/>
      <c r="T6" s="163"/>
      <c r="U6" s="163"/>
      <c r="V6" s="163"/>
      <c r="W6" s="163"/>
    </row>
    <row r="7" spans="2:23" s="111" customFormat="1" ht="39.950000000000003" customHeight="1">
      <c r="B7" s="114">
        <v>1</v>
      </c>
      <c r="C7" s="115"/>
      <c r="D7" s="115"/>
      <c r="E7" s="115"/>
      <c r="F7" s="115"/>
      <c r="G7" s="124"/>
      <c r="H7" s="124"/>
      <c r="I7" s="124"/>
      <c r="J7" s="124"/>
      <c r="K7" s="124"/>
      <c r="L7" s="124"/>
      <c r="M7" s="117"/>
      <c r="N7" s="117"/>
      <c r="O7" s="117"/>
      <c r="P7" s="117"/>
      <c r="Q7" s="117"/>
      <c r="R7" s="117"/>
      <c r="S7" s="125"/>
      <c r="T7" s="123"/>
      <c r="U7" s="121"/>
      <c r="V7" s="121"/>
      <c r="W7" s="121"/>
    </row>
    <row r="8" spans="2:23" s="111" customFormat="1" ht="40.15" customHeight="1">
      <c r="B8" s="114">
        <v>2</v>
      </c>
      <c r="C8" s="115"/>
      <c r="D8" s="115"/>
      <c r="E8" s="115"/>
      <c r="F8" s="115"/>
      <c r="G8" s="124"/>
      <c r="H8" s="124"/>
      <c r="I8" s="124"/>
      <c r="J8" s="124"/>
      <c r="K8" s="124"/>
      <c r="L8" s="124"/>
      <c r="M8" s="117"/>
      <c r="N8" s="117"/>
      <c r="O8" s="117"/>
      <c r="P8" s="117"/>
      <c r="Q8" s="117"/>
      <c r="R8" s="117"/>
      <c r="S8" s="126"/>
      <c r="T8" s="123"/>
      <c r="U8" s="121"/>
      <c r="V8" s="121"/>
      <c r="W8" s="121"/>
    </row>
    <row r="9" spans="2:23" s="111" customFormat="1" ht="39.950000000000003" customHeight="1">
      <c r="B9" s="114">
        <v>3</v>
      </c>
      <c r="C9" s="115"/>
      <c r="D9" s="115"/>
      <c r="E9" s="115"/>
      <c r="F9" s="115"/>
      <c r="G9" s="122"/>
      <c r="H9" s="117"/>
      <c r="I9" s="117"/>
      <c r="J9" s="119"/>
      <c r="K9" s="123"/>
      <c r="L9" s="121"/>
      <c r="M9" s="121"/>
      <c r="N9" s="121"/>
      <c r="O9" s="121"/>
      <c r="P9" s="121"/>
      <c r="Q9" s="121"/>
      <c r="R9" s="121"/>
      <c r="S9" s="121"/>
      <c r="T9" s="121"/>
    </row>
    <row r="10" spans="2:23" s="111" customFormat="1" ht="39.950000000000003" customHeight="1">
      <c r="B10" s="114">
        <v>4</v>
      </c>
      <c r="C10" s="115"/>
      <c r="D10" s="115"/>
      <c r="E10" s="115"/>
      <c r="F10" s="115"/>
      <c r="G10" s="122"/>
      <c r="H10" s="117"/>
      <c r="I10" s="117"/>
      <c r="J10" s="119"/>
      <c r="K10" s="123"/>
      <c r="L10" s="121"/>
      <c r="M10" s="121"/>
      <c r="N10" s="121"/>
      <c r="O10" s="121"/>
      <c r="P10" s="121"/>
      <c r="Q10" s="121"/>
      <c r="R10" s="121"/>
      <c r="S10" s="121"/>
      <c r="T10" s="121"/>
    </row>
    <row r="11" spans="2:23" s="111" customFormat="1" ht="39.950000000000003" customHeight="1">
      <c r="B11" s="114">
        <v>5</v>
      </c>
      <c r="C11" s="115"/>
      <c r="D11" s="115"/>
      <c r="E11" s="115"/>
      <c r="F11" s="115"/>
      <c r="G11" s="122"/>
      <c r="H11" s="117"/>
      <c r="I11" s="117"/>
      <c r="J11" s="119"/>
      <c r="K11" s="123"/>
      <c r="L11" s="121"/>
      <c r="M11" s="121"/>
      <c r="N11" s="121"/>
      <c r="O11" s="121"/>
      <c r="P11" s="121"/>
      <c r="Q11" s="121"/>
      <c r="R11" s="121"/>
      <c r="S11" s="121"/>
      <c r="T11" s="121"/>
    </row>
    <row r="143" spans="11:14">
      <c r="K143" s="109">
        <v>2.3400000000000001E-2</v>
      </c>
      <c r="L143" s="109">
        <v>2.29E-2</v>
      </c>
      <c r="M143" s="109">
        <v>1.6299999999999999E-2</v>
      </c>
      <c r="N143" s="109">
        <v>2.1399999999999864E-2</v>
      </c>
    </row>
    <row r="144" spans="11:14">
      <c r="K144" s="109">
        <v>3.8043999999999998</v>
      </c>
      <c r="L144" s="109">
        <v>3.8050000000000002</v>
      </c>
      <c r="M144" s="109">
        <v>3.8065000000000002</v>
      </c>
      <c r="N144" s="109">
        <v>3.8069999999999999</v>
      </c>
    </row>
    <row r="145" spans="11:14">
      <c r="K145" s="109">
        <v>3.8022999999999998</v>
      </c>
      <c r="L145" s="109">
        <v>3.8048000000000002</v>
      </c>
      <c r="M145" s="109">
        <v>3.8027000000000002</v>
      </c>
      <c r="N145" s="109">
        <v>3.7972999999999999</v>
      </c>
    </row>
    <row r="146" spans="11:14">
      <c r="K146" s="109">
        <v>1.1999999999999999E-3</v>
      </c>
      <c r="L146" s="109">
        <v>1.8E-3</v>
      </c>
      <c r="M146" s="109">
        <v>1.1000000000000001E-3</v>
      </c>
      <c r="N146" s="109">
        <v>1.6000000000000001E-3</v>
      </c>
    </row>
    <row r="147" spans="11:14">
      <c r="K147" s="109">
        <v>3.8309000000000002</v>
      </c>
      <c r="L147" s="109">
        <v>3.8290000000000002</v>
      </c>
      <c r="M147" s="109">
        <v>3.8308</v>
      </c>
      <c r="N147" s="109">
        <v>3.8304999999999998</v>
      </c>
    </row>
    <row r="148" spans="11:14">
      <c r="K148" s="109">
        <v>3.8237000000000001</v>
      </c>
      <c r="L148" s="109">
        <v>3.8235999999999999</v>
      </c>
      <c r="M148" s="109">
        <v>3.8233999999999999</v>
      </c>
      <c r="N148" s="109">
        <v>3.8250000000000002</v>
      </c>
    </row>
    <row r="149" spans="11:14">
      <c r="K149" s="109">
        <v>3.7000000000000002E-3</v>
      </c>
      <c r="L149" s="109">
        <v>2.8E-3</v>
      </c>
      <c r="M149" s="109">
        <v>2.3E-3</v>
      </c>
      <c r="N149" s="109">
        <v>1.9E-3</v>
      </c>
    </row>
    <row r="150" spans="11:14">
      <c r="K150" s="109">
        <v>2.3E-3</v>
      </c>
      <c r="L150" s="109">
        <v>2E-3</v>
      </c>
      <c r="M150" s="109">
        <v>1.9E-3</v>
      </c>
      <c r="N150" s="109">
        <v>2.3E-3</v>
      </c>
    </row>
    <row r="151" spans="11:14">
      <c r="K151" s="109">
        <v>4.1000000000000003E-3</v>
      </c>
      <c r="L151" s="109">
        <v>3.3E-3</v>
      </c>
      <c r="M151" s="109">
        <v>4.0000000000000001E-3</v>
      </c>
      <c r="N151" s="109">
        <v>4.8999999999999998E-3</v>
      </c>
    </row>
    <row r="152" spans="11:14">
      <c r="K152" s="109">
        <v>1.9E-3</v>
      </c>
      <c r="L152" s="109">
        <v>2E-3</v>
      </c>
      <c r="M152" s="109">
        <v>2.3E-3</v>
      </c>
      <c r="N152" s="109">
        <v>1.6999999999999999E-3</v>
      </c>
    </row>
    <row r="153" spans="11:14">
      <c r="K153" s="109">
        <v>1.6000000000000001E-3</v>
      </c>
      <c r="L153" s="109">
        <v>1.6000000000000001E-3</v>
      </c>
      <c r="M153" s="109">
        <v>1.5E-3</v>
      </c>
      <c r="N153" s="109">
        <v>1.8E-3</v>
      </c>
    </row>
    <row r="154" spans="11:14">
      <c r="K154" s="109">
        <v>3.8999999999999998E-3</v>
      </c>
      <c r="L154" s="109">
        <v>3.2000000000000002E-3</v>
      </c>
      <c r="M154" s="109">
        <v>3.7000000000000002E-3</v>
      </c>
      <c r="N154" s="109">
        <v>3.8E-3</v>
      </c>
    </row>
    <row r="155" spans="11:14">
      <c r="K155" s="109">
        <v>8.5000000000000006E-3</v>
      </c>
      <c r="L155" s="109">
        <v>8.0999999999999996E-3</v>
      </c>
      <c r="M155" s="109">
        <v>8.0000000000000002E-3</v>
      </c>
      <c r="N155" s="109">
        <v>3.3999999999999998E-3</v>
      </c>
    </row>
    <row r="156" spans="11:14">
      <c r="K156" s="109">
        <v>1.8100000000000002E-2</v>
      </c>
      <c r="L156" s="109">
        <v>1.6899999999999998E-2</v>
      </c>
      <c r="M156" s="109">
        <v>1.7999999999999999E-2</v>
      </c>
      <c r="N156" s="109">
        <v>1.89E-2</v>
      </c>
    </row>
    <row r="157" spans="11:14">
      <c r="K157" s="109">
        <v>18.197800000000001</v>
      </c>
      <c r="L157" s="109">
        <v>18.203600000000002</v>
      </c>
      <c r="M157" s="109">
        <v>18.202000000000002</v>
      </c>
      <c r="N157" s="109">
        <v>18.2043</v>
      </c>
    </row>
    <row r="158" spans="11:14">
      <c r="K158" s="109">
        <v>18.195499999999999</v>
      </c>
      <c r="L158" s="109">
        <v>18.198699999999999</v>
      </c>
      <c r="M158" s="109">
        <v>18.1982</v>
      </c>
      <c r="N158" s="109">
        <v>18.199400000000001</v>
      </c>
    </row>
    <row r="159" spans="11:14">
      <c r="K159" s="109">
        <v>18.203800000000001</v>
      </c>
      <c r="L159" s="109">
        <v>18.204699999999999</v>
      </c>
      <c r="M159" s="109">
        <v>18.204599999999999</v>
      </c>
      <c r="N159" s="109">
        <v>18.207699999999999</v>
      </c>
    </row>
    <row r="160" spans="11:14">
      <c r="K160" s="109">
        <v>17.216000000000001</v>
      </c>
      <c r="L160" s="109">
        <v>17.2149</v>
      </c>
      <c r="M160" s="109">
        <v>17.213200000000001</v>
      </c>
      <c r="N160" s="109">
        <v>17.211500000000001</v>
      </c>
    </row>
    <row r="161" spans="11:14">
      <c r="K161" s="109">
        <v>14.5411</v>
      </c>
      <c r="L161" s="109">
        <v>14.541700000000001</v>
      </c>
      <c r="M161" s="109">
        <v>14.543200000000001</v>
      </c>
      <c r="N161" s="109">
        <v>14.5487</v>
      </c>
    </row>
    <row r="162" spans="11:14">
      <c r="K162" s="109">
        <v>3.8601999999999999</v>
      </c>
      <c r="L162" s="109">
        <v>3.8622999999999998</v>
      </c>
      <c r="M162" s="109">
        <v>3.8601000000000001</v>
      </c>
      <c r="N162" s="109">
        <v>3.8603000000000001</v>
      </c>
    </row>
    <row r="163" spans="11:14">
      <c r="K163" s="109">
        <v>7.7363999999999997</v>
      </c>
      <c r="L163" s="109">
        <v>7.7366999999999999</v>
      </c>
      <c r="M163" s="109">
        <v>7.7394999999999996</v>
      </c>
      <c r="N163" s="109">
        <v>7.7366000000000001</v>
      </c>
    </row>
    <row r="164" spans="11:14">
      <c r="K164" s="109">
        <v>7.7245999999999997</v>
      </c>
      <c r="L164" s="109">
        <v>7.7236000000000002</v>
      </c>
      <c r="M164" s="109">
        <v>7.7252999999999998</v>
      </c>
      <c r="N164" s="109">
        <v>7.7263000000000002</v>
      </c>
    </row>
    <row r="165" spans="11:14">
      <c r="K165" s="109">
        <v>9.0328999999999997</v>
      </c>
      <c r="L165" s="109">
        <v>9.0351999999999997</v>
      </c>
      <c r="M165" s="109">
        <v>9.0253999999999994</v>
      </c>
      <c r="N165" s="109">
        <v>9.0373999999999999</v>
      </c>
    </row>
    <row r="166" spans="11:14">
      <c r="K166" s="109">
        <v>22.351099999999999</v>
      </c>
      <c r="L166" s="109">
        <v>22.352799999999998</v>
      </c>
      <c r="M166" s="109">
        <v>22.3537</v>
      </c>
      <c r="N166" s="109">
        <v>22.365100000000002</v>
      </c>
    </row>
    <row r="167" spans="11:14">
      <c r="K167" s="109">
        <v>20.3459</v>
      </c>
      <c r="L167" s="109">
        <v>20.349699999999999</v>
      </c>
      <c r="M167" s="109">
        <v>20.345199999999998</v>
      </c>
      <c r="N167" s="109">
        <v>20.345800000000001</v>
      </c>
    </row>
    <row r="168" spans="11:14">
      <c r="K168" s="109">
        <v>21.7639</v>
      </c>
      <c r="L168" s="109">
        <v>21.763100000000001</v>
      </c>
      <c r="M168" s="109">
        <v>21.7637</v>
      </c>
      <c r="N168" s="109">
        <v>21.765999999999998</v>
      </c>
    </row>
    <row r="169" spans="11:14">
      <c r="K169" s="109">
        <v>7.8285</v>
      </c>
      <c r="L169" s="109">
        <v>7.8338999999999999</v>
      </c>
      <c r="M169" s="109">
        <v>7.8289999999999997</v>
      </c>
      <c r="N169" s="109">
        <v>7.8335999999999997</v>
      </c>
    </row>
    <row r="170" spans="11:14">
      <c r="K170" s="109">
        <v>7.8151000000000002</v>
      </c>
      <c r="L170" s="109">
        <v>7.8173000000000004</v>
      </c>
      <c r="M170" s="109">
        <v>7.8125999999999998</v>
      </c>
      <c r="N170" s="109">
        <v>7.8223000000000003</v>
      </c>
    </row>
    <row r="171" spans="11:14">
      <c r="K171" s="109">
        <v>21.118600000000001</v>
      </c>
      <c r="L171" s="109">
        <v>21.1264</v>
      </c>
      <c r="M171" s="109">
        <v>21.126899999999999</v>
      </c>
      <c r="N171" s="109">
        <v>21.134599999999999</v>
      </c>
    </row>
    <row r="172" spans="11:14">
      <c r="K172" s="109">
        <v>21.1295</v>
      </c>
      <c r="L172" s="109">
        <v>21.1295</v>
      </c>
      <c r="M172" s="109">
        <v>21.135100000000001</v>
      </c>
      <c r="N172" s="109">
        <v>21.133700000000001</v>
      </c>
    </row>
    <row r="173" spans="11:14">
      <c r="K173" s="109">
        <v>21.129100000000001</v>
      </c>
      <c r="L173" s="109">
        <v>21.128900000000002</v>
      </c>
      <c r="M173" s="109">
        <v>21.133099999999999</v>
      </c>
      <c r="N173" s="109">
        <v>21.128299999999999</v>
      </c>
    </row>
    <row r="174" spans="11:14">
      <c r="K174" s="109">
        <v>21.490200000000002</v>
      </c>
      <c r="L174" s="109">
        <v>21.495000000000001</v>
      </c>
      <c r="M174" s="109">
        <v>21.491399999999999</v>
      </c>
      <c r="N174" s="109">
        <v>21.490200000000002</v>
      </c>
    </row>
    <row r="175" spans="11:14">
      <c r="K175" s="109">
        <v>21.500399999999999</v>
      </c>
      <c r="L175" s="109">
        <v>21.504100000000001</v>
      </c>
      <c r="M175" s="109">
        <v>21.501000000000001</v>
      </c>
      <c r="N175" s="109">
        <v>21.506399999999999</v>
      </c>
    </row>
    <row r="176" spans="11:14">
      <c r="K176" s="109">
        <v>16.889800000000001</v>
      </c>
      <c r="L176" s="109">
        <v>16.8887</v>
      </c>
      <c r="M176" s="109">
        <v>16.888300000000001</v>
      </c>
      <c r="N176" s="109">
        <v>16.881699999999999</v>
      </c>
    </row>
    <row r="177" spans="11:14">
      <c r="K177" s="109">
        <v>16.883700000000001</v>
      </c>
      <c r="L177" s="109">
        <v>16.8843</v>
      </c>
      <c r="M177" s="109">
        <v>16.885400000000001</v>
      </c>
      <c r="N177" s="109">
        <v>16.8825</v>
      </c>
    </row>
    <row r="178" spans="11:14">
      <c r="K178" s="109">
        <v>16.8901</v>
      </c>
      <c r="L178" s="109">
        <v>16.892900000000001</v>
      </c>
      <c r="M178" s="109">
        <v>16.893000000000001</v>
      </c>
      <c r="N178" s="109">
        <v>16.893799999999999</v>
      </c>
    </row>
    <row r="179" spans="11:14">
      <c r="K179" s="109">
        <v>1.5369999999999999</v>
      </c>
      <c r="L179" s="109">
        <v>1.5390999999999999</v>
      </c>
      <c r="M179" s="109">
        <v>1.5366</v>
      </c>
      <c r="N179" s="109">
        <v>1.5319</v>
      </c>
    </row>
    <row r="180" spans="11:14">
      <c r="K180" s="109">
        <v>1.5287999999999999</v>
      </c>
      <c r="L180" s="109">
        <v>1.5324</v>
      </c>
      <c r="M180" s="109">
        <v>1.5294000000000001</v>
      </c>
      <c r="N180" s="109">
        <v>1.5378000000000001</v>
      </c>
    </row>
    <row r="181" spans="11:14">
      <c r="K181" s="109">
        <v>0.73799999999999999</v>
      </c>
      <c r="L181" s="109">
        <v>0.74129999999999996</v>
      </c>
      <c r="M181" s="109">
        <v>0.73870000000000002</v>
      </c>
      <c r="N181" s="109">
        <v>0.73460000000000003</v>
      </c>
    </row>
    <row r="182" spans="11:14">
      <c r="K182" s="109">
        <v>0.93440000000000001</v>
      </c>
      <c r="L182" s="109">
        <v>0.9355</v>
      </c>
      <c r="M182" s="109">
        <v>0.9345</v>
      </c>
      <c r="N182" s="109">
        <v>0.94310000000000005</v>
      </c>
    </row>
    <row r="183" spans="11:14">
      <c r="K183" s="109">
        <v>0.9304</v>
      </c>
      <c r="L183" s="109">
        <v>0.92859999999999998</v>
      </c>
      <c r="M183" s="109">
        <v>0.93100000000000005</v>
      </c>
      <c r="N183" s="109">
        <v>0.93159999999999998</v>
      </c>
    </row>
    <row r="184" spans="11:14">
      <c r="K184" s="109">
        <v>0.93</v>
      </c>
      <c r="L184" s="109">
        <v>0.92900000000000005</v>
      </c>
      <c r="M184" s="109">
        <v>0.93089999999999995</v>
      </c>
      <c r="N184" s="109">
        <v>0.93530000000000002</v>
      </c>
    </row>
    <row r="185" spans="11:14">
      <c r="K185" s="109">
        <v>0.93459999999999999</v>
      </c>
      <c r="L185" s="109">
        <v>0.93130000000000002</v>
      </c>
      <c r="M185" s="109">
        <v>0.93269999999999997</v>
      </c>
      <c r="N185" s="109">
        <v>0.93889999999999996</v>
      </c>
    </row>
    <row r="186" spans="11:14">
      <c r="K186" s="109">
        <v>0.93679999999999997</v>
      </c>
      <c r="L186" s="109">
        <v>0.93510000000000004</v>
      </c>
      <c r="M186" s="109">
        <v>0.93430000000000002</v>
      </c>
      <c r="N186" s="109">
        <v>0.94040000000000001</v>
      </c>
    </row>
    <row r="187" spans="11:14">
      <c r="K187" s="109">
        <v>16.815899999999999</v>
      </c>
      <c r="L187" s="109">
        <v>16.8157</v>
      </c>
      <c r="M187" s="109">
        <v>16.817</v>
      </c>
      <c r="N187" s="109">
        <v>16.815799999999999</v>
      </c>
    </row>
    <row r="188" spans="11:14">
      <c r="K188" s="109">
        <v>0.40550000000000003</v>
      </c>
      <c r="L188" s="109">
        <v>0.40579999999999999</v>
      </c>
      <c r="M188" s="109">
        <v>0.40479999999999999</v>
      </c>
      <c r="N188" s="109">
        <v>0.40649999999999997</v>
      </c>
    </row>
    <row r="189" spans="11:14">
      <c r="K189" s="109">
        <v>9.9000000000000008E-3</v>
      </c>
      <c r="L189" s="109">
        <v>1.04E-2</v>
      </c>
      <c r="M189" s="109">
        <v>2.4E-2</v>
      </c>
      <c r="N189" s="109">
        <v>1.34E-2</v>
      </c>
    </row>
    <row r="190" spans="11:14">
      <c r="K190" s="109">
        <v>14.1487</v>
      </c>
      <c r="L190" s="109">
        <v>14.1501</v>
      </c>
      <c r="M190" s="109">
        <v>14.148400000000001</v>
      </c>
      <c r="N190" s="109">
        <v>14.143599999999999</v>
      </c>
    </row>
    <row r="191" spans="11:14">
      <c r="K191" s="109">
        <v>4.4391999999999996</v>
      </c>
      <c r="L191" s="109">
        <v>4.4429999999999996</v>
      </c>
      <c r="M191" s="109">
        <v>4.4413999999999998</v>
      </c>
      <c r="N191" s="109">
        <v>4.4459999999999997</v>
      </c>
    </row>
    <row r="192" spans="11:14">
      <c r="K192" s="109">
        <v>18.284199999999998</v>
      </c>
      <c r="L192" s="109">
        <v>18.282800000000002</v>
      </c>
      <c r="M192" s="109">
        <v>18.282499999999999</v>
      </c>
      <c r="N192" s="109">
        <v>18.293600000000001</v>
      </c>
    </row>
    <row r="193" spans="11:14">
      <c r="K193" s="109">
        <v>4.3052999999999999</v>
      </c>
      <c r="L193" s="109">
        <v>4.3064999999999998</v>
      </c>
      <c r="M193" s="109">
        <v>4.3094999999999999</v>
      </c>
      <c r="N193" s="109">
        <v>4.3112000000000004</v>
      </c>
    </row>
    <row r="194" spans="11:14">
      <c r="K194" s="109">
        <v>4.3132999999999999</v>
      </c>
      <c r="L194" s="109">
        <v>4.3116000000000003</v>
      </c>
      <c r="M194" s="109">
        <v>4.3146000000000004</v>
      </c>
      <c r="N194" s="109">
        <v>4.3170000000000002</v>
      </c>
    </row>
    <row r="195" spans="11:14">
      <c r="K195" s="109">
        <v>4.3164999999999996</v>
      </c>
      <c r="L195" s="109">
        <v>4.3163</v>
      </c>
      <c r="M195" s="109">
        <v>4.3136999999999999</v>
      </c>
      <c r="N195" s="109">
        <v>4.3109999999999999</v>
      </c>
    </row>
    <row r="196" spans="11:14">
      <c r="K196" s="109">
        <v>4.3202999999999996</v>
      </c>
      <c r="L196" s="109">
        <v>4.3207000000000004</v>
      </c>
      <c r="M196" s="109">
        <v>4.3152999999999997</v>
      </c>
      <c r="N196" s="109">
        <v>4.3105000000000002</v>
      </c>
    </row>
    <row r="197" spans="11:14">
      <c r="K197" s="109">
        <v>4.3305999999999996</v>
      </c>
      <c r="L197" s="109">
        <v>4.3310000000000004</v>
      </c>
      <c r="M197" s="109">
        <v>4.3259999999999996</v>
      </c>
      <c r="N197" s="109">
        <v>4.3253000000000004</v>
      </c>
    </row>
    <row r="198" spans="11:14">
      <c r="K198" s="109">
        <v>4.3227000000000002</v>
      </c>
      <c r="L198" s="109">
        <v>4.3236999999999997</v>
      </c>
      <c r="M198" s="109">
        <v>4.3228</v>
      </c>
      <c r="N198" s="109">
        <v>4.3278999999999996</v>
      </c>
    </row>
    <row r="199" spans="11:14">
      <c r="K199" s="109">
        <v>0.2155</v>
      </c>
      <c r="L199" s="109">
        <v>0.21510000000000001</v>
      </c>
      <c r="M199" s="109">
        <v>0.21290000000000001</v>
      </c>
      <c r="N199" s="109">
        <v>0.20660000000000001</v>
      </c>
    </row>
    <row r="200" spans="11:14">
      <c r="K200" s="109">
        <v>21.387599999999999</v>
      </c>
      <c r="L200" s="109">
        <v>21.3857</v>
      </c>
      <c r="M200" s="109">
        <v>21.386700000000001</v>
      </c>
      <c r="N200" s="109">
        <v>21.3855</v>
      </c>
    </row>
    <row r="201" spans="11:14">
      <c r="K201" s="109">
        <v>3.9600000000000003E-2</v>
      </c>
      <c r="L201" s="109">
        <v>3.8199999999999998E-2</v>
      </c>
      <c r="M201" s="109">
        <v>4.0099999999999997E-2</v>
      </c>
      <c r="N201" s="109">
        <v>3.32E-2</v>
      </c>
    </row>
    <row r="202" spans="11:14">
      <c r="K202" s="109">
        <v>4.8399999999999999E-2</v>
      </c>
      <c r="L202" s="109">
        <v>4.2900000000000001E-2</v>
      </c>
      <c r="M202" s="109">
        <v>4.9000000000000002E-2</v>
      </c>
      <c r="N202" s="109">
        <v>4.6600000000000003E-2</v>
      </c>
    </row>
    <row r="203" spans="11:14">
      <c r="K203" s="109">
        <v>4.8500000000000001E-2</v>
      </c>
      <c r="L203" s="109">
        <v>4.5900000000000003E-2</v>
      </c>
      <c r="M203" s="109">
        <v>4.7E-2</v>
      </c>
      <c r="N203" s="109">
        <v>5.3100000000000001E-2</v>
      </c>
    </row>
    <row r="204" spans="11:14">
      <c r="K204" s="109">
        <v>4.3799999999999999E-2</v>
      </c>
      <c r="L204" s="109">
        <v>4.2999999999999997E-2</v>
      </c>
      <c r="M204" s="109">
        <v>4.1500000000000002E-2</v>
      </c>
      <c r="N204" s="109">
        <v>3.3399999999999999E-2</v>
      </c>
    </row>
    <row r="205" spans="11:14">
      <c r="K205" s="109">
        <v>5.3199999999999997E-2</v>
      </c>
      <c r="L205" s="109">
        <v>5.33E-2</v>
      </c>
      <c r="M205" s="109">
        <v>5.0900000000000001E-2</v>
      </c>
      <c r="N205" s="109">
        <v>4.6199999999999998E-2</v>
      </c>
    </row>
    <row r="206" spans="11:14">
      <c r="K206" s="109">
        <v>4.6899999999999997E-2</v>
      </c>
      <c r="L206" s="109">
        <v>4.7600000000000003E-2</v>
      </c>
      <c r="M206" s="109">
        <v>4.6600000000000003E-2</v>
      </c>
      <c r="N206" s="109">
        <v>5.0299999999999997E-2</v>
      </c>
    </row>
    <row r="207" spans="11:14">
      <c r="K207" s="109">
        <v>1.7894000000000001</v>
      </c>
      <c r="L207" s="109">
        <v>1.7887999999999999</v>
      </c>
      <c r="M207" s="109">
        <v>1.7878000000000001</v>
      </c>
      <c r="N207" s="109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E122-CEDF-4179-8D13-0EB3D9CC8A54}">
  <sheetPr codeName="Sheet7"/>
  <dimension ref="B2:W16"/>
  <sheetViews>
    <sheetView showGridLines="0" zoomScaleNormal="100" workbookViewId="0">
      <selection activeCell="J14" sqref="J14"/>
    </sheetView>
  </sheetViews>
  <sheetFormatPr defaultColWidth="11" defaultRowHeight="18"/>
  <cols>
    <col min="1" max="1" width="1.44140625" style="109" customWidth="1"/>
    <col min="2" max="2" width="7.33203125" style="109" customWidth="1"/>
    <col min="3" max="3" width="15.88671875" style="108" customWidth="1"/>
    <col min="4" max="4" width="15.88671875" style="109" customWidth="1"/>
    <col min="5" max="6" width="30.88671875" style="109" customWidth="1"/>
    <col min="7" max="8" width="13" style="109" customWidth="1"/>
    <col min="9" max="9" width="13" style="108" customWidth="1"/>
    <col min="10" max="18" width="15.88671875" style="109" customWidth="1"/>
    <col min="19" max="19" width="60.88671875" style="110" customWidth="1"/>
    <col min="20" max="20" width="60.88671875" style="109" customWidth="1"/>
    <col min="21" max="23" width="29.88671875" style="109" customWidth="1"/>
    <col min="24" max="24" width="11" style="109"/>
    <col min="25" max="25" width="27.6640625" style="109" bestFit="1" customWidth="1"/>
    <col min="26" max="16384" width="11" style="109"/>
  </cols>
  <sheetData>
    <row r="2" spans="2:23" ht="39.950000000000003" customHeight="1">
      <c r="B2" s="106" t="s">
        <v>277</v>
      </c>
      <c r="C2" s="107"/>
      <c r="D2" s="107"/>
      <c r="E2" s="107"/>
      <c r="F2" s="107"/>
      <c r="G2" s="107"/>
      <c r="H2" s="107"/>
    </row>
    <row r="3" spans="2:23" ht="18" customHeight="1">
      <c r="B3" s="107"/>
      <c r="C3" s="107"/>
      <c r="D3" s="107"/>
      <c r="E3" s="107"/>
      <c r="F3" s="107"/>
      <c r="G3" s="107"/>
      <c r="H3" s="107"/>
    </row>
    <row r="4" spans="2:23" s="111" customFormat="1" ht="18.95" customHeight="1">
      <c r="B4" s="164" t="s">
        <v>248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5" t="s">
        <v>18</v>
      </c>
      <c r="V4" s="165"/>
      <c r="W4" s="165"/>
    </row>
    <row r="5" spans="2:23" s="113" customFormat="1" ht="20.100000000000001" customHeight="1">
      <c r="B5" s="163" t="s">
        <v>249</v>
      </c>
      <c r="C5" s="166" t="s">
        <v>269</v>
      </c>
      <c r="D5" s="166" t="s">
        <v>270</v>
      </c>
      <c r="E5" s="163" t="s">
        <v>251</v>
      </c>
      <c r="F5" s="163" t="s">
        <v>46</v>
      </c>
      <c r="G5" s="163" t="s">
        <v>272</v>
      </c>
      <c r="H5" s="163"/>
      <c r="I5" s="163"/>
      <c r="J5" s="163" t="s">
        <v>190</v>
      </c>
      <c r="K5" s="163"/>
      <c r="L5" s="163"/>
      <c r="M5" s="163" t="s">
        <v>273</v>
      </c>
      <c r="N5" s="163"/>
      <c r="O5" s="163"/>
      <c r="P5" s="163"/>
      <c r="Q5" s="163"/>
      <c r="R5" s="163"/>
      <c r="S5" s="163" t="s">
        <v>256</v>
      </c>
      <c r="T5" s="163" t="s">
        <v>257</v>
      </c>
      <c r="U5" s="163" t="s">
        <v>258</v>
      </c>
      <c r="V5" s="163" t="s">
        <v>259</v>
      </c>
      <c r="W5" s="163" t="s">
        <v>260</v>
      </c>
    </row>
    <row r="6" spans="2:23" s="113" customFormat="1" ht="20.100000000000001" customHeight="1">
      <c r="B6" s="163"/>
      <c r="C6" s="167"/>
      <c r="D6" s="167"/>
      <c r="E6" s="163"/>
      <c r="F6" s="163"/>
      <c r="G6" s="112" t="s">
        <v>43</v>
      </c>
      <c r="H6" s="112" t="s">
        <v>274</v>
      </c>
      <c r="I6" s="112" t="s">
        <v>275</v>
      </c>
      <c r="J6" s="112" t="s">
        <v>184</v>
      </c>
      <c r="K6" s="112" t="s">
        <v>189</v>
      </c>
      <c r="L6" s="112" t="s">
        <v>276</v>
      </c>
      <c r="M6" s="112" t="s">
        <v>43</v>
      </c>
      <c r="N6" s="112" t="s">
        <v>274</v>
      </c>
      <c r="O6" s="112" t="s">
        <v>275</v>
      </c>
      <c r="P6" s="112" t="s">
        <v>184</v>
      </c>
      <c r="Q6" s="112" t="s">
        <v>189</v>
      </c>
      <c r="R6" s="112" t="s">
        <v>276</v>
      </c>
      <c r="S6" s="163"/>
      <c r="T6" s="163"/>
      <c r="U6" s="163"/>
      <c r="V6" s="163"/>
      <c r="W6" s="163"/>
    </row>
    <row r="7" spans="2:23" s="111" customFormat="1" ht="39.950000000000003" customHeight="1">
      <c r="B7" s="114">
        <v>1</v>
      </c>
      <c r="C7" s="115"/>
      <c r="D7" s="122"/>
      <c r="E7" s="116"/>
      <c r="F7" s="116"/>
      <c r="G7" s="117"/>
      <c r="H7" s="117"/>
      <c r="I7" s="117"/>
      <c r="J7" s="118"/>
      <c r="K7" s="118"/>
      <c r="L7" s="117"/>
      <c r="M7" s="117"/>
      <c r="N7" s="117"/>
      <c r="O7" s="117"/>
      <c r="P7" s="117"/>
      <c r="Q7" s="117"/>
      <c r="R7" s="117"/>
      <c r="S7" s="119"/>
      <c r="T7" s="123"/>
      <c r="U7" s="121"/>
      <c r="V7" s="121"/>
      <c r="W7" s="121"/>
    </row>
    <row r="8" spans="2:23" s="111" customFormat="1" ht="39.950000000000003" customHeight="1">
      <c r="B8" s="114">
        <v>2</v>
      </c>
      <c r="C8" s="115"/>
      <c r="D8" s="122"/>
      <c r="E8" s="116"/>
      <c r="F8" s="116"/>
      <c r="G8" s="117"/>
      <c r="H8" s="117"/>
      <c r="I8" s="117"/>
      <c r="J8" s="118"/>
      <c r="K8" s="118"/>
      <c r="L8" s="117"/>
      <c r="M8" s="117"/>
      <c r="N8" s="117"/>
      <c r="O8" s="117"/>
      <c r="P8" s="117"/>
      <c r="Q8" s="117"/>
      <c r="R8" s="117"/>
      <c r="S8" s="119"/>
      <c r="T8" s="123"/>
      <c r="U8" s="121"/>
      <c r="V8" s="121"/>
      <c r="W8" s="121"/>
    </row>
    <row r="9" spans="2:23" s="111" customFormat="1" ht="39.950000000000003" customHeight="1">
      <c r="B9" s="114">
        <v>3</v>
      </c>
      <c r="C9" s="115"/>
      <c r="D9" s="122"/>
      <c r="E9" s="116"/>
      <c r="F9" s="116"/>
      <c r="G9" s="117"/>
      <c r="H9" s="117"/>
      <c r="I9" s="117"/>
      <c r="J9" s="118"/>
      <c r="K9" s="118"/>
      <c r="L9" s="117"/>
      <c r="M9" s="117"/>
      <c r="N9" s="117"/>
      <c r="O9" s="117"/>
      <c r="P9" s="117"/>
      <c r="Q9" s="117"/>
      <c r="R9" s="117"/>
      <c r="S9" s="119"/>
      <c r="T9" s="123"/>
      <c r="U9" s="121"/>
      <c r="V9" s="121"/>
      <c r="W9" s="121"/>
    </row>
    <row r="10" spans="2:23" s="111" customFormat="1" ht="39.950000000000003" customHeight="1">
      <c r="B10" s="114">
        <v>4</v>
      </c>
      <c r="C10" s="115"/>
      <c r="D10" s="122"/>
      <c r="E10" s="116"/>
      <c r="F10" s="116"/>
      <c r="G10" s="117"/>
      <c r="H10" s="117"/>
      <c r="I10" s="117"/>
      <c r="J10" s="118"/>
      <c r="K10" s="118"/>
      <c r="L10" s="117"/>
      <c r="M10" s="117"/>
      <c r="N10" s="117"/>
      <c r="O10" s="117"/>
      <c r="P10" s="117"/>
      <c r="Q10" s="117"/>
      <c r="R10" s="117"/>
      <c r="S10" s="119"/>
      <c r="T10" s="123"/>
      <c r="U10" s="121"/>
      <c r="V10" s="121"/>
      <c r="W10" s="121"/>
    </row>
    <row r="11" spans="2:23" s="111" customFormat="1" ht="39.950000000000003" customHeight="1">
      <c r="B11" s="114">
        <v>5</v>
      </c>
      <c r="C11" s="115"/>
      <c r="D11" s="122"/>
      <c r="E11" s="116"/>
      <c r="F11" s="116"/>
      <c r="G11" s="117"/>
      <c r="H11" s="117"/>
      <c r="I11" s="117"/>
      <c r="J11" s="118"/>
      <c r="K11" s="118"/>
      <c r="L11" s="117"/>
      <c r="M11" s="117"/>
      <c r="N11" s="117"/>
      <c r="O11" s="117"/>
      <c r="P11" s="117"/>
      <c r="Q11" s="117"/>
      <c r="R11" s="117"/>
      <c r="S11" s="119"/>
      <c r="T11" s="123"/>
      <c r="U11" s="121"/>
      <c r="V11" s="121"/>
      <c r="W11" s="121"/>
    </row>
    <row r="12" spans="2:23" s="111" customFormat="1" ht="39.950000000000003" customHeight="1">
      <c r="B12" s="114">
        <v>6</v>
      </c>
      <c r="C12" s="115"/>
      <c r="D12" s="122"/>
      <c r="E12" s="116"/>
      <c r="F12" s="116"/>
      <c r="G12" s="117"/>
      <c r="H12" s="117"/>
      <c r="I12" s="117"/>
      <c r="J12" s="118"/>
      <c r="K12" s="118"/>
      <c r="L12" s="117"/>
      <c r="M12" s="117"/>
      <c r="N12" s="117"/>
      <c r="O12" s="117"/>
      <c r="P12" s="117"/>
      <c r="Q12" s="117"/>
      <c r="R12" s="117"/>
      <c r="S12" s="119"/>
      <c r="T12" s="123"/>
      <c r="U12" s="121"/>
      <c r="V12" s="121"/>
      <c r="W12" s="121"/>
    </row>
    <row r="13" spans="2:23" s="111" customFormat="1" ht="39.950000000000003" customHeight="1">
      <c r="B13" s="114">
        <v>7</v>
      </c>
      <c r="C13" s="115"/>
      <c r="D13" s="122"/>
      <c r="E13" s="116"/>
      <c r="F13" s="116"/>
      <c r="G13" s="117"/>
      <c r="H13" s="117"/>
      <c r="I13" s="117"/>
      <c r="J13" s="118"/>
      <c r="K13" s="118"/>
      <c r="L13" s="117"/>
      <c r="M13" s="117"/>
      <c r="N13" s="117"/>
      <c r="O13" s="117"/>
      <c r="P13" s="117"/>
      <c r="Q13" s="117"/>
      <c r="R13" s="117"/>
      <c r="S13" s="119"/>
      <c r="T13" s="123"/>
      <c r="U13" s="121"/>
      <c r="V13" s="121"/>
      <c r="W13" s="121"/>
    </row>
    <row r="14" spans="2:23" s="111" customFormat="1" ht="39.950000000000003" customHeight="1">
      <c r="B14" s="114">
        <v>8</v>
      </c>
      <c r="C14" s="115"/>
      <c r="D14" s="122"/>
      <c r="E14" s="116"/>
      <c r="F14" s="116"/>
      <c r="G14" s="117"/>
      <c r="H14" s="117"/>
      <c r="I14" s="117"/>
      <c r="J14" s="118"/>
      <c r="K14" s="118"/>
      <c r="L14" s="117"/>
      <c r="M14" s="117"/>
      <c r="N14" s="117"/>
      <c r="O14" s="117"/>
      <c r="P14" s="117"/>
      <c r="Q14" s="117"/>
      <c r="R14" s="117"/>
      <c r="S14" s="119"/>
      <c r="T14" s="123"/>
      <c r="U14" s="121"/>
      <c r="V14" s="121"/>
      <c r="W14" s="121"/>
    </row>
    <row r="15" spans="2:23" s="111" customFormat="1" ht="39.950000000000003" customHeight="1">
      <c r="B15" s="114">
        <v>9</v>
      </c>
      <c r="C15" s="115"/>
      <c r="D15" s="122"/>
      <c r="E15" s="116"/>
      <c r="F15" s="116"/>
      <c r="G15" s="117"/>
      <c r="H15" s="117"/>
      <c r="I15" s="117"/>
      <c r="J15" s="118"/>
      <c r="K15" s="118"/>
      <c r="L15" s="117"/>
      <c r="M15" s="117"/>
      <c r="N15" s="117"/>
      <c r="O15" s="117"/>
      <c r="P15" s="117"/>
      <c r="Q15" s="117"/>
      <c r="R15" s="117"/>
      <c r="S15" s="119"/>
      <c r="T15" s="123"/>
      <c r="U15" s="121"/>
      <c r="V15" s="121"/>
      <c r="W15" s="121"/>
    </row>
    <row r="16" spans="2:23" s="111" customFormat="1" ht="39.950000000000003" customHeight="1">
      <c r="B16" s="114">
        <v>10</v>
      </c>
      <c r="C16" s="115"/>
      <c r="D16" s="122"/>
      <c r="E16" s="116"/>
      <c r="F16" s="116"/>
      <c r="G16" s="117"/>
      <c r="H16" s="117"/>
      <c r="I16" s="117"/>
      <c r="J16" s="118"/>
      <c r="K16" s="118"/>
      <c r="L16" s="117"/>
      <c r="M16" s="117"/>
      <c r="N16" s="117"/>
      <c r="O16" s="117"/>
      <c r="P16" s="117"/>
      <c r="Q16" s="117"/>
      <c r="R16" s="117"/>
      <c r="S16" s="119"/>
      <c r="T16" s="123"/>
      <c r="U16" s="121"/>
      <c r="V16" s="121"/>
      <c r="W16" s="121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BDF3-4EEA-48B2-AA5A-D04F334423CF}">
  <sheetPr codeName="Sheet8"/>
  <dimension ref="B2:N10"/>
  <sheetViews>
    <sheetView showGridLines="0" zoomScaleNormal="100" workbookViewId="0">
      <selection activeCell="J14" sqref="J14"/>
    </sheetView>
  </sheetViews>
  <sheetFormatPr defaultColWidth="11" defaultRowHeight="18"/>
  <cols>
    <col min="1" max="1" width="1.44140625" style="109" customWidth="1"/>
    <col min="2" max="2" width="7.33203125" style="109" customWidth="1"/>
    <col min="3" max="6" width="30.88671875" style="108" customWidth="1"/>
    <col min="7" max="7" width="30.88671875" style="109" customWidth="1"/>
    <col min="8" max="9" width="20.88671875" style="109" customWidth="1"/>
    <col min="10" max="10" width="60.88671875" style="110" customWidth="1"/>
    <col min="11" max="11" width="60.88671875" style="109" customWidth="1"/>
    <col min="12" max="14" width="29.88671875" style="109" customWidth="1"/>
    <col min="15" max="15" width="11" style="109"/>
    <col min="16" max="16" width="27.6640625" style="109" bestFit="1" customWidth="1"/>
    <col min="17" max="16384" width="11" style="109"/>
  </cols>
  <sheetData>
    <row r="2" spans="2:14" ht="39.950000000000003" customHeight="1">
      <c r="B2" s="106" t="s">
        <v>278</v>
      </c>
      <c r="C2" s="107"/>
      <c r="D2" s="107"/>
      <c r="E2" s="107"/>
      <c r="F2" s="107"/>
      <c r="G2" s="107"/>
      <c r="H2" s="107"/>
    </row>
    <row r="3" spans="2:14" ht="18" customHeight="1">
      <c r="B3" s="107"/>
      <c r="C3" s="107"/>
      <c r="D3" s="107"/>
      <c r="E3" s="107"/>
      <c r="F3" s="107"/>
      <c r="G3" s="107"/>
      <c r="H3" s="107"/>
    </row>
    <row r="4" spans="2:14" s="111" customFormat="1" ht="18.95" customHeight="1">
      <c r="B4" s="164" t="s">
        <v>248</v>
      </c>
      <c r="C4" s="164"/>
      <c r="D4" s="164"/>
      <c r="E4" s="164"/>
      <c r="F4" s="164"/>
      <c r="G4" s="164"/>
      <c r="H4" s="164"/>
      <c r="I4" s="164"/>
      <c r="J4" s="164"/>
      <c r="K4" s="164"/>
      <c r="L4" s="165" t="s">
        <v>18</v>
      </c>
      <c r="M4" s="165"/>
      <c r="N4" s="165"/>
    </row>
    <row r="5" spans="2:14" s="113" customFormat="1" ht="20.100000000000001" customHeight="1">
      <c r="B5" s="112" t="s">
        <v>249</v>
      </c>
      <c r="C5" s="127" t="s">
        <v>279</v>
      </c>
      <c r="D5" s="127" t="s">
        <v>280</v>
      </c>
      <c r="E5" s="127" t="s">
        <v>281</v>
      </c>
      <c r="F5" s="127" t="s">
        <v>282</v>
      </c>
      <c r="G5" s="127" t="s">
        <v>283</v>
      </c>
      <c r="H5" s="112" t="s">
        <v>272</v>
      </c>
      <c r="I5" s="112" t="s">
        <v>273</v>
      </c>
      <c r="J5" s="127" t="s">
        <v>256</v>
      </c>
      <c r="K5" s="127" t="s">
        <v>257</v>
      </c>
      <c r="L5" s="127" t="s">
        <v>258</v>
      </c>
      <c r="M5" s="127" t="s">
        <v>259</v>
      </c>
      <c r="N5" s="127" t="s">
        <v>260</v>
      </c>
    </row>
    <row r="6" spans="2:14" s="111" customFormat="1" ht="39.950000000000003" customHeight="1">
      <c r="B6" s="114">
        <v>1</v>
      </c>
      <c r="C6" s="128"/>
      <c r="D6" s="128"/>
      <c r="E6" s="128"/>
      <c r="F6" s="128"/>
      <c r="G6" s="122"/>
      <c r="H6" s="117"/>
      <c r="I6" s="117"/>
      <c r="J6" s="119"/>
      <c r="K6" s="123"/>
      <c r="L6" s="121"/>
      <c r="M6" s="121"/>
      <c r="N6" s="121"/>
    </row>
    <row r="7" spans="2:14" s="111" customFormat="1" ht="39.950000000000003" customHeight="1">
      <c r="B7" s="114">
        <v>2</v>
      </c>
      <c r="C7" s="115"/>
      <c r="D7" s="115"/>
      <c r="E7" s="115"/>
      <c r="F7" s="115"/>
      <c r="G7" s="122"/>
      <c r="H7" s="117"/>
      <c r="I7" s="117"/>
      <c r="J7" s="119"/>
      <c r="K7" s="123"/>
      <c r="L7" s="121"/>
      <c r="M7" s="121"/>
      <c r="N7" s="121"/>
    </row>
    <row r="8" spans="2:14" s="111" customFormat="1" ht="39.950000000000003" customHeight="1">
      <c r="B8" s="114">
        <v>3</v>
      </c>
      <c r="C8" s="115"/>
      <c r="D8" s="115"/>
      <c r="E8" s="115"/>
      <c r="F8" s="115"/>
      <c r="G8" s="122"/>
      <c r="H8" s="117"/>
      <c r="I8" s="117"/>
      <c r="J8" s="119"/>
      <c r="K8" s="123"/>
      <c r="L8" s="121"/>
      <c r="M8" s="121"/>
      <c r="N8" s="121"/>
    </row>
    <row r="9" spans="2:14" s="111" customFormat="1" ht="39.950000000000003" customHeight="1">
      <c r="B9" s="114">
        <v>4</v>
      </c>
      <c r="C9" s="115"/>
      <c r="D9" s="115"/>
      <c r="E9" s="115"/>
      <c r="F9" s="115"/>
      <c r="G9" s="122"/>
      <c r="H9" s="117"/>
      <c r="I9" s="117"/>
      <c r="J9" s="119"/>
      <c r="K9" s="123"/>
      <c r="L9" s="121"/>
      <c r="M9" s="121"/>
      <c r="N9" s="121"/>
    </row>
    <row r="10" spans="2:14" s="111" customFormat="1" ht="39.950000000000003" customHeight="1">
      <c r="B10" s="114">
        <v>5</v>
      </c>
      <c r="C10" s="115"/>
      <c r="D10" s="115"/>
      <c r="E10" s="115"/>
      <c r="F10" s="115"/>
      <c r="G10" s="122"/>
      <c r="H10" s="117"/>
      <c r="I10" s="117"/>
      <c r="J10" s="119"/>
      <c r="K10" s="123"/>
      <c r="L10" s="121"/>
      <c r="M10" s="121"/>
      <c r="N10" s="121"/>
    </row>
  </sheetData>
  <mergeCells count="2">
    <mergeCell ref="B4:K4"/>
    <mergeCell ref="L4:N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D349-468C-4B06-B9B5-5AEB46662492}">
  <sheetPr codeName="Sheet9"/>
  <dimension ref="B2:E3"/>
  <sheetViews>
    <sheetView showGridLines="0" workbookViewId="0">
      <selection activeCell="J14" sqref="J14"/>
    </sheetView>
  </sheetViews>
  <sheetFormatPr defaultColWidth="11.5546875" defaultRowHeight="17.25"/>
  <cols>
    <col min="1" max="1" width="1.88671875" customWidth="1"/>
    <col min="2" max="4" width="15.88671875" customWidth="1"/>
    <col min="5" max="5" width="90.88671875" customWidth="1"/>
  </cols>
  <sheetData>
    <row r="2" spans="2:5">
      <c r="B2" s="129" t="s">
        <v>284</v>
      </c>
      <c r="C2" s="129" t="s">
        <v>285</v>
      </c>
      <c r="D2" s="129" t="s">
        <v>286</v>
      </c>
      <c r="E2" s="129" t="s">
        <v>287</v>
      </c>
    </row>
    <row r="3" spans="2:5">
      <c r="B3" s="130">
        <v>1</v>
      </c>
      <c r="C3" s="131">
        <v>43315</v>
      </c>
      <c r="D3" s="132" t="s">
        <v>288</v>
      </c>
      <c r="E3" s="133" t="s">
        <v>289</v>
      </c>
    </row>
  </sheetData>
  <phoneticPr fontId="10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2025-04-21T23:14:18Z</dcterms:modified>
</cp:coreProperties>
</file>