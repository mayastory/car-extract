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01\Desktop\Memphis templates (2)\Memphis templates\LGIT\"/>
    </mc:Choice>
  </mc:AlternateContent>
  <xr:revisionPtr revIDLastSave="0" documentId="13_ncr:1_{FA369471-F552-486A-9317-8D22D111460F}" xr6:coauthVersionLast="47" xr6:coauthVersionMax="47" xr10:uidLastSave="{00000000-0000-0000-0000-000000000000}"/>
  <bookViews>
    <workbookView xWindow="28680" yWindow="-120" windowWidth="29040" windowHeight="15720" xr2:uid="{558B7DC1-779D-BB42-B43A-ED7A08375808}"/>
  </bookViews>
  <sheets>
    <sheet name="Waiver Summary" sheetId="5" r:id="rId1"/>
    <sheet name="Shipping Lot List" sheetId="20" r:id="rId2"/>
    <sheet name="FAI" sheetId="24" r:id="rId3"/>
    <sheet name="SPC" sheetId="25" r:id="rId4"/>
    <sheet name="Cosmetic Waivers" sheetId="15" r:id="rId5"/>
    <sheet name="Dimensional Waivers" sheetId="16" r:id="rId6"/>
    <sheet name="Functional Waivers" sheetId="17" r:id="rId7"/>
    <sheet name="Reliability Waivers" sheetId="18" r:id="rId8"/>
    <sheet name="Rev History" sheetId="19" r:id="rId9"/>
  </sheet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1" hidden="1">'Shipping Lot List'!$B$1:$I$2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p_meth">#REF!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[0]!ㅂㅂㅂ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5" l="1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33" i="25"/>
  <c r="K34" i="25"/>
  <c r="K35" i="25"/>
  <c r="K36" i="25"/>
  <c r="K37" i="25"/>
  <c r="K38" i="25"/>
  <c r="K39" i="25"/>
  <c r="K40" i="25"/>
  <c r="K41" i="25"/>
  <c r="K42" i="25"/>
  <c r="K43" i="25"/>
  <c r="K44" i="25"/>
  <c r="K45" i="25"/>
  <c r="K46" i="25"/>
  <c r="K47" i="25"/>
  <c r="K48" i="25"/>
  <c r="K49" i="25"/>
  <c r="K50" i="25"/>
  <c r="K51" i="25"/>
  <c r="K52" i="25"/>
  <c r="K53" i="25"/>
  <c r="K54" i="25"/>
  <c r="K55" i="25"/>
  <c r="K56" i="25"/>
  <c r="K57" i="25"/>
  <c r="K58" i="25"/>
  <c r="K59" i="25"/>
  <c r="K60" i="25"/>
  <c r="K61" i="25"/>
  <c r="K62" i="25"/>
  <c r="K63" i="25"/>
  <c r="K64" i="25"/>
  <c r="K65" i="25"/>
  <c r="K66" i="25"/>
  <c r="K67" i="25"/>
  <c r="K68" i="25"/>
  <c r="K69" i="25"/>
  <c r="K70" i="25"/>
  <c r="K71" i="25"/>
  <c r="K72" i="25"/>
  <c r="K73" i="25"/>
  <c r="K74" i="25"/>
  <c r="K75" i="25"/>
  <c r="K76" i="25"/>
  <c r="K77" i="25"/>
  <c r="K78" i="25"/>
  <c r="K79" i="25"/>
  <c r="K80" i="25"/>
  <c r="K81" i="25"/>
  <c r="K82" i="25"/>
  <c r="K83" i="25"/>
  <c r="K84" i="25"/>
  <c r="K85" i="25"/>
  <c r="K86" i="25"/>
  <c r="K87" i="25"/>
  <c r="K88" i="25"/>
  <c r="K89" i="25"/>
  <c r="K90" i="25"/>
  <c r="K91" i="25"/>
  <c r="K92" i="25"/>
  <c r="K93" i="25"/>
  <c r="K94" i="25"/>
  <c r="K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33" i="25"/>
  <c r="J34" i="25"/>
  <c r="J35" i="25"/>
  <c r="J36" i="25"/>
  <c r="J37" i="25"/>
  <c r="J38" i="25"/>
  <c r="J39" i="25"/>
  <c r="J40" i="25"/>
  <c r="J41" i="25"/>
  <c r="J42" i="25"/>
  <c r="J43" i="25"/>
  <c r="J44" i="25"/>
  <c r="J45" i="25"/>
  <c r="J46" i="25"/>
  <c r="J47" i="25"/>
  <c r="J48" i="25"/>
  <c r="J49" i="25"/>
  <c r="J50" i="25"/>
  <c r="J51" i="25"/>
  <c r="J52" i="25"/>
  <c r="J53" i="25"/>
  <c r="J54" i="25"/>
  <c r="J55" i="25"/>
  <c r="J56" i="25"/>
  <c r="J57" i="25"/>
  <c r="J58" i="25"/>
  <c r="J59" i="25"/>
  <c r="J60" i="25"/>
  <c r="J61" i="25"/>
  <c r="J62" i="25"/>
  <c r="J63" i="25"/>
  <c r="J64" i="25"/>
  <c r="J65" i="25"/>
  <c r="J66" i="25"/>
  <c r="J67" i="25"/>
  <c r="J68" i="25"/>
  <c r="J69" i="25"/>
  <c r="J70" i="25"/>
  <c r="J71" i="25"/>
  <c r="J72" i="25"/>
  <c r="J73" i="25"/>
  <c r="J74" i="25"/>
  <c r="J75" i="25"/>
  <c r="J76" i="25"/>
  <c r="J77" i="25"/>
  <c r="J78" i="25"/>
  <c r="J79" i="25"/>
  <c r="J80" i="25"/>
  <c r="J81" i="25"/>
  <c r="J82" i="25"/>
  <c r="J83" i="25"/>
  <c r="J84" i="25"/>
  <c r="J85" i="25"/>
  <c r="J86" i="25"/>
  <c r="J87" i="25"/>
  <c r="J88" i="25"/>
  <c r="J89" i="25"/>
  <c r="J90" i="25"/>
  <c r="J91" i="25"/>
  <c r="J92" i="25"/>
  <c r="J93" i="25"/>
  <c r="J94" i="25"/>
  <c r="J6" i="25"/>
  <c r="W156" i="24" l="1" a="1"/>
  <c r="W156" i="24" s="1"/>
  <c r="W155" i="24" a="1"/>
  <c r="W155" i="24" s="1"/>
  <c r="W154" i="24" a="1"/>
  <c r="W154" i="24" s="1"/>
  <c r="W153" i="24" a="1"/>
  <c r="W153" i="24" s="1"/>
  <c r="W152" i="24" a="1"/>
  <c r="W152" i="24" s="1"/>
  <c r="W151" i="24" a="1"/>
  <c r="W151" i="24" s="1"/>
  <c r="W150" i="24" a="1"/>
  <c r="W150" i="24" s="1"/>
  <c r="W149" i="24" a="1"/>
  <c r="W149" i="24" s="1"/>
  <c r="W148" i="24" a="1"/>
  <c r="W148" i="24" s="1"/>
  <c r="W147" i="24" a="1"/>
  <c r="W147" i="24" s="1"/>
  <c r="W146" i="24" a="1"/>
  <c r="W146" i="24" s="1"/>
  <c r="W145" i="24" a="1"/>
  <c r="W145" i="24" s="1"/>
  <c r="W144" i="24" a="1"/>
  <c r="W144" i="24" s="1"/>
  <c r="W143" i="24" a="1"/>
  <c r="W143" i="24" s="1"/>
  <c r="W142" i="24" a="1"/>
  <c r="W142" i="24" s="1"/>
  <c r="W141" i="24"/>
  <c r="W141" i="24" a="1"/>
  <c r="W140" i="24" a="1"/>
  <c r="W140" i="24" s="1"/>
  <c r="W139" i="24" a="1"/>
  <c r="W139" i="24" s="1"/>
  <c r="W138" i="24" a="1"/>
  <c r="W138" i="24" s="1"/>
  <c r="W137" i="24" a="1"/>
  <c r="W137" i="24" s="1"/>
  <c r="W136" i="24" a="1"/>
  <c r="W136" i="24" s="1"/>
  <c r="W135" i="24" a="1"/>
  <c r="W135" i="24" s="1"/>
  <c r="W134" i="24" a="1"/>
  <c r="W134" i="24" s="1"/>
  <c r="W133" i="24"/>
  <c r="W133" i="24" a="1"/>
  <c r="W132" i="24" a="1"/>
  <c r="W132" i="24" s="1"/>
  <c r="W131" i="24" a="1"/>
  <c r="W131" i="24" s="1"/>
  <c r="W130" i="24" a="1"/>
  <c r="W130" i="24" s="1"/>
  <c r="W129" i="24" a="1"/>
  <c r="W129" i="24" s="1"/>
  <c r="W128" i="24" a="1"/>
  <c r="W128" i="24" s="1"/>
  <c r="W127" i="24" a="1"/>
  <c r="W127" i="24" s="1"/>
  <c r="W126" i="24" a="1"/>
  <c r="W126" i="24" s="1"/>
  <c r="W125" i="24"/>
  <c r="W125" i="24" a="1"/>
  <c r="W124" i="24" a="1"/>
  <c r="W124" i="24" s="1"/>
  <c r="W123" i="24" a="1"/>
  <c r="W123" i="24" s="1"/>
  <c r="W122" i="24" a="1"/>
  <c r="W122" i="24" s="1"/>
  <c r="W121" i="24" a="1"/>
  <c r="W121" i="24" s="1"/>
  <c r="W120" i="24" a="1"/>
  <c r="W120" i="24" s="1"/>
  <c r="W119" i="24" a="1"/>
  <c r="W119" i="24" s="1"/>
  <c r="W118" i="24" a="1"/>
  <c r="W118" i="24" s="1"/>
  <c r="W117" i="24"/>
  <c r="W117" i="24" a="1"/>
  <c r="W116" i="24" a="1"/>
  <c r="W116" i="24" s="1"/>
  <c r="W115" i="24" a="1"/>
  <c r="W115" i="24" s="1"/>
  <c r="W114" i="24" a="1"/>
  <c r="W114" i="24" s="1"/>
  <c r="W113" i="24" a="1"/>
  <c r="W113" i="24" s="1"/>
  <c r="W112" i="24" a="1"/>
  <c r="W112" i="24" s="1"/>
  <c r="W111" i="24" a="1"/>
  <c r="W111" i="24" s="1"/>
  <c r="W110" i="24" a="1"/>
  <c r="W110" i="24" s="1"/>
  <c r="W109" i="24" a="1"/>
  <c r="W109" i="24" s="1"/>
  <c r="W108" i="24" a="1"/>
  <c r="W108" i="24" s="1"/>
  <c r="W107" i="24" a="1"/>
  <c r="W107" i="24" s="1"/>
  <c r="W106" i="24" a="1"/>
  <c r="W106" i="24" s="1"/>
  <c r="W105" i="24" a="1"/>
  <c r="W105" i="24" s="1"/>
  <c r="W104" i="24" a="1"/>
  <c r="W104" i="24" s="1"/>
  <c r="W103" i="24" a="1"/>
  <c r="W103" i="24" s="1"/>
  <c r="W102" i="24" a="1"/>
  <c r="W102" i="24" s="1"/>
  <c r="W101" i="24" a="1"/>
  <c r="W101" i="24" s="1"/>
  <c r="W100" i="24" a="1"/>
  <c r="W100" i="24" s="1"/>
  <c r="W99" i="24" a="1"/>
  <c r="W99" i="24" s="1"/>
  <c r="W98" i="24" a="1"/>
  <c r="W98" i="24" s="1"/>
  <c r="W97" i="24" a="1"/>
  <c r="W97" i="24" s="1"/>
  <c r="W96" i="24" a="1"/>
  <c r="W96" i="24" s="1"/>
  <c r="W95" i="24" a="1"/>
  <c r="W95" i="24" s="1"/>
  <c r="W94" i="24" a="1"/>
  <c r="W94" i="24" s="1"/>
  <c r="W93" i="24" a="1"/>
  <c r="W93" i="24" s="1"/>
  <c r="W92" i="24" a="1"/>
  <c r="W92" i="24" s="1"/>
  <c r="W91" i="24" a="1"/>
  <c r="W91" i="24" s="1"/>
  <c r="W90" i="24" a="1"/>
  <c r="W90" i="24" s="1"/>
  <c r="W89" i="24" a="1"/>
  <c r="W89" i="24" s="1"/>
  <c r="W88" i="24" a="1"/>
  <c r="W88" i="24" s="1"/>
  <c r="W87" i="24" a="1"/>
  <c r="W87" i="24" s="1"/>
  <c r="W86" i="24" a="1"/>
  <c r="W86" i="24" s="1"/>
  <c r="W85" i="24" a="1"/>
  <c r="W85" i="24" s="1"/>
  <c r="W84" i="24" a="1"/>
  <c r="W84" i="24" s="1"/>
  <c r="W83" i="24" a="1"/>
  <c r="W83" i="24" s="1"/>
  <c r="W82" i="24" a="1"/>
  <c r="W82" i="24" s="1"/>
  <c r="W81" i="24" a="1"/>
  <c r="W81" i="24" s="1"/>
  <c r="W80" i="24" a="1"/>
  <c r="W80" i="24" s="1"/>
  <c r="W79" i="24" a="1"/>
  <c r="W79" i="24" s="1"/>
  <c r="W78" i="24" a="1"/>
  <c r="W78" i="24" s="1"/>
  <c r="W77" i="24" a="1"/>
  <c r="W77" i="24" s="1"/>
  <c r="W76" i="24" a="1"/>
  <c r="W76" i="24" s="1"/>
  <c r="W75" i="24" a="1"/>
  <c r="W75" i="24" s="1"/>
  <c r="W74" i="24" a="1"/>
  <c r="W74" i="24" s="1"/>
  <c r="W73" i="24" a="1"/>
  <c r="W73" i="24" s="1"/>
  <c r="W72" i="24" a="1"/>
  <c r="W72" i="24" s="1"/>
  <c r="W71" i="24" a="1"/>
  <c r="W71" i="24" s="1"/>
  <c r="W70" i="24" a="1"/>
  <c r="W70" i="24" s="1"/>
  <c r="W69" i="24" a="1"/>
  <c r="W69" i="24" s="1"/>
  <c r="W68" i="24" a="1"/>
  <c r="W68" i="24" s="1"/>
  <c r="W67" i="24" a="1"/>
  <c r="W67" i="24" s="1"/>
  <c r="W66" i="24" a="1"/>
  <c r="W66" i="24" s="1"/>
  <c r="W65" i="24" a="1"/>
  <c r="W65" i="24" s="1"/>
  <c r="W64" i="24" a="1"/>
  <c r="W64" i="24" s="1"/>
  <c r="W63" i="24" a="1"/>
  <c r="W63" i="24" s="1"/>
  <c r="W62" i="24" a="1"/>
  <c r="W62" i="24" s="1"/>
  <c r="W61" i="24" a="1"/>
  <c r="W61" i="24" s="1"/>
  <c r="W60" i="24" a="1"/>
  <c r="W60" i="24" s="1"/>
  <c r="W59" i="24" a="1"/>
  <c r="W59" i="24" s="1"/>
  <c r="W58" i="24" a="1"/>
  <c r="W58" i="24" s="1"/>
  <c r="W57" i="24" a="1"/>
  <c r="W57" i="24" s="1"/>
  <c r="W56" i="24" a="1"/>
  <c r="W56" i="24" s="1"/>
  <c r="W55" i="24" a="1"/>
  <c r="W55" i="24" s="1"/>
  <c r="W54" i="24" a="1"/>
  <c r="W54" i="24" s="1"/>
  <c r="W53" i="24" a="1"/>
  <c r="W53" i="24" s="1"/>
  <c r="W52" i="24" a="1"/>
  <c r="W52" i="24" s="1"/>
  <c r="W51" i="24" a="1"/>
  <c r="W51" i="24" s="1"/>
  <c r="W50" i="24" a="1"/>
  <c r="W50" i="24" s="1"/>
  <c r="W49" i="24" a="1"/>
  <c r="W49" i="24" s="1"/>
  <c r="W48" i="24" a="1"/>
  <c r="W48" i="24" s="1"/>
  <c r="W47" i="24" a="1"/>
  <c r="W47" i="24" s="1"/>
  <c r="W46" i="24" a="1"/>
  <c r="W46" i="24" s="1"/>
  <c r="W45" i="24" a="1"/>
  <c r="W45" i="24" s="1"/>
  <c r="W44" i="24" a="1"/>
  <c r="W44" i="24" s="1"/>
  <c r="W43" i="24" a="1"/>
  <c r="W43" i="24" s="1"/>
  <c r="W42" i="24" a="1"/>
  <c r="W42" i="24" s="1"/>
  <c r="W41" i="24" a="1"/>
  <c r="W41" i="24" s="1"/>
  <c r="W40" i="24" a="1"/>
  <c r="W40" i="24" s="1"/>
  <c r="W39" i="24" a="1"/>
  <c r="W39" i="24" s="1"/>
  <c r="W38" i="24" a="1"/>
  <c r="W38" i="24" s="1"/>
  <c r="W37" i="24" a="1"/>
  <c r="W37" i="24" s="1"/>
  <c r="W36" i="24" a="1"/>
  <c r="W36" i="24" s="1"/>
  <c r="W35" i="24" a="1"/>
  <c r="W35" i="24" s="1"/>
  <c r="W34" i="24" a="1"/>
  <c r="W34" i="24" s="1"/>
  <c r="W33" i="24" a="1"/>
  <c r="W33" i="24" s="1"/>
  <c r="W32" i="24" a="1"/>
  <c r="W32" i="24" s="1"/>
  <c r="W31" i="24" a="1"/>
  <c r="W31" i="24" s="1"/>
  <c r="W30" i="24" a="1"/>
  <c r="W30" i="24" s="1"/>
  <c r="W29" i="24" a="1"/>
  <c r="W29" i="24" s="1"/>
  <c r="W28" i="24" a="1"/>
  <c r="W28" i="24" s="1"/>
  <c r="W27" i="24" a="1"/>
  <c r="W27" i="24" s="1"/>
  <c r="W26" i="24" a="1"/>
  <c r="W26" i="24" s="1"/>
  <c r="W25" i="24" a="1"/>
  <c r="W25" i="24" s="1"/>
  <c r="W24" i="24" a="1"/>
  <c r="W24" i="24" s="1"/>
  <c r="W23" i="24" a="1"/>
  <c r="W23" i="24" s="1"/>
  <c r="W22" i="24" a="1"/>
  <c r="W22" i="24" s="1"/>
  <c r="W21" i="24" a="1"/>
  <c r="W21" i="24" s="1"/>
  <c r="W20" i="24" a="1"/>
  <c r="W20" i="24" s="1"/>
  <c r="W19" i="24" a="1"/>
  <c r="W19" i="24" s="1"/>
  <c r="W18" i="24" a="1"/>
  <c r="W18" i="24" s="1"/>
  <c r="W17" i="24" a="1"/>
  <c r="W17" i="24" s="1"/>
  <c r="W16" i="24" a="1"/>
  <c r="W16" i="24" s="1"/>
  <c r="W15" i="24" a="1"/>
  <c r="W15" i="24" s="1"/>
  <c r="W14" i="24" a="1"/>
  <c r="W14" i="24" s="1"/>
  <c r="W13" i="24" a="1"/>
  <c r="W13" i="24" s="1"/>
  <c r="W12" i="24" a="1"/>
  <c r="W12" i="24" s="1"/>
  <c r="W11" i="24" a="1"/>
  <c r="W11" i="24" s="1"/>
  <c r="W10" i="24" a="1"/>
  <c r="W10" i="24" s="1"/>
  <c r="W9" i="24" a="1"/>
  <c r="W9" i="24" s="1"/>
  <c r="W8" i="24" a="1"/>
  <c r="W8" i="24" s="1"/>
  <c r="W7" i="24" a="1"/>
  <c r="W7" i="24" s="1"/>
  <c r="W6" i="24" a="1"/>
  <c r="W6" i="24" s="1"/>
  <c r="W157" i="24" l="1"/>
  <c r="AH7" i="25" a="1"/>
  <c r="AH7" i="25" s="1"/>
  <c r="AH8" i="25" a="1"/>
  <c r="AH8" i="25" s="1"/>
  <c r="AH9" i="25" a="1"/>
  <c r="AH9" i="25" s="1"/>
  <c r="AH10" i="25" a="1"/>
  <c r="AH10" i="25" s="1"/>
  <c r="AH11" i="25" a="1"/>
  <c r="AH11" i="25" s="1"/>
  <c r="AH12" i="25" a="1"/>
  <c r="AH12" i="25"/>
  <c r="AH13" i="25" a="1"/>
  <c r="AH13" i="25" s="1"/>
  <c r="AH14" i="25" a="1"/>
  <c r="AH14" i="25" s="1"/>
  <c r="AH15" i="25" a="1"/>
  <c r="AH15" i="25" s="1"/>
  <c r="AH16" i="25" a="1"/>
  <c r="AH16" i="25" s="1"/>
  <c r="AH17" i="25" a="1"/>
  <c r="AH17" i="25" s="1"/>
  <c r="AH18" i="25" a="1"/>
  <c r="AH18" i="25" s="1"/>
  <c r="AH19" i="25" a="1"/>
  <c r="AH19" i="25" s="1"/>
  <c r="AH20" i="25" a="1"/>
  <c r="AH20" i="25"/>
  <c r="AH21" i="25" a="1"/>
  <c r="AH21" i="25" s="1"/>
  <c r="AH22" i="25" a="1"/>
  <c r="AH22" i="25" s="1"/>
  <c r="AH23" i="25" a="1"/>
  <c r="AH23" i="25" s="1"/>
  <c r="AH24" i="25" a="1"/>
  <c r="AH24" i="25" s="1"/>
  <c r="AH25" i="25" a="1"/>
  <c r="AH25" i="25" s="1"/>
  <c r="AH26" i="25" a="1"/>
  <c r="AH26" i="25" s="1"/>
  <c r="AH27" i="25" a="1"/>
  <c r="AH27" i="25" s="1"/>
  <c r="AH28" i="25" a="1"/>
  <c r="AH28" i="25" s="1"/>
  <c r="AH29" i="25" a="1"/>
  <c r="AH29" i="25" s="1"/>
  <c r="AH30" i="25" a="1"/>
  <c r="AH30" i="25" s="1"/>
  <c r="AH31" i="25" a="1"/>
  <c r="AH31" i="25" s="1"/>
  <c r="AH32" i="25" a="1"/>
  <c r="AH32" i="25" s="1"/>
  <c r="AH33" i="25" a="1"/>
  <c r="AH33" i="25" s="1"/>
  <c r="AH34" i="25" a="1"/>
  <c r="AH34" i="25" s="1"/>
  <c r="AH35" i="25" a="1"/>
  <c r="AH35" i="25" s="1"/>
  <c r="AH36" i="25" a="1"/>
  <c r="AH36" i="25" s="1"/>
  <c r="AH37" i="25" a="1"/>
  <c r="AH37" i="25" s="1"/>
  <c r="AH38" i="25" a="1"/>
  <c r="AH38" i="25" s="1"/>
  <c r="AH39" i="25" a="1"/>
  <c r="AH39" i="25" s="1"/>
  <c r="AH40" i="25" a="1"/>
  <c r="AH40" i="25" s="1"/>
  <c r="AH41" i="25" a="1"/>
  <c r="AH41" i="25" s="1"/>
  <c r="AH42" i="25" a="1"/>
  <c r="AH42" i="25" s="1"/>
  <c r="AH43" i="25" a="1"/>
  <c r="AH43" i="25" s="1"/>
  <c r="AH44" i="25" a="1"/>
  <c r="AH44" i="25" s="1"/>
  <c r="AH45" i="25" a="1"/>
  <c r="AH45" i="25" s="1"/>
  <c r="AH46" i="25" a="1"/>
  <c r="AH46" i="25" s="1"/>
  <c r="AH47" i="25" a="1"/>
  <c r="AH47" i="25" s="1"/>
  <c r="AH48" i="25" a="1"/>
  <c r="AH48" i="25" s="1"/>
  <c r="AH49" i="25" a="1"/>
  <c r="AH49" i="25" s="1"/>
  <c r="AH50" i="25" a="1"/>
  <c r="AH50" i="25" s="1"/>
  <c r="AH51" i="25" a="1"/>
  <c r="AH51" i="25" s="1"/>
  <c r="AH52" i="25" a="1"/>
  <c r="AH52" i="25" s="1"/>
  <c r="AH53" i="25" a="1"/>
  <c r="AH53" i="25" s="1"/>
  <c r="AH54" i="25" a="1"/>
  <c r="AH54" i="25" s="1"/>
  <c r="AH55" i="25" a="1"/>
  <c r="AH55" i="25" s="1"/>
  <c r="AH56" i="25" a="1"/>
  <c r="AH56" i="25" s="1"/>
  <c r="AH57" i="25" a="1"/>
  <c r="AH57" i="25" s="1"/>
  <c r="AH58" i="25" a="1"/>
  <c r="AH58" i="25"/>
  <c r="AH59" i="25" a="1"/>
  <c r="AH59" i="25" s="1"/>
  <c r="AH60" i="25" a="1"/>
  <c r="AH60" i="25" s="1"/>
  <c r="AH61" i="25" a="1"/>
  <c r="AH61" i="25" s="1"/>
  <c r="AH62" i="25" a="1"/>
  <c r="AH62" i="25" s="1"/>
  <c r="AH63" i="25" a="1"/>
  <c r="AH63" i="25" s="1"/>
  <c r="AH64" i="25" a="1"/>
  <c r="AH64" i="25" s="1"/>
  <c r="AH65" i="25" a="1"/>
  <c r="AH65" i="25" s="1"/>
  <c r="AH66" i="25" a="1"/>
  <c r="AH66" i="25" s="1"/>
  <c r="AH67" i="25" a="1"/>
  <c r="AH67" i="25" s="1"/>
  <c r="AH68" i="25" a="1"/>
  <c r="AH68" i="25" s="1"/>
  <c r="AH69" i="25" a="1"/>
  <c r="AH69" i="25"/>
  <c r="AH70" i="25" a="1"/>
  <c r="AH70" i="25" s="1"/>
  <c r="AH71" i="25" a="1"/>
  <c r="AH71" i="25" s="1"/>
  <c r="AH72" i="25" a="1"/>
  <c r="AH72" i="25" s="1"/>
  <c r="AH73" i="25" a="1"/>
  <c r="AH73" i="25" s="1"/>
  <c r="AH74" i="25" a="1"/>
  <c r="AH74" i="25" s="1"/>
  <c r="AH75" i="25" a="1"/>
  <c r="AH75" i="25" s="1"/>
  <c r="AH76" i="25" a="1"/>
  <c r="AH76" i="25" s="1"/>
  <c r="AH77" i="25" a="1"/>
  <c r="AH77" i="25" s="1"/>
  <c r="AH78" i="25" a="1"/>
  <c r="AH78" i="25" s="1"/>
  <c r="AH79" i="25" a="1"/>
  <c r="AH79" i="25" s="1"/>
  <c r="AH80" i="25" a="1"/>
  <c r="AH80" i="25" s="1"/>
  <c r="AH81" i="25" a="1"/>
  <c r="AH81" i="25" s="1"/>
  <c r="AH82" i="25" a="1"/>
  <c r="AH82" i="25" s="1"/>
  <c r="AH83" i="25" a="1"/>
  <c r="AH83" i="25" s="1"/>
  <c r="AH84" i="25" a="1"/>
  <c r="AH84" i="25" s="1"/>
  <c r="AH85" i="25" a="1"/>
  <c r="AH85" i="25" s="1"/>
  <c r="AH86" i="25" a="1"/>
  <c r="AH86" i="25" s="1"/>
  <c r="AH87" i="25" a="1"/>
  <c r="AH87" i="25" s="1"/>
  <c r="AH88" i="25" a="1"/>
  <c r="AH88" i="25" s="1"/>
  <c r="AH89" i="25" a="1"/>
  <c r="AH89" i="25" s="1"/>
  <c r="AH90" i="25" a="1"/>
  <c r="AH90" i="25" s="1"/>
  <c r="AH91" i="25" a="1"/>
  <c r="AH91" i="25" s="1"/>
  <c r="AH92" i="25" a="1"/>
  <c r="AH92" i="25" s="1"/>
  <c r="AH93" i="25" a="1"/>
  <c r="AH93" i="25" s="1"/>
  <c r="AH94" i="25" a="1"/>
  <c r="AH94" i="25" s="1"/>
  <c r="AH6" i="25" a="1"/>
  <c r="AH6" i="25" s="1"/>
  <c r="AH95" i="25" l="1"/>
  <c r="E7" i="5" s="1"/>
  <c r="E6" i="5" l="1"/>
  <c r="E8" i="5"/>
  <c r="T156" i="24" l="1"/>
  <c r="V156" i="24" s="1"/>
  <c r="S156" i="24"/>
  <c r="U156" i="24" s="1"/>
  <c r="R156" i="24"/>
  <c r="Q156" i="24"/>
  <c r="P156" i="24"/>
  <c r="O156" i="24"/>
  <c r="T155" i="24"/>
  <c r="V155" i="24" s="1"/>
  <c r="S155" i="24"/>
  <c r="U155" i="24" s="1"/>
  <c r="R155" i="24"/>
  <c r="Q155" i="24"/>
  <c r="P155" i="24"/>
  <c r="O155" i="24"/>
  <c r="T104" i="24" l="1"/>
  <c r="V104" i="24" s="1"/>
  <c r="S104" i="24"/>
  <c r="U104" i="24" s="1"/>
  <c r="R104" i="24"/>
  <c r="Q104" i="24"/>
  <c r="P104" i="24"/>
  <c r="O104" i="24"/>
  <c r="T103" i="24"/>
  <c r="V103" i="24" s="1"/>
  <c r="S103" i="24"/>
  <c r="U103" i="24" s="1"/>
  <c r="R103" i="24"/>
  <c r="Q103" i="24"/>
  <c r="P103" i="24"/>
  <c r="O103" i="24"/>
  <c r="T102" i="24"/>
  <c r="V102" i="24" s="1"/>
  <c r="S102" i="24"/>
  <c r="U102" i="24" s="1"/>
  <c r="R102" i="24"/>
  <c r="Q102" i="24"/>
  <c r="P102" i="24"/>
  <c r="O102" i="24"/>
  <c r="T101" i="24"/>
  <c r="V101" i="24" s="1"/>
  <c r="S101" i="24"/>
  <c r="U101" i="24" s="1"/>
  <c r="R101" i="24"/>
  <c r="Q101" i="24"/>
  <c r="P101" i="24"/>
  <c r="O101" i="24"/>
  <c r="T97" i="24"/>
  <c r="V97" i="24" s="1"/>
  <c r="S97" i="24"/>
  <c r="U97" i="24" s="1"/>
  <c r="R97" i="24"/>
  <c r="Q97" i="24"/>
  <c r="P97" i="24"/>
  <c r="O97" i="24"/>
  <c r="T96" i="24"/>
  <c r="V96" i="24" s="1"/>
  <c r="S96" i="24"/>
  <c r="U96" i="24" s="1"/>
  <c r="R96" i="24"/>
  <c r="Q96" i="24"/>
  <c r="P96" i="24"/>
  <c r="O96" i="24"/>
  <c r="T95" i="24"/>
  <c r="V95" i="24" s="1"/>
  <c r="S95" i="24"/>
  <c r="U95" i="24" s="1"/>
  <c r="R95" i="24"/>
  <c r="Q95" i="24"/>
  <c r="P95" i="24"/>
  <c r="O95" i="24"/>
  <c r="T94" i="24"/>
  <c r="V94" i="24" s="1"/>
  <c r="S94" i="24"/>
  <c r="U94" i="24" s="1"/>
  <c r="R94" i="24"/>
  <c r="Q94" i="24"/>
  <c r="P94" i="24"/>
  <c r="O94" i="24"/>
  <c r="T154" i="24"/>
  <c r="V154" i="24" s="1"/>
  <c r="S154" i="24"/>
  <c r="U154" i="24" s="1"/>
  <c r="R154" i="24"/>
  <c r="Q154" i="24"/>
  <c r="P154" i="24"/>
  <c r="O154" i="24"/>
  <c r="T153" i="24"/>
  <c r="V153" i="24" s="1"/>
  <c r="S153" i="24"/>
  <c r="U153" i="24" s="1"/>
  <c r="R153" i="24"/>
  <c r="Q153" i="24"/>
  <c r="P153" i="24"/>
  <c r="O153" i="24"/>
  <c r="T152" i="24"/>
  <c r="V152" i="24" s="1"/>
  <c r="S152" i="24"/>
  <c r="U152" i="24" s="1"/>
  <c r="R152" i="24"/>
  <c r="Q152" i="24"/>
  <c r="P152" i="24"/>
  <c r="O152" i="24"/>
  <c r="T151" i="24"/>
  <c r="V151" i="24" s="1"/>
  <c r="S151" i="24"/>
  <c r="U151" i="24" s="1"/>
  <c r="R151" i="24"/>
  <c r="Q151" i="24"/>
  <c r="P151" i="24"/>
  <c r="O151" i="24"/>
  <c r="T150" i="24"/>
  <c r="V150" i="24" s="1"/>
  <c r="S150" i="24"/>
  <c r="U150" i="24" s="1"/>
  <c r="R150" i="24"/>
  <c r="Q150" i="24"/>
  <c r="P150" i="24"/>
  <c r="O150" i="24"/>
  <c r="V149" i="24"/>
  <c r="T149" i="24"/>
  <c r="S149" i="24"/>
  <c r="U149" i="24" s="1"/>
  <c r="R149" i="24"/>
  <c r="Q149" i="24"/>
  <c r="P149" i="24"/>
  <c r="O149" i="24"/>
  <c r="T148" i="24"/>
  <c r="V148" i="24" s="1"/>
  <c r="S148" i="24"/>
  <c r="U148" i="24" s="1"/>
  <c r="R148" i="24"/>
  <c r="Q148" i="24"/>
  <c r="P148" i="24"/>
  <c r="O148" i="24"/>
  <c r="T147" i="24"/>
  <c r="V147" i="24" s="1"/>
  <c r="S147" i="24"/>
  <c r="U147" i="24" s="1"/>
  <c r="R147" i="24"/>
  <c r="Q147" i="24"/>
  <c r="P147" i="24"/>
  <c r="O147" i="24"/>
  <c r="T146" i="24"/>
  <c r="V146" i="24" s="1"/>
  <c r="S146" i="24"/>
  <c r="U146" i="24" s="1"/>
  <c r="R146" i="24"/>
  <c r="Q146" i="24"/>
  <c r="P146" i="24"/>
  <c r="O146" i="24"/>
  <c r="T145" i="24"/>
  <c r="V145" i="24" s="1"/>
  <c r="S145" i="24"/>
  <c r="U145" i="24" s="1"/>
  <c r="R145" i="24"/>
  <c r="Q145" i="24"/>
  <c r="P145" i="24"/>
  <c r="O145" i="24"/>
  <c r="T144" i="24"/>
  <c r="V144" i="24" s="1"/>
  <c r="S144" i="24"/>
  <c r="U144" i="24" s="1"/>
  <c r="R144" i="24"/>
  <c r="Q144" i="24"/>
  <c r="P144" i="24"/>
  <c r="O144" i="24"/>
  <c r="T143" i="24"/>
  <c r="V143" i="24" s="1"/>
  <c r="S143" i="24"/>
  <c r="U143" i="24" s="1"/>
  <c r="R143" i="24"/>
  <c r="Q143" i="24"/>
  <c r="P143" i="24"/>
  <c r="O143" i="24"/>
  <c r="T142" i="24"/>
  <c r="V142" i="24" s="1"/>
  <c r="S142" i="24"/>
  <c r="U142" i="24" s="1"/>
  <c r="R142" i="24"/>
  <c r="Q142" i="24"/>
  <c r="P142" i="24"/>
  <c r="O142" i="24"/>
  <c r="T141" i="24"/>
  <c r="V141" i="24" s="1"/>
  <c r="S141" i="24"/>
  <c r="U141" i="24" s="1"/>
  <c r="R141" i="24"/>
  <c r="Q141" i="24"/>
  <c r="P141" i="24"/>
  <c r="O141" i="24"/>
  <c r="T140" i="24"/>
  <c r="V140" i="24" s="1"/>
  <c r="S140" i="24"/>
  <c r="U140" i="24" s="1"/>
  <c r="R140" i="24"/>
  <c r="Q140" i="24"/>
  <c r="P140" i="24"/>
  <c r="O140" i="24"/>
  <c r="T139" i="24"/>
  <c r="V139" i="24" s="1"/>
  <c r="S139" i="24"/>
  <c r="U139" i="24" s="1"/>
  <c r="R139" i="24"/>
  <c r="Q139" i="24"/>
  <c r="P139" i="24"/>
  <c r="O139" i="24"/>
  <c r="T138" i="24"/>
  <c r="V138" i="24" s="1"/>
  <c r="S138" i="24"/>
  <c r="U138" i="24" s="1"/>
  <c r="R138" i="24"/>
  <c r="Q138" i="24"/>
  <c r="P138" i="24"/>
  <c r="O138" i="24"/>
  <c r="T137" i="24"/>
  <c r="V137" i="24" s="1"/>
  <c r="S137" i="24"/>
  <c r="U137" i="24" s="1"/>
  <c r="R137" i="24"/>
  <c r="Q137" i="24"/>
  <c r="P137" i="24"/>
  <c r="O137" i="24"/>
  <c r="T136" i="24"/>
  <c r="V136" i="24" s="1"/>
  <c r="S136" i="24"/>
  <c r="U136" i="24" s="1"/>
  <c r="R136" i="24"/>
  <c r="Q136" i="24"/>
  <c r="P136" i="24"/>
  <c r="O136" i="24"/>
  <c r="T135" i="24"/>
  <c r="V135" i="24" s="1"/>
  <c r="S135" i="24"/>
  <c r="U135" i="24" s="1"/>
  <c r="R135" i="24"/>
  <c r="Q135" i="24"/>
  <c r="P135" i="24"/>
  <c r="O135" i="24"/>
  <c r="T134" i="24"/>
  <c r="V134" i="24" s="1"/>
  <c r="S134" i="24"/>
  <c r="U134" i="24" s="1"/>
  <c r="R134" i="24"/>
  <c r="Q134" i="24"/>
  <c r="P134" i="24"/>
  <c r="O134" i="24"/>
  <c r="V133" i="24"/>
  <c r="T133" i="24"/>
  <c r="S133" i="24"/>
  <c r="U133" i="24" s="1"/>
  <c r="R133" i="24"/>
  <c r="Q133" i="24"/>
  <c r="P133" i="24"/>
  <c r="O133" i="24"/>
  <c r="V132" i="24"/>
  <c r="T132" i="24"/>
  <c r="S132" i="24"/>
  <c r="U132" i="24" s="1"/>
  <c r="R132" i="24"/>
  <c r="Q132" i="24"/>
  <c r="P132" i="24"/>
  <c r="O132" i="24"/>
  <c r="V131" i="24"/>
  <c r="T131" i="24"/>
  <c r="S131" i="24"/>
  <c r="U131" i="24" s="1"/>
  <c r="R131" i="24"/>
  <c r="Q131" i="24"/>
  <c r="P131" i="24"/>
  <c r="O131" i="24"/>
  <c r="V130" i="24"/>
  <c r="T130" i="24"/>
  <c r="S130" i="24"/>
  <c r="U130" i="24" s="1"/>
  <c r="R130" i="24"/>
  <c r="Q130" i="24"/>
  <c r="P130" i="24"/>
  <c r="O130" i="24"/>
  <c r="V129" i="24"/>
  <c r="T129" i="24"/>
  <c r="S129" i="24"/>
  <c r="U129" i="24" s="1"/>
  <c r="R129" i="24"/>
  <c r="Q129" i="24"/>
  <c r="P129" i="24"/>
  <c r="O129" i="24"/>
  <c r="T128" i="24"/>
  <c r="V128" i="24" s="1"/>
  <c r="S128" i="24"/>
  <c r="U128" i="24" s="1"/>
  <c r="R128" i="24"/>
  <c r="Q128" i="24"/>
  <c r="P128" i="24"/>
  <c r="O128" i="24"/>
  <c r="V127" i="24"/>
  <c r="T127" i="24"/>
  <c r="S127" i="24"/>
  <c r="U127" i="24" s="1"/>
  <c r="R127" i="24"/>
  <c r="Q127" i="24"/>
  <c r="P127" i="24"/>
  <c r="O127" i="24"/>
  <c r="V126" i="24"/>
  <c r="T126" i="24"/>
  <c r="S126" i="24"/>
  <c r="U126" i="24" s="1"/>
  <c r="R126" i="24"/>
  <c r="Q126" i="24"/>
  <c r="P126" i="24"/>
  <c r="O126" i="24"/>
  <c r="V125" i="24"/>
  <c r="T125" i="24"/>
  <c r="S125" i="24"/>
  <c r="U125" i="24" s="1"/>
  <c r="R125" i="24"/>
  <c r="Q125" i="24"/>
  <c r="P125" i="24"/>
  <c r="O125" i="24"/>
  <c r="V124" i="24"/>
  <c r="T124" i="24"/>
  <c r="S124" i="24"/>
  <c r="U124" i="24" s="1"/>
  <c r="R124" i="24"/>
  <c r="Q124" i="24"/>
  <c r="P124" i="24"/>
  <c r="O124" i="24"/>
  <c r="V123" i="24"/>
  <c r="T123" i="24"/>
  <c r="S123" i="24"/>
  <c r="U123" i="24" s="1"/>
  <c r="R123" i="24"/>
  <c r="Q123" i="24"/>
  <c r="P123" i="24"/>
  <c r="O123" i="24"/>
  <c r="T122" i="24"/>
  <c r="V122" i="24" s="1"/>
  <c r="S122" i="24"/>
  <c r="U122" i="24" s="1"/>
  <c r="R122" i="24"/>
  <c r="Q122" i="24"/>
  <c r="P122" i="24"/>
  <c r="O122" i="24"/>
  <c r="V121" i="24"/>
  <c r="T121" i="24"/>
  <c r="S121" i="24"/>
  <c r="U121" i="24" s="1"/>
  <c r="R121" i="24"/>
  <c r="Q121" i="24"/>
  <c r="P121" i="24"/>
  <c r="O121" i="24"/>
  <c r="V120" i="24"/>
  <c r="T120" i="24"/>
  <c r="S120" i="24"/>
  <c r="U120" i="24" s="1"/>
  <c r="R120" i="24"/>
  <c r="Q120" i="24"/>
  <c r="P120" i="24"/>
  <c r="O120" i="24"/>
  <c r="V119" i="24"/>
  <c r="T119" i="24"/>
  <c r="S119" i="24"/>
  <c r="U119" i="24" s="1"/>
  <c r="R119" i="24"/>
  <c r="Q119" i="24"/>
  <c r="P119" i="24"/>
  <c r="O119" i="24"/>
  <c r="V118" i="24"/>
  <c r="T118" i="24"/>
  <c r="S118" i="24"/>
  <c r="U118" i="24" s="1"/>
  <c r="R118" i="24"/>
  <c r="Q118" i="24"/>
  <c r="P118" i="24"/>
  <c r="O118" i="24"/>
  <c r="V117" i="24"/>
  <c r="T117" i="24"/>
  <c r="S117" i="24"/>
  <c r="U117" i="24" s="1"/>
  <c r="R117" i="24"/>
  <c r="Q117" i="24"/>
  <c r="P117" i="24"/>
  <c r="O117" i="24"/>
  <c r="T116" i="24"/>
  <c r="V116" i="24" s="1"/>
  <c r="S116" i="24"/>
  <c r="U116" i="24" s="1"/>
  <c r="R116" i="24"/>
  <c r="Q116" i="24"/>
  <c r="P116" i="24"/>
  <c r="O116" i="24"/>
  <c r="V115" i="24"/>
  <c r="T115" i="24"/>
  <c r="S115" i="24"/>
  <c r="U115" i="24" s="1"/>
  <c r="R115" i="24"/>
  <c r="Q115" i="24"/>
  <c r="P115" i="24"/>
  <c r="O115" i="24"/>
  <c r="V114" i="24"/>
  <c r="T114" i="24"/>
  <c r="S114" i="24"/>
  <c r="U114" i="24" s="1"/>
  <c r="R114" i="24"/>
  <c r="Q114" i="24"/>
  <c r="P114" i="24"/>
  <c r="O114" i="24"/>
  <c r="V113" i="24"/>
  <c r="T113" i="24"/>
  <c r="S113" i="24"/>
  <c r="U113" i="24" s="1"/>
  <c r="R113" i="24"/>
  <c r="Q113" i="24"/>
  <c r="P113" i="24"/>
  <c r="O113" i="24"/>
  <c r="V112" i="24"/>
  <c r="T112" i="24"/>
  <c r="S112" i="24"/>
  <c r="U112" i="24" s="1"/>
  <c r="R112" i="24"/>
  <c r="Q112" i="24"/>
  <c r="P112" i="24"/>
  <c r="O112" i="24"/>
  <c r="V111" i="24"/>
  <c r="T111" i="24"/>
  <c r="S111" i="24"/>
  <c r="U111" i="24" s="1"/>
  <c r="R111" i="24"/>
  <c r="Q111" i="24"/>
  <c r="P111" i="24"/>
  <c r="O111" i="24"/>
  <c r="T110" i="24"/>
  <c r="V110" i="24" s="1"/>
  <c r="S110" i="24"/>
  <c r="U110" i="24" s="1"/>
  <c r="R110" i="24"/>
  <c r="Q110" i="24"/>
  <c r="P110" i="24"/>
  <c r="O110" i="24"/>
  <c r="T109" i="24"/>
  <c r="V109" i="24" s="1"/>
  <c r="S109" i="24"/>
  <c r="U109" i="24" s="1"/>
  <c r="R109" i="24"/>
  <c r="Q109" i="24"/>
  <c r="P109" i="24"/>
  <c r="O109" i="24"/>
  <c r="T108" i="24"/>
  <c r="V108" i="24" s="1"/>
  <c r="S108" i="24"/>
  <c r="U108" i="24" s="1"/>
  <c r="R108" i="24"/>
  <c r="Q108" i="24"/>
  <c r="P108" i="24"/>
  <c r="O108" i="24"/>
  <c r="T107" i="24"/>
  <c r="V107" i="24" s="1"/>
  <c r="S107" i="24"/>
  <c r="U107" i="24" s="1"/>
  <c r="R107" i="24"/>
  <c r="Q107" i="24"/>
  <c r="P107" i="24"/>
  <c r="O107" i="24"/>
  <c r="T106" i="24"/>
  <c r="V106" i="24" s="1"/>
  <c r="S106" i="24"/>
  <c r="U106" i="24" s="1"/>
  <c r="R106" i="24"/>
  <c r="Q106" i="24"/>
  <c r="P106" i="24"/>
  <c r="O106" i="24"/>
  <c r="T105" i="24"/>
  <c r="V105" i="24" s="1"/>
  <c r="S105" i="24"/>
  <c r="U105" i="24" s="1"/>
  <c r="R105" i="24"/>
  <c r="Q105" i="24"/>
  <c r="P105" i="24"/>
  <c r="O105" i="24"/>
  <c r="T100" i="24"/>
  <c r="V100" i="24" s="1"/>
  <c r="S100" i="24"/>
  <c r="U100" i="24" s="1"/>
  <c r="R100" i="24"/>
  <c r="Q100" i="24"/>
  <c r="P100" i="24"/>
  <c r="O100" i="24"/>
  <c r="T99" i="24"/>
  <c r="V99" i="24" s="1"/>
  <c r="S99" i="24"/>
  <c r="U99" i="24" s="1"/>
  <c r="R99" i="24"/>
  <c r="Q99" i="24"/>
  <c r="P99" i="24"/>
  <c r="O99" i="24"/>
  <c r="T98" i="24"/>
  <c r="V98" i="24" s="1"/>
  <c r="S98" i="24"/>
  <c r="U98" i="24" s="1"/>
  <c r="R98" i="24"/>
  <c r="Q98" i="24"/>
  <c r="P98" i="24"/>
  <c r="O98" i="24"/>
  <c r="T93" i="24"/>
  <c r="V93" i="24" s="1"/>
  <c r="S93" i="24"/>
  <c r="U93" i="24" s="1"/>
  <c r="R93" i="24"/>
  <c r="Q93" i="24"/>
  <c r="P93" i="24"/>
  <c r="O93" i="24"/>
  <c r="T92" i="24"/>
  <c r="V92" i="24" s="1"/>
  <c r="S92" i="24"/>
  <c r="U92" i="24" s="1"/>
  <c r="R92" i="24"/>
  <c r="Q92" i="24"/>
  <c r="P92" i="24"/>
  <c r="O92" i="24"/>
  <c r="T91" i="24"/>
  <c r="V91" i="24" s="1"/>
  <c r="S91" i="24"/>
  <c r="U91" i="24" s="1"/>
  <c r="R91" i="24"/>
  <c r="Q91" i="24"/>
  <c r="P91" i="24"/>
  <c r="O91" i="24"/>
  <c r="T90" i="24"/>
  <c r="V90" i="24" s="1"/>
  <c r="S90" i="24"/>
  <c r="U90" i="24" s="1"/>
  <c r="R90" i="24"/>
  <c r="Q90" i="24"/>
  <c r="P90" i="24"/>
  <c r="O90" i="24"/>
  <c r="T89" i="24"/>
  <c r="V89" i="24" s="1"/>
  <c r="S89" i="24"/>
  <c r="U89" i="24" s="1"/>
  <c r="R89" i="24"/>
  <c r="Q89" i="24"/>
  <c r="P89" i="24"/>
  <c r="O89" i="24"/>
  <c r="T88" i="24"/>
  <c r="V88" i="24" s="1"/>
  <c r="S88" i="24"/>
  <c r="U88" i="24" s="1"/>
  <c r="R88" i="24"/>
  <c r="Q88" i="24"/>
  <c r="P88" i="24"/>
  <c r="O88" i="24"/>
  <c r="T87" i="24"/>
  <c r="V87" i="24" s="1"/>
  <c r="S87" i="24"/>
  <c r="U87" i="24" s="1"/>
  <c r="R87" i="24"/>
  <c r="Q87" i="24"/>
  <c r="P87" i="24"/>
  <c r="O87" i="24"/>
  <c r="T86" i="24"/>
  <c r="V86" i="24" s="1"/>
  <c r="S86" i="24"/>
  <c r="U86" i="24" s="1"/>
  <c r="R86" i="24"/>
  <c r="Q86" i="24"/>
  <c r="P86" i="24"/>
  <c r="O86" i="24"/>
  <c r="T85" i="24"/>
  <c r="V85" i="24" s="1"/>
  <c r="S85" i="24"/>
  <c r="U85" i="24" s="1"/>
  <c r="R85" i="24"/>
  <c r="Q85" i="24"/>
  <c r="P85" i="24"/>
  <c r="O85" i="24"/>
  <c r="T84" i="24"/>
  <c r="V84" i="24" s="1"/>
  <c r="S84" i="24"/>
  <c r="U84" i="24" s="1"/>
  <c r="R84" i="24"/>
  <c r="Q84" i="24"/>
  <c r="P84" i="24"/>
  <c r="O84" i="24"/>
  <c r="T83" i="24"/>
  <c r="V83" i="24" s="1"/>
  <c r="S83" i="24"/>
  <c r="U83" i="24" s="1"/>
  <c r="R83" i="24"/>
  <c r="Q83" i="24"/>
  <c r="P83" i="24"/>
  <c r="O83" i="24"/>
  <c r="T82" i="24"/>
  <c r="V82" i="24" s="1"/>
  <c r="S82" i="24"/>
  <c r="U82" i="24" s="1"/>
  <c r="R82" i="24"/>
  <c r="Q82" i="24"/>
  <c r="P82" i="24"/>
  <c r="O82" i="24"/>
  <c r="T81" i="24"/>
  <c r="V81" i="24" s="1"/>
  <c r="S81" i="24"/>
  <c r="U81" i="24" s="1"/>
  <c r="R81" i="24"/>
  <c r="Q81" i="24"/>
  <c r="P81" i="24"/>
  <c r="O81" i="24"/>
  <c r="T80" i="24"/>
  <c r="V80" i="24" s="1"/>
  <c r="S80" i="24"/>
  <c r="U80" i="24" s="1"/>
  <c r="R80" i="24"/>
  <c r="Q80" i="24"/>
  <c r="P80" i="24"/>
  <c r="O80" i="24"/>
  <c r="V79" i="24"/>
  <c r="T79" i="24"/>
  <c r="S79" i="24"/>
  <c r="U79" i="24" s="1"/>
  <c r="R79" i="24"/>
  <c r="Q79" i="24"/>
  <c r="P79" i="24"/>
  <c r="O79" i="24"/>
  <c r="T78" i="24"/>
  <c r="V78" i="24" s="1"/>
  <c r="S78" i="24"/>
  <c r="U78" i="24" s="1"/>
  <c r="R78" i="24"/>
  <c r="Q78" i="24"/>
  <c r="P78" i="24"/>
  <c r="O78" i="24"/>
  <c r="T77" i="24"/>
  <c r="V77" i="24" s="1"/>
  <c r="S77" i="24"/>
  <c r="U77" i="24" s="1"/>
  <c r="R77" i="24"/>
  <c r="Q77" i="24"/>
  <c r="P77" i="24"/>
  <c r="O77" i="24"/>
  <c r="T76" i="24"/>
  <c r="V76" i="24" s="1"/>
  <c r="S76" i="24"/>
  <c r="U76" i="24" s="1"/>
  <c r="R76" i="24"/>
  <c r="Q76" i="24"/>
  <c r="P76" i="24"/>
  <c r="O76" i="24"/>
  <c r="V75" i="24"/>
  <c r="T75" i="24"/>
  <c r="S75" i="24"/>
  <c r="U75" i="24" s="1"/>
  <c r="R75" i="24"/>
  <c r="Q75" i="24"/>
  <c r="P75" i="24"/>
  <c r="O75" i="24"/>
  <c r="V74" i="24"/>
  <c r="T74" i="24"/>
  <c r="S74" i="24"/>
  <c r="U74" i="24" s="1"/>
  <c r="R74" i="24"/>
  <c r="Q74" i="24"/>
  <c r="P74" i="24"/>
  <c r="O74" i="24"/>
  <c r="V73" i="24"/>
  <c r="T73" i="24"/>
  <c r="S73" i="24"/>
  <c r="U73" i="24" s="1"/>
  <c r="R73" i="24"/>
  <c r="Q73" i="24"/>
  <c r="P73" i="24"/>
  <c r="O73" i="24"/>
  <c r="V72" i="24"/>
  <c r="T72" i="24"/>
  <c r="S72" i="24"/>
  <c r="U72" i="24" s="1"/>
  <c r="R72" i="24"/>
  <c r="Q72" i="24"/>
  <c r="P72" i="24"/>
  <c r="O72" i="24"/>
  <c r="T71" i="24"/>
  <c r="V71" i="24" s="1"/>
  <c r="S71" i="24"/>
  <c r="U71" i="24" s="1"/>
  <c r="R71" i="24"/>
  <c r="Q71" i="24"/>
  <c r="P71" i="24"/>
  <c r="O71" i="24"/>
  <c r="T70" i="24"/>
  <c r="V70" i="24" s="1"/>
  <c r="S70" i="24"/>
  <c r="U70" i="24" s="1"/>
  <c r="R70" i="24"/>
  <c r="Q70" i="24"/>
  <c r="P70" i="24"/>
  <c r="O70" i="24"/>
  <c r="T69" i="24"/>
  <c r="V69" i="24" s="1"/>
  <c r="S69" i="24"/>
  <c r="U69" i="24" s="1"/>
  <c r="R69" i="24"/>
  <c r="Q69" i="24"/>
  <c r="P69" i="24"/>
  <c r="O69" i="24"/>
  <c r="T68" i="24"/>
  <c r="V68" i="24" s="1"/>
  <c r="S68" i="24"/>
  <c r="U68" i="24" s="1"/>
  <c r="R68" i="24"/>
  <c r="Q68" i="24"/>
  <c r="P68" i="24"/>
  <c r="O68" i="24"/>
  <c r="T67" i="24"/>
  <c r="V67" i="24" s="1"/>
  <c r="S67" i="24"/>
  <c r="U67" i="24" s="1"/>
  <c r="R67" i="24"/>
  <c r="Q67" i="24"/>
  <c r="P67" i="24"/>
  <c r="O67" i="24"/>
  <c r="T66" i="24"/>
  <c r="V66" i="24" s="1"/>
  <c r="S66" i="24"/>
  <c r="U66" i="24" s="1"/>
  <c r="R66" i="24"/>
  <c r="Q66" i="24"/>
  <c r="P66" i="24"/>
  <c r="O66" i="24"/>
  <c r="T65" i="24"/>
  <c r="V65" i="24" s="1"/>
  <c r="S65" i="24"/>
  <c r="U65" i="24" s="1"/>
  <c r="R65" i="24"/>
  <c r="Q65" i="24"/>
  <c r="P65" i="24"/>
  <c r="O65" i="24"/>
  <c r="T64" i="24"/>
  <c r="V64" i="24" s="1"/>
  <c r="S64" i="24"/>
  <c r="U64" i="24" s="1"/>
  <c r="R64" i="24"/>
  <c r="Q64" i="24"/>
  <c r="P64" i="24"/>
  <c r="O64" i="24"/>
  <c r="T63" i="24"/>
  <c r="V63" i="24" s="1"/>
  <c r="S63" i="24"/>
  <c r="U63" i="24" s="1"/>
  <c r="R63" i="24"/>
  <c r="Q63" i="24"/>
  <c r="P63" i="24"/>
  <c r="O63" i="24"/>
  <c r="T62" i="24"/>
  <c r="V62" i="24" s="1"/>
  <c r="S62" i="24"/>
  <c r="U62" i="24" s="1"/>
  <c r="R62" i="24"/>
  <c r="Q62" i="24"/>
  <c r="P62" i="24"/>
  <c r="O62" i="24"/>
  <c r="T61" i="24"/>
  <c r="V61" i="24" s="1"/>
  <c r="S61" i="24"/>
  <c r="U61" i="24" s="1"/>
  <c r="R61" i="24"/>
  <c r="Q61" i="24"/>
  <c r="P61" i="24"/>
  <c r="O61" i="24"/>
  <c r="T60" i="24"/>
  <c r="V60" i="24" s="1"/>
  <c r="S60" i="24"/>
  <c r="U60" i="24" s="1"/>
  <c r="R60" i="24"/>
  <c r="Q60" i="24"/>
  <c r="P60" i="24"/>
  <c r="O60" i="24"/>
  <c r="T59" i="24"/>
  <c r="V59" i="24" s="1"/>
  <c r="S59" i="24"/>
  <c r="U59" i="24" s="1"/>
  <c r="R59" i="24"/>
  <c r="Q59" i="24"/>
  <c r="P59" i="24"/>
  <c r="O59" i="24"/>
  <c r="T58" i="24"/>
  <c r="V58" i="24" s="1"/>
  <c r="S58" i="24"/>
  <c r="U58" i="24" s="1"/>
  <c r="R58" i="24"/>
  <c r="Q58" i="24"/>
  <c r="P58" i="24"/>
  <c r="O58" i="24"/>
  <c r="T57" i="24"/>
  <c r="V57" i="24" s="1"/>
  <c r="S57" i="24"/>
  <c r="U57" i="24" s="1"/>
  <c r="R57" i="24"/>
  <c r="Q57" i="24"/>
  <c r="P57" i="24"/>
  <c r="O57" i="24"/>
  <c r="T56" i="24"/>
  <c r="V56" i="24" s="1"/>
  <c r="S56" i="24"/>
  <c r="U56" i="24" s="1"/>
  <c r="R56" i="24"/>
  <c r="Q56" i="24"/>
  <c r="P56" i="24"/>
  <c r="O56" i="24"/>
  <c r="T55" i="24"/>
  <c r="V55" i="24" s="1"/>
  <c r="S55" i="24"/>
  <c r="U55" i="24" s="1"/>
  <c r="R55" i="24"/>
  <c r="Q55" i="24"/>
  <c r="P55" i="24"/>
  <c r="O55" i="24"/>
  <c r="T54" i="24"/>
  <c r="V54" i="24" s="1"/>
  <c r="S54" i="24"/>
  <c r="U54" i="24" s="1"/>
  <c r="R54" i="24"/>
  <c r="Q54" i="24"/>
  <c r="P54" i="24"/>
  <c r="O54" i="24"/>
  <c r="T53" i="24"/>
  <c r="V53" i="24" s="1"/>
  <c r="S53" i="24"/>
  <c r="U53" i="24" s="1"/>
  <c r="R53" i="24"/>
  <c r="Q53" i="24"/>
  <c r="P53" i="24"/>
  <c r="O53" i="24"/>
  <c r="T52" i="24"/>
  <c r="V52" i="24" s="1"/>
  <c r="S52" i="24"/>
  <c r="U52" i="24" s="1"/>
  <c r="R52" i="24"/>
  <c r="Q52" i="24"/>
  <c r="P52" i="24"/>
  <c r="O52" i="24"/>
  <c r="T51" i="24"/>
  <c r="V51" i="24" s="1"/>
  <c r="S51" i="24"/>
  <c r="U51" i="24" s="1"/>
  <c r="R51" i="24"/>
  <c r="Q51" i="24"/>
  <c r="P51" i="24"/>
  <c r="O51" i="24"/>
  <c r="T50" i="24"/>
  <c r="V50" i="24" s="1"/>
  <c r="S50" i="24"/>
  <c r="U50" i="24" s="1"/>
  <c r="R50" i="24"/>
  <c r="Q50" i="24"/>
  <c r="P50" i="24"/>
  <c r="O50" i="24"/>
  <c r="T49" i="24"/>
  <c r="V49" i="24" s="1"/>
  <c r="S49" i="24"/>
  <c r="U49" i="24" s="1"/>
  <c r="R49" i="24"/>
  <c r="Q49" i="24"/>
  <c r="P49" i="24"/>
  <c r="O49" i="24"/>
  <c r="T48" i="24"/>
  <c r="V48" i="24" s="1"/>
  <c r="S48" i="24"/>
  <c r="U48" i="24" s="1"/>
  <c r="R48" i="24"/>
  <c r="Q48" i="24"/>
  <c r="P48" i="24"/>
  <c r="O48" i="24"/>
  <c r="T47" i="24"/>
  <c r="V47" i="24" s="1"/>
  <c r="S47" i="24"/>
  <c r="U47" i="24" s="1"/>
  <c r="R47" i="24"/>
  <c r="Q47" i="24"/>
  <c r="P47" i="24"/>
  <c r="O47" i="24"/>
  <c r="T46" i="24"/>
  <c r="V46" i="24" s="1"/>
  <c r="S46" i="24"/>
  <c r="U46" i="24" s="1"/>
  <c r="R46" i="24"/>
  <c r="Q46" i="24"/>
  <c r="P46" i="24"/>
  <c r="O46" i="24"/>
  <c r="T45" i="24"/>
  <c r="V45" i="24" s="1"/>
  <c r="S45" i="24"/>
  <c r="U45" i="24" s="1"/>
  <c r="R45" i="24"/>
  <c r="Q45" i="24"/>
  <c r="P45" i="24"/>
  <c r="O45" i="24"/>
  <c r="T44" i="24"/>
  <c r="V44" i="24" s="1"/>
  <c r="S44" i="24"/>
  <c r="U44" i="24" s="1"/>
  <c r="R44" i="24"/>
  <c r="Q44" i="24"/>
  <c r="P44" i="24"/>
  <c r="O44" i="24"/>
  <c r="T43" i="24"/>
  <c r="V43" i="24" s="1"/>
  <c r="S43" i="24"/>
  <c r="U43" i="24" s="1"/>
  <c r="R43" i="24"/>
  <c r="Q43" i="24"/>
  <c r="P43" i="24"/>
  <c r="O43" i="24"/>
  <c r="T42" i="24"/>
  <c r="V42" i="24" s="1"/>
  <c r="S42" i="24"/>
  <c r="U42" i="24" s="1"/>
  <c r="R42" i="24"/>
  <c r="Q42" i="24"/>
  <c r="P42" i="24"/>
  <c r="O42" i="24"/>
  <c r="T41" i="24"/>
  <c r="V41" i="24" s="1"/>
  <c r="S41" i="24"/>
  <c r="U41" i="24" s="1"/>
  <c r="R41" i="24"/>
  <c r="Q41" i="24"/>
  <c r="P41" i="24"/>
  <c r="O41" i="24"/>
  <c r="T40" i="24"/>
  <c r="V40" i="24" s="1"/>
  <c r="S40" i="24"/>
  <c r="U40" i="24" s="1"/>
  <c r="R40" i="24"/>
  <c r="Q40" i="24"/>
  <c r="P40" i="24"/>
  <c r="O40" i="24"/>
  <c r="T39" i="24"/>
  <c r="V39" i="24" s="1"/>
  <c r="S39" i="24"/>
  <c r="U39" i="24" s="1"/>
  <c r="R39" i="24"/>
  <c r="Q39" i="24"/>
  <c r="P39" i="24"/>
  <c r="O39" i="24"/>
  <c r="T38" i="24"/>
  <c r="V38" i="24" s="1"/>
  <c r="S38" i="24"/>
  <c r="U38" i="24" s="1"/>
  <c r="R38" i="24"/>
  <c r="Q38" i="24"/>
  <c r="P38" i="24"/>
  <c r="O38" i="24"/>
  <c r="T37" i="24"/>
  <c r="V37" i="24" s="1"/>
  <c r="S37" i="24"/>
  <c r="U37" i="24" s="1"/>
  <c r="R37" i="24"/>
  <c r="Q37" i="24"/>
  <c r="P37" i="24"/>
  <c r="O37" i="24"/>
  <c r="T36" i="24"/>
  <c r="V36" i="24" s="1"/>
  <c r="S36" i="24"/>
  <c r="U36" i="24" s="1"/>
  <c r="R36" i="24"/>
  <c r="Q36" i="24"/>
  <c r="P36" i="24"/>
  <c r="O36" i="24"/>
  <c r="T35" i="24"/>
  <c r="V35" i="24" s="1"/>
  <c r="S35" i="24"/>
  <c r="U35" i="24" s="1"/>
  <c r="R35" i="24"/>
  <c r="Q35" i="24"/>
  <c r="P35" i="24"/>
  <c r="O35" i="24"/>
  <c r="T34" i="24"/>
  <c r="S34" i="24"/>
  <c r="R34" i="24"/>
  <c r="Q34" i="24"/>
  <c r="P34" i="24"/>
  <c r="O34" i="24"/>
  <c r="T33" i="24"/>
  <c r="V33" i="24" s="1"/>
  <c r="S33" i="24"/>
  <c r="U33" i="24" s="1"/>
  <c r="R33" i="24"/>
  <c r="Q33" i="24"/>
  <c r="P33" i="24"/>
  <c r="O33" i="24"/>
  <c r="T32" i="24"/>
  <c r="V32" i="24" s="1"/>
  <c r="S32" i="24"/>
  <c r="U32" i="24" s="1"/>
  <c r="R32" i="24"/>
  <c r="Q32" i="24"/>
  <c r="P32" i="24"/>
  <c r="O32" i="24"/>
  <c r="T31" i="24"/>
  <c r="V31" i="24" s="1"/>
  <c r="S31" i="24"/>
  <c r="U31" i="24" s="1"/>
  <c r="R31" i="24"/>
  <c r="Q31" i="24"/>
  <c r="P31" i="24"/>
  <c r="O31" i="24"/>
  <c r="T30" i="24"/>
  <c r="V30" i="24" s="1"/>
  <c r="S30" i="24"/>
  <c r="U30" i="24" s="1"/>
  <c r="R30" i="24"/>
  <c r="Q30" i="24"/>
  <c r="P30" i="24"/>
  <c r="O30" i="24"/>
  <c r="T29" i="24"/>
  <c r="V29" i="24" s="1"/>
  <c r="S29" i="24"/>
  <c r="U29" i="24" s="1"/>
  <c r="R29" i="24"/>
  <c r="Q29" i="24"/>
  <c r="P29" i="24"/>
  <c r="O29" i="24"/>
  <c r="T28" i="24"/>
  <c r="V28" i="24" s="1"/>
  <c r="S28" i="24"/>
  <c r="U28" i="24" s="1"/>
  <c r="R28" i="24"/>
  <c r="Q28" i="24"/>
  <c r="P28" i="24"/>
  <c r="O28" i="24"/>
  <c r="V27" i="24"/>
  <c r="T27" i="24"/>
  <c r="S27" i="24"/>
  <c r="U27" i="24" s="1"/>
  <c r="R27" i="24"/>
  <c r="Q27" i="24"/>
  <c r="P27" i="24"/>
  <c r="O27" i="24"/>
  <c r="T26" i="24"/>
  <c r="V26" i="24" s="1"/>
  <c r="S26" i="24"/>
  <c r="U26" i="24" s="1"/>
  <c r="R26" i="24"/>
  <c r="Q26" i="24"/>
  <c r="P26" i="24"/>
  <c r="O26" i="24"/>
  <c r="T25" i="24"/>
  <c r="V25" i="24" s="1"/>
  <c r="S25" i="24"/>
  <c r="U25" i="24" s="1"/>
  <c r="R25" i="24"/>
  <c r="Q25" i="24"/>
  <c r="P25" i="24"/>
  <c r="O25" i="24"/>
  <c r="T24" i="24"/>
  <c r="V24" i="24" s="1"/>
  <c r="S24" i="24"/>
  <c r="U24" i="24" s="1"/>
  <c r="R24" i="24"/>
  <c r="Q24" i="24"/>
  <c r="P24" i="24"/>
  <c r="O24" i="24"/>
  <c r="T23" i="24"/>
  <c r="V23" i="24" s="1"/>
  <c r="S23" i="24"/>
  <c r="U23" i="24" s="1"/>
  <c r="R23" i="24"/>
  <c r="Q23" i="24"/>
  <c r="P23" i="24"/>
  <c r="O23" i="24"/>
  <c r="T22" i="24"/>
  <c r="V22" i="24" s="1"/>
  <c r="S22" i="24"/>
  <c r="U22" i="24" s="1"/>
  <c r="R22" i="24"/>
  <c r="Q22" i="24"/>
  <c r="P22" i="24"/>
  <c r="O22" i="24"/>
  <c r="T21" i="24"/>
  <c r="V21" i="24" s="1"/>
  <c r="S21" i="24"/>
  <c r="U21" i="24" s="1"/>
  <c r="R21" i="24"/>
  <c r="Q21" i="24"/>
  <c r="P21" i="24"/>
  <c r="O21" i="24"/>
  <c r="T20" i="24"/>
  <c r="V20" i="24" s="1"/>
  <c r="S20" i="24"/>
  <c r="U20" i="24" s="1"/>
  <c r="R20" i="24"/>
  <c r="Q20" i="24"/>
  <c r="P20" i="24"/>
  <c r="O20" i="24"/>
  <c r="T19" i="24"/>
  <c r="V19" i="24" s="1"/>
  <c r="S19" i="24"/>
  <c r="U19" i="24" s="1"/>
  <c r="R19" i="24"/>
  <c r="Q19" i="24"/>
  <c r="P19" i="24"/>
  <c r="O19" i="24"/>
  <c r="T18" i="24"/>
  <c r="V18" i="24" s="1"/>
  <c r="S18" i="24"/>
  <c r="U18" i="24" s="1"/>
  <c r="R18" i="24"/>
  <c r="Q18" i="24"/>
  <c r="P18" i="24"/>
  <c r="O18" i="24"/>
  <c r="T17" i="24"/>
  <c r="V17" i="24" s="1"/>
  <c r="S17" i="24"/>
  <c r="U17" i="24" s="1"/>
  <c r="R17" i="24"/>
  <c r="Q17" i="24"/>
  <c r="P17" i="24"/>
  <c r="O17" i="24"/>
  <c r="T16" i="24"/>
  <c r="V16" i="24" s="1"/>
  <c r="S16" i="24"/>
  <c r="U16" i="24" s="1"/>
  <c r="R16" i="24"/>
  <c r="Q16" i="24"/>
  <c r="P16" i="24"/>
  <c r="O16" i="24"/>
  <c r="T15" i="24"/>
  <c r="V15" i="24" s="1"/>
  <c r="S15" i="24"/>
  <c r="U15" i="24" s="1"/>
  <c r="R15" i="24"/>
  <c r="Q15" i="24"/>
  <c r="P15" i="24"/>
  <c r="O15" i="24"/>
  <c r="T14" i="24"/>
  <c r="V14" i="24" s="1"/>
  <c r="S14" i="24"/>
  <c r="U14" i="24" s="1"/>
  <c r="R14" i="24"/>
  <c r="Q14" i="24"/>
  <c r="P14" i="24"/>
  <c r="O14" i="24"/>
  <c r="T13" i="24"/>
  <c r="V13" i="24" s="1"/>
  <c r="S13" i="24"/>
  <c r="U13" i="24" s="1"/>
  <c r="R13" i="24"/>
  <c r="Q13" i="24"/>
  <c r="P13" i="24"/>
  <c r="O13" i="24"/>
  <c r="T12" i="24"/>
  <c r="V12" i="24" s="1"/>
  <c r="S12" i="24"/>
  <c r="U12" i="24" s="1"/>
  <c r="R12" i="24"/>
  <c r="Q12" i="24"/>
  <c r="P12" i="24"/>
  <c r="O12" i="24"/>
  <c r="T11" i="24"/>
  <c r="V11" i="24" s="1"/>
  <c r="S11" i="24"/>
  <c r="U11" i="24" s="1"/>
  <c r="R11" i="24"/>
  <c r="Q11" i="24"/>
  <c r="P11" i="24"/>
  <c r="O11" i="24"/>
  <c r="V10" i="24"/>
  <c r="T10" i="24"/>
  <c r="S10" i="24"/>
  <c r="U10" i="24" s="1"/>
  <c r="R10" i="24"/>
  <c r="Q10" i="24"/>
  <c r="P10" i="24"/>
  <c r="O10" i="24"/>
  <c r="V9" i="24"/>
  <c r="T9" i="24"/>
  <c r="S9" i="24"/>
  <c r="U9" i="24" s="1"/>
  <c r="R9" i="24"/>
  <c r="Q9" i="24"/>
  <c r="P9" i="24"/>
  <c r="O9" i="24"/>
  <c r="V8" i="24"/>
  <c r="T8" i="24"/>
  <c r="S8" i="24"/>
  <c r="U8" i="24" s="1"/>
  <c r="R8" i="24"/>
  <c r="Q8" i="24"/>
  <c r="P8" i="24"/>
  <c r="O8" i="24"/>
  <c r="V7" i="24"/>
  <c r="T7" i="24"/>
  <c r="S7" i="24"/>
  <c r="U7" i="24" s="1"/>
  <c r="R7" i="24"/>
  <c r="Q7" i="24"/>
  <c r="P7" i="24"/>
  <c r="O7" i="24"/>
  <c r="V6" i="24"/>
  <c r="T6" i="24"/>
  <c r="S6" i="24"/>
  <c r="U6" i="24" s="1"/>
  <c r="R6" i="24"/>
  <c r="Q6" i="24"/>
  <c r="P6" i="24"/>
  <c r="O6" i="24"/>
  <c r="AG94" i="25" l="1"/>
  <c r="V94" i="25"/>
  <c r="W94" i="25" s="1"/>
  <c r="T94" i="25"/>
  <c r="S94" i="25"/>
  <c r="AB94" i="25" s="1"/>
  <c r="R94" i="25"/>
  <c r="Q94" i="25"/>
  <c r="AG93" i="25"/>
  <c r="V93" i="25"/>
  <c r="W93" i="25" s="1"/>
  <c r="T93" i="25"/>
  <c r="U93" i="25" s="1"/>
  <c r="S93" i="25"/>
  <c r="AB93" i="25" s="1"/>
  <c r="R93" i="25"/>
  <c r="Q93" i="25"/>
  <c r="AG92" i="25"/>
  <c r="V92" i="25"/>
  <c r="W92" i="25" s="1"/>
  <c r="T92" i="25"/>
  <c r="S92" i="25"/>
  <c r="AB92" i="25" s="1"/>
  <c r="R92" i="25"/>
  <c r="Q92" i="25"/>
  <c r="AG91" i="25"/>
  <c r="V91" i="25"/>
  <c r="W91" i="25" s="1"/>
  <c r="T91" i="25"/>
  <c r="U91" i="25" s="1"/>
  <c r="S91" i="25"/>
  <c r="AB91" i="25" s="1"/>
  <c r="R91" i="25"/>
  <c r="Q91" i="25"/>
  <c r="AG90" i="25"/>
  <c r="V90" i="25"/>
  <c r="W90" i="25" s="1"/>
  <c r="T90" i="25"/>
  <c r="U90" i="25" s="1"/>
  <c r="S90" i="25"/>
  <c r="R90" i="25"/>
  <c r="Q90" i="25"/>
  <c r="AG89" i="25"/>
  <c r="V89" i="25"/>
  <c r="W89" i="25" s="1"/>
  <c r="T89" i="25"/>
  <c r="S89" i="25"/>
  <c r="AB89" i="25" s="1"/>
  <c r="R89" i="25"/>
  <c r="Q89" i="25"/>
  <c r="AG88" i="25"/>
  <c r="V88" i="25"/>
  <c r="W88" i="25" s="1"/>
  <c r="T88" i="25"/>
  <c r="U88" i="25" s="1"/>
  <c r="S88" i="25"/>
  <c r="AD88" i="25" s="1"/>
  <c r="R88" i="25"/>
  <c r="Q88" i="25"/>
  <c r="AG87" i="25"/>
  <c r="V87" i="25"/>
  <c r="W87" i="25" s="1"/>
  <c r="T87" i="25"/>
  <c r="U87" i="25" s="1"/>
  <c r="AE87" i="25" s="1"/>
  <c r="S87" i="25"/>
  <c r="R87" i="25"/>
  <c r="Q87" i="25"/>
  <c r="AG86" i="25"/>
  <c r="V86" i="25"/>
  <c r="W86" i="25" s="1"/>
  <c r="T86" i="25"/>
  <c r="U86" i="25" s="1"/>
  <c r="S86" i="25"/>
  <c r="AD86" i="25" s="1"/>
  <c r="R86" i="25"/>
  <c r="Q86" i="25"/>
  <c r="AG85" i="25"/>
  <c r="V85" i="25"/>
  <c r="W85" i="25" s="1"/>
  <c r="T85" i="25"/>
  <c r="S85" i="25"/>
  <c r="R85" i="25"/>
  <c r="Q85" i="25"/>
  <c r="AG84" i="25"/>
  <c r="V84" i="25"/>
  <c r="W84" i="25" s="1"/>
  <c r="T84" i="25"/>
  <c r="S84" i="25"/>
  <c r="AD84" i="25" s="1"/>
  <c r="R84" i="25"/>
  <c r="Q84" i="25"/>
  <c r="AG83" i="25"/>
  <c r="V83" i="25"/>
  <c r="W83" i="25" s="1"/>
  <c r="T83" i="25"/>
  <c r="U83" i="25" s="1"/>
  <c r="AE83" i="25" s="1"/>
  <c r="S83" i="25"/>
  <c r="AC83" i="25" s="1"/>
  <c r="R83" i="25"/>
  <c r="Q83" i="25"/>
  <c r="AG82" i="25"/>
  <c r="V82" i="25"/>
  <c r="W82" i="25" s="1"/>
  <c r="T82" i="25"/>
  <c r="U82" i="25" s="1"/>
  <c r="AE82" i="25" s="1"/>
  <c r="S82" i="25"/>
  <c r="AB82" i="25" s="1"/>
  <c r="R82" i="25"/>
  <c r="Q82" i="25"/>
  <c r="AG81" i="25"/>
  <c r="V81" i="25"/>
  <c r="W81" i="25" s="1"/>
  <c r="T81" i="25"/>
  <c r="U81" i="25" s="1"/>
  <c r="AE81" i="25" s="1"/>
  <c r="S81" i="25"/>
  <c r="R81" i="25"/>
  <c r="Q81" i="25"/>
  <c r="AG80" i="25"/>
  <c r="V80" i="25"/>
  <c r="W80" i="25" s="1"/>
  <c r="T80" i="25"/>
  <c r="U80" i="25" s="1"/>
  <c r="AE80" i="25" s="1"/>
  <c r="S80" i="25"/>
  <c r="AB80" i="25" s="1"/>
  <c r="R80" i="25"/>
  <c r="Q80" i="25"/>
  <c r="AG79" i="25"/>
  <c r="V79" i="25"/>
  <c r="W79" i="25" s="1"/>
  <c r="T79" i="25"/>
  <c r="U79" i="25" s="1"/>
  <c r="AE79" i="25" s="1"/>
  <c r="S79" i="25"/>
  <c r="AD79" i="25" s="1"/>
  <c r="R79" i="25"/>
  <c r="Q79" i="25"/>
  <c r="AG78" i="25"/>
  <c r="V78" i="25"/>
  <c r="W78" i="25" s="1"/>
  <c r="T78" i="25"/>
  <c r="U78" i="25" s="1"/>
  <c r="AE78" i="25" s="1"/>
  <c r="S78" i="25"/>
  <c r="AB78" i="25" s="1"/>
  <c r="R78" i="25"/>
  <c r="Q78" i="25"/>
  <c r="AG77" i="25"/>
  <c r="V77" i="25"/>
  <c r="W77" i="25" s="1"/>
  <c r="T77" i="25"/>
  <c r="U77" i="25" s="1"/>
  <c r="AE77" i="25" s="1"/>
  <c r="S77" i="25"/>
  <c r="R77" i="25"/>
  <c r="Q77" i="25"/>
  <c r="AG76" i="25"/>
  <c r="V76" i="25"/>
  <c r="W76" i="25" s="1"/>
  <c r="T76" i="25"/>
  <c r="U76" i="25" s="1"/>
  <c r="AE76" i="25" s="1"/>
  <c r="S76" i="25"/>
  <c r="AB76" i="25" s="1"/>
  <c r="R76" i="25"/>
  <c r="Q76" i="25"/>
  <c r="AG75" i="25"/>
  <c r="V75" i="25"/>
  <c r="W75" i="25" s="1"/>
  <c r="T75" i="25"/>
  <c r="S75" i="25"/>
  <c r="R75" i="25"/>
  <c r="Q75" i="25"/>
  <c r="AG74" i="25"/>
  <c r="V74" i="25"/>
  <c r="W74" i="25" s="1"/>
  <c r="T74" i="25"/>
  <c r="U74" i="25" s="1"/>
  <c r="S74" i="25"/>
  <c r="AB74" i="25" s="1"/>
  <c r="R74" i="25"/>
  <c r="Q74" i="25"/>
  <c r="AG73" i="25"/>
  <c r="V73" i="25"/>
  <c r="W73" i="25" s="1"/>
  <c r="T73" i="25"/>
  <c r="U73" i="25" s="1"/>
  <c r="AE73" i="25" s="1"/>
  <c r="S73" i="25"/>
  <c r="R73" i="25"/>
  <c r="Q73" i="25"/>
  <c r="AG72" i="25"/>
  <c r="V72" i="25"/>
  <c r="W72" i="25" s="1"/>
  <c r="T72" i="25"/>
  <c r="U72" i="25" s="1"/>
  <c r="AE72" i="25" s="1"/>
  <c r="S72" i="25"/>
  <c r="AB72" i="25" s="1"/>
  <c r="R72" i="25"/>
  <c r="Q72" i="25"/>
  <c r="AG71" i="25"/>
  <c r="V71" i="25"/>
  <c r="W71" i="25" s="1"/>
  <c r="T71" i="25"/>
  <c r="U71" i="25" s="1"/>
  <c r="AE71" i="25" s="1"/>
  <c r="S71" i="25"/>
  <c r="R71" i="25"/>
  <c r="Q71" i="25"/>
  <c r="AG70" i="25"/>
  <c r="V70" i="25"/>
  <c r="W70" i="25" s="1"/>
  <c r="T70" i="25"/>
  <c r="U70" i="25" s="1"/>
  <c r="AE70" i="25" s="1"/>
  <c r="S70" i="25"/>
  <c r="AD70" i="25" s="1"/>
  <c r="R70" i="25"/>
  <c r="Q70" i="25"/>
  <c r="AG69" i="25"/>
  <c r="V69" i="25"/>
  <c r="W69" i="25" s="1"/>
  <c r="T69" i="25"/>
  <c r="U69" i="25" s="1"/>
  <c r="AE69" i="25" s="1"/>
  <c r="S69" i="25"/>
  <c r="AD69" i="25" s="1"/>
  <c r="R69" i="25"/>
  <c r="Q69" i="25"/>
  <c r="AG68" i="25"/>
  <c r="V68" i="25"/>
  <c r="W68" i="25" s="1"/>
  <c r="T68" i="25"/>
  <c r="U68" i="25" s="1"/>
  <c r="AE68" i="25" s="1"/>
  <c r="S68" i="25"/>
  <c r="R68" i="25"/>
  <c r="Q68" i="25"/>
  <c r="AG67" i="25"/>
  <c r="V67" i="25"/>
  <c r="W67" i="25" s="1"/>
  <c r="T67" i="25"/>
  <c r="S67" i="25"/>
  <c r="AC67" i="25" s="1"/>
  <c r="R67" i="25"/>
  <c r="Q67" i="25"/>
  <c r="AG66" i="25"/>
  <c r="V66" i="25"/>
  <c r="W66" i="25" s="1"/>
  <c r="T66" i="25"/>
  <c r="U66" i="25" s="1"/>
  <c r="AE66" i="25" s="1"/>
  <c r="S66" i="25"/>
  <c r="AC66" i="25" s="1"/>
  <c r="R66" i="25"/>
  <c r="Q66" i="25"/>
  <c r="AG65" i="25"/>
  <c r="V65" i="25"/>
  <c r="W65" i="25" s="1"/>
  <c r="T65" i="25"/>
  <c r="U65" i="25" s="1"/>
  <c r="AE65" i="25" s="1"/>
  <c r="S65" i="25"/>
  <c r="AD65" i="25" s="1"/>
  <c r="R65" i="25"/>
  <c r="Q65" i="25"/>
  <c r="AG64" i="25"/>
  <c r="V64" i="25"/>
  <c r="W64" i="25" s="1"/>
  <c r="T64" i="25"/>
  <c r="U64" i="25" s="1"/>
  <c r="AE64" i="25" s="1"/>
  <c r="S64" i="25"/>
  <c r="R64" i="25"/>
  <c r="Q64" i="25"/>
  <c r="AG63" i="25"/>
  <c r="V63" i="25"/>
  <c r="W63" i="25" s="1"/>
  <c r="T63" i="25"/>
  <c r="S63" i="25"/>
  <c r="R63" i="25"/>
  <c r="Q63" i="25"/>
  <c r="AG62" i="25"/>
  <c r="V62" i="25"/>
  <c r="W62" i="25" s="1"/>
  <c r="T62" i="25"/>
  <c r="U62" i="25" s="1"/>
  <c r="AE62" i="25" s="1"/>
  <c r="S62" i="25"/>
  <c r="AD62" i="25" s="1"/>
  <c r="R62" i="25"/>
  <c r="Q62" i="25"/>
  <c r="AG61" i="25"/>
  <c r="V61" i="25"/>
  <c r="W61" i="25" s="1"/>
  <c r="T61" i="25"/>
  <c r="S61" i="25"/>
  <c r="R61" i="25"/>
  <c r="Q61" i="25"/>
  <c r="AG60" i="25"/>
  <c r="V60" i="25"/>
  <c r="W60" i="25" s="1"/>
  <c r="T60" i="25"/>
  <c r="S60" i="25"/>
  <c r="AD60" i="25" s="1"/>
  <c r="R60" i="25"/>
  <c r="Q60" i="25"/>
  <c r="AG59" i="25"/>
  <c r="V59" i="25"/>
  <c r="W59" i="25" s="1"/>
  <c r="T59" i="25"/>
  <c r="U59" i="25" s="1"/>
  <c r="AE59" i="25" s="1"/>
  <c r="S59" i="25"/>
  <c r="AD59" i="25" s="1"/>
  <c r="R59" i="25"/>
  <c r="Q59" i="25"/>
  <c r="AG58" i="25"/>
  <c r="V58" i="25"/>
  <c r="W58" i="25" s="1"/>
  <c r="T58" i="25"/>
  <c r="S58" i="25"/>
  <c r="AC58" i="25" s="1"/>
  <c r="R58" i="25"/>
  <c r="Q58" i="25"/>
  <c r="AG57" i="25"/>
  <c r="V57" i="25"/>
  <c r="W57" i="25" s="1"/>
  <c r="T57" i="25"/>
  <c r="U57" i="25" s="1"/>
  <c r="AE57" i="25" s="1"/>
  <c r="S57" i="25"/>
  <c r="AC57" i="25" s="1"/>
  <c r="R57" i="25"/>
  <c r="Q57" i="25"/>
  <c r="AG56" i="25"/>
  <c r="V56" i="25"/>
  <c r="W56" i="25" s="1"/>
  <c r="T56" i="25"/>
  <c r="U56" i="25" s="1"/>
  <c r="S56" i="25"/>
  <c r="AB56" i="25" s="1"/>
  <c r="R56" i="25"/>
  <c r="Q56" i="25"/>
  <c r="AG55" i="25"/>
  <c r="V55" i="25"/>
  <c r="W55" i="25" s="1"/>
  <c r="T55" i="25"/>
  <c r="U55" i="25" s="1"/>
  <c r="S55" i="25"/>
  <c r="AB55" i="25" s="1"/>
  <c r="R55" i="25"/>
  <c r="Q55" i="25"/>
  <c r="AG54" i="25"/>
  <c r="V54" i="25"/>
  <c r="W54" i="25" s="1"/>
  <c r="T54" i="25"/>
  <c r="U54" i="25" s="1"/>
  <c r="S54" i="25"/>
  <c r="AD54" i="25" s="1"/>
  <c r="R54" i="25"/>
  <c r="Q54" i="25"/>
  <c r="AG53" i="25"/>
  <c r="V53" i="25"/>
  <c r="W53" i="25" s="1"/>
  <c r="T53" i="25"/>
  <c r="U53" i="25" s="1"/>
  <c r="S53" i="25"/>
  <c r="AB53" i="25" s="1"/>
  <c r="R53" i="25"/>
  <c r="Q53" i="25"/>
  <c r="AG52" i="25"/>
  <c r="V52" i="25"/>
  <c r="W52" i="25" s="1"/>
  <c r="T52" i="25"/>
  <c r="U52" i="25" s="1"/>
  <c r="AE52" i="25" s="1"/>
  <c r="S52" i="25"/>
  <c r="AC52" i="25" s="1"/>
  <c r="R52" i="25"/>
  <c r="Q52" i="25"/>
  <c r="AG51" i="25"/>
  <c r="V51" i="25"/>
  <c r="W51" i="25" s="1"/>
  <c r="T51" i="25"/>
  <c r="U51" i="25" s="1"/>
  <c r="AE51" i="25" s="1"/>
  <c r="S51" i="25"/>
  <c r="R51" i="25"/>
  <c r="Q51" i="25"/>
  <c r="AG50" i="25"/>
  <c r="V50" i="25"/>
  <c r="W50" i="25" s="1"/>
  <c r="T50" i="25"/>
  <c r="U50" i="25" s="1"/>
  <c r="S50" i="25"/>
  <c r="AD50" i="25" s="1"/>
  <c r="R50" i="25"/>
  <c r="Q50" i="25"/>
  <c r="AG49" i="25"/>
  <c r="V49" i="25"/>
  <c r="W49" i="25" s="1"/>
  <c r="T49" i="25"/>
  <c r="S49" i="25"/>
  <c r="R49" i="25"/>
  <c r="Q49" i="25"/>
  <c r="AG48" i="25"/>
  <c r="V48" i="25"/>
  <c r="W48" i="25" s="1"/>
  <c r="T48" i="25"/>
  <c r="S48" i="25"/>
  <c r="AD48" i="25" s="1"/>
  <c r="R48" i="25"/>
  <c r="Q48" i="25"/>
  <c r="AG47" i="25"/>
  <c r="V47" i="25"/>
  <c r="W47" i="25" s="1"/>
  <c r="T47" i="25"/>
  <c r="U47" i="25" s="1"/>
  <c r="AE47" i="25" s="1"/>
  <c r="S47" i="25"/>
  <c r="AD47" i="25" s="1"/>
  <c r="R47" i="25"/>
  <c r="Q47" i="25"/>
  <c r="AG46" i="25"/>
  <c r="V46" i="25"/>
  <c r="W46" i="25" s="1"/>
  <c r="T46" i="25"/>
  <c r="U46" i="25" s="1"/>
  <c r="AE46" i="25" s="1"/>
  <c r="S46" i="25"/>
  <c r="AC46" i="25" s="1"/>
  <c r="R46" i="25"/>
  <c r="Q46" i="25"/>
  <c r="AG45" i="25"/>
  <c r="V45" i="25"/>
  <c r="W45" i="25" s="1"/>
  <c r="T45" i="25"/>
  <c r="S45" i="25"/>
  <c r="AB45" i="25" s="1"/>
  <c r="R45" i="25"/>
  <c r="Q45" i="25"/>
  <c r="AG44" i="25"/>
  <c r="V44" i="25"/>
  <c r="W44" i="25" s="1"/>
  <c r="T44" i="25"/>
  <c r="S44" i="25"/>
  <c r="R44" i="25"/>
  <c r="Q44" i="25"/>
  <c r="AG43" i="25"/>
  <c r="V43" i="25"/>
  <c r="W43" i="25" s="1"/>
  <c r="T43" i="25"/>
  <c r="U43" i="25" s="1"/>
  <c r="AE43" i="25" s="1"/>
  <c r="S43" i="25"/>
  <c r="R43" i="25"/>
  <c r="Q43" i="25"/>
  <c r="AG42" i="25"/>
  <c r="V42" i="25"/>
  <c r="W42" i="25" s="1"/>
  <c r="T42" i="25"/>
  <c r="U42" i="25" s="1"/>
  <c r="AE42" i="25" s="1"/>
  <c r="S42" i="25"/>
  <c r="AD42" i="25" s="1"/>
  <c r="R42" i="25"/>
  <c r="Q42" i="25"/>
  <c r="AG41" i="25"/>
  <c r="V41" i="25"/>
  <c r="W41" i="25" s="1"/>
  <c r="T41" i="25"/>
  <c r="U41" i="25" s="1"/>
  <c r="S41" i="25"/>
  <c r="R41" i="25"/>
  <c r="Q41" i="25"/>
  <c r="AG40" i="25"/>
  <c r="V40" i="25"/>
  <c r="W40" i="25" s="1"/>
  <c r="T40" i="25"/>
  <c r="U40" i="25" s="1"/>
  <c r="S40" i="25"/>
  <c r="AD40" i="25" s="1"/>
  <c r="R40" i="25"/>
  <c r="Q40" i="25"/>
  <c r="AG39" i="25"/>
  <c r="V39" i="25"/>
  <c r="W39" i="25" s="1"/>
  <c r="T39" i="25"/>
  <c r="U39" i="25" s="1"/>
  <c r="AE39" i="25" s="1"/>
  <c r="S39" i="25"/>
  <c r="AC39" i="25" s="1"/>
  <c r="R39" i="25"/>
  <c r="Q39" i="25"/>
  <c r="AG38" i="25"/>
  <c r="V38" i="25"/>
  <c r="W38" i="25" s="1"/>
  <c r="T38" i="25"/>
  <c r="U38" i="25" s="1"/>
  <c r="AE38" i="25" s="1"/>
  <c r="S38" i="25"/>
  <c r="AD38" i="25" s="1"/>
  <c r="R38" i="25"/>
  <c r="Q38" i="25"/>
  <c r="AG37" i="25"/>
  <c r="V37" i="25"/>
  <c r="W37" i="25" s="1"/>
  <c r="T37" i="25"/>
  <c r="S37" i="25"/>
  <c r="AD37" i="25" s="1"/>
  <c r="R37" i="25"/>
  <c r="Q37" i="25"/>
  <c r="AG36" i="25"/>
  <c r="V36" i="25"/>
  <c r="W36" i="25" s="1"/>
  <c r="T36" i="25"/>
  <c r="S36" i="25"/>
  <c r="AB36" i="25" s="1"/>
  <c r="R36" i="25"/>
  <c r="Q36" i="25"/>
  <c r="AG35" i="25"/>
  <c r="V35" i="25"/>
  <c r="W35" i="25" s="1"/>
  <c r="T35" i="25"/>
  <c r="U35" i="25" s="1"/>
  <c r="AE35" i="25" s="1"/>
  <c r="S35" i="25"/>
  <c r="AC35" i="25" s="1"/>
  <c r="R35" i="25"/>
  <c r="Q35" i="25"/>
  <c r="AG34" i="25"/>
  <c r="V34" i="25"/>
  <c r="W34" i="25" s="1"/>
  <c r="T34" i="25"/>
  <c r="U34" i="25" s="1"/>
  <c r="AE34" i="25" s="1"/>
  <c r="S34" i="25"/>
  <c r="R34" i="25"/>
  <c r="Q34" i="25"/>
  <c r="AG33" i="25"/>
  <c r="V33" i="25"/>
  <c r="W33" i="25" s="1"/>
  <c r="T33" i="25"/>
  <c r="U33" i="25" s="1"/>
  <c r="S33" i="25"/>
  <c r="AB33" i="25" s="1"/>
  <c r="R33" i="25"/>
  <c r="Q33" i="25"/>
  <c r="AG32" i="25"/>
  <c r="V32" i="25"/>
  <c r="W32" i="25" s="1"/>
  <c r="T32" i="25"/>
  <c r="U32" i="25" s="1"/>
  <c r="AE32" i="25" s="1"/>
  <c r="S32" i="25"/>
  <c r="AC32" i="25" s="1"/>
  <c r="R32" i="25"/>
  <c r="Q32" i="25"/>
  <c r="AG31" i="25"/>
  <c r="V31" i="25"/>
  <c r="W31" i="25" s="1"/>
  <c r="T31" i="25"/>
  <c r="S31" i="25"/>
  <c r="R31" i="25"/>
  <c r="Q31" i="25"/>
  <c r="AG30" i="25"/>
  <c r="V30" i="25"/>
  <c r="W30" i="25" s="1"/>
  <c r="T30" i="25"/>
  <c r="U30" i="25" s="1"/>
  <c r="AE30" i="25" s="1"/>
  <c r="S30" i="25"/>
  <c r="AD30" i="25" s="1"/>
  <c r="R30" i="25"/>
  <c r="Q30" i="25"/>
  <c r="AG29" i="25"/>
  <c r="V29" i="25"/>
  <c r="W29" i="25" s="1"/>
  <c r="T29" i="25"/>
  <c r="U29" i="25" s="1"/>
  <c r="S29" i="25"/>
  <c r="R29" i="25"/>
  <c r="Q29" i="25"/>
  <c r="AG28" i="25"/>
  <c r="V28" i="25"/>
  <c r="W28" i="25" s="1"/>
  <c r="T28" i="25"/>
  <c r="U28" i="25" s="1"/>
  <c r="S28" i="25"/>
  <c r="R28" i="25"/>
  <c r="Q28" i="25"/>
  <c r="AG27" i="25"/>
  <c r="Y27" i="25"/>
  <c r="V27" i="25"/>
  <c r="W27" i="25" s="1"/>
  <c r="T27" i="25"/>
  <c r="S27" i="25"/>
  <c r="R27" i="25"/>
  <c r="Q27" i="25"/>
  <c r="AG26" i="25"/>
  <c r="V26" i="25"/>
  <c r="W26" i="25" s="1"/>
  <c r="T26" i="25"/>
  <c r="U26" i="25" s="1"/>
  <c r="S26" i="25"/>
  <c r="R26" i="25"/>
  <c r="Q26" i="25"/>
  <c r="AG25" i="25"/>
  <c r="V25" i="25"/>
  <c r="W25" i="25" s="1"/>
  <c r="T25" i="25"/>
  <c r="U25" i="25" s="1"/>
  <c r="S25" i="25"/>
  <c r="R25" i="25"/>
  <c r="Q25" i="25"/>
  <c r="AG24" i="25"/>
  <c r="V24" i="25"/>
  <c r="W24" i="25" s="1"/>
  <c r="T24" i="25"/>
  <c r="U24" i="25" s="1"/>
  <c r="S24" i="25"/>
  <c r="AD24" i="25" s="1"/>
  <c r="R24" i="25"/>
  <c r="Q24" i="25"/>
  <c r="AG23" i="25"/>
  <c r="V23" i="25"/>
  <c r="W23" i="25" s="1"/>
  <c r="T23" i="25"/>
  <c r="U23" i="25" s="1"/>
  <c r="AE23" i="25" s="1"/>
  <c r="S23" i="25"/>
  <c r="AC23" i="25" s="1"/>
  <c r="R23" i="25"/>
  <c r="Q23" i="25"/>
  <c r="AG22" i="25"/>
  <c r="V22" i="25"/>
  <c r="W22" i="25" s="1"/>
  <c r="T22" i="25"/>
  <c r="U22" i="25" s="1"/>
  <c r="AE22" i="25" s="1"/>
  <c r="S22" i="25"/>
  <c r="AB22" i="25" s="1"/>
  <c r="R22" i="25"/>
  <c r="Q22" i="25"/>
  <c r="AG21" i="25"/>
  <c r="V21" i="25"/>
  <c r="W21" i="25" s="1"/>
  <c r="T21" i="25"/>
  <c r="U21" i="25" s="1"/>
  <c r="AE21" i="25" s="1"/>
  <c r="S21" i="25"/>
  <c r="AC21" i="25" s="1"/>
  <c r="R21" i="25"/>
  <c r="Q21" i="25"/>
  <c r="AG20" i="25"/>
  <c r="V20" i="25"/>
  <c r="W20" i="25" s="1"/>
  <c r="T20" i="25"/>
  <c r="U20" i="25" s="1"/>
  <c r="AE20" i="25" s="1"/>
  <c r="S20" i="25"/>
  <c r="AB20" i="25" s="1"/>
  <c r="R20" i="25"/>
  <c r="Q20" i="25"/>
  <c r="AG19" i="25"/>
  <c r="V19" i="25"/>
  <c r="W19" i="25" s="1"/>
  <c r="T19" i="25"/>
  <c r="U19" i="25" s="1"/>
  <c r="AE19" i="25" s="1"/>
  <c r="S19" i="25"/>
  <c r="AC19" i="25" s="1"/>
  <c r="R19" i="25"/>
  <c r="Q19" i="25"/>
  <c r="AG18" i="25"/>
  <c r="V18" i="25"/>
  <c r="W18" i="25" s="1"/>
  <c r="T18" i="25"/>
  <c r="U18" i="25" s="1"/>
  <c r="AE18" i="25" s="1"/>
  <c r="S18" i="25"/>
  <c r="AB18" i="25" s="1"/>
  <c r="R18" i="25"/>
  <c r="Q18" i="25"/>
  <c r="AG17" i="25"/>
  <c r="V17" i="25"/>
  <c r="W17" i="25" s="1"/>
  <c r="T17" i="25"/>
  <c r="U17" i="25" s="1"/>
  <c r="AE17" i="25" s="1"/>
  <c r="S17" i="25"/>
  <c r="AC17" i="25" s="1"/>
  <c r="R17" i="25"/>
  <c r="Q17" i="25"/>
  <c r="AG16" i="25"/>
  <c r="V16" i="25"/>
  <c r="W16" i="25" s="1"/>
  <c r="T16" i="25"/>
  <c r="U16" i="25" s="1"/>
  <c r="AE16" i="25" s="1"/>
  <c r="S16" i="25"/>
  <c r="AB16" i="25" s="1"/>
  <c r="R16" i="25"/>
  <c r="Q16" i="25"/>
  <c r="AG15" i="25"/>
  <c r="V15" i="25"/>
  <c r="W15" i="25" s="1"/>
  <c r="T15" i="25"/>
  <c r="U15" i="25" s="1"/>
  <c r="AE15" i="25" s="1"/>
  <c r="S15" i="25"/>
  <c r="AC15" i="25" s="1"/>
  <c r="R15" i="25"/>
  <c r="Q15" i="25"/>
  <c r="AG14" i="25"/>
  <c r="V14" i="25"/>
  <c r="W14" i="25" s="1"/>
  <c r="T14" i="25"/>
  <c r="U14" i="25" s="1"/>
  <c r="AE14" i="25" s="1"/>
  <c r="S14" i="25"/>
  <c r="R14" i="25"/>
  <c r="Q14" i="25"/>
  <c r="AG13" i="25"/>
  <c r="V13" i="25"/>
  <c r="W13" i="25" s="1"/>
  <c r="T13" i="25"/>
  <c r="U13" i="25" s="1"/>
  <c r="AE13" i="25" s="1"/>
  <c r="S13" i="25"/>
  <c r="AC13" i="25" s="1"/>
  <c r="R13" i="25"/>
  <c r="Q13" i="25"/>
  <c r="AG12" i="25"/>
  <c r="V12" i="25"/>
  <c r="W12" i="25" s="1"/>
  <c r="T12" i="25"/>
  <c r="U12" i="25" s="1"/>
  <c r="AE12" i="25" s="1"/>
  <c r="S12" i="25"/>
  <c r="AC12" i="25" s="1"/>
  <c r="R12" i="25"/>
  <c r="Q12" i="25"/>
  <c r="AG11" i="25"/>
  <c r="V11" i="25"/>
  <c r="W11" i="25" s="1"/>
  <c r="T11" i="25"/>
  <c r="S11" i="25"/>
  <c r="AD11" i="25" s="1"/>
  <c r="R11" i="25"/>
  <c r="Q11" i="25"/>
  <c r="AG10" i="25"/>
  <c r="Y10" i="25"/>
  <c r="V10" i="25"/>
  <c r="W10" i="25" s="1"/>
  <c r="T10" i="25"/>
  <c r="S10" i="25"/>
  <c r="AB10" i="25" s="1"/>
  <c r="R10" i="25"/>
  <c r="Q10" i="25"/>
  <c r="AG9" i="25"/>
  <c r="Y9" i="25"/>
  <c r="V9" i="25"/>
  <c r="W9" i="25" s="1"/>
  <c r="T9" i="25"/>
  <c r="S9" i="25"/>
  <c r="AD9" i="25" s="1"/>
  <c r="R9" i="25"/>
  <c r="Q9" i="25"/>
  <c r="AG8" i="25"/>
  <c r="Y8" i="25"/>
  <c r="V8" i="25"/>
  <c r="W8" i="25" s="1"/>
  <c r="T8" i="25"/>
  <c r="S8" i="25"/>
  <c r="AD8" i="25" s="1"/>
  <c r="R8" i="25"/>
  <c r="Q8" i="25"/>
  <c r="AG7" i="25"/>
  <c r="Y7" i="25"/>
  <c r="V7" i="25"/>
  <c r="W7" i="25" s="1"/>
  <c r="T7" i="25"/>
  <c r="S7" i="25"/>
  <c r="R7" i="25"/>
  <c r="Q7" i="25"/>
  <c r="AG6" i="25"/>
  <c r="V6" i="25"/>
  <c r="W6" i="25" s="1"/>
  <c r="T6" i="25"/>
  <c r="S6" i="25"/>
  <c r="AD6" i="25" s="1"/>
  <c r="R6" i="25"/>
  <c r="Q6" i="25"/>
  <c r="Y6" i="25" l="1"/>
  <c r="X93" i="25"/>
  <c r="Y93" i="25"/>
  <c r="X94" i="25"/>
  <c r="U94" i="25" s="1"/>
  <c r="AE94" i="25" s="1"/>
  <c r="Y94" i="25"/>
  <c r="Z94" i="25" s="1"/>
  <c r="AA94" i="25" s="1"/>
  <c r="Y92" i="25"/>
  <c r="X91" i="25"/>
  <c r="X92" i="25"/>
  <c r="Y91" i="25"/>
  <c r="X64" i="25"/>
  <c r="Y87" i="25"/>
  <c r="Y26" i="25"/>
  <c r="Z93" i="25"/>
  <c r="AA93" i="25" s="1"/>
  <c r="Y85" i="25"/>
  <c r="Y75" i="25"/>
  <c r="AE93" i="25"/>
  <c r="AD91" i="25"/>
  <c r="AC94" i="25"/>
  <c r="AD94" i="25"/>
  <c r="AE91" i="25"/>
  <c r="AC92" i="25"/>
  <c r="AD92" i="25"/>
  <c r="AC91" i="25"/>
  <c r="AD93" i="25"/>
  <c r="AC93" i="25"/>
  <c r="X85" i="25"/>
  <c r="AD72" i="25"/>
  <c r="AC60" i="25"/>
  <c r="X28" i="25"/>
  <c r="Y42" i="25"/>
  <c r="Y51" i="25"/>
  <c r="AB60" i="25"/>
  <c r="X73" i="25"/>
  <c r="Y38" i="25"/>
  <c r="Y68" i="25"/>
  <c r="X69" i="25"/>
  <c r="X49" i="25"/>
  <c r="Y54" i="25"/>
  <c r="Y63" i="25"/>
  <c r="Y69" i="25"/>
  <c r="X71" i="25"/>
  <c r="Y79" i="25"/>
  <c r="AC85" i="25"/>
  <c r="X89" i="25"/>
  <c r="AC47" i="25"/>
  <c r="AB54" i="25"/>
  <c r="AC69" i="25"/>
  <c r="AD85" i="25"/>
  <c r="AC50" i="25"/>
  <c r="X11" i="25"/>
  <c r="Y56" i="25"/>
  <c r="X15" i="25"/>
  <c r="AC40" i="25"/>
  <c r="X47" i="25"/>
  <c r="AD71" i="25"/>
  <c r="AB83" i="25"/>
  <c r="Y88" i="25"/>
  <c r="X90" i="25"/>
  <c r="X77" i="25"/>
  <c r="Y90" i="25"/>
  <c r="AC56" i="25"/>
  <c r="AD63" i="25"/>
  <c r="AD89" i="25"/>
  <c r="Y28" i="25"/>
  <c r="X44" i="25"/>
  <c r="Y55" i="25"/>
  <c r="X57" i="25"/>
  <c r="Y77" i="25"/>
  <c r="X63" i="25"/>
  <c r="U63" i="25"/>
  <c r="AE63" i="25" s="1"/>
  <c r="U75" i="25"/>
  <c r="AE75" i="25" s="1"/>
  <c r="X27" i="25"/>
  <c r="U27" i="25" s="1"/>
  <c r="X29" i="25"/>
  <c r="Y71" i="25"/>
  <c r="AC86" i="25"/>
  <c r="X88" i="25"/>
  <c r="U11" i="25"/>
  <c r="AE11" i="25" s="1"/>
  <c r="Y61" i="25"/>
  <c r="AC24" i="25"/>
  <c r="Y29" i="25"/>
  <c r="Y30" i="25"/>
  <c r="X40" i="25"/>
  <c r="AC45" i="25"/>
  <c r="AB50" i="25"/>
  <c r="AB51" i="25"/>
  <c r="AD52" i="25"/>
  <c r="X54" i="25"/>
  <c r="X56" i="25"/>
  <c r="AB57" i="25"/>
  <c r="AC62" i="25"/>
  <c r="AD67" i="25"/>
  <c r="AB70" i="25"/>
  <c r="Y72" i="25"/>
  <c r="AD74" i="25"/>
  <c r="AB85" i="25"/>
  <c r="Y86" i="25"/>
  <c r="X87" i="25"/>
  <c r="AC89" i="25"/>
  <c r="U85" i="25"/>
  <c r="U89" i="25"/>
  <c r="AE89" i="25" s="1"/>
  <c r="X65" i="25"/>
  <c r="AB86" i="25"/>
  <c r="X59" i="25"/>
  <c r="Y11" i="25"/>
  <c r="X24" i="25"/>
  <c r="Y39" i="25"/>
  <c r="Y40" i="25"/>
  <c r="X46" i="25"/>
  <c r="X52" i="25"/>
  <c r="AC54" i="25"/>
  <c r="AB59" i="25"/>
  <c r="AC65" i="25"/>
  <c r="X74" i="25"/>
  <c r="X76" i="25"/>
  <c r="X78" i="25"/>
  <c r="X79" i="25"/>
  <c r="X80" i="25"/>
  <c r="Y82" i="25"/>
  <c r="Y89" i="25"/>
  <c r="X58" i="25"/>
  <c r="Y50" i="25"/>
  <c r="AC16" i="25"/>
  <c r="Y24" i="25"/>
  <c r="AB37" i="25"/>
  <c r="Y46" i="25"/>
  <c r="Y52" i="25"/>
  <c r="AC59" i="25"/>
  <c r="AB67" i="25"/>
  <c r="X70" i="25"/>
  <c r="Y73" i="25"/>
  <c r="Y74" i="25"/>
  <c r="Y76" i="25"/>
  <c r="Y78" i="25"/>
  <c r="Y80" i="25"/>
  <c r="Y44" i="25"/>
  <c r="U58" i="25"/>
  <c r="AE58" i="25" s="1"/>
  <c r="Y65" i="25"/>
  <c r="AB24" i="25"/>
  <c r="X30" i="25"/>
  <c r="AC48" i="25"/>
  <c r="X50" i="25"/>
  <c r="AB52" i="25"/>
  <c r="Y58" i="25"/>
  <c r="Y70" i="25"/>
  <c r="X72" i="25"/>
  <c r="AD76" i="25"/>
  <c r="AD80" i="25"/>
  <c r="X86" i="25"/>
  <c r="AE74" i="25"/>
  <c r="AE40" i="25"/>
  <c r="AD49" i="25"/>
  <c r="AC49" i="25"/>
  <c r="AD58" i="25"/>
  <c r="AB69" i="25"/>
  <c r="AD34" i="25"/>
  <c r="AC34" i="25"/>
  <c r="AD46" i="25"/>
  <c r="AB46" i="25"/>
  <c r="AB81" i="25"/>
  <c r="AC81" i="25"/>
  <c r="AD56" i="25"/>
  <c r="AD61" i="25"/>
  <c r="AB61" i="25"/>
  <c r="AD64" i="25"/>
  <c r="AC64" i="25"/>
  <c r="AB64" i="25"/>
  <c r="X75" i="25"/>
  <c r="AD75" i="25"/>
  <c r="AC11" i="25"/>
  <c r="AE53" i="25"/>
  <c r="AE56" i="25"/>
  <c r="AD41" i="25"/>
  <c r="AB41" i="25"/>
  <c r="AD31" i="25"/>
  <c r="AC31" i="25"/>
  <c r="AB31" i="25"/>
  <c r="AD44" i="25"/>
  <c r="AC44" i="25"/>
  <c r="AB44" i="25"/>
  <c r="AC36" i="25"/>
  <c r="AD36" i="25"/>
  <c r="AB58" i="25"/>
  <c r="AC63" i="25"/>
  <c r="AB63" i="25"/>
  <c r="AD73" i="25"/>
  <c r="AD78" i="25"/>
  <c r="AE24" i="25"/>
  <c r="AB32" i="25"/>
  <c r="AC38" i="25"/>
  <c r="AE41" i="25"/>
  <c r="AB65" i="25"/>
  <c r="AD77" i="25"/>
  <c r="AE50" i="25"/>
  <c r="AE54" i="25"/>
  <c r="AE55" i="25"/>
  <c r="AB84" i="25"/>
  <c r="AE33" i="25"/>
  <c r="AC84" i="25"/>
  <c r="AB48" i="25"/>
  <c r="AD14" i="25"/>
  <c r="Y14" i="25"/>
  <c r="U45" i="25"/>
  <c r="AE45" i="25" s="1"/>
  <c r="X45" i="25"/>
  <c r="AD12" i="25"/>
  <c r="Y12" i="25"/>
  <c r="X13" i="25"/>
  <c r="AB15" i="25"/>
  <c r="X39" i="25"/>
  <c r="Y41" i="25"/>
  <c r="X41" i="25"/>
  <c r="AD10" i="25"/>
  <c r="AC10" i="25"/>
  <c r="X10" i="25"/>
  <c r="U10" i="25" s="1"/>
  <c r="AE10" i="25" s="1"/>
  <c r="AB13" i="25"/>
  <c r="AD18" i="25"/>
  <c r="AC18" i="25"/>
  <c r="Y18" i="25"/>
  <c r="AD20" i="25"/>
  <c r="AC20" i="25"/>
  <c r="Y20" i="25"/>
  <c r="AD22" i="25"/>
  <c r="AC22" i="25"/>
  <c r="Y22" i="25"/>
  <c r="Y31" i="25"/>
  <c r="X31" i="25"/>
  <c r="X16" i="25"/>
  <c r="AD17" i="25"/>
  <c r="Y17" i="25"/>
  <c r="X17" i="25"/>
  <c r="AD19" i="25"/>
  <c r="Y19" i="25"/>
  <c r="X19" i="25"/>
  <c r="AD21" i="25"/>
  <c r="Y21" i="25"/>
  <c r="X21" i="25"/>
  <c r="AD23" i="25"/>
  <c r="Y23" i="25"/>
  <c r="X23" i="25"/>
  <c r="X25" i="25"/>
  <c r="U31" i="25"/>
  <c r="AE31" i="25" s="1"/>
  <c r="Y32" i="25"/>
  <c r="X32" i="25"/>
  <c r="AD32" i="25"/>
  <c r="AD35" i="25"/>
  <c r="Y35" i="25"/>
  <c r="X35" i="25"/>
  <c r="U60" i="25"/>
  <c r="AE60" i="25" s="1"/>
  <c r="Y60" i="25"/>
  <c r="X60" i="25"/>
  <c r="AC6" i="25"/>
  <c r="AB6" i="25"/>
  <c r="X6" i="25"/>
  <c r="U6" i="25" s="1"/>
  <c r="AE6" i="25" s="1"/>
  <c r="X7" i="25"/>
  <c r="U7" i="25" s="1"/>
  <c r="AE7" i="25" s="1"/>
  <c r="AB7" i="25"/>
  <c r="AC7" i="25"/>
  <c r="X14" i="25"/>
  <c r="AD15" i="25"/>
  <c r="Y15" i="25"/>
  <c r="Y25" i="25"/>
  <c r="X26" i="25"/>
  <c r="AD33" i="25"/>
  <c r="Y33" i="25"/>
  <c r="X33" i="25"/>
  <c r="AC33" i="25"/>
  <c r="AB34" i="25"/>
  <c r="Y34" i="25"/>
  <c r="X34" i="25"/>
  <c r="Y36" i="25"/>
  <c r="X36" i="25"/>
  <c r="Y37" i="25"/>
  <c r="X37" i="25"/>
  <c r="X12" i="25"/>
  <c r="AD13" i="25"/>
  <c r="Y13" i="25"/>
  <c r="U36" i="25"/>
  <c r="AE36" i="25" s="1"/>
  <c r="U37" i="25"/>
  <c r="AE37" i="25" s="1"/>
  <c r="AD39" i="25"/>
  <c r="AB39" i="25"/>
  <c r="AB14" i="25"/>
  <c r="X18" i="25"/>
  <c r="X20" i="25"/>
  <c r="X22" i="25"/>
  <c r="Y48" i="25"/>
  <c r="U48" i="25"/>
  <c r="AE48" i="25" s="1"/>
  <c r="X48" i="25"/>
  <c r="AD7" i="25"/>
  <c r="AC8" i="25"/>
  <c r="AB8" i="25"/>
  <c r="X8" i="25"/>
  <c r="U8" i="25" s="1"/>
  <c r="AE8" i="25" s="1"/>
  <c r="X9" i="25"/>
  <c r="U9" i="25" s="1"/>
  <c r="AE9" i="25" s="1"/>
  <c r="AB9" i="25"/>
  <c r="AC9" i="25"/>
  <c r="AB12" i="25"/>
  <c r="AC14" i="25"/>
  <c r="AD16" i="25"/>
  <c r="Y16" i="25"/>
  <c r="AB17" i="25"/>
  <c r="AB19" i="25"/>
  <c r="AB21" i="25"/>
  <c r="AB23" i="25"/>
  <c r="AB35" i="25"/>
  <c r="AD43" i="25"/>
  <c r="Y43" i="25"/>
  <c r="X43" i="25"/>
  <c r="AC43" i="25"/>
  <c r="X38" i="25"/>
  <c r="X42" i="25"/>
  <c r="Y47" i="25"/>
  <c r="Y49" i="25"/>
  <c r="Y59" i="25"/>
  <c r="U61" i="25"/>
  <c r="AE61" i="25" s="1"/>
  <c r="Y67" i="25"/>
  <c r="U67" i="25"/>
  <c r="AE67" i="25" s="1"/>
  <c r="U44" i="25"/>
  <c r="AE44" i="25" s="1"/>
  <c r="AB30" i="25"/>
  <c r="AD51" i="25"/>
  <c r="AC51" i="25"/>
  <c r="X51" i="25"/>
  <c r="AD55" i="25"/>
  <c r="AC55" i="25"/>
  <c r="X55" i="25"/>
  <c r="X61" i="25"/>
  <c r="AD68" i="25"/>
  <c r="X68" i="25"/>
  <c r="Z68" i="25" s="1"/>
  <c r="AA68" i="25" s="1"/>
  <c r="AB68" i="25"/>
  <c r="AC68" i="25"/>
  <c r="AB11" i="25"/>
  <c r="AC30" i="25"/>
  <c r="AC37" i="25"/>
  <c r="AC41" i="25"/>
  <c r="AB43" i="25"/>
  <c r="AD45" i="25"/>
  <c r="Y45" i="25"/>
  <c r="U49" i="25"/>
  <c r="AE49" i="25" s="1"/>
  <c r="AD53" i="25"/>
  <c r="Y53" i="25"/>
  <c r="X53" i="25"/>
  <c r="AC53" i="25"/>
  <c r="AD57" i="25"/>
  <c r="Y57" i="25"/>
  <c r="AD66" i="25"/>
  <c r="AB66" i="25"/>
  <c r="Y66" i="25"/>
  <c r="X66" i="25"/>
  <c r="X67" i="25"/>
  <c r="X84" i="25"/>
  <c r="Y84" i="25"/>
  <c r="U84" i="25"/>
  <c r="AE84" i="25" s="1"/>
  <c r="AB49" i="25"/>
  <c r="Y64" i="25"/>
  <c r="AB87" i="25"/>
  <c r="AD87" i="25"/>
  <c r="AD90" i="25"/>
  <c r="AC90" i="25"/>
  <c r="AB90" i="25"/>
  <c r="AC87" i="25"/>
  <c r="AB42" i="25"/>
  <c r="AC61" i="25"/>
  <c r="X81" i="25"/>
  <c r="AD81" i="25"/>
  <c r="Y81" i="25"/>
  <c r="AB38" i="25"/>
  <c r="AB40" i="25"/>
  <c r="AC42" i="25"/>
  <c r="AB47" i="25"/>
  <c r="AB62" i="25"/>
  <c r="X62" i="25"/>
  <c r="AC70" i="25"/>
  <c r="Y62" i="25"/>
  <c r="AE86" i="25"/>
  <c r="X83" i="25"/>
  <c r="AD83" i="25"/>
  <c r="AB71" i="25"/>
  <c r="AB73" i="25"/>
  <c r="AB75" i="25"/>
  <c r="AB77" i="25"/>
  <c r="AB79" i="25"/>
  <c r="Y83" i="25"/>
  <c r="AC71" i="25"/>
  <c r="AC72" i="25"/>
  <c r="AC73" i="25"/>
  <c r="AC74" i="25"/>
  <c r="AC75" i="25"/>
  <c r="AC76" i="25"/>
  <c r="AC77" i="25"/>
  <c r="AC78" i="25"/>
  <c r="AC79" i="25"/>
  <c r="AC80" i="25"/>
  <c r="AD82" i="25"/>
  <c r="X82" i="25"/>
  <c r="AC82" i="25"/>
  <c r="AB88" i="25"/>
  <c r="AC88" i="25"/>
  <c r="AE88" i="25"/>
  <c r="AE90" i="25"/>
  <c r="Z91" i="25" l="1"/>
  <c r="AA91" i="25" s="1"/>
  <c r="Z75" i="25"/>
  <c r="Z7" i="25"/>
  <c r="AA7" i="25" s="1"/>
  <c r="Z87" i="25"/>
  <c r="AA87" i="25" s="1"/>
  <c r="Z10" i="25"/>
  <c r="AA10" i="25" s="1"/>
  <c r="Z8" i="25"/>
  <c r="AA8" i="25" s="1"/>
  <c r="Z27" i="25"/>
  <c r="AA27" i="25" s="1"/>
  <c r="Z9" i="25"/>
  <c r="AA9" i="25" s="1"/>
  <c r="Z6" i="25"/>
  <c r="AA6" i="25" s="1"/>
  <c r="AA75" i="25"/>
  <c r="Z88" i="25"/>
  <c r="AA88" i="25" s="1"/>
  <c r="Z79" i="25"/>
  <c r="AA79" i="25" s="1"/>
  <c r="Z55" i="25"/>
  <c r="AA55" i="25" s="1"/>
  <c r="U92" i="25"/>
  <c r="AE92" i="25" s="1"/>
  <c r="Z92" i="25"/>
  <c r="AA92" i="25" s="1"/>
  <c r="Z85" i="25"/>
  <c r="AA85" i="25" s="1"/>
  <c r="Z26" i="25"/>
  <c r="AA26" i="25" s="1"/>
  <c r="Z42" i="25"/>
  <c r="AA42" i="25" s="1"/>
  <c r="Z51" i="25"/>
  <c r="AA51" i="25" s="1"/>
  <c r="Z69" i="25"/>
  <c r="AA69" i="25" s="1"/>
  <c r="Z28" i="25"/>
  <c r="AA28" i="25" s="1"/>
  <c r="Z54" i="25"/>
  <c r="AA54" i="25" s="1"/>
  <c r="Z44" i="25"/>
  <c r="AA44" i="25" s="1"/>
  <c r="Z30" i="25"/>
  <c r="AA30" i="25" s="1"/>
  <c r="Z50" i="25"/>
  <c r="AA50" i="25" s="1"/>
  <c r="Z71" i="25"/>
  <c r="AA71" i="25" s="1"/>
  <c r="Z77" i="25"/>
  <c r="AA77" i="25" s="1"/>
  <c r="Z46" i="25"/>
  <c r="AA46" i="25" s="1"/>
  <c r="Z15" i="25"/>
  <c r="AA15" i="25" s="1"/>
  <c r="Z64" i="25"/>
  <c r="AA64" i="25" s="1"/>
  <c r="Z47" i="25"/>
  <c r="AA47" i="25" s="1"/>
  <c r="Z72" i="25"/>
  <c r="AA72" i="25" s="1"/>
  <c r="Z65" i="25"/>
  <c r="AA65" i="25" s="1"/>
  <c r="Z49" i="25"/>
  <c r="AA49" i="25" s="1"/>
  <c r="Z56" i="25"/>
  <c r="AA56" i="25" s="1"/>
  <c r="Z57" i="25"/>
  <c r="AA57" i="25" s="1"/>
  <c r="Z59" i="25"/>
  <c r="AA59" i="25" s="1"/>
  <c r="Z89" i="25"/>
  <c r="AA89" i="25" s="1"/>
  <c r="Z38" i="25"/>
  <c r="AA38" i="25" s="1"/>
  <c r="Z35" i="25"/>
  <c r="AA35" i="25" s="1"/>
  <c r="Z11" i="25"/>
  <c r="AA11" i="25" s="1"/>
  <c r="Z36" i="25"/>
  <c r="AA36" i="25" s="1"/>
  <c r="Z37" i="25"/>
  <c r="AA37" i="25" s="1"/>
  <c r="Z33" i="25"/>
  <c r="AA33" i="25" s="1"/>
  <c r="Z60" i="25"/>
  <c r="AA60" i="25" s="1"/>
  <c r="Z58" i="25"/>
  <c r="AA58" i="25" s="1"/>
  <c r="Z78" i="25"/>
  <c r="AA78" i="25" s="1"/>
  <c r="Z61" i="25"/>
  <c r="AA61" i="25" s="1"/>
  <c r="Z14" i="25"/>
  <c r="AA14" i="25" s="1"/>
  <c r="Z40" i="25"/>
  <c r="AA40" i="25" s="1"/>
  <c r="Z73" i="25"/>
  <c r="AA73" i="25" s="1"/>
  <c r="Z62" i="25"/>
  <c r="AA62" i="25" s="1"/>
  <c r="Z22" i="25"/>
  <c r="AA22" i="25" s="1"/>
  <c r="Z19" i="25"/>
  <c r="AA19" i="25" s="1"/>
  <c r="Z31" i="25"/>
  <c r="AA31" i="25" s="1"/>
  <c r="Z39" i="25"/>
  <c r="AA39" i="25" s="1"/>
  <c r="Z70" i="25"/>
  <c r="AA70" i="25" s="1"/>
  <c r="Z29" i="25"/>
  <c r="AA29" i="25" s="1"/>
  <c r="Z63" i="25"/>
  <c r="AA63" i="25" s="1"/>
  <c r="Z21" i="25"/>
  <c r="AA21" i="25" s="1"/>
  <c r="Z74" i="25"/>
  <c r="AA74" i="25" s="1"/>
  <c r="Z24" i="25"/>
  <c r="AA24" i="25" s="1"/>
  <c r="Z41" i="25"/>
  <c r="AA41" i="25" s="1"/>
  <c r="Z90" i="25"/>
  <c r="AA90" i="25" s="1"/>
  <c r="Z81" i="25"/>
  <c r="AA81" i="25" s="1"/>
  <c r="Z53" i="25"/>
  <c r="AA53" i="25" s="1"/>
  <c r="Z82" i="25"/>
  <c r="AA82" i="25" s="1"/>
  <c r="AE85" i="25"/>
  <c r="Z83" i="25"/>
  <c r="AA83" i="25" s="1"/>
  <c r="Z17" i="25"/>
  <c r="AA17" i="25" s="1"/>
  <c r="Z34" i="25"/>
  <c r="AA34" i="25" s="1"/>
  <c r="Z80" i="25"/>
  <c r="AA80" i="25" s="1"/>
  <c r="Z52" i="25"/>
  <c r="AA52" i="25" s="1"/>
  <c r="Z32" i="25"/>
  <c r="AA32" i="25" s="1"/>
  <c r="Z76" i="25"/>
  <c r="AA76" i="25" s="1"/>
  <c r="Z67" i="25"/>
  <c r="AA67" i="25" s="1"/>
  <c r="Z18" i="25"/>
  <c r="AA18" i="25" s="1"/>
  <c r="Z86" i="25"/>
  <c r="AA86" i="25" s="1"/>
  <c r="Z20" i="25"/>
  <c r="AA20" i="25" s="1"/>
  <c r="Z13" i="25"/>
  <c r="AA13" i="25" s="1"/>
  <c r="Z84" i="25"/>
  <c r="AA84" i="25" s="1"/>
  <c r="Z45" i="25"/>
  <c r="AA45" i="25" s="1"/>
  <c r="Z48" i="25"/>
  <c r="AA48" i="25" s="1"/>
  <c r="Z25" i="25"/>
  <c r="AA25" i="25" s="1"/>
  <c r="Z66" i="25"/>
  <c r="AA66" i="25" s="1"/>
  <c r="Z43" i="25"/>
  <c r="AA43" i="25" s="1"/>
  <c r="Z12" i="25"/>
  <c r="AA12" i="25" s="1"/>
  <c r="Z23" i="25"/>
  <c r="AA23" i="25" s="1"/>
  <c r="Z16" i="25"/>
  <c r="AA16" i="25" s="1"/>
  <c r="E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K4" authorId="0" shapeId="0" xr:uid="{1088DE9E-19B9-8844-8393-7EB4C848C68B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2C1E7400-B708-D74A-9D5E-96F75F64DB6D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W5" authorId="1" shapeId="0" xr:uid="{7561D558-BED2-5740-B846-D731DED4776C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<sst xmlns="http://schemas.openxmlformats.org/spreadsheetml/2006/main" count="1025" uniqueCount="361">
  <si>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</si>
  <si>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</si>
  <si>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</si>
  <si>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</si>
  <si>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</si>
  <si>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</si>
  <si>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</si>
  <si>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</si>
  <si>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</si>
  <si>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</si>
  <si>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</si>
  <si>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</si>
  <si>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</si>
  <si>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</si>
  <si>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</si>
  <si>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</si>
  <si>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</si>
  <si>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</si>
  <si>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</si>
  <si>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</si>
  <si>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</si>
  <si>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</si>
  <si>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</si>
  <si>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</si>
  <si>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</si>
  <si>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</si>
  <si>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</si>
  <si>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</si>
  <si>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</si>
  <si>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</si>
  <si>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</si>
  <si>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</si>
  <si>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</si>
  <si>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</si>
  <si>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</si>
  <si>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</si>
  <si>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</si>
  <si>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</si>
  <si>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</si>
  <si>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</si>
  <si>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</si>
  <si>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</si>
  <si>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</si>
  <si>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</si>
  <si>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</si>
  <si>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</si>
  <si>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</si>
  <si>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</si>
  <si>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</si>
  <si>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</si>
  <si>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</si>
  <si>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</si>
  <si>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</si>
  <si>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</si>
  <si>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</si>
  <si>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</si>
  <si>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</si>
  <si>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</si>
  <si>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</si>
  <si>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</si>
  <si>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</si>
  <si>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</si>
  <si>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</si>
  <si>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</si>
  <si>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</si>
  <si>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</si>
  <si>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</si>
  <si>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</si>
  <si>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</si>
  <si>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</si>
  <si>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</si>
  <si>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</si>
  <si>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</si>
  <si>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</si>
  <si>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</si>
  <si>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</si>
  <si>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</si>
  <si>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</si>
  <si>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</si>
  <si>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</si>
  <si>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</si>
  <si>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</si>
  <si>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</si>
  <si>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</si>
  <si>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</si>
  <si>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G</t>
  </si>
  <si>
    <t>M</t>
  </si>
  <si>
    <t>X</t>
  </si>
  <si>
    <t>Z</t>
  </si>
  <si>
    <t>AB</t>
  </si>
  <si>
    <t>AC</t>
  </si>
  <si>
    <t>AN</t>
  </si>
  <si>
    <t>AE</t>
  </si>
  <si>
    <t>AG</t>
  </si>
  <si>
    <t>AL</t>
  </si>
  <si>
    <t>AM</t>
  </si>
  <si>
    <t>Cosmetic Waiver List</t>
  </si>
  <si>
    <t>Vendor Input</t>
  </si>
  <si>
    <t>No.</t>
  </si>
  <si>
    <t>Defect Name</t>
  </si>
  <si>
    <t>Description</t>
  </si>
  <si>
    <t>Picture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</si>
  <si>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</si>
  <si>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</si>
  <si>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</si>
  <si>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</si>
  <si>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</si>
  <si>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</si>
  <si>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</si>
  <si>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</si>
  <si>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</si>
  <si>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</si>
  <si>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</si>
  <si>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</si>
  <si>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</si>
  <si>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</si>
  <si>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</si>
  <si>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Dimensional Waiver List</t>
  </si>
  <si>
    <t>FAI</t>
  </si>
  <si>
    <t>SPC</t>
  </si>
  <si>
    <t>Inpsection Method</t>
  </si>
  <si>
    <t>Spec</t>
  </si>
  <si>
    <t>Waiver Proposal</t>
  </si>
  <si>
    <t>Tol+</t>
  </si>
  <si>
    <t>Tol-</t>
  </si>
  <si>
    <t>Yield %</t>
  </si>
  <si>
    <t>Functional Waiver List</t>
  </si>
  <si>
    <t>Reliability Waiver List</t>
  </si>
  <si>
    <t>REL/ORT Test</t>
  </si>
  <si>
    <t>Checkpoint</t>
  </si>
  <si>
    <t>Input Qty</t>
  </si>
  <si>
    <t>NG Qty</t>
  </si>
  <si>
    <t>Failure Mode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</si>
  <si>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</si>
  <si>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</si>
  <si>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</si>
  <si>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</si>
  <si>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</si>
  <si>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</si>
  <si>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Memphis-Project</t>
    <phoneticPr fontId="10" type="noConversion"/>
  </si>
  <si>
    <t>37-1</t>
  </si>
  <si>
    <t>37-2</t>
  </si>
  <si>
    <t>25-1</t>
  </si>
  <si>
    <t>25-2</t>
  </si>
  <si>
    <t>35-1</t>
  </si>
  <si>
    <t>35-2</t>
  </si>
  <si>
    <t>38-1</t>
  </si>
  <si>
    <t>38-2</t>
  </si>
  <si>
    <t>69-1</t>
  </si>
  <si>
    <t>69-2</t>
  </si>
  <si>
    <t>85</t>
  </si>
  <si>
    <t>89</t>
  </si>
  <si>
    <t>Perpendicularity</t>
  </si>
  <si>
    <t>Straightness</t>
  </si>
  <si>
    <t>CMM</t>
  </si>
  <si>
    <t>U</t>
  </si>
  <si>
    <t>T</t>
  </si>
  <si>
    <t>W</t>
  </si>
  <si>
    <t>V</t>
  </si>
  <si>
    <t>AW</t>
  </si>
  <si>
    <t>BE</t>
  </si>
  <si>
    <t>BF</t>
  </si>
  <si>
    <t>BG</t>
  </si>
  <si>
    <t>BH</t>
  </si>
  <si>
    <t>BI</t>
  </si>
  <si>
    <t>BL</t>
  </si>
  <si>
    <t>2-1</t>
  </si>
  <si>
    <t>2-2</t>
  </si>
  <si>
    <t>2-3</t>
  </si>
  <si>
    <t>2-4</t>
  </si>
  <si>
    <t>4-a</t>
  </si>
  <si>
    <t>4-b</t>
  </si>
  <si>
    <t>4-c</t>
  </si>
  <si>
    <t>6-a</t>
  </si>
  <si>
    <t>6-b</t>
  </si>
  <si>
    <t>6-c</t>
  </si>
  <si>
    <t>9_1</t>
  </si>
  <si>
    <t>9_2</t>
  </si>
  <si>
    <t>9_3</t>
  </si>
  <si>
    <t>9_4</t>
  </si>
  <si>
    <t>9_5</t>
  </si>
  <si>
    <t>9_6</t>
  </si>
  <si>
    <t>9_7</t>
  </si>
  <si>
    <t>9_8</t>
  </si>
  <si>
    <t>11</t>
  </si>
  <si>
    <t>12-1</t>
  </si>
  <si>
    <t>12-2</t>
  </si>
  <si>
    <t>12-3</t>
  </si>
  <si>
    <t>12-4</t>
  </si>
  <si>
    <t>13-1</t>
  </si>
  <si>
    <t>13-2</t>
  </si>
  <si>
    <t>14-1</t>
  </si>
  <si>
    <t>14-2</t>
  </si>
  <si>
    <t>15-1</t>
  </si>
  <si>
    <t>15-2</t>
  </si>
  <si>
    <t>15-3</t>
  </si>
  <si>
    <t>15-4</t>
  </si>
  <si>
    <t>20</t>
  </si>
  <si>
    <t>21</t>
  </si>
  <si>
    <t>22</t>
  </si>
  <si>
    <t>23</t>
  </si>
  <si>
    <t>24</t>
  </si>
  <si>
    <t>26-1</t>
  </si>
  <si>
    <t>26-2</t>
  </si>
  <si>
    <t>27</t>
  </si>
  <si>
    <t>28</t>
  </si>
  <si>
    <t>29</t>
  </si>
  <si>
    <t>31</t>
  </si>
  <si>
    <t>33</t>
  </si>
  <si>
    <t>40</t>
  </si>
  <si>
    <t>45</t>
  </si>
  <si>
    <t>47</t>
  </si>
  <si>
    <t>50</t>
  </si>
  <si>
    <t>51</t>
  </si>
  <si>
    <t>52</t>
  </si>
  <si>
    <t>53</t>
  </si>
  <si>
    <t>54-1</t>
  </si>
  <si>
    <t>54-2</t>
  </si>
  <si>
    <t>55-1</t>
  </si>
  <si>
    <t>55-2</t>
  </si>
  <si>
    <t>56-1</t>
  </si>
  <si>
    <t>56-2</t>
  </si>
  <si>
    <t>57</t>
  </si>
  <si>
    <t>70-1</t>
  </si>
  <si>
    <t>70-2</t>
  </si>
  <si>
    <t>80</t>
  </si>
  <si>
    <t>81</t>
  </si>
  <si>
    <t>82</t>
  </si>
  <si>
    <t>83</t>
  </si>
  <si>
    <t>84</t>
  </si>
  <si>
    <t>87</t>
  </si>
  <si>
    <t>96-1</t>
  </si>
  <si>
    <t>96-2</t>
  </si>
  <si>
    <t>97-1</t>
  </si>
  <si>
    <t>97-2</t>
  </si>
  <si>
    <t>Height</t>
  </si>
  <si>
    <t>B-1</t>
  </si>
  <si>
    <t>B-2</t>
  </si>
  <si>
    <t>B-3</t>
  </si>
  <si>
    <t>B-4</t>
  </si>
  <si>
    <t>D-a</t>
  </si>
  <si>
    <t>D-b</t>
  </si>
  <si>
    <t>D-c</t>
  </si>
  <si>
    <t>F-a</t>
  </si>
  <si>
    <t>F-b</t>
  </si>
  <si>
    <t>F-c</t>
  </si>
  <si>
    <t>H</t>
  </si>
  <si>
    <t>I</t>
  </si>
  <si>
    <t>K</t>
  </si>
  <si>
    <t>L-1</t>
  </si>
  <si>
    <t>L-2</t>
  </si>
  <si>
    <t>L-3</t>
  </si>
  <si>
    <t>L-4</t>
  </si>
  <si>
    <t>N-1</t>
  </si>
  <si>
    <t>N-2</t>
  </si>
  <si>
    <t>O-1</t>
  </si>
  <si>
    <t>O-2</t>
  </si>
  <si>
    <t>O-3</t>
  </si>
  <si>
    <t>O-4</t>
  </si>
  <si>
    <t>Y-1</t>
  </si>
  <si>
    <t>Y-2</t>
  </si>
  <si>
    <t>AA</t>
  </si>
  <si>
    <t>AX</t>
  </si>
  <si>
    <t>114-1</t>
  </si>
  <si>
    <t>114-2</t>
  </si>
  <si>
    <t>86-1</t>
  </si>
  <si>
    <t>86-2</t>
  </si>
  <si>
    <t>88-1</t>
  </si>
  <si>
    <t>88-2</t>
  </si>
  <si>
    <t>Position</t>
  </si>
  <si>
    <t>Angle</t>
  </si>
  <si>
    <t>98-V1</t>
  </si>
  <si>
    <t>99-V1</t>
  </si>
  <si>
    <t>100-V1</t>
  </si>
  <si>
    <t>101-V1</t>
  </si>
  <si>
    <t>102-V1</t>
  </si>
  <si>
    <t>103-V1</t>
  </si>
  <si>
    <t>98-V2</t>
  </si>
  <si>
    <t>99-V2</t>
  </si>
  <si>
    <t>100-V2</t>
  </si>
  <si>
    <t>101-V2</t>
  </si>
  <si>
    <t>102-V2</t>
  </si>
  <si>
    <t>103-V2</t>
  </si>
  <si>
    <t>104-V3</t>
  </si>
  <si>
    <t>105-V3</t>
  </si>
  <si>
    <t>106-V3</t>
  </si>
  <si>
    <t>107-V3</t>
  </si>
  <si>
    <t>108-V3</t>
  </si>
  <si>
    <t>109-V3</t>
  </si>
  <si>
    <t>104-V4</t>
  </si>
  <si>
    <t>105-V4</t>
  </si>
  <si>
    <t>106-V4</t>
  </si>
  <si>
    <t>107-V4</t>
  </si>
  <si>
    <t>108-V4</t>
  </si>
  <si>
    <t>109-V4</t>
  </si>
  <si>
    <t>111-1</t>
  </si>
  <si>
    <t>111-2</t>
  </si>
  <si>
    <t>111-3</t>
  </si>
  <si>
    <t>111-4</t>
  </si>
  <si>
    <t>111-5</t>
  </si>
  <si>
    <t>111-6</t>
  </si>
  <si>
    <t>111-7</t>
  </si>
  <si>
    <t>111-8</t>
  </si>
  <si>
    <t>111-9</t>
  </si>
  <si>
    <t>111-10</t>
  </si>
  <si>
    <t>111-11</t>
  </si>
  <si>
    <t>111-12</t>
  </si>
  <si>
    <t>111-13</t>
  </si>
  <si>
    <t>111-14</t>
  </si>
  <si>
    <t>111-15</t>
  </si>
  <si>
    <t>116_1</t>
  </si>
  <si>
    <t>116_2</t>
  </si>
  <si>
    <t>[30]</t>
  </si>
  <si>
    <t>BK</t>
  </si>
  <si>
    <t>817-11238</t>
    <phoneticPr fontId="10" type="noConversion"/>
  </si>
  <si>
    <t>BM</t>
  </si>
  <si>
    <t>86-3</t>
  </si>
  <si>
    <t>CUT Distance</t>
  </si>
  <si>
    <t>86-4</t>
  </si>
  <si>
    <t>86-5</t>
  </si>
  <si>
    <t>86-6</t>
  </si>
  <si>
    <t>88-3</t>
  </si>
  <si>
    <t>88-4</t>
  </si>
  <si>
    <t>88-5</t>
  </si>
  <si>
    <t>88-6</t>
  </si>
  <si>
    <t>BN</t>
  </si>
  <si>
    <t>BO</t>
  </si>
  <si>
    <t>FAI98-V1</t>
  </si>
  <si>
    <t>FAI103-V1</t>
  </si>
  <si>
    <t>FAI98-V2</t>
  </si>
  <si>
    <t>FAI103-V2</t>
  </si>
  <si>
    <t>FAI104-V3</t>
  </si>
  <si>
    <t>FAI109-V3</t>
  </si>
  <si>
    <t>FAI104-V4</t>
  </si>
  <si>
    <t>FAI109-V4</t>
  </si>
  <si>
    <t>FAI 114-1</t>
  </si>
  <si>
    <t>FAI 114-2</t>
  </si>
  <si>
    <t>FAI 115</t>
  </si>
  <si>
    <t>117-1</t>
  </si>
  <si>
    <t>117-2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</si>
  <si>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</si>
  <si>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</si>
  <si>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</si>
  <si>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</si>
  <si>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</si>
  <si>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</si>
  <si>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</si>
  <si>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</si>
  <si>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</si>
  <si>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MP</t>
    <phoneticPr fontId="10" type="noConversion"/>
  </si>
  <si>
    <t>PCS</t>
    <phoneticPr fontId="64" type="noConversion"/>
  </si>
  <si>
    <t>BQ</t>
    <phoneticPr fontId="10" type="noConversion"/>
  </si>
  <si>
    <t>BP</t>
    <phoneticPr fontId="10" type="noConversion"/>
  </si>
  <si>
    <t xml:space="preserve">116-1 </t>
  </si>
  <si>
    <t xml:space="preserve">116-2 </t>
  </si>
  <si>
    <t>3HUR00021A/480/DP252312080A2BZM</t>
  </si>
  <si>
    <t>20250604-27-B</t>
  </si>
  <si>
    <t>관리 치수</t>
    <phoneticPr fontId="10" type="noConversion"/>
  </si>
  <si>
    <r>
      <t xml:space="preserve">LG </t>
    </r>
    <r>
      <rPr>
        <sz val="9"/>
        <rFont val="맑은 고딕"/>
        <family val="2"/>
        <charset val="129"/>
      </rPr>
      <t>요청 치수</t>
    </r>
    <phoneticPr fontId="10" type="noConversion"/>
  </si>
  <si>
    <t>Judgment :</t>
    <phoneticPr fontId="10" type="noConversion"/>
  </si>
  <si>
    <t>MCO Rev.11 / MSoP Rev.1 /
PGM Rev.01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</si>
</sst>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yyyy\-mm\-dd;@"/>
    <numFmt numFmtId="184" formatCode="m/d/yyyy;@"/>
    <numFmt numFmtId="185" formatCode="0_);[Red]\(0\)"/>
  </numFmts>
  <fonts count="70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Helvetica Neue"/>
      <family val="1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9"/>
      <name val="맑은 고딕"/>
      <family val="2"/>
      <charset val="129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87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55" fillId="0" borderId="0" xfId="1" applyFont="1" applyAlignment="1">
      <alignment vertical="center"/>
    </xf>
    <xf numFmtId="0" fontId="56" fillId="0" borderId="0" xfId="1" applyFont="1" applyAlignment="1">
      <alignment horizontal="center" vertical="center"/>
    </xf>
    <xf numFmtId="0" fontId="56" fillId="0" borderId="0" xfId="1" applyFont="1" applyAlignment="1">
      <alignment vertical="center"/>
    </xf>
    <xf numFmtId="0" fontId="56" fillId="0" borderId="0" xfId="1" applyFont="1"/>
    <xf numFmtId="0" fontId="5" fillId="0" borderId="0" xfId="1" applyFont="1" applyAlignment="1">
      <alignment vertical="center"/>
    </xf>
    <xf numFmtId="0" fontId="6" fillId="5" borderId="1" xfId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77" fontId="5" fillId="0" borderId="1" xfId="2" applyNumberFormat="1" applyFont="1" applyFill="1" applyBorder="1" applyAlignment="1">
      <alignment horizontal="left" vertical="center" wrapText="1"/>
    </xf>
    <xf numFmtId="9" fontId="5" fillId="0" borderId="1" xfId="2" applyFont="1" applyFill="1" applyBorder="1" applyAlignment="1">
      <alignment horizontal="center" vertical="center" wrapText="1"/>
    </xf>
    <xf numFmtId="9" fontId="5" fillId="4" borderId="1" xfId="2" applyFont="1" applyFill="1" applyBorder="1" applyAlignment="1">
      <alignment horizontal="center" vertical="center" wrapText="1"/>
    </xf>
    <xf numFmtId="10" fontId="5" fillId="4" borderId="1" xfId="2" applyNumberFormat="1" applyFont="1" applyFill="1" applyBorder="1" applyAlignment="1">
      <alignment horizontal="left" vertical="center" wrapText="1"/>
    </xf>
    <xf numFmtId="0" fontId="5" fillId="4" borderId="1" xfId="2" quotePrefix="1" applyNumberFormat="1" applyFont="1" applyFill="1" applyBorder="1" applyAlignment="1">
      <alignment horizontal="left" vertical="center" wrapText="1"/>
    </xf>
    <xf numFmtId="9" fontId="5" fillId="4" borderId="1" xfId="2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4" borderId="1" xfId="2" applyNumberFormat="1" applyFont="1" applyFill="1" applyBorder="1" applyAlignment="1">
      <alignment horizontal="left" vertical="center" wrapText="1"/>
    </xf>
    <xf numFmtId="0" fontId="5" fillId="0" borderId="1" xfId="2" applyNumberFormat="1" applyFont="1" applyFill="1" applyBorder="1" applyAlignment="1">
      <alignment horizontal="center" vertical="center" wrapText="1"/>
    </xf>
    <xf numFmtId="10" fontId="5" fillId="4" borderId="1" xfId="2" quotePrefix="1" applyNumberFormat="1" applyFont="1" applyFill="1" applyBorder="1" applyAlignment="1">
      <alignment horizontal="left" vertical="center" wrapText="1"/>
    </xf>
    <xf numFmtId="10" fontId="58" fillId="4" borderId="1" xfId="2" quotePrefix="1" applyNumberFormat="1" applyFont="1" applyFill="1" applyBorder="1" applyAlignment="1">
      <alignment horizontal="left" vertical="center" wrapText="1"/>
    </xf>
    <xf numFmtId="0" fontId="6" fillId="5" borderId="18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59" fillId="5" borderId="1" xfId="3" applyFont="1" applyFill="1" applyBorder="1" applyAlignment="1">
      <alignment horizontal="center" vertical="center"/>
    </xf>
    <xf numFmtId="0" fontId="60" fillId="4" borderId="1" xfId="3" applyFont="1" applyFill="1" applyBorder="1" applyAlignment="1">
      <alignment horizontal="center" vertical="center"/>
    </xf>
    <xf numFmtId="183" fontId="61" fillId="4" borderId="1" xfId="3" applyNumberFormat="1" applyFont="1" applyFill="1" applyBorder="1" applyAlignment="1">
      <alignment horizontal="center" vertical="center"/>
    </xf>
    <xf numFmtId="184" fontId="61" fillId="4" borderId="1" xfId="3" applyNumberFormat="1" applyFont="1" applyFill="1" applyBorder="1" applyAlignment="1">
      <alignment horizontal="center" vertical="center"/>
    </xf>
    <xf numFmtId="0" fontId="61" fillId="4" borderId="1" xfId="3" applyFont="1" applyFill="1" applyBorder="1" applyAlignment="1">
      <alignment vertical="center" wrapText="1"/>
    </xf>
    <xf numFmtId="0" fontId="5" fillId="0" borderId="27" xfId="0" applyFont="1" applyBorder="1" applyAlignment="1">
      <alignment horizontal="center" vertical="center" shrinkToFit="1"/>
    </xf>
    <xf numFmtId="0" fontId="12" fillId="0" borderId="27" xfId="0" applyFont="1" applyBorder="1" applyAlignment="1" applyProtection="1">
      <alignment horizontal="center" vertical="center"/>
      <protection locked="0"/>
    </xf>
    <xf numFmtId="49" fontId="12" fillId="0" borderId="27" xfId="0" applyNumberFormat="1" applyFont="1" applyBorder="1" applyAlignment="1" applyProtection="1">
      <alignment horizontal="center" vertical="center"/>
      <protection locked="0"/>
    </xf>
    <xf numFmtId="181" fontId="12" fillId="0" borderId="27" xfId="0" applyNumberFormat="1" applyFont="1" applyBorder="1" applyAlignment="1" applyProtection="1">
      <alignment horizontal="center" vertical="center"/>
      <protection locked="0"/>
    </xf>
    <xf numFmtId="0" fontId="39" fillId="0" borderId="27" xfId="0" applyFont="1" applyBorder="1" applyAlignment="1">
      <alignment horizontal="center" vertical="center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7" xfId="0" applyNumberFormat="1" applyFont="1" applyBorder="1" applyAlignment="1" applyProtection="1">
      <alignment horizontal="center" vertical="center" wrapText="1"/>
      <protection locked="0"/>
    </xf>
    <xf numFmtId="17" fontId="12" fillId="0" borderId="27" xfId="0" quotePrefix="1" applyNumberFormat="1" applyFont="1" applyBorder="1" applyAlignment="1" applyProtection="1">
      <alignment horizontal="center" vertical="center"/>
      <protection locked="0"/>
    </xf>
    <xf numFmtId="0" fontId="12" fillId="0" borderId="27" xfId="0" quotePrefix="1" applyFont="1" applyBorder="1" applyAlignment="1" applyProtection="1">
      <alignment horizontal="center" vertical="center"/>
      <protection locked="0"/>
    </xf>
    <xf numFmtId="0" fontId="62" fillId="0" borderId="27" xfId="0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63" fillId="0" borderId="0" xfId="62" applyFont="1" applyAlignment="1">
      <alignment horizontal="center" vertical="center"/>
    </xf>
    <xf numFmtId="185" fontId="63" fillId="0" borderId="0" xfId="62" applyNumberFormat="1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0" fontId="38" fillId="0" borderId="0" xfId="0" applyFont="1" applyAlignment="1">
      <alignment vertical="center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39" fillId="0" borderId="27" xfId="48" applyFont="1" applyBorder="1" applyAlignment="1" applyProtection="1">
      <alignment horizontal="center" vertical="center"/>
      <protection locked="0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0" fontId="12" fillId="0" borderId="27" xfId="4" applyNumberFormat="1" applyFont="1" applyBorder="1" applyAlignment="1">
      <alignment horizontal="center" vertical="center"/>
    </xf>
    <xf numFmtId="181" fontId="12" fillId="0" borderId="27" xfId="364" applyNumberFormat="1" applyFont="1" applyBorder="1" applyAlignment="1" applyProtection="1">
      <alignment horizontal="center" vertical="center"/>
      <protection locked="0"/>
    </xf>
    <xf numFmtId="181" fontId="12" fillId="0" borderId="27" xfId="692" applyNumberFormat="1" applyFont="1" applyBorder="1" applyAlignment="1" applyProtection="1">
      <alignment horizontal="center" vertical="center" wrapText="1"/>
      <protection locked="0"/>
    </xf>
    <xf numFmtId="49" fontId="12" fillId="0" borderId="27" xfId="692" applyNumberFormat="1" applyFont="1" applyBorder="1" applyAlignment="1" applyProtection="1">
      <alignment horizontal="center" vertical="center" wrapText="1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182" fontId="12" fillId="0" borderId="27" xfId="692" applyNumberFormat="1" applyFont="1" applyBorder="1" applyAlignment="1">
      <alignment horizontal="center" vertical="center"/>
    </xf>
    <xf numFmtId="182" fontId="12" fillId="0" borderId="27" xfId="48" applyNumberFormat="1" applyFont="1" applyBorder="1" applyAlignment="1">
      <alignment horizontal="center" vertical="center"/>
    </xf>
    <xf numFmtId="181" fontId="12" fillId="0" borderId="27" xfId="48" applyNumberFormat="1" applyFont="1" applyBorder="1" applyAlignment="1">
      <alignment horizontal="center" vertical="center"/>
    </xf>
    <xf numFmtId="10" fontId="12" fillId="0" borderId="27" xfId="48" applyNumberFormat="1" applyFont="1" applyBorder="1" applyAlignment="1">
      <alignment horizontal="center" vertical="center"/>
    </xf>
    <xf numFmtId="181" fontId="12" fillId="0" borderId="27" xfId="692" applyNumberFormat="1" applyFont="1" applyBorder="1" applyAlignment="1" applyProtection="1">
      <alignment horizontal="center" vertical="center"/>
      <protection locked="0"/>
    </xf>
    <xf numFmtId="0" fontId="39" fillId="0" borderId="27" xfId="692" applyFont="1" applyBorder="1" applyAlignment="1" applyProtection="1">
      <alignment horizontal="center" vertical="center"/>
      <protection locked="0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182" fontId="12" fillId="0" borderId="27" xfId="691" applyNumberFormat="1" applyFont="1" applyBorder="1" applyAlignment="1">
      <alignment horizontal="center" vertical="center"/>
    </xf>
    <xf numFmtId="0" fontId="12" fillId="0" borderId="27" xfId="691" applyNumberFormat="1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14" fontId="63" fillId="4" borderId="27" xfId="388" applyNumberFormat="1" applyFont="1" applyFill="1" applyBorder="1" applyAlignment="1">
      <alignment horizontal="center" vertical="center"/>
    </xf>
    <xf numFmtId="49" fontId="63" fillId="4" borderId="27" xfId="388" applyNumberFormat="1" applyFont="1" applyFill="1" applyBorder="1" applyAlignment="1">
      <alignment horizontal="center" vertical="center"/>
    </xf>
    <xf numFmtId="0" fontId="63" fillId="0" borderId="27" xfId="388" applyFont="1" applyBorder="1" applyAlignment="1">
      <alignment horizontal="center" vertical="center"/>
    </xf>
    <xf numFmtId="185" fontId="63" fillId="4" borderId="27" xfId="388" applyNumberFormat="1" applyFont="1" applyFill="1" applyBorder="1" applyAlignment="1">
      <alignment horizontal="center" vertical="center"/>
    </xf>
    <xf numFmtId="0" fontId="63" fillId="4" borderId="27" xfId="388" applyFont="1" applyFill="1" applyBorder="1" applyAlignment="1">
      <alignment horizontal="center" vertical="center"/>
    </xf>
    <xf numFmtId="185" fontId="63" fillId="0" borderId="27" xfId="388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185" fontId="63" fillId="4" borderId="27" xfId="388" applyNumberFormat="1" applyFont="1" applyFill="1" applyBorder="1">
      <alignment vertical="center"/>
    </xf>
    <xf numFmtId="49" fontId="63" fillId="4" borderId="27" xfId="388" applyNumberFormat="1" applyFont="1" applyFill="1" applyBorder="1">
      <alignment vertical="center"/>
    </xf>
    <xf numFmtId="181" fontId="12" fillId="0" borderId="4" xfId="0" applyNumberFormat="1" applyFont="1" applyBorder="1" applyAlignment="1" applyProtection="1">
      <alignment horizontal="center" vertical="center"/>
      <protection locked="0"/>
    </xf>
    <xf numFmtId="0" fontId="66" fillId="0" borderId="0" xfId="0" applyFont="1" applyAlignment="1" applyProtection="1">
      <alignment horizontal="center" vertical="center"/>
      <protection locked="0"/>
    </xf>
    <xf numFmtId="0" fontId="67" fillId="0" borderId="0" xfId="0" applyFont="1" applyAlignment="1">
      <alignment vertical="center"/>
    </xf>
    <xf numFmtId="0" fontId="68" fillId="0" borderId="27" xfId="692" applyFont="1" applyBorder="1" applyAlignment="1" applyProtection="1">
      <alignment horizontal="center" vertical="center"/>
      <protection locked="0"/>
    </xf>
    <xf numFmtId="0" fontId="69" fillId="0" borderId="27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/>
    </xf>
    <xf numFmtId="180" fontId="39" fillId="0" borderId="27" xfId="0" applyNumberFormat="1" applyFont="1" applyBorder="1" applyAlignment="1">
      <alignment horizontal="center" vertical="center"/>
    </xf>
    <xf numFmtId="0" fontId="39" fillId="0" borderId="27" xfId="0" quotePrefix="1" applyFont="1" applyBorder="1" applyAlignment="1">
      <alignment horizontal="center" vertical="center" wrapText="1"/>
    </xf>
    <xf numFmtId="0" fontId="65" fillId="0" borderId="2" xfId="0" quotePrefix="1" applyFont="1" applyBorder="1" applyAlignment="1">
      <alignment horizontal="center" vertical="center" wrapText="1"/>
    </xf>
    <xf numFmtId="0" fontId="39" fillId="0" borderId="5" xfId="0" quotePrefix="1" applyFont="1" applyBorder="1" applyAlignment="1">
      <alignment horizontal="center" vertical="center" wrapText="1"/>
    </xf>
    <xf numFmtId="0" fontId="39" fillId="0" borderId="2" xfId="0" quotePrefix="1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65" fillId="0" borderId="4" xfId="48" applyFont="1" applyBorder="1" applyAlignment="1">
      <alignment horizontal="center" vertical="center" wrapText="1"/>
    </xf>
    <xf numFmtId="0" fontId="39" fillId="0" borderId="3" xfId="48" applyFont="1" applyBorder="1" applyAlignment="1">
      <alignment horizontal="center" vertical="center" wrapText="1"/>
    </xf>
    <xf numFmtId="0" fontId="39" fillId="0" borderId="4" xfId="48" applyFont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</cellXfs>
  <cellStyles count="694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" xfId="29" builtinId="34" customBuiltin="1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" xfId="33" builtinId="38" customBuiltin="1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" xfId="37" builtinId="42" customBuiltin="1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" xfId="41" builtinId="46" customBuiltin="1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" xfId="45" builtinId="50" customBuiltin="1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강조색1" xfId="26" builtinId="3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" xfId="30" builtinId="35" customBuiltin="1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" xfId="34" builtinId="39" customBuiltin="1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" xfId="38" builtinId="43" customBuiltin="1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" xfId="42" builtinId="47" customBuiltin="1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" xfId="46" builtinId="51" customBuiltin="1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강조색1" xfId="27" builtinId="3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" xfId="31" builtinId="36" customBuiltin="1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" xfId="35" builtinId="40" customBuiltin="1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" xfId="39" builtinId="44" customBuiltin="1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" xfId="43" builtinId="48" customBuiltin="1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" xfId="47" builtinId="52" customBuiltin="1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F295933B-280B-AC42-82FD-27DBEEAA4D23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5" xr:uid="{5D9ED5E1-C801-406D-93E0-2B3591175749}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369" xr:uid="{ADB4494C-2724-4892-8B8C-AFA06F9C5571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45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C1B7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4"/>
  <sheetViews>
    <sheetView showGridLines="0" tabSelected="1" zoomScale="138" zoomScaleNormal="100" workbookViewId="0">
      <selection activeCell="E9" sqref="E9"/>
    </sheetView>
  </sheetViews>
  <sheetFormatPr defaultColWidth="10.81640625" defaultRowHeight="19.2"/>
  <cols>
    <col min="1" max="1" width="10.81640625" style="16"/>
    <col min="2" max="2" width="13.81640625" style="16" customWidth="1"/>
    <col min="3" max="3" width="30.81640625" style="16" customWidth="1"/>
    <col min="4" max="5" width="25.81640625" style="16" customWidth="1"/>
    <col min="6" max="6" width="13.81640625" style="15" customWidth="1"/>
    <col min="7" max="7" width="10.81640625" style="16"/>
    <col min="8" max="9" width="10.81640625" style="16" customWidth="1"/>
    <col min="10" max="16384" width="10.81640625" style="16"/>
  </cols>
  <sheetData>
    <row r="2" spans="1:10" ht="40.200000000000003" customHeight="1">
      <c r="A2" s="9"/>
      <c r="B2" s="149" t="s">
        <v>20</v>
      </c>
      <c r="C2" s="149"/>
      <c r="D2" s="149"/>
      <c r="E2" s="149"/>
      <c r="F2" s="149"/>
      <c r="G2" s="9"/>
      <c r="H2" s="9"/>
      <c r="I2" s="9"/>
      <c r="J2" s="9"/>
    </row>
    <row r="3" spans="1:10" ht="16.2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6.2" customHeight="1">
      <c r="A4" s="9"/>
      <c r="B4" s="9"/>
      <c r="C4" s="12" t="s">
        <v>17</v>
      </c>
      <c r="D4" s="9"/>
      <c r="E4" s="12" t="s">
        <v>17</v>
      </c>
      <c r="F4" s="1"/>
      <c r="G4" s="9"/>
      <c r="H4" s="9"/>
      <c r="I4" s="9"/>
      <c r="J4" s="9"/>
    </row>
    <row r="5" spans="1:10" ht="16.2" customHeight="1">
      <c r="A5" s="9"/>
      <c r="B5" s="2" t="s">
        <v>6</v>
      </c>
      <c r="C5" s="3" t="s">
        <v>139</v>
      </c>
      <c r="D5" s="2" t="s">
        <v>7</v>
      </c>
      <c r="E5" s="5" t="s">
        <v>23</v>
      </c>
      <c r="H5" s="9"/>
      <c r="I5" s="9"/>
      <c r="J5" s="9"/>
    </row>
    <row r="6" spans="1:10" ht="16.2" customHeight="1">
      <c r="A6" s="1"/>
      <c r="B6" s="2" t="s">
        <v>0</v>
      </c>
      <c r="C6" s="3" t="s">
        <v>22</v>
      </c>
      <c r="D6" s="2" t="s">
        <v>8</v>
      </c>
      <c r="E6" s="5">
        <f>'Shipping Lot List'!B2</f>
        <v>46080</v>
      </c>
      <c r="H6" s="1"/>
      <c r="I6" s="1"/>
      <c r="J6" s="1"/>
    </row>
    <row r="7" spans="1:10">
      <c r="A7" s="4"/>
      <c r="B7" s="2" t="s">
        <v>5</v>
      </c>
      <c r="C7" s="3" t="s">
        <v>314</v>
      </c>
      <c r="D7" s="2" t="s">
        <v>359</v>
      </c>
      <c r="E7" s="132" t="str">
        <f>IF(AND(FAI!W157=0, SPC!AH95=0), "PASS", "NG")</f>
        <v>NG</v>
      </c>
      <c r="H7" s="4"/>
      <c r="I7" s="4"/>
      <c r="J7" s="4"/>
    </row>
    <row r="8" spans="1:10" ht="30">
      <c r="A8" s="4"/>
      <c r="B8" s="2" t="s">
        <v>21</v>
      </c>
      <c r="C8" s="131" t="s">
        <v>360</v>
      </c>
      <c r="D8" s="2" t="s">
        <v>4</v>
      </c>
      <c r="E8" s="20">
        <f>SUM('Shipping Lot List'!H:H)</f>
        <v>480</v>
      </c>
      <c r="F8" s="13" t="s">
        <v>17</v>
      </c>
      <c r="H8" s="4"/>
      <c r="I8" s="4"/>
      <c r="J8" s="4"/>
    </row>
    <row r="9" spans="1:10">
      <c r="A9" s="4"/>
      <c r="B9" s="2" t="s">
        <v>1</v>
      </c>
      <c r="C9" s="132" t="s">
        <v>349</v>
      </c>
      <c r="D9" s="2" t="s">
        <v>3</v>
      </c>
      <c r="E9" s="20">
        <v>0</v>
      </c>
      <c r="F9" s="150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20">
        <f>E8</f>
        <v>480</v>
      </c>
      <c r="F10" s="150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51" t="s">
        <v>17</v>
      </c>
      <c r="C12" s="151"/>
      <c r="D12" s="151"/>
      <c r="E12" s="151"/>
      <c r="F12" s="151"/>
      <c r="G12" s="4"/>
      <c r="H12" s="4"/>
      <c r="I12" s="4"/>
      <c r="J12" s="4"/>
    </row>
    <row r="13" spans="1:10">
      <c r="A13" s="4"/>
      <c r="B13" s="18" t="s">
        <v>16</v>
      </c>
      <c r="C13" s="18" t="s">
        <v>15</v>
      </c>
      <c r="D13" s="18" t="s">
        <v>9</v>
      </c>
      <c r="E13" s="18" t="s">
        <v>10</v>
      </c>
      <c r="F13" s="18" t="s">
        <v>14</v>
      </c>
      <c r="G13" s="4"/>
      <c r="H13" s="4"/>
      <c r="I13" s="6"/>
      <c r="J13" s="6"/>
    </row>
    <row r="14" spans="1:10">
      <c r="A14" s="11"/>
      <c r="B14" s="148" t="s">
        <v>11</v>
      </c>
      <c r="C14" s="7"/>
      <c r="D14" s="14"/>
      <c r="E14" s="19"/>
      <c r="F14" s="21"/>
    </row>
    <row r="15" spans="1:10">
      <c r="A15" s="11"/>
      <c r="B15" s="148"/>
      <c r="C15" s="7"/>
      <c r="D15" s="8"/>
      <c r="E15" s="10"/>
      <c r="F15" s="14"/>
    </row>
    <row r="16" spans="1:10">
      <c r="A16" s="11"/>
      <c r="B16" s="148"/>
      <c r="C16" s="7"/>
      <c r="D16" s="8"/>
      <c r="E16" s="10"/>
      <c r="F16" s="14"/>
    </row>
    <row r="17" spans="1:6">
      <c r="A17" s="11"/>
      <c r="B17" s="148"/>
      <c r="C17" s="7"/>
      <c r="D17" s="8"/>
      <c r="E17" s="10"/>
      <c r="F17" s="14"/>
    </row>
    <row r="18" spans="1:6">
      <c r="A18" s="11"/>
      <c r="B18" s="148"/>
      <c r="C18" s="7"/>
      <c r="D18" s="8"/>
      <c r="E18" s="10"/>
      <c r="F18" s="14"/>
    </row>
    <row r="19" spans="1:6">
      <c r="A19" s="11"/>
      <c r="B19" s="148"/>
      <c r="C19" s="7"/>
      <c r="D19" s="8"/>
      <c r="E19" s="10"/>
      <c r="F19" s="14"/>
    </row>
    <row r="20" spans="1:6">
      <c r="A20" s="11"/>
      <c r="B20" s="148"/>
      <c r="C20" s="7"/>
      <c r="D20" s="8"/>
      <c r="E20" s="10"/>
      <c r="F20" s="14"/>
    </row>
    <row r="21" spans="1:6">
      <c r="A21" s="11"/>
      <c r="B21" s="148"/>
      <c r="C21" s="7"/>
      <c r="D21" s="8"/>
      <c r="E21" s="10"/>
      <c r="F21" s="14"/>
    </row>
    <row r="22" spans="1:6">
      <c r="A22" s="11"/>
      <c r="B22" s="148"/>
      <c r="C22" s="7"/>
      <c r="D22" s="8"/>
      <c r="E22" s="10"/>
      <c r="F22" s="14"/>
    </row>
    <row r="23" spans="1:6">
      <c r="A23" s="11"/>
      <c r="B23" s="148"/>
      <c r="C23" s="7"/>
      <c r="D23" s="8"/>
      <c r="E23" s="10"/>
      <c r="F23" s="14"/>
    </row>
    <row r="24" spans="1:6">
      <c r="A24" s="11"/>
      <c r="B24" s="152" t="s">
        <v>12</v>
      </c>
      <c r="C24" s="7"/>
      <c r="D24" s="14"/>
      <c r="E24" s="19"/>
      <c r="F24" s="21"/>
    </row>
    <row r="25" spans="1:6">
      <c r="A25" s="11"/>
      <c r="B25" s="153"/>
      <c r="C25" s="7"/>
      <c r="D25" s="14"/>
      <c r="E25" s="19"/>
      <c r="F25" s="21"/>
    </row>
    <row r="26" spans="1:6">
      <c r="A26" s="11"/>
      <c r="B26" s="153"/>
      <c r="C26" s="7"/>
      <c r="D26" s="14"/>
      <c r="E26" s="19"/>
      <c r="F26" s="14"/>
    </row>
    <row r="27" spans="1:6">
      <c r="A27" s="17"/>
      <c r="B27" s="153"/>
      <c r="C27" s="7"/>
      <c r="D27" s="14"/>
      <c r="E27" s="19"/>
      <c r="F27" s="14"/>
    </row>
    <row r="28" spans="1:6">
      <c r="A28" s="17"/>
      <c r="B28" s="153"/>
      <c r="C28" s="7"/>
      <c r="D28" s="14"/>
      <c r="E28" s="19"/>
      <c r="F28" s="14"/>
    </row>
    <row r="29" spans="1:6">
      <c r="A29" s="17"/>
      <c r="B29" s="153"/>
      <c r="C29" s="7"/>
      <c r="D29" s="14"/>
      <c r="E29" s="19"/>
      <c r="F29" s="14"/>
    </row>
    <row r="30" spans="1:6">
      <c r="A30" s="17"/>
      <c r="B30" s="153"/>
      <c r="C30" s="7"/>
      <c r="D30" s="14"/>
      <c r="E30" s="19"/>
      <c r="F30" s="14"/>
    </row>
    <row r="31" spans="1:6">
      <c r="A31" s="17"/>
      <c r="B31" s="153"/>
      <c r="C31" s="7"/>
      <c r="D31" s="14"/>
      <c r="E31" s="19"/>
      <c r="F31" s="14"/>
    </row>
    <row r="32" spans="1:6">
      <c r="A32" s="17"/>
      <c r="B32" s="153"/>
      <c r="C32" s="7"/>
      <c r="D32" s="14"/>
      <c r="E32" s="19"/>
      <c r="F32" s="14"/>
    </row>
    <row r="33" spans="1:6">
      <c r="A33" s="17"/>
      <c r="B33" s="153"/>
      <c r="C33" s="7"/>
      <c r="D33" s="14"/>
      <c r="E33" s="19"/>
      <c r="F33" s="14"/>
    </row>
    <row r="34" spans="1:6">
      <c r="A34" s="17"/>
      <c r="B34" s="154"/>
      <c r="C34" s="7"/>
      <c r="D34" s="64"/>
      <c r="E34" s="19"/>
      <c r="F34" s="64"/>
    </row>
    <row r="35" spans="1:6">
      <c r="A35" s="17"/>
      <c r="B35" s="148" t="s">
        <v>13</v>
      </c>
      <c r="C35" s="7"/>
      <c r="D35" s="8"/>
      <c r="E35" s="8"/>
      <c r="F35" s="14"/>
    </row>
    <row r="36" spans="1:6">
      <c r="A36" s="17"/>
      <c r="B36" s="148"/>
      <c r="C36" s="7"/>
      <c r="D36" s="8"/>
      <c r="E36" s="8"/>
      <c r="F36" s="14"/>
    </row>
    <row r="37" spans="1:6">
      <c r="A37" s="17"/>
      <c r="B37" s="148"/>
      <c r="C37" s="7"/>
      <c r="D37" s="8"/>
      <c r="E37" s="8"/>
      <c r="F37" s="14"/>
    </row>
    <row r="38" spans="1:6">
      <c r="A38" s="17"/>
      <c r="B38" s="148"/>
      <c r="C38" s="7"/>
      <c r="D38" s="8"/>
      <c r="E38" s="8"/>
      <c r="F38" s="14"/>
    </row>
    <row r="39" spans="1:6">
      <c r="A39" s="17"/>
      <c r="B39" s="148"/>
      <c r="C39" s="7"/>
      <c r="D39" s="8"/>
      <c r="E39" s="8"/>
      <c r="F39" s="14"/>
    </row>
    <row r="40" spans="1:6">
      <c r="A40" s="17"/>
      <c r="B40" s="148"/>
      <c r="C40" s="7"/>
      <c r="D40" s="8"/>
      <c r="E40" s="8"/>
      <c r="F40" s="14"/>
    </row>
    <row r="41" spans="1:6">
      <c r="A41" s="17"/>
      <c r="B41" s="148"/>
      <c r="C41" s="7"/>
      <c r="D41" s="8"/>
      <c r="E41" s="8"/>
      <c r="F41" s="14"/>
    </row>
    <row r="42" spans="1:6">
      <c r="A42" s="17"/>
      <c r="B42" s="148"/>
      <c r="C42" s="7"/>
      <c r="D42" s="8"/>
      <c r="E42" s="8"/>
      <c r="F42" s="14"/>
    </row>
    <row r="43" spans="1:6">
      <c r="A43" s="17"/>
      <c r="B43" s="148"/>
      <c r="C43" s="7"/>
      <c r="D43" s="8"/>
      <c r="E43" s="8"/>
      <c r="F43" s="14"/>
    </row>
    <row r="44" spans="1:6">
      <c r="A44" s="17"/>
      <c r="B44" s="148"/>
      <c r="C44" s="7"/>
      <c r="D44" s="8"/>
      <c r="E44" s="8"/>
      <c r="F44" s="14"/>
    </row>
    <row r="45" spans="1:6">
      <c r="B45" s="147" t="s">
        <v>19</v>
      </c>
      <c r="C45" s="7"/>
      <c r="D45" s="8"/>
      <c r="E45" s="8"/>
      <c r="F45" s="14"/>
    </row>
    <row r="46" spans="1:6">
      <c r="B46" s="147"/>
      <c r="C46" s="7"/>
      <c r="D46" s="8"/>
      <c r="E46" s="8"/>
      <c r="F46" s="14"/>
    </row>
    <row r="47" spans="1:6">
      <c r="B47" s="147"/>
      <c r="C47" s="7"/>
      <c r="D47" s="8"/>
      <c r="E47" s="8"/>
      <c r="F47" s="14"/>
    </row>
    <row r="48" spans="1:6">
      <c r="B48" s="147"/>
      <c r="C48" s="7"/>
      <c r="D48" s="8"/>
      <c r="E48" s="8"/>
      <c r="F48" s="14"/>
    </row>
    <row r="49" spans="2:6">
      <c r="B49" s="147"/>
      <c r="C49" s="7"/>
      <c r="D49" s="8"/>
      <c r="E49" s="8"/>
      <c r="F49" s="14"/>
    </row>
    <row r="50" spans="2:6">
      <c r="B50" s="147"/>
      <c r="C50" s="7"/>
      <c r="D50" s="8"/>
      <c r="E50" s="8"/>
      <c r="F50" s="14"/>
    </row>
    <row r="51" spans="2:6">
      <c r="B51" s="147"/>
      <c r="C51" s="7"/>
      <c r="D51" s="8"/>
      <c r="E51" s="8"/>
      <c r="F51" s="14"/>
    </row>
    <row r="52" spans="2:6">
      <c r="B52" s="147"/>
      <c r="C52" s="7"/>
      <c r="D52" s="8"/>
      <c r="E52" s="8"/>
      <c r="F52" s="14"/>
    </row>
    <row r="53" spans="2:6">
      <c r="B53" s="147"/>
      <c r="C53" s="7"/>
      <c r="D53" s="8"/>
      <c r="E53" s="8"/>
      <c r="F53" s="14"/>
    </row>
    <row r="54" spans="2:6">
      <c r="B54" s="147"/>
      <c r="C54" s="7"/>
      <c r="D54" s="8"/>
      <c r="E54" s="8"/>
      <c r="F54" s="14"/>
    </row>
  </sheetData>
  <mergeCells count="7">
    <mergeCell ref="B45:B54"/>
    <mergeCell ref="B14:B23"/>
    <mergeCell ref="B35:B44"/>
    <mergeCell ref="B2:F2"/>
    <mergeCell ref="F9:F10"/>
    <mergeCell ref="B12:F12"/>
    <mergeCell ref="B24:B34"/>
  </mergeCells>
  <phoneticPr fontId="10" type="noConversion"/>
  <conditionalFormatting sqref="E7">
    <cfRule type="containsText" dxfId="44" priority="1" operator="containsText" text="NG">
      <formula>NOT(ISERROR(SEARCH("NG",E7)))</formula>
    </cfRule>
    <cfRule type="containsText" dxfId="43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A545-41D6-9841-8B2C-5294A11C3FA1}">
  <sheetPr codeName="Sheet1"/>
  <dimension ref="A1:I4"/>
  <sheetViews>
    <sheetView zoomScale="85" zoomScaleNormal="85" workbookViewId="0">
      <selection activeCell="F14" sqref="F14"/>
    </sheetView>
  </sheetViews>
  <sheetFormatPr defaultColWidth="10.90625" defaultRowHeight="19.2"/>
  <cols>
    <col min="1" max="2" width="17.6328125" style="76" customWidth="1"/>
    <col min="3" max="3" width="12.6328125" style="76" customWidth="1"/>
    <col min="4" max="4" width="40.6328125" style="76" customWidth="1"/>
    <col min="5" max="5" width="17.6328125" style="76" customWidth="1"/>
    <col min="6" max="6" width="12.6328125" style="76" customWidth="1"/>
    <col min="7" max="7" width="12.6328125" style="77" customWidth="1"/>
    <col min="8" max="9" width="12.6328125" style="76" customWidth="1"/>
    <col min="10" max="16384" width="10.90625" style="76"/>
  </cols>
  <sheetData>
    <row r="1" spans="1:9">
      <c r="A1" s="133" t="s">
        <v>340</v>
      </c>
      <c r="B1" s="133" t="s">
        <v>341</v>
      </c>
      <c r="C1" s="134" t="s">
        <v>342</v>
      </c>
      <c r="D1" s="135" t="s">
        <v>343</v>
      </c>
      <c r="E1" s="135" t="s">
        <v>344</v>
      </c>
      <c r="F1" s="135" t="s">
        <v>345</v>
      </c>
      <c r="G1" s="135" t="s">
        <v>346</v>
      </c>
      <c r="H1" s="135" t="s">
        <v>347</v>
      </c>
      <c r="I1" s="134" t="s">
        <v>348</v>
      </c>
    </row>
    <row r="2" spans="1:9" ht="19.2" customHeight="1">
      <c r="A2" s="133" t="s">
        <v>314</v>
      </c>
      <c r="B2" s="133">
        <v>46080</v>
      </c>
      <c r="C2" s="134" t="s">
        <v>349</v>
      </c>
      <c r="D2" s="134" t="s">
        <v>355</v>
      </c>
      <c r="E2" s="137" t="s">
        <v>356</v>
      </c>
      <c r="F2" s="140">
        <v>5760</v>
      </c>
      <c r="G2" s="136">
        <v>2</v>
      </c>
      <c r="H2" s="137">
        <v>480</v>
      </c>
      <c r="I2" s="135" t="s">
        <v>350</v>
      </c>
    </row>
    <row r="3" spans="1:9">
      <c r="A3" s="133"/>
      <c r="B3" s="133"/>
      <c r="C3" s="134"/>
      <c r="D3" s="135"/>
      <c r="E3" s="141"/>
      <c r="F3" s="140"/>
      <c r="G3" s="138"/>
      <c r="H3" s="135"/>
      <c r="I3" s="135"/>
    </row>
    <row r="4" spans="1:9">
      <c r="A4" s="133"/>
      <c r="B4" s="133"/>
      <c r="C4" s="134"/>
      <c r="D4" s="135"/>
      <c r="E4" s="141"/>
      <c r="F4" s="140"/>
      <c r="G4" s="138"/>
      <c r="H4" s="135"/>
      <c r="I4" s="135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7444-142C-E441-BF6D-1EA7FEAF9E44}">
  <sheetPr codeName="Sheet3"/>
  <dimension ref="A1:X157"/>
  <sheetViews>
    <sheetView zoomScale="85" zoomScaleNormal="85" workbookViewId="0">
      <selection activeCell="Q21" sqref="Q21"/>
    </sheetView>
  </sheetViews>
  <sheetFormatPr defaultColWidth="12.453125" defaultRowHeight="13.2"/>
  <cols>
    <col min="1" max="1" width="0.81640625" style="23" customWidth="1"/>
    <col min="2" max="2" width="9" style="23" customWidth="1"/>
    <col min="3" max="3" width="13" style="23" customWidth="1"/>
    <col min="4" max="6" width="9" style="23" customWidth="1"/>
    <col min="7" max="10" width="9" style="23" hidden="1" customWidth="1"/>
    <col min="11" max="22" width="9" style="23" customWidth="1"/>
    <col min="23" max="23" width="14.1796875" style="23" customWidth="1"/>
    <col min="24" max="16384" width="12.453125" style="23"/>
  </cols>
  <sheetData>
    <row r="1" spans="1:24" ht="21">
      <c r="A1" s="155" t="s">
        <v>25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</row>
    <row r="2" spans="1:24" ht="10.199999999999999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4" ht="15" customHeight="1">
      <c r="A3" s="75"/>
      <c r="B3" s="164" t="s">
        <v>26</v>
      </c>
      <c r="C3" s="164"/>
      <c r="D3" s="164"/>
      <c r="E3" s="164"/>
      <c r="F3" s="164"/>
      <c r="G3" s="164"/>
      <c r="H3" s="164"/>
      <c r="I3" s="164"/>
      <c r="J3" s="164"/>
      <c r="K3" s="164"/>
      <c r="L3" s="156" t="s">
        <v>27</v>
      </c>
      <c r="M3" s="156"/>
      <c r="N3" s="156"/>
      <c r="O3" s="156"/>
      <c r="P3" s="156"/>
      <c r="Q3" s="156"/>
      <c r="R3" s="157" t="s">
        <v>28</v>
      </c>
      <c r="S3" s="156"/>
      <c r="T3" s="156"/>
      <c r="U3" s="156"/>
      <c r="V3" s="158"/>
      <c r="W3" s="159" t="s">
        <v>29</v>
      </c>
    </row>
    <row r="4" spans="1:24" ht="15" customHeight="1">
      <c r="A4" s="24"/>
      <c r="B4" s="159" t="s">
        <v>30</v>
      </c>
      <c r="C4" s="159" t="s">
        <v>31</v>
      </c>
      <c r="D4" s="165" t="s">
        <v>32</v>
      </c>
      <c r="E4" s="166" t="s">
        <v>33</v>
      </c>
      <c r="F4" s="166" t="s">
        <v>34</v>
      </c>
      <c r="G4" s="167" t="s">
        <v>357</v>
      </c>
      <c r="H4" s="168"/>
      <c r="I4" s="169" t="s">
        <v>358</v>
      </c>
      <c r="J4" s="168"/>
      <c r="K4" s="163" t="s">
        <v>35</v>
      </c>
      <c r="L4" s="160" t="s">
        <v>36</v>
      </c>
      <c r="M4" s="161"/>
      <c r="N4" s="161"/>
      <c r="O4" s="160" t="s">
        <v>37</v>
      </c>
      <c r="P4" s="161"/>
      <c r="Q4" s="161"/>
      <c r="R4" s="162" t="s">
        <v>38</v>
      </c>
      <c r="S4" s="25" t="s">
        <v>39</v>
      </c>
      <c r="T4" s="26"/>
      <c r="U4" s="27" t="s">
        <v>40</v>
      </c>
      <c r="V4" s="26"/>
      <c r="W4" s="159"/>
    </row>
    <row r="5" spans="1:24" ht="18" customHeight="1">
      <c r="A5" s="28"/>
      <c r="B5" s="159"/>
      <c r="C5" s="159"/>
      <c r="D5" s="165"/>
      <c r="E5" s="166"/>
      <c r="F5" s="166"/>
      <c r="G5" s="103" t="s">
        <v>64</v>
      </c>
      <c r="H5" s="103" t="s">
        <v>65</v>
      </c>
      <c r="I5" s="103" t="s">
        <v>64</v>
      </c>
      <c r="J5" s="103" t="s">
        <v>65</v>
      </c>
      <c r="K5" s="163"/>
      <c r="L5" s="74"/>
      <c r="M5" s="74"/>
      <c r="N5" s="74"/>
      <c r="O5" s="74">
        <v>1</v>
      </c>
      <c r="P5" s="74">
        <v>2</v>
      </c>
      <c r="Q5" s="74">
        <v>3</v>
      </c>
      <c r="R5" s="154"/>
      <c r="S5" s="68" t="s">
        <v>41</v>
      </c>
      <c r="T5" s="26" t="s">
        <v>42</v>
      </c>
      <c r="U5" s="68" t="s">
        <v>43</v>
      </c>
      <c r="V5" s="26" t="s">
        <v>44</v>
      </c>
      <c r="W5" s="159"/>
    </row>
    <row r="6" spans="1:24" ht="18" customHeight="1">
      <c r="A6" s="29"/>
      <c r="B6" s="65" t="s">
        <v>166</v>
      </c>
      <c r="C6" s="65" t="s">
        <v>153</v>
      </c>
      <c r="D6" s="67">
        <v>0</v>
      </c>
      <c r="E6" s="67">
        <v>8.0000000000000002E-3</v>
      </c>
      <c r="F6" s="67">
        <v>0</v>
      </c>
      <c r="G6" s="67">
        <v>6.7999999999999996E-3</v>
      </c>
      <c r="H6" s="67">
        <v>0</v>
      </c>
      <c r="I6" s="67"/>
      <c r="J6" s="67"/>
      <c r="K6" s="66" t="s">
        <v>154</v>
      </c>
      <c r="L6" s="69"/>
      <c r="M6" s="69"/>
      <c r="N6" s="69"/>
      <c r="O6" s="30" t="str">
        <f t="shared" ref="O6:O37" si="0">IF(ISERR(L6/L6)=TRUE," ",L6-$D6)</f>
        <v xml:space="preserve"> </v>
      </c>
      <c r="P6" s="30" t="str">
        <f t="shared" ref="P6:P37" si="1">IF(ISERR(M6/M6)=TRUE," ",M6-$D6)</f>
        <v xml:space="preserve"> </v>
      </c>
      <c r="Q6" s="30" t="str">
        <f t="shared" ref="Q6:Q37" si="2">IF(ISERR(N6/N6)=TRUE," ",N6-$D6)</f>
        <v xml:space="preserve"> </v>
      </c>
      <c r="R6" s="31" t="str">
        <f t="shared" ref="R6:R37" si="3">IF(ISERR(L6/L6)=TRUE," ",AVERAGE(L6:N6))</f>
        <v xml:space="preserve"> </v>
      </c>
      <c r="S6" s="32" t="str">
        <f t="shared" ref="S6:S37" si="4">IF(ISERR(E6/E6)=TRUE," ",IF(ISERR(L6/L6)=TRUE," ",IF(ISNUMBER($L6)=FALSE," ",IF(MAX($L6:$N6)&lt;$D6,0,(MAX($L6:$N6)-$D6)/$E6))))</f>
        <v xml:space="preserve"> </v>
      </c>
      <c r="T6" s="33" t="str">
        <f t="shared" ref="T6:T37" si="5">IF(ISERR(F6/D6)=TRUE," ",IF(ISERR(F6/F6)=TRUE," ",IF(ISERR(L6/L6)=TRUE," ",IF(ISNUMBER(L6)=FALSE," ",IF(MIN(L6:N6)&gt;$D6,0,($D6-MIN(L6:N6))/-F6)))))</f>
        <v xml:space="preserve"> </v>
      </c>
      <c r="U6" s="31" t="str">
        <f t="shared" ref="U6:U70" si="6">IF(ISNUMBER($S6)=TRUE,IF($S6&gt;0.651,IF($S6&gt;1.001,"Reject","Alert"),""),"")</f>
        <v/>
      </c>
      <c r="V6" s="31" t="str">
        <f t="shared" ref="V6:V33" si="7">IF(L6="","",IF(ISERR(F6/F6)=TRUE,"",IF(ISERR(F6/D6)=TRUE,IF((F6-MIN(L6:N6))&gt;0.001,"Reject",""),IF(ISNUMBER($T6)=TRUE,IF($T6&gt;0.651,IF($T6&gt;1.001,"Reject","Alert"),""),""))))</f>
        <v/>
      </c>
      <c r="W6" s="146" t="str" cm="1">
        <f t="array" ref="W6">IF(AND(L6:N6 &gt;= D6+F6, L6:N6 &lt;= D6+E6), "OK", "NG")</f>
        <v>OK</v>
      </c>
      <c r="X6" s="143"/>
    </row>
    <row r="7" spans="1:24" ht="18" customHeight="1">
      <c r="A7" s="29"/>
      <c r="B7" s="65" t="s">
        <v>167</v>
      </c>
      <c r="C7" s="70" t="s">
        <v>153</v>
      </c>
      <c r="D7" s="67">
        <v>0</v>
      </c>
      <c r="E7" s="67">
        <v>8.0000000000000002E-3</v>
      </c>
      <c r="F7" s="67">
        <v>0</v>
      </c>
      <c r="G7" s="67">
        <v>6.7999999999999996E-3</v>
      </c>
      <c r="H7" s="67">
        <v>0</v>
      </c>
      <c r="I7" s="67"/>
      <c r="J7" s="67"/>
      <c r="K7" s="66" t="s">
        <v>154</v>
      </c>
      <c r="L7" s="69"/>
      <c r="M7" s="69"/>
      <c r="N7" s="69"/>
      <c r="O7" s="30" t="str">
        <f t="shared" si="0"/>
        <v xml:space="preserve"> </v>
      </c>
      <c r="P7" s="30" t="str">
        <f t="shared" si="1"/>
        <v xml:space="preserve"> </v>
      </c>
      <c r="Q7" s="30" t="str">
        <f t="shared" si="2"/>
        <v xml:space="preserve"> </v>
      </c>
      <c r="R7" s="31" t="str">
        <f t="shared" si="3"/>
        <v xml:space="preserve"> </v>
      </c>
      <c r="S7" s="32" t="str">
        <f t="shared" si="4"/>
        <v xml:space="preserve"> </v>
      </c>
      <c r="T7" s="33" t="str">
        <f t="shared" si="5"/>
        <v xml:space="preserve"> </v>
      </c>
      <c r="U7" s="31" t="str">
        <f t="shared" si="6"/>
        <v/>
      </c>
      <c r="V7" s="31" t="str">
        <f t="shared" si="7"/>
        <v/>
      </c>
      <c r="W7" s="146" t="str" cm="1">
        <f t="array" ref="W7">IF(AND(L7:N7 &gt;= D7+F7, L7:N7 &lt;= D7+E7), "OK", "NG")</f>
        <v>OK</v>
      </c>
      <c r="X7" s="143"/>
    </row>
    <row r="8" spans="1:24" ht="18" customHeight="1">
      <c r="A8" s="29"/>
      <c r="B8" s="65" t="s">
        <v>168</v>
      </c>
      <c r="C8" s="66" t="s">
        <v>153</v>
      </c>
      <c r="D8" s="67">
        <v>0</v>
      </c>
      <c r="E8" s="67">
        <v>8.0000000000000002E-3</v>
      </c>
      <c r="F8" s="67">
        <v>0</v>
      </c>
      <c r="G8" s="67">
        <v>6.7999999999999996E-3</v>
      </c>
      <c r="H8" s="67">
        <v>0</v>
      </c>
      <c r="I8" s="67"/>
      <c r="J8" s="67"/>
      <c r="K8" s="66" t="s">
        <v>154</v>
      </c>
      <c r="L8" s="69"/>
      <c r="M8" s="69"/>
      <c r="N8" s="69"/>
      <c r="O8" s="30" t="str">
        <f t="shared" si="0"/>
        <v xml:space="preserve"> </v>
      </c>
      <c r="P8" s="30" t="str">
        <f t="shared" si="1"/>
        <v xml:space="preserve"> </v>
      </c>
      <c r="Q8" s="30" t="str">
        <f t="shared" si="2"/>
        <v xml:space="preserve"> </v>
      </c>
      <c r="R8" s="31" t="str">
        <f t="shared" si="3"/>
        <v xml:space="preserve"> </v>
      </c>
      <c r="S8" s="32" t="str">
        <f t="shared" si="4"/>
        <v xml:space="preserve"> </v>
      </c>
      <c r="T8" s="33" t="str">
        <f t="shared" si="5"/>
        <v xml:space="preserve"> </v>
      </c>
      <c r="U8" s="31" t="str">
        <f t="shared" si="6"/>
        <v/>
      </c>
      <c r="V8" s="31" t="str">
        <f t="shared" si="7"/>
        <v/>
      </c>
      <c r="W8" s="146" t="str" cm="1">
        <f t="array" ref="W8">IF(AND(L8:N8 &gt;= D8+F8, L8:N8 &lt;= D8+E8), "OK", "NG")</f>
        <v>OK</v>
      </c>
      <c r="X8" s="143"/>
    </row>
    <row r="9" spans="1:24" ht="18" customHeight="1">
      <c r="A9" s="29"/>
      <c r="B9" s="65" t="s">
        <v>169</v>
      </c>
      <c r="C9" s="66" t="s">
        <v>153</v>
      </c>
      <c r="D9" s="67">
        <v>0</v>
      </c>
      <c r="E9" s="67">
        <v>8.0000000000000002E-3</v>
      </c>
      <c r="F9" s="67">
        <v>0</v>
      </c>
      <c r="G9" s="67">
        <v>6.7999999999999996E-3</v>
      </c>
      <c r="H9" s="67">
        <v>0</v>
      </c>
      <c r="I9" s="67"/>
      <c r="J9" s="67"/>
      <c r="K9" s="66" t="s">
        <v>154</v>
      </c>
      <c r="L9" s="69"/>
      <c r="M9" s="69"/>
      <c r="N9" s="69"/>
      <c r="O9" s="30" t="str">
        <f t="shared" si="0"/>
        <v xml:space="preserve"> </v>
      </c>
      <c r="P9" s="30" t="str">
        <f t="shared" si="1"/>
        <v xml:space="preserve"> </v>
      </c>
      <c r="Q9" s="30" t="str">
        <f t="shared" si="2"/>
        <v xml:space="preserve"> </v>
      </c>
      <c r="R9" s="31" t="str">
        <f t="shared" si="3"/>
        <v xml:space="preserve"> </v>
      </c>
      <c r="S9" s="32" t="str">
        <f t="shared" si="4"/>
        <v xml:space="preserve"> </v>
      </c>
      <c r="T9" s="33" t="str">
        <f t="shared" si="5"/>
        <v xml:space="preserve"> </v>
      </c>
      <c r="U9" s="31" t="str">
        <f t="shared" si="6"/>
        <v/>
      </c>
      <c r="V9" s="31" t="str">
        <f t="shared" si="7"/>
        <v/>
      </c>
      <c r="W9" s="146" t="str" cm="1">
        <f t="array" ref="W9">IF(AND(L9:N9 &gt;= D9+F9, L9:N9 &lt;= D9+E9), "OK", "NG")</f>
        <v>OK</v>
      </c>
      <c r="X9" s="143"/>
    </row>
    <row r="10" spans="1:24" ht="18" customHeight="1">
      <c r="A10" s="29"/>
      <c r="B10" s="65">
        <v>3</v>
      </c>
      <c r="C10" s="66" t="s">
        <v>48</v>
      </c>
      <c r="D10" s="67">
        <v>0</v>
      </c>
      <c r="E10" s="67">
        <v>0.03</v>
      </c>
      <c r="F10" s="67">
        <v>0</v>
      </c>
      <c r="G10" s="67">
        <v>2.5499999999999998E-2</v>
      </c>
      <c r="H10" s="67">
        <v>0</v>
      </c>
      <c r="I10" s="67"/>
      <c r="J10" s="67"/>
      <c r="K10" s="66" t="s">
        <v>46</v>
      </c>
      <c r="L10" s="69"/>
      <c r="M10" s="69"/>
      <c r="N10" s="69"/>
      <c r="O10" s="30" t="str">
        <f t="shared" si="0"/>
        <v xml:space="preserve"> </v>
      </c>
      <c r="P10" s="30" t="str">
        <f t="shared" si="1"/>
        <v xml:space="preserve"> </v>
      </c>
      <c r="Q10" s="30" t="str">
        <f t="shared" si="2"/>
        <v xml:space="preserve"> </v>
      </c>
      <c r="R10" s="31" t="str">
        <f t="shared" si="3"/>
        <v xml:space="preserve"> </v>
      </c>
      <c r="S10" s="32" t="str">
        <f t="shared" si="4"/>
        <v xml:space="preserve"> </v>
      </c>
      <c r="T10" s="33" t="str">
        <f t="shared" si="5"/>
        <v xml:space="preserve"> </v>
      </c>
      <c r="U10" s="31" t="str">
        <f t="shared" si="6"/>
        <v/>
      </c>
      <c r="V10" s="31" t="str">
        <f t="shared" si="7"/>
        <v/>
      </c>
      <c r="W10" s="146" t="str" cm="1">
        <f t="array" ref="W10">IF(AND(L10:N10 &gt;= D10+F10, L10:N10 &lt;= D10+E10), "OK", "NG")</f>
        <v>OK</v>
      </c>
      <c r="X10" s="143"/>
    </row>
    <row r="11" spans="1:24" ht="18" customHeight="1">
      <c r="A11" s="29"/>
      <c r="B11" s="65" t="s">
        <v>170</v>
      </c>
      <c r="C11" s="66" t="s">
        <v>45</v>
      </c>
      <c r="D11" s="67">
        <v>0.5</v>
      </c>
      <c r="E11" s="67">
        <v>1.4999999999999999E-2</v>
      </c>
      <c r="F11" s="67">
        <v>-0.01</v>
      </c>
      <c r="G11" s="67">
        <v>0.51275000000000004</v>
      </c>
      <c r="H11" s="67">
        <v>0.49149999999999999</v>
      </c>
      <c r="I11" s="67"/>
      <c r="J11" s="67"/>
      <c r="K11" s="66" t="s">
        <v>46</v>
      </c>
      <c r="L11" s="69"/>
      <c r="M11" s="69"/>
      <c r="N11" s="69"/>
      <c r="O11" s="30" t="str">
        <f t="shared" si="0"/>
        <v xml:space="preserve"> </v>
      </c>
      <c r="P11" s="30" t="str">
        <f t="shared" si="1"/>
        <v xml:space="preserve"> </v>
      </c>
      <c r="Q11" s="30" t="str">
        <f t="shared" si="2"/>
        <v xml:space="preserve"> </v>
      </c>
      <c r="R11" s="31" t="str">
        <f t="shared" si="3"/>
        <v xml:space="preserve"> </v>
      </c>
      <c r="S11" s="32" t="str">
        <f t="shared" si="4"/>
        <v xml:space="preserve"> </v>
      </c>
      <c r="T11" s="33" t="str">
        <f t="shared" si="5"/>
        <v xml:space="preserve"> </v>
      </c>
      <c r="U11" s="31" t="str">
        <f t="shared" si="6"/>
        <v/>
      </c>
      <c r="V11" s="31" t="str">
        <f t="shared" si="7"/>
        <v/>
      </c>
      <c r="W11" s="146" t="str" cm="1">
        <f t="array" ref="W11">IF(AND(L11:N11 &gt;= D11+F11, L11:N11 &lt;= D11+E11), "OK", "NG")</f>
        <v>NG</v>
      </c>
      <c r="X11" s="143"/>
    </row>
    <row r="12" spans="1:24" ht="18" customHeight="1">
      <c r="A12" s="29"/>
      <c r="B12" s="65" t="s">
        <v>171</v>
      </c>
      <c r="C12" s="66" t="s">
        <v>45</v>
      </c>
      <c r="D12" s="67">
        <v>0.5</v>
      </c>
      <c r="E12" s="67">
        <v>1.4999999999999999E-2</v>
      </c>
      <c r="F12" s="67">
        <v>-0.01</v>
      </c>
      <c r="G12" s="67">
        <v>0.51275000000000004</v>
      </c>
      <c r="H12" s="67">
        <v>0.49149999999999999</v>
      </c>
      <c r="I12" s="67"/>
      <c r="J12" s="67"/>
      <c r="K12" s="66" t="s">
        <v>46</v>
      </c>
      <c r="L12" s="69"/>
      <c r="M12" s="69"/>
      <c r="N12" s="69"/>
      <c r="O12" s="30" t="str">
        <f t="shared" si="0"/>
        <v xml:space="preserve"> </v>
      </c>
      <c r="P12" s="30" t="str">
        <f t="shared" si="1"/>
        <v xml:space="preserve"> </v>
      </c>
      <c r="Q12" s="30" t="str">
        <f t="shared" si="2"/>
        <v xml:space="preserve"> </v>
      </c>
      <c r="R12" s="31" t="str">
        <f t="shared" si="3"/>
        <v xml:space="preserve"> </v>
      </c>
      <c r="S12" s="32" t="str">
        <f t="shared" si="4"/>
        <v xml:space="preserve"> </v>
      </c>
      <c r="T12" s="33" t="str">
        <f t="shared" si="5"/>
        <v xml:space="preserve"> </v>
      </c>
      <c r="U12" s="31" t="str">
        <f t="shared" si="6"/>
        <v/>
      </c>
      <c r="V12" s="31" t="str">
        <f t="shared" si="7"/>
        <v/>
      </c>
      <c r="W12" s="146" t="str" cm="1">
        <f t="array" ref="W12">IF(AND(L12:N12 &gt;= D12+F12, L12:N12 &lt;= D12+E12), "OK", "NG")</f>
        <v>NG</v>
      </c>
      <c r="X12" s="143"/>
    </row>
    <row r="13" spans="1:24" ht="18" customHeight="1">
      <c r="A13" s="29"/>
      <c r="B13" s="65" t="s">
        <v>172</v>
      </c>
      <c r="C13" s="66" t="s">
        <v>45</v>
      </c>
      <c r="D13" s="67">
        <v>0.5</v>
      </c>
      <c r="E13" s="67">
        <v>1.4999999999999999E-2</v>
      </c>
      <c r="F13" s="67">
        <v>-0.01</v>
      </c>
      <c r="G13" s="67">
        <v>0.51275000000000004</v>
      </c>
      <c r="H13" s="67">
        <v>0.49149999999999999</v>
      </c>
      <c r="I13" s="67"/>
      <c r="J13" s="67"/>
      <c r="K13" s="66" t="s">
        <v>46</v>
      </c>
      <c r="L13" s="69"/>
      <c r="M13" s="69"/>
      <c r="N13" s="69"/>
      <c r="O13" s="30" t="str">
        <f t="shared" si="0"/>
        <v xml:space="preserve"> </v>
      </c>
      <c r="P13" s="30" t="str">
        <f t="shared" si="1"/>
        <v xml:space="preserve"> </v>
      </c>
      <c r="Q13" s="30" t="str">
        <f t="shared" si="2"/>
        <v xml:space="preserve"> </v>
      </c>
      <c r="R13" s="31" t="str">
        <f t="shared" si="3"/>
        <v xml:space="preserve"> </v>
      </c>
      <c r="S13" s="32" t="str">
        <f t="shared" si="4"/>
        <v xml:space="preserve"> </v>
      </c>
      <c r="T13" s="33" t="str">
        <f t="shared" si="5"/>
        <v xml:space="preserve"> </v>
      </c>
      <c r="U13" s="31" t="str">
        <f t="shared" si="6"/>
        <v/>
      </c>
      <c r="V13" s="31" t="str">
        <f t="shared" si="7"/>
        <v/>
      </c>
      <c r="W13" s="146" t="str" cm="1">
        <f t="array" ref="W13">IF(AND(L13:N13 &gt;= D13+F13, L13:N13 &lt;= D13+E13), "OK", "NG")</f>
        <v>NG</v>
      </c>
      <c r="X13" s="143"/>
    </row>
    <row r="14" spans="1:24" ht="18" customHeight="1">
      <c r="A14" s="29"/>
      <c r="B14" s="65" t="s">
        <v>173</v>
      </c>
      <c r="C14" s="66" t="s">
        <v>45</v>
      </c>
      <c r="D14" s="67">
        <v>0.72</v>
      </c>
      <c r="E14" s="67">
        <v>0.02</v>
      </c>
      <c r="F14" s="67">
        <v>-0.02</v>
      </c>
      <c r="G14" s="67">
        <v>0.73699999999999999</v>
      </c>
      <c r="H14" s="67">
        <v>0.70299999999999996</v>
      </c>
      <c r="I14" s="67"/>
      <c r="J14" s="67"/>
      <c r="K14" s="66" t="s">
        <v>46</v>
      </c>
      <c r="L14" s="69"/>
      <c r="M14" s="69"/>
      <c r="N14" s="69"/>
      <c r="O14" s="30" t="str">
        <f t="shared" si="0"/>
        <v xml:space="preserve"> </v>
      </c>
      <c r="P14" s="30" t="str">
        <f t="shared" si="1"/>
        <v xml:space="preserve"> </v>
      </c>
      <c r="Q14" s="30" t="str">
        <f t="shared" si="2"/>
        <v xml:space="preserve"> </v>
      </c>
      <c r="R14" s="31" t="str">
        <f t="shared" si="3"/>
        <v xml:space="preserve"> </v>
      </c>
      <c r="S14" s="32" t="str">
        <f t="shared" si="4"/>
        <v xml:space="preserve"> </v>
      </c>
      <c r="T14" s="33" t="str">
        <f t="shared" si="5"/>
        <v xml:space="preserve"> </v>
      </c>
      <c r="U14" s="31" t="str">
        <f t="shared" si="6"/>
        <v/>
      </c>
      <c r="V14" s="31" t="str">
        <f t="shared" si="7"/>
        <v/>
      </c>
      <c r="W14" s="146" t="str" cm="1">
        <f t="array" ref="W14">IF(AND(L14:N14 &gt;= D14+F14, L14:N14 &lt;= D14+E14), "OK", "NG")</f>
        <v>NG</v>
      </c>
      <c r="X14" s="143"/>
    </row>
    <row r="15" spans="1:24" ht="18" customHeight="1">
      <c r="A15" s="29"/>
      <c r="B15" s="65" t="s">
        <v>174</v>
      </c>
      <c r="C15" s="66" t="s">
        <v>45</v>
      </c>
      <c r="D15" s="67">
        <v>0.72</v>
      </c>
      <c r="E15" s="67">
        <v>0.02</v>
      </c>
      <c r="F15" s="67">
        <v>-0.02</v>
      </c>
      <c r="G15" s="67">
        <v>0.73699999999999999</v>
      </c>
      <c r="H15" s="67">
        <v>0.70299999999999996</v>
      </c>
      <c r="I15" s="67"/>
      <c r="J15" s="67"/>
      <c r="K15" s="66" t="s">
        <v>46</v>
      </c>
      <c r="L15" s="69"/>
      <c r="M15" s="69"/>
      <c r="N15" s="69"/>
      <c r="O15" s="30" t="str">
        <f t="shared" si="0"/>
        <v xml:space="preserve"> </v>
      </c>
      <c r="P15" s="30" t="str">
        <f t="shared" si="1"/>
        <v xml:space="preserve"> </v>
      </c>
      <c r="Q15" s="30" t="str">
        <f t="shared" si="2"/>
        <v xml:space="preserve"> </v>
      </c>
      <c r="R15" s="31" t="str">
        <f t="shared" si="3"/>
        <v xml:space="preserve"> </v>
      </c>
      <c r="S15" s="32" t="str">
        <f t="shared" si="4"/>
        <v xml:space="preserve"> </v>
      </c>
      <c r="T15" s="33" t="str">
        <f t="shared" si="5"/>
        <v xml:space="preserve"> </v>
      </c>
      <c r="U15" s="31" t="str">
        <f t="shared" si="6"/>
        <v/>
      </c>
      <c r="V15" s="31" t="str">
        <f t="shared" si="7"/>
        <v/>
      </c>
      <c r="W15" s="146" t="str" cm="1">
        <f t="array" ref="W15">IF(AND(L15:N15 &gt;= D15+F15, L15:N15 &lt;= D15+E15), "OK", "NG")</f>
        <v>NG</v>
      </c>
      <c r="X15" s="143"/>
    </row>
    <row r="16" spans="1:24" ht="18" customHeight="1">
      <c r="A16" s="29"/>
      <c r="B16" s="65" t="s">
        <v>175</v>
      </c>
      <c r="C16" s="66" t="s">
        <v>45</v>
      </c>
      <c r="D16" s="67">
        <v>0.72</v>
      </c>
      <c r="E16" s="67">
        <v>0.02</v>
      </c>
      <c r="F16" s="67">
        <v>-0.02</v>
      </c>
      <c r="G16" s="67">
        <v>0.73699999999999999</v>
      </c>
      <c r="H16" s="67">
        <v>0.70299999999999996</v>
      </c>
      <c r="I16" s="67"/>
      <c r="J16" s="67"/>
      <c r="K16" s="66" t="s">
        <v>46</v>
      </c>
      <c r="L16" s="69"/>
      <c r="M16" s="69"/>
      <c r="N16" s="69"/>
      <c r="O16" s="30" t="str">
        <f t="shared" si="0"/>
        <v xml:space="preserve"> </v>
      </c>
      <c r="P16" s="30" t="str">
        <f t="shared" si="1"/>
        <v xml:space="preserve"> </v>
      </c>
      <c r="Q16" s="30" t="str">
        <f t="shared" si="2"/>
        <v xml:space="preserve"> </v>
      </c>
      <c r="R16" s="31" t="str">
        <f t="shared" si="3"/>
        <v xml:space="preserve"> </v>
      </c>
      <c r="S16" s="32" t="str">
        <f t="shared" si="4"/>
        <v xml:space="preserve"> </v>
      </c>
      <c r="T16" s="33" t="str">
        <f t="shared" si="5"/>
        <v xml:space="preserve"> </v>
      </c>
      <c r="U16" s="31" t="str">
        <f t="shared" si="6"/>
        <v/>
      </c>
      <c r="V16" s="31" t="str">
        <f t="shared" si="7"/>
        <v/>
      </c>
      <c r="W16" s="146" t="str" cm="1">
        <f t="array" ref="W16">IF(AND(L16:N16 &gt;= D16+F16, L16:N16 &lt;= D16+E16), "OK", "NG")</f>
        <v>NG</v>
      </c>
      <c r="X16" s="143"/>
    </row>
    <row r="17" spans="1:24" ht="18" customHeight="1">
      <c r="A17" s="29"/>
      <c r="B17" s="65">
        <v>7</v>
      </c>
      <c r="C17" s="66" t="s">
        <v>45</v>
      </c>
      <c r="D17" s="67">
        <v>0.5</v>
      </c>
      <c r="E17" s="67">
        <v>1.7999999999999999E-2</v>
      </c>
      <c r="F17" s="67">
        <v>-1.4999999999999999E-2</v>
      </c>
      <c r="G17" s="67">
        <v>0.51529999999999998</v>
      </c>
      <c r="H17" s="67">
        <v>0.48725000000000002</v>
      </c>
      <c r="I17" s="67">
        <v>0.51349999999999996</v>
      </c>
      <c r="J17" s="67">
        <v>0.48875000000000002</v>
      </c>
      <c r="K17" s="66" t="s">
        <v>46</v>
      </c>
      <c r="L17" s="69"/>
      <c r="M17" s="69"/>
      <c r="N17" s="69"/>
      <c r="O17" s="30" t="str">
        <f t="shared" si="0"/>
        <v xml:space="preserve"> </v>
      </c>
      <c r="P17" s="30" t="str">
        <f t="shared" si="1"/>
        <v xml:space="preserve"> </v>
      </c>
      <c r="Q17" s="30" t="str">
        <f t="shared" si="2"/>
        <v xml:space="preserve"> </v>
      </c>
      <c r="R17" s="31" t="str">
        <f t="shared" si="3"/>
        <v xml:space="preserve"> </v>
      </c>
      <c r="S17" s="32" t="str">
        <f t="shared" si="4"/>
        <v xml:space="preserve"> </v>
      </c>
      <c r="T17" s="33" t="str">
        <f t="shared" si="5"/>
        <v xml:space="preserve"> </v>
      </c>
      <c r="U17" s="31" t="str">
        <f t="shared" si="6"/>
        <v/>
      </c>
      <c r="V17" s="31" t="str">
        <f t="shared" si="7"/>
        <v/>
      </c>
      <c r="W17" s="146" t="str" cm="1">
        <f t="array" ref="W17">IF(AND(L17:N17 &gt;= D17+F17, L17:N17 &lt;= D17+E17), "OK", "NG")</f>
        <v>NG</v>
      </c>
      <c r="X17" s="143"/>
    </row>
    <row r="18" spans="1:24" ht="18" customHeight="1">
      <c r="A18" s="29"/>
      <c r="B18" s="65">
        <v>8</v>
      </c>
      <c r="C18" s="66" t="s">
        <v>45</v>
      </c>
      <c r="D18" s="67">
        <v>0.5</v>
      </c>
      <c r="E18" s="67">
        <v>1.7999999999999999E-2</v>
      </c>
      <c r="F18" s="67">
        <v>-1.4999999999999999E-2</v>
      </c>
      <c r="G18" s="67">
        <v>0.51529999999999998</v>
      </c>
      <c r="H18" s="67">
        <v>0.48725000000000002</v>
      </c>
      <c r="I18" s="67">
        <v>0.51349999999999996</v>
      </c>
      <c r="J18" s="67">
        <v>0.48875000000000002</v>
      </c>
      <c r="K18" s="66" t="s">
        <v>46</v>
      </c>
      <c r="L18" s="69"/>
      <c r="M18" s="69"/>
      <c r="N18" s="69"/>
      <c r="O18" s="30" t="str">
        <f t="shared" si="0"/>
        <v xml:space="preserve"> </v>
      </c>
      <c r="P18" s="30" t="str">
        <f t="shared" si="1"/>
        <v xml:space="preserve"> </v>
      </c>
      <c r="Q18" s="30" t="str">
        <f t="shared" si="2"/>
        <v xml:space="preserve"> </v>
      </c>
      <c r="R18" s="31" t="str">
        <f t="shared" si="3"/>
        <v xml:space="preserve"> </v>
      </c>
      <c r="S18" s="32" t="str">
        <f t="shared" si="4"/>
        <v xml:space="preserve"> </v>
      </c>
      <c r="T18" s="33" t="str">
        <f t="shared" si="5"/>
        <v xml:space="preserve"> </v>
      </c>
      <c r="U18" s="31" t="str">
        <f t="shared" si="6"/>
        <v/>
      </c>
      <c r="V18" s="31" t="str">
        <f t="shared" si="7"/>
        <v/>
      </c>
      <c r="W18" s="146" t="str" cm="1">
        <f t="array" ref="W18">IF(AND(L18:N18 &gt;= D18+F18, L18:N18 &lt;= D18+E18), "OK", "NG")</f>
        <v>NG</v>
      </c>
      <c r="X18" s="143"/>
    </row>
    <row r="19" spans="1:24" ht="18" customHeight="1">
      <c r="A19" s="29"/>
      <c r="B19" s="65" t="s">
        <v>176</v>
      </c>
      <c r="C19" s="66" t="s">
        <v>45</v>
      </c>
      <c r="D19" s="67">
        <v>3.1</v>
      </c>
      <c r="E19" s="67">
        <v>0.03</v>
      </c>
      <c r="F19" s="67">
        <v>-3.5000000000000003E-2</v>
      </c>
      <c r="G19" s="67">
        <v>3.1255000000000002</v>
      </c>
      <c r="H19" s="67">
        <v>3.0702500000000001</v>
      </c>
      <c r="I19" s="67"/>
      <c r="J19" s="67"/>
      <c r="K19" s="66" t="s">
        <v>46</v>
      </c>
      <c r="L19" s="69"/>
      <c r="M19" s="69"/>
      <c r="N19" s="69"/>
      <c r="O19" s="30" t="str">
        <f t="shared" si="0"/>
        <v xml:space="preserve"> </v>
      </c>
      <c r="P19" s="30" t="str">
        <f t="shared" si="1"/>
        <v xml:space="preserve"> </v>
      </c>
      <c r="Q19" s="30" t="str">
        <f t="shared" si="2"/>
        <v xml:space="preserve"> </v>
      </c>
      <c r="R19" s="31" t="str">
        <f t="shared" si="3"/>
        <v xml:space="preserve"> </v>
      </c>
      <c r="S19" s="32" t="str">
        <f t="shared" si="4"/>
        <v xml:space="preserve"> </v>
      </c>
      <c r="T19" s="33" t="str">
        <f t="shared" si="5"/>
        <v xml:space="preserve"> </v>
      </c>
      <c r="U19" s="31" t="str">
        <f t="shared" si="6"/>
        <v/>
      </c>
      <c r="V19" s="31" t="str">
        <f t="shared" si="7"/>
        <v/>
      </c>
      <c r="W19" s="146" t="str" cm="1">
        <f t="array" ref="W19">IF(AND(L19:N19 &gt;= D19+F19, L19:N19 &lt;= D19+E19), "OK", "NG")</f>
        <v>NG</v>
      </c>
      <c r="X19" s="143"/>
    </row>
    <row r="20" spans="1:24" ht="18" customHeight="1">
      <c r="A20" s="29"/>
      <c r="B20" s="65" t="s">
        <v>177</v>
      </c>
      <c r="C20" s="66" t="s">
        <v>45</v>
      </c>
      <c r="D20" s="67">
        <v>3.1</v>
      </c>
      <c r="E20" s="67">
        <v>0.03</v>
      </c>
      <c r="F20" s="67">
        <v>-3.5000000000000003E-2</v>
      </c>
      <c r="G20" s="67">
        <v>3.1255000000000002</v>
      </c>
      <c r="H20" s="67">
        <v>3.0702500000000001</v>
      </c>
      <c r="I20" s="67"/>
      <c r="J20" s="67"/>
      <c r="K20" s="66" t="s">
        <v>46</v>
      </c>
      <c r="L20" s="69"/>
      <c r="M20" s="69"/>
      <c r="N20" s="69"/>
      <c r="O20" s="30" t="str">
        <f t="shared" si="0"/>
        <v xml:space="preserve"> </v>
      </c>
      <c r="P20" s="30" t="str">
        <f t="shared" si="1"/>
        <v xml:space="preserve"> </v>
      </c>
      <c r="Q20" s="30" t="str">
        <f t="shared" si="2"/>
        <v xml:space="preserve"> </v>
      </c>
      <c r="R20" s="31" t="str">
        <f t="shared" si="3"/>
        <v xml:space="preserve"> </v>
      </c>
      <c r="S20" s="32" t="str">
        <f t="shared" si="4"/>
        <v xml:space="preserve"> </v>
      </c>
      <c r="T20" s="33" t="str">
        <f t="shared" si="5"/>
        <v xml:space="preserve"> </v>
      </c>
      <c r="U20" s="31" t="str">
        <f t="shared" si="6"/>
        <v/>
      </c>
      <c r="V20" s="31" t="str">
        <f t="shared" si="7"/>
        <v/>
      </c>
      <c r="W20" s="146" t="str" cm="1">
        <f t="array" ref="W20">IF(AND(L20:N20 &gt;= D20+F20, L20:N20 &lt;= D20+E20), "OK", "NG")</f>
        <v>NG</v>
      </c>
      <c r="X20" s="143"/>
    </row>
    <row r="21" spans="1:24" ht="18" customHeight="1">
      <c r="A21" s="29"/>
      <c r="B21" s="65" t="s">
        <v>178</v>
      </c>
      <c r="C21" s="66" t="s">
        <v>45</v>
      </c>
      <c r="D21" s="67">
        <v>3.1</v>
      </c>
      <c r="E21" s="67">
        <v>0.03</v>
      </c>
      <c r="F21" s="67">
        <v>-3.5000000000000003E-2</v>
      </c>
      <c r="G21" s="67">
        <v>3.1255000000000002</v>
      </c>
      <c r="H21" s="67">
        <v>3.0702500000000001</v>
      </c>
      <c r="I21" s="67"/>
      <c r="J21" s="67"/>
      <c r="K21" s="66" t="s">
        <v>46</v>
      </c>
      <c r="L21" s="69"/>
      <c r="M21" s="69"/>
      <c r="N21" s="69"/>
      <c r="O21" s="30" t="str">
        <f t="shared" si="0"/>
        <v xml:space="preserve"> </v>
      </c>
      <c r="P21" s="30" t="str">
        <f t="shared" si="1"/>
        <v xml:space="preserve"> </v>
      </c>
      <c r="Q21" s="30" t="str">
        <f t="shared" si="2"/>
        <v xml:space="preserve"> </v>
      </c>
      <c r="R21" s="31" t="str">
        <f t="shared" si="3"/>
        <v xml:space="preserve"> </v>
      </c>
      <c r="S21" s="32" t="str">
        <f t="shared" si="4"/>
        <v xml:space="preserve"> </v>
      </c>
      <c r="T21" s="33" t="str">
        <f t="shared" si="5"/>
        <v xml:space="preserve"> </v>
      </c>
      <c r="U21" s="31" t="str">
        <f t="shared" si="6"/>
        <v/>
      </c>
      <c r="V21" s="31" t="str">
        <f t="shared" si="7"/>
        <v/>
      </c>
      <c r="W21" s="146" t="str" cm="1">
        <f t="array" ref="W21">IF(AND(L21:N21 &gt;= D21+F21, L21:N21 &lt;= D21+E21), "OK", "NG")</f>
        <v>NG</v>
      </c>
      <c r="X21" s="143"/>
    </row>
    <row r="22" spans="1:24" ht="18" customHeight="1">
      <c r="A22" s="29"/>
      <c r="B22" s="65" t="s">
        <v>179</v>
      </c>
      <c r="C22" s="66" t="s">
        <v>45</v>
      </c>
      <c r="D22" s="67">
        <v>3.1</v>
      </c>
      <c r="E22" s="67">
        <v>0.03</v>
      </c>
      <c r="F22" s="67">
        <v>-3.5000000000000003E-2</v>
      </c>
      <c r="G22" s="67">
        <v>3.1255000000000002</v>
      </c>
      <c r="H22" s="67">
        <v>3.0702500000000001</v>
      </c>
      <c r="I22" s="67"/>
      <c r="J22" s="67"/>
      <c r="K22" s="66" t="s">
        <v>46</v>
      </c>
      <c r="L22" s="69"/>
      <c r="M22" s="69"/>
      <c r="N22" s="69"/>
      <c r="O22" s="30" t="str">
        <f t="shared" si="0"/>
        <v xml:space="preserve"> </v>
      </c>
      <c r="P22" s="30" t="str">
        <f t="shared" si="1"/>
        <v xml:space="preserve"> </v>
      </c>
      <c r="Q22" s="30" t="str">
        <f t="shared" si="2"/>
        <v xml:space="preserve"> </v>
      </c>
      <c r="R22" s="31" t="str">
        <f t="shared" si="3"/>
        <v xml:space="preserve"> </v>
      </c>
      <c r="S22" s="32" t="str">
        <f t="shared" si="4"/>
        <v xml:space="preserve"> </v>
      </c>
      <c r="T22" s="33" t="str">
        <f t="shared" si="5"/>
        <v xml:space="preserve"> </v>
      </c>
      <c r="U22" s="31" t="str">
        <f t="shared" si="6"/>
        <v/>
      </c>
      <c r="V22" s="31" t="str">
        <f t="shared" si="7"/>
        <v/>
      </c>
      <c r="W22" s="146" t="str" cm="1">
        <f t="array" ref="W22">IF(AND(L22:N22 &gt;= D22+F22, L22:N22 &lt;= D22+E22), "OK", "NG")</f>
        <v>NG</v>
      </c>
      <c r="X22" s="143"/>
    </row>
    <row r="23" spans="1:24" ht="18" customHeight="1">
      <c r="A23" s="29"/>
      <c r="B23" s="65" t="s">
        <v>180</v>
      </c>
      <c r="C23" s="66" t="s">
        <v>45</v>
      </c>
      <c r="D23" s="67">
        <v>3.1</v>
      </c>
      <c r="E23" s="67">
        <v>0.03</v>
      </c>
      <c r="F23" s="67">
        <v>-3.5000000000000003E-2</v>
      </c>
      <c r="G23" s="67">
        <v>3.1255000000000002</v>
      </c>
      <c r="H23" s="67">
        <v>3.0702500000000001</v>
      </c>
      <c r="I23" s="67"/>
      <c r="J23" s="67"/>
      <c r="K23" s="66" t="s">
        <v>46</v>
      </c>
      <c r="L23" s="69"/>
      <c r="M23" s="69"/>
      <c r="N23" s="69"/>
      <c r="O23" s="30" t="str">
        <f t="shared" si="0"/>
        <v xml:space="preserve"> </v>
      </c>
      <c r="P23" s="30" t="str">
        <f t="shared" si="1"/>
        <v xml:space="preserve"> </v>
      </c>
      <c r="Q23" s="30" t="str">
        <f t="shared" si="2"/>
        <v xml:space="preserve"> </v>
      </c>
      <c r="R23" s="31" t="str">
        <f t="shared" si="3"/>
        <v xml:space="preserve"> </v>
      </c>
      <c r="S23" s="32" t="str">
        <f t="shared" si="4"/>
        <v xml:space="preserve"> </v>
      </c>
      <c r="T23" s="33" t="str">
        <f t="shared" si="5"/>
        <v xml:space="preserve"> </v>
      </c>
      <c r="U23" s="31" t="str">
        <f t="shared" si="6"/>
        <v/>
      </c>
      <c r="V23" s="31" t="str">
        <f t="shared" si="7"/>
        <v/>
      </c>
      <c r="W23" s="146" t="str" cm="1">
        <f t="array" ref="W23">IF(AND(L23:N23 &gt;= D23+F23, L23:N23 &lt;= D23+E23), "OK", "NG")</f>
        <v>NG</v>
      </c>
      <c r="X23" s="143"/>
    </row>
    <row r="24" spans="1:24" ht="18" customHeight="1">
      <c r="A24" s="29"/>
      <c r="B24" s="65" t="s">
        <v>181</v>
      </c>
      <c r="C24" s="66" t="s">
        <v>45</v>
      </c>
      <c r="D24" s="67">
        <v>3.1</v>
      </c>
      <c r="E24" s="67">
        <v>0.03</v>
      </c>
      <c r="F24" s="67">
        <v>-3.5000000000000003E-2</v>
      </c>
      <c r="G24" s="67">
        <v>3.1255000000000002</v>
      </c>
      <c r="H24" s="67">
        <v>3.0702500000000001</v>
      </c>
      <c r="I24" s="67"/>
      <c r="J24" s="67"/>
      <c r="K24" s="66" t="s">
        <v>46</v>
      </c>
      <c r="L24" s="69"/>
      <c r="M24" s="69"/>
      <c r="N24" s="69"/>
      <c r="O24" s="30" t="str">
        <f t="shared" si="0"/>
        <v xml:space="preserve"> </v>
      </c>
      <c r="P24" s="30" t="str">
        <f t="shared" si="1"/>
        <v xml:space="preserve"> </v>
      </c>
      <c r="Q24" s="30" t="str">
        <f t="shared" si="2"/>
        <v xml:space="preserve"> </v>
      </c>
      <c r="R24" s="31" t="str">
        <f t="shared" si="3"/>
        <v xml:space="preserve"> </v>
      </c>
      <c r="S24" s="32" t="str">
        <f t="shared" si="4"/>
        <v xml:space="preserve"> </v>
      </c>
      <c r="T24" s="33" t="str">
        <f t="shared" si="5"/>
        <v xml:space="preserve"> </v>
      </c>
      <c r="U24" s="31" t="str">
        <f t="shared" si="6"/>
        <v/>
      </c>
      <c r="V24" s="31" t="str">
        <f t="shared" si="7"/>
        <v/>
      </c>
      <c r="W24" s="146" t="str" cm="1">
        <f t="array" ref="W24">IF(AND(L24:N24 &gt;= D24+F24, L24:N24 &lt;= D24+E24), "OK", "NG")</f>
        <v>NG</v>
      </c>
      <c r="X24" s="143"/>
    </row>
    <row r="25" spans="1:24" ht="18" customHeight="1">
      <c r="A25" s="29"/>
      <c r="B25" s="65" t="s">
        <v>182</v>
      </c>
      <c r="C25" s="66" t="s">
        <v>45</v>
      </c>
      <c r="D25" s="67">
        <v>3.1</v>
      </c>
      <c r="E25" s="67">
        <v>0.03</v>
      </c>
      <c r="F25" s="67">
        <v>-3.5000000000000003E-2</v>
      </c>
      <c r="G25" s="67">
        <v>3.1255000000000002</v>
      </c>
      <c r="H25" s="67">
        <v>3.0702500000000001</v>
      </c>
      <c r="I25" s="67"/>
      <c r="J25" s="67"/>
      <c r="K25" s="66" t="s">
        <v>46</v>
      </c>
      <c r="L25" s="69"/>
      <c r="M25" s="69"/>
      <c r="N25" s="69"/>
      <c r="O25" s="30" t="str">
        <f t="shared" si="0"/>
        <v xml:space="preserve"> </v>
      </c>
      <c r="P25" s="30" t="str">
        <f t="shared" si="1"/>
        <v xml:space="preserve"> </v>
      </c>
      <c r="Q25" s="30" t="str">
        <f t="shared" si="2"/>
        <v xml:space="preserve"> </v>
      </c>
      <c r="R25" s="31" t="str">
        <f t="shared" si="3"/>
        <v xml:space="preserve"> </v>
      </c>
      <c r="S25" s="32" t="str">
        <f t="shared" si="4"/>
        <v xml:space="preserve"> </v>
      </c>
      <c r="T25" s="33" t="str">
        <f t="shared" si="5"/>
        <v xml:space="preserve"> </v>
      </c>
      <c r="U25" s="31" t="str">
        <f t="shared" si="6"/>
        <v/>
      </c>
      <c r="V25" s="31" t="str">
        <f t="shared" si="7"/>
        <v/>
      </c>
      <c r="W25" s="146" t="str" cm="1">
        <f t="array" ref="W25">IF(AND(L25:N25 &gt;= D25+F25, L25:N25 &lt;= D25+E25), "OK", "NG")</f>
        <v>NG</v>
      </c>
      <c r="X25" s="143"/>
    </row>
    <row r="26" spans="1:24" ht="18" customHeight="1">
      <c r="A26" s="29"/>
      <c r="B26" s="65" t="s">
        <v>183</v>
      </c>
      <c r="C26" s="66" t="s">
        <v>45</v>
      </c>
      <c r="D26" s="67">
        <v>3.1</v>
      </c>
      <c r="E26" s="67">
        <v>0.03</v>
      </c>
      <c r="F26" s="67">
        <v>-3.5000000000000003E-2</v>
      </c>
      <c r="G26" s="67">
        <v>3.1255000000000002</v>
      </c>
      <c r="H26" s="67">
        <v>3.0702500000000001</v>
      </c>
      <c r="I26" s="67"/>
      <c r="J26" s="67"/>
      <c r="K26" s="66" t="s">
        <v>46</v>
      </c>
      <c r="L26" s="69"/>
      <c r="M26" s="69"/>
      <c r="N26" s="69"/>
      <c r="O26" s="30" t="str">
        <f t="shared" si="0"/>
        <v xml:space="preserve"> </v>
      </c>
      <c r="P26" s="30" t="str">
        <f t="shared" si="1"/>
        <v xml:space="preserve"> </v>
      </c>
      <c r="Q26" s="30" t="str">
        <f t="shared" si="2"/>
        <v xml:space="preserve"> </v>
      </c>
      <c r="R26" s="31" t="str">
        <f t="shared" si="3"/>
        <v xml:space="preserve"> </v>
      </c>
      <c r="S26" s="32" t="str">
        <f t="shared" si="4"/>
        <v xml:space="preserve"> </v>
      </c>
      <c r="T26" s="33" t="str">
        <f t="shared" si="5"/>
        <v xml:space="preserve"> </v>
      </c>
      <c r="U26" s="31" t="str">
        <f t="shared" si="6"/>
        <v/>
      </c>
      <c r="V26" s="31" t="str">
        <f t="shared" si="7"/>
        <v/>
      </c>
      <c r="W26" s="146" t="str" cm="1">
        <f t="array" ref="W26">IF(AND(L26:N26 &gt;= D26+F26, L26:N26 &lt;= D26+E26), "OK", "NG")</f>
        <v>NG</v>
      </c>
      <c r="X26" s="143"/>
    </row>
    <row r="27" spans="1:24" ht="18" customHeight="1">
      <c r="A27" s="29"/>
      <c r="B27" s="65" t="s">
        <v>184</v>
      </c>
      <c r="C27" s="66" t="s">
        <v>47</v>
      </c>
      <c r="D27" s="67">
        <v>0</v>
      </c>
      <c r="E27" s="67">
        <v>3.5000000000000003E-2</v>
      </c>
      <c r="F27" s="67">
        <v>0</v>
      </c>
      <c r="G27" s="67">
        <v>2.9750000000000002E-2</v>
      </c>
      <c r="H27" s="67">
        <v>0</v>
      </c>
      <c r="I27" s="67">
        <v>2.1000000000000001E-2</v>
      </c>
      <c r="J27" s="67">
        <v>0</v>
      </c>
      <c r="K27" s="66" t="s">
        <v>46</v>
      </c>
      <c r="L27" s="69"/>
      <c r="M27" s="69"/>
      <c r="N27" s="69"/>
      <c r="O27" s="30" t="str">
        <f t="shared" si="0"/>
        <v xml:space="preserve"> </v>
      </c>
      <c r="P27" s="30" t="str">
        <f t="shared" si="1"/>
        <v xml:space="preserve"> </v>
      </c>
      <c r="Q27" s="30" t="str">
        <f t="shared" si="2"/>
        <v xml:space="preserve"> </v>
      </c>
      <c r="R27" s="31" t="str">
        <f t="shared" si="3"/>
        <v xml:space="preserve"> </v>
      </c>
      <c r="S27" s="32" t="str">
        <f t="shared" si="4"/>
        <v xml:space="preserve"> </v>
      </c>
      <c r="T27" s="33" t="str">
        <f t="shared" si="5"/>
        <v xml:space="preserve"> </v>
      </c>
      <c r="U27" s="31" t="str">
        <f t="shared" si="6"/>
        <v/>
      </c>
      <c r="V27" s="31" t="str">
        <f t="shared" si="7"/>
        <v/>
      </c>
      <c r="W27" s="146" t="str" cm="1">
        <f t="array" ref="W27">IF(AND(L27:N27 &gt;= D27+F27, L27:N27 &lt;= D27+E27), "OK", "NG")</f>
        <v>OK</v>
      </c>
      <c r="X27" s="143"/>
    </row>
    <row r="28" spans="1:24" ht="18" customHeight="1">
      <c r="A28" s="29"/>
      <c r="B28" s="65" t="s">
        <v>185</v>
      </c>
      <c r="C28" s="66" t="s">
        <v>45</v>
      </c>
      <c r="D28" s="67">
        <v>0.52</v>
      </c>
      <c r="E28" s="67">
        <v>0.03</v>
      </c>
      <c r="F28" s="67">
        <v>-0.03</v>
      </c>
      <c r="G28" s="67">
        <v>0.54549999999999998</v>
      </c>
      <c r="H28" s="67">
        <v>0.4945</v>
      </c>
      <c r="I28" s="67"/>
      <c r="J28" s="67"/>
      <c r="K28" s="66" t="s">
        <v>46</v>
      </c>
      <c r="L28" s="69"/>
      <c r="M28" s="69"/>
      <c r="N28" s="69"/>
      <c r="O28" s="30" t="str">
        <f t="shared" si="0"/>
        <v xml:space="preserve"> </v>
      </c>
      <c r="P28" s="30" t="str">
        <f t="shared" si="1"/>
        <v xml:space="preserve"> </v>
      </c>
      <c r="Q28" s="30" t="str">
        <f t="shared" si="2"/>
        <v xml:space="preserve"> </v>
      </c>
      <c r="R28" s="31" t="str">
        <f t="shared" si="3"/>
        <v xml:space="preserve"> </v>
      </c>
      <c r="S28" s="32" t="str">
        <f t="shared" si="4"/>
        <v xml:space="preserve"> </v>
      </c>
      <c r="T28" s="33" t="str">
        <f t="shared" si="5"/>
        <v xml:space="preserve"> </v>
      </c>
      <c r="U28" s="31" t="str">
        <f t="shared" si="6"/>
        <v/>
      </c>
      <c r="V28" s="31" t="str">
        <f t="shared" si="7"/>
        <v/>
      </c>
      <c r="W28" s="146" t="str" cm="1">
        <f t="array" ref="W28">IF(AND(L28:N28 &gt;= D28+F28, L28:N28 &lt;= D28+E28), "OK", "NG")</f>
        <v>NG</v>
      </c>
      <c r="X28" s="143"/>
    </row>
    <row r="29" spans="1:24" ht="18" customHeight="1">
      <c r="A29" s="29"/>
      <c r="B29" s="65" t="s">
        <v>186</v>
      </c>
      <c r="C29" s="66" t="s">
        <v>45</v>
      </c>
      <c r="D29" s="67">
        <v>0.52</v>
      </c>
      <c r="E29" s="67">
        <v>0.03</v>
      </c>
      <c r="F29" s="67">
        <v>-0.03</v>
      </c>
      <c r="G29" s="67">
        <v>0.54549999999999998</v>
      </c>
      <c r="H29" s="67">
        <v>0.4945</v>
      </c>
      <c r="I29" s="67"/>
      <c r="J29" s="67"/>
      <c r="K29" s="66" t="s">
        <v>46</v>
      </c>
      <c r="L29" s="69"/>
      <c r="M29" s="69"/>
      <c r="N29" s="69"/>
      <c r="O29" s="30" t="str">
        <f t="shared" si="0"/>
        <v xml:space="preserve"> </v>
      </c>
      <c r="P29" s="30" t="str">
        <f t="shared" si="1"/>
        <v xml:space="preserve"> </v>
      </c>
      <c r="Q29" s="30" t="str">
        <f t="shared" si="2"/>
        <v xml:space="preserve"> </v>
      </c>
      <c r="R29" s="31" t="str">
        <f t="shared" si="3"/>
        <v xml:space="preserve"> </v>
      </c>
      <c r="S29" s="32" t="str">
        <f t="shared" si="4"/>
        <v xml:space="preserve"> </v>
      </c>
      <c r="T29" s="33" t="str">
        <f t="shared" si="5"/>
        <v xml:space="preserve"> </v>
      </c>
      <c r="U29" s="31" t="str">
        <f t="shared" si="6"/>
        <v/>
      </c>
      <c r="V29" s="31" t="str">
        <f t="shared" si="7"/>
        <v/>
      </c>
      <c r="W29" s="146" t="str" cm="1">
        <f t="array" ref="W29">IF(AND(L29:N29 &gt;= D29+F29, L29:N29 &lt;= D29+E29), "OK", "NG")</f>
        <v>NG</v>
      </c>
      <c r="X29" s="143"/>
    </row>
    <row r="30" spans="1:24" ht="18" customHeight="1">
      <c r="A30" s="29"/>
      <c r="B30" s="65" t="s">
        <v>187</v>
      </c>
      <c r="C30" s="66" t="s">
        <v>45</v>
      </c>
      <c r="D30" s="67">
        <v>0.52</v>
      </c>
      <c r="E30" s="67">
        <v>0.03</v>
      </c>
      <c r="F30" s="67">
        <v>-0.03</v>
      </c>
      <c r="G30" s="67">
        <v>0.54549999999999998</v>
      </c>
      <c r="H30" s="67">
        <v>0.4945</v>
      </c>
      <c r="I30" s="67"/>
      <c r="J30" s="67"/>
      <c r="K30" s="66" t="s">
        <v>46</v>
      </c>
      <c r="L30" s="69"/>
      <c r="M30" s="69"/>
      <c r="N30" s="69"/>
      <c r="O30" s="30" t="str">
        <f t="shared" si="0"/>
        <v xml:space="preserve"> </v>
      </c>
      <c r="P30" s="30" t="str">
        <f t="shared" si="1"/>
        <v xml:space="preserve"> </v>
      </c>
      <c r="Q30" s="30" t="str">
        <f t="shared" si="2"/>
        <v xml:space="preserve"> </v>
      </c>
      <c r="R30" s="31" t="str">
        <f t="shared" si="3"/>
        <v xml:space="preserve"> </v>
      </c>
      <c r="S30" s="32" t="str">
        <f t="shared" si="4"/>
        <v xml:space="preserve"> </v>
      </c>
      <c r="T30" s="33" t="str">
        <f t="shared" si="5"/>
        <v xml:space="preserve"> </v>
      </c>
      <c r="U30" s="31" t="str">
        <f t="shared" si="6"/>
        <v/>
      </c>
      <c r="V30" s="31" t="str">
        <f t="shared" si="7"/>
        <v/>
      </c>
      <c r="W30" s="146" t="str" cm="1">
        <f t="array" ref="W30">IF(AND(L30:N30 &gt;= D30+F30, L30:N30 &lt;= D30+E30), "OK", "NG")</f>
        <v>NG</v>
      </c>
      <c r="X30" s="143"/>
    </row>
    <row r="31" spans="1:24" ht="18" customHeight="1">
      <c r="A31" s="29"/>
      <c r="B31" s="65" t="s">
        <v>188</v>
      </c>
      <c r="C31" s="66" t="s">
        <v>45</v>
      </c>
      <c r="D31" s="67">
        <v>0.52</v>
      </c>
      <c r="E31" s="67">
        <v>0.03</v>
      </c>
      <c r="F31" s="67">
        <v>-0.03</v>
      </c>
      <c r="G31" s="67">
        <v>0.54549999999999998</v>
      </c>
      <c r="H31" s="67">
        <v>0.4945</v>
      </c>
      <c r="I31" s="67"/>
      <c r="J31" s="67"/>
      <c r="K31" s="66" t="s">
        <v>46</v>
      </c>
      <c r="L31" s="69"/>
      <c r="M31" s="69"/>
      <c r="N31" s="69"/>
      <c r="O31" s="30" t="str">
        <f t="shared" si="0"/>
        <v xml:space="preserve"> </v>
      </c>
      <c r="P31" s="30" t="str">
        <f t="shared" si="1"/>
        <v xml:space="preserve"> </v>
      </c>
      <c r="Q31" s="30" t="str">
        <f t="shared" si="2"/>
        <v xml:space="preserve"> </v>
      </c>
      <c r="R31" s="31" t="str">
        <f t="shared" si="3"/>
        <v xml:space="preserve"> </v>
      </c>
      <c r="S31" s="32" t="str">
        <f t="shared" si="4"/>
        <v xml:space="preserve"> </v>
      </c>
      <c r="T31" s="33" t="str">
        <f t="shared" si="5"/>
        <v xml:space="preserve"> </v>
      </c>
      <c r="U31" s="31" t="str">
        <f t="shared" si="6"/>
        <v/>
      </c>
      <c r="V31" s="31" t="str">
        <f t="shared" si="7"/>
        <v/>
      </c>
      <c r="W31" s="146" t="str" cm="1">
        <f t="array" ref="W31">IF(AND(L31:N31 &gt;= D31+F31, L31:N31 &lt;= D31+E31), "OK", "NG")</f>
        <v>NG</v>
      </c>
      <c r="X31" s="143"/>
    </row>
    <row r="32" spans="1:24" ht="18" customHeight="1">
      <c r="A32" s="29"/>
      <c r="B32" s="65" t="s">
        <v>189</v>
      </c>
      <c r="C32" s="66" t="s">
        <v>45</v>
      </c>
      <c r="D32" s="67">
        <v>3.23</v>
      </c>
      <c r="E32" s="67">
        <v>0.02</v>
      </c>
      <c r="F32" s="67">
        <v>-3.5000000000000003E-2</v>
      </c>
      <c r="G32" s="67">
        <v>3.2469999999999999</v>
      </c>
      <c r="H32" s="67">
        <v>3.20025</v>
      </c>
      <c r="I32" s="67"/>
      <c r="J32" s="67"/>
      <c r="K32" s="66" t="s">
        <v>46</v>
      </c>
      <c r="L32" s="69"/>
      <c r="M32" s="69"/>
      <c r="N32" s="69"/>
      <c r="O32" s="30" t="str">
        <f t="shared" si="0"/>
        <v xml:space="preserve"> </v>
      </c>
      <c r="P32" s="30" t="str">
        <f t="shared" si="1"/>
        <v xml:space="preserve"> </v>
      </c>
      <c r="Q32" s="30" t="str">
        <f t="shared" si="2"/>
        <v xml:space="preserve"> </v>
      </c>
      <c r="R32" s="31" t="str">
        <f t="shared" si="3"/>
        <v xml:space="preserve"> </v>
      </c>
      <c r="S32" s="32" t="str">
        <f t="shared" si="4"/>
        <v xml:space="preserve"> </v>
      </c>
      <c r="T32" s="33" t="str">
        <f t="shared" si="5"/>
        <v xml:space="preserve"> </v>
      </c>
      <c r="U32" s="31" t="str">
        <f t="shared" si="6"/>
        <v/>
      </c>
      <c r="V32" s="31" t="str">
        <f t="shared" si="7"/>
        <v/>
      </c>
      <c r="W32" s="146" t="str" cm="1">
        <f t="array" ref="W32">IF(AND(L32:N32 &gt;= D32+F32, L32:N32 &lt;= D32+E32), "OK", "NG")</f>
        <v>NG</v>
      </c>
      <c r="X32" s="143"/>
    </row>
    <row r="33" spans="1:24" ht="18" customHeight="1">
      <c r="A33" s="29"/>
      <c r="B33" s="65" t="s">
        <v>190</v>
      </c>
      <c r="C33" s="66" t="s">
        <v>45</v>
      </c>
      <c r="D33" s="67">
        <v>3.23</v>
      </c>
      <c r="E33" s="67">
        <v>0.02</v>
      </c>
      <c r="F33" s="67">
        <v>-3.5000000000000003E-2</v>
      </c>
      <c r="G33" s="67">
        <v>3.2469999999999999</v>
      </c>
      <c r="H33" s="67">
        <v>3.20025</v>
      </c>
      <c r="I33" s="67"/>
      <c r="J33" s="67"/>
      <c r="K33" s="66" t="s">
        <v>46</v>
      </c>
      <c r="L33" s="69"/>
      <c r="M33" s="69"/>
      <c r="N33" s="69"/>
      <c r="O33" s="30" t="str">
        <f t="shared" si="0"/>
        <v xml:space="preserve"> </v>
      </c>
      <c r="P33" s="30" t="str">
        <f t="shared" si="1"/>
        <v xml:space="preserve"> </v>
      </c>
      <c r="Q33" s="30" t="str">
        <f t="shared" si="2"/>
        <v xml:space="preserve"> </v>
      </c>
      <c r="R33" s="31" t="str">
        <f t="shared" si="3"/>
        <v xml:space="preserve"> </v>
      </c>
      <c r="S33" s="32" t="str">
        <f t="shared" si="4"/>
        <v xml:space="preserve"> </v>
      </c>
      <c r="T33" s="33" t="str">
        <f t="shared" si="5"/>
        <v xml:space="preserve"> </v>
      </c>
      <c r="U33" s="31" t="str">
        <f t="shared" si="6"/>
        <v/>
      </c>
      <c r="V33" s="31" t="str">
        <f t="shared" si="7"/>
        <v/>
      </c>
      <c r="W33" s="146" t="str" cm="1">
        <f t="array" ref="W33">IF(AND(L33:N33 &gt;= D33+F33, L33:N33 &lt;= D33+E33), "OK", "NG")</f>
        <v>NG</v>
      </c>
      <c r="X33" s="143"/>
    </row>
    <row r="34" spans="1:24" ht="18" customHeight="1">
      <c r="A34" s="29"/>
      <c r="B34" s="65" t="s">
        <v>191</v>
      </c>
      <c r="C34" s="66" t="s">
        <v>45</v>
      </c>
      <c r="D34" s="67">
        <v>14.263999999999999</v>
      </c>
      <c r="E34" s="67">
        <v>0.03</v>
      </c>
      <c r="F34" s="67">
        <v>-0.03</v>
      </c>
      <c r="G34" s="67">
        <v>14.289499999999999</v>
      </c>
      <c r="H34" s="67">
        <v>14.2385</v>
      </c>
      <c r="I34" s="67"/>
      <c r="J34" s="67"/>
      <c r="K34" s="66" t="s">
        <v>46</v>
      </c>
      <c r="L34" s="69"/>
      <c r="M34" s="69"/>
      <c r="N34" s="69"/>
      <c r="O34" s="30" t="str">
        <f t="shared" si="0"/>
        <v xml:space="preserve"> </v>
      </c>
      <c r="P34" s="30" t="str">
        <f t="shared" si="1"/>
        <v xml:space="preserve"> </v>
      </c>
      <c r="Q34" s="30" t="str">
        <f t="shared" si="2"/>
        <v xml:space="preserve"> </v>
      </c>
      <c r="R34" s="31" t="str">
        <f t="shared" si="3"/>
        <v xml:space="preserve"> </v>
      </c>
      <c r="S34" s="32" t="str">
        <f t="shared" si="4"/>
        <v xml:space="preserve"> </v>
      </c>
      <c r="T34" s="33" t="str">
        <f t="shared" si="5"/>
        <v xml:space="preserve"> </v>
      </c>
      <c r="U34" s="31"/>
      <c r="V34" s="31"/>
      <c r="W34" s="146" t="str" cm="1">
        <f t="array" ref="W34">IF(AND(L34:N34 &gt;= D34+F34, L34:N34 &lt;= D34+E34), "OK", "NG")</f>
        <v>NG</v>
      </c>
      <c r="X34" s="143"/>
    </row>
    <row r="35" spans="1:24" ht="18" customHeight="1">
      <c r="A35" s="29"/>
      <c r="B35" s="65" t="s">
        <v>192</v>
      </c>
      <c r="C35" s="66" t="s">
        <v>45</v>
      </c>
      <c r="D35" s="67">
        <v>14.263999999999999</v>
      </c>
      <c r="E35" s="67">
        <v>0.03</v>
      </c>
      <c r="F35" s="67">
        <v>-0.03</v>
      </c>
      <c r="G35" s="67">
        <v>14.289499999999999</v>
      </c>
      <c r="H35" s="67">
        <v>14.2385</v>
      </c>
      <c r="I35" s="67"/>
      <c r="J35" s="67"/>
      <c r="K35" s="66" t="s">
        <v>46</v>
      </c>
      <c r="L35" s="69"/>
      <c r="M35" s="69"/>
      <c r="N35" s="69"/>
      <c r="O35" s="30" t="str">
        <f t="shared" si="0"/>
        <v xml:space="preserve"> </v>
      </c>
      <c r="P35" s="30" t="str">
        <f t="shared" si="1"/>
        <v xml:space="preserve"> </v>
      </c>
      <c r="Q35" s="30" t="str">
        <f t="shared" si="2"/>
        <v xml:space="preserve"> </v>
      </c>
      <c r="R35" s="31" t="str">
        <f t="shared" si="3"/>
        <v xml:space="preserve"> </v>
      </c>
      <c r="S35" s="32" t="str">
        <f t="shared" si="4"/>
        <v xml:space="preserve"> </v>
      </c>
      <c r="T35" s="33" t="str">
        <f t="shared" si="5"/>
        <v xml:space="preserve"> </v>
      </c>
      <c r="U35" s="31" t="str">
        <f t="shared" si="6"/>
        <v/>
      </c>
      <c r="V35" s="31" t="str">
        <f t="shared" ref="V35:V66" si="8">IF(L35="","",IF(ISERR(F35/F35)=TRUE,"",IF(ISERR(F35/D35)=TRUE,IF((F35-MIN(L35:N35))&gt;0.001,"Reject",""),IF(ISNUMBER($T35)=TRUE,IF($T35&gt;0.651,IF($T35&gt;1.001,"Reject","Alert"),""),""))))</f>
        <v/>
      </c>
      <c r="W35" s="146" t="str" cm="1">
        <f t="array" ref="W35">IF(AND(L35:N35 &gt;= D35+F35, L35:N35 &lt;= D35+E35), "OK", "NG")</f>
        <v>NG</v>
      </c>
      <c r="X35" s="143"/>
    </row>
    <row r="36" spans="1:24" ht="18" customHeight="1">
      <c r="A36" s="29"/>
      <c r="B36" s="65" t="s">
        <v>193</v>
      </c>
      <c r="C36" s="66" t="s">
        <v>45</v>
      </c>
      <c r="D36" s="67">
        <v>1.84</v>
      </c>
      <c r="E36" s="67">
        <v>2.5000000000000001E-2</v>
      </c>
      <c r="F36" s="67">
        <v>-0.02</v>
      </c>
      <c r="G36" s="67">
        <v>1.8612500000000001</v>
      </c>
      <c r="H36" s="67">
        <v>1.8230000000000002</v>
      </c>
      <c r="I36" s="67"/>
      <c r="J36" s="67"/>
      <c r="K36" s="66" t="s">
        <v>46</v>
      </c>
      <c r="L36" s="69"/>
      <c r="M36" s="69"/>
      <c r="N36" s="69"/>
      <c r="O36" s="30" t="str">
        <f t="shared" si="0"/>
        <v xml:space="preserve"> </v>
      </c>
      <c r="P36" s="30" t="str">
        <f t="shared" si="1"/>
        <v xml:space="preserve"> </v>
      </c>
      <c r="Q36" s="30" t="str">
        <f t="shared" si="2"/>
        <v xml:space="preserve"> </v>
      </c>
      <c r="R36" s="31" t="str">
        <f t="shared" si="3"/>
        <v xml:space="preserve"> </v>
      </c>
      <c r="S36" s="32" t="str">
        <f t="shared" si="4"/>
        <v xml:space="preserve"> </v>
      </c>
      <c r="T36" s="33" t="str">
        <f t="shared" si="5"/>
        <v xml:space="preserve"> </v>
      </c>
      <c r="U36" s="31" t="str">
        <f t="shared" si="6"/>
        <v/>
      </c>
      <c r="V36" s="31" t="str">
        <f t="shared" si="8"/>
        <v/>
      </c>
      <c r="W36" s="146" t="str" cm="1">
        <f t="array" ref="W36">IF(AND(L36:N36 &gt;= D36+F36, L36:N36 &lt;= D36+E36), "OK", "NG")</f>
        <v>NG</v>
      </c>
      <c r="X36" s="143"/>
    </row>
    <row r="37" spans="1:24" ht="18" customHeight="1">
      <c r="A37" s="29"/>
      <c r="B37" s="65" t="s">
        <v>194</v>
      </c>
      <c r="C37" s="66" t="s">
        <v>45</v>
      </c>
      <c r="D37" s="67">
        <v>1.84</v>
      </c>
      <c r="E37" s="67">
        <v>2.5000000000000001E-2</v>
      </c>
      <c r="F37" s="67">
        <v>-0.02</v>
      </c>
      <c r="G37" s="67">
        <v>1.8612500000000001</v>
      </c>
      <c r="H37" s="67">
        <v>1.8230000000000002</v>
      </c>
      <c r="I37" s="67"/>
      <c r="J37" s="67"/>
      <c r="K37" s="66" t="s">
        <v>46</v>
      </c>
      <c r="L37" s="69"/>
      <c r="M37" s="69"/>
      <c r="N37" s="69"/>
      <c r="O37" s="30" t="str">
        <f t="shared" si="0"/>
        <v xml:space="preserve"> </v>
      </c>
      <c r="P37" s="30" t="str">
        <f t="shared" si="1"/>
        <v xml:space="preserve"> </v>
      </c>
      <c r="Q37" s="30" t="str">
        <f t="shared" si="2"/>
        <v xml:space="preserve"> </v>
      </c>
      <c r="R37" s="31" t="str">
        <f t="shared" si="3"/>
        <v xml:space="preserve"> </v>
      </c>
      <c r="S37" s="32" t="str">
        <f t="shared" si="4"/>
        <v xml:space="preserve"> </v>
      </c>
      <c r="T37" s="33" t="str">
        <f t="shared" si="5"/>
        <v xml:space="preserve"> </v>
      </c>
      <c r="U37" s="31" t="str">
        <f t="shared" si="6"/>
        <v/>
      </c>
      <c r="V37" s="31" t="str">
        <f t="shared" si="8"/>
        <v/>
      </c>
      <c r="W37" s="146" t="str" cm="1">
        <f t="array" ref="W37">IF(AND(L37:N37 &gt;= D37+F37, L37:N37 &lt;= D37+E37), "OK", "NG")</f>
        <v>NG</v>
      </c>
      <c r="X37" s="143"/>
    </row>
    <row r="38" spans="1:24" ht="18" customHeight="1">
      <c r="A38" s="29"/>
      <c r="B38" s="65" t="s">
        <v>195</v>
      </c>
      <c r="C38" s="66" t="s">
        <v>45</v>
      </c>
      <c r="D38" s="67">
        <v>1.84</v>
      </c>
      <c r="E38" s="67">
        <v>2.5000000000000001E-2</v>
      </c>
      <c r="F38" s="67">
        <v>-0.02</v>
      </c>
      <c r="G38" s="67">
        <v>1.8612500000000001</v>
      </c>
      <c r="H38" s="67">
        <v>1.8230000000000002</v>
      </c>
      <c r="I38" s="67"/>
      <c r="J38" s="67"/>
      <c r="K38" s="66" t="s">
        <v>46</v>
      </c>
      <c r="L38" s="69"/>
      <c r="M38" s="69"/>
      <c r="N38" s="69"/>
      <c r="O38" s="30" t="str">
        <f t="shared" ref="O38:O69" si="9">IF(ISERR(L38/L38)=TRUE," ",L38-$D38)</f>
        <v xml:space="preserve"> </v>
      </c>
      <c r="P38" s="30" t="str">
        <f t="shared" ref="P38:P69" si="10">IF(ISERR(M38/M38)=TRUE," ",M38-$D38)</f>
        <v xml:space="preserve"> </v>
      </c>
      <c r="Q38" s="30" t="str">
        <f t="shared" ref="Q38:Q69" si="11">IF(ISERR(N38/N38)=TRUE," ",N38-$D38)</f>
        <v xml:space="preserve"> </v>
      </c>
      <c r="R38" s="31" t="str">
        <f t="shared" ref="R38:R69" si="12">IF(ISERR(L38/L38)=TRUE," ",AVERAGE(L38:N38))</f>
        <v xml:space="preserve"> </v>
      </c>
      <c r="S38" s="32" t="str">
        <f t="shared" ref="S38:S69" si="13">IF(ISERR(E38/E38)=TRUE," ",IF(ISERR(L38/L38)=TRUE," ",IF(ISNUMBER($L38)=FALSE," ",IF(MAX($L38:$N38)&lt;$D38,0,(MAX($L38:$N38)-$D38)/$E38))))</f>
        <v xml:space="preserve"> </v>
      </c>
      <c r="T38" s="33" t="str">
        <f t="shared" ref="T38:T69" si="14">IF(ISERR(F38/D38)=TRUE," ",IF(ISERR(F38/F38)=TRUE," ",IF(ISERR(L38/L38)=TRUE," ",IF(ISNUMBER(L38)=FALSE," ",IF(MIN(L38:N38)&gt;$D38,0,($D38-MIN(L38:N38))/-F38)))))</f>
        <v xml:space="preserve"> </v>
      </c>
      <c r="U38" s="31" t="str">
        <f t="shared" si="6"/>
        <v/>
      </c>
      <c r="V38" s="31" t="str">
        <f t="shared" si="8"/>
        <v/>
      </c>
      <c r="W38" s="146" t="str" cm="1">
        <f t="array" ref="W38">IF(AND(L38:N38 &gt;= D38+F38, L38:N38 &lt;= D38+E38), "OK", "NG")</f>
        <v>NG</v>
      </c>
      <c r="X38" s="143"/>
    </row>
    <row r="39" spans="1:24" ht="18" customHeight="1">
      <c r="A39" s="29"/>
      <c r="B39" s="65" t="s">
        <v>196</v>
      </c>
      <c r="C39" s="66" t="s">
        <v>45</v>
      </c>
      <c r="D39" s="67">
        <v>1.84</v>
      </c>
      <c r="E39" s="67">
        <v>2.5000000000000001E-2</v>
      </c>
      <c r="F39" s="67">
        <v>-0.02</v>
      </c>
      <c r="G39" s="67">
        <v>1.8612500000000001</v>
      </c>
      <c r="H39" s="67">
        <v>1.8230000000000002</v>
      </c>
      <c r="I39" s="67"/>
      <c r="J39" s="67"/>
      <c r="K39" s="66" t="s">
        <v>46</v>
      </c>
      <c r="L39" s="69"/>
      <c r="M39" s="69"/>
      <c r="N39" s="69"/>
      <c r="O39" s="30" t="str">
        <f t="shared" si="9"/>
        <v xml:space="preserve"> </v>
      </c>
      <c r="P39" s="30" t="str">
        <f t="shared" si="10"/>
        <v xml:space="preserve"> </v>
      </c>
      <c r="Q39" s="30" t="str">
        <f t="shared" si="11"/>
        <v xml:space="preserve"> </v>
      </c>
      <c r="R39" s="31" t="str">
        <f t="shared" si="12"/>
        <v xml:space="preserve"> </v>
      </c>
      <c r="S39" s="32" t="str">
        <f t="shared" si="13"/>
        <v xml:space="preserve"> </v>
      </c>
      <c r="T39" s="33" t="str">
        <f t="shared" si="14"/>
        <v xml:space="preserve"> </v>
      </c>
      <c r="U39" s="31" t="str">
        <f t="shared" si="6"/>
        <v/>
      </c>
      <c r="V39" s="31" t="str">
        <f t="shared" si="8"/>
        <v/>
      </c>
      <c r="W39" s="146" t="str" cm="1">
        <f t="array" ref="W39">IF(AND(L39:N39 &gt;= D39+F39, L39:N39 &lt;= D39+E39), "OK", "NG")</f>
        <v>NG</v>
      </c>
      <c r="X39" s="143"/>
    </row>
    <row r="40" spans="1:24" ht="18" customHeight="1">
      <c r="A40" s="29"/>
      <c r="B40" s="65" t="s">
        <v>197</v>
      </c>
      <c r="C40" s="66" t="s">
        <v>45</v>
      </c>
      <c r="D40" s="67">
        <v>13.454000000000001</v>
      </c>
      <c r="E40" s="67">
        <v>0.03</v>
      </c>
      <c r="F40" s="67">
        <v>-0.03</v>
      </c>
      <c r="G40" s="67">
        <v>13.4795</v>
      </c>
      <c r="H40" s="67">
        <v>13.428500000000001</v>
      </c>
      <c r="I40" s="67"/>
      <c r="J40" s="67"/>
      <c r="K40" s="66" t="s">
        <v>46</v>
      </c>
      <c r="L40" s="69"/>
      <c r="M40" s="69"/>
      <c r="N40" s="69"/>
      <c r="O40" s="30" t="str">
        <f t="shared" si="9"/>
        <v xml:space="preserve"> </v>
      </c>
      <c r="P40" s="30" t="str">
        <f t="shared" si="10"/>
        <v xml:space="preserve"> </v>
      </c>
      <c r="Q40" s="30" t="str">
        <f t="shared" si="11"/>
        <v xml:space="preserve"> </v>
      </c>
      <c r="R40" s="31" t="str">
        <f t="shared" si="12"/>
        <v xml:space="preserve"> </v>
      </c>
      <c r="S40" s="32" t="str">
        <f t="shared" si="13"/>
        <v xml:space="preserve"> </v>
      </c>
      <c r="T40" s="33" t="str">
        <f t="shared" si="14"/>
        <v xml:space="preserve"> </v>
      </c>
      <c r="U40" s="31" t="str">
        <f t="shared" si="6"/>
        <v/>
      </c>
      <c r="V40" s="31" t="str">
        <f t="shared" si="8"/>
        <v/>
      </c>
      <c r="W40" s="146" t="str" cm="1">
        <f t="array" ref="W40">IF(AND(L40:N40 &gt;= D40+F40, L40:N40 &lt;= D40+E40), "OK", "NG")</f>
        <v>NG</v>
      </c>
      <c r="X40" s="143"/>
    </row>
    <row r="41" spans="1:24" ht="18" customHeight="1">
      <c r="A41" s="29"/>
      <c r="B41" s="65" t="s">
        <v>198</v>
      </c>
      <c r="C41" s="66" t="s">
        <v>45</v>
      </c>
      <c r="D41" s="67">
        <v>0.9</v>
      </c>
      <c r="E41" s="67">
        <v>0.02</v>
      </c>
      <c r="F41" s="67">
        <v>-0.02</v>
      </c>
      <c r="G41" s="67">
        <v>0.91700000000000004</v>
      </c>
      <c r="H41" s="67">
        <v>0.88300000000000001</v>
      </c>
      <c r="I41" s="67"/>
      <c r="J41" s="67"/>
      <c r="K41" s="66" t="s">
        <v>46</v>
      </c>
      <c r="L41" s="69"/>
      <c r="M41" s="69"/>
      <c r="N41" s="69"/>
      <c r="O41" s="30" t="str">
        <f t="shared" si="9"/>
        <v xml:space="preserve"> </v>
      </c>
      <c r="P41" s="30" t="str">
        <f t="shared" si="10"/>
        <v xml:space="preserve"> </v>
      </c>
      <c r="Q41" s="30" t="str">
        <f t="shared" si="11"/>
        <v xml:space="preserve"> </v>
      </c>
      <c r="R41" s="31" t="str">
        <f t="shared" si="12"/>
        <v xml:space="preserve"> </v>
      </c>
      <c r="S41" s="32" t="str">
        <f t="shared" si="13"/>
        <v xml:space="preserve"> </v>
      </c>
      <c r="T41" s="33" t="str">
        <f t="shared" si="14"/>
        <v xml:space="preserve"> </v>
      </c>
      <c r="U41" s="31" t="str">
        <f t="shared" si="6"/>
        <v/>
      </c>
      <c r="V41" s="31" t="str">
        <f t="shared" si="8"/>
        <v/>
      </c>
      <c r="W41" s="146" t="str" cm="1">
        <f t="array" ref="W41">IF(AND(L41:N41 &gt;= D41+F41, L41:N41 &lt;= D41+E41), "OK", "NG")</f>
        <v>NG</v>
      </c>
      <c r="X41" s="143"/>
    </row>
    <row r="42" spans="1:24" ht="18" customHeight="1">
      <c r="A42" s="29"/>
      <c r="B42" s="65" t="s">
        <v>199</v>
      </c>
      <c r="C42" s="66" t="s">
        <v>45</v>
      </c>
      <c r="D42" s="67">
        <v>15.448</v>
      </c>
      <c r="E42" s="67">
        <v>0.02</v>
      </c>
      <c r="F42" s="67">
        <v>-0.03</v>
      </c>
      <c r="G42" s="67">
        <v>15.465</v>
      </c>
      <c r="H42" s="67">
        <v>15.422500000000001</v>
      </c>
      <c r="I42" s="67"/>
      <c r="J42" s="67"/>
      <c r="K42" s="66" t="s">
        <v>46</v>
      </c>
      <c r="L42" s="69"/>
      <c r="M42" s="69"/>
      <c r="N42" s="69"/>
      <c r="O42" s="30" t="str">
        <f t="shared" si="9"/>
        <v xml:space="preserve"> </v>
      </c>
      <c r="P42" s="30" t="str">
        <f t="shared" si="10"/>
        <v xml:space="preserve"> </v>
      </c>
      <c r="Q42" s="30" t="str">
        <f t="shared" si="11"/>
        <v xml:space="preserve"> </v>
      </c>
      <c r="R42" s="31" t="str">
        <f t="shared" si="12"/>
        <v xml:space="preserve"> </v>
      </c>
      <c r="S42" s="32" t="str">
        <f t="shared" si="13"/>
        <v xml:space="preserve"> </v>
      </c>
      <c r="T42" s="33" t="str">
        <f t="shared" si="14"/>
        <v xml:space="preserve"> </v>
      </c>
      <c r="U42" s="31" t="str">
        <f t="shared" si="6"/>
        <v/>
      </c>
      <c r="V42" s="31" t="str">
        <f t="shared" si="8"/>
        <v/>
      </c>
      <c r="W42" s="146" t="str" cm="1">
        <f t="array" ref="W42">IF(AND(L42:N42 &gt;= D42+F42, L42:N42 &lt;= D42+E42), "OK", "NG")</f>
        <v>NG</v>
      </c>
      <c r="X42" s="143"/>
    </row>
    <row r="43" spans="1:24" ht="18" customHeight="1">
      <c r="A43" s="29"/>
      <c r="B43" s="65" t="s">
        <v>200</v>
      </c>
      <c r="C43" s="66" t="s">
        <v>45</v>
      </c>
      <c r="D43" s="67">
        <v>13.093999999999999</v>
      </c>
      <c r="E43" s="67">
        <v>0.03</v>
      </c>
      <c r="F43" s="67">
        <v>-0.02</v>
      </c>
      <c r="G43" s="67">
        <v>13.119499999999999</v>
      </c>
      <c r="H43" s="67">
        <v>13.077</v>
      </c>
      <c r="I43" s="67"/>
      <c r="J43" s="67"/>
      <c r="K43" s="66" t="s">
        <v>46</v>
      </c>
      <c r="L43" s="69"/>
      <c r="M43" s="69"/>
      <c r="N43" s="69"/>
      <c r="O43" s="30" t="str">
        <f t="shared" si="9"/>
        <v xml:space="preserve"> </v>
      </c>
      <c r="P43" s="30" t="str">
        <f t="shared" si="10"/>
        <v xml:space="preserve"> </v>
      </c>
      <c r="Q43" s="30" t="str">
        <f t="shared" si="11"/>
        <v xml:space="preserve"> </v>
      </c>
      <c r="R43" s="31" t="str">
        <f t="shared" si="12"/>
        <v xml:space="preserve"> </v>
      </c>
      <c r="S43" s="32" t="str">
        <f t="shared" si="13"/>
        <v xml:space="preserve"> </v>
      </c>
      <c r="T43" s="33" t="str">
        <f t="shared" si="14"/>
        <v xml:space="preserve"> </v>
      </c>
      <c r="U43" s="31" t="str">
        <f t="shared" si="6"/>
        <v/>
      </c>
      <c r="V43" s="31" t="str">
        <f t="shared" si="8"/>
        <v/>
      </c>
      <c r="W43" s="146" t="str" cm="1">
        <f t="array" ref="W43">IF(AND(L43:N43 &gt;= D43+F43, L43:N43 &lt;= D43+E43), "OK", "NG")</f>
        <v>NG</v>
      </c>
      <c r="X43" s="143"/>
    </row>
    <row r="44" spans="1:24" ht="18" customHeight="1">
      <c r="A44" s="29"/>
      <c r="B44" s="65" t="s">
        <v>201</v>
      </c>
      <c r="C44" s="66" t="s">
        <v>45</v>
      </c>
      <c r="D44" s="67">
        <v>13.324</v>
      </c>
      <c r="E44" s="67">
        <v>2.5000000000000001E-2</v>
      </c>
      <c r="F44" s="67">
        <v>-0.04</v>
      </c>
      <c r="G44" s="67">
        <v>13.34525</v>
      </c>
      <c r="H44" s="67">
        <v>13.29</v>
      </c>
      <c r="I44" s="67"/>
      <c r="J44" s="67"/>
      <c r="K44" s="66" t="s">
        <v>46</v>
      </c>
      <c r="L44" s="69"/>
      <c r="M44" s="69"/>
      <c r="N44" s="69"/>
      <c r="O44" s="30" t="str">
        <f t="shared" si="9"/>
        <v xml:space="preserve"> </v>
      </c>
      <c r="P44" s="30" t="str">
        <f t="shared" si="10"/>
        <v xml:space="preserve"> </v>
      </c>
      <c r="Q44" s="30" t="str">
        <f t="shared" si="11"/>
        <v xml:space="preserve"> </v>
      </c>
      <c r="R44" s="31" t="str">
        <f t="shared" si="12"/>
        <v xml:space="preserve"> </v>
      </c>
      <c r="S44" s="32" t="str">
        <f t="shared" si="13"/>
        <v xml:space="preserve"> </v>
      </c>
      <c r="T44" s="33" t="str">
        <f t="shared" si="14"/>
        <v xml:space="preserve"> </v>
      </c>
      <c r="U44" s="31" t="str">
        <f t="shared" si="6"/>
        <v/>
      </c>
      <c r="V44" s="31" t="str">
        <f t="shared" si="8"/>
        <v/>
      </c>
      <c r="W44" s="146" t="str" cm="1">
        <f t="array" ref="W44">IF(AND(L44:N44 &gt;= D44+F44, L44:N44 &lt;= D44+E44), "OK", "NG")</f>
        <v>NG</v>
      </c>
      <c r="X44" s="143"/>
    </row>
    <row r="45" spans="1:24" ht="18" customHeight="1">
      <c r="A45" s="29"/>
      <c r="B45" s="65" t="s">
        <v>142</v>
      </c>
      <c r="C45" s="66" t="s">
        <v>45</v>
      </c>
      <c r="D45" s="67">
        <v>0.53</v>
      </c>
      <c r="E45" s="67">
        <v>2.5000000000000001E-2</v>
      </c>
      <c r="F45" s="67">
        <v>-2.5000000000000001E-2</v>
      </c>
      <c r="G45" s="67">
        <v>0.55125000000000002</v>
      </c>
      <c r="H45" s="67">
        <v>0.50875000000000004</v>
      </c>
      <c r="I45" s="67">
        <v>0.54875000000000007</v>
      </c>
      <c r="J45" s="67">
        <v>0.51124999999999998</v>
      </c>
      <c r="K45" s="66" t="s">
        <v>46</v>
      </c>
      <c r="L45" s="69"/>
      <c r="M45" s="69"/>
      <c r="N45" s="69"/>
      <c r="O45" s="30" t="str">
        <f t="shared" si="9"/>
        <v xml:space="preserve"> </v>
      </c>
      <c r="P45" s="30" t="str">
        <f t="shared" si="10"/>
        <v xml:space="preserve"> </v>
      </c>
      <c r="Q45" s="30" t="str">
        <f t="shared" si="11"/>
        <v xml:space="preserve"> </v>
      </c>
      <c r="R45" s="31" t="str">
        <f t="shared" si="12"/>
        <v xml:space="preserve"> </v>
      </c>
      <c r="S45" s="32" t="str">
        <f t="shared" si="13"/>
        <v xml:space="preserve"> </v>
      </c>
      <c r="T45" s="33" t="str">
        <f t="shared" si="14"/>
        <v xml:space="preserve"> </v>
      </c>
      <c r="U45" s="31" t="str">
        <f t="shared" si="6"/>
        <v/>
      </c>
      <c r="V45" s="31" t="str">
        <f t="shared" si="8"/>
        <v/>
      </c>
      <c r="W45" s="146" t="str" cm="1">
        <f t="array" ref="W45">IF(AND(L45:N45 &gt;= D45+F45, L45:N45 &lt;= D45+E45), "OK", "NG")</f>
        <v>NG</v>
      </c>
      <c r="X45" s="143"/>
    </row>
    <row r="46" spans="1:24" ht="18" customHeight="1">
      <c r="A46" s="29"/>
      <c r="B46" s="65" t="s">
        <v>143</v>
      </c>
      <c r="C46" s="66" t="s">
        <v>45</v>
      </c>
      <c r="D46" s="67">
        <v>0.53</v>
      </c>
      <c r="E46" s="67">
        <v>2.5000000000000001E-2</v>
      </c>
      <c r="F46" s="67">
        <v>-2.5000000000000001E-2</v>
      </c>
      <c r="G46" s="67">
        <v>0.55125000000000002</v>
      </c>
      <c r="H46" s="67">
        <v>0.50875000000000004</v>
      </c>
      <c r="I46" s="67">
        <v>0.54875000000000007</v>
      </c>
      <c r="J46" s="67">
        <v>0.51124999999999998</v>
      </c>
      <c r="K46" s="66" t="s">
        <v>46</v>
      </c>
      <c r="L46" s="69"/>
      <c r="M46" s="69"/>
      <c r="N46" s="69"/>
      <c r="O46" s="30" t="str">
        <f t="shared" si="9"/>
        <v xml:space="preserve"> </v>
      </c>
      <c r="P46" s="30" t="str">
        <f t="shared" si="10"/>
        <v xml:space="preserve"> </v>
      </c>
      <c r="Q46" s="30" t="str">
        <f t="shared" si="11"/>
        <v xml:space="preserve"> </v>
      </c>
      <c r="R46" s="31" t="str">
        <f t="shared" si="12"/>
        <v xml:space="preserve"> </v>
      </c>
      <c r="S46" s="32" t="str">
        <f t="shared" si="13"/>
        <v xml:space="preserve"> </v>
      </c>
      <c r="T46" s="33" t="str">
        <f t="shared" si="14"/>
        <v xml:space="preserve"> </v>
      </c>
      <c r="U46" s="31" t="str">
        <f t="shared" si="6"/>
        <v/>
      </c>
      <c r="V46" s="31" t="str">
        <f t="shared" si="8"/>
        <v/>
      </c>
      <c r="W46" s="146" t="str" cm="1">
        <f t="array" ref="W46">IF(AND(L46:N46 &gt;= D46+F46, L46:N46 &lt;= D46+E46), "OK", "NG")</f>
        <v>NG</v>
      </c>
      <c r="X46" s="143"/>
    </row>
    <row r="47" spans="1:24" ht="17.25" customHeight="1">
      <c r="A47" s="29"/>
      <c r="B47" s="65" t="s">
        <v>202</v>
      </c>
      <c r="C47" s="66" t="s">
        <v>45</v>
      </c>
      <c r="D47" s="67">
        <v>0.97</v>
      </c>
      <c r="E47" s="67">
        <v>0.03</v>
      </c>
      <c r="F47" s="67">
        <v>-0.02</v>
      </c>
      <c r="G47" s="67">
        <v>0.99549999999999994</v>
      </c>
      <c r="H47" s="67">
        <v>0.95299999999999996</v>
      </c>
      <c r="I47" s="67">
        <v>0.99099999999999999</v>
      </c>
      <c r="J47" s="67">
        <v>0.95599999999999996</v>
      </c>
      <c r="K47" s="66" t="s">
        <v>46</v>
      </c>
      <c r="L47" s="69"/>
      <c r="M47" s="69"/>
      <c r="N47" s="69"/>
      <c r="O47" s="30" t="str">
        <f t="shared" si="9"/>
        <v xml:space="preserve"> </v>
      </c>
      <c r="P47" s="30" t="str">
        <f t="shared" si="10"/>
        <v xml:space="preserve"> </v>
      </c>
      <c r="Q47" s="30" t="str">
        <f t="shared" si="11"/>
        <v xml:space="preserve"> </v>
      </c>
      <c r="R47" s="31" t="str">
        <f t="shared" si="12"/>
        <v xml:space="preserve"> </v>
      </c>
      <c r="S47" s="32" t="str">
        <f t="shared" si="13"/>
        <v xml:space="preserve"> </v>
      </c>
      <c r="T47" s="33" t="str">
        <f t="shared" si="14"/>
        <v xml:space="preserve"> </v>
      </c>
      <c r="U47" s="31" t="str">
        <f t="shared" si="6"/>
        <v/>
      </c>
      <c r="V47" s="31" t="str">
        <f t="shared" si="8"/>
        <v/>
      </c>
      <c r="W47" s="146" t="str" cm="1">
        <f t="array" ref="W47">IF(AND(L47:N47 &gt;= D47+F47, L47:N47 &lt;= D47+E47), "OK", "NG")</f>
        <v>NG</v>
      </c>
      <c r="X47" s="143"/>
    </row>
    <row r="48" spans="1:24" ht="18" customHeight="1">
      <c r="A48" s="29"/>
      <c r="B48" s="65" t="s">
        <v>203</v>
      </c>
      <c r="C48" s="66" t="s">
        <v>45</v>
      </c>
      <c r="D48" s="67">
        <v>0.97</v>
      </c>
      <c r="E48" s="67">
        <v>0.03</v>
      </c>
      <c r="F48" s="67">
        <v>-0.02</v>
      </c>
      <c r="G48" s="67">
        <v>0.99549999999999994</v>
      </c>
      <c r="H48" s="67">
        <v>0.95299999999999996</v>
      </c>
      <c r="I48" s="67">
        <v>0.99099999999999999</v>
      </c>
      <c r="J48" s="67">
        <v>0.95599999999999996</v>
      </c>
      <c r="K48" s="66" t="s">
        <v>46</v>
      </c>
      <c r="L48" s="69"/>
      <c r="M48" s="69"/>
      <c r="N48" s="69"/>
      <c r="O48" s="30" t="str">
        <f t="shared" si="9"/>
        <v xml:space="preserve"> </v>
      </c>
      <c r="P48" s="30" t="str">
        <f t="shared" si="10"/>
        <v xml:space="preserve"> </v>
      </c>
      <c r="Q48" s="30" t="str">
        <f t="shared" si="11"/>
        <v xml:space="preserve"> </v>
      </c>
      <c r="R48" s="31" t="str">
        <f t="shared" si="12"/>
        <v xml:space="preserve"> </v>
      </c>
      <c r="S48" s="32" t="str">
        <f t="shared" si="13"/>
        <v xml:space="preserve"> </v>
      </c>
      <c r="T48" s="33" t="str">
        <f t="shared" si="14"/>
        <v xml:space="preserve"> </v>
      </c>
      <c r="U48" s="31" t="str">
        <f t="shared" si="6"/>
        <v/>
      </c>
      <c r="V48" s="31" t="str">
        <f t="shared" si="8"/>
        <v/>
      </c>
      <c r="W48" s="146" t="str" cm="1">
        <f t="array" ref="W48">IF(AND(L48:N48 &gt;= D48+F48, L48:N48 &lt;= D48+E48), "OK", "NG")</f>
        <v>NG</v>
      </c>
      <c r="X48" s="143"/>
    </row>
    <row r="49" spans="1:24" ht="18" customHeight="1">
      <c r="A49" s="29"/>
      <c r="B49" s="65" t="s">
        <v>204</v>
      </c>
      <c r="C49" s="66" t="s">
        <v>45</v>
      </c>
      <c r="D49" s="67">
        <v>15.228</v>
      </c>
      <c r="E49" s="67">
        <v>3.5000000000000003E-2</v>
      </c>
      <c r="F49" s="67">
        <v>-0.02</v>
      </c>
      <c r="G49" s="67">
        <v>15.25775</v>
      </c>
      <c r="H49" s="67">
        <v>15.211</v>
      </c>
      <c r="I49" s="67"/>
      <c r="J49" s="67"/>
      <c r="K49" s="66" t="s">
        <v>46</v>
      </c>
      <c r="L49" s="69"/>
      <c r="M49" s="69"/>
      <c r="N49" s="69"/>
      <c r="O49" s="30" t="str">
        <f t="shared" si="9"/>
        <v xml:space="preserve"> </v>
      </c>
      <c r="P49" s="30" t="str">
        <f t="shared" si="10"/>
        <v xml:space="preserve"> </v>
      </c>
      <c r="Q49" s="30" t="str">
        <f t="shared" si="11"/>
        <v xml:space="preserve"> </v>
      </c>
      <c r="R49" s="31" t="str">
        <f t="shared" si="12"/>
        <v xml:space="preserve"> </v>
      </c>
      <c r="S49" s="32" t="str">
        <f t="shared" si="13"/>
        <v xml:space="preserve"> </v>
      </c>
      <c r="T49" s="33" t="str">
        <f t="shared" si="14"/>
        <v xml:space="preserve"> </v>
      </c>
      <c r="U49" s="31" t="str">
        <f t="shared" si="6"/>
        <v/>
      </c>
      <c r="V49" s="31" t="str">
        <f t="shared" si="8"/>
        <v/>
      </c>
      <c r="W49" s="146" t="str" cm="1">
        <f t="array" ref="W49">IF(AND(L49:N49 &gt;= D49+F49, L49:N49 &lt;= D49+E49), "OK", "NG")</f>
        <v>NG</v>
      </c>
      <c r="X49" s="143"/>
    </row>
    <row r="50" spans="1:24" ht="18" customHeight="1">
      <c r="A50" s="29"/>
      <c r="B50" s="65" t="s">
        <v>205</v>
      </c>
      <c r="C50" s="66" t="s">
        <v>45</v>
      </c>
      <c r="D50" s="67">
        <v>1.26</v>
      </c>
      <c r="E50" s="67">
        <v>0.02</v>
      </c>
      <c r="F50" s="67">
        <v>-3.5000000000000003E-2</v>
      </c>
      <c r="G50" s="67">
        <v>1.2769999999999999</v>
      </c>
      <c r="H50" s="67">
        <v>1.2302500000000001</v>
      </c>
      <c r="I50" s="67"/>
      <c r="J50" s="67"/>
      <c r="K50" s="66" t="s">
        <v>46</v>
      </c>
      <c r="L50" s="69"/>
      <c r="M50" s="69"/>
      <c r="N50" s="69"/>
      <c r="O50" s="30" t="str">
        <f t="shared" si="9"/>
        <v xml:space="preserve"> </v>
      </c>
      <c r="P50" s="30" t="str">
        <f t="shared" si="10"/>
        <v xml:space="preserve"> </v>
      </c>
      <c r="Q50" s="30" t="str">
        <f t="shared" si="11"/>
        <v xml:space="preserve"> </v>
      </c>
      <c r="R50" s="31" t="str">
        <f t="shared" si="12"/>
        <v xml:space="preserve"> </v>
      </c>
      <c r="S50" s="32" t="str">
        <f t="shared" si="13"/>
        <v xml:space="preserve"> </v>
      </c>
      <c r="T50" s="33" t="str">
        <f t="shared" si="14"/>
        <v xml:space="preserve"> </v>
      </c>
      <c r="U50" s="31" t="str">
        <f t="shared" si="6"/>
        <v/>
      </c>
      <c r="V50" s="31" t="str">
        <f t="shared" si="8"/>
        <v/>
      </c>
      <c r="W50" s="146" t="str" cm="1">
        <f t="array" ref="W50">IF(AND(L50:N50 &gt;= D50+F50, L50:N50 &lt;= D50+E50), "OK", "NG")</f>
        <v>NG</v>
      </c>
      <c r="X50" s="143"/>
    </row>
    <row r="51" spans="1:24" ht="18" customHeight="1">
      <c r="A51" s="29"/>
      <c r="B51" s="65" t="s">
        <v>206</v>
      </c>
      <c r="C51" s="66" t="s">
        <v>45</v>
      </c>
      <c r="D51" s="67">
        <v>0.52</v>
      </c>
      <c r="E51" s="67">
        <v>0.03</v>
      </c>
      <c r="F51" s="67">
        <v>-0.02</v>
      </c>
      <c r="G51" s="67">
        <v>0.54549999999999998</v>
      </c>
      <c r="H51" s="67">
        <v>0.503</v>
      </c>
      <c r="I51" s="67"/>
      <c r="J51" s="67"/>
      <c r="K51" s="66" t="s">
        <v>46</v>
      </c>
      <c r="L51" s="69"/>
      <c r="M51" s="69"/>
      <c r="N51" s="69"/>
      <c r="O51" s="30" t="str">
        <f t="shared" si="9"/>
        <v xml:space="preserve"> </v>
      </c>
      <c r="P51" s="30" t="str">
        <f t="shared" si="10"/>
        <v xml:space="preserve"> </v>
      </c>
      <c r="Q51" s="30" t="str">
        <f t="shared" si="11"/>
        <v xml:space="preserve"> </v>
      </c>
      <c r="R51" s="31" t="str">
        <f t="shared" si="12"/>
        <v xml:space="preserve"> </v>
      </c>
      <c r="S51" s="32" t="str">
        <f t="shared" si="13"/>
        <v xml:space="preserve"> </v>
      </c>
      <c r="T51" s="33" t="str">
        <f t="shared" si="14"/>
        <v xml:space="preserve"> </v>
      </c>
      <c r="U51" s="31" t="str">
        <f t="shared" si="6"/>
        <v/>
      </c>
      <c r="V51" s="31" t="str">
        <f t="shared" si="8"/>
        <v/>
      </c>
      <c r="W51" s="146" t="str" cm="1">
        <f t="array" ref="W51">IF(AND(L51:N51 &gt;= D51+F51, L51:N51 &lt;= D51+E51), "OK", "NG")</f>
        <v>NG</v>
      </c>
      <c r="X51" s="143"/>
    </row>
    <row r="52" spans="1:24" ht="18" customHeight="1">
      <c r="A52" s="29"/>
      <c r="B52" s="65" t="s">
        <v>207</v>
      </c>
      <c r="C52" s="66" t="s">
        <v>45</v>
      </c>
      <c r="D52" s="67">
        <v>2.0680000000000001</v>
      </c>
      <c r="E52" s="67">
        <v>0.02</v>
      </c>
      <c r="F52" s="67">
        <v>-0.03</v>
      </c>
      <c r="G52" s="67">
        <v>2.085</v>
      </c>
      <c r="H52" s="67">
        <v>2.0425</v>
      </c>
      <c r="I52" s="67"/>
      <c r="J52" s="67"/>
      <c r="K52" s="66" t="s">
        <v>46</v>
      </c>
      <c r="L52" s="69"/>
      <c r="M52" s="69"/>
      <c r="N52" s="69"/>
      <c r="O52" s="30" t="str">
        <f t="shared" si="9"/>
        <v xml:space="preserve"> </v>
      </c>
      <c r="P52" s="30" t="str">
        <f t="shared" si="10"/>
        <v xml:space="preserve"> </v>
      </c>
      <c r="Q52" s="30" t="str">
        <f t="shared" si="11"/>
        <v xml:space="preserve"> </v>
      </c>
      <c r="R52" s="31" t="str">
        <f t="shared" si="12"/>
        <v xml:space="preserve"> </v>
      </c>
      <c r="S52" s="32" t="str">
        <f t="shared" si="13"/>
        <v xml:space="preserve"> </v>
      </c>
      <c r="T52" s="33" t="str">
        <f t="shared" si="14"/>
        <v xml:space="preserve"> </v>
      </c>
      <c r="U52" s="31" t="str">
        <f t="shared" si="6"/>
        <v/>
      </c>
      <c r="V52" s="31" t="str">
        <f t="shared" si="8"/>
        <v/>
      </c>
      <c r="W52" s="146" t="str" cm="1">
        <f t="array" ref="W52">IF(AND(L52:N52 &gt;= D52+F52, L52:N52 &lt;= D52+E52), "OK", "NG")</f>
        <v>NG</v>
      </c>
      <c r="X52" s="143"/>
    </row>
    <row r="53" spans="1:24" ht="18" customHeight="1">
      <c r="A53" s="29"/>
      <c r="B53" s="65" t="s">
        <v>208</v>
      </c>
      <c r="C53" s="66" t="s">
        <v>45</v>
      </c>
      <c r="D53" s="67">
        <v>1.137</v>
      </c>
      <c r="E53" s="67">
        <v>2.5000000000000001E-2</v>
      </c>
      <c r="F53" s="67">
        <v>-3.5000000000000003E-2</v>
      </c>
      <c r="G53" s="67">
        <v>1.15825</v>
      </c>
      <c r="H53" s="67">
        <v>1.1072500000000001</v>
      </c>
      <c r="I53" s="67"/>
      <c r="J53" s="67"/>
      <c r="K53" s="66" t="s">
        <v>46</v>
      </c>
      <c r="L53" s="69"/>
      <c r="M53" s="69"/>
      <c r="N53" s="69"/>
      <c r="O53" s="30" t="str">
        <f t="shared" si="9"/>
        <v xml:space="preserve"> </v>
      </c>
      <c r="P53" s="30" t="str">
        <f t="shared" si="10"/>
        <v xml:space="preserve"> </v>
      </c>
      <c r="Q53" s="30" t="str">
        <f t="shared" si="11"/>
        <v xml:space="preserve"> </v>
      </c>
      <c r="R53" s="31" t="str">
        <f t="shared" si="12"/>
        <v xml:space="preserve"> </v>
      </c>
      <c r="S53" s="32" t="str">
        <f t="shared" si="13"/>
        <v xml:space="preserve"> </v>
      </c>
      <c r="T53" s="33" t="str">
        <f t="shared" si="14"/>
        <v xml:space="preserve"> </v>
      </c>
      <c r="U53" s="31" t="str">
        <f t="shared" si="6"/>
        <v/>
      </c>
      <c r="V53" s="31" t="str">
        <f t="shared" si="8"/>
        <v/>
      </c>
      <c r="W53" s="146" t="str" cm="1">
        <f t="array" ref="W53">IF(AND(L53:N53 &gt;= D53+F53, L53:N53 &lt;= D53+E53), "OK", "NG")</f>
        <v>NG</v>
      </c>
      <c r="X53" s="143"/>
    </row>
    <row r="54" spans="1:24" ht="18" customHeight="1">
      <c r="A54" s="29"/>
      <c r="B54" s="65">
        <v>34</v>
      </c>
      <c r="C54" s="66" t="s">
        <v>45</v>
      </c>
      <c r="D54" s="67">
        <v>13.574</v>
      </c>
      <c r="E54" s="67">
        <v>0.03</v>
      </c>
      <c r="F54" s="67">
        <v>-0.03</v>
      </c>
      <c r="G54" s="67">
        <v>13.599499999999999</v>
      </c>
      <c r="H54" s="67">
        <v>13.548500000000001</v>
      </c>
      <c r="I54" s="67"/>
      <c r="J54" s="67"/>
      <c r="K54" s="66" t="s">
        <v>46</v>
      </c>
      <c r="L54" s="69"/>
      <c r="M54" s="69"/>
      <c r="N54" s="69"/>
      <c r="O54" s="30" t="str">
        <f t="shared" si="9"/>
        <v xml:space="preserve"> </v>
      </c>
      <c r="P54" s="30" t="str">
        <f t="shared" si="10"/>
        <v xml:space="preserve"> </v>
      </c>
      <c r="Q54" s="30" t="str">
        <f t="shared" si="11"/>
        <v xml:space="preserve"> </v>
      </c>
      <c r="R54" s="31" t="str">
        <f t="shared" si="12"/>
        <v xml:space="preserve"> </v>
      </c>
      <c r="S54" s="32" t="str">
        <f t="shared" si="13"/>
        <v xml:space="preserve"> </v>
      </c>
      <c r="T54" s="33" t="str">
        <f t="shared" si="14"/>
        <v xml:space="preserve"> </v>
      </c>
      <c r="U54" s="31" t="str">
        <f t="shared" si="6"/>
        <v/>
      </c>
      <c r="V54" s="31" t="str">
        <f t="shared" si="8"/>
        <v/>
      </c>
      <c r="W54" s="146" t="str" cm="1">
        <f t="array" ref="W54">IF(AND(L54:N54 &gt;= D54+F54, L54:N54 &lt;= D54+E54), "OK", "NG")</f>
        <v>NG</v>
      </c>
      <c r="X54" s="143"/>
    </row>
    <row r="55" spans="1:24" ht="18" customHeight="1">
      <c r="A55" s="29"/>
      <c r="B55" s="65" t="s">
        <v>144</v>
      </c>
      <c r="C55" s="66" t="s">
        <v>45</v>
      </c>
      <c r="D55" s="67">
        <v>0.09</v>
      </c>
      <c r="E55" s="67">
        <v>0.01</v>
      </c>
      <c r="F55" s="67">
        <v>-0.03</v>
      </c>
      <c r="G55" s="67">
        <v>9.8500000000000004E-2</v>
      </c>
      <c r="H55" s="67">
        <v>6.4500000000000002E-2</v>
      </c>
      <c r="I55" s="67"/>
      <c r="J55" s="67"/>
      <c r="K55" s="66" t="s">
        <v>46</v>
      </c>
      <c r="L55" s="69"/>
      <c r="M55" s="69"/>
      <c r="N55" s="69"/>
      <c r="O55" s="30" t="str">
        <f t="shared" si="9"/>
        <v xml:space="preserve"> </v>
      </c>
      <c r="P55" s="30" t="str">
        <f t="shared" si="10"/>
        <v xml:space="preserve"> </v>
      </c>
      <c r="Q55" s="30" t="str">
        <f t="shared" si="11"/>
        <v xml:space="preserve"> </v>
      </c>
      <c r="R55" s="31" t="str">
        <f t="shared" si="12"/>
        <v xml:space="preserve"> </v>
      </c>
      <c r="S55" s="32" t="str">
        <f t="shared" si="13"/>
        <v xml:space="preserve"> </v>
      </c>
      <c r="T55" s="33" t="str">
        <f t="shared" si="14"/>
        <v xml:space="preserve"> </v>
      </c>
      <c r="U55" s="31" t="str">
        <f t="shared" si="6"/>
        <v/>
      </c>
      <c r="V55" s="31" t="str">
        <f t="shared" si="8"/>
        <v/>
      </c>
      <c r="W55" s="146" t="str" cm="1">
        <f t="array" ref="W55">IF(AND(L55:N55 &gt;= D55+F55, L55:N55 &lt;= D55+E55), "OK", "NG")</f>
        <v>NG</v>
      </c>
      <c r="X55" s="143"/>
    </row>
    <row r="56" spans="1:24" ht="18" customHeight="1">
      <c r="A56" s="29"/>
      <c r="B56" s="65" t="s">
        <v>145</v>
      </c>
      <c r="C56" s="66" t="s">
        <v>45</v>
      </c>
      <c r="D56" s="67">
        <v>0.09</v>
      </c>
      <c r="E56" s="67">
        <v>0.01</v>
      </c>
      <c r="F56" s="67">
        <v>-0.03</v>
      </c>
      <c r="G56" s="67">
        <v>9.8500000000000004E-2</v>
      </c>
      <c r="H56" s="67">
        <v>6.4500000000000002E-2</v>
      </c>
      <c r="I56" s="67"/>
      <c r="J56" s="67"/>
      <c r="K56" s="66" t="s">
        <v>46</v>
      </c>
      <c r="L56" s="69"/>
      <c r="M56" s="69"/>
      <c r="N56" s="69"/>
      <c r="O56" s="30" t="str">
        <f t="shared" si="9"/>
        <v xml:space="preserve"> </v>
      </c>
      <c r="P56" s="30" t="str">
        <f t="shared" si="10"/>
        <v xml:space="preserve"> </v>
      </c>
      <c r="Q56" s="30" t="str">
        <f t="shared" si="11"/>
        <v xml:space="preserve"> </v>
      </c>
      <c r="R56" s="31" t="str">
        <f t="shared" si="12"/>
        <v xml:space="preserve"> </v>
      </c>
      <c r="S56" s="32" t="str">
        <f t="shared" si="13"/>
        <v xml:space="preserve"> </v>
      </c>
      <c r="T56" s="33" t="str">
        <f t="shared" si="14"/>
        <v xml:space="preserve"> </v>
      </c>
      <c r="U56" s="31" t="str">
        <f t="shared" si="6"/>
        <v/>
      </c>
      <c r="V56" s="31" t="str">
        <f t="shared" si="8"/>
        <v/>
      </c>
      <c r="W56" s="146" t="str" cm="1">
        <f t="array" ref="W56">IF(AND(L56:N56 &gt;= D56+F56, L56:N56 &lt;= D56+E56), "OK", "NG")</f>
        <v>NG</v>
      </c>
      <c r="X56" s="143"/>
    </row>
    <row r="57" spans="1:24" ht="18" customHeight="1">
      <c r="A57" s="29"/>
      <c r="B57" s="65">
        <v>36</v>
      </c>
      <c r="C57" s="66" t="s">
        <v>45</v>
      </c>
      <c r="D57" s="67">
        <v>11.276999999999999</v>
      </c>
      <c r="E57" s="67">
        <v>0.03</v>
      </c>
      <c r="F57" s="67">
        <v>-0.03</v>
      </c>
      <c r="G57" s="67">
        <v>11.302499999999998</v>
      </c>
      <c r="H57" s="67">
        <v>11.2515</v>
      </c>
      <c r="I57" s="67"/>
      <c r="J57" s="67"/>
      <c r="K57" s="66" t="s">
        <v>46</v>
      </c>
      <c r="L57" s="69"/>
      <c r="M57" s="69"/>
      <c r="N57" s="69"/>
      <c r="O57" s="30" t="str">
        <f t="shared" si="9"/>
        <v xml:space="preserve"> </v>
      </c>
      <c r="P57" s="30" t="str">
        <f t="shared" si="10"/>
        <v xml:space="preserve"> </v>
      </c>
      <c r="Q57" s="30" t="str">
        <f t="shared" si="11"/>
        <v xml:space="preserve"> </v>
      </c>
      <c r="R57" s="31" t="str">
        <f t="shared" si="12"/>
        <v xml:space="preserve"> </v>
      </c>
      <c r="S57" s="32" t="str">
        <f t="shared" si="13"/>
        <v xml:space="preserve"> </v>
      </c>
      <c r="T57" s="33" t="str">
        <f t="shared" si="14"/>
        <v xml:space="preserve"> </v>
      </c>
      <c r="U57" s="31" t="str">
        <f t="shared" si="6"/>
        <v/>
      </c>
      <c r="V57" s="31" t="str">
        <f t="shared" si="8"/>
        <v/>
      </c>
      <c r="W57" s="146" t="str" cm="1">
        <f t="array" ref="W57">IF(AND(L57:N57 &gt;= D57+F57, L57:N57 &lt;= D57+E57), "OK", "NG")</f>
        <v>NG</v>
      </c>
      <c r="X57" s="143"/>
    </row>
    <row r="58" spans="1:24" ht="18" customHeight="1">
      <c r="A58" s="29"/>
      <c r="B58" s="65" t="s">
        <v>140</v>
      </c>
      <c r="C58" s="66" t="s">
        <v>45</v>
      </c>
      <c r="D58" s="67">
        <v>0.3</v>
      </c>
      <c r="E58" s="67">
        <v>0.03</v>
      </c>
      <c r="F58" s="67">
        <v>-0.03</v>
      </c>
      <c r="G58" s="67">
        <v>0.32550000000000001</v>
      </c>
      <c r="H58" s="67">
        <v>0.27449999999999997</v>
      </c>
      <c r="I58" s="67"/>
      <c r="J58" s="67"/>
      <c r="K58" s="66" t="s">
        <v>46</v>
      </c>
      <c r="L58" s="69"/>
      <c r="M58" s="69"/>
      <c r="N58" s="69"/>
      <c r="O58" s="30" t="str">
        <f t="shared" si="9"/>
        <v xml:space="preserve"> </v>
      </c>
      <c r="P58" s="30" t="str">
        <f t="shared" si="10"/>
        <v xml:space="preserve"> </v>
      </c>
      <c r="Q58" s="30" t="str">
        <f t="shared" si="11"/>
        <v xml:space="preserve"> </v>
      </c>
      <c r="R58" s="31" t="str">
        <f t="shared" si="12"/>
        <v xml:space="preserve"> </v>
      </c>
      <c r="S58" s="32" t="str">
        <f t="shared" si="13"/>
        <v xml:space="preserve"> </v>
      </c>
      <c r="T58" s="33" t="str">
        <f t="shared" si="14"/>
        <v xml:space="preserve"> </v>
      </c>
      <c r="U58" s="31" t="str">
        <f t="shared" si="6"/>
        <v/>
      </c>
      <c r="V58" s="31" t="str">
        <f t="shared" si="8"/>
        <v/>
      </c>
      <c r="W58" s="146" t="str" cm="1">
        <f t="array" ref="W58">IF(AND(L58:N58 &gt;= D58+F58, L58:N58 &lt;= D58+E58), "OK", "NG")</f>
        <v>NG</v>
      </c>
      <c r="X58" s="143"/>
    </row>
    <row r="59" spans="1:24" ht="18" customHeight="1">
      <c r="A59" s="29"/>
      <c r="B59" s="65" t="s">
        <v>141</v>
      </c>
      <c r="C59" s="66" t="s">
        <v>45</v>
      </c>
      <c r="D59" s="67">
        <v>0.3</v>
      </c>
      <c r="E59" s="67">
        <v>0.03</v>
      </c>
      <c r="F59" s="67">
        <v>-0.03</v>
      </c>
      <c r="G59" s="67">
        <v>0.32550000000000001</v>
      </c>
      <c r="H59" s="67">
        <v>0.27449999999999997</v>
      </c>
      <c r="I59" s="67"/>
      <c r="J59" s="67"/>
      <c r="K59" s="66" t="s">
        <v>46</v>
      </c>
      <c r="L59" s="69"/>
      <c r="M59" s="69"/>
      <c r="N59" s="69"/>
      <c r="O59" s="30" t="str">
        <f t="shared" si="9"/>
        <v xml:space="preserve"> </v>
      </c>
      <c r="P59" s="30" t="str">
        <f t="shared" si="10"/>
        <v xml:space="preserve"> </v>
      </c>
      <c r="Q59" s="30" t="str">
        <f t="shared" si="11"/>
        <v xml:space="preserve"> </v>
      </c>
      <c r="R59" s="31" t="str">
        <f t="shared" si="12"/>
        <v xml:space="preserve"> </v>
      </c>
      <c r="S59" s="32" t="str">
        <f t="shared" si="13"/>
        <v xml:space="preserve"> </v>
      </c>
      <c r="T59" s="33" t="str">
        <f t="shared" si="14"/>
        <v xml:space="preserve"> </v>
      </c>
      <c r="U59" s="31" t="str">
        <f t="shared" si="6"/>
        <v/>
      </c>
      <c r="V59" s="31" t="str">
        <f t="shared" si="8"/>
        <v/>
      </c>
      <c r="W59" s="146" t="str" cm="1">
        <f t="array" ref="W59">IF(AND(L59:N59 &gt;= D59+F59, L59:N59 &lt;= D59+E59), "OK", "NG")</f>
        <v>NG</v>
      </c>
      <c r="X59" s="143"/>
    </row>
    <row r="60" spans="1:24" ht="18" customHeight="1">
      <c r="A60" s="29"/>
      <c r="B60" s="65" t="s">
        <v>146</v>
      </c>
      <c r="C60" s="66" t="s">
        <v>45</v>
      </c>
      <c r="D60" s="67">
        <v>0.3</v>
      </c>
      <c r="E60" s="67">
        <v>0.03</v>
      </c>
      <c r="F60" s="67">
        <v>-0.03</v>
      </c>
      <c r="G60" s="67">
        <v>0.32550000000000001</v>
      </c>
      <c r="H60" s="67">
        <v>0.27449999999999997</v>
      </c>
      <c r="I60" s="67"/>
      <c r="J60" s="67"/>
      <c r="K60" s="66" t="s">
        <v>46</v>
      </c>
      <c r="L60" s="69"/>
      <c r="M60" s="69"/>
      <c r="N60" s="69"/>
      <c r="O60" s="30" t="str">
        <f t="shared" si="9"/>
        <v xml:space="preserve"> </v>
      </c>
      <c r="P60" s="30" t="str">
        <f t="shared" si="10"/>
        <v xml:space="preserve"> </v>
      </c>
      <c r="Q60" s="30" t="str">
        <f t="shared" si="11"/>
        <v xml:space="preserve"> </v>
      </c>
      <c r="R60" s="31" t="str">
        <f t="shared" si="12"/>
        <v xml:space="preserve"> </v>
      </c>
      <c r="S60" s="32" t="str">
        <f t="shared" si="13"/>
        <v xml:space="preserve"> </v>
      </c>
      <c r="T60" s="33" t="str">
        <f t="shared" si="14"/>
        <v xml:space="preserve"> </v>
      </c>
      <c r="U60" s="31" t="str">
        <f t="shared" si="6"/>
        <v/>
      </c>
      <c r="V60" s="31" t="str">
        <f t="shared" si="8"/>
        <v/>
      </c>
      <c r="W60" s="146" t="str" cm="1">
        <f t="array" ref="W60">IF(AND(L60:N60 &gt;= D60+F60, L60:N60 &lt;= D60+E60), "OK", "NG")</f>
        <v>NG</v>
      </c>
      <c r="X60" s="143"/>
    </row>
    <row r="61" spans="1:24" ht="18" customHeight="1">
      <c r="A61" s="29"/>
      <c r="B61" s="65" t="s">
        <v>147</v>
      </c>
      <c r="C61" s="66" t="s">
        <v>45</v>
      </c>
      <c r="D61" s="67">
        <v>0.3</v>
      </c>
      <c r="E61" s="67">
        <v>0.03</v>
      </c>
      <c r="F61" s="67">
        <v>-0.03</v>
      </c>
      <c r="G61" s="67">
        <v>0.32550000000000001</v>
      </c>
      <c r="H61" s="67">
        <v>0.27449999999999997</v>
      </c>
      <c r="I61" s="67"/>
      <c r="J61" s="67"/>
      <c r="K61" s="66" t="s">
        <v>46</v>
      </c>
      <c r="L61" s="69"/>
      <c r="M61" s="69"/>
      <c r="N61" s="69"/>
      <c r="O61" s="30" t="str">
        <f t="shared" si="9"/>
        <v xml:space="preserve"> </v>
      </c>
      <c r="P61" s="30" t="str">
        <f t="shared" si="10"/>
        <v xml:space="preserve"> </v>
      </c>
      <c r="Q61" s="30" t="str">
        <f t="shared" si="11"/>
        <v xml:space="preserve"> </v>
      </c>
      <c r="R61" s="31" t="str">
        <f t="shared" si="12"/>
        <v xml:space="preserve"> </v>
      </c>
      <c r="S61" s="32" t="str">
        <f t="shared" si="13"/>
        <v xml:space="preserve"> </v>
      </c>
      <c r="T61" s="33" t="str">
        <f t="shared" si="14"/>
        <v xml:space="preserve"> </v>
      </c>
      <c r="U61" s="31" t="str">
        <f t="shared" si="6"/>
        <v/>
      </c>
      <c r="V61" s="31" t="str">
        <f t="shared" si="8"/>
        <v/>
      </c>
      <c r="W61" s="146" t="str" cm="1">
        <f t="array" ref="W61">IF(AND(L61:N61 &gt;= D61+F61, L61:N61 &lt;= D61+E61), "OK", "NG")</f>
        <v>NG</v>
      </c>
      <c r="X61" s="143"/>
    </row>
    <row r="62" spans="1:24" ht="18" customHeight="1">
      <c r="A62" s="29"/>
      <c r="B62" s="65">
        <v>39</v>
      </c>
      <c r="C62" s="66" t="s">
        <v>45</v>
      </c>
      <c r="D62" s="67">
        <v>14.49</v>
      </c>
      <c r="E62" s="67">
        <v>0.03</v>
      </c>
      <c r="F62" s="67">
        <v>-0.03</v>
      </c>
      <c r="G62" s="67">
        <v>14.515499999999999</v>
      </c>
      <c r="H62" s="67">
        <v>14.464500000000001</v>
      </c>
      <c r="I62" s="67"/>
      <c r="J62" s="67"/>
      <c r="K62" s="66" t="s">
        <v>46</v>
      </c>
      <c r="L62" s="69"/>
      <c r="M62" s="69"/>
      <c r="N62" s="69"/>
      <c r="O62" s="30" t="str">
        <f t="shared" si="9"/>
        <v xml:space="preserve"> </v>
      </c>
      <c r="P62" s="30" t="str">
        <f t="shared" si="10"/>
        <v xml:space="preserve"> </v>
      </c>
      <c r="Q62" s="30" t="str">
        <f t="shared" si="11"/>
        <v xml:space="preserve"> </v>
      </c>
      <c r="R62" s="31" t="str">
        <f t="shared" si="12"/>
        <v xml:space="preserve"> </v>
      </c>
      <c r="S62" s="32" t="str">
        <f t="shared" si="13"/>
        <v xml:space="preserve"> </v>
      </c>
      <c r="T62" s="33" t="str">
        <f t="shared" si="14"/>
        <v xml:space="preserve"> </v>
      </c>
      <c r="U62" s="31" t="str">
        <f t="shared" si="6"/>
        <v/>
      </c>
      <c r="V62" s="31" t="str">
        <f t="shared" si="8"/>
        <v/>
      </c>
      <c r="W62" s="146" t="str" cm="1">
        <f t="array" ref="W62">IF(AND(L62:N62 &gt;= D62+F62, L62:N62 &lt;= D62+E62), "OK", "NG")</f>
        <v>NG</v>
      </c>
      <c r="X62" s="143"/>
    </row>
    <row r="63" spans="1:24" ht="18" customHeight="1">
      <c r="A63" s="29"/>
      <c r="B63" s="65" t="s">
        <v>209</v>
      </c>
      <c r="C63" s="66" t="s">
        <v>45</v>
      </c>
      <c r="D63" s="67">
        <v>3.4889999999999999</v>
      </c>
      <c r="E63" s="67">
        <v>3.5000000000000003E-2</v>
      </c>
      <c r="F63" s="67">
        <v>-3.5000000000000003E-2</v>
      </c>
      <c r="G63" s="67">
        <v>3.5187499999999998</v>
      </c>
      <c r="H63" s="67">
        <v>3.4592499999999999</v>
      </c>
      <c r="I63" s="67"/>
      <c r="J63" s="67"/>
      <c r="K63" s="66" t="s">
        <v>46</v>
      </c>
      <c r="L63" s="69"/>
      <c r="M63" s="69"/>
      <c r="N63" s="69"/>
      <c r="O63" s="30" t="str">
        <f t="shared" si="9"/>
        <v xml:space="preserve"> </v>
      </c>
      <c r="P63" s="30" t="str">
        <f t="shared" si="10"/>
        <v xml:space="preserve"> </v>
      </c>
      <c r="Q63" s="30" t="str">
        <f t="shared" si="11"/>
        <v xml:space="preserve"> </v>
      </c>
      <c r="R63" s="31" t="str">
        <f t="shared" si="12"/>
        <v xml:space="preserve"> </v>
      </c>
      <c r="S63" s="32" t="str">
        <f t="shared" si="13"/>
        <v xml:space="preserve"> </v>
      </c>
      <c r="T63" s="33" t="str">
        <f t="shared" si="14"/>
        <v xml:space="preserve"> </v>
      </c>
      <c r="U63" s="31" t="str">
        <f t="shared" si="6"/>
        <v/>
      </c>
      <c r="V63" s="31" t="str">
        <f t="shared" si="8"/>
        <v/>
      </c>
      <c r="W63" s="146" t="str" cm="1">
        <f t="array" ref="W63">IF(AND(L63:N63 &gt;= D63+F63, L63:N63 &lt;= D63+E63), "OK", "NG")</f>
        <v>NG</v>
      </c>
      <c r="X63" s="143"/>
    </row>
    <row r="64" spans="1:24" ht="18" customHeight="1">
      <c r="A64" s="29"/>
      <c r="B64" s="65">
        <v>41</v>
      </c>
      <c r="C64" s="66" t="s">
        <v>45</v>
      </c>
      <c r="D64" s="67">
        <v>2.6480000000000001</v>
      </c>
      <c r="E64" s="67">
        <v>0.03</v>
      </c>
      <c r="F64" s="67">
        <v>-0.03</v>
      </c>
      <c r="G64" s="67">
        <v>2.6735000000000002</v>
      </c>
      <c r="H64" s="67">
        <v>2.6225000000000001</v>
      </c>
      <c r="I64" s="67"/>
      <c r="J64" s="67"/>
      <c r="K64" s="66" t="s">
        <v>46</v>
      </c>
      <c r="L64" s="69"/>
      <c r="M64" s="69"/>
      <c r="N64" s="69"/>
      <c r="O64" s="30" t="str">
        <f t="shared" si="9"/>
        <v xml:space="preserve"> </v>
      </c>
      <c r="P64" s="30" t="str">
        <f t="shared" si="10"/>
        <v xml:space="preserve"> </v>
      </c>
      <c r="Q64" s="30" t="str">
        <f t="shared" si="11"/>
        <v xml:space="preserve"> </v>
      </c>
      <c r="R64" s="31" t="str">
        <f t="shared" si="12"/>
        <v xml:space="preserve"> </v>
      </c>
      <c r="S64" s="32" t="str">
        <f t="shared" si="13"/>
        <v xml:space="preserve"> </v>
      </c>
      <c r="T64" s="33" t="str">
        <f t="shared" si="14"/>
        <v xml:space="preserve"> </v>
      </c>
      <c r="U64" s="31" t="str">
        <f t="shared" si="6"/>
        <v/>
      </c>
      <c r="V64" s="31" t="str">
        <f t="shared" si="8"/>
        <v/>
      </c>
      <c r="W64" s="146" t="str" cm="1">
        <f t="array" ref="W64">IF(AND(L64:N64 &gt;= D64+F64, L64:N64 &lt;= D64+E64), "OK", "NG")</f>
        <v>NG</v>
      </c>
      <c r="X64" s="143"/>
    </row>
    <row r="65" spans="1:24" ht="18" customHeight="1">
      <c r="A65" s="29"/>
      <c r="B65" s="65" t="s">
        <v>210</v>
      </c>
      <c r="C65" s="66" t="s">
        <v>45</v>
      </c>
      <c r="D65" s="67">
        <v>3.2290000000000001</v>
      </c>
      <c r="E65" s="67">
        <v>3.5000000000000003E-2</v>
      </c>
      <c r="F65" s="67">
        <v>-3.5000000000000003E-2</v>
      </c>
      <c r="G65" s="67">
        <v>3.25875</v>
      </c>
      <c r="H65" s="67">
        <v>3.1992500000000001</v>
      </c>
      <c r="I65" s="67"/>
      <c r="J65" s="67"/>
      <c r="K65" s="66" t="s">
        <v>46</v>
      </c>
      <c r="L65" s="69"/>
      <c r="M65" s="69"/>
      <c r="N65" s="69"/>
      <c r="O65" s="30" t="str">
        <f t="shared" si="9"/>
        <v xml:space="preserve"> </v>
      </c>
      <c r="P65" s="30" t="str">
        <f t="shared" si="10"/>
        <v xml:space="preserve"> </v>
      </c>
      <c r="Q65" s="30" t="str">
        <f t="shared" si="11"/>
        <v xml:space="preserve"> </v>
      </c>
      <c r="R65" s="31" t="str">
        <f t="shared" si="12"/>
        <v xml:space="preserve"> </v>
      </c>
      <c r="S65" s="32" t="str">
        <f t="shared" si="13"/>
        <v xml:space="preserve"> </v>
      </c>
      <c r="T65" s="33" t="str">
        <f t="shared" si="14"/>
        <v xml:space="preserve"> </v>
      </c>
      <c r="U65" s="31" t="str">
        <f t="shared" si="6"/>
        <v/>
      </c>
      <c r="V65" s="31" t="str">
        <f t="shared" si="8"/>
        <v/>
      </c>
      <c r="W65" s="146" t="str" cm="1">
        <f t="array" ref="W65">IF(AND(L65:N65 &gt;= D65+F65, L65:N65 &lt;= D65+E65), "OK", "NG")</f>
        <v>NG</v>
      </c>
      <c r="X65" s="143"/>
    </row>
    <row r="66" spans="1:24" ht="18" customHeight="1">
      <c r="A66" s="29"/>
      <c r="B66" s="65">
        <v>46</v>
      </c>
      <c r="C66" s="66" t="s">
        <v>45</v>
      </c>
      <c r="D66" s="67">
        <v>12.571999999999999</v>
      </c>
      <c r="E66" s="67">
        <v>0.04</v>
      </c>
      <c r="F66" s="67">
        <v>-0.02</v>
      </c>
      <c r="G66" s="67">
        <v>12.606</v>
      </c>
      <c r="H66" s="67">
        <v>12.555</v>
      </c>
      <c r="I66" s="67"/>
      <c r="J66" s="67"/>
      <c r="K66" s="66" t="s">
        <v>46</v>
      </c>
      <c r="L66" s="69"/>
      <c r="M66" s="69"/>
      <c r="N66" s="69"/>
      <c r="O66" s="30" t="str">
        <f t="shared" si="9"/>
        <v xml:space="preserve"> </v>
      </c>
      <c r="P66" s="30" t="str">
        <f t="shared" si="10"/>
        <v xml:space="preserve"> </v>
      </c>
      <c r="Q66" s="30" t="str">
        <f t="shared" si="11"/>
        <v xml:space="preserve"> </v>
      </c>
      <c r="R66" s="31" t="str">
        <f t="shared" si="12"/>
        <v xml:space="preserve"> </v>
      </c>
      <c r="S66" s="32" t="str">
        <f t="shared" si="13"/>
        <v xml:space="preserve"> </v>
      </c>
      <c r="T66" s="33" t="str">
        <f t="shared" si="14"/>
        <v xml:space="preserve"> </v>
      </c>
      <c r="U66" s="31" t="str">
        <f t="shared" si="6"/>
        <v/>
      </c>
      <c r="V66" s="31" t="str">
        <f t="shared" si="8"/>
        <v/>
      </c>
      <c r="W66" s="146" t="str" cm="1">
        <f t="array" ref="W66">IF(AND(L66:N66 &gt;= D66+F66, L66:N66 &lt;= D66+E66), "OK", "NG")</f>
        <v>NG</v>
      </c>
      <c r="X66" s="143"/>
    </row>
    <row r="67" spans="1:24" ht="18" customHeight="1">
      <c r="A67" s="29"/>
      <c r="B67" s="65" t="s">
        <v>211</v>
      </c>
      <c r="C67" s="66" t="s">
        <v>45</v>
      </c>
      <c r="D67" s="67">
        <v>16.858000000000001</v>
      </c>
      <c r="E67" s="67">
        <v>2.5000000000000001E-2</v>
      </c>
      <c r="F67" s="67">
        <v>-2.5000000000000001E-2</v>
      </c>
      <c r="G67" s="67">
        <v>16.879249999999999</v>
      </c>
      <c r="H67" s="67">
        <v>16.836750000000002</v>
      </c>
      <c r="I67" s="67"/>
      <c r="J67" s="67"/>
      <c r="K67" s="66" t="s">
        <v>46</v>
      </c>
      <c r="L67" s="69"/>
      <c r="M67" s="69"/>
      <c r="N67" s="69"/>
      <c r="O67" s="30" t="str">
        <f t="shared" si="9"/>
        <v xml:space="preserve"> </v>
      </c>
      <c r="P67" s="30" t="str">
        <f t="shared" si="10"/>
        <v xml:space="preserve"> </v>
      </c>
      <c r="Q67" s="30" t="str">
        <f t="shared" si="11"/>
        <v xml:space="preserve"> </v>
      </c>
      <c r="R67" s="31" t="str">
        <f t="shared" si="12"/>
        <v xml:space="preserve"> </v>
      </c>
      <c r="S67" s="32" t="str">
        <f t="shared" si="13"/>
        <v xml:space="preserve"> </v>
      </c>
      <c r="T67" s="33" t="str">
        <f t="shared" si="14"/>
        <v xml:space="preserve"> </v>
      </c>
      <c r="U67" s="31" t="str">
        <f t="shared" si="6"/>
        <v/>
      </c>
      <c r="V67" s="31" t="str">
        <f t="shared" ref="V67:V98" si="15">IF(L67="","",IF(ISERR(F67/F67)=TRUE,"",IF(ISERR(F67/D67)=TRUE,IF((F67-MIN(L67:N67))&gt;0.001,"Reject",""),IF(ISNUMBER($T67)=TRUE,IF($T67&gt;0.651,IF($T67&gt;1.001,"Reject","Alert"),""),""))))</f>
        <v/>
      </c>
      <c r="W67" s="146" t="str" cm="1">
        <f t="array" ref="W67">IF(AND(L67:N67 &gt;= D67+F67, L67:N67 &lt;= D67+E67), "OK", "NG")</f>
        <v>NG</v>
      </c>
      <c r="X67" s="143"/>
    </row>
    <row r="68" spans="1:24" ht="18" customHeight="1">
      <c r="A68" s="29"/>
      <c r="B68" s="65" t="s">
        <v>212</v>
      </c>
      <c r="C68" s="66" t="s">
        <v>45</v>
      </c>
      <c r="D68" s="67">
        <v>8.0310000000000006</v>
      </c>
      <c r="E68" s="67">
        <v>0.02</v>
      </c>
      <c r="F68" s="67">
        <v>-0.02</v>
      </c>
      <c r="G68" s="67">
        <v>8.048</v>
      </c>
      <c r="H68" s="67">
        <v>8.0140000000000011</v>
      </c>
      <c r="I68" s="67"/>
      <c r="J68" s="67"/>
      <c r="K68" s="66" t="s">
        <v>46</v>
      </c>
      <c r="L68" s="69"/>
      <c r="M68" s="69"/>
      <c r="N68" s="69"/>
      <c r="O68" s="30" t="str">
        <f t="shared" si="9"/>
        <v xml:space="preserve"> </v>
      </c>
      <c r="P68" s="30" t="str">
        <f t="shared" si="10"/>
        <v xml:space="preserve"> </v>
      </c>
      <c r="Q68" s="30" t="str">
        <f t="shared" si="11"/>
        <v xml:space="preserve"> </v>
      </c>
      <c r="R68" s="31" t="str">
        <f t="shared" si="12"/>
        <v xml:space="preserve"> </v>
      </c>
      <c r="S68" s="32" t="str">
        <f t="shared" si="13"/>
        <v xml:space="preserve"> </v>
      </c>
      <c r="T68" s="33" t="str">
        <f t="shared" si="14"/>
        <v xml:space="preserve"> </v>
      </c>
      <c r="U68" s="31" t="str">
        <f t="shared" si="6"/>
        <v/>
      </c>
      <c r="V68" s="31" t="str">
        <f t="shared" si="15"/>
        <v/>
      </c>
      <c r="W68" s="146" t="str" cm="1">
        <f t="array" ref="W68">IF(AND(L68:N68 &gt;= D68+F68, L68:N68 &lt;= D68+E68), "OK", "NG")</f>
        <v>NG</v>
      </c>
      <c r="X68" s="143"/>
    </row>
    <row r="69" spans="1:24" ht="18" customHeight="1">
      <c r="A69" s="29"/>
      <c r="B69" s="65" t="s">
        <v>213</v>
      </c>
      <c r="C69" s="66" t="s">
        <v>45</v>
      </c>
      <c r="D69" s="67">
        <v>0.28000000000000003</v>
      </c>
      <c r="E69" s="67">
        <v>0.02</v>
      </c>
      <c r="F69" s="67">
        <v>-0.02</v>
      </c>
      <c r="G69" s="67">
        <v>0.29700000000000004</v>
      </c>
      <c r="H69" s="67">
        <v>0.26300000000000001</v>
      </c>
      <c r="I69" s="67"/>
      <c r="J69" s="67"/>
      <c r="K69" s="66" t="s">
        <v>46</v>
      </c>
      <c r="L69" s="69"/>
      <c r="M69" s="69"/>
      <c r="N69" s="69"/>
      <c r="O69" s="30" t="str">
        <f t="shared" si="9"/>
        <v xml:space="preserve"> </v>
      </c>
      <c r="P69" s="30" t="str">
        <f t="shared" si="10"/>
        <v xml:space="preserve"> </v>
      </c>
      <c r="Q69" s="30" t="str">
        <f t="shared" si="11"/>
        <v xml:space="preserve"> </v>
      </c>
      <c r="R69" s="31" t="str">
        <f t="shared" si="12"/>
        <v xml:space="preserve"> </v>
      </c>
      <c r="S69" s="32" t="str">
        <f t="shared" si="13"/>
        <v xml:space="preserve"> </v>
      </c>
      <c r="T69" s="33" t="str">
        <f t="shared" si="14"/>
        <v xml:space="preserve"> </v>
      </c>
      <c r="U69" s="31" t="str">
        <f t="shared" si="6"/>
        <v/>
      </c>
      <c r="V69" s="31" t="str">
        <f t="shared" si="15"/>
        <v/>
      </c>
      <c r="W69" s="146" t="str" cm="1">
        <f t="array" ref="W69">IF(AND(L69:N69 &gt;= D69+F69, L69:N69 &lt;= D69+E69), "OK", "NG")</f>
        <v>NG</v>
      </c>
      <c r="X69" s="143"/>
    </row>
    <row r="70" spans="1:24" ht="18" customHeight="1">
      <c r="A70" s="29"/>
      <c r="B70" s="65" t="s">
        <v>214</v>
      </c>
      <c r="C70" s="66" t="s">
        <v>45</v>
      </c>
      <c r="D70" s="67">
        <v>2.44</v>
      </c>
      <c r="E70" s="67">
        <v>0.03</v>
      </c>
      <c r="F70" s="67">
        <v>-0.02</v>
      </c>
      <c r="G70" s="67">
        <v>2.4655</v>
      </c>
      <c r="H70" s="67">
        <v>2.423</v>
      </c>
      <c r="I70" s="67"/>
      <c r="J70" s="67"/>
      <c r="K70" s="66" t="s">
        <v>46</v>
      </c>
      <c r="L70" s="69"/>
      <c r="M70" s="69"/>
      <c r="N70" s="69"/>
      <c r="O70" s="30" t="str">
        <f t="shared" ref="O70:O101" si="16">IF(ISERR(L70/L70)=TRUE," ",L70-$D70)</f>
        <v xml:space="preserve"> </v>
      </c>
      <c r="P70" s="30" t="str">
        <f t="shared" ref="P70:P101" si="17">IF(ISERR(M70/M70)=TRUE," ",M70-$D70)</f>
        <v xml:space="preserve"> </v>
      </c>
      <c r="Q70" s="30" t="str">
        <f t="shared" ref="Q70:Q101" si="18">IF(ISERR(N70/N70)=TRUE," ",N70-$D70)</f>
        <v xml:space="preserve"> </v>
      </c>
      <c r="R70" s="31" t="str">
        <f t="shared" ref="R70:R101" si="19">IF(ISERR(L70/L70)=TRUE," ",AVERAGE(L70:N70))</f>
        <v xml:space="preserve"> </v>
      </c>
      <c r="S70" s="32" t="str">
        <f t="shared" ref="S70:S101" si="20">IF(ISERR(E70/E70)=TRUE," ",IF(ISERR(L70/L70)=TRUE," ",IF(ISNUMBER($L70)=FALSE," ",IF(MAX($L70:$N70)&lt;$D70,0,(MAX($L70:$N70)-$D70)/$E70))))</f>
        <v xml:space="preserve"> </v>
      </c>
      <c r="T70" s="33" t="str">
        <f t="shared" ref="T70:T101" si="21">IF(ISERR(F70/D70)=TRUE," ",IF(ISERR(F70/F70)=TRUE," ",IF(ISERR(L70/L70)=TRUE," ",IF(ISNUMBER(L70)=FALSE," ",IF(MIN(L70:N70)&gt;$D70,0,($D70-MIN(L70:N70))/-F70)))))</f>
        <v xml:space="preserve"> </v>
      </c>
      <c r="U70" s="31" t="str">
        <f t="shared" si="6"/>
        <v/>
      </c>
      <c r="V70" s="31" t="str">
        <f t="shared" si="15"/>
        <v/>
      </c>
      <c r="W70" s="146" t="str" cm="1">
        <f t="array" ref="W70">IF(AND(L70:N70 &gt;= D70+F70, L70:N70 &lt;= D70+E70), "OK", "NG")</f>
        <v>NG</v>
      </c>
      <c r="X70" s="143"/>
    </row>
    <row r="71" spans="1:24" ht="18" customHeight="1">
      <c r="A71" s="29"/>
      <c r="B71" s="65" t="s">
        <v>215</v>
      </c>
      <c r="C71" s="66" t="s">
        <v>45</v>
      </c>
      <c r="D71" s="67">
        <v>1.28</v>
      </c>
      <c r="E71" s="67">
        <v>0.01</v>
      </c>
      <c r="F71" s="67">
        <v>-0.04</v>
      </c>
      <c r="G71" s="67">
        <v>1.2885</v>
      </c>
      <c r="H71" s="67">
        <v>1.246</v>
      </c>
      <c r="I71" s="67"/>
      <c r="J71" s="67"/>
      <c r="K71" s="66" t="s">
        <v>46</v>
      </c>
      <c r="L71" s="69"/>
      <c r="M71" s="69"/>
      <c r="N71" s="69"/>
      <c r="O71" s="30" t="str">
        <f t="shared" si="16"/>
        <v xml:space="preserve"> </v>
      </c>
      <c r="P71" s="30" t="str">
        <f t="shared" si="17"/>
        <v xml:space="preserve"> </v>
      </c>
      <c r="Q71" s="30" t="str">
        <f t="shared" si="18"/>
        <v xml:space="preserve"> </v>
      </c>
      <c r="R71" s="31" t="str">
        <f t="shared" si="19"/>
        <v xml:space="preserve"> </v>
      </c>
      <c r="S71" s="32" t="str">
        <f t="shared" si="20"/>
        <v xml:space="preserve"> </v>
      </c>
      <c r="T71" s="33" t="str">
        <f t="shared" si="21"/>
        <v xml:space="preserve"> </v>
      </c>
      <c r="U71" s="31" t="str">
        <f t="shared" ref="U71:U143" si="22">IF(ISNUMBER($S71)=TRUE,IF($S71&gt;0.651,IF($S71&gt;1.001,"Reject","Alert"),""),"")</f>
        <v/>
      </c>
      <c r="V71" s="31" t="str">
        <f t="shared" si="15"/>
        <v/>
      </c>
      <c r="W71" s="146" t="str" cm="1">
        <f t="array" ref="W71">IF(AND(L71:N71 &gt;= D71+F71, L71:N71 &lt;= D71+E71), "OK", "NG")</f>
        <v>NG</v>
      </c>
      <c r="X71" s="143"/>
    </row>
    <row r="72" spans="1:24" ht="18" customHeight="1">
      <c r="A72" s="29"/>
      <c r="B72" s="65" t="s">
        <v>216</v>
      </c>
      <c r="C72" s="66" t="s">
        <v>269</v>
      </c>
      <c r="D72" s="67">
        <v>0</v>
      </c>
      <c r="E72" s="67">
        <v>7.4999999999999997E-2</v>
      </c>
      <c r="F72" s="67">
        <v>0</v>
      </c>
      <c r="G72" s="67">
        <v>6.3750000000000001E-2</v>
      </c>
      <c r="H72" s="67">
        <v>0</v>
      </c>
      <c r="I72" s="67"/>
      <c r="J72" s="67"/>
      <c r="K72" s="66" t="s">
        <v>46</v>
      </c>
      <c r="L72" s="69"/>
      <c r="M72" s="69"/>
      <c r="N72" s="69"/>
      <c r="O72" s="30" t="str">
        <f t="shared" si="16"/>
        <v xml:space="preserve"> </v>
      </c>
      <c r="P72" s="30" t="str">
        <f t="shared" si="17"/>
        <v xml:space="preserve"> </v>
      </c>
      <c r="Q72" s="30" t="str">
        <f t="shared" si="18"/>
        <v xml:space="preserve"> </v>
      </c>
      <c r="R72" s="31" t="str">
        <f t="shared" si="19"/>
        <v xml:space="preserve"> </v>
      </c>
      <c r="S72" s="32" t="str">
        <f t="shared" si="20"/>
        <v xml:space="preserve"> </v>
      </c>
      <c r="T72" s="33" t="str">
        <f t="shared" si="21"/>
        <v xml:space="preserve"> </v>
      </c>
      <c r="U72" s="31" t="str">
        <f t="shared" si="22"/>
        <v/>
      </c>
      <c r="V72" s="31" t="str">
        <f t="shared" si="15"/>
        <v/>
      </c>
      <c r="W72" s="146" t="str" cm="1">
        <f t="array" ref="W72">IF(AND(L72:N72 &gt;= D72+F72, L72:N72 &lt;= D72+E72), "OK", "NG")</f>
        <v>OK</v>
      </c>
      <c r="X72" s="143"/>
    </row>
    <row r="73" spans="1:24" ht="18" customHeight="1">
      <c r="A73" s="29"/>
      <c r="B73" s="65" t="s">
        <v>217</v>
      </c>
      <c r="C73" s="66" t="s">
        <v>269</v>
      </c>
      <c r="D73" s="67">
        <v>0</v>
      </c>
      <c r="E73" s="67">
        <v>7.4999999999999997E-2</v>
      </c>
      <c r="F73" s="67">
        <v>0</v>
      </c>
      <c r="G73" s="67">
        <v>6.3750000000000001E-2</v>
      </c>
      <c r="H73" s="67">
        <v>0</v>
      </c>
      <c r="I73" s="67"/>
      <c r="J73" s="67"/>
      <c r="K73" s="66" t="s">
        <v>46</v>
      </c>
      <c r="L73" s="69"/>
      <c r="M73" s="69"/>
      <c r="N73" s="69"/>
      <c r="O73" s="30" t="str">
        <f t="shared" si="16"/>
        <v xml:space="preserve"> </v>
      </c>
      <c r="P73" s="30" t="str">
        <f t="shared" si="17"/>
        <v xml:space="preserve"> </v>
      </c>
      <c r="Q73" s="30" t="str">
        <f t="shared" si="18"/>
        <v xml:space="preserve"> </v>
      </c>
      <c r="R73" s="31" t="str">
        <f t="shared" si="19"/>
        <v xml:space="preserve"> </v>
      </c>
      <c r="S73" s="32" t="str">
        <f t="shared" si="20"/>
        <v xml:space="preserve"> </v>
      </c>
      <c r="T73" s="33" t="str">
        <f t="shared" si="21"/>
        <v xml:space="preserve"> </v>
      </c>
      <c r="U73" s="31" t="str">
        <f t="shared" si="22"/>
        <v/>
      </c>
      <c r="V73" s="31" t="str">
        <f t="shared" si="15"/>
        <v/>
      </c>
      <c r="W73" s="146" t="str" cm="1">
        <f t="array" ref="W73">IF(AND(L73:N73 &gt;= D73+F73, L73:N73 &lt;= D73+E73), "OK", "NG")</f>
        <v>OK</v>
      </c>
      <c r="X73" s="143"/>
    </row>
    <row r="74" spans="1:24" ht="18" customHeight="1">
      <c r="A74" s="29"/>
      <c r="B74" s="65" t="s">
        <v>218</v>
      </c>
      <c r="C74" s="66" t="s">
        <v>269</v>
      </c>
      <c r="D74" s="67">
        <v>0</v>
      </c>
      <c r="E74" s="67">
        <v>8.5000000000000006E-2</v>
      </c>
      <c r="F74" s="67">
        <v>0</v>
      </c>
      <c r="G74" s="67">
        <v>7.2250000000000009E-2</v>
      </c>
      <c r="H74" s="67">
        <v>0</v>
      </c>
      <c r="I74" s="67"/>
      <c r="J74" s="67"/>
      <c r="K74" s="66" t="s">
        <v>46</v>
      </c>
      <c r="L74" s="69"/>
      <c r="M74" s="69"/>
      <c r="N74" s="69"/>
      <c r="O74" s="30" t="str">
        <f t="shared" si="16"/>
        <v xml:space="preserve"> </v>
      </c>
      <c r="P74" s="30" t="str">
        <f t="shared" si="17"/>
        <v xml:space="preserve"> </v>
      </c>
      <c r="Q74" s="30" t="str">
        <f t="shared" si="18"/>
        <v xml:space="preserve"> </v>
      </c>
      <c r="R74" s="31" t="str">
        <f t="shared" si="19"/>
        <v xml:space="preserve"> </v>
      </c>
      <c r="S74" s="32" t="str">
        <f t="shared" si="20"/>
        <v xml:space="preserve"> </v>
      </c>
      <c r="T74" s="33" t="str">
        <f t="shared" si="21"/>
        <v xml:space="preserve"> </v>
      </c>
      <c r="U74" s="31" t="str">
        <f t="shared" si="22"/>
        <v/>
      </c>
      <c r="V74" s="31" t="str">
        <f t="shared" si="15"/>
        <v/>
      </c>
      <c r="W74" s="146" t="str" cm="1">
        <f t="array" ref="W74">IF(AND(L74:N74 &gt;= D74+F74, L74:N74 &lt;= D74+E74), "OK", "NG")</f>
        <v>OK</v>
      </c>
      <c r="X74" s="143"/>
    </row>
    <row r="75" spans="1:24" ht="18" customHeight="1">
      <c r="A75" s="29"/>
      <c r="B75" s="65" t="s">
        <v>219</v>
      </c>
      <c r="C75" s="66" t="s">
        <v>269</v>
      </c>
      <c r="D75" s="67">
        <v>0</v>
      </c>
      <c r="E75" s="67">
        <v>8.5000000000000006E-2</v>
      </c>
      <c r="F75" s="67">
        <v>0</v>
      </c>
      <c r="G75" s="67">
        <v>7.2250000000000009E-2</v>
      </c>
      <c r="H75" s="67">
        <v>0</v>
      </c>
      <c r="I75" s="67"/>
      <c r="J75" s="67"/>
      <c r="K75" s="66" t="s">
        <v>46</v>
      </c>
      <c r="L75" s="69"/>
      <c r="M75" s="69"/>
      <c r="N75" s="69"/>
      <c r="O75" s="30" t="str">
        <f t="shared" si="16"/>
        <v xml:space="preserve"> </v>
      </c>
      <c r="P75" s="30" t="str">
        <f t="shared" si="17"/>
        <v xml:space="preserve"> </v>
      </c>
      <c r="Q75" s="30" t="str">
        <f t="shared" si="18"/>
        <v xml:space="preserve"> </v>
      </c>
      <c r="R75" s="31" t="str">
        <f t="shared" si="19"/>
        <v xml:space="preserve"> </v>
      </c>
      <c r="S75" s="32" t="str">
        <f t="shared" si="20"/>
        <v xml:space="preserve"> </v>
      </c>
      <c r="T75" s="33" t="str">
        <f t="shared" si="21"/>
        <v xml:space="preserve"> </v>
      </c>
      <c r="U75" s="31" t="str">
        <f t="shared" si="22"/>
        <v/>
      </c>
      <c r="V75" s="31" t="str">
        <f t="shared" si="15"/>
        <v/>
      </c>
      <c r="W75" s="146" t="str" cm="1">
        <f t="array" ref="W75">IF(AND(L75:N75 &gt;= D75+F75, L75:N75 &lt;= D75+E75), "OK", "NG")</f>
        <v>OK</v>
      </c>
      <c r="X75" s="143"/>
    </row>
    <row r="76" spans="1:24" ht="18" customHeight="1">
      <c r="A76" s="29"/>
      <c r="B76" s="65" t="s">
        <v>220</v>
      </c>
      <c r="C76" s="66" t="s">
        <v>45</v>
      </c>
      <c r="D76" s="67">
        <v>0.64900000000000002</v>
      </c>
      <c r="E76" s="67">
        <v>0.03</v>
      </c>
      <c r="F76" s="67">
        <v>-0.02</v>
      </c>
      <c r="G76" s="67">
        <v>0.67449999999999999</v>
      </c>
      <c r="H76" s="67">
        <v>0.63200000000000001</v>
      </c>
      <c r="I76" s="67"/>
      <c r="J76" s="67"/>
      <c r="K76" s="66" t="s">
        <v>46</v>
      </c>
      <c r="L76" s="69"/>
      <c r="M76" s="69"/>
      <c r="N76" s="69"/>
      <c r="O76" s="30" t="str">
        <f t="shared" si="16"/>
        <v xml:space="preserve"> </v>
      </c>
      <c r="P76" s="30" t="str">
        <f t="shared" si="17"/>
        <v xml:space="preserve"> </v>
      </c>
      <c r="Q76" s="30" t="str">
        <f t="shared" si="18"/>
        <v xml:space="preserve"> </v>
      </c>
      <c r="R76" s="31" t="str">
        <f t="shared" si="19"/>
        <v xml:space="preserve"> </v>
      </c>
      <c r="S76" s="32" t="str">
        <f t="shared" si="20"/>
        <v xml:space="preserve"> </v>
      </c>
      <c r="T76" s="33" t="str">
        <f t="shared" si="21"/>
        <v xml:space="preserve"> </v>
      </c>
      <c r="U76" s="31" t="str">
        <f t="shared" si="22"/>
        <v/>
      </c>
      <c r="V76" s="31" t="str">
        <f t="shared" si="15"/>
        <v/>
      </c>
      <c r="W76" s="146" t="str" cm="1">
        <f t="array" ref="W76">IF(AND(L76:N76 &gt;= D76+F76, L76:N76 &lt;= D76+E76), "OK", "NG")</f>
        <v>NG</v>
      </c>
      <c r="X76" s="143"/>
    </row>
    <row r="77" spans="1:24" ht="18" customHeight="1">
      <c r="A77" s="29"/>
      <c r="B77" s="65" t="s">
        <v>221</v>
      </c>
      <c r="C77" s="66" t="s">
        <v>45</v>
      </c>
      <c r="D77" s="67">
        <v>0.64900000000000002</v>
      </c>
      <c r="E77" s="67">
        <v>0.03</v>
      </c>
      <c r="F77" s="67">
        <v>-0.02</v>
      </c>
      <c r="G77" s="67">
        <v>0.67449999999999999</v>
      </c>
      <c r="H77" s="67">
        <v>0.63200000000000001</v>
      </c>
      <c r="I77" s="67"/>
      <c r="J77" s="67"/>
      <c r="K77" s="66" t="s">
        <v>46</v>
      </c>
      <c r="L77" s="69"/>
      <c r="M77" s="69"/>
      <c r="N77" s="69"/>
      <c r="O77" s="30" t="str">
        <f t="shared" si="16"/>
        <v xml:space="preserve"> </v>
      </c>
      <c r="P77" s="30" t="str">
        <f t="shared" si="17"/>
        <v xml:space="preserve"> </v>
      </c>
      <c r="Q77" s="30" t="str">
        <f t="shared" si="18"/>
        <v xml:space="preserve"> </v>
      </c>
      <c r="R77" s="31" t="str">
        <f t="shared" si="19"/>
        <v xml:space="preserve"> </v>
      </c>
      <c r="S77" s="32" t="str">
        <f t="shared" si="20"/>
        <v xml:space="preserve"> </v>
      </c>
      <c r="T77" s="33" t="str">
        <f t="shared" si="21"/>
        <v xml:space="preserve"> </v>
      </c>
      <c r="U77" s="31" t="str">
        <f t="shared" si="22"/>
        <v/>
      </c>
      <c r="V77" s="31" t="str">
        <f t="shared" si="15"/>
        <v/>
      </c>
      <c r="W77" s="146" t="str" cm="1">
        <f t="array" ref="W77">IF(AND(L77:N77 &gt;= D77+F77, L77:N77 &lt;= D77+E77), "OK", "NG")</f>
        <v>NG</v>
      </c>
      <c r="X77" s="143"/>
    </row>
    <row r="78" spans="1:24" ht="18" customHeight="1">
      <c r="A78" s="29"/>
      <c r="B78" s="65" t="s">
        <v>222</v>
      </c>
      <c r="C78" s="66" t="s">
        <v>45</v>
      </c>
      <c r="D78" s="67">
        <v>16.788</v>
      </c>
      <c r="E78" s="67">
        <v>0.02</v>
      </c>
      <c r="F78" s="67">
        <v>-0.04</v>
      </c>
      <c r="G78" s="67">
        <v>16.805</v>
      </c>
      <c r="H78" s="67">
        <v>16.754000000000001</v>
      </c>
      <c r="I78" s="67"/>
      <c r="J78" s="67"/>
      <c r="K78" s="66" t="s">
        <v>46</v>
      </c>
      <c r="L78" s="69"/>
      <c r="M78" s="69"/>
      <c r="N78" s="69"/>
      <c r="O78" s="30" t="str">
        <f t="shared" si="16"/>
        <v xml:space="preserve"> </v>
      </c>
      <c r="P78" s="30" t="str">
        <f t="shared" si="17"/>
        <v xml:space="preserve"> </v>
      </c>
      <c r="Q78" s="30" t="str">
        <f t="shared" si="18"/>
        <v xml:space="preserve"> </v>
      </c>
      <c r="R78" s="31" t="str">
        <f t="shared" si="19"/>
        <v xml:space="preserve"> </v>
      </c>
      <c r="S78" s="32" t="str">
        <f t="shared" si="20"/>
        <v xml:space="preserve"> </v>
      </c>
      <c r="T78" s="33" t="str">
        <f t="shared" si="21"/>
        <v xml:space="preserve"> </v>
      </c>
      <c r="U78" s="31" t="str">
        <f t="shared" si="22"/>
        <v/>
      </c>
      <c r="V78" s="31" t="str">
        <f t="shared" si="15"/>
        <v/>
      </c>
      <c r="W78" s="146" t="str" cm="1">
        <f t="array" ref="W78">IF(AND(L78:N78 &gt;= D78+F78, L78:N78 &lt;= D78+E78), "OK", "NG")</f>
        <v>NG</v>
      </c>
      <c r="X78" s="143"/>
    </row>
    <row r="79" spans="1:24" ht="18" customHeight="1">
      <c r="A79" s="29"/>
      <c r="B79" s="65">
        <v>66</v>
      </c>
      <c r="C79" s="66" t="s">
        <v>270</v>
      </c>
      <c r="D79" s="67">
        <v>0</v>
      </c>
      <c r="E79" s="67">
        <v>3</v>
      </c>
      <c r="F79" s="67">
        <v>-3</v>
      </c>
      <c r="G79" s="67">
        <v>2.5499999999999998</v>
      </c>
      <c r="H79" s="67">
        <v>-2.5499999999999998</v>
      </c>
      <c r="I79" s="67"/>
      <c r="J79" s="67"/>
      <c r="K79" s="66" t="s">
        <v>46</v>
      </c>
      <c r="L79" s="69"/>
      <c r="M79" s="69"/>
      <c r="N79" s="69"/>
      <c r="O79" s="30" t="str">
        <f t="shared" si="16"/>
        <v xml:space="preserve"> </v>
      </c>
      <c r="P79" s="30" t="str">
        <f t="shared" si="17"/>
        <v xml:space="preserve"> </v>
      </c>
      <c r="Q79" s="30" t="str">
        <f t="shared" si="18"/>
        <v xml:space="preserve"> </v>
      </c>
      <c r="R79" s="31" t="str">
        <f t="shared" si="19"/>
        <v xml:space="preserve"> </v>
      </c>
      <c r="S79" s="32" t="str">
        <f t="shared" si="20"/>
        <v xml:space="preserve"> </v>
      </c>
      <c r="T79" s="33" t="str">
        <f t="shared" si="21"/>
        <v xml:space="preserve"> </v>
      </c>
      <c r="U79" s="31" t="str">
        <f t="shared" si="22"/>
        <v/>
      </c>
      <c r="V79" s="31" t="str">
        <f t="shared" si="15"/>
        <v/>
      </c>
      <c r="W79" s="146" t="str" cm="1">
        <f t="array" ref="W79">IF(AND(L79:N79 &gt;= D79+F79, L79:N79 &lt;= D79+E79), "OK", "NG")</f>
        <v>OK</v>
      </c>
      <c r="X79" s="143"/>
    </row>
    <row r="80" spans="1:24" ht="18" customHeight="1">
      <c r="A80" s="29"/>
      <c r="B80" s="65">
        <v>67</v>
      </c>
      <c r="C80" s="66" t="s">
        <v>45</v>
      </c>
      <c r="D80" s="67">
        <v>13.526999999999999</v>
      </c>
      <c r="E80" s="67">
        <v>0.6</v>
      </c>
      <c r="F80" s="67">
        <v>-0.6</v>
      </c>
      <c r="G80" s="67">
        <v>14.036999999999999</v>
      </c>
      <c r="H80" s="67">
        <v>13.016999999999999</v>
      </c>
      <c r="I80" s="67"/>
      <c r="J80" s="67"/>
      <c r="K80" s="66" t="s">
        <v>46</v>
      </c>
      <c r="L80" s="69"/>
      <c r="M80" s="69"/>
      <c r="N80" s="69"/>
      <c r="O80" s="30" t="str">
        <f t="shared" si="16"/>
        <v xml:space="preserve"> </v>
      </c>
      <c r="P80" s="30" t="str">
        <f t="shared" si="17"/>
        <v xml:space="preserve"> </v>
      </c>
      <c r="Q80" s="30" t="str">
        <f t="shared" si="18"/>
        <v xml:space="preserve"> </v>
      </c>
      <c r="R80" s="31" t="str">
        <f t="shared" si="19"/>
        <v xml:space="preserve"> </v>
      </c>
      <c r="S80" s="32" t="str">
        <f t="shared" si="20"/>
        <v xml:space="preserve"> </v>
      </c>
      <c r="T80" s="33" t="str">
        <f t="shared" si="21"/>
        <v xml:space="preserve"> </v>
      </c>
      <c r="U80" s="31" t="str">
        <f t="shared" si="22"/>
        <v/>
      </c>
      <c r="V80" s="31" t="str">
        <f t="shared" si="15"/>
        <v/>
      </c>
      <c r="W80" s="146" t="str" cm="1">
        <f t="array" ref="W80">IF(AND(L80:N80 &gt;= D80+F80, L80:N80 &lt;= D80+E80), "OK", "NG")</f>
        <v>NG</v>
      </c>
      <c r="X80" s="143"/>
    </row>
    <row r="81" spans="1:24" ht="18" customHeight="1">
      <c r="A81" s="29"/>
      <c r="B81" s="65">
        <v>68</v>
      </c>
      <c r="C81" s="66" t="s">
        <v>45</v>
      </c>
      <c r="D81" s="67">
        <v>1.175</v>
      </c>
      <c r="E81" s="67">
        <v>0.3</v>
      </c>
      <c r="F81" s="67">
        <v>-0.3</v>
      </c>
      <c r="G81" s="67">
        <v>1.4300000000000002</v>
      </c>
      <c r="H81" s="67">
        <v>0.92</v>
      </c>
      <c r="I81" s="67"/>
      <c r="J81" s="67"/>
      <c r="K81" s="66" t="s">
        <v>46</v>
      </c>
      <c r="L81" s="69"/>
      <c r="M81" s="69"/>
      <c r="N81" s="69"/>
      <c r="O81" s="30" t="str">
        <f t="shared" si="16"/>
        <v xml:space="preserve"> </v>
      </c>
      <c r="P81" s="30" t="str">
        <f t="shared" si="17"/>
        <v xml:space="preserve"> </v>
      </c>
      <c r="Q81" s="30" t="str">
        <f t="shared" si="18"/>
        <v xml:space="preserve"> </v>
      </c>
      <c r="R81" s="31" t="str">
        <f t="shared" si="19"/>
        <v xml:space="preserve"> </v>
      </c>
      <c r="S81" s="32" t="str">
        <f t="shared" si="20"/>
        <v xml:space="preserve"> </v>
      </c>
      <c r="T81" s="33" t="str">
        <f t="shared" si="21"/>
        <v xml:space="preserve"> </v>
      </c>
      <c r="U81" s="31" t="str">
        <f t="shared" si="22"/>
        <v/>
      </c>
      <c r="V81" s="31" t="str">
        <f t="shared" si="15"/>
        <v/>
      </c>
      <c r="W81" s="146" t="str" cm="1">
        <f t="array" ref="W81">IF(AND(L81:N81 &gt;= D81+F81, L81:N81 &lt;= D81+E81), "OK", "NG")</f>
        <v>NG</v>
      </c>
      <c r="X81" s="143"/>
    </row>
    <row r="82" spans="1:24" ht="18" customHeight="1">
      <c r="A82" s="29"/>
      <c r="B82" s="65" t="s">
        <v>148</v>
      </c>
      <c r="C82" s="66" t="s">
        <v>45</v>
      </c>
      <c r="D82" s="67">
        <v>14.513999999999999</v>
      </c>
      <c r="E82" s="67">
        <v>2.5000000000000001E-2</v>
      </c>
      <c r="F82" s="67">
        <v>-2.5000000000000001E-2</v>
      </c>
      <c r="G82" s="67">
        <v>14.53525</v>
      </c>
      <c r="H82" s="67">
        <v>14.492749999999999</v>
      </c>
      <c r="I82" s="67"/>
      <c r="J82" s="67"/>
      <c r="K82" s="66" t="s">
        <v>46</v>
      </c>
      <c r="L82" s="69"/>
      <c r="M82" s="69"/>
      <c r="N82" s="69"/>
      <c r="O82" s="30" t="str">
        <f t="shared" si="16"/>
        <v xml:space="preserve"> </v>
      </c>
      <c r="P82" s="30" t="str">
        <f t="shared" si="17"/>
        <v xml:space="preserve"> </v>
      </c>
      <c r="Q82" s="30" t="str">
        <f t="shared" si="18"/>
        <v xml:space="preserve"> </v>
      </c>
      <c r="R82" s="31" t="str">
        <f t="shared" si="19"/>
        <v xml:space="preserve"> </v>
      </c>
      <c r="S82" s="32" t="str">
        <f t="shared" si="20"/>
        <v xml:space="preserve"> </v>
      </c>
      <c r="T82" s="33" t="str">
        <f t="shared" si="21"/>
        <v xml:space="preserve"> </v>
      </c>
      <c r="U82" s="31" t="str">
        <f t="shared" si="22"/>
        <v/>
      </c>
      <c r="V82" s="31" t="str">
        <f t="shared" si="15"/>
        <v/>
      </c>
      <c r="W82" s="146" t="str" cm="1">
        <f t="array" ref="W82">IF(AND(L82:N82 &gt;= D82+F82, L82:N82 &lt;= D82+E82), "OK", "NG")</f>
        <v>NG</v>
      </c>
      <c r="X82" s="143"/>
    </row>
    <row r="83" spans="1:24" ht="18" customHeight="1">
      <c r="A83" s="29"/>
      <c r="B83" s="65" t="s">
        <v>149</v>
      </c>
      <c r="C83" s="66" t="s">
        <v>45</v>
      </c>
      <c r="D83" s="67">
        <v>14.513999999999999</v>
      </c>
      <c r="E83" s="67">
        <v>2.5000000000000001E-2</v>
      </c>
      <c r="F83" s="67">
        <v>-2.5000000000000001E-2</v>
      </c>
      <c r="G83" s="67">
        <v>14.53525</v>
      </c>
      <c r="H83" s="67">
        <v>14.492749999999999</v>
      </c>
      <c r="I83" s="67"/>
      <c r="J83" s="67"/>
      <c r="K83" s="66" t="s">
        <v>46</v>
      </c>
      <c r="L83" s="69"/>
      <c r="M83" s="69"/>
      <c r="N83" s="69"/>
      <c r="O83" s="30" t="str">
        <f t="shared" si="16"/>
        <v xml:space="preserve"> </v>
      </c>
      <c r="P83" s="30" t="str">
        <f t="shared" si="17"/>
        <v xml:space="preserve"> </v>
      </c>
      <c r="Q83" s="30" t="str">
        <f t="shared" si="18"/>
        <v xml:space="preserve"> </v>
      </c>
      <c r="R83" s="31" t="str">
        <f t="shared" si="19"/>
        <v xml:space="preserve"> </v>
      </c>
      <c r="S83" s="32" t="str">
        <f t="shared" si="20"/>
        <v xml:space="preserve"> </v>
      </c>
      <c r="T83" s="33" t="str">
        <f t="shared" si="21"/>
        <v xml:space="preserve"> </v>
      </c>
      <c r="U83" s="31" t="str">
        <f t="shared" si="22"/>
        <v/>
      </c>
      <c r="V83" s="31" t="str">
        <f t="shared" si="15"/>
        <v/>
      </c>
      <c r="W83" s="146" t="str" cm="1">
        <f t="array" ref="W83">IF(AND(L83:N83 &gt;= D83+F83, L83:N83 &lt;= D83+E83), "OK", "NG")</f>
        <v>NG</v>
      </c>
      <c r="X83" s="143"/>
    </row>
    <row r="84" spans="1:24" ht="18" customHeight="1">
      <c r="A84" s="29"/>
      <c r="B84" s="65" t="s">
        <v>223</v>
      </c>
      <c r="C84" s="66" t="s">
        <v>45</v>
      </c>
      <c r="D84" s="67">
        <v>0.23</v>
      </c>
      <c r="E84" s="67">
        <v>0.02</v>
      </c>
      <c r="F84" s="67">
        <v>-0.02</v>
      </c>
      <c r="G84" s="67">
        <v>0.247</v>
      </c>
      <c r="H84" s="67">
        <v>0.21300000000000002</v>
      </c>
      <c r="I84" s="67"/>
      <c r="J84" s="67"/>
      <c r="K84" s="66" t="s">
        <v>46</v>
      </c>
      <c r="L84" s="69"/>
      <c r="M84" s="69"/>
      <c r="N84" s="69"/>
      <c r="O84" s="30" t="str">
        <f t="shared" si="16"/>
        <v xml:space="preserve"> </v>
      </c>
      <c r="P84" s="30" t="str">
        <f t="shared" si="17"/>
        <v xml:space="preserve"> </v>
      </c>
      <c r="Q84" s="30" t="str">
        <f t="shared" si="18"/>
        <v xml:space="preserve"> </v>
      </c>
      <c r="R84" s="31" t="str">
        <f t="shared" si="19"/>
        <v xml:space="preserve"> </v>
      </c>
      <c r="S84" s="32" t="str">
        <f t="shared" si="20"/>
        <v xml:space="preserve"> </v>
      </c>
      <c r="T84" s="33" t="str">
        <f t="shared" si="21"/>
        <v xml:space="preserve"> </v>
      </c>
      <c r="U84" s="31" t="str">
        <f t="shared" si="22"/>
        <v/>
      </c>
      <c r="V84" s="31" t="str">
        <f t="shared" si="15"/>
        <v/>
      </c>
      <c r="W84" s="146" t="str" cm="1">
        <f t="array" ref="W84">IF(AND(L84:N84 &gt;= D84+F84, L84:N84 &lt;= D84+E84), "OK", "NG")</f>
        <v>NG</v>
      </c>
      <c r="X84" s="143"/>
    </row>
    <row r="85" spans="1:24" ht="18" customHeight="1">
      <c r="A85" s="29"/>
      <c r="B85" s="65" t="s">
        <v>224</v>
      </c>
      <c r="C85" s="66" t="s">
        <v>45</v>
      </c>
      <c r="D85" s="67">
        <v>0.23</v>
      </c>
      <c r="E85" s="67">
        <v>0.02</v>
      </c>
      <c r="F85" s="67">
        <v>-0.02</v>
      </c>
      <c r="G85" s="67">
        <v>0.247</v>
      </c>
      <c r="H85" s="67">
        <v>0.21300000000000002</v>
      </c>
      <c r="I85" s="67"/>
      <c r="J85" s="67"/>
      <c r="K85" s="66" t="s">
        <v>46</v>
      </c>
      <c r="L85" s="69"/>
      <c r="M85" s="69"/>
      <c r="N85" s="69"/>
      <c r="O85" s="30" t="str">
        <f t="shared" si="16"/>
        <v xml:space="preserve"> </v>
      </c>
      <c r="P85" s="30" t="str">
        <f t="shared" si="17"/>
        <v xml:space="preserve"> </v>
      </c>
      <c r="Q85" s="30" t="str">
        <f t="shared" si="18"/>
        <v xml:space="preserve"> </v>
      </c>
      <c r="R85" s="31" t="str">
        <f t="shared" si="19"/>
        <v xml:space="preserve"> </v>
      </c>
      <c r="S85" s="32" t="str">
        <f t="shared" si="20"/>
        <v xml:space="preserve"> </v>
      </c>
      <c r="T85" s="33" t="str">
        <f t="shared" si="21"/>
        <v xml:space="preserve"> </v>
      </c>
      <c r="U85" s="31" t="str">
        <f t="shared" si="22"/>
        <v/>
      </c>
      <c r="V85" s="31" t="str">
        <f t="shared" si="15"/>
        <v/>
      </c>
      <c r="W85" s="146" t="str" cm="1">
        <f t="array" ref="W85">IF(AND(L85:N85 &gt;= D85+F85, L85:N85 &lt;= D85+E85), "OK", "NG")</f>
        <v>NG</v>
      </c>
      <c r="X85" s="143"/>
    </row>
    <row r="86" spans="1:24" ht="18" customHeight="1">
      <c r="A86" s="29"/>
      <c r="B86" s="65" t="s">
        <v>225</v>
      </c>
      <c r="C86" s="66" t="s">
        <v>45</v>
      </c>
      <c r="D86" s="67">
        <v>13.281000000000001</v>
      </c>
      <c r="E86" s="67">
        <v>0.04</v>
      </c>
      <c r="F86" s="67">
        <v>-0.03</v>
      </c>
      <c r="G86" s="67">
        <v>13.315000000000001</v>
      </c>
      <c r="H86" s="67">
        <v>13.255500000000001</v>
      </c>
      <c r="I86" s="67"/>
      <c r="J86" s="67"/>
      <c r="K86" s="66" t="s">
        <v>46</v>
      </c>
      <c r="L86" s="69"/>
      <c r="M86" s="69"/>
      <c r="N86" s="69"/>
      <c r="O86" s="30" t="str">
        <f t="shared" si="16"/>
        <v xml:space="preserve"> </v>
      </c>
      <c r="P86" s="30" t="str">
        <f t="shared" si="17"/>
        <v xml:space="preserve"> </v>
      </c>
      <c r="Q86" s="30" t="str">
        <f t="shared" si="18"/>
        <v xml:space="preserve"> </v>
      </c>
      <c r="R86" s="31" t="str">
        <f t="shared" si="19"/>
        <v xml:space="preserve"> </v>
      </c>
      <c r="S86" s="32" t="str">
        <f t="shared" si="20"/>
        <v xml:space="preserve"> </v>
      </c>
      <c r="T86" s="33" t="str">
        <f t="shared" si="21"/>
        <v xml:space="preserve"> </v>
      </c>
      <c r="U86" s="31" t="str">
        <f t="shared" si="22"/>
        <v/>
      </c>
      <c r="V86" s="31" t="str">
        <f t="shared" si="15"/>
        <v/>
      </c>
      <c r="W86" s="146" t="str" cm="1">
        <f t="array" ref="W86">IF(AND(L86:N86 &gt;= D86+F86, L86:N86 &lt;= D86+E86), "OK", "NG")</f>
        <v>NG</v>
      </c>
      <c r="X86" s="143"/>
    </row>
    <row r="87" spans="1:24" ht="18" customHeight="1">
      <c r="A87" s="29"/>
      <c r="B87" s="65" t="s">
        <v>226</v>
      </c>
      <c r="C87" s="66" t="s">
        <v>45</v>
      </c>
      <c r="D87" s="67">
        <v>11.708</v>
      </c>
      <c r="E87" s="67">
        <v>0.04</v>
      </c>
      <c r="F87" s="67">
        <v>-0.03</v>
      </c>
      <c r="G87" s="67">
        <v>11.742000000000001</v>
      </c>
      <c r="H87" s="67">
        <v>11.682500000000001</v>
      </c>
      <c r="I87" s="67"/>
      <c r="J87" s="67"/>
      <c r="K87" s="66" t="s">
        <v>46</v>
      </c>
      <c r="L87" s="69"/>
      <c r="M87" s="69"/>
      <c r="N87" s="69"/>
      <c r="O87" s="30" t="str">
        <f t="shared" si="16"/>
        <v xml:space="preserve"> </v>
      </c>
      <c r="P87" s="30" t="str">
        <f t="shared" si="17"/>
        <v xml:space="preserve"> </v>
      </c>
      <c r="Q87" s="30" t="str">
        <f t="shared" si="18"/>
        <v xml:space="preserve"> </v>
      </c>
      <c r="R87" s="31" t="str">
        <f t="shared" si="19"/>
        <v xml:space="preserve"> </v>
      </c>
      <c r="S87" s="32" t="str">
        <f t="shared" si="20"/>
        <v xml:space="preserve"> </v>
      </c>
      <c r="T87" s="33" t="str">
        <f t="shared" si="21"/>
        <v xml:space="preserve"> </v>
      </c>
      <c r="U87" s="31" t="str">
        <f t="shared" si="22"/>
        <v/>
      </c>
      <c r="V87" s="31" t="str">
        <f t="shared" si="15"/>
        <v/>
      </c>
      <c r="W87" s="146" t="str" cm="1">
        <f t="array" ref="W87">IF(AND(L87:N87 &gt;= D87+F87, L87:N87 &lt;= D87+E87), "OK", "NG")</f>
        <v>NG</v>
      </c>
      <c r="X87" s="143"/>
    </row>
    <row r="88" spans="1:24" ht="18" customHeight="1">
      <c r="A88" s="29"/>
      <c r="B88" s="65" t="s">
        <v>227</v>
      </c>
      <c r="C88" s="66" t="s">
        <v>45</v>
      </c>
      <c r="D88" s="67">
        <v>2.6760000000000002</v>
      </c>
      <c r="E88" s="67">
        <v>0.04</v>
      </c>
      <c r="F88" s="67">
        <v>-0.03</v>
      </c>
      <c r="G88" s="67">
        <v>2.71</v>
      </c>
      <c r="H88" s="67">
        <v>2.6505000000000001</v>
      </c>
      <c r="I88" s="67"/>
      <c r="J88" s="67"/>
      <c r="K88" s="66" t="s">
        <v>46</v>
      </c>
      <c r="L88" s="69"/>
      <c r="M88" s="69"/>
      <c r="N88" s="69"/>
      <c r="O88" s="30" t="str">
        <f t="shared" si="16"/>
        <v xml:space="preserve"> </v>
      </c>
      <c r="P88" s="30" t="str">
        <f t="shared" si="17"/>
        <v xml:space="preserve"> </v>
      </c>
      <c r="Q88" s="30" t="str">
        <f t="shared" si="18"/>
        <v xml:space="preserve"> </v>
      </c>
      <c r="R88" s="31" t="str">
        <f t="shared" si="19"/>
        <v xml:space="preserve"> </v>
      </c>
      <c r="S88" s="32" t="str">
        <f t="shared" si="20"/>
        <v xml:space="preserve"> </v>
      </c>
      <c r="T88" s="33" t="str">
        <f t="shared" si="21"/>
        <v xml:space="preserve"> </v>
      </c>
      <c r="U88" s="31" t="str">
        <f t="shared" si="22"/>
        <v/>
      </c>
      <c r="V88" s="31" t="str">
        <f t="shared" si="15"/>
        <v/>
      </c>
      <c r="W88" s="146" t="str" cm="1">
        <f t="array" ref="W88">IF(AND(L88:N88 &gt;= D88+F88, L88:N88 &lt;= D88+E88), "OK", "NG")</f>
        <v>NG</v>
      </c>
      <c r="X88" s="143"/>
    </row>
    <row r="89" spans="1:24" ht="18" customHeight="1">
      <c r="A89" s="29"/>
      <c r="B89" s="65" t="s">
        <v>228</v>
      </c>
      <c r="C89" s="66" t="s">
        <v>45</v>
      </c>
      <c r="D89" s="67">
        <v>1.103</v>
      </c>
      <c r="E89" s="67">
        <v>0.04</v>
      </c>
      <c r="F89" s="67">
        <v>-0.03</v>
      </c>
      <c r="G89" s="67">
        <v>1.137</v>
      </c>
      <c r="H89" s="67">
        <v>1.0774999999999999</v>
      </c>
      <c r="I89" s="67"/>
      <c r="J89" s="67"/>
      <c r="K89" s="66" t="s">
        <v>46</v>
      </c>
      <c r="L89" s="69"/>
      <c r="M89" s="69"/>
      <c r="N89" s="69"/>
      <c r="O89" s="30" t="str">
        <f t="shared" si="16"/>
        <v xml:space="preserve"> </v>
      </c>
      <c r="P89" s="30" t="str">
        <f t="shared" si="17"/>
        <v xml:space="preserve"> </v>
      </c>
      <c r="Q89" s="30" t="str">
        <f t="shared" si="18"/>
        <v xml:space="preserve"> </v>
      </c>
      <c r="R89" s="31" t="str">
        <f t="shared" si="19"/>
        <v xml:space="preserve"> </v>
      </c>
      <c r="S89" s="32" t="str">
        <f t="shared" si="20"/>
        <v xml:space="preserve"> </v>
      </c>
      <c r="T89" s="33" t="str">
        <f t="shared" si="21"/>
        <v xml:space="preserve"> </v>
      </c>
      <c r="U89" s="31" t="str">
        <f t="shared" si="22"/>
        <v/>
      </c>
      <c r="V89" s="31" t="str">
        <f t="shared" si="15"/>
        <v/>
      </c>
      <c r="W89" s="146" t="str" cm="1">
        <f t="array" ref="W89">IF(AND(L89:N89 &gt;= D89+F89, L89:N89 &lt;= D89+E89), "OK", "NG")</f>
        <v>NG</v>
      </c>
      <c r="X89" s="143"/>
    </row>
    <row r="90" spans="1:24" ht="18" customHeight="1">
      <c r="A90" s="29"/>
      <c r="B90" s="65" t="s">
        <v>229</v>
      </c>
      <c r="C90" s="66" t="s">
        <v>45</v>
      </c>
      <c r="D90" s="67">
        <v>1.103</v>
      </c>
      <c r="E90" s="67">
        <v>0.04</v>
      </c>
      <c r="F90" s="67">
        <v>-0.03</v>
      </c>
      <c r="G90" s="67">
        <v>1.137</v>
      </c>
      <c r="H90" s="67">
        <v>1.0774999999999999</v>
      </c>
      <c r="I90" s="67"/>
      <c r="J90" s="67"/>
      <c r="K90" s="66" t="s">
        <v>46</v>
      </c>
      <c r="L90" s="69"/>
      <c r="M90" s="69"/>
      <c r="N90" s="69"/>
      <c r="O90" s="30" t="str">
        <f t="shared" si="16"/>
        <v xml:space="preserve"> </v>
      </c>
      <c r="P90" s="30" t="str">
        <f t="shared" si="17"/>
        <v xml:space="preserve"> </v>
      </c>
      <c r="Q90" s="30" t="str">
        <f t="shared" si="18"/>
        <v xml:space="preserve"> </v>
      </c>
      <c r="R90" s="31" t="str">
        <f t="shared" si="19"/>
        <v xml:space="preserve"> </v>
      </c>
      <c r="S90" s="32" t="str">
        <f t="shared" si="20"/>
        <v xml:space="preserve"> </v>
      </c>
      <c r="T90" s="33" t="str">
        <f t="shared" si="21"/>
        <v xml:space="preserve"> </v>
      </c>
      <c r="U90" s="31" t="str">
        <f t="shared" si="22"/>
        <v/>
      </c>
      <c r="V90" s="31" t="str">
        <f t="shared" si="15"/>
        <v/>
      </c>
      <c r="W90" s="146" t="str" cm="1">
        <f t="array" ref="W90">IF(AND(L90:N90 &gt;= D90+F90, L90:N90 &lt;= D90+E90), "OK", "NG")</f>
        <v>NG</v>
      </c>
      <c r="X90" s="143"/>
    </row>
    <row r="91" spans="1:24" ht="18" customHeight="1">
      <c r="A91" s="29"/>
      <c r="B91" s="65" t="s">
        <v>150</v>
      </c>
      <c r="C91" s="66" t="s">
        <v>45</v>
      </c>
      <c r="D91" s="67">
        <v>2.6760000000000002</v>
      </c>
      <c r="E91" s="67">
        <v>0.04</v>
      </c>
      <c r="F91" s="67">
        <v>-0.03</v>
      </c>
      <c r="G91" s="67">
        <v>2.71</v>
      </c>
      <c r="H91" s="67">
        <v>2.6505000000000001</v>
      </c>
      <c r="I91" s="67"/>
      <c r="J91" s="67"/>
      <c r="K91" s="66" t="s">
        <v>46</v>
      </c>
      <c r="L91" s="69"/>
      <c r="M91" s="69"/>
      <c r="N91" s="69"/>
      <c r="O91" s="30" t="str">
        <f t="shared" si="16"/>
        <v xml:space="preserve"> </v>
      </c>
      <c r="P91" s="30" t="str">
        <f t="shared" si="17"/>
        <v xml:space="preserve"> </v>
      </c>
      <c r="Q91" s="30" t="str">
        <f t="shared" si="18"/>
        <v xml:space="preserve"> </v>
      </c>
      <c r="R91" s="31" t="str">
        <f t="shared" si="19"/>
        <v xml:space="preserve"> </v>
      </c>
      <c r="S91" s="32" t="str">
        <f t="shared" si="20"/>
        <v xml:space="preserve"> </v>
      </c>
      <c r="T91" s="33" t="str">
        <f t="shared" si="21"/>
        <v xml:space="preserve"> </v>
      </c>
      <c r="U91" s="31" t="str">
        <f t="shared" si="22"/>
        <v/>
      </c>
      <c r="V91" s="31" t="str">
        <f t="shared" si="15"/>
        <v/>
      </c>
      <c r="W91" s="146" t="str" cm="1">
        <f t="array" ref="W91">IF(AND(L91:N91 &gt;= D91+F91, L91:N91 &lt;= D91+E91), "OK", "NG")</f>
        <v>NG</v>
      </c>
      <c r="X91" s="143"/>
    </row>
    <row r="92" spans="1:24" ht="18" customHeight="1">
      <c r="A92" s="29"/>
      <c r="B92" s="65" t="s">
        <v>265</v>
      </c>
      <c r="C92" s="66" t="s">
        <v>45</v>
      </c>
      <c r="D92" s="67">
        <v>16.46</v>
      </c>
      <c r="E92" s="67">
        <v>0.03</v>
      </c>
      <c r="F92" s="67">
        <v>-0.03</v>
      </c>
      <c r="G92" s="67">
        <v>16.485500000000002</v>
      </c>
      <c r="H92" s="67">
        <v>16.4345</v>
      </c>
      <c r="I92" s="67">
        <v>16.482500000000002</v>
      </c>
      <c r="J92" s="67">
        <v>16.4375</v>
      </c>
      <c r="K92" s="66" t="s">
        <v>46</v>
      </c>
      <c r="L92" s="69"/>
      <c r="M92" s="69"/>
      <c r="N92" s="69"/>
      <c r="O92" s="30" t="str">
        <f t="shared" si="16"/>
        <v xml:space="preserve"> </v>
      </c>
      <c r="P92" s="30" t="str">
        <f t="shared" si="17"/>
        <v xml:space="preserve"> </v>
      </c>
      <c r="Q92" s="30" t="str">
        <f t="shared" si="18"/>
        <v xml:space="preserve"> </v>
      </c>
      <c r="R92" s="31" t="str">
        <f t="shared" si="19"/>
        <v xml:space="preserve"> </v>
      </c>
      <c r="S92" s="32" t="str">
        <f t="shared" si="20"/>
        <v xml:space="preserve"> </v>
      </c>
      <c r="T92" s="33" t="str">
        <f t="shared" si="21"/>
        <v xml:space="preserve"> </v>
      </c>
      <c r="U92" s="31" t="str">
        <f t="shared" si="22"/>
        <v/>
      </c>
      <c r="V92" s="31" t="str">
        <f t="shared" si="15"/>
        <v/>
      </c>
      <c r="W92" s="146" t="str" cm="1">
        <f t="array" ref="W92">IF(AND(L92:N92 &gt;= D92+F92, L92:N92 &lt;= D92+E92), "OK", "NG")</f>
        <v>NG</v>
      </c>
      <c r="X92" s="143"/>
    </row>
    <row r="93" spans="1:24" ht="18" customHeight="1">
      <c r="A93" s="29"/>
      <c r="B93" s="65" t="s">
        <v>266</v>
      </c>
      <c r="C93" s="66" t="s">
        <v>45</v>
      </c>
      <c r="D93" s="67">
        <v>16.46</v>
      </c>
      <c r="E93" s="67">
        <v>0.03</v>
      </c>
      <c r="F93" s="67">
        <v>-0.03</v>
      </c>
      <c r="G93" s="67">
        <v>16.485500000000002</v>
      </c>
      <c r="H93" s="67">
        <v>16.4345</v>
      </c>
      <c r="I93" s="67">
        <v>16.482500000000002</v>
      </c>
      <c r="J93" s="67">
        <v>16.4375</v>
      </c>
      <c r="K93" s="66" t="s">
        <v>46</v>
      </c>
      <c r="L93" s="69"/>
      <c r="M93" s="69"/>
      <c r="N93" s="69"/>
      <c r="O93" s="30" t="str">
        <f t="shared" si="16"/>
        <v xml:space="preserve"> </v>
      </c>
      <c r="P93" s="30" t="str">
        <f t="shared" si="17"/>
        <v xml:space="preserve"> </v>
      </c>
      <c r="Q93" s="30" t="str">
        <f t="shared" si="18"/>
        <v xml:space="preserve"> </v>
      </c>
      <c r="R93" s="31" t="str">
        <f t="shared" si="19"/>
        <v xml:space="preserve"> </v>
      </c>
      <c r="S93" s="32" t="str">
        <f t="shared" si="20"/>
        <v xml:space="preserve"> </v>
      </c>
      <c r="T93" s="33" t="str">
        <f t="shared" si="21"/>
        <v xml:space="preserve"> </v>
      </c>
      <c r="U93" s="31" t="str">
        <f t="shared" si="22"/>
        <v/>
      </c>
      <c r="V93" s="31" t="str">
        <f t="shared" si="15"/>
        <v/>
      </c>
      <c r="W93" s="146" t="str" cm="1">
        <f t="array" ref="W93">IF(AND(L93:N93 &gt;= D93+F93, L93:N93 &lt;= D93+E93), "OK", "NG")</f>
        <v>NG</v>
      </c>
      <c r="X93" s="143"/>
    </row>
    <row r="94" spans="1:24" ht="18" customHeight="1">
      <c r="A94" s="29"/>
      <c r="B94" s="65" t="s">
        <v>316</v>
      </c>
      <c r="C94" s="66" t="s">
        <v>45</v>
      </c>
      <c r="D94" s="67">
        <v>16.46</v>
      </c>
      <c r="E94" s="67">
        <v>0.03</v>
      </c>
      <c r="F94" s="67">
        <v>-0.03</v>
      </c>
      <c r="G94" s="67">
        <v>16.485500000000002</v>
      </c>
      <c r="H94" s="67">
        <v>16.4345</v>
      </c>
      <c r="I94" s="67">
        <v>16.482500000000002</v>
      </c>
      <c r="J94" s="67">
        <v>16.4375</v>
      </c>
      <c r="K94" s="66" t="s">
        <v>46</v>
      </c>
      <c r="L94" s="69"/>
      <c r="M94" s="69"/>
      <c r="N94" s="69"/>
      <c r="O94" s="30" t="str">
        <f t="shared" si="16"/>
        <v xml:space="preserve"> </v>
      </c>
      <c r="P94" s="30" t="str">
        <f t="shared" si="17"/>
        <v xml:space="preserve"> </v>
      </c>
      <c r="Q94" s="30" t="str">
        <f t="shared" si="18"/>
        <v xml:space="preserve"> </v>
      </c>
      <c r="R94" s="31" t="str">
        <f t="shared" si="19"/>
        <v xml:space="preserve"> </v>
      </c>
      <c r="S94" s="32" t="str">
        <f t="shared" si="20"/>
        <v xml:space="preserve"> </v>
      </c>
      <c r="T94" s="33" t="str">
        <f t="shared" si="21"/>
        <v xml:space="preserve"> </v>
      </c>
      <c r="U94" s="31" t="str">
        <f t="shared" si="22"/>
        <v/>
      </c>
      <c r="V94" s="31" t="str">
        <f t="shared" si="15"/>
        <v/>
      </c>
      <c r="W94" s="146" t="str" cm="1">
        <f t="array" ref="W94">IF(AND(L94:N94 &gt;= D94+F94, L94:N94 &lt;= D94+E94), "OK", "NG")</f>
        <v>NG</v>
      </c>
      <c r="X94" s="143"/>
    </row>
    <row r="95" spans="1:24" ht="18" customHeight="1">
      <c r="A95" s="29"/>
      <c r="B95" s="65" t="s">
        <v>318</v>
      </c>
      <c r="C95" s="66" t="s">
        <v>45</v>
      </c>
      <c r="D95" s="67">
        <v>16.46</v>
      </c>
      <c r="E95" s="67">
        <v>0.03</v>
      </c>
      <c r="F95" s="67">
        <v>-0.03</v>
      </c>
      <c r="G95" s="67">
        <v>16.485500000000002</v>
      </c>
      <c r="H95" s="67">
        <v>16.4345</v>
      </c>
      <c r="I95" s="67">
        <v>16.482500000000002</v>
      </c>
      <c r="J95" s="67">
        <v>16.4375</v>
      </c>
      <c r="K95" s="66" t="s">
        <v>46</v>
      </c>
      <c r="L95" s="69"/>
      <c r="M95" s="69"/>
      <c r="N95" s="69"/>
      <c r="O95" s="30" t="str">
        <f t="shared" si="16"/>
        <v xml:space="preserve"> </v>
      </c>
      <c r="P95" s="30" t="str">
        <f t="shared" si="17"/>
        <v xml:space="preserve"> </v>
      </c>
      <c r="Q95" s="30" t="str">
        <f t="shared" si="18"/>
        <v xml:space="preserve"> </v>
      </c>
      <c r="R95" s="31" t="str">
        <f t="shared" si="19"/>
        <v xml:space="preserve"> </v>
      </c>
      <c r="S95" s="32" t="str">
        <f t="shared" si="20"/>
        <v xml:space="preserve"> </v>
      </c>
      <c r="T95" s="33" t="str">
        <f t="shared" si="21"/>
        <v xml:space="preserve"> </v>
      </c>
      <c r="U95" s="31" t="str">
        <f t="shared" si="22"/>
        <v/>
      </c>
      <c r="V95" s="31" t="str">
        <f t="shared" si="15"/>
        <v/>
      </c>
      <c r="W95" s="146" t="str" cm="1">
        <f t="array" ref="W95">IF(AND(L95:N95 &gt;= D95+F95, L95:N95 &lt;= D95+E95), "OK", "NG")</f>
        <v>NG</v>
      </c>
      <c r="X95" s="143"/>
    </row>
    <row r="96" spans="1:24" ht="18" customHeight="1">
      <c r="A96" s="29"/>
      <c r="B96" s="65" t="s">
        <v>319</v>
      </c>
      <c r="C96" s="66" t="s">
        <v>45</v>
      </c>
      <c r="D96" s="67">
        <v>16.46</v>
      </c>
      <c r="E96" s="67">
        <v>0.03</v>
      </c>
      <c r="F96" s="67">
        <v>-0.03</v>
      </c>
      <c r="G96" s="67">
        <v>16.485500000000002</v>
      </c>
      <c r="H96" s="67">
        <v>16.4345</v>
      </c>
      <c r="I96" s="67">
        <v>16.482500000000002</v>
      </c>
      <c r="J96" s="67">
        <v>16.4375</v>
      </c>
      <c r="K96" s="66" t="s">
        <v>46</v>
      </c>
      <c r="L96" s="69"/>
      <c r="M96" s="69"/>
      <c r="N96" s="69"/>
      <c r="O96" s="30" t="str">
        <f t="shared" si="16"/>
        <v xml:space="preserve"> </v>
      </c>
      <c r="P96" s="30" t="str">
        <f t="shared" si="17"/>
        <v xml:space="preserve"> </v>
      </c>
      <c r="Q96" s="30" t="str">
        <f t="shared" si="18"/>
        <v xml:space="preserve"> </v>
      </c>
      <c r="R96" s="31" t="str">
        <f t="shared" si="19"/>
        <v xml:space="preserve"> </v>
      </c>
      <c r="S96" s="32" t="str">
        <f t="shared" si="20"/>
        <v xml:space="preserve"> </v>
      </c>
      <c r="T96" s="33" t="str">
        <f t="shared" si="21"/>
        <v xml:space="preserve"> </v>
      </c>
      <c r="U96" s="31" t="str">
        <f t="shared" si="22"/>
        <v/>
      </c>
      <c r="V96" s="31" t="str">
        <f t="shared" si="15"/>
        <v/>
      </c>
      <c r="W96" s="146" t="str" cm="1">
        <f t="array" ref="W96">IF(AND(L96:N96 &gt;= D96+F96, L96:N96 &lt;= D96+E96), "OK", "NG")</f>
        <v>NG</v>
      </c>
      <c r="X96" s="143"/>
    </row>
    <row r="97" spans="1:24" ht="18" customHeight="1">
      <c r="A97" s="29"/>
      <c r="B97" s="65" t="s">
        <v>320</v>
      </c>
      <c r="C97" s="66" t="s">
        <v>45</v>
      </c>
      <c r="D97" s="67">
        <v>16.46</v>
      </c>
      <c r="E97" s="67">
        <v>0.03</v>
      </c>
      <c r="F97" s="67">
        <v>-0.03</v>
      </c>
      <c r="G97" s="67">
        <v>16.485500000000002</v>
      </c>
      <c r="H97" s="67">
        <v>16.4345</v>
      </c>
      <c r="I97" s="67">
        <v>16.482500000000002</v>
      </c>
      <c r="J97" s="67">
        <v>16.4375</v>
      </c>
      <c r="K97" s="66" t="s">
        <v>46</v>
      </c>
      <c r="L97" s="69"/>
      <c r="M97" s="69"/>
      <c r="N97" s="69"/>
      <c r="O97" s="30" t="str">
        <f t="shared" si="16"/>
        <v xml:space="preserve"> </v>
      </c>
      <c r="P97" s="30" t="str">
        <f t="shared" si="17"/>
        <v xml:space="preserve"> </v>
      </c>
      <c r="Q97" s="30" t="str">
        <f t="shared" si="18"/>
        <v xml:space="preserve"> </v>
      </c>
      <c r="R97" s="31" t="str">
        <f t="shared" si="19"/>
        <v xml:space="preserve"> </v>
      </c>
      <c r="S97" s="32" t="str">
        <f t="shared" si="20"/>
        <v xml:space="preserve"> </v>
      </c>
      <c r="T97" s="33" t="str">
        <f t="shared" si="21"/>
        <v xml:space="preserve"> </v>
      </c>
      <c r="U97" s="31" t="str">
        <f t="shared" si="22"/>
        <v/>
      </c>
      <c r="V97" s="31" t="str">
        <f t="shared" si="15"/>
        <v/>
      </c>
      <c r="W97" s="146" t="str" cm="1">
        <f t="array" ref="W97">IF(AND(L97:N97 &gt;= D97+F97, L97:N97 &lt;= D97+E97), "OK", "NG")</f>
        <v>NG</v>
      </c>
      <c r="X97" s="143"/>
    </row>
    <row r="98" spans="1:24" ht="18" customHeight="1">
      <c r="A98" s="29"/>
      <c r="B98" s="65" t="s">
        <v>230</v>
      </c>
      <c r="C98" s="66" t="s">
        <v>45</v>
      </c>
      <c r="D98" s="67">
        <v>6.8239999999999998</v>
      </c>
      <c r="E98" s="67">
        <v>0.03</v>
      </c>
      <c r="F98" s="67">
        <v>-0.03</v>
      </c>
      <c r="G98" s="67">
        <v>6.8494999999999999</v>
      </c>
      <c r="H98" s="67">
        <v>6.7984999999999998</v>
      </c>
      <c r="I98" s="67"/>
      <c r="J98" s="67"/>
      <c r="K98" s="66" t="s">
        <v>46</v>
      </c>
      <c r="L98" s="69"/>
      <c r="M98" s="69"/>
      <c r="N98" s="69"/>
      <c r="O98" s="30" t="str">
        <f t="shared" si="16"/>
        <v xml:space="preserve"> </v>
      </c>
      <c r="P98" s="30" t="str">
        <f t="shared" si="17"/>
        <v xml:space="preserve"> </v>
      </c>
      <c r="Q98" s="30" t="str">
        <f t="shared" si="18"/>
        <v xml:space="preserve"> </v>
      </c>
      <c r="R98" s="31" t="str">
        <f t="shared" si="19"/>
        <v xml:space="preserve"> </v>
      </c>
      <c r="S98" s="32" t="str">
        <f t="shared" si="20"/>
        <v xml:space="preserve"> </v>
      </c>
      <c r="T98" s="33" t="str">
        <f t="shared" si="21"/>
        <v xml:space="preserve"> </v>
      </c>
      <c r="U98" s="31" t="str">
        <f t="shared" si="22"/>
        <v/>
      </c>
      <c r="V98" s="31" t="str">
        <f t="shared" si="15"/>
        <v/>
      </c>
      <c r="W98" s="146" t="str" cm="1">
        <f t="array" ref="W98">IF(AND(L98:N98 &gt;= D98+F98, L98:N98 &lt;= D98+E98), "OK", "NG")</f>
        <v>NG</v>
      </c>
      <c r="X98" s="143"/>
    </row>
    <row r="99" spans="1:24" ht="18" customHeight="1">
      <c r="A99" s="29"/>
      <c r="B99" s="65" t="s">
        <v>267</v>
      </c>
      <c r="C99" s="66" t="s">
        <v>45</v>
      </c>
      <c r="D99" s="67">
        <v>0.36199999999999999</v>
      </c>
      <c r="E99" s="67">
        <v>0.03</v>
      </c>
      <c r="F99" s="67">
        <v>-0.03</v>
      </c>
      <c r="G99" s="67">
        <v>0.38750000000000001</v>
      </c>
      <c r="H99" s="67">
        <v>0.33649999999999997</v>
      </c>
      <c r="I99" s="67">
        <v>0.38450000000000001</v>
      </c>
      <c r="J99" s="67">
        <v>0.33949999999999997</v>
      </c>
      <c r="K99" s="66" t="s">
        <v>46</v>
      </c>
      <c r="L99" s="69"/>
      <c r="M99" s="69"/>
      <c r="N99" s="69"/>
      <c r="O99" s="30" t="str">
        <f t="shared" si="16"/>
        <v xml:space="preserve"> </v>
      </c>
      <c r="P99" s="30" t="str">
        <f t="shared" si="17"/>
        <v xml:space="preserve"> </v>
      </c>
      <c r="Q99" s="30" t="str">
        <f t="shared" si="18"/>
        <v xml:space="preserve"> </v>
      </c>
      <c r="R99" s="31" t="str">
        <f t="shared" si="19"/>
        <v xml:space="preserve"> </v>
      </c>
      <c r="S99" s="32" t="str">
        <f t="shared" si="20"/>
        <v xml:space="preserve"> </v>
      </c>
      <c r="T99" s="33" t="str">
        <f t="shared" si="21"/>
        <v xml:space="preserve"> </v>
      </c>
      <c r="U99" s="31" t="str">
        <f t="shared" si="22"/>
        <v/>
      </c>
      <c r="V99" s="31" t="str">
        <f t="shared" ref="V99:V130" si="23">IF(L99="","",IF(ISERR(F99/F99)=TRUE,"",IF(ISERR(F99/D99)=TRUE,IF((F99-MIN(L99:N99))&gt;0.001,"Reject",""),IF(ISNUMBER($T99)=TRUE,IF($T99&gt;0.651,IF($T99&gt;1.001,"Reject","Alert"),""),""))))</f>
        <v/>
      </c>
      <c r="W99" s="146" t="str" cm="1">
        <f t="array" ref="W99">IF(AND(L99:N99 &gt;= D99+F99, L99:N99 &lt;= D99+E99), "OK", "NG")</f>
        <v>NG</v>
      </c>
      <c r="X99" s="143"/>
    </row>
    <row r="100" spans="1:24" ht="18" customHeight="1">
      <c r="A100" s="29"/>
      <c r="B100" s="65" t="s">
        <v>268</v>
      </c>
      <c r="C100" s="66" t="s">
        <v>45</v>
      </c>
      <c r="D100" s="67">
        <v>0.36199999999999999</v>
      </c>
      <c r="E100" s="67">
        <v>0.03</v>
      </c>
      <c r="F100" s="67">
        <v>-0.03</v>
      </c>
      <c r="G100" s="67">
        <v>0.38750000000000001</v>
      </c>
      <c r="H100" s="67">
        <v>0.33649999999999997</v>
      </c>
      <c r="I100" s="67">
        <v>0.38450000000000001</v>
      </c>
      <c r="J100" s="67">
        <v>0.33949999999999997</v>
      </c>
      <c r="K100" s="66" t="s">
        <v>46</v>
      </c>
      <c r="L100" s="69"/>
      <c r="M100" s="69"/>
      <c r="N100" s="69"/>
      <c r="O100" s="30" t="str">
        <f t="shared" si="16"/>
        <v xml:space="preserve"> </v>
      </c>
      <c r="P100" s="30" t="str">
        <f t="shared" si="17"/>
        <v xml:space="preserve"> </v>
      </c>
      <c r="Q100" s="30" t="str">
        <f t="shared" si="18"/>
        <v xml:space="preserve"> </v>
      </c>
      <c r="R100" s="31" t="str">
        <f t="shared" si="19"/>
        <v xml:space="preserve"> </v>
      </c>
      <c r="S100" s="32" t="str">
        <f t="shared" si="20"/>
        <v xml:space="preserve"> </v>
      </c>
      <c r="T100" s="33" t="str">
        <f t="shared" si="21"/>
        <v xml:space="preserve"> </v>
      </c>
      <c r="U100" s="31" t="str">
        <f t="shared" si="22"/>
        <v/>
      </c>
      <c r="V100" s="31" t="str">
        <f t="shared" si="23"/>
        <v/>
      </c>
      <c r="W100" s="146" t="str" cm="1">
        <f t="array" ref="W100">IF(AND(L100:N100 &gt;= D100+F100, L100:N100 &lt;= D100+E100), "OK", "NG")</f>
        <v>NG</v>
      </c>
      <c r="X100" s="143"/>
    </row>
    <row r="101" spans="1:24" ht="18" customHeight="1">
      <c r="A101" s="29"/>
      <c r="B101" s="65" t="s">
        <v>321</v>
      </c>
      <c r="C101" s="66" t="s">
        <v>45</v>
      </c>
      <c r="D101" s="67">
        <v>0.36199999999999999</v>
      </c>
      <c r="E101" s="67">
        <v>0.03</v>
      </c>
      <c r="F101" s="67">
        <v>-0.03</v>
      </c>
      <c r="G101" s="67">
        <v>0.38750000000000001</v>
      </c>
      <c r="H101" s="67">
        <v>0.33649999999999997</v>
      </c>
      <c r="I101" s="67">
        <v>0.38450000000000001</v>
      </c>
      <c r="J101" s="67">
        <v>0.33949999999999997</v>
      </c>
      <c r="K101" s="66" t="s">
        <v>46</v>
      </c>
      <c r="L101" s="69"/>
      <c r="M101" s="69"/>
      <c r="N101" s="69"/>
      <c r="O101" s="30" t="str">
        <f t="shared" si="16"/>
        <v xml:space="preserve"> </v>
      </c>
      <c r="P101" s="30" t="str">
        <f t="shared" si="17"/>
        <v xml:space="preserve"> </v>
      </c>
      <c r="Q101" s="30" t="str">
        <f t="shared" si="18"/>
        <v xml:space="preserve"> </v>
      </c>
      <c r="R101" s="31" t="str">
        <f t="shared" si="19"/>
        <v xml:space="preserve"> </v>
      </c>
      <c r="S101" s="32" t="str">
        <f t="shared" si="20"/>
        <v xml:space="preserve"> </v>
      </c>
      <c r="T101" s="33" t="str">
        <f t="shared" si="21"/>
        <v xml:space="preserve"> </v>
      </c>
      <c r="U101" s="31" t="str">
        <f t="shared" si="22"/>
        <v/>
      </c>
      <c r="V101" s="31" t="str">
        <f t="shared" si="23"/>
        <v/>
      </c>
      <c r="W101" s="146" t="str" cm="1">
        <f t="array" ref="W101">IF(AND(L101:N101 &gt;= D101+F101, L101:N101 &lt;= D101+E101), "OK", "NG")</f>
        <v>NG</v>
      </c>
      <c r="X101" s="143"/>
    </row>
    <row r="102" spans="1:24" ht="18" customHeight="1">
      <c r="A102" s="29"/>
      <c r="B102" s="65" t="s">
        <v>322</v>
      </c>
      <c r="C102" s="66" t="s">
        <v>45</v>
      </c>
      <c r="D102" s="67">
        <v>0.36199999999999999</v>
      </c>
      <c r="E102" s="67">
        <v>0.03</v>
      </c>
      <c r="F102" s="67">
        <v>-0.03</v>
      </c>
      <c r="G102" s="67">
        <v>0.38750000000000001</v>
      </c>
      <c r="H102" s="67">
        <v>0.33649999999999997</v>
      </c>
      <c r="I102" s="67">
        <v>0.38450000000000001</v>
      </c>
      <c r="J102" s="67">
        <v>0.33949999999999997</v>
      </c>
      <c r="K102" s="66" t="s">
        <v>46</v>
      </c>
      <c r="L102" s="69"/>
      <c r="M102" s="69"/>
      <c r="N102" s="69"/>
      <c r="O102" s="30" t="str">
        <f t="shared" ref="O102:O133" si="24">IF(ISERR(L102/L102)=TRUE," ",L102-$D102)</f>
        <v xml:space="preserve"> </v>
      </c>
      <c r="P102" s="30" t="str">
        <f t="shared" ref="P102:P133" si="25">IF(ISERR(M102/M102)=TRUE," ",M102-$D102)</f>
        <v xml:space="preserve"> </v>
      </c>
      <c r="Q102" s="30" t="str">
        <f t="shared" ref="Q102:Q133" si="26">IF(ISERR(N102/N102)=TRUE," ",N102-$D102)</f>
        <v xml:space="preserve"> </v>
      </c>
      <c r="R102" s="31" t="str">
        <f t="shared" ref="R102:R133" si="27">IF(ISERR(L102/L102)=TRUE," ",AVERAGE(L102:N102))</f>
        <v xml:space="preserve"> </v>
      </c>
      <c r="S102" s="32" t="str">
        <f t="shared" ref="S102:S133" si="28">IF(ISERR(E102/E102)=TRUE," ",IF(ISERR(L102/L102)=TRUE," ",IF(ISNUMBER($L102)=FALSE," ",IF(MAX($L102:$N102)&lt;$D102,0,(MAX($L102:$N102)-$D102)/$E102))))</f>
        <v xml:space="preserve"> </v>
      </c>
      <c r="T102" s="33" t="str">
        <f t="shared" ref="T102:T133" si="29">IF(ISERR(F102/D102)=TRUE," ",IF(ISERR(F102/F102)=TRUE," ",IF(ISERR(L102/L102)=TRUE," ",IF(ISNUMBER(L102)=FALSE," ",IF(MIN(L102:N102)&gt;$D102,0,($D102-MIN(L102:N102))/-F102)))))</f>
        <v xml:space="preserve"> </v>
      </c>
      <c r="U102" s="31" t="str">
        <f t="shared" si="22"/>
        <v/>
      </c>
      <c r="V102" s="31" t="str">
        <f t="shared" si="23"/>
        <v/>
      </c>
      <c r="W102" s="146" t="str" cm="1">
        <f t="array" ref="W102">IF(AND(L102:N102 &gt;= D102+F102, L102:N102 &lt;= D102+E102), "OK", "NG")</f>
        <v>NG</v>
      </c>
      <c r="X102" s="143"/>
    </row>
    <row r="103" spans="1:24" ht="18" customHeight="1">
      <c r="A103" s="29"/>
      <c r="B103" s="65" t="s">
        <v>323</v>
      </c>
      <c r="C103" s="66" t="s">
        <v>45</v>
      </c>
      <c r="D103" s="67">
        <v>0.36199999999999999</v>
      </c>
      <c r="E103" s="67">
        <v>0.03</v>
      </c>
      <c r="F103" s="67">
        <v>-0.03</v>
      </c>
      <c r="G103" s="67">
        <v>0.38750000000000001</v>
      </c>
      <c r="H103" s="67">
        <v>0.33649999999999997</v>
      </c>
      <c r="I103" s="67">
        <v>0.38450000000000001</v>
      </c>
      <c r="J103" s="67">
        <v>0.33949999999999997</v>
      </c>
      <c r="K103" s="66" t="s">
        <v>46</v>
      </c>
      <c r="L103" s="69"/>
      <c r="M103" s="69"/>
      <c r="N103" s="69"/>
      <c r="O103" s="30" t="str">
        <f t="shared" si="24"/>
        <v xml:space="preserve"> </v>
      </c>
      <c r="P103" s="30" t="str">
        <f t="shared" si="25"/>
        <v xml:space="preserve"> </v>
      </c>
      <c r="Q103" s="30" t="str">
        <f t="shared" si="26"/>
        <v xml:space="preserve"> </v>
      </c>
      <c r="R103" s="31" t="str">
        <f t="shared" si="27"/>
        <v xml:space="preserve"> </v>
      </c>
      <c r="S103" s="32" t="str">
        <f t="shared" si="28"/>
        <v xml:space="preserve"> </v>
      </c>
      <c r="T103" s="33" t="str">
        <f t="shared" si="29"/>
        <v xml:space="preserve"> </v>
      </c>
      <c r="U103" s="31" t="str">
        <f t="shared" si="22"/>
        <v/>
      </c>
      <c r="V103" s="31" t="str">
        <f t="shared" si="23"/>
        <v/>
      </c>
      <c r="W103" s="146" t="str" cm="1">
        <f t="array" ref="W103">IF(AND(L103:N103 &gt;= D103+F103, L103:N103 &lt;= D103+E103), "OK", "NG")</f>
        <v>NG</v>
      </c>
      <c r="X103" s="143"/>
    </row>
    <row r="104" spans="1:24" ht="18" customHeight="1">
      <c r="A104" s="29"/>
      <c r="B104" s="65" t="s">
        <v>324</v>
      </c>
      <c r="C104" s="66" t="s">
        <v>45</v>
      </c>
      <c r="D104" s="67">
        <v>0.36199999999999999</v>
      </c>
      <c r="E104" s="67">
        <v>0.03</v>
      </c>
      <c r="F104" s="67">
        <v>-0.03</v>
      </c>
      <c r="G104" s="67">
        <v>0.38750000000000001</v>
      </c>
      <c r="H104" s="67">
        <v>0.33649999999999997</v>
      </c>
      <c r="I104" s="67">
        <v>0.38450000000000001</v>
      </c>
      <c r="J104" s="67">
        <v>0.33949999999999997</v>
      </c>
      <c r="K104" s="66" t="s">
        <v>46</v>
      </c>
      <c r="L104" s="69"/>
      <c r="M104" s="69"/>
      <c r="N104" s="69"/>
      <c r="O104" s="30" t="str">
        <f t="shared" si="24"/>
        <v xml:space="preserve"> </v>
      </c>
      <c r="P104" s="30" t="str">
        <f t="shared" si="25"/>
        <v xml:space="preserve"> </v>
      </c>
      <c r="Q104" s="30" t="str">
        <f t="shared" si="26"/>
        <v xml:space="preserve"> </v>
      </c>
      <c r="R104" s="31" t="str">
        <f t="shared" si="27"/>
        <v xml:space="preserve"> </v>
      </c>
      <c r="S104" s="32" t="str">
        <f t="shared" si="28"/>
        <v xml:space="preserve"> </v>
      </c>
      <c r="T104" s="33" t="str">
        <f t="shared" si="29"/>
        <v xml:space="preserve"> </v>
      </c>
      <c r="U104" s="31" t="str">
        <f t="shared" si="22"/>
        <v/>
      </c>
      <c r="V104" s="31" t="str">
        <f t="shared" si="23"/>
        <v/>
      </c>
      <c r="W104" s="146" t="str" cm="1">
        <f t="array" ref="W104">IF(AND(L104:N104 &gt;= D104+F104, L104:N104 &lt;= D104+E104), "OK", "NG")</f>
        <v>NG</v>
      </c>
      <c r="X104" s="143"/>
    </row>
    <row r="105" spans="1:24" ht="18" customHeight="1">
      <c r="A105" s="29"/>
      <c r="B105" s="65" t="s">
        <v>151</v>
      </c>
      <c r="C105" s="66" t="s">
        <v>45</v>
      </c>
      <c r="D105" s="67">
        <v>5.7039999999999997</v>
      </c>
      <c r="E105" s="67">
        <v>0.03</v>
      </c>
      <c r="F105" s="67">
        <v>-0.03</v>
      </c>
      <c r="G105" s="67">
        <v>5.7294999999999998</v>
      </c>
      <c r="H105" s="67">
        <v>5.6784999999999997</v>
      </c>
      <c r="I105" s="67"/>
      <c r="J105" s="67"/>
      <c r="K105" s="66" t="s">
        <v>46</v>
      </c>
      <c r="L105" s="69"/>
      <c r="M105" s="69"/>
      <c r="N105" s="69"/>
      <c r="O105" s="30" t="str">
        <f t="shared" si="24"/>
        <v xml:space="preserve"> </v>
      </c>
      <c r="P105" s="30" t="str">
        <f t="shared" si="25"/>
        <v xml:space="preserve"> </v>
      </c>
      <c r="Q105" s="30" t="str">
        <f t="shared" si="26"/>
        <v xml:space="preserve"> </v>
      </c>
      <c r="R105" s="31" t="str">
        <f t="shared" si="27"/>
        <v xml:space="preserve"> </v>
      </c>
      <c r="S105" s="32" t="str">
        <f t="shared" si="28"/>
        <v xml:space="preserve"> </v>
      </c>
      <c r="T105" s="33" t="str">
        <f t="shared" si="29"/>
        <v xml:space="preserve"> </v>
      </c>
      <c r="U105" s="31" t="str">
        <f t="shared" si="22"/>
        <v/>
      </c>
      <c r="V105" s="31" t="str">
        <f t="shared" si="23"/>
        <v/>
      </c>
      <c r="W105" s="146" t="str" cm="1">
        <f t="array" ref="W105">IF(AND(L105:N105 &gt;= D105+F105, L105:N105 &lt;= D105+E105), "OK", "NG")</f>
        <v>NG</v>
      </c>
      <c r="X105" s="143"/>
    </row>
    <row r="106" spans="1:24" ht="18" customHeight="1">
      <c r="A106" s="29"/>
      <c r="B106" s="65" t="s">
        <v>231</v>
      </c>
      <c r="C106" s="66" t="s">
        <v>45</v>
      </c>
      <c r="D106" s="67">
        <v>1.7729999999999999</v>
      </c>
      <c r="E106" s="67">
        <v>0.03</v>
      </c>
      <c r="F106" s="67">
        <v>-0.03</v>
      </c>
      <c r="G106" s="67">
        <v>1.7985</v>
      </c>
      <c r="H106" s="67">
        <v>1.7474999999999998</v>
      </c>
      <c r="I106" s="67">
        <v>1.7954999999999999</v>
      </c>
      <c r="J106" s="67">
        <v>1.7504999999999999</v>
      </c>
      <c r="K106" s="66" t="s">
        <v>46</v>
      </c>
      <c r="L106" s="69"/>
      <c r="M106" s="69"/>
      <c r="N106" s="69"/>
      <c r="O106" s="30" t="str">
        <f t="shared" si="24"/>
        <v xml:space="preserve"> </v>
      </c>
      <c r="P106" s="30" t="str">
        <f t="shared" si="25"/>
        <v xml:space="preserve"> </v>
      </c>
      <c r="Q106" s="30" t="str">
        <f t="shared" si="26"/>
        <v xml:space="preserve"> </v>
      </c>
      <c r="R106" s="31" t="str">
        <f t="shared" si="27"/>
        <v xml:space="preserve"> </v>
      </c>
      <c r="S106" s="32" t="str">
        <f t="shared" si="28"/>
        <v xml:space="preserve"> </v>
      </c>
      <c r="T106" s="33" t="str">
        <f t="shared" si="29"/>
        <v xml:space="preserve"> </v>
      </c>
      <c r="U106" s="31" t="str">
        <f t="shared" si="22"/>
        <v/>
      </c>
      <c r="V106" s="31" t="str">
        <f t="shared" si="23"/>
        <v/>
      </c>
      <c r="W106" s="146" t="str" cm="1">
        <f t="array" ref="W106">IF(AND(L106:N106 &gt;= D106+F106, L106:N106 &lt;= D106+E106), "OK", "NG")</f>
        <v>NG</v>
      </c>
      <c r="X106" s="143"/>
    </row>
    <row r="107" spans="1:24" ht="18" customHeight="1">
      <c r="A107" s="29"/>
      <c r="B107" s="65" t="s">
        <v>232</v>
      </c>
      <c r="C107" s="66" t="s">
        <v>45</v>
      </c>
      <c r="D107" s="67">
        <v>1.7729999999999999</v>
      </c>
      <c r="E107" s="67">
        <v>0.03</v>
      </c>
      <c r="F107" s="67">
        <v>-0.03</v>
      </c>
      <c r="G107" s="67">
        <v>1.7985</v>
      </c>
      <c r="H107" s="67">
        <v>1.7474999999999998</v>
      </c>
      <c r="I107" s="67">
        <v>1.7954999999999999</v>
      </c>
      <c r="J107" s="67">
        <v>1.7504999999999999</v>
      </c>
      <c r="K107" s="66" t="s">
        <v>46</v>
      </c>
      <c r="L107" s="69"/>
      <c r="M107" s="69"/>
      <c r="N107" s="69"/>
      <c r="O107" s="30" t="str">
        <f t="shared" si="24"/>
        <v xml:space="preserve"> </v>
      </c>
      <c r="P107" s="30" t="str">
        <f t="shared" si="25"/>
        <v xml:space="preserve"> </v>
      </c>
      <c r="Q107" s="30" t="str">
        <f t="shared" si="26"/>
        <v xml:space="preserve"> </v>
      </c>
      <c r="R107" s="31" t="str">
        <f t="shared" si="27"/>
        <v xml:space="preserve"> </v>
      </c>
      <c r="S107" s="32" t="str">
        <f t="shared" si="28"/>
        <v xml:space="preserve"> </v>
      </c>
      <c r="T107" s="33" t="str">
        <f t="shared" si="29"/>
        <v xml:space="preserve"> </v>
      </c>
      <c r="U107" s="31" t="str">
        <f t="shared" si="22"/>
        <v/>
      </c>
      <c r="V107" s="31" t="str">
        <f t="shared" si="23"/>
        <v/>
      </c>
      <c r="W107" s="146" t="str" cm="1">
        <f t="array" ref="W107">IF(AND(L107:N107 &gt;= D107+F107, L107:N107 &lt;= D107+E107), "OK", "NG")</f>
        <v>NG</v>
      </c>
      <c r="X107" s="143"/>
    </row>
    <row r="108" spans="1:24" ht="18" customHeight="1">
      <c r="A108" s="29"/>
      <c r="B108" s="65" t="s">
        <v>233</v>
      </c>
      <c r="C108" s="66" t="s">
        <v>45</v>
      </c>
      <c r="D108" s="67">
        <v>15.199</v>
      </c>
      <c r="E108" s="67">
        <v>0.03</v>
      </c>
      <c r="F108" s="67">
        <v>-0.03</v>
      </c>
      <c r="G108" s="67">
        <v>15.224499999999999</v>
      </c>
      <c r="H108" s="67">
        <v>15.173500000000001</v>
      </c>
      <c r="I108" s="67">
        <v>15.221500000000001</v>
      </c>
      <c r="J108" s="67">
        <v>15.176499999999999</v>
      </c>
      <c r="K108" s="66" t="s">
        <v>46</v>
      </c>
      <c r="L108" s="69"/>
      <c r="M108" s="69"/>
      <c r="N108" s="69"/>
      <c r="O108" s="30" t="str">
        <f t="shared" si="24"/>
        <v xml:space="preserve"> </v>
      </c>
      <c r="P108" s="30" t="str">
        <f t="shared" si="25"/>
        <v xml:space="preserve"> </v>
      </c>
      <c r="Q108" s="30" t="str">
        <f t="shared" si="26"/>
        <v xml:space="preserve"> </v>
      </c>
      <c r="R108" s="31" t="str">
        <f t="shared" si="27"/>
        <v xml:space="preserve"> </v>
      </c>
      <c r="S108" s="32" t="str">
        <f t="shared" si="28"/>
        <v xml:space="preserve"> </v>
      </c>
      <c r="T108" s="33" t="str">
        <f t="shared" si="29"/>
        <v xml:space="preserve"> </v>
      </c>
      <c r="U108" s="31" t="str">
        <f t="shared" si="22"/>
        <v/>
      </c>
      <c r="V108" s="31" t="str">
        <f t="shared" si="23"/>
        <v/>
      </c>
      <c r="W108" s="146" t="str" cm="1">
        <f t="array" ref="W108">IF(AND(L108:N108 &gt;= D108+F108, L108:N108 &lt;= D108+E108), "OK", "NG")</f>
        <v>NG</v>
      </c>
      <c r="X108" s="143"/>
    </row>
    <row r="109" spans="1:24" ht="18" customHeight="1">
      <c r="A109" s="29"/>
      <c r="B109" s="65" t="s">
        <v>234</v>
      </c>
      <c r="C109" s="66" t="s">
        <v>45</v>
      </c>
      <c r="D109" s="67">
        <v>15.199</v>
      </c>
      <c r="E109" s="67">
        <v>0.03</v>
      </c>
      <c r="F109" s="67">
        <v>-0.03</v>
      </c>
      <c r="G109" s="67">
        <v>15.224499999999999</v>
      </c>
      <c r="H109" s="67">
        <v>15.173500000000001</v>
      </c>
      <c r="I109" s="67">
        <v>15.221500000000001</v>
      </c>
      <c r="J109" s="67">
        <v>15.176499999999999</v>
      </c>
      <c r="K109" s="66" t="s">
        <v>46</v>
      </c>
      <c r="L109" s="69"/>
      <c r="M109" s="69"/>
      <c r="N109" s="69"/>
      <c r="O109" s="30" t="str">
        <f t="shared" si="24"/>
        <v xml:space="preserve"> </v>
      </c>
      <c r="P109" s="30" t="str">
        <f t="shared" si="25"/>
        <v xml:space="preserve"> </v>
      </c>
      <c r="Q109" s="30" t="str">
        <f t="shared" si="26"/>
        <v xml:space="preserve"> </v>
      </c>
      <c r="R109" s="31" t="str">
        <f t="shared" si="27"/>
        <v xml:space="preserve"> </v>
      </c>
      <c r="S109" s="32" t="str">
        <f t="shared" si="28"/>
        <v xml:space="preserve"> </v>
      </c>
      <c r="T109" s="33" t="str">
        <f t="shared" si="29"/>
        <v xml:space="preserve"> </v>
      </c>
      <c r="U109" s="31" t="str">
        <f t="shared" si="22"/>
        <v/>
      </c>
      <c r="V109" s="31" t="str">
        <f t="shared" si="23"/>
        <v/>
      </c>
      <c r="W109" s="146" t="str" cm="1">
        <f t="array" ref="W109">IF(AND(L109:N109 &gt;= D109+F109, L109:N109 &lt;= D109+E109), "OK", "NG")</f>
        <v>NG</v>
      </c>
      <c r="X109" s="143"/>
    </row>
    <row r="110" spans="1:24" ht="18" customHeight="1">
      <c r="A110" s="29"/>
      <c r="B110" s="65" t="s">
        <v>271</v>
      </c>
      <c r="C110" s="66" t="s">
        <v>152</v>
      </c>
      <c r="D110" s="67">
        <v>-0.45</v>
      </c>
      <c r="E110" s="67">
        <v>0.01</v>
      </c>
      <c r="F110" s="67">
        <v>-0.01</v>
      </c>
      <c r="G110" s="67">
        <v>-0.4415</v>
      </c>
      <c r="H110" s="67">
        <v>-0.45850000000000002</v>
      </c>
      <c r="I110" s="67"/>
      <c r="J110" s="67"/>
      <c r="K110" s="66" t="s">
        <v>154</v>
      </c>
      <c r="L110" s="69"/>
      <c r="M110" s="69"/>
      <c r="N110" s="69"/>
      <c r="O110" s="30" t="str">
        <f t="shared" si="24"/>
        <v xml:space="preserve"> </v>
      </c>
      <c r="P110" s="30" t="str">
        <f t="shared" si="25"/>
        <v xml:space="preserve"> </v>
      </c>
      <c r="Q110" s="30" t="str">
        <f t="shared" si="26"/>
        <v xml:space="preserve"> </v>
      </c>
      <c r="R110" s="31" t="str">
        <f t="shared" si="27"/>
        <v xml:space="preserve"> </v>
      </c>
      <c r="S110" s="32" t="str">
        <f t="shared" si="28"/>
        <v xml:space="preserve"> </v>
      </c>
      <c r="T110" s="33" t="str">
        <f t="shared" si="29"/>
        <v xml:space="preserve"> </v>
      </c>
      <c r="U110" s="31" t="str">
        <f t="shared" si="22"/>
        <v/>
      </c>
      <c r="V110" s="31" t="str">
        <f t="shared" si="23"/>
        <v/>
      </c>
      <c r="W110" s="146" t="str" cm="1">
        <f t="array" ref="W110">IF(AND(L110:N110 &gt;= D110+F110, L110:N110 &lt;= D110+E110), "OK", "NG")</f>
        <v>NG</v>
      </c>
      <c r="X110" s="143"/>
    </row>
    <row r="111" spans="1:24" ht="18" customHeight="1">
      <c r="A111" s="29"/>
      <c r="B111" s="65" t="s">
        <v>272</v>
      </c>
      <c r="C111" s="66" t="s">
        <v>152</v>
      </c>
      <c r="D111" s="67">
        <v>0</v>
      </c>
      <c r="E111" s="67">
        <v>3.0000000000000001E-3</v>
      </c>
      <c r="F111" s="67">
        <v>-2E-3</v>
      </c>
      <c r="G111" s="67">
        <v>3.0000000000000001E-3</v>
      </c>
      <c r="H111" s="67">
        <v>-2E-3</v>
      </c>
      <c r="I111" s="67"/>
      <c r="J111" s="67"/>
      <c r="K111" s="66" t="s">
        <v>154</v>
      </c>
      <c r="L111" s="69"/>
      <c r="M111" s="69"/>
      <c r="N111" s="69"/>
      <c r="O111" s="30" t="str">
        <f t="shared" si="24"/>
        <v xml:space="preserve"> </v>
      </c>
      <c r="P111" s="30" t="str">
        <f t="shared" si="25"/>
        <v xml:space="preserve"> </v>
      </c>
      <c r="Q111" s="30" t="str">
        <f t="shared" si="26"/>
        <v xml:space="preserve"> </v>
      </c>
      <c r="R111" s="31" t="str">
        <f t="shared" si="27"/>
        <v xml:space="preserve"> </v>
      </c>
      <c r="S111" s="32" t="str">
        <f t="shared" si="28"/>
        <v xml:space="preserve"> </v>
      </c>
      <c r="T111" s="33" t="str">
        <f t="shared" si="29"/>
        <v xml:space="preserve"> </v>
      </c>
      <c r="U111" s="31" t="str">
        <f t="shared" si="22"/>
        <v/>
      </c>
      <c r="V111" s="31" t="str">
        <f t="shared" si="23"/>
        <v/>
      </c>
      <c r="W111" s="146" t="str" cm="1">
        <f t="array" ref="W111">IF(AND(L111:N111 &gt;= D111+F111, L111:N111 &lt;= D111+E111), "OK", "NG")</f>
        <v>OK</v>
      </c>
      <c r="X111" s="143"/>
    </row>
    <row r="112" spans="1:24" ht="18" customHeight="1">
      <c r="A112" s="29"/>
      <c r="B112" s="65" t="s">
        <v>273</v>
      </c>
      <c r="C112" s="66" t="s">
        <v>152</v>
      </c>
      <c r="D112" s="67">
        <v>0</v>
      </c>
      <c r="E112" s="67">
        <v>5.0000000000000001E-3</v>
      </c>
      <c r="F112" s="67">
        <v>-2E-3</v>
      </c>
      <c r="G112" s="67">
        <v>5.0000000000000001E-3</v>
      </c>
      <c r="H112" s="67">
        <v>-2E-3</v>
      </c>
      <c r="I112" s="67"/>
      <c r="J112" s="67"/>
      <c r="K112" s="66" t="s">
        <v>154</v>
      </c>
      <c r="L112" s="69"/>
      <c r="M112" s="69"/>
      <c r="N112" s="69"/>
      <c r="O112" s="30" t="str">
        <f t="shared" si="24"/>
        <v xml:space="preserve"> </v>
      </c>
      <c r="P112" s="30" t="str">
        <f t="shared" si="25"/>
        <v xml:space="preserve"> </v>
      </c>
      <c r="Q112" s="30" t="str">
        <f t="shared" si="26"/>
        <v xml:space="preserve"> </v>
      </c>
      <c r="R112" s="31" t="str">
        <f t="shared" si="27"/>
        <v xml:space="preserve"> </v>
      </c>
      <c r="S112" s="32" t="str">
        <f t="shared" si="28"/>
        <v xml:space="preserve"> </v>
      </c>
      <c r="T112" s="33" t="str">
        <f t="shared" si="29"/>
        <v xml:space="preserve"> </v>
      </c>
      <c r="U112" s="31" t="str">
        <f t="shared" si="22"/>
        <v/>
      </c>
      <c r="V112" s="31" t="str">
        <f t="shared" si="23"/>
        <v/>
      </c>
      <c r="W112" s="146" t="str" cm="1">
        <f t="array" ref="W112">IF(AND(L112:N112 &gt;= D112+F112, L112:N112 &lt;= D112+E112), "OK", "NG")</f>
        <v>OK</v>
      </c>
      <c r="X112" s="143"/>
    </row>
    <row r="113" spans="1:24" ht="18" customHeight="1">
      <c r="A113" s="29"/>
      <c r="B113" s="65" t="s">
        <v>274</v>
      </c>
      <c r="C113" s="66" t="s">
        <v>152</v>
      </c>
      <c r="D113" s="67">
        <v>0</v>
      </c>
      <c r="E113" s="67">
        <v>8.0000000000000002E-3</v>
      </c>
      <c r="F113" s="67">
        <v>-2E-3</v>
      </c>
      <c r="G113" s="67">
        <v>8.0000000000000002E-3</v>
      </c>
      <c r="H113" s="67">
        <v>-2E-3</v>
      </c>
      <c r="I113" s="67"/>
      <c r="J113" s="67"/>
      <c r="K113" s="66" t="s">
        <v>154</v>
      </c>
      <c r="L113" s="69"/>
      <c r="M113" s="69"/>
      <c r="N113" s="69"/>
      <c r="O113" s="30" t="str">
        <f t="shared" si="24"/>
        <v xml:space="preserve"> </v>
      </c>
      <c r="P113" s="30" t="str">
        <f t="shared" si="25"/>
        <v xml:space="preserve"> </v>
      </c>
      <c r="Q113" s="30" t="str">
        <f t="shared" si="26"/>
        <v xml:space="preserve"> </v>
      </c>
      <c r="R113" s="31" t="str">
        <f t="shared" si="27"/>
        <v xml:space="preserve"> </v>
      </c>
      <c r="S113" s="32" t="str">
        <f t="shared" si="28"/>
        <v xml:space="preserve"> </v>
      </c>
      <c r="T113" s="33" t="str">
        <f t="shared" si="29"/>
        <v xml:space="preserve"> </v>
      </c>
      <c r="U113" s="31" t="str">
        <f t="shared" si="22"/>
        <v/>
      </c>
      <c r="V113" s="31" t="str">
        <f t="shared" si="23"/>
        <v/>
      </c>
      <c r="W113" s="146" t="str" cm="1">
        <f t="array" ref="W113">IF(AND(L113:N113 &gt;= D113+F113, L113:N113 &lt;= D113+E113), "OK", "NG")</f>
        <v>OK</v>
      </c>
      <c r="X113" s="143"/>
    </row>
    <row r="114" spans="1:24" ht="18" customHeight="1">
      <c r="A114" s="29"/>
      <c r="B114" s="65" t="s">
        <v>275</v>
      </c>
      <c r="C114" s="66" t="s">
        <v>152</v>
      </c>
      <c r="D114" s="67">
        <v>0</v>
      </c>
      <c r="E114" s="67">
        <v>0.01</v>
      </c>
      <c r="F114" s="67">
        <v>-4.0000000000000001E-3</v>
      </c>
      <c r="G114" s="67">
        <v>0.01</v>
      </c>
      <c r="H114" s="67">
        <v>-4.0000000000000001E-3</v>
      </c>
      <c r="I114" s="67"/>
      <c r="J114" s="67"/>
      <c r="K114" s="66" t="s">
        <v>154</v>
      </c>
      <c r="L114" s="69"/>
      <c r="M114" s="69"/>
      <c r="N114" s="69"/>
      <c r="O114" s="30" t="str">
        <f t="shared" si="24"/>
        <v xml:space="preserve"> </v>
      </c>
      <c r="P114" s="30" t="str">
        <f t="shared" si="25"/>
        <v xml:space="preserve"> </v>
      </c>
      <c r="Q114" s="30" t="str">
        <f t="shared" si="26"/>
        <v xml:space="preserve"> </v>
      </c>
      <c r="R114" s="31" t="str">
        <f t="shared" si="27"/>
        <v xml:space="preserve"> </v>
      </c>
      <c r="S114" s="32" t="str">
        <f t="shared" si="28"/>
        <v xml:space="preserve"> </v>
      </c>
      <c r="T114" s="33" t="str">
        <f t="shared" si="29"/>
        <v xml:space="preserve"> </v>
      </c>
      <c r="U114" s="31" t="str">
        <f t="shared" si="22"/>
        <v/>
      </c>
      <c r="V114" s="31" t="str">
        <f t="shared" si="23"/>
        <v/>
      </c>
      <c r="W114" s="146" t="str" cm="1">
        <f t="array" ref="W114">IF(AND(L114:N114 &gt;= D114+F114, L114:N114 &lt;= D114+E114), "OK", "NG")</f>
        <v>OK</v>
      </c>
      <c r="X114" s="143"/>
    </row>
    <row r="115" spans="1:24" ht="18" customHeight="1">
      <c r="A115" s="29"/>
      <c r="B115" s="65" t="s">
        <v>276</v>
      </c>
      <c r="C115" s="66" t="s">
        <v>152</v>
      </c>
      <c r="D115" s="67">
        <v>0</v>
      </c>
      <c r="E115" s="67">
        <v>1.4999999999999999E-2</v>
      </c>
      <c r="F115" s="67">
        <v>-5.0000000000000001E-3</v>
      </c>
      <c r="G115" s="67">
        <v>1.2999999999999999E-2</v>
      </c>
      <c r="H115" s="67">
        <v>-3.0000000000000001E-3</v>
      </c>
      <c r="I115" s="67">
        <v>1.2E-2</v>
      </c>
      <c r="J115" s="67">
        <v>-4.0000000000000001E-3</v>
      </c>
      <c r="K115" s="66" t="s">
        <v>154</v>
      </c>
      <c r="L115" s="69"/>
      <c r="M115" s="69"/>
      <c r="N115" s="69"/>
      <c r="O115" s="30" t="str">
        <f t="shared" si="24"/>
        <v xml:space="preserve"> </v>
      </c>
      <c r="P115" s="30" t="str">
        <f t="shared" si="25"/>
        <v xml:space="preserve"> </v>
      </c>
      <c r="Q115" s="30" t="str">
        <f t="shared" si="26"/>
        <v xml:space="preserve"> </v>
      </c>
      <c r="R115" s="31" t="str">
        <f t="shared" si="27"/>
        <v xml:space="preserve"> </v>
      </c>
      <c r="S115" s="32" t="str">
        <f t="shared" si="28"/>
        <v xml:space="preserve"> </v>
      </c>
      <c r="T115" s="33" t="str">
        <f t="shared" si="29"/>
        <v xml:space="preserve"> </v>
      </c>
      <c r="U115" s="31" t="str">
        <f t="shared" si="22"/>
        <v/>
      </c>
      <c r="V115" s="31" t="str">
        <f t="shared" si="23"/>
        <v/>
      </c>
      <c r="W115" s="146" t="str" cm="1">
        <f t="array" ref="W115">IF(AND(L115:N115 &gt;= D115+F115, L115:N115 &lt;= D115+E115), "OK", "NG")</f>
        <v>OK</v>
      </c>
      <c r="X115" s="143"/>
    </row>
    <row r="116" spans="1:24" ht="18" customHeight="1">
      <c r="A116" s="29"/>
      <c r="B116" s="65" t="s">
        <v>277</v>
      </c>
      <c r="C116" s="66" t="s">
        <v>152</v>
      </c>
      <c r="D116" s="67">
        <v>-0.45</v>
      </c>
      <c r="E116" s="67">
        <v>0.01</v>
      </c>
      <c r="F116" s="67">
        <v>-0.01</v>
      </c>
      <c r="G116" s="67">
        <v>-0.4415</v>
      </c>
      <c r="H116" s="67">
        <v>-0.45850000000000002</v>
      </c>
      <c r="I116" s="67"/>
      <c r="J116" s="67"/>
      <c r="K116" s="66" t="s">
        <v>154</v>
      </c>
      <c r="L116" s="69"/>
      <c r="M116" s="69"/>
      <c r="N116" s="69"/>
      <c r="O116" s="30" t="str">
        <f t="shared" si="24"/>
        <v xml:space="preserve"> </v>
      </c>
      <c r="P116" s="30" t="str">
        <f t="shared" si="25"/>
        <v xml:space="preserve"> </v>
      </c>
      <c r="Q116" s="30" t="str">
        <f t="shared" si="26"/>
        <v xml:space="preserve"> </v>
      </c>
      <c r="R116" s="31" t="str">
        <f t="shared" si="27"/>
        <v xml:space="preserve"> </v>
      </c>
      <c r="S116" s="32" t="str">
        <f t="shared" si="28"/>
        <v xml:space="preserve"> </v>
      </c>
      <c r="T116" s="33" t="str">
        <f t="shared" si="29"/>
        <v xml:space="preserve"> </v>
      </c>
      <c r="U116" s="31" t="str">
        <f t="shared" si="22"/>
        <v/>
      </c>
      <c r="V116" s="31" t="str">
        <f t="shared" si="23"/>
        <v/>
      </c>
      <c r="W116" s="146" t="str" cm="1">
        <f t="array" ref="W116">IF(AND(L116:N116 &gt;= D116+F116, L116:N116 &lt;= D116+E116), "OK", "NG")</f>
        <v>NG</v>
      </c>
      <c r="X116" s="143"/>
    </row>
    <row r="117" spans="1:24" ht="18" customHeight="1">
      <c r="A117" s="29"/>
      <c r="B117" s="65" t="s">
        <v>278</v>
      </c>
      <c r="C117" s="66" t="s">
        <v>152</v>
      </c>
      <c r="D117" s="67">
        <v>0</v>
      </c>
      <c r="E117" s="67">
        <v>3.0000000000000001E-3</v>
      </c>
      <c r="F117" s="67">
        <v>-2E-3</v>
      </c>
      <c r="G117" s="67">
        <v>3.0000000000000001E-3</v>
      </c>
      <c r="H117" s="67">
        <v>-2E-3</v>
      </c>
      <c r="I117" s="67"/>
      <c r="J117" s="67"/>
      <c r="K117" s="66" t="s">
        <v>154</v>
      </c>
      <c r="L117" s="69"/>
      <c r="M117" s="69"/>
      <c r="N117" s="69"/>
      <c r="O117" s="30" t="str">
        <f t="shared" si="24"/>
        <v xml:space="preserve"> </v>
      </c>
      <c r="P117" s="30" t="str">
        <f t="shared" si="25"/>
        <v xml:space="preserve"> </v>
      </c>
      <c r="Q117" s="30" t="str">
        <f t="shared" si="26"/>
        <v xml:space="preserve"> </v>
      </c>
      <c r="R117" s="31" t="str">
        <f t="shared" si="27"/>
        <v xml:space="preserve"> </v>
      </c>
      <c r="S117" s="32" t="str">
        <f t="shared" si="28"/>
        <v xml:space="preserve"> </v>
      </c>
      <c r="T117" s="33" t="str">
        <f t="shared" si="29"/>
        <v xml:space="preserve"> </v>
      </c>
      <c r="U117" s="31" t="str">
        <f t="shared" si="22"/>
        <v/>
      </c>
      <c r="V117" s="31" t="str">
        <f t="shared" si="23"/>
        <v/>
      </c>
      <c r="W117" s="146" t="str" cm="1">
        <f t="array" ref="W117">IF(AND(L117:N117 &gt;= D117+F117, L117:N117 &lt;= D117+E117), "OK", "NG")</f>
        <v>OK</v>
      </c>
      <c r="X117" s="143"/>
    </row>
    <row r="118" spans="1:24" ht="18" customHeight="1">
      <c r="A118" s="29"/>
      <c r="B118" s="65" t="s">
        <v>279</v>
      </c>
      <c r="C118" s="66" t="s">
        <v>152</v>
      </c>
      <c r="D118" s="67">
        <v>0</v>
      </c>
      <c r="E118" s="67">
        <v>5.0000000000000001E-3</v>
      </c>
      <c r="F118" s="67">
        <v>-2E-3</v>
      </c>
      <c r="G118" s="67">
        <v>5.0000000000000001E-3</v>
      </c>
      <c r="H118" s="67">
        <v>-2E-3</v>
      </c>
      <c r="I118" s="67"/>
      <c r="J118" s="67"/>
      <c r="K118" s="66" t="s">
        <v>154</v>
      </c>
      <c r="L118" s="69"/>
      <c r="M118" s="69"/>
      <c r="N118" s="69"/>
      <c r="O118" s="30" t="str">
        <f t="shared" si="24"/>
        <v xml:space="preserve"> </v>
      </c>
      <c r="P118" s="30" t="str">
        <f t="shared" si="25"/>
        <v xml:space="preserve"> </v>
      </c>
      <c r="Q118" s="30" t="str">
        <f t="shared" si="26"/>
        <v xml:space="preserve"> </v>
      </c>
      <c r="R118" s="31" t="str">
        <f t="shared" si="27"/>
        <v xml:space="preserve"> </v>
      </c>
      <c r="S118" s="32" t="str">
        <f t="shared" si="28"/>
        <v xml:space="preserve"> </v>
      </c>
      <c r="T118" s="33" t="str">
        <f t="shared" si="29"/>
        <v xml:space="preserve"> </v>
      </c>
      <c r="U118" s="31" t="str">
        <f t="shared" si="22"/>
        <v/>
      </c>
      <c r="V118" s="31" t="str">
        <f t="shared" si="23"/>
        <v/>
      </c>
      <c r="W118" s="146" t="str" cm="1">
        <f t="array" ref="W118">IF(AND(L118:N118 &gt;= D118+F118, L118:N118 &lt;= D118+E118), "OK", "NG")</f>
        <v>OK</v>
      </c>
      <c r="X118" s="143"/>
    </row>
    <row r="119" spans="1:24" ht="18" customHeight="1">
      <c r="A119" s="29"/>
      <c r="B119" s="65" t="s">
        <v>280</v>
      </c>
      <c r="C119" s="66" t="s">
        <v>152</v>
      </c>
      <c r="D119" s="67">
        <v>0</v>
      </c>
      <c r="E119" s="67">
        <v>8.0000000000000002E-3</v>
      </c>
      <c r="F119" s="67">
        <v>-2E-3</v>
      </c>
      <c r="G119" s="67">
        <v>8.0000000000000002E-3</v>
      </c>
      <c r="H119" s="67">
        <v>-2E-3</v>
      </c>
      <c r="I119" s="67"/>
      <c r="J119" s="67"/>
      <c r="K119" s="66" t="s">
        <v>154</v>
      </c>
      <c r="L119" s="69"/>
      <c r="M119" s="69"/>
      <c r="N119" s="69"/>
      <c r="O119" s="30" t="str">
        <f t="shared" si="24"/>
        <v xml:space="preserve"> </v>
      </c>
      <c r="P119" s="30" t="str">
        <f t="shared" si="25"/>
        <v xml:space="preserve"> </v>
      </c>
      <c r="Q119" s="30" t="str">
        <f t="shared" si="26"/>
        <v xml:space="preserve"> </v>
      </c>
      <c r="R119" s="31" t="str">
        <f t="shared" si="27"/>
        <v xml:space="preserve"> </v>
      </c>
      <c r="S119" s="32" t="str">
        <f t="shared" si="28"/>
        <v xml:space="preserve"> </v>
      </c>
      <c r="T119" s="33" t="str">
        <f t="shared" si="29"/>
        <v xml:space="preserve"> </v>
      </c>
      <c r="U119" s="31" t="str">
        <f t="shared" si="22"/>
        <v/>
      </c>
      <c r="V119" s="31" t="str">
        <f t="shared" si="23"/>
        <v/>
      </c>
      <c r="W119" s="146" t="str" cm="1">
        <f t="array" ref="W119">IF(AND(L119:N119 &gt;= D119+F119, L119:N119 &lt;= D119+E119), "OK", "NG")</f>
        <v>OK</v>
      </c>
      <c r="X119" s="143"/>
    </row>
    <row r="120" spans="1:24" ht="18" customHeight="1">
      <c r="A120" s="29"/>
      <c r="B120" s="65" t="s">
        <v>281</v>
      </c>
      <c r="C120" s="66" t="s">
        <v>152</v>
      </c>
      <c r="D120" s="67">
        <v>0</v>
      </c>
      <c r="E120" s="67">
        <v>0.01</v>
      </c>
      <c r="F120" s="67">
        <v>-4.0000000000000001E-3</v>
      </c>
      <c r="G120" s="67">
        <v>0.01</v>
      </c>
      <c r="H120" s="67">
        <v>-4.0000000000000001E-3</v>
      </c>
      <c r="I120" s="67"/>
      <c r="J120" s="67"/>
      <c r="K120" s="66" t="s">
        <v>154</v>
      </c>
      <c r="L120" s="69"/>
      <c r="M120" s="69"/>
      <c r="N120" s="69"/>
      <c r="O120" s="30" t="str">
        <f t="shared" si="24"/>
        <v xml:space="preserve"> </v>
      </c>
      <c r="P120" s="30" t="str">
        <f t="shared" si="25"/>
        <v xml:space="preserve"> </v>
      </c>
      <c r="Q120" s="30" t="str">
        <f t="shared" si="26"/>
        <v xml:space="preserve"> </v>
      </c>
      <c r="R120" s="31" t="str">
        <f t="shared" si="27"/>
        <v xml:space="preserve"> </v>
      </c>
      <c r="S120" s="32" t="str">
        <f t="shared" si="28"/>
        <v xml:space="preserve"> </v>
      </c>
      <c r="T120" s="33" t="str">
        <f t="shared" si="29"/>
        <v xml:space="preserve"> </v>
      </c>
      <c r="U120" s="31" t="str">
        <f t="shared" si="22"/>
        <v/>
      </c>
      <c r="V120" s="31" t="str">
        <f t="shared" si="23"/>
        <v/>
      </c>
      <c r="W120" s="146" t="str" cm="1">
        <f t="array" ref="W120">IF(AND(L120:N120 &gt;= D120+F120, L120:N120 &lt;= D120+E120), "OK", "NG")</f>
        <v>OK</v>
      </c>
      <c r="X120" s="143"/>
    </row>
    <row r="121" spans="1:24" ht="18" customHeight="1">
      <c r="A121" s="29"/>
      <c r="B121" s="65" t="s">
        <v>282</v>
      </c>
      <c r="C121" s="66" t="s">
        <v>152</v>
      </c>
      <c r="D121" s="67">
        <v>0</v>
      </c>
      <c r="E121" s="67">
        <v>1.4999999999999999E-2</v>
      </c>
      <c r="F121" s="67">
        <v>-5.0000000000000001E-3</v>
      </c>
      <c r="G121" s="67">
        <v>1.2999999999999999E-2</v>
      </c>
      <c r="H121" s="67">
        <v>-3.0000000000000001E-3</v>
      </c>
      <c r="I121" s="67">
        <v>1.2E-2</v>
      </c>
      <c r="J121" s="67">
        <v>-4.0000000000000001E-3</v>
      </c>
      <c r="K121" s="66" t="s">
        <v>154</v>
      </c>
      <c r="L121" s="69"/>
      <c r="M121" s="69"/>
      <c r="N121" s="69"/>
      <c r="O121" s="30" t="str">
        <f t="shared" si="24"/>
        <v xml:space="preserve"> </v>
      </c>
      <c r="P121" s="30" t="str">
        <f t="shared" si="25"/>
        <v xml:space="preserve"> </v>
      </c>
      <c r="Q121" s="30" t="str">
        <f t="shared" si="26"/>
        <v xml:space="preserve"> </v>
      </c>
      <c r="R121" s="31" t="str">
        <f t="shared" si="27"/>
        <v xml:space="preserve"> </v>
      </c>
      <c r="S121" s="32" t="str">
        <f t="shared" si="28"/>
        <v xml:space="preserve"> </v>
      </c>
      <c r="T121" s="33" t="str">
        <f t="shared" si="29"/>
        <v xml:space="preserve"> </v>
      </c>
      <c r="U121" s="31" t="str">
        <f t="shared" si="22"/>
        <v/>
      </c>
      <c r="V121" s="31" t="str">
        <f t="shared" si="23"/>
        <v/>
      </c>
      <c r="W121" s="146" t="str" cm="1">
        <f t="array" ref="W121">IF(AND(L121:N121 &gt;= D121+F121, L121:N121 &lt;= D121+E121), "OK", "NG")</f>
        <v>OK</v>
      </c>
      <c r="X121" s="143"/>
    </row>
    <row r="122" spans="1:24" ht="18" customHeight="1">
      <c r="A122" s="29"/>
      <c r="B122" s="65" t="s">
        <v>283</v>
      </c>
      <c r="C122" s="66" t="s">
        <v>152</v>
      </c>
      <c r="D122" s="67">
        <v>-0.45</v>
      </c>
      <c r="E122" s="67">
        <v>0.01</v>
      </c>
      <c r="F122" s="67">
        <v>-0.01</v>
      </c>
      <c r="G122" s="67">
        <v>-0.4415</v>
      </c>
      <c r="H122" s="67">
        <v>-0.45850000000000002</v>
      </c>
      <c r="I122" s="67"/>
      <c r="J122" s="67"/>
      <c r="K122" s="66" t="s">
        <v>154</v>
      </c>
      <c r="L122" s="69"/>
      <c r="M122" s="69"/>
      <c r="N122" s="69"/>
      <c r="O122" s="30" t="str">
        <f t="shared" si="24"/>
        <v xml:space="preserve"> </v>
      </c>
      <c r="P122" s="30" t="str">
        <f t="shared" si="25"/>
        <v xml:space="preserve"> </v>
      </c>
      <c r="Q122" s="30" t="str">
        <f t="shared" si="26"/>
        <v xml:space="preserve"> </v>
      </c>
      <c r="R122" s="31" t="str">
        <f t="shared" si="27"/>
        <v xml:space="preserve"> </v>
      </c>
      <c r="S122" s="32" t="str">
        <f t="shared" si="28"/>
        <v xml:space="preserve"> </v>
      </c>
      <c r="T122" s="33" t="str">
        <f t="shared" si="29"/>
        <v xml:space="preserve"> </v>
      </c>
      <c r="U122" s="31" t="str">
        <f t="shared" si="22"/>
        <v/>
      </c>
      <c r="V122" s="31" t="str">
        <f t="shared" si="23"/>
        <v/>
      </c>
      <c r="W122" s="146" t="str" cm="1">
        <f t="array" ref="W122">IF(AND(L122:N122 &gt;= D122+F122, L122:N122 &lt;= D122+E122), "OK", "NG")</f>
        <v>NG</v>
      </c>
      <c r="X122" s="143"/>
    </row>
    <row r="123" spans="1:24" ht="18" customHeight="1">
      <c r="A123" s="29"/>
      <c r="B123" s="65" t="s">
        <v>284</v>
      </c>
      <c r="C123" s="66" t="s">
        <v>152</v>
      </c>
      <c r="D123" s="67">
        <v>0</v>
      </c>
      <c r="E123" s="67">
        <v>2E-3</v>
      </c>
      <c r="F123" s="67">
        <v>-3.0000000000000001E-3</v>
      </c>
      <c r="G123" s="67">
        <v>2E-3</v>
      </c>
      <c r="H123" s="67">
        <v>-3.0000000000000001E-3</v>
      </c>
      <c r="I123" s="67"/>
      <c r="J123" s="67"/>
      <c r="K123" s="66" t="s">
        <v>154</v>
      </c>
      <c r="L123" s="69"/>
      <c r="M123" s="69"/>
      <c r="N123" s="69"/>
      <c r="O123" s="30" t="str">
        <f t="shared" si="24"/>
        <v xml:space="preserve"> </v>
      </c>
      <c r="P123" s="30" t="str">
        <f t="shared" si="25"/>
        <v xml:space="preserve"> </v>
      </c>
      <c r="Q123" s="30" t="str">
        <f t="shared" si="26"/>
        <v xml:space="preserve"> </v>
      </c>
      <c r="R123" s="31" t="str">
        <f t="shared" si="27"/>
        <v xml:space="preserve"> </v>
      </c>
      <c r="S123" s="32" t="str">
        <f t="shared" si="28"/>
        <v xml:space="preserve"> </v>
      </c>
      <c r="T123" s="33" t="str">
        <f t="shared" si="29"/>
        <v xml:space="preserve"> </v>
      </c>
      <c r="U123" s="31" t="str">
        <f t="shared" si="22"/>
        <v/>
      </c>
      <c r="V123" s="31" t="str">
        <f t="shared" si="23"/>
        <v/>
      </c>
      <c r="W123" s="146" t="str" cm="1">
        <f t="array" ref="W123">IF(AND(L123:N123 &gt;= D123+F123, L123:N123 &lt;= D123+E123), "OK", "NG")</f>
        <v>OK</v>
      </c>
      <c r="X123" s="143"/>
    </row>
    <row r="124" spans="1:24" ht="18" customHeight="1">
      <c r="A124" s="29"/>
      <c r="B124" s="65" t="s">
        <v>285</v>
      </c>
      <c r="C124" s="66" t="s">
        <v>152</v>
      </c>
      <c r="D124" s="67">
        <v>0</v>
      </c>
      <c r="E124" s="67">
        <v>2E-3</v>
      </c>
      <c r="F124" s="67">
        <v>-5.0000000000000001E-3</v>
      </c>
      <c r="G124" s="67">
        <v>2E-3</v>
      </c>
      <c r="H124" s="67">
        <v>-5.0000000000000001E-3</v>
      </c>
      <c r="I124" s="67"/>
      <c r="J124" s="67"/>
      <c r="K124" s="66" t="s">
        <v>154</v>
      </c>
      <c r="L124" s="69"/>
      <c r="M124" s="69"/>
      <c r="N124" s="69"/>
      <c r="O124" s="30" t="str">
        <f t="shared" si="24"/>
        <v xml:space="preserve"> </v>
      </c>
      <c r="P124" s="30" t="str">
        <f t="shared" si="25"/>
        <v xml:space="preserve"> </v>
      </c>
      <c r="Q124" s="30" t="str">
        <f t="shared" si="26"/>
        <v xml:space="preserve"> </v>
      </c>
      <c r="R124" s="31" t="str">
        <f t="shared" si="27"/>
        <v xml:space="preserve"> </v>
      </c>
      <c r="S124" s="32" t="str">
        <f t="shared" si="28"/>
        <v xml:space="preserve"> </v>
      </c>
      <c r="T124" s="33" t="str">
        <f t="shared" si="29"/>
        <v xml:space="preserve"> </v>
      </c>
      <c r="U124" s="31" t="str">
        <f t="shared" si="22"/>
        <v/>
      </c>
      <c r="V124" s="31" t="str">
        <f t="shared" si="23"/>
        <v/>
      </c>
      <c r="W124" s="146" t="str" cm="1">
        <f t="array" ref="W124">IF(AND(L124:N124 &gt;= D124+F124, L124:N124 &lt;= D124+E124), "OK", "NG")</f>
        <v>OK</v>
      </c>
      <c r="X124" s="143"/>
    </row>
    <row r="125" spans="1:24" ht="18" customHeight="1">
      <c r="A125" s="29"/>
      <c r="B125" s="65" t="s">
        <v>286</v>
      </c>
      <c r="C125" s="66" t="s">
        <v>152</v>
      </c>
      <c r="D125" s="67">
        <v>0</v>
      </c>
      <c r="E125" s="67">
        <v>2E-3</v>
      </c>
      <c r="F125" s="67">
        <v>-8.0000000000000002E-3</v>
      </c>
      <c r="G125" s="67">
        <v>2E-3</v>
      </c>
      <c r="H125" s="67">
        <v>-8.0000000000000002E-3</v>
      </c>
      <c r="I125" s="67"/>
      <c r="J125" s="67"/>
      <c r="K125" s="66" t="s">
        <v>154</v>
      </c>
      <c r="L125" s="69"/>
      <c r="M125" s="69"/>
      <c r="N125" s="69"/>
      <c r="O125" s="30" t="str">
        <f t="shared" si="24"/>
        <v xml:space="preserve"> </v>
      </c>
      <c r="P125" s="30" t="str">
        <f t="shared" si="25"/>
        <v xml:space="preserve"> </v>
      </c>
      <c r="Q125" s="30" t="str">
        <f t="shared" si="26"/>
        <v xml:space="preserve"> </v>
      </c>
      <c r="R125" s="31" t="str">
        <f t="shared" si="27"/>
        <v xml:space="preserve"> </v>
      </c>
      <c r="S125" s="32" t="str">
        <f t="shared" si="28"/>
        <v xml:space="preserve"> </v>
      </c>
      <c r="T125" s="33" t="str">
        <f t="shared" si="29"/>
        <v xml:space="preserve"> </v>
      </c>
      <c r="U125" s="31" t="str">
        <f t="shared" si="22"/>
        <v/>
      </c>
      <c r="V125" s="31" t="str">
        <f t="shared" si="23"/>
        <v/>
      </c>
      <c r="W125" s="146" t="str" cm="1">
        <f t="array" ref="W125">IF(AND(L125:N125 &gt;= D125+F125, L125:N125 &lt;= D125+E125), "OK", "NG")</f>
        <v>OK</v>
      </c>
      <c r="X125" s="143"/>
    </row>
    <row r="126" spans="1:24" ht="18" customHeight="1">
      <c r="A126" s="29"/>
      <c r="B126" s="71" t="s">
        <v>287</v>
      </c>
      <c r="C126" s="66" t="s">
        <v>152</v>
      </c>
      <c r="D126" s="67">
        <v>0</v>
      </c>
      <c r="E126" s="67">
        <v>4.0000000000000001E-3</v>
      </c>
      <c r="F126" s="67">
        <v>-0.01</v>
      </c>
      <c r="G126" s="67">
        <v>4.0000000000000001E-3</v>
      </c>
      <c r="H126" s="67">
        <v>-0.01</v>
      </c>
      <c r="I126" s="67"/>
      <c r="J126" s="67"/>
      <c r="K126" s="66" t="s">
        <v>154</v>
      </c>
      <c r="L126" s="69"/>
      <c r="M126" s="69"/>
      <c r="N126" s="69"/>
      <c r="O126" s="30" t="str">
        <f t="shared" si="24"/>
        <v xml:space="preserve"> </v>
      </c>
      <c r="P126" s="30" t="str">
        <f t="shared" si="25"/>
        <v xml:space="preserve"> </v>
      </c>
      <c r="Q126" s="30" t="str">
        <f t="shared" si="26"/>
        <v xml:space="preserve"> </v>
      </c>
      <c r="R126" s="31" t="str">
        <f t="shared" si="27"/>
        <v xml:space="preserve"> </v>
      </c>
      <c r="S126" s="32" t="str">
        <f t="shared" si="28"/>
        <v xml:space="preserve"> </v>
      </c>
      <c r="T126" s="33" t="str">
        <f t="shared" si="29"/>
        <v xml:space="preserve"> </v>
      </c>
      <c r="U126" s="31" t="str">
        <f t="shared" si="22"/>
        <v/>
      </c>
      <c r="V126" s="31" t="str">
        <f t="shared" si="23"/>
        <v/>
      </c>
      <c r="W126" s="146" t="str" cm="1">
        <f t="array" ref="W126">IF(AND(L126:N126 &gt;= D126+F126, L126:N126 &lt;= D126+E126), "OK", "NG")</f>
        <v>OK</v>
      </c>
      <c r="X126" s="143"/>
    </row>
    <row r="127" spans="1:24" ht="18" customHeight="1">
      <c r="A127" s="29"/>
      <c r="B127" s="71" t="s">
        <v>288</v>
      </c>
      <c r="C127" s="66" t="s">
        <v>152</v>
      </c>
      <c r="D127" s="67">
        <v>0</v>
      </c>
      <c r="E127" s="67">
        <v>5.0000000000000001E-3</v>
      </c>
      <c r="F127" s="67">
        <v>-1.4999999999999999E-2</v>
      </c>
      <c r="G127" s="67">
        <v>3.0000000000000001E-3</v>
      </c>
      <c r="H127" s="67">
        <v>-1.2999999999999999E-2</v>
      </c>
      <c r="I127" s="67">
        <v>4.0000000000000001E-3</v>
      </c>
      <c r="J127" s="67">
        <v>-1.2E-2</v>
      </c>
      <c r="K127" s="66" t="s">
        <v>154</v>
      </c>
      <c r="L127" s="69"/>
      <c r="M127" s="69"/>
      <c r="N127" s="69"/>
      <c r="O127" s="30" t="str">
        <f t="shared" si="24"/>
        <v xml:space="preserve"> </v>
      </c>
      <c r="P127" s="30" t="str">
        <f t="shared" si="25"/>
        <v xml:space="preserve"> </v>
      </c>
      <c r="Q127" s="30" t="str">
        <f t="shared" si="26"/>
        <v xml:space="preserve"> </v>
      </c>
      <c r="R127" s="31" t="str">
        <f t="shared" si="27"/>
        <v xml:space="preserve"> </v>
      </c>
      <c r="S127" s="32" t="str">
        <f t="shared" si="28"/>
        <v xml:space="preserve"> </v>
      </c>
      <c r="T127" s="33" t="str">
        <f t="shared" si="29"/>
        <v xml:space="preserve"> </v>
      </c>
      <c r="U127" s="31" t="str">
        <f t="shared" si="22"/>
        <v/>
      </c>
      <c r="V127" s="31" t="str">
        <f t="shared" si="23"/>
        <v/>
      </c>
      <c r="W127" s="146" t="str" cm="1">
        <f t="array" ref="W127">IF(AND(L127:N127 &gt;= D127+F127, L127:N127 &lt;= D127+E127), "OK", "NG")</f>
        <v>OK</v>
      </c>
      <c r="X127" s="143"/>
    </row>
    <row r="128" spans="1:24" ht="18" customHeight="1">
      <c r="A128" s="29"/>
      <c r="B128" s="65" t="s">
        <v>289</v>
      </c>
      <c r="C128" s="66" t="s">
        <v>152</v>
      </c>
      <c r="D128" s="67">
        <v>-0.45</v>
      </c>
      <c r="E128" s="67">
        <v>0.01</v>
      </c>
      <c r="F128" s="67">
        <v>-0.01</v>
      </c>
      <c r="G128" s="67">
        <v>-0.4415</v>
      </c>
      <c r="H128" s="67">
        <v>-0.45850000000000002</v>
      </c>
      <c r="I128" s="67"/>
      <c r="J128" s="67"/>
      <c r="K128" s="66" t="s">
        <v>154</v>
      </c>
      <c r="L128" s="69"/>
      <c r="M128" s="69"/>
      <c r="N128" s="69"/>
      <c r="O128" s="30" t="str">
        <f t="shared" si="24"/>
        <v xml:space="preserve"> </v>
      </c>
      <c r="P128" s="30" t="str">
        <f t="shared" si="25"/>
        <v xml:space="preserve"> </v>
      </c>
      <c r="Q128" s="30" t="str">
        <f t="shared" si="26"/>
        <v xml:space="preserve"> </v>
      </c>
      <c r="R128" s="31" t="str">
        <f t="shared" si="27"/>
        <v xml:space="preserve"> </v>
      </c>
      <c r="S128" s="32" t="str">
        <f t="shared" si="28"/>
        <v xml:space="preserve"> </v>
      </c>
      <c r="T128" s="33" t="str">
        <f t="shared" si="29"/>
        <v xml:space="preserve"> </v>
      </c>
      <c r="U128" s="31" t="str">
        <f t="shared" si="22"/>
        <v/>
      </c>
      <c r="V128" s="31" t="str">
        <f t="shared" si="23"/>
        <v/>
      </c>
      <c r="W128" s="146" t="str" cm="1">
        <f t="array" ref="W128">IF(AND(L128:N128 &gt;= D128+F128, L128:N128 &lt;= D128+E128), "OK", "NG")</f>
        <v>NG</v>
      </c>
      <c r="X128" s="143"/>
    </row>
    <row r="129" spans="1:24" ht="18" customHeight="1">
      <c r="A129" s="29"/>
      <c r="B129" s="65" t="s">
        <v>290</v>
      </c>
      <c r="C129" s="66" t="s">
        <v>152</v>
      </c>
      <c r="D129" s="67">
        <v>0</v>
      </c>
      <c r="E129" s="67">
        <v>2E-3</v>
      </c>
      <c r="F129" s="67">
        <v>-3.0000000000000001E-3</v>
      </c>
      <c r="G129" s="67">
        <v>2E-3</v>
      </c>
      <c r="H129" s="67">
        <v>-3.0000000000000001E-3</v>
      </c>
      <c r="I129" s="67"/>
      <c r="J129" s="67"/>
      <c r="K129" s="66" t="s">
        <v>154</v>
      </c>
      <c r="L129" s="69"/>
      <c r="M129" s="69"/>
      <c r="N129" s="69"/>
      <c r="O129" s="30" t="str">
        <f t="shared" si="24"/>
        <v xml:space="preserve"> </v>
      </c>
      <c r="P129" s="30" t="str">
        <f t="shared" si="25"/>
        <v xml:space="preserve"> </v>
      </c>
      <c r="Q129" s="30" t="str">
        <f t="shared" si="26"/>
        <v xml:space="preserve"> </v>
      </c>
      <c r="R129" s="31" t="str">
        <f t="shared" si="27"/>
        <v xml:space="preserve"> </v>
      </c>
      <c r="S129" s="32" t="str">
        <f t="shared" si="28"/>
        <v xml:space="preserve"> </v>
      </c>
      <c r="T129" s="33" t="str">
        <f t="shared" si="29"/>
        <v xml:space="preserve"> </v>
      </c>
      <c r="U129" s="31" t="str">
        <f t="shared" si="22"/>
        <v/>
      </c>
      <c r="V129" s="31" t="str">
        <f t="shared" si="23"/>
        <v/>
      </c>
      <c r="W129" s="146" t="str" cm="1">
        <f t="array" ref="W129">IF(AND(L129:N129 &gt;= D129+F129, L129:N129 &lt;= D129+E129), "OK", "NG")</f>
        <v>OK</v>
      </c>
      <c r="X129" s="143"/>
    </row>
    <row r="130" spans="1:24" ht="18" customHeight="1">
      <c r="A130" s="29"/>
      <c r="B130" s="65" t="s">
        <v>291</v>
      </c>
      <c r="C130" s="66" t="s">
        <v>152</v>
      </c>
      <c r="D130" s="67">
        <v>0</v>
      </c>
      <c r="E130" s="67">
        <v>2E-3</v>
      </c>
      <c r="F130" s="67">
        <v>-5.0000000000000001E-3</v>
      </c>
      <c r="G130" s="67">
        <v>2E-3</v>
      </c>
      <c r="H130" s="67">
        <v>-5.0000000000000001E-3</v>
      </c>
      <c r="I130" s="67"/>
      <c r="J130" s="67"/>
      <c r="K130" s="66" t="s">
        <v>154</v>
      </c>
      <c r="L130" s="69"/>
      <c r="M130" s="69"/>
      <c r="N130" s="69"/>
      <c r="O130" s="30" t="str">
        <f t="shared" si="24"/>
        <v xml:space="preserve"> </v>
      </c>
      <c r="P130" s="30" t="str">
        <f t="shared" si="25"/>
        <v xml:space="preserve"> </v>
      </c>
      <c r="Q130" s="30" t="str">
        <f t="shared" si="26"/>
        <v xml:space="preserve"> </v>
      </c>
      <c r="R130" s="31" t="str">
        <f t="shared" si="27"/>
        <v xml:space="preserve"> </v>
      </c>
      <c r="S130" s="32" t="str">
        <f t="shared" si="28"/>
        <v xml:space="preserve"> </v>
      </c>
      <c r="T130" s="33" t="str">
        <f t="shared" si="29"/>
        <v xml:space="preserve"> </v>
      </c>
      <c r="U130" s="31" t="str">
        <f t="shared" si="22"/>
        <v/>
      </c>
      <c r="V130" s="31" t="str">
        <f t="shared" si="23"/>
        <v/>
      </c>
      <c r="W130" s="146" t="str" cm="1">
        <f t="array" ref="W130">IF(AND(L130:N130 &gt;= D130+F130, L130:N130 &lt;= D130+E130), "OK", "NG")</f>
        <v>OK</v>
      </c>
      <c r="X130" s="143"/>
    </row>
    <row r="131" spans="1:24" ht="18" customHeight="1">
      <c r="A131" s="29"/>
      <c r="B131" s="65" t="s">
        <v>292</v>
      </c>
      <c r="C131" s="66" t="s">
        <v>152</v>
      </c>
      <c r="D131" s="67">
        <v>0</v>
      </c>
      <c r="E131" s="67">
        <v>2E-3</v>
      </c>
      <c r="F131" s="67">
        <v>-8.0000000000000002E-3</v>
      </c>
      <c r="G131" s="67">
        <v>2E-3</v>
      </c>
      <c r="H131" s="67">
        <v>-8.0000000000000002E-3</v>
      </c>
      <c r="I131" s="67"/>
      <c r="J131" s="67"/>
      <c r="K131" s="66" t="s">
        <v>154</v>
      </c>
      <c r="L131" s="69"/>
      <c r="M131" s="69"/>
      <c r="N131" s="69"/>
      <c r="O131" s="30" t="str">
        <f t="shared" si="24"/>
        <v xml:space="preserve"> </v>
      </c>
      <c r="P131" s="30" t="str">
        <f t="shared" si="25"/>
        <v xml:space="preserve"> </v>
      </c>
      <c r="Q131" s="30" t="str">
        <f t="shared" si="26"/>
        <v xml:space="preserve"> </v>
      </c>
      <c r="R131" s="31" t="str">
        <f t="shared" si="27"/>
        <v xml:space="preserve"> </v>
      </c>
      <c r="S131" s="32" t="str">
        <f t="shared" si="28"/>
        <v xml:space="preserve"> </v>
      </c>
      <c r="T131" s="33" t="str">
        <f t="shared" si="29"/>
        <v xml:space="preserve"> </v>
      </c>
      <c r="U131" s="31" t="str">
        <f t="shared" si="22"/>
        <v/>
      </c>
      <c r="V131" s="31" t="str">
        <f t="shared" ref="V131:V156" si="30">IF(L131="","",IF(ISERR(F131/F131)=TRUE,"",IF(ISERR(F131/D131)=TRUE,IF((F131-MIN(L131:N131))&gt;0.001,"Reject",""),IF(ISNUMBER($T131)=TRUE,IF($T131&gt;0.651,IF($T131&gt;1.001,"Reject","Alert"),""),""))))</f>
        <v/>
      </c>
      <c r="W131" s="146" t="str" cm="1">
        <f t="array" ref="W131">IF(AND(L131:N131 &gt;= D131+F131, L131:N131 &lt;= D131+E131), "OK", "NG")</f>
        <v>OK</v>
      </c>
      <c r="X131" s="143"/>
    </row>
    <row r="132" spans="1:24" ht="18" customHeight="1">
      <c r="A132" s="29"/>
      <c r="B132" s="65" t="s">
        <v>293</v>
      </c>
      <c r="C132" s="66" t="s">
        <v>152</v>
      </c>
      <c r="D132" s="67">
        <v>0</v>
      </c>
      <c r="E132" s="67">
        <v>4.0000000000000001E-3</v>
      </c>
      <c r="F132" s="67">
        <v>-0.01</v>
      </c>
      <c r="G132" s="67">
        <v>4.0000000000000001E-3</v>
      </c>
      <c r="H132" s="67">
        <v>-0.01</v>
      </c>
      <c r="I132" s="67"/>
      <c r="J132" s="67"/>
      <c r="K132" s="66" t="s">
        <v>154</v>
      </c>
      <c r="L132" s="69"/>
      <c r="M132" s="69"/>
      <c r="N132" s="69"/>
      <c r="O132" s="30" t="str">
        <f t="shared" si="24"/>
        <v xml:space="preserve"> </v>
      </c>
      <c r="P132" s="30" t="str">
        <f t="shared" si="25"/>
        <v xml:space="preserve"> </v>
      </c>
      <c r="Q132" s="30" t="str">
        <f t="shared" si="26"/>
        <v xml:space="preserve"> </v>
      </c>
      <c r="R132" s="31" t="str">
        <f t="shared" si="27"/>
        <v xml:space="preserve"> </v>
      </c>
      <c r="S132" s="32" t="str">
        <f t="shared" si="28"/>
        <v xml:space="preserve"> </v>
      </c>
      <c r="T132" s="33" t="str">
        <f t="shared" si="29"/>
        <v xml:space="preserve"> </v>
      </c>
      <c r="U132" s="31" t="str">
        <f t="shared" si="22"/>
        <v/>
      </c>
      <c r="V132" s="31" t="str">
        <f t="shared" si="30"/>
        <v/>
      </c>
      <c r="W132" s="146" t="str" cm="1">
        <f t="array" ref="W132">IF(AND(L132:N132 &gt;= D132+F132, L132:N132 &lt;= D132+E132), "OK", "NG")</f>
        <v>OK</v>
      </c>
      <c r="X132" s="143"/>
    </row>
    <row r="133" spans="1:24" ht="18" customHeight="1">
      <c r="A133" s="29"/>
      <c r="B133" s="65" t="s">
        <v>294</v>
      </c>
      <c r="C133" s="66" t="s">
        <v>152</v>
      </c>
      <c r="D133" s="67">
        <v>0</v>
      </c>
      <c r="E133" s="67">
        <v>5.0000000000000001E-3</v>
      </c>
      <c r="F133" s="67">
        <v>-1.4999999999999999E-2</v>
      </c>
      <c r="G133" s="67">
        <v>3.0000000000000001E-3</v>
      </c>
      <c r="H133" s="67">
        <v>-1.2999999999999999E-2</v>
      </c>
      <c r="I133" s="67">
        <v>4.0000000000000001E-3</v>
      </c>
      <c r="J133" s="67">
        <v>-1.2E-2</v>
      </c>
      <c r="K133" s="66" t="s">
        <v>154</v>
      </c>
      <c r="L133" s="69"/>
      <c r="M133" s="69"/>
      <c r="N133" s="69"/>
      <c r="O133" s="30" t="str">
        <f t="shared" si="24"/>
        <v xml:space="preserve"> </v>
      </c>
      <c r="P133" s="30" t="str">
        <f t="shared" si="25"/>
        <v xml:space="preserve"> </v>
      </c>
      <c r="Q133" s="30" t="str">
        <f t="shared" si="26"/>
        <v xml:space="preserve"> </v>
      </c>
      <c r="R133" s="31" t="str">
        <f t="shared" si="27"/>
        <v xml:space="preserve"> </v>
      </c>
      <c r="S133" s="32" t="str">
        <f t="shared" si="28"/>
        <v xml:space="preserve"> </v>
      </c>
      <c r="T133" s="33" t="str">
        <f t="shared" si="29"/>
        <v xml:space="preserve"> </v>
      </c>
      <c r="U133" s="31" t="str">
        <f t="shared" si="22"/>
        <v/>
      </c>
      <c r="V133" s="31" t="str">
        <f t="shared" si="30"/>
        <v/>
      </c>
      <c r="W133" s="146" t="str" cm="1">
        <f t="array" ref="W133">IF(AND(L133:N133 &gt;= D133+F133, L133:N133 &lt;= D133+E133), "OK", "NG")</f>
        <v>OK</v>
      </c>
      <c r="X133" s="143"/>
    </row>
    <row r="134" spans="1:24" ht="18" customHeight="1">
      <c r="A134" s="29"/>
      <c r="B134" s="65" t="s">
        <v>295</v>
      </c>
      <c r="C134" s="66" t="s">
        <v>235</v>
      </c>
      <c r="D134" s="67">
        <v>0.03</v>
      </c>
      <c r="E134" s="67">
        <v>0.03</v>
      </c>
      <c r="F134" s="67">
        <v>-0.03</v>
      </c>
      <c r="G134" s="67">
        <v>5.5499999999999994E-2</v>
      </c>
      <c r="H134" s="67">
        <v>4.5000000000000005E-3</v>
      </c>
      <c r="I134" s="67"/>
      <c r="J134" s="67"/>
      <c r="K134" s="66" t="s">
        <v>46</v>
      </c>
      <c r="L134" s="69"/>
      <c r="M134" s="69"/>
      <c r="N134" s="69"/>
      <c r="O134" s="30" t="str">
        <f t="shared" ref="O134:O156" si="31">IF(ISERR(L134/L134)=TRUE," ",L134-$D134)</f>
        <v xml:space="preserve"> </v>
      </c>
      <c r="P134" s="30" t="str">
        <f t="shared" ref="P134:P156" si="32">IF(ISERR(M134/M134)=TRUE," ",M134-$D134)</f>
        <v xml:space="preserve"> </v>
      </c>
      <c r="Q134" s="30" t="str">
        <f t="shared" ref="Q134:Q156" si="33">IF(ISERR(N134/N134)=TRUE," ",N134-$D134)</f>
        <v xml:space="preserve"> </v>
      </c>
      <c r="R134" s="31" t="str">
        <f t="shared" ref="R134:R156" si="34">IF(ISERR(L134/L134)=TRUE," ",AVERAGE(L134:N134))</f>
        <v xml:space="preserve"> </v>
      </c>
      <c r="S134" s="32" t="str">
        <f t="shared" ref="S134:S156" si="35">IF(ISERR(E134/E134)=TRUE," ",IF(ISERR(L134/L134)=TRUE," ",IF(ISNUMBER($L134)=FALSE," ",IF(MAX($L134:$N134)&lt;$D134,0,(MAX($L134:$N134)-$D134)/$E134))))</f>
        <v xml:space="preserve"> </v>
      </c>
      <c r="T134" s="33" t="str">
        <f t="shared" ref="T134:T156" si="36">IF(ISERR(F134/D134)=TRUE," ",IF(ISERR(F134/F134)=TRUE," ",IF(ISERR(L134/L134)=TRUE," ",IF(ISNUMBER(L134)=FALSE," ",IF(MIN(L134:N134)&gt;$D134,0,($D134-MIN(L134:N134))/-F134)))))</f>
        <v xml:space="preserve"> </v>
      </c>
      <c r="U134" s="31" t="str">
        <f t="shared" si="22"/>
        <v/>
      </c>
      <c r="V134" s="31" t="str">
        <f t="shared" si="30"/>
        <v/>
      </c>
      <c r="W134" s="146" t="str" cm="1">
        <f t="array" ref="W134">IF(AND(L134:N134 &gt;= D134+F134, L134:N134 &lt;= D134+E134), "OK", "NG")</f>
        <v>OK</v>
      </c>
      <c r="X134" s="143"/>
    </row>
    <row r="135" spans="1:24" ht="18" customHeight="1">
      <c r="A135" s="29"/>
      <c r="B135" s="65" t="s">
        <v>296</v>
      </c>
      <c r="C135" s="66" t="s">
        <v>235</v>
      </c>
      <c r="D135" s="67">
        <v>0.03</v>
      </c>
      <c r="E135" s="67">
        <v>0.03</v>
      </c>
      <c r="F135" s="67">
        <v>-0.03</v>
      </c>
      <c r="G135" s="67">
        <v>5.5499999999999994E-2</v>
      </c>
      <c r="H135" s="67">
        <v>4.5000000000000005E-3</v>
      </c>
      <c r="I135" s="67"/>
      <c r="J135" s="67"/>
      <c r="K135" s="66" t="s">
        <v>46</v>
      </c>
      <c r="L135" s="69"/>
      <c r="M135" s="69"/>
      <c r="N135" s="69"/>
      <c r="O135" s="30" t="str">
        <f t="shared" si="31"/>
        <v xml:space="preserve"> </v>
      </c>
      <c r="P135" s="30" t="str">
        <f t="shared" si="32"/>
        <v xml:space="preserve"> </v>
      </c>
      <c r="Q135" s="30" t="str">
        <f t="shared" si="33"/>
        <v xml:space="preserve"> </v>
      </c>
      <c r="R135" s="31" t="str">
        <f t="shared" si="34"/>
        <v xml:space="preserve"> </v>
      </c>
      <c r="S135" s="32" t="str">
        <f t="shared" si="35"/>
        <v xml:space="preserve"> </v>
      </c>
      <c r="T135" s="33" t="str">
        <f t="shared" si="36"/>
        <v xml:space="preserve"> </v>
      </c>
      <c r="U135" s="31" t="str">
        <f t="shared" si="22"/>
        <v/>
      </c>
      <c r="V135" s="31" t="str">
        <f t="shared" si="30"/>
        <v/>
      </c>
      <c r="W135" s="146" t="str" cm="1">
        <f t="array" ref="W135">IF(AND(L135:N135 &gt;= D135+F135, L135:N135 &lt;= D135+E135), "OK", "NG")</f>
        <v>OK</v>
      </c>
      <c r="X135" s="143"/>
    </row>
    <row r="136" spans="1:24" ht="18" customHeight="1">
      <c r="A136" s="29"/>
      <c r="B136" s="65" t="s">
        <v>297</v>
      </c>
      <c r="C136" s="66" t="s">
        <v>235</v>
      </c>
      <c r="D136" s="67">
        <v>0.03</v>
      </c>
      <c r="E136" s="67">
        <v>0.03</v>
      </c>
      <c r="F136" s="67">
        <v>-0.03</v>
      </c>
      <c r="G136" s="67">
        <v>5.5499999999999994E-2</v>
      </c>
      <c r="H136" s="67">
        <v>4.5000000000000005E-3</v>
      </c>
      <c r="I136" s="67"/>
      <c r="J136" s="67"/>
      <c r="K136" s="66" t="s">
        <v>46</v>
      </c>
      <c r="L136" s="69"/>
      <c r="M136" s="69"/>
      <c r="N136" s="69"/>
      <c r="O136" s="30" t="str">
        <f t="shared" si="31"/>
        <v xml:space="preserve"> </v>
      </c>
      <c r="P136" s="30" t="str">
        <f t="shared" si="32"/>
        <v xml:space="preserve"> </v>
      </c>
      <c r="Q136" s="30" t="str">
        <f t="shared" si="33"/>
        <v xml:space="preserve"> </v>
      </c>
      <c r="R136" s="31" t="str">
        <f t="shared" si="34"/>
        <v xml:space="preserve"> </v>
      </c>
      <c r="S136" s="32" t="str">
        <f t="shared" si="35"/>
        <v xml:space="preserve"> </v>
      </c>
      <c r="T136" s="33" t="str">
        <f t="shared" si="36"/>
        <v xml:space="preserve"> </v>
      </c>
      <c r="U136" s="31" t="str">
        <f t="shared" si="22"/>
        <v/>
      </c>
      <c r="V136" s="31" t="str">
        <f t="shared" si="30"/>
        <v/>
      </c>
      <c r="W136" s="146" t="str" cm="1">
        <f t="array" ref="W136">IF(AND(L136:N136 &gt;= D136+F136, L136:N136 &lt;= D136+E136), "OK", "NG")</f>
        <v>OK</v>
      </c>
      <c r="X136" s="143"/>
    </row>
    <row r="137" spans="1:24" ht="18" customHeight="1">
      <c r="A137" s="29"/>
      <c r="B137" s="65" t="s">
        <v>298</v>
      </c>
      <c r="C137" s="66" t="s">
        <v>235</v>
      </c>
      <c r="D137" s="67">
        <v>0.03</v>
      </c>
      <c r="E137" s="67">
        <v>0.03</v>
      </c>
      <c r="F137" s="67">
        <v>-0.03</v>
      </c>
      <c r="G137" s="67">
        <v>5.5499999999999994E-2</v>
      </c>
      <c r="H137" s="67">
        <v>4.5000000000000005E-3</v>
      </c>
      <c r="I137" s="67"/>
      <c r="J137" s="67"/>
      <c r="K137" s="66" t="s">
        <v>46</v>
      </c>
      <c r="L137" s="69"/>
      <c r="M137" s="69"/>
      <c r="N137" s="69"/>
      <c r="O137" s="30" t="str">
        <f t="shared" si="31"/>
        <v xml:space="preserve"> </v>
      </c>
      <c r="P137" s="30" t="str">
        <f t="shared" si="32"/>
        <v xml:space="preserve"> </v>
      </c>
      <c r="Q137" s="30" t="str">
        <f t="shared" si="33"/>
        <v xml:space="preserve"> </v>
      </c>
      <c r="R137" s="31" t="str">
        <f t="shared" si="34"/>
        <v xml:space="preserve"> </v>
      </c>
      <c r="S137" s="32" t="str">
        <f t="shared" si="35"/>
        <v xml:space="preserve"> </v>
      </c>
      <c r="T137" s="33" t="str">
        <f t="shared" si="36"/>
        <v xml:space="preserve"> </v>
      </c>
      <c r="U137" s="31" t="str">
        <f t="shared" si="22"/>
        <v/>
      </c>
      <c r="V137" s="31" t="str">
        <f t="shared" si="30"/>
        <v/>
      </c>
      <c r="W137" s="146" t="str" cm="1">
        <f t="array" ref="W137">IF(AND(L137:N137 &gt;= D137+F137, L137:N137 &lt;= D137+E137), "OK", "NG")</f>
        <v>OK</v>
      </c>
      <c r="X137" s="143"/>
    </row>
    <row r="138" spans="1:24" ht="18" customHeight="1">
      <c r="A138" s="29"/>
      <c r="B138" s="65" t="s">
        <v>299</v>
      </c>
      <c r="C138" s="66" t="s">
        <v>235</v>
      </c>
      <c r="D138" s="67">
        <v>0.03</v>
      </c>
      <c r="E138" s="67">
        <v>0.03</v>
      </c>
      <c r="F138" s="67">
        <v>-0.03</v>
      </c>
      <c r="G138" s="67">
        <v>5.5499999999999994E-2</v>
      </c>
      <c r="H138" s="67">
        <v>4.5000000000000005E-3</v>
      </c>
      <c r="I138" s="67"/>
      <c r="J138" s="67"/>
      <c r="K138" s="66" t="s">
        <v>46</v>
      </c>
      <c r="L138" s="69"/>
      <c r="M138" s="69"/>
      <c r="N138" s="69"/>
      <c r="O138" s="30" t="str">
        <f t="shared" si="31"/>
        <v xml:space="preserve"> </v>
      </c>
      <c r="P138" s="30" t="str">
        <f t="shared" si="32"/>
        <v xml:space="preserve"> </v>
      </c>
      <c r="Q138" s="30" t="str">
        <f t="shared" si="33"/>
        <v xml:space="preserve"> </v>
      </c>
      <c r="R138" s="31" t="str">
        <f t="shared" si="34"/>
        <v xml:space="preserve"> </v>
      </c>
      <c r="S138" s="32" t="str">
        <f t="shared" si="35"/>
        <v xml:space="preserve"> </v>
      </c>
      <c r="T138" s="33" t="str">
        <f t="shared" si="36"/>
        <v xml:space="preserve"> </v>
      </c>
      <c r="U138" s="31" t="str">
        <f t="shared" si="22"/>
        <v/>
      </c>
      <c r="V138" s="31" t="str">
        <f t="shared" si="30"/>
        <v/>
      </c>
      <c r="W138" s="146" t="str" cm="1">
        <f t="array" ref="W138">IF(AND(L138:N138 &gt;= D138+F138, L138:N138 &lt;= D138+E138), "OK", "NG")</f>
        <v>OK</v>
      </c>
      <c r="X138" s="143"/>
    </row>
    <row r="139" spans="1:24" ht="18" customHeight="1">
      <c r="A139" s="29"/>
      <c r="B139" s="65" t="s">
        <v>300</v>
      </c>
      <c r="C139" s="66" t="s">
        <v>235</v>
      </c>
      <c r="D139" s="67">
        <v>0.03</v>
      </c>
      <c r="E139" s="67">
        <v>0.03</v>
      </c>
      <c r="F139" s="67">
        <v>-0.03</v>
      </c>
      <c r="G139" s="67">
        <v>5.5499999999999994E-2</v>
      </c>
      <c r="H139" s="67">
        <v>4.5000000000000005E-3</v>
      </c>
      <c r="I139" s="67"/>
      <c r="J139" s="67"/>
      <c r="K139" s="66" t="s">
        <v>46</v>
      </c>
      <c r="L139" s="69"/>
      <c r="M139" s="69"/>
      <c r="N139" s="69"/>
      <c r="O139" s="30" t="str">
        <f t="shared" si="31"/>
        <v xml:space="preserve"> </v>
      </c>
      <c r="P139" s="30" t="str">
        <f t="shared" si="32"/>
        <v xml:space="preserve"> </v>
      </c>
      <c r="Q139" s="30" t="str">
        <f t="shared" si="33"/>
        <v xml:space="preserve"> </v>
      </c>
      <c r="R139" s="31" t="str">
        <f t="shared" si="34"/>
        <v xml:space="preserve"> </v>
      </c>
      <c r="S139" s="32" t="str">
        <f t="shared" si="35"/>
        <v xml:space="preserve"> </v>
      </c>
      <c r="T139" s="33" t="str">
        <f t="shared" si="36"/>
        <v xml:space="preserve"> </v>
      </c>
      <c r="U139" s="31" t="str">
        <f t="shared" si="22"/>
        <v/>
      </c>
      <c r="V139" s="31" t="str">
        <f t="shared" si="30"/>
        <v/>
      </c>
      <c r="W139" s="146" t="str" cm="1">
        <f t="array" ref="W139">IF(AND(L139:N139 &gt;= D139+F139, L139:N139 &lt;= D139+E139), "OK", "NG")</f>
        <v>OK</v>
      </c>
      <c r="X139" s="143"/>
    </row>
    <row r="140" spans="1:24" ht="18" customHeight="1">
      <c r="A140" s="29"/>
      <c r="B140" s="72" t="s">
        <v>301</v>
      </c>
      <c r="C140" s="66" t="s">
        <v>235</v>
      </c>
      <c r="D140" s="67">
        <v>0.03</v>
      </c>
      <c r="E140" s="67">
        <v>0.03</v>
      </c>
      <c r="F140" s="67">
        <v>-0.03</v>
      </c>
      <c r="G140" s="67">
        <v>5.5499999999999994E-2</v>
      </c>
      <c r="H140" s="67">
        <v>4.5000000000000005E-3</v>
      </c>
      <c r="I140" s="67"/>
      <c r="J140" s="67"/>
      <c r="K140" s="66" t="s">
        <v>46</v>
      </c>
      <c r="L140" s="69"/>
      <c r="M140" s="69"/>
      <c r="N140" s="69"/>
      <c r="O140" s="30" t="str">
        <f t="shared" si="31"/>
        <v xml:space="preserve"> </v>
      </c>
      <c r="P140" s="30" t="str">
        <f t="shared" si="32"/>
        <v xml:space="preserve"> </v>
      </c>
      <c r="Q140" s="30" t="str">
        <f t="shared" si="33"/>
        <v xml:space="preserve"> </v>
      </c>
      <c r="R140" s="31" t="str">
        <f t="shared" si="34"/>
        <v xml:space="preserve"> </v>
      </c>
      <c r="S140" s="32" t="str">
        <f t="shared" si="35"/>
        <v xml:space="preserve"> </v>
      </c>
      <c r="T140" s="33" t="str">
        <f t="shared" si="36"/>
        <v xml:space="preserve"> </v>
      </c>
      <c r="U140" s="31" t="str">
        <f t="shared" si="22"/>
        <v/>
      </c>
      <c r="V140" s="31" t="str">
        <f t="shared" si="30"/>
        <v/>
      </c>
      <c r="W140" s="146" t="str" cm="1">
        <f t="array" ref="W140">IF(AND(L140:N140 &gt;= D140+F140, L140:N140 &lt;= D140+E140), "OK", "NG")</f>
        <v>OK</v>
      </c>
      <c r="X140" s="143"/>
    </row>
    <row r="141" spans="1:24" ht="18" customHeight="1">
      <c r="A141" s="29"/>
      <c r="B141" s="71" t="s">
        <v>302</v>
      </c>
      <c r="C141" s="66" t="s">
        <v>235</v>
      </c>
      <c r="D141" s="67">
        <v>0.03</v>
      </c>
      <c r="E141" s="67">
        <v>0.03</v>
      </c>
      <c r="F141" s="67">
        <v>-0.03</v>
      </c>
      <c r="G141" s="67">
        <v>5.5499999999999994E-2</v>
      </c>
      <c r="H141" s="67">
        <v>4.5000000000000005E-3</v>
      </c>
      <c r="I141" s="67"/>
      <c r="J141" s="67"/>
      <c r="K141" s="66" t="s">
        <v>46</v>
      </c>
      <c r="L141" s="69"/>
      <c r="M141" s="69"/>
      <c r="N141" s="69"/>
      <c r="O141" s="30" t="str">
        <f t="shared" si="31"/>
        <v xml:space="preserve"> </v>
      </c>
      <c r="P141" s="30" t="str">
        <f t="shared" si="32"/>
        <v xml:space="preserve"> </v>
      </c>
      <c r="Q141" s="30" t="str">
        <f t="shared" si="33"/>
        <v xml:space="preserve"> </v>
      </c>
      <c r="R141" s="31" t="str">
        <f t="shared" si="34"/>
        <v xml:space="preserve"> </v>
      </c>
      <c r="S141" s="32" t="str">
        <f t="shared" si="35"/>
        <v xml:space="preserve"> </v>
      </c>
      <c r="T141" s="33" t="str">
        <f t="shared" si="36"/>
        <v xml:space="preserve"> </v>
      </c>
      <c r="U141" s="31" t="str">
        <f t="shared" si="22"/>
        <v/>
      </c>
      <c r="V141" s="31" t="str">
        <f t="shared" si="30"/>
        <v/>
      </c>
      <c r="W141" s="146" t="str" cm="1">
        <f t="array" ref="W141">IF(AND(L141:N141 &gt;= D141+F141, L141:N141 &lt;= D141+E141), "OK", "NG")</f>
        <v>OK</v>
      </c>
      <c r="X141" s="143"/>
    </row>
    <row r="142" spans="1:24" ht="18" customHeight="1">
      <c r="A142" s="29"/>
      <c r="B142" s="65" t="s">
        <v>303</v>
      </c>
      <c r="C142" s="66" t="s">
        <v>235</v>
      </c>
      <c r="D142" s="67">
        <v>0.03</v>
      </c>
      <c r="E142" s="67">
        <v>0.03</v>
      </c>
      <c r="F142" s="67">
        <v>-0.03</v>
      </c>
      <c r="G142" s="67">
        <v>5.5499999999999994E-2</v>
      </c>
      <c r="H142" s="67">
        <v>4.5000000000000005E-3</v>
      </c>
      <c r="I142" s="67"/>
      <c r="J142" s="67"/>
      <c r="K142" s="66" t="s">
        <v>46</v>
      </c>
      <c r="L142" s="69"/>
      <c r="M142" s="69"/>
      <c r="N142" s="69"/>
      <c r="O142" s="30" t="str">
        <f t="shared" si="31"/>
        <v xml:space="preserve"> </v>
      </c>
      <c r="P142" s="30" t="str">
        <f t="shared" si="32"/>
        <v xml:space="preserve"> </v>
      </c>
      <c r="Q142" s="30" t="str">
        <f t="shared" si="33"/>
        <v xml:space="preserve"> </v>
      </c>
      <c r="R142" s="31" t="str">
        <f t="shared" si="34"/>
        <v xml:space="preserve"> </v>
      </c>
      <c r="S142" s="32" t="str">
        <f t="shared" si="35"/>
        <v xml:space="preserve"> </v>
      </c>
      <c r="T142" s="33" t="str">
        <f t="shared" si="36"/>
        <v xml:space="preserve"> </v>
      </c>
      <c r="U142" s="31" t="str">
        <f t="shared" si="22"/>
        <v/>
      </c>
      <c r="V142" s="31" t="str">
        <f t="shared" si="30"/>
        <v/>
      </c>
      <c r="W142" s="146" t="str" cm="1">
        <f t="array" ref="W142">IF(AND(L142:N142 &gt;= D142+F142, L142:N142 &lt;= D142+E142), "OK", "NG")</f>
        <v>OK</v>
      </c>
      <c r="X142" s="143"/>
    </row>
    <row r="143" spans="1:24" ht="18" customHeight="1">
      <c r="A143" s="29"/>
      <c r="B143" s="65" t="s">
        <v>304</v>
      </c>
      <c r="C143" s="66" t="s">
        <v>235</v>
      </c>
      <c r="D143" s="67">
        <v>0.03</v>
      </c>
      <c r="E143" s="67">
        <v>0.03</v>
      </c>
      <c r="F143" s="67">
        <v>-0.03</v>
      </c>
      <c r="G143" s="67">
        <v>5.5499999999999994E-2</v>
      </c>
      <c r="H143" s="67">
        <v>4.5000000000000005E-3</v>
      </c>
      <c r="I143" s="67"/>
      <c r="J143" s="67"/>
      <c r="K143" s="66" t="s">
        <v>46</v>
      </c>
      <c r="L143" s="69"/>
      <c r="M143" s="69"/>
      <c r="N143" s="69"/>
      <c r="O143" s="30" t="str">
        <f t="shared" si="31"/>
        <v xml:space="preserve"> </v>
      </c>
      <c r="P143" s="30" t="str">
        <f t="shared" si="32"/>
        <v xml:space="preserve"> </v>
      </c>
      <c r="Q143" s="30" t="str">
        <f t="shared" si="33"/>
        <v xml:space="preserve"> </v>
      </c>
      <c r="R143" s="31" t="str">
        <f t="shared" si="34"/>
        <v xml:space="preserve"> </v>
      </c>
      <c r="S143" s="32" t="str">
        <f t="shared" si="35"/>
        <v xml:space="preserve"> </v>
      </c>
      <c r="T143" s="33" t="str">
        <f t="shared" si="36"/>
        <v xml:space="preserve"> </v>
      </c>
      <c r="U143" s="31" t="str">
        <f t="shared" si="22"/>
        <v/>
      </c>
      <c r="V143" s="31" t="str">
        <f t="shared" si="30"/>
        <v/>
      </c>
      <c r="W143" s="146" t="str" cm="1">
        <f t="array" ref="W143">IF(AND(L143:N143 &gt;= D143+F143, L143:N143 &lt;= D143+E143), "OK", "NG")</f>
        <v>OK</v>
      </c>
      <c r="X143" s="143"/>
    </row>
    <row r="144" spans="1:24" ht="18" customHeight="1">
      <c r="A144" s="29"/>
      <c r="B144" s="65" t="s">
        <v>305</v>
      </c>
      <c r="C144" s="66" t="s">
        <v>235</v>
      </c>
      <c r="D144" s="67">
        <v>0.03</v>
      </c>
      <c r="E144" s="67">
        <v>0.03</v>
      </c>
      <c r="F144" s="67">
        <v>-0.03</v>
      </c>
      <c r="G144" s="67">
        <v>5.5499999999999994E-2</v>
      </c>
      <c r="H144" s="67">
        <v>4.5000000000000005E-3</v>
      </c>
      <c r="I144" s="67"/>
      <c r="J144" s="67"/>
      <c r="K144" s="66" t="s">
        <v>46</v>
      </c>
      <c r="L144" s="69"/>
      <c r="M144" s="69"/>
      <c r="N144" s="69"/>
      <c r="O144" s="30" t="str">
        <f t="shared" si="31"/>
        <v xml:space="preserve"> </v>
      </c>
      <c r="P144" s="30" t="str">
        <f t="shared" si="32"/>
        <v xml:space="preserve"> </v>
      </c>
      <c r="Q144" s="30" t="str">
        <f t="shared" si="33"/>
        <v xml:space="preserve"> </v>
      </c>
      <c r="R144" s="31" t="str">
        <f t="shared" si="34"/>
        <v xml:space="preserve"> </v>
      </c>
      <c r="S144" s="32" t="str">
        <f t="shared" si="35"/>
        <v xml:space="preserve"> </v>
      </c>
      <c r="T144" s="33" t="str">
        <f t="shared" si="36"/>
        <v xml:space="preserve"> </v>
      </c>
      <c r="U144" s="31" t="str">
        <f t="shared" ref="U144:U156" si="37">IF(ISNUMBER($S144)=TRUE,IF($S144&gt;0.651,IF($S144&gt;1.001,"Reject","Alert"),""),"")</f>
        <v/>
      </c>
      <c r="V144" s="31" t="str">
        <f t="shared" si="30"/>
        <v/>
      </c>
      <c r="W144" s="146" t="str" cm="1">
        <f t="array" ref="W144">IF(AND(L144:N144 &gt;= D144+F144, L144:N144 &lt;= D144+E144), "OK", "NG")</f>
        <v>OK</v>
      </c>
      <c r="X144" s="143"/>
    </row>
    <row r="145" spans="1:24" ht="18" customHeight="1">
      <c r="A145" s="29"/>
      <c r="B145" s="65" t="s">
        <v>306</v>
      </c>
      <c r="C145" s="66" t="s">
        <v>235</v>
      </c>
      <c r="D145" s="67">
        <v>0.03</v>
      </c>
      <c r="E145" s="67">
        <v>0.03</v>
      </c>
      <c r="F145" s="67">
        <v>-0.03</v>
      </c>
      <c r="G145" s="67">
        <v>5.5499999999999994E-2</v>
      </c>
      <c r="H145" s="67">
        <v>4.5000000000000005E-3</v>
      </c>
      <c r="I145" s="67"/>
      <c r="J145" s="67"/>
      <c r="K145" s="66" t="s">
        <v>46</v>
      </c>
      <c r="L145" s="69"/>
      <c r="M145" s="69"/>
      <c r="N145" s="69"/>
      <c r="O145" s="30" t="str">
        <f t="shared" si="31"/>
        <v xml:space="preserve"> </v>
      </c>
      <c r="P145" s="30" t="str">
        <f t="shared" si="32"/>
        <v xml:space="preserve"> </v>
      </c>
      <c r="Q145" s="30" t="str">
        <f t="shared" si="33"/>
        <v xml:space="preserve"> </v>
      </c>
      <c r="R145" s="31" t="str">
        <f t="shared" si="34"/>
        <v xml:space="preserve"> </v>
      </c>
      <c r="S145" s="32" t="str">
        <f t="shared" si="35"/>
        <v xml:space="preserve"> </v>
      </c>
      <c r="T145" s="33" t="str">
        <f t="shared" si="36"/>
        <v xml:space="preserve"> </v>
      </c>
      <c r="U145" s="31" t="str">
        <f t="shared" si="37"/>
        <v/>
      </c>
      <c r="V145" s="31" t="str">
        <f t="shared" si="30"/>
        <v/>
      </c>
      <c r="W145" s="146" t="str" cm="1">
        <f t="array" ref="W145">IF(AND(L145:N145 &gt;= D145+F145, L145:N145 &lt;= D145+E145), "OK", "NG")</f>
        <v>OK</v>
      </c>
      <c r="X145" s="143"/>
    </row>
    <row r="146" spans="1:24" ht="18" customHeight="1">
      <c r="A146" s="29"/>
      <c r="B146" s="65" t="s">
        <v>307</v>
      </c>
      <c r="C146" s="66" t="s">
        <v>235</v>
      </c>
      <c r="D146" s="67">
        <v>0.03</v>
      </c>
      <c r="E146" s="67">
        <v>0.03</v>
      </c>
      <c r="F146" s="67">
        <v>-0.03</v>
      </c>
      <c r="G146" s="67">
        <v>5.5499999999999994E-2</v>
      </c>
      <c r="H146" s="67">
        <v>4.5000000000000005E-3</v>
      </c>
      <c r="I146" s="67"/>
      <c r="J146" s="67"/>
      <c r="K146" s="66" t="s">
        <v>46</v>
      </c>
      <c r="L146" s="69"/>
      <c r="M146" s="69"/>
      <c r="N146" s="69"/>
      <c r="O146" s="30" t="str">
        <f t="shared" si="31"/>
        <v xml:space="preserve"> </v>
      </c>
      <c r="P146" s="30" t="str">
        <f t="shared" si="32"/>
        <v xml:space="preserve"> </v>
      </c>
      <c r="Q146" s="30" t="str">
        <f t="shared" si="33"/>
        <v xml:space="preserve"> </v>
      </c>
      <c r="R146" s="31" t="str">
        <f t="shared" si="34"/>
        <v xml:space="preserve"> </v>
      </c>
      <c r="S146" s="32" t="str">
        <f t="shared" si="35"/>
        <v xml:space="preserve"> </v>
      </c>
      <c r="T146" s="33" t="str">
        <f t="shared" si="36"/>
        <v xml:space="preserve"> </v>
      </c>
      <c r="U146" s="31" t="str">
        <f t="shared" si="37"/>
        <v/>
      </c>
      <c r="V146" s="31" t="str">
        <f t="shared" si="30"/>
        <v/>
      </c>
      <c r="W146" s="146" t="str" cm="1">
        <f t="array" ref="W146">IF(AND(L146:N146 &gt;= D146+F146, L146:N146 &lt;= D146+E146), "OK", "NG")</f>
        <v>OK</v>
      </c>
      <c r="X146" s="143"/>
    </row>
    <row r="147" spans="1:24" ht="18" customHeight="1">
      <c r="A147" s="29"/>
      <c r="B147" s="65" t="s">
        <v>308</v>
      </c>
      <c r="C147" s="66" t="s">
        <v>235</v>
      </c>
      <c r="D147" s="67">
        <v>0.03</v>
      </c>
      <c r="E147" s="67">
        <v>0.03</v>
      </c>
      <c r="F147" s="67">
        <v>-0.03</v>
      </c>
      <c r="G147" s="67">
        <v>5.5499999999999994E-2</v>
      </c>
      <c r="H147" s="67">
        <v>4.5000000000000005E-3</v>
      </c>
      <c r="I147" s="67"/>
      <c r="J147" s="67"/>
      <c r="K147" s="66" t="s">
        <v>46</v>
      </c>
      <c r="L147" s="69"/>
      <c r="M147" s="69"/>
      <c r="N147" s="69"/>
      <c r="O147" s="30" t="str">
        <f t="shared" si="31"/>
        <v xml:space="preserve"> </v>
      </c>
      <c r="P147" s="30" t="str">
        <f t="shared" si="32"/>
        <v xml:space="preserve"> </v>
      </c>
      <c r="Q147" s="30" t="str">
        <f t="shared" si="33"/>
        <v xml:space="preserve"> </v>
      </c>
      <c r="R147" s="31" t="str">
        <f t="shared" si="34"/>
        <v xml:space="preserve"> </v>
      </c>
      <c r="S147" s="32" t="str">
        <f t="shared" si="35"/>
        <v xml:space="preserve"> </v>
      </c>
      <c r="T147" s="33" t="str">
        <f t="shared" si="36"/>
        <v xml:space="preserve"> </v>
      </c>
      <c r="U147" s="31" t="str">
        <f t="shared" si="37"/>
        <v/>
      </c>
      <c r="V147" s="31" t="str">
        <f t="shared" si="30"/>
        <v/>
      </c>
      <c r="W147" s="146" t="str" cm="1">
        <f t="array" ref="W147">IF(AND(L147:N147 &gt;= D147+F147, L147:N147 &lt;= D147+E147), "OK", "NG")</f>
        <v>OK</v>
      </c>
      <c r="X147" s="143"/>
    </row>
    <row r="148" spans="1:24" ht="18" customHeight="1">
      <c r="A148" s="29"/>
      <c r="B148" s="65" t="s">
        <v>309</v>
      </c>
      <c r="C148" s="66" t="s">
        <v>235</v>
      </c>
      <c r="D148" s="67">
        <v>0.03</v>
      </c>
      <c r="E148" s="67">
        <v>0.03</v>
      </c>
      <c r="F148" s="67">
        <v>-0.03</v>
      </c>
      <c r="G148" s="67">
        <v>5.5499999999999994E-2</v>
      </c>
      <c r="H148" s="67">
        <v>4.5000000000000005E-3</v>
      </c>
      <c r="I148" s="67"/>
      <c r="J148" s="67"/>
      <c r="K148" s="66" t="s">
        <v>46</v>
      </c>
      <c r="L148" s="69"/>
      <c r="M148" s="69"/>
      <c r="N148" s="69"/>
      <c r="O148" s="30" t="str">
        <f t="shared" si="31"/>
        <v xml:space="preserve"> </v>
      </c>
      <c r="P148" s="30" t="str">
        <f t="shared" si="32"/>
        <v xml:space="preserve"> </v>
      </c>
      <c r="Q148" s="30" t="str">
        <f t="shared" si="33"/>
        <v xml:space="preserve"> </v>
      </c>
      <c r="R148" s="31" t="str">
        <f t="shared" si="34"/>
        <v xml:space="preserve"> </v>
      </c>
      <c r="S148" s="32" t="str">
        <f t="shared" si="35"/>
        <v xml:space="preserve"> </v>
      </c>
      <c r="T148" s="33" t="str">
        <f t="shared" si="36"/>
        <v xml:space="preserve"> </v>
      </c>
      <c r="U148" s="31" t="str">
        <f t="shared" si="37"/>
        <v/>
      </c>
      <c r="V148" s="31" t="str">
        <f t="shared" si="30"/>
        <v/>
      </c>
      <c r="W148" s="146" t="str" cm="1">
        <f t="array" ref="W148">IF(AND(L148:N148 &gt;= D148+F148, L148:N148 &lt;= D148+E148), "OK", "NG")</f>
        <v>OK</v>
      </c>
      <c r="X148" s="143"/>
    </row>
    <row r="149" spans="1:24" ht="18" customHeight="1">
      <c r="A149" s="29"/>
      <c r="B149" s="65">
        <v>113</v>
      </c>
      <c r="C149" s="66" t="s">
        <v>45</v>
      </c>
      <c r="D149" s="67">
        <v>0</v>
      </c>
      <c r="E149" s="67">
        <v>0.04</v>
      </c>
      <c r="F149" s="67">
        <v>0</v>
      </c>
      <c r="G149" s="67">
        <v>3.4000000000000002E-2</v>
      </c>
      <c r="H149" s="67">
        <v>0</v>
      </c>
      <c r="I149" s="67"/>
      <c r="J149" s="67"/>
      <c r="K149" s="66" t="s">
        <v>46</v>
      </c>
      <c r="L149" s="69"/>
      <c r="M149" s="69"/>
      <c r="N149" s="69"/>
      <c r="O149" s="30" t="str">
        <f t="shared" si="31"/>
        <v xml:space="preserve"> </v>
      </c>
      <c r="P149" s="30" t="str">
        <f t="shared" si="32"/>
        <v xml:space="preserve"> </v>
      </c>
      <c r="Q149" s="30" t="str">
        <f t="shared" si="33"/>
        <v xml:space="preserve"> </v>
      </c>
      <c r="R149" s="31" t="str">
        <f t="shared" si="34"/>
        <v xml:space="preserve"> </v>
      </c>
      <c r="S149" s="32" t="str">
        <f t="shared" si="35"/>
        <v xml:space="preserve"> </v>
      </c>
      <c r="T149" s="33" t="str">
        <f t="shared" si="36"/>
        <v xml:space="preserve"> </v>
      </c>
      <c r="U149" s="31" t="str">
        <f t="shared" si="37"/>
        <v/>
      </c>
      <c r="V149" s="31" t="str">
        <f t="shared" si="30"/>
        <v/>
      </c>
      <c r="W149" s="146" t="str" cm="1">
        <f t="array" ref="W149">IF(AND(L149:N149 &gt;= D149+F149, L149:N149 &lt;= D149+E149), "OK", "NG")</f>
        <v>OK</v>
      </c>
      <c r="X149" s="143"/>
    </row>
    <row r="150" spans="1:24" ht="18" customHeight="1">
      <c r="A150" s="29"/>
      <c r="B150" s="65" t="s">
        <v>263</v>
      </c>
      <c r="C150" s="66" t="s">
        <v>45</v>
      </c>
      <c r="D150" s="67">
        <v>15.302</v>
      </c>
      <c r="E150" s="67">
        <v>0.02</v>
      </c>
      <c r="F150" s="67">
        <v>-0.02</v>
      </c>
      <c r="G150" s="67">
        <v>15.318999999999999</v>
      </c>
      <c r="H150" s="67">
        <v>15.285</v>
      </c>
      <c r="I150" s="67"/>
      <c r="J150" s="67"/>
      <c r="K150" s="66" t="s">
        <v>46</v>
      </c>
      <c r="L150" s="69"/>
      <c r="M150" s="69"/>
      <c r="N150" s="69"/>
      <c r="O150" s="30" t="str">
        <f t="shared" si="31"/>
        <v xml:space="preserve"> </v>
      </c>
      <c r="P150" s="30" t="str">
        <f t="shared" si="32"/>
        <v xml:space="preserve"> </v>
      </c>
      <c r="Q150" s="30" t="str">
        <f t="shared" si="33"/>
        <v xml:space="preserve"> </v>
      </c>
      <c r="R150" s="31" t="str">
        <f t="shared" si="34"/>
        <v xml:space="preserve"> </v>
      </c>
      <c r="S150" s="32" t="str">
        <f t="shared" si="35"/>
        <v xml:space="preserve"> </v>
      </c>
      <c r="T150" s="33" t="str">
        <f t="shared" si="36"/>
        <v xml:space="preserve"> </v>
      </c>
      <c r="U150" s="31" t="str">
        <f t="shared" si="37"/>
        <v/>
      </c>
      <c r="V150" s="31" t="str">
        <f t="shared" si="30"/>
        <v/>
      </c>
      <c r="W150" s="146" t="str" cm="1">
        <f t="array" ref="W150">IF(AND(L150:N150 &gt;= D150+F150, L150:N150 &lt;= D150+E150), "OK", "NG")</f>
        <v>NG</v>
      </c>
      <c r="X150" s="143"/>
    </row>
    <row r="151" spans="1:24" ht="18" customHeight="1">
      <c r="A151" s="29"/>
      <c r="B151" s="65" t="s">
        <v>264</v>
      </c>
      <c r="C151" s="66" t="s">
        <v>45</v>
      </c>
      <c r="D151" s="67">
        <v>15.302</v>
      </c>
      <c r="E151" s="67">
        <v>0.02</v>
      </c>
      <c r="F151" s="67">
        <v>-0.02</v>
      </c>
      <c r="G151" s="67">
        <v>15.318999999999999</v>
      </c>
      <c r="H151" s="67">
        <v>15.285</v>
      </c>
      <c r="I151" s="67"/>
      <c r="J151" s="67"/>
      <c r="K151" s="66" t="s">
        <v>46</v>
      </c>
      <c r="L151" s="69"/>
      <c r="M151" s="69"/>
      <c r="N151" s="69"/>
      <c r="O151" s="30" t="str">
        <f t="shared" si="31"/>
        <v xml:space="preserve"> </v>
      </c>
      <c r="P151" s="30" t="str">
        <f t="shared" si="32"/>
        <v xml:space="preserve"> </v>
      </c>
      <c r="Q151" s="30" t="str">
        <f t="shared" si="33"/>
        <v xml:space="preserve"> </v>
      </c>
      <c r="R151" s="31" t="str">
        <f t="shared" si="34"/>
        <v xml:space="preserve"> </v>
      </c>
      <c r="S151" s="32" t="str">
        <f t="shared" si="35"/>
        <v xml:space="preserve"> </v>
      </c>
      <c r="T151" s="33" t="str">
        <f t="shared" si="36"/>
        <v xml:space="preserve"> </v>
      </c>
      <c r="U151" s="31" t="str">
        <f t="shared" si="37"/>
        <v/>
      </c>
      <c r="V151" s="31" t="str">
        <f t="shared" si="30"/>
        <v/>
      </c>
      <c r="W151" s="146" t="str" cm="1">
        <f t="array" ref="W151">IF(AND(L151:N151 &gt;= D151+F151, L151:N151 &lt;= D151+E151), "OK", "NG")</f>
        <v>NG</v>
      </c>
      <c r="X151" s="143"/>
    </row>
    <row r="152" spans="1:24" ht="18" customHeight="1">
      <c r="A152" s="29"/>
      <c r="B152" s="65">
        <v>115</v>
      </c>
      <c r="C152" s="66" t="s">
        <v>45</v>
      </c>
      <c r="D152" s="67">
        <v>1.8360000000000001</v>
      </c>
      <c r="E152" s="67">
        <v>0.02</v>
      </c>
      <c r="F152" s="67">
        <v>-0.02</v>
      </c>
      <c r="G152" s="67">
        <v>1.853</v>
      </c>
      <c r="H152" s="67">
        <v>1.8190000000000002</v>
      </c>
      <c r="I152" s="67"/>
      <c r="J152" s="67"/>
      <c r="K152" s="66" t="s">
        <v>46</v>
      </c>
      <c r="L152" s="69"/>
      <c r="M152" s="69"/>
      <c r="N152" s="69"/>
      <c r="O152" s="30" t="str">
        <f t="shared" si="31"/>
        <v xml:space="preserve"> </v>
      </c>
      <c r="P152" s="30" t="str">
        <f t="shared" si="32"/>
        <v xml:space="preserve"> </v>
      </c>
      <c r="Q152" s="30" t="str">
        <f t="shared" si="33"/>
        <v xml:space="preserve"> </v>
      </c>
      <c r="R152" s="31" t="str">
        <f t="shared" si="34"/>
        <v xml:space="preserve"> </v>
      </c>
      <c r="S152" s="32" t="str">
        <f t="shared" si="35"/>
        <v xml:space="preserve"> </v>
      </c>
      <c r="T152" s="33" t="str">
        <f t="shared" si="36"/>
        <v xml:space="preserve"> </v>
      </c>
      <c r="U152" s="31" t="str">
        <f t="shared" si="37"/>
        <v/>
      </c>
      <c r="V152" s="31" t="str">
        <f t="shared" si="30"/>
        <v/>
      </c>
      <c r="W152" s="146" t="str" cm="1">
        <f t="array" ref="W152">IF(AND(L152:N152 &gt;= D152+F152, L152:N152 &lt;= D152+E152), "OK", "NG")</f>
        <v>NG</v>
      </c>
      <c r="X152" s="143"/>
    </row>
    <row r="153" spans="1:24" ht="18" customHeight="1">
      <c r="A153" s="29"/>
      <c r="B153" s="65" t="s">
        <v>310</v>
      </c>
      <c r="C153" s="66" t="s">
        <v>45</v>
      </c>
      <c r="D153" s="67">
        <v>0.22</v>
      </c>
      <c r="E153" s="67">
        <v>0.02</v>
      </c>
      <c r="F153" s="67">
        <v>-0.02</v>
      </c>
      <c r="G153" s="67">
        <v>0.23699999999999999</v>
      </c>
      <c r="H153" s="67">
        <v>0.20300000000000001</v>
      </c>
      <c r="I153" s="67"/>
      <c r="J153" s="67"/>
      <c r="K153" s="66" t="s">
        <v>46</v>
      </c>
      <c r="L153" s="69"/>
      <c r="M153" s="69"/>
      <c r="N153" s="69"/>
      <c r="O153" s="30" t="str">
        <f t="shared" si="31"/>
        <v xml:space="preserve"> </v>
      </c>
      <c r="P153" s="30" t="str">
        <f t="shared" si="32"/>
        <v xml:space="preserve"> </v>
      </c>
      <c r="Q153" s="30" t="str">
        <f t="shared" si="33"/>
        <v xml:space="preserve"> </v>
      </c>
      <c r="R153" s="31" t="str">
        <f t="shared" si="34"/>
        <v xml:space="preserve"> </v>
      </c>
      <c r="S153" s="32" t="str">
        <f t="shared" si="35"/>
        <v xml:space="preserve"> </v>
      </c>
      <c r="T153" s="33" t="str">
        <f t="shared" si="36"/>
        <v xml:space="preserve"> </v>
      </c>
      <c r="U153" s="31" t="str">
        <f t="shared" si="37"/>
        <v/>
      </c>
      <c r="V153" s="31" t="str">
        <f t="shared" si="30"/>
        <v/>
      </c>
      <c r="W153" s="146" t="str" cm="1">
        <f t="array" ref="W153">IF(AND(L153:N153 &gt;= D153+F153, L153:N153 &lt;= D153+E153), "OK", "NG")</f>
        <v>NG</v>
      </c>
      <c r="X153" s="143"/>
    </row>
    <row r="154" spans="1:24" ht="18" customHeight="1">
      <c r="A154" s="29"/>
      <c r="B154" s="65" t="s">
        <v>311</v>
      </c>
      <c r="C154" s="66" t="s">
        <v>45</v>
      </c>
      <c r="D154" s="67">
        <v>0.22</v>
      </c>
      <c r="E154" s="67">
        <v>0.02</v>
      </c>
      <c r="F154" s="67">
        <v>-0.02</v>
      </c>
      <c r="G154" s="67">
        <v>0.23699999999999999</v>
      </c>
      <c r="H154" s="67">
        <v>0.20300000000000001</v>
      </c>
      <c r="I154" s="67"/>
      <c r="J154" s="67"/>
      <c r="K154" s="66" t="s">
        <v>46</v>
      </c>
      <c r="L154" s="69"/>
      <c r="M154" s="69"/>
      <c r="N154" s="69"/>
      <c r="O154" s="30" t="str">
        <f t="shared" si="31"/>
        <v xml:space="preserve"> </v>
      </c>
      <c r="P154" s="30" t="str">
        <f t="shared" si="32"/>
        <v xml:space="preserve"> </v>
      </c>
      <c r="Q154" s="30" t="str">
        <f t="shared" si="33"/>
        <v xml:space="preserve"> </v>
      </c>
      <c r="R154" s="31" t="str">
        <f t="shared" si="34"/>
        <v xml:space="preserve"> </v>
      </c>
      <c r="S154" s="32" t="str">
        <f t="shared" si="35"/>
        <v xml:space="preserve"> </v>
      </c>
      <c r="T154" s="33" t="str">
        <f t="shared" si="36"/>
        <v xml:space="preserve"> </v>
      </c>
      <c r="U154" s="31" t="str">
        <f t="shared" si="37"/>
        <v/>
      </c>
      <c r="V154" s="31" t="str">
        <f t="shared" si="30"/>
        <v/>
      </c>
      <c r="W154" s="146" t="str" cm="1">
        <f t="array" ref="W154">IF(AND(L154:N154 &gt;= D154+F154, L154:N154 &lt;= D154+E154), "OK", "NG")</f>
        <v>NG</v>
      </c>
      <c r="X154" s="143"/>
    </row>
    <row r="155" spans="1:24" ht="18" customHeight="1">
      <c r="A155" s="29"/>
      <c r="B155" s="73" t="s">
        <v>338</v>
      </c>
      <c r="C155" s="66" t="s">
        <v>45</v>
      </c>
      <c r="D155" s="67">
        <v>0.22</v>
      </c>
      <c r="E155" s="67">
        <v>0.03</v>
      </c>
      <c r="F155" s="67">
        <v>-0.02</v>
      </c>
      <c r="G155" s="67">
        <v>0.2455</v>
      </c>
      <c r="H155" s="67">
        <v>0.20300000000000001</v>
      </c>
      <c r="I155" s="67"/>
      <c r="J155" s="67"/>
      <c r="K155" s="66" t="s">
        <v>46</v>
      </c>
      <c r="L155" s="69"/>
      <c r="M155" s="69"/>
      <c r="N155" s="69"/>
      <c r="O155" s="30" t="str">
        <f t="shared" si="31"/>
        <v xml:space="preserve"> </v>
      </c>
      <c r="P155" s="30" t="str">
        <f t="shared" si="32"/>
        <v xml:space="preserve"> </v>
      </c>
      <c r="Q155" s="30" t="str">
        <f t="shared" si="33"/>
        <v xml:space="preserve"> </v>
      </c>
      <c r="R155" s="31" t="str">
        <f t="shared" si="34"/>
        <v xml:space="preserve"> </v>
      </c>
      <c r="S155" s="32" t="str">
        <f t="shared" si="35"/>
        <v xml:space="preserve"> </v>
      </c>
      <c r="T155" s="33" t="str">
        <f t="shared" si="36"/>
        <v xml:space="preserve"> </v>
      </c>
      <c r="U155" s="31" t="str">
        <f t="shared" si="37"/>
        <v/>
      </c>
      <c r="V155" s="31" t="str">
        <f t="shared" si="30"/>
        <v/>
      </c>
      <c r="W155" s="146" t="str" cm="1">
        <f t="array" ref="W155">IF(AND(L155:N155 &gt;= D155+F155, L155:N155 &lt;= D155+E155), "OK", "NG")</f>
        <v>NG</v>
      </c>
      <c r="X155" s="143"/>
    </row>
    <row r="156" spans="1:24" ht="18" customHeight="1">
      <c r="A156" s="29"/>
      <c r="B156" s="65" t="s">
        <v>339</v>
      </c>
      <c r="C156" s="66" t="s">
        <v>45</v>
      </c>
      <c r="D156" s="67">
        <v>0.22</v>
      </c>
      <c r="E156" s="67">
        <v>0.03</v>
      </c>
      <c r="F156" s="67">
        <v>-0.02</v>
      </c>
      <c r="G156" s="67">
        <v>0.2455</v>
      </c>
      <c r="H156" s="67">
        <v>0.20300000000000001</v>
      </c>
      <c r="I156" s="67"/>
      <c r="J156" s="67"/>
      <c r="K156" s="66" t="s">
        <v>46</v>
      </c>
      <c r="L156" s="69"/>
      <c r="M156" s="69"/>
      <c r="N156" s="69"/>
      <c r="O156" s="30" t="str">
        <f t="shared" si="31"/>
        <v xml:space="preserve"> </v>
      </c>
      <c r="P156" s="30" t="str">
        <f t="shared" si="32"/>
        <v xml:space="preserve"> </v>
      </c>
      <c r="Q156" s="30" t="str">
        <f t="shared" si="33"/>
        <v xml:space="preserve"> </v>
      </c>
      <c r="R156" s="31" t="str">
        <f t="shared" si="34"/>
        <v xml:space="preserve"> </v>
      </c>
      <c r="S156" s="32" t="str">
        <f t="shared" si="35"/>
        <v xml:space="preserve"> </v>
      </c>
      <c r="T156" s="33" t="str">
        <f t="shared" si="36"/>
        <v xml:space="preserve"> </v>
      </c>
      <c r="U156" s="31" t="str">
        <f t="shared" si="37"/>
        <v/>
      </c>
      <c r="V156" s="31" t="str">
        <f t="shared" si="30"/>
        <v/>
      </c>
      <c r="W156" s="146" t="str" cm="1">
        <f t="array" ref="W156">IF(AND(L156:N156 &gt;= D156+F156, L156:N156 &lt;= D156+E156), "OK", "NG")</f>
        <v>NG</v>
      </c>
      <c r="X156" s="143"/>
    </row>
    <row r="157" spans="1:24">
      <c r="W157" s="143">
        <f>COUNTIFS(W6:W156,"NG")</f>
        <v>104</v>
      </c>
      <c r="X157" s="143"/>
    </row>
  </sheetData>
  <mergeCells count="16">
    <mergeCell ref="A1:W1"/>
    <mergeCell ref="L3:Q3"/>
    <mergeCell ref="R3:V3"/>
    <mergeCell ref="W3:W5"/>
    <mergeCell ref="L4:N4"/>
    <mergeCell ref="O4:Q4"/>
    <mergeCell ref="R4:R5"/>
    <mergeCell ref="K4:K5"/>
    <mergeCell ref="B3:K3"/>
    <mergeCell ref="B4:B5"/>
    <mergeCell ref="C4:C5"/>
    <mergeCell ref="D4:D5"/>
    <mergeCell ref="E4:E5"/>
    <mergeCell ref="F4:F5"/>
    <mergeCell ref="G4:H4"/>
    <mergeCell ref="I4:J4"/>
  </mergeCells>
  <phoneticPr fontId="10" type="noConversion"/>
  <conditionalFormatting sqref="L6:N156">
    <cfRule type="expression" dxfId="42" priority="1" stopIfTrue="1">
      <formula>AND(($D6+$E6)&lt;&gt;"",L6&lt;&gt;"",L6&gt;($D6+$E6))</formula>
    </cfRule>
    <cfRule type="expression" dxfId="41" priority="2" stopIfTrue="1">
      <formula>AND(($D6+$F6)&lt;&gt;"",L6&lt;&gt;"",L6&lt;($D6+$F6))</formula>
    </cfRule>
    <cfRule type="cellIs" dxfId="40" priority="3" operator="lessThan">
      <formula>$H6</formula>
    </cfRule>
    <cfRule type="cellIs" dxfId="39" priority="4" operator="greaterThan">
      <formula>$G6</formula>
    </cfRule>
  </conditionalFormatting>
  <conditionalFormatting sqref="L17:N18">
    <cfRule type="cellIs" dxfId="38" priority="26" operator="lessThan">
      <formula>$J17</formula>
    </cfRule>
    <cfRule type="cellIs" dxfId="37" priority="27" operator="greaterThan">
      <formula>$I17</formula>
    </cfRule>
  </conditionalFormatting>
  <conditionalFormatting sqref="L27:N27">
    <cfRule type="cellIs" dxfId="36" priority="24" operator="lessThan">
      <formula>$J27</formula>
    </cfRule>
    <cfRule type="cellIs" dxfId="35" priority="25" operator="greaterThan">
      <formula>$I27</formula>
    </cfRule>
  </conditionalFormatting>
  <conditionalFormatting sqref="L45:N48">
    <cfRule type="cellIs" dxfId="34" priority="21" operator="lessThan">
      <formula>$J45</formula>
    </cfRule>
    <cfRule type="cellIs" dxfId="33" priority="22" operator="greaterThan">
      <formula>$I45</formula>
    </cfRule>
  </conditionalFormatting>
  <conditionalFormatting sqref="L92:N97">
    <cfRule type="cellIs" dxfId="32" priority="19" operator="lessThan">
      <formula>$J92</formula>
    </cfRule>
    <cfRule type="cellIs" dxfId="31" priority="20" operator="greaterThan">
      <formula>$I92</formula>
    </cfRule>
  </conditionalFormatting>
  <conditionalFormatting sqref="L99:N104">
    <cfRule type="cellIs" dxfId="30" priority="17" operator="lessThan">
      <formula>$J99</formula>
    </cfRule>
    <cfRule type="cellIs" dxfId="29" priority="18" operator="greaterThan">
      <formula>$I99</formula>
    </cfRule>
  </conditionalFormatting>
  <conditionalFormatting sqref="L106:N109">
    <cfRule type="cellIs" dxfId="28" priority="15" operator="lessThan">
      <formula>$J106</formula>
    </cfRule>
    <cfRule type="cellIs" dxfId="27" priority="16" operator="greaterThan">
      <formula>$I106</formula>
    </cfRule>
  </conditionalFormatting>
  <conditionalFormatting sqref="L115:N115">
    <cfRule type="cellIs" dxfId="26" priority="13" operator="lessThan">
      <formula>$J115</formula>
    </cfRule>
    <cfRule type="cellIs" dxfId="25" priority="14" operator="greaterThan">
      <formula>$I115</formula>
    </cfRule>
  </conditionalFormatting>
  <conditionalFormatting sqref="L121:N121">
    <cfRule type="cellIs" dxfId="24" priority="9" operator="lessThan">
      <formula>$J121</formula>
    </cfRule>
    <cfRule type="cellIs" dxfId="23" priority="10" operator="greaterThan">
      <formula>$I121</formula>
    </cfRule>
  </conditionalFormatting>
  <conditionalFormatting sqref="L127:N127">
    <cfRule type="cellIs" dxfId="22" priority="7" operator="lessThan">
      <formula>$J127</formula>
    </cfRule>
    <cfRule type="cellIs" dxfId="21" priority="8" operator="greaterThan">
      <formula>$I127</formula>
    </cfRule>
  </conditionalFormatting>
  <conditionalFormatting sqref="L133:N133">
    <cfRule type="cellIs" dxfId="20" priority="5" operator="lessThan">
      <formula>$J133</formula>
    </cfRule>
    <cfRule type="cellIs" dxfId="19" priority="6" operator="greaterThan">
      <formula>$I133</formula>
    </cfRule>
  </conditionalFormatting>
  <pageMargins left="0.7" right="0.7" top="0.75" bottom="0.75" header="0.3" footer="0.3"/>
  <pageSetup paperSize="9" orientation="portrait" horizontalDpi="90" verticalDpi="90" r:id="rId1"/>
  <ignoredErrors>
    <ignoredError sqref="W6:W157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ACC7-4CD9-8343-9349-902F36219EE0}">
  <sheetPr codeName="Sheet4"/>
  <dimension ref="A1:BR95"/>
  <sheetViews>
    <sheetView showGridLines="0" zoomScale="85" zoomScaleNormal="85" zoomScalePageLayoutView="125" workbookViewId="0">
      <pane xSplit="16" ySplit="1" topLeftCell="Q68" activePane="bottomRight" state="frozen"/>
      <selection activeCell="N102" sqref="N102:P125"/>
      <selection pane="topRight" activeCell="N102" sqref="N102:P125"/>
      <selection pane="bottomLeft" activeCell="N102" sqref="N102:P125"/>
      <selection pane="bottomRight" activeCell="AF93" sqref="AF93"/>
    </sheetView>
  </sheetViews>
  <sheetFormatPr defaultColWidth="8.81640625" defaultRowHeight="19.2"/>
  <cols>
    <col min="1" max="1" width="0.81640625" style="16" customWidth="1"/>
    <col min="2" max="2" width="7.81640625" style="16" customWidth="1"/>
    <col min="3" max="3" width="11.1796875" style="16" bestFit="1" customWidth="1"/>
    <col min="4" max="4" width="24" style="16" customWidth="1"/>
    <col min="5" max="5" width="7.81640625" style="16" customWidth="1"/>
    <col min="6" max="7" width="8.1796875" style="16" customWidth="1"/>
    <col min="8" max="8" width="7.81640625" style="16" customWidth="1"/>
    <col min="9" max="9" width="7.81640625" style="16" hidden="1" customWidth="1"/>
    <col min="10" max="11" width="7.81640625" style="16" customWidth="1"/>
    <col min="12" max="15" width="7.81640625" style="16" hidden="1" customWidth="1"/>
    <col min="16" max="16" width="0.81640625" style="16" customWidth="1"/>
    <col min="17" max="20" width="7.81640625" style="16" customWidth="1"/>
    <col min="21" max="26" width="7.81640625" style="16" hidden="1" customWidth="1"/>
    <col min="27" max="27" width="7.81640625" style="16" customWidth="1"/>
    <col min="28" max="28" width="10" style="16" hidden="1" customWidth="1"/>
    <col min="29" max="31" width="9.453125" style="16" hidden="1" customWidth="1"/>
    <col min="32" max="32" width="7.81640625" style="16" customWidth="1"/>
    <col min="33" max="33" width="9" style="16" customWidth="1"/>
    <col min="34" max="34" width="8.6328125" style="16" customWidth="1"/>
    <col min="35" max="36" width="9" style="16" hidden="1" customWidth="1"/>
    <col min="37" max="37" width="7.54296875" style="16" hidden="1" customWidth="1"/>
    <col min="38" max="38" width="0.81640625" style="16" customWidth="1"/>
    <col min="39" max="70" width="7.81640625" style="16" customWidth="1"/>
    <col min="71" max="16384" width="8.81640625" style="16"/>
  </cols>
  <sheetData>
    <row r="1" spans="1:70" s="78" customFormat="1" ht="22.2" customHeight="1">
      <c r="A1" s="155" t="s">
        <v>49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22"/>
      <c r="AI1" s="22"/>
      <c r="AJ1" s="22"/>
      <c r="AK1" s="22"/>
      <c r="AL1" s="22"/>
    </row>
    <row r="2" spans="1:70" s="78" customFormat="1" ht="9" customHeight="1"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Q2" s="79"/>
      <c r="R2" s="79"/>
      <c r="S2" s="79"/>
      <c r="T2" s="79"/>
      <c r="U2" s="79" t="s">
        <v>50</v>
      </c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M2" s="80"/>
    </row>
    <row r="3" spans="1:70" s="23" customFormat="1" ht="15" customHeight="1">
      <c r="A3" s="81"/>
      <c r="B3" s="157" t="s">
        <v>51</v>
      </c>
      <c r="C3" s="156"/>
      <c r="D3" s="156"/>
      <c r="E3" s="156"/>
      <c r="F3" s="156"/>
      <c r="G3" s="156"/>
      <c r="H3" s="156"/>
      <c r="I3" s="156"/>
      <c r="J3" s="156"/>
      <c r="K3" s="158"/>
      <c r="L3" s="139"/>
      <c r="M3" s="139"/>
      <c r="N3" s="139"/>
      <c r="O3" s="139"/>
      <c r="P3" s="82"/>
      <c r="Q3" s="157" t="s">
        <v>52</v>
      </c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8"/>
      <c r="AH3" s="83"/>
      <c r="AI3" s="176" t="s">
        <v>53</v>
      </c>
      <c r="AJ3" s="176"/>
      <c r="AK3" s="176"/>
      <c r="AL3" s="84"/>
      <c r="AM3" s="170" t="s">
        <v>54</v>
      </c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1"/>
      <c r="BO3" s="171"/>
      <c r="BP3" s="171"/>
      <c r="BQ3" s="171"/>
      <c r="BR3" s="172"/>
    </row>
    <row r="4" spans="1:70" s="23" customFormat="1" ht="25.2" customHeight="1">
      <c r="A4" s="81"/>
      <c r="B4" s="85"/>
      <c r="C4" s="85"/>
      <c r="D4" s="85"/>
      <c r="E4" s="86"/>
      <c r="F4" s="87" t="s">
        <v>55</v>
      </c>
      <c r="G4" s="87" t="s">
        <v>56</v>
      </c>
      <c r="H4" s="88"/>
      <c r="I4" s="88"/>
      <c r="J4" s="89"/>
      <c r="K4" s="89"/>
      <c r="L4" s="179" t="s">
        <v>357</v>
      </c>
      <c r="M4" s="180"/>
      <c r="N4" s="181" t="s">
        <v>358</v>
      </c>
      <c r="O4" s="180"/>
      <c r="P4" s="81"/>
      <c r="Q4" s="90"/>
      <c r="R4" s="90"/>
      <c r="S4" s="91"/>
      <c r="T4" s="90"/>
      <c r="U4" s="92"/>
      <c r="V4" s="92"/>
      <c r="W4" s="92"/>
      <c r="X4" s="92"/>
      <c r="Y4" s="92"/>
      <c r="Z4" s="92"/>
      <c r="AA4" s="92"/>
      <c r="AB4" s="177" t="s">
        <v>57</v>
      </c>
      <c r="AC4" s="178"/>
      <c r="AD4" s="93" t="s">
        <v>58</v>
      </c>
      <c r="AE4" s="94">
        <v>1.5</v>
      </c>
      <c r="AF4" s="95"/>
      <c r="AG4" s="95"/>
      <c r="AH4" s="82"/>
      <c r="AI4" s="84"/>
      <c r="AJ4" s="84"/>
      <c r="AK4" s="96"/>
      <c r="AL4" s="97"/>
      <c r="AM4" s="173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4"/>
      <c r="BL4" s="174"/>
      <c r="BM4" s="174"/>
      <c r="BN4" s="174"/>
      <c r="BO4" s="174"/>
      <c r="BP4" s="174"/>
      <c r="BQ4" s="174"/>
      <c r="BR4" s="175"/>
    </row>
    <row r="5" spans="1:70" s="112" customFormat="1" ht="22.8">
      <c r="A5" s="98"/>
      <c r="B5" s="99" t="s">
        <v>59</v>
      </c>
      <c r="C5" s="99" t="s">
        <v>30</v>
      </c>
      <c r="D5" s="99" t="s">
        <v>60</v>
      </c>
      <c r="E5" s="100" t="s">
        <v>32</v>
      </c>
      <c r="F5" s="101" t="s">
        <v>61</v>
      </c>
      <c r="G5" s="101" t="s">
        <v>62</v>
      </c>
      <c r="H5" s="102" t="s">
        <v>35</v>
      </c>
      <c r="I5" s="102" t="s">
        <v>63</v>
      </c>
      <c r="J5" s="103" t="s">
        <v>64</v>
      </c>
      <c r="K5" s="103" t="s">
        <v>65</v>
      </c>
      <c r="L5" s="103" t="s">
        <v>64</v>
      </c>
      <c r="M5" s="103" t="s">
        <v>65</v>
      </c>
      <c r="N5" s="103" t="s">
        <v>64</v>
      </c>
      <c r="O5" s="103" t="s">
        <v>65</v>
      </c>
      <c r="P5" s="98"/>
      <c r="Q5" s="104" t="s">
        <v>66</v>
      </c>
      <c r="R5" s="104" t="s">
        <v>67</v>
      </c>
      <c r="S5" s="105" t="s">
        <v>38</v>
      </c>
      <c r="T5" s="104" t="s">
        <v>68</v>
      </c>
      <c r="U5" s="106" t="s">
        <v>69</v>
      </c>
      <c r="V5" s="106" t="s">
        <v>70</v>
      </c>
      <c r="W5" s="106" t="s">
        <v>71</v>
      </c>
      <c r="X5" s="106" t="s">
        <v>72</v>
      </c>
      <c r="Y5" s="106" t="s">
        <v>73</v>
      </c>
      <c r="Z5" s="106" t="s">
        <v>74</v>
      </c>
      <c r="AA5" s="106" t="s">
        <v>75</v>
      </c>
      <c r="AB5" s="107" t="s">
        <v>76</v>
      </c>
      <c r="AC5" s="107" t="s">
        <v>77</v>
      </c>
      <c r="AD5" s="107" t="s">
        <v>78</v>
      </c>
      <c r="AE5" s="108" t="s">
        <v>79</v>
      </c>
      <c r="AF5" s="109" t="s">
        <v>80</v>
      </c>
      <c r="AG5" s="109" t="s">
        <v>81</v>
      </c>
      <c r="AH5" s="109" t="s">
        <v>82</v>
      </c>
      <c r="AI5" s="84"/>
      <c r="AJ5" s="84"/>
      <c r="AK5" s="96"/>
      <c r="AL5" s="110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</row>
    <row r="6" spans="1:70" ht="19.2" customHeight="1">
      <c r="B6" s="113" t="s">
        <v>236</v>
      </c>
      <c r="C6" s="65" t="s">
        <v>166</v>
      </c>
      <c r="D6" s="114" t="s">
        <v>153</v>
      </c>
      <c r="E6" s="115">
        <v>0</v>
      </c>
      <c r="F6" s="116">
        <v>8.0000000000000002E-3</v>
      </c>
      <c r="G6" s="115">
        <v>0</v>
      </c>
      <c r="H6" s="117" t="s">
        <v>154</v>
      </c>
      <c r="I6" s="118" t="s">
        <v>84</v>
      </c>
      <c r="J6" s="119">
        <f>E6+F6</f>
        <v>8.0000000000000002E-3</v>
      </c>
      <c r="K6" s="119">
        <f>E6+G6</f>
        <v>0</v>
      </c>
      <c r="L6" s="142">
        <v>6.7999999999999996E-3</v>
      </c>
      <c r="M6" s="142">
        <v>0</v>
      </c>
      <c r="N6" s="142"/>
      <c r="O6" s="142"/>
      <c r="P6" s="120"/>
      <c r="Q6" s="121">
        <f t="shared" ref="Q6:Q73" si="0">IF(OR($AM6=ISBLANK(TRUE),ISNUMBER($AM6)=FALSE),,MAX(AM6:BR6))</f>
        <v>0</v>
      </c>
      <c r="R6" s="121">
        <f t="shared" ref="R6:R73" si="1">IF(OR($AM6=ISBLANK(TRUE),ISNUMBER($AM6)=FALSE),,MIN(AM6:BR6))</f>
        <v>0</v>
      </c>
      <c r="S6" s="121">
        <f t="shared" ref="S6:S73" si="2">IF(OR($AM6=ISBLANK(TRUE),ISNUMBER($AM6)=FALSE),,AVERAGE(AM6:BR6))</f>
        <v>0</v>
      </c>
      <c r="T6" s="122">
        <f t="shared" ref="T6:T51" si="3">IF(OR($AM6=ISBLANK(TRUE),ISNUMBER($AM6)=FALSE),,STDEV(AM6:BR6))</f>
        <v>0</v>
      </c>
      <c r="U6" s="123" t="str">
        <f t="shared" ref="U6:U73" si="4">IF(OR($AM6="",ISNUMBER($AM6)=FALSE),"",IF(AND(E6=0,G6=0),X6,IF(AND(E6="",F6=""),Y6,(F6+ABS(G6))/(6*T6))))</f>
        <v/>
      </c>
      <c r="V6" s="124" t="str">
        <f>IF(OR($AM6="",ISNUMBER($AM6)=FALSE),"",IF(AND(#REF!="Tolerance",$E6&lt;&gt;""),($S6-$E6)/(($J6-$K6)/2),IF(AND(#REF!="GD&amp;T",$F6&lt;&gt;""),$S6/$F6,"")))</f>
        <v/>
      </c>
      <c r="W6" s="124" t="str">
        <f>IF($V6="","",IF(ABS($V6)&lt;=0.125, "Level A",IF(AND(ABS($V6)&gt;0.125,ABS($V6)&lt;=0.25), "Level B",IF(AND(ABS($V6)&gt;0.25,ABS($V6)&lt;=0.5), "Level C", IF(ABS($V6)&gt;0.5, "Level D")))))</f>
        <v/>
      </c>
      <c r="X6" s="123" t="str">
        <f t="shared" ref="X6:X73" si="5">IF(OR($AM6="",ISNUMBER($AM6)=FALSE),"",IF(F6="","",(J6-S6)/(3*T6)))</f>
        <v/>
      </c>
      <c r="Y6" s="123" t="str">
        <f t="shared" ref="Y6:Y73" si="6">IF(OR($AM6="",ISNUMBER($AM6)=FALSE),"",IF(G6="","",(S6-K6)/(3*T6)))</f>
        <v/>
      </c>
      <c r="Z6" s="123" t="str">
        <f t="shared" ref="Z6:Z73" si="7">IF(OR($AM6="",ISNUMBER($AM6)=FALSE),"",IF(AND(E6=0,G6=0),((F6)-(S6))/(3*T6),MIN(X6:Y6)))</f>
        <v/>
      </c>
      <c r="AA6" s="34" t="str">
        <f t="shared" ref="AA6:AA73" si="8">IF(OR($AM6="",ISNUMBER($AM6)=FALSE),"",IF(AND(E6=0,G6=0),NORMSDIST(3*Z6),NORMSDIST(3*Z6)+NORMSDIST(6*U6-3*Z6)-1))</f>
        <v/>
      </c>
      <c r="AB6" s="35" t="e">
        <f>IF($S6="","",IF(#REF!="Tolerance",IF((#REF!*3*T6+S6)-E6&lt;F6,"",(#REF!*3*T6+S6)-E6),IF(OR(#REF!="GD&amp;T",#REF!="MAX"),IF((#REF!*3*T6+S6)&lt;F6,"",(#REF!*3*T6+S6)),"")))</f>
        <v>#REF!</v>
      </c>
      <c r="AC6" s="35" t="e">
        <f>IF(S6="","",IF(#REF!="Tolerance",IF(-((#REF!*3*T6)-S6)-E6&gt;G6,"",-((#REF!*3*T6)-S6)-E6),IF(#REF!="MIN",IF(-((#REF!*3*T6)-S6)&gt;G6,"",-((#REF!*3*T6)-S6)),"")))</f>
        <v>#REF!</v>
      </c>
      <c r="AD6" s="35">
        <f>IF(OR(E6="",S6=""),"",(J6+K6)/2-S6)</f>
        <v>4.0000000000000001E-3</v>
      </c>
      <c r="AE6" s="35" t="str">
        <f t="shared" ref="AE6:AE73" si="9">IF(OR($U6&gt;$AE$4,$T6=""),"",$AE$4*6*$T6)</f>
        <v/>
      </c>
      <c r="AF6" s="125"/>
      <c r="AG6" s="126" t="str">
        <f>IF(AF6="","",IF(AF6&gt;=0.966,"Normal","Not Normal"))</f>
        <v/>
      </c>
      <c r="AH6" s="145" t="str" cm="1">
        <f t="array" ref="AH6">IF(AND(AM6:BR6 &gt;= IF(K6="",0,K6), AM6:BR6 &lt;= IF(J6="",0,J6)), "OK", "NG")</f>
        <v>OK</v>
      </c>
      <c r="AI6" s="127"/>
      <c r="AJ6" s="127"/>
      <c r="AK6" s="128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</row>
    <row r="7" spans="1:70" ht="19.2" customHeight="1">
      <c r="B7" s="113" t="s">
        <v>237</v>
      </c>
      <c r="C7" s="65" t="s">
        <v>167</v>
      </c>
      <c r="D7" s="114" t="s">
        <v>153</v>
      </c>
      <c r="E7" s="115">
        <v>0</v>
      </c>
      <c r="F7" s="116">
        <v>8.0000000000000002E-3</v>
      </c>
      <c r="G7" s="115">
        <v>0</v>
      </c>
      <c r="H7" s="117" t="s">
        <v>154</v>
      </c>
      <c r="I7" s="118" t="s">
        <v>84</v>
      </c>
      <c r="J7" s="119">
        <f t="shared" ref="J7:J70" si="10">E7+F7</f>
        <v>8.0000000000000002E-3</v>
      </c>
      <c r="K7" s="119">
        <f t="shared" ref="K7:K70" si="11">E7+G7</f>
        <v>0</v>
      </c>
      <c r="L7" s="142">
        <v>6.7999999999999996E-3</v>
      </c>
      <c r="M7" s="142">
        <v>0</v>
      </c>
      <c r="N7" s="142"/>
      <c r="O7" s="142"/>
      <c r="P7" s="120"/>
      <c r="Q7" s="121">
        <f t="shared" si="0"/>
        <v>0</v>
      </c>
      <c r="R7" s="121">
        <f t="shared" si="1"/>
        <v>0</v>
      </c>
      <c r="S7" s="121">
        <f t="shared" si="2"/>
        <v>0</v>
      </c>
      <c r="T7" s="122">
        <f t="shared" si="3"/>
        <v>0</v>
      </c>
      <c r="U7" s="123" t="str">
        <f t="shared" si="4"/>
        <v/>
      </c>
      <c r="V7" s="124" t="str">
        <f>IF(OR($AM7="",ISNUMBER($AM7)=FALSE),"",IF(AND(#REF!="Tolerance",$E7&lt;&gt;""),($S7-$E7)/(($J7-$K7)/2),IF(AND(#REF!="GD&amp;T",$F7&lt;&gt;""),$S7/$F7,"")))</f>
        <v/>
      </c>
      <c r="W7" s="124" t="str">
        <f t="shared" ref="W7:W74" si="12">IF($V7="","",IF(ABS($V7)&lt;=0.125, "Level A",IF(AND(ABS($V7)&gt;0.125,ABS($V7)&lt;=0.25), "Level B",IF(AND(ABS($V7)&gt;0.25,ABS($V7)&lt;=0.5), "Level C", IF(ABS($V7)&gt;0.5, "Level D")))))</f>
        <v/>
      </c>
      <c r="X7" s="123" t="str">
        <f t="shared" si="5"/>
        <v/>
      </c>
      <c r="Y7" s="123" t="str">
        <f t="shared" si="6"/>
        <v/>
      </c>
      <c r="Z7" s="123" t="str">
        <f t="shared" si="7"/>
        <v/>
      </c>
      <c r="AA7" s="34" t="str">
        <f t="shared" si="8"/>
        <v/>
      </c>
      <c r="AB7" s="35" t="e">
        <f>IF($S7="","",IF(#REF!="Tolerance",IF((#REF!*3*T7+S7)-E7&lt;F7,"",(#REF!*3*T7+S7)-E7),IF(OR(#REF!="GD&amp;T",#REF!="MAX"),IF((#REF!*3*T7+S7)&lt;F7,"",(#REF!*3*T7+S7)),"")))</f>
        <v>#REF!</v>
      </c>
      <c r="AC7" s="35" t="e">
        <f>IF(S7="","",IF(#REF!="Tolerance",IF(-((#REF!*3*T7)-S7)-E7&gt;G7,"",-((#REF!*3*T7)-S7)-E7),IF(#REF!="MIN",IF(-((#REF!*3*T7)-S7)&gt;G7,"",-((#REF!*3*T7)-S7)),"")))</f>
        <v>#REF!</v>
      </c>
      <c r="AD7" s="35">
        <f t="shared" ref="AD7:AD74" si="13">IF(OR(E7="",S7=""),"",(J7+K7)/2-S7)</f>
        <v>4.0000000000000001E-3</v>
      </c>
      <c r="AE7" s="35" t="str">
        <f t="shared" si="9"/>
        <v/>
      </c>
      <c r="AF7" s="125"/>
      <c r="AG7" s="126" t="str">
        <f t="shared" ref="AG7:AG74" si="14">IF(AF7="","",IF(AF7&gt;=0.966,"Normal","Not Normal"))</f>
        <v/>
      </c>
      <c r="AH7" s="145" t="str" cm="1">
        <f t="array" ref="AH7">IF(AND(AM7:BR7 &gt;= IF(K7="",0,K7), AM7:BR7 &lt;= IF(J7="",0,J7)), "OK", "NG")</f>
        <v>OK</v>
      </c>
      <c r="AI7" s="127"/>
      <c r="AJ7" s="127"/>
      <c r="AK7" s="128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BM7" s="129"/>
      <c r="BN7" s="129"/>
      <c r="BO7" s="129"/>
      <c r="BP7" s="129"/>
      <c r="BQ7" s="129"/>
      <c r="BR7" s="129"/>
    </row>
    <row r="8" spans="1:70" ht="19.2" customHeight="1">
      <c r="B8" s="113" t="s">
        <v>238</v>
      </c>
      <c r="C8" s="65" t="s">
        <v>168</v>
      </c>
      <c r="D8" s="114" t="s">
        <v>153</v>
      </c>
      <c r="E8" s="115">
        <v>0</v>
      </c>
      <c r="F8" s="116">
        <v>8.0000000000000002E-3</v>
      </c>
      <c r="G8" s="115">
        <v>0</v>
      </c>
      <c r="H8" s="117" t="s">
        <v>154</v>
      </c>
      <c r="I8" s="118" t="s">
        <v>84</v>
      </c>
      <c r="J8" s="119">
        <f t="shared" si="10"/>
        <v>8.0000000000000002E-3</v>
      </c>
      <c r="K8" s="119">
        <f t="shared" si="11"/>
        <v>0</v>
      </c>
      <c r="L8" s="142">
        <v>6.7999999999999996E-3</v>
      </c>
      <c r="M8" s="142">
        <v>0</v>
      </c>
      <c r="N8" s="142"/>
      <c r="O8" s="142"/>
      <c r="P8" s="120"/>
      <c r="Q8" s="121">
        <f t="shared" si="0"/>
        <v>0</v>
      </c>
      <c r="R8" s="121">
        <f t="shared" si="1"/>
        <v>0</v>
      </c>
      <c r="S8" s="121">
        <f t="shared" si="2"/>
        <v>0</v>
      </c>
      <c r="T8" s="122">
        <f t="shared" si="3"/>
        <v>0</v>
      </c>
      <c r="U8" s="123" t="str">
        <f t="shared" si="4"/>
        <v/>
      </c>
      <c r="V8" s="124" t="str">
        <f>IF(OR($AM8="",ISNUMBER($AM8)=FALSE),"",IF(AND(#REF!="Tolerance",$E8&lt;&gt;""),($S8-$E8)/(($J8-$K8)/2),IF(AND(#REF!="GD&amp;T",$F8&lt;&gt;""),$S8/$F8,"")))</f>
        <v/>
      </c>
      <c r="W8" s="124" t="str">
        <f t="shared" si="12"/>
        <v/>
      </c>
      <c r="X8" s="123" t="str">
        <f t="shared" si="5"/>
        <v/>
      </c>
      <c r="Y8" s="123" t="str">
        <f t="shared" si="6"/>
        <v/>
      </c>
      <c r="Z8" s="123" t="str">
        <f t="shared" si="7"/>
        <v/>
      </c>
      <c r="AA8" s="34" t="str">
        <f t="shared" si="8"/>
        <v/>
      </c>
      <c r="AB8" s="35" t="e">
        <f>IF($S8="","",IF(#REF!="Tolerance",IF((#REF!*3*T8+S8)-E8&lt;F8,"",(#REF!*3*T8+S8)-E8),IF(OR(#REF!="GD&amp;T",#REF!="MAX"),IF((#REF!*3*T8+S8)&lt;F8,"",(#REF!*3*T8+S8)),"")))</f>
        <v>#REF!</v>
      </c>
      <c r="AC8" s="35" t="e">
        <f>IF(S8="","",IF(#REF!="Tolerance",IF(-((#REF!*3*T8)-S8)-E8&gt;G8,"",-((#REF!*3*T8)-S8)-E8),IF(#REF!="MIN",IF(-((#REF!*3*T8)-S8)&gt;G8,"",-((#REF!*3*T8)-S8)),"")))</f>
        <v>#REF!</v>
      </c>
      <c r="AD8" s="35">
        <f t="shared" si="13"/>
        <v>4.0000000000000001E-3</v>
      </c>
      <c r="AE8" s="35" t="str">
        <f t="shared" si="9"/>
        <v/>
      </c>
      <c r="AF8" s="125"/>
      <c r="AG8" s="126" t="str">
        <f t="shared" si="14"/>
        <v/>
      </c>
      <c r="AH8" s="145" t="str" cm="1">
        <f t="array" ref="AH8">IF(AND(AM8:BR8 &gt;= IF(K8="",0,K8), AM8:BR8 &lt;= IF(J8="",0,J8)), "OK", "NG")</f>
        <v>OK</v>
      </c>
      <c r="AI8" s="127"/>
      <c r="AJ8" s="127"/>
      <c r="AK8" s="128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</row>
    <row r="9" spans="1:70" ht="19.2" customHeight="1">
      <c r="B9" s="113" t="s">
        <v>239</v>
      </c>
      <c r="C9" s="65" t="s">
        <v>169</v>
      </c>
      <c r="D9" s="114" t="s">
        <v>153</v>
      </c>
      <c r="E9" s="115">
        <v>0</v>
      </c>
      <c r="F9" s="116">
        <v>8.0000000000000002E-3</v>
      </c>
      <c r="G9" s="115">
        <v>0</v>
      </c>
      <c r="H9" s="117" t="s">
        <v>154</v>
      </c>
      <c r="I9" s="118" t="s">
        <v>84</v>
      </c>
      <c r="J9" s="119">
        <f t="shared" si="10"/>
        <v>8.0000000000000002E-3</v>
      </c>
      <c r="K9" s="119">
        <f t="shared" si="11"/>
        <v>0</v>
      </c>
      <c r="L9" s="142">
        <v>6.7999999999999996E-3</v>
      </c>
      <c r="M9" s="142">
        <v>0</v>
      </c>
      <c r="N9" s="142"/>
      <c r="O9" s="142"/>
      <c r="P9" s="120"/>
      <c r="Q9" s="121">
        <f t="shared" si="0"/>
        <v>0</v>
      </c>
      <c r="R9" s="121">
        <f t="shared" si="1"/>
        <v>0</v>
      </c>
      <c r="S9" s="121">
        <f t="shared" si="2"/>
        <v>0</v>
      </c>
      <c r="T9" s="122">
        <f t="shared" si="3"/>
        <v>0</v>
      </c>
      <c r="U9" s="123" t="str">
        <f t="shared" si="4"/>
        <v/>
      </c>
      <c r="V9" s="124" t="str">
        <f>IF(OR($AM9="",ISNUMBER($AM9)=FALSE),"",IF(AND(#REF!="Tolerance",$E9&lt;&gt;""),($S9-$E9)/(($J9-$K9)/2),IF(AND(#REF!="GD&amp;T",$F9&lt;&gt;""),$S9/$F9,"")))</f>
        <v/>
      </c>
      <c r="W9" s="124" t="str">
        <f t="shared" si="12"/>
        <v/>
      </c>
      <c r="X9" s="123" t="str">
        <f t="shared" si="5"/>
        <v/>
      </c>
      <c r="Y9" s="123" t="str">
        <f t="shared" si="6"/>
        <v/>
      </c>
      <c r="Z9" s="123" t="str">
        <f t="shared" si="7"/>
        <v/>
      </c>
      <c r="AA9" s="34" t="str">
        <f t="shared" si="8"/>
        <v/>
      </c>
      <c r="AB9" s="35" t="e">
        <f>IF($S9="","",IF(#REF!="Tolerance",IF((#REF!*3*T9+S9)-E9&lt;F9,"",(#REF!*3*T9+S9)-E9),IF(OR(#REF!="GD&amp;T",#REF!="MAX"),IF((#REF!*3*T9+S9)&lt;F9,"",(#REF!*3*T9+S9)),"")))</f>
        <v>#REF!</v>
      </c>
      <c r="AC9" s="35" t="e">
        <f>IF(S9="","",IF(#REF!="Tolerance",IF(-((#REF!*3*T9)-S9)-E9&gt;G9,"",-((#REF!*3*T9)-S9)-E9),IF(#REF!="MIN",IF(-((#REF!*3*T9)-S9)&gt;G9,"",-((#REF!*3*T9)-S9)),"")))</f>
        <v>#REF!</v>
      </c>
      <c r="AD9" s="35">
        <f t="shared" si="13"/>
        <v>4.0000000000000001E-3</v>
      </c>
      <c r="AE9" s="35" t="str">
        <f t="shared" si="9"/>
        <v/>
      </c>
      <c r="AF9" s="125"/>
      <c r="AG9" s="126" t="str">
        <f t="shared" si="14"/>
        <v/>
      </c>
      <c r="AH9" s="145" t="str" cm="1">
        <f t="array" ref="AH9">IF(AND(AM9:BR9 &gt;= IF(K9="",0,K9), AM9:BR9 &lt;= IF(J9="",0,J9)), "OK", "NG")</f>
        <v>OK</v>
      </c>
      <c r="AI9" s="127"/>
      <c r="AJ9" s="127"/>
      <c r="AK9" s="128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</row>
    <row r="10" spans="1:70" ht="19.2" customHeight="1">
      <c r="B10" s="113" t="s">
        <v>83</v>
      </c>
      <c r="C10" s="65">
        <v>3</v>
      </c>
      <c r="D10" s="114" t="s">
        <v>48</v>
      </c>
      <c r="E10" s="115">
        <v>0</v>
      </c>
      <c r="F10" s="116">
        <v>0.03</v>
      </c>
      <c r="G10" s="115">
        <v>0</v>
      </c>
      <c r="H10" s="117" t="s">
        <v>154</v>
      </c>
      <c r="I10" s="118" t="s">
        <v>84</v>
      </c>
      <c r="J10" s="119">
        <f t="shared" si="10"/>
        <v>0.03</v>
      </c>
      <c r="K10" s="119">
        <f t="shared" si="11"/>
        <v>0</v>
      </c>
      <c r="L10" s="142">
        <v>2.5499999999999998E-2</v>
      </c>
      <c r="M10" s="142">
        <v>0</v>
      </c>
      <c r="N10" s="142"/>
      <c r="O10" s="142"/>
      <c r="P10" s="120"/>
      <c r="Q10" s="121">
        <f t="shared" si="0"/>
        <v>0</v>
      </c>
      <c r="R10" s="121">
        <f t="shared" si="1"/>
        <v>0</v>
      </c>
      <c r="S10" s="121">
        <f t="shared" si="2"/>
        <v>0</v>
      </c>
      <c r="T10" s="122">
        <f t="shared" si="3"/>
        <v>0</v>
      </c>
      <c r="U10" s="123" t="str">
        <f t="shared" si="4"/>
        <v/>
      </c>
      <c r="V10" s="124" t="str">
        <f>IF(OR($AM10="",ISNUMBER($AM10)=FALSE),"",IF(AND(#REF!="Tolerance",$E10&lt;&gt;""),($S10-$E10)/(($J10-$K10)/2),IF(AND(#REF!="GD&amp;T",$F10&lt;&gt;""),$S10/$F10,"")))</f>
        <v/>
      </c>
      <c r="W10" s="124" t="str">
        <f t="shared" si="12"/>
        <v/>
      </c>
      <c r="X10" s="123" t="str">
        <f t="shared" si="5"/>
        <v/>
      </c>
      <c r="Y10" s="123" t="str">
        <f t="shared" si="6"/>
        <v/>
      </c>
      <c r="Z10" s="123" t="str">
        <f t="shared" si="7"/>
        <v/>
      </c>
      <c r="AA10" s="34" t="str">
        <f t="shared" si="8"/>
        <v/>
      </c>
      <c r="AB10" s="35" t="e">
        <f>IF($S10="","",IF(#REF!="Tolerance",IF((#REF!*3*T10+S10)-E10&lt;F10,"",(#REF!*3*T10+S10)-E10),IF(OR(#REF!="GD&amp;T",#REF!="MAX"),IF((#REF!*3*T10+S10)&lt;F10,"",(#REF!*3*T10+S10)),"")))</f>
        <v>#REF!</v>
      </c>
      <c r="AC10" s="35" t="e">
        <f>IF(S10="","",IF(#REF!="Tolerance",IF(-((#REF!*3*T10)-S10)-E10&gt;G10,"",-((#REF!*3*T10)-S10)-E10),IF(#REF!="MIN",IF(-((#REF!*3*T10)-S10)&gt;G10,"",-((#REF!*3*T10)-S10)),"")))</f>
        <v>#REF!</v>
      </c>
      <c r="AD10" s="35">
        <f t="shared" si="13"/>
        <v>1.4999999999999999E-2</v>
      </c>
      <c r="AE10" s="35" t="str">
        <f t="shared" si="9"/>
        <v/>
      </c>
      <c r="AF10" s="125"/>
      <c r="AG10" s="126" t="str">
        <f t="shared" si="14"/>
        <v/>
      </c>
      <c r="AH10" s="145" t="str" cm="1">
        <f t="array" ref="AH10">IF(AND(AM10:BR10 &gt;= IF(K10="",0,K10), AM10:BR10 &lt;= IF(J10="",0,J10)), "OK", "NG")</f>
        <v>OK</v>
      </c>
      <c r="AI10" s="127"/>
      <c r="AJ10" s="127"/>
      <c r="AK10" s="128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</row>
    <row r="11" spans="1:70" ht="19.2" customHeight="1">
      <c r="B11" s="113" t="s">
        <v>240</v>
      </c>
      <c r="C11" s="65" t="s">
        <v>170</v>
      </c>
      <c r="D11" s="114" t="s">
        <v>45</v>
      </c>
      <c r="E11" s="115">
        <v>0.5</v>
      </c>
      <c r="F11" s="116">
        <v>1.4999999999999999E-2</v>
      </c>
      <c r="G11" s="116">
        <v>-0.01</v>
      </c>
      <c r="H11" s="117" t="s">
        <v>46</v>
      </c>
      <c r="I11" s="118" t="s">
        <v>84</v>
      </c>
      <c r="J11" s="119">
        <f t="shared" si="10"/>
        <v>0.51500000000000001</v>
      </c>
      <c r="K11" s="119">
        <f t="shared" si="11"/>
        <v>0.49</v>
      </c>
      <c r="L11" s="142">
        <v>0.51275000000000004</v>
      </c>
      <c r="M11" s="142">
        <v>0.49149999999999999</v>
      </c>
      <c r="N11" s="142"/>
      <c r="O11" s="142"/>
      <c r="P11" s="120"/>
      <c r="Q11" s="121">
        <f t="shared" si="0"/>
        <v>0</v>
      </c>
      <c r="R11" s="121">
        <f t="shared" si="1"/>
        <v>0</v>
      </c>
      <c r="S11" s="121">
        <f t="shared" si="2"/>
        <v>0</v>
      </c>
      <c r="T11" s="122">
        <f t="shared" si="3"/>
        <v>0</v>
      </c>
      <c r="U11" s="123" t="str">
        <f t="shared" si="4"/>
        <v/>
      </c>
      <c r="V11" s="124" t="str">
        <f>IF(OR($AM11="",ISNUMBER($AM11)=FALSE),"",IF(AND(#REF!="Tolerance",$E11&lt;&gt;""),($S11-$E11)/(($J11-$K11)/2),IF(AND(#REF!="GD&amp;T",$F11&lt;&gt;""),$S11/$F11,"")))</f>
        <v/>
      </c>
      <c r="W11" s="124" t="str">
        <f t="shared" si="12"/>
        <v/>
      </c>
      <c r="X11" s="123" t="str">
        <f t="shared" si="5"/>
        <v/>
      </c>
      <c r="Y11" s="123" t="str">
        <f t="shared" si="6"/>
        <v/>
      </c>
      <c r="Z11" s="123" t="str">
        <f t="shared" si="7"/>
        <v/>
      </c>
      <c r="AA11" s="34" t="str">
        <f t="shared" si="8"/>
        <v/>
      </c>
      <c r="AB11" s="35" t="e">
        <f>IF($S11="","",IF(#REF!="Tolerance",IF((#REF!*3*T11+S11)-E11&lt;F11,"",(#REF!*3*T11+S11)-E11),IF(OR(#REF!="GD&amp;T",#REF!="MAX"),IF((#REF!*3*T11+S11)&lt;F11,"",(#REF!*3*T11+S11)),"")))</f>
        <v>#REF!</v>
      </c>
      <c r="AC11" s="35" t="e">
        <f>IF(S11="","",IF(#REF!="Tolerance",IF(-((#REF!*3*T11)-S11)-E11&gt;G11,"",-((#REF!*3*T11)-S11)-E11),IF(#REF!="MIN",IF(-((#REF!*3*T11)-S11)&gt;G11,"",-((#REF!*3*T11)-S11)),"")))</f>
        <v>#REF!</v>
      </c>
      <c r="AD11" s="35">
        <f t="shared" si="13"/>
        <v>0.50249999999999995</v>
      </c>
      <c r="AE11" s="35" t="str">
        <f t="shared" si="9"/>
        <v/>
      </c>
      <c r="AF11" s="125"/>
      <c r="AG11" s="126" t="str">
        <f t="shared" si="14"/>
        <v/>
      </c>
      <c r="AH11" s="145" t="str" cm="1">
        <f t="array" ref="AH11">IF(AND(AM11:BR11 &gt;= IF(K11="",0,K11), AM11:BR11 &lt;= IF(J11="",0,J11)), "OK", "NG")</f>
        <v>NG</v>
      </c>
      <c r="AI11" s="127"/>
      <c r="AJ11" s="127"/>
      <c r="AK11" s="128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</row>
    <row r="12" spans="1:70" ht="19.2" customHeight="1">
      <c r="B12" s="113" t="s">
        <v>241</v>
      </c>
      <c r="C12" s="65" t="s">
        <v>171</v>
      </c>
      <c r="D12" s="114" t="s">
        <v>45</v>
      </c>
      <c r="E12" s="115">
        <v>0.5</v>
      </c>
      <c r="F12" s="116">
        <v>1.4999999999999999E-2</v>
      </c>
      <c r="G12" s="116">
        <v>-0.01</v>
      </c>
      <c r="H12" s="117" t="s">
        <v>46</v>
      </c>
      <c r="I12" s="118" t="s">
        <v>84</v>
      </c>
      <c r="J12" s="119">
        <f t="shared" si="10"/>
        <v>0.51500000000000001</v>
      </c>
      <c r="K12" s="119">
        <f t="shared" si="11"/>
        <v>0.49</v>
      </c>
      <c r="L12" s="142">
        <v>0.51275000000000004</v>
      </c>
      <c r="M12" s="142">
        <v>0.49149999999999999</v>
      </c>
      <c r="N12" s="142"/>
      <c r="O12" s="142"/>
      <c r="P12" s="120"/>
      <c r="Q12" s="121">
        <f t="shared" si="0"/>
        <v>0</v>
      </c>
      <c r="R12" s="121">
        <f t="shared" si="1"/>
        <v>0</v>
      </c>
      <c r="S12" s="121">
        <f t="shared" si="2"/>
        <v>0</v>
      </c>
      <c r="T12" s="122">
        <f t="shared" si="3"/>
        <v>0</v>
      </c>
      <c r="U12" s="123" t="str">
        <f t="shared" si="4"/>
        <v/>
      </c>
      <c r="V12" s="124" t="str">
        <f>IF(OR($AM12="",ISNUMBER($AM12)=FALSE),"",IF(AND(#REF!="Tolerance",$E12&lt;&gt;""),($S12-$E12)/(($J12-$K12)/2),IF(AND(#REF!="GD&amp;T",$F12&lt;&gt;""),$S12/$F12,"")))</f>
        <v/>
      </c>
      <c r="W12" s="124" t="str">
        <f t="shared" si="12"/>
        <v/>
      </c>
      <c r="X12" s="123" t="str">
        <f t="shared" si="5"/>
        <v/>
      </c>
      <c r="Y12" s="123" t="str">
        <f t="shared" si="6"/>
        <v/>
      </c>
      <c r="Z12" s="123" t="str">
        <f t="shared" si="7"/>
        <v/>
      </c>
      <c r="AA12" s="34" t="str">
        <f t="shared" si="8"/>
        <v/>
      </c>
      <c r="AB12" s="35" t="e">
        <f>IF($S12="","",IF(#REF!="Tolerance",IF((#REF!*3*T12+S12)-E12&lt;F12,"",(#REF!*3*T12+S12)-E12),IF(OR(#REF!="GD&amp;T",#REF!="MAX"),IF((#REF!*3*T12+S12)&lt;F12,"",(#REF!*3*T12+S12)),"")))</f>
        <v>#REF!</v>
      </c>
      <c r="AC12" s="35" t="e">
        <f>IF(S12="","",IF(#REF!="Tolerance",IF(-((#REF!*3*T12)-S12)-E12&gt;G12,"",-((#REF!*3*T12)-S12)-E12),IF(#REF!="MIN",IF(-((#REF!*3*T12)-S12)&gt;G12,"",-((#REF!*3*T12)-S12)),"")))</f>
        <v>#REF!</v>
      </c>
      <c r="AD12" s="35">
        <f t="shared" si="13"/>
        <v>0.50249999999999995</v>
      </c>
      <c r="AE12" s="35" t="str">
        <f t="shared" si="9"/>
        <v/>
      </c>
      <c r="AF12" s="125"/>
      <c r="AG12" s="126" t="str">
        <f t="shared" si="14"/>
        <v/>
      </c>
      <c r="AH12" s="145" t="str" cm="1">
        <f t="array" ref="AH12">IF(AND(AM12:BR12 &gt;= IF(K12="",0,K12), AM12:BR12 &lt;= IF(J12="",0,J12)), "OK", "NG")</f>
        <v>NG</v>
      </c>
      <c r="AI12" s="127"/>
      <c r="AJ12" s="127"/>
      <c r="AK12" s="128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</row>
    <row r="13" spans="1:70" ht="19.2" customHeight="1">
      <c r="B13" s="113" t="s">
        <v>242</v>
      </c>
      <c r="C13" s="65" t="s">
        <v>172</v>
      </c>
      <c r="D13" s="114" t="s">
        <v>45</v>
      </c>
      <c r="E13" s="115">
        <v>0.5</v>
      </c>
      <c r="F13" s="116">
        <v>1.4999999999999999E-2</v>
      </c>
      <c r="G13" s="116">
        <v>-0.01</v>
      </c>
      <c r="H13" s="117" t="s">
        <v>46</v>
      </c>
      <c r="I13" s="118" t="s">
        <v>84</v>
      </c>
      <c r="J13" s="119">
        <f t="shared" si="10"/>
        <v>0.51500000000000001</v>
      </c>
      <c r="K13" s="119">
        <f t="shared" si="11"/>
        <v>0.49</v>
      </c>
      <c r="L13" s="142">
        <v>0.51275000000000004</v>
      </c>
      <c r="M13" s="142">
        <v>0.49149999999999999</v>
      </c>
      <c r="N13" s="142"/>
      <c r="O13" s="142"/>
      <c r="P13" s="120"/>
      <c r="Q13" s="121">
        <f t="shared" si="0"/>
        <v>0</v>
      </c>
      <c r="R13" s="121">
        <f t="shared" si="1"/>
        <v>0</v>
      </c>
      <c r="S13" s="121">
        <f t="shared" si="2"/>
        <v>0</v>
      </c>
      <c r="T13" s="122">
        <f t="shared" si="3"/>
        <v>0</v>
      </c>
      <c r="U13" s="123" t="str">
        <f t="shared" si="4"/>
        <v/>
      </c>
      <c r="V13" s="124" t="str">
        <f>IF(OR($AM13="",ISNUMBER($AM13)=FALSE),"",IF(AND(#REF!="Tolerance",$E13&lt;&gt;""),($S13-$E13)/(($J13-$K13)/2),IF(AND(#REF!="GD&amp;T",$F13&lt;&gt;""),$S13/$F13,"")))</f>
        <v/>
      </c>
      <c r="W13" s="124" t="str">
        <f t="shared" si="12"/>
        <v/>
      </c>
      <c r="X13" s="123" t="str">
        <f t="shared" si="5"/>
        <v/>
      </c>
      <c r="Y13" s="123" t="str">
        <f t="shared" si="6"/>
        <v/>
      </c>
      <c r="Z13" s="123" t="str">
        <f t="shared" si="7"/>
        <v/>
      </c>
      <c r="AA13" s="34" t="str">
        <f t="shared" si="8"/>
        <v/>
      </c>
      <c r="AB13" s="35" t="e">
        <f>IF($S13="","",IF(#REF!="Tolerance",IF((#REF!*3*T13+S13)-E13&lt;F13,"",(#REF!*3*T13+S13)-E13),IF(OR(#REF!="GD&amp;T",#REF!="MAX"),IF((#REF!*3*T13+S13)&lt;F13,"",(#REF!*3*T13+S13)),"")))</f>
        <v>#REF!</v>
      </c>
      <c r="AC13" s="35" t="e">
        <f>IF(S13="","",IF(#REF!="Tolerance",IF(-((#REF!*3*T13)-S13)-E13&gt;G13,"",-((#REF!*3*T13)-S13)-E13),IF(#REF!="MIN",IF(-((#REF!*3*T13)-S13)&gt;G13,"",-((#REF!*3*T13)-S13)),"")))</f>
        <v>#REF!</v>
      </c>
      <c r="AD13" s="35">
        <f t="shared" si="13"/>
        <v>0.50249999999999995</v>
      </c>
      <c r="AE13" s="35" t="str">
        <f t="shared" si="9"/>
        <v/>
      </c>
      <c r="AF13" s="125"/>
      <c r="AG13" s="126" t="str">
        <f t="shared" si="14"/>
        <v/>
      </c>
      <c r="AH13" s="145" t="str" cm="1">
        <f t="array" ref="AH13">IF(AND(AM13:BR13 &gt;= IF(K13="",0,K13), AM13:BR13 &lt;= IF(J13="",0,J13)), "OK", "NG")</f>
        <v>NG</v>
      </c>
      <c r="AI13" s="127"/>
      <c r="AJ13" s="127"/>
      <c r="AK13" s="128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</row>
    <row r="14" spans="1:70" ht="19.2" customHeight="1">
      <c r="B14" s="113" t="s">
        <v>243</v>
      </c>
      <c r="C14" s="65" t="s">
        <v>173</v>
      </c>
      <c r="D14" s="114" t="s">
        <v>45</v>
      </c>
      <c r="E14" s="115">
        <v>0.72</v>
      </c>
      <c r="F14" s="116">
        <v>0.02</v>
      </c>
      <c r="G14" s="116">
        <v>-0.02</v>
      </c>
      <c r="H14" s="117" t="s">
        <v>46</v>
      </c>
      <c r="I14" s="118" t="s">
        <v>84</v>
      </c>
      <c r="J14" s="119">
        <f t="shared" si="10"/>
        <v>0.74</v>
      </c>
      <c r="K14" s="119">
        <f t="shared" si="11"/>
        <v>0.7</v>
      </c>
      <c r="L14" s="142">
        <v>0.73699999999999999</v>
      </c>
      <c r="M14" s="142">
        <v>0.70299999999999996</v>
      </c>
      <c r="N14" s="142"/>
      <c r="O14" s="142"/>
      <c r="P14" s="120"/>
      <c r="Q14" s="121">
        <f t="shared" si="0"/>
        <v>0</v>
      </c>
      <c r="R14" s="121">
        <f t="shared" si="1"/>
        <v>0</v>
      </c>
      <c r="S14" s="121">
        <f t="shared" si="2"/>
        <v>0</v>
      </c>
      <c r="T14" s="122">
        <f t="shared" si="3"/>
        <v>0</v>
      </c>
      <c r="U14" s="123" t="str">
        <f t="shared" si="4"/>
        <v/>
      </c>
      <c r="V14" s="124" t="str">
        <f>IF(OR($AM14="",ISNUMBER($AM14)=FALSE),"",IF(AND(#REF!="Tolerance",$E14&lt;&gt;""),($S14-$E14)/(($J14-$K14)/2),IF(AND(#REF!="GD&amp;T",$F14&lt;&gt;""),$S14/$F14,"")))</f>
        <v/>
      </c>
      <c r="W14" s="124" t="str">
        <f t="shared" si="12"/>
        <v/>
      </c>
      <c r="X14" s="123" t="str">
        <f t="shared" si="5"/>
        <v/>
      </c>
      <c r="Y14" s="123" t="str">
        <f t="shared" si="6"/>
        <v/>
      </c>
      <c r="Z14" s="123" t="str">
        <f t="shared" si="7"/>
        <v/>
      </c>
      <c r="AA14" s="34" t="str">
        <f t="shared" si="8"/>
        <v/>
      </c>
      <c r="AB14" s="35" t="e">
        <f>IF($S14="","",IF(#REF!="Tolerance",IF((#REF!*3*T14+S14)-E14&lt;F14,"",(#REF!*3*T14+S14)-E14),IF(OR(#REF!="GD&amp;T",#REF!="MAX"),IF((#REF!*3*T14+S14)&lt;F14,"",(#REF!*3*T14+S14)),"")))</f>
        <v>#REF!</v>
      </c>
      <c r="AC14" s="35" t="e">
        <f>IF(S14="","",IF(#REF!="Tolerance",IF(-((#REF!*3*T14)-S14)-E14&gt;G14,"",-((#REF!*3*T14)-S14)-E14),IF(#REF!="MIN",IF(-((#REF!*3*T14)-S14)&gt;G14,"",-((#REF!*3*T14)-S14)),"")))</f>
        <v>#REF!</v>
      </c>
      <c r="AD14" s="35">
        <f t="shared" si="13"/>
        <v>0.72</v>
      </c>
      <c r="AE14" s="35" t="str">
        <f t="shared" si="9"/>
        <v/>
      </c>
      <c r="AF14" s="125"/>
      <c r="AG14" s="126" t="str">
        <f t="shared" si="14"/>
        <v/>
      </c>
      <c r="AH14" s="145" t="str" cm="1">
        <f t="array" ref="AH14">IF(AND(AM14:BR14 &gt;= IF(K14="",0,K14), AM14:BR14 &lt;= IF(J14="",0,J14)), "OK", "NG")</f>
        <v>NG</v>
      </c>
      <c r="AI14" s="127"/>
      <c r="AJ14" s="127"/>
      <c r="AK14" s="128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</row>
    <row r="15" spans="1:70" ht="19.2" customHeight="1">
      <c r="B15" s="113" t="s">
        <v>244</v>
      </c>
      <c r="C15" s="65" t="s">
        <v>174</v>
      </c>
      <c r="D15" s="114" t="s">
        <v>45</v>
      </c>
      <c r="E15" s="115">
        <v>0.72</v>
      </c>
      <c r="F15" s="116">
        <v>0.02</v>
      </c>
      <c r="G15" s="116">
        <v>-0.02</v>
      </c>
      <c r="H15" s="117" t="s">
        <v>46</v>
      </c>
      <c r="I15" s="118" t="s">
        <v>84</v>
      </c>
      <c r="J15" s="119">
        <f t="shared" si="10"/>
        <v>0.74</v>
      </c>
      <c r="K15" s="119">
        <f t="shared" si="11"/>
        <v>0.7</v>
      </c>
      <c r="L15" s="142">
        <v>0.73699999999999999</v>
      </c>
      <c r="M15" s="142">
        <v>0.70299999999999996</v>
      </c>
      <c r="N15" s="142"/>
      <c r="O15" s="142"/>
      <c r="P15" s="120"/>
      <c r="Q15" s="121">
        <f t="shared" si="0"/>
        <v>0</v>
      </c>
      <c r="R15" s="121">
        <f t="shared" si="1"/>
        <v>0</v>
      </c>
      <c r="S15" s="121">
        <f t="shared" si="2"/>
        <v>0</v>
      </c>
      <c r="T15" s="122">
        <f t="shared" si="3"/>
        <v>0</v>
      </c>
      <c r="U15" s="123" t="str">
        <f t="shared" si="4"/>
        <v/>
      </c>
      <c r="V15" s="124" t="str">
        <f>IF(OR($AM15="",ISNUMBER($AM15)=FALSE),"",IF(AND(#REF!="Tolerance",$E15&lt;&gt;""),($S15-$E15)/(($J15-$K15)/2),IF(AND(#REF!="GD&amp;T",$F15&lt;&gt;""),$S15/$F15,"")))</f>
        <v/>
      </c>
      <c r="W15" s="124" t="str">
        <f t="shared" si="12"/>
        <v/>
      </c>
      <c r="X15" s="123" t="str">
        <f t="shared" si="5"/>
        <v/>
      </c>
      <c r="Y15" s="123" t="str">
        <f t="shared" si="6"/>
        <v/>
      </c>
      <c r="Z15" s="123" t="str">
        <f t="shared" si="7"/>
        <v/>
      </c>
      <c r="AA15" s="34" t="str">
        <f t="shared" si="8"/>
        <v/>
      </c>
      <c r="AB15" s="35" t="e">
        <f>IF($S15="","",IF(#REF!="Tolerance",IF((#REF!*3*T15+S15)-E15&lt;F15,"",(#REF!*3*T15+S15)-E15),IF(OR(#REF!="GD&amp;T",#REF!="MAX"),IF((#REF!*3*T15+S15)&lt;F15,"",(#REF!*3*T15+S15)),"")))</f>
        <v>#REF!</v>
      </c>
      <c r="AC15" s="35" t="e">
        <f>IF(S15="","",IF(#REF!="Tolerance",IF(-((#REF!*3*T15)-S15)-E15&gt;G15,"",-((#REF!*3*T15)-S15)-E15),IF(#REF!="MIN",IF(-((#REF!*3*T15)-S15)&gt;G15,"",-((#REF!*3*T15)-S15)),"")))</f>
        <v>#REF!</v>
      </c>
      <c r="AD15" s="35">
        <f t="shared" si="13"/>
        <v>0.72</v>
      </c>
      <c r="AE15" s="35" t="str">
        <f t="shared" si="9"/>
        <v/>
      </c>
      <c r="AF15" s="125"/>
      <c r="AG15" s="126" t="str">
        <f t="shared" si="14"/>
        <v/>
      </c>
      <c r="AH15" s="145" t="str" cm="1">
        <f t="array" ref="AH15">IF(AND(AM15:BR15 &gt;= IF(K15="",0,K15), AM15:BR15 &lt;= IF(J15="",0,J15)), "OK", "NG")</f>
        <v>NG</v>
      </c>
      <c r="AI15" s="127"/>
      <c r="AJ15" s="127"/>
      <c r="AK15" s="128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</row>
    <row r="16" spans="1:70" ht="19.2" customHeight="1">
      <c r="B16" s="113" t="s">
        <v>245</v>
      </c>
      <c r="C16" s="65" t="s">
        <v>175</v>
      </c>
      <c r="D16" s="114" t="s">
        <v>45</v>
      </c>
      <c r="E16" s="115">
        <v>0.72</v>
      </c>
      <c r="F16" s="116">
        <v>0.02</v>
      </c>
      <c r="G16" s="116">
        <v>-0.02</v>
      </c>
      <c r="H16" s="117" t="s">
        <v>46</v>
      </c>
      <c r="I16" s="118" t="s">
        <v>84</v>
      </c>
      <c r="J16" s="119">
        <f t="shared" si="10"/>
        <v>0.74</v>
      </c>
      <c r="K16" s="119">
        <f t="shared" si="11"/>
        <v>0.7</v>
      </c>
      <c r="L16" s="142">
        <v>0.73699999999999999</v>
      </c>
      <c r="M16" s="142">
        <v>0.70299999999999996</v>
      </c>
      <c r="N16" s="142"/>
      <c r="O16" s="142"/>
      <c r="P16" s="120"/>
      <c r="Q16" s="121">
        <f t="shared" si="0"/>
        <v>0</v>
      </c>
      <c r="R16" s="121">
        <f t="shared" si="1"/>
        <v>0</v>
      </c>
      <c r="S16" s="121">
        <f t="shared" si="2"/>
        <v>0</v>
      </c>
      <c r="T16" s="122">
        <f t="shared" si="3"/>
        <v>0</v>
      </c>
      <c r="U16" s="123" t="str">
        <f t="shared" si="4"/>
        <v/>
      </c>
      <c r="V16" s="124" t="str">
        <f>IF(OR($AM16="",ISNUMBER($AM16)=FALSE),"",IF(AND(#REF!="Tolerance",$E16&lt;&gt;""),($S16-$E16)/(($J16-$K16)/2),IF(AND(#REF!="GD&amp;T",$F16&lt;&gt;""),$S16/$F16,"")))</f>
        <v/>
      </c>
      <c r="W16" s="124" t="str">
        <f t="shared" si="12"/>
        <v/>
      </c>
      <c r="X16" s="123" t="str">
        <f t="shared" si="5"/>
        <v/>
      </c>
      <c r="Y16" s="123" t="str">
        <f t="shared" si="6"/>
        <v/>
      </c>
      <c r="Z16" s="123" t="str">
        <f t="shared" si="7"/>
        <v/>
      </c>
      <c r="AA16" s="34" t="str">
        <f t="shared" si="8"/>
        <v/>
      </c>
      <c r="AB16" s="35" t="e">
        <f>IF($S16="","",IF(#REF!="Tolerance",IF((#REF!*3*T16+S16)-E16&lt;F16,"",(#REF!*3*T16+S16)-E16),IF(OR(#REF!="GD&amp;T",#REF!="MAX"),IF((#REF!*3*T16+S16)&lt;F16,"",(#REF!*3*T16+S16)),"")))</f>
        <v>#REF!</v>
      </c>
      <c r="AC16" s="35" t="e">
        <f>IF(S16="","",IF(#REF!="Tolerance",IF(-((#REF!*3*T16)-S16)-E16&gt;G16,"",-((#REF!*3*T16)-S16)-E16),IF(#REF!="MIN",IF(-((#REF!*3*T16)-S16)&gt;G16,"",-((#REF!*3*T16)-S16)),"")))</f>
        <v>#REF!</v>
      </c>
      <c r="AD16" s="35">
        <f t="shared" si="13"/>
        <v>0.72</v>
      </c>
      <c r="AE16" s="35" t="str">
        <f t="shared" si="9"/>
        <v/>
      </c>
      <c r="AF16" s="125"/>
      <c r="AG16" s="126" t="str">
        <f t="shared" si="14"/>
        <v/>
      </c>
      <c r="AH16" s="145" t="str" cm="1">
        <f t="array" ref="AH16">IF(AND(AM16:BR16 &gt;= IF(K16="",0,K16), AM16:BR16 &lt;= IF(J16="",0,J16)), "OK", "NG")</f>
        <v>NG</v>
      </c>
      <c r="AI16" s="127"/>
      <c r="AJ16" s="127"/>
      <c r="AK16" s="128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</row>
    <row r="17" spans="2:70" ht="19.2" customHeight="1">
      <c r="B17" s="113" t="s">
        <v>85</v>
      </c>
      <c r="C17" s="65">
        <v>7</v>
      </c>
      <c r="D17" s="114" t="s">
        <v>45</v>
      </c>
      <c r="E17" s="115">
        <v>0.5</v>
      </c>
      <c r="F17" s="116">
        <v>1.7999999999999999E-2</v>
      </c>
      <c r="G17" s="116">
        <v>-1.4999999999999999E-2</v>
      </c>
      <c r="H17" s="117" t="s">
        <v>46</v>
      </c>
      <c r="I17" s="118" t="s">
        <v>84</v>
      </c>
      <c r="J17" s="119">
        <f t="shared" si="10"/>
        <v>0.51800000000000002</v>
      </c>
      <c r="K17" s="119">
        <f t="shared" si="11"/>
        <v>0.48499999999999999</v>
      </c>
      <c r="L17" s="142">
        <v>0.51529999999999998</v>
      </c>
      <c r="M17" s="142">
        <v>0.48725000000000002</v>
      </c>
      <c r="N17" s="142">
        <v>0.51349999999999996</v>
      </c>
      <c r="O17" s="142">
        <v>0.48875000000000002</v>
      </c>
      <c r="P17" s="120"/>
      <c r="Q17" s="121">
        <f t="shared" si="0"/>
        <v>0</v>
      </c>
      <c r="R17" s="121">
        <f t="shared" si="1"/>
        <v>0</v>
      </c>
      <c r="S17" s="121">
        <f t="shared" si="2"/>
        <v>0</v>
      </c>
      <c r="T17" s="122">
        <f t="shared" si="3"/>
        <v>0</v>
      </c>
      <c r="U17" s="123" t="str">
        <f t="shared" si="4"/>
        <v/>
      </c>
      <c r="V17" s="124" t="str">
        <f>IF(OR($AM17="",ISNUMBER($AM17)=FALSE),"",IF(AND(#REF!="Tolerance",$E17&lt;&gt;""),($S17-$E17)/(($J17-$K17)/2),IF(AND(#REF!="GD&amp;T",$F17&lt;&gt;""),$S17/$F17,"")))</f>
        <v/>
      </c>
      <c r="W17" s="124" t="str">
        <f t="shared" si="12"/>
        <v/>
      </c>
      <c r="X17" s="123" t="str">
        <f t="shared" si="5"/>
        <v/>
      </c>
      <c r="Y17" s="123" t="str">
        <f t="shared" si="6"/>
        <v/>
      </c>
      <c r="Z17" s="123" t="str">
        <f t="shared" si="7"/>
        <v/>
      </c>
      <c r="AA17" s="34" t="str">
        <f t="shared" si="8"/>
        <v/>
      </c>
      <c r="AB17" s="35" t="e">
        <f>IF($S17="","",IF(#REF!="Tolerance",IF((#REF!*3*T17+S17)-E17&lt;F17,"",(#REF!*3*T17+S17)-E17),IF(OR(#REF!="GD&amp;T",#REF!="MAX"),IF((#REF!*3*T17+S17)&lt;F17,"",(#REF!*3*T17+S17)),"")))</f>
        <v>#REF!</v>
      </c>
      <c r="AC17" s="35" t="e">
        <f>IF(S17="","",IF(#REF!="Tolerance",IF(-((#REF!*3*T17)-S17)-E17&gt;G17,"",-((#REF!*3*T17)-S17)-E17),IF(#REF!="MIN",IF(-((#REF!*3*T17)-S17)&gt;G17,"",-((#REF!*3*T17)-S17)),"")))</f>
        <v>#REF!</v>
      </c>
      <c r="AD17" s="35">
        <f t="shared" si="13"/>
        <v>0.50150000000000006</v>
      </c>
      <c r="AE17" s="35" t="str">
        <f t="shared" si="9"/>
        <v/>
      </c>
      <c r="AF17" s="125"/>
      <c r="AG17" s="126" t="str">
        <f t="shared" si="14"/>
        <v/>
      </c>
      <c r="AH17" s="145" t="str" cm="1">
        <f t="array" ref="AH17">IF(AND(AM17:BR17 &gt;= IF(K17="",0,K17), AM17:BR17 &lt;= IF(J17="",0,J17)), "OK", "NG")</f>
        <v>NG</v>
      </c>
      <c r="AI17" s="127"/>
      <c r="AJ17" s="127"/>
      <c r="AK17" s="128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</row>
    <row r="18" spans="2:70" ht="19.2" customHeight="1">
      <c r="B18" s="113" t="s">
        <v>246</v>
      </c>
      <c r="C18" s="65">
        <v>8</v>
      </c>
      <c r="D18" s="114" t="s">
        <v>45</v>
      </c>
      <c r="E18" s="115">
        <v>0.5</v>
      </c>
      <c r="F18" s="116">
        <v>1.7999999999999999E-2</v>
      </c>
      <c r="G18" s="116">
        <v>-1.4999999999999999E-2</v>
      </c>
      <c r="H18" s="117" t="s">
        <v>46</v>
      </c>
      <c r="I18" s="118" t="s">
        <v>84</v>
      </c>
      <c r="J18" s="119">
        <f t="shared" si="10"/>
        <v>0.51800000000000002</v>
      </c>
      <c r="K18" s="119">
        <f t="shared" si="11"/>
        <v>0.48499999999999999</v>
      </c>
      <c r="L18" s="142">
        <v>0.51529999999999998</v>
      </c>
      <c r="M18" s="142">
        <v>0.48725000000000002</v>
      </c>
      <c r="N18" s="142">
        <v>0.51349999999999996</v>
      </c>
      <c r="O18" s="142">
        <v>0.48875000000000002</v>
      </c>
      <c r="P18" s="120"/>
      <c r="Q18" s="121">
        <f t="shared" si="0"/>
        <v>0</v>
      </c>
      <c r="R18" s="121">
        <f t="shared" si="1"/>
        <v>0</v>
      </c>
      <c r="S18" s="121">
        <f t="shared" si="2"/>
        <v>0</v>
      </c>
      <c r="T18" s="122">
        <f t="shared" si="3"/>
        <v>0</v>
      </c>
      <c r="U18" s="123" t="str">
        <f t="shared" si="4"/>
        <v/>
      </c>
      <c r="V18" s="124" t="str">
        <f>IF(OR($AM18="",ISNUMBER($AM18)=FALSE),"",IF(AND(#REF!="Tolerance",$E18&lt;&gt;""),($S18-$E18)/(($J18-$K18)/2),IF(AND(#REF!="GD&amp;T",$F18&lt;&gt;""),$S18/$F18,"")))</f>
        <v/>
      </c>
      <c r="W18" s="124" t="str">
        <f t="shared" si="12"/>
        <v/>
      </c>
      <c r="X18" s="123" t="str">
        <f t="shared" si="5"/>
        <v/>
      </c>
      <c r="Y18" s="123" t="str">
        <f t="shared" si="6"/>
        <v/>
      </c>
      <c r="Z18" s="123" t="str">
        <f t="shared" si="7"/>
        <v/>
      </c>
      <c r="AA18" s="34" t="str">
        <f t="shared" si="8"/>
        <v/>
      </c>
      <c r="AB18" s="35" t="e">
        <f>IF($S18="","",IF(#REF!="Tolerance",IF((#REF!*3*T18+S18)-E18&lt;F18,"",(#REF!*3*T18+S18)-E18),IF(OR(#REF!="GD&amp;T",#REF!="MAX"),IF((#REF!*3*T18+S18)&lt;F18,"",(#REF!*3*T18+S18)),"")))</f>
        <v>#REF!</v>
      </c>
      <c r="AC18" s="35" t="e">
        <f>IF(S18="","",IF(#REF!="Tolerance",IF(-((#REF!*3*T18)-S18)-E18&gt;G18,"",-((#REF!*3*T18)-S18)-E18),IF(#REF!="MIN",IF(-((#REF!*3*T18)-S18)&gt;G18,"",-((#REF!*3*T18)-S18)),"")))</f>
        <v>#REF!</v>
      </c>
      <c r="AD18" s="35">
        <f t="shared" si="13"/>
        <v>0.50150000000000006</v>
      </c>
      <c r="AE18" s="35" t="str">
        <f t="shared" si="9"/>
        <v/>
      </c>
      <c r="AF18" s="125"/>
      <c r="AG18" s="126" t="str">
        <f t="shared" si="14"/>
        <v/>
      </c>
      <c r="AH18" s="145" t="str" cm="1">
        <f t="array" ref="AH18">IF(AND(AM18:BR18 &gt;= IF(K18="",0,K18), AM18:BR18 &lt;= IF(J18="",0,J18)), "OK", "NG")</f>
        <v>NG</v>
      </c>
      <c r="AI18" s="127"/>
      <c r="AJ18" s="127"/>
      <c r="AK18" s="128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</row>
    <row r="19" spans="2:70" ht="19.2" customHeight="1">
      <c r="B19" s="113" t="s">
        <v>247</v>
      </c>
      <c r="C19" s="65" t="s">
        <v>176</v>
      </c>
      <c r="D19" s="114" t="s">
        <v>45</v>
      </c>
      <c r="E19" s="115">
        <v>3.1</v>
      </c>
      <c r="F19" s="116">
        <v>0.03</v>
      </c>
      <c r="G19" s="116">
        <v>-3.5000000000000003E-2</v>
      </c>
      <c r="H19" s="117" t="s">
        <v>46</v>
      </c>
      <c r="I19" s="118"/>
      <c r="J19" s="119">
        <f t="shared" si="10"/>
        <v>3.13</v>
      </c>
      <c r="K19" s="119">
        <f t="shared" si="11"/>
        <v>3.0649999999999999</v>
      </c>
      <c r="L19" s="142">
        <v>3.1255000000000002</v>
      </c>
      <c r="M19" s="142">
        <v>3.0702500000000001</v>
      </c>
      <c r="N19" s="142"/>
      <c r="O19" s="142"/>
      <c r="P19" s="120"/>
      <c r="Q19" s="121">
        <f t="shared" si="0"/>
        <v>0</v>
      </c>
      <c r="R19" s="121">
        <f t="shared" si="1"/>
        <v>0</v>
      </c>
      <c r="S19" s="121">
        <f t="shared" si="2"/>
        <v>0</v>
      </c>
      <c r="T19" s="122">
        <f t="shared" si="3"/>
        <v>0</v>
      </c>
      <c r="U19" s="123" t="str">
        <f t="shared" si="4"/>
        <v/>
      </c>
      <c r="V19" s="124" t="str">
        <f>IF(OR($AM19="",ISNUMBER($AM19)=FALSE),"",IF(AND(#REF!="Tolerance",$E19&lt;&gt;""),($S19-$E19)/(($J19-$K19)/2),IF(AND(#REF!="GD&amp;T",$F19&lt;&gt;""),$S19/$F19,"")))</f>
        <v/>
      </c>
      <c r="W19" s="124" t="str">
        <f t="shared" si="12"/>
        <v/>
      </c>
      <c r="X19" s="123" t="str">
        <f t="shared" si="5"/>
        <v/>
      </c>
      <c r="Y19" s="123" t="str">
        <f t="shared" si="6"/>
        <v/>
      </c>
      <c r="Z19" s="123" t="str">
        <f t="shared" si="7"/>
        <v/>
      </c>
      <c r="AA19" s="34" t="str">
        <f t="shared" si="8"/>
        <v/>
      </c>
      <c r="AB19" s="35" t="e">
        <f>IF($S19="","",IF(#REF!="Tolerance",IF((#REF!*3*T19+S19)-E19&lt;F19,"",(#REF!*3*T19+S19)-E19),IF(OR(#REF!="GD&amp;T",#REF!="MAX"),IF((#REF!*3*T19+S19)&lt;F19,"",(#REF!*3*T19+S19)),"")))</f>
        <v>#REF!</v>
      </c>
      <c r="AC19" s="35" t="e">
        <f>IF(S19="","",IF(#REF!="Tolerance",IF(-((#REF!*3*T19)-S19)-E19&gt;G19,"",-((#REF!*3*T19)-S19)-E19),IF(#REF!="MIN",IF(-((#REF!*3*T19)-S19)&gt;G19,"",-((#REF!*3*T19)-S19)),"")))</f>
        <v>#REF!</v>
      </c>
      <c r="AD19" s="35">
        <f t="shared" si="13"/>
        <v>3.0975000000000001</v>
      </c>
      <c r="AE19" s="35" t="str">
        <f t="shared" si="9"/>
        <v/>
      </c>
      <c r="AF19" s="125"/>
      <c r="AG19" s="126" t="str">
        <f t="shared" si="14"/>
        <v/>
      </c>
      <c r="AH19" s="145" t="str" cm="1">
        <f t="array" ref="AH19">IF(AND(AM19:BR19 &gt;= IF(K19="",0,K19), AM19:BR19 &lt;= IF(J19="",0,J19)), "OK", "NG")</f>
        <v>NG</v>
      </c>
      <c r="AI19" s="127"/>
      <c r="AJ19" s="127"/>
      <c r="AK19" s="128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</row>
    <row r="20" spans="2:70" ht="19.2" customHeight="1">
      <c r="B20" s="113" t="s">
        <v>247</v>
      </c>
      <c r="C20" s="65" t="s">
        <v>177</v>
      </c>
      <c r="D20" s="114" t="s">
        <v>45</v>
      </c>
      <c r="E20" s="115">
        <v>3.1</v>
      </c>
      <c r="F20" s="116">
        <v>0.03</v>
      </c>
      <c r="G20" s="116">
        <v>-3.5000000000000003E-2</v>
      </c>
      <c r="H20" s="117" t="s">
        <v>46</v>
      </c>
      <c r="I20" s="118"/>
      <c r="J20" s="119">
        <f t="shared" si="10"/>
        <v>3.13</v>
      </c>
      <c r="K20" s="119">
        <f t="shared" si="11"/>
        <v>3.0649999999999999</v>
      </c>
      <c r="L20" s="142">
        <v>3.1255000000000002</v>
      </c>
      <c r="M20" s="142">
        <v>3.0702500000000001</v>
      </c>
      <c r="N20" s="142"/>
      <c r="O20" s="142"/>
      <c r="P20" s="120"/>
      <c r="Q20" s="121">
        <f t="shared" si="0"/>
        <v>0</v>
      </c>
      <c r="R20" s="121">
        <f t="shared" si="1"/>
        <v>0</v>
      </c>
      <c r="S20" s="121">
        <f t="shared" si="2"/>
        <v>0</v>
      </c>
      <c r="T20" s="122">
        <f t="shared" si="3"/>
        <v>0</v>
      </c>
      <c r="U20" s="123" t="str">
        <f t="shared" si="4"/>
        <v/>
      </c>
      <c r="V20" s="124" t="str">
        <f>IF(OR($AM20="",ISNUMBER($AM20)=FALSE),"",IF(AND(#REF!="Tolerance",$E20&lt;&gt;""),($S20-$E20)/(($J20-$K20)/2),IF(AND(#REF!="GD&amp;T",$F20&lt;&gt;""),$S20/$F20,"")))</f>
        <v/>
      </c>
      <c r="W20" s="124" t="str">
        <f t="shared" si="12"/>
        <v/>
      </c>
      <c r="X20" s="123" t="str">
        <f t="shared" si="5"/>
        <v/>
      </c>
      <c r="Y20" s="123" t="str">
        <f t="shared" si="6"/>
        <v/>
      </c>
      <c r="Z20" s="123" t="str">
        <f t="shared" si="7"/>
        <v/>
      </c>
      <c r="AA20" s="34" t="str">
        <f t="shared" si="8"/>
        <v/>
      </c>
      <c r="AB20" s="35" t="e">
        <f>IF($S20="","",IF(#REF!="Tolerance",IF((#REF!*3*T20+S20)-E20&lt;F20,"",(#REF!*3*T20+S20)-E20),IF(OR(#REF!="GD&amp;T",#REF!="MAX"),IF((#REF!*3*T20+S20)&lt;F20,"",(#REF!*3*T20+S20)),"")))</f>
        <v>#REF!</v>
      </c>
      <c r="AC20" s="35" t="e">
        <f>IF(S20="","",IF(#REF!="Tolerance",IF(-((#REF!*3*T20)-S20)-E20&gt;G20,"",-((#REF!*3*T20)-S20)-E20),IF(#REF!="MIN",IF(-((#REF!*3*T20)-S20)&gt;G20,"",-((#REF!*3*T20)-S20)),"")))</f>
        <v>#REF!</v>
      </c>
      <c r="AD20" s="35">
        <f t="shared" si="13"/>
        <v>3.0975000000000001</v>
      </c>
      <c r="AE20" s="35" t="str">
        <f t="shared" si="9"/>
        <v/>
      </c>
      <c r="AF20" s="125"/>
      <c r="AG20" s="126" t="str">
        <f t="shared" si="14"/>
        <v/>
      </c>
      <c r="AH20" s="145" t="str" cm="1">
        <f t="array" ref="AH20">IF(AND(AM20:BR20 &gt;= IF(K20="",0,K20), AM20:BR20 &lt;= IF(J20="",0,J20)), "OK", "NG")</f>
        <v>NG</v>
      </c>
      <c r="AI20" s="127"/>
      <c r="AJ20" s="127"/>
      <c r="AK20" s="128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29"/>
      <c r="BD20" s="129"/>
      <c r="BE20" s="129"/>
      <c r="BF20" s="129"/>
      <c r="BG20" s="129"/>
      <c r="BH20" s="129"/>
      <c r="BI20" s="129"/>
      <c r="BJ20" s="129"/>
      <c r="BK20" s="129"/>
      <c r="BL20" s="129"/>
      <c r="BM20" s="129"/>
      <c r="BN20" s="129"/>
      <c r="BO20" s="129"/>
      <c r="BP20" s="129"/>
      <c r="BQ20" s="129"/>
      <c r="BR20" s="129"/>
    </row>
    <row r="21" spans="2:70" ht="19.2" customHeight="1">
      <c r="B21" s="113" t="s">
        <v>247</v>
      </c>
      <c r="C21" s="65" t="s">
        <v>178</v>
      </c>
      <c r="D21" s="114" t="s">
        <v>45</v>
      </c>
      <c r="E21" s="115">
        <v>3.1</v>
      </c>
      <c r="F21" s="116">
        <v>0.03</v>
      </c>
      <c r="G21" s="116">
        <v>-3.5000000000000003E-2</v>
      </c>
      <c r="H21" s="117" t="s">
        <v>46</v>
      </c>
      <c r="I21" s="118"/>
      <c r="J21" s="119">
        <f t="shared" si="10"/>
        <v>3.13</v>
      </c>
      <c r="K21" s="119">
        <f t="shared" si="11"/>
        <v>3.0649999999999999</v>
      </c>
      <c r="L21" s="142">
        <v>3.1255000000000002</v>
      </c>
      <c r="M21" s="142">
        <v>3.0702500000000001</v>
      </c>
      <c r="N21" s="142"/>
      <c r="O21" s="142"/>
      <c r="P21" s="120"/>
      <c r="Q21" s="121">
        <f t="shared" si="0"/>
        <v>0</v>
      </c>
      <c r="R21" s="121">
        <f t="shared" si="1"/>
        <v>0</v>
      </c>
      <c r="S21" s="121">
        <f t="shared" si="2"/>
        <v>0</v>
      </c>
      <c r="T21" s="122">
        <f t="shared" si="3"/>
        <v>0</v>
      </c>
      <c r="U21" s="123" t="str">
        <f t="shared" si="4"/>
        <v/>
      </c>
      <c r="V21" s="124" t="str">
        <f>IF(OR($AM21="",ISNUMBER($AM21)=FALSE),"",IF(AND(#REF!="Tolerance",$E21&lt;&gt;""),($S21-$E21)/(($J21-$K21)/2),IF(AND(#REF!="GD&amp;T",$F21&lt;&gt;""),$S21/$F21,"")))</f>
        <v/>
      </c>
      <c r="W21" s="124" t="str">
        <f t="shared" si="12"/>
        <v/>
      </c>
      <c r="X21" s="123" t="str">
        <f t="shared" si="5"/>
        <v/>
      </c>
      <c r="Y21" s="123" t="str">
        <f t="shared" si="6"/>
        <v/>
      </c>
      <c r="Z21" s="123" t="str">
        <f t="shared" si="7"/>
        <v/>
      </c>
      <c r="AA21" s="34" t="str">
        <f t="shared" si="8"/>
        <v/>
      </c>
      <c r="AB21" s="35" t="e">
        <f>IF($S21="","",IF(#REF!="Tolerance",IF((#REF!*3*T21+S21)-E21&lt;F21,"",(#REF!*3*T21+S21)-E21),IF(OR(#REF!="GD&amp;T",#REF!="MAX"),IF((#REF!*3*T21+S21)&lt;F21,"",(#REF!*3*T21+S21)),"")))</f>
        <v>#REF!</v>
      </c>
      <c r="AC21" s="35" t="e">
        <f>IF(S21="","",IF(#REF!="Tolerance",IF(-((#REF!*3*T21)-S21)-E21&gt;G21,"",-((#REF!*3*T21)-S21)-E21),IF(#REF!="MIN",IF(-((#REF!*3*T21)-S21)&gt;G21,"",-((#REF!*3*T21)-S21)),"")))</f>
        <v>#REF!</v>
      </c>
      <c r="AD21" s="35">
        <f t="shared" si="13"/>
        <v>3.0975000000000001</v>
      </c>
      <c r="AE21" s="35" t="str">
        <f t="shared" si="9"/>
        <v/>
      </c>
      <c r="AF21" s="125"/>
      <c r="AG21" s="126" t="str">
        <f t="shared" si="14"/>
        <v/>
      </c>
      <c r="AH21" s="145" t="str" cm="1">
        <f t="array" ref="AH21">IF(AND(AM21:BR21 &gt;= IF(K21="",0,K21), AM21:BR21 &lt;= IF(J21="",0,J21)), "OK", "NG")</f>
        <v>NG</v>
      </c>
      <c r="AI21" s="127"/>
      <c r="AJ21" s="127"/>
      <c r="AK21" s="128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29"/>
      <c r="BF21" s="129"/>
      <c r="BG21" s="129"/>
      <c r="BH21" s="129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</row>
    <row r="22" spans="2:70" ht="19.2" customHeight="1">
      <c r="B22" s="113" t="s">
        <v>247</v>
      </c>
      <c r="C22" s="65" t="s">
        <v>179</v>
      </c>
      <c r="D22" s="114" t="s">
        <v>45</v>
      </c>
      <c r="E22" s="115">
        <v>3.1</v>
      </c>
      <c r="F22" s="116">
        <v>0.03</v>
      </c>
      <c r="G22" s="116">
        <v>-3.5000000000000003E-2</v>
      </c>
      <c r="H22" s="117" t="s">
        <v>46</v>
      </c>
      <c r="I22" s="118"/>
      <c r="J22" s="119">
        <f t="shared" si="10"/>
        <v>3.13</v>
      </c>
      <c r="K22" s="119">
        <f t="shared" si="11"/>
        <v>3.0649999999999999</v>
      </c>
      <c r="L22" s="142">
        <v>3.1255000000000002</v>
      </c>
      <c r="M22" s="142">
        <v>3.0702500000000001</v>
      </c>
      <c r="N22" s="142"/>
      <c r="O22" s="142"/>
      <c r="P22" s="120"/>
      <c r="Q22" s="121">
        <f t="shared" si="0"/>
        <v>0</v>
      </c>
      <c r="R22" s="121">
        <f t="shared" si="1"/>
        <v>0</v>
      </c>
      <c r="S22" s="121">
        <f t="shared" si="2"/>
        <v>0</v>
      </c>
      <c r="T22" s="122">
        <f t="shared" si="3"/>
        <v>0</v>
      </c>
      <c r="U22" s="123" t="str">
        <f t="shared" si="4"/>
        <v/>
      </c>
      <c r="V22" s="124" t="str">
        <f>IF(OR($AM22="",ISNUMBER($AM22)=FALSE),"",IF(AND(#REF!="Tolerance",$E22&lt;&gt;""),($S22-$E22)/(($J22-$K22)/2),IF(AND(#REF!="GD&amp;T",$F22&lt;&gt;""),$S22/$F22,"")))</f>
        <v/>
      </c>
      <c r="W22" s="124" t="str">
        <f t="shared" si="12"/>
        <v/>
      </c>
      <c r="X22" s="123" t="str">
        <f t="shared" si="5"/>
        <v/>
      </c>
      <c r="Y22" s="123" t="str">
        <f t="shared" si="6"/>
        <v/>
      </c>
      <c r="Z22" s="123" t="str">
        <f t="shared" si="7"/>
        <v/>
      </c>
      <c r="AA22" s="34" t="str">
        <f t="shared" si="8"/>
        <v/>
      </c>
      <c r="AB22" s="35" t="e">
        <f>IF($S22="","",IF(#REF!="Tolerance",IF((#REF!*3*T22+S22)-E22&lt;F22,"",(#REF!*3*T22+S22)-E22),IF(OR(#REF!="GD&amp;T",#REF!="MAX"),IF((#REF!*3*T22+S22)&lt;F22,"",(#REF!*3*T22+S22)),"")))</f>
        <v>#REF!</v>
      </c>
      <c r="AC22" s="35" t="e">
        <f>IF(S22="","",IF(#REF!="Tolerance",IF(-((#REF!*3*T22)-S22)-E22&gt;G22,"",-((#REF!*3*T22)-S22)-E22),IF(#REF!="MIN",IF(-((#REF!*3*T22)-S22)&gt;G22,"",-((#REF!*3*T22)-S22)),"")))</f>
        <v>#REF!</v>
      </c>
      <c r="AD22" s="35">
        <f t="shared" si="13"/>
        <v>3.0975000000000001</v>
      </c>
      <c r="AE22" s="35" t="str">
        <f t="shared" si="9"/>
        <v/>
      </c>
      <c r="AF22" s="125"/>
      <c r="AG22" s="126" t="str">
        <f t="shared" si="14"/>
        <v/>
      </c>
      <c r="AH22" s="145" t="str" cm="1">
        <f t="array" ref="AH22">IF(AND(AM22:BR22 &gt;= IF(K22="",0,K22), AM22:BR22 &lt;= IF(J22="",0,J22)), "OK", "NG")</f>
        <v>NG</v>
      </c>
      <c r="AI22" s="127"/>
      <c r="AJ22" s="127"/>
      <c r="AK22" s="128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29"/>
      <c r="BD22" s="129"/>
      <c r="BE22" s="129"/>
      <c r="BF22" s="129"/>
      <c r="BG22" s="129"/>
      <c r="BH22" s="129"/>
      <c r="BI22" s="129"/>
      <c r="BJ22" s="129"/>
      <c r="BK22" s="129"/>
      <c r="BL22" s="129"/>
      <c r="BM22" s="129"/>
      <c r="BN22" s="129"/>
      <c r="BO22" s="129"/>
      <c r="BP22" s="129"/>
      <c r="BQ22" s="129"/>
      <c r="BR22" s="129"/>
    </row>
    <row r="23" spans="2:70" ht="19.2" customHeight="1">
      <c r="B23" s="113" t="s">
        <v>247</v>
      </c>
      <c r="C23" s="65" t="s">
        <v>180</v>
      </c>
      <c r="D23" s="114" t="s">
        <v>45</v>
      </c>
      <c r="E23" s="115">
        <v>3.1</v>
      </c>
      <c r="F23" s="116">
        <v>0.03</v>
      </c>
      <c r="G23" s="116">
        <v>-3.5000000000000003E-2</v>
      </c>
      <c r="H23" s="117" t="s">
        <v>46</v>
      </c>
      <c r="I23" s="118"/>
      <c r="J23" s="119">
        <f t="shared" si="10"/>
        <v>3.13</v>
      </c>
      <c r="K23" s="119">
        <f t="shared" si="11"/>
        <v>3.0649999999999999</v>
      </c>
      <c r="L23" s="142">
        <v>3.1255000000000002</v>
      </c>
      <c r="M23" s="142">
        <v>3.0702500000000001</v>
      </c>
      <c r="N23" s="142"/>
      <c r="O23" s="142"/>
      <c r="P23" s="120"/>
      <c r="Q23" s="121">
        <f t="shared" si="0"/>
        <v>0</v>
      </c>
      <c r="R23" s="121">
        <f t="shared" si="1"/>
        <v>0</v>
      </c>
      <c r="S23" s="121">
        <f t="shared" si="2"/>
        <v>0</v>
      </c>
      <c r="T23" s="122">
        <f t="shared" si="3"/>
        <v>0</v>
      </c>
      <c r="U23" s="123" t="str">
        <f t="shared" si="4"/>
        <v/>
      </c>
      <c r="V23" s="124" t="str">
        <f>IF(OR($AM23="",ISNUMBER($AM23)=FALSE),"",IF(AND(#REF!="Tolerance",$E23&lt;&gt;""),($S23-$E23)/(($J23-$K23)/2),IF(AND(#REF!="GD&amp;T",$F23&lt;&gt;""),$S23/$F23,"")))</f>
        <v/>
      </c>
      <c r="W23" s="124" t="str">
        <f t="shared" si="12"/>
        <v/>
      </c>
      <c r="X23" s="123" t="str">
        <f t="shared" si="5"/>
        <v/>
      </c>
      <c r="Y23" s="123" t="str">
        <f t="shared" si="6"/>
        <v/>
      </c>
      <c r="Z23" s="123" t="str">
        <f t="shared" si="7"/>
        <v/>
      </c>
      <c r="AA23" s="34" t="str">
        <f t="shared" si="8"/>
        <v/>
      </c>
      <c r="AB23" s="35" t="e">
        <f>IF($S23="","",IF(#REF!="Tolerance",IF((#REF!*3*T23+S23)-E23&lt;F23,"",(#REF!*3*T23+S23)-E23),IF(OR(#REF!="GD&amp;T",#REF!="MAX"),IF((#REF!*3*T23+S23)&lt;F23,"",(#REF!*3*T23+S23)),"")))</f>
        <v>#REF!</v>
      </c>
      <c r="AC23" s="35" t="e">
        <f>IF(S23="","",IF(#REF!="Tolerance",IF(-((#REF!*3*T23)-S23)-E23&gt;G23,"",-((#REF!*3*T23)-S23)-E23),IF(#REF!="MIN",IF(-((#REF!*3*T23)-S23)&gt;G23,"",-((#REF!*3*T23)-S23)),"")))</f>
        <v>#REF!</v>
      </c>
      <c r="AD23" s="35">
        <f t="shared" si="13"/>
        <v>3.0975000000000001</v>
      </c>
      <c r="AE23" s="35" t="str">
        <f t="shared" si="9"/>
        <v/>
      </c>
      <c r="AF23" s="125"/>
      <c r="AG23" s="126" t="str">
        <f t="shared" si="14"/>
        <v/>
      </c>
      <c r="AH23" s="145" t="str" cm="1">
        <f t="array" ref="AH23">IF(AND(AM23:BR23 &gt;= IF(K23="",0,K23), AM23:BR23 &lt;= IF(J23="",0,J23)), "OK", "NG")</f>
        <v>NG</v>
      </c>
      <c r="AI23" s="127"/>
      <c r="AJ23" s="127"/>
      <c r="AK23" s="128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</row>
    <row r="24" spans="2:70" ht="19.2" customHeight="1">
      <c r="B24" s="113" t="s">
        <v>247</v>
      </c>
      <c r="C24" s="65" t="s">
        <v>181</v>
      </c>
      <c r="D24" s="114" t="s">
        <v>45</v>
      </c>
      <c r="E24" s="115">
        <v>3.1</v>
      </c>
      <c r="F24" s="116">
        <v>0.03</v>
      </c>
      <c r="G24" s="116">
        <v>-3.5000000000000003E-2</v>
      </c>
      <c r="H24" s="117" t="s">
        <v>46</v>
      </c>
      <c r="I24" s="118"/>
      <c r="J24" s="119">
        <f t="shared" si="10"/>
        <v>3.13</v>
      </c>
      <c r="K24" s="119">
        <f t="shared" si="11"/>
        <v>3.0649999999999999</v>
      </c>
      <c r="L24" s="142">
        <v>3.1255000000000002</v>
      </c>
      <c r="M24" s="142">
        <v>3.0702500000000001</v>
      </c>
      <c r="N24" s="142"/>
      <c r="O24" s="142"/>
      <c r="P24" s="120"/>
      <c r="Q24" s="121">
        <f t="shared" si="0"/>
        <v>0</v>
      </c>
      <c r="R24" s="121">
        <f t="shared" si="1"/>
        <v>0</v>
      </c>
      <c r="S24" s="121">
        <f t="shared" si="2"/>
        <v>0</v>
      </c>
      <c r="T24" s="122">
        <f t="shared" si="3"/>
        <v>0</v>
      </c>
      <c r="U24" s="123" t="str">
        <f t="shared" si="4"/>
        <v/>
      </c>
      <c r="V24" s="124" t="str">
        <f>IF(OR($AM24="",ISNUMBER($AM24)=FALSE),"",IF(AND(#REF!="Tolerance",$E24&lt;&gt;""),($S24-$E24)/(($J24-$K24)/2),IF(AND(#REF!="GD&amp;T",$F24&lt;&gt;""),$S24/$F24,"")))</f>
        <v/>
      </c>
      <c r="W24" s="124" t="str">
        <f t="shared" si="12"/>
        <v/>
      </c>
      <c r="X24" s="123" t="str">
        <f t="shared" si="5"/>
        <v/>
      </c>
      <c r="Y24" s="123" t="str">
        <f t="shared" si="6"/>
        <v/>
      </c>
      <c r="Z24" s="123" t="str">
        <f t="shared" si="7"/>
        <v/>
      </c>
      <c r="AA24" s="34" t="str">
        <f t="shared" si="8"/>
        <v/>
      </c>
      <c r="AB24" s="35" t="e">
        <f>IF($S24="","",IF(#REF!="Tolerance",IF((#REF!*3*T24+S24)-E24&lt;F24,"",(#REF!*3*T24+S24)-E24),IF(OR(#REF!="GD&amp;T",#REF!="MAX"),IF((#REF!*3*T24+S24)&lt;F24,"",(#REF!*3*T24+S24)),"")))</f>
        <v>#REF!</v>
      </c>
      <c r="AC24" s="35" t="e">
        <f>IF(S24="","",IF(#REF!="Tolerance",IF(-((#REF!*3*T24)-S24)-E24&gt;G24,"",-((#REF!*3*T24)-S24)-E24),IF(#REF!="MIN",IF(-((#REF!*3*T24)-S24)&gt;G24,"",-((#REF!*3*T24)-S24)),"")))</f>
        <v>#REF!</v>
      </c>
      <c r="AD24" s="35">
        <f t="shared" si="13"/>
        <v>3.0975000000000001</v>
      </c>
      <c r="AE24" s="35" t="str">
        <f t="shared" si="9"/>
        <v/>
      </c>
      <c r="AF24" s="125"/>
      <c r="AG24" s="126" t="str">
        <f t="shared" si="14"/>
        <v/>
      </c>
      <c r="AH24" s="145" t="str" cm="1">
        <f t="array" ref="AH24">IF(AND(AM24:BR24 &gt;= IF(K24="",0,K24), AM24:BR24 &lt;= IF(J24="",0,J24)), "OK", "NG")</f>
        <v>NG</v>
      </c>
      <c r="AI24" s="127"/>
      <c r="AJ24" s="127"/>
      <c r="AK24" s="128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129"/>
    </row>
    <row r="25" spans="2:70" ht="19.2" customHeight="1">
      <c r="B25" s="113" t="s">
        <v>247</v>
      </c>
      <c r="C25" s="65" t="s">
        <v>182</v>
      </c>
      <c r="D25" s="114" t="s">
        <v>45</v>
      </c>
      <c r="E25" s="115">
        <v>3.1</v>
      </c>
      <c r="F25" s="116">
        <v>0.03</v>
      </c>
      <c r="G25" s="116">
        <v>-3.5000000000000003E-2</v>
      </c>
      <c r="H25" s="117" t="s">
        <v>46</v>
      </c>
      <c r="I25" s="118"/>
      <c r="J25" s="119">
        <f t="shared" si="10"/>
        <v>3.13</v>
      </c>
      <c r="K25" s="119">
        <f t="shared" si="11"/>
        <v>3.0649999999999999</v>
      </c>
      <c r="L25" s="142">
        <v>3.1255000000000002</v>
      </c>
      <c r="M25" s="142">
        <v>3.0702500000000001</v>
      </c>
      <c r="N25" s="142"/>
      <c r="O25" s="142"/>
      <c r="P25" s="120"/>
      <c r="Q25" s="121">
        <f t="shared" si="0"/>
        <v>0</v>
      </c>
      <c r="R25" s="121">
        <f t="shared" si="1"/>
        <v>0</v>
      </c>
      <c r="S25" s="121">
        <f t="shared" si="2"/>
        <v>0</v>
      </c>
      <c r="T25" s="122">
        <f t="shared" si="3"/>
        <v>0</v>
      </c>
      <c r="U25" s="123" t="str">
        <f t="shared" si="4"/>
        <v/>
      </c>
      <c r="V25" s="124" t="str">
        <f>IF(OR($AM25="",ISNUMBER($AM25)=FALSE),"",IF(AND(#REF!="Tolerance",$E25&lt;&gt;""),($S25-$E25)/(($J25-$K25)/2),IF(AND(#REF!="GD&amp;T",$F25&lt;&gt;""),$S25/$F25,"")))</f>
        <v/>
      </c>
      <c r="W25" s="124" t="str">
        <f t="shared" si="12"/>
        <v/>
      </c>
      <c r="X25" s="123" t="str">
        <f t="shared" si="5"/>
        <v/>
      </c>
      <c r="Y25" s="123" t="str">
        <f t="shared" si="6"/>
        <v/>
      </c>
      <c r="Z25" s="123" t="str">
        <f t="shared" si="7"/>
        <v/>
      </c>
      <c r="AA25" s="34" t="str">
        <f t="shared" si="8"/>
        <v/>
      </c>
      <c r="AB25" s="35"/>
      <c r="AC25" s="35"/>
      <c r="AD25" s="35"/>
      <c r="AE25" s="35"/>
      <c r="AF25" s="125"/>
      <c r="AG25" s="126" t="str">
        <f t="shared" si="14"/>
        <v/>
      </c>
      <c r="AH25" s="145" t="str" cm="1">
        <f t="array" ref="AH25">IF(AND(AM25:BR25 &gt;= IF(K25="",0,K25), AM25:BR25 &lt;= IF(J25="",0,J25)), "OK", "NG")</f>
        <v>NG</v>
      </c>
      <c r="AI25" s="127"/>
      <c r="AJ25" s="127"/>
      <c r="AK25" s="128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129"/>
      <c r="BQ25" s="129"/>
      <c r="BR25" s="129"/>
    </row>
    <row r="26" spans="2:70" ht="19.2" customHeight="1">
      <c r="B26" s="113" t="s">
        <v>247</v>
      </c>
      <c r="C26" s="65" t="s">
        <v>183</v>
      </c>
      <c r="D26" s="114" t="s">
        <v>45</v>
      </c>
      <c r="E26" s="115">
        <v>3.1</v>
      </c>
      <c r="F26" s="116">
        <v>0.03</v>
      </c>
      <c r="G26" s="116">
        <v>-3.5000000000000003E-2</v>
      </c>
      <c r="H26" s="117" t="s">
        <v>46</v>
      </c>
      <c r="I26" s="118"/>
      <c r="J26" s="119">
        <f t="shared" si="10"/>
        <v>3.13</v>
      </c>
      <c r="K26" s="119">
        <f t="shared" si="11"/>
        <v>3.0649999999999999</v>
      </c>
      <c r="L26" s="142">
        <v>3.1255000000000002</v>
      </c>
      <c r="M26" s="142">
        <v>3.0702500000000001</v>
      </c>
      <c r="N26" s="142"/>
      <c r="O26" s="142"/>
      <c r="P26" s="120"/>
      <c r="Q26" s="121">
        <f t="shared" si="0"/>
        <v>0</v>
      </c>
      <c r="R26" s="121">
        <f t="shared" si="1"/>
        <v>0</v>
      </c>
      <c r="S26" s="121">
        <f t="shared" si="2"/>
        <v>0</v>
      </c>
      <c r="T26" s="122">
        <f t="shared" si="3"/>
        <v>0</v>
      </c>
      <c r="U26" s="123" t="str">
        <f t="shared" si="4"/>
        <v/>
      </c>
      <c r="V26" s="124" t="str">
        <f>IF(OR($AM26="",ISNUMBER($AM26)=FALSE),"",IF(AND(#REF!="Tolerance",$E26&lt;&gt;""),($S26-$E26)/(($J26-$K26)/2),IF(AND(#REF!="GD&amp;T",$F26&lt;&gt;""),$S26/$F26,"")))</f>
        <v/>
      </c>
      <c r="W26" s="124" t="str">
        <f t="shared" si="12"/>
        <v/>
      </c>
      <c r="X26" s="123" t="str">
        <f t="shared" si="5"/>
        <v/>
      </c>
      <c r="Y26" s="123" t="str">
        <f t="shared" si="6"/>
        <v/>
      </c>
      <c r="Z26" s="123" t="str">
        <f t="shared" si="7"/>
        <v/>
      </c>
      <c r="AA26" s="34" t="str">
        <f t="shared" si="8"/>
        <v/>
      </c>
      <c r="AB26" s="35"/>
      <c r="AC26" s="35"/>
      <c r="AD26" s="35"/>
      <c r="AE26" s="35"/>
      <c r="AF26" s="125"/>
      <c r="AG26" s="126" t="str">
        <f t="shared" si="14"/>
        <v/>
      </c>
      <c r="AH26" s="145" t="str" cm="1">
        <f t="array" ref="AH26">IF(AND(AM26:BR26 &gt;= IF(K26="",0,K26), AM26:BR26 &lt;= IF(J26="",0,J26)), "OK", "NG")</f>
        <v>NG</v>
      </c>
      <c r="AI26" s="127"/>
      <c r="AJ26" s="127"/>
      <c r="AK26" s="128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  <c r="BP26" s="129"/>
      <c r="BQ26" s="129"/>
      <c r="BR26" s="129"/>
    </row>
    <row r="27" spans="2:70" ht="19.2" customHeight="1">
      <c r="B27" s="113" t="s">
        <v>248</v>
      </c>
      <c r="C27" s="65" t="s">
        <v>184</v>
      </c>
      <c r="D27" s="114" t="s">
        <v>47</v>
      </c>
      <c r="E27" s="115">
        <v>0</v>
      </c>
      <c r="F27" s="116">
        <v>3.5000000000000003E-2</v>
      </c>
      <c r="G27" s="115">
        <v>0</v>
      </c>
      <c r="H27" s="117" t="s">
        <v>46</v>
      </c>
      <c r="I27" s="118"/>
      <c r="J27" s="119">
        <f t="shared" si="10"/>
        <v>3.5000000000000003E-2</v>
      </c>
      <c r="K27" s="119">
        <f t="shared" si="11"/>
        <v>0</v>
      </c>
      <c r="L27" s="142">
        <v>2.9750000000000002E-2</v>
      </c>
      <c r="M27" s="142">
        <v>0</v>
      </c>
      <c r="N27" s="142">
        <v>2.1000000000000001E-2</v>
      </c>
      <c r="O27" s="142">
        <v>0</v>
      </c>
      <c r="P27" s="120"/>
      <c r="Q27" s="121">
        <f t="shared" si="0"/>
        <v>0</v>
      </c>
      <c r="R27" s="121">
        <f t="shared" si="1"/>
        <v>0</v>
      </c>
      <c r="S27" s="121">
        <f t="shared" si="2"/>
        <v>0</v>
      </c>
      <c r="T27" s="122">
        <f t="shared" si="3"/>
        <v>0</v>
      </c>
      <c r="U27" s="123" t="str">
        <f t="shared" si="4"/>
        <v/>
      </c>
      <c r="V27" s="124" t="str">
        <f>IF(OR($AM27="",ISNUMBER($AM27)=FALSE),"",IF(AND(#REF!="Tolerance",$E27&lt;&gt;""),($S27-$E27)/(($J27-$K27)/2),IF(AND(#REF!="GD&amp;T",$F27&lt;&gt;""),$S27/$F27,"")))</f>
        <v/>
      </c>
      <c r="W27" s="124" t="str">
        <f t="shared" si="12"/>
        <v/>
      </c>
      <c r="X27" s="123" t="str">
        <f t="shared" si="5"/>
        <v/>
      </c>
      <c r="Y27" s="123" t="str">
        <f t="shared" si="6"/>
        <v/>
      </c>
      <c r="Z27" s="123" t="str">
        <f t="shared" si="7"/>
        <v/>
      </c>
      <c r="AA27" s="34" t="str">
        <f t="shared" si="8"/>
        <v/>
      </c>
      <c r="AB27" s="35"/>
      <c r="AC27" s="35"/>
      <c r="AD27" s="35"/>
      <c r="AE27" s="35"/>
      <c r="AF27" s="125"/>
      <c r="AG27" s="126" t="str">
        <f t="shared" si="14"/>
        <v/>
      </c>
      <c r="AH27" s="145" t="str" cm="1">
        <f t="array" ref="AH27">IF(AND(AM27:BR27 &gt;= IF(K27="",0,K27), AM27:BR27 &lt;= IF(J27="",0,J27)), "OK", "NG")</f>
        <v>OK</v>
      </c>
      <c r="AI27" s="127"/>
      <c r="AJ27" s="127"/>
      <c r="AK27" s="128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129"/>
    </row>
    <row r="28" spans="2:70" ht="19.2" customHeight="1">
      <c r="B28" s="113" t="s">
        <v>249</v>
      </c>
      <c r="C28" s="65" t="s">
        <v>185</v>
      </c>
      <c r="D28" s="114" t="s">
        <v>45</v>
      </c>
      <c r="E28" s="115">
        <v>0.52</v>
      </c>
      <c r="F28" s="116">
        <v>0.03</v>
      </c>
      <c r="G28" s="116">
        <v>-0.03</v>
      </c>
      <c r="H28" s="117" t="s">
        <v>46</v>
      </c>
      <c r="I28" s="118"/>
      <c r="J28" s="119">
        <f t="shared" si="10"/>
        <v>0.55000000000000004</v>
      </c>
      <c r="K28" s="119">
        <f t="shared" si="11"/>
        <v>0.49</v>
      </c>
      <c r="L28" s="142">
        <v>0.54549999999999998</v>
      </c>
      <c r="M28" s="142">
        <v>0.4945</v>
      </c>
      <c r="N28" s="142"/>
      <c r="O28" s="142"/>
      <c r="P28" s="120"/>
      <c r="Q28" s="121">
        <f t="shared" si="0"/>
        <v>0</v>
      </c>
      <c r="R28" s="121">
        <f t="shared" si="1"/>
        <v>0</v>
      </c>
      <c r="S28" s="121">
        <f t="shared" si="2"/>
        <v>0</v>
      </c>
      <c r="T28" s="122">
        <f t="shared" si="3"/>
        <v>0</v>
      </c>
      <c r="U28" s="123" t="str">
        <f t="shared" si="4"/>
        <v/>
      </c>
      <c r="V28" s="124" t="str">
        <f>IF(OR($AM28="",ISNUMBER($AM28)=FALSE),"",IF(AND(#REF!="Tolerance",$E28&lt;&gt;""),($S28-$E28)/(($J28-$K28)/2),IF(AND(#REF!="GD&amp;T",$F28&lt;&gt;""),$S28/$F28,"")))</f>
        <v/>
      </c>
      <c r="W28" s="124" t="str">
        <f t="shared" si="12"/>
        <v/>
      </c>
      <c r="X28" s="123" t="str">
        <f t="shared" si="5"/>
        <v/>
      </c>
      <c r="Y28" s="123" t="str">
        <f t="shared" si="6"/>
        <v/>
      </c>
      <c r="Z28" s="123" t="str">
        <f t="shared" si="7"/>
        <v/>
      </c>
      <c r="AA28" s="34" t="str">
        <f t="shared" si="8"/>
        <v/>
      </c>
      <c r="AB28" s="35"/>
      <c r="AC28" s="35"/>
      <c r="AD28" s="35"/>
      <c r="AE28" s="35"/>
      <c r="AF28" s="125"/>
      <c r="AG28" s="126" t="str">
        <f t="shared" si="14"/>
        <v/>
      </c>
      <c r="AH28" s="145" t="str" cm="1">
        <f t="array" ref="AH28">IF(AND(AM28:BR28 &gt;= IF(K28="",0,K28), AM28:BR28 &lt;= IF(J28="",0,J28)), "OK", "NG")</f>
        <v>NG</v>
      </c>
      <c r="AI28" s="127"/>
      <c r="AJ28" s="127"/>
      <c r="AK28" s="128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  <c r="BP28" s="129"/>
      <c r="BQ28" s="129"/>
      <c r="BR28" s="129"/>
    </row>
    <row r="29" spans="2:70" ht="19.2" customHeight="1">
      <c r="B29" s="113" t="s">
        <v>250</v>
      </c>
      <c r="C29" s="65" t="s">
        <v>186</v>
      </c>
      <c r="D29" s="114" t="s">
        <v>45</v>
      </c>
      <c r="E29" s="115">
        <v>0.52</v>
      </c>
      <c r="F29" s="116">
        <v>0.03</v>
      </c>
      <c r="G29" s="116">
        <v>-0.03</v>
      </c>
      <c r="H29" s="117" t="s">
        <v>46</v>
      </c>
      <c r="I29" s="118"/>
      <c r="J29" s="119">
        <f t="shared" si="10"/>
        <v>0.55000000000000004</v>
      </c>
      <c r="K29" s="119">
        <f t="shared" si="11"/>
        <v>0.49</v>
      </c>
      <c r="L29" s="142">
        <v>0.54549999999999998</v>
      </c>
      <c r="M29" s="142">
        <v>0.4945</v>
      </c>
      <c r="N29" s="142"/>
      <c r="O29" s="142"/>
      <c r="P29" s="120"/>
      <c r="Q29" s="121">
        <f t="shared" si="0"/>
        <v>0</v>
      </c>
      <c r="R29" s="121">
        <f t="shared" si="1"/>
        <v>0</v>
      </c>
      <c r="S29" s="121">
        <f t="shared" si="2"/>
        <v>0</v>
      </c>
      <c r="T29" s="122">
        <f t="shared" si="3"/>
        <v>0</v>
      </c>
      <c r="U29" s="123" t="str">
        <f t="shared" si="4"/>
        <v/>
      </c>
      <c r="V29" s="124" t="str">
        <f>IF(OR($AM29="",ISNUMBER($AM29)=FALSE),"",IF(AND(#REF!="Tolerance",$E29&lt;&gt;""),($S29-$E29)/(($J29-$K29)/2),IF(AND(#REF!="GD&amp;T",$F29&lt;&gt;""),$S29/$F29,"")))</f>
        <v/>
      </c>
      <c r="W29" s="124" t="str">
        <f t="shared" si="12"/>
        <v/>
      </c>
      <c r="X29" s="123" t="str">
        <f t="shared" si="5"/>
        <v/>
      </c>
      <c r="Y29" s="123" t="str">
        <f t="shared" si="6"/>
        <v/>
      </c>
      <c r="Z29" s="123" t="str">
        <f t="shared" si="7"/>
        <v/>
      </c>
      <c r="AA29" s="34" t="str">
        <f t="shared" si="8"/>
        <v/>
      </c>
      <c r="AB29" s="35"/>
      <c r="AC29" s="35"/>
      <c r="AD29" s="35"/>
      <c r="AE29" s="35"/>
      <c r="AF29" s="125"/>
      <c r="AG29" s="126" t="str">
        <f t="shared" si="14"/>
        <v/>
      </c>
      <c r="AH29" s="145" t="str" cm="1">
        <f t="array" ref="AH29">IF(AND(AM29:BR29 &gt;= IF(K29="",0,K29), AM29:BR29 &lt;= IF(J29="",0,J29)), "OK", "NG")</f>
        <v>NG</v>
      </c>
      <c r="AI29" s="127"/>
      <c r="AJ29" s="127"/>
      <c r="AK29" s="128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  <c r="BH29" s="129"/>
      <c r="BI29" s="129"/>
      <c r="BJ29" s="129"/>
      <c r="BK29" s="129"/>
      <c r="BL29" s="129"/>
      <c r="BM29" s="129"/>
      <c r="BN29" s="129"/>
      <c r="BO29" s="129"/>
      <c r="BP29" s="129"/>
      <c r="BQ29" s="129"/>
      <c r="BR29" s="129"/>
    </row>
    <row r="30" spans="2:70" ht="19.2" customHeight="1">
      <c r="B30" s="113" t="s">
        <v>251</v>
      </c>
      <c r="C30" s="65" t="s">
        <v>187</v>
      </c>
      <c r="D30" s="114" t="s">
        <v>45</v>
      </c>
      <c r="E30" s="115">
        <v>0.52</v>
      </c>
      <c r="F30" s="116">
        <v>0.03</v>
      </c>
      <c r="G30" s="116">
        <v>-0.03</v>
      </c>
      <c r="H30" s="117" t="s">
        <v>46</v>
      </c>
      <c r="I30" s="118"/>
      <c r="J30" s="119">
        <f t="shared" si="10"/>
        <v>0.55000000000000004</v>
      </c>
      <c r="K30" s="119">
        <f t="shared" si="11"/>
        <v>0.49</v>
      </c>
      <c r="L30" s="142">
        <v>0.54549999999999998</v>
      </c>
      <c r="M30" s="142">
        <v>0.4945</v>
      </c>
      <c r="N30" s="142"/>
      <c r="O30" s="142"/>
      <c r="P30" s="120"/>
      <c r="Q30" s="121">
        <f t="shared" si="0"/>
        <v>0</v>
      </c>
      <c r="R30" s="121">
        <f t="shared" si="1"/>
        <v>0</v>
      </c>
      <c r="S30" s="121">
        <f t="shared" si="2"/>
        <v>0</v>
      </c>
      <c r="T30" s="122">
        <f t="shared" si="3"/>
        <v>0</v>
      </c>
      <c r="U30" s="123" t="str">
        <f t="shared" si="4"/>
        <v/>
      </c>
      <c r="V30" s="124" t="str">
        <f>IF(OR($AM30="",ISNUMBER($AM30)=FALSE),"",IF(AND(#REF!="Tolerance",$E30&lt;&gt;""),($S30-$E30)/(($J30-$K30)/2),IF(AND(#REF!="GD&amp;T",$F30&lt;&gt;""),$S30/$F30,"")))</f>
        <v/>
      </c>
      <c r="W30" s="124" t="str">
        <f t="shared" si="12"/>
        <v/>
      </c>
      <c r="X30" s="123" t="str">
        <f t="shared" si="5"/>
        <v/>
      </c>
      <c r="Y30" s="123" t="str">
        <f t="shared" si="6"/>
        <v/>
      </c>
      <c r="Z30" s="123" t="str">
        <f t="shared" si="7"/>
        <v/>
      </c>
      <c r="AA30" s="34" t="str">
        <f t="shared" si="8"/>
        <v/>
      </c>
      <c r="AB30" s="35" t="e">
        <f>IF($S30="","",IF(#REF!="Tolerance",IF((#REF!*3*T30+S30)-E30&lt;F30,"",(#REF!*3*T30+S30)-E30),IF(OR(#REF!="GD&amp;T",#REF!="MAX"),IF((#REF!*3*T30+S30)&lt;F30,"",(#REF!*3*T30+S30)),"")))</f>
        <v>#REF!</v>
      </c>
      <c r="AC30" s="35" t="e">
        <f>IF(S30="","",IF(#REF!="Tolerance",IF(-((#REF!*3*T30)-S30)-E30&gt;G30,"",-((#REF!*3*T30)-S30)-E30),IF(#REF!="MIN",IF(-((#REF!*3*T30)-S30)&gt;G30,"",-((#REF!*3*T30)-S30)),"")))</f>
        <v>#REF!</v>
      </c>
      <c r="AD30" s="35">
        <f t="shared" si="13"/>
        <v>0.52</v>
      </c>
      <c r="AE30" s="35" t="str">
        <f t="shared" si="9"/>
        <v/>
      </c>
      <c r="AF30" s="125"/>
      <c r="AG30" s="126" t="str">
        <f t="shared" si="14"/>
        <v/>
      </c>
      <c r="AH30" s="145" t="str" cm="1">
        <f t="array" ref="AH30">IF(AND(AM30:BR30 &gt;= IF(K30="",0,K30), AM30:BR30 &lt;= IF(J30="",0,J30)), "OK", "NG")</f>
        <v>NG</v>
      </c>
      <c r="AI30" s="127"/>
      <c r="AJ30" s="127"/>
      <c r="AK30" s="128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9"/>
    </row>
    <row r="31" spans="2:70" ht="19.2" customHeight="1">
      <c r="B31" s="113" t="s">
        <v>252</v>
      </c>
      <c r="C31" s="65" t="s">
        <v>188</v>
      </c>
      <c r="D31" s="114" t="s">
        <v>45</v>
      </c>
      <c r="E31" s="115">
        <v>0.52</v>
      </c>
      <c r="F31" s="116">
        <v>0.03</v>
      </c>
      <c r="G31" s="116">
        <v>-0.03</v>
      </c>
      <c r="H31" s="117" t="s">
        <v>46</v>
      </c>
      <c r="I31" s="118"/>
      <c r="J31" s="119">
        <f t="shared" si="10"/>
        <v>0.55000000000000004</v>
      </c>
      <c r="K31" s="119">
        <f t="shared" si="11"/>
        <v>0.49</v>
      </c>
      <c r="L31" s="142">
        <v>0.54549999999999998</v>
      </c>
      <c r="M31" s="142">
        <v>0.4945</v>
      </c>
      <c r="N31" s="142"/>
      <c r="O31" s="142"/>
      <c r="P31" s="120"/>
      <c r="Q31" s="121">
        <f t="shared" si="0"/>
        <v>0</v>
      </c>
      <c r="R31" s="121">
        <f t="shared" si="1"/>
        <v>0</v>
      </c>
      <c r="S31" s="121">
        <f t="shared" si="2"/>
        <v>0</v>
      </c>
      <c r="T31" s="122">
        <f t="shared" si="3"/>
        <v>0</v>
      </c>
      <c r="U31" s="123" t="str">
        <f t="shared" si="4"/>
        <v/>
      </c>
      <c r="V31" s="124" t="str">
        <f>IF(OR($AM31="",ISNUMBER($AM31)=FALSE),"",IF(AND(#REF!="Tolerance",$E31&lt;&gt;""),($S31-$E31)/(($J31-$K31)/2),IF(AND(#REF!="GD&amp;T",$F31&lt;&gt;""),$S31/$F31,"")))</f>
        <v/>
      </c>
      <c r="W31" s="124" t="str">
        <f t="shared" si="12"/>
        <v/>
      </c>
      <c r="X31" s="123" t="str">
        <f t="shared" si="5"/>
        <v/>
      </c>
      <c r="Y31" s="123" t="str">
        <f t="shared" si="6"/>
        <v/>
      </c>
      <c r="Z31" s="123" t="str">
        <f t="shared" si="7"/>
        <v/>
      </c>
      <c r="AA31" s="34" t="str">
        <f t="shared" si="8"/>
        <v/>
      </c>
      <c r="AB31" s="35" t="e">
        <f>IF($S31="","",IF(#REF!="Tolerance",IF((#REF!*3*T31+S31)-E31&lt;F31,"",(#REF!*3*T31+S31)-E31),IF(OR(#REF!="GD&amp;T",#REF!="MAX"),IF((#REF!*3*T31+S31)&lt;F31,"",(#REF!*3*T31+S31)),"")))</f>
        <v>#REF!</v>
      </c>
      <c r="AC31" s="35" t="e">
        <f>IF(S31="","",IF(#REF!="Tolerance",IF(-((#REF!*3*T31)-S31)-E31&gt;G31,"",-((#REF!*3*T31)-S31)-E31),IF(#REF!="MIN",IF(-((#REF!*3*T31)-S31)&gt;G31,"",-((#REF!*3*T31)-S31)),"")))</f>
        <v>#REF!</v>
      </c>
      <c r="AD31" s="35">
        <f t="shared" si="13"/>
        <v>0.52</v>
      </c>
      <c r="AE31" s="35" t="str">
        <f t="shared" si="9"/>
        <v/>
      </c>
      <c r="AF31" s="125"/>
      <c r="AG31" s="126" t="str">
        <f t="shared" si="14"/>
        <v/>
      </c>
      <c r="AH31" s="145" t="str" cm="1">
        <f t="array" ref="AH31">IF(AND(AM31:BR31 &gt;= IF(K31="",0,K31), AM31:BR31 &lt;= IF(J31="",0,J31)), "OK", "NG")</f>
        <v>NG</v>
      </c>
      <c r="AI31" s="127"/>
      <c r="AJ31" s="127"/>
      <c r="AK31" s="128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  <c r="BH31" s="129"/>
      <c r="BI31" s="129"/>
      <c r="BJ31" s="129"/>
      <c r="BK31" s="129"/>
      <c r="BL31" s="129"/>
      <c r="BM31" s="129"/>
      <c r="BN31" s="129"/>
      <c r="BO31" s="129"/>
      <c r="BP31" s="129"/>
      <c r="BQ31" s="129"/>
      <c r="BR31" s="129"/>
    </row>
    <row r="32" spans="2:70" ht="19.2" customHeight="1">
      <c r="B32" s="113" t="s">
        <v>86</v>
      </c>
      <c r="C32" s="65" t="s">
        <v>189</v>
      </c>
      <c r="D32" s="114" t="s">
        <v>45</v>
      </c>
      <c r="E32" s="115">
        <v>3.23</v>
      </c>
      <c r="F32" s="116">
        <v>0.02</v>
      </c>
      <c r="G32" s="116">
        <v>-3.5000000000000003E-2</v>
      </c>
      <c r="H32" s="117" t="s">
        <v>46</v>
      </c>
      <c r="I32" s="118"/>
      <c r="J32" s="119">
        <f t="shared" si="10"/>
        <v>3.25</v>
      </c>
      <c r="K32" s="119">
        <f t="shared" si="11"/>
        <v>3.1949999999999998</v>
      </c>
      <c r="L32" s="142">
        <v>3.2469999999999999</v>
      </c>
      <c r="M32" s="142">
        <v>3.20025</v>
      </c>
      <c r="N32" s="142"/>
      <c r="O32" s="142"/>
      <c r="P32" s="120"/>
      <c r="Q32" s="121">
        <f t="shared" si="0"/>
        <v>0</v>
      </c>
      <c r="R32" s="121">
        <f t="shared" si="1"/>
        <v>0</v>
      </c>
      <c r="S32" s="121">
        <f t="shared" si="2"/>
        <v>0</v>
      </c>
      <c r="T32" s="122">
        <f t="shared" si="3"/>
        <v>0</v>
      </c>
      <c r="U32" s="123" t="str">
        <f t="shared" si="4"/>
        <v/>
      </c>
      <c r="V32" s="124" t="str">
        <f>IF(OR($AM32="",ISNUMBER($AM32)=FALSE),"",IF(AND(#REF!="Tolerance",$E32&lt;&gt;""),($S32-$E32)/(($J32-$K32)/2),IF(AND(#REF!="GD&amp;T",$F32&lt;&gt;""),$S32/$F32,"")))</f>
        <v/>
      </c>
      <c r="W32" s="124" t="str">
        <f t="shared" si="12"/>
        <v/>
      </c>
      <c r="X32" s="123" t="str">
        <f t="shared" si="5"/>
        <v/>
      </c>
      <c r="Y32" s="123" t="str">
        <f t="shared" si="6"/>
        <v/>
      </c>
      <c r="Z32" s="123" t="str">
        <f t="shared" si="7"/>
        <v/>
      </c>
      <c r="AA32" s="34" t="str">
        <f t="shared" si="8"/>
        <v/>
      </c>
      <c r="AB32" s="35" t="e">
        <f>IF($S32="","",IF(#REF!="Tolerance",IF((#REF!*3*T32+S32)-E32&lt;F32,"",(#REF!*3*T32+S32)-E32),IF(OR(#REF!="GD&amp;T",#REF!="MAX"),IF((#REF!*3*T32+S32)&lt;F32,"",(#REF!*3*T32+S32)),"")))</f>
        <v>#REF!</v>
      </c>
      <c r="AC32" s="35" t="e">
        <f>IF(S32="","",IF(#REF!="Tolerance",IF(-((#REF!*3*T32)-S32)-E32&gt;G32,"",-((#REF!*3*T32)-S32)-E32),IF(#REF!="MIN",IF(-((#REF!*3*T32)-S32)&gt;G32,"",-((#REF!*3*T32)-S32)),"")))</f>
        <v>#REF!</v>
      </c>
      <c r="AD32" s="35">
        <f t="shared" si="13"/>
        <v>3.2225000000000001</v>
      </c>
      <c r="AE32" s="35" t="str">
        <f t="shared" si="9"/>
        <v/>
      </c>
      <c r="AF32" s="125"/>
      <c r="AG32" s="126" t="str">
        <f t="shared" si="14"/>
        <v/>
      </c>
      <c r="AH32" s="145" t="str" cm="1">
        <f t="array" ref="AH32">IF(AND(AM32:BR32 &gt;= IF(K32="",0,K32), AM32:BR32 &lt;= IF(J32="",0,J32)), "OK", "NG")</f>
        <v>NG</v>
      </c>
      <c r="AI32" s="127"/>
      <c r="AJ32" s="127"/>
      <c r="AK32" s="128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129"/>
    </row>
    <row r="33" spans="2:70" ht="19.2" customHeight="1">
      <c r="B33" s="113" t="s">
        <v>86</v>
      </c>
      <c r="C33" s="65" t="s">
        <v>190</v>
      </c>
      <c r="D33" s="114" t="s">
        <v>45</v>
      </c>
      <c r="E33" s="115">
        <v>3.23</v>
      </c>
      <c r="F33" s="116">
        <v>0.02</v>
      </c>
      <c r="G33" s="116">
        <v>-3.5000000000000003E-2</v>
      </c>
      <c r="H33" s="117" t="s">
        <v>46</v>
      </c>
      <c r="I33" s="118"/>
      <c r="J33" s="119">
        <f t="shared" si="10"/>
        <v>3.25</v>
      </c>
      <c r="K33" s="119">
        <f t="shared" si="11"/>
        <v>3.1949999999999998</v>
      </c>
      <c r="L33" s="142">
        <v>3.2469999999999999</v>
      </c>
      <c r="M33" s="142">
        <v>3.20025</v>
      </c>
      <c r="N33" s="142"/>
      <c r="O33" s="142"/>
      <c r="P33" s="120"/>
      <c r="Q33" s="121">
        <f t="shared" si="0"/>
        <v>0</v>
      </c>
      <c r="R33" s="121">
        <f t="shared" si="1"/>
        <v>0</v>
      </c>
      <c r="S33" s="121">
        <f t="shared" si="2"/>
        <v>0</v>
      </c>
      <c r="T33" s="122">
        <f t="shared" si="3"/>
        <v>0</v>
      </c>
      <c r="U33" s="123" t="str">
        <f t="shared" si="4"/>
        <v/>
      </c>
      <c r="V33" s="124" t="str">
        <f>IF(OR($AM33="",ISNUMBER($AM33)=FALSE),"",IF(AND(#REF!="Tolerance",$E33&lt;&gt;""),($S33-$E33)/(($J33-$K33)/2),IF(AND(#REF!="GD&amp;T",$F33&lt;&gt;""),$S33/$F33,"")))</f>
        <v/>
      </c>
      <c r="W33" s="124" t="str">
        <f t="shared" si="12"/>
        <v/>
      </c>
      <c r="X33" s="123" t="str">
        <f t="shared" si="5"/>
        <v/>
      </c>
      <c r="Y33" s="123" t="str">
        <f t="shared" si="6"/>
        <v/>
      </c>
      <c r="Z33" s="123" t="str">
        <f t="shared" si="7"/>
        <v/>
      </c>
      <c r="AA33" s="34" t="str">
        <f t="shared" si="8"/>
        <v/>
      </c>
      <c r="AB33" s="35" t="e">
        <f>IF($S33="","",IF(#REF!="Tolerance",IF((#REF!*3*T33+S33)-E33&lt;F33,"",(#REF!*3*T33+S33)-E33),IF(OR(#REF!="GD&amp;T",#REF!="MAX"),IF((#REF!*3*T33+S33)&lt;F33,"",(#REF!*3*T33+S33)),"")))</f>
        <v>#REF!</v>
      </c>
      <c r="AC33" s="35" t="e">
        <f>IF(S33="","",IF(#REF!="Tolerance",IF(-((#REF!*3*T33)-S33)-E33&gt;G33,"",-((#REF!*3*T33)-S33)-E33),IF(#REF!="MIN",IF(-((#REF!*3*T33)-S33)&gt;G33,"",-((#REF!*3*T33)-S33)),"")))</f>
        <v>#REF!</v>
      </c>
      <c r="AD33" s="35">
        <f t="shared" si="13"/>
        <v>3.2225000000000001</v>
      </c>
      <c r="AE33" s="35" t="str">
        <f t="shared" si="9"/>
        <v/>
      </c>
      <c r="AF33" s="125"/>
      <c r="AG33" s="126" t="str">
        <f t="shared" si="14"/>
        <v/>
      </c>
      <c r="AH33" s="145" t="str" cm="1">
        <f t="array" ref="AH33">IF(AND(AM33:BR33 &gt;= IF(K33="",0,K33), AM33:BR33 &lt;= IF(J33="",0,J33)), "OK", "NG")</f>
        <v>NG</v>
      </c>
      <c r="AI33" s="127"/>
      <c r="AJ33" s="127"/>
      <c r="AK33" s="128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  <c r="BP33" s="129"/>
      <c r="BQ33" s="129"/>
      <c r="BR33" s="129"/>
    </row>
    <row r="34" spans="2:70" ht="19.2" customHeight="1">
      <c r="B34" s="113" t="s">
        <v>253</v>
      </c>
      <c r="C34" s="65" t="s">
        <v>191</v>
      </c>
      <c r="D34" s="114" t="s">
        <v>45</v>
      </c>
      <c r="E34" s="115">
        <v>14.263999999999999</v>
      </c>
      <c r="F34" s="116">
        <v>0.03</v>
      </c>
      <c r="G34" s="116">
        <v>-0.03</v>
      </c>
      <c r="H34" s="117" t="s">
        <v>46</v>
      </c>
      <c r="I34" s="118"/>
      <c r="J34" s="119">
        <f t="shared" si="10"/>
        <v>14.293999999999999</v>
      </c>
      <c r="K34" s="119">
        <f t="shared" si="11"/>
        <v>14.234</v>
      </c>
      <c r="L34" s="142">
        <v>14.289499999999999</v>
      </c>
      <c r="M34" s="142">
        <v>14.2385</v>
      </c>
      <c r="N34" s="142"/>
      <c r="O34" s="142"/>
      <c r="P34" s="120"/>
      <c r="Q34" s="121">
        <f t="shared" si="0"/>
        <v>0</v>
      </c>
      <c r="R34" s="121">
        <f t="shared" si="1"/>
        <v>0</v>
      </c>
      <c r="S34" s="121">
        <f t="shared" si="2"/>
        <v>0</v>
      </c>
      <c r="T34" s="122">
        <f t="shared" si="3"/>
        <v>0</v>
      </c>
      <c r="U34" s="123" t="str">
        <f t="shared" si="4"/>
        <v/>
      </c>
      <c r="V34" s="124" t="str">
        <f>IF(OR($AM34="",ISNUMBER($AM34)=FALSE),"",IF(AND(#REF!="Tolerance",$E34&lt;&gt;""),($S34-$E34)/(($J34-$K34)/2),IF(AND(#REF!="GD&amp;T",$F34&lt;&gt;""),$S34/$F34,"")))</f>
        <v/>
      </c>
      <c r="W34" s="124" t="str">
        <f t="shared" si="12"/>
        <v/>
      </c>
      <c r="X34" s="123" t="str">
        <f t="shared" si="5"/>
        <v/>
      </c>
      <c r="Y34" s="123" t="str">
        <f t="shared" si="6"/>
        <v/>
      </c>
      <c r="Z34" s="123" t="str">
        <f t="shared" si="7"/>
        <v/>
      </c>
      <c r="AA34" s="34" t="str">
        <f t="shared" si="8"/>
        <v/>
      </c>
      <c r="AB34" s="35" t="e">
        <f>IF($S34="","",IF(#REF!="Tolerance",IF((#REF!*3*T34+S34)-E34&lt;F34,"",(#REF!*3*T34+S34)-E34),IF(OR(#REF!="GD&amp;T",#REF!="MAX"),IF((#REF!*3*T34+S34)&lt;F34,"",(#REF!*3*T34+S34)),"")))</f>
        <v>#REF!</v>
      </c>
      <c r="AC34" s="35" t="e">
        <f>IF(S34="","",IF(#REF!="Tolerance",IF(-((#REF!*3*T34)-S34)-E34&gt;G34,"",-((#REF!*3*T34)-S34)-E34),IF(#REF!="MIN",IF(-((#REF!*3*T34)-S34)&gt;G34,"",-((#REF!*3*T34)-S34)),"")))</f>
        <v>#REF!</v>
      </c>
      <c r="AD34" s="35">
        <f t="shared" si="13"/>
        <v>14.263999999999999</v>
      </c>
      <c r="AE34" s="35" t="str">
        <f t="shared" si="9"/>
        <v/>
      </c>
      <c r="AF34" s="125"/>
      <c r="AG34" s="126" t="str">
        <f t="shared" si="14"/>
        <v/>
      </c>
      <c r="AH34" s="145" t="str" cm="1">
        <f t="array" ref="AH34">IF(AND(AM34:BR34 &gt;= IF(K34="",0,K34), AM34:BR34 &lt;= IF(J34="",0,J34)), "OK", "NG")</f>
        <v>NG</v>
      </c>
      <c r="AI34" s="127"/>
      <c r="AJ34" s="127"/>
      <c r="AK34" s="128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29"/>
      <c r="BF34" s="129"/>
      <c r="BG34" s="129"/>
      <c r="BH34" s="129"/>
      <c r="BI34" s="129"/>
      <c r="BJ34" s="129"/>
      <c r="BK34" s="129"/>
      <c r="BL34" s="129"/>
      <c r="BM34" s="129"/>
      <c r="BN34" s="129"/>
      <c r="BO34" s="129"/>
      <c r="BP34" s="129"/>
      <c r="BQ34" s="129"/>
      <c r="BR34" s="129"/>
    </row>
    <row r="35" spans="2:70" ht="19.2" customHeight="1">
      <c r="B35" s="113" t="s">
        <v>254</v>
      </c>
      <c r="C35" s="65" t="s">
        <v>192</v>
      </c>
      <c r="D35" s="114" t="s">
        <v>45</v>
      </c>
      <c r="E35" s="115">
        <v>14.263999999999999</v>
      </c>
      <c r="F35" s="116">
        <v>0.03</v>
      </c>
      <c r="G35" s="116">
        <v>-0.03</v>
      </c>
      <c r="H35" s="117" t="s">
        <v>46</v>
      </c>
      <c r="I35" s="118"/>
      <c r="J35" s="119">
        <f t="shared" si="10"/>
        <v>14.293999999999999</v>
      </c>
      <c r="K35" s="119">
        <f t="shared" si="11"/>
        <v>14.234</v>
      </c>
      <c r="L35" s="142">
        <v>14.289499999999999</v>
      </c>
      <c r="M35" s="142">
        <v>14.2385</v>
      </c>
      <c r="N35" s="142"/>
      <c r="O35" s="142"/>
      <c r="P35" s="120"/>
      <c r="Q35" s="121">
        <f t="shared" si="0"/>
        <v>0</v>
      </c>
      <c r="R35" s="121">
        <f t="shared" si="1"/>
        <v>0</v>
      </c>
      <c r="S35" s="121">
        <f t="shared" si="2"/>
        <v>0</v>
      </c>
      <c r="T35" s="122">
        <f t="shared" si="3"/>
        <v>0</v>
      </c>
      <c r="U35" s="123" t="str">
        <f t="shared" si="4"/>
        <v/>
      </c>
      <c r="V35" s="124" t="str">
        <f>IF(OR($AM35="",ISNUMBER($AM35)=FALSE),"",IF(AND(#REF!="Tolerance",$E35&lt;&gt;""),($S35-$E35)/(($J35-$K35)/2),IF(AND(#REF!="GD&amp;T",$F35&lt;&gt;""),$S35/$F35,"")))</f>
        <v/>
      </c>
      <c r="W35" s="124" t="str">
        <f t="shared" si="12"/>
        <v/>
      </c>
      <c r="X35" s="123" t="str">
        <f t="shared" si="5"/>
        <v/>
      </c>
      <c r="Y35" s="123" t="str">
        <f t="shared" si="6"/>
        <v/>
      </c>
      <c r="Z35" s="123" t="str">
        <f t="shared" si="7"/>
        <v/>
      </c>
      <c r="AA35" s="34" t="str">
        <f t="shared" si="8"/>
        <v/>
      </c>
      <c r="AB35" s="35" t="e">
        <f>IF($S35="","",IF(#REF!="Tolerance",IF((#REF!*3*T35+S35)-E35&lt;F35,"",(#REF!*3*T35+S35)-E35),IF(OR(#REF!="GD&amp;T",#REF!="MAX"),IF((#REF!*3*T35+S35)&lt;F35,"",(#REF!*3*T35+S35)),"")))</f>
        <v>#REF!</v>
      </c>
      <c r="AC35" s="35" t="e">
        <f>IF(S35="","",IF(#REF!="Tolerance",IF(-((#REF!*3*T35)-S35)-E35&gt;G35,"",-((#REF!*3*T35)-S35)-E35),IF(#REF!="MIN",IF(-((#REF!*3*T35)-S35)&gt;G35,"",-((#REF!*3*T35)-S35)),"")))</f>
        <v>#REF!</v>
      </c>
      <c r="AD35" s="35">
        <f t="shared" si="13"/>
        <v>14.263999999999999</v>
      </c>
      <c r="AE35" s="35" t="str">
        <f t="shared" si="9"/>
        <v/>
      </c>
      <c r="AF35" s="125"/>
      <c r="AG35" s="126" t="str">
        <f t="shared" si="14"/>
        <v/>
      </c>
      <c r="AH35" s="145" t="str" cm="1">
        <f t="array" ref="AH35">IF(AND(AM35:BR35 &gt;= IF(K35="",0,K35), AM35:BR35 &lt;= IF(J35="",0,J35)), "OK", "NG")</f>
        <v>NG</v>
      </c>
      <c r="AI35" s="127"/>
      <c r="AJ35" s="127"/>
      <c r="AK35" s="128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29"/>
      <c r="BF35" s="129"/>
      <c r="BG35" s="129"/>
      <c r="BH35" s="129"/>
      <c r="BI35" s="129"/>
      <c r="BJ35" s="129"/>
      <c r="BK35" s="129"/>
      <c r="BL35" s="129"/>
      <c r="BM35" s="129"/>
      <c r="BN35" s="129"/>
      <c r="BO35" s="129"/>
      <c r="BP35" s="129"/>
      <c r="BQ35" s="129"/>
      <c r="BR35" s="129"/>
    </row>
    <row r="36" spans="2:70" ht="19.2" customHeight="1">
      <c r="B36" s="113" t="s">
        <v>255</v>
      </c>
      <c r="C36" s="65" t="s">
        <v>193</v>
      </c>
      <c r="D36" s="114" t="s">
        <v>45</v>
      </c>
      <c r="E36" s="115">
        <v>1.84</v>
      </c>
      <c r="F36" s="116">
        <v>2.5000000000000001E-2</v>
      </c>
      <c r="G36" s="116">
        <v>-0.02</v>
      </c>
      <c r="H36" s="117" t="s">
        <v>46</v>
      </c>
      <c r="I36" s="118"/>
      <c r="J36" s="119">
        <f t="shared" si="10"/>
        <v>1.865</v>
      </c>
      <c r="K36" s="119">
        <f t="shared" si="11"/>
        <v>1.82</v>
      </c>
      <c r="L36" s="142">
        <v>1.8612500000000001</v>
      </c>
      <c r="M36" s="142">
        <v>1.8230000000000002</v>
      </c>
      <c r="N36" s="142"/>
      <c r="O36" s="142"/>
      <c r="P36" s="120"/>
      <c r="Q36" s="121">
        <f t="shared" si="0"/>
        <v>0</v>
      </c>
      <c r="R36" s="121">
        <f t="shared" si="1"/>
        <v>0</v>
      </c>
      <c r="S36" s="121">
        <f t="shared" si="2"/>
        <v>0</v>
      </c>
      <c r="T36" s="122">
        <f t="shared" si="3"/>
        <v>0</v>
      </c>
      <c r="U36" s="123" t="str">
        <f t="shared" si="4"/>
        <v/>
      </c>
      <c r="V36" s="124" t="str">
        <f>IF(OR($AM36="",ISNUMBER($AM36)=FALSE),"",IF(AND(#REF!="Tolerance",$E36&lt;&gt;""),($S36-$E36)/(($J36-$K36)/2),IF(AND(#REF!="GD&amp;T",$F36&lt;&gt;""),$S36/$F36,"")))</f>
        <v/>
      </c>
      <c r="W36" s="124" t="str">
        <f t="shared" si="12"/>
        <v/>
      </c>
      <c r="X36" s="123" t="str">
        <f t="shared" si="5"/>
        <v/>
      </c>
      <c r="Y36" s="123" t="str">
        <f t="shared" si="6"/>
        <v/>
      </c>
      <c r="Z36" s="123" t="str">
        <f t="shared" si="7"/>
        <v/>
      </c>
      <c r="AA36" s="34" t="str">
        <f t="shared" si="8"/>
        <v/>
      </c>
      <c r="AB36" s="35" t="e">
        <f>IF($S36="","",IF(#REF!="Tolerance",IF((#REF!*3*T36+S36)-E36&lt;F36,"",(#REF!*3*T36+S36)-E36),IF(OR(#REF!="GD&amp;T",#REF!="MAX"),IF((#REF!*3*T36+S36)&lt;F36,"",(#REF!*3*T36+S36)),"")))</f>
        <v>#REF!</v>
      </c>
      <c r="AC36" s="35" t="e">
        <f>IF(S36="","",IF(#REF!="Tolerance",IF(-((#REF!*3*T36)-S36)-E36&gt;G36,"",-((#REF!*3*T36)-S36)-E36),IF(#REF!="MIN",IF(-((#REF!*3*T36)-S36)&gt;G36,"",-((#REF!*3*T36)-S36)),"")))</f>
        <v>#REF!</v>
      </c>
      <c r="AD36" s="35">
        <f t="shared" si="13"/>
        <v>1.8425</v>
      </c>
      <c r="AE36" s="35" t="str">
        <f t="shared" si="9"/>
        <v/>
      </c>
      <c r="AF36" s="125"/>
      <c r="AG36" s="126" t="str">
        <f t="shared" si="14"/>
        <v/>
      </c>
      <c r="AH36" s="145" t="str" cm="1">
        <f t="array" ref="AH36">IF(AND(AM36:BR36 &gt;= IF(K36="",0,K36), AM36:BR36 &lt;= IF(J36="",0,J36)), "OK", "NG")</f>
        <v>NG</v>
      </c>
      <c r="AI36" s="127"/>
      <c r="AJ36" s="127"/>
      <c r="AK36" s="128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9"/>
      <c r="AX36" s="129"/>
      <c r="AY36" s="129"/>
      <c r="AZ36" s="129"/>
      <c r="BA36" s="129"/>
      <c r="BB36" s="129"/>
      <c r="BC36" s="129"/>
      <c r="BD36" s="129"/>
      <c r="BE36" s="129"/>
      <c r="BF36" s="129"/>
      <c r="BG36" s="129"/>
      <c r="BH36" s="129"/>
      <c r="BI36" s="129"/>
      <c r="BJ36" s="129"/>
      <c r="BK36" s="129"/>
      <c r="BL36" s="129"/>
      <c r="BM36" s="129"/>
      <c r="BN36" s="129"/>
      <c r="BO36" s="129"/>
      <c r="BP36" s="129"/>
      <c r="BQ36" s="129"/>
      <c r="BR36" s="129"/>
    </row>
    <row r="37" spans="2:70" ht="19.2" customHeight="1">
      <c r="B37" s="113" t="s">
        <v>256</v>
      </c>
      <c r="C37" s="65" t="s">
        <v>194</v>
      </c>
      <c r="D37" s="114" t="s">
        <v>45</v>
      </c>
      <c r="E37" s="115">
        <v>1.84</v>
      </c>
      <c r="F37" s="116">
        <v>2.5000000000000001E-2</v>
      </c>
      <c r="G37" s="116">
        <v>-0.02</v>
      </c>
      <c r="H37" s="117" t="s">
        <v>46</v>
      </c>
      <c r="I37" s="118"/>
      <c r="J37" s="119">
        <f t="shared" si="10"/>
        <v>1.865</v>
      </c>
      <c r="K37" s="119">
        <f t="shared" si="11"/>
        <v>1.82</v>
      </c>
      <c r="L37" s="142">
        <v>1.8612500000000001</v>
      </c>
      <c r="M37" s="142">
        <v>1.8230000000000002</v>
      </c>
      <c r="N37" s="142"/>
      <c r="O37" s="142"/>
      <c r="P37" s="120"/>
      <c r="Q37" s="121">
        <f t="shared" si="0"/>
        <v>0</v>
      </c>
      <c r="R37" s="121">
        <f t="shared" si="1"/>
        <v>0</v>
      </c>
      <c r="S37" s="121">
        <f t="shared" si="2"/>
        <v>0</v>
      </c>
      <c r="T37" s="122">
        <f t="shared" si="3"/>
        <v>0</v>
      </c>
      <c r="U37" s="123" t="str">
        <f t="shared" si="4"/>
        <v/>
      </c>
      <c r="V37" s="124" t="str">
        <f>IF(OR($AM37="",ISNUMBER($AM37)=FALSE),"",IF(AND(#REF!="Tolerance",$E37&lt;&gt;""),($S37-$E37)/(($J37-$K37)/2),IF(AND(#REF!="GD&amp;T",$F37&lt;&gt;""),$S37/$F37,"")))</f>
        <v/>
      </c>
      <c r="W37" s="124" t="str">
        <f t="shared" si="12"/>
        <v/>
      </c>
      <c r="X37" s="123" t="str">
        <f t="shared" si="5"/>
        <v/>
      </c>
      <c r="Y37" s="123" t="str">
        <f t="shared" si="6"/>
        <v/>
      </c>
      <c r="Z37" s="123" t="str">
        <f t="shared" si="7"/>
        <v/>
      </c>
      <c r="AA37" s="34" t="str">
        <f t="shared" si="8"/>
        <v/>
      </c>
      <c r="AB37" s="35" t="e">
        <f>IF($S37="","",IF(#REF!="Tolerance",IF((#REF!*3*T37+S37)-E37&lt;F37,"",(#REF!*3*T37+S37)-E37),IF(OR(#REF!="GD&amp;T",#REF!="MAX"),IF((#REF!*3*T37+S37)&lt;F37,"",(#REF!*3*T37+S37)),"")))</f>
        <v>#REF!</v>
      </c>
      <c r="AC37" s="35" t="e">
        <f>IF(S37="","",IF(#REF!="Tolerance",IF(-((#REF!*3*T37)-S37)-E37&gt;G37,"",-((#REF!*3*T37)-S37)-E37),IF(#REF!="MIN",IF(-((#REF!*3*T37)-S37)&gt;G37,"",-((#REF!*3*T37)-S37)),"")))</f>
        <v>#REF!</v>
      </c>
      <c r="AD37" s="35">
        <f t="shared" si="13"/>
        <v>1.8425</v>
      </c>
      <c r="AE37" s="35" t="str">
        <f t="shared" si="9"/>
        <v/>
      </c>
      <c r="AF37" s="125"/>
      <c r="AG37" s="126" t="str">
        <f t="shared" si="14"/>
        <v/>
      </c>
      <c r="AH37" s="145" t="str" cm="1">
        <f t="array" ref="AH37">IF(AND(AM37:BR37 &gt;= IF(K37="",0,K37), AM37:BR37 &lt;= IF(J37="",0,J37)), "OK", "NG")</f>
        <v>NG</v>
      </c>
      <c r="AI37" s="127"/>
      <c r="AJ37" s="127"/>
      <c r="AK37" s="128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129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</row>
    <row r="38" spans="2:70" ht="19.2" customHeight="1">
      <c r="B38" s="113" t="s">
        <v>257</v>
      </c>
      <c r="C38" s="65" t="s">
        <v>195</v>
      </c>
      <c r="D38" s="114" t="s">
        <v>45</v>
      </c>
      <c r="E38" s="115">
        <v>1.84</v>
      </c>
      <c r="F38" s="116">
        <v>2.5000000000000001E-2</v>
      </c>
      <c r="G38" s="116">
        <v>-0.02</v>
      </c>
      <c r="H38" s="117" t="s">
        <v>46</v>
      </c>
      <c r="I38" s="118"/>
      <c r="J38" s="119">
        <f t="shared" si="10"/>
        <v>1.865</v>
      </c>
      <c r="K38" s="119">
        <f t="shared" si="11"/>
        <v>1.82</v>
      </c>
      <c r="L38" s="142">
        <v>1.8612500000000001</v>
      </c>
      <c r="M38" s="142">
        <v>1.8230000000000002</v>
      </c>
      <c r="N38" s="142"/>
      <c r="O38" s="142"/>
      <c r="P38" s="120"/>
      <c r="Q38" s="121">
        <f t="shared" si="0"/>
        <v>0</v>
      </c>
      <c r="R38" s="121">
        <f t="shared" si="1"/>
        <v>0</v>
      </c>
      <c r="S38" s="121">
        <f t="shared" si="2"/>
        <v>0</v>
      </c>
      <c r="T38" s="122">
        <f t="shared" si="3"/>
        <v>0</v>
      </c>
      <c r="U38" s="123" t="str">
        <f t="shared" si="4"/>
        <v/>
      </c>
      <c r="V38" s="124" t="str">
        <f>IF(OR($AM38="",ISNUMBER($AM38)=FALSE),"",IF(AND(#REF!="Tolerance",$E38&lt;&gt;""),($S38-$E38)/(($J38-$K38)/2),IF(AND(#REF!="GD&amp;T",$F38&lt;&gt;""),$S38/$F38,"")))</f>
        <v/>
      </c>
      <c r="W38" s="124" t="str">
        <f t="shared" si="12"/>
        <v/>
      </c>
      <c r="X38" s="123" t="str">
        <f t="shared" si="5"/>
        <v/>
      </c>
      <c r="Y38" s="123" t="str">
        <f t="shared" si="6"/>
        <v/>
      </c>
      <c r="Z38" s="123" t="str">
        <f t="shared" si="7"/>
        <v/>
      </c>
      <c r="AA38" s="34" t="str">
        <f t="shared" si="8"/>
        <v/>
      </c>
      <c r="AB38" s="35" t="e">
        <f>IF($S38="","",IF(#REF!="Tolerance",IF((#REF!*3*T38+S38)-E38&lt;F38,"",(#REF!*3*T38+S38)-E38),IF(OR(#REF!="GD&amp;T",#REF!="MAX"),IF((#REF!*3*T38+S38)&lt;F38,"",(#REF!*3*T38+S38)),"")))</f>
        <v>#REF!</v>
      </c>
      <c r="AC38" s="35" t="e">
        <f>IF(S38="","",IF(#REF!="Tolerance",IF(-((#REF!*3*T38)-S38)-E38&gt;G38,"",-((#REF!*3*T38)-S38)-E38),IF(#REF!="MIN",IF(-((#REF!*3*T38)-S38)&gt;G38,"",-((#REF!*3*T38)-S38)),"")))</f>
        <v>#REF!</v>
      </c>
      <c r="AD38" s="35">
        <f t="shared" si="13"/>
        <v>1.8425</v>
      </c>
      <c r="AE38" s="35" t="str">
        <f t="shared" si="9"/>
        <v/>
      </c>
      <c r="AF38" s="125"/>
      <c r="AG38" s="126" t="str">
        <f t="shared" si="14"/>
        <v/>
      </c>
      <c r="AH38" s="145" t="str" cm="1">
        <f t="array" ref="AH38">IF(AND(AM38:BR38 &gt;= IF(K38="",0,K38), AM38:BR38 &lt;= IF(J38="",0,J38)), "OK", "NG")</f>
        <v>NG</v>
      </c>
      <c r="AI38" s="127"/>
      <c r="AJ38" s="127"/>
      <c r="AK38" s="128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/>
    </row>
    <row r="39" spans="2:70" ht="19.2" customHeight="1">
      <c r="B39" s="113" t="s">
        <v>258</v>
      </c>
      <c r="C39" s="65" t="s">
        <v>196</v>
      </c>
      <c r="D39" s="114" t="s">
        <v>45</v>
      </c>
      <c r="E39" s="115">
        <v>1.84</v>
      </c>
      <c r="F39" s="116">
        <v>2.5000000000000001E-2</v>
      </c>
      <c r="G39" s="116">
        <v>-0.02</v>
      </c>
      <c r="H39" s="117" t="s">
        <v>46</v>
      </c>
      <c r="I39" s="118"/>
      <c r="J39" s="119">
        <f t="shared" si="10"/>
        <v>1.865</v>
      </c>
      <c r="K39" s="119">
        <f t="shared" si="11"/>
        <v>1.82</v>
      </c>
      <c r="L39" s="142">
        <v>1.8612500000000001</v>
      </c>
      <c r="M39" s="142">
        <v>1.8230000000000002</v>
      </c>
      <c r="N39" s="142"/>
      <c r="O39" s="142"/>
      <c r="P39" s="120"/>
      <c r="Q39" s="121">
        <f t="shared" si="0"/>
        <v>0</v>
      </c>
      <c r="R39" s="121">
        <f t="shared" si="1"/>
        <v>0</v>
      </c>
      <c r="S39" s="121">
        <f t="shared" si="2"/>
        <v>0</v>
      </c>
      <c r="T39" s="122">
        <f t="shared" si="3"/>
        <v>0</v>
      </c>
      <c r="U39" s="123" t="str">
        <f t="shared" si="4"/>
        <v/>
      </c>
      <c r="V39" s="124" t="str">
        <f>IF(OR($AM39="",ISNUMBER($AM39)=FALSE),"",IF(AND(#REF!="Tolerance",$E39&lt;&gt;""),($S39-$E39)/(($J39-$K39)/2),IF(AND(#REF!="GD&amp;T",$F39&lt;&gt;""),$S39/$F39,"")))</f>
        <v/>
      </c>
      <c r="W39" s="124" t="str">
        <f t="shared" si="12"/>
        <v/>
      </c>
      <c r="X39" s="123" t="str">
        <f t="shared" si="5"/>
        <v/>
      </c>
      <c r="Y39" s="123" t="str">
        <f t="shared" si="6"/>
        <v/>
      </c>
      <c r="Z39" s="123" t="str">
        <f t="shared" si="7"/>
        <v/>
      </c>
      <c r="AA39" s="34" t="str">
        <f t="shared" si="8"/>
        <v/>
      </c>
      <c r="AB39" s="35" t="e">
        <f>IF($S39="","",IF(#REF!="Tolerance",IF((#REF!*3*T39+S39)-E39&lt;F39,"",(#REF!*3*T39+S39)-E39),IF(OR(#REF!="GD&amp;T",#REF!="MAX"),IF((#REF!*3*T39+S39)&lt;F39,"",(#REF!*3*T39+S39)),"")))</f>
        <v>#REF!</v>
      </c>
      <c r="AC39" s="35" t="e">
        <f>IF(S39="","",IF(#REF!="Tolerance",IF(-((#REF!*3*T39)-S39)-E39&gt;G39,"",-((#REF!*3*T39)-S39)-E39),IF(#REF!="MIN",IF(-((#REF!*3*T39)-S39)&gt;G39,"",-((#REF!*3*T39)-S39)),"")))</f>
        <v>#REF!</v>
      </c>
      <c r="AD39" s="35">
        <f t="shared" si="13"/>
        <v>1.8425</v>
      </c>
      <c r="AE39" s="35" t="str">
        <f t="shared" si="9"/>
        <v/>
      </c>
      <c r="AF39" s="125"/>
      <c r="AG39" s="126" t="str">
        <f t="shared" si="14"/>
        <v/>
      </c>
      <c r="AH39" s="145" t="str" cm="1">
        <f t="array" ref="AH39">IF(AND(AM39:BR39 &gt;= IF(K39="",0,K39), AM39:BR39 &lt;= IF(J39="",0,J39)), "OK", "NG")</f>
        <v>NG</v>
      </c>
      <c r="AI39" s="127"/>
      <c r="AJ39" s="127"/>
      <c r="AK39" s="128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29"/>
      <c r="BC39" s="129"/>
      <c r="BD39" s="129"/>
      <c r="BE39" s="129"/>
      <c r="BF39" s="129"/>
      <c r="BG39" s="129"/>
      <c r="BH39" s="129"/>
      <c r="BI39" s="129"/>
      <c r="BJ39" s="129"/>
      <c r="BK39" s="129"/>
      <c r="BL39" s="129"/>
      <c r="BM39" s="129"/>
      <c r="BN39" s="129"/>
      <c r="BO39" s="129"/>
      <c r="BP39" s="129"/>
      <c r="BQ39" s="129"/>
      <c r="BR39" s="129"/>
    </row>
    <row r="40" spans="2:70" ht="19.2" customHeight="1">
      <c r="B40" s="113" t="s">
        <v>156</v>
      </c>
      <c r="C40" s="65" t="s">
        <v>197</v>
      </c>
      <c r="D40" s="114" t="s">
        <v>45</v>
      </c>
      <c r="E40" s="115">
        <v>13.454000000000001</v>
      </c>
      <c r="F40" s="116">
        <v>0.03</v>
      </c>
      <c r="G40" s="116">
        <v>-0.03</v>
      </c>
      <c r="H40" s="117" t="s">
        <v>46</v>
      </c>
      <c r="I40" s="118"/>
      <c r="J40" s="119">
        <f t="shared" si="10"/>
        <v>13.484</v>
      </c>
      <c r="K40" s="119">
        <f t="shared" si="11"/>
        <v>13.424000000000001</v>
      </c>
      <c r="L40" s="142">
        <v>13.4795</v>
      </c>
      <c r="M40" s="142">
        <v>13.428500000000001</v>
      </c>
      <c r="N40" s="142"/>
      <c r="O40" s="142"/>
      <c r="P40" s="120"/>
      <c r="Q40" s="121">
        <f t="shared" si="0"/>
        <v>0</v>
      </c>
      <c r="R40" s="121">
        <f t="shared" si="1"/>
        <v>0</v>
      </c>
      <c r="S40" s="121">
        <f t="shared" si="2"/>
        <v>0</v>
      </c>
      <c r="T40" s="122">
        <f t="shared" si="3"/>
        <v>0</v>
      </c>
      <c r="U40" s="123" t="str">
        <f t="shared" si="4"/>
        <v/>
      </c>
      <c r="V40" s="124" t="str">
        <f>IF(OR($AM40="",ISNUMBER($AM40)=FALSE),"",IF(AND(#REF!="Tolerance",$E40&lt;&gt;""),($S40-$E40)/(($J40-$K40)/2),IF(AND(#REF!="GD&amp;T",$F40&lt;&gt;""),$S40/$F40,"")))</f>
        <v/>
      </c>
      <c r="W40" s="124" t="str">
        <f t="shared" si="12"/>
        <v/>
      </c>
      <c r="X40" s="123" t="str">
        <f t="shared" si="5"/>
        <v/>
      </c>
      <c r="Y40" s="123" t="str">
        <f t="shared" si="6"/>
        <v/>
      </c>
      <c r="Z40" s="123" t="str">
        <f t="shared" si="7"/>
        <v/>
      </c>
      <c r="AA40" s="34" t="str">
        <f t="shared" si="8"/>
        <v/>
      </c>
      <c r="AB40" s="35" t="e">
        <f>IF($S40="","",IF(#REF!="Tolerance",IF((#REF!*3*T40+S40)-E40&lt;F40,"",(#REF!*3*T40+S40)-E40),IF(OR(#REF!="GD&amp;T",#REF!="MAX"),IF((#REF!*3*T40+S40)&lt;F40,"",(#REF!*3*T40+S40)),"")))</f>
        <v>#REF!</v>
      </c>
      <c r="AC40" s="35" t="e">
        <f>IF(S40="","",IF(#REF!="Tolerance",IF(-((#REF!*3*T40)-S40)-E40&gt;G40,"",-((#REF!*3*T40)-S40)-E40),IF(#REF!="MIN",IF(-((#REF!*3*T40)-S40)&gt;G40,"",-((#REF!*3*T40)-S40)),"")))</f>
        <v>#REF!</v>
      </c>
      <c r="AD40" s="35">
        <f t="shared" si="13"/>
        <v>13.454000000000001</v>
      </c>
      <c r="AE40" s="35" t="str">
        <f t="shared" si="9"/>
        <v/>
      </c>
      <c r="AF40" s="125"/>
      <c r="AG40" s="126" t="str">
        <f t="shared" si="14"/>
        <v/>
      </c>
      <c r="AH40" s="145" t="str" cm="1">
        <f t="array" ref="AH40">IF(AND(AM40:BR40 &gt;= IF(K40="",0,K40), AM40:BR40 &lt;= IF(J40="",0,J40)), "OK", "NG")</f>
        <v>NG</v>
      </c>
      <c r="AI40" s="127"/>
      <c r="AJ40" s="127"/>
      <c r="AK40" s="128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29"/>
      <c r="BC40" s="129"/>
      <c r="BD40" s="129"/>
      <c r="BE40" s="129"/>
      <c r="BF40" s="129"/>
      <c r="BG40" s="129"/>
      <c r="BH40" s="129"/>
      <c r="BI40" s="129"/>
      <c r="BJ40" s="129"/>
      <c r="BK40" s="129"/>
      <c r="BL40" s="129"/>
      <c r="BM40" s="129"/>
      <c r="BN40" s="129"/>
      <c r="BO40" s="129"/>
      <c r="BP40" s="129"/>
      <c r="BQ40" s="129"/>
      <c r="BR40" s="129"/>
    </row>
    <row r="41" spans="2:70" ht="19.2" customHeight="1">
      <c r="B41" s="113" t="s">
        <v>155</v>
      </c>
      <c r="C41" s="65" t="s">
        <v>198</v>
      </c>
      <c r="D41" s="114" t="s">
        <v>45</v>
      </c>
      <c r="E41" s="115">
        <v>0.9</v>
      </c>
      <c r="F41" s="116">
        <v>0.02</v>
      </c>
      <c r="G41" s="116">
        <v>-0.02</v>
      </c>
      <c r="H41" s="117" t="s">
        <v>46</v>
      </c>
      <c r="I41" s="118"/>
      <c r="J41" s="119">
        <f t="shared" si="10"/>
        <v>0.92</v>
      </c>
      <c r="K41" s="119">
        <f t="shared" si="11"/>
        <v>0.88</v>
      </c>
      <c r="L41" s="142">
        <v>0.91700000000000004</v>
      </c>
      <c r="M41" s="142">
        <v>0.88300000000000001</v>
      </c>
      <c r="N41" s="142"/>
      <c r="O41" s="142"/>
      <c r="P41" s="120"/>
      <c r="Q41" s="121">
        <f t="shared" si="0"/>
        <v>0</v>
      </c>
      <c r="R41" s="121">
        <f t="shared" si="1"/>
        <v>0</v>
      </c>
      <c r="S41" s="121">
        <f t="shared" si="2"/>
        <v>0</v>
      </c>
      <c r="T41" s="122">
        <f t="shared" si="3"/>
        <v>0</v>
      </c>
      <c r="U41" s="123" t="str">
        <f t="shared" si="4"/>
        <v/>
      </c>
      <c r="V41" s="124" t="str">
        <f>IF(OR($AM41="",ISNUMBER($AM41)=FALSE),"",IF(AND(#REF!="Tolerance",$E41&lt;&gt;""),($S41-$E41)/(($J41-$K41)/2),IF(AND(#REF!="GD&amp;T",$F41&lt;&gt;""),$S41/$F41,"")))</f>
        <v/>
      </c>
      <c r="W41" s="124" t="str">
        <f t="shared" si="12"/>
        <v/>
      </c>
      <c r="X41" s="123" t="str">
        <f t="shared" si="5"/>
        <v/>
      </c>
      <c r="Y41" s="123" t="str">
        <f t="shared" si="6"/>
        <v/>
      </c>
      <c r="Z41" s="123" t="str">
        <f t="shared" si="7"/>
        <v/>
      </c>
      <c r="AA41" s="34" t="str">
        <f t="shared" si="8"/>
        <v/>
      </c>
      <c r="AB41" s="35" t="e">
        <f>IF($S41="","",IF(#REF!="Tolerance",IF((#REF!*3*T41+S41)-E41&lt;F41,"",(#REF!*3*T41+S41)-E41),IF(OR(#REF!="GD&amp;T",#REF!="MAX"),IF((#REF!*3*T41+S41)&lt;F41,"",(#REF!*3*T41+S41)),"")))</f>
        <v>#REF!</v>
      </c>
      <c r="AC41" s="35" t="e">
        <f>IF(S41="","",IF(#REF!="Tolerance",IF(-((#REF!*3*T41)-S41)-E41&gt;G41,"",-((#REF!*3*T41)-S41)-E41),IF(#REF!="MIN",IF(-((#REF!*3*T41)-S41)&gt;G41,"",-((#REF!*3*T41)-S41)),"")))</f>
        <v>#REF!</v>
      </c>
      <c r="AD41" s="35">
        <f t="shared" si="13"/>
        <v>0.9</v>
      </c>
      <c r="AE41" s="35" t="str">
        <f t="shared" si="9"/>
        <v/>
      </c>
      <c r="AF41" s="125"/>
      <c r="AG41" s="126" t="str">
        <f t="shared" si="14"/>
        <v/>
      </c>
      <c r="AH41" s="145" t="str" cm="1">
        <f t="array" ref="AH41">IF(AND(AM41:BR41 &gt;= IF(K41="",0,K41), AM41:BR41 &lt;= IF(J41="",0,J41)), "OK", "NG")</f>
        <v>NG</v>
      </c>
      <c r="AI41" s="127"/>
      <c r="AJ41" s="127"/>
      <c r="AK41" s="128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  <c r="BB41" s="129"/>
      <c r="BC41" s="129"/>
      <c r="BD41" s="129"/>
      <c r="BE41" s="129"/>
      <c r="BF41" s="129"/>
      <c r="BG41" s="129"/>
      <c r="BH41" s="129"/>
      <c r="BI41" s="129"/>
      <c r="BJ41" s="129"/>
      <c r="BK41" s="129"/>
      <c r="BL41" s="129"/>
      <c r="BM41" s="129"/>
      <c r="BN41" s="129"/>
      <c r="BO41" s="129"/>
      <c r="BP41" s="129"/>
      <c r="BQ41" s="129"/>
      <c r="BR41" s="129"/>
    </row>
    <row r="42" spans="2:70" ht="19.2" customHeight="1">
      <c r="B42" s="113" t="s">
        <v>158</v>
      </c>
      <c r="C42" s="65" t="s">
        <v>199</v>
      </c>
      <c r="D42" s="114" t="s">
        <v>45</v>
      </c>
      <c r="E42" s="115">
        <v>15.448</v>
      </c>
      <c r="F42" s="116">
        <v>0.02</v>
      </c>
      <c r="G42" s="116">
        <v>-0.03</v>
      </c>
      <c r="H42" s="117" t="s">
        <v>46</v>
      </c>
      <c r="I42" s="118"/>
      <c r="J42" s="119">
        <f t="shared" si="10"/>
        <v>15.468</v>
      </c>
      <c r="K42" s="119">
        <f t="shared" si="11"/>
        <v>15.418000000000001</v>
      </c>
      <c r="L42" s="142">
        <v>15.465</v>
      </c>
      <c r="M42" s="142">
        <v>15.422500000000001</v>
      </c>
      <c r="N42" s="142"/>
      <c r="O42" s="142"/>
      <c r="P42" s="120"/>
      <c r="Q42" s="121">
        <f t="shared" si="0"/>
        <v>0</v>
      </c>
      <c r="R42" s="121">
        <f t="shared" si="1"/>
        <v>0</v>
      </c>
      <c r="S42" s="121">
        <f t="shared" si="2"/>
        <v>0</v>
      </c>
      <c r="T42" s="122">
        <f t="shared" si="3"/>
        <v>0</v>
      </c>
      <c r="U42" s="123" t="str">
        <f t="shared" si="4"/>
        <v/>
      </c>
      <c r="V42" s="124" t="str">
        <f>IF(OR($AM42="",ISNUMBER($AM42)=FALSE),"",IF(AND(#REF!="Tolerance",$E42&lt;&gt;""),($S42-$E42)/(($J42-$K42)/2),IF(AND(#REF!="GD&amp;T",$F42&lt;&gt;""),$S42/$F42,"")))</f>
        <v/>
      </c>
      <c r="W42" s="124" t="str">
        <f t="shared" si="12"/>
        <v/>
      </c>
      <c r="X42" s="123" t="str">
        <f t="shared" si="5"/>
        <v/>
      </c>
      <c r="Y42" s="123" t="str">
        <f t="shared" si="6"/>
        <v/>
      </c>
      <c r="Z42" s="123" t="str">
        <f t="shared" si="7"/>
        <v/>
      </c>
      <c r="AA42" s="34" t="str">
        <f t="shared" si="8"/>
        <v/>
      </c>
      <c r="AB42" s="35" t="e">
        <f>IF($S42="","",IF(#REF!="Tolerance",IF((#REF!*3*T42+S42)-E42&lt;F42,"",(#REF!*3*T42+S42)-E42),IF(OR(#REF!="GD&amp;T",#REF!="MAX"),IF((#REF!*3*T42+S42)&lt;F42,"",(#REF!*3*T42+S42)),"")))</f>
        <v>#REF!</v>
      </c>
      <c r="AC42" s="35" t="e">
        <f>IF(S42="","",IF(#REF!="Tolerance",IF(-((#REF!*3*T42)-S42)-E42&gt;G42,"",-((#REF!*3*T42)-S42)-E42),IF(#REF!="MIN",IF(-((#REF!*3*T42)-S42)&gt;G42,"",-((#REF!*3*T42)-S42)),"")))</f>
        <v>#REF!</v>
      </c>
      <c r="AD42" s="35">
        <f t="shared" si="13"/>
        <v>15.443000000000001</v>
      </c>
      <c r="AE42" s="35" t="str">
        <f t="shared" si="9"/>
        <v/>
      </c>
      <c r="AF42" s="125"/>
      <c r="AG42" s="126" t="str">
        <f t="shared" si="14"/>
        <v/>
      </c>
      <c r="AH42" s="145" t="str" cm="1">
        <f t="array" ref="AH42">IF(AND(AM42:BR42 &gt;= IF(K42="",0,K42), AM42:BR42 &lt;= IF(J42="",0,J42)), "OK", "NG")</f>
        <v>NG</v>
      </c>
      <c r="AI42" s="127"/>
      <c r="AJ42" s="127"/>
      <c r="AK42" s="128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29"/>
      <c r="BC42" s="129"/>
      <c r="BD42" s="129"/>
      <c r="BE42" s="129"/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</row>
    <row r="43" spans="2:70" ht="19.2" customHeight="1">
      <c r="B43" s="113" t="s">
        <v>157</v>
      </c>
      <c r="C43" s="65" t="s">
        <v>200</v>
      </c>
      <c r="D43" s="114" t="s">
        <v>45</v>
      </c>
      <c r="E43" s="115">
        <v>13.093999999999999</v>
      </c>
      <c r="F43" s="116">
        <v>0.03</v>
      </c>
      <c r="G43" s="116">
        <v>-0.02</v>
      </c>
      <c r="H43" s="117" t="s">
        <v>46</v>
      </c>
      <c r="I43" s="118"/>
      <c r="J43" s="119">
        <f t="shared" si="10"/>
        <v>13.123999999999999</v>
      </c>
      <c r="K43" s="119">
        <f t="shared" si="11"/>
        <v>13.074</v>
      </c>
      <c r="L43" s="142">
        <v>13.119499999999999</v>
      </c>
      <c r="M43" s="142">
        <v>13.077</v>
      </c>
      <c r="N43" s="142"/>
      <c r="O43" s="142"/>
      <c r="P43" s="120"/>
      <c r="Q43" s="121">
        <f t="shared" si="0"/>
        <v>0</v>
      </c>
      <c r="R43" s="121">
        <f t="shared" si="1"/>
        <v>0</v>
      </c>
      <c r="S43" s="121">
        <f t="shared" si="2"/>
        <v>0</v>
      </c>
      <c r="T43" s="122">
        <f t="shared" si="3"/>
        <v>0</v>
      </c>
      <c r="U43" s="123" t="str">
        <f t="shared" si="4"/>
        <v/>
      </c>
      <c r="V43" s="124" t="str">
        <f>IF(OR($AM43="",ISNUMBER($AM43)=FALSE),"",IF(AND(#REF!="Tolerance",$E43&lt;&gt;""),($S43-$E43)/(($J43-$K43)/2),IF(AND(#REF!="GD&amp;T",$F43&lt;&gt;""),$S43/$F43,"")))</f>
        <v/>
      </c>
      <c r="W43" s="124" t="str">
        <f t="shared" si="12"/>
        <v/>
      </c>
      <c r="X43" s="123" t="str">
        <f t="shared" si="5"/>
        <v/>
      </c>
      <c r="Y43" s="123" t="str">
        <f t="shared" si="6"/>
        <v/>
      </c>
      <c r="Z43" s="123" t="str">
        <f t="shared" si="7"/>
        <v/>
      </c>
      <c r="AA43" s="34" t="str">
        <f t="shared" si="8"/>
        <v/>
      </c>
      <c r="AB43" s="35" t="e">
        <f>IF($S43="","",IF(#REF!="Tolerance",IF((#REF!*3*T43+S43)-E43&lt;F43,"",(#REF!*3*T43+S43)-E43),IF(OR(#REF!="GD&amp;T",#REF!="MAX"),IF((#REF!*3*T43+S43)&lt;F43,"",(#REF!*3*T43+S43)),"")))</f>
        <v>#REF!</v>
      </c>
      <c r="AC43" s="35" t="e">
        <f>IF(S43="","",IF(#REF!="Tolerance",IF(-((#REF!*3*T43)-S43)-E43&gt;G43,"",-((#REF!*3*T43)-S43)-E43),IF(#REF!="MIN",IF(-((#REF!*3*T43)-S43)&gt;G43,"",-((#REF!*3*T43)-S43)),"")))</f>
        <v>#REF!</v>
      </c>
      <c r="AD43" s="35">
        <f t="shared" si="13"/>
        <v>13.099</v>
      </c>
      <c r="AE43" s="35" t="str">
        <f t="shared" si="9"/>
        <v/>
      </c>
      <c r="AF43" s="125"/>
      <c r="AG43" s="126" t="str">
        <f t="shared" si="14"/>
        <v/>
      </c>
      <c r="AH43" s="145" t="str" cm="1">
        <f t="array" ref="AH43">IF(AND(AM43:BR43 &gt;= IF(K43="",0,K43), AM43:BR43 &lt;= IF(J43="",0,J43)), "OK", "NG")</f>
        <v>NG</v>
      </c>
      <c r="AI43" s="127"/>
      <c r="AJ43" s="127"/>
      <c r="AK43" s="128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</row>
    <row r="44" spans="2:70" ht="19.2" customHeight="1">
      <c r="B44" s="113" t="s">
        <v>87</v>
      </c>
      <c r="C44" s="65" t="s">
        <v>201</v>
      </c>
      <c r="D44" s="114" t="s">
        <v>45</v>
      </c>
      <c r="E44" s="115">
        <v>13.324</v>
      </c>
      <c r="F44" s="116">
        <v>2.5000000000000001E-2</v>
      </c>
      <c r="G44" s="116">
        <v>-0.04</v>
      </c>
      <c r="H44" s="117" t="s">
        <v>46</v>
      </c>
      <c r="I44" s="118"/>
      <c r="J44" s="119">
        <f t="shared" si="10"/>
        <v>13.349</v>
      </c>
      <c r="K44" s="119">
        <f t="shared" si="11"/>
        <v>13.284000000000001</v>
      </c>
      <c r="L44" s="142">
        <v>13.34525</v>
      </c>
      <c r="M44" s="142">
        <v>13.29</v>
      </c>
      <c r="N44" s="142"/>
      <c r="O44" s="142"/>
      <c r="P44" s="120"/>
      <c r="Q44" s="121">
        <f t="shared" si="0"/>
        <v>0</v>
      </c>
      <c r="R44" s="121">
        <f t="shared" si="1"/>
        <v>0</v>
      </c>
      <c r="S44" s="121">
        <f t="shared" si="2"/>
        <v>0</v>
      </c>
      <c r="T44" s="122">
        <f t="shared" si="3"/>
        <v>0</v>
      </c>
      <c r="U44" s="123" t="str">
        <f t="shared" si="4"/>
        <v/>
      </c>
      <c r="V44" s="124" t="str">
        <f>IF(OR($AM44="",ISNUMBER($AM44)=FALSE),"",IF(AND(#REF!="Tolerance",$E44&lt;&gt;""),($S44-$E44)/(($J44-$K44)/2),IF(AND(#REF!="GD&amp;T",$F44&lt;&gt;""),$S44/$F44,"")))</f>
        <v/>
      </c>
      <c r="W44" s="124" t="str">
        <f t="shared" si="12"/>
        <v/>
      </c>
      <c r="X44" s="123" t="str">
        <f t="shared" si="5"/>
        <v/>
      </c>
      <c r="Y44" s="123" t="str">
        <f t="shared" si="6"/>
        <v/>
      </c>
      <c r="Z44" s="123" t="str">
        <f t="shared" si="7"/>
        <v/>
      </c>
      <c r="AA44" s="34" t="str">
        <f t="shared" si="8"/>
        <v/>
      </c>
      <c r="AB44" s="35" t="e">
        <f>IF($S44="","",IF(#REF!="Tolerance",IF((#REF!*3*T44+S44)-E44&lt;F44,"",(#REF!*3*T44+S44)-E44),IF(OR(#REF!="GD&amp;T",#REF!="MAX"),IF((#REF!*3*T44+S44)&lt;F44,"",(#REF!*3*T44+S44)),"")))</f>
        <v>#REF!</v>
      </c>
      <c r="AC44" s="35" t="e">
        <f>IF(S44="","",IF(#REF!="Tolerance",IF(-((#REF!*3*T44)-S44)-E44&gt;G44,"",-((#REF!*3*T44)-S44)-E44),IF(#REF!="MIN",IF(-((#REF!*3*T44)-S44)&gt;G44,"",-((#REF!*3*T44)-S44)),"")))</f>
        <v>#REF!</v>
      </c>
      <c r="AD44" s="35">
        <f t="shared" si="13"/>
        <v>13.316500000000001</v>
      </c>
      <c r="AE44" s="35" t="str">
        <f t="shared" si="9"/>
        <v/>
      </c>
      <c r="AF44" s="125"/>
      <c r="AG44" s="126" t="str">
        <f t="shared" si="14"/>
        <v/>
      </c>
      <c r="AH44" s="145" t="str" cm="1">
        <f t="array" ref="AH44">IF(AND(AM44:BR44 &gt;= IF(K44="",0,K44), AM44:BR44 &lt;= IF(J44="",0,J44)), "OK", "NG")</f>
        <v>NG</v>
      </c>
      <c r="AI44" s="127"/>
      <c r="AJ44" s="127"/>
      <c r="AK44" s="128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29"/>
      <c r="BJ44" s="129"/>
      <c r="BK44" s="129"/>
      <c r="BL44" s="129"/>
      <c r="BM44" s="129"/>
      <c r="BN44" s="129"/>
      <c r="BO44" s="129"/>
      <c r="BP44" s="129"/>
      <c r="BQ44" s="129"/>
      <c r="BR44" s="129"/>
    </row>
    <row r="45" spans="2:70" ht="19.2" customHeight="1">
      <c r="B45" s="113" t="s">
        <v>259</v>
      </c>
      <c r="C45" s="65" t="s">
        <v>142</v>
      </c>
      <c r="D45" s="114" t="s">
        <v>45</v>
      </c>
      <c r="E45" s="115">
        <v>0.53</v>
      </c>
      <c r="F45" s="116">
        <v>2.5000000000000001E-2</v>
      </c>
      <c r="G45" s="116">
        <v>-2.5000000000000001E-2</v>
      </c>
      <c r="H45" s="117" t="s">
        <v>46</v>
      </c>
      <c r="I45" s="118"/>
      <c r="J45" s="119">
        <f t="shared" si="10"/>
        <v>0.55500000000000005</v>
      </c>
      <c r="K45" s="119">
        <f t="shared" si="11"/>
        <v>0.505</v>
      </c>
      <c r="L45" s="142">
        <v>0.55125000000000002</v>
      </c>
      <c r="M45" s="142">
        <v>0.50875000000000004</v>
      </c>
      <c r="N45" s="142">
        <v>0.54875000000000007</v>
      </c>
      <c r="O45" s="142">
        <v>0.51124999999999998</v>
      </c>
      <c r="P45" s="120"/>
      <c r="Q45" s="121">
        <f t="shared" si="0"/>
        <v>0</v>
      </c>
      <c r="R45" s="121">
        <f t="shared" si="1"/>
        <v>0</v>
      </c>
      <c r="S45" s="121">
        <f t="shared" si="2"/>
        <v>0</v>
      </c>
      <c r="T45" s="122">
        <f t="shared" si="3"/>
        <v>0</v>
      </c>
      <c r="U45" s="123" t="str">
        <f t="shared" si="4"/>
        <v/>
      </c>
      <c r="V45" s="124" t="str">
        <f>IF(OR($AM45="",ISNUMBER($AM45)=FALSE),"",IF(AND(#REF!="Tolerance",$E45&lt;&gt;""),($S45-$E45)/(($J45-$K45)/2),IF(AND(#REF!="GD&amp;T",$F45&lt;&gt;""),$S45/$F45,"")))</f>
        <v/>
      </c>
      <c r="W45" s="124" t="str">
        <f t="shared" si="12"/>
        <v/>
      </c>
      <c r="X45" s="123" t="str">
        <f t="shared" si="5"/>
        <v/>
      </c>
      <c r="Y45" s="123" t="str">
        <f t="shared" si="6"/>
        <v/>
      </c>
      <c r="Z45" s="123" t="str">
        <f t="shared" si="7"/>
        <v/>
      </c>
      <c r="AA45" s="34" t="str">
        <f t="shared" si="8"/>
        <v/>
      </c>
      <c r="AB45" s="35" t="e">
        <f>IF($S45="","",IF(#REF!="Tolerance",IF((#REF!*3*T45+S45)-E45&lt;F45,"",(#REF!*3*T45+S45)-E45),IF(OR(#REF!="GD&amp;T",#REF!="MAX"),IF((#REF!*3*T45+S45)&lt;F45,"",(#REF!*3*T45+S45)),"")))</f>
        <v>#REF!</v>
      </c>
      <c r="AC45" s="35" t="e">
        <f>IF(S45="","",IF(#REF!="Tolerance",IF(-((#REF!*3*T45)-S45)-E45&gt;G45,"",-((#REF!*3*T45)-S45)-E45),IF(#REF!="MIN",IF(-((#REF!*3*T45)-S45)&gt;G45,"",-((#REF!*3*T45)-S45)),"")))</f>
        <v>#REF!</v>
      </c>
      <c r="AD45" s="35">
        <f t="shared" si="13"/>
        <v>0.53</v>
      </c>
      <c r="AE45" s="35" t="str">
        <f t="shared" si="9"/>
        <v/>
      </c>
      <c r="AF45" s="125"/>
      <c r="AG45" s="126" t="str">
        <f t="shared" si="14"/>
        <v/>
      </c>
      <c r="AH45" s="145" t="str" cm="1">
        <f t="array" ref="AH45">IF(AND(AM45:BR45 &gt;= IF(K45="",0,K45), AM45:BR45 &lt;= IF(J45="",0,J45)), "OK", "NG")</f>
        <v>NG</v>
      </c>
      <c r="AI45" s="127"/>
      <c r="AJ45" s="127"/>
      <c r="AK45" s="128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29"/>
      <c r="BR45" s="129"/>
    </row>
    <row r="46" spans="2:70" ht="19.2" customHeight="1">
      <c r="B46" s="113" t="s">
        <v>260</v>
      </c>
      <c r="C46" s="65" t="s">
        <v>143</v>
      </c>
      <c r="D46" s="114" t="s">
        <v>45</v>
      </c>
      <c r="E46" s="115">
        <v>0.53</v>
      </c>
      <c r="F46" s="116">
        <v>2.5000000000000001E-2</v>
      </c>
      <c r="G46" s="116">
        <v>-2.5000000000000001E-2</v>
      </c>
      <c r="H46" s="117" t="s">
        <v>46</v>
      </c>
      <c r="I46" s="118"/>
      <c r="J46" s="119">
        <f t="shared" si="10"/>
        <v>0.55500000000000005</v>
      </c>
      <c r="K46" s="119">
        <f t="shared" si="11"/>
        <v>0.505</v>
      </c>
      <c r="L46" s="142">
        <v>0.55125000000000002</v>
      </c>
      <c r="M46" s="142">
        <v>0.50875000000000004</v>
      </c>
      <c r="N46" s="142">
        <v>0.54875000000000007</v>
      </c>
      <c r="O46" s="142">
        <v>0.51124999999999998</v>
      </c>
      <c r="P46" s="120"/>
      <c r="Q46" s="121">
        <f t="shared" si="0"/>
        <v>0</v>
      </c>
      <c r="R46" s="121">
        <f t="shared" si="1"/>
        <v>0</v>
      </c>
      <c r="S46" s="121">
        <f t="shared" si="2"/>
        <v>0</v>
      </c>
      <c r="T46" s="122">
        <f t="shared" si="3"/>
        <v>0</v>
      </c>
      <c r="U46" s="123" t="str">
        <f t="shared" si="4"/>
        <v/>
      </c>
      <c r="V46" s="124" t="str">
        <f>IF(OR($AM46="",ISNUMBER($AM46)=FALSE),"",IF(AND(#REF!="Tolerance",$E46&lt;&gt;""),($S46-$E46)/(($J46-$K46)/2),IF(AND(#REF!="GD&amp;T",$F46&lt;&gt;""),$S46/$F46,"")))</f>
        <v/>
      </c>
      <c r="W46" s="124" t="str">
        <f t="shared" si="12"/>
        <v/>
      </c>
      <c r="X46" s="123" t="str">
        <f t="shared" si="5"/>
        <v/>
      </c>
      <c r="Y46" s="123" t="str">
        <f t="shared" si="6"/>
        <v/>
      </c>
      <c r="Z46" s="123" t="str">
        <f t="shared" si="7"/>
        <v/>
      </c>
      <c r="AA46" s="34" t="str">
        <f t="shared" si="8"/>
        <v/>
      </c>
      <c r="AB46" s="35" t="e">
        <f>IF($S46="","",IF(#REF!="Tolerance",IF((#REF!*3*T46+S46)-E46&lt;F46,"",(#REF!*3*T46+S46)-E46),IF(OR(#REF!="GD&amp;T",#REF!="MAX"),IF((#REF!*3*T46+S46)&lt;F46,"",(#REF!*3*T46+S46)),"")))</f>
        <v>#REF!</v>
      </c>
      <c r="AC46" s="35" t="e">
        <f>IF(S46="","",IF(#REF!="Tolerance",IF(-((#REF!*3*T46)-S46)-E46&gt;G46,"",-((#REF!*3*T46)-S46)-E46),IF(#REF!="MIN",IF(-((#REF!*3*T46)-S46)&gt;G46,"",-((#REF!*3*T46)-S46)),"")))</f>
        <v>#REF!</v>
      </c>
      <c r="AD46" s="35">
        <f t="shared" si="13"/>
        <v>0.53</v>
      </c>
      <c r="AE46" s="35" t="str">
        <f t="shared" si="9"/>
        <v/>
      </c>
      <c r="AF46" s="125"/>
      <c r="AG46" s="126" t="str">
        <f t="shared" si="14"/>
        <v/>
      </c>
      <c r="AH46" s="145" t="str" cm="1">
        <f t="array" ref="AH46">IF(AND(AM46:BR46 &gt;= IF(K46="",0,K46), AM46:BR46 &lt;= IF(J46="",0,J46)), "OK", "NG")</f>
        <v>NG</v>
      </c>
      <c r="AI46" s="127"/>
      <c r="AJ46" s="127"/>
      <c r="AK46" s="128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129"/>
      <c r="AZ46" s="129"/>
      <c r="BA46" s="129"/>
      <c r="BB46" s="129"/>
      <c r="BC46" s="129"/>
      <c r="BD46" s="129"/>
      <c r="BE46" s="129"/>
      <c r="BF46" s="129"/>
      <c r="BG46" s="129"/>
      <c r="BH46" s="129"/>
      <c r="BI46" s="129"/>
      <c r="BJ46" s="129"/>
      <c r="BK46" s="129"/>
      <c r="BL46" s="129"/>
      <c r="BM46" s="129"/>
      <c r="BN46" s="129"/>
      <c r="BO46" s="129"/>
      <c r="BP46" s="129"/>
      <c r="BQ46" s="129"/>
      <c r="BR46" s="129"/>
    </row>
    <row r="47" spans="2:70" ht="19.2" customHeight="1">
      <c r="B47" s="113" t="s">
        <v>88</v>
      </c>
      <c r="C47" s="65" t="s">
        <v>202</v>
      </c>
      <c r="D47" s="114" t="s">
        <v>45</v>
      </c>
      <c r="E47" s="115">
        <v>0.97</v>
      </c>
      <c r="F47" s="116">
        <v>0.03</v>
      </c>
      <c r="G47" s="116">
        <v>-0.02</v>
      </c>
      <c r="H47" s="117" t="s">
        <v>46</v>
      </c>
      <c r="I47" s="118"/>
      <c r="J47" s="119">
        <f t="shared" si="10"/>
        <v>1</v>
      </c>
      <c r="K47" s="119">
        <f t="shared" si="11"/>
        <v>0.95</v>
      </c>
      <c r="L47" s="142">
        <v>0.99549999999999994</v>
      </c>
      <c r="M47" s="142">
        <v>0.95299999999999996</v>
      </c>
      <c r="N47" s="142">
        <v>0.99099999999999999</v>
      </c>
      <c r="O47" s="142">
        <v>0.95599999999999996</v>
      </c>
      <c r="P47" s="120"/>
      <c r="Q47" s="121">
        <f t="shared" si="0"/>
        <v>0</v>
      </c>
      <c r="R47" s="121">
        <f t="shared" si="1"/>
        <v>0</v>
      </c>
      <c r="S47" s="121">
        <f t="shared" si="2"/>
        <v>0</v>
      </c>
      <c r="T47" s="122">
        <f t="shared" si="3"/>
        <v>0</v>
      </c>
      <c r="U47" s="123" t="str">
        <f t="shared" si="4"/>
        <v/>
      </c>
      <c r="V47" s="124" t="str">
        <f>IF(OR($AM47="",ISNUMBER($AM47)=FALSE),"",IF(AND(#REF!="Tolerance",$E47&lt;&gt;""),($S47-$E47)/(($J47-$K47)/2),IF(AND(#REF!="GD&amp;T",$F47&lt;&gt;""),$S47/$F47,"")))</f>
        <v/>
      </c>
      <c r="W47" s="124" t="str">
        <f t="shared" si="12"/>
        <v/>
      </c>
      <c r="X47" s="123" t="str">
        <f t="shared" si="5"/>
        <v/>
      </c>
      <c r="Y47" s="123" t="str">
        <f t="shared" si="6"/>
        <v/>
      </c>
      <c r="Z47" s="123" t="str">
        <f t="shared" si="7"/>
        <v/>
      </c>
      <c r="AA47" s="34" t="str">
        <f t="shared" si="8"/>
        <v/>
      </c>
      <c r="AB47" s="35" t="e">
        <f>IF($S47="","",IF(#REF!="Tolerance",IF((#REF!*3*T47+S47)-E47&lt;F47,"",(#REF!*3*T47+S47)-E47),IF(OR(#REF!="GD&amp;T",#REF!="MAX"),IF((#REF!*3*T47+S47)&lt;F47,"",(#REF!*3*T47+S47)),"")))</f>
        <v>#REF!</v>
      </c>
      <c r="AC47" s="35" t="e">
        <f>IF(S47="","",IF(#REF!="Tolerance",IF(-((#REF!*3*T47)-S47)-E47&gt;G47,"",-((#REF!*3*T47)-S47)-E47),IF(#REF!="MIN",IF(-((#REF!*3*T47)-S47)&gt;G47,"",-((#REF!*3*T47)-S47)),"")))</f>
        <v>#REF!</v>
      </c>
      <c r="AD47" s="35">
        <f t="shared" si="13"/>
        <v>0.97499999999999998</v>
      </c>
      <c r="AE47" s="35" t="str">
        <f t="shared" si="9"/>
        <v/>
      </c>
      <c r="AF47" s="125"/>
      <c r="AG47" s="126" t="str">
        <f t="shared" si="14"/>
        <v/>
      </c>
      <c r="AH47" s="145" t="str" cm="1">
        <f t="array" ref="AH47">IF(AND(AM47:BR47 &gt;= IF(K47="",0,K47), AM47:BR47 &lt;= IF(J47="",0,J47)), "OK", "NG")</f>
        <v>NG</v>
      </c>
      <c r="AI47" s="127"/>
      <c r="AJ47" s="127"/>
      <c r="AK47" s="128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/>
      <c r="BF47" s="129"/>
      <c r="BG47" s="129"/>
      <c r="BH47" s="129"/>
      <c r="BI47" s="129"/>
      <c r="BJ47" s="129"/>
      <c r="BK47" s="129"/>
      <c r="BL47" s="129"/>
      <c r="BM47" s="129"/>
      <c r="BN47" s="129"/>
      <c r="BO47" s="129"/>
      <c r="BP47" s="129"/>
      <c r="BQ47" s="129"/>
      <c r="BR47" s="129"/>
    </row>
    <row r="48" spans="2:70" ht="19.2" customHeight="1">
      <c r="B48" s="113" t="s">
        <v>88</v>
      </c>
      <c r="C48" s="65" t="s">
        <v>203</v>
      </c>
      <c r="D48" s="114" t="s">
        <v>45</v>
      </c>
      <c r="E48" s="115">
        <v>0.97</v>
      </c>
      <c r="F48" s="116">
        <v>0.03</v>
      </c>
      <c r="G48" s="116">
        <v>-0.02</v>
      </c>
      <c r="H48" s="117" t="s">
        <v>46</v>
      </c>
      <c r="I48" s="118"/>
      <c r="J48" s="119">
        <f t="shared" si="10"/>
        <v>1</v>
      </c>
      <c r="K48" s="119">
        <f t="shared" si="11"/>
        <v>0.95</v>
      </c>
      <c r="L48" s="142">
        <v>0.99549999999999994</v>
      </c>
      <c r="M48" s="142">
        <v>0.95299999999999996</v>
      </c>
      <c r="N48" s="142">
        <v>0.99099999999999999</v>
      </c>
      <c r="O48" s="142">
        <v>0.95599999999999996</v>
      </c>
      <c r="P48" s="120"/>
      <c r="Q48" s="121">
        <f t="shared" si="0"/>
        <v>0</v>
      </c>
      <c r="R48" s="121">
        <f t="shared" si="1"/>
        <v>0</v>
      </c>
      <c r="S48" s="121">
        <f t="shared" si="2"/>
        <v>0</v>
      </c>
      <c r="T48" s="122">
        <f t="shared" si="3"/>
        <v>0</v>
      </c>
      <c r="U48" s="123" t="str">
        <f t="shared" si="4"/>
        <v/>
      </c>
      <c r="V48" s="124" t="str">
        <f>IF(OR($AM48="",ISNUMBER($AM48)=FALSE),"",IF(AND(#REF!="Tolerance",$E48&lt;&gt;""),($S48-$E48)/(($J48-$K48)/2),IF(AND(#REF!="GD&amp;T",$F48&lt;&gt;""),$S48/$F48,"")))</f>
        <v/>
      </c>
      <c r="W48" s="124" t="str">
        <f t="shared" si="12"/>
        <v/>
      </c>
      <c r="X48" s="123" t="str">
        <f t="shared" si="5"/>
        <v/>
      </c>
      <c r="Y48" s="123" t="str">
        <f t="shared" si="6"/>
        <v/>
      </c>
      <c r="Z48" s="123" t="str">
        <f t="shared" si="7"/>
        <v/>
      </c>
      <c r="AA48" s="34" t="str">
        <f t="shared" si="8"/>
        <v/>
      </c>
      <c r="AB48" s="35" t="e">
        <f>IF($S48="","",IF(#REF!="Tolerance",IF((#REF!*3*T48+S48)-E48&lt;F48,"",(#REF!*3*T48+S48)-E48),IF(OR(#REF!="GD&amp;T",#REF!="MAX"),IF((#REF!*3*T48+S48)&lt;F48,"",(#REF!*3*T48+S48)),"")))</f>
        <v>#REF!</v>
      </c>
      <c r="AC48" s="35" t="e">
        <f>IF(S48="","",IF(#REF!="Tolerance",IF(-((#REF!*3*T48)-S48)-E48&gt;G48,"",-((#REF!*3*T48)-S48)-E48),IF(#REF!="MIN",IF(-((#REF!*3*T48)-S48)&gt;G48,"",-((#REF!*3*T48)-S48)),"")))</f>
        <v>#REF!</v>
      </c>
      <c r="AD48" s="35">
        <f t="shared" si="13"/>
        <v>0.97499999999999998</v>
      </c>
      <c r="AE48" s="35" t="str">
        <f t="shared" si="9"/>
        <v/>
      </c>
      <c r="AF48" s="125"/>
      <c r="AG48" s="126" t="str">
        <f t="shared" si="14"/>
        <v/>
      </c>
      <c r="AH48" s="145" t="str" cm="1">
        <f t="array" ref="AH48">IF(AND(AM48:BR48 &gt;= IF(K48="",0,K48), AM48:BR48 &lt;= IF(J48="",0,J48)), "OK", "NG")</f>
        <v>NG</v>
      </c>
      <c r="AI48" s="127"/>
      <c r="AJ48" s="127"/>
      <c r="AK48" s="128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</row>
    <row r="49" spans="2:70" ht="19.2" customHeight="1">
      <c r="B49" s="113" t="s">
        <v>261</v>
      </c>
      <c r="C49" s="65" t="s">
        <v>204</v>
      </c>
      <c r="D49" s="114" t="s">
        <v>45</v>
      </c>
      <c r="E49" s="115">
        <v>15.228</v>
      </c>
      <c r="F49" s="116">
        <v>3.5000000000000003E-2</v>
      </c>
      <c r="G49" s="116">
        <v>-0.02</v>
      </c>
      <c r="H49" s="117" t="s">
        <v>46</v>
      </c>
      <c r="I49" s="118"/>
      <c r="J49" s="119">
        <f t="shared" si="10"/>
        <v>15.263</v>
      </c>
      <c r="K49" s="119">
        <f t="shared" si="11"/>
        <v>15.208</v>
      </c>
      <c r="L49" s="142">
        <v>15.25775</v>
      </c>
      <c r="M49" s="142">
        <v>15.211</v>
      </c>
      <c r="N49" s="142"/>
      <c r="O49" s="142"/>
      <c r="P49" s="120"/>
      <c r="Q49" s="121">
        <f t="shared" si="0"/>
        <v>0</v>
      </c>
      <c r="R49" s="121">
        <f t="shared" si="1"/>
        <v>0</v>
      </c>
      <c r="S49" s="121">
        <f t="shared" si="2"/>
        <v>0</v>
      </c>
      <c r="T49" s="122">
        <f t="shared" si="3"/>
        <v>0</v>
      </c>
      <c r="U49" s="123" t="str">
        <f t="shared" si="4"/>
        <v/>
      </c>
      <c r="V49" s="124" t="str">
        <f>IF(OR($AM49="",ISNUMBER($AM49)=FALSE),"",IF(AND(#REF!="Tolerance",$E49&lt;&gt;""),($S49-$E49)/(($J49-$K49)/2),IF(AND(#REF!="GD&amp;T",$F49&lt;&gt;""),$S49/$F49,"")))</f>
        <v/>
      </c>
      <c r="W49" s="124" t="str">
        <f t="shared" si="12"/>
        <v/>
      </c>
      <c r="X49" s="123" t="str">
        <f t="shared" si="5"/>
        <v/>
      </c>
      <c r="Y49" s="123" t="str">
        <f t="shared" si="6"/>
        <v/>
      </c>
      <c r="Z49" s="123" t="str">
        <f t="shared" si="7"/>
        <v/>
      </c>
      <c r="AA49" s="34" t="str">
        <f t="shared" si="8"/>
        <v/>
      </c>
      <c r="AB49" s="35" t="e">
        <f>IF($S49="","",IF(#REF!="Tolerance",IF((#REF!*3*T49+S49)-E49&lt;F49,"",(#REF!*3*T49+S49)-E49),IF(OR(#REF!="GD&amp;T",#REF!="MAX"),IF((#REF!*3*T49+S49)&lt;F49,"",(#REF!*3*T49+S49)),"")))</f>
        <v>#REF!</v>
      </c>
      <c r="AC49" s="35" t="e">
        <f>IF(S49="","",IF(#REF!="Tolerance",IF(-((#REF!*3*T49)-S49)-E49&gt;G49,"",-((#REF!*3*T49)-S49)-E49),IF(#REF!="MIN",IF(-((#REF!*3*T49)-S49)&gt;G49,"",-((#REF!*3*T49)-S49)),"")))</f>
        <v>#REF!</v>
      </c>
      <c r="AD49" s="35">
        <f t="shared" si="13"/>
        <v>15.2355</v>
      </c>
      <c r="AE49" s="35" t="str">
        <f t="shared" si="9"/>
        <v/>
      </c>
      <c r="AF49" s="125"/>
      <c r="AG49" s="126" t="str">
        <f t="shared" si="14"/>
        <v/>
      </c>
      <c r="AH49" s="145" t="str" cm="1">
        <f t="array" ref="AH49">IF(AND(AM49:BR49 &gt;= IF(K49="",0,K49), AM49:BR49 &lt;= IF(J49="",0,J49)), "OK", "NG")</f>
        <v>NG</v>
      </c>
      <c r="AI49" s="127"/>
      <c r="AJ49" s="127"/>
      <c r="AK49" s="128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</row>
    <row r="50" spans="2:70" ht="19.2" customHeight="1">
      <c r="B50" s="113" t="s">
        <v>89</v>
      </c>
      <c r="C50" s="65" t="s">
        <v>205</v>
      </c>
      <c r="D50" s="114" t="s">
        <v>45</v>
      </c>
      <c r="E50" s="115">
        <v>1.26</v>
      </c>
      <c r="F50" s="116">
        <v>0.02</v>
      </c>
      <c r="G50" s="116">
        <v>-3.5000000000000003E-2</v>
      </c>
      <c r="H50" s="117" t="s">
        <v>46</v>
      </c>
      <c r="I50" s="118"/>
      <c r="J50" s="119">
        <f t="shared" si="10"/>
        <v>1.28</v>
      </c>
      <c r="K50" s="119">
        <f t="shared" si="11"/>
        <v>1.2250000000000001</v>
      </c>
      <c r="L50" s="142">
        <v>1.2769999999999999</v>
      </c>
      <c r="M50" s="142">
        <v>1.2302500000000001</v>
      </c>
      <c r="N50" s="142"/>
      <c r="O50" s="142"/>
      <c r="P50" s="120"/>
      <c r="Q50" s="121">
        <f t="shared" si="0"/>
        <v>0</v>
      </c>
      <c r="R50" s="121">
        <f t="shared" si="1"/>
        <v>0</v>
      </c>
      <c r="S50" s="121">
        <f t="shared" si="2"/>
        <v>0</v>
      </c>
      <c r="T50" s="122">
        <f t="shared" si="3"/>
        <v>0</v>
      </c>
      <c r="U50" s="123" t="str">
        <f t="shared" si="4"/>
        <v/>
      </c>
      <c r="V50" s="124" t="str">
        <f>IF(OR($AM50="",ISNUMBER($AM50)=FALSE),"",IF(AND(#REF!="Tolerance",$E50&lt;&gt;""),($S50-$E50)/(($J50-$K50)/2),IF(AND(#REF!="GD&amp;T",$F50&lt;&gt;""),$S50/$F50,"")))</f>
        <v/>
      </c>
      <c r="W50" s="124" t="str">
        <f t="shared" si="12"/>
        <v/>
      </c>
      <c r="X50" s="123" t="str">
        <f t="shared" si="5"/>
        <v/>
      </c>
      <c r="Y50" s="123" t="str">
        <f t="shared" si="6"/>
        <v/>
      </c>
      <c r="Z50" s="123" t="str">
        <f t="shared" si="7"/>
        <v/>
      </c>
      <c r="AA50" s="34" t="str">
        <f t="shared" si="8"/>
        <v/>
      </c>
      <c r="AB50" s="35" t="e">
        <f>IF($S50="","",IF(#REF!="Tolerance",IF((#REF!*3*T50+S50)-E50&lt;F50,"",(#REF!*3*T50+S50)-E50),IF(OR(#REF!="GD&amp;T",#REF!="MAX"),IF((#REF!*3*T50+S50)&lt;F50,"",(#REF!*3*T50+S50)),"")))</f>
        <v>#REF!</v>
      </c>
      <c r="AC50" s="35" t="e">
        <f>IF(S50="","",IF(#REF!="Tolerance",IF(-((#REF!*3*T50)-S50)-E50&gt;G50,"",-((#REF!*3*T50)-S50)-E50),IF(#REF!="MIN",IF(-((#REF!*3*T50)-S50)&gt;G50,"",-((#REF!*3*T50)-S50)),"")))</f>
        <v>#REF!</v>
      </c>
      <c r="AD50" s="35">
        <f t="shared" si="13"/>
        <v>1.2524999999999999</v>
      </c>
      <c r="AE50" s="35" t="str">
        <f t="shared" si="9"/>
        <v/>
      </c>
      <c r="AF50" s="125"/>
      <c r="AG50" s="126" t="str">
        <f t="shared" si="14"/>
        <v/>
      </c>
      <c r="AH50" s="145" t="str" cm="1">
        <f t="array" ref="AH50">IF(AND(AM50:BR50 &gt;= IF(K50="",0,K50), AM50:BR50 &lt;= IF(J50="",0,J50)), "OK", "NG")</f>
        <v>NG</v>
      </c>
      <c r="AI50" s="127"/>
      <c r="AJ50" s="127"/>
      <c r="AK50" s="128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</row>
    <row r="51" spans="2:70" ht="19.2" customHeight="1">
      <c r="B51" s="113" t="s">
        <v>90</v>
      </c>
      <c r="C51" s="65" t="s">
        <v>206</v>
      </c>
      <c r="D51" s="114" t="s">
        <v>45</v>
      </c>
      <c r="E51" s="115">
        <v>0.52</v>
      </c>
      <c r="F51" s="116">
        <v>0.03</v>
      </c>
      <c r="G51" s="116">
        <v>-0.02</v>
      </c>
      <c r="H51" s="117" t="s">
        <v>46</v>
      </c>
      <c r="I51" s="118"/>
      <c r="J51" s="119">
        <f t="shared" si="10"/>
        <v>0.55000000000000004</v>
      </c>
      <c r="K51" s="119">
        <f t="shared" si="11"/>
        <v>0.5</v>
      </c>
      <c r="L51" s="142">
        <v>0.54549999999999998</v>
      </c>
      <c r="M51" s="142">
        <v>0.503</v>
      </c>
      <c r="N51" s="142"/>
      <c r="O51" s="142"/>
      <c r="P51" s="120"/>
      <c r="Q51" s="121">
        <f t="shared" si="0"/>
        <v>0</v>
      </c>
      <c r="R51" s="121">
        <f t="shared" si="1"/>
        <v>0</v>
      </c>
      <c r="S51" s="121">
        <f t="shared" si="2"/>
        <v>0</v>
      </c>
      <c r="T51" s="122">
        <f t="shared" si="3"/>
        <v>0</v>
      </c>
      <c r="U51" s="123" t="str">
        <f t="shared" si="4"/>
        <v/>
      </c>
      <c r="V51" s="124" t="str">
        <f>IF(OR($AM51="",ISNUMBER($AM51)=FALSE),"",IF(AND(#REF!="Tolerance",$E51&lt;&gt;""),($S51-$E51)/(($J51-$K51)/2),IF(AND(#REF!="GD&amp;T",$F51&lt;&gt;""),$S51/$F51,"")))</f>
        <v/>
      </c>
      <c r="W51" s="124" t="str">
        <f t="shared" si="12"/>
        <v/>
      </c>
      <c r="X51" s="123" t="str">
        <f t="shared" si="5"/>
        <v/>
      </c>
      <c r="Y51" s="123" t="str">
        <f t="shared" si="6"/>
        <v/>
      </c>
      <c r="Z51" s="123" t="str">
        <f t="shared" si="7"/>
        <v/>
      </c>
      <c r="AA51" s="34" t="str">
        <f t="shared" si="8"/>
        <v/>
      </c>
      <c r="AB51" s="35" t="e">
        <f>IF($S51="","",IF(#REF!="Tolerance",IF((#REF!*3*T51+S51)-E51&lt;F51,"",(#REF!*3*T51+S51)-E51),IF(OR(#REF!="GD&amp;T",#REF!="MAX"),IF((#REF!*3*T51+S51)&lt;F51,"",(#REF!*3*T51+S51)),"")))</f>
        <v>#REF!</v>
      </c>
      <c r="AC51" s="35" t="e">
        <f>IF(S51="","",IF(#REF!="Tolerance",IF(-((#REF!*3*T51)-S51)-E51&gt;G51,"",-((#REF!*3*T51)-S51)-E51),IF(#REF!="MIN",IF(-((#REF!*3*T51)-S51)&gt;G51,"",-((#REF!*3*T51)-S51)),"")))</f>
        <v>#REF!</v>
      </c>
      <c r="AD51" s="35">
        <f t="shared" si="13"/>
        <v>0.52500000000000002</v>
      </c>
      <c r="AE51" s="35" t="str">
        <f t="shared" si="9"/>
        <v/>
      </c>
      <c r="AF51" s="125"/>
      <c r="AG51" s="126" t="str">
        <f t="shared" si="14"/>
        <v/>
      </c>
      <c r="AH51" s="145" t="str" cm="1">
        <f t="array" ref="AH51">IF(AND(AM51:BR51 &gt;= IF(K51="",0,K51), AM51:BR51 &lt;= IF(J51="",0,J51)), "OK", "NG")</f>
        <v>NG</v>
      </c>
      <c r="AI51" s="127"/>
      <c r="AJ51" s="127"/>
      <c r="AK51" s="128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</row>
    <row r="52" spans="2:70" ht="19.2" customHeight="1">
      <c r="B52" s="113" t="s">
        <v>92</v>
      </c>
      <c r="C52" s="65" t="s">
        <v>207</v>
      </c>
      <c r="D52" s="114" t="s">
        <v>45</v>
      </c>
      <c r="E52" s="115">
        <v>2.0680000000000001</v>
      </c>
      <c r="F52" s="116">
        <v>0.02</v>
      </c>
      <c r="G52" s="116">
        <v>-0.03</v>
      </c>
      <c r="H52" s="117" t="s">
        <v>46</v>
      </c>
      <c r="I52" s="118"/>
      <c r="J52" s="119">
        <f t="shared" si="10"/>
        <v>2.0880000000000001</v>
      </c>
      <c r="K52" s="119">
        <f t="shared" si="11"/>
        <v>2.0380000000000003</v>
      </c>
      <c r="L52" s="142">
        <v>2.085</v>
      </c>
      <c r="M52" s="142">
        <v>2.0425</v>
      </c>
      <c r="N52" s="142"/>
      <c r="O52" s="142"/>
      <c r="P52" s="120"/>
      <c r="Q52" s="121">
        <f t="shared" si="0"/>
        <v>0</v>
      </c>
      <c r="R52" s="121">
        <f t="shared" si="1"/>
        <v>0</v>
      </c>
      <c r="S52" s="121">
        <f t="shared" si="2"/>
        <v>0</v>
      </c>
      <c r="T52" s="122">
        <f>IF(OR($AM52=ISBLANK(TRUE),ISNUMBER($AM52)=FALSE),,STDEV(AM52:BR52))</f>
        <v>0</v>
      </c>
      <c r="U52" s="123" t="str">
        <f t="shared" si="4"/>
        <v/>
      </c>
      <c r="V52" s="124" t="str">
        <f>IF(OR($AM52="",ISNUMBER($AM52)=FALSE),"",IF(AND(#REF!="Tolerance",$E52&lt;&gt;""),($S52-$E52)/(($J52-$K52)/2),IF(AND(#REF!="GD&amp;T",$F52&lt;&gt;""),$S52/$F52,"")))</f>
        <v/>
      </c>
      <c r="W52" s="124" t="str">
        <f t="shared" si="12"/>
        <v/>
      </c>
      <c r="X52" s="123" t="str">
        <f t="shared" si="5"/>
        <v/>
      </c>
      <c r="Y52" s="123" t="str">
        <f t="shared" si="6"/>
        <v/>
      </c>
      <c r="Z52" s="123" t="str">
        <f t="shared" si="7"/>
        <v/>
      </c>
      <c r="AA52" s="34" t="str">
        <f t="shared" si="8"/>
        <v/>
      </c>
      <c r="AB52" s="35" t="e">
        <f>IF($S52="","",IF(#REF!="Tolerance",IF((#REF!*3*T52+S52)-E52&lt;F52,"",(#REF!*3*T52+S52)-E52),IF(OR(#REF!="GD&amp;T",#REF!="MAX"),IF((#REF!*3*T52+S52)&lt;F52,"",(#REF!*3*T52+S52)),"")))</f>
        <v>#REF!</v>
      </c>
      <c r="AC52" s="35" t="e">
        <f>IF(S52="","",IF(#REF!="Tolerance",IF(-((#REF!*3*T52)-S52)-E52&gt;G52,"",-((#REF!*3*T52)-S52)-E52),IF(#REF!="MIN",IF(-((#REF!*3*T52)-S52)&gt;G52,"",-((#REF!*3*T52)-S52)),"")))</f>
        <v>#REF!</v>
      </c>
      <c r="AD52" s="35">
        <f t="shared" si="13"/>
        <v>2.0630000000000002</v>
      </c>
      <c r="AE52" s="35" t="str">
        <f t="shared" si="9"/>
        <v/>
      </c>
      <c r="AF52" s="125"/>
      <c r="AG52" s="126" t="str">
        <f t="shared" si="14"/>
        <v/>
      </c>
      <c r="AH52" s="145" t="str" cm="1">
        <f t="array" ref="AH52">IF(AND(AM52:BR52 &gt;= IF(K52="",0,K52), AM52:BR52 &lt;= IF(J52="",0,J52)), "OK", "NG")</f>
        <v>NG</v>
      </c>
      <c r="AI52" s="127"/>
      <c r="AJ52" s="127"/>
      <c r="AK52" s="128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</row>
    <row r="53" spans="2:70" ht="19.2" customHeight="1">
      <c r="B53" s="113" t="s">
        <v>93</v>
      </c>
      <c r="C53" s="65" t="s">
        <v>208</v>
      </c>
      <c r="D53" s="114" t="s">
        <v>45</v>
      </c>
      <c r="E53" s="115">
        <v>1.137</v>
      </c>
      <c r="F53" s="116">
        <v>2.5000000000000001E-2</v>
      </c>
      <c r="G53" s="116">
        <v>-3.5000000000000003E-2</v>
      </c>
      <c r="H53" s="117" t="s">
        <v>46</v>
      </c>
      <c r="I53" s="118"/>
      <c r="J53" s="119">
        <f t="shared" si="10"/>
        <v>1.1619999999999999</v>
      </c>
      <c r="K53" s="119">
        <f t="shared" si="11"/>
        <v>1.1020000000000001</v>
      </c>
      <c r="L53" s="142">
        <v>1.15825</v>
      </c>
      <c r="M53" s="142">
        <v>1.1072500000000001</v>
      </c>
      <c r="N53" s="142"/>
      <c r="O53" s="142"/>
      <c r="P53" s="120"/>
      <c r="Q53" s="121">
        <f t="shared" si="0"/>
        <v>0</v>
      </c>
      <c r="R53" s="121">
        <f t="shared" si="1"/>
        <v>0</v>
      </c>
      <c r="S53" s="121">
        <f t="shared" si="2"/>
        <v>0</v>
      </c>
      <c r="T53" s="122">
        <f t="shared" ref="T53:T77" si="15">IF(OR($AM53=ISBLANK(TRUE),ISNUMBER($AM53)=FALSE),,STDEV(AM53:BR53))</f>
        <v>0</v>
      </c>
      <c r="U53" s="123" t="str">
        <f t="shared" si="4"/>
        <v/>
      </c>
      <c r="V53" s="124" t="str">
        <f>IF(OR($AM53="",ISNUMBER($AM53)=FALSE),"",IF(AND(#REF!="Tolerance",$E53&lt;&gt;""),($S53-$E53)/(($J53-$K53)/2),IF(AND(#REF!="GD&amp;T",$F53&lt;&gt;""),$S53/$F53,"")))</f>
        <v/>
      </c>
      <c r="W53" s="124" t="str">
        <f t="shared" si="12"/>
        <v/>
      </c>
      <c r="X53" s="123" t="str">
        <f t="shared" si="5"/>
        <v/>
      </c>
      <c r="Y53" s="123" t="str">
        <f t="shared" si="6"/>
        <v/>
      </c>
      <c r="Z53" s="123" t="str">
        <f t="shared" si="7"/>
        <v/>
      </c>
      <c r="AA53" s="34" t="str">
        <f t="shared" si="8"/>
        <v/>
      </c>
      <c r="AB53" s="35" t="e">
        <f>IF($S53="","",IF(#REF!="Tolerance",IF((#REF!*3*T53+S53)-E53&lt;F53,"",(#REF!*3*T53+S53)-E53),IF(OR(#REF!="GD&amp;T",#REF!="MAX"),IF((#REF!*3*T53+S53)&lt;F53,"",(#REF!*3*T53+S53)),"")))</f>
        <v>#REF!</v>
      </c>
      <c r="AC53" s="35" t="e">
        <f>IF(S53="","",IF(#REF!="Tolerance",IF(-((#REF!*3*T53)-S53)-E53&gt;G53,"",-((#REF!*3*T53)-S53)-E53),IF(#REF!="MIN",IF(-((#REF!*3*T53)-S53)&gt;G53,"",-((#REF!*3*T53)-S53)),"")))</f>
        <v>#REF!</v>
      </c>
      <c r="AD53" s="35">
        <f t="shared" si="13"/>
        <v>1.1320000000000001</v>
      </c>
      <c r="AE53" s="35" t="str">
        <f t="shared" si="9"/>
        <v/>
      </c>
      <c r="AF53" s="125"/>
      <c r="AG53" s="126" t="str">
        <f t="shared" si="14"/>
        <v/>
      </c>
      <c r="AH53" s="145" t="str" cm="1">
        <f t="array" ref="AH53">IF(AND(AM53:BR53 &gt;= IF(K53="",0,K53), AM53:BR53 &lt;= IF(J53="",0,J53)), "OK", "NG")</f>
        <v>NG</v>
      </c>
      <c r="AI53" s="127"/>
      <c r="AJ53" s="127"/>
      <c r="AK53" s="128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</row>
    <row r="54" spans="2:70" ht="19.2" customHeight="1">
      <c r="B54" s="113" t="s">
        <v>161</v>
      </c>
      <c r="C54" s="65" t="s">
        <v>140</v>
      </c>
      <c r="D54" s="114" t="s">
        <v>45</v>
      </c>
      <c r="E54" s="115">
        <v>0.3</v>
      </c>
      <c r="F54" s="116">
        <v>0.03</v>
      </c>
      <c r="G54" s="116">
        <v>-0.03</v>
      </c>
      <c r="H54" s="117" t="s">
        <v>46</v>
      </c>
      <c r="I54" s="118"/>
      <c r="J54" s="119">
        <f t="shared" si="10"/>
        <v>0.32999999999999996</v>
      </c>
      <c r="K54" s="119">
        <f t="shared" si="11"/>
        <v>0.27</v>
      </c>
      <c r="L54" s="142">
        <v>0.32550000000000001</v>
      </c>
      <c r="M54" s="142">
        <v>0.27449999999999997</v>
      </c>
      <c r="N54" s="142"/>
      <c r="O54" s="142"/>
      <c r="P54" s="120"/>
      <c r="Q54" s="121">
        <f t="shared" si="0"/>
        <v>0</v>
      </c>
      <c r="R54" s="121">
        <f t="shared" si="1"/>
        <v>0</v>
      </c>
      <c r="S54" s="121">
        <f t="shared" si="2"/>
        <v>0</v>
      </c>
      <c r="T54" s="122">
        <f t="shared" si="15"/>
        <v>0</v>
      </c>
      <c r="U54" s="123" t="str">
        <f t="shared" si="4"/>
        <v/>
      </c>
      <c r="V54" s="124" t="str">
        <f>IF(OR($AM54="",ISNUMBER($AM54)=FALSE),"",IF(AND(#REF!="Tolerance",$E54&lt;&gt;""),($S54-$E54)/(($J54-$K54)/2),IF(AND(#REF!="GD&amp;T",$F54&lt;&gt;""),$S54/$F54,"")))</f>
        <v/>
      </c>
      <c r="W54" s="124" t="str">
        <f t="shared" si="12"/>
        <v/>
      </c>
      <c r="X54" s="123" t="str">
        <f t="shared" si="5"/>
        <v/>
      </c>
      <c r="Y54" s="123" t="str">
        <f t="shared" si="6"/>
        <v/>
      </c>
      <c r="Z54" s="123" t="str">
        <f t="shared" si="7"/>
        <v/>
      </c>
      <c r="AA54" s="34" t="str">
        <f t="shared" si="8"/>
        <v/>
      </c>
      <c r="AB54" s="35" t="e">
        <f>IF($S54="","",IF(#REF!="Tolerance",IF((#REF!*3*T54+S54)-E54&lt;F54,"",(#REF!*3*T54+S54)-E54),IF(OR(#REF!="GD&amp;T",#REF!="MAX"),IF((#REF!*3*T54+S54)&lt;F54,"",(#REF!*3*T54+S54)),"")))</f>
        <v>#REF!</v>
      </c>
      <c r="AC54" s="35" t="e">
        <f>IF(S54="","",IF(#REF!="Tolerance",IF(-((#REF!*3*T54)-S54)-E54&gt;G54,"",-((#REF!*3*T54)-S54)-E54),IF(#REF!="MIN",IF(-((#REF!*3*T54)-S54)&gt;G54,"",-((#REF!*3*T54)-S54)),"")))</f>
        <v>#REF!</v>
      </c>
      <c r="AD54" s="35">
        <f t="shared" si="13"/>
        <v>0.3</v>
      </c>
      <c r="AE54" s="35" t="str">
        <f t="shared" si="9"/>
        <v/>
      </c>
      <c r="AF54" s="125"/>
      <c r="AG54" s="126" t="str">
        <f t="shared" si="14"/>
        <v/>
      </c>
      <c r="AH54" s="145" t="str" cm="1">
        <f t="array" ref="AH54">IF(AND(AM54:BR54 &gt;= IF(K54="",0,K54), AM54:BR54 &lt;= IF(J54="",0,J54)), "OK", "NG")</f>
        <v>NG</v>
      </c>
      <c r="AI54" s="127"/>
      <c r="AJ54" s="127"/>
      <c r="AK54" s="128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</row>
    <row r="55" spans="2:70" ht="19.2" customHeight="1">
      <c r="B55" s="113" t="s">
        <v>161</v>
      </c>
      <c r="C55" s="65" t="s">
        <v>141</v>
      </c>
      <c r="D55" s="114" t="s">
        <v>45</v>
      </c>
      <c r="E55" s="115">
        <v>0.3</v>
      </c>
      <c r="F55" s="116">
        <v>0.03</v>
      </c>
      <c r="G55" s="116">
        <v>-0.03</v>
      </c>
      <c r="H55" s="117" t="s">
        <v>46</v>
      </c>
      <c r="I55" s="118"/>
      <c r="J55" s="119">
        <f t="shared" si="10"/>
        <v>0.32999999999999996</v>
      </c>
      <c r="K55" s="119">
        <f t="shared" si="11"/>
        <v>0.27</v>
      </c>
      <c r="L55" s="142">
        <v>0.32550000000000001</v>
      </c>
      <c r="M55" s="142">
        <v>0.27449999999999997</v>
      </c>
      <c r="N55" s="142"/>
      <c r="O55" s="142"/>
      <c r="P55" s="120"/>
      <c r="Q55" s="121">
        <f t="shared" si="0"/>
        <v>0</v>
      </c>
      <c r="R55" s="121">
        <f t="shared" si="1"/>
        <v>0</v>
      </c>
      <c r="S55" s="121">
        <f t="shared" si="2"/>
        <v>0</v>
      </c>
      <c r="T55" s="122">
        <f t="shared" si="15"/>
        <v>0</v>
      </c>
      <c r="U55" s="123" t="str">
        <f t="shared" si="4"/>
        <v/>
      </c>
      <c r="V55" s="124" t="str">
        <f>IF(OR($AM55="",ISNUMBER($AM55)=FALSE),"",IF(AND(#REF!="Tolerance",$E55&lt;&gt;""),($S55-$E55)/(($J55-$K55)/2),IF(AND(#REF!="GD&amp;T",$F55&lt;&gt;""),$S55/$F55,"")))</f>
        <v/>
      </c>
      <c r="W55" s="124" t="str">
        <f t="shared" si="12"/>
        <v/>
      </c>
      <c r="X55" s="123" t="str">
        <f t="shared" si="5"/>
        <v/>
      </c>
      <c r="Y55" s="123" t="str">
        <f t="shared" si="6"/>
        <v/>
      </c>
      <c r="Z55" s="123" t="str">
        <f t="shared" si="7"/>
        <v/>
      </c>
      <c r="AA55" s="34" t="str">
        <f t="shared" si="8"/>
        <v/>
      </c>
      <c r="AB55" s="35" t="e">
        <f>IF($S55="","",IF(#REF!="Tolerance",IF((#REF!*3*T55+S55)-E55&lt;F55,"",(#REF!*3*T55+S55)-E55),IF(OR(#REF!="GD&amp;T",#REF!="MAX"),IF((#REF!*3*T55+S55)&lt;F55,"",(#REF!*3*T55+S55)),"")))</f>
        <v>#REF!</v>
      </c>
      <c r="AC55" s="35" t="e">
        <f>IF(S55="","",IF(#REF!="Tolerance",IF(-((#REF!*3*T55)-S55)-E55&gt;G55,"",-((#REF!*3*T55)-S55)-E55),IF(#REF!="MIN",IF(-((#REF!*3*T55)-S55)&gt;G55,"",-((#REF!*3*T55)-S55)),"")))</f>
        <v>#REF!</v>
      </c>
      <c r="AD55" s="35">
        <f t="shared" si="13"/>
        <v>0.3</v>
      </c>
      <c r="AE55" s="35" t="str">
        <f t="shared" si="9"/>
        <v/>
      </c>
      <c r="AF55" s="125"/>
      <c r="AG55" s="126" t="str">
        <f t="shared" si="14"/>
        <v/>
      </c>
      <c r="AH55" s="145" t="str" cm="1">
        <f t="array" ref="AH55">IF(AND(AM55:BR55 &gt;= IF(K55="",0,K55), AM55:BR55 &lt;= IF(J55="",0,J55)), "OK", "NG")</f>
        <v>NG</v>
      </c>
      <c r="AI55" s="127"/>
      <c r="AJ55" s="127"/>
      <c r="AK55" s="128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</row>
    <row r="56" spans="2:70" ht="19.2" customHeight="1">
      <c r="B56" s="113" t="s">
        <v>160</v>
      </c>
      <c r="C56" s="65" t="s">
        <v>146</v>
      </c>
      <c r="D56" s="114" t="s">
        <v>45</v>
      </c>
      <c r="E56" s="115">
        <v>0.3</v>
      </c>
      <c r="F56" s="116">
        <v>0.03</v>
      </c>
      <c r="G56" s="116">
        <v>-0.03</v>
      </c>
      <c r="H56" s="117" t="s">
        <v>46</v>
      </c>
      <c r="I56" s="118"/>
      <c r="J56" s="119">
        <f t="shared" si="10"/>
        <v>0.32999999999999996</v>
      </c>
      <c r="K56" s="119">
        <f t="shared" si="11"/>
        <v>0.27</v>
      </c>
      <c r="L56" s="142">
        <v>0.32550000000000001</v>
      </c>
      <c r="M56" s="142">
        <v>0.27449999999999997</v>
      </c>
      <c r="N56" s="142"/>
      <c r="O56" s="142"/>
      <c r="P56" s="120"/>
      <c r="Q56" s="121">
        <f t="shared" si="0"/>
        <v>0</v>
      </c>
      <c r="R56" s="121">
        <f t="shared" si="1"/>
        <v>0</v>
      </c>
      <c r="S56" s="121">
        <f t="shared" si="2"/>
        <v>0</v>
      </c>
      <c r="T56" s="122">
        <f t="shared" si="15"/>
        <v>0</v>
      </c>
      <c r="U56" s="123" t="str">
        <f t="shared" si="4"/>
        <v/>
      </c>
      <c r="V56" s="124" t="str">
        <f>IF(OR($AM56="",ISNUMBER($AM56)=FALSE),"",IF(AND(#REF!="Tolerance",$E56&lt;&gt;""),($S56-$E56)/(($J56-$K56)/2),IF(AND(#REF!="GD&amp;T",$F56&lt;&gt;""),$S56/$F56,"")))</f>
        <v/>
      </c>
      <c r="W56" s="124" t="str">
        <f t="shared" si="12"/>
        <v/>
      </c>
      <c r="X56" s="123" t="str">
        <f t="shared" si="5"/>
        <v/>
      </c>
      <c r="Y56" s="123" t="str">
        <f t="shared" si="6"/>
        <v/>
      </c>
      <c r="Z56" s="123" t="str">
        <f t="shared" si="7"/>
        <v/>
      </c>
      <c r="AA56" s="34" t="str">
        <f t="shared" si="8"/>
        <v/>
      </c>
      <c r="AB56" s="35" t="e">
        <f>IF($S56="","",IF(#REF!="Tolerance",IF((#REF!*3*T56+S56)-E56&lt;F56,"",(#REF!*3*T56+S56)-E56),IF(OR(#REF!="GD&amp;T",#REF!="MAX"),IF((#REF!*3*T56+S56)&lt;F56,"",(#REF!*3*T56+S56)),"")))</f>
        <v>#REF!</v>
      </c>
      <c r="AC56" s="35" t="e">
        <f>IF(S56="","",IF(#REF!="Tolerance",IF(-((#REF!*3*T56)-S56)-E56&gt;G56,"",-((#REF!*3*T56)-S56)-E56),IF(#REF!="MIN",IF(-((#REF!*3*T56)-S56)&gt;G56,"",-((#REF!*3*T56)-S56)),"")))</f>
        <v>#REF!</v>
      </c>
      <c r="AD56" s="35">
        <f t="shared" si="13"/>
        <v>0.3</v>
      </c>
      <c r="AE56" s="35" t="str">
        <f t="shared" si="9"/>
        <v/>
      </c>
      <c r="AF56" s="125"/>
      <c r="AG56" s="126" t="str">
        <f t="shared" si="14"/>
        <v/>
      </c>
      <c r="AH56" s="145" t="str" cm="1">
        <f t="array" ref="AH56">IF(AND(AM56:BR56 &gt;= IF(K56="",0,K56), AM56:BR56 &lt;= IF(J56="",0,J56)), "OK", "NG")</f>
        <v>NG</v>
      </c>
      <c r="AI56" s="127"/>
      <c r="AJ56" s="127"/>
      <c r="AK56" s="128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</row>
    <row r="57" spans="2:70" ht="19.2" customHeight="1">
      <c r="B57" s="113" t="s">
        <v>160</v>
      </c>
      <c r="C57" s="65" t="s">
        <v>147</v>
      </c>
      <c r="D57" s="114" t="s">
        <v>45</v>
      </c>
      <c r="E57" s="115">
        <v>0.3</v>
      </c>
      <c r="F57" s="116">
        <v>0.03</v>
      </c>
      <c r="G57" s="116">
        <v>-0.03</v>
      </c>
      <c r="H57" s="117" t="s">
        <v>46</v>
      </c>
      <c r="I57" s="118"/>
      <c r="J57" s="119">
        <f t="shared" si="10"/>
        <v>0.32999999999999996</v>
      </c>
      <c r="K57" s="119">
        <f t="shared" si="11"/>
        <v>0.27</v>
      </c>
      <c r="L57" s="142">
        <v>0.32550000000000001</v>
      </c>
      <c r="M57" s="142">
        <v>0.27449999999999997</v>
      </c>
      <c r="N57" s="142"/>
      <c r="O57" s="142"/>
      <c r="P57" s="120"/>
      <c r="Q57" s="121">
        <f t="shared" si="0"/>
        <v>0</v>
      </c>
      <c r="R57" s="121">
        <f t="shared" si="1"/>
        <v>0</v>
      </c>
      <c r="S57" s="121">
        <f t="shared" si="2"/>
        <v>0</v>
      </c>
      <c r="T57" s="122">
        <f t="shared" si="15"/>
        <v>0</v>
      </c>
      <c r="U57" s="123" t="str">
        <f t="shared" si="4"/>
        <v/>
      </c>
      <c r="V57" s="124" t="str">
        <f>IF(OR($AM57="",ISNUMBER($AM57)=FALSE),"",IF(AND(#REF!="Tolerance",$E57&lt;&gt;""),($S57-$E57)/(($J57-$K57)/2),IF(AND(#REF!="GD&amp;T",$F57&lt;&gt;""),$S57/$F57,"")))</f>
        <v/>
      </c>
      <c r="W57" s="124" t="str">
        <f t="shared" si="12"/>
        <v/>
      </c>
      <c r="X57" s="123" t="str">
        <f t="shared" si="5"/>
        <v/>
      </c>
      <c r="Y57" s="123" t="str">
        <f t="shared" si="6"/>
        <v/>
      </c>
      <c r="Z57" s="123" t="str">
        <f t="shared" si="7"/>
        <v/>
      </c>
      <c r="AA57" s="34" t="str">
        <f t="shared" si="8"/>
        <v/>
      </c>
      <c r="AB57" s="35" t="e">
        <f>IF($S57="","",IF(#REF!="Tolerance",IF((#REF!*3*T57+S57)-E57&lt;F57,"",(#REF!*3*T57+S57)-E57),IF(OR(#REF!="GD&amp;T",#REF!="MAX"),IF((#REF!*3*T57+S57)&lt;F57,"",(#REF!*3*T57+S57)),"")))</f>
        <v>#REF!</v>
      </c>
      <c r="AC57" s="35" t="e">
        <f>IF(S57="","",IF(#REF!="Tolerance",IF(-((#REF!*3*T57)-S57)-E57&gt;G57,"",-((#REF!*3*T57)-S57)-E57),IF(#REF!="MIN",IF(-((#REF!*3*T57)-S57)&gt;G57,"",-((#REF!*3*T57)-S57)),"")))</f>
        <v>#REF!</v>
      </c>
      <c r="AD57" s="35">
        <f t="shared" si="13"/>
        <v>0.3</v>
      </c>
      <c r="AE57" s="35" t="str">
        <f t="shared" si="9"/>
        <v/>
      </c>
      <c r="AF57" s="125"/>
      <c r="AG57" s="126" t="str">
        <f t="shared" si="14"/>
        <v/>
      </c>
      <c r="AH57" s="145" t="str" cm="1">
        <f t="array" ref="AH57">IF(AND(AM57:BR57 &gt;= IF(K57="",0,K57), AM57:BR57 &lt;= IF(J57="",0,J57)), "OK", "NG")</f>
        <v>NG</v>
      </c>
      <c r="AI57" s="127"/>
      <c r="AJ57" s="127"/>
      <c r="AK57" s="128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</row>
    <row r="58" spans="2:70" ht="19.2" customHeight="1">
      <c r="B58" s="113" t="s">
        <v>94</v>
      </c>
      <c r="C58" s="65" t="s">
        <v>211</v>
      </c>
      <c r="D58" s="114" t="s">
        <v>45</v>
      </c>
      <c r="E58" s="115">
        <v>16.858000000000001</v>
      </c>
      <c r="F58" s="116">
        <v>2.5000000000000001E-2</v>
      </c>
      <c r="G58" s="116">
        <v>-2.5000000000000001E-2</v>
      </c>
      <c r="H58" s="117" t="s">
        <v>46</v>
      </c>
      <c r="I58" s="118"/>
      <c r="J58" s="119">
        <f t="shared" si="10"/>
        <v>16.882999999999999</v>
      </c>
      <c r="K58" s="119">
        <f t="shared" si="11"/>
        <v>16.833000000000002</v>
      </c>
      <c r="L58" s="142">
        <v>16.879249999999999</v>
      </c>
      <c r="M58" s="142">
        <v>16.836750000000002</v>
      </c>
      <c r="N58" s="142"/>
      <c r="O58" s="142"/>
      <c r="P58" s="120"/>
      <c r="Q58" s="121">
        <f t="shared" si="0"/>
        <v>0</v>
      </c>
      <c r="R58" s="121">
        <f t="shared" si="1"/>
        <v>0</v>
      </c>
      <c r="S58" s="121">
        <f t="shared" si="2"/>
        <v>0</v>
      </c>
      <c r="T58" s="122">
        <f t="shared" si="15"/>
        <v>0</v>
      </c>
      <c r="U58" s="123" t="str">
        <f t="shared" si="4"/>
        <v/>
      </c>
      <c r="V58" s="124" t="str">
        <f>IF(OR($AM58="",ISNUMBER($AM58)=FALSE),"",IF(AND(#REF!="Tolerance",$E58&lt;&gt;""),($S58-$E58)/(($J58-$K58)/2),IF(AND(#REF!="GD&amp;T",$F58&lt;&gt;""),$S58/$F58,"")))</f>
        <v/>
      </c>
      <c r="W58" s="124" t="str">
        <f t="shared" si="12"/>
        <v/>
      </c>
      <c r="X58" s="123" t="str">
        <f t="shared" si="5"/>
        <v/>
      </c>
      <c r="Y58" s="123" t="str">
        <f t="shared" si="6"/>
        <v/>
      </c>
      <c r="Z58" s="123" t="str">
        <f t="shared" si="7"/>
        <v/>
      </c>
      <c r="AA58" s="34" t="str">
        <f t="shared" si="8"/>
        <v/>
      </c>
      <c r="AB58" s="35" t="e">
        <f>IF($S58="","",IF(#REF!="Tolerance",IF((#REF!*3*T58+S58)-E58&lt;F58,"",(#REF!*3*T58+S58)-E58),IF(OR(#REF!="GD&amp;T",#REF!="MAX"),IF((#REF!*3*T58+S58)&lt;F58,"",(#REF!*3*T58+S58)),"")))</f>
        <v>#REF!</v>
      </c>
      <c r="AC58" s="35" t="e">
        <f>IF(S58="","",IF(#REF!="Tolerance",IF(-((#REF!*3*T58)-S58)-E58&gt;G58,"",-((#REF!*3*T58)-S58)-E58),IF(#REF!="MIN",IF(-((#REF!*3*T58)-S58)&gt;G58,"",-((#REF!*3*T58)-S58)),"")))</f>
        <v>#REF!</v>
      </c>
      <c r="AD58" s="35">
        <f t="shared" si="13"/>
        <v>16.858000000000001</v>
      </c>
      <c r="AE58" s="35" t="str">
        <f t="shared" si="9"/>
        <v/>
      </c>
      <c r="AF58" s="125"/>
      <c r="AG58" s="126" t="str">
        <f t="shared" si="14"/>
        <v/>
      </c>
      <c r="AH58" s="145" t="str" cm="1">
        <f t="array" ref="AH58">IF(AND(AM58:BR58 &gt;= IF(K58="",0,K58), AM58:BR58 &lt;= IF(J58="",0,J58)), "OK", "NG")</f>
        <v>NG</v>
      </c>
      <c r="AI58" s="127"/>
      <c r="AJ58" s="127"/>
      <c r="AK58" s="128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29"/>
      <c r="BJ58" s="129"/>
      <c r="BK58" s="129"/>
      <c r="BL58" s="129"/>
      <c r="BM58" s="129"/>
      <c r="BN58" s="129"/>
      <c r="BO58" s="129"/>
      <c r="BP58" s="129"/>
      <c r="BQ58" s="129"/>
      <c r="BR58" s="129"/>
    </row>
    <row r="59" spans="2:70" ht="19.2" customHeight="1">
      <c r="B59" s="113" t="s">
        <v>262</v>
      </c>
      <c r="C59" s="65" t="s">
        <v>213</v>
      </c>
      <c r="D59" s="114" t="s">
        <v>45</v>
      </c>
      <c r="E59" s="115">
        <v>0.28000000000000003</v>
      </c>
      <c r="F59" s="116">
        <v>0.02</v>
      </c>
      <c r="G59" s="116">
        <v>-0.02</v>
      </c>
      <c r="H59" s="117" t="s">
        <v>46</v>
      </c>
      <c r="I59" s="118"/>
      <c r="J59" s="119">
        <f t="shared" si="10"/>
        <v>0.30000000000000004</v>
      </c>
      <c r="K59" s="119">
        <f t="shared" si="11"/>
        <v>0.26</v>
      </c>
      <c r="L59" s="142">
        <v>0.29700000000000004</v>
      </c>
      <c r="M59" s="142">
        <v>0.26300000000000001</v>
      </c>
      <c r="N59" s="142"/>
      <c r="O59" s="142"/>
      <c r="P59" s="120"/>
      <c r="Q59" s="121">
        <f t="shared" si="0"/>
        <v>0</v>
      </c>
      <c r="R59" s="121">
        <f t="shared" si="1"/>
        <v>0</v>
      </c>
      <c r="S59" s="121">
        <f t="shared" si="2"/>
        <v>0</v>
      </c>
      <c r="T59" s="122">
        <f t="shared" si="15"/>
        <v>0</v>
      </c>
      <c r="U59" s="123" t="str">
        <f t="shared" si="4"/>
        <v/>
      </c>
      <c r="V59" s="124" t="str">
        <f>IF(OR($AM59="",ISNUMBER($AM59)=FALSE),"",IF(AND(#REF!="Tolerance",$E59&lt;&gt;""),($S59-$E59)/(($J59-$K59)/2),IF(AND(#REF!="GD&amp;T",$F59&lt;&gt;""),$S59/$F59,"")))</f>
        <v/>
      </c>
      <c r="W59" s="124" t="str">
        <f t="shared" si="12"/>
        <v/>
      </c>
      <c r="X59" s="123" t="str">
        <f t="shared" si="5"/>
        <v/>
      </c>
      <c r="Y59" s="123" t="str">
        <f t="shared" si="6"/>
        <v/>
      </c>
      <c r="Z59" s="123" t="str">
        <f t="shared" si="7"/>
        <v/>
      </c>
      <c r="AA59" s="34" t="str">
        <f t="shared" si="8"/>
        <v/>
      </c>
      <c r="AB59" s="35" t="e">
        <f>IF($S59="","",IF(#REF!="Tolerance",IF((#REF!*3*T59+S59)-E59&lt;F59,"",(#REF!*3*T59+S59)-E59),IF(OR(#REF!="GD&amp;T",#REF!="MAX"),IF((#REF!*3*T59+S59)&lt;F59,"",(#REF!*3*T59+S59)),"")))</f>
        <v>#REF!</v>
      </c>
      <c r="AC59" s="35" t="e">
        <f>IF(S59="","",IF(#REF!="Tolerance",IF(-((#REF!*3*T59)-S59)-E59&gt;G59,"",-((#REF!*3*T59)-S59)-E59),IF(#REF!="MIN",IF(-((#REF!*3*T59)-S59)&gt;G59,"",-((#REF!*3*T59)-S59)),"")))</f>
        <v>#REF!</v>
      </c>
      <c r="AD59" s="35">
        <f t="shared" si="13"/>
        <v>0.28000000000000003</v>
      </c>
      <c r="AE59" s="35" t="str">
        <f t="shared" si="9"/>
        <v/>
      </c>
      <c r="AF59" s="125"/>
      <c r="AG59" s="126" t="str">
        <f t="shared" si="14"/>
        <v/>
      </c>
      <c r="AH59" s="145" t="str" cm="1">
        <f t="array" ref="AH59">IF(AND(AM59:BR59 &gt;= IF(K59="",0,K59), AM59:BR59 &lt;= IF(J59="",0,J59)), "OK", "NG")</f>
        <v>NG</v>
      </c>
      <c r="AI59" s="127"/>
      <c r="AJ59" s="127"/>
      <c r="AK59" s="128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129"/>
      <c r="BA59" s="129"/>
      <c r="BB59" s="129"/>
      <c r="BC59" s="129"/>
      <c r="BD59" s="129"/>
      <c r="BE59" s="129"/>
      <c r="BF59" s="129"/>
      <c r="BG59" s="129"/>
      <c r="BH59" s="129"/>
      <c r="BI59" s="129"/>
      <c r="BJ59" s="129"/>
      <c r="BK59" s="129"/>
      <c r="BL59" s="129"/>
      <c r="BM59" s="129"/>
      <c r="BN59" s="129"/>
      <c r="BO59" s="129"/>
      <c r="BP59" s="129"/>
      <c r="BQ59" s="129"/>
      <c r="BR59" s="129"/>
    </row>
    <row r="60" spans="2:70" ht="19.2" customHeight="1">
      <c r="B60" s="113" t="s">
        <v>159</v>
      </c>
      <c r="C60" s="65" t="s">
        <v>214</v>
      </c>
      <c r="D60" s="114" t="s">
        <v>45</v>
      </c>
      <c r="E60" s="115">
        <v>2.44</v>
      </c>
      <c r="F60" s="116">
        <v>0.03</v>
      </c>
      <c r="G60" s="116">
        <v>-0.02</v>
      </c>
      <c r="H60" s="117" t="s">
        <v>46</v>
      </c>
      <c r="I60" s="118"/>
      <c r="J60" s="119">
        <f t="shared" si="10"/>
        <v>2.4699999999999998</v>
      </c>
      <c r="K60" s="119">
        <f t="shared" si="11"/>
        <v>2.42</v>
      </c>
      <c r="L60" s="142">
        <v>2.4655</v>
      </c>
      <c r="M60" s="142">
        <v>2.423</v>
      </c>
      <c r="N60" s="142"/>
      <c r="O60" s="142"/>
      <c r="P60" s="120"/>
      <c r="Q60" s="121">
        <f t="shared" si="0"/>
        <v>0</v>
      </c>
      <c r="R60" s="121">
        <f t="shared" si="1"/>
        <v>0</v>
      </c>
      <c r="S60" s="121">
        <f t="shared" si="2"/>
        <v>0</v>
      </c>
      <c r="T60" s="122">
        <f t="shared" si="15"/>
        <v>0</v>
      </c>
      <c r="U60" s="123" t="str">
        <f t="shared" si="4"/>
        <v/>
      </c>
      <c r="V60" s="124" t="str">
        <f>IF(OR($AM60="",ISNUMBER($AM60)=FALSE),"",IF(AND(#REF!="Tolerance",$E60&lt;&gt;""),($S60-$E60)/(($J60-$K60)/2),IF(AND(#REF!="GD&amp;T",$F60&lt;&gt;""),$S60/$F60,"")))</f>
        <v/>
      </c>
      <c r="W60" s="124" t="str">
        <f t="shared" si="12"/>
        <v/>
      </c>
      <c r="X60" s="123" t="str">
        <f t="shared" si="5"/>
        <v/>
      </c>
      <c r="Y60" s="123" t="str">
        <f t="shared" si="6"/>
        <v/>
      </c>
      <c r="Z60" s="123" t="str">
        <f t="shared" si="7"/>
        <v/>
      </c>
      <c r="AA60" s="34" t="str">
        <f t="shared" si="8"/>
        <v/>
      </c>
      <c r="AB60" s="35" t="e">
        <f>IF($S60="","",IF(#REF!="Tolerance",IF((#REF!*3*T60+S60)-E60&lt;F60,"",(#REF!*3*T60+S60)-E60),IF(OR(#REF!="GD&amp;T",#REF!="MAX"),IF((#REF!*3*T60+S60)&lt;F60,"",(#REF!*3*T60+S60)),"")))</f>
        <v>#REF!</v>
      </c>
      <c r="AC60" s="35" t="e">
        <f>IF(S60="","",IF(#REF!="Tolerance",IF(-((#REF!*3*T60)-S60)-E60&gt;G60,"",-((#REF!*3*T60)-S60)-E60),IF(#REF!="MIN",IF(-((#REF!*3*T60)-S60)&gt;G60,"",-((#REF!*3*T60)-S60)),"")))</f>
        <v>#REF!</v>
      </c>
      <c r="AD60" s="35">
        <f t="shared" si="13"/>
        <v>2.4449999999999998</v>
      </c>
      <c r="AE60" s="35" t="str">
        <f t="shared" si="9"/>
        <v/>
      </c>
      <c r="AF60" s="125"/>
      <c r="AG60" s="126" t="str">
        <f t="shared" si="14"/>
        <v/>
      </c>
      <c r="AH60" s="145" t="str" cm="1">
        <f t="array" ref="AH60">IF(AND(AM60:BR60 &gt;= IF(K60="",0,K60), AM60:BR60 &lt;= IF(J60="",0,J60)), "OK", "NG")</f>
        <v>NG</v>
      </c>
      <c r="AI60" s="127"/>
      <c r="AJ60" s="127"/>
      <c r="AK60" s="128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  <c r="BP60" s="129"/>
      <c r="BQ60" s="129"/>
      <c r="BR60" s="129"/>
    </row>
    <row r="61" spans="2:70" ht="19.2" customHeight="1">
      <c r="B61" s="113" t="s">
        <v>95</v>
      </c>
      <c r="C61" s="65" t="s">
        <v>222</v>
      </c>
      <c r="D61" s="114" t="s">
        <v>45</v>
      </c>
      <c r="E61" s="115">
        <v>16.788</v>
      </c>
      <c r="F61" s="116">
        <v>0.02</v>
      </c>
      <c r="G61" s="116">
        <v>-0.04</v>
      </c>
      <c r="H61" s="117" t="s">
        <v>46</v>
      </c>
      <c r="I61" s="118"/>
      <c r="J61" s="119">
        <f t="shared" si="10"/>
        <v>16.808</v>
      </c>
      <c r="K61" s="119">
        <f t="shared" si="11"/>
        <v>16.748000000000001</v>
      </c>
      <c r="L61" s="142">
        <v>16.805</v>
      </c>
      <c r="M61" s="142">
        <v>16.754000000000001</v>
      </c>
      <c r="N61" s="142"/>
      <c r="O61" s="142"/>
      <c r="P61" s="120"/>
      <c r="Q61" s="121">
        <f t="shared" si="0"/>
        <v>0</v>
      </c>
      <c r="R61" s="121">
        <f t="shared" si="1"/>
        <v>0</v>
      </c>
      <c r="S61" s="121">
        <f t="shared" si="2"/>
        <v>0</v>
      </c>
      <c r="T61" s="122">
        <f t="shared" si="15"/>
        <v>0</v>
      </c>
      <c r="U61" s="123" t="str">
        <f t="shared" si="4"/>
        <v/>
      </c>
      <c r="V61" s="124" t="str">
        <f>IF(OR($AM61="",ISNUMBER($AM61)=FALSE),"",IF(AND(#REF!="Tolerance",$E61&lt;&gt;""),($S61-$E61)/(($J61-$K61)/2),IF(AND(#REF!="GD&amp;T",$F61&lt;&gt;""),$S61/$F61,"")))</f>
        <v/>
      </c>
      <c r="W61" s="124" t="str">
        <f t="shared" si="12"/>
        <v/>
      </c>
      <c r="X61" s="123" t="str">
        <f t="shared" si="5"/>
        <v/>
      </c>
      <c r="Y61" s="123" t="str">
        <f t="shared" si="6"/>
        <v/>
      </c>
      <c r="Z61" s="123" t="str">
        <f t="shared" si="7"/>
        <v/>
      </c>
      <c r="AA61" s="34" t="str">
        <f t="shared" si="8"/>
        <v/>
      </c>
      <c r="AB61" s="35" t="e">
        <f>IF($S61="","",IF(#REF!="Tolerance",IF((#REF!*3*T61+S61)-E61&lt;F61,"",(#REF!*3*T61+S61)-E61),IF(OR(#REF!="GD&amp;T",#REF!="MAX"),IF((#REF!*3*T61+S61)&lt;F61,"",(#REF!*3*T61+S61)),"")))</f>
        <v>#REF!</v>
      </c>
      <c r="AC61" s="35" t="e">
        <f>IF(S61="","",IF(#REF!="Tolerance",IF(-((#REF!*3*T61)-S61)-E61&gt;G61,"",-((#REF!*3*T61)-S61)-E61),IF(#REF!="MIN",IF(-((#REF!*3*T61)-S61)&gt;G61,"",-((#REF!*3*T61)-S61)),"")))</f>
        <v>#REF!</v>
      </c>
      <c r="AD61" s="35">
        <f t="shared" si="13"/>
        <v>16.777999999999999</v>
      </c>
      <c r="AE61" s="35" t="str">
        <f t="shared" si="9"/>
        <v/>
      </c>
      <c r="AF61" s="125"/>
      <c r="AG61" s="126" t="str">
        <f t="shared" si="14"/>
        <v/>
      </c>
      <c r="AH61" s="145" t="str" cm="1">
        <f t="array" ref="AH61">IF(AND(AM61:BR61 &gt;= IF(K61="",0,K61), AM61:BR61 &lt;= IF(J61="",0,J61)), "OK", "NG")</f>
        <v>NG</v>
      </c>
      <c r="AI61" s="127"/>
      <c r="AJ61" s="127"/>
      <c r="AK61" s="128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/>
      <c r="AY61" s="129"/>
      <c r="AZ61" s="129"/>
      <c r="BA61" s="129"/>
      <c r="BB61" s="129"/>
      <c r="BC61" s="129"/>
      <c r="BD61" s="129"/>
      <c r="BE61" s="129"/>
      <c r="BF61" s="129"/>
      <c r="BG61" s="129"/>
      <c r="BH61" s="129"/>
      <c r="BI61" s="129"/>
      <c r="BJ61" s="129"/>
      <c r="BK61" s="129"/>
      <c r="BL61" s="129"/>
      <c r="BM61" s="129"/>
      <c r="BN61" s="129"/>
      <c r="BO61" s="129"/>
      <c r="BP61" s="129"/>
      <c r="BQ61" s="129"/>
      <c r="BR61" s="129"/>
    </row>
    <row r="62" spans="2:70" ht="19.2" customHeight="1">
      <c r="B62" s="113" t="s">
        <v>91</v>
      </c>
      <c r="C62" s="65" t="s">
        <v>223</v>
      </c>
      <c r="D62" s="114" t="s">
        <v>45</v>
      </c>
      <c r="E62" s="115">
        <v>0.23</v>
      </c>
      <c r="F62" s="116">
        <v>0.02</v>
      </c>
      <c r="G62" s="116">
        <v>-0.02</v>
      </c>
      <c r="H62" s="117" t="s">
        <v>154</v>
      </c>
      <c r="I62" s="118"/>
      <c r="J62" s="119">
        <f t="shared" si="10"/>
        <v>0.25</v>
      </c>
      <c r="K62" s="119">
        <f t="shared" si="11"/>
        <v>0.21000000000000002</v>
      </c>
      <c r="L62" s="142">
        <v>0.247</v>
      </c>
      <c r="M62" s="142">
        <v>0.21300000000000002</v>
      </c>
      <c r="N62" s="142"/>
      <c r="O62" s="142"/>
      <c r="P62" s="120"/>
      <c r="Q62" s="121">
        <f t="shared" si="0"/>
        <v>0</v>
      </c>
      <c r="R62" s="121">
        <f t="shared" si="1"/>
        <v>0</v>
      </c>
      <c r="S62" s="121">
        <f t="shared" si="2"/>
        <v>0</v>
      </c>
      <c r="T62" s="122">
        <f t="shared" si="15"/>
        <v>0</v>
      </c>
      <c r="U62" s="123" t="str">
        <f t="shared" si="4"/>
        <v/>
      </c>
      <c r="V62" s="124" t="str">
        <f>IF(OR($AM62="",ISNUMBER($AM62)=FALSE),"",IF(AND(#REF!="Tolerance",$E62&lt;&gt;""),($S62-$E62)/(($J62-$K62)/2),IF(AND(#REF!="GD&amp;T",$F62&lt;&gt;""),$S62/$F62,"")))</f>
        <v/>
      </c>
      <c r="W62" s="124" t="str">
        <f t="shared" si="12"/>
        <v/>
      </c>
      <c r="X62" s="123" t="str">
        <f t="shared" si="5"/>
        <v/>
      </c>
      <c r="Y62" s="123" t="str">
        <f t="shared" si="6"/>
        <v/>
      </c>
      <c r="Z62" s="123" t="str">
        <f t="shared" si="7"/>
        <v/>
      </c>
      <c r="AA62" s="34" t="str">
        <f t="shared" si="8"/>
        <v/>
      </c>
      <c r="AB62" s="35" t="e">
        <f>IF($S62="","",IF(#REF!="Tolerance",IF((#REF!*3*T62+S62)-E62&lt;F62,"",(#REF!*3*T62+S62)-E62),IF(OR(#REF!="GD&amp;T",#REF!="MAX"),IF((#REF!*3*T62+S62)&lt;F62,"",(#REF!*3*T62+S62)),"")))</f>
        <v>#REF!</v>
      </c>
      <c r="AC62" s="35" t="e">
        <f>IF(S62="","",IF(#REF!="Tolerance",IF(-((#REF!*3*T62)-S62)-E62&gt;G62,"",-((#REF!*3*T62)-S62)-E62),IF(#REF!="MIN",IF(-((#REF!*3*T62)-S62)&gt;G62,"",-((#REF!*3*T62)-S62)),"")))</f>
        <v>#REF!</v>
      </c>
      <c r="AD62" s="35">
        <f t="shared" si="13"/>
        <v>0.23</v>
      </c>
      <c r="AE62" s="35" t="str">
        <f t="shared" si="9"/>
        <v/>
      </c>
      <c r="AF62" s="125"/>
      <c r="AG62" s="126" t="str">
        <f t="shared" si="14"/>
        <v/>
      </c>
      <c r="AH62" s="145" t="str" cm="1">
        <f t="array" ref="AH62">IF(AND(AM62:BR62 &gt;= IF(K62="",0,K62), AM62:BR62 &lt;= IF(J62="",0,J62)), "OK", "NG")</f>
        <v>NG</v>
      </c>
      <c r="AI62" s="127"/>
      <c r="AJ62" s="127"/>
      <c r="AK62" s="128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129"/>
      <c r="BQ62" s="129"/>
      <c r="BR62" s="129"/>
    </row>
    <row r="63" spans="2:70" ht="19.2" customHeight="1">
      <c r="B63" s="130" t="s">
        <v>91</v>
      </c>
      <c r="C63" s="65" t="s">
        <v>224</v>
      </c>
      <c r="D63" s="114" t="s">
        <v>45</v>
      </c>
      <c r="E63" s="115">
        <v>0.23</v>
      </c>
      <c r="F63" s="116">
        <v>0.02</v>
      </c>
      <c r="G63" s="116">
        <v>-0.02</v>
      </c>
      <c r="H63" s="117" t="s">
        <v>154</v>
      </c>
      <c r="I63" s="118"/>
      <c r="J63" s="119">
        <f t="shared" si="10"/>
        <v>0.25</v>
      </c>
      <c r="K63" s="119">
        <f t="shared" si="11"/>
        <v>0.21000000000000002</v>
      </c>
      <c r="L63" s="142">
        <v>0.247</v>
      </c>
      <c r="M63" s="142">
        <v>0.21300000000000002</v>
      </c>
      <c r="N63" s="142"/>
      <c r="O63" s="142"/>
      <c r="P63" s="120"/>
      <c r="Q63" s="121">
        <f t="shared" si="0"/>
        <v>0</v>
      </c>
      <c r="R63" s="121">
        <f t="shared" si="1"/>
        <v>0</v>
      </c>
      <c r="S63" s="121">
        <f t="shared" si="2"/>
        <v>0</v>
      </c>
      <c r="T63" s="122">
        <f t="shared" si="15"/>
        <v>0</v>
      </c>
      <c r="U63" s="123" t="str">
        <f t="shared" si="4"/>
        <v/>
      </c>
      <c r="V63" s="124" t="str">
        <f>IF(OR($AM63="",ISNUMBER($AM63)=FALSE),"",IF(AND(#REF!="Tolerance",$E63&lt;&gt;""),($S63-$E63)/(($J63-$K63)/2),IF(AND(#REF!="GD&amp;T",$F63&lt;&gt;""),$S63/$F63,"")))</f>
        <v/>
      </c>
      <c r="W63" s="124" t="str">
        <f t="shared" si="12"/>
        <v/>
      </c>
      <c r="X63" s="123" t="str">
        <f t="shared" si="5"/>
        <v/>
      </c>
      <c r="Y63" s="123" t="str">
        <f t="shared" si="6"/>
        <v/>
      </c>
      <c r="Z63" s="123" t="str">
        <f t="shared" si="7"/>
        <v/>
      </c>
      <c r="AA63" s="34" t="str">
        <f t="shared" si="8"/>
        <v/>
      </c>
      <c r="AB63" s="35" t="e">
        <f>IF($S63="","",IF(#REF!="Tolerance",IF((#REF!*3*T63+S63)-E63&lt;F63,"",(#REF!*3*T63+S63)-E63),IF(OR(#REF!="GD&amp;T",#REF!="MAX"),IF((#REF!*3*T63+S63)&lt;F63,"",(#REF!*3*T63+S63)),"")))</f>
        <v>#REF!</v>
      </c>
      <c r="AC63" s="35" t="e">
        <f>IF(S63="","",IF(#REF!="Tolerance",IF(-((#REF!*3*T63)-S63)-E63&gt;G63,"",-((#REF!*3*T63)-S63)-E63),IF(#REF!="MIN",IF(-((#REF!*3*T63)-S63)&gt;G63,"",-((#REF!*3*T63)-S63)),"")))</f>
        <v>#REF!</v>
      </c>
      <c r="AD63" s="35">
        <f t="shared" si="13"/>
        <v>0.23</v>
      </c>
      <c r="AE63" s="35" t="str">
        <f t="shared" si="9"/>
        <v/>
      </c>
      <c r="AF63" s="125"/>
      <c r="AG63" s="126" t="str">
        <f t="shared" si="14"/>
        <v/>
      </c>
      <c r="AH63" s="145" t="str" cm="1">
        <f t="array" ref="AH63">IF(AND(AM63:BR63 &gt;= IF(K63="",0,K63), AM63:BR63 &lt;= IF(J63="",0,J63)), "OK", "NG")</f>
        <v>NG</v>
      </c>
      <c r="AI63" s="127"/>
      <c r="AJ63" s="127"/>
      <c r="AK63" s="128"/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9"/>
      <c r="AX63" s="129"/>
      <c r="AY63" s="129"/>
      <c r="AZ63" s="129"/>
      <c r="BA63" s="129"/>
      <c r="BB63" s="129"/>
      <c r="BC63" s="129"/>
      <c r="BD63" s="129"/>
      <c r="BE63" s="129"/>
      <c r="BF63" s="129"/>
      <c r="BG63" s="129"/>
      <c r="BH63" s="129"/>
      <c r="BI63" s="129"/>
      <c r="BJ63" s="129"/>
      <c r="BK63" s="129"/>
      <c r="BL63" s="129"/>
      <c r="BM63" s="129"/>
      <c r="BN63" s="129"/>
      <c r="BO63" s="129"/>
      <c r="BP63" s="129"/>
      <c r="BQ63" s="129"/>
      <c r="BR63" s="129"/>
    </row>
    <row r="64" spans="2:70" ht="19.2" customHeight="1">
      <c r="B64" s="113" t="s">
        <v>325</v>
      </c>
      <c r="C64" s="65" t="s">
        <v>265</v>
      </c>
      <c r="D64" s="114" t="s">
        <v>45</v>
      </c>
      <c r="E64" s="115">
        <v>16.46</v>
      </c>
      <c r="F64" s="116">
        <v>0.03</v>
      </c>
      <c r="G64" s="116">
        <v>-0.03</v>
      </c>
      <c r="H64" s="117" t="s">
        <v>46</v>
      </c>
      <c r="I64" s="118"/>
      <c r="J64" s="119">
        <f t="shared" si="10"/>
        <v>16.490000000000002</v>
      </c>
      <c r="K64" s="119">
        <f t="shared" si="11"/>
        <v>16.43</v>
      </c>
      <c r="L64" s="142">
        <v>16.485500000000002</v>
      </c>
      <c r="M64" s="142">
        <v>16.4345</v>
      </c>
      <c r="N64" s="142">
        <v>16.482500000000002</v>
      </c>
      <c r="O64" s="142">
        <v>16.4375</v>
      </c>
      <c r="P64" s="120"/>
      <c r="Q64" s="121">
        <f t="shared" si="0"/>
        <v>0</v>
      </c>
      <c r="R64" s="121">
        <f t="shared" si="1"/>
        <v>0</v>
      </c>
      <c r="S64" s="121">
        <f t="shared" si="2"/>
        <v>0</v>
      </c>
      <c r="T64" s="122">
        <f t="shared" si="15"/>
        <v>0</v>
      </c>
      <c r="U64" s="123" t="str">
        <f t="shared" si="4"/>
        <v/>
      </c>
      <c r="V64" s="124" t="str">
        <f>IF(OR($AM64="",ISNUMBER($AM64)=FALSE),"",IF(AND(#REF!="Tolerance",$E64&lt;&gt;""),($S64-$E64)/(($J64-$K64)/2),IF(AND(#REF!="GD&amp;T",$F64&lt;&gt;""),$S64/$F64,"")))</f>
        <v/>
      </c>
      <c r="W64" s="124" t="str">
        <f t="shared" si="12"/>
        <v/>
      </c>
      <c r="X64" s="123" t="str">
        <f t="shared" si="5"/>
        <v/>
      </c>
      <c r="Y64" s="123" t="str">
        <f t="shared" si="6"/>
        <v/>
      </c>
      <c r="Z64" s="123" t="str">
        <f t="shared" si="7"/>
        <v/>
      </c>
      <c r="AA64" s="34" t="str">
        <f t="shared" si="8"/>
        <v/>
      </c>
      <c r="AB64" s="35" t="e">
        <f>IF($S64="","",IF(#REF!="Tolerance",IF((#REF!*3*T64+S64)-E64&lt;F64,"",(#REF!*3*T64+S64)-E64),IF(OR(#REF!="GD&amp;T",#REF!="MAX"),IF((#REF!*3*T64+S64)&lt;F64,"",(#REF!*3*T64+S64)),"")))</f>
        <v>#REF!</v>
      </c>
      <c r="AC64" s="35" t="e">
        <f>IF(S64="","",IF(#REF!="Tolerance",IF(-((#REF!*3*T64)-S64)-E64&gt;G64,"",-((#REF!*3*T64)-S64)-E64),IF(#REF!="MIN",IF(-((#REF!*3*T64)-S64)&gt;G64,"",-((#REF!*3*T64)-S64)),"")))</f>
        <v>#REF!</v>
      </c>
      <c r="AD64" s="35">
        <f t="shared" si="13"/>
        <v>16.46</v>
      </c>
      <c r="AE64" s="35" t="str">
        <f t="shared" si="9"/>
        <v/>
      </c>
      <c r="AF64" s="125"/>
      <c r="AG64" s="126" t="str">
        <f t="shared" si="14"/>
        <v/>
      </c>
      <c r="AH64" s="145" t="str" cm="1">
        <f t="array" ref="AH64">IF(AND(AM64:BR64 &gt;= IF(K64="",0,K64), AM64:BR64 &lt;= IF(J64="",0,J64)), "OK", "NG")</f>
        <v>NG</v>
      </c>
      <c r="AI64" s="127"/>
      <c r="AJ64" s="127"/>
      <c r="AK64" s="128"/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9"/>
      <c r="AX64" s="129"/>
      <c r="AY64" s="129"/>
      <c r="AZ64" s="129"/>
      <c r="BA64" s="129"/>
      <c r="BB64" s="129"/>
      <c r="BC64" s="129"/>
      <c r="BD64" s="129"/>
      <c r="BE64" s="129"/>
      <c r="BF64" s="129"/>
      <c r="BG64" s="129"/>
      <c r="BH64" s="129"/>
      <c r="BI64" s="129"/>
      <c r="BJ64" s="129"/>
      <c r="BK64" s="129"/>
      <c r="BL64" s="129"/>
      <c r="BM64" s="129"/>
      <c r="BN64" s="129"/>
      <c r="BO64" s="129"/>
      <c r="BP64" s="129"/>
      <c r="BQ64" s="129"/>
      <c r="BR64" s="129"/>
    </row>
    <row r="65" spans="2:70" ht="19.2" customHeight="1">
      <c r="B65" s="113" t="s">
        <v>325</v>
      </c>
      <c r="C65" s="65" t="s">
        <v>266</v>
      </c>
      <c r="D65" s="114" t="s">
        <v>45</v>
      </c>
      <c r="E65" s="115">
        <v>16.46</v>
      </c>
      <c r="F65" s="116">
        <v>0.03</v>
      </c>
      <c r="G65" s="116">
        <v>-0.03</v>
      </c>
      <c r="H65" s="117" t="s">
        <v>46</v>
      </c>
      <c r="I65" s="118"/>
      <c r="J65" s="119">
        <f t="shared" si="10"/>
        <v>16.490000000000002</v>
      </c>
      <c r="K65" s="119">
        <f t="shared" si="11"/>
        <v>16.43</v>
      </c>
      <c r="L65" s="142">
        <v>16.485500000000002</v>
      </c>
      <c r="M65" s="142">
        <v>16.4345</v>
      </c>
      <c r="N65" s="142">
        <v>16.482500000000002</v>
      </c>
      <c r="O65" s="142">
        <v>16.4375</v>
      </c>
      <c r="P65" s="120"/>
      <c r="Q65" s="121">
        <f t="shared" si="0"/>
        <v>0</v>
      </c>
      <c r="R65" s="121">
        <f t="shared" si="1"/>
        <v>0</v>
      </c>
      <c r="S65" s="121">
        <f t="shared" si="2"/>
        <v>0</v>
      </c>
      <c r="T65" s="122">
        <f t="shared" si="15"/>
        <v>0</v>
      </c>
      <c r="U65" s="123" t="str">
        <f t="shared" si="4"/>
        <v/>
      </c>
      <c r="V65" s="124" t="str">
        <f>IF(OR($AM65="",ISNUMBER($AM65)=FALSE),"",IF(AND(#REF!="Tolerance",$E65&lt;&gt;""),($S65-$E65)/(($J65-$K65)/2),IF(AND(#REF!="GD&amp;T",$F65&lt;&gt;""),$S65/$F65,"")))</f>
        <v/>
      </c>
      <c r="W65" s="124" t="str">
        <f t="shared" si="12"/>
        <v/>
      </c>
      <c r="X65" s="123" t="str">
        <f t="shared" si="5"/>
        <v/>
      </c>
      <c r="Y65" s="123" t="str">
        <f t="shared" si="6"/>
        <v/>
      </c>
      <c r="Z65" s="123" t="str">
        <f t="shared" si="7"/>
        <v/>
      </c>
      <c r="AA65" s="34" t="str">
        <f t="shared" si="8"/>
        <v/>
      </c>
      <c r="AB65" s="35" t="e">
        <f>IF($S65="","",IF(#REF!="Tolerance",IF((#REF!*3*T65+S65)-E65&lt;F65,"",(#REF!*3*T65+S65)-E65),IF(OR(#REF!="GD&amp;T",#REF!="MAX"),IF((#REF!*3*T65+S65)&lt;F65,"",(#REF!*3*T65+S65)),"")))</f>
        <v>#REF!</v>
      </c>
      <c r="AC65" s="35" t="e">
        <f>IF(S65="","",IF(#REF!="Tolerance",IF(-((#REF!*3*T65)-S65)-E65&gt;G65,"",-((#REF!*3*T65)-S65)-E65),IF(#REF!="MIN",IF(-((#REF!*3*T65)-S65)&gt;G65,"",-((#REF!*3*T65)-S65)),"")))</f>
        <v>#REF!</v>
      </c>
      <c r="AD65" s="35">
        <f t="shared" si="13"/>
        <v>16.46</v>
      </c>
      <c r="AE65" s="35" t="str">
        <f t="shared" si="9"/>
        <v/>
      </c>
      <c r="AF65" s="125"/>
      <c r="AG65" s="126" t="str">
        <f t="shared" si="14"/>
        <v/>
      </c>
      <c r="AH65" s="145" t="str" cm="1">
        <f t="array" ref="AH65">IF(AND(AM65:BR65 &gt;= IF(K65="",0,K65), AM65:BR65 &lt;= IF(J65="",0,J65)), "OK", "NG")</f>
        <v>NG</v>
      </c>
      <c r="AI65" s="127"/>
      <c r="AJ65" s="127"/>
      <c r="AK65" s="128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9"/>
      <c r="AX65" s="129"/>
      <c r="AY65" s="129"/>
      <c r="AZ65" s="129"/>
      <c r="BA65" s="129"/>
      <c r="BB65" s="129"/>
      <c r="BC65" s="129"/>
      <c r="BD65" s="129"/>
      <c r="BE65" s="129"/>
      <c r="BF65" s="129"/>
      <c r="BG65" s="129"/>
      <c r="BH65" s="129"/>
      <c r="BI65" s="129"/>
      <c r="BJ65" s="129"/>
      <c r="BK65" s="129"/>
      <c r="BL65" s="129"/>
      <c r="BM65" s="129"/>
      <c r="BN65" s="129"/>
      <c r="BO65" s="129"/>
      <c r="BP65" s="129"/>
      <c r="BQ65" s="129"/>
      <c r="BR65" s="129"/>
    </row>
    <row r="66" spans="2:70" ht="19.2" customHeight="1">
      <c r="B66" s="113" t="s">
        <v>325</v>
      </c>
      <c r="C66" s="65" t="s">
        <v>316</v>
      </c>
      <c r="D66" s="114" t="s">
        <v>317</v>
      </c>
      <c r="E66" s="115">
        <v>16.46</v>
      </c>
      <c r="F66" s="116">
        <v>0.03</v>
      </c>
      <c r="G66" s="116">
        <v>-0.03</v>
      </c>
      <c r="H66" s="117" t="s">
        <v>46</v>
      </c>
      <c r="I66" s="118"/>
      <c r="J66" s="119">
        <f t="shared" si="10"/>
        <v>16.490000000000002</v>
      </c>
      <c r="K66" s="119">
        <f t="shared" si="11"/>
        <v>16.43</v>
      </c>
      <c r="L66" s="142">
        <v>16.485500000000002</v>
      </c>
      <c r="M66" s="142">
        <v>16.4345</v>
      </c>
      <c r="N66" s="142">
        <v>16.482500000000002</v>
      </c>
      <c r="O66" s="142">
        <v>16.4375</v>
      </c>
      <c r="P66" s="120"/>
      <c r="Q66" s="121">
        <f t="shared" si="0"/>
        <v>0</v>
      </c>
      <c r="R66" s="121">
        <f t="shared" si="1"/>
        <v>0</v>
      </c>
      <c r="S66" s="121">
        <f t="shared" si="2"/>
        <v>0</v>
      </c>
      <c r="T66" s="122">
        <f t="shared" si="15"/>
        <v>0</v>
      </c>
      <c r="U66" s="123" t="str">
        <f t="shared" si="4"/>
        <v/>
      </c>
      <c r="V66" s="124" t="str">
        <f>IF(OR($AM66="",ISNUMBER($AM66)=FALSE),"",IF(AND(#REF!="Tolerance",$E66&lt;&gt;""),($S66-$E66)/(($J66-$K66)/2),IF(AND(#REF!="GD&amp;T",$F66&lt;&gt;""),$S66/$F66,"")))</f>
        <v/>
      </c>
      <c r="W66" s="124" t="str">
        <f t="shared" si="12"/>
        <v/>
      </c>
      <c r="X66" s="123" t="str">
        <f t="shared" si="5"/>
        <v/>
      </c>
      <c r="Y66" s="123" t="str">
        <f t="shared" si="6"/>
        <v/>
      </c>
      <c r="Z66" s="123" t="str">
        <f t="shared" si="7"/>
        <v/>
      </c>
      <c r="AA66" s="34" t="str">
        <f t="shared" si="8"/>
        <v/>
      </c>
      <c r="AB66" s="35" t="e">
        <f>IF($S66="","",IF(#REF!="Tolerance",IF((#REF!*3*T66+S66)-E66&lt;F66,"",(#REF!*3*T66+S66)-E66),IF(OR(#REF!="GD&amp;T",#REF!="MAX"),IF((#REF!*3*T66+S66)&lt;F66,"",(#REF!*3*T66+S66)),"")))</f>
        <v>#REF!</v>
      </c>
      <c r="AC66" s="35" t="e">
        <f>IF(S66="","",IF(#REF!="Tolerance",IF(-((#REF!*3*T66)-S66)-E66&gt;G66,"",-((#REF!*3*T66)-S66)-E66),IF(#REF!="MIN",IF(-((#REF!*3*T66)-S66)&gt;G66,"",-((#REF!*3*T66)-S66)),"")))</f>
        <v>#REF!</v>
      </c>
      <c r="AD66" s="35">
        <f t="shared" si="13"/>
        <v>16.46</v>
      </c>
      <c r="AE66" s="35" t="str">
        <f t="shared" si="9"/>
        <v/>
      </c>
      <c r="AF66" s="125"/>
      <c r="AG66" s="126" t="str">
        <f t="shared" si="14"/>
        <v/>
      </c>
      <c r="AH66" s="145" t="str" cm="1">
        <f t="array" ref="AH66">IF(AND(AM66:BR66 &gt;= IF(K66="",0,K66), AM66:BR66 &lt;= IF(J66="",0,J66)), "OK", "NG")</f>
        <v>NG</v>
      </c>
      <c r="AI66" s="127"/>
      <c r="AJ66" s="127"/>
      <c r="AK66" s="128"/>
      <c r="AM66" s="129"/>
      <c r="AN66" s="129"/>
      <c r="AO66" s="129"/>
      <c r="AP66" s="129"/>
      <c r="AQ66" s="129"/>
      <c r="AR66" s="129"/>
      <c r="AS66" s="129"/>
      <c r="AT66" s="129"/>
      <c r="AU66" s="129"/>
      <c r="AV66" s="129"/>
      <c r="AW66" s="129"/>
      <c r="AX66" s="129"/>
      <c r="AY66" s="129"/>
      <c r="AZ66" s="129"/>
      <c r="BA66" s="129"/>
      <c r="BB66" s="129"/>
      <c r="BC66" s="129"/>
      <c r="BD66" s="129"/>
      <c r="BE66" s="129"/>
      <c r="BF66" s="129"/>
      <c r="BG66" s="129"/>
      <c r="BH66" s="129"/>
      <c r="BI66" s="129"/>
      <c r="BJ66" s="129"/>
      <c r="BK66" s="129"/>
      <c r="BL66" s="129"/>
      <c r="BM66" s="129"/>
      <c r="BN66" s="129"/>
      <c r="BO66" s="129"/>
      <c r="BP66" s="129"/>
      <c r="BQ66" s="129"/>
      <c r="BR66" s="129"/>
    </row>
    <row r="67" spans="2:70" ht="19.2" customHeight="1">
      <c r="B67" s="113" t="s">
        <v>325</v>
      </c>
      <c r="C67" s="65" t="s">
        <v>318</v>
      </c>
      <c r="D67" s="114" t="s">
        <v>45</v>
      </c>
      <c r="E67" s="115">
        <v>16.46</v>
      </c>
      <c r="F67" s="116">
        <v>0.03</v>
      </c>
      <c r="G67" s="116">
        <v>-0.03</v>
      </c>
      <c r="H67" s="117" t="s">
        <v>46</v>
      </c>
      <c r="I67" s="118"/>
      <c r="J67" s="119">
        <f t="shared" si="10"/>
        <v>16.490000000000002</v>
      </c>
      <c r="K67" s="119">
        <f t="shared" si="11"/>
        <v>16.43</v>
      </c>
      <c r="L67" s="142">
        <v>16.485500000000002</v>
      </c>
      <c r="M67" s="142">
        <v>16.4345</v>
      </c>
      <c r="N67" s="142">
        <v>16.482500000000002</v>
      </c>
      <c r="O67" s="142">
        <v>16.4375</v>
      </c>
      <c r="P67" s="120"/>
      <c r="Q67" s="121">
        <f t="shared" si="0"/>
        <v>0</v>
      </c>
      <c r="R67" s="121">
        <f t="shared" si="1"/>
        <v>0</v>
      </c>
      <c r="S67" s="121">
        <f t="shared" si="2"/>
        <v>0</v>
      </c>
      <c r="T67" s="122">
        <f t="shared" si="15"/>
        <v>0</v>
      </c>
      <c r="U67" s="123" t="str">
        <f t="shared" si="4"/>
        <v/>
      </c>
      <c r="V67" s="124" t="str">
        <f>IF(OR($AM67="",ISNUMBER($AM67)=FALSE),"",IF(AND(#REF!="Tolerance",$E67&lt;&gt;""),($S67-$E67)/(($J67-$K67)/2),IF(AND(#REF!="GD&amp;T",$F67&lt;&gt;""),$S67/$F67,"")))</f>
        <v/>
      </c>
      <c r="W67" s="124" t="str">
        <f t="shared" si="12"/>
        <v/>
      </c>
      <c r="X67" s="123" t="str">
        <f t="shared" si="5"/>
        <v/>
      </c>
      <c r="Y67" s="123" t="str">
        <f t="shared" si="6"/>
        <v/>
      </c>
      <c r="Z67" s="123" t="str">
        <f t="shared" si="7"/>
        <v/>
      </c>
      <c r="AA67" s="34" t="str">
        <f t="shared" si="8"/>
        <v/>
      </c>
      <c r="AB67" s="35" t="e">
        <f>IF($S67="","",IF(#REF!="Tolerance",IF((#REF!*3*T67+S67)-E67&lt;F67,"",(#REF!*3*T67+S67)-E67),IF(OR(#REF!="GD&amp;T",#REF!="MAX"),IF((#REF!*3*T67+S67)&lt;F67,"",(#REF!*3*T67+S67)),"")))</f>
        <v>#REF!</v>
      </c>
      <c r="AC67" s="35" t="e">
        <f>IF(S67="","",IF(#REF!="Tolerance",IF(-((#REF!*3*T67)-S67)-E67&gt;G67,"",-((#REF!*3*T67)-S67)-E67),IF(#REF!="MIN",IF(-((#REF!*3*T67)-S67)&gt;G67,"",-((#REF!*3*T67)-S67)),"")))</f>
        <v>#REF!</v>
      </c>
      <c r="AD67" s="35">
        <f t="shared" si="13"/>
        <v>16.46</v>
      </c>
      <c r="AE67" s="35" t="str">
        <f t="shared" si="9"/>
        <v/>
      </c>
      <c r="AF67" s="125"/>
      <c r="AG67" s="126" t="str">
        <f t="shared" si="14"/>
        <v/>
      </c>
      <c r="AH67" s="145" t="str" cm="1">
        <f t="array" ref="AH67">IF(AND(AM67:BR67 &gt;= IF(K67="",0,K67), AM67:BR67 &lt;= IF(J67="",0,J67)), "OK", "NG")</f>
        <v>NG</v>
      </c>
      <c r="AI67" s="127"/>
      <c r="AJ67" s="127"/>
      <c r="AK67" s="128"/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9"/>
      <c r="AX67" s="129"/>
      <c r="AY67" s="129"/>
      <c r="AZ67" s="129"/>
      <c r="BA67" s="129"/>
      <c r="BB67" s="129"/>
      <c r="BC67" s="129"/>
      <c r="BD67" s="129"/>
      <c r="BE67" s="129"/>
      <c r="BF67" s="129"/>
      <c r="BG67" s="129"/>
      <c r="BH67" s="129"/>
      <c r="BI67" s="129"/>
      <c r="BJ67" s="129"/>
      <c r="BK67" s="129"/>
      <c r="BL67" s="129"/>
      <c r="BM67" s="129"/>
      <c r="BN67" s="129"/>
      <c r="BO67" s="129"/>
      <c r="BP67" s="129"/>
      <c r="BQ67" s="129"/>
      <c r="BR67" s="129"/>
    </row>
    <row r="68" spans="2:70" ht="19.2" customHeight="1">
      <c r="B68" s="113" t="s">
        <v>325</v>
      </c>
      <c r="C68" s="65" t="s">
        <v>319</v>
      </c>
      <c r="D68" s="114" t="s">
        <v>45</v>
      </c>
      <c r="E68" s="115">
        <v>16.46</v>
      </c>
      <c r="F68" s="116">
        <v>0.03</v>
      </c>
      <c r="G68" s="116">
        <v>-0.03</v>
      </c>
      <c r="H68" s="117" t="s">
        <v>46</v>
      </c>
      <c r="I68" s="118"/>
      <c r="J68" s="119">
        <f t="shared" si="10"/>
        <v>16.490000000000002</v>
      </c>
      <c r="K68" s="119">
        <f t="shared" si="11"/>
        <v>16.43</v>
      </c>
      <c r="L68" s="142">
        <v>16.485500000000002</v>
      </c>
      <c r="M68" s="142">
        <v>16.4345</v>
      </c>
      <c r="N68" s="142">
        <v>16.482500000000002</v>
      </c>
      <c r="O68" s="142">
        <v>16.4375</v>
      </c>
      <c r="P68" s="120"/>
      <c r="Q68" s="121">
        <f t="shared" si="0"/>
        <v>0</v>
      </c>
      <c r="R68" s="121">
        <f t="shared" si="1"/>
        <v>0</v>
      </c>
      <c r="S68" s="121">
        <f t="shared" si="2"/>
        <v>0</v>
      </c>
      <c r="T68" s="122">
        <f t="shared" si="15"/>
        <v>0</v>
      </c>
      <c r="U68" s="123" t="str">
        <f t="shared" si="4"/>
        <v/>
      </c>
      <c r="V68" s="124" t="str">
        <f>IF(OR($AM68="",ISNUMBER($AM68)=FALSE),"",IF(AND(#REF!="Tolerance",$E68&lt;&gt;""),($S68-$E68)/(($J68-$K68)/2),IF(AND(#REF!="GD&amp;T",$F68&lt;&gt;""),$S68/$F68,"")))</f>
        <v/>
      </c>
      <c r="W68" s="124" t="str">
        <f t="shared" si="12"/>
        <v/>
      </c>
      <c r="X68" s="123" t="str">
        <f t="shared" si="5"/>
        <v/>
      </c>
      <c r="Y68" s="123" t="str">
        <f t="shared" si="6"/>
        <v/>
      </c>
      <c r="Z68" s="123" t="str">
        <f t="shared" si="7"/>
        <v/>
      </c>
      <c r="AA68" s="34" t="str">
        <f t="shared" si="8"/>
        <v/>
      </c>
      <c r="AB68" s="35" t="e">
        <f>IF($S68="","",IF(#REF!="Tolerance",IF((#REF!*3*T68+S68)-E68&lt;F68,"",(#REF!*3*T68+S68)-E68),IF(OR(#REF!="GD&amp;T",#REF!="MAX"),IF((#REF!*3*T68+S68)&lt;F68,"",(#REF!*3*T68+S68)),"")))</f>
        <v>#REF!</v>
      </c>
      <c r="AC68" s="35" t="e">
        <f>IF(S68="","",IF(#REF!="Tolerance",IF(-((#REF!*3*T68)-S68)-E68&gt;G68,"",-((#REF!*3*T68)-S68)-E68),IF(#REF!="MIN",IF(-((#REF!*3*T68)-S68)&gt;G68,"",-((#REF!*3*T68)-S68)),"")))</f>
        <v>#REF!</v>
      </c>
      <c r="AD68" s="35">
        <f t="shared" si="13"/>
        <v>16.46</v>
      </c>
      <c r="AE68" s="35" t="str">
        <f t="shared" si="9"/>
        <v/>
      </c>
      <c r="AF68" s="125"/>
      <c r="AG68" s="126" t="str">
        <f t="shared" si="14"/>
        <v/>
      </c>
      <c r="AH68" s="145" t="str" cm="1">
        <f t="array" ref="AH68">IF(AND(AM68:BR68 &gt;= IF(K68="",0,K68), AM68:BR68 &lt;= IF(J68="",0,J68)), "OK", "NG")</f>
        <v>NG</v>
      </c>
      <c r="AI68" s="127"/>
      <c r="AJ68" s="127"/>
      <c r="AK68" s="128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9"/>
      <c r="AX68" s="129"/>
      <c r="AY68" s="129"/>
      <c r="AZ68" s="129"/>
      <c r="BA68" s="129"/>
      <c r="BB68" s="129"/>
      <c r="BC68" s="129"/>
      <c r="BD68" s="129"/>
      <c r="BE68" s="129"/>
      <c r="BF68" s="129"/>
      <c r="BG68" s="129"/>
      <c r="BH68" s="129"/>
      <c r="BI68" s="129"/>
      <c r="BJ68" s="129"/>
      <c r="BK68" s="129"/>
      <c r="BL68" s="129"/>
      <c r="BM68" s="129"/>
      <c r="BN68" s="129"/>
      <c r="BO68" s="129"/>
      <c r="BP68" s="129"/>
      <c r="BQ68" s="129"/>
      <c r="BR68" s="129"/>
    </row>
    <row r="69" spans="2:70" ht="19.2" customHeight="1">
      <c r="B69" s="113" t="s">
        <v>325</v>
      </c>
      <c r="C69" s="65" t="s">
        <v>320</v>
      </c>
      <c r="D69" s="114" t="s">
        <v>317</v>
      </c>
      <c r="E69" s="115">
        <v>16.46</v>
      </c>
      <c r="F69" s="116">
        <v>0.03</v>
      </c>
      <c r="G69" s="116">
        <v>-0.03</v>
      </c>
      <c r="H69" s="117" t="s">
        <v>46</v>
      </c>
      <c r="I69" s="118"/>
      <c r="J69" s="119">
        <f t="shared" si="10"/>
        <v>16.490000000000002</v>
      </c>
      <c r="K69" s="119">
        <f t="shared" si="11"/>
        <v>16.43</v>
      </c>
      <c r="L69" s="142">
        <v>16.485500000000002</v>
      </c>
      <c r="M69" s="142">
        <v>16.4345</v>
      </c>
      <c r="N69" s="142">
        <v>16.482500000000002</v>
      </c>
      <c r="O69" s="142">
        <v>16.4375</v>
      </c>
      <c r="P69" s="120"/>
      <c r="Q69" s="121">
        <f t="shared" si="0"/>
        <v>0</v>
      </c>
      <c r="R69" s="121">
        <f t="shared" si="1"/>
        <v>0</v>
      </c>
      <c r="S69" s="121">
        <f t="shared" si="2"/>
        <v>0</v>
      </c>
      <c r="T69" s="122">
        <f t="shared" si="15"/>
        <v>0</v>
      </c>
      <c r="U69" s="123" t="str">
        <f t="shared" si="4"/>
        <v/>
      </c>
      <c r="V69" s="124" t="str">
        <f>IF(OR($AM69="",ISNUMBER($AM69)=FALSE),"",IF(AND(#REF!="Tolerance",$E69&lt;&gt;""),($S69-$E69)/(($J69-$K69)/2),IF(AND(#REF!="GD&amp;T",$F69&lt;&gt;""),$S69/$F69,"")))</f>
        <v/>
      </c>
      <c r="W69" s="124" t="str">
        <f t="shared" si="12"/>
        <v/>
      </c>
      <c r="X69" s="123" t="str">
        <f t="shared" si="5"/>
        <v/>
      </c>
      <c r="Y69" s="123" t="str">
        <f t="shared" si="6"/>
        <v/>
      </c>
      <c r="Z69" s="123" t="str">
        <f t="shared" si="7"/>
        <v/>
      </c>
      <c r="AA69" s="34" t="str">
        <f t="shared" si="8"/>
        <v/>
      </c>
      <c r="AB69" s="35" t="e">
        <f>IF($S69="","",IF(#REF!="Tolerance",IF((#REF!*3*T69+S69)-E69&lt;F69,"",(#REF!*3*T69+S69)-E69),IF(OR(#REF!="GD&amp;T",#REF!="MAX"),IF((#REF!*3*T69+S69)&lt;F69,"",(#REF!*3*T69+S69)),"")))</f>
        <v>#REF!</v>
      </c>
      <c r="AC69" s="35" t="e">
        <f>IF(S69="","",IF(#REF!="Tolerance",IF(-((#REF!*3*T69)-S69)-E69&gt;G69,"",-((#REF!*3*T69)-S69)-E69),IF(#REF!="MIN",IF(-((#REF!*3*T69)-S69)&gt;G69,"",-((#REF!*3*T69)-S69)),"")))</f>
        <v>#REF!</v>
      </c>
      <c r="AD69" s="35">
        <f t="shared" si="13"/>
        <v>16.46</v>
      </c>
      <c r="AE69" s="35" t="str">
        <f t="shared" si="9"/>
        <v/>
      </c>
      <c r="AF69" s="125"/>
      <c r="AG69" s="126" t="str">
        <f t="shared" si="14"/>
        <v/>
      </c>
      <c r="AH69" s="145" t="str" cm="1">
        <f t="array" ref="AH69">IF(AND(AM69:BR69 &gt;= IF(K69="",0,K69), AM69:BR69 &lt;= IF(J69="",0,J69)), "OK", "NG")</f>
        <v>NG</v>
      </c>
      <c r="AI69" s="127"/>
      <c r="AJ69" s="127"/>
      <c r="AK69" s="128"/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9"/>
      <c r="AX69" s="129"/>
      <c r="AY69" s="129"/>
      <c r="AZ69" s="129"/>
      <c r="BA69" s="129"/>
      <c r="BB69" s="129"/>
      <c r="BC69" s="129"/>
      <c r="BD69" s="129"/>
      <c r="BE69" s="129"/>
      <c r="BF69" s="129"/>
      <c r="BG69" s="129"/>
      <c r="BH69" s="129"/>
      <c r="BI69" s="129"/>
      <c r="BJ69" s="129"/>
      <c r="BK69" s="129"/>
      <c r="BL69" s="129"/>
      <c r="BM69" s="129"/>
      <c r="BN69" s="129"/>
      <c r="BO69" s="129"/>
      <c r="BP69" s="129"/>
      <c r="BQ69" s="129"/>
      <c r="BR69" s="129"/>
    </row>
    <row r="70" spans="2:70" ht="19.2" customHeight="1">
      <c r="B70" s="113" t="s">
        <v>326</v>
      </c>
      <c r="C70" s="65" t="s">
        <v>267</v>
      </c>
      <c r="D70" s="114" t="s">
        <v>45</v>
      </c>
      <c r="E70" s="115">
        <v>0.36199999999999999</v>
      </c>
      <c r="F70" s="116">
        <v>0.03</v>
      </c>
      <c r="G70" s="116">
        <v>-0.03</v>
      </c>
      <c r="H70" s="117" t="s">
        <v>46</v>
      </c>
      <c r="I70" s="118"/>
      <c r="J70" s="119">
        <f t="shared" si="10"/>
        <v>0.39200000000000002</v>
      </c>
      <c r="K70" s="119">
        <f t="shared" si="11"/>
        <v>0.33199999999999996</v>
      </c>
      <c r="L70" s="142">
        <v>0.38750000000000001</v>
      </c>
      <c r="M70" s="142">
        <v>0.33649999999999997</v>
      </c>
      <c r="N70" s="142">
        <v>0.38450000000000001</v>
      </c>
      <c r="O70" s="142">
        <v>0.33949999999999997</v>
      </c>
      <c r="P70" s="120"/>
      <c r="Q70" s="121">
        <f t="shared" si="0"/>
        <v>0</v>
      </c>
      <c r="R70" s="121">
        <f t="shared" si="1"/>
        <v>0</v>
      </c>
      <c r="S70" s="121">
        <f t="shared" si="2"/>
        <v>0</v>
      </c>
      <c r="T70" s="122">
        <f t="shared" si="15"/>
        <v>0</v>
      </c>
      <c r="U70" s="123" t="str">
        <f t="shared" si="4"/>
        <v/>
      </c>
      <c r="V70" s="124" t="str">
        <f>IF(OR($AM70="",ISNUMBER($AM70)=FALSE),"",IF(AND(#REF!="Tolerance",$E70&lt;&gt;""),($S70-$E70)/(($J70-$K70)/2),IF(AND(#REF!="GD&amp;T",$F70&lt;&gt;""),$S70/$F70,"")))</f>
        <v/>
      </c>
      <c r="W70" s="124" t="str">
        <f t="shared" si="12"/>
        <v/>
      </c>
      <c r="X70" s="123" t="str">
        <f t="shared" si="5"/>
        <v/>
      </c>
      <c r="Y70" s="123" t="str">
        <f t="shared" si="6"/>
        <v/>
      </c>
      <c r="Z70" s="123" t="str">
        <f t="shared" si="7"/>
        <v/>
      </c>
      <c r="AA70" s="34" t="str">
        <f t="shared" si="8"/>
        <v/>
      </c>
      <c r="AB70" s="35" t="e">
        <f>IF($S70="","",IF(#REF!="Tolerance",IF((#REF!*3*T70+S70)-E70&lt;F70,"",(#REF!*3*T70+S70)-E70),IF(OR(#REF!="GD&amp;T",#REF!="MAX"),IF((#REF!*3*T70+S70)&lt;F70,"",(#REF!*3*T70+S70)),"")))</f>
        <v>#REF!</v>
      </c>
      <c r="AC70" s="35" t="e">
        <f>IF(S70="","",IF(#REF!="Tolerance",IF(-((#REF!*3*T70)-S70)-E70&gt;G70,"",-((#REF!*3*T70)-S70)-E70),IF(#REF!="MIN",IF(-((#REF!*3*T70)-S70)&gt;G70,"",-((#REF!*3*T70)-S70)),"")))</f>
        <v>#REF!</v>
      </c>
      <c r="AD70" s="35">
        <f t="shared" si="13"/>
        <v>0.36199999999999999</v>
      </c>
      <c r="AE70" s="35" t="str">
        <f t="shared" si="9"/>
        <v/>
      </c>
      <c r="AF70" s="125"/>
      <c r="AG70" s="126" t="str">
        <f t="shared" si="14"/>
        <v/>
      </c>
      <c r="AH70" s="145" t="str" cm="1">
        <f t="array" ref="AH70">IF(AND(AM70:BR70 &gt;= IF(K70="",0,K70), AM70:BR70 &lt;= IF(J70="",0,J70)), "OK", "NG")</f>
        <v>NG</v>
      </c>
      <c r="AI70" s="127"/>
      <c r="AJ70" s="127"/>
      <c r="AK70" s="128"/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9"/>
      <c r="AX70" s="129"/>
      <c r="AY70" s="129"/>
      <c r="AZ70" s="129"/>
      <c r="BA70" s="129"/>
      <c r="BB70" s="129"/>
      <c r="BC70" s="129"/>
      <c r="BD70" s="129"/>
      <c r="BE70" s="129"/>
      <c r="BF70" s="129"/>
      <c r="BG70" s="129"/>
      <c r="BH70" s="129"/>
      <c r="BI70" s="129"/>
      <c r="BJ70" s="129"/>
      <c r="BK70" s="129"/>
      <c r="BL70" s="129"/>
      <c r="BM70" s="129"/>
      <c r="BN70" s="129"/>
      <c r="BO70" s="129"/>
      <c r="BP70" s="129"/>
      <c r="BQ70" s="129"/>
      <c r="BR70" s="129"/>
    </row>
    <row r="71" spans="2:70" ht="19.2" customHeight="1">
      <c r="B71" s="113" t="s">
        <v>326</v>
      </c>
      <c r="C71" s="65" t="s">
        <v>268</v>
      </c>
      <c r="D71" s="114" t="s">
        <v>45</v>
      </c>
      <c r="E71" s="115">
        <v>0.36199999999999999</v>
      </c>
      <c r="F71" s="116">
        <v>0.03</v>
      </c>
      <c r="G71" s="116">
        <v>-0.03</v>
      </c>
      <c r="H71" s="117" t="s">
        <v>46</v>
      </c>
      <c r="I71" s="118"/>
      <c r="J71" s="119">
        <f t="shared" ref="J71:J94" si="16">E71+F71</f>
        <v>0.39200000000000002</v>
      </c>
      <c r="K71" s="119">
        <f t="shared" ref="K71:K94" si="17">E71+G71</f>
        <v>0.33199999999999996</v>
      </c>
      <c r="L71" s="142">
        <v>0.38750000000000001</v>
      </c>
      <c r="M71" s="142">
        <v>0.33649999999999997</v>
      </c>
      <c r="N71" s="142">
        <v>0.38450000000000001</v>
      </c>
      <c r="O71" s="142">
        <v>0.33949999999999997</v>
      </c>
      <c r="P71" s="120"/>
      <c r="Q71" s="121">
        <f t="shared" si="0"/>
        <v>0</v>
      </c>
      <c r="R71" s="121">
        <f t="shared" si="1"/>
        <v>0</v>
      </c>
      <c r="S71" s="121">
        <f t="shared" si="2"/>
        <v>0</v>
      </c>
      <c r="T71" s="122">
        <f t="shared" si="15"/>
        <v>0</v>
      </c>
      <c r="U71" s="123" t="str">
        <f t="shared" si="4"/>
        <v/>
      </c>
      <c r="V71" s="124" t="str">
        <f>IF(OR($AM71="",ISNUMBER($AM71)=FALSE),"",IF(AND(#REF!="Tolerance",$E71&lt;&gt;""),($S71-$E71)/(($J71-$K71)/2),IF(AND(#REF!="GD&amp;T",$F71&lt;&gt;""),$S71/$F71,"")))</f>
        <v/>
      </c>
      <c r="W71" s="124" t="str">
        <f t="shared" si="12"/>
        <v/>
      </c>
      <c r="X71" s="123" t="str">
        <f t="shared" si="5"/>
        <v/>
      </c>
      <c r="Y71" s="123" t="str">
        <f t="shared" si="6"/>
        <v/>
      </c>
      <c r="Z71" s="123" t="str">
        <f t="shared" si="7"/>
        <v/>
      </c>
      <c r="AA71" s="34" t="str">
        <f t="shared" si="8"/>
        <v/>
      </c>
      <c r="AB71" s="35" t="e">
        <f>IF($S71="","",IF(#REF!="Tolerance",IF((#REF!*3*T71+S71)-E71&lt;F71,"",(#REF!*3*T71+S71)-E71),IF(OR(#REF!="GD&amp;T",#REF!="MAX"),IF((#REF!*3*T71+S71)&lt;F71,"",(#REF!*3*T71+S71)),"")))</f>
        <v>#REF!</v>
      </c>
      <c r="AC71" s="35" t="e">
        <f>IF(S71="","",IF(#REF!="Tolerance",IF(-((#REF!*3*T71)-S71)-E71&gt;G71,"",-((#REF!*3*T71)-S71)-E71),IF(#REF!="MIN",IF(-((#REF!*3*T71)-S71)&gt;G71,"",-((#REF!*3*T71)-S71)),"")))</f>
        <v>#REF!</v>
      </c>
      <c r="AD71" s="35">
        <f t="shared" si="13"/>
        <v>0.36199999999999999</v>
      </c>
      <c r="AE71" s="35" t="str">
        <f t="shared" si="9"/>
        <v/>
      </c>
      <c r="AF71" s="125"/>
      <c r="AG71" s="126" t="str">
        <f t="shared" si="14"/>
        <v/>
      </c>
      <c r="AH71" s="145" t="str" cm="1">
        <f t="array" ref="AH71">IF(AND(AM71:BR71 &gt;= IF(K71="",0,K71), AM71:BR71 &lt;= IF(J71="",0,J71)), "OK", "NG")</f>
        <v>NG</v>
      </c>
      <c r="AI71" s="127"/>
      <c r="AJ71" s="127"/>
      <c r="AK71" s="128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9"/>
      <c r="AX71" s="129"/>
      <c r="AY71" s="129"/>
      <c r="AZ71" s="129"/>
      <c r="BA71" s="129"/>
      <c r="BB71" s="129"/>
      <c r="BC71" s="129"/>
      <c r="BD71" s="129"/>
      <c r="BE71" s="129"/>
      <c r="BF71" s="129"/>
      <c r="BG71" s="129"/>
      <c r="BH71" s="129"/>
      <c r="BI71" s="129"/>
      <c r="BJ71" s="129"/>
      <c r="BK71" s="129"/>
      <c r="BL71" s="129"/>
      <c r="BM71" s="129"/>
      <c r="BN71" s="129"/>
      <c r="BO71" s="129"/>
      <c r="BP71" s="129"/>
      <c r="BQ71" s="129"/>
      <c r="BR71" s="129"/>
    </row>
    <row r="72" spans="2:70" ht="19.2" customHeight="1">
      <c r="B72" s="130" t="s">
        <v>326</v>
      </c>
      <c r="C72" s="65" t="s">
        <v>321</v>
      </c>
      <c r="D72" s="114" t="s">
        <v>317</v>
      </c>
      <c r="E72" s="115">
        <v>0.36199999999999999</v>
      </c>
      <c r="F72" s="116">
        <v>0.03</v>
      </c>
      <c r="G72" s="116">
        <v>-0.03</v>
      </c>
      <c r="H72" s="117" t="s">
        <v>46</v>
      </c>
      <c r="I72" s="118"/>
      <c r="J72" s="119">
        <f t="shared" si="16"/>
        <v>0.39200000000000002</v>
      </c>
      <c r="K72" s="119">
        <f t="shared" si="17"/>
        <v>0.33199999999999996</v>
      </c>
      <c r="L72" s="142">
        <v>0.38750000000000001</v>
      </c>
      <c r="M72" s="142">
        <v>0.33649999999999997</v>
      </c>
      <c r="N72" s="142">
        <v>0.38450000000000001</v>
      </c>
      <c r="O72" s="142">
        <v>0.33949999999999997</v>
      </c>
      <c r="P72" s="120"/>
      <c r="Q72" s="121">
        <f t="shared" si="0"/>
        <v>0</v>
      </c>
      <c r="R72" s="121">
        <f t="shared" si="1"/>
        <v>0</v>
      </c>
      <c r="S72" s="121">
        <f t="shared" si="2"/>
        <v>0</v>
      </c>
      <c r="T72" s="122">
        <f t="shared" si="15"/>
        <v>0</v>
      </c>
      <c r="U72" s="123" t="str">
        <f t="shared" si="4"/>
        <v/>
      </c>
      <c r="V72" s="124" t="str">
        <f>IF(OR($AM72="",ISNUMBER($AM72)=FALSE),"",IF(AND(#REF!="Tolerance",$E72&lt;&gt;""),($S72-$E72)/(($J72-$K72)/2),IF(AND(#REF!="GD&amp;T",$F72&lt;&gt;""),$S72/$F72,"")))</f>
        <v/>
      </c>
      <c r="W72" s="124" t="str">
        <f t="shared" si="12"/>
        <v/>
      </c>
      <c r="X72" s="123" t="str">
        <f t="shared" si="5"/>
        <v/>
      </c>
      <c r="Y72" s="123" t="str">
        <f t="shared" si="6"/>
        <v/>
      </c>
      <c r="Z72" s="123" t="str">
        <f t="shared" si="7"/>
        <v/>
      </c>
      <c r="AA72" s="34" t="str">
        <f t="shared" si="8"/>
        <v/>
      </c>
      <c r="AB72" s="35" t="e">
        <f>IF($S72="","",IF(#REF!="Tolerance",IF((#REF!*3*T72+S72)-E72&lt;F72,"",(#REF!*3*T72+S72)-E72),IF(OR(#REF!="GD&amp;T",#REF!="MAX"),IF((#REF!*3*T72+S72)&lt;F72,"",(#REF!*3*T72+S72)),"")))</f>
        <v>#REF!</v>
      </c>
      <c r="AC72" s="35" t="e">
        <f>IF(S72="","",IF(#REF!="Tolerance",IF(-((#REF!*3*T72)-S72)-E72&gt;G72,"",-((#REF!*3*T72)-S72)-E72),IF(#REF!="MIN",IF(-((#REF!*3*T72)-S72)&gt;G72,"",-((#REF!*3*T72)-S72)),"")))</f>
        <v>#REF!</v>
      </c>
      <c r="AD72" s="35">
        <f t="shared" si="13"/>
        <v>0.36199999999999999</v>
      </c>
      <c r="AE72" s="35" t="str">
        <f t="shared" si="9"/>
        <v/>
      </c>
      <c r="AF72" s="125"/>
      <c r="AG72" s="126" t="str">
        <f t="shared" si="14"/>
        <v/>
      </c>
      <c r="AH72" s="145" t="str" cm="1">
        <f t="array" ref="AH72">IF(AND(AM72:BR72 &gt;= IF(K72="",0,K72), AM72:BR72 &lt;= IF(J72="",0,J72)), "OK", "NG")</f>
        <v>NG</v>
      </c>
      <c r="AI72" s="127"/>
      <c r="AJ72" s="127"/>
      <c r="AK72" s="128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AZ72" s="129"/>
      <c r="BA72" s="129"/>
      <c r="BB72" s="129"/>
      <c r="BC72" s="129"/>
      <c r="BD72" s="129"/>
      <c r="BE72" s="129"/>
      <c r="BF72" s="129"/>
      <c r="BG72" s="129"/>
      <c r="BH72" s="129"/>
      <c r="BI72" s="129"/>
      <c r="BJ72" s="129"/>
      <c r="BK72" s="129"/>
      <c r="BL72" s="129"/>
      <c r="BM72" s="129"/>
      <c r="BN72" s="129"/>
      <c r="BO72" s="129"/>
      <c r="BP72" s="129"/>
      <c r="BQ72" s="129"/>
      <c r="BR72" s="129"/>
    </row>
    <row r="73" spans="2:70" ht="19.2" customHeight="1">
      <c r="B73" s="130" t="s">
        <v>326</v>
      </c>
      <c r="C73" s="65" t="s">
        <v>322</v>
      </c>
      <c r="D73" s="114" t="s">
        <v>45</v>
      </c>
      <c r="E73" s="115">
        <v>0.36199999999999999</v>
      </c>
      <c r="F73" s="116">
        <v>0.03</v>
      </c>
      <c r="G73" s="116">
        <v>-0.03</v>
      </c>
      <c r="H73" s="117" t="s">
        <v>46</v>
      </c>
      <c r="I73" s="118"/>
      <c r="J73" s="119">
        <f t="shared" si="16"/>
        <v>0.39200000000000002</v>
      </c>
      <c r="K73" s="119">
        <f t="shared" si="17"/>
        <v>0.33199999999999996</v>
      </c>
      <c r="L73" s="142">
        <v>0.38750000000000001</v>
      </c>
      <c r="M73" s="142">
        <v>0.33649999999999997</v>
      </c>
      <c r="N73" s="142">
        <v>0.38450000000000001</v>
      </c>
      <c r="O73" s="142">
        <v>0.33949999999999997</v>
      </c>
      <c r="P73" s="120"/>
      <c r="Q73" s="121">
        <f t="shared" si="0"/>
        <v>0</v>
      </c>
      <c r="R73" s="121">
        <f t="shared" si="1"/>
        <v>0</v>
      </c>
      <c r="S73" s="121">
        <f t="shared" si="2"/>
        <v>0</v>
      </c>
      <c r="T73" s="122">
        <f t="shared" si="15"/>
        <v>0</v>
      </c>
      <c r="U73" s="123" t="str">
        <f t="shared" si="4"/>
        <v/>
      </c>
      <c r="V73" s="124" t="str">
        <f>IF(OR($AM73="",ISNUMBER($AM73)=FALSE),"",IF(AND(#REF!="Tolerance",$E73&lt;&gt;""),($S73-$E73)/(($J73-$K73)/2),IF(AND(#REF!="GD&amp;T",$F73&lt;&gt;""),$S73/$F73,"")))</f>
        <v/>
      </c>
      <c r="W73" s="124" t="str">
        <f t="shared" si="12"/>
        <v/>
      </c>
      <c r="X73" s="123" t="str">
        <f t="shared" si="5"/>
        <v/>
      </c>
      <c r="Y73" s="123" t="str">
        <f t="shared" si="6"/>
        <v/>
      </c>
      <c r="Z73" s="123" t="str">
        <f t="shared" si="7"/>
        <v/>
      </c>
      <c r="AA73" s="34" t="str">
        <f t="shared" si="8"/>
        <v/>
      </c>
      <c r="AB73" s="35" t="e">
        <f>IF($S73="","",IF(#REF!="Tolerance",IF((#REF!*3*T73+S73)-E73&lt;F73,"",(#REF!*3*T73+S73)-E73),IF(OR(#REF!="GD&amp;T",#REF!="MAX"),IF((#REF!*3*T73+S73)&lt;F73,"",(#REF!*3*T73+S73)),"")))</f>
        <v>#REF!</v>
      </c>
      <c r="AC73" s="35" t="e">
        <f>IF(S73="","",IF(#REF!="Tolerance",IF(-((#REF!*3*T73)-S73)-E73&gt;G73,"",-((#REF!*3*T73)-S73)-E73),IF(#REF!="MIN",IF(-((#REF!*3*T73)-S73)&gt;G73,"",-((#REF!*3*T73)-S73)),"")))</f>
        <v>#REF!</v>
      </c>
      <c r="AD73" s="35">
        <f t="shared" si="13"/>
        <v>0.36199999999999999</v>
      </c>
      <c r="AE73" s="35" t="str">
        <f t="shared" si="9"/>
        <v/>
      </c>
      <c r="AF73" s="125"/>
      <c r="AG73" s="126" t="str">
        <f t="shared" si="14"/>
        <v/>
      </c>
      <c r="AH73" s="145" t="str" cm="1">
        <f t="array" ref="AH73">IF(AND(AM73:BR73 &gt;= IF(K73="",0,K73), AM73:BR73 &lt;= IF(J73="",0,J73)), "OK", "NG")</f>
        <v>NG</v>
      </c>
      <c r="AI73" s="127"/>
      <c r="AJ73" s="127"/>
      <c r="AK73" s="128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9"/>
      <c r="AX73" s="129"/>
      <c r="AY73" s="129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</row>
    <row r="74" spans="2:70" ht="19.2" customHeight="1">
      <c r="B74" s="130" t="s">
        <v>326</v>
      </c>
      <c r="C74" s="65" t="s">
        <v>323</v>
      </c>
      <c r="D74" s="114" t="s">
        <v>45</v>
      </c>
      <c r="E74" s="115">
        <v>0.36199999999999999</v>
      </c>
      <c r="F74" s="116">
        <v>0.03</v>
      </c>
      <c r="G74" s="116">
        <v>-0.03</v>
      </c>
      <c r="H74" s="117" t="s">
        <v>46</v>
      </c>
      <c r="I74" s="118"/>
      <c r="J74" s="119">
        <f t="shared" si="16"/>
        <v>0.39200000000000002</v>
      </c>
      <c r="K74" s="119">
        <f t="shared" si="17"/>
        <v>0.33199999999999996</v>
      </c>
      <c r="L74" s="142">
        <v>0.38750000000000001</v>
      </c>
      <c r="M74" s="142">
        <v>0.33649999999999997</v>
      </c>
      <c r="N74" s="142">
        <v>0.38450000000000001</v>
      </c>
      <c r="O74" s="142">
        <v>0.33949999999999997</v>
      </c>
      <c r="P74" s="120"/>
      <c r="Q74" s="121">
        <f t="shared" ref="Q74:Q94" si="18">IF(OR($AM74=ISBLANK(TRUE),ISNUMBER($AM74)=FALSE),,MAX(AM74:BR74))</f>
        <v>0</v>
      </c>
      <c r="R74" s="121">
        <f t="shared" ref="R74:R94" si="19">IF(OR($AM74=ISBLANK(TRUE),ISNUMBER($AM74)=FALSE),,MIN(AM74:BR74))</f>
        <v>0</v>
      </c>
      <c r="S74" s="121">
        <f t="shared" ref="S74:S94" si="20">IF(OR($AM74=ISBLANK(TRUE),ISNUMBER($AM74)=FALSE),,AVERAGE(AM74:BR74))</f>
        <v>0</v>
      </c>
      <c r="T74" s="122">
        <f t="shared" si="15"/>
        <v>0</v>
      </c>
      <c r="U74" s="123" t="str">
        <f t="shared" ref="U74:U94" si="21">IF(OR($AM74="",ISNUMBER($AM74)=FALSE),"",IF(AND(E74=0,G74=0),X74,IF(AND(E74="",F74=""),Y74,(F74+ABS(G74))/(6*T74))))</f>
        <v/>
      </c>
      <c r="V74" s="124" t="str">
        <f>IF(OR($AM74="",ISNUMBER($AM74)=FALSE),"",IF(AND(#REF!="Tolerance",$E74&lt;&gt;""),($S74-$E74)/(($J74-$K74)/2),IF(AND(#REF!="GD&amp;T",$F74&lt;&gt;""),$S74/$F74,"")))</f>
        <v/>
      </c>
      <c r="W74" s="124" t="str">
        <f t="shared" si="12"/>
        <v/>
      </c>
      <c r="X74" s="123" t="str">
        <f t="shared" ref="X74:X94" si="22">IF(OR($AM74="",ISNUMBER($AM74)=FALSE),"",IF(F74="","",(J74-S74)/(3*T74)))</f>
        <v/>
      </c>
      <c r="Y74" s="123" t="str">
        <f t="shared" ref="Y74:Y94" si="23">IF(OR($AM74="",ISNUMBER($AM74)=FALSE),"",IF(G74="","",(S74-K74)/(3*T74)))</f>
        <v/>
      </c>
      <c r="Z74" s="123" t="str">
        <f t="shared" ref="Z74:Z94" si="24">IF(OR($AM74="",ISNUMBER($AM74)=FALSE),"",IF(AND(E74=0,G74=0),((F74)-(S74))/(3*T74),MIN(X74:Y74)))</f>
        <v/>
      </c>
      <c r="AA74" s="34" t="str">
        <f t="shared" ref="AA74:AA94" si="25">IF(OR($AM74="",ISNUMBER($AM74)=FALSE),"",IF(AND(E74=0,G74=0),NORMSDIST(3*Z74),NORMSDIST(3*Z74)+NORMSDIST(6*U74-3*Z74)-1))</f>
        <v/>
      </c>
      <c r="AB74" s="35" t="e">
        <f>IF($S74="","",IF(#REF!="Tolerance",IF((#REF!*3*T74+S74)-E74&lt;F74,"",(#REF!*3*T74+S74)-E74),IF(OR(#REF!="GD&amp;T",#REF!="MAX"),IF((#REF!*3*T74+S74)&lt;F74,"",(#REF!*3*T74+S74)),"")))</f>
        <v>#REF!</v>
      </c>
      <c r="AC74" s="35" t="e">
        <f>IF(S74="","",IF(#REF!="Tolerance",IF(-((#REF!*3*T74)-S74)-E74&gt;G74,"",-((#REF!*3*T74)-S74)-E74),IF(#REF!="MIN",IF(-((#REF!*3*T74)-S74)&gt;G74,"",-((#REF!*3*T74)-S74)),"")))</f>
        <v>#REF!</v>
      </c>
      <c r="AD74" s="35">
        <f t="shared" si="13"/>
        <v>0.36199999999999999</v>
      </c>
      <c r="AE74" s="35" t="str">
        <f t="shared" ref="AE74:AE94" si="26">IF(OR($U74&gt;$AE$4,$T74=""),"",$AE$4*6*$T74)</f>
        <v/>
      </c>
      <c r="AF74" s="125"/>
      <c r="AG74" s="126" t="str">
        <f t="shared" si="14"/>
        <v/>
      </c>
      <c r="AH74" s="145" t="str" cm="1">
        <f t="array" ref="AH74">IF(AND(AM74:BR74 &gt;= IF(K74="",0,K74), AM74:BR74 &lt;= IF(J74="",0,J74)), "OK", "NG")</f>
        <v>NG</v>
      </c>
      <c r="AI74" s="127"/>
      <c r="AJ74" s="127"/>
      <c r="AK74" s="128"/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9"/>
      <c r="AX74" s="129"/>
      <c r="AY74" s="129"/>
      <c r="AZ74" s="129"/>
      <c r="BA74" s="129"/>
      <c r="BB74" s="129"/>
      <c r="BC74" s="129"/>
      <c r="BD74" s="129"/>
      <c r="BE74" s="129"/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29"/>
      <c r="BR74" s="129"/>
    </row>
    <row r="75" spans="2:70" ht="19.2" customHeight="1">
      <c r="B75" s="130" t="s">
        <v>326</v>
      </c>
      <c r="C75" s="65" t="s">
        <v>324</v>
      </c>
      <c r="D75" s="114" t="s">
        <v>317</v>
      </c>
      <c r="E75" s="115">
        <v>0.36199999999999999</v>
      </c>
      <c r="F75" s="116">
        <v>0.03</v>
      </c>
      <c r="G75" s="116">
        <v>-0.03</v>
      </c>
      <c r="H75" s="117" t="s">
        <v>46</v>
      </c>
      <c r="I75" s="118"/>
      <c r="J75" s="119">
        <f t="shared" si="16"/>
        <v>0.39200000000000002</v>
      </c>
      <c r="K75" s="119">
        <f t="shared" si="17"/>
        <v>0.33199999999999996</v>
      </c>
      <c r="L75" s="142">
        <v>0.38750000000000001</v>
      </c>
      <c r="M75" s="142">
        <v>0.33649999999999997</v>
      </c>
      <c r="N75" s="142">
        <v>0.38450000000000001</v>
      </c>
      <c r="O75" s="142">
        <v>0.33949999999999997</v>
      </c>
      <c r="P75" s="120"/>
      <c r="Q75" s="121">
        <f t="shared" si="18"/>
        <v>0</v>
      </c>
      <c r="R75" s="121">
        <f t="shared" si="19"/>
        <v>0</v>
      </c>
      <c r="S75" s="121">
        <f t="shared" si="20"/>
        <v>0</v>
      </c>
      <c r="T75" s="122">
        <f t="shared" si="15"/>
        <v>0</v>
      </c>
      <c r="U75" s="123" t="str">
        <f t="shared" si="21"/>
        <v/>
      </c>
      <c r="V75" s="124" t="str">
        <f>IF(OR($AM75="",ISNUMBER($AM75)=FALSE),"",IF(AND(#REF!="Tolerance",$E75&lt;&gt;""),($S75-$E75)/(($J75-$K75)/2),IF(AND(#REF!="GD&amp;T",$F75&lt;&gt;""),$S75/$F75,"")))</f>
        <v/>
      </c>
      <c r="W75" s="124" t="str">
        <f t="shared" ref="W75:W94" si="27">IF($V75="","",IF(ABS($V75)&lt;=0.125, "Level A",IF(AND(ABS($V75)&gt;0.125,ABS($V75)&lt;=0.25), "Level B",IF(AND(ABS($V75)&gt;0.25,ABS($V75)&lt;=0.5), "Level C", IF(ABS($V75)&gt;0.5, "Level D")))))</f>
        <v/>
      </c>
      <c r="X75" s="123" t="str">
        <f t="shared" si="22"/>
        <v/>
      </c>
      <c r="Y75" s="123" t="str">
        <f t="shared" si="23"/>
        <v/>
      </c>
      <c r="Z75" s="123" t="str">
        <f t="shared" si="24"/>
        <v/>
      </c>
      <c r="AA75" s="34" t="str">
        <f t="shared" si="25"/>
        <v/>
      </c>
      <c r="AB75" s="35" t="e">
        <f>IF($S75="","",IF(#REF!="Tolerance",IF((#REF!*3*T75+S75)-E75&lt;F75,"",(#REF!*3*T75+S75)-E75),IF(OR(#REF!="GD&amp;T",#REF!="MAX"),IF((#REF!*3*T75+S75)&lt;F75,"",(#REF!*3*T75+S75)),"")))</f>
        <v>#REF!</v>
      </c>
      <c r="AC75" s="35" t="e">
        <f>IF(S75="","",IF(#REF!="Tolerance",IF(-((#REF!*3*T75)-S75)-E75&gt;G75,"",-((#REF!*3*T75)-S75)-E75),IF(#REF!="MIN",IF(-((#REF!*3*T75)-S75)&gt;G75,"",-((#REF!*3*T75)-S75)),"")))</f>
        <v>#REF!</v>
      </c>
      <c r="AD75" s="35">
        <f t="shared" ref="AD75:AD94" si="28">IF(OR(E75="",S75=""),"",(J75+K75)/2-S75)</f>
        <v>0.36199999999999999</v>
      </c>
      <c r="AE75" s="35" t="str">
        <f t="shared" si="26"/>
        <v/>
      </c>
      <c r="AF75" s="125"/>
      <c r="AG75" s="126" t="str">
        <f t="shared" ref="AG75:AG94" si="29">IF(AF75="","",IF(AF75&gt;=0.966,"Normal","Not Normal"))</f>
        <v/>
      </c>
      <c r="AH75" s="145" t="str" cm="1">
        <f t="array" ref="AH75">IF(AND(AM75:BR75 &gt;= IF(K75="",0,K75), AM75:BR75 &lt;= IF(J75="",0,J75)), "OK", "NG")</f>
        <v>NG</v>
      </c>
      <c r="AI75" s="127"/>
      <c r="AJ75" s="127"/>
      <c r="AK75" s="128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9"/>
      <c r="AX75" s="129"/>
      <c r="AY75" s="129"/>
      <c r="AZ75" s="129"/>
      <c r="BA75" s="129"/>
      <c r="BB75" s="129"/>
      <c r="BC75" s="129"/>
      <c r="BD75" s="129"/>
      <c r="BE75" s="129"/>
      <c r="BF75" s="129"/>
      <c r="BG75" s="129"/>
      <c r="BH75" s="129"/>
      <c r="BI75" s="129"/>
      <c r="BJ75" s="129"/>
      <c r="BK75" s="129"/>
      <c r="BL75" s="129"/>
      <c r="BM75" s="129"/>
      <c r="BN75" s="129"/>
      <c r="BO75" s="129"/>
      <c r="BP75" s="129"/>
      <c r="BQ75" s="129"/>
      <c r="BR75" s="129"/>
    </row>
    <row r="76" spans="2:70" ht="19.2" customHeight="1">
      <c r="B76" s="130" t="s">
        <v>162</v>
      </c>
      <c r="C76" s="65" t="s">
        <v>231</v>
      </c>
      <c r="D76" s="114" t="s">
        <v>45</v>
      </c>
      <c r="E76" s="115">
        <v>1.7729999999999999</v>
      </c>
      <c r="F76" s="116">
        <v>0.03</v>
      </c>
      <c r="G76" s="116">
        <v>-0.03</v>
      </c>
      <c r="H76" s="117" t="s">
        <v>46</v>
      </c>
      <c r="I76" s="118"/>
      <c r="J76" s="119">
        <f t="shared" si="16"/>
        <v>1.8029999999999999</v>
      </c>
      <c r="K76" s="119">
        <f t="shared" si="17"/>
        <v>1.7429999999999999</v>
      </c>
      <c r="L76" s="142">
        <v>1.7985</v>
      </c>
      <c r="M76" s="142">
        <v>1.7474999999999998</v>
      </c>
      <c r="N76" s="142">
        <v>1.7954999999999999</v>
      </c>
      <c r="O76" s="142">
        <v>1.7504999999999999</v>
      </c>
      <c r="P76" s="120"/>
      <c r="Q76" s="121">
        <f t="shared" si="18"/>
        <v>0</v>
      </c>
      <c r="R76" s="121">
        <f t="shared" si="19"/>
        <v>0</v>
      </c>
      <c r="S76" s="121">
        <f t="shared" si="20"/>
        <v>0</v>
      </c>
      <c r="T76" s="122">
        <f t="shared" si="15"/>
        <v>0</v>
      </c>
      <c r="U76" s="123" t="str">
        <f t="shared" si="21"/>
        <v/>
      </c>
      <c r="V76" s="124" t="str">
        <f>IF(OR($AM76="",ISNUMBER($AM76)=FALSE),"",IF(AND(#REF!="Tolerance",$E76&lt;&gt;""),($S76-$E76)/(($J76-$K76)/2),IF(AND(#REF!="GD&amp;T",$F76&lt;&gt;""),$S76/$F76,"")))</f>
        <v/>
      </c>
      <c r="W76" s="124" t="str">
        <f t="shared" si="27"/>
        <v/>
      </c>
      <c r="X76" s="123" t="str">
        <f t="shared" si="22"/>
        <v/>
      </c>
      <c r="Y76" s="123" t="str">
        <f t="shared" si="23"/>
        <v/>
      </c>
      <c r="Z76" s="123" t="str">
        <f t="shared" si="24"/>
        <v/>
      </c>
      <c r="AA76" s="34" t="str">
        <f t="shared" si="25"/>
        <v/>
      </c>
      <c r="AB76" s="35" t="e">
        <f>IF($S76="","",IF(#REF!="Tolerance",IF((#REF!*3*T76+S76)-E76&lt;F76,"",(#REF!*3*T76+S76)-E76),IF(OR(#REF!="GD&amp;T",#REF!="MAX"),IF((#REF!*3*T76+S76)&lt;F76,"",(#REF!*3*T76+S76)),"")))</f>
        <v>#REF!</v>
      </c>
      <c r="AC76" s="35" t="e">
        <f>IF(S76="","",IF(#REF!="Tolerance",IF(-((#REF!*3*T76)-S76)-E76&gt;G76,"",-((#REF!*3*T76)-S76)-E76),IF(#REF!="MIN",IF(-((#REF!*3*T76)-S76)&gt;G76,"",-((#REF!*3*T76)-S76)),"")))</f>
        <v>#REF!</v>
      </c>
      <c r="AD76" s="35">
        <f t="shared" si="28"/>
        <v>1.7729999999999999</v>
      </c>
      <c r="AE76" s="35" t="str">
        <f t="shared" si="26"/>
        <v/>
      </c>
      <c r="AF76" s="125"/>
      <c r="AG76" s="126" t="str">
        <f t="shared" si="29"/>
        <v/>
      </c>
      <c r="AH76" s="145" t="str" cm="1">
        <f t="array" ref="AH76">IF(AND(AM76:BR76 &gt;= IF(K76="",0,K76), AM76:BR76 &lt;= IF(J76="",0,J76)), "OK", "NG")</f>
        <v>NG</v>
      </c>
      <c r="AI76" s="127"/>
      <c r="AJ76" s="127"/>
      <c r="AK76" s="128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9"/>
      <c r="AX76" s="129"/>
      <c r="AY76" s="129"/>
      <c r="AZ76" s="129"/>
      <c r="BA76" s="129"/>
      <c r="BB76" s="129"/>
      <c r="BC76" s="129"/>
      <c r="BD76" s="129"/>
      <c r="BE76" s="129"/>
      <c r="BF76" s="129"/>
      <c r="BG76" s="129"/>
      <c r="BH76" s="129"/>
      <c r="BI76" s="129"/>
      <c r="BJ76" s="129"/>
      <c r="BK76" s="129"/>
      <c r="BL76" s="129"/>
      <c r="BM76" s="129"/>
      <c r="BN76" s="129"/>
      <c r="BO76" s="129"/>
      <c r="BP76" s="129"/>
      <c r="BQ76" s="129"/>
      <c r="BR76" s="129"/>
    </row>
    <row r="77" spans="2:70" ht="19.2" customHeight="1">
      <c r="B77" s="113" t="s">
        <v>162</v>
      </c>
      <c r="C77" s="65" t="s">
        <v>232</v>
      </c>
      <c r="D77" s="114" t="s">
        <v>45</v>
      </c>
      <c r="E77" s="115">
        <v>1.7729999999999999</v>
      </c>
      <c r="F77" s="116">
        <v>0.03</v>
      </c>
      <c r="G77" s="116">
        <v>-0.03</v>
      </c>
      <c r="H77" s="117" t="s">
        <v>46</v>
      </c>
      <c r="I77" s="118"/>
      <c r="J77" s="119">
        <f t="shared" si="16"/>
        <v>1.8029999999999999</v>
      </c>
      <c r="K77" s="119">
        <f t="shared" si="17"/>
        <v>1.7429999999999999</v>
      </c>
      <c r="L77" s="142">
        <v>1.7985</v>
      </c>
      <c r="M77" s="142">
        <v>1.7474999999999998</v>
      </c>
      <c r="N77" s="142">
        <v>1.7954999999999999</v>
      </c>
      <c r="O77" s="142">
        <v>1.7504999999999999</v>
      </c>
      <c r="P77" s="120"/>
      <c r="Q77" s="121">
        <f t="shared" si="18"/>
        <v>0</v>
      </c>
      <c r="R77" s="121">
        <f t="shared" si="19"/>
        <v>0</v>
      </c>
      <c r="S77" s="121">
        <f t="shared" si="20"/>
        <v>0</v>
      </c>
      <c r="T77" s="122">
        <f t="shared" si="15"/>
        <v>0</v>
      </c>
      <c r="U77" s="123" t="str">
        <f t="shared" si="21"/>
        <v/>
      </c>
      <c r="V77" s="124" t="str">
        <f>IF(OR($AM77="",ISNUMBER($AM77)=FALSE),"",IF(AND(#REF!="Tolerance",$E77&lt;&gt;""),($S77-$E77)/(($J77-$K77)/2),IF(AND(#REF!="GD&amp;T",$F77&lt;&gt;""),$S77/$F77,"")))</f>
        <v/>
      </c>
      <c r="W77" s="124" t="str">
        <f t="shared" si="27"/>
        <v/>
      </c>
      <c r="X77" s="123" t="str">
        <f t="shared" si="22"/>
        <v/>
      </c>
      <c r="Y77" s="123" t="str">
        <f t="shared" si="23"/>
        <v/>
      </c>
      <c r="Z77" s="123" t="str">
        <f t="shared" si="24"/>
        <v/>
      </c>
      <c r="AA77" s="34" t="str">
        <f t="shared" si="25"/>
        <v/>
      </c>
      <c r="AB77" s="35" t="e">
        <f>IF($S77="","",IF(#REF!="Tolerance",IF((#REF!*3*T77+S77)-E77&lt;F77,"",(#REF!*3*T77+S77)-E77),IF(OR(#REF!="GD&amp;T",#REF!="MAX"),IF((#REF!*3*T77+S77)&lt;F77,"",(#REF!*3*T77+S77)),"")))</f>
        <v>#REF!</v>
      </c>
      <c r="AC77" s="35" t="e">
        <f>IF(S77="","",IF(#REF!="Tolerance",IF(-((#REF!*3*T77)-S77)-E77&gt;G77,"",-((#REF!*3*T77)-S77)-E77),IF(#REF!="MIN",IF(-((#REF!*3*T77)-S77)&gt;G77,"",-((#REF!*3*T77)-S77)),"")))</f>
        <v>#REF!</v>
      </c>
      <c r="AD77" s="35">
        <f t="shared" si="28"/>
        <v>1.7729999999999999</v>
      </c>
      <c r="AE77" s="35" t="str">
        <f t="shared" si="26"/>
        <v/>
      </c>
      <c r="AF77" s="125"/>
      <c r="AG77" s="126" t="str">
        <f t="shared" si="29"/>
        <v/>
      </c>
      <c r="AH77" s="145" t="str" cm="1">
        <f t="array" ref="AH77">IF(AND(AM77:BR77 &gt;= IF(K77="",0,K77), AM77:BR77 &lt;= IF(J77="",0,J77)), "OK", "NG")</f>
        <v>NG</v>
      </c>
      <c r="AI77" s="127"/>
      <c r="AJ77" s="127"/>
      <c r="AK77" s="128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9"/>
      <c r="AX77" s="129"/>
      <c r="AY77" s="129"/>
      <c r="AZ77" s="129"/>
      <c r="BA77" s="129"/>
      <c r="BB77" s="129"/>
      <c r="BC77" s="129"/>
      <c r="BD77" s="129"/>
      <c r="BE77" s="129"/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</row>
    <row r="78" spans="2:70" ht="19.2" customHeight="1">
      <c r="B78" s="113" t="s">
        <v>163</v>
      </c>
      <c r="C78" s="65" t="s">
        <v>233</v>
      </c>
      <c r="D78" s="114" t="s">
        <v>45</v>
      </c>
      <c r="E78" s="115">
        <v>15.199</v>
      </c>
      <c r="F78" s="116">
        <v>0.03</v>
      </c>
      <c r="G78" s="116">
        <v>-0.03</v>
      </c>
      <c r="H78" s="117" t="s">
        <v>46</v>
      </c>
      <c r="I78" s="118"/>
      <c r="J78" s="119">
        <f t="shared" si="16"/>
        <v>15.228999999999999</v>
      </c>
      <c r="K78" s="119">
        <f t="shared" si="17"/>
        <v>15.169</v>
      </c>
      <c r="L78" s="142">
        <v>15.224499999999999</v>
      </c>
      <c r="M78" s="142">
        <v>15.173500000000001</v>
      </c>
      <c r="N78" s="142">
        <v>15.221500000000001</v>
      </c>
      <c r="O78" s="142">
        <v>15.176499999999999</v>
      </c>
      <c r="P78" s="120"/>
      <c r="Q78" s="121">
        <f t="shared" si="18"/>
        <v>0</v>
      </c>
      <c r="R78" s="121">
        <f t="shared" si="19"/>
        <v>0</v>
      </c>
      <c r="S78" s="121">
        <f t="shared" si="20"/>
        <v>0</v>
      </c>
      <c r="T78" s="122">
        <f>IF(OR($AM78=ISBLANK(TRUE),ISNUMBER($AM78)=FALSE),,STDEV(AM78:BR78))</f>
        <v>0</v>
      </c>
      <c r="U78" s="123" t="str">
        <f t="shared" si="21"/>
        <v/>
      </c>
      <c r="V78" s="124" t="str">
        <f>IF(OR($AM78="",ISNUMBER($AM78)=FALSE),"",IF(AND(#REF!="Tolerance",$E78&lt;&gt;""),($S78-$E78)/(($J78-$K78)/2),IF(AND(#REF!="GD&amp;T",$F78&lt;&gt;""),$S78/$F78,"")))</f>
        <v/>
      </c>
      <c r="W78" s="124" t="str">
        <f t="shared" si="27"/>
        <v/>
      </c>
      <c r="X78" s="123" t="str">
        <f t="shared" si="22"/>
        <v/>
      </c>
      <c r="Y78" s="123" t="str">
        <f t="shared" si="23"/>
        <v/>
      </c>
      <c r="Z78" s="123" t="str">
        <f t="shared" si="24"/>
        <v/>
      </c>
      <c r="AA78" s="34" t="str">
        <f t="shared" si="25"/>
        <v/>
      </c>
      <c r="AB78" s="35" t="e">
        <f>IF($S78="","",IF(#REF!="Tolerance",IF((#REF!*3*T78+S78)-E78&lt;F78,"",(#REF!*3*T78+S78)-E78),IF(OR(#REF!="GD&amp;T",#REF!="MAX"),IF((#REF!*3*T78+S78)&lt;F78,"",(#REF!*3*T78+S78)),"")))</f>
        <v>#REF!</v>
      </c>
      <c r="AC78" s="35" t="e">
        <f>IF(S78="","",IF(#REF!="Tolerance",IF(-((#REF!*3*T78)-S78)-E78&gt;G78,"",-((#REF!*3*T78)-S78)-E78),IF(#REF!="MIN",IF(-((#REF!*3*T78)-S78)&gt;G78,"",-((#REF!*3*T78)-S78)),"")))</f>
        <v>#REF!</v>
      </c>
      <c r="AD78" s="35">
        <f t="shared" si="28"/>
        <v>15.199</v>
      </c>
      <c r="AE78" s="35" t="str">
        <f t="shared" si="26"/>
        <v/>
      </c>
      <c r="AF78" s="125"/>
      <c r="AG78" s="126" t="str">
        <f t="shared" si="29"/>
        <v/>
      </c>
      <c r="AH78" s="145" t="str" cm="1">
        <f t="array" ref="AH78">IF(AND(AM78:BR78 &gt;= IF(K78="",0,K78), AM78:BR78 &lt;= IF(J78="",0,J78)), "OK", "NG")</f>
        <v>NG</v>
      </c>
      <c r="AI78" s="127"/>
      <c r="AJ78" s="127"/>
      <c r="AK78" s="128"/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9"/>
      <c r="AX78" s="129"/>
      <c r="AY78" s="129"/>
      <c r="AZ78" s="129"/>
      <c r="BA78" s="129"/>
      <c r="BB78" s="129"/>
      <c r="BC78" s="129"/>
      <c r="BD78" s="129"/>
      <c r="BE78" s="129"/>
      <c r="BF78" s="129"/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29"/>
      <c r="BR78" s="129"/>
    </row>
    <row r="79" spans="2:70" ht="19.2" customHeight="1">
      <c r="B79" s="113" t="s">
        <v>163</v>
      </c>
      <c r="C79" s="65" t="s">
        <v>234</v>
      </c>
      <c r="D79" s="114" t="s">
        <v>45</v>
      </c>
      <c r="E79" s="115">
        <v>15.199</v>
      </c>
      <c r="F79" s="116">
        <v>0.03</v>
      </c>
      <c r="G79" s="116">
        <v>-0.03</v>
      </c>
      <c r="H79" s="117" t="s">
        <v>46</v>
      </c>
      <c r="I79" s="118"/>
      <c r="J79" s="119">
        <f t="shared" si="16"/>
        <v>15.228999999999999</v>
      </c>
      <c r="K79" s="119">
        <f t="shared" si="17"/>
        <v>15.169</v>
      </c>
      <c r="L79" s="142">
        <v>15.224499999999999</v>
      </c>
      <c r="M79" s="142">
        <v>15.173500000000001</v>
      </c>
      <c r="N79" s="142">
        <v>15.221500000000001</v>
      </c>
      <c r="O79" s="142">
        <v>15.176499999999999</v>
      </c>
      <c r="P79" s="120"/>
      <c r="Q79" s="121">
        <f t="shared" si="18"/>
        <v>0</v>
      </c>
      <c r="R79" s="121">
        <f t="shared" si="19"/>
        <v>0</v>
      </c>
      <c r="S79" s="121">
        <f t="shared" si="20"/>
        <v>0</v>
      </c>
      <c r="T79" s="122">
        <f t="shared" ref="T79:T94" si="30">IF(OR($AM79=ISBLANK(TRUE),ISNUMBER($AM79)=FALSE),,STDEV(AM79:BR79))</f>
        <v>0</v>
      </c>
      <c r="U79" s="123" t="str">
        <f t="shared" si="21"/>
        <v/>
      </c>
      <c r="V79" s="124" t="str">
        <f>IF(OR($AM79="",ISNUMBER($AM79)=FALSE),"",IF(AND(#REF!="Tolerance",$E79&lt;&gt;""),($S79-$E79)/(($J79-$K79)/2),IF(AND(#REF!="GD&amp;T",$F79&lt;&gt;""),$S79/$F79,"")))</f>
        <v/>
      </c>
      <c r="W79" s="124" t="str">
        <f t="shared" si="27"/>
        <v/>
      </c>
      <c r="X79" s="123" t="str">
        <f t="shared" si="22"/>
        <v/>
      </c>
      <c r="Y79" s="123" t="str">
        <f t="shared" si="23"/>
        <v/>
      </c>
      <c r="Z79" s="123" t="str">
        <f t="shared" si="24"/>
        <v/>
      </c>
      <c r="AA79" s="34" t="str">
        <f t="shared" si="25"/>
        <v/>
      </c>
      <c r="AB79" s="35" t="e">
        <f>IF($S79="","",IF(#REF!="Tolerance",IF((#REF!*3*T79+S79)-E79&lt;F79,"",(#REF!*3*T79+S79)-E79),IF(OR(#REF!="GD&amp;T",#REF!="MAX"),IF((#REF!*3*T79+S79)&lt;F79,"",(#REF!*3*T79+S79)),"")))</f>
        <v>#REF!</v>
      </c>
      <c r="AC79" s="35" t="e">
        <f>IF(S79="","",IF(#REF!="Tolerance",IF(-((#REF!*3*T79)-S79)-E79&gt;G79,"",-((#REF!*3*T79)-S79)-E79),IF(#REF!="MIN",IF(-((#REF!*3*T79)-S79)&gt;G79,"",-((#REF!*3*T79)-S79)),"")))</f>
        <v>#REF!</v>
      </c>
      <c r="AD79" s="35">
        <f t="shared" si="28"/>
        <v>15.199</v>
      </c>
      <c r="AE79" s="35" t="str">
        <f t="shared" si="26"/>
        <v/>
      </c>
      <c r="AF79" s="125"/>
      <c r="AG79" s="126" t="str">
        <f t="shared" si="29"/>
        <v/>
      </c>
      <c r="AH79" s="145" t="str" cm="1">
        <f t="array" ref="AH79">IF(AND(AM79:BR79 &gt;= IF(K79="",0,K79), AM79:BR79 &lt;= IF(J79="",0,J79)), "OK", "NG")</f>
        <v>NG</v>
      </c>
      <c r="AI79" s="127"/>
      <c r="AJ79" s="127"/>
      <c r="AK79" s="128"/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9"/>
      <c r="AX79" s="129"/>
      <c r="AY79" s="129"/>
      <c r="AZ79" s="129"/>
      <c r="BA79" s="129"/>
      <c r="BB79" s="129"/>
      <c r="BC79" s="129"/>
      <c r="BD79" s="129"/>
      <c r="BE79" s="129"/>
      <c r="BF79" s="129"/>
      <c r="BG79" s="129"/>
      <c r="BH79" s="129"/>
      <c r="BI79" s="129"/>
      <c r="BJ79" s="129"/>
      <c r="BK79" s="129"/>
      <c r="BL79" s="129"/>
      <c r="BM79" s="129"/>
      <c r="BN79" s="129"/>
      <c r="BO79" s="129"/>
      <c r="BP79" s="129"/>
      <c r="BQ79" s="129"/>
      <c r="BR79" s="129"/>
    </row>
    <row r="80" spans="2:70" ht="19.2" customHeight="1">
      <c r="B80" s="113" t="s">
        <v>164</v>
      </c>
      <c r="C80" s="65" t="s">
        <v>327</v>
      </c>
      <c r="D80" s="114" t="s">
        <v>152</v>
      </c>
      <c r="E80" s="115">
        <v>-0.45</v>
      </c>
      <c r="F80" s="116">
        <v>0.01</v>
      </c>
      <c r="G80" s="116">
        <v>-0.01</v>
      </c>
      <c r="H80" s="117" t="s">
        <v>154</v>
      </c>
      <c r="I80" s="118"/>
      <c r="J80" s="119">
        <f t="shared" si="16"/>
        <v>-0.44</v>
      </c>
      <c r="K80" s="119">
        <f t="shared" si="17"/>
        <v>-0.46</v>
      </c>
      <c r="L80" s="142">
        <v>-0.4415</v>
      </c>
      <c r="M80" s="142">
        <v>-0.45850000000000002</v>
      </c>
      <c r="N80" s="142"/>
      <c r="O80" s="142"/>
      <c r="P80" s="120"/>
      <c r="Q80" s="121">
        <f t="shared" si="18"/>
        <v>0</v>
      </c>
      <c r="R80" s="121">
        <f t="shared" si="19"/>
        <v>0</v>
      </c>
      <c r="S80" s="121">
        <f t="shared" si="20"/>
        <v>0</v>
      </c>
      <c r="T80" s="122">
        <f t="shared" si="30"/>
        <v>0</v>
      </c>
      <c r="U80" s="123" t="str">
        <f t="shared" si="21"/>
        <v/>
      </c>
      <c r="V80" s="124" t="str">
        <f>IF(OR($AM80="",ISNUMBER($AM80)=FALSE),"",IF(AND(#REF!="Tolerance",$E80&lt;&gt;""),($S80-$E80)/(($J80-$K80)/2),IF(AND(#REF!="GD&amp;T",$F80&lt;&gt;""),$S80/$F80,"")))</f>
        <v/>
      </c>
      <c r="W80" s="124" t="str">
        <f t="shared" si="27"/>
        <v/>
      </c>
      <c r="X80" s="123" t="str">
        <f t="shared" si="22"/>
        <v/>
      </c>
      <c r="Y80" s="123" t="str">
        <f t="shared" si="23"/>
        <v/>
      </c>
      <c r="Z80" s="123" t="str">
        <f t="shared" si="24"/>
        <v/>
      </c>
      <c r="AA80" s="34" t="str">
        <f t="shared" si="25"/>
        <v/>
      </c>
      <c r="AB80" s="35" t="e">
        <f>IF($S80="","",IF(#REF!="Tolerance",IF((#REF!*3*T80+S80)-E80&lt;F80,"",(#REF!*3*T80+S80)-E80),IF(OR(#REF!="GD&amp;T",#REF!="MAX"),IF((#REF!*3*T80+S80)&lt;F80,"",(#REF!*3*T80+S80)),"")))</f>
        <v>#REF!</v>
      </c>
      <c r="AC80" s="35" t="e">
        <f>IF(S80="","",IF(#REF!="Tolerance",IF(-((#REF!*3*T80)-S80)-E80&gt;G80,"",-((#REF!*3*T80)-S80)-E80),IF(#REF!="MIN",IF(-((#REF!*3*T80)-S80)&gt;G80,"",-((#REF!*3*T80)-S80)),"")))</f>
        <v>#REF!</v>
      </c>
      <c r="AD80" s="35">
        <f t="shared" si="28"/>
        <v>-0.45</v>
      </c>
      <c r="AE80" s="35" t="str">
        <f t="shared" si="26"/>
        <v/>
      </c>
      <c r="AF80" s="125"/>
      <c r="AG80" s="126" t="str">
        <f t="shared" si="29"/>
        <v/>
      </c>
      <c r="AH80" s="145" t="str" cm="1">
        <f t="array" ref="AH80">IF(AND(AM80:BR80 &gt;= IF(K80="",0,K80), AM80:BR80 &lt;= IF(J80="",0,J80)), "OK", "NG")</f>
        <v>NG</v>
      </c>
      <c r="AI80" s="127"/>
      <c r="AJ80" s="127"/>
      <c r="AK80" s="128"/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9"/>
      <c r="AX80" s="129"/>
      <c r="AY80" s="129"/>
      <c r="AZ80" s="129"/>
      <c r="BA80" s="129"/>
      <c r="BB80" s="129"/>
      <c r="BC80" s="129"/>
      <c r="BD80" s="129"/>
      <c r="BE80" s="129"/>
      <c r="BF80" s="129"/>
      <c r="BG80" s="129"/>
      <c r="BH80" s="129"/>
      <c r="BI80" s="129"/>
      <c r="BJ80" s="129"/>
      <c r="BK80" s="129"/>
      <c r="BL80" s="129"/>
      <c r="BM80" s="129"/>
      <c r="BN80" s="129"/>
      <c r="BO80" s="129"/>
      <c r="BP80" s="129"/>
      <c r="BQ80" s="129"/>
      <c r="BR80" s="129"/>
    </row>
    <row r="81" spans="2:70" ht="19.2" customHeight="1">
      <c r="B81" s="113" t="s">
        <v>312</v>
      </c>
      <c r="C81" s="65" t="s">
        <v>328</v>
      </c>
      <c r="D81" s="114" t="s">
        <v>152</v>
      </c>
      <c r="E81" s="115">
        <v>0</v>
      </c>
      <c r="F81" s="116">
        <v>1.4999999999999999E-2</v>
      </c>
      <c r="G81" s="116">
        <v>-5.0000000000000001E-3</v>
      </c>
      <c r="H81" s="117" t="s">
        <v>154</v>
      </c>
      <c r="I81" s="118"/>
      <c r="J81" s="119">
        <f t="shared" si="16"/>
        <v>1.4999999999999999E-2</v>
      </c>
      <c r="K81" s="119">
        <f t="shared" si="17"/>
        <v>-5.0000000000000001E-3</v>
      </c>
      <c r="L81" s="142">
        <v>1.2999999999999999E-2</v>
      </c>
      <c r="M81" s="142">
        <v>-3.0000000000000001E-3</v>
      </c>
      <c r="N81" s="142">
        <v>1.2E-2</v>
      </c>
      <c r="O81" s="142">
        <v>-4.0000000000000001E-3</v>
      </c>
      <c r="P81" s="120"/>
      <c r="Q81" s="121">
        <f t="shared" si="18"/>
        <v>0</v>
      </c>
      <c r="R81" s="121">
        <f t="shared" si="19"/>
        <v>0</v>
      </c>
      <c r="S81" s="121">
        <f t="shared" si="20"/>
        <v>0</v>
      </c>
      <c r="T81" s="122">
        <f t="shared" si="30"/>
        <v>0</v>
      </c>
      <c r="U81" s="123" t="str">
        <f t="shared" si="21"/>
        <v/>
      </c>
      <c r="V81" s="124" t="str">
        <f>IF(OR($AM81="",ISNUMBER($AM81)=FALSE),"",IF(AND(#REF!="Tolerance",$E81&lt;&gt;""),($S81-$E81)/(($J81-$K81)/2),IF(AND(#REF!="GD&amp;T",$F81&lt;&gt;""),$S81/$F81,"")))</f>
        <v/>
      </c>
      <c r="W81" s="124" t="str">
        <f t="shared" si="27"/>
        <v/>
      </c>
      <c r="X81" s="123" t="str">
        <f t="shared" si="22"/>
        <v/>
      </c>
      <c r="Y81" s="123" t="str">
        <f t="shared" si="23"/>
        <v/>
      </c>
      <c r="Z81" s="123" t="str">
        <f t="shared" si="24"/>
        <v/>
      </c>
      <c r="AA81" s="34" t="str">
        <f t="shared" si="25"/>
        <v/>
      </c>
      <c r="AB81" s="35" t="e">
        <f>IF($S81="","",IF(#REF!="Tolerance",IF((#REF!*3*T81+S81)-E81&lt;F81,"",(#REF!*3*T81+S81)-E81),IF(OR(#REF!="GD&amp;T",#REF!="MAX"),IF((#REF!*3*T81+S81)&lt;F81,"",(#REF!*3*T81+S81)),"")))</f>
        <v>#REF!</v>
      </c>
      <c r="AC81" s="35" t="e">
        <f>IF(S81="","",IF(#REF!="Tolerance",IF(-((#REF!*3*T81)-S81)-E81&gt;G81,"",-((#REF!*3*T81)-S81)-E81),IF(#REF!="MIN",IF(-((#REF!*3*T81)-S81)&gt;G81,"",-((#REF!*3*T81)-S81)),"")))</f>
        <v>#REF!</v>
      </c>
      <c r="AD81" s="35">
        <f t="shared" si="28"/>
        <v>4.9999999999999992E-3</v>
      </c>
      <c r="AE81" s="35" t="str">
        <f t="shared" si="26"/>
        <v/>
      </c>
      <c r="AF81" s="125"/>
      <c r="AG81" s="126" t="str">
        <f t="shared" si="29"/>
        <v/>
      </c>
      <c r="AH81" s="145" t="str" cm="1">
        <f t="array" ref="AH81">IF(AND(AM81:BR81 &gt;= IF(K81="",0,K81), AM81:BR81 &lt;= IF(J81="",0,J81)), "OK", "NG")</f>
        <v>OK</v>
      </c>
      <c r="AI81" s="127"/>
      <c r="AJ81" s="127"/>
      <c r="AK81" s="128"/>
      <c r="AM81" s="129"/>
      <c r="AN81" s="129"/>
      <c r="AO81" s="129"/>
      <c r="AP81" s="129"/>
      <c r="AQ81" s="129"/>
      <c r="AR81" s="129"/>
      <c r="AS81" s="129"/>
      <c r="AT81" s="129"/>
      <c r="AU81" s="129"/>
      <c r="AV81" s="129"/>
      <c r="AW81" s="129"/>
      <c r="AX81" s="129"/>
      <c r="AY81" s="129"/>
      <c r="AZ81" s="129"/>
      <c r="BA81" s="129"/>
      <c r="BB81" s="129"/>
      <c r="BC81" s="129"/>
      <c r="BD81" s="129"/>
      <c r="BE81" s="129"/>
      <c r="BF81" s="129"/>
      <c r="BG81" s="129"/>
      <c r="BH81" s="129"/>
      <c r="BI81" s="129"/>
      <c r="BJ81" s="129"/>
      <c r="BK81" s="129"/>
      <c r="BL81" s="129"/>
      <c r="BM81" s="129"/>
      <c r="BN81" s="129"/>
      <c r="BO81" s="129"/>
      <c r="BP81" s="129"/>
      <c r="BQ81" s="129"/>
      <c r="BR81" s="129"/>
    </row>
    <row r="82" spans="2:70" ht="19.2" customHeight="1">
      <c r="B82" s="113" t="s">
        <v>164</v>
      </c>
      <c r="C82" s="65" t="s">
        <v>329</v>
      </c>
      <c r="D82" s="114" t="s">
        <v>152</v>
      </c>
      <c r="E82" s="115">
        <v>-0.45</v>
      </c>
      <c r="F82" s="116">
        <v>0.01</v>
      </c>
      <c r="G82" s="116">
        <v>-0.01</v>
      </c>
      <c r="H82" s="117" t="s">
        <v>154</v>
      </c>
      <c r="I82" s="118"/>
      <c r="J82" s="119">
        <f t="shared" si="16"/>
        <v>-0.44</v>
      </c>
      <c r="K82" s="119">
        <f t="shared" si="17"/>
        <v>-0.46</v>
      </c>
      <c r="L82" s="142">
        <v>-0.4415</v>
      </c>
      <c r="M82" s="142">
        <v>-0.45850000000000002</v>
      </c>
      <c r="N82" s="142"/>
      <c r="O82" s="142"/>
      <c r="P82" s="120"/>
      <c r="Q82" s="121">
        <f t="shared" si="18"/>
        <v>0</v>
      </c>
      <c r="R82" s="121">
        <f t="shared" si="19"/>
        <v>0</v>
      </c>
      <c r="S82" s="121">
        <f t="shared" si="20"/>
        <v>0</v>
      </c>
      <c r="T82" s="122">
        <f t="shared" si="30"/>
        <v>0</v>
      </c>
      <c r="U82" s="123" t="str">
        <f t="shared" si="21"/>
        <v/>
      </c>
      <c r="V82" s="124" t="str">
        <f>IF(OR($AM82="",ISNUMBER($AM82)=FALSE),"",IF(AND(#REF!="Tolerance",$E82&lt;&gt;""),($S82-$E82)/(($J82-$K82)/2),IF(AND(#REF!="GD&amp;T",$F82&lt;&gt;""),$S82/$F82,"")))</f>
        <v/>
      </c>
      <c r="W82" s="124" t="str">
        <f t="shared" si="27"/>
        <v/>
      </c>
      <c r="X82" s="123" t="str">
        <f t="shared" si="22"/>
        <v/>
      </c>
      <c r="Y82" s="123" t="str">
        <f t="shared" si="23"/>
        <v/>
      </c>
      <c r="Z82" s="123" t="str">
        <f t="shared" si="24"/>
        <v/>
      </c>
      <c r="AA82" s="34" t="str">
        <f t="shared" si="25"/>
        <v/>
      </c>
      <c r="AB82" s="35" t="e">
        <f>IF($S82="","",IF(#REF!="Tolerance",IF((#REF!*3*T82+S82)-E82&lt;F82,"",(#REF!*3*T82+S82)-E82),IF(OR(#REF!="GD&amp;T",#REF!="MAX"),IF((#REF!*3*T82+S82)&lt;F82,"",(#REF!*3*T82+S82)),"")))</f>
        <v>#REF!</v>
      </c>
      <c r="AC82" s="35" t="e">
        <f>IF(S82="","",IF(#REF!="Tolerance",IF(-((#REF!*3*T82)-S82)-E82&gt;G82,"",-((#REF!*3*T82)-S82)-E82),IF(#REF!="MIN",IF(-((#REF!*3*T82)-S82)&gt;G82,"",-((#REF!*3*T82)-S82)),"")))</f>
        <v>#REF!</v>
      </c>
      <c r="AD82" s="35">
        <f t="shared" si="28"/>
        <v>-0.45</v>
      </c>
      <c r="AE82" s="35" t="str">
        <f t="shared" si="26"/>
        <v/>
      </c>
      <c r="AF82" s="125"/>
      <c r="AG82" s="126" t="str">
        <f t="shared" si="29"/>
        <v/>
      </c>
      <c r="AH82" s="145" t="str" cm="1">
        <f t="array" ref="AH82">IF(AND(AM82:BR82 &gt;= IF(K82="",0,K82), AM82:BR82 &lt;= IF(J82="",0,J82)), "OK", "NG")</f>
        <v>NG</v>
      </c>
      <c r="AI82" s="127"/>
      <c r="AJ82" s="127"/>
      <c r="AK82" s="128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/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29"/>
      <c r="BJ82" s="129"/>
      <c r="BK82" s="129"/>
      <c r="BL82" s="129"/>
      <c r="BM82" s="129"/>
      <c r="BN82" s="129"/>
      <c r="BO82" s="129"/>
      <c r="BP82" s="129"/>
      <c r="BQ82" s="129"/>
      <c r="BR82" s="129"/>
    </row>
    <row r="83" spans="2:70" ht="19.2" customHeight="1">
      <c r="B83" s="113" t="s">
        <v>312</v>
      </c>
      <c r="C83" s="65" t="s">
        <v>330</v>
      </c>
      <c r="D83" s="114" t="s">
        <v>152</v>
      </c>
      <c r="E83" s="115">
        <v>0</v>
      </c>
      <c r="F83" s="116">
        <v>1.4999999999999999E-2</v>
      </c>
      <c r="G83" s="116">
        <v>-5.0000000000000001E-3</v>
      </c>
      <c r="H83" s="117" t="s">
        <v>154</v>
      </c>
      <c r="I83" s="118"/>
      <c r="J83" s="119">
        <f t="shared" si="16"/>
        <v>1.4999999999999999E-2</v>
      </c>
      <c r="K83" s="119">
        <f t="shared" si="17"/>
        <v>-5.0000000000000001E-3</v>
      </c>
      <c r="L83" s="142">
        <v>1.2999999999999999E-2</v>
      </c>
      <c r="M83" s="142">
        <v>-3.0000000000000001E-3</v>
      </c>
      <c r="N83" s="142">
        <v>1.2E-2</v>
      </c>
      <c r="O83" s="142">
        <v>-4.0000000000000001E-3</v>
      </c>
      <c r="P83" s="120"/>
      <c r="Q83" s="121">
        <f t="shared" si="18"/>
        <v>0</v>
      </c>
      <c r="R83" s="121">
        <f t="shared" si="19"/>
        <v>0</v>
      </c>
      <c r="S83" s="121">
        <f t="shared" si="20"/>
        <v>0</v>
      </c>
      <c r="T83" s="122">
        <f t="shared" si="30"/>
        <v>0</v>
      </c>
      <c r="U83" s="123" t="str">
        <f t="shared" si="21"/>
        <v/>
      </c>
      <c r="V83" s="124" t="str">
        <f>IF(OR($AM83="",ISNUMBER($AM83)=FALSE),"",IF(AND(#REF!="Tolerance",$E83&lt;&gt;""),($S83-$E83)/(($J83-$K83)/2),IF(AND(#REF!="GD&amp;T",$F83&lt;&gt;""),$S83/$F83,"")))</f>
        <v/>
      </c>
      <c r="W83" s="124" t="str">
        <f t="shared" si="27"/>
        <v/>
      </c>
      <c r="X83" s="123" t="str">
        <f t="shared" si="22"/>
        <v/>
      </c>
      <c r="Y83" s="123" t="str">
        <f t="shared" si="23"/>
        <v/>
      </c>
      <c r="Z83" s="123" t="str">
        <f t="shared" si="24"/>
        <v/>
      </c>
      <c r="AA83" s="34" t="str">
        <f t="shared" si="25"/>
        <v/>
      </c>
      <c r="AB83" s="35" t="e">
        <f>IF($S83="","",IF(#REF!="Tolerance",IF((#REF!*3*T83+S83)-E83&lt;F83,"",(#REF!*3*T83+S83)-E83),IF(OR(#REF!="GD&amp;T",#REF!="MAX"),IF((#REF!*3*T83+S83)&lt;F83,"",(#REF!*3*T83+S83)),"")))</f>
        <v>#REF!</v>
      </c>
      <c r="AC83" s="35" t="e">
        <f>IF(S83="","",IF(#REF!="Tolerance",IF(-((#REF!*3*T83)-S83)-E83&gt;G83,"",-((#REF!*3*T83)-S83)-E83),IF(#REF!="MIN",IF(-((#REF!*3*T83)-S83)&gt;G83,"",-((#REF!*3*T83)-S83)),"")))</f>
        <v>#REF!</v>
      </c>
      <c r="AD83" s="35">
        <f t="shared" si="28"/>
        <v>4.9999999999999992E-3</v>
      </c>
      <c r="AE83" s="35" t="str">
        <f t="shared" si="26"/>
        <v/>
      </c>
      <c r="AF83" s="125"/>
      <c r="AG83" s="126" t="str">
        <f t="shared" si="29"/>
        <v/>
      </c>
      <c r="AH83" s="145" t="str" cm="1">
        <f t="array" ref="AH83">IF(AND(AM83:BR83 &gt;= IF(K83="",0,K83), AM83:BR83 &lt;= IF(J83="",0,J83)), "OK", "NG")</f>
        <v>OK</v>
      </c>
      <c r="AI83" s="127"/>
      <c r="AJ83" s="127"/>
      <c r="AK83" s="128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29"/>
      <c r="BJ83" s="129"/>
      <c r="BK83" s="129"/>
      <c r="BL83" s="129"/>
      <c r="BM83" s="129"/>
      <c r="BN83" s="129"/>
      <c r="BO83" s="129"/>
      <c r="BP83" s="129"/>
      <c r="BQ83" s="129"/>
      <c r="BR83" s="129"/>
    </row>
    <row r="84" spans="2:70" ht="19.2" customHeight="1">
      <c r="B84" s="113" t="s">
        <v>165</v>
      </c>
      <c r="C84" s="65" t="s">
        <v>331</v>
      </c>
      <c r="D84" s="114" t="s">
        <v>152</v>
      </c>
      <c r="E84" s="115">
        <v>-0.45</v>
      </c>
      <c r="F84" s="116">
        <v>0.01</v>
      </c>
      <c r="G84" s="116">
        <v>-0.01</v>
      </c>
      <c r="H84" s="117" t="s">
        <v>154</v>
      </c>
      <c r="I84" s="118"/>
      <c r="J84" s="119">
        <f t="shared" si="16"/>
        <v>-0.44</v>
      </c>
      <c r="K84" s="119">
        <f t="shared" si="17"/>
        <v>-0.46</v>
      </c>
      <c r="L84" s="142">
        <v>-0.4415</v>
      </c>
      <c r="M84" s="142">
        <v>-0.45850000000000002</v>
      </c>
      <c r="N84" s="142"/>
      <c r="O84" s="142"/>
      <c r="P84" s="120"/>
      <c r="Q84" s="121">
        <f t="shared" si="18"/>
        <v>0</v>
      </c>
      <c r="R84" s="121">
        <f t="shared" si="19"/>
        <v>0</v>
      </c>
      <c r="S84" s="121">
        <f t="shared" si="20"/>
        <v>0</v>
      </c>
      <c r="T84" s="122">
        <f t="shared" si="30"/>
        <v>0</v>
      </c>
      <c r="U84" s="123" t="str">
        <f t="shared" si="21"/>
        <v/>
      </c>
      <c r="V84" s="124" t="str">
        <f>IF(OR($AM84="",ISNUMBER($AM84)=FALSE),"",IF(AND(#REF!="Tolerance",$E84&lt;&gt;""),($S84-$E84)/(($J84-$K84)/2),IF(AND(#REF!="GD&amp;T",$F84&lt;&gt;""),$S84/$F84,"")))</f>
        <v/>
      </c>
      <c r="W84" s="124" t="str">
        <f t="shared" si="27"/>
        <v/>
      </c>
      <c r="X84" s="123" t="str">
        <f t="shared" si="22"/>
        <v/>
      </c>
      <c r="Y84" s="123" t="str">
        <f t="shared" si="23"/>
        <v/>
      </c>
      <c r="Z84" s="123" t="str">
        <f t="shared" si="24"/>
        <v/>
      </c>
      <c r="AA84" s="34" t="str">
        <f t="shared" si="25"/>
        <v/>
      </c>
      <c r="AB84" s="35" t="e">
        <f>IF($S84="","",IF(#REF!="Tolerance",IF((#REF!*3*T84+S84)-E84&lt;F84,"",(#REF!*3*T84+S84)-E84),IF(OR(#REF!="GD&amp;T",#REF!="MAX"),IF((#REF!*3*T84+S84)&lt;F84,"",(#REF!*3*T84+S84)),"")))</f>
        <v>#REF!</v>
      </c>
      <c r="AC84" s="35" t="e">
        <f>IF(S84="","",IF(#REF!="Tolerance",IF(-((#REF!*3*T84)-S84)-E84&gt;G84,"",-((#REF!*3*T84)-S84)-E84),IF(#REF!="MIN",IF(-((#REF!*3*T84)-S84)&gt;G84,"",-((#REF!*3*T84)-S84)),"")))</f>
        <v>#REF!</v>
      </c>
      <c r="AD84" s="35">
        <f t="shared" si="28"/>
        <v>-0.45</v>
      </c>
      <c r="AE84" s="35" t="str">
        <f t="shared" si="26"/>
        <v/>
      </c>
      <c r="AF84" s="125"/>
      <c r="AG84" s="126" t="str">
        <f t="shared" si="29"/>
        <v/>
      </c>
      <c r="AH84" s="145" t="str" cm="1">
        <f t="array" ref="AH84">IF(AND(AM84:BR84 &gt;= IF(K84="",0,K84), AM84:BR84 &lt;= IF(J84="",0,J84)), "OK", "NG")</f>
        <v>NG</v>
      </c>
      <c r="AI84" s="127"/>
      <c r="AJ84" s="127"/>
      <c r="AK84" s="128"/>
      <c r="AM84" s="129"/>
      <c r="AN84" s="129"/>
      <c r="AO84" s="129"/>
      <c r="AP84" s="129"/>
      <c r="AQ84" s="129"/>
      <c r="AR84" s="129"/>
      <c r="AS84" s="129"/>
      <c r="AT84" s="129"/>
      <c r="AU84" s="129"/>
      <c r="AV84" s="129"/>
      <c r="AW84" s="129"/>
      <c r="AX84" s="129"/>
      <c r="AY84" s="129"/>
      <c r="AZ84" s="129"/>
      <c r="BA84" s="129"/>
      <c r="BB84" s="129"/>
      <c r="BC84" s="129"/>
      <c r="BD84" s="129"/>
      <c r="BE84" s="129"/>
      <c r="BF84" s="129"/>
      <c r="BG84" s="129"/>
      <c r="BH84" s="129"/>
      <c r="BI84" s="129"/>
      <c r="BJ84" s="129"/>
      <c r="BK84" s="129"/>
      <c r="BL84" s="129"/>
      <c r="BM84" s="129"/>
      <c r="BN84" s="129"/>
      <c r="BO84" s="129"/>
      <c r="BP84" s="129"/>
      <c r="BQ84" s="129"/>
      <c r="BR84" s="129"/>
    </row>
    <row r="85" spans="2:70" ht="19.2" customHeight="1">
      <c r="B85" s="113" t="s">
        <v>312</v>
      </c>
      <c r="C85" s="65" t="s">
        <v>332</v>
      </c>
      <c r="D85" s="114" t="s">
        <v>152</v>
      </c>
      <c r="E85" s="115">
        <v>0</v>
      </c>
      <c r="F85" s="116">
        <v>5.0000000000000001E-3</v>
      </c>
      <c r="G85" s="116">
        <v>-1.4999999999999999E-2</v>
      </c>
      <c r="H85" s="117" t="s">
        <v>154</v>
      </c>
      <c r="I85" s="118"/>
      <c r="J85" s="119">
        <f t="shared" si="16"/>
        <v>5.0000000000000001E-3</v>
      </c>
      <c r="K85" s="119">
        <f t="shared" si="17"/>
        <v>-1.4999999999999999E-2</v>
      </c>
      <c r="L85" s="142">
        <v>3.0000000000000001E-3</v>
      </c>
      <c r="M85" s="142">
        <v>-1.2999999999999999E-2</v>
      </c>
      <c r="N85" s="142">
        <v>4.0000000000000001E-3</v>
      </c>
      <c r="O85" s="142">
        <v>-1.2E-2</v>
      </c>
      <c r="P85" s="120"/>
      <c r="Q85" s="121">
        <f t="shared" si="18"/>
        <v>0</v>
      </c>
      <c r="R85" s="121">
        <f t="shared" si="19"/>
        <v>0</v>
      </c>
      <c r="S85" s="121">
        <f t="shared" si="20"/>
        <v>0</v>
      </c>
      <c r="T85" s="122">
        <f t="shared" si="30"/>
        <v>0</v>
      </c>
      <c r="U85" s="123" t="str">
        <f t="shared" si="21"/>
        <v/>
      </c>
      <c r="V85" s="124" t="str">
        <f>IF(OR($AM85="",ISNUMBER($AM85)=FALSE),"",IF(AND(#REF!="Tolerance",$E85&lt;&gt;""),($S85-$E85)/(($J85-$K85)/2),IF(AND(#REF!="GD&amp;T",$F85&lt;&gt;""),$S85/$F85,"")))</f>
        <v/>
      </c>
      <c r="W85" s="124" t="str">
        <f t="shared" si="27"/>
        <v/>
      </c>
      <c r="X85" s="123" t="str">
        <f t="shared" si="22"/>
        <v/>
      </c>
      <c r="Y85" s="123" t="str">
        <f t="shared" si="23"/>
        <v/>
      </c>
      <c r="Z85" s="123" t="str">
        <f t="shared" si="24"/>
        <v/>
      </c>
      <c r="AA85" s="34" t="str">
        <f t="shared" si="25"/>
        <v/>
      </c>
      <c r="AB85" s="35" t="e">
        <f>IF($S85="","",IF(#REF!="Tolerance",IF((#REF!*3*T85+S85)-E85&lt;F85,"",(#REF!*3*T85+S85)-E85),IF(OR(#REF!="GD&amp;T",#REF!="MAX"),IF((#REF!*3*T85+S85)&lt;F85,"",(#REF!*3*T85+S85)),"")))</f>
        <v>#REF!</v>
      </c>
      <c r="AC85" s="35" t="e">
        <f>IF(S85="","",IF(#REF!="Tolerance",IF(-((#REF!*3*T85)-S85)-E85&gt;G85,"",-((#REF!*3*T85)-S85)-E85),IF(#REF!="MIN",IF(-((#REF!*3*T85)-S85)&gt;G85,"",-((#REF!*3*T85)-S85)),"")))</f>
        <v>#REF!</v>
      </c>
      <c r="AD85" s="35">
        <f t="shared" si="28"/>
        <v>-4.9999999999999992E-3</v>
      </c>
      <c r="AE85" s="35" t="str">
        <f t="shared" si="26"/>
        <v/>
      </c>
      <c r="AF85" s="125"/>
      <c r="AG85" s="126" t="str">
        <f t="shared" si="29"/>
        <v/>
      </c>
      <c r="AH85" s="145" t="str" cm="1">
        <f t="array" ref="AH85">IF(AND(AM85:BR85 &gt;= IF(K85="",0,K85), AM85:BR85 &lt;= IF(J85="",0,J85)), "OK", "NG")</f>
        <v>OK</v>
      </c>
      <c r="AI85" s="127"/>
      <c r="AJ85" s="127"/>
      <c r="AK85" s="128"/>
      <c r="AM85" s="129"/>
      <c r="AN85" s="129"/>
      <c r="AO85" s="129"/>
      <c r="AP85" s="129"/>
      <c r="AQ85" s="129"/>
      <c r="AR85" s="129"/>
      <c r="AS85" s="129"/>
      <c r="AT85" s="129"/>
      <c r="AU85" s="129"/>
      <c r="AV85" s="129"/>
      <c r="AW85" s="129"/>
      <c r="AX85" s="129"/>
      <c r="AY85" s="129"/>
      <c r="AZ85" s="129"/>
      <c r="BA85" s="129"/>
      <c r="BB85" s="129"/>
      <c r="BC85" s="129"/>
      <c r="BD85" s="129"/>
      <c r="BE85" s="129"/>
      <c r="BF85" s="129"/>
      <c r="BG85" s="129"/>
      <c r="BH85" s="129"/>
      <c r="BI85" s="129"/>
      <c r="BJ85" s="129"/>
      <c r="BK85" s="129"/>
      <c r="BL85" s="129"/>
      <c r="BM85" s="129"/>
      <c r="BN85" s="129"/>
      <c r="BO85" s="129"/>
      <c r="BP85" s="129"/>
      <c r="BQ85" s="129"/>
      <c r="BR85" s="129"/>
    </row>
    <row r="86" spans="2:70" ht="19.2" customHeight="1">
      <c r="B86" s="130" t="s">
        <v>165</v>
      </c>
      <c r="C86" s="65" t="s">
        <v>333</v>
      </c>
      <c r="D86" s="114" t="s">
        <v>152</v>
      </c>
      <c r="E86" s="115">
        <v>-0.45</v>
      </c>
      <c r="F86" s="116">
        <v>0.01</v>
      </c>
      <c r="G86" s="116">
        <v>-0.01</v>
      </c>
      <c r="H86" s="117" t="s">
        <v>154</v>
      </c>
      <c r="I86" s="118"/>
      <c r="J86" s="119">
        <f t="shared" si="16"/>
        <v>-0.44</v>
      </c>
      <c r="K86" s="119">
        <f t="shared" si="17"/>
        <v>-0.46</v>
      </c>
      <c r="L86" s="142">
        <v>-0.4415</v>
      </c>
      <c r="M86" s="142">
        <v>-0.45850000000000002</v>
      </c>
      <c r="N86" s="142"/>
      <c r="O86" s="142"/>
      <c r="P86" s="120"/>
      <c r="Q86" s="121">
        <f t="shared" si="18"/>
        <v>0</v>
      </c>
      <c r="R86" s="121">
        <f t="shared" si="19"/>
        <v>0</v>
      </c>
      <c r="S86" s="121">
        <f t="shared" si="20"/>
        <v>0</v>
      </c>
      <c r="T86" s="122">
        <f t="shared" si="30"/>
        <v>0</v>
      </c>
      <c r="U86" s="123" t="str">
        <f t="shared" si="21"/>
        <v/>
      </c>
      <c r="V86" s="124" t="str">
        <f>IF(OR($AM86="",ISNUMBER($AM86)=FALSE),"",IF(AND(#REF!="Tolerance",$E86&lt;&gt;""),($S86-$E86)/(($J86-$K86)/2),IF(AND(#REF!="GD&amp;T",$F86&lt;&gt;""),$S86/$F86,"")))</f>
        <v/>
      </c>
      <c r="W86" s="124" t="str">
        <f t="shared" si="27"/>
        <v/>
      </c>
      <c r="X86" s="123" t="str">
        <f t="shared" si="22"/>
        <v/>
      </c>
      <c r="Y86" s="123" t="str">
        <f t="shared" si="23"/>
        <v/>
      </c>
      <c r="Z86" s="123" t="str">
        <f t="shared" si="24"/>
        <v/>
      </c>
      <c r="AA86" s="34" t="str">
        <f t="shared" si="25"/>
        <v/>
      </c>
      <c r="AB86" s="35" t="e">
        <f>IF($S86="","",IF(#REF!="Tolerance",IF((#REF!*3*T86+S86)-E86&lt;F86,"",(#REF!*3*T86+S86)-E86),IF(OR(#REF!="GD&amp;T",#REF!="MAX"),IF((#REF!*3*T86+S86)&lt;F86,"",(#REF!*3*T86+S86)),"")))</f>
        <v>#REF!</v>
      </c>
      <c r="AC86" s="35" t="e">
        <f>IF(S86="","",IF(#REF!="Tolerance",IF(-((#REF!*3*T86)-S86)-E86&gt;G86,"",-((#REF!*3*T86)-S86)-E86),IF(#REF!="MIN",IF(-((#REF!*3*T86)-S86)&gt;G86,"",-((#REF!*3*T86)-S86)),"")))</f>
        <v>#REF!</v>
      </c>
      <c r="AD86" s="35">
        <f t="shared" si="28"/>
        <v>-0.45</v>
      </c>
      <c r="AE86" s="35" t="str">
        <f t="shared" si="26"/>
        <v/>
      </c>
      <c r="AF86" s="125"/>
      <c r="AG86" s="126" t="str">
        <f t="shared" si="29"/>
        <v/>
      </c>
      <c r="AH86" s="145" t="str" cm="1">
        <f t="array" ref="AH86">IF(AND(AM86:BR86 &gt;= IF(K86="",0,K86), AM86:BR86 &lt;= IF(J86="",0,J86)), "OK", "NG")</f>
        <v>NG</v>
      </c>
      <c r="AI86" s="127"/>
      <c r="AJ86" s="127"/>
      <c r="AK86" s="128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</row>
    <row r="87" spans="2:70" ht="19.2" customHeight="1">
      <c r="B87" s="130" t="s">
        <v>312</v>
      </c>
      <c r="C87" s="65" t="s">
        <v>334</v>
      </c>
      <c r="D87" s="114" t="s">
        <v>152</v>
      </c>
      <c r="E87" s="115">
        <v>0</v>
      </c>
      <c r="F87" s="116">
        <v>5.0000000000000001E-3</v>
      </c>
      <c r="G87" s="116">
        <v>-1.4999999999999999E-2</v>
      </c>
      <c r="H87" s="117" t="s">
        <v>154</v>
      </c>
      <c r="I87" s="118"/>
      <c r="J87" s="119">
        <f t="shared" si="16"/>
        <v>5.0000000000000001E-3</v>
      </c>
      <c r="K87" s="119">
        <f t="shared" si="17"/>
        <v>-1.4999999999999999E-2</v>
      </c>
      <c r="L87" s="142">
        <v>3.0000000000000001E-3</v>
      </c>
      <c r="M87" s="142">
        <v>-1.2999999999999999E-2</v>
      </c>
      <c r="N87" s="142">
        <v>4.0000000000000001E-3</v>
      </c>
      <c r="O87" s="142">
        <v>-1.2E-2</v>
      </c>
      <c r="P87" s="120"/>
      <c r="Q87" s="121">
        <f t="shared" si="18"/>
        <v>0</v>
      </c>
      <c r="R87" s="121">
        <f t="shared" si="19"/>
        <v>0</v>
      </c>
      <c r="S87" s="121">
        <f t="shared" si="20"/>
        <v>0</v>
      </c>
      <c r="T87" s="122">
        <f t="shared" si="30"/>
        <v>0</v>
      </c>
      <c r="U87" s="123" t="str">
        <f t="shared" si="21"/>
        <v/>
      </c>
      <c r="V87" s="124" t="str">
        <f>IF(OR($AM87="",ISNUMBER($AM87)=FALSE),"",IF(AND(#REF!="Tolerance",$E87&lt;&gt;""),($S87-$E87)/(($J87-$K87)/2),IF(AND(#REF!="GD&amp;T",$F87&lt;&gt;""),$S87/$F87,"")))</f>
        <v/>
      </c>
      <c r="W87" s="124" t="str">
        <f t="shared" si="27"/>
        <v/>
      </c>
      <c r="X87" s="123" t="str">
        <f t="shared" si="22"/>
        <v/>
      </c>
      <c r="Y87" s="123" t="str">
        <f t="shared" si="23"/>
        <v/>
      </c>
      <c r="Z87" s="123" t="str">
        <f t="shared" si="24"/>
        <v/>
      </c>
      <c r="AA87" s="34" t="str">
        <f t="shared" si="25"/>
        <v/>
      </c>
      <c r="AB87" s="35" t="e">
        <f>IF($S87="","",IF(#REF!="Tolerance",IF((#REF!*3*T87+S87)-E87&lt;F87,"",(#REF!*3*T87+S87)-E87),IF(OR(#REF!="GD&amp;T",#REF!="MAX"),IF((#REF!*3*T87+S87)&lt;F87,"",(#REF!*3*T87+S87)),"")))</f>
        <v>#REF!</v>
      </c>
      <c r="AC87" s="35" t="e">
        <f>IF(S87="","",IF(#REF!="Tolerance",IF(-((#REF!*3*T87)-S87)-E87&gt;G87,"",-((#REF!*3*T87)-S87)-E87),IF(#REF!="MIN",IF(-((#REF!*3*T87)-S87)&gt;G87,"",-((#REF!*3*T87)-S87)),"")))</f>
        <v>#REF!</v>
      </c>
      <c r="AD87" s="35">
        <f t="shared" si="28"/>
        <v>-4.9999999999999992E-3</v>
      </c>
      <c r="AE87" s="35" t="str">
        <f t="shared" si="26"/>
        <v/>
      </c>
      <c r="AF87" s="125"/>
      <c r="AG87" s="126" t="str">
        <f t="shared" si="29"/>
        <v/>
      </c>
      <c r="AH87" s="145" t="str" cm="1">
        <f t="array" ref="AH87">IF(AND(AM87:BR87 &gt;= IF(K87="",0,K87), AM87:BR87 &lt;= IF(J87="",0,J87)), "OK", "NG")</f>
        <v>OK</v>
      </c>
      <c r="AI87" s="127"/>
      <c r="AJ87" s="127"/>
      <c r="AK87" s="128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</row>
    <row r="88" spans="2:70" ht="19.2" customHeight="1">
      <c r="B88" s="113" t="s">
        <v>313</v>
      </c>
      <c r="C88" s="65" t="s">
        <v>335</v>
      </c>
      <c r="D88" s="114" t="s">
        <v>45</v>
      </c>
      <c r="E88" s="115">
        <v>15.302</v>
      </c>
      <c r="F88" s="116">
        <v>0.02</v>
      </c>
      <c r="G88" s="116">
        <v>-0.02</v>
      </c>
      <c r="H88" s="117" t="s">
        <v>46</v>
      </c>
      <c r="I88" s="118"/>
      <c r="J88" s="119">
        <f t="shared" si="16"/>
        <v>15.321999999999999</v>
      </c>
      <c r="K88" s="119">
        <f t="shared" si="17"/>
        <v>15.282</v>
      </c>
      <c r="L88" s="142">
        <v>15.318999999999999</v>
      </c>
      <c r="M88" s="142">
        <v>15.285</v>
      </c>
      <c r="N88" s="142"/>
      <c r="O88" s="142"/>
      <c r="P88" s="120"/>
      <c r="Q88" s="121">
        <f t="shared" si="18"/>
        <v>0</v>
      </c>
      <c r="R88" s="121">
        <f t="shared" si="19"/>
        <v>0</v>
      </c>
      <c r="S88" s="121">
        <f t="shared" si="20"/>
        <v>0</v>
      </c>
      <c r="T88" s="122">
        <f t="shared" si="30"/>
        <v>0</v>
      </c>
      <c r="U88" s="123" t="str">
        <f t="shared" si="21"/>
        <v/>
      </c>
      <c r="V88" s="124" t="str">
        <f>IF(OR($AM88="",ISNUMBER($AM88)=FALSE),"",IF(AND(#REF!="Tolerance",$E88&lt;&gt;""),($S88-$E88)/(($J88-$K88)/2),IF(AND(#REF!="GD&amp;T",$F88&lt;&gt;""),$S88/$F88,"")))</f>
        <v/>
      </c>
      <c r="W88" s="124" t="str">
        <f t="shared" si="27"/>
        <v/>
      </c>
      <c r="X88" s="123" t="str">
        <f t="shared" si="22"/>
        <v/>
      </c>
      <c r="Y88" s="123" t="str">
        <f t="shared" si="23"/>
        <v/>
      </c>
      <c r="Z88" s="123" t="str">
        <f t="shared" si="24"/>
        <v/>
      </c>
      <c r="AA88" s="34" t="str">
        <f t="shared" si="25"/>
        <v/>
      </c>
      <c r="AB88" s="35" t="e">
        <f>IF($S88="","",IF(#REF!="Tolerance",IF((#REF!*3*T88+S88)-E88&lt;F88,"",(#REF!*3*T88+S88)-E88),IF(OR(#REF!="GD&amp;T",#REF!="MAX"),IF((#REF!*3*T88+S88)&lt;F88,"",(#REF!*3*T88+S88)),"")))</f>
        <v>#REF!</v>
      </c>
      <c r="AC88" s="35" t="e">
        <f>IF(S88="","",IF(#REF!="Tolerance",IF(-((#REF!*3*T88)-S88)-E88&gt;G88,"",-((#REF!*3*T88)-S88)-E88),IF(#REF!="MIN",IF(-((#REF!*3*T88)-S88)&gt;G88,"",-((#REF!*3*T88)-S88)),"")))</f>
        <v>#REF!</v>
      </c>
      <c r="AD88" s="35">
        <f t="shared" si="28"/>
        <v>15.302</v>
      </c>
      <c r="AE88" s="35" t="str">
        <f t="shared" si="26"/>
        <v/>
      </c>
      <c r="AF88" s="125"/>
      <c r="AG88" s="126" t="str">
        <f t="shared" si="29"/>
        <v/>
      </c>
      <c r="AH88" s="145" t="str" cm="1">
        <f t="array" ref="AH88">IF(AND(AM88:BR88 &gt;= IF(K88="",0,K88), AM88:BR88 &lt;= IF(J88="",0,J88)), "OK", "NG")</f>
        <v>NG</v>
      </c>
      <c r="AI88" s="127"/>
      <c r="AJ88" s="127"/>
      <c r="AK88" s="128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</row>
    <row r="89" spans="2:70" ht="19.2" customHeight="1">
      <c r="B89" s="113" t="s">
        <v>313</v>
      </c>
      <c r="C89" s="65" t="s">
        <v>336</v>
      </c>
      <c r="D89" s="114" t="s">
        <v>45</v>
      </c>
      <c r="E89" s="115">
        <v>15.302</v>
      </c>
      <c r="F89" s="116">
        <v>0.02</v>
      </c>
      <c r="G89" s="116">
        <v>-0.02</v>
      </c>
      <c r="H89" s="117" t="s">
        <v>46</v>
      </c>
      <c r="I89" s="118"/>
      <c r="J89" s="119">
        <f t="shared" si="16"/>
        <v>15.321999999999999</v>
      </c>
      <c r="K89" s="119">
        <f t="shared" si="17"/>
        <v>15.282</v>
      </c>
      <c r="L89" s="142">
        <v>15.318999999999999</v>
      </c>
      <c r="M89" s="142">
        <v>15.285</v>
      </c>
      <c r="N89" s="142"/>
      <c r="O89" s="142"/>
      <c r="P89" s="120"/>
      <c r="Q89" s="121">
        <f t="shared" si="18"/>
        <v>0</v>
      </c>
      <c r="R89" s="121">
        <f t="shared" si="19"/>
        <v>0</v>
      </c>
      <c r="S89" s="121">
        <f t="shared" si="20"/>
        <v>0</v>
      </c>
      <c r="T89" s="122">
        <f t="shared" si="30"/>
        <v>0</v>
      </c>
      <c r="U89" s="123" t="str">
        <f t="shared" si="21"/>
        <v/>
      </c>
      <c r="V89" s="124" t="str">
        <f>IF(OR($AM89="",ISNUMBER($AM89)=FALSE),"",IF(AND(#REF!="Tolerance",$E89&lt;&gt;""),($S89-$E89)/(($J89-$K89)/2),IF(AND(#REF!="GD&amp;T",$F89&lt;&gt;""),$S89/$F89,"")))</f>
        <v/>
      </c>
      <c r="W89" s="124" t="str">
        <f t="shared" si="27"/>
        <v/>
      </c>
      <c r="X89" s="123" t="str">
        <f t="shared" si="22"/>
        <v/>
      </c>
      <c r="Y89" s="123" t="str">
        <f t="shared" si="23"/>
        <v/>
      </c>
      <c r="Z89" s="123" t="str">
        <f t="shared" si="24"/>
        <v/>
      </c>
      <c r="AA89" s="34" t="str">
        <f t="shared" si="25"/>
        <v/>
      </c>
      <c r="AB89" s="35" t="e">
        <f>IF($S89="","",IF(#REF!="Tolerance",IF((#REF!*3*T89+S89)-E89&lt;F89,"",(#REF!*3*T89+S89)-E89),IF(OR(#REF!="GD&amp;T",#REF!="MAX"),IF((#REF!*3*T89+S89)&lt;F89,"",(#REF!*3*T89+S89)),"")))</f>
        <v>#REF!</v>
      </c>
      <c r="AC89" s="35" t="e">
        <f>IF(S89="","",IF(#REF!="Tolerance",IF(-((#REF!*3*T89)-S89)-E89&gt;G89,"",-((#REF!*3*T89)-S89)-E89),IF(#REF!="MIN",IF(-((#REF!*3*T89)-S89)&gt;G89,"",-((#REF!*3*T89)-S89)),"")))</f>
        <v>#REF!</v>
      </c>
      <c r="AD89" s="35">
        <f t="shared" si="28"/>
        <v>15.302</v>
      </c>
      <c r="AE89" s="35" t="str">
        <f t="shared" si="26"/>
        <v/>
      </c>
      <c r="AF89" s="125"/>
      <c r="AG89" s="126" t="str">
        <f t="shared" si="29"/>
        <v/>
      </c>
      <c r="AH89" s="145" t="str" cm="1">
        <f t="array" ref="AH89">IF(AND(AM89:BR89 &gt;= IF(K89="",0,K89), AM89:BR89 &lt;= IF(J89="",0,J89)), "OK", "NG")</f>
        <v>NG</v>
      </c>
      <c r="AI89" s="127"/>
      <c r="AJ89" s="127"/>
      <c r="AK89" s="128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</row>
    <row r="90" spans="2:70" ht="19.2" customHeight="1">
      <c r="B90" s="113" t="s">
        <v>315</v>
      </c>
      <c r="C90" s="65" t="s">
        <v>337</v>
      </c>
      <c r="D90" s="114" t="s">
        <v>45</v>
      </c>
      <c r="E90" s="115">
        <v>1.8360000000000001</v>
      </c>
      <c r="F90" s="116">
        <v>0.02</v>
      </c>
      <c r="G90" s="116">
        <v>-0.02</v>
      </c>
      <c r="H90" s="117" t="s">
        <v>46</v>
      </c>
      <c r="I90" s="118"/>
      <c r="J90" s="119">
        <f t="shared" si="16"/>
        <v>1.8560000000000001</v>
      </c>
      <c r="K90" s="119">
        <f t="shared" si="17"/>
        <v>1.8160000000000001</v>
      </c>
      <c r="L90" s="142">
        <v>1.853</v>
      </c>
      <c r="M90" s="142">
        <v>1.8190000000000002</v>
      </c>
      <c r="N90" s="142"/>
      <c r="O90" s="142"/>
      <c r="P90" s="120"/>
      <c r="Q90" s="121">
        <f t="shared" si="18"/>
        <v>0</v>
      </c>
      <c r="R90" s="121">
        <f t="shared" si="19"/>
        <v>0</v>
      </c>
      <c r="S90" s="121">
        <f t="shared" si="20"/>
        <v>0</v>
      </c>
      <c r="T90" s="122">
        <f t="shared" si="30"/>
        <v>0</v>
      </c>
      <c r="U90" s="123" t="str">
        <f t="shared" si="21"/>
        <v/>
      </c>
      <c r="V90" s="124" t="str">
        <f>IF(OR($AM90="",ISNUMBER($AM90)=FALSE),"",IF(AND(#REF!="Tolerance",$E90&lt;&gt;""),($S90-$E90)/(($J90-$K90)/2),IF(AND(#REF!="GD&amp;T",$F90&lt;&gt;""),$S90/$F90,"")))</f>
        <v/>
      </c>
      <c r="W90" s="124" t="str">
        <f t="shared" si="27"/>
        <v/>
      </c>
      <c r="X90" s="123" t="str">
        <f t="shared" si="22"/>
        <v/>
      </c>
      <c r="Y90" s="123" t="str">
        <f t="shared" si="23"/>
        <v/>
      </c>
      <c r="Z90" s="123" t="str">
        <f t="shared" si="24"/>
        <v/>
      </c>
      <c r="AA90" s="34" t="str">
        <f t="shared" si="25"/>
        <v/>
      </c>
      <c r="AB90" s="35" t="e">
        <f>IF($S90="","",IF(#REF!="Tolerance",IF((#REF!*3*T90+S90)-E90&lt;F90,"",(#REF!*3*T90+S90)-E90),IF(OR(#REF!="GD&amp;T",#REF!="MAX"),IF((#REF!*3*T90+S90)&lt;F90,"",(#REF!*3*T90+S90)),"")))</f>
        <v>#REF!</v>
      </c>
      <c r="AC90" s="35" t="e">
        <f>IF(S90="","",IF(#REF!="Tolerance",IF(-((#REF!*3*T90)-S90)-E90&gt;G90,"",-((#REF!*3*T90)-S90)-E90),IF(#REF!="MIN",IF(-((#REF!*3*T90)-S90)&gt;G90,"",-((#REF!*3*T90)-S90)),"")))</f>
        <v>#REF!</v>
      </c>
      <c r="AD90" s="35">
        <f t="shared" si="28"/>
        <v>1.8360000000000001</v>
      </c>
      <c r="AE90" s="35" t="str">
        <f t="shared" si="26"/>
        <v/>
      </c>
      <c r="AF90" s="125"/>
      <c r="AG90" s="126" t="str">
        <f t="shared" si="29"/>
        <v/>
      </c>
      <c r="AH90" s="145" t="str" cm="1">
        <f t="array" ref="AH90">IF(AND(AM90:BR90 &gt;= IF(K90="",0,K90), AM90:BR90 &lt;= IF(J90="",0,J90)), "OK", "NG")</f>
        <v>NG</v>
      </c>
      <c r="AI90" s="127"/>
      <c r="AJ90" s="127"/>
      <c r="AK90" s="128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</row>
    <row r="91" spans="2:70" ht="19.2" customHeight="1">
      <c r="B91" s="113" t="s">
        <v>351</v>
      </c>
      <c r="C91" s="65" t="s">
        <v>353</v>
      </c>
      <c r="D91" s="114" t="s">
        <v>45</v>
      </c>
      <c r="E91" s="115">
        <v>0.22</v>
      </c>
      <c r="F91" s="116">
        <v>0.02</v>
      </c>
      <c r="G91" s="116">
        <v>-0.02</v>
      </c>
      <c r="H91" s="117" t="s">
        <v>46</v>
      </c>
      <c r="I91" s="118">
        <v>0.23699999999999999</v>
      </c>
      <c r="J91" s="119">
        <f t="shared" si="16"/>
        <v>0.24</v>
      </c>
      <c r="K91" s="119">
        <f t="shared" si="17"/>
        <v>0.2</v>
      </c>
      <c r="L91" s="142">
        <v>0.23699999999999999</v>
      </c>
      <c r="M91" s="142">
        <v>0.20300000000000001</v>
      </c>
      <c r="N91" s="142"/>
      <c r="O91" s="142"/>
      <c r="P91" s="120"/>
      <c r="Q91" s="121">
        <f t="shared" si="18"/>
        <v>0</v>
      </c>
      <c r="R91" s="121">
        <f t="shared" si="19"/>
        <v>0</v>
      </c>
      <c r="S91" s="121">
        <f t="shared" si="20"/>
        <v>0</v>
      </c>
      <c r="T91" s="122">
        <f t="shared" si="30"/>
        <v>0</v>
      </c>
      <c r="U91" s="123" t="str">
        <f t="shared" si="21"/>
        <v/>
      </c>
      <c r="V91" s="124" t="str">
        <f>IF(OR($AM91="",ISNUMBER($AM91)=FALSE),"",IF(AND(#REF!="Tolerance",$E91&lt;&gt;""),($S91-$E91)/(($J91-$K91)/2),IF(AND(#REF!="GD&amp;T",$F91&lt;&gt;""),$S91/$F91,"")))</f>
        <v/>
      </c>
      <c r="W91" s="124" t="str">
        <f t="shared" si="27"/>
        <v/>
      </c>
      <c r="X91" s="123" t="str">
        <f t="shared" si="22"/>
        <v/>
      </c>
      <c r="Y91" s="123" t="str">
        <f t="shared" si="23"/>
        <v/>
      </c>
      <c r="Z91" s="123" t="str">
        <f t="shared" si="24"/>
        <v/>
      </c>
      <c r="AA91" s="34" t="str">
        <f t="shared" si="25"/>
        <v/>
      </c>
      <c r="AB91" s="35" t="e">
        <f>IF($S91="","",IF(#REF!="Tolerance",IF((#REF!*3*T91+S91)-E91&lt;F91,"",(#REF!*3*T91+S91)-E91),IF(OR(#REF!="GD&amp;T",#REF!="MAX"),IF((#REF!*3*T91+S91)&lt;F91,"",(#REF!*3*T91+S91)),"")))</f>
        <v>#REF!</v>
      </c>
      <c r="AC91" s="35" t="e">
        <f>IF(S91="","",IF(#REF!="Tolerance",IF(-((#REF!*3*T91)-S91)-E91&gt;G91,"",-((#REF!*3*T91)-S91)-E91),IF(#REF!="MIN",IF(-((#REF!*3*T91)-S91)&gt;G91,"",-((#REF!*3*T91)-S91)),"")))</f>
        <v>#REF!</v>
      </c>
      <c r="AD91" s="35">
        <f t="shared" si="28"/>
        <v>0.22</v>
      </c>
      <c r="AE91" s="35" t="str">
        <f t="shared" si="26"/>
        <v/>
      </c>
      <c r="AF91" s="125"/>
      <c r="AG91" s="126" t="str">
        <f t="shared" si="29"/>
        <v/>
      </c>
      <c r="AH91" s="145" t="str" cm="1">
        <f t="array" ref="AH91">IF(AND(AM91:BR91 &gt;= IF(K91="",0,K91), AM91:BR91 &lt;= IF(J91="",0,J91)), "OK", "NG")</f>
        <v>NG</v>
      </c>
      <c r="AI91" s="127"/>
      <c r="AJ91" s="127"/>
      <c r="AK91" s="128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</row>
    <row r="92" spans="2:70" ht="19.2" customHeight="1">
      <c r="B92" s="113" t="s">
        <v>351</v>
      </c>
      <c r="C92" s="65" t="s">
        <v>354</v>
      </c>
      <c r="D92" s="114" t="s">
        <v>45</v>
      </c>
      <c r="E92" s="115">
        <v>0.22</v>
      </c>
      <c r="F92" s="116">
        <v>0.02</v>
      </c>
      <c r="G92" s="116">
        <v>-0.02</v>
      </c>
      <c r="H92" s="117" t="s">
        <v>46</v>
      </c>
      <c r="I92" s="118">
        <v>0.23699999999999999</v>
      </c>
      <c r="J92" s="119">
        <f t="shared" si="16"/>
        <v>0.24</v>
      </c>
      <c r="K92" s="119">
        <f t="shared" si="17"/>
        <v>0.2</v>
      </c>
      <c r="L92" s="142">
        <v>0.23699999999999999</v>
      </c>
      <c r="M92" s="142">
        <v>0.20300000000000001</v>
      </c>
      <c r="N92" s="142"/>
      <c r="O92" s="142"/>
      <c r="P92" s="120"/>
      <c r="Q92" s="121">
        <f t="shared" si="18"/>
        <v>0</v>
      </c>
      <c r="R92" s="121">
        <f t="shared" si="19"/>
        <v>0</v>
      </c>
      <c r="S92" s="121">
        <f t="shared" si="20"/>
        <v>0</v>
      </c>
      <c r="T92" s="122">
        <f t="shared" si="30"/>
        <v>0</v>
      </c>
      <c r="U92" s="123" t="str">
        <f t="shared" si="21"/>
        <v/>
      </c>
      <c r="V92" s="124" t="str">
        <f>IF(OR($AM92="",ISNUMBER($AM92)=FALSE),"",IF(AND(#REF!="Tolerance",$E92&lt;&gt;""),($S92-$E92)/(($J92-$K92)/2),IF(AND(#REF!="GD&amp;T",$F92&lt;&gt;""),$S92/$F92,"")))</f>
        <v/>
      </c>
      <c r="W92" s="124" t="str">
        <f t="shared" si="27"/>
        <v/>
      </c>
      <c r="X92" s="123" t="str">
        <f t="shared" si="22"/>
        <v/>
      </c>
      <c r="Y92" s="123" t="str">
        <f t="shared" si="23"/>
        <v/>
      </c>
      <c r="Z92" s="123" t="str">
        <f t="shared" si="24"/>
        <v/>
      </c>
      <c r="AA92" s="34" t="str">
        <f t="shared" si="25"/>
        <v/>
      </c>
      <c r="AB92" s="35" t="e">
        <f>IF($S92="","",IF(#REF!="Tolerance",IF((#REF!*3*T92+S92)-E92&lt;F92,"",(#REF!*3*T92+S92)-E92),IF(OR(#REF!="GD&amp;T",#REF!="MAX"),IF((#REF!*3*T92+S92)&lt;F92,"",(#REF!*3*T92+S92)),"")))</f>
        <v>#REF!</v>
      </c>
      <c r="AC92" s="35" t="e">
        <f>IF(S92="","",IF(#REF!="Tolerance",IF(-((#REF!*3*T92)-S92)-E92&gt;G92,"",-((#REF!*3*T92)-S92)-E92),IF(#REF!="MIN",IF(-((#REF!*3*T92)-S92)&gt;G92,"",-((#REF!*3*T92)-S92)),"")))</f>
        <v>#REF!</v>
      </c>
      <c r="AD92" s="35">
        <f t="shared" si="28"/>
        <v>0.22</v>
      </c>
      <c r="AE92" s="35" t="str">
        <f t="shared" si="26"/>
        <v/>
      </c>
      <c r="AF92" s="125"/>
      <c r="AG92" s="126" t="str">
        <f t="shared" si="29"/>
        <v/>
      </c>
      <c r="AH92" s="145" t="str" cm="1">
        <f t="array" ref="AH92">IF(AND(AM92:BR92 &gt;= IF(K92="",0,K92), AM92:BR92 &lt;= IF(J92="",0,J92)), "OK", "NG")</f>
        <v>NG</v>
      </c>
      <c r="AI92" s="127"/>
      <c r="AJ92" s="127"/>
      <c r="AK92" s="128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</row>
    <row r="93" spans="2:70" ht="19.2" customHeight="1">
      <c r="B93" s="113" t="s">
        <v>352</v>
      </c>
      <c r="C93" s="65" t="s">
        <v>338</v>
      </c>
      <c r="D93" s="114" t="s">
        <v>45</v>
      </c>
      <c r="E93" s="115">
        <v>0.22</v>
      </c>
      <c r="F93" s="116">
        <v>0.03</v>
      </c>
      <c r="G93" s="116">
        <v>-0.02</v>
      </c>
      <c r="H93" s="117" t="s">
        <v>46</v>
      </c>
      <c r="I93" s="118">
        <v>0.23699999999999999</v>
      </c>
      <c r="J93" s="119">
        <f t="shared" si="16"/>
        <v>0.25</v>
      </c>
      <c r="K93" s="119">
        <f t="shared" si="17"/>
        <v>0.2</v>
      </c>
      <c r="L93" s="142">
        <v>0.2455</v>
      </c>
      <c r="M93" s="142">
        <v>0.20300000000000001</v>
      </c>
      <c r="N93" s="142"/>
      <c r="O93" s="142"/>
      <c r="P93" s="120"/>
      <c r="Q93" s="121">
        <f t="shared" si="18"/>
        <v>0</v>
      </c>
      <c r="R93" s="121">
        <f t="shared" si="19"/>
        <v>0</v>
      </c>
      <c r="S93" s="121">
        <f t="shared" si="20"/>
        <v>0</v>
      </c>
      <c r="T93" s="122">
        <f t="shared" si="30"/>
        <v>0</v>
      </c>
      <c r="U93" s="123" t="str">
        <f t="shared" si="21"/>
        <v/>
      </c>
      <c r="V93" s="124" t="str">
        <f>IF(OR($AM93="",ISNUMBER($AM93)=FALSE),"",IF(AND(#REF!="Tolerance",$E93&lt;&gt;""),($S93-$E93)/(($J93-$K93)/2),IF(AND(#REF!="GD&amp;T",$F93&lt;&gt;""),$S93/$F93,"")))</f>
        <v/>
      </c>
      <c r="W93" s="124" t="str">
        <f t="shared" si="27"/>
        <v/>
      </c>
      <c r="X93" s="123" t="str">
        <f t="shared" si="22"/>
        <v/>
      </c>
      <c r="Y93" s="123" t="str">
        <f t="shared" si="23"/>
        <v/>
      </c>
      <c r="Z93" s="123" t="str">
        <f t="shared" si="24"/>
        <v/>
      </c>
      <c r="AA93" s="34" t="str">
        <f t="shared" si="25"/>
        <v/>
      </c>
      <c r="AB93" s="35" t="e">
        <f>IF($S93="","",IF(#REF!="Tolerance",IF((#REF!*3*T93+S93)-E93&lt;F93,"",(#REF!*3*T93+S93)-E93),IF(OR(#REF!="GD&amp;T",#REF!="MAX"),IF((#REF!*3*T93+S93)&lt;F93,"",(#REF!*3*T93+S93)),"")))</f>
        <v>#REF!</v>
      </c>
      <c r="AC93" s="35" t="e">
        <f>IF(S93="","",IF(#REF!="Tolerance",IF(-((#REF!*3*T93)-S93)-E93&gt;G93,"",-((#REF!*3*T93)-S93)-E93),IF(#REF!="MIN",IF(-((#REF!*3*T93)-S93)&gt;G93,"",-((#REF!*3*T93)-S93)),"")))</f>
        <v>#REF!</v>
      </c>
      <c r="AD93" s="35">
        <f t="shared" si="28"/>
        <v>0.22500000000000001</v>
      </c>
      <c r="AE93" s="35" t="str">
        <f t="shared" si="26"/>
        <v/>
      </c>
      <c r="AF93" s="125"/>
      <c r="AG93" s="126" t="str">
        <f t="shared" si="29"/>
        <v/>
      </c>
      <c r="AH93" s="145" t="str" cm="1">
        <f t="array" ref="AH93">IF(AND(AM93:BR93 &gt;= IF(K93="",0,K93), AM93:BR93 &lt;= IF(J93="",0,J93)), "OK", "NG")</f>
        <v>NG</v>
      </c>
      <c r="AI93" s="127"/>
      <c r="AJ93" s="127"/>
      <c r="AK93" s="128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</row>
    <row r="94" spans="2:70" ht="19.2" customHeight="1">
      <c r="B94" s="65" t="s">
        <v>352</v>
      </c>
      <c r="C94" s="65" t="s">
        <v>339</v>
      </c>
      <c r="D94" s="114" t="s">
        <v>45</v>
      </c>
      <c r="E94" s="115">
        <v>0.22</v>
      </c>
      <c r="F94" s="116">
        <v>0.03</v>
      </c>
      <c r="G94" s="116">
        <v>-0.02</v>
      </c>
      <c r="H94" s="117" t="s">
        <v>46</v>
      </c>
      <c r="I94" s="118">
        <v>0.23699999999999999</v>
      </c>
      <c r="J94" s="119">
        <f t="shared" si="16"/>
        <v>0.25</v>
      </c>
      <c r="K94" s="119">
        <f t="shared" si="17"/>
        <v>0.2</v>
      </c>
      <c r="L94" s="142">
        <v>0.2455</v>
      </c>
      <c r="M94" s="142">
        <v>0.20300000000000001</v>
      </c>
      <c r="N94" s="142"/>
      <c r="O94" s="142"/>
      <c r="P94" s="120"/>
      <c r="Q94" s="121">
        <f t="shared" si="18"/>
        <v>0</v>
      </c>
      <c r="R94" s="121">
        <f t="shared" si="19"/>
        <v>0</v>
      </c>
      <c r="S94" s="121">
        <f t="shared" si="20"/>
        <v>0</v>
      </c>
      <c r="T94" s="122">
        <f t="shared" si="30"/>
        <v>0</v>
      </c>
      <c r="U94" s="123" t="str">
        <f t="shared" si="21"/>
        <v/>
      </c>
      <c r="V94" s="124" t="str">
        <f>IF(OR($AM94="",ISNUMBER($AM94)=FALSE),"",IF(AND(#REF!="Tolerance",$E94&lt;&gt;""),($S94-$E94)/(($J94-$K94)/2),IF(AND(#REF!="GD&amp;T",$F94&lt;&gt;""),$S94/$F94,"")))</f>
        <v/>
      </c>
      <c r="W94" s="124" t="str">
        <f t="shared" si="27"/>
        <v/>
      </c>
      <c r="X94" s="123" t="str">
        <f t="shared" si="22"/>
        <v/>
      </c>
      <c r="Y94" s="123" t="str">
        <f t="shared" si="23"/>
        <v/>
      </c>
      <c r="Z94" s="123" t="str">
        <f t="shared" si="24"/>
        <v/>
      </c>
      <c r="AA94" s="34" t="str">
        <f t="shared" si="25"/>
        <v/>
      </c>
      <c r="AB94" s="35" t="e">
        <f>IF($S94="","",IF(#REF!="Tolerance",IF((#REF!*3*T94+S94)-E94&lt;F94,"",(#REF!*3*T94+S94)-E94),IF(OR(#REF!="GD&amp;T",#REF!="MAX"),IF((#REF!*3*T94+S94)&lt;F94,"",(#REF!*3*T94+S94)),"")))</f>
        <v>#REF!</v>
      </c>
      <c r="AC94" s="35" t="e">
        <f>IF(S94="","",IF(#REF!="Tolerance",IF(-((#REF!*3*T94)-S94)-E94&gt;G94,"",-((#REF!*3*T94)-S94)-E94),IF(#REF!="MIN",IF(-((#REF!*3*T94)-S94)&gt;G94,"",-((#REF!*3*T94)-S94)),"")))</f>
        <v>#REF!</v>
      </c>
      <c r="AD94" s="35">
        <f t="shared" si="28"/>
        <v>0.22500000000000001</v>
      </c>
      <c r="AE94" s="35" t="str">
        <f t="shared" si="26"/>
        <v/>
      </c>
      <c r="AF94" s="125"/>
      <c r="AG94" s="126" t="str">
        <f t="shared" si="29"/>
        <v/>
      </c>
      <c r="AH94" s="145" t="str" cm="1">
        <f t="array" ref="AH94">IF(AND(AM94:BR94 &gt;= IF(K94="",0,K94), AM94:BR94 &lt;= IF(J94="",0,J94)), "OK", "NG")</f>
        <v>NG</v>
      </c>
      <c r="AI94" s="127"/>
      <c r="AJ94" s="127"/>
      <c r="AK94" s="128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</row>
    <row r="95" spans="2:70">
      <c r="AH95" s="144">
        <f>COUNTIFS(AH6:AH94,"NG")</f>
        <v>79</v>
      </c>
    </row>
  </sheetData>
  <mergeCells count="8">
    <mergeCell ref="AM3:BR4"/>
    <mergeCell ref="A1:AG1"/>
    <mergeCell ref="B3:K3"/>
    <mergeCell ref="Q3:AG3"/>
    <mergeCell ref="AI3:AK3"/>
    <mergeCell ref="AB4:AC4"/>
    <mergeCell ref="L4:M4"/>
    <mergeCell ref="N4:O4"/>
  </mergeCells>
  <phoneticPr fontId="10" type="noConversion"/>
  <conditionalFormatting sqref="AM6:BR94">
    <cfRule type="cellIs" dxfId="18" priority="1" stopIfTrue="1" operator="notBetween">
      <formula>$E6+$F6</formula>
      <formula>$E6+$G6</formula>
    </cfRule>
    <cfRule type="cellIs" dxfId="17" priority="2" operator="lessThan">
      <formula>$M6</formula>
    </cfRule>
    <cfRule type="cellIs" dxfId="16" priority="3" operator="greaterThan">
      <formula>$L6</formula>
    </cfRule>
  </conditionalFormatting>
  <conditionalFormatting sqref="AM17:BR18">
    <cfRule type="cellIs" dxfId="15" priority="56" operator="lessThan">
      <formula>$O17</formula>
    </cfRule>
    <cfRule type="cellIs" dxfId="14" priority="100" operator="greaterThan">
      <formula>$N17</formula>
    </cfRule>
  </conditionalFormatting>
  <conditionalFormatting sqref="AM27:BR27">
    <cfRule type="cellIs" dxfId="13" priority="52" operator="lessThan">
      <formula>$O27</formula>
    </cfRule>
    <cfRule type="cellIs" dxfId="12" priority="55" operator="greaterThan">
      <formula>$N27</formula>
    </cfRule>
  </conditionalFormatting>
  <conditionalFormatting sqref="AM45:BR48">
    <cfRule type="cellIs" dxfId="11" priority="50" operator="lessThan">
      <formula>$O45</formula>
    </cfRule>
    <cfRule type="cellIs" dxfId="10" priority="51" operator="greaterThan">
      <formula>$N45</formula>
    </cfRule>
  </conditionalFormatting>
  <conditionalFormatting sqref="AM64:BR79">
    <cfRule type="cellIs" dxfId="9" priority="42" operator="lessThan">
      <formula>$O64</formula>
    </cfRule>
    <cfRule type="cellIs" dxfId="8" priority="49" operator="greaterThan">
      <formula>$N64</formula>
    </cfRule>
  </conditionalFormatting>
  <conditionalFormatting sqref="AM81:BR81">
    <cfRule type="cellIs" dxfId="7" priority="10" operator="lessThan">
      <formula>$O81</formula>
    </cfRule>
    <cfRule type="cellIs" dxfId="6" priority="41" operator="greaterThan">
      <formula>$N81</formula>
    </cfRule>
  </conditionalFormatting>
  <conditionalFormatting sqref="AM83:BR83">
    <cfRule type="cellIs" dxfId="5" priority="8" operator="lessThan">
      <formula>$O83</formula>
    </cfRule>
    <cfRule type="cellIs" dxfId="4" priority="9" operator="greaterThan">
      <formula>$N83</formula>
    </cfRule>
  </conditionalFormatting>
  <conditionalFormatting sqref="AM85:BR85">
    <cfRule type="cellIs" dxfId="3" priority="6" operator="lessThan">
      <formula>$O85</formula>
    </cfRule>
    <cfRule type="cellIs" dxfId="2" priority="7" operator="greaterThan">
      <formula>$N85</formula>
    </cfRule>
  </conditionalFormatting>
  <conditionalFormatting sqref="AM87:BR87">
    <cfRule type="cellIs" dxfId="1" priority="4" operator="lessThan">
      <formula>$O87</formula>
    </cfRule>
    <cfRule type="cellIs" dxfId="0" priority="5" operator="greaterThan">
      <formula>$N87</formula>
    </cfRule>
  </conditionalFormatting>
  <dataValidations disablePrompts="1" count="2">
    <dataValidation type="list" allowBlank="1" showInputMessage="1" showErrorMessage="1" sqref="I6:I15" xr:uid="{57C19EB5-10C0-D746-B1FA-431F25DC8ECD}">
      <formula1>gauging</formula1>
    </dataValidation>
    <dataValidation type="list" allowBlank="1" showInputMessage="1" showErrorMessage="1" sqref="H6:H15" xr:uid="{6358524C-3BBA-C248-B7F6-F7F4510B8439}">
      <formula1>insp_meth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AH95 AG6:AH94 J6:K94" unlocked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7B5D-FE56-FC46-A2BC-BA34A1BB8B74}">
  <sheetPr codeName="Sheet5"/>
  <dimension ref="B2:R16"/>
  <sheetViews>
    <sheetView showGridLines="0" topLeftCell="A2" zoomScale="85" zoomScaleNormal="85" workbookViewId="0">
      <selection activeCell="AI6" sqref="AI6:AX106"/>
    </sheetView>
  </sheetViews>
  <sheetFormatPr defaultColWidth="11" defaultRowHeight="17.399999999999999"/>
  <cols>
    <col min="1" max="1" width="1.453125" style="39" customWidth="1"/>
    <col min="2" max="2" width="7.453125" style="39" customWidth="1"/>
    <col min="3" max="3" width="20.81640625" style="38" customWidth="1"/>
    <col min="4" max="5" width="30.81640625" style="39" customWidth="1"/>
    <col min="6" max="6" width="13" style="39" customWidth="1"/>
    <col min="7" max="7" width="13" style="38" customWidth="1"/>
    <col min="8" max="13" width="13" style="39" customWidth="1"/>
    <col min="14" max="14" width="60.81640625" style="40" customWidth="1"/>
    <col min="15" max="15" width="60.81640625" style="39" customWidth="1"/>
    <col min="16" max="18" width="29.81640625" style="39" customWidth="1"/>
    <col min="19" max="19" width="11" style="39"/>
    <col min="20" max="20" width="27.54296875" style="39" bestFit="1" customWidth="1"/>
    <col min="21" max="16384" width="11" style="39"/>
  </cols>
  <sheetData>
    <row r="2" spans="2:18" ht="40.200000000000003" customHeight="1">
      <c r="B2" s="36" t="s">
        <v>96</v>
      </c>
      <c r="C2" s="37"/>
      <c r="D2" s="37"/>
      <c r="E2" s="37"/>
      <c r="F2" s="37"/>
    </row>
    <row r="3" spans="2:18" ht="18" customHeight="1">
      <c r="B3" s="37"/>
      <c r="C3" s="37"/>
      <c r="D3" s="37"/>
      <c r="E3" s="37"/>
      <c r="F3" s="37"/>
    </row>
    <row r="4" spans="2:18" s="41" customFormat="1" ht="19.2" customHeight="1">
      <c r="B4" s="183" t="s">
        <v>97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4" t="s">
        <v>18</v>
      </c>
      <c r="Q4" s="184"/>
      <c r="R4" s="184"/>
    </row>
    <row r="5" spans="2:18" s="43" customFormat="1" ht="19.95" customHeight="1">
      <c r="B5" s="182" t="s">
        <v>98</v>
      </c>
      <c r="C5" s="182" t="s">
        <v>99</v>
      </c>
      <c r="D5" s="182" t="s">
        <v>100</v>
      </c>
      <c r="E5" s="182" t="s">
        <v>101</v>
      </c>
      <c r="F5" s="182" t="s">
        <v>102</v>
      </c>
      <c r="G5" s="182"/>
      <c r="H5" s="182" t="s">
        <v>103</v>
      </c>
      <c r="I5" s="182"/>
      <c r="J5" s="182" t="s">
        <v>104</v>
      </c>
      <c r="K5" s="182"/>
      <c r="L5" s="182"/>
      <c r="M5" s="182"/>
      <c r="N5" s="182" t="s">
        <v>105</v>
      </c>
      <c r="O5" s="182" t="s">
        <v>106</v>
      </c>
      <c r="P5" s="182" t="s">
        <v>107</v>
      </c>
      <c r="Q5" s="182" t="s">
        <v>108</v>
      </c>
      <c r="R5" s="182" t="s">
        <v>109</v>
      </c>
    </row>
    <row r="6" spans="2:18" s="43" customFormat="1" ht="19.95" customHeight="1">
      <c r="B6" s="182"/>
      <c r="C6" s="182"/>
      <c r="D6" s="182"/>
      <c r="E6" s="182"/>
      <c r="F6" s="42" t="s">
        <v>110</v>
      </c>
      <c r="G6" s="42" t="s">
        <v>111</v>
      </c>
      <c r="H6" s="42" t="s">
        <v>112</v>
      </c>
      <c r="I6" s="42" t="s">
        <v>111</v>
      </c>
      <c r="J6" s="42" t="s">
        <v>113</v>
      </c>
      <c r="K6" s="42" t="s">
        <v>114</v>
      </c>
      <c r="L6" s="42" t="s">
        <v>115</v>
      </c>
      <c r="M6" s="42" t="s">
        <v>116</v>
      </c>
      <c r="N6" s="182"/>
      <c r="O6" s="182"/>
      <c r="P6" s="182"/>
      <c r="Q6" s="182"/>
      <c r="R6" s="182"/>
    </row>
    <row r="7" spans="2:18" s="41" customFormat="1" ht="40.200000000000003" customHeight="1">
      <c r="B7" s="44">
        <v>1</v>
      </c>
      <c r="C7" s="45"/>
      <c r="D7" s="45"/>
      <c r="E7" s="46"/>
      <c r="F7" s="47"/>
      <c r="G7" s="47"/>
      <c r="H7" s="48"/>
      <c r="I7" s="47"/>
      <c r="J7" s="47"/>
      <c r="K7" s="47"/>
      <c r="L7" s="47"/>
      <c r="M7" s="47"/>
      <c r="N7" s="49"/>
      <c r="O7" s="50"/>
      <c r="P7" s="51"/>
      <c r="Q7" s="51"/>
      <c r="R7" s="51"/>
    </row>
    <row r="8" spans="2:18" s="41" customFormat="1" ht="40.200000000000003" customHeight="1">
      <c r="B8" s="44">
        <v>2</v>
      </c>
      <c r="C8" s="45"/>
      <c r="D8" s="52"/>
      <c r="E8" s="46"/>
      <c r="F8" s="47"/>
      <c r="G8" s="47"/>
      <c r="H8" s="48"/>
      <c r="I8" s="47"/>
      <c r="J8" s="47"/>
      <c r="K8" s="47"/>
      <c r="L8" s="47"/>
      <c r="M8" s="47"/>
      <c r="N8" s="49"/>
      <c r="O8" s="53"/>
      <c r="P8" s="51"/>
      <c r="Q8" s="51"/>
      <c r="R8" s="51"/>
    </row>
    <row r="9" spans="2:18" s="41" customFormat="1" ht="40.200000000000003" customHeight="1">
      <c r="B9" s="44">
        <v>3</v>
      </c>
      <c r="C9" s="45"/>
      <c r="D9" s="52"/>
      <c r="E9" s="46"/>
      <c r="F9" s="47"/>
      <c r="G9" s="47"/>
      <c r="H9" s="48"/>
      <c r="I9" s="47"/>
      <c r="J9" s="47"/>
      <c r="K9" s="47"/>
      <c r="L9" s="47"/>
      <c r="M9" s="47"/>
      <c r="N9" s="49"/>
      <c r="O9" s="53"/>
      <c r="P9" s="51"/>
      <c r="Q9" s="51"/>
      <c r="R9" s="51"/>
    </row>
    <row r="10" spans="2:18" s="41" customFormat="1" ht="40.200000000000003" customHeight="1">
      <c r="B10" s="44">
        <v>4</v>
      </c>
      <c r="C10" s="45"/>
      <c r="D10" s="52"/>
      <c r="E10" s="46"/>
      <c r="F10" s="47"/>
      <c r="G10" s="47"/>
      <c r="H10" s="48"/>
      <c r="I10" s="47"/>
      <c r="J10" s="47"/>
      <c r="K10" s="47"/>
      <c r="L10" s="47"/>
      <c r="M10" s="47"/>
      <c r="N10" s="49"/>
      <c r="O10" s="53"/>
      <c r="P10" s="51"/>
      <c r="Q10" s="51"/>
      <c r="R10" s="51"/>
    </row>
    <row r="11" spans="2:18" s="41" customFormat="1" ht="40.200000000000003" customHeight="1">
      <c r="B11" s="44">
        <v>5</v>
      </c>
      <c r="C11" s="45"/>
      <c r="D11" s="52"/>
      <c r="E11" s="46"/>
      <c r="F11" s="47"/>
      <c r="G11" s="47"/>
      <c r="H11" s="48"/>
      <c r="I11" s="47"/>
      <c r="J11" s="47"/>
      <c r="K11" s="47"/>
      <c r="L11" s="47"/>
      <c r="M11" s="47"/>
      <c r="N11" s="49"/>
      <c r="O11" s="53"/>
      <c r="P11" s="51"/>
      <c r="Q11" s="51"/>
      <c r="R11" s="51"/>
    </row>
    <row r="12" spans="2:18" s="41" customFormat="1" ht="40.200000000000003" customHeight="1">
      <c r="B12" s="44">
        <v>6</v>
      </c>
      <c r="C12" s="45"/>
      <c r="D12" s="52"/>
      <c r="E12" s="46"/>
      <c r="F12" s="47"/>
      <c r="G12" s="47"/>
      <c r="H12" s="48"/>
      <c r="I12" s="47"/>
      <c r="J12" s="47"/>
      <c r="K12" s="47"/>
      <c r="L12" s="47"/>
      <c r="M12" s="47"/>
      <c r="N12" s="49"/>
      <c r="O12" s="53"/>
      <c r="P12" s="51"/>
      <c r="Q12" s="51"/>
      <c r="R12" s="51"/>
    </row>
    <row r="13" spans="2:18" s="41" customFormat="1" ht="40.200000000000003" customHeight="1">
      <c r="B13" s="44">
        <v>7</v>
      </c>
      <c r="C13" s="45"/>
      <c r="D13" s="52"/>
      <c r="E13" s="46"/>
      <c r="F13" s="47"/>
      <c r="G13" s="47"/>
      <c r="H13" s="48"/>
      <c r="I13" s="47"/>
      <c r="J13" s="47"/>
      <c r="K13" s="47"/>
      <c r="L13" s="47"/>
      <c r="M13" s="47"/>
      <c r="N13" s="49"/>
      <c r="O13" s="53"/>
      <c r="P13" s="51"/>
      <c r="Q13" s="51"/>
      <c r="R13" s="51"/>
    </row>
    <row r="14" spans="2:18" s="41" customFormat="1" ht="40.200000000000003" customHeight="1">
      <c r="B14" s="44">
        <v>8</v>
      </c>
      <c r="C14" s="45"/>
      <c r="D14" s="52"/>
      <c r="E14" s="46"/>
      <c r="F14" s="47"/>
      <c r="G14" s="47"/>
      <c r="H14" s="48"/>
      <c r="I14" s="47"/>
      <c r="J14" s="47"/>
      <c r="K14" s="47"/>
      <c r="L14" s="47"/>
      <c r="M14" s="47"/>
      <c r="N14" s="49"/>
      <c r="O14" s="53"/>
      <c r="P14" s="51"/>
      <c r="Q14" s="51"/>
      <c r="R14" s="51"/>
    </row>
    <row r="15" spans="2:18" s="41" customFormat="1" ht="40.200000000000003" customHeight="1">
      <c r="B15" s="44">
        <v>9</v>
      </c>
      <c r="C15" s="45"/>
      <c r="D15" s="52"/>
      <c r="E15" s="46"/>
      <c r="F15" s="47"/>
      <c r="G15" s="47"/>
      <c r="H15" s="48"/>
      <c r="I15" s="47"/>
      <c r="J15" s="47"/>
      <c r="K15" s="47"/>
      <c r="L15" s="47"/>
      <c r="M15" s="47"/>
      <c r="N15" s="49"/>
      <c r="O15" s="53"/>
      <c r="P15" s="51"/>
      <c r="Q15" s="51"/>
      <c r="R15" s="51"/>
    </row>
    <row r="16" spans="2:18" s="41" customFormat="1" ht="40.200000000000003" customHeight="1">
      <c r="B16" s="44">
        <v>10</v>
      </c>
      <c r="C16" s="45"/>
      <c r="D16" s="52"/>
      <c r="E16" s="46"/>
      <c r="F16" s="47"/>
      <c r="G16" s="47"/>
      <c r="H16" s="48"/>
      <c r="I16" s="47"/>
      <c r="J16" s="47"/>
      <c r="K16" s="47"/>
      <c r="L16" s="47"/>
      <c r="M16" s="47"/>
      <c r="N16" s="49"/>
      <c r="O16" s="53"/>
      <c r="P16" s="51"/>
      <c r="Q16" s="51"/>
      <c r="R16" s="51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DF64-00F4-354B-A2F7-7C2D1FC92393}">
  <sheetPr codeName="Sheet6"/>
  <dimension ref="B2:W11"/>
  <sheetViews>
    <sheetView showGridLines="0" zoomScale="70" zoomScaleNormal="70" workbookViewId="0">
      <selection activeCell="B1" sqref="B1"/>
    </sheetView>
  </sheetViews>
  <sheetFormatPr defaultColWidth="11" defaultRowHeight="17.399999999999999"/>
  <cols>
    <col min="1" max="1" width="1.453125" style="39" customWidth="1"/>
    <col min="2" max="2" width="7.453125" style="39" customWidth="1"/>
    <col min="3" max="3" width="15.81640625" style="38" customWidth="1"/>
    <col min="4" max="4" width="15.81640625" style="39" customWidth="1"/>
    <col min="5" max="6" width="30.81640625" style="39" customWidth="1"/>
    <col min="7" max="8" width="13" style="39" customWidth="1"/>
    <col min="9" max="9" width="13" style="38" customWidth="1"/>
    <col min="10" max="18" width="15.81640625" style="39" customWidth="1"/>
    <col min="19" max="19" width="60.81640625" style="40" customWidth="1"/>
    <col min="20" max="20" width="60.81640625" style="39" customWidth="1"/>
    <col min="21" max="23" width="29.81640625" style="39" hidden="1" customWidth="1"/>
    <col min="24" max="24" width="11" style="39"/>
    <col min="25" max="25" width="27.54296875" style="39" bestFit="1" customWidth="1"/>
    <col min="26" max="16384" width="11" style="39"/>
  </cols>
  <sheetData>
    <row r="2" spans="2:23" ht="40.200000000000003" customHeight="1">
      <c r="B2" s="36" t="s">
        <v>117</v>
      </c>
      <c r="C2" s="37"/>
      <c r="D2" s="37"/>
      <c r="E2" s="37"/>
      <c r="F2" s="37"/>
      <c r="G2" s="37"/>
      <c r="H2" s="37"/>
    </row>
    <row r="3" spans="2:23" ht="18" customHeight="1">
      <c r="B3" s="37"/>
      <c r="C3" s="37"/>
      <c r="D3" s="37"/>
      <c r="E3" s="37"/>
      <c r="F3" s="37"/>
      <c r="G3" s="37"/>
      <c r="H3" s="37"/>
    </row>
    <row r="4" spans="2:23" s="41" customFormat="1" ht="19.2" customHeight="1">
      <c r="B4" s="183" t="s">
        <v>97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4" t="s">
        <v>18</v>
      </c>
      <c r="V4" s="184"/>
      <c r="W4" s="184"/>
    </row>
    <row r="5" spans="2:23" s="43" customFormat="1" ht="19.95" customHeight="1">
      <c r="B5" s="182" t="s">
        <v>98</v>
      </c>
      <c r="C5" s="182" t="s">
        <v>118</v>
      </c>
      <c r="D5" s="182" t="s">
        <v>119</v>
      </c>
      <c r="E5" s="182" t="s">
        <v>100</v>
      </c>
      <c r="F5" s="182" t="s">
        <v>120</v>
      </c>
      <c r="G5" s="182" t="s">
        <v>121</v>
      </c>
      <c r="H5" s="182"/>
      <c r="I5" s="182"/>
      <c r="J5" s="182" t="s">
        <v>75</v>
      </c>
      <c r="K5" s="182"/>
      <c r="L5" s="182"/>
      <c r="M5" s="182" t="s">
        <v>122</v>
      </c>
      <c r="N5" s="182"/>
      <c r="O5" s="182"/>
      <c r="P5" s="182"/>
      <c r="Q5" s="182"/>
      <c r="R5" s="182"/>
      <c r="S5" s="182" t="s">
        <v>105</v>
      </c>
      <c r="T5" s="182" t="s">
        <v>106</v>
      </c>
      <c r="U5" s="182" t="s">
        <v>107</v>
      </c>
      <c r="V5" s="182" t="s">
        <v>108</v>
      </c>
      <c r="W5" s="182" t="s">
        <v>109</v>
      </c>
    </row>
    <row r="6" spans="2:23" s="43" customFormat="1" ht="19.95" customHeight="1">
      <c r="B6" s="182"/>
      <c r="C6" s="182"/>
      <c r="D6" s="182"/>
      <c r="E6" s="182"/>
      <c r="F6" s="182"/>
      <c r="G6" s="42" t="s">
        <v>32</v>
      </c>
      <c r="H6" s="42" t="s">
        <v>123</v>
      </c>
      <c r="I6" s="42" t="s">
        <v>124</v>
      </c>
      <c r="J6" s="42" t="s">
        <v>69</v>
      </c>
      <c r="K6" s="42" t="s">
        <v>74</v>
      </c>
      <c r="L6" s="42" t="s">
        <v>125</v>
      </c>
      <c r="M6" s="42" t="s">
        <v>32</v>
      </c>
      <c r="N6" s="42" t="s">
        <v>123</v>
      </c>
      <c r="O6" s="42" t="s">
        <v>124</v>
      </c>
      <c r="P6" s="42" t="s">
        <v>69</v>
      </c>
      <c r="Q6" s="42" t="s">
        <v>74</v>
      </c>
      <c r="R6" s="42" t="s">
        <v>125</v>
      </c>
      <c r="S6" s="182"/>
      <c r="T6" s="182"/>
      <c r="U6" s="182"/>
      <c r="V6" s="182"/>
      <c r="W6" s="182"/>
    </row>
    <row r="7" spans="2:23" s="41" customFormat="1" ht="40.200000000000003" customHeight="1">
      <c r="B7" s="44">
        <v>1</v>
      </c>
      <c r="C7" s="45"/>
      <c r="D7" s="45"/>
      <c r="E7" s="45"/>
      <c r="F7" s="45"/>
      <c r="G7" s="54"/>
      <c r="H7" s="54"/>
      <c r="I7" s="54"/>
      <c r="J7" s="54"/>
      <c r="K7" s="54"/>
      <c r="L7" s="54"/>
      <c r="M7" s="47"/>
      <c r="N7" s="47"/>
      <c r="O7" s="47"/>
      <c r="P7" s="47"/>
      <c r="Q7" s="47"/>
      <c r="R7" s="47"/>
      <c r="S7" s="55"/>
      <c r="T7" s="53"/>
      <c r="U7" s="51"/>
      <c r="V7" s="51"/>
      <c r="W7" s="51"/>
    </row>
    <row r="8" spans="2:23" s="41" customFormat="1" ht="40.200000000000003" customHeight="1">
      <c r="B8" s="44">
        <v>2</v>
      </c>
      <c r="C8" s="45"/>
      <c r="D8" s="45"/>
      <c r="E8" s="45"/>
      <c r="F8" s="45"/>
      <c r="G8" s="54"/>
      <c r="H8" s="54"/>
      <c r="I8" s="54"/>
      <c r="J8" s="54"/>
      <c r="K8" s="54"/>
      <c r="L8" s="54"/>
      <c r="M8" s="47"/>
      <c r="N8" s="47"/>
      <c r="O8" s="47"/>
      <c r="P8" s="47"/>
      <c r="Q8" s="47"/>
      <c r="R8" s="47"/>
      <c r="S8" s="56"/>
      <c r="T8" s="53"/>
      <c r="U8" s="51"/>
      <c r="V8" s="51"/>
      <c r="W8" s="51"/>
    </row>
    <row r="9" spans="2:23" s="41" customFormat="1" ht="40.200000000000003" customHeight="1">
      <c r="B9" s="44">
        <v>3</v>
      </c>
      <c r="C9" s="45"/>
      <c r="D9" s="45"/>
      <c r="E9" s="45"/>
      <c r="F9" s="45"/>
      <c r="G9" s="52"/>
      <c r="H9" s="47"/>
      <c r="I9" s="47"/>
      <c r="J9" s="49"/>
      <c r="K9" s="53"/>
      <c r="L9" s="51"/>
      <c r="M9" s="51"/>
      <c r="N9" s="51"/>
      <c r="O9" s="51"/>
      <c r="P9" s="51"/>
      <c r="Q9" s="51"/>
      <c r="R9" s="51"/>
      <c r="S9" s="51"/>
      <c r="T9" s="51"/>
    </row>
    <row r="10" spans="2:23" s="41" customFormat="1" ht="40.200000000000003" customHeight="1">
      <c r="B10" s="44">
        <v>4</v>
      </c>
      <c r="C10" s="45"/>
      <c r="D10" s="45"/>
      <c r="E10" s="45"/>
      <c r="F10" s="45"/>
      <c r="G10" s="52"/>
      <c r="H10" s="47"/>
      <c r="I10" s="47"/>
      <c r="J10" s="49"/>
      <c r="K10" s="53"/>
      <c r="L10" s="51"/>
      <c r="M10" s="51"/>
      <c r="N10" s="51"/>
      <c r="O10" s="51"/>
      <c r="P10" s="51"/>
      <c r="Q10" s="51"/>
      <c r="R10" s="51"/>
      <c r="S10" s="51"/>
      <c r="T10" s="51"/>
    </row>
    <row r="11" spans="2:23" s="41" customFormat="1" ht="40.200000000000003" customHeight="1">
      <c r="B11" s="44">
        <v>5</v>
      </c>
      <c r="C11" s="45"/>
      <c r="D11" s="45"/>
      <c r="E11" s="45"/>
      <c r="F11" s="45"/>
      <c r="G11" s="52"/>
      <c r="H11" s="47"/>
      <c r="I11" s="47"/>
      <c r="J11" s="49"/>
      <c r="K11" s="53"/>
      <c r="L11" s="51"/>
      <c r="M11" s="51"/>
      <c r="N11" s="51"/>
      <c r="O11" s="51"/>
      <c r="P11" s="51"/>
      <c r="Q11" s="51"/>
      <c r="R11" s="51"/>
      <c r="S11" s="51"/>
      <c r="T11" s="51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C25C-9C78-3140-A4BC-86F8E15E8E52}">
  <sheetPr codeName="Sheet7"/>
  <dimension ref="B2:W16"/>
  <sheetViews>
    <sheetView showGridLines="0" topLeftCell="A6" zoomScaleNormal="100" workbookViewId="0">
      <selection activeCell="A72" sqref="A72:XFD76"/>
    </sheetView>
  </sheetViews>
  <sheetFormatPr defaultColWidth="11" defaultRowHeight="17.399999999999999"/>
  <cols>
    <col min="1" max="1" width="1.453125" style="39" customWidth="1"/>
    <col min="2" max="2" width="7.453125" style="39" customWidth="1"/>
    <col min="3" max="3" width="15.81640625" style="38" customWidth="1"/>
    <col min="4" max="4" width="15.81640625" style="39" customWidth="1"/>
    <col min="5" max="6" width="30.81640625" style="39" customWidth="1"/>
    <col min="7" max="8" width="13" style="39" customWidth="1"/>
    <col min="9" max="9" width="13" style="38" customWidth="1"/>
    <col min="10" max="18" width="15.81640625" style="39" customWidth="1"/>
    <col min="19" max="19" width="60.81640625" style="40" customWidth="1"/>
    <col min="20" max="20" width="60.81640625" style="39" customWidth="1"/>
    <col min="21" max="23" width="29.81640625" style="39" customWidth="1"/>
    <col min="24" max="24" width="11" style="39"/>
    <col min="25" max="25" width="27.54296875" style="39" bestFit="1" customWidth="1"/>
    <col min="26" max="16384" width="11" style="39"/>
  </cols>
  <sheetData>
    <row r="2" spans="2:23" ht="40.200000000000003" customHeight="1">
      <c r="B2" s="36" t="s">
        <v>126</v>
      </c>
      <c r="C2" s="37"/>
      <c r="D2" s="37"/>
      <c r="E2" s="37"/>
      <c r="F2" s="37"/>
      <c r="G2" s="37"/>
      <c r="H2" s="37"/>
    </row>
    <row r="3" spans="2:23" ht="18" customHeight="1">
      <c r="B3" s="37"/>
      <c r="C3" s="37"/>
      <c r="D3" s="37"/>
      <c r="E3" s="37"/>
      <c r="F3" s="37"/>
      <c r="G3" s="37"/>
      <c r="H3" s="37"/>
    </row>
    <row r="4" spans="2:23" s="41" customFormat="1" ht="19.2" customHeight="1">
      <c r="B4" s="183" t="s">
        <v>97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4" t="s">
        <v>18</v>
      </c>
      <c r="V4" s="184"/>
      <c r="W4" s="184"/>
    </row>
    <row r="5" spans="2:23" s="43" customFormat="1" ht="19.95" customHeight="1">
      <c r="B5" s="182" t="s">
        <v>98</v>
      </c>
      <c r="C5" s="185" t="s">
        <v>118</v>
      </c>
      <c r="D5" s="185" t="s">
        <v>119</v>
      </c>
      <c r="E5" s="182" t="s">
        <v>100</v>
      </c>
      <c r="F5" s="182" t="s">
        <v>35</v>
      </c>
      <c r="G5" s="182" t="s">
        <v>121</v>
      </c>
      <c r="H5" s="182"/>
      <c r="I5" s="182"/>
      <c r="J5" s="182" t="s">
        <v>75</v>
      </c>
      <c r="K5" s="182"/>
      <c r="L5" s="182"/>
      <c r="M5" s="182" t="s">
        <v>122</v>
      </c>
      <c r="N5" s="182"/>
      <c r="O5" s="182"/>
      <c r="P5" s="182"/>
      <c r="Q5" s="182"/>
      <c r="R5" s="182"/>
      <c r="S5" s="182" t="s">
        <v>105</v>
      </c>
      <c r="T5" s="182" t="s">
        <v>106</v>
      </c>
      <c r="U5" s="182" t="s">
        <v>107</v>
      </c>
      <c r="V5" s="182" t="s">
        <v>108</v>
      </c>
      <c r="W5" s="182" t="s">
        <v>109</v>
      </c>
    </row>
    <row r="6" spans="2:23" s="43" customFormat="1" ht="19.95" customHeight="1">
      <c r="B6" s="182"/>
      <c r="C6" s="186"/>
      <c r="D6" s="186"/>
      <c r="E6" s="182"/>
      <c r="F6" s="182"/>
      <c r="G6" s="42" t="s">
        <v>32</v>
      </c>
      <c r="H6" s="42" t="s">
        <v>123</v>
      </c>
      <c r="I6" s="42" t="s">
        <v>124</v>
      </c>
      <c r="J6" s="42" t="s">
        <v>69</v>
      </c>
      <c r="K6" s="42" t="s">
        <v>74</v>
      </c>
      <c r="L6" s="42" t="s">
        <v>125</v>
      </c>
      <c r="M6" s="42" t="s">
        <v>32</v>
      </c>
      <c r="N6" s="42" t="s">
        <v>123</v>
      </c>
      <c r="O6" s="42" t="s">
        <v>124</v>
      </c>
      <c r="P6" s="42" t="s">
        <v>69</v>
      </c>
      <c r="Q6" s="42" t="s">
        <v>74</v>
      </c>
      <c r="R6" s="42" t="s">
        <v>125</v>
      </c>
      <c r="S6" s="182"/>
      <c r="T6" s="182"/>
      <c r="U6" s="182"/>
      <c r="V6" s="182"/>
      <c r="W6" s="182"/>
    </row>
    <row r="7" spans="2:23" s="41" customFormat="1" ht="40.200000000000003" customHeight="1">
      <c r="B7" s="44">
        <v>1</v>
      </c>
      <c r="C7" s="45"/>
      <c r="D7" s="52"/>
      <c r="E7" s="46"/>
      <c r="F7" s="46"/>
      <c r="G7" s="47"/>
      <c r="H7" s="47"/>
      <c r="I7" s="47"/>
      <c r="J7" s="48"/>
      <c r="K7" s="48"/>
      <c r="L7" s="47"/>
      <c r="M7" s="47"/>
      <c r="N7" s="47"/>
      <c r="O7" s="47"/>
      <c r="P7" s="47"/>
      <c r="Q7" s="47"/>
      <c r="R7" s="47"/>
      <c r="S7" s="49"/>
      <c r="T7" s="53"/>
      <c r="U7" s="51"/>
      <c r="V7" s="51"/>
      <c r="W7" s="51"/>
    </row>
    <row r="8" spans="2:23" s="41" customFormat="1" ht="40.200000000000003" customHeight="1">
      <c r="B8" s="44">
        <v>2</v>
      </c>
      <c r="C8" s="45"/>
      <c r="D8" s="52"/>
      <c r="E8" s="46"/>
      <c r="F8" s="46"/>
      <c r="G8" s="47"/>
      <c r="H8" s="47"/>
      <c r="I8" s="47"/>
      <c r="J8" s="48"/>
      <c r="K8" s="48"/>
      <c r="L8" s="47"/>
      <c r="M8" s="47"/>
      <c r="N8" s="47"/>
      <c r="O8" s="47"/>
      <c r="P8" s="47"/>
      <c r="Q8" s="47"/>
      <c r="R8" s="47"/>
      <c r="S8" s="49"/>
      <c r="T8" s="53"/>
      <c r="U8" s="51"/>
      <c r="V8" s="51"/>
      <c r="W8" s="51"/>
    </row>
    <row r="9" spans="2:23" s="41" customFormat="1" ht="40.200000000000003" customHeight="1">
      <c r="B9" s="44">
        <v>3</v>
      </c>
      <c r="C9" s="45"/>
      <c r="D9" s="52"/>
      <c r="E9" s="46"/>
      <c r="F9" s="46"/>
      <c r="G9" s="47"/>
      <c r="H9" s="47"/>
      <c r="I9" s="47"/>
      <c r="J9" s="48"/>
      <c r="K9" s="48"/>
      <c r="L9" s="47"/>
      <c r="M9" s="47"/>
      <c r="N9" s="47"/>
      <c r="O9" s="47"/>
      <c r="P9" s="47"/>
      <c r="Q9" s="47"/>
      <c r="R9" s="47"/>
      <c r="S9" s="49"/>
      <c r="T9" s="53"/>
      <c r="U9" s="51"/>
      <c r="V9" s="51"/>
      <c r="W9" s="51"/>
    </row>
    <row r="10" spans="2:23" s="41" customFormat="1" ht="40.200000000000003" customHeight="1">
      <c r="B10" s="44">
        <v>4</v>
      </c>
      <c r="C10" s="45"/>
      <c r="D10" s="52"/>
      <c r="E10" s="46"/>
      <c r="F10" s="46"/>
      <c r="G10" s="47"/>
      <c r="H10" s="47"/>
      <c r="I10" s="47"/>
      <c r="J10" s="48"/>
      <c r="K10" s="48"/>
      <c r="L10" s="47"/>
      <c r="M10" s="47"/>
      <c r="N10" s="47"/>
      <c r="O10" s="47"/>
      <c r="P10" s="47"/>
      <c r="Q10" s="47"/>
      <c r="R10" s="47"/>
      <c r="S10" s="49"/>
      <c r="T10" s="53"/>
      <c r="U10" s="51"/>
      <c r="V10" s="51"/>
      <c r="W10" s="51"/>
    </row>
    <row r="11" spans="2:23" s="41" customFormat="1" ht="40.200000000000003" customHeight="1">
      <c r="B11" s="44">
        <v>5</v>
      </c>
      <c r="C11" s="45"/>
      <c r="D11" s="52"/>
      <c r="E11" s="46"/>
      <c r="F11" s="46"/>
      <c r="G11" s="47"/>
      <c r="H11" s="47"/>
      <c r="I11" s="47"/>
      <c r="J11" s="48"/>
      <c r="K11" s="48"/>
      <c r="L11" s="47"/>
      <c r="M11" s="47"/>
      <c r="N11" s="47"/>
      <c r="O11" s="47"/>
      <c r="P11" s="47"/>
      <c r="Q11" s="47"/>
      <c r="R11" s="47"/>
      <c r="S11" s="49"/>
      <c r="T11" s="53"/>
      <c r="U11" s="51"/>
      <c r="V11" s="51"/>
      <c r="W11" s="51"/>
    </row>
    <row r="12" spans="2:23" s="41" customFormat="1" ht="40.200000000000003" customHeight="1">
      <c r="B12" s="44">
        <v>6</v>
      </c>
      <c r="C12" s="45"/>
      <c r="D12" s="52"/>
      <c r="E12" s="46"/>
      <c r="F12" s="46"/>
      <c r="G12" s="47"/>
      <c r="H12" s="47"/>
      <c r="I12" s="47"/>
      <c r="J12" s="48"/>
      <c r="K12" s="48"/>
      <c r="L12" s="47"/>
      <c r="M12" s="47"/>
      <c r="N12" s="47"/>
      <c r="O12" s="47"/>
      <c r="P12" s="47"/>
      <c r="Q12" s="47"/>
      <c r="R12" s="47"/>
      <c r="S12" s="49"/>
      <c r="T12" s="53"/>
      <c r="U12" s="51"/>
      <c r="V12" s="51"/>
      <c r="W12" s="51"/>
    </row>
    <row r="13" spans="2:23" s="41" customFormat="1" ht="40.200000000000003" customHeight="1">
      <c r="B13" s="44">
        <v>7</v>
      </c>
      <c r="C13" s="45"/>
      <c r="D13" s="52"/>
      <c r="E13" s="46"/>
      <c r="F13" s="46"/>
      <c r="G13" s="47"/>
      <c r="H13" s="47"/>
      <c r="I13" s="47"/>
      <c r="J13" s="48"/>
      <c r="K13" s="48"/>
      <c r="L13" s="47"/>
      <c r="M13" s="47"/>
      <c r="N13" s="47"/>
      <c r="O13" s="47"/>
      <c r="P13" s="47"/>
      <c r="Q13" s="47"/>
      <c r="R13" s="47"/>
      <c r="S13" s="49"/>
      <c r="T13" s="53"/>
      <c r="U13" s="51"/>
      <c r="V13" s="51"/>
      <c r="W13" s="51"/>
    </row>
    <row r="14" spans="2:23" s="41" customFormat="1" ht="40.200000000000003" customHeight="1">
      <c r="B14" s="44">
        <v>8</v>
      </c>
      <c r="C14" s="45"/>
      <c r="D14" s="52"/>
      <c r="E14" s="46"/>
      <c r="F14" s="46"/>
      <c r="G14" s="47"/>
      <c r="H14" s="47"/>
      <c r="I14" s="47"/>
      <c r="J14" s="48"/>
      <c r="K14" s="48"/>
      <c r="L14" s="47"/>
      <c r="M14" s="47"/>
      <c r="N14" s="47"/>
      <c r="O14" s="47"/>
      <c r="P14" s="47"/>
      <c r="Q14" s="47"/>
      <c r="R14" s="47"/>
      <c r="S14" s="49"/>
      <c r="T14" s="53"/>
      <c r="U14" s="51"/>
      <c r="V14" s="51"/>
      <c r="W14" s="51"/>
    </row>
    <row r="15" spans="2:23" s="41" customFormat="1" ht="40.200000000000003" customHeight="1">
      <c r="B15" s="44">
        <v>9</v>
      </c>
      <c r="C15" s="45"/>
      <c r="D15" s="52"/>
      <c r="E15" s="46"/>
      <c r="F15" s="46"/>
      <c r="G15" s="47"/>
      <c r="H15" s="47"/>
      <c r="I15" s="47"/>
      <c r="J15" s="48"/>
      <c r="K15" s="48"/>
      <c r="L15" s="47"/>
      <c r="M15" s="47"/>
      <c r="N15" s="47"/>
      <c r="O15" s="47"/>
      <c r="P15" s="47"/>
      <c r="Q15" s="47"/>
      <c r="R15" s="47"/>
      <c r="S15" s="49"/>
      <c r="T15" s="53"/>
      <c r="U15" s="51"/>
      <c r="V15" s="51"/>
      <c r="W15" s="51"/>
    </row>
    <row r="16" spans="2:23" s="41" customFormat="1" ht="40.200000000000003" customHeight="1">
      <c r="B16" s="44">
        <v>10</v>
      </c>
      <c r="C16" s="45"/>
      <c r="D16" s="52"/>
      <c r="E16" s="46"/>
      <c r="F16" s="46"/>
      <c r="G16" s="47"/>
      <c r="H16" s="47"/>
      <c r="I16" s="47"/>
      <c r="J16" s="48"/>
      <c r="K16" s="48"/>
      <c r="L16" s="47"/>
      <c r="M16" s="47"/>
      <c r="N16" s="47"/>
      <c r="O16" s="47"/>
      <c r="P16" s="47"/>
      <c r="Q16" s="47"/>
      <c r="R16" s="47"/>
      <c r="S16" s="49"/>
      <c r="T16" s="53"/>
      <c r="U16" s="51"/>
      <c r="V16" s="51"/>
      <c r="W16" s="51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9790-E402-E443-8B4F-77C6F469231E}">
  <sheetPr codeName="Sheet8"/>
  <dimension ref="B2:N10"/>
  <sheetViews>
    <sheetView showGridLines="0" zoomScaleNormal="100" workbookViewId="0">
      <selection activeCell="M99" sqref="M99"/>
    </sheetView>
  </sheetViews>
  <sheetFormatPr defaultColWidth="11" defaultRowHeight="17.399999999999999"/>
  <cols>
    <col min="1" max="1" width="1.453125" style="39" customWidth="1"/>
    <col min="2" max="2" width="7.453125" style="39" customWidth="1"/>
    <col min="3" max="6" width="30.81640625" style="38" customWidth="1"/>
    <col min="7" max="7" width="30.81640625" style="39" customWidth="1"/>
    <col min="8" max="9" width="20.81640625" style="39" customWidth="1"/>
    <col min="10" max="10" width="60.81640625" style="40" customWidth="1"/>
    <col min="11" max="11" width="60.81640625" style="39" customWidth="1"/>
    <col min="12" max="14" width="29.81640625" style="39" customWidth="1"/>
    <col min="15" max="15" width="11" style="39"/>
    <col min="16" max="16" width="27.54296875" style="39" bestFit="1" customWidth="1"/>
    <col min="17" max="16384" width="11" style="39"/>
  </cols>
  <sheetData>
    <row r="2" spans="2:14" ht="40.200000000000003" customHeight="1">
      <c r="B2" s="36" t="s">
        <v>127</v>
      </c>
      <c r="C2" s="37"/>
      <c r="D2" s="37"/>
      <c r="E2" s="37"/>
      <c r="F2" s="37"/>
      <c r="G2" s="37"/>
      <c r="H2" s="37"/>
    </row>
    <row r="3" spans="2:14" ht="18" customHeight="1">
      <c r="B3" s="37"/>
      <c r="C3" s="37"/>
      <c r="D3" s="37"/>
      <c r="E3" s="37"/>
      <c r="F3" s="37"/>
      <c r="G3" s="37"/>
      <c r="H3" s="37"/>
    </row>
    <row r="4" spans="2:14" s="41" customFormat="1" ht="19.2" customHeight="1">
      <c r="B4" s="183" t="s">
        <v>97</v>
      </c>
      <c r="C4" s="183"/>
      <c r="D4" s="183"/>
      <c r="E4" s="183"/>
      <c r="F4" s="183"/>
      <c r="G4" s="183"/>
      <c r="H4" s="183"/>
      <c r="I4" s="183"/>
      <c r="J4" s="183"/>
      <c r="K4" s="183"/>
      <c r="L4" s="184" t="s">
        <v>18</v>
      </c>
      <c r="M4" s="184"/>
      <c r="N4" s="184"/>
    </row>
    <row r="5" spans="2:14" s="43" customFormat="1" ht="19.95" customHeight="1">
      <c r="B5" s="42" t="s">
        <v>98</v>
      </c>
      <c r="C5" s="57" t="s">
        <v>128</v>
      </c>
      <c r="D5" s="57" t="s">
        <v>129</v>
      </c>
      <c r="E5" s="57" t="s">
        <v>130</v>
      </c>
      <c r="F5" s="57" t="s">
        <v>131</v>
      </c>
      <c r="G5" s="57" t="s">
        <v>132</v>
      </c>
      <c r="H5" s="42" t="s">
        <v>121</v>
      </c>
      <c r="I5" s="42" t="s">
        <v>122</v>
      </c>
      <c r="J5" s="57" t="s">
        <v>105</v>
      </c>
      <c r="K5" s="57" t="s">
        <v>106</v>
      </c>
      <c r="L5" s="57" t="s">
        <v>107</v>
      </c>
      <c r="M5" s="57" t="s">
        <v>108</v>
      </c>
      <c r="N5" s="57" t="s">
        <v>109</v>
      </c>
    </row>
    <row r="6" spans="2:14" s="41" customFormat="1" ht="40.200000000000003" customHeight="1">
      <c r="B6" s="44">
        <v>1</v>
      </c>
      <c r="C6" s="58"/>
      <c r="D6" s="58"/>
      <c r="E6" s="58"/>
      <c r="F6" s="58"/>
      <c r="G6" s="52"/>
      <c r="H6" s="47"/>
      <c r="I6" s="47"/>
      <c r="J6" s="49"/>
      <c r="K6" s="53"/>
      <c r="L6" s="51"/>
      <c r="M6" s="51"/>
      <c r="N6" s="51"/>
    </row>
    <row r="7" spans="2:14" s="41" customFormat="1" ht="40.200000000000003" customHeight="1">
      <c r="B7" s="44">
        <v>2</v>
      </c>
      <c r="C7" s="45"/>
      <c r="D7" s="45"/>
      <c r="E7" s="45"/>
      <c r="F7" s="45"/>
      <c r="G7" s="52"/>
      <c r="H7" s="47"/>
      <c r="I7" s="47"/>
      <c r="J7" s="49"/>
      <c r="K7" s="53"/>
      <c r="L7" s="51"/>
      <c r="M7" s="51"/>
      <c r="N7" s="51"/>
    </row>
    <row r="8" spans="2:14" s="41" customFormat="1" ht="40.200000000000003" customHeight="1">
      <c r="B8" s="44">
        <v>3</v>
      </c>
      <c r="C8" s="45"/>
      <c r="D8" s="45"/>
      <c r="E8" s="45"/>
      <c r="F8" s="45"/>
      <c r="G8" s="52"/>
      <c r="H8" s="47"/>
      <c r="I8" s="47"/>
      <c r="J8" s="49"/>
      <c r="K8" s="53"/>
      <c r="L8" s="51"/>
      <c r="M8" s="51"/>
      <c r="N8" s="51"/>
    </row>
    <row r="9" spans="2:14" s="41" customFormat="1" ht="40.200000000000003" customHeight="1">
      <c r="B9" s="44">
        <v>4</v>
      </c>
      <c r="C9" s="45"/>
      <c r="D9" s="45"/>
      <c r="E9" s="45"/>
      <c r="F9" s="45"/>
      <c r="G9" s="52"/>
      <c r="H9" s="47"/>
      <c r="I9" s="47"/>
      <c r="J9" s="49"/>
      <c r="K9" s="53"/>
      <c r="L9" s="51"/>
      <c r="M9" s="51"/>
      <c r="N9" s="51"/>
    </row>
    <row r="10" spans="2:14" s="41" customFormat="1" ht="40.200000000000003" customHeight="1">
      <c r="B10" s="44">
        <v>5</v>
      </c>
      <c r="C10" s="45"/>
      <c r="D10" s="45"/>
      <c r="E10" s="45"/>
      <c r="F10" s="45"/>
      <c r="G10" s="52"/>
      <c r="H10" s="47"/>
      <c r="I10" s="47"/>
      <c r="J10" s="49"/>
      <c r="K10" s="53"/>
      <c r="L10" s="51"/>
      <c r="M10" s="51"/>
      <c r="N10" s="51"/>
    </row>
  </sheetData>
  <mergeCells count="2">
    <mergeCell ref="B4:K4"/>
    <mergeCell ref="L4:N4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694D-AF7A-DD4C-A893-05006F497797}">
  <sheetPr codeName="Sheet9"/>
  <dimension ref="B2:E3"/>
  <sheetViews>
    <sheetView showGridLines="0" workbookViewId="0">
      <selection activeCell="D3" sqref="D3"/>
    </sheetView>
  </sheetViews>
  <sheetFormatPr defaultColWidth="11.54296875" defaultRowHeight="19.2"/>
  <cols>
    <col min="1" max="1" width="1.81640625" customWidth="1"/>
    <col min="2" max="4" width="15.81640625" customWidth="1"/>
    <col min="5" max="5" width="90.81640625" customWidth="1"/>
  </cols>
  <sheetData>
    <row r="2" spans="2:5">
      <c r="B2" s="59" t="s">
        <v>133</v>
      </c>
      <c r="C2" s="59" t="s">
        <v>134</v>
      </c>
      <c r="D2" s="59" t="s">
        <v>135</v>
      </c>
      <c r="E2" s="59" t="s">
        <v>136</v>
      </c>
    </row>
    <row r="3" spans="2:5">
      <c r="B3" s="60">
        <v>1</v>
      </c>
      <c r="C3" s="61">
        <v>43315</v>
      </c>
      <c r="D3" s="62" t="s">
        <v>137</v>
      </c>
      <c r="E3" s="63" t="s">
        <v>138</v>
      </c>
    </row>
  </sheetData>
  <phoneticPr fontId="10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이윤아</cp:lastModifiedBy>
  <dcterms:created xsi:type="dcterms:W3CDTF">2018-08-03T17:39:04Z</dcterms:created>
  <dcterms:modified xsi:type="dcterms:W3CDTF">2026-02-27T04:49:53Z</dcterms:modified>
</cp:coreProperties>
</file>