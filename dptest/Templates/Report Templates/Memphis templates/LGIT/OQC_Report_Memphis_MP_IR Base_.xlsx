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01\Desktop\Memphis templates (2)\Memphis templates\LGIT\"/>
    </mc:Choice>
  </mc:AlternateContent>
  <xr:revisionPtr revIDLastSave="0" documentId="13_ncr:1_{2C6B2040-4C2E-4F09-A8BC-DD2FA1274C91}" xr6:coauthVersionLast="47" xr6:coauthVersionMax="47" xr10:uidLastSave="{00000000-0000-0000-0000-000000000000}"/>
  <bookViews>
    <workbookView xWindow="28680" yWindow="-120" windowWidth="29040" windowHeight="15720" xr2:uid="{558B7DC1-779D-BB42-B43A-ED7A08375808}"/>
  </bookViews>
  <sheets>
    <sheet name="Waiver Summary" sheetId="5" r:id="rId1"/>
    <sheet name="Shipping Lot List" sheetId="22" r:id="rId2"/>
    <sheet name="FAI" sheetId="13" r:id="rId3"/>
    <sheet name="SPC" sheetId="23" r:id="rId4"/>
    <sheet name="Cosmetic Waivers" sheetId="15" r:id="rId5"/>
    <sheet name="Dimensional Waivers" sheetId="16" r:id="rId6"/>
    <sheet name="Functional Waivers" sheetId="17" r:id="rId7"/>
    <sheet name="Reliability Waivers" sheetId="18" r:id="rId8"/>
    <sheet name="Rev History" sheetId="19" r:id="rId9"/>
  </sheets>
  <definedNames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3" hidden="1">{#N/A,#N/A,TRUE,"일정"}</definedName>
    <definedName name="____PU7" hidden="1">{#N/A,#N/A,TRUE,"일정"}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3" hidden="1">{#N/A,#N/A,FALSE,"Cst of Sales (2)"}</definedName>
    <definedName name="___k2" hidden="1">{#N/A,#N/A,FALSE,"Cst of Sales (2)"}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3" hidden="1">{#N/A,#N/A,FALSE,"Cst of Sales (2)"}</definedName>
    <definedName name="__k2" hidden="1">{#N/A,#N/A,FALSE,"Cst of Sales (2)"}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3" hidden="1">{#N/A,#N/A,TRUE,"일정"}</definedName>
    <definedName name="__PU7" hidden="1">{#N/A,#N/A,TRUE,"일정"}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3" hidden="1">{#N/A,#N/A,FALSE,"Cst of Sales (2)"}</definedName>
    <definedName name="_58k2_" hidden="1">{#N/A,#N/A,FALSE,"Cst of Sales (2)"}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3" hidden="1">{#N/A,#N/A,FALSE,"Cst of Sales (2)"}</definedName>
    <definedName name="_60k2_" hidden="1">{#N/A,#N/A,FALSE,"Cst of Sales (2)"}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1" hidden="1">'Shipping Lot List'!$B$1:$H$5</definedName>
    <definedName name="_xlnm._FilterDatabase" hidden="1">#REF!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3" hidden="1">{#N/A,#N/A,FALSE,"원가검토서"}</definedName>
    <definedName name="AERGA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3" hidden="1">{#N/A,#N/A,TRUE,"일정"}</definedName>
    <definedName name="cdhbkjbkjnkjnlmmn" hidden="1">{#N/A,#N/A,TRUE,"일정"}</definedName>
    <definedName name="CFVGYTU" localSheetId="3" hidden="1">{#N/A,#N/A,FALSE,"원가검토서"}</definedName>
    <definedName name="CFVGYTU" hidden="1">{#N/A,#N/A,FALSE,"원가검토서"}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3" hidden="1">{#N/A,#N/A,FALSE,"원가검토서"}</definedName>
    <definedName name="ddfg" hidden="1">{#N/A,#N/A,FALSE,"원가검토서"}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3" hidden="1">{#N/A,#N/A,FALSE,"원가검토서"}</definedName>
    <definedName name="DFAGF" hidden="1">{#N/A,#N/A,FALSE,"원가검토서"}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3" hidden="1">{#N/A,#N/A,FALSE,"원가검토서"}</definedName>
    <definedName name="DFG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3" hidden="1">{#N/A,#N/A,FALSE,"원가검토서"}</definedName>
    <definedName name="dfsf" hidden="1">{#N/A,#N/A,FALSE,"원가검토서"}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3" hidden="1">{#N/A,#N/A,TRUE,"일정"}</definedName>
    <definedName name="DLF" hidden="1">{#N/A,#N/A,TRUE,"일정"}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3" hidden="1">{#N/A,#N/A,FALSE,"원가검토서"}</definedName>
    <definedName name="DS" hidden="1">{#N/A,#N/A,FALSE,"원가검토서"}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3" hidden="1">{"Wire Charts",#N/A,TRUE,"Wires"}</definedName>
    <definedName name="ERG" hidden="1">{"Wire Charts",#N/A,TRUE,"Wires"}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3" hidden="1">{"'KET'!$A$1:$E$2423"}</definedName>
    <definedName name="FDGS" hidden="1">{"'KET'!$A$1:$E$2423"}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3" hidden="1">{"'OPEN'G압출'!$A$4:$P$34"}</definedName>
    <definedName name="FGF" hidden="1">{"'OPEN'G압출'!$A$4:$P$34"}</definedName>
    <definedName name="FGGHNMK" localSheetId="3" hidden="1">{#N/A,#N/A,FALSE,"원가검토서"}</definedName>
    <definedName name="FGGHNMK" hidden="1">{#N/A,#N/A,FALSE,"원가검토서"}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3" hidden="1">{#N/A,#N/A,FALSE,"원가검토서"}</definedName>
    <definedName name="FGHJ" hidden="1">{#N/A,#N/A,FALSE,"원가검토서"}</definedName>
    <definedName name="FGS" localSheetId="3" hidden="1">{"Wire Charts",#N/A,TRUE,"Wires"}</definedName>
    <definedName name="FGS" hidden="1">{"Wire Charts",#N/A,TRUE,"Wires"}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3" hidden="1">{#N/A,#N/A,TRUE,"일정"}</definedName>
    <definedName name="gdmhgdmhg" hidden="1">{#N/A,#N/A,TRUE,"일정"}</definedName>
    <definedName name="GFD" localSheetId="3" hidden="1">{#N/A,#N/A,TRUE,"일정"}</definedName>
    <definedName name="GFD" hidden="1">{#N/A,#N/A,TRUE,"일정"}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3" hidden="1">{#N/A,#N/A,TRUE,"일정"}</definedName>
    <definedName name="gvdasskv" hidden="1">{#N/A,#N/A,TRUE,"일정"}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3" hidden="1">{"'OPEN'G압출'!$A$4:$P$34"}</definedName>
    <definedName name="HFGJFGJJ" hidden="1">{"'OPEN'G압출'!$A$4:$P$34"}</definedName>
    <definedName name="hgfshg" localSheetId="3" hidden="1">{#N/A,#N/A,TRUE,"일정"}</definedName>
    <definedName name="hgfshg" hidden="1">{#N/A,#N/A,TRUE,"일정"}</definedName>
    <definedName name="hgfxd" localSheetId="3" hidden="1">{#N/A,#N/A,TRUE,"일정"}</definedName>
    <definedName name="hgfxd" hidden="1">{#N/A,#N/A,TRUE,"일정"}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3" hidden="1">{#N/A,#N/A,FALSE,"원가검토서"}</definedName>
    <definedName name="HJGFJHFJH" hidden="1">{#N/A,#N/A,FALSE,"원가검토서"}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3" hidden="1">{#N/A,#N/A,TRUE,"일정"}</definedName>
    <definedName name="jgfsjhgfsjhgfsdjhgfds" hidden="1">{#N/A,#N/A,TRUE,"일정"}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3" hidden="1">{#N/A,#N/A,FALSE,"원가검토서"}</definedName>
    <definedName name="JJUHG" hidden="1">{#N/A,#N/A,FALSE,"원가검토서"}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3" hidden="1">{"'OPEN'G압출'!$A$4:$P$34"}</definedName>
    <definedName name="KJHDFKS" hidden="1">{"'OPEN'G압출'!$A$4:$P$34"}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3" hidden="1">{#N/A,#N/A,TRUE,"일정"}</definedName>
    <definedName name="LHSDHSD" hidden="1">{#N/A,#N/A,TRUE,"일정"}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3" hidden="1">{#N/A,#N/A,FALSE,"Cst of Sales (2)"}</definedName>
    <definedName name="link_ds_be" hidden="1">{#N/A,#N/A,FALSE,"Cst of Sales (2)"}</definedName>
    <definedName name="LKGFLDKGF" localSheetId="3" hidden="1">{"'OPEN'G압출'!$A$4:$P$34"}</definedName>
    <definedName name="LKGFLDKGF" hidden="1">{"'OPEN'G압출'!$A$4:$P$34"}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3" hidden="1">{"'OPEN'G압출'!$A$4:$P$34"}</definedName>
    <definedName name="LKLKLK" hidden="1">{"'OPEN'G압출'!$A$4:$P$34"}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3" hidden="1">{#N/A,#N/A,TRUE,"일정"}</definedName>
    <definedName name="MASTER" hidden="1">{#N/A,#N/A,TRUE,"일정"}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3" hidden="1">{#N/A,#N/A,TRUE,"일정"}</definedName>
    <definedName name="PH단계별" hidden="1">{#N/A,#N/A,TRUE,"일정"}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3" hidden="1">{#N/A,#N/A,TRUE,"일정"}</definedName>
    <definedName name="PPPP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3" hidden="1">{#N/A,#N/A,FALSE,"Cst of Sales (2)"}</definedName>
    <definedName name="qc" hidden="1">{#N/A,#N/A,FALSE,"Cst of Sales (2)"}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3" hidden="1">{#N/A,#N/A,FALSE,"Cst of Sales (2)"}</definedName>
    <definedName name="RUB_HOU" hidden="1">{#N/A,#N/A,FALSE,"Cst of Sales (2)"}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3" hidden="1">{#N/A,#N/A,TRUE,"일정"}</definedName>
    <definedName name="SFSF" hidden="1">{#N/A,#N/A,TRUE,"일정"}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3" hidden="1">{#N/A,#N/A,TRUE,"일정"}</definedName>
    <definedName name="VDSAG" hidden="1">{#N/A,#N/A,TRUE,"일정"}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3" hidden="1">{#N/A,#N/A,FALSE,"원가검토서"}</definedName>
    <definedName name="WET" hidden="1">{#N/A,#N/A,FALSE,"원가검토서"}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3" hidden="1">{#N/A,#N/A,FALSE,"원가검토서"}</definedName>
    <definedName name="WGEG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3" hidden="1">{"Wire Charts",#N/A,TRUE,"Wires"}</definedName>
    <definedName name="Wire_Chart" hidden="1">{"Wire Charts",#N/A,TRUE,"Wires"}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3" hidden="1">{#N/A,#N/A,TRUE,"일정"}</definedName>
    <definedName name="ㄱㄷㄱㄱ" hidden="1">{#N/A,#N/A,TRUE,"일정"}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3" hidden="1">{#N/A,#N/A,FALSE,"원가검토서"}</definedName>
    <definedName name="ㄱ쇼" hidden="1">{#N/A,#N/A,FALSE,"원가검토서"}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3" hidden="1">{"Wire Charts",#N/A,TRUE,"Wires"}</definedName>
    <definedName name="계획서" hidden="1">{"Wire Charts",#N/A,TRUE,"Wires"}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3" hidden="1">{#N/A,#N/A,FALSE,"원가검토서"}</definedName>
    <definedName name="공정도" hidden="1">{#N/A,#N/A,FALSE,"원가검토서"}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3" hidden="1">{#N/A,#N/A,FALSE,"원가검토서"}</definedName>
    <definedName name="금" hidden="1">{#N/A,#N/A,FALSE,"원가검토서"}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3" hidden="1">{#N/A,#N/A,FALSE,"원가검토서"}</definedName>
    <definedName name="금형" hidden="1">{#N/A,#N/A,FALSE,"원가검토서"}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3" hidden="1">{#N/A,#N/A,TRUE,"일정"}</definedName>
    <definedName name="담당1" hidden="1">{#N/A,#N/A,TRUE,"일정"}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3" hidden="1">SPC!ㅂㅂㅂ</definedName>
    <definedName name="ㅂㅂㅂ" hidden="1">[0]!ㅂㅂㅂ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3" hidden="1">{#N/A,#N/A,FALSE,"정공"}</definedName>
    <definedName name="삼성" hidden="1">{#N/A,#N/A,FALSE,"정공"}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3" hidden="1">{"'KET'!$A$1:$E$2423"}</definedName>
    <definedName name="시동성" hidden="1">{"'KET'!$A$1:$E$2423"}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3" hidden="1">{#N/A,#N/A,FALSE,"원가검토서"}</definedName>
    <definedName name="ㅇㄹ호" hidden="1">{#N/A,#N/A,FALSE,"원가검토서"}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3" hidden="1">{"'KET'!$A$1:$E$2423"}</definedName>
    <definedName name="종합3" hidden="1">{"'KET'!$A$1:$E$2423"}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3" hidden="1">{#N/A,#N/A,TRUE,"일정"}</definedName>
    <definedName name="주정관" hidden="1">{#N/A,#N/A,TRUE,"일정"}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3" hidden="1">{#N/A,#N/A,FALSE,"정공"}</definedName>
    <definedName name="최영" hidden="1">{#N/A,#N/A,FALSE,"정공"}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3" hidden="1">{#N/A,#N/A,FALSE,"Cst of Sales (2)"}</definedName>
    <definedName name="캄코11" hidden="1">{#N/A,#N/A,FALSE,"Cst of Sales (2)"}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3" hidden="1">{#N/A,#N/A,TRUE,"일정"}</definedName>
    <definedName name="ㅌㅌ" hidden="1">{#N/A,#N/A,TRUE,"일정"}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3" hidden="1">{#N/A,#N/A,FALSE,"정공"}</definedName>
    <definedName name="현대" hidden="1">{#N/A,#N/A,FALSE,"정공"}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3" hidden="1">{#N/A,#N/A,FALSE,"Cst of Sales (2)"}</definedName>
    <definedName name="회의록" hidden="1">{#N/A,#N/A,FALSE,"Cst of Sales (2)"}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34" i="23" l="1"/>
  <c r="AG135" i="23"/>
  <c r="AG136" i="23"/>
  <c r="AG137" i="23"/>
  <c r="AG138" i="23"/>
  <c r="AG139" i="23"/>
  <c r="AG140" i="23"/>
  <c r="AG111" i="23"/>
  <c r="AG112" i="23"/>
  <c r="AG113" i="23"/>
  <c r="AG114" i="23"/>
  <c r="AG115" i="23"/>
  <c r="AG116" i="23"/>
  <c r="AG117" i="23"/>
  <c r="AG118" i="23"/>
  <c r="AG119" i="23"/>
  <c r="AG120" i="23"/>
  <c r="AG121" i="23"/>
  <c r="AG122" i="23"/>
  <c r="AG123" i="23"/>
  <c r="AG124" i="23"/>
  <c r="AG125" i="23"/>
  <c r="AG126" i="23"/>
  <c r="AG127" i="23"/>
  <c r="AG128" i="23"/>
  <c r="AG129" i="23"/>
  <c r="AG130" i="23"/>
  <c r="AG131" i="23"/>
  <c r="AG132" i="23"/>
  <c r="AG133" i="23"/>
  <c r="AG109" i="23"/>
  <c r="AG110" i="23"/>
  <c r="AG7" i="23"/>
  <c r="AG8" i="23"/>
  <c r="AG9" i="23"/>
  <c r="AG10" i="23"/>
  <c r="AG11" i="23"/>
  <c r="AG12" i="23"/>
  <c r="AG13" i="23"/>
  <c r="AG14" i="23"/>
  <c r="AG15" i="23"/>
  <c r="AG16" i="23"/>
  <c r="AG17" i="23"/>
  <c r="AG18" i="23"/>
  <c r="AG19" i="23"/>
  <c r="AG20" i="23"/>
  <c r="AG21" i="23"/>
  <c r="AG22" i="23"/>
  <c r="AG23" i="23"/>
  <c r="AG24" i="23"/>
  <c r="AG25" i="23"/>
  <c r="AG26" i="23"/>
  <c r="AG27" i="23"/>
  <c r="AG28" i="23"/>
  <c r="AG29" i="23"/>
  <c r="AG30" i="23"/>
  <c r="AG31" i="23"/>
  <c r="AG32" i="23"/>
  <c r="AG33" i="23"/>
  <c r="AG34" i="23"/>
  <c r="AG35" i="23"/>
  <c r="AG36" i="23"/>
  <c r="AG37" i="23"/>
  <c r="AG38" i="23"/>
  <c r="AG39" i="23"/>
  <c r="AG40" i="23"/>
  <c r="AG41" i="23"/>
  <c r="AG42" i="23"/>
  <c r="AG43" i="23"/>
  <c r="AG44" i="23"/>
  <c r="AG45" i="23"/>
  <c r="AG46" i="23"/>
  <c r="AG47" i="23"/>
  <c r="AG48" i="23"/>
  <c r="AG49" i="23"/>
  <c r="AG50" i="23"/>
  <c r="AG51" i="23"/>
  <c r="AG52" i="23"/>
  <c r="AG53" i="23"/>
  <c r="AG54" i="23"/>
  <c r="AG55" i="23"/>
  <c r="AG56" i="23"/>
  <c r="AG57" i="23"/>
  <c r="AG58" i="23"/>
  <c r="AG59" i="23"/>
  <c r="AG60" i="23"/>
  <c r="AG61" i="23"/>
  <c r="AG62" i="23"/>
  <c r="AG63" i="23"/>
  <c r="AG64" i="23"/>
  <c r="AG65" i="23"/>
  <c r="AG66" i="23"/>
  <c r="AG67" i="23"/>
  <c r="AG68" i="23"/>
  <c r="AG69" i="23"/>
  <c r="AG70" i="23"/>
  <c r="AG71" i="23"/>
  <c r="AG72" i="23"/>
  <c r="AG73" i="23"/>
  <c r="AG74" i="23"/>
  <c r="AG75" i="23"/>
  <c r="AG76" i="23"/>
  <c r="AG77" i="23"/>
  <c r="AG78" i="23"/>
  <c r="AG79" i="23"/>
  <c r="AG80" i="23"/>
  <c r="AG81" i="23"/>
  <c r="AG82" i="23"/>
  <c r="AG83" i="23"/>
  <c r="AG84" i="23"/>
  <c r="AG85" i="23"/>
  <c r="AG86" i="23"/>
  <c r="AG87" i="23"/>
  <c r="AG88" i="23"/>
  <c r="AG89" i="23"/>
  <c r="AG90" i="23"/>
  <c r="AG91" i="23"/>
  <c r="AG92" i="23"/>
  <c r="AG93" i="23"/>
  <c r="AG94" i="23"/>
  <c r="AG95" i="23"/>
  <c r="AG96" i="23"/>
  <c r="AG97" i="23"/>
  <c r="AG98" i="23"/>
  <c r="AG99" i="23"/>
  <c r="AG100" i="23"/>
  <c r="AG101" i="23"/>
  <c r="AG102" i="23"/>
  <c r="AG103" i="23"/>
  <c r="AG104" i="23"/>
  <c r="AG105" i="23"/>
  <c r="AG106" i="23"/>
  <c r="AG107" i="23"/>
  <c r="AG108" i="23"/>
  <c r="J7" i="23"/>
  <c r="K7" i="23"/>
  <c r="J8" i="23"/>
  <c r="K8" i="23"/>
  <c r="J9" i="23"/>
  <c r="K9" i="23"/>
  <c r="J10" i="23"/>
  <c r="K10" i="23"/>
  <c r="J11" i="23"/>
  <c r="K11" i="23"/>
  <c r="J12" i="23"/>
  <c r="K12" i="23"/>
  <c r="J13" i="23"/>
  <c r="K13" i="23"/>
  <c r="J14" i="23"/>
  <c r="K14" i="23"/>
  <c r="J15" i="23"/>
  <c r="K15" i="23"/>
  <c r="J16" i="23"/>
  <c r="K16" i="23"/>
  <c r="J17" i="23"/>
  <c r="K17" i="23"/>
  <c r="J18" i="23"/>
  <c r="K18" i="23"/>
  <c r="J19" i="23"/>
  <c r="K19" i="23"/>
  <c r="J20" i="23"/>
  <c r="K20" i="23"/>
  <c r="J21" i="23"/>
  <c r="K21" i="23"/>
  <c r="J22" i="23"/>
  <c r="K22" i="23"/>
  <c r="J23" i="23"/>
  <c r="K23" i="23"/>
  <c r="J24" i="23"/>
  <c r="K24" i="23"/>
  <c r="J25" i="23"/>
  <c r="K25" i="23"/>
  <c r="J26" i="23"/>
  <c r="K26" i="23"/>
  <c r="J27" i="23"/>
  <c r="K27" i="23"/>
  <c r="J28" i="23"/>
  <c r="K28" i="23"/>
  <c r="J29" i="23"/>
  <c r="K29" i="23"/>
  <c r="J30" i="23"/>
  <c r="K30" i="23"/>
  <c r="J31" i="23"/>
  <c r="K31" i="23"/>
  <c r="J32" i="23"/>
  <c r="K32" i="23"/>
  <c r="J33" i="23"/>
  <c r="K33" i="23"/>
  <c r="J34" i="23"/>
  <c r="K34" i="23"/>
  <c r="J35" i="23"/>
  <c r="K35" i="23"/>
  <c r="J36" i="23"/>
  <c r="K36" i="23"/>
  <c r="J37" i="23"/>
  <c r="K37" i="23"/>
  <c r="J38" i="23"/>
  <c r="K38" i="23"/>
  <c r="J39" i="23"/>
  <c r="K39" i="23"/>
  <c r="J40" i="23"/>
  <c r="K40" i="23"/>
  <c r="J41" i="23"/>
  <c r="K41" i="23"/>
  <c r="J42" i="23"/>
  <c r="K42" i="23"/>
  <c r="J43" i="23"/>
  <c r="K43" i="23"/>
  <c r="J44" i="23"/>
  <c r="K44" i="23"/>
  <c r="J45" i="23"/>
  <c r="K45" i="23"/>
  <c r="J46" i="23"/>
  <c r="K46" i="23"/>
  <c r="J47" i="23"/>
  <c r="K47" i="23"/>
  <c r="J48" i="23"/>
  <c r="K48" i="23"/>
  <c r="J49" i="23"/>
  <c r="K49" i="23"/>
  <c r="J50" i="23"/>
  <c r="K50" i="23"/>
  <c r="J51" i="23"/>
  <c r="K51" i="23"/>
  <c r="J52" i="23"/>
  <c r="K52" i="23"/>
  <c r="J53" i="23"/>
  <c r="K53" i="23"/>
  <c r="J54" i="23"/>
  <c r="K54" i="23"/>
  <c r="J55" i="23"/>
  <c r="K55" i="23"/>
  <c r="J56" i="23"/>
  <c r="K56" i="23"/>
  <c r="J57" i="23"/>
  <c r="K57" i="23"/>
  <c r="J58" i="23"/>
  <c r="K58" i="23"/>
  <c r="J59" i="23"/>
  <c r="K59" i="23"/>
  <c r="J60" i="23"/>
  <c r="K60" i="23"/>
  <c r="J61" i="23"/>
  <c r="K61" i="23"/>
  <c r="J62" i="23"/>
  <c r="K62" i="23"/>
  <c r="J63" i="23"/>
  <c r="K63" i="23"/>
  <c r="J64" i="23"/>
  <c r="K64" i="23"/>
  <c r="J65" i="23"/>
  <c r="K65" i="23"/>
  <c r="J66" i="23"/>
  <c r="K66" i="23"/>
  <c r="J67" i="23"/>
  <c r="K67" i="23"/>
  <c r="J68" i="23"/>
  <c r="K68" i="23"/>
  <c r="J69" i="23"/>
  <c r="K69" i="23"/>
  <c r="J70" i="23"/>
  <c r="K70" i="23"/>
  <c r="J71" i="23"/>
  <c r="K71" i="23"/>
  <c r="J72" i="23"/>
  <c r="K72" i="23"/>
  <c r="J73" i="23"/>
  <c r="K73" i="23"/>
  <c r="J74" i="23"/>
  <c r="K74" i="23"/>
  <c r="J75" i="23"/>
  <c r="K75" i="23"/>
  <c r="J76" i="23"/>
  <c r="K76" i="23"/>
  <c r="J77" i="23"/>
  <c r="K77" i="23"/>
  <c r="J78" i="23"/>
  <c r="K78" i="23"/>
  <c r="J79" i="23"/>
  <c r="K79" i="23"/>
  <c r="J80" i="23"/>
  <c r="K80" i="23"/>
  <c r="J81" i="23"/>
  <c r="K81" i="23"/>
  <c r="J82" i="23"/>
  <c r="K82" i="23"/>
  <c r="J83" i="23"/>
  <c r="K83" i="23"/>
  <c r="J84" i="23"/>
  <c r="K84" i="23"/>
  <c r="J85" i="23"/>
  <c r="K85" i="23"/>
  <c r="J86" i="23"/>
  <c r="K86" i="23"/>
  <c r="J87" i="23"/>
  <c r="K87" i="23"/>
  <c r="J88" i="23"/>
  <c r="K88" i="23"/>
  <c r="J89" i="23"/>
  <c r="K89" i="23"/>
  <c r="J90" i="23"/>
  <c r="K90" i="23"/>
  <c r="J91" i="23"/>
  <c r="K91" i="23"/>
  <c r="J92" i="23"/>
  <c r="K92" i="23"/>
  <c r="J93" i="23"/>
  <c r="K93" i="23"/>
  <c r="J94" i="23"/>
  <c r="K94" i="23"/>
  <c r="J95" i="23"/>
  <c r="K95" i="23"/>
  <c r="J96" i="23"/>
  <c r="K96" i="23"/>
  <c r="J97" i="23"/>
  <c r="K97" i="23"/>
  <c r="J98" i="23"/>
  <c r="K98" i="23"/>
  <c r="J99" i="23"/>
  <c r="K99" i="23"/>
  <c r="J100" i="23"/>
  <c r="K100" i="23"/>
  <c r="J101" i="23"/>
  <c r="K101" i="23"/>
  <c r="J102" i="23"/>
  <c r="K102" i="23"/>
  <c r="J103" i="23"/>
  <c r="K103" i="23"/>
  <c r="J104" i="23"/>
  <c r="K104" i="23"/>
  <c r="J105" i="23"/>
  <c r="K105" i="23"/>
  <c r="J106" i="23"/>
  <c r="K106" i="23"/>
  <c r="J107" i="23"/>
  <c r="K107" i="23"/>
  <c r="J108" i="23"/>
  <c r="K108" i="23"/>
  <c r="J109" i="23"/>
  <c r="K109" i="23"/>
  <c r="J110" i="23"/>
  <c r="K110" i="23"/>
  <c r="J111" i="23"/>
  <c r="K111" i="23"/>
  <c r="J112" i="23"/>
  <c r="K112" i="23"/>
  <c r="J113" i="23"/>
  <c r="K113" i="23"/>
  <c r="J114" i="23"/>
  <c r="K114" i="23"/>
  <c r="J115" i="23"/>
  <c r="K115" i="23"/>
  <c r="J116" i="23"/>
  <c r="K116" i="23"/>
  <c r="J117" i="23"/>
  <c r="K117" i="23"/>
  <c r="J118" i="23"/>
  <c r="K118" i="23"/>
  <c r="J119" i="23"/>
  <c r="K119" i="23"/>
  <c r="J120" i="23"/>
  <c r="K120" i="23"/>
  <c r="J121" i="23"/>
  <c r="K121" i="23"/>
  <c r="J122" i="23"/>
  <c r="K122" i="23"/>
  <c r="J123" i="23"/>
  <c r="K123" i="23"/>
  <c r="J124" i="23"/>
  <c r="K124" i="23"/>
  <c r="J125" i="23"/>
  <c r="K125" i="23"/>
  <c r="J126" i="23"/>
  <c r="K126" i="23"/>
  <c r="J127" i="23"/>
  <c r="K127" i="23"/>
  <c r="J128" i="23"/>
  <c r="K128" i="23"/>
  <c r="J129" i="23"/>
  <c r="K129" i="23"/>
  <c r="J130" i="23"/>
  <c r="K130" i="23"/>
  <c r="J131" i="23"/>
  <c r="K131" i="23"/>
  <c r="J132" i="23"/>
  <c r="K132" i="23"/>
  <c r="J133" i="23"/>
  <c r="K133" i="23"/>
  <c r="J134" i="23"/>
  <c r="K134" i="23"/>
  <c r="J135" i="23"/>
  <c r="K135" i="23"/>
  <c r="J136" i="23"/>
  <c r="K136" i="23"/>
  <c r="J137" i="23"/>
  <c r="K137" i="23"/>
  <c r="J138" i="23"/>
  <c r="K138" i="23"/>
  <c r="J139" i="23"/>
  <c r="K139" i="23"/>
  <c r="J140" i="23"/>
  <c r="K140" i="23"/>
  <c r="K6" i="23"/>
  <c r="J6" i="23"/>
  <c r="W243" i="13" l="1" a="1"/>
  <c r="W243" i="13" s="1"/>
  <c r="W242" i="13" a="1"/>
  <c r="W242" i="13" s="1"/>
  <c r="W241" i="13" a="1"/>
  <c r="W241" i="13" s="1"/>
  <c r="W240" i="13" a="1"/>
  <c r="W240" i="13" s="1"/>
  <c r="W239" i="13" a="1"/>
  <c r="W239" i="13" s="1"/>
  <c r="W238" i="13" a="1"/>
  <c r="W238" i="13" s="1"/>
  <c r="W237" i="13" a="1"/>
  <c r="W237" i="13" s="1"/>
  <c r="W236" i="13" a="1"/>
  <c r="W236" i="13" s="1"/>
  <c r="W235" i="13" a="1"/>
  <c r="W235" i="13" s="1"/>
  <c r="W234" i="13" a="1"/>
  <c r="W234" i="13" s="1"/>
  <c r="W233" i="13" a="1"/>
  <c r="W233" i="13" s="1"/>
  <c r="W232" i="13" a="1"/>
  <c r="W232" i="13" s="1"/>
  <c r="W231" i="13" a="1"/>
  <c r="W231" i="13" s="1"/>
  <c r="W230" i="13" a="1"/>
  <c r="W230" i="13" s="1"/>
  <c r="W229" i="13" a="1"/>
  <c r="W229" i="13" s="1"/>
  <c r="W228" i="13" a="1"/>
  <c r="W228" i="13" s="1"/>
  <c r="W227" i="13" a="1"/>
  <c r="W227" i="13" s="1"/>
  <c r="W226" i="13" a="1"/>
  <c r="W226" i="13" s="1"/>
  <c r="W225" i="13" a="1"/>
  <c r="W225" i="13" s="1"/>
  <c r="W224" i="13" a="1"/>
  <c r="W224" i="13" s="1"/>
  <c r="W223" i="13" a="1"/>
  <c r="W223" i="13" s="1"/>
  <c r="W222" i="13" a="1"/>
  <c r="W222" i="13" s="1"/>
  <c r="W221" i="13" a="1"/>
  <c r="W221" i="13" s="1"/>
  <c r="W220" i="13"/>
  <c r="W220" i="13" a="1"/>
  <c r="W219" i="13" a="1"/>
  <c r="W219" i="13" s="1"/>
  <c r="W218" i="13" a="1"/>
  <c r="W218" i="13" s="1"/>
  <c r="W217" i="13" a="1"/>
  <c r="W217" i="13" s="1"/>
  <c r="W216" i="13" a="1"/>
  <c r="W216" i="13" s="1"/>
  <c r="W215" i="13" a="1"/>
  <c r="W215" i="13" s="1"/>
  <c r="W214" i="13" a="1"/>
  <c r="W214" i="13" s="1"/>
  <c r="W213" i="13" a="1"/>
  <c r="W213" i="13" s="1"/>
  <c r="W212" i="13" a="1"/>
  <c r="W212" i="13" s="1"/>
  <c r="W211" i="13" a="1"/>
  <c r="W211" i="13" s="1"/>
  <c r="W210" i="13" a="1"/>
  <c r="W210" i="13" s="1"/>
  <c r="W209" i="13" a="1"/>
  <c r="W209" i="13" s="1"/>
  <c r="W208" i="13" a="1"/>
  <c r="W208" i="13" s="1"/>
  <c r="W207" i="13" a="1"/>
  <c r="W207" i="13" s="1"/>
  <c r="W206" i="13" a="1"/>
  <c r="W206" i="13" s="1"/>
  <c r="W205" i="13" a="1"/>
  <c r="W205" i="13" s="1"/>
  <c r="W204" i="13"/>
  <c r="W204" i="13" a="1"/>
  <c r="W203" i="13" a="1"/>
  <c r="W203" i="13" s="1"/>
  <c r="W202" i="13" a="1"/>
  <c r="W202" i="13" s="1"/>
  <c r="W201" i="13" a="1"/>
  <c r="W201" i="13" s="1"/>
  <c r="W200" i="13" a="1"/>
  <c r="W200" i="13" s="1"/>
  <c r="W199" i="13" a="1"/>
  <c r="W199" i="13" s="1"/>
  <c r="W198" i="13" a="1"/>
  <c r="W198" i="13" s="1"/>
  <c r="W197" i="13" a="1"/>
  <c r="W197" i="13" s="1"/>
  <c r="W196" i="13"/>
  <c r="W196" i="13" a="1"/>
  <c r="W195" i="13" a="1"/>
  <c r="W195" i="13" s="1"/>
  <c r="W194" i="13" a="1"/>
  <c r="W194" i="13" s="1"/>
  <c r="W193" i="13" a="1"/>
  <c r="W193" i="13" s="1"/>
  <c r="W192" i="13" a="1"/>
  <c r="W192" i="13" s="1"/>
  <c r="W191" i="13" a="1"/>
  <c r="W191" i="13" s="1"/>
  <c r="W190" i="13" a="1"/>
  <c r="W190" i="13" s="1"/>
  <c r="W189" i="13" a="1"/>
  <c r="W189" i="13" s="1"/>
  <c r="W188" i="13"/>
  <c r="W188" i="13" a="1"/>
  <c r="W187" i="13" a="1"/>
  <c r="W187" i="13" s="1"/>
  <c r="W186" i="13" a="1"/>
  <c r="W186" i="13" s="1"/>
  <c r="W185" i="13" a="1"/>
  <c r="W185" i="13" s="1"/>
  <c r="W184" i="13" a="1"/>
  <c r="W184" i="13" s="1"/>
  <c r="W183" i="13" a="1"/>
  <c r="W183" i="13" s="1"/>
  <c r="W182" i="13" a="1"/>
  <c r="W182" i="13" s="1"/>
  <c r="W181" i="13" a="1"/>
  <c r="W181" i="13" s="1"/>
  <c r="W180" i="13"/>
  <c r="W180" i="13" a="1"/>
  <c r="W179" i="13" a="1"/>
  <c r="W179" i="13" s="1"/>
  <c r="W178" i="13" a="1"/>
  <c r="W178" i="13" s="1"/>
  <c r="W177" i="13" a="1"/>
  <c r="W177" i="13" s="1"/>
  <c r="W176" i="13" a="1"/>
  <c r="W176" i="13" s="1"/>
  <c r="W175" i="13" a="1"/>
  <c r="W175" i="13" s="1"/>
  <c r="W174" i="13" a="1"/>
  <c r="W174" i="13" s="1"/>
  <c r="W173" i="13" a="1"/>
  <c r="W173" i="13" s="1"/>
  <c r="W172" i="13"/>
  <c r="W172" i="13" a="1"/>
  <c r="W171" i="13" a="1"/>
  <c r="W171" i="13" s="1"/>
  <c r="W170" i="13" a="1"/>
  <c r="W170" i="13" s="1"/>
  <c r="W169" i="13" a="1"/>
  <c r="W169" i="13" s="1"/>
  <c r="W168" i="13" a="1"/>
  <c r="W168" i="13" s="1"/>
  <c r="W167" i="13" a="1"/>
  <c r="W167" i="13" s="1"/>
  <c r="W166" i="13" a="1"/>
  <c r="W166" i="13" s="1"/>
  <c r="W165" i="13" a="1"/>
  <c r="W165" i="13" s="1"/>
  <c r="W164" i="13"/>
  <c r="W164" i="13" a="1"/>
  <c r="W163" i="13" a="1"/>
  <c r="W163" i="13" s="1"/>
  <c r="W162" i="13" a="1"/>
  <c r="W162" i="13" s="1"/>
  <c r="W161" i="13" a="1"/>
  <c r="W161" i="13" s="1"/>
  <c r="W160" i="13" a="1"/>
  <c r="W160" i="13" s="1"/>
  <c r="W159" i="13" a="1"/>
  <c r="W159" i="13" s="1"/>
  <c r="W158" i="13" a="1"/>
  <c r="W158" i="13" s="1"/>
  <c r="W157" i="13" a="1"/>
  <c r="W157" i="13" s="1"/>
  <c r="W156" i="13"/>
  <c r="W156" i="13" a="1"/>
  <c r="W155" i="13" a="1"/>
  <c r="W155" i="13" s="1"/>
  <c r="W154" i="13" a="1"/>
  <c r="W154" i="13" s="1"/>
  <c r="W153" i="13" a="1"/>
  <c r="W153" i="13" s="1"/>
  <c r="W152" i="13" a="1"/>
  <c r="W152" i="13" s="1"/>
  <c r="W151" i="13" a="1"/>
  <c r="W151" i="13" s="1"/>
  <c r="W150" i="13" a="1"/>
  <c r="W150" i="13" s="1"/>
  <c r="W149" i="13" a="1"/>
  <c r="W149" i="13" s="1"/>
  <c r="W148" i="13"/>
  <c r="W148" i="13" a="1"/>
  <c r="W147" i="13" a="1"/>
  <c r="W147" i="13" s="1"/>
  <c r="W146" i="13" a="1"/>
  <c r="W146" i="13" s="1"/>
  <c r="W145" i="13" a="1"/>
  <c r="W145" i="13" s="1"/>
  <c r="W144" i="13" a="1"/>
  <c r="W144" i="13" s="1"/>
  <c r="W143" i="13" a="1"/>
  <c r="W143" i="13" s="1"/>
  <c r="W142" i="13" a="1"/>
  <c r="W142" i="13" s="1"/>
  <c r="W141" i="13" a="1"/>
  <c r="W141" i="13" s="1"/>
  <c r="W140" i="13"/>
  <c r="W140" i="13" a="1"/>
  <c r="W139" i="13" a="1"/>
  <c r="W139" i="13" s="1"/>
  <c r="W138" i="13" a="1"/>
  <c r="W138" i="13" s="1"/>
  <c r="W137" i="13" a="1"/>
  <c r="W137" i="13" s="1"/>
  <c r="W136" i="13" a="1"/>
  <c r="W136" i="13" s="1"/>
  <c r="W135" i="13" a="1"/>
  <c r="W135" i="13" s="1"/>
  <c r="W134" i="13" a="1"/>
  <c r="W134" i="13" s="1"/>
  <c r="W133" i="13" a="1"/>
  <c r="W133" i="13" s="1"/>
  <c r="W132" i="13"/>
  <c r="W132" i="13" a="1"/>
  <c r="W131" i="13" a="1"/>
  <c r="W131" i="13" s="1"/>
  <c r="W130" i="13" a="1"/>
  <c r="W130" i="13" s="1"/>
  <c r="W129" i="13" a="1"/>
  <c r="W129" i="13" s="1"/>
  <c r="W128" i="13" a="1"/>
  <c r="W128" i="13" s="1"/>
  <c r="W127" i="13" a="1"/>
  <c r="W127" i="13" s="1"/>
  <c r="W126" i="13" a="1"/>
  <c r="W126" i="13" s="1"/>
  <c r="W125" i="13" a="1"/>
  <c r="W125" i="13" s="1"/>
  <c r="W124" i="13"/>
  <c r="W124" i="13" a="1"/>
  <c r="W123" i="13" a="1"/>
  <c r="W123" i="13" s="1"/>
  <c r="W122" i="13" a="1"/>
  <c r="W122" i="13" s="1"/>
  <c r="W121" i="13" a="1"/>
  <c r="W121" i="13" s="1"/>
  <c r="W120" i="13" a="1"/>
  <c r="W120" i="13" s="1"/>
  <c r="W119" i="13" a="1"/>
  <c r="W119" i="13" s="1"/>
  <c r="W118" i="13" a="1"/>
  <c r="W118" i="13" s="1"/>
  <c r="W117" i="13" a="1"/>
  <c r="W117" i="13" s="1"/>
  <c r="W116" i="13"/>
  <c r="W116" i="13" a="1"/>
  <c r="W115" i="13" a="1"/>
  <c r="W115" i="13" s="1"/>
  <c r="W114" i="13" a="1"/>
  <c r="W114" i="13" s="1"/>
  <c r="W113" i="13" a="1"/>
  <c r="W113" i="13" s="1"/>
  <c r="W112" i="13" a="1"/>
  <c r="W112" i="13" s="1"/>
  <c r="W111" i="13" a="1"/>
  <c r="W111" i="13" s="1"/>
  <c r="W110" i="13" a="1"/>
  <c r="W110" i="13" s="1"/>
  <c r="W109" i="13" a="1"/>
  <c r="W109" i="13" s="1"/>
  <c r="W108" i="13"/>
  <c r="W108" i="13" a="1"/>
  <c r="W107" i="13" a="1"/>
  <c r="W107" i="13" s="1"/>
  <c r="W106" i="13" a="1"/>
  <c r="W106" i="13" s="1"/>
  <c r="W105" i="13" a="1"/>
  <c r="W105" i="13" s="1"/>
  <c r="W104" i="13" a="1"/>
  <c r="W104" i="13" s="1"/>
  <c r="W103" i="13" a="1"/>
  <c r="W103" i="13" s="1"/>
  <c r="W102" i="13" a="1"/>
  <c r="W102" i="13" s="1"/>
  <c r="W101" i="13" a="1"/>
  <c r="W101" i="13" s="1"/>
  <c r="W100" i="13"/>
  <c r="W100" i="13" a="1"/>
  <c r="W99" i="13" a="1"/>
  <c r="W99" i="13" s="1"/>
  <c r="W98" i="13" a="1"/>
  <c r="W98" i="13" s="1"/>
  <c r="W97" i="13" a="1"/>
  <c r="W97" i="13" s="1"/>
  <c r="W96" i="13" a="1"/>
  <c r="W96" i="13" s="1"/>
  <c r="W95" i="13" a="1"/>
  <c r="W95" i="13" s="1"/>
  <c r="W94" i="13" a="1"/>
  <c r="W94" i="13" s="1"/>
  <c r="W93" i="13" a="1"/>
  <c r="W93" i="13" s="1"/>
  <c r="W92" i="13"/>
  <c r="W92" i="13" a="1"/>
  <c r="W91" i="13" a="1"/>
  <c r="W91" i="13" s="1"/>
  <c r="W90" i="13" a="1"/>
  <c r="W90" i="13" s="1"/>
  <c r="W89" i="13" a="1"/>
  <c r="W89" i="13" s="1"/>
  <c r="W88" i="13" a="1"/>
  <c r="W88" i="13" s="1"/>
  <c r="W87" i="13" a="1"/>
  <c r="W87" i="13" s="1"/>
  <c r="W86" i="13" a="1"/>
  <c r="W86" i="13" s="1"/>
  <c r="W85" i="13" a="1"/>
  <c r="W85" i="13" s="1"/>
  <c r="W84" i="13"/>
  <c r="W84" i="13" a="1"/>
  <c r="W83" i="13" a="1"/>
  <c r="W83" i="13" s="1"/>
  <c r="W82" i="13" a="1"/>
  <c r="W82" i="13" s="1"/>
  <c r="W81" i="13" a="1"/>
  <c r="W81" i="13" s="1"/>
  <c r="W80" i="13" a="1"/>
  <c r="W80" i="13" s="1"/>
  <c r="W79" i="13" a="1"/>
  <c r="W79" i="13" s="1"/>
  <c r="W78" i="13" a="1"/>
  <c r="W78" i="13" s="1"/>
  <c r="W77" i="13" a="1"/>
  <c r="W77" i="13" s="1"/>
  <c r="W76" i="13"/>
  <c r="W76" i="13" a="1"/>
  <c r="W75" i="13" a="1"/>
  <c r="W75" i="13" s="1"/>
  <c r="W74" i="13" a="1"/>
  <c r="W74" i="13" s="1"/>
  <c r="W73" i="13" a="1"/>
  <c r="W73" i="13" s="1"/>
  <c r="W72" i="13" a="1"/>
  <c r="W72" i="13" s="1"/>
  <c r="W71" i="13" a="1"/>
  <c r="W71" i="13" s="1"/>
  <c r="W70" i="13" a="1"/>
  <c r="W70" i="13" s="1"/>
  <c r="W69" i="13" a="1"/>
  <c r="W69" i="13" s="1"/>
  <c r="W68" i="13"/>
  <c r="W68" i="13" a="1"/>
  <c r="W67" i="13" a="1"/>
  <c r="W67" i="13" s="1"/>
  <c r="W66" i="13" a="1"/>
  <c r="W66" i="13" s="1"/>
  <c r="W65" i="13" a="1"/>
  <c r="W65" i="13" s="1"/>
  <c r="W64" i="13" a="1"/>
  <c r="W64" i="13" s="1"/>
  <c r="W63" i="13" a="1"/>
  <c r="W63" i="13" s="1"/>
  <c r="W62" i="13" a="1"/>
  <c r="W62" i="13" s="1"/>
  <c r="W61" i="13" a="1"/>
  <c r="W61" i="13" s="1"/>
  <c r="W60" i="13"/>
  <c r="W60" i="13" a="1"/>
  <c r="W59" i="13" a="1"/>
  <c r="W59" i="13" s="1"/>
  <c r="W58" i="13" a="1"/>
  <c r="W58" i="13" s="1"/>
  <c r="W57" i="13" a="1"/>
  <c r="W57" i="13" s="1"/>
  <c r="W56" i="13" a="1"/>
  <c r="W56" i="13" s="1"/>
  <c r="W55" i="13" a="1"/>
  <c r="W55" i="13" s="1"/>
  <c r="W54" i="13" a="1"/>
  <c r="W54" i="13" s="1"/>
  <c r="W53" i="13" a="1"/>
  <c r="W53" i="13" s="1"/>
  <c r="W52" i="13"/>
  <c r="W52" i="13" a="1"/>
  <c r="W51" i="13" a="1"/>
  <c r="W51" i="13" s="1"/>
  <c r="W50" i="13" a="1"/>
  <c r="W50" i="13" s="1"/>
  <c r="W49" i="13" a="1"/>
  <c r="W49" i="13" s="1"/>
  <c r="W48" i="13" a="1"/>
  <c r="W48" i="13" s="1"/>
  <c r="W47" i="13" a="1"/>
  <c r="W47" i="13" s="1"/>
  <c r="W46" i="13" a="1"/>
  <c r="W46" i="13" s="1"/>
  <c r="W45" i="13" a="1"/>
  <c r="W45" i="13" s="1"/>
  <c r="W44" i="13"/>
  <c r="W44" i="13" a="1"/>
  <c r="W43" i="13" a="1"/>
  <c r="W43" i="13" s="1"/>
  <c r="W42" i="13" a="1"/>
  <c r="W42" i="13" s="1"/>
  <c r="W41" i="13" a="1"/>
  <c r="W41" i="13" s="1"/>
  <c r="W40" i="13" a="1"/>
  <c r="W40" i="13" s="1"/>
  <c r="W39" i="13" a="1"/>
  <c r="W39" i="13" s="1"/>
  <c r="W38" i="13" a="1"/>
  <c r="W38" i="13" s="1"/>
  <c r="W37" i="13" a="1"/>
  <c r="W37" i="13" s="1"/>
  <c r="W36" i="13"/>
  <c r="W36" i="13" a="1"/>
  <c r="W35" i="13" a="1"/>
  <c r="W35" i="13" s="1"/>
  <c r="W34" i="13" a="1"/>
  <c r="W34" i="13" s="1"/>
  <c r="W33" i="13" a="1"/>
  <c r="W33" i="13" s="1"/>
  <c r="W32" i="13" a="1"/>
  <c r="W32" i="13" s="1"/>
  <c r="W31" i="13" a="1"/>
  <c r="W31" i="13" s="1"/>
  <c r="W30" i="13" a="1"/>
  <c r="W30" i="13" s="1"/>
  <c r="W29" i="13" a="1"/>
  <c r="W29" i="13" s="1"/>
  <c r="W28" i="13"/>
  <c r="W28" i="13" a="1"/>
  <c r="W27" i="13" a="1"/>
  <c r="W27" i="13" s="1"/>
  <c r="W26" i="13" a="1"/>
  <c r="W26" i="13" s="1"/>
  <c r="W25" i="13" a="1"/>
  <c r="W25" i="13" s="1"/>
  <c r="W24" i="13" a="1"/>
  <c r="W24" i="13" s="1"/>
  <c r="W23" i="13" a="1"/>
  <c r="W23" i="13" s="1"/>
  <c r="W22" i="13" a="1"/>
  <c r="W22" i="13" s="1"/>
  <c r="W21" i="13" a="1"/>
  <c r="W21" i="13" s="1"/>
  <c r="W20" i="13"/>
  <c r="W20" i="13" a="1"/>
  <c r="W19" i="13" a="1"/>
  <c r="W19" i="13" s="1"/>
  <c r="W18" i="13" a="1"/>
  <c r="W18" i="13" s="1"/>
  <c r="W17" i="13" a="1"/>
  <c r="W17" i="13" s="1"/>
  <c r="W16" i="13" a="1"/>
  <c r="W16" i="13" s="1"/>
  <c r="W15" i="13" a="1"/>
  <c r="W15" i="13" s="1"/>
  <c r="W14" i="13" a="1"/>
  <c r="W14" i="13" s="1"/>
  <c r="W13" i="13" a="1"/>
  <c r="W13" i="13" s="1"/>
  <c r="W12" i="13"/>
  <c r="W12" i="13" a="1"/>
  <c r="W11" i="13" a="1"/>
  <c r="W11" i="13" s="1"/>
  <c r="W10" i="13" a="1"/>
  <c r="W10" i="13" s="1"/>
  <c r="W9" i="13" a="1"/>
  <c r="W9" i="13" s="1"/>
  <c r="W8" i="13" a="1"/>
  <c r="W8" i="13" s="1"/>
  <c r="W7" i="13" a="1"/>
  <c r="W7" i="13" s="1"/>
  <c r="W6" i="13" a="1"/>
  <c r="W6" i="13" s="1"/>
  <c r="W244" i="13" l="1"/>
  <c r="AH140" i="23" a="1"/>
  <c r="AH140" i="23" s="1"/>
  <c r="AH139" i="23" a="1"/>
  <c r="AH139" i="23" s="1"/>
  <c r="AH138" i="23" a="1"/>
  <c r="AH138" i="23" s="1"/>
  <c r="AH137" i="23" a="1"/>
  <c r="AH137" i="23" s="1"/>
  <c r="AH136" i="23" a="1"/>
  <c r="AH136" i="23" s="1"/>
  <c r="AH135" i="23" a="1"/>
  <c r="AH135" i="23" s="1"/>
  <c r="AH134" i="23" a="1"/>
  <c r="AH134" i="23" s="1"/>
  <c r="AH133" i="23" a="1"/>
  <c r="AH133" i="23" s="1"/>
  <c r="AH132" i="23" a="1"/>
  <c r="AH132" i="23" s="1"/>
  <c r="AH131" i="23" a="1"/>
  <c r="AH131" i="23" s="1"/>
  <c r="AH130" i="23" a="1"/>
  <c r="AH130" i="23" s="1"/>
  <c r="AH129" i="23" a="1"/>
  <c r="AH129" i="23" s="1"/>
  <c r="AH128" i="23" a="1"/>
  <c r="AH128" i="23" s="1"/>
  <c r="AH127" i="23" a="1"/>
  <c r="AH127" i="23" s="1"/>
  <c r="AH126" i="23" a="1"/>
  <c r="AH126" i="23" s="1"/>
  <c r="AH125" i="23" a="1"/>
  <c r="AH125" i="23" s="1"/>
  <c r="AH124" i="23" a="1"/>
  <c r="AH124" i="23" s="1"/>
  <c r="AH123" i="23" a="1"/>
  <c r="AH123" i="23" s="1"/>
  <c r="AH122" i="23" a="1"/>
  <c r="AH122" i="23" s="1"/>
  <c r="AH121" i="23" a="1"/>
  <c r="AH121" i="23" s="1"/>
  <c r="AH120" i="23" a="1"/>
  <c r="AH120" i="23" s="1"/>
  <c r="AH119" i="23" a="1"/>
  <c r="AH119" i="23" s="1"/>
  <c r="AH118" i="23" a="1"/>
  <c r="AH118" i="23" s="1"/>
  <c r="AH117" i="23" a="1"/>
  <c r="AH117" i="23" s="1"/>
  <c r="AH116" i="23" a="1"/>
  <c r="AH116" i="23" s="1"/>
  <c r="AH115" i="23" a="1"/>
  <c r="AH115" i="23" s="1"/>
  <c r="AH114" i="23" a="1"/>
  <c r="AH114" i="23" s="1"/>
  <c r="AH113" i="23" a="1"/>
  <c r="AH113" i="23" s="1"/>
  <c r="AH112" i="23" a="1"/>
  <c r="AH112" i="23" s="1"/>
  <c r="AH111" i="23" a="1"/>
  <c r="AH111" i="23" s="1"/>
  <c r="AH110" i="23" a="1"/>
  <c r="AH110" i="23" s="1"/>
  <c r="AH109" i="23" a="1"/>
  <c r="AH109" i="23" s="1"/>
  <c r="AH108" i="23" a="1"/>
  <c r="AH108" i="23" s="1"/>
  <c r="AH107" i="23" a="1"/>
  <c r="AH107" i="23" s="1"/>
  <c r="AH106" i="23" a="1"/>
  <c r="AH106" i="23" s="1"/>
  <c r="AH105" i="23" a="1"/>
  <c r="AH105" i="23" s="1"/>
  <c r="AH104" i="23" a="1"/>
  <c r="AH104" i="23" s="1"/>
  <c r="AH103" i="23" a="1"/>
  <c r="AH103" i="23" s="1"/>
  <c r="AH102" i="23" a="1"/>
  <c r="AH102" i="23" s="1"/>
  <c r="AH101" i="23" a="1"/>
  <c r="AH101" i="23" s="1"/>
  <c r="AH100" i="23" a="1"/>
  <c r="AH100" i="23" s="1"/>
  <c r="AH99" i="23" a="1"/>
  <c r="AH99" i="23" s="1"/>
  <c r="AH98" i="23" a="1"/>
  <c r="AH98" i="23" s="1"/>
  <c r="AH97" i="23" a="1"/>
  <c r="AH97" i="23" s="1"/>
  <c r="AH96" i="23" a="1"/>
  <c r="AH96" i="23" s="1"/>
  <c r="AH95" i="23" a="1"/>
  <c r="AH95" i="23" s="1"/>
  <c r="AH94" i="23" a="1"/>
  <c r="AH94" i="23" s="1"/>
  <c r="AH93" i="23" a="1"/>
  <c r="AH93" i="23" s="1"/>
  <c r="AH92" i="23" a="1"/>
  <c r="AH92" i="23" s="1"/>
  <c r="AH91" i="23" a="1"/>
  <c r="AH91" i="23" s="1"/>
  <c r="AH90" i="23" a="1"/>
  <c r="AH90" i="23" s="1"/>
  <c r="AH89" i="23" a="1"/>
  <c r="AH89" i="23" s="1"/>
  <c r="AH88" i="23" a="1"/>
  <c r="AH88" i="23" s="1"/>
  <c r="AH87" i="23" a="1"/>
  <c r="AH87" i="23" s="1"/>
  <c r="AH86" i="23" a="1"/>
  <c r="AH86" i="23" s="1"/>
  <c r="AH85" i="23" a="1"/>
  <c r="AH85" i="23" s="1"/>
  <c r="AH84" i="23" a="1"/>
  <c r="AH84" i="23" s="1"/>
  <c r="AH83" i="23" a="1"/>
  <c r="AH83" i="23" s="1"/>
  <c r="AH82" i="23" a="1"/>
  <c r="AH82" i="23" s="1"/>
  <c r="AH81" i="23" a="1"/>
  <c r="AH81" i="23" s="1"/>
  <c r="AH80" i="23" a="1"/>
  <c r="AH80" i="23" s="1"/>
  <c r="AH79" i="23" a="1"/>
  <c r="AH79" i="23" s="1"/>
  <c r="AH78" i="23" a="1"/>
  <c r="AH78" i="23" s="1"/>
  <c r="AH77" i="23" a="1"/>
  <c r="AH77" i="23" s="1"/>
  <c r="AH76" i="23" a="1"/>
  <c r="AH76" i="23" s="1"/>
  <c r="AH75" i="23" a="1"/>
  <c r="AH75" i="23" s="1"/>
  <c r="AH74" i="23" a="1"/>
  <c r="AH74" i="23" s="1"/>
  <c r="AH73" i="23" a="1"/>
  <c r="AH73" i="23" s="1"/>
  <c r="AH72" i="23" a="1"/>
  <c r="AH72" i="23" s="1"/>
  <c r="AH71" i="23" a="1"/>
  <c r="AH71" i="23" s="1"/>
  <c r="AH70" i="23" a="1"/>
  <c r="AH70" i="23" s="1"/>
  <c r="AH69" i="23"/>
  <c r="AH69" i="23" a="1"/>
  <c r="AH68" i="23" a="1"/>
  <c r="AH68" i="23" s="1"/>
  <c r="AH67" i="23" a="1"/>
  <c r="AH67" i="23" s="1"/>
  <c r="AH66" i="23" a="1"/>
  <c r="AH66" i="23" s="1"/>
  <c r="AH65" i="23" a="1"/>
  <c r="AH65" i="23" s="1"/>
  <c r="AH64" i="23" a="1"/>
  <c r="AH64" i="23" s="1"/>
  <c r="AH63" i="23" a="1"/>
  <c r="AH63" i="23" s="1"/>
  <c r="AH62" i="23" a="1"/>
  <c r="AH62" i="23" s="1"/>
  <c r="AH61" i="23" a="1"/>
  <c r="AH61" i="23" s="1"/>
  <c r="AH60" i="23" a="1"/>
  <c r="AH60" i="23" s="1"/>
  <c r="AH59" i="23" a="1"/>
  <c r="AH59" i="23" s="1"/>
  <c r="AH58" i="23" a="1"/>
  <c r="AH58" i="23" s="1"/>
  <c r="AH57" i="23" a="1"/>
  <c r="AH57" i="23" s="1"/>
  <c r="AH56" i="23" a="1"/>
  <c r="AH56" i="23" s="1"/>
  <c r="AH55" i="23" a="1"/>
  <c r="AH55" i="23" s="1"/>
  <c r="AH54" i="23" a="1"/>
  <c r="AH54" i="23" s="1"/>
  <c r="AH53" i="23" a="1"/>
  <c r="AH53" i="23" s="1"/>
  <c r="AH52" i="23" a="1"/>
  <c r="AH52" i="23" s="1"/>
  <c r="AH51" i="23" a="1"/>
  <c r="AH51" i="23" s="1"/>
  <c r="AH50" i="23" a="1"/>
  <c r="AH50" i="23" s="1"/>
  <c r="AH49" i="23" a="1"/>
  <c r="AH49" i="23" s="1"/>
  <c r="AH48" i="23" a="1"/>
  <c r="AH48" i="23" s="1"/>
  <c r="AH47" i="23" a="1"/>
  <c r="AH47" i="23" s="1"/>
  <c r="AH46" i="23" a="1"/>
  <c r="AH46" i="23" s="1"/>
  <c r="AH45" i="23" a="1"/>
  <c r="AH45" i="23" s="1"/>
  <c r="AH44" i="23" a="1"/>
  <c r="AH44" i="23" s="1"/>
  <c r="AH43" i="23" a="1"/>
  <c r="AH43" i="23" s="1"/>
  <c r="AH42" i="23" a="1"/>
  <c r="AH42" i="23" s="1"/>
  <c r="AH41" i="23" a="1"/>
  <c r="AH41" i="23" s="1"/>
  <c r="AH40" i="23" a="1"/>
  <c r="AH40" i="23" s="1"/>
  <c r="AH39" i="23" a="1"/>
  <c r="AH39" i="23" s="1"/>
  <c r="AH38" i="23" a="1"/>
  <c r="AH38" i="23" s="1"/>
  <c r="AH37" i="23" a="1"/>
  <c r="AH37" i="23" s="1"/>
  <c r="AH36" i="23" a="1"/>
  <c r="AH36" i="23" s="1"/>
  <c r="AH35" i="23" a="1"/>
  <c r="AH35" i="23" s="1"/>
  <c r="AH34" i="23" a="1"/>
  <c r="AH34" i="23" s="1"/>
  <c r="AH33" i="23" a="1"/>
  <c r="AH33" i="23" s="1"/>
  <c r="AH32" i="23" a="1"/>
  <c r="AH32" i="23" s="1"/>
  <c r="AH31" i="23" a="1"/>
  <c r="AH31" i="23" s="1"/>
  <c r="AH30" i="23" a="1"/>
  <c r="AH30" i="23" s="1"/>
  <c r="AH29" i="23" a="1"/>
  <c r="AH29" i="23" s="1"/>
  <c r="AH28" i="23" a="1"/>
  <c r="AH28" i="23" s="1"/>
  <c r="AH27" i="23" a="1"/>
  <c r="AH27" i="23" s="1"/>
  <c r="AH26" i="23" a="1"/>
  <c r="AH26" i="23" s="1"/>
  <c r="AH25" i="23" a="1"/>
  <c r="AH25" i="23" s="1"/>
  <c r="AH24" i="23" a="1"/>
  <c r="AH24" i="23" s="1"/>
  <c r="AH23" i="23" a="1"/>
  <c r="AH23" i="23" s="1"/>
  <c r="AH22" i="23" a="1"/>
  <c r="AH22" i="23" s="1"/>
  <c r="AH21" i="23" a="1"/>
  <c r="AH21" i="23" s="1"/>
  <c r="AH20" i="23" a="1"/>
  <c r="AH20" i="23" s="1"/>
  <c r="AH19" i="23" a="1"/>
  <c r="AH19" i="23" s="1"/>
  <c r="AH18" i="23" a="1"/>
  <c r="AH18" i="23" s="1"/>
  <c r="AH17" i="23" a="1"/>
  <c r="AH17" i="23" s="1"/>
  <c r="AH16" i="23" a="1"/>
  <c r="AH16" i="23" s="1"/>
  <c r="AH15" i="23" a="1"/>
  <c r="AH15" i="23" s="1"/>
  <c r="AH14" i="23" a="1"/>
  <c r="AH14" i="23" s="1"/>
  <c r="AH13" i="23" a="1"/>
  <c r="AH13" i="23" s="1"/>
  <c r="AH12" i="23" a="1"/>
  <c r="AH12" i="23" s="1"/>
  <c r="AH11" i="23" a="1"/>
  <c r="AH11" i="23" s="1"/>
  <c r="AH10" i="23" a="1"/>
  <c r="AH10" i="23" s="1"/>
  <c r="AH9" i="23" a="1"/>
  <c r="AH9" i="23" s="1"/>
  <c r="AH8" i="23" a="1"/>
  <c r="AH8" i="23" s="1"/>
  <c r="AH7" i="23" a="1"/>
  <c r="AH7" i="23" s="1"/>
  <c r="AH6" i="23" a="1"/>
  <c r="AH6" i="23" s="1"/>
  <c r="AH141" i="23" l="1"/>
  <c r="E7" i="5" s="1"/>
  <c r="T109" i="23" l="1"/>
  <c r="S109" i="23"/>
  <c r="R109" i="23"/>
  <c r="Q109" i="23"/>
  <c r="AA108" i="23"/>
  <c r="Z108" i="23"/>
  <c r="Y108" i="23"/>
  <c r="X108" i="23"/>
  <c r="V108" i="23"/>
  <c r="W108" i="23" s="1"/>
  <c r="U108" i="23"/>
  <c r="T108" i="23"/>
  <c r="S108" i="23"/>
  <c r="AD108" i="23" s="1"/>
  <c r="R108" i="23"/>
  <c r="Q108" i="23"/>
  <c r="Q112" i="23"/>
  <c r="R112" i="23"/>
  <c r="S112" i="23"/>
  <c r="T112" i="23"/>
  <c r="Q110" i="23"/>
  <c r="R110" i="23"/>
  <c r="S110" i="23"/>
  <c r="T110" i="23"/>
  <c r="Q111" i="23"/>
  <c r="R111" i="23"/>
  <c r="S111" i="23"/>
  <c r="T111" i="23"/>
  <c r="AE108" i="23" l="1"/>
  <c r="AB108" i="23"/>
  <c r="AC108" i="23"/>
  <c r="Q37" i="23"/>
  <c r="R37" i="23"/>
  <c r="S37" i="23"/>
  <c r="AC37" i="23" s="1"/>
  <c r="T37" i="23"/>
  <c r="U37" i="23" s="1"/>
  <c r="AE37" i="23" s="1"/>
  <c r="V37" i="23"/>
  <c r="W37" i="23" s="1"/>
  <c r="Q31" i="23"/>
  <c r="R31" i="23"/>
  <c r="S31" i="23"/>
  <c r="T31" i="23"/>
  <c r="U31" i="23" s="1"/>
  <c r="V31" i="23"/>
  <c r="W31" i="23" s="1"/>
  <c r="Q32" i="23"/>
  <c r="R32" i="23"/>
  <c r="S32" i="23"/>
  <c r="T32" i="23"/>
  <c r="U32" i="23" s="1"/>
  <c r="AE32" i="23" s="1"/>
  <c r="V32" i="23"/>
  <c r="W32" i="23" s="1"/>
  <c r="Q33" i="23"/>
  <c r="R33" i="23"/>
  <c r="S33" i="23"/>
  <c r="T33" i="23"/>
  <c r="U33" i="23"/>
  <c r="V33" i="23"/>
  <c r="W33" i="23" s="1"/>
  <c r="Q34" i="23"/>
  <c r="R34" i="23"/>
  <c r="S34" i="23"/>
  <c r="T34" i="23"/>
  <c r="U34" i="23" s="1"/>
  <c r="AE34" i="23" s="1"/>
  <c r="V34" i="23"/>
  <c r="W34" i="23" s="1"/>
  <c r="Q35" i="23"/>
  <c r="R35" i="23"/>
  <c r="S35" i="23"/>
  <c r="T35" i="23"/>
  <c r="U35" i="23" s="1"/>
  <c r="V35" i="23"/>
  <c r="W35" i="23" s="1"/>
  <c r="Q36" i="23"/>
  <c r="R36" i="23"/>
  <c r="S36" i="23"/>
  <c r="T36" i="23"/>
  <c r="U36" i="23" s="1"/>
  <c r="AE36" i="23" s="1"/>
  <c r="V36" i="23"/>
  <c r="W36" i="23" s="1"/>
  <c r="E8" i="5"/>
  <c r="E6" i="5"/>
  <c r="V140" i="23"/>
  <c r="W140" i="23" s="1"/>
  <c r="T140" i="23"/>
  <c r="U140" i="23" s="1"/>
  <c r="AE140" i="23" s="1"/>
  <c r="S140" i="23"/>
  <c r="AC140" i="23" s="1"/>
  <c r="R140" i="23"/>
  <c r="Q140" i="23"/>
  <c r="V139" i="23"/>
  <c r="W139" i="23" s="1"/>
  <c r="T139" i="23"/>
  <c r="U139" i="23" s="1"/>
  <c r="AE139" i="23" s="1"/>
  <c r="S139" i="23"/>
  <c r="R139" i="23"/>
  <c r="Q139" i="23"/>
  <c r="Y138" i="23"/>
  <c r="V138" i="23"/>
  <c r="W138" i="23" s="1"/>
  <c r="T138" i="23"/>
  <c r="S138" i="23"/>
  <c r="AD138" i="23" s="1"/>
  <c r="R138" i="23"/>
  <c r="Q138" i="23"/>
  <c r="Y137" i="23"/>
  <c r="V137" i="23"/>
  <c r="W137" i="23" s="1"/>
  <c r="T137" i="23"/>
  <c r="S137" i="23"/>
  <c r="AB137" i="23" s="1"/>
  <c r="R137" i="23"/>
  <c r="Q137" i="23"/>
  <c r="Y136" i="23"/>
  <c r="V136" i="23"/>
  <c r="W136" i="23" s="1"/>
  <c r="T136" i="23"/>
  <c r="S136" i="23"/>
  <c r="AD136" i="23" s="1"/>
  <c r="R136" i="23"/>
  <c r="Q136" i="23"/>
  <c r="Y135" i="23"/>
  <c r="V135" i="23"/>
  <c r="W135" i="23" s="1"/>
  <c r="T135" i="23"/>
  <c r="S135" i="23"/>
  <c r="AD135" i="23" s="1"/>
  <c r="R135" i="23"/>
  <c r="Q135" i="23"/>
  <c r="Y134" i="23"/>
  <c r="V134" i="23"/>
  <c r="W134" i="23" s="1"/>
  <c r="T134" i="23"/>
  <c r="S134" i="23"/>
  <c r="AC134" i="23" s="1"/>
  <c r="R134" i="23"/>
  <c r="Q134" i="23"/>
  <c r="Y133" i="23"/>
  <c r="V133" i="23"/>
  <c r="W133" i="23" s="1"/>
  <c r="T133" i="23"/>
  <c r="S133" i="23"/>
  <c r="AC133" i="23" s="1"/>
  <c r="R133" i="23"/>
  <c r="Q133" i="23"/>
  <c r="Y132" i="23"/>
  <c r="V132" i="23"/>
  <c r="W132" i="23" s="1"/>
  <c r="T132" i="23"/>
  <c r="S132" i="23"/>
  <c r="AC132" i="23" s="1"/>
  <c r="R132" i="23"/>
  <c r="Q132" i="23"/>
  <c r="Y131" i="23"/>
  <c r="V131" i="23"/>
  <c r="W131" i="23" s="1"/>
  <c r="T131" i="23"/>
  <c r="S131" i="23"/>
  <c r="AD131" i="23" s="1"/>
  <c r="R131" i="23"/>
  <c r="Q131" i="23"/>
  <c r="Y130" i="23"/>
  <c r="V130" i="23"/>
  <c r="W130" i="23" s="1"/>
  <c r="T130" i="23"/>
  <c r="S130" i="23"/>
  <c r="R130" i="23"/>
  <c r="Q130" i="23"/>
  <c r="Y129" i="23"/>
  <c r="V129" i="23"/>
  <c r="W129" i="23" s="1"/>
  <c r="T129" i="23"/>
  <c r="S129" i="23"/>
  <c r="AD129" i="23" s="1"/>
  <c r="R129" i="23"/>
  <c r="Q129" i="23"/>
  <c r="Y128" i="23"/>
  <c r="V128" i="23"/>
  <c r="W128" i="23" s="1"/>
  <c r="T128" i="23"/>
  <c r="S128" i="23"/>
  <c r="R128" i="23"/>
  <c r="Q128" i="23"/>
  <c r="Y127" i="23"/>
  <c r="V127" i="23"/>
  <c r="W127" i="23" s="1"/>
  <c r="T127" i="23"/>
  <c r="S127" i="23"/>
  <c r="R127" i="23"/>
  <c r="Q127" i="23"/>
  <c r="Y126" i="23"/>
  <c r="V126" i="23"/>
  <c r="W126" i="23" s="1"/>
  <c r="T126" i="23"/>
  <c r="S126" i="23"/>
  <c r="R126" i="23"/>
  <c r="Q126" i="23"/>
  <c r="V125" i="23"/>
  <c r="W125" i="23" s="1"/>
  <c r="T125" i="23"/>
  <c r="U125" i="23" s="1"/>
  <c r="AE125" i="23" s="1"/>
  <c r="S125" i="23"/>
  <c r="R125" i="23"/>
  <c r="Q125" i="23"/>
  <c r="V124" i="23"/>
  <c r="W124" i="23" s="1"/>
  <c r="T124" i="23"/>
  <c r="U124" i="23" s="1"/>
  <c r="AE124" i="23" s="1"/>
  <c r="S124" i="23"/>
  <c r="AC124" i="23" s="1"/>
  <c r="R124" i="23"/>
  <c r="Q124" i="23"/>
  <c r="Y123" i="23"/>
  <c r="V123" i="23"/>
  <c r="W123" i="23" s="1"/>
  <c r="T123" i="23"/>
  <c r="S123" i="23"/>
  <c r="R123" i="23"/>
  <c r="Q123" i="23"/>
  <c r="V122" i="23"/>
  <c r="W122" i="23" s="1"/>
  <c r="T122" i="23"/>
  <c r="U122" i="23" s="1"/>
  <c r="AE122" i="23" s="1"/>
  <c r="S122" i="23"/>
  <c r="R122" i="23"/>
  <c r="Q122" i="23"/>
  <c r="V121" i="23"/>
  <c r="W121" i="23" s="1"/>
  <c r="T121" i="23"/>
  <c r="U121" i="23" s="1"/>
  <c r="AE121" i="23" s="1"/>
  <c r="S121" i="23"/>
  <c r="AB121" i="23" s="1"/>
  <c r="R121" i="23"/>
  <c r="Q121" i="23"/>
  <c r="V120" i="23"/>
  <c r="W120" i="23" s="1"/>
  <c r="T120" i="23"/>
  <c r="U120" i="23" s="1"/>
  <c r="AE120" i="23" s="1"/>
  <c r="S120" i="23"/>
  <c r="AC120" i="23" s="1"/>
  <c r="R120" i="23"/>
  <c r="Q120" i="23"/>
  <c r="V119" i="23"/>
  <c r="W119" i="23" s="1"/>
  <c r="T119" i="23"/>
  <c r="S119" i="23"/>
  <c r="R119" i="23"/>
  <c r="Q119" i="23"/>
  <c r="V118" i="23"/>
  <c r="W118" i="23" s="1"/>
  <c r="T118" i="23"/>
  <c r="U118" i="23" s="1"/>
  <c r="AE118" i="23" s="1"/>
  <c r="S118" i="23"/>
  <c r="AC118" i="23" s="1"/>
  <c r="R118" i="23"/>
  <c r="Q118" i="23"/>
  <c r="V117" i="23"/>
  <c r="W117" i="23" s="1"/>
  <c r="T117" i="23"/>
  <c r="U117" i="23" s="1"/>
  <c r="AE117" i="23" s="1"/>
  <c r="S117" i="23"/>
  <c r="R117" i="23"/>
  <c r="Q117" i="23"/>
  <c r="V116" i="23"/>
  <c r="W116" i="23" s="1"/>
  <c r="T116" i="23"/>
  <c r="U116" i="23" s="1"/>
  <c r="S116" i="23"/>
  <c r="R116" i="23"/>
  <c r="Q116" i="23"/>
  <c r="V115" i="23"/>
  <c r="W115" i="23" s="1"/>
  <c r="T115" i="23"/>
  <c r="U115" i="23" s="1"/>
  <c r="AE115" i="23" s="1"/>
  <c r="S115" i="23"/>
  <c r="R115" i="23"/>
  <c r="Q115" i="23"/>
  <c r="V114" i="23"/>
  <c r="W114" i="23" s="1"/>
  <c r="T114" i="23"/>
  <c r="U114" i="23" s="1"/>
  <c r="AE114" i="23" s="1"/>
  <c r="S114" i="23"/>
  <c r="AC114" i="23" s="1"/>
  <c r="R114" i="23"/>
  <c r="Q114" i="23"/>
  <c r="V113" i="23"/>
  <c r="W113" i="23" s="1"/>
  <c r="T113" i="23"/>
  <c r="S113" i="23"/>
  <c r="R113" i="23"/>
  <c r="Q113" i="23"/>
  <c r="V111" i="23"/>
  <c r="W111" i="23" s="1"/>
  <c r="U111" i="23"/>
  <c r="AE111" i="23" s="1"/>
  <c r="AB111" i="23"/>
  <c r="V107" i="23"/>
  <c r="W107" i="23" s="1"/>
  <c r="T107" i="23"/>
  <c r="U107" i="23" s="1"/>
  <c r="AE107" i="23" s="1"/>
  <c r="S107" i="23"/>
  <c r="AB107" i="23" s="1"/>
  <c r="R107" i="23"/>
  <c r="Q107" i="23"/>
  <c r="V106" i="23"/>
  <c r="W106" i="23" s="1"/>
  <c r="T106" i="23"/>
  <c r="U106" i="23" s="1"/>
  <c r="AE106" i="23" s="1"/>
  <c r="S106" i="23"/>
  <c r="R106" i="23"/>
  <c r="Q106" i="23"/>
  <c r="V105" i="23"/>
  <c r="W105" i="23" s="1"/>
  <c r="T105" i="23"/>
  <c r="U105" i="23" s="1"/>
  <c r="AE105" i="23" s="1"/>
  <c r="S105" i="23"/>
  <c r="AC105" i="23" s="1"/>
  <c r="R105" i="23"/>
  <c r="Q105" i="23"/>
  <c r="V104" i="23"/>
  <c r="W104" i="23" s="1"/>
  <c r="T104" i="23"/>
  <c r="U104" i="23" s="1"/>
  <c r="AE104" i="23" s="1"/>
  <c r="S104" i="23"/>
  <c r="AD104" i="23" s="1"/>
  <c r="R104" i="23"/>
  <c r="Q104" i="23"/>
  <c r="V103" i="23"/>
  <c r="W103" i="23" s="1"/>
  <c r="T103" i="23"/>
  <c r="U103" i="23" s="1"/>
  <c r="AE103" i="23" s="1"/>
  <c r="S103" i="23"/>
  <c r="R103" i="23"/>
  <c r="Q103" i="23"/>
  <c r="V102" i="23"/>
  <c r="W102" i="23" s="1"/>
  <c r="T102" i="23"/>
  <c r="S102" i="23"/>
  <c r="R102" i="23"/>
  <c r="Q102" i="23"/>
  <c r="V101" i="23"/>
  <c r="W101" i="23" s="1"/>
  <c r="T101" i="23"/>
  <c r="U101" i="23" s="1"/>
  <c r="AE101" i="23" s="1"/>
  <c r="S101" i="23"/>
  <c r="AC101" i="23" s="1"/>
  <c r="R101" i="23"/>
  <c r="Q101" i="23"/>
  <c r="V100" i="23"/>
  <c r="W100" i="23" s="1"/>
  <c r="T100" i="23"/>
  <c r="U100" i="23" s="1"/>
  <c r="AE100" i="23" s="1"/>
  <c r="S100" i="23"/>
  <c r="AB100" i="23" s="1"/>
  <c r="R100" i="23"/>
  <c r="Q100" i="23"/>
  <c r="V99" i="23"/>
  <c r="W99" i="23" s="1"/>
  <c r="T99" i="23"/>
  <c r="U99" i="23" s="1"/>
  <c r="S99" i="23"/>
  <c r="AC99" i="23" s="1"/>
  <c r="R99" i="23"/>
  <c r="Q99" i="23"/>
  <c r="V98" i="23"/>
  <c r="W98" i="23" s="1"/>
  <c r="T98" i="23"/>
  <c r="S98" i="23"/>
  <c r="AC98" i="23" s="1"/>
  <c r="R98" i="23"/>
  <c r="Q98" i="23"/>
  <c r="V97" i="23"/>
  <c r="W97" i="23" s="1"/>
  <c r="T97" i="23"/>
  <c r="U97" i="23" s="1"/>
  <c r="AE97" i="23" s="1"/>
  <c r="S97" i="23"/>
  <c r="AC97" i="23" s="1"/>
  <c r="R97" i="23"/>
  <c r="Q97" i="23"/>
  <c r="V96" i="23"/>
  <c r="W96" i="23" s="1"/>
  <c r="T96" i="23"/>
  <c r="U96" i="23" s="1"/>
  <c r="AE96" i="23" s="1"/>
  <c r="S96" i="23"/>
  <c r="AC96" i="23" s="1"/>
  <c r="R96" i="23"/>
  <c r="Q96" i="23"/>
  <c r="V95" i="23"/>
  <c r="W95" i="23" s="1"/>
  <c r="T95" i="23"/>
  <c r="U95" i="23" s="1"/>
  <c r="AE95" i="23" s="1"/>
  <c r="S95" i="23"/>
  <c r="AC95" i="23" s="1"/>
  <c r="R95" i="23"/>
  <c r="Q95" i="23"/>
  <c r="V94" i="23"/>
  <c r="W94" i="23" s="1"/>
  <c r="T94" i="23"/>
  <c r="S94" i="23"/>
  <c r="AB94" i="23" s="1"/>
  <c r="R94" i="23"/>
  <c r="Q94" i="23"/>
  <c r="V93" i="23"/>
  <c r="W93" i="23" s="1"/>
  <c r="T93" i="23"/>
  <c r="U93" i="23" s="1"/>
  <c r="AE93" i="23" s="1"/>
  <c r="S93" i="23"/>
  <c r="R93" i="23"/>
  <c r="Q93" i="23"/>
  <c r="V92" i="23"/>
  <c r="W92" i="23" s="1"/>
  <c r="T92" i="23"/>
  <c r="U92" i="23" s="1"/>
  <c r="AE92" i="23" s="1"/>
  <c r="S92" i="23"/>
  <c r="AD92" i="23" s="1"/>
  <c r="R92" i="23"/>
  <c r="Q92" i="23"/>
  <c r="V91" i="23"/>
  <c r="W91" i="23" s="1"/>
  <c r="T91" i="23"/>
  <c r="U91" i="23" s="1"/>
  <c r="AE91" i="23" s="1"/>
  <c r="S91" i="23"/>
  <c r="AC91" i="23" s="1"/>
  <c r="R91" i="23"/>
  <c r="Q91" i="23"/>
  <c r="V90" i="23"/>
  <c r="W90" i="23" s="1"/>
  <c r="T90" i="23"/>
  <c r="U90" i="23" s="1"/>
  <c r="AE90" i="23" s="1"/>
  <c r="S90" i="23"/>
  <c r="AC90" i="23" s="1"/>
  <c r="R90" i="23"/>
  <c r="Q90" i="23"/>
  <c r="V89" i="23"/>
  <c r="W89" i="23" s="1"/>
  <c r="T89" i="23"/>
  <c r="U89" i="23" s="1"/>
  <c r="AE89" i="23" s="1"/>
  <c r="S89" i="23"/>
  <c r="R89" i="23"/>
  <c r="Q89" i="23"/>
  <c r="V88" i="23"/>
  <c r="W88" i="23" s="1"/>
  <c r="T88" i="23"/>
  <c r="U88" i="23" s="1"/>
  <c r="AE88" i="23" s="1"/>
  <c r="S88" i="23"/>
  <c r="R88" i="23"/>
  <c r="Q88" i="23"/>
  <c r="V87" i="23"/>
  <c r="W87" i="23" s="1"/>
  <c r="T87" i="23"/>
  <c r="U87" i="23" s="1"/>
  <c r="AE87" i="23" s="1"/>
  <c r="S87" i="23"/>
  <c r="AB87" i="23" s="1"/>
  <c r="R87" i="23"/>
  <c r="Q87" i="23"/>
  <c r="V86" i="23"/>
  <c r="W86" i="23" s="1"/>
  <c r="T86" i="23"/>
  <c r="U86" i="23" s="1"/>
  <c r="AE86" i="23" s="1"/>
  <c r="S86" i="23"/>
  <c r="AC86" i="23" s="1"/>
  <c r="R86" i="23"/>
  <c r="Q86" i="23"/>
  <c r="V85" i="23"/>
  <c r="W85" i="23" s="1"/>
  <c r="T85" i="23"/>
  <c r="U85" i="23" s="1"/>
  <c r="AE85" i="23" s="1"/>
  <c r="S85" i="23"/>
  <c r="R85" i="23"/>
  <c r="Q85" i="23"/>
  <c r="V84" i="23"/>
  <c r="W84" i="23" s="1"/>
  <c r="T84" i="23"/>
  <c r="U84" i="23" s="1"/>
  <c r="AE84" i="23" s="1"/>
  <c r="S84" i="23"/>
  <c r="R84" i="23"/>
  <c r="Q84" i="23"/>
  <c r="V83" i="23"/>
  <c r="W83" i="23" s="1"/>
  <c r="T83" i="23"/>
  <c r="U83" i="23" s="1"/>
  <c r="AE83" i="23" s="1"/>
  <c r="S83" i="23"/>
  <c r="AD83" i="23" s="1"/>
  <c r="R83" i="23"/>
  <c r="Q83" i="23"/>
  <c r="V82" i="23"/>
  <c r="W82" i="23" s="1"/>
  <c r="T82" i="23"/>
  <c r="U82" i="23" s="1"/>
  <c r="AE82" i="23" s="1"/>
  <c r="S82" i="23"/>
  <c r="R82" i="23"/>
  <c r="Q82" i="23"/>
  <c r="V81" i="23"/>
  <c r="W81" i="23" s="1"/>
  <c r="T81" i="23"/>
  <c r="U81" i="23" s="1"/>
  <c r="AE81" i="23" s="1"/>
  <c r="S81" i="23"/>
  <c r="R81" i="23"/>
  <c r="Q81" i="23"/>
  <c r="V80" i="23"/>
  <c r="W80" i="23" s="1"/>
  <c r="T80" i="23"/>
  <c r="U80" i="23" s="1"/>
  <c r="AE80" i="23" s="1"/>
  <c r="S80" i="23"/>
  <c r="AC80" i="23" s="1"/>
  <c r="R80" i="23"/>
  <c r="Q80" i="23"/>
  <c r="V79" i="23"/>
  <c r="W79" i="23" s="1"/>
  <c r="T79" i="23"/>
  <c r="S79" i="23"/>
  <c r="R79" i="23"/>
  <c r="Q79" i="23"/>
  <c r="V78" i="23"/>
  <c r="W78" i="23" s="1"/>
  <c r="T78" i="23"/>
  <c r="U78" i="23" s="1"/>
  <c r="AE78" i="23" s="1"/>
  <c r="S78" i="23"/>
  <c r="AC78" i="23" s="1"/>
  <c r="R78" i="23"/>
  <c r="Q78" i="23"/>
  <c r="V77" i="23"/>
  <c r="W77" i="23" s="1"/>
  <c r="T77" i="23"/>
  <c r="U77" i="23" s="1"/>
  <c r="AE77" i="23" s="1"/>
  <c r="S77" i="23"/>
  <c r="AC77" i="23" s="1"/>
  <c r="R77" i="23"/>
  <c r="Q77" i="23"/>
  <c r="V76" i="23"/>
  <c r="W76" i="23" s="1"/>
  <c r="T76" i="23"/>
  <c r="U76" i="23" s="1"/>
  <c r="AE76" i="23" s="1"/>
  <c r="S76" i="23"/>
  <c r="AB76" i="23" s="1"/>
  <c r="R76" i="23"/>
  <c r="Q76" i="23"/>
  <c r="V75" i="23"/>
  <c r="W75" i="23" s="1"/>
  <c r="T75" i="23"/>
  <c r="U75" i="23" s="1"/>
  <c r="AE75" i="23" s="1"/>
  <c r="S75" i="23"/>
  <c r="R75" i="23"/>
  <c r="Q75" i="23"/>
  <c r="V74" i="23"/>
  <c r="W74" i="23" s="1"/>
  <c r="T74" i="23"/>
  <c r="U74" i="23" s="1"/>
  <c r="AE74" i="23" s="1"/>
  <c r="S74" i="23"/>
  <c r="AB74" i="23" s="1"/>
  <c r="R74" i="23"/>
  <c r="Q74" i="23"/>
  <c r="V73" i="23"/>
  <c r="W73" i="23" s="1"/>
  <c r="T73" i="23"/>
  <c r="U73" i="23" s="1"/>
  <c r="AE73" i="23" s="1"/>
  <c r="S73" i="23"/>
  <c r="AC73" i="23" s="1"/>
  <c r="R73" i="23"/>
  <c r="Q73" i="23"/>
  <c r="V72" i="23"/>
  <c r="W72" i="23" s="1"/>
  <c r="T72" i="23"/>
  <c r="U72" i="23" s="1"/>
  <c r="AE72" i="23" s="1"/>
  <c r="S72" i="23"/>
  <c r="AB72" i="23" s="1"/>
  <c r="R72" i="23"/>
  <c r="Q72" i="23"/>
  <c r="V71" i="23"/>
  <c r="W71" i="23" s="1"/>
  <c r="T71" i="23"/>
  <c r="U71" i="23" s="1"/>
  <c r="AE71" i="23" s="1"/>
  <c r="S71" i="23"/>
  <c r="R71" i="23"/>
  <c r="Q71" i="23"/>
  <c r="V70" i="23"/>
  <c r="W70" i="23" s="1"/>
  <c r="T70" i="23"/>
  <c r="S70" i="23"/>
  <c r="AB70" i="23" s="1"/>
  <c r="R70" i="23"/>
  <c r="Q70" i="23"/>
  <c r="V69" i="23"/>
  <c r="W69" i="23" s="1"/>
  <c r="T69" i="23"/>
  <c r="U69" i="23" s="1"/>
  <c r="AE69" i="23" s="1"/>
  <c r="S69" i="23"/>
  <c r="AC69" i="23" s="1"/>
  <c r="R69" i="23"/>
  <c r="Q69" i="23"/>
  <c r="V68" i="23"/>
  <c r="W68" i="23" s="1"/>
  <c r="T68" i="23"/>
  <c r="U68" i="23" s="1"/>
  <c r="AE68" i="23" s="1"/>
  <c r="S68" i="23"/>
  <c r="AB68" i="23" s="1"/>
  <c r="R68" i="23"/>
  <c r="Q68" i="23"/>
  <c r="V67" i="23"/>
  <c r="W67" i="23" s="1"/>
  <c r="T67" i="23"/>
  <c r="U67" i="23" s="1"/>
  <c r="AE67" i="23" s="1"/>
  <c r="S67" i="23"/>
  <c r="AB67" i="23" s="1"/>
  <c r="R67" i="23"/>
  <c r="Q67" i="23"/>
  <c r="V66" i="23"/>
  <c r="W66" i="23" s="1"/>
  <c r="T66" i="23"/>
  <c r="U66" i="23" s="1"/>
  <c r="AE66" i="23" s="1"/>
  <c r="S66" i="23"/>
  <c r="R66" i="23"/>
  <c r="Q66" i="23"/>
  <c r="V65" i="23"/>
  <c r="W65" i="23" s="1"/>
  <c r="T65" i="23"/>
  <c r="U65" i="23" s="1"/>
  <c r="AE65" i="23" s="1"/>
  <c r="S65" i="23"/>
  <c r="R65" i="23"/>
  <c r="Q65" i="23"/>
  <c r="V64" i="23"/>
  <c r="W64" i="23" s="1"/>
  <c r="T64" i="23"/>
  <c r="U64" i="23" s="1"/>
  <c r="AE64" i="23" s="1"/>
  <c r="S64" i="23"/>
  <c r="AB64" i="23" s="1"/>
  <c r="R64" i="23"/>
  <c r="Q64" i="23"/>
  <c r="V63" i="23"/>
  <c r="W63" i="23" s="1"/>
  <c r="T63" i="23"/>
  <c r="U63" i="23" s="1"/>
  <c r="AE63" i="23" s="1"/>
  <c r="S63" i="23"/>
  <c r="R63" i="23"/>
  <c r="Q63" i="23"/>
  <c r="V62" i="23"/>
  <c r="W62" i="23" s="1"/>
  <c r="T62" i="23"/>
  <c r="U62" i="23" s="1"/>
  <c r="AE62" i="23" s="1"/>
  <c r="S62" i="23"/>
  <c r="R62" i="23"/>
  <c r="Q62" i="23"/>
  <c r="V61" i="23"/>
  <c r="W61" i="23" s="1"/>
  <c r="T61" i="23"/>
  <c r="U61" i="23" s="1"/>
  <c r="AE61" i="23" s="1"/>
  <c r="S61" i="23"/>
  <c r="R61" i="23"/>
  <c r="Q61" i="23"/>
  <c r="V60" i="23"/>
  <c r="W60" i="23" s="1"/>
  <c r="T60" i="23"/>
  <c r="U60" i="23" s="1"/>
  <c r="S60" i="23"/>
  <c r="R60" i="23"/>
  <c r="Q60" i="23"/>
  <c r="V59" i="23"/>
  <c r="W59" i="23" s="1"/>
  <c r="T59" i="23"/>
  <c r="U59" i="23" s="1"/>
  <c r="S59" i="23"/>
  <c r="AB59" i="23" s="1"/>
  <c r="R59" i="23"/>
  <c r="Q59" i="23"/>
  <c r="V58" i="23"/>
  <c r="W58" i="23" s="1"/>
  <c r="T58" i="23"/>
  <c r="U58" i="23" s="1"/>
  <c r="AE58" i="23" s="1"/>
  <c r="S58" i="23"/>
  <c r="AB58" i="23" s="1"/>
  <c r="R58" i="23"/>
  <c r="Q58" i="23"/>
  <c r="V57" i="23"/>
  <c r="W57" i="23" s="1"/>
  <c r="T57" i="23"/>
  <c r="U57" i="23" s="1"/>
  <c r="AE57" i="23" s="1"/>
  <c r="S57" i="23"/>
  <c r="AC57" i="23" s="1"/>
  <c r="R57" i="23"/>
  <c r="Q57" i="23"/>
  <c r="V56" i="23"/>
  <c r="W56" i="23" s="1"/>
  <c r="T56" i="23"/>
  <c r="U56" i="23" s="1"/>
  <c r="AE56" i="23" s="1"/>
  <c r="S56" i="23"/>
  <c r="AB56" i="23" s="1"/>
  <c r="R56" i="23"/>
  <c r="Q56" i="23"/>
  <c r="V55" i="23"/>
  <c r="W55" i="23" s="1"/>
  <c r="T55" i="23"/>
  <c r="U55" i="23" s="1"/>
  <c r="AE55" i="23" s="1"/>
  <c r="S55" i="23"/>
  <c r="AC55" i="23" s="1"/>
  <c r="R55" i="23"/>
  <c r="Q55" i="23"/>
  <c r="V54" i="23"/>
  <c r="W54" i="23" s="1"/>
  <c r="T54" i="23"/>
  <c r="U54" i="23" s="1"/>
  <c r="S54" i="23"/>
  <c r="AB54" i="23" s="1"/>
  <c r="R54" i="23"/>
  <c r="Q54" i="23"/>
  <c r="V53" i="23"/>
  <c r="W53" i="23" s="1"/>
  <c r="T53" i="23"/>
  <c r="U53" i="23" s="1"/>
  <c r="AE53" i="23" s="1"/>
  <c r="S53" i="23"/>
  <c r="AD53" i="23" s="1"/>
  <c r="R53" i="23"/>
  <c r="Q53" i="23"/>
  <c r="V52" i="23"/>
  <c r="W52" i="23" s="1"/>
  <c r="T52" i="23"/>
  <c r="U52" i="23" s="1"/>
  <c r="AE52" i="23" s="1"/>
  <c r="S52" i="23"/>
  <c r="R52" i="23"/>
  <c r="Q52" i="23"/>
  <c r="V51" i="23"/>
  <c r="W51" i="23" s="1"/>
  <c r="T51" i="23"/>
  <c r="U51" i="23" s="1"/>
  <c r="AE51" i="23" s="1"/>
  <c r="S51" i="23"/>
  <c r="AC51" i="23" s="1"/>
  <c r="R51" i="23"/>
  <c r="Q51" i="23"/>
  <c r="V50" i="23"/>
  <c r="W50" i="23" s="1"/>
  <c r="T50" i="23"/>
  <c r="U50" i="23" s="1"/>
  <c r="AE50" i="23" s="1"/>
  <c r="S50" i="23"/>
  <c r="R50" i="23"/>
  <c r="Q50" i="23"/>
  <c r="V49" i="23"/>
  <c r="W49" i="23" s="1"/>
  <c r="T49" i="23"/>
  <c r="U49" i="23" s="1"/>
  <c r="AE49" i="23" s="1"/>
  <c r="S49" i="23"/>
  <c r="R49" i="23"/>
  <c r="Q49" i="23"/>
  <c r="V48" i="23"/>
  <c r="W48" i="23" s="1"/>
  <c r="T48" i="23"/>
  <c r="U48" i="23" s="1"/>
  <c r="AE48" i="23" s="1"/>
  <c r="S48" i="23"/>
  <c r="R48" i="23"/>
  <c r="Q48" i="23"/>
  <c r="V47" i="23"/>
  <c r="W47" i="23" s="1"/>
  <c r="T47" i="23"/>
  <c r="U47" i="23" s="1"/>
  <c r="AE47" i="23" s="1"/>
  <c r="S47" i="23"/>
  <c r="R47" i="23"/>
  <c r="Q47" i="23"/>
  <c r="V46" i="23"/>
  <c r="W46" i="23" s="1"/>
  <c r="T46" i="23"/>
  <c r="U46" i="23" s="1"/>
  <c r="AE46" i="23" s="1"/>
  <c r="S46" i="23"/>
  <c r="AC46" i="23" s="1"/>
  <c r="R46" i="23"/>
  <c r="Q46" i="23"/>
  <c r="V45" i="23"/>
  <c r="W45" i="23" s="1"/>
  <c r="T45" i="23"/>
  <c r="U45" i="23" s="1"/>
  <c r="AE45" i="23" s="1"/>
  <c r="S45" i="23"/>
  <c r="R45" i="23"/>
  <c r="Q45" i="23"/>
  <c r="V44" i="23"/>
  <c r="W44" i="23" s="1"/>
  <c r="T44" i="23"/>
  <c r="U44" i="23" s="1"/>
  <c r="AE44" i="23" s="1"/>
  <c r="S44" i="23"/>
  <c r="R44" i="23"/>
  <c r="Q44" i="23"/>
  <c r="V43" i="23"/>
  <c r="W43" i="23" s="1"/>
  <c r="T43" i="23"/>
  <c r="U43" i="23" s="1"/>
  <c r="AE43" i="23" s="1"/>
  <c r="S43" i="23"/>
  <c r="AC43" i="23" s="1"/>
  <c r="R43" i="23"/>
  <c r="Q43" i="23"/>
  <c r="V42" i="23"/>
  <c r="W42" i="23" s="1"/>
  <c r="T42" i="23"/>
  <c r="U42" i="23" s="1"/>
  <c r="AE42" i="23" s="1"/>
  <c r="S42" i="23"/>
  <c r="AD42" i="23" s="1"/>
  <c r="R42" i="23"/>
  <c r="Q42" i="23"/>
  <c r="V41" i="23"/>
  <c r="W41" i="23" s="1"/>
  <c r="T41" i="23"/>
  <c r="U41" i="23" s="1"/>
  <c r="S41" i="23"/>
  <c r="R41" i="23"/>
  <c r="Q41" i="23"/>
  <c r="V40" i="23"/>
  <c r="W40" i="23" s="1"/>
  <c r="T40" i="23"/>
  <c r="U40" i="23" s="1"/>
  <c r="AE40" i="23" s="1"/>
  <c r="S40" i="23"/>
  <c r="R40" i="23"/>
  <c r="Q40" i="23"/>
  <c r="V39" i="23"/>
  <c r="W39" i="23" s="1"/>
  <c r="T39" i="23"/>
  <c r="U39" i="23" s="1"/>
  <c r="AE39" i="23" s="1"/>
  <c r="S39" i="23"/>
  <c r="R39" i="23"/>
  <c r="Q39" i="23"/>
  <c r="V38" i="23"/>
  <c r="W38" i="23" s="1"/>
  <c r="T38" i="23"/>
  <c r="U38" i="23" s="1"/>
  <c r="AE38" i="23" s="1"/>
  <c r="S38" i="23"/>
  <c r="R38" i="23"/>
  <c r="Q38" i="23"/>
  <c r="V30" i="23"/>
  <c r="W30" i="23" s="1"/>
  <c r="T30" i="23"/>
  <c r="U30" i="23" s="1"/>
  <c r="AE30" i="23" s="1"/>
  <c r="S30" i="23"/>
  <c r="R30" i="23"/>
  <c r="Q30" i="23"/>
  <c r="V29" i="23"/>
  <c r="W29" i="23" s="1"/>
  <c r="T29" i="23"/>
  <c r="U29" i="23" s="1"/>
  <c r="S29" i="23"/>
  <c r="R29" i="23"/>
  <c r="Q29" i="23"/>
  <c r="V28" i="23"/>
  <c r="W28" i="23" s="1"/>
  <c r="T28" i="23"/>
  <c r="U28" i="23" s="1"/>
  <c r="S28" i="23"/>
  <c r="R28" i="23"/>
  <c r="Q28" i="23"/>
  <c r="V27" i="23"/>
  <c r="W27" i="23" s="1"/>
  <c r="T27" i="23"/>
  <c r="U27" i="23" s="1"/>
  <c r="S27" i="23"/>
  <c r="R27" i="23"/>
  <c r="Q27" i="23"/>
  <c r="V26" i="23"/>
  <c r="W26" i="23" s="1"/>
  <c r="T26" i="23"/>
  <c r="U26" i="23" s="1"/>
  <c r="S26" i="23"/>
  <c r="R26" i="23"/>
  <c r="Q26" i="23"/>
  <c r="V25" i="23"/>
  <c r="W25" i="23" s="1"/>
  <c r="T25" i="23"/>
  <c r="U25" i="23" s="1"/>
  <c r="S25" i="23"/>
  <c r="R25" i="23"/>
  <c r="Q25" i="23"/>
  <c r="V24" i="23"/>
  <c r="W24" i="23" s="1"/>
  <c r="T24" i="23"/>
  <c r="U24" i="23" s="1"/>
  <c r="AE24" i="23" s="1"/>
  <c r="S24" i="23"/>
  <c r="R24" i="23"/>
  <c r="Q24" i="23"/>
  <c r="V23" i="23"/>
  <c r="W23" i="23" s="1"/>
  <c r="T23" i="23"/>
  <c r="U23" i="23" s="1"/>
  <c r="AE23" i="23" s="1"/>
  <c r="S23" i="23"/>
  <c r="R23" i="23"/>
  <c r="Q23" i="23"/>
  <c r="V22" i="23"/>
  <c r="W22" i="23" s="1"/>
  <c r="T22" i="23"/>
  <c r="U22" i="23" s="1"/>
  <c r="AE22" i="23" s="1"/>
  <c r="S22" i="23"/>
  <c r="R22" i="23"/>
  <c r="Q22" i="23"/>
  <c r="V21" i="23"/>
  <c r="W21" i="23" s="1"/>
  <c r="T21" i="23"/>
  <c r="U21" i="23" s="1"/>
  <c r="AE21" i="23" s="1"/>
  <c r="S21" i="23"/>
  <c r="AC21" i="23" s="1"/>
  <c r="R21" i="23"/>
  <c r="Q21" i="23"/>
  <c r="V20" i="23"/>
  <c r="W20" i="23" s="1"/>
  <c r="T20" i="23"/>
  <c r="U20" i="23" s="1"/>
  <c r="AE20" i="23" s="1"/>
  <c r="S20" i="23"/>
  <c r="R20" i="23"/>
  <c r="Q20" i="23"/>
  <c r="V19" i="23"/>
  <c r="W19" i="23" s="1"/>
  <c r="T19" i="23"/>
  <c r="U19" i="23" s="1"/>
  <c r="AE19" i="23" s="1"/>
  <c r="S19" i="23"/>
  <c r="R19" i="23"/>
  <c r="Q19" i="23"/>
  <c r="V18" i="23"/>
  <c r="W18" i="23" s="1"/>
  <c r="T18" i="23"/>
  <c r="U18" i="23" s="1"/>
  <c r="AE18" i="23" s="1"/>
  <c r="S18" i="23"/>
  <c r="AD18" i="23" s="1"/>
  <c r="R18" i="23"/>
  <c r="Q18" i="23"/>
  <c r="V17" i="23"/>
  <c r="W17" i="23" s="1"/>
  <c r="T17" i="23"/>
  <c r="U17" i="23" s="1"/>
  <c r="S17" i="23"/>
  <c r="AB17" i="23" s="1"/>
  <c r="R17" i="23"/>
  <c r="Q17" i="23"/>
  <c r="Y16" i="23"/>
  <c r="V16" i="23"/>
  <c r="W16" i="23" s="1"/>
  <c r="T16" i="23"/>
  <c r="S16" i="23"/>
  <c r="AD16" i="23" s="1"/>
  <c r="R16" i="23"/>
  <c r="Q16" i="23"/>
  <c r="Y15" i="23"/>
  <c r="V15" i="23"/>
  <c r="W15" i="23" s="1"/>
  <c r="T15" i="23"/>
  <c r="S15" i="23"/>
  <c r="AD15" i="23" s="1"/>
  <c r="R15" i="23"/>
  <c r="Q15" i="23"/>
  <c r="Y14" i="23"/>
  <c r="V14" i="23"/>
  <c r="W14" i="23" s="1"/>
  <c r="T14" i="23"/>
  <c r="S14" i="23"/>
  <c r="AD14" i="23" s="1"/>
  <c r="R14" i="23"/>
  <c r="Q14" i="23"/>
  <c r="Y13" i="23"/>
  <c r="V13" i="23"/>
  <c r="W13" i="23" s="1"/>
  <c r="T13" i="23"/>
  <c r="S13" i="23"/>
  <c r="AD13" i="23" s="1"/>
  <c r="R13" i="23"/>
  <c r="Q13" i="23"/>
  <c r="Y12" i="23"/>
  <c r="V12" i="23"/>
  <c r="W12" i="23" s="1"/>
  <c r="T12" i="23"/>
  <c r="S12" i="23"/>
  <c r="R12" i="23"/>
  <c r="Q12" i="23"/>
  <c r="V11" i="23"/>
  <c r="W11" i="23" s="1"/>
  <c r="T11" i="23"/>
  <c r="U11" i="23" s="1"/>
  <c r="AE11" i="23" s="1"/>
  <c r="S11" i="23"/>
  <c r="AC11" i="23" s="1"/>
  <c r="R11" i="23"/>
  <c r="Q11" i="23"/>
  <c r="V10" i="23"/>
  <c r="W10" i="23" s="1"/>
  <c r="T10" i="23"/>
  <c r="U10" i="23" s="1"/>
  <c r="AE10" i="23" s="1"/>
  <c r="S10" i="23"/>
  <c r="AC10" i="23" s="1"/>
  <c r="R10" i="23"/>
  <c r="Q10" i="23"/>
  <c r="Y9" i="23"/>
  <c r="V9" i="23"/>
  <c r="W9" i="23" s="1"/>
  <c r="T9" i="23"/>
  <c r="S9" i="23"/>
  <c r="R9" i="23"/>
  <c r="Q9" i="23"/>
  <c r="V8" i="23"/>
  <c r="W8" i="23" s="1"/>
  <c r="T8" i="23"/>
  <c r="U8" i="23" s="1"/>
  <c r="AE8" i="23" s="1"/>
  <c r="S8" i="23"/>
  <c r="R8" i="23"/>
  <c r="Q8" i="23"/>
  <c r="V7" i="23"/>
  <c r="W7" i="23" s="1"/>
  <c r="T7" i="23"/>
  <c r="U7" i="23" s="1"/>
  <c r="AE7" i="23" s="1"/>
  <c r="S7" i="23"/>
  <c r="AB7" i="23" s="1"/>
  <c r="R7" i="23"/>
  <c r="Q7" i="23"/>
  <c r="AG6" i="23"/>
  <c r="Y6" i="23"/>
  <c r="V6" i="23"/>
  <c r="W6" i="23" s="1"/>
  <c r="T6" i="23"/>
  <c r="S6" i="23"/>
  <c r="AB6" i="23" s="1"/>
  <c r="R6" i="23"/>
  <c r="Q6" i="23"/>
  <c r="P7" i="13"/>
  <c r="Q7" i="13"/>
  <c r="P8" i="13"/>
  <c r="Q8" i="13"/>
  <c r="P9" i="13"/>
  <c r="Q9" i="13"/>
  <c r="P10" i="13"/>
  <c r="Q10" i="13"/>
  <c r="P11" i="13"/>
  <c r="Q11" i="13"/>
  <c r="P12" i="13"/>
  <c r="Q12" i="13"/>
  <c r="P13" i="13"/>
  <c r="Q13" i="13"/>
  <c r="P14" i="13"/>
  <c r="Q14" i="13"/>
  <c r="P15" i="13"/>
  <c r="Q15" i="13"/>
  <c r="P16" i="13"/>
  <c r="Q16" i="13"/>
  <c r="P17" i="13"/>
  <c r="Q17" i="13"/>
  <c r="P18" i="13"/>
  <c r="Q18" i="13"/>
  <c r="P19" i="13"/>
  <c r="Q19" i="13"/>
  <c r="P20" i="13"/>
  <c r="Q20" i="13"/>
  <c r="P21" i="13"/>
  <c r="Q21" i="13"/>
  <c r="P22" i="13"/>
  <c r="Q22" i="13"/>
  <c r="P23" i="13"/>
  <c r="Q23" i="13"/>
  <c r="P24" i="13"/>
  <c r="Q24" i="13"/>
  <c r="P25" i="13"/>
  <c r="Q25" i="13"/>
  <c r="P26" i="13"/>
  <c r="Q26" i="13"/>
  <c r="P27" i="13"/>
  <c r="Q27" i="13"/>
  <c r="P28" i="13"/>
  <c r="Q28" i="13"/>
  <c r="P29" i="13"/>
  <c r="Q29" i="13"/>
  <c r="P30" i="13"/>
  <c r="Q30" i="13"/>
  <c r="P31" i="13"/>
  <c r="Q31" i="13"/>
  <c r="P32" i="13"/>
  <c r="Q32" i="13"/>
  <c r="P33" i="13"/>
  <c r="Q33" i="13"/>
  <c r="P34" i="13"/>
  <c r="Q34" i="13"/>
  <c r="P35" i="13"/>
  <c r="Q35" i="13"/>
  <c r="P36" i="13"/>
  <c r="Q36" i="13"/>
  <c r="P37" i="13"/>
  <c r="Q37" i="13"/>
  <c r="P38" i="13"/>
  <c r="Q38" i="13"/>
  <c r="P39" i="13"/>
  <c r="Q39" i="13"/>
  <c r="P40" i="13"/>
  <c r="Q40" i="13"/>
  <c r="P41" i="13"/>
  <c r="Q41" i="13"/>
  <c r="P42" i="13"/>
  <c r="Q42" i="13"/>
  <c r="P43" i="13"/>
  <c r="Q43" i="13"/>
  <c r="P44" i="13"/>
  <c r="Q44" i="13"/>
  <c r="P45" i="13"/>
  <c r="Q45" i="13"/>
  <c r="P46" i="13"/>
  <c r="Q46" i="13"/>
  <c r="P47" i="13"/>
  <c r="Q47" i="13"/>
  <c r="P48" i="13"/>
  <c r="Q48" i="13"/>
  <c r="P49" i="13"/>
  <c r="Q49" i="13"/>
  <c r="P50" i="13"/>
  <c r="Q50" i="13"/>
  <c r="P51" i="13"/>
  <c r="Q51" i="13"/>
  <c r="P52" i="13"/>
  <c r="Q52" i="13"/>
  <c r="P53" i="13"/>
  <c r="Q53" i="13"/>
  <c r="P54" i="13"/>
  <c r="Q54" i="13"/>
  <c r="P55" i="13"/>
  <c r="Q55" i="13"/>
  <c r="P56" i="13"/>
  <c r="Q56" i="13"/>
  <c r="P57" i="13"/>
  <c r="Q57" i="13"/>
  <c r="P58" i="13"/>
  <c r="Q58" i="13"/>
  <c r="P59" i="13"/>
  <c r="Q59" i="13"/>
  <c r="P60" i="13"/>
  <c r="Q60" i="13"/>
  <c r="P61" i="13"/>
  <c r="Q61" i="13"/>
  <c r="P62" i="13"/>
  <c r="Q62" i="13"/>
  <c r="P63" i="13"/>
  <c r="Q63" i="13"/>
  <c r="P64" i="13"/>
  <c r="Q64" i="13"/>
  <c r="P65" i="13"/>
  <c r="Q65" i="13"/>
  <c r="P66" i="13"/>
  <c r="Q66" i="13"/>
  <c r="P67" i="13"/>
  <c r="Q67" i="13"/>
  <c r="P68" i="13"/>
  <c r="Q68" i="13"/>
  <c r="P69" i="13"/>
  <c r="Q69" i="13"/>
  <c r="P70" i="13"/>
  <c r="Q70" i="13"/>
  <c r="P71" i="13"/>
  <c r="Q71" i="13"/>
  <c r="P72" i="13"/>
  <c r="Q72" i="13"/>
  <c r="P73" i="13"/>
  <c r="Q73" i="13"/>
  <c r="P74" i="13"/>
  <c r="Q74" i="13"/>
  <c r="P75" i="13"/>
  <c r="Q75" i="13"/>
  <c r="P76" i="13"/>
  <c r="Q76" i="13"/>
  <c r="P77" i="13"/>
  <c r="Q77" i="13"/>
  <c r="P78" i="13"/>
  <c r="Q78" i="13"/>
  <c r="P79" i="13"/>
  <c r="Q79" i="13"/>
  <c r="P80" i="13"/>
  <c r="Q80" i="13"/>
  <c r="P81" i="13"/>
  <c r="Q81" i="13"/>
  <c r="P82" i="13"/>
  <c r="Q82" i="13"/>
  <c r="P83" i="13"/>
  <c r="Q83" i="13"/>
  <c r="P84" i="13"/>
  <c r="Q84" i="13"/>
  <c r="P85" i="13"/>
  <c r="Q85" i="13"/>
  <c r="P86" i="13"/>
  <c r="Q86" i="13"/>
  <c r="P87" i="13"/>
  <c r="Q87" i="13"/>
  <c r="P88" i="13"/>
  <c r="Q88" i="13"/>
  <c r="P89" i="13"/>
  <c r="Q89" i="13"/>
  <c r="P90" i="13"/>
  <c r="Q90" i="13"/>
  <c r="P91" i="13"/>
  <c r="Q91" i="13"/>
  <c r="P92" i="13"/>
  <c r="Q92" i="13"/>
  <c r="P93" i="13"/>
  <c r="Q93" i="13"/>
  <c r="P94" i="13"/>
  <c r="Q94" i="13"/>
  <c r="P95" i="13"/>
  <c r="Q95" i="13"/>
  <c r="P96" i="13"/>
  <c r="Q96" i="13"/>
  <c r="P97" i="13"/>
  <c r="Q97" i="13"/>
  <c r="P98" i="13"/>
  <c r="Q98" i="13"/>
  <c r="P99" i="13"/>
  <c r="Q99" i="13"/>
  <c r="P100" i="13"/>
  <c r="Q100" i="13"/>
  <c r="P101" i="13"/>
  <c r="Q101" i="13"/>
  <c r="P102" i="13"/>
  <c r="Q102" i="13"/>
  <c r="P103" i="13"/>
  <c r="Q103" i="13"/>
  <c r="P104" i="13"/>
  <c r="Q104" i="13"/>
  <c r="P105" i="13"/>
  <c r="Q105" i="13"/>
  <c r="P106" i="13"/>
  <c r="Q106" i="13"/>
  <c r="P107" i="13"/>
  <c r="Q107" i="13"/>
  <c r="P108" i="13"/>
  <c r="Q108" i="13"/>
  <c r="P109" i="13"/>
  <c r="Q109" i="13"/>
  <c r="P110" i="13"/>
  <c r="Q110" i="13"/>
  <c r="P111" i="13"/>
  <c r="Q111" i="13"/>
  <c r="P112" i="13"/>
  <c r="Q112" i="13"/>
  <c r="P113" i="13"/>
  <c r="Q113" i="13"/>
  <c r="P114" i="13"/>
  <c r="Q114" i="13"/>
  <c r="P115" i="13"/>
  <c r="Q115" i="13"/>
  <c r="P116" i="13"/>
  <c r="Q116" i="13"/>
  <c r="P117" i="13"/>
  <c r="Q117" i="13"/>
  <c r="P118" i="13"/>
  <c r="Q118" i="13"/>
  <c r="P119" i="13"/>
  <c r="Q119" i="13"/>
  <c r="P120" i="13"/>
  <c r="Q120" i="13"/>
  <c r="P121" i="13"/>
  <c r="Q121" i="13"/>
  <c r="P122" i="13"/>
  <c r="Q122" i="13"/>
  <c r="P123" i="13"/>
  <c r="Q123" i="13"/>
  <c r="P124" i="13"/>
  <c r="Q124" i="13"/>
  <c r="P125" i="13"/>
  <c r="Q125" i="13"/>
  <c r="P126" i="13"/>
  <c r="Q126" i="13"/>
  <c r="P127" i="13"/>
  <c r="Q127" i="13"/>
  <c r="P128" i="13"/>
  <c r="Q128" i="13"/>
  <c r="P129" i="13"/>
  <c r="Q129" i="13"/>
  <c r="P130" i="13"/>
  <c r="Q130" i="13"/>
  <c r="P131" i="13"/>
  <c r="Q131" i="13"/>
  <c r="P132" i="13"/>
  <c r="Q132" i="13"/>
  <c r="P133" i="13"/>
  <c r="Q133" i="13"/>
  <c r="P134" i="13"/>
  <c r="Q134" i="13"/>
  <c r="P135" i="13"/>
  <c r="Q135" i="13"/>
  <c r="P136" i="13"/>
  <c r="Q136" i="13"/>
  <c r="P137" i="13"/>
  <c r="Q137" i="13"/>
  <c r="P138" i="13"/>
  <c r="Q138" i="13"/>
  <c r="P139" i="13"/>
  <c r="Q139" i="13"/>
  <c r="P140" i="13"/>
  <c r="Q140" i="13"/>
  <c r="P141" i="13"/>
  <c r="Q141" i="13"/>
  <c r="P142" i="13"/>
  <c r="Q142" i="13"/>
  <c r="P143" i="13"/>
  <c r="Q143" i="13"/>
  <c r="P144" i="13"/>
  <c r="Q144" i="13"/>
  <c r="P145" i="13"/>
  <c r="Q145" i="13"/>
  <c r="P146" i="13"/>
  <c r="Q146" i="13"/>
  <c r="P147" i="13"/>
  <c r="Q147" i="13"/>
  <c r="P148" i="13"/>
  <c r="Q148" i="13"/>
  <c r="P149" i="13"/>
  <c r="Q149" i="13"/>
  <c r="P150" i="13"/>
  <c r="Q150" i="13"/>
  <c r="P151" i="13"/>
  <c r="Q151" i="13"/>
  <c r="P152" i="13"/>
  <c r="Q152" i="13"/>
  <c r="P153" i="13"/>
  <c r="Q153" i="13"/>
  <c r="P154" i="13"/>
  <c r="Q154" i="13"/>
  <c r="P155" i="13"/>
  <c r="Q155" i="13"/>
  <c r="P156" i="13"/>
  <c r="Q156" i="13"/>
  <c r="P157" i="13"/>
  <c r="Q157" i="13"/>
  <c r="P158" i="13"/>
  <c r="Q158" i="13"/>
  <c r="P159" i="13"/>
  <c r="Q159" i="13"/>
  <c r="P160" i="13"/>
  <c r="Q160" i="13"/>
  <c r="P161" i="13"/>
  <c r="Q161" i="13"/>
  <c r="P162" i="13"/>
  <c r="Q162" i="13"/>
  <c r="P163" i="13"/>
  <c r="Q163" i="13"/>
  <c r="P164" i="13"/>
  <c r="Q164" i="13"/>
  <c r="P165" i="13"/>
  <c r="Q165" i="13"/>
  <c r="P166" i="13"/>
  <c r="Q166" i="13"/>
  <c r="P167" i="13"/>
  <c r="Q167" i="13"/>
  <c r="P168" i="13"/>
  <c r="Q168" i="13"/>
  <c r="P169" i="13"/>
  <c r="Q169" i="13"/>
  <c r="P170" i="13"/>
  <c r="Q170" i="13"/>
  <c r="P171" i="13"/>
  <c r="Q171" i="13"/>
  <c r="P172" i="13"/>
  <c r="Q172" i="13"/>
  <c r="P173" i="13"/>
  <c r="Q173" i="13"/>
  <c r="P174" i="13"/>
  <c r="Q174" i="13"/>
  <c r="P175" i="13"/>
  <c r="Q175" i="13"/>
  <c r="P176" i="13"/>
  <c r="Q176" i="13"/>
  <c r="P177" i="13"/>
  <c r="Q177" i="13"/>
  <c r="P178" i="13"/>
  <c r="Q178" i="13"/>
  <c r="P179" i="13"/>
  <c r="Q179" i="13"/>
  <c r="P180" i="13"/>
  <c r="Q180" i="13"/>
  <c r="P181" i="13"/>
  <c r="Q181" i="13"/>
  <c r="P182" i="13"/>
  <c r="Q182" i="13"/>
  <c r="P183" i="13"/>
  <c r="Q183" i="13"/>
  <c r="P184" i="13"/>
  <c r="Q184" i="13"/>
  <c r="P185" i="13"/>
  <c r="Q185" i="13"/>
  <c r="P186" i="13"/>
  <c r="Q186" i="13"/>
  <c r="P187" i="13"/>
  <c r="Q187" i="13"/>
  <c r="P188" i="13"/>
  <c r="Q188" i="13"/>
  <c r="P189" i="13"/>
  <c r="Q189" i="13"/>
  <c r="P190" i="13"/>
  <c r="Q190" i="13"/>
  <c r="P191" i="13"/>
  <c r="Q191" i="13"/>
  <c r="P192" i="13"/>
  <c r="Q192" i="13"/>
  <c r="P193" i="13"/>
  <c r="Q193" i="13"/>
  <c r="P194" i="13"/>
  <c r="Q194" i="13"/>
  <c r="P195" i="13"/>
  <c r="Q195" i="13"/>
  <c r="P196" i="13"/>
  <c r="Q196" i="13"/>
  <c r="P197" i="13"/>
  <c r="Q197" i="13"/>
  <c r="P198" i="13"/>
  <c r="Q198" i="13"/>
  <c r="P199" i="13"/>
  <c r="Q199" i="13"/>
  <c r="P200" i="13"/>
  <c r="Q200" i="13"/>
  <c r="P201" i="13"/>
  <c r="Q201" i="13"/>
  <c r="P202" i="13"/>
  <c r="Q202" i="13"/>
  <c r="P203" i="13"/>
  <c r="Q203" i="13"/>
  <c r="P204" i="13"/>
  <c r="Q204" i="13"/>
  <c r="P205" i="13"/>
  <c r="Q205" i="13"/>
  <c r="P206" i="13"/>
  <c r="Q206" i="13"/>
  <c r="P207" i="13"/>
  <c r="Q207" i="13"/>
  <c r="P208" i="13"/>
  <c r="Q208" i="13"/>
  <c r="P209" i="13"/>
  <c r="Q209" i="13"/>
  <c r="P210" i="13"/>
  <c r="Q210" i="13"/>
  <c r="P211" i="13"/>
  <c r="Q211" i="13"/>
  <c r="P212" i="13"/>
  <c r="Q212" i="13"/>
  <c r="P213" i="13"/>
  <c r="Q213" i="13"/>
  <c r="P214" i="13"/>
  <c r="Q214" i="13"/>
  <c r="P215" i="13"/>
  <c r="Q215" i="13"/>
  <c r="P216" i="13"/>
  <c r="Q216" i="13"/>
  <c r="P217" i="13"/>
  <c r="Q217" i="13"/>
  <c r="P218" i="13"/>
  <c r="Q218" i="13"/>
  <c r="P219" i="13"/>
  <c r="Q219" i="13"/>
  <c r="P220" i="13"/>
  <c r="Q220" i="13"/>
  <c r="P221" i="13"/>
  <c r="Q221" i="13"/>
  <c r="P222" i="13"/>
  <c r="Q222" i="13"/>
  <c r="P223" i="13"/>
  <c r="Q223" i="13"/>
  <c r="P224" i="13"/>
  <c r="Q224" i="13"/>
  <c r="P225" i="13"/>
  <c r="Q225" i="13"/>
  <c r="P226" i="13"/>
  <c r="Q226" i="13"/>
  <c r="P227" i="13"/>
  <c r="Q227" i="13"/>
  <c r="P228" i="13"/>
  <c r="Q228" i="13"/>
  <c r="P229" i="13"/>
  <c r="Q229" i="13"/>
  <c r="P230" i="13"/>
  <c r="Q230" i="13"/>
  <c r="P231" i="13"/>
  <c r="Q231" i="13"/>
  <c r="P232" i="13"/>
  <c r="Q232" i="13"/>
  <c r="P233" i="13"/>
  <c r="Q233" i="13"/>
  <c r="P234" i="13"/>
  <c r="Q234" i="13"/>
  <c r="P235" i="13"/>
  <c r="Q235" i="13"/>
  <c r="P236" i="13"/>
  <c r="Q236" i="13"/>
  <c r="P237" i="13"/>
  <c r="Q237" i="13"/>
  <c r="P238" i="13"/>
  <c r="Q238" i="13"/>
  <c r="P239" i="13"/>
  <c r="Q239" i="13"/>
  <c r="P240" i="13"/>
  <c r="Q240" i="13"/>
  <c r="P241" i="13"/>
  <c r="Q241" i="13"/>
  <c r="P242" i="13"/>
  <c r="Q242" i="13"/>
  <c r="P243" i="13"/>
  <c r="Q243" i="13"/>
  <c r="X62" i="23" l="1"/>
  <c r="X81" i="23"/>
  <c r="AD37" i="23"/>
  <c r="X14" i="23"/>
  <c r="U14" i="23" s="1"/>
  <c r="AE14" i="23" s="1"/>
  <c r="Y19" i="23"/>
  <c r="X35" i="23"/>
  <c r="X33" i="23"/>
  <c r="X31" i="23"/>
  <c r="Z132" i="23"/>
  <c r="AA132" i="23" s="1"/>
  <c r="Y139" i="23"/>
  <c r="Y37" i="23"/>
  <c r="X36" i="23"/>
  <c r="X34" i="23"/>
  <c r="X32" i="23"/>
  <c r="Z128" i="23"/>
  <c r="AA128" i="23" s="1"/>
  <c r="X139" i="23"/>
  <c r="Z135" i="23"/>
  <c r="AA135" i="23" s="1"/>
  <c r="X37" i="23"/>
  <c r="X133" i="23"/>
  <c r="U133" i="23" s="1"/>
  <c r="AE133" i="23" s="1"/>
  <c r="AB37" i="23"/>
  <c r="AE35" i="23"/>
  <c r="AE33" i="23"/>
  <c r="AE31" i="23"/>
  <c r="AD36" i="23"/>
  <c r="AD35" i="23"/>
  <c r="AD34" i="23"/>
  <c r="AD33" i="23"/>
  <c r="AD32" i="23"/>
  <c r="AD31" i="23"/>
  <c r="AC36" i="23"/>
  <c r="AC35" i="23"/>
  <c r="AC34" i="23"/>
  <c r="AC33" i="23"/>
  <c r="AC32" i="23"/>
  <c r="AC31" i="23"/>
  <c r="AB36" i="23"/>
  <c r="AB35" i="23"/>
  <c r="AB34" i="23"/>
  <c r="AB33" i="23"/>
  <c r="AB32" i="23"/>
  <c r="AB31" i="23"/>
  <c r="Y36" i="23"/>
  <c r="Y35" i="23"/>
  <c r="Y34" i="23"/>
  <c r="Y33" i="23"/>
  <c r="Y32" i="23"/>
  <c r="Z32" i="23" s="1"/>
  <c r="AA32" i="23" s="1"/>
  <c r="Y31" i="23"/>
  <c r="Z31" i="23" s="1"/>
  <c r="AA31" i="23" s="1"/>
  <c r="X115" i="23"/>
  <c r="Z126" i="23"/>
  <c r="AA126" i="23" s="1"/>
  <c r="X70" i="23"/>
  <c r="X41" i="23"/>
  <c r="X44" i="23"/>
  <c r="Z131" i="23"/>
  <c r="AA131" i="23" s="1"/>
  <c r="X64" i="23"/>
  <c r="X126" i="23"/>
  <c r="U126" i="23" s="1"/>
  <c r="AE126" i="23" s="1"/>
  <c r="X116" i="23"/>
  <c r="X129" i="23"/>
  <c r="U129" i="23" s="1"/>
  <c r="AE129" i="23" s="1"/>
  <c r="X12" i="23"/>
  <c r="U12" i="23" s="1"/>
  <c r="AE12" i="23" s="1"/>
  <c r="X22" i="23"/>
  <c r="Z129" i="23"/>
  <c r="AA129" i="23" s="1"/>
  <c r="X58" i="23"/>
  <c r="X87" i="23"/>
  <c r="AB55" i="23"/>
  <c r="AC19" i="23"/>
  <c r="AB139" i="23"/>
  <c r="AC137" i="23"/>
  <c r="AC139" i="23"/>
  <c r="AB129" i="23"/>
  <c r="U70" i="23"/>
  <c r="AE70" i="23" s="1"/>
  <c r="AB83" i="23"/>
  <c r="Y68" i="23"/>
  <c r="AC83" i="23"/>
  <c r="AB12" i="23"/>
  <c r="Y104" i="23"/>
  <c r="Y98" i="23"/>
  <c r="X6" i="23"/>
  <c r="U6" i="23" s="1"/>
  <c r="AE6" i="23" s="1"/>
  <c r="AC12" i="23"/>
  <c r="X91" i="23"/>
  <c r="AD12" i="23"/>
  <c r="Y22" i="23"/>
  <c r="AD62" i="23"/>
  <c r="AB104" i="23"/>
  <c r="AC111" i="23"/>
  <c r="AC17" i="23"/>
  <c r="AD98" i="23"/>
  <c r="AC6" i="23"/>
  <c r="AC62" i="23"/>
  <c r="AD61" i="23"/>
  <c r="AC94" i="23"/>
  <c r="AD94" i="23"/>
  <c r="AC42" i="23"/>
  <c r="AB61" i="23"/>
  <c r="AD96" i="23"/>
  <c r="AB42" i="23"/>
  <c r="AC87" i="23"/>
  <c r="AD22" i="23"/>
  <c r="AE54" i="23"/>
  <c r="AB98" i="23"/>
  <c r="AE99" i="23"/>
  <c r="AD9" i="23"/>
  <c r="AB132" i="23"/>
  <c r="AD84" i="23"/>
  <c r="AB91" i="23"/>
  <c r="AC22" i="23"/>
  <c r="AE41" i="23"/>
  <c r="AD122" i="23"/>
  <c r="AB10" i="23"/>
  <c r="AD46" i="23"/>
  <c r="AC54" i="23"/>
  <c r="AC58" i="23"/>
  <c r="AC70" i="23"/>
  <c r="AC107" i="23"/>
  <c r="AC135" i="23"/>
  <c r="AD54" i="23"/>
  <c r="AB62" i="23"/>
  <c r="AD107" i="23"/>
  <c r="AE59" i="23"/>
  <c r="AD19" i="23"/>
  <c r="AC92" i="23"/>
  <c r="AC129" i="23"/>
  <c r="AD132" i="23"/>
  <c r="AB46" i="23"/>
  <c r="AB51" i="23"/>
  <c r="AB138" i="23"/>
  <c r="AE17" i="23"/>
  <c r="AE60" i="23"/>
  <c r="AB90" i="23"/>
  <c r="AE116" i="23"/>
  <c r="AB135" i="23"/>
  <c r="AC7" i="23"/>
  <c r="X13" i="23"/>
  <c r="U13" i="23" s="1"/>
  <c r="AE13" i="23" s="1"/>
  <c r="AB41" i="23"/>
  <c r="AD7" i="23"/>
  <c r="Z16" i="23"/>
  <c r="AA16" i="23" s="1"/>
  <c r="AD17" i="23"/>
  <c r="Y18" i="23"/>
  <c r="AC18" i="23"/>
  <c r="AB18" i="23"/>
  <c r="Y26" i="23"/>
  <c r="AC41" i="23"/>
  <c r="AD41" i="23"/>
  <c r="AB49" i="23"/>
  <c r="AC49" i="23"/>
  <c r="AC82" i="23"/>
  <c r="AB82" i="23"/>
  <c r="Y11" i="23"/>
  <c r="AC24" i="23"/>
  <c r="AB24" i="23"/>
  <c r="X24" i="23"/>
  <c r="AB39" i="23"/>
  <c r="AC39" i="23"/>
  <c r="X40" i="23"/>
  <c r="AC65" i="23"/>
  <c r="Y65" i="23"/>
  <c r="AC20" i="23"/>
  <c r="AB20" i="23"/>
  <c r="Y20" i="23"/>
  <c r="AC30" i="23"/>
  <c r="AB30" i="23"/>
  <c r="X30" i="23"/>
  <c r="AD30" i="23"/>
  <c r="AD38" i="23"/>
  <c r="AC38" i="23"/>
  <c r="AB53" i="23"/>
  <c r="X53" i="23"/>
  <c r="AC53" i="23"/>
  <c r="AC71" i="23"/>
  <c r="AB71" i="23"/>
  <c r="AD71" i="23"/>
  <c r="Y10" i="23"/>
  <c r="AD49" i="23"/>
  <c r="AC66" i="23"/>
  <c r="AB66" i="23"/>
  <c r="AD66" i="23"/>
  <c r="Y75" i="23"/>
  <c r="AC75" i="23"/>
  <c r="AB75" i="23"/>
  <c r="AD75" i="23"/>
  <c r="AB79" i="23"/>
  <c r="AC79" i="23"/>
  <c r="Y79" i="23"/>
  <c r="X17" i="23"/>
  <c r="X28" i="23"/>
  <c r="Y28" i="23"/>
  <c r="AB60" i="23"/>
  <c r="AC60" i="23"/>
  <c r="X60" i="23"/>
  <c r="AB11" i="23"/>
  <c r="Z12" i="23"/>
  <c r="AA12" i="23" s="1"/>
  <c r="Y17" i="23"/>
  <c r="X20" i="23"/>
  <c r="AB38" i="23"/>
  <c r="AB45" i="23"/>
  <c r="X45" i="23"/>
  <c r="AC45" i="23"/>
  <c r="AC50" i="23"/>
  <c r="AB50" i="23"/>
  <c r="X52" i="23"/>
  <c r="Y59" i="23"/>
  <c r="AD102" i="23"/>
  <c r="AC102" i="23"/>
  <c r="AB102" i="23"/>
  <c r="AD88" i="23"/>
  <c r="AC88" i="23"/>
  <c r="AB88" i="23"/>
  <c r="X102" i="23"/>
  <c r="AC103" i="23"/>
  <c r="AB103" i="23"/>
  <c r="X103" i="23"/>
  <c r="X106" i="23"/>
  <c r="AC106" i="23"/>
  <c r="AB113" i="23"/>
  <c r="AD113" i="23"/>
  <c r="AC119" i="23"/>
  <c r="AB119" i="23"/>
  <c r="Y113" i="23"/>
  <c r="U113" i="23"/>
  <c r="AE113" i="23" s="1"/>
  <c r="Y114" i="23"/>
  <c r="AD114" i="23"/>
  <c r="Y23" i="23"/>
  <c r="AC59" i="23"/>
  <c r="AC74" i="23"/>
  <c r="AB101" i="23"/>
  <c r="X134" i="23"/>
  <c r="U134" i="23" s="1"/>
  <c r="AE134" i="23" s="1"/>
  <c r="AD20" i="23"/>
  <c r="Y30" i="23"/>
  <c r="AD59" i="23"/>
  <c r="AD101" i="23"/>
  <c r="AB106" i="23"/>
  <c r="AC113" i="23"/>
  <c r="Y53" i="23"/>
  <c r="Z53" i="23" s="1"/>
  <c r="AA53" i="23" s="1"/>
  <c r="Y66" i="23"/>
  <c r="AD81" i="23"/>
  <c r="Y81" i="23"/>
  <c r="AB114" i="23"/>
  <c r="X123" i="23"/>
  <c r="U123" i="23" s="1"/>
  <c r="AE123" i="23" s="1"/>
  <c r="AD128" i="23"/>
  <c r="AB128" i="23"/>
  <c r="X132" i="23"/>
  <c r="U132" i="23" s="1"/>
  <c r="AE132" i="23" s="1"/>
  <c r="Z137" i="23"/>
  <c r="AA137" i="23" s="1"/>
  <c r="AC138" i="23"/>
  <c r="X135" i="23"/>
  <c r="U135" i="23" s="1"/>
  <c r="AE135" i="23" s="1"/>
  <c r="X136" i="23"/>
  <c r="U136" i="23" s="1"/>
  <c r="AE136" i="23" s="1"/>
  <c r="Z138" i="23"/>
  <c r="AA138" i="23" s="1"/>
  <c r="AB86" i="23"/>
  <c r="Y101" i="23"/>
  <c r="AB105" i="23"/>
  <c r="X128" i="23"/>
  <c r="U128" i="23" s="1"/>
  <c r="AE128" i="23" s="1"/>
  <c r="AB133" i="23"/>
  <c r="X140" i="23"/>
  <c r="Y74" i="23"/>
  <c r="Y94" i="23"/>
  <c r="AD133" i="23"/>
  <c r="X137" i="23"/>
  <c r="U137" i="23" s="1"/>
  <c r="AE137" i="23" s="1"/>
  <c r="Y7" i="23"/>
  <c r="AD8" i="23"/>
  <c r="AC8" i="23"/>
  <c r="Y8" i="23"/>
  <c r="X8" i="23"/>
  <c r="AD6" i="23"/>
  <c r="AB8" i="23"/>
  <c r="X9" i="23"/>
  <c r="U9" i="23" s="1"/>
  <c r="AE9" i="23" s="1"/>
  <c r="AD10" i="23"/>
  <c r="Z13" i="23"/>
  <c r="AA13" i="23" s="1"/>
  <c r="X15" i="23"/>
  <c r="U15" i="23" s="1"/>
  <c r="AE15" i="23" s="1"/>
  <c r="X27" i="23"/>
  <c r="Y42" i="23"/>
  <c r="AD44" i="23"/>
  <c r="AC44" i="23"/>
  <c r="AB44" i="23"/>
  <c r="Y44" i="23"/>
  <c r="AD52" i="23"/>
  <c r="AC52" i="23"/>
  <c r="AB52" i="23"/>
  <c r="Y52" i="23"/>
  <c r="Z14" i="23"/>
  <c r="AA14" i="23" s="1"/>
  <c r="X16" i="23"/>
  <c r="U16" i="23" s="1"/>
  <c r="AE16" i="23" s="1"/>
  <c r="Y27" i="23"/>
  <c r="X29" i="23"/>
  <c r="Y56" i="23"/>
  <c r="Z9" i="23"/>
  <c r="AA9" i="23" s="1"/>
  <c r="X10" i="23"/>
  <c r="AD11" i="23"/>
  <c r="AB13" i="23"/>
  <c r="Z15" i="23"/>
  <c r="AA15" i="23" s="1"/>
  <c r="AB19" i="23"/>
  <c r="X23" i="23"/>
  <c r="AC13" i="23"/>
  <c r="AB14" i="23"/>
  <c r="X21" i="23"/>
  <c r="Y24" i="23"/>
  <c r="Z24" i="23" s="1"/>
  <c r="AA24" i="23" s="1"/>
  <c r="Y40" i="23"/>
  <c r="Y45" i="23"/>
  <c r="X47" i="23"/>
  <c r="AD47" i="23"/>
  <c r="Y47" i="23"/>
  <c r="AB47" i="23"/>
  <c r="Y63" i="23"/>
  <c r="AD63" i="23"/>
  <c r="AC63" i="23"/>
  <c r="AB63" i="23"/>
  <c r="AB9" i="23"/>
  <c r="X11" i="23"/>
  <c r="AC14" i="23"/>
  <c r="AB15" i="23"/>
  <c r="X50" i="23"/>
  <c r="AD50" i="23"/>
  <c r="Z6" i="23"/>
  <c r="AA6" i="23" s="1"/>
  <c r="X7" i="23"/>
  <c r="AC9" i="23"/>
  <c r="AC15" i="23"/>
  <c r="AB16" i="23"/>
  <c r="X18" i="23"/>
  <c r="Z18" i="23" s="1"/>
  <c r="AA18" i="23" s="1"/>
  <c r="AB21" i="23"/>
  <c r="AD48" i="23"/>
  <c r="AC48" i="23"/>
  <c r="AB48" i="23"/>
  <c r="Y48" i="23"/>
  <c r="X48" i="23"/>
  <c r="AC16" i="23"/>
  <c r="X19" i="23"/>
  <c r="X25" i="23"/>
  <c r="Y49" i="23"/>
  <c r="X49" i="23"/>
  <c r="X57" i="23"/>
  <c r="Y64" i="23"/>
  <c r="Y21" i="23"/>
  <c r="AD21" i="23"/>
  <c r="Z28" i="23"/>
  <c r="AA28" i="23" s="1"/>
  <c r="Y41" i="23"/>
  <c r="AC47" i="23"/>
  <c r="Y57" i="23"/>
  <c r="AD57" i="23"/>
  <c r="Y70" i="23"/>
  <c r="Y38" i="23"/>
  <c r="X43" i="23"/>
  <c r="AD43" i="23"/>
  <c r="Y43" i="23"/>
  <c r="X46" i="23"/>
  <c r="Y54" i="23"/>
  <c r="AD70" i="23"/>
  <c r="AD74" i="23"/>
  <c r="X74" i="23"/>
  <c r="AC61" i="23"/>
  <c r="Y61" i="23"/>
  <c r="Y62" i="23"/>
  <c r="AB22" i="23"/>
  <c r="X38" i="23"/>
  <c r="Y46" i="23"/>
  <c r="X51" i="23"/>
  <c r="AD51" i="23"/>
  <c r="Y51" i="23"/>
  <c r="X54" i="23"/>
  <c r="AD60" i="23"/>
  <c r="Y60" i="23"/>
  <c r="AD23" i="23"/>
  <c r="AC23" i="23"/>
  <c r="AB23" i="23"/>
  <c r="Y25" i="23"/>
  <c r="AD40" i="23"/>
  <c r="AC40" i="23"/>
  <c r="AB40" i="23"/>
  <c r="AD45" i="23"/>
  <c r="AD56" i="23"/>
  <c r="AC56" i="23"/>
  <c r="AD24" i="23"/>
  <c r="X26" i="23"/>
  <c r="Y29" i="23"/>
  <c r="X39" i="23"/>
  <c r="AD39" i="23"/>
  <c r="Y39" i="23"/>
  <c r="X42" i="23"/>
  <c r="AB43" i="23"/>
  <c r="Y50" i="23"/>
  <c r="X55" i="23"/>
  <c r="AD55" i="23"/>
  <c r="Y55" i="23"/>
  <c r="Y58" i="23"/>
  <c r="X56" i="23"/>
  <c r="AB57" i="23"/>
  <c r="X63" i="23"/>
  <c r="AD65" i="23"/>
  <c r="X65" i="23"/>
  <c r="Y67" i="23"/>
  <c r="Y78" i="23"/>
  <c r="AC84" i="23"/>
  <c r="AD87" i="23"/>
  <c r="AD90" i="23"/>
  <c r="X90" i="23"/>
  <c r="Y87" i="23"/>
  <c r="AD89" i="23"/>
  <c r="AC89" i="23"/>
  <c r="X89" i="23"/>
  <c r="Y89" i="23"/>
  <c r="AB89" i="23"/>
  <c r="Y90" i="23"/>
  <c r="X95" i="23"/>
  <c r="AD76" i="23"/>
  <c r="AC76" i="23"/>
  <c r="X76" i="23"/>
  <c r="AD77" i="23"/>
  <c r="X77" i="23"/>
  <c r="X80" i="23"/>
  <c r="AC93" i="23"/>
  <c r="AD93" i="23"/>
  <c r="X93" i="23"/>
  <c r="AB93" i="23"/>
  <c r="AD99" i="23"/>
  <c r="X99" i="23"/>
  <c r="Y77" i="23"/>
  <c r="Y84" i="23"/>
  <c r="X84" i="23"/>
  <c r="Y91" i="23"/>
  <c r="U94" i="23"/>
  <c r="AE94" i="23" s="1"/>
  <c r="AD72" i="23"/>
  <c r="AC72" i="23"/>
  <c r="X72" i="23"/>
  <c r="AD73" i="23"/>
  <c r="X73" i="23"/>
  <c r="AD80" i="23"/>
  <c r="AD85" i="23"/>
  <c r="AC85" i="23"/>
  <c r="X85" i="23"/>
  <c r="Y85" i="23"/>
  <c r="AD86" i="23"/>
  <c r="X86" i="23"/>
  <c r="X97" i="23"/>
  <c r="Y73" i="23"/>
  <c r="Y76" i="23"/>
  <c r="AD82" i="23"/>
  <c r="X82" i="23"/>
  <c r="Y86" i="23"/>
  <c r="Y93" i="23"/>
  <c r="AD58" i="23"/>
  <c r="X59" i="23"/>
  <c r="X61" i="23"/>
  <c r="AD64" i="23"/>
  <c r="AC64" i="23"/>
  <c r="X66" i="23"/>
  <c r="Z66" i="23" s="1"/>
  <c r="AA66" i="23" s="1"/>
  <c r="AC67" i="23"/>
  <c r="AD68" i="23"/>
  <c r="AC68" i="23"/>
  <c r="X68" i="23"/>
  <c r="Z68" i="23" s="1"/>
  <c r="AA68" i="23" s="1"/>
  <c r="AD69" i="23"/>
  <c r="X69" i="23"/>
  <c r="Y71" i="23"/>
  <c r="U79" i="23"/>
  <c r="AE79" i="23" s="1"/>
  <c r="X79" i="23"/>
  <c r="Y82" i="23"/>
  <c r="Y88" i="23"/>
  <c r="X88" i="23"/>
  <c r="AD91" i="23"/>
  <c r="Y96" i="23"/>
  <c r="X96" i="23"/>
  <c r="AB96" i="23"/>
  <c r="AD67" i="23"/>
  <c r="Y69" i="23"/>
  <c r="Y72" i="23"/>
  <c r="AD78" i="23"/>
  <c r="X78" i="23"/>
  <c r="AB84" i="23"/>
  <c r="AB85" i="23"/>
  <c r="Y92" i="23"/>
  <c r="X92" i="23"/>
  <c r="AB92" i="23"/>
  <c r="AD100" i="23"/>
  <c r="Y80" i="23"/>
  <c r="AB80" i="23"/>
  <c r="AD111" i="23"/>
  <c r="AD106" i="23"/>
  <c r="Y111" i="23"/>
  <c r="X111" i="23"/>
  <c r="AD105" i="23"/>
  <c r="X105" i="23"/>
  <c r="Y106" i="23"/>
  <c r="AD79" i="23"/>
  <c r="AB81" i="23"/>
  <c r="Y97" i="23"/>
  <c r="AC100" i="23"/>
  <c r="X100" i="23"/>
  <c r="Y100" i="23"/>
  <c r="Y105" i="23"/>
  <c r="AB65" i="23"/>
  <c r="X67" i="23"/>
  <c r="AB69" i="23"/>
  <c r="X71" i="23"/>
  <c r="AB73" i="23"/>
  <c r="X75" i="23"/>
  <c r="AB77" i="23"/>
  <c r="AC81" i="23"/>
  <c r="Y83" i="23"/>
  <c r="X83" i="23"/>
  <c r="X94" i="23"/>
  <c r="U98" i="23"/>
  <c r="AE98" i="23" s="1"/>
  <c r="AB78" i="23"/>
  <c r="U102" i="23"/>
  <c r="AE102" i="23" s="1"/>
  <c r="U119" i="23"/>
  <c r="AE119" i="23" s="1"/>
  <c r="Y119" i="23"/>
  <c r="Y95" i="23"/>
  <c r="AB95" i="23"/>
  <c r="Y103" i="23"/>
  <c r="AD103" i="23"/>
  <c r="Y107" i="23"/>
  <c r="X107" i="23"/>
  <c r="X117" i="23"/>
  <c r="AD117" i="23"/>
  <c r="Y117" i="23"/>
  <c r="AC117" i="23"/>
  <c r="AB117" i="23"/>
  <c r="AB97" i="23"/>
  <c r="X101" i="23"/>
  <c r="Y102" i="23"/>
  <c r="Y124" i="23"/>
  <c r="X124" i="23"/>
  <c r="AD95" i="23"/>
  <c r="AD97" i="23"/>
  <c r="X98" i="23"/>
  <c r="Y99" i="23"/>
  <c r="AB99" i="23"/>
  <c r="AC104" i="23"/>
  <c r="X104" i="23"/>
  <c r="Y118" i="23"/>
  <c r="Z127" i="23"/>
  <c r="AA127" i="23" s="1"/>
  <c r="AC127" i="23"/>
  <c r="AB127" i="23"/>
  <c r="AD127" i="23"/>
  <c r="Y120" i="23"/>
  <c r="AD120" i="23"/>
  <c r="AB120" i="23"/>
  <c r="X118" i="23"/>
  <c r="AD121" i="23"/>
  <c r="AC121" i="23"/>
  <c r="X121" i="23"/>
  <c r="Y121" i="23"/>
  <c r="AD116" i="23"/>
  <c r="AC116" i="23"/>
  <c r="AB116" i="23"/>
  <c r="Y125" i="23"/>
  <c r="AB125" i="23"/>
  <c r="AD115" i="23"/>
  <c r="Y115" i="23"/>
  <c r="AB115" i="23"/>
  <c r="Y116" i="23"/>
  <c r="AC122" i="23"/>
  <c r="AB122" i="23"/>
  <c r="Y122" i="23"/>
  <c r="AC125" i="23"/>
  <c r="X131" i="23"/>
  <c r="U131" i="23" s="1"/>
  <c r="AE131" i="23" s="1"/>
  <c r="X114" i="23"/>
  <c r="AC115" i="23"/>
  <c r="AD125" i="23"/>
  <c r="X113" i="23"/>
  <c r="Z130" i="23"/>
  <c r="AA130" i="23" s="1"/>
  <c r="AD130" i="23"/>
  <c r="AC130" i="23"/>
  <c r="AB130" i="23"/>
  <c r="AD118" i="23"/>
  <c r="X119" i="23"/>
  <c r="X120" i="23"/>
  <c r="AD123" i="23"/>
  <c r="AC123" i="23"/>
  <c r="AB123" i="23"/>
  <c r="AD134" i="23"/>
  <c r="AB134" i="23"/>
  <c r="Z134" i="23"/>
  <c r="AA134" i="23" s="1"/>
  <c r="AD119" i="23"/>
  <c r="AC126" i="23"/>
  <c r="AB126" i="23"/>
  <c r="AD126" i="23"/>
  <c r="AC128" i="23"/>
  <c r="Z123" i="23"/>
  <c r="AA123" i="23" s="1"/>
  <c r="AB124" i="23"/>
  <c r="AD124" i="23"/>
  <c r="X125" i="23"/>
  <c r="X130" i="23"/>
  <c r="U130" i="23" s="1"/>
  <c r="AE130" i="23" s="1"/>
  <c r="AC131" i="23"/>
  <c r="AB131" i="23"/>
  <c r="AB118" i="23"/>
  <c r="X122" i="23"/>
  <c r="AC136" i="23"/>
  <c r="AB136" i="23"/>
  <c r="Z136" i="23"/>
  <c r="AA136" i="23" s="1"/>
  <c r="X127" i="23"/>
  <c r="U127" i="23" s="1"/>
  <c r="AE127" i="23" s="1"/>
  <c r="AD140" i="23"/>
  <c r="Z133" i="23"/>
  <c r="AA133" i="23" s="1"/>
  <c r="AD137" i="23"/>
  <c r="Y140" i="23"/>
  <c r="X138" i="23"/>
  <c r="U138" i="23" s="1"/>
  <c r="AE138" i="23" s="1"/>
  <c r="AD139" i="23"/>
  <c r="AB140" i="23"/>
  <c r="P6" i="13"/>
  <c r="Q6" i="13"/>
  <c r="E10" i="5"/>
  <c r="Z98" i="23" l="1"/>
  <c r="Z104" i="23"/>
  <c r="AA104" i="23" s="1"/>
  <c r="Z59" i="23"/>
  <c r="AA59" i="23" s="1"/>
  <c r="Z49" i="23"/>
  <c r="AA49" i="23" s="1"/>
  <c r="Z101" i="23"/>
  <c r="AA101" i="23" s="1"/>
  <c r="Z44" i="23"/>
  <c r="AA44" i="23" s="1"/>
  <c r="Z37" i="23"/>
  <c r="AA37" i="23" s="1"/>
  <c r="Z22" i="23"/>
  <c r="AA22" i="23" s="1"/>
  <c r="Z114" i="23"/>
  <c r="AA114" i="23" s="1"/>
  <c r="Z19" i="23"/>
  <c r="AA19" i="23" s="1"/>
  <c r="Z115" i="23"/>
  <c r="AA115" i="23" s="1"/>
  <c r="Z139" i="23"/>
  <c r="AA139" i="23" s="1"/>
  <c r="Z33" i="23"/>
  <c r="AA33" i="23" s="1"/>
  <c r="Z75" i="23"/>
  <c r="AA75" i="23" s="1"/>
  <c r="Z35" i="23"/>
  <c r="AA35" i="23" s="1"/>
  <c r="Z11" i="23"/>
  <c r="AA11" i="23" s="1"/>
  <c r="Z94" i="23"/>
  <c r="AA94" i="23" s="1"/>
  <c r="Z91" i="23"/>
  <c r="AA91" i="23" s="1"/>
  <c r="Z106" i="23"/>
  <c r="AA106" i="23" s="1"/>
  <c r="Z34" i="23"/>
  <c r="AA34" i="23" s="1"/>
  <c r="Z74" i="23"/>
  <c r="AA74" i="23" s="1"/>
  <c r="Z36" i="23"/>
  <c r="AA36" i="23" s="1"/>
  <c r="AA98" i="23"/>
  <c r="Z140" i="23"/>
  <c r="AA140" i="23" s="1"/>
  <c r="Z102" i="23"/>
  <c r="AA102" i="23" s="1"/>
  <c r="Z79" i="23"/>
  <c r="AA79" i="23" s="1"/>
  <c r="Z61" i="23"/>
  <c r="AA61" i="23" s="1"/>
  <c r="Z65" i="23"/>
  <c r="AA65" i="23" s="1"/>
  <c r="Z26" i="23"/>
  <c r="AA26" i="23" s="1"/>
  <c r="Z30" i="23"/>
  <c r="AA30" i="23" s="1"/>
  <c r="Z56" i="23"/>
  <c r="AA56" i="23" s="1"/>
  <c r="Z17" i="23"/>
  <c r="AA17" i="23" s="1"/>
  <c r="Z113" i="23"/>
  <c r="AA113" i="23" s="1"/>
  <c r="Z10" i="23"/>
  <c r="AA10" i="23" s="1"/>
  <c r="Z29" i="23"/>
  <c r="AA29" i="23" s="1"/>
  <c r="Z7" i="23"/>
  <c r="AA7" i="23" s="1"/>
  <c r="Z72" i="23"/>
  <c r="AA72" i="23" s="1"/>
  <c r="Z92" i="23"/>
  <c r="AA92" i="23" s="1"/>
  <c r="Z63" i="23"/>
  <c r="AA63" i="23" s="1"/>
  <c r="Z23" i="23"/>
  <c r="AA23" i="23" s="1"/>
  <c r="Z78" i="23"/>
  <c r="AA78" i="23" s="1"/>
  <c r="Z39" i="23"/>
  <c r="AA39" i="23" s="1"/>
  <c r="Z118" i="23"/>
  <c r="AA118" i="23" s="1"/>
  <c r="Z71" i="23"/>
  <c r="AA71" i="23" s="1"/>
  <c r="Z90" i="23"/>
  <c r="AA90" i="23" s="1"/>
  <c r="Z81" i="23"/>
  <c r="AA81" i="23" s="1"/>
  <c r="Z89" i="23"/>
  <c r="AA89" i="23" s="1"/>
  <c r="Z43" i="23"/>
  <c r="AA43" i="23" s="1"/>
  <c r="Z25" i="23"/>
  <c r="AA25" i="23" s="1"/>
  <c r="Z99" i="23"/>
  <c r="AA99" i="23" s="1"/>
  <c r="Z70" i="23"/>
  <c r="AA70" i="23" s="1"/>
  <c r="Z125" i="23"/>
  <c r="AA125" i="23" s="1"/>
  <c r="Z107" i="23"/>
  <c r="AA107" i="23" s="1"/>
  <c r="Z67" i="23"/>
  <c r="AA67" i="23" s="1"/>
  <c r="Z80" i="23"/>
  <c r="AA80" i="23" s="1"/>
  <c r="Z42" i="23"/>
  <c r="AA42" i="23" s="1"/>
  <c r="Z38" i="23"/>
  <c r="AA38" i="23" s="1"/>
  <c r="Z119" i="23"/>
  <c r="AA119" i="23" s="1"/>
  <c r="Z124" i="23"/>
  <c r="AA124" i="23" s="1"/>
  <c r="Z117" i="23"/>
  <c r="AA117" i="23" s="1"/>
  <c r="Z103" i="23"/>
  <c r="AA103" i="23" s="1"/>
  <c r="Z77" i="23"/>
  <c r="AA77" i="23" s="1"/>
  <c r="Z8" i="23"/>
  <c r="AA8" i="23" s="1"/>
  <c r="Z120" i="23"/>
  <c r="AA120" i="23" s="1"/>
  <c r="Z111" i="23"/>
  <c r="AA111" i="23" s="1"/>
  <c r="Z69" i="23"/>
  <c r="AA69" i="23" s="1"/>
  <c r="Z55" i="23"/>
  <c r="AA55" i="23" s="1"/>
  <c r="Z51" i="23"/>
  <c r="AA51" i="23" s="1"/>
  <c r="Z20" i="23"/>
  <c r="AA20" i="23" s="1"/>
  <c r="Z122" i="23"/>
  <c r="AA122" i="23" s="1"/>
  <c r="Z83" i="23"/>
  <c r="AA83" i="23" s="1"/>
  <c r="Z105" i="23"/>
  <c r="AA105" i="23" s="1"/>
  <c r="Z64" i="23"/>
  <c r="AA64" i="23" s="1"/>
  <c r="Z46" i="23"/>
  <c r="AA46" i="23" s="1"/>
  <c r="Z73" i="23"/>
  <c r="AA73" i="23" s="1"/>
  <c r="Z57" i="23"/>
  <c r="AA57" i="23" s="1"/>
  <c r="Z52" i="23"/>
  <c r="AA52" i="23" s="1"/>
  <c r="Z76" i="23"/>
  <c r="AA76" i="23" s="1"/>
  <c r="Z95" i="23"/>
  <c r="AA95" i="23" s="1"/>
  <c r="Z48" i="23"/>
  <c r="AA48" i="23" s="1"/>
  <c r="Z100" i="23"/>
  <c r="AA100" i="23" s="1"/>
  <c r="Z86" i="23"/>
  <c r="AA86" i="23" s="1"/>
  <c r="Z88" i="23"/>
  <c r="AA88" i="23" s="1"/>
  <c r="Z82" i="23"/>
  <c r="AA82" i="23" s="1"/>
  <c r="Z97" i="23"/>
  <c r="AA97" i="23" s="1"/>
  <c r="Z85" i="23"/>
  <c r="AA85" i="23" s="1"/>
  <c r="Z84" i="23"/>
  <c r="AA84" i="23" s="1"/>
  <c r="Z58" i="23"/>
  <c r="AA58" i="23" s="1"/>
  <c r="Z54" i="23"/>
  <c r="AA54" i="23" s="1"/>
  <c r="Z62" i="23"/>
  <c r="AA62" i="23" s="1"/>
  <c r="Z45" i="23"/>
  <c r="AA45" i="23" s="1"/>
  <c r="Z121" i="23"/>
  <c r="AA121" i="23" s="1"/>
  <c r="Z93" i="23"/>
  <c r="AA93" i="23" s="1"/>
  <c r="Z47" i="23"/>
  <c r="AA47" i="23" s="1"/>
  <c r="Z40" i="23"/>
  <c r="AA40" i="23" s="1"/>
  <c r="Z60" i="23"/>
  <c r="AA60" i="23" s="1"/>
  <c r="Z116" i="23"/>
  <c r="AA116" i="23" s="1"/>
  <c r="Z96" i="23"/>
  <c r="AA96" i="23" s="1"/>
  <c r="Z87" i="23"/>
  <c r="AA87" i="23" s="1"/>
  <c r="Z41" i="23"/>
  <c r="AA41" i="23" s="1"/>
  <c r="Z50" i="23"/>
  <c r="AA50" i="23" s="1"/>
  <c r="Z21" i="23"/>
  <c r="AA21" i="23" s="1"/>
  <c r="Z27" i="23"/>
  <c r="AA27" i="23" s="1"/>
  <c r="T243" i="13"/>
  <c r="V243" i="13" s="1"/>
  <c r="S243" i="13"/>
  <c r="U243" i="13" s="1"/>
  <c r="R243" i="13"/>
  <c r="O243" i="13"/>
  <c r="T242" i="13"/>
  <c r="V242" i="13" s="1"/>
  <c r="S242" i="13"/>
  <c r="U242" i="13" s="1"/>
  <c r="R242" i="13"/>
  <c r="O242" i="13"/>
  <c r="V241" i="13"/>
  <c r="T241" i="13"/>
  <c r="S241" i="13"/>
  <c r="U241" i="13" s="1"/>
  <c r="R241" i="13"/>
  <c r="O241" i="13"/>
  <c r="V240" i="13"/>
  <c r="T240" i="13"/>
  <c r="S240" i="13"/>
  <c r="U240" i="13" s="1"/>
  <c r="R240" i="13"/>
  <c r="O240" i="13"/>
  <c r="V239" i="13"/>
  <c r="T239" i="13"/>
  <c r="S239" i="13"/>
  <c r="U239" i="13" s="1"/>
  <c r="R239" i="13"/>
  <c r="O239" i="13"/>
  <c r="V238" i="13"/>
  <c r="T238" i="13"/>
  <c r="S238" i="13"/>
  <c r="U238" i="13" s="1"/>
  <c r="R238" i="13"/>
  <c r="O238" i="13"/>
  <c r="V237" i="13"/>
  <c r="T237" i="13"/>
  <c r="S237" i="13"/>
  <c r="U237" i="13" s="1"/>
  <c r="R237" i="13"/>
  <c r="O237" i="13"/>
  <c r="V236" i="13"/>
  <c r="T236" i="13"/>
  <c r="S236" i="13"/>
  <c r="U236" i="13" s="1"/>
  <c r="R236" i="13"/>
  <c r="O236" i="13"/>
  <c r="T235" i="13"/>
  <c r="V235" i="13" s="1"/>
  <c r="S235" i="13"/>
  <c r="U235" i="13" s="1"/>
  <c r="R235" i="13"/>
  <c r="O235" i="13"/>
  <c r="T234" i="13"/>
  <c r="V234" i="13" s="1"/>
  <c r="S234" i="13"/>
  <c r="U234" i="13" s="1"/>
  <c r="R234" i="13"/>
  <c r="O234" i="13"/>
  <c r="V233" i="13"/>
  <c r="T233" i="13"/>
  <c r="S233" i="13"/>
  <c r="U233" i="13" s="1"/>
  <c r="R233" i="13"/>
  <c r="O233" i="13"/>
  <c r="V232" i="13"/>
  <c r="T232" i="13"/>
  <c r="S232" i="13"/>
  <c r="U232" i="13" s="1"/>
  <c r="R232" i="13"/>
  <c r="O232" i="13"/>
  <c r="V231" i="13"/>
  <c r="T231" i="13"/>
  <c r="S231" i="13"/>
  <c r="U231" i="13" s="1"/>
  <c r="R231" i="13"/>
  <c r="O231" i="13"/>
  <c r="V230" i="13"/>
  <c r="T230" i="13"/>
  <c r="S230" i="13"/>
  <c r="U230" i="13" s="1"/>
  <c r="R230" i="13"/>
  <c r="O230" i="13"/>
  <c r="V229" i="13"/>
  <c r="T229" i="13"/>
  <c r="S229" i="13"/>
  <c r="U229" i="13" s="1"/>
  <c r="R229" i="13"/>
  <c r="O229" i="13"/>
  <c r="V228" i="13"/>
  <c r="T228" i="13"/>
  <c r="S228" i="13"/>
  <c r="U228" i="13" s="1"/>
  <c r="R228" i="13"/>
  <c r="O228" i="13"/>
  <c r="V227" i="13"/>
  <c r="T227" i="13"/>
  <c r="S227" i="13"/>
  <c r="U227" i="13" s="1"/>
  <c r="R227" i="13"/>
  <c r="O227" i="13"/>
  <c r="V226" i="13"/>
  <c r="T226" i="13"/>
  <c r="S226" i="13"/>
  <c r="U226" i="13" s="1"/>
  <c r="R226" i="13"/>
  <c r="O226" i="13"/>
  <c r="V225" i="13"/>
  <c r="T225" i="13"/>
  <c r="S225" i="13"/>
  <c r="U225" i="13" s="1"/>
  <c r="R225" i="13"/>
  <c r="O225" i="13"/>
  <c r="V224" i="13"/>
  <c r="T224" i="13"/>
  <c r="S224" i="13"/>
  <c r="U224" i="13" s="1"/>
  <c r="R224" i="13"/>
  <c r="O224" i="13"/>
  <c r="T223" i="13"/>
  <c r="V223" i="13" s="1"/>
  <c r="S223" i="13"/>
  <c r="U223" i="13" s="1"/>
  <c r="R223" i="13"/>
  <c r="O223" i="13"/>
  <c r="T222" i="13"/>
  <c r="V222" i="13" s="1"/>
  <c r="S222" i="13"/>
  <c r="U222" i="13" s="1"/>
  <c r="R222" i="13"/>
  <c r="O222" i="13"/>
  <c r="V221" i="13"/>
  <c r="T221" i="13"/>
  <c r="S221" i="13"/>
  <c r="U221" i="13" s="1"/>
  <c r="R221" i="13"/>
  <c r="O221" i="13"/>
  <c r="T220" i="13"/>
  <c r="V220" i="13" s="1"/>
  <c r="S220" i="13"/>
  <c r="U220" i="13" s="1"/>
  <c r="R220" i="13"/>
  <c r="O220" i="13"/>
  <c r="T219" i="13"/>
  <c r="V219" i="13" s="1"/>
  <c r="S219" i="13"/>
  <c r="U219" i="13" s="1"/>
  <c r="R219" i="13"/>
  <c r="O219" i="13"/>
  <c r="T218" i="13"/>
  <c r="V218" i="13" s="1"/>
  <c r="S218" i="13"/>
  <c r="U218" i="13" s="1"/>
  <c r="R218" i="13"/>
  <c r="O218" i="13"/>
  <c r="V217" i="13"/>
  <c r="T217" i="13"/>
  <c r="S217" i="13"/>
  <c r="U217" i="13" s="1"/>
  <c r="R217" i="13"/>
  <c r="O217" i="13"/>
  <c r="T216" i="13"/>
  <c r="V216" i="13" s="1"/>
  <c r="S216" i="13"/>
  <c r="U216" i="13" s="1"/>
  <c r="R216" i="13"/>
  <c r="O216" i="13"/>
  <c r="T215" i="13"/>
  <c r="V215" i="13" s="1"/>
  <c r="S215" i="13"/>
  <c r="U215" i="13" s="1"/>
  <c r="R215" i="13"/>
  <c r="O215" i="13"/>
  <c r="T214" i="13"/>
  <c r="V214" i="13" s="1"/>
  <c r="S214" i="13"/>
  <c r="U214" i="13" s="1"/>
  <c r="R214" i="13"/>
  <c r="O214" i="13"/>
  <c r="V213" i="13"/>
  <c r="T213" i="13"/>
  <c r="S213" i="13"/>
  <c r="U213" i="13" s="1"/>
  <c r="R213" i="13"/>
  <c r="O213" i="13"/>
  <c r="V212" i="13"/>
  <c r="T212" i="13"/>
  <c r="S212" i="13"/>
  <c r="U212" i="13" s="1"/>
  <c r="R212" i="13"/>
  <c r="O212" i="13"/>
  <c r="V211" i="13"/>
  <c r="T211" i="13"/>
  <c r="S211" i="13"/>
  <c r="U211" i="13" s="1"/>
  <c r="R211" i="13"/>
  <c r="O211" i="13"/>
  <c r="T210" i="13"/>
  <c r="V210" i="13" s="1"/>
  <c r="S210" i="13"/>
  <c r="U210" i="13" s="1"/>
  <c r="R210" i="13"/>
  <c r="O210" i="13"/>
  <c r="T209" i="13"/>
  <c r="V209" i="13" s="1"/>
  <c r="S209" i="13"/>
  <c r="U209" i="13" s="1"/>
  <c r="R209" i="13"/>
  <c r="O209" i="13"/>
  <c r="T208" i="13"/>
  <c r="V208" i="13" s="1"/>
  <c r="S208" i="13"/>
  <c r="U208" i="13" s="1"/>
  <c r="R208" i="13"/>
  <c r="O208" i="13"/>
  <c r="T207" i="13"/>
  <c r="V207" i="13" s="1"/>
  <c r="S207" i="13"/>
  <c r="U207" i="13" s="1"/>
  <c r="R207" i="13"/>
  <c r="O207" i="13"/>
  <c r="T206" i="13"/>
  <c r="V206" i="13" s="1"/>
  <c r="S206" i="13"/>
  <c r="U206" i="13" s="1"/>
  <c r="R206" i="13"/>
  <c r="O206" i="13"/>
  <c r="T205" i="13"/>
  <c r="V205" i="13" s="1"/>
  <c r="S205" i="13"/>
  <c r="U205" i="13" s="1"/>
  <c r="R205" i="13"/>
  <c r="O205" i="13"/>
  <c r="T204" i="13"/>
  <c r="V204" i="13" s="1"/>
  <c r="S204" i="13"/>
  <c r="U204" i="13" s="1"/>
  <c r="R204" i="13"/>
  <c r="O204" i="13"/>
  <c r="T203" i="13"/>
  <c r="V203" i="13" s="1"/>
  <c r="S203" i="13"/>
  <c r="U203" i="13" s="1"/>
  <c r="R203" i="13"/>
  <c r="O203" i="13"/>
  <c r="T202" i="13"/>
  <c r="V202" i="13" s="1"/>
  <c r="S202" i="13"/>
  <c r="U202" i="13" s="1"/>
  <c r="R202" i="13"/>
  <c r="O202" i="13"/>
  <c r="T201" i="13"/>
  <c r="V201" i="13" s="1"/>
  <c r="S201" i="13"/>
  <c r="U201" i="13" s="1"/>
  <c r="R201" i="13"/>
  <c r="O201" i="13"/>
  <c r="T200" i="13"/>
  <c r="V200" i="13" s="1"/>
  <c r="S200" i="13"/>
  <c r="U200" i="13" s="1"/>
  <c r="R200" i="13"/>
  <c r="O200" i="13"/>
  <c r="T199" i="13"/>
  <c r="V199" i="13" s="1"/>
  <c r="S199" i="13"/>
  <c r="U199" i="13" s="1"/>
  <c r="R199" i="13"/>
  <c r="O199" i="13"/>
  <c r="V198" i="13"/>
  <c r="T198" i="13"/>
  <c r="S198" i="13"/>
  <c r="U198" i="13" s="1"/>
  <c r="R198" i="13"/>
  <c r="O198" i="13"/>
  <c r="V197" i="13"/>
  <c r="T197" i="13"/>
  <c r="S197" i="13"/>
  <c r="U197" i="13" s="1"/>
  <c r="R197" i="13"/>
  <c r="O197" i="13"/>
  <c r="V196" i="13"/>
  <c r="T196" i="13"/>
  <c r="S196" i="13"/>
  <c r="U196" i="13" s="1"/>
  <c r="R196" i="13"/>
  <c r="O196" i="13"/>
  <c r="V195" i="13"/>
  <c r="T195" i="13"/>
  <c r="S195" i="13"/>
  <c r="U195" i="13" s="1"/>
  <c r="R195" i="13"/>
  <c r="O195" i="13"/>
  <c r="V194" i="13"/>
  <c r="T194" i="13"/>
  <c r="S194" i="13"/>
  <c r="U194" i="13" s="1"/>
  <c r="R194" i="13"/>
  <c r="O194" i="13"/>
  <c r="T193" i="13"/>
  <c r="V193" i="13" s="1"/>
  <c r="S193" i="13"/>
  <c r="U193" i="13" s="1"/>
  <c r="R193" i="13"/>
  <c r="O193" i="13"/>
  <c r="V192" i="13"/>
  <c r="T192" i="13"/>
  <c r="S192" i="13"/>
  <c r="U192" i="13" s="1"/>
  <c r="R192" i="13"/>
  <c r="O192" i="13"/>
  <c r="V191" i="13"/>
  <c r="T191" i="13"/>
  <c r="S191" i="13"/>
  <c r="U191" i="13" s="1"/>
  <c r="R191" i="13"/>
  <c r="O191" i="13"/>
  <c r="V190" i="13"/>
  <c r="T190" i="13"/>
  <c r="S190" i="13"/>
  <c r="U190" i="13" s="1"/>
  <c r="R190" i="13"/>
  <c r="O190" i="13"/>
  <c r="V189" i="13"/>
  <c r="T189" i="13"/>
  <c r="S189" i="13"/>
  <c r="U189" i="13" s="1"/>
  <c r="R189" i="13"/>
  <c r="O189" i="13"/>
  <c r="V188" i="13"/>
  <c r="T188" i="13"/>
  <c r="S188" i="13"/>
  <c r="U188" i="13" s="1"/>
  <c r="R188" i="13"/>
  <c r="O188" i="13"/>
  <c r="T187" i="13"/>
  <c r="V187" i="13" s="1"/>
  <c r="S187" i="13"/>
  <c r="U187" i="13" s="1"/>
  <c r="R187" i="13"/>
  <c r="O187" i="13"/>
  <c r="V186" i="13"/>
  <c r="T186" i="13"/>
  <c r="S186" i="13"/>
  <c r="U186" i="13" s="1"/>
  <c r="R186" i="13"/>
  <c r="O186" i="13"/>
  <c r="V185" i="13"/>
  <c r="T185" i="13"/>
  <c r="S185" i="13"/>
  <c r="U185" i="13" s="1"/>
  <c r="R185" i="13"/>
  <c r="O185" i="13"/>
  <c r="V184" i="13"/>
  <c r="T184" i="13"/>
  <c r="S184" i="13"/>
  <c r="U184" i="13" s="1"/>
  <c r="R184" i="13"/>
  <c r="O184" i="13"/>
  <c r="V183" i="13"/>
  <c r="T183" i="13"/>
  <c r="S183" i="13"/>
  <c r="U183" i="13" s="1"/>
  <c r="R183" i="13"/>
  <c r="O183" i="13"/>
  <c r="T182" i="13"/>
  <c r="V182" i="13" s="1"/>
  <c r="S182" i="13"/>
  <c r="U182" i="13" s="1"/>
  <c r="R182" i="13"/>
  <c r="O182" i="13"/>
  <c r="T181" i="13"/>
  <c r="V181" i="13" s="1"/>
  <c r="S181" i="13"/>
  <c r="U181" i="13" s="1"/>
  <c r="R181" i="13"/>
  <c r="O181" i="13"/>
  <c r="T180" i="13"/>
  <c r="V180" i="13" s="1"/>
  <c r="S180" i="13"/>
  <c r="U180" i="13" s="1"/>
  <c r="R180" i="13"/>
  <c r="O180" i="13"/>
  <c r="T179" i="13"/>
  <c r="V179" i="13" s="1"/>
  <c r="S179" i="13"/>
  <c r="U179" i="13" s="1"/>
  <c r="R179" i="13"/>
  <c r="O179" i="13"/>
  <c r="T178" i="13"/>
  <c r="V178" i="13" s="1"/>
  <c r="S178" i="13"/>
  <c r="U178" i="13" s="1"/>
  <c r="R178" i="13"/>
  <c r="O178" i="13"/>
  <c r="T177" i="13"/>
  <c r="V177" i="13" s="1"/>
  <c r="S177" i="13"/>
  <c r="U177" i="13" s="1"/>
  <c r="R177" i="13"/>
  <c r="O177" i="13"/>
  <c r="T176" i="13"/>
  <c r="V176" i="13" s="1"/>
  <c r="S176" i="13"/>
  <c r="U176" i="13" s="1"/>
  <c r="R176" i="13"/>
  <c r="O176" i="13"/>
  <c r="T175" i="13"/>
  <c r="V175" i="13" s="1"/>
  <c r="S175" i="13"/>
  <c r="U175" i="13" s="1"/>
  <c r="R175" i="13"/>
  <c r="O175" i="13"/>
  <c r="T174" i="13"/>
  <c r="V174" i="13" s="1"/>
  <c r="S174" i="13"/>
  <c r="U174" i="13" s="1"/>
  <c r="R174" i="13"/>
  <c r="O174" i="13"/>
  <c r="T173" i="13"/>
  <c r="V173" i="13" s="1"/>
  <c r="S173" i="13"/>
  <c r="U173" i="13" s="1"/>
  <c r="R173" i="13"/>
  <c r="O173" i="13"/>
  <c r="T172" i="13"/>
  <c r="V172" i="13" s="1"/>
  <c r="S172" i="13"/>
  <c r="U172" i="13" s="1"/>
  <c r="R172" i="13"/>
  <c r="O172" i="13"/>
  <c r="T171" i="13"/>
  <c r="V171" i="13" s="1"/>
  <c r="S171" i="13"/>
  <c r="U171" i="13" s="1"/>
  <c r="R171" i="13"/>
  <c r="O171" i="13"/>
  <c r="V170" i="13"/>
  <c r="T170" i="13"/>
  <c r="S170" i="13"/>
  <c r="U170" i="13" s="1"/>
  <c r="R170" i="13"/>
  <c r="O170" i="13"/>
  <c r="V169" i="13"/>
  <c r="T169" i="13"/>
  <c r="S169" i="13"/>
  <c r="U169" i="13" s="1"/>
  <c r="R169" i="13"/>
  <c r="O169" i="13"/>
  <c r="V168" i="13"/>
  <c r="T168" i="13"/>
  <c r="S168" i="13"/>
  <c r="U168" i="13" s="1"/>
  <c r="R168" i="13"/>
  <c r="O168" i="13"/>
  <c r="V167" i="13"/>
  <c r="T167" i="13"/>
  <c r="S167" i="13"/>
  <c r="U167" i="13" s="1"/>
  <c r="R167" i="13"/>
  <c r="O167" i="13"/>
  <c r="V166" i="13"/>
  <c r="T166" i="13"/>
  <c r="S166" i="13"/>
  <c r="U166" i="13" s="1"/>
  <c r="R166" i="13"/>
  <c r="O166" i="13"/>
  <c r="V165" i="13"/>
  <c r="T165" i="13"/>
  <c r="S165" i="13"/>
  <c r="U165" i="13" s="1"/>
  <c r="R165" i="13"/>
  <c r="O165" i="13"/>
  <c r="T164" i="13"/>
  <c r="V164" i="13" s="1"/>
  <c r="S164" i="13"/>
  <c r="U164" i="13" s="1"/>
  <c r="R164" i="13"/>
  <c r="O164" i="13"/>
  <c r="T163" i="13"/>
  <c r="V163" i="13" s="1"/>
  <c r="S163" i="13"/>
  <c r="U163" i="13" s="1"/>
  <c r="R163" i="13"/>
  <c r="O163" i="13"/>
  <c r="T162" i="13"/>
  <c r="V162" i="13" s="1"/>
  <c r="S162" i="13"/>
  <c r="U162" i="13" s="1"/>
  <c r="R162" i="13"/>
  <c r="O162" i="13"/>
  <c r="T161" i="13"/>
  <c r="V161" i="13" s="1"/>
  <c r="S161" i="13"/>
  <c r="U161" i="13" s="1"/>
  <c r="R161" i="13"/>
  <c r="O161" i="13"/>
  <c r="T160" i="13"/>
  <c r="V160" i="13" s="1"/>
  <c r="S160" i="13"/>
  <c r="U160" i="13" s="1"/>
  <c r="R160" i="13"/>
  <c r="O160" i="13"/>
  <c r="T159" i="13"/>
  <c r="V159" i="13" s="1"/>
  <c r="S159" i="13"/>
  <c r="U159" i="13" s="1"/>
  <c r="R159" i="13"/>
  <c r="O159" i="13"/>
  <c r="V158" i="13"/>
  <c r="T158" i="13"/>
  <c r="S158" i="13"/>
  <c r="U158" i="13" s="1"/>
  <c r="R158" i="13"/>
  <c r="O158" i="13"/>
  <c r="T157" i="13"/>
  <c r="V157" i="13" s="1"/>
  <c r="S157" i="13"/>
  <c r="U157" i="13" s="1"/>
  <c r="R157" i="13"/>
  <c r="O157" i="13"/>
  <c r="T156" i="13"/>
  <c r="V156" i="13" s="1"/>
  <c r="S156" i="13"/>
  <c r="U156" i="13" s="1"/>
  <c r="R156" i="13"/>
  <c r="O156" i="13"/>
  <c r="T155" i="13"/>
  <c r="V155" i="13" s="1"/>
  <c r="S155" i="13"/>
  <c r="U155" i="13" s="1"/>
  <c r="R155" i="13"/>
  <c r="O155" i="13"/>
  <c r="T154" i="13"/>
  <c r="V154" i="13" s="1"/>
  <c r="S154" i="13"/>
  <c r="U154" i="13" s="1"/>
  <c r="R154" i="13"/>
  <c r="O154" i="13"/>
  <c r="T153" i="13"/>
  <c r="V153" i="13" s="1"/>
  <c r="S153" i="13"/>
  <c r="U153" i="13" s="1"/>
  <c r="R153" i="13"/>
  <c r="O153" i="13"/>
  <c r="T152" i="13"/>
  <c r="V152" i="13" s="1"/>
  <c r="S152" i="13"/>
  <c r="U152" i="13" s="1"/>
  <c r="R152" i="13"/>
  <c r="O152" i="13"/>
  <c r="T151" i="13"/>
  <c r="V151" i="13" s="1"/>
  <c r="S151" i="13"/>
  <c r="U151" i="13" s="1"/>
  <c r="R151" i="13"/>
  <c r="O151" i="13"/>
  <c r="T150" i="13"/>
  <c r="V150" i="13" s="1"/>
  <c r="S150" i="13"/>
  <c r="U150" i="13" s="1"/>
  <c r="R150" i="13"/>
  <c r="O150" i="13"/>
  <c r="T149" i="13"/>
  <c r="V149" i="13" s="1"/>
  <c r="S149" i="13"/>
  <c r="U149" i="13" s="1"/>
  <c r="R149" i="13"/>
  <c r="O149" i="13"/>
  <c r="T148" i="13"/>
  <c r="V148" i="13" s="1"/>
  <c r="S148" i="13"/>
  <c r="U148" i="13" s="1"/>
  <c r="R148" i="13"/>
  <c r="O148" i="13"/>
  <c r="T147" i="13"/>
  <c r="V147" i="13" s="1"/>
  <c r="S147" i="13"/>
  <c r="U147" i="13" s="1"/>
  <c r="R147" i="13"/>
  <c r="O147" i="13"/>
  <c r="T146" i="13"/>
  <c r="V146" i="13" s="1"/>
  <c r="S146" i="13"/>
  <c r="U146" i="13" s="1"/>
  <c r="R146" i="13"/>
  <c r="O146" i="13"/>
  <c r="T145" i="13"/>
  <c r="V145" i="13" s="1"/>
  <c r="S145" i="13"/>
  <c r="U145" i="13" s="1"/>
  <c r="R145" i="13"/>
  <c r="O145" i="13"/>
  <c r="T144" i="13"/>
  <c r="V144" i="13" s="1"/>
  <c r="S144" i="13"/>
  <c r="U144" i="13" s="1"/>
  <c r="R144" i="13"/>
  <c r="O144" i="13"/>
  <c r="T143" i="13"/>
  <c r="V143" i="13" s="1"/>
  <c r="S143" i="13"/>
  <c r="U143" i="13" s="1"/>
  <c r="R143" i="13"/>
  <c r="O143" i="13"/>
  <c r="T142" i="13"/>
  <c r="V142" i="13" s="1"/>
  <c r="S142" i="13"/>
  <c r="U142" i="13" s="1"/>
  <c r="R142" i="13"/>
  <c r="O142" i="13"/>
  <c r="T141" i="13"/>
  <c r="V141" i="13" s="1"/>
  <c r="S141" i="13"/>
  <c r="U141" i="13" s="1"/>
  <c r="R141" i="13"/>
  <c r="O141" i="13"/>
  <c r="T140" i="13"/>
  <c r="V140" i="13" s="1"/>
  <c r="S140" i="13"/>
  <c r="U140" i="13" s="1"/>
  <c r="R140" i="13"/>
  <c r="O140" i="13"/>
  <c r="T139" i="13"/>
  <c r="V139" i="13" s="1"/>
  <c r="S139" i="13"/>
  <c r="U139" i="13" s="1"/>
  <c r="R139" i="13"/>
  <c r="O139" i="13"/>
  <c r="T138" i="13"/>
  <c r="V138" i="13" s="1"/>
  <c r="S138" i="13"/>
  <c r="U138" i="13" s="1"/>
  <c r="R138" i="13"/>
  <c r="O138" i="13"/>
  <c r="T137" i="13"/>
  <c r="V137" i="13" s="1"/>
  <c r="S137" i="13"/>
  <c r="U137" i="13" s="1"/>
  <c r="R137" i="13"/>
  <c r="O137" i="13"/>
  <c r="T136" i="13"/>
  <c r="V136" i="13" s="1"/>
  <c r="S136" i="13"/>
  <c r="U136" i="13" s="1"/>
  <c r="R136" i="13"/>
  <c r="O136" i="13"/>
  <c r="T135" i="13"/>
  <c r="V135" i="13" s="1"/>
  <c r="S135" i="13"/>
  <c r="U135" i="13" s="1"/>
  <c r="R135" i="13"/>
  <c r="O135" i="13"/>
  <c r="T134" i="13"/>
  <c r="V134" i="13" s="1"/>
  <c r="S134" i="13"/>
  <c r="U134" i="13" s="1"/>
  <c r="R134" i="13"/>
  <c r="O134" i="13"/>
  <c r="T133" i="13"/>
  <c r="V133" i="13" s="1"/>
  <c r="S133" i="13"/>
  <c r="U133" i="13" s="1"/>
  <c r="R133" i="13"/>
  <c r="O133" i="13"/>
  <c r="T132" i="13"/>
  <c r="V132" i="13" s="1"/>
  <c r="S132" i="13"/>
  <c r="U132" i="13" s="1"/>
  <c r="R132" i="13"/>
  <c r="O132" i="13"/>
  <c r="T131" i="13"/>
  <c r="V131" i="13" s="1"/>
  <c r="S131" i="13"/>
  <c r="U131" i="13" s="1"/>
  <c r="R131" i="13"/>
  <c r="O131" i="13"/>
  <c r="T130" i="13"/>
  <c r="V130" i="13" s="1"/>
  <c r="S130" i="13"/>
  <c r="U130" i="13" s="1"/>
  <c r="R130" i="13"/>
  <c r="O130" i="13"/>
  <c r="T129" i="13"/>
  <c r="V129" i="13" s="1"/>
  <c r="S129" i="13"/>
  <c r="U129" i="13" s="1"/>
  <c r="R129" i="13"/>
  <c r="O129" i="13"/>
  <c r="T128" i="13"/>
  <c r="V128" i="13" s="1"/>
  <c r="S128" i="13"/>
  <c r="U128" i="13" s="1"/>
  <c r="R128" i="13"/>
  <c r="O128" i="13"/>
  <c r="T127" i="13"/>
  <c r="V127" i="13" s="1"/>
  <c r="S127" i="13"/>
  <c r="U127" i="13" s="1"/>
  <c r="R127" i="13"/>
  <c r="O127" i="13"/>
  <c r="V126" i="13"/>
  <c r="T126" i="13"/>
  <c r="S126" i="13"/>
  <c r="U126" i="13" s="1"/>
  <c r="R126" i="13"/>
  <c r="O126" i="13"/>
  <c r="T125" i="13"/>
  <c r="V125" i="13" s="1"/>
  <c r="S125" i="13"/>
  <c r="U125" i="13" s="1"/>
  <c r="R125" i="13"/>
  <c r="O125" i="13"/>
  <c r="T124" i="13"/>
  <c r="V124" i="13" s="1"/>
  <c r="S124" i="13"/>
  <c r="U124" i="13" s="1"/>
  <c r="R124" i="13"/>
  <c r="O124" i="13"/>
  <c r="T123" i="13"/>
  <c r="V123" i="13" s="1"/>
  <c r="S123" i="13"/>
  <c r="U123" i="13" s="1"/>
  <c r="R123" i="13"/>
  <c r="O123" i="13"/>
  <c r="T122" i="13"/>
  <c r="V122" i="13" s="1"/>
  <c r="S122" i="13"/>
  <c r="U122" i="13" s="1"/>
  <c r="R122" i="13"/>
  <c r="O122" i="13"/>
  <c r="T121" i="13"/>
  <c r="V121" i="13" s="1"/>
  <c r="S121" i="13"/>
  <c r="U121" i="13" s="1"/>
  <c r="R121" i="13"/>
  <c r="O121" i="13"/>
  <c r="T120" i="13"/>
  <c r="V120" i="13" s="1"/>
  <c r="S120" i="13"/>
  <c r="U120" i="13" s="1"/>
  <c r="R120" i="13"/>
  <c r="O120" i="13"/>
  <c r="T119" i="13"/>
  <c r="V119" i="13" s="1"/>
  <c r="S119" i="13"/>
  <c r="U119" i="13" s="1"/>
  <c r="R119" i="13"/>
  <c r="O119" i="13"/>
  <c r="T118" i="13"/>
  <c r="V118" i="13" s="1"/>
  <c r="S118" i="13"/>
  <c r="U118" i="13" s="1"/>
  <c r="R118" i="13"/>
  <c r="O118" i="13"/>
  <c r="T117" i="13"/>
  <c r="V117" i="13" s="1"/>
  <c r="S117" i="13"/>
  <c r="U117" i="13" s="1"/>
  <c r="R117" i="13"/>
  <c r="O117" i="13"/>
  <c r="T116" i="13"/>
  <c r="V116" i="13" s="1"/>
  <c r="S116" i="13"/>
  <c r="U116" i="13" s="1"/>
  <c r="R116" i="13"/>
  <c r="O116" i="13"/>
  <c r="T115" i="13"/>
  <c r="V115" i="13" s="1"/>
  <c r="S115" i="13"/>
  <c r="U115" i="13" s="1"/>
  <c r="R115" i="13"/>
  <c r="O115" i="13"/>
  <c r="T114" i="13"/>
  <c r="V114" i="13" s="1"/>
  <c r="S114" i="13"/>
  <c r="U114" i="13" s="1"/>
  <c r="R114" i="13"/>
  <c r="O114" i="13"/>
  <c r="T113" i="13"/>
  <c r="V113" i="13" s="1"/>
  <c r="S113" i="13"/>
  <c r="U113" i="13" s="1"/>
  <c r="R113" i="13"/>
  <c r="O113" i="13"/>
  <c r="T112" i="13"/>
  <c r="V112" i="13" s="1"/>
  <c r="S112" i="13"/>
  <c r="U112" i="13" s="1"/>
  <c r="R112" i="13"/>
  <c r="O112" i="13"/>
  <c r="T111" i="13"/>
  <c r="V111" i="13" s="1"/>
  <c r="S111" i="13"/>
  <c r="U111" i="13" s="1"/>
  <c r="R111" i="13"/>
  <c r="O111" i="13"/>
  <c r="T110" i="13"/>
  <c r="V110" i="13" s="1"/>
  <c r="S110" i="13"/>
  <c r="U110" i="13" s="1"/>
  <c r="R110" i="13"/>
  <c r="O110" i="13"/>
  <c r="T109" i="13"/>
  <c r="V109" i="13" s="1"/>
  <c r="S109" i="13"/>
  <c r="U109" i="13" s="1"/>
  <c r="R109" i="13"/>
  <c r="O109" i="13"/>
  <c r="T108" i="13"/>
  <c r="V108" i="13" s="1"/>
  <c r="S108" i="13"/>
  <c r="U108" i="13" s="1"/>
  <c r="R108" i="13"/>
  <c r="O108" i="13"/>
  <c r="T107" i="13"/>
  <c r="V107" i="13" s="1"/>
  <c r="S107" i="13"/>
  <c r="U107" i="13" s="1"/>
  <c r="R107" i="13"/>
  <c r="O107" i="13"/>
  <c r="T106" i="13"/>
  <c r="V106" i="13" s="1"/>
  <c r="S106" i="13"/>
  <c r="U106" i="13" s="1"/>
  <c r="R106" i="13"/>
  <c r="O106" i="13"/>
  <c r="V105" i="13"/>
  <c r="T105" i="13"/>
  <c r="S105" i="13"/>
  <c r="U105" i="13" s="1"/>
  <c r="R105" i="13"/>
  <c r="O105" i="13"/>
  <c r="T104" i="13"/>
  <c r="V104" i="13" s="1"/>
  <c r="S104" i="13"/>
  <c r="U104" i="13" s="1"/>
  <c r="R104" i="13"/>
  <c r="O104" i="13"/>
  <c r="T103" i="13"/>
  <c r="V103" i="13" s="1"/>
  <c r="S103" i="13"/>
  <c r="U103" i="13" s="1"/>
  <c r="R103" i="13"/>
  <c r="O103" i="13"/>
  <c r="T102" i="13"/>
  <c r="V102" i="13" s="1"/>
  <c r="S102" i="13"/>
  <c r="U102" i="13" s="1"/>
  <c r="R102" i="13"/>
  <c r="O102" i="13"/>
  <c r="T101" i="13"/>
  <c r="V101" i="13" s="1"/>
  <c r="S101" i="13"/>
  <c r="U101" i="13" s="1"/>
  <c r="R101" i="13"/>
  <c r="O101" i="13"/>
  <c r="T100" i="13"/>
  <c r="V100" i="13" s="1"/>
  <c r="S100" i="13"/>
  <c r="U100" i="13" s="1"/>
  <c r="R100" i="13"/>
  <c r="O100" i="13"/>
  <c r="T99" i="13"/>
  <c r="V99" i="13" s="1"/>
  <c r="S99" i="13"/>
  <c r="U99" i="13" s="1"/>
  <c r="R99" i="13"/>
  <c r="O99" i="13"/>
  <c r="V98" i="13"/>
  <c r="T98" i="13"/>
  <c r="S98" i="13"/>
  <c r="U98" i="13" s="1"/>
  <c r="R98" i="13"/>
  <c r="O98" i="13"/>
  <c r="V97" i="13"/>
  <c r="T97" i="13"/>
  <c r="S97" i="13"/>
  <c r="U97" i="13" s="1"/>
  <c r="R97" i="13"/>
  <c r="O97" i="13"/>
  <c r="T96" i="13"/>
  <c r="V96" i="13" s="1"/>
  <c r="S96" i="13"/>
  <c r="U96" i="13" s="1"/>
  <c r="R96" i="13"/>
  <c r="O96" i="13"/>
  <c r="T95" i="13"/>
  <c r="V95" i="13" s="1"/>
  <c r="S95" i="13"/>
  <c r="U95" i="13" s="1"/>
  <c r="R95" i="13"/>
  <c r="O95" i="13"/>
  <c r="T94" i="13"/>
  <c r="V94" i="13" s="1"/>
  <c r="S94" i="13"/>
  <c r="U94" i="13" s="1"/>
  <c r="R94" i="13"/>
  <c r="O94" i="13"/>
  <c r="T93" i="13"/>
  <c r="V93" i="13" s="1"/>
  <c r="S93" i="13"/>
  <c r="U93" i="13" s="1"/>
  <c r="R93" i="13"/>
  <c r="O93" i="13"/>
  <c r="T92" i="13"/>
  <c r="V92" i="13" s="1"/>
  <c r="S92" i="13"/>
  <c r="U92" i="13" s="1"/>
  <c r="R92" i="13"/>
  <c r="O92" i="13"/>
  <c r="T91" i="13"/>
  <c r="V91" i="13" s="1"/>
  <c r="S91" i="13"/>
  <c r="U91" i="13" s="1"/>
  <c r="R91" i="13"/>
  <c r="O91" i="13"/>
  <c r="V90" i="13"/>
  <c r="T90" i="13"/>
  <c r="S90" i="13"/>
  <c r="U90" i="13" s="1"/>
  <c r="R90" i="13"/>
  <c r="O90" i="13"/>
  <c r="T89" i="13"/>
  <c r="V89" i="13" s="1"/>
  <c r="S89" i="13"/>
  <c r="U89" i="13" s="1"/>
  <c r="R89" i="13"/>
  <c r="O89" i="13"/>
  <c r="T88" i="13"/>
  <c r="V88" i="13" s="1"/>
  <c r="S88" i="13"/>
  <c r="U88" i="13" s="1"/>
  <c r="R88" i="13"/>
  <c r="O88" i="13"/>
  <c r="T87" i="13"/>
  <c r="V87" i="13" s="1"/>
  <c r="S87" i="13"/>
  <c r="U87" i="13" s="1"/>
  <c r="R87" i="13"/>
  <c r="O87" i="13"/>
  <c r="V86" i="13"/>
  <c r="T86" i="13"/>
  <c r="S86" i="13"/>
  <c r="U86" i="13" s="1"/>
  <c r="R86" i="13"/>
  <c r="O86" i="13"/>
  <c r="T85" i="13"/>
  <c r="V85" i="13" s="1"/>
  <c r="S85" i="13"/>
  <c r="U85" i="13" s="1"/>
  <c r="R85" i="13"/>
  <c r="O85" i="13"/>
  <c r="T84" i="13"/>
  <c r="V84" i="13" s="1"/>
  <c r="S84" i="13"/>
  <c r="U84" i="13" s="1"/>
  <c r="R84" i="13"/>
  <c r="O84" i="13"/>
  <c r="T83" i="13"/>
  <c r="V83" i="13" s="1"/>
  <c r="S83" i="13"/>
  <c r="U83" i="13" s="1"/>
  <c r="R83" i="13"/>
  <c r="O83" i="13"/>
  <c r="T82" i="13"/>
  <c r="V82" i="13" s="1"/>
  <c r="S82" i="13"/>
  <c r="U82" i="13" s="1"/>
  <c r="R82" i="13"/>
  <c r="O82" i="13"/>
  <c r="T81" i="13"/>
  <c r="V81" i="13" s="1"/>
  <c r="S81" i="13"/>
  <c r="U81" i="13" s="1"/>
  <c r="R81" i="13"/>
  <c r="O81" i="13"/>
  <c r="T80" i="13"/>
  <c r="V80" i="13" s="1"/>
  <c r="S80" i="13"/>
  <c r="U80" i="13" s="1"/>
  <c r="R80" i="13"/>
  <c r="O80" i="13"/>
  <c r="T79" i="13"/>
  <c r="V79" i="13" s="1"/>
  <c r="S79" i="13"/>
  <c r="U79" i="13" s="1"/>
  <c r="R79" i="13"/>
  <c r="O79" i="13"/>
  <c r="T78" i="13"/>
  <c r="V78" i="13" s="1"/>
  <c r="S78" i="13"/>
  <c r="U78" i="13" s="1"/>
  <c r="R78" i="13"/>
  <c r="O78" i="13"/>
  <c r="T77" i="13"/>
  <c r="V77" i="13" s="1"/>
  <c r="S77" i="13"/>
  <c r="U77" i="13" s="1"/>
  <c r="R77" i="13"/>
  <c r="O77" i="13"/>
  <c r="T76" i="13"/>
  <c r="V76" i="13" s="1"/>
  <c r="S76" i="13"/>
  <c r="U76" i="13" s="1"/>
  <c r="R76" i="13"/>
  <c r="O76" i="13"/>
  <c r="T75" i="13"/>
  <c r="V75" i="13" s="1"/>
  <c r="S75" i="13"/>
  <c r="U75" i="13" s="1"/>
  <c r="R75" i="13"/>
  <c r="O75" i="13"/>
  <c r="T74" i="13"/>
  <c r="V74" i="13" s="1"/>
  <c r="S74" i="13"/>
  <c r="U74" i="13" s="1"/>
  <c r="R74" i="13"/>
  <c r="O74" i="13"/>
  <c r="T73" i="13"/>
  <c r="V73" i="13" s="1"/>
  <c r="S73" i="13"/>
  <c r="U73" i="13" s="1"/>
  <c r="R73" i="13"/>
  <c r="O73" i="13"/>
  <c r="T72" i="13"/>
  <c r="V72" i="13" s="1"/>
  <c r="S72" i="13"/>
  <c r="U72" i="13" s="1"/>
  <c r="R72" i="13"/>
  <c r="O72" i="13"/>
  <c r="T71" i="13"/>
  <c r="V71" i="13" s="1"/>
  <c r="S71" i="13"/>
  <c r="U71" i="13" s="1"/>
  <c r="R71" i="13"/>
  <c r="O71" i="13"/>
  <c r="T70" i="13"/>
  <c r="V70" i="13" s="1"/>
  <c r="S70" i="13"/>
  <c r="U70" i="13" s="1"/>
  <c r="R70" i="13"/>
  <c r="O70" i="13"/>
  <c r="T69" i="13"/>
  <c r="V69" i="13" s="1"/>
  <c r="S69" i="13"/>
  <c r="U69" i="13" s="1"/>
  <c r="R69" i="13"/>
  <c r="O69" i="13"/>
  <c r="T68" i="13"/>
  <c r="V68" i="13" s="1"/>
  <c r="S68" i="13"/>
  <c r="U68" i="13" s="1"/>
  <c r="R68" i="13"/>
  <c r="O68" i="13"/>
  <c r="T67" i="13"/>
  <c r="V67" i="13" s="1"/>
  <c r="S67" i="13"/>
  <c r="U67" i="13" s="1"/>
  <c r="R67" i="13"/>
  <c r="O67" i="13"/>
  <c r="T66" i="13"/>
  <c r="V66" i="13" s="1"/>
  <c r="S66" i="13"/>
  <c r="U66" i="13" s="1"/>
  <c r="R66" i="13"/>
  <c r="O66" i="13"/>
  <c r="T65" i="13"/>
  <c r="V65" i="13" s="1"/>
  <c r="S65" i="13"/>
  <c r="U65" i="13" s="1"/>
  <c r="R65" i="13"/>
  <c r="O65" i="13"/>
  <c r="T64" i="13"/>
  <c r="V64" i="13" s="1"/>
  <c r="S64" i="13"/>
  <c r="U64" i="13" s="1"/>
  <c r="R64" i="13"/>
  <c r="O64" i="13"/>
  <c r="T63" i="13"/>
  <c r="V63" i="13" s="1"/>
  <c r="S63" i="13"/>
  <c r="U63" i="13" s="1"/>
  <c r="R63" i="13"/>
  <c r="O63" i="13"/>
  <c r="T62" i="13"/>
  <c r="V62" i="13" s="1"/>
  <c r="S62" i="13"/>
  <c r="U62" i="13" s="1"/>
  <c r="R62" i="13"/>
  <c r="O62" i="13"/>
  <c r="T61" i="13"/>
  <c r="V61" i="13" s="1"/>
  <c r="S61" i="13"/>
  <c r="U61" i="13" s="1"/>
  <c r="R61" i="13"/>
  <c r="O61" i="13"/>
  <c r="T60" i="13"/>
  <c r="V60" i="13" s="1"/>
  <c r="S60" i="13"/>
  <c r="U60" i="13" s="1"/>
  <c r="R60" i="13"/>
  <c r="O60" i="13"/>
  <c r="T59" i="13"/>
  <c r="V59" i="13" s="1"/>
  <c r="S59" i="13"/>
  <c r="U59" i="13" s="1"/>
  <c r="R59" i="13"/>
  <c r="O59" i="13"/>
  <c r="T58" i="13"/>
  <c r="V58" i="13" s="1"/>
  <c r="S58" i="13"/>
  <c r="U58" i="13" s="1"/>
  <c r="R58" i="13"/>
  <c r="O58" i="13"/>
  <c r="T57" i="13"/>
  <c r="V57" i="13" s="1"/>
  <c r="S57" i="13"/>
  <c r="U57" i="13" s="1"/>
  <c r="R57" i="13"/>
  <c r="O57" i="13"/>
  <c r="T56" i="13"/>
  <c r="V56" i="13" s="1"/>
  <c r="S56" i="13"/>
  <c r="U56" i="13" s="1"/>
  <c r="R56" i="13"/>
  <c r="O56" i="13"/>
  <c r="T55" i="13"/>
  <c r="V55" i="13" s="1"/>
  <c r="S55" i="13"/>
  <c r="U55" i="13" s="1"/>
  <c r="R55" i="13"/>
  <c r="O55" i="13"/>
  <c r="T54" i="13"/>
  <c r="V54" i="13" s="1"/>
  <c r="S54" i="13"/>
  <c r="U54" i="13" s="1"/>
  <c r="R54" i="13"/>
  <c r="O54" i="13"/>
  <c r="T53" i="13"/>
  <c r="V53" i="13" s="1"/>
  <c r="S53" i="13"/>
  <c r="U53" i="13" s="1"/>
  <c r="R53" i="13"/>
  <c r="O53" i="13"/>
  <c r="T52" i="13"/>
  <c r="V52" i="13" s="1"/>
  <c r="S52" i="13"/>
  <c r="U52" i="13" s="1"/>
  <c r="R52" i="13"/>
  <c r="O52" i="13"/>
  <c r="T51" i="13"/>
  <c r="V51" i="13" s="1"/>
  <c r="S51" i="13"/>
  <c r="U51" i="13" s="1"/>
  <c r="R51" i="13"/>
  <c r="O51" i="13"/>
  <c r="T50" i="13"/>
  <c r="V50" i="13" s="1"/>
  <c r="S50" i="13"/>
  <c r="U50" i="13" s="1"/>
  <c r="R50" i="13"/>
  <c r="O50" i="13"/>
  <c r="T49" i="13"/>
  <c r="V49" i="13" s="1"/>
  <c r="S49" i="13"/>
  <c r="U49" i="13" s="1"/>
  <c r="R49" i="13"/>
  <c r="O49" i="13"/>
  <c r="T48" i="13"/>
  <c r="V48" i="13" s="1"/>
  <c r="S48" i="13"/>
  <c r="U48" i="13" s="1"/>
  <c r="R48" i="13"/>
  <c r="O48" i="13"/>
  <c r="T47" i="13"/>
  <c r="V47" i="13" s="1"/>
  <c r="S47" i="13"/>
  <c r="U47" i="13" s="1"/>
  <c r="R47" i="13"/>
  <c r="O47" i="13"/>
  <c r="T46" i="13"/>
  <c r="V46" i="13" s="1"/>
  <c r="S46" i="13"/>
  <c r="U46" i="13" s="1"/>
  <c r="R46" i="13"/>
  <c r="O46" i="13"/>
  <c r="T45" i="13"/>
  <c r="V45" i="13" s="1"/>
  <c r="S45" i="13"/>
  <c r="U45" i="13" s="1"/>
  <c r="R45" i="13"/>
  <c r="O45" i="13"/>
  <c r="T44" i="13"/>
  <c r="V44" i="13" s="1"/>
  <c r="S44" i="13"/>
  <c r="U44" i="13" s="1"/>
  <c r="R44" i="13"/>
  <c r="O44" i="13"/>
  <c r="T43" i="13"/>
  <c r="V43" i="13" s="1"/>
  <c r="S43" i="13"/>
  <c r="U43" i="13" s="1"/>
  <c r="R43" i="13"/>
  <c r="O43" i="13"/>
  <c r="T42" i="13"/>
  <c r="V42" i="13" s="1"/>
  <c r="S42" i="13"/>
  <c r="U42" i="13" s="1"/>
  <c r="R42" i="13"/>
  <c r="O42" i="13"/>
  <c r="T41" i="13"/>
  <c r="V41" i="13" s="1"/>
  <c r="S41" i="13"/>
  <c r="U41" i="13" s="1"/>
  <c r="R41" i="13"/>
  <c r="O41" i="13"/>
  <c r="T40" i="13"/>
  <c r="V40" i="13" s="1"/>
  <c r="S40" i="13"/>
  <c r="U40" i="13" s="1"/>
  <c r="R40" i="13"/>
  <c r="O40" i="13"/>
  <c r="T39" i="13"/>
  <c r="V39" i="13" s="1"/>
  <c r="S39" i="13"/>
  <c r="U39" i="13" s="1"/>
  <c r="R39" i="13"/>
  <c r="O39" i="13"/>
  <c r="T38" i="13"/>
  <c r="V38" i="13" s="1"/>
  <c r="S38" i="13"/>
  <c r="U38" i="13" s="1"/>
  <c r="R38" i="13"/>
  <c r="O38" i="13"/>
  <c r="T37" i="13"/>
  <c r="V37" i="13" s="1"/>
  <c r="S37" i="13"/>
  <c r="U37" i="13" s="1"/>
  <c r="R37" i="13"/>
  <c r="O37" i="13"/>
  <c r="T36" i="13"/>
  <c r="V36" i="13" s="1"/>
  <c r="S36" i="13"/>
  <c r="U36" i="13" s="1"/>
  <c r="R36" i="13"/>
  <c r="O36" i="13"/>
  <c r="T35" i="13"/>
  <c r="V35" i="13" s="1"/>
  <c r="S35" i="13"/>
  <c r="U35" i="13" s="1"/>
  <c r="R35" i="13"/>
  <c r="O35" i="13"/>
  <c r="T34" i="13"/>
  <c r="S34" i="13"/>
  <c r="R34" i="13"/>
  <c r="O34" i="13"/>
  <c r="T33" i="13"/>
  <c r="V33" i="13" s="1"/>
  <c r="S33" i="13"/>
  <c r="U33" i="13" s="1"/>
  <c r="R33" i="13"/>
  <c r="O33" i="13"/>
  <c r="T32" i="13"/>
  <c r="V32" i="13" s="1"/>
  <c r="S32" i="13"/>
  <c r="U32" i="13" s="1"/>
  <c r="R32" i="13"/>
  <c r="O32" i="13"/>
  <c r="T31" i="13"/>
  <c r="V31" i="13" s="1"/>
  <c r="S31" i="13"/>
  <c r="U31" i="13" s="1"/>
  <c r="R31" i="13"/>
  <c r="O31" i="13"/>
  <c r="T30" i="13"/>
  <c r="V30" i="13" s="1"/>
  <c r="S30" i="13"/>
  <c r="U30" i="13" s="1"/>
  <c r="R30" i="13"/>
  <c r="O30" i="13"/>
  <c r="T29" i="13"/>
  <c r="V29" i="13" s="1"/>
  <c r="S29" i="13"/>
  <c r="U29" i="13" s="1"/>
  <c r="R29" i="13"/>
  <c r="O29" i="13"/>
  <c r="T28" i="13"/>
  <c r="V28" i="13" s="1"/>
  <c r="S28" i="13"/>
  <c r="U28" i="13" s="1"/>
  <c r="R28" i="13"/>
  <c r="O28" i="13"/>
  <c r="T27" i="13"/>
  <c r="V27" i="13" s="1"/>
  <c r="S27" i="13"/>
  <c r="U27" i="13" s="1"/>
  <c r="R27" i="13"/>
  <c r="O27" i="13"/>
  <c r="T26" i="13"/>
  <c r="V26" i="13" s="1"/>
  <c r="S26" i="13"/>
  <c r="U26" i="13" s="1"/>
  <c r="R26" i="13"/>
  <c r="O26" i="13"/>
  <c r="T25" i="13"/>
  <c r="V25" i="13" s="1"/>
  <c r="S25" i="13"/>
  <c r="U25" i="13" s="1"/>
  <c r="R25" i="13"/>
  <c r="O25" i="13"/>
  <c r="T24" i="13"/>
  <c r="V24" i="13" s="1"/>
  <c r="S24" i="13"/>
  <c r="U24" i="13" s="1"/>
  <c r="R24" i="13"/>
  <c r="O24" i="13"/>
  <c r="T23" i="13"/>
  <c r="V23" i="13" s="1"/>
  <c r="S23" i="13"/>
  <c r="U23" i="13" s="1"/>
  <c r="R23" i="13"/>
  <c r="O23" i="13"/>
  <c r="T22" i="13"/>
  <c r="V22" i="13" s="1"/>
  <c r="S22" i="13"/>
  <c r="U22" i="13" s="1"/>
  <c r="R22" i="13"/>
  <c r="O22" i="13"/>
  <c r="T21" i="13"/>
  <c r="V21" i="13" s="1"/>
  <c r="S21" i="13"/>
  <c r="U21" i="13" s="1"/>
  <c r="R21" i="13"/>
  <c r="O21" i="13"/>
  <c r="T20" i="13"/>
  <c r="V20" i="13" s="1"/>
  <c r="S20" i="13"/>
  <c r="U20" i="13" s="1"/>
  <c r="R20" i="13"/>
  <c r="O20" i="13"/>
  <c r="T19" i="13"/>
  <c r="V19" i="13" s="1"/>
  <c r="S19" i="13"/>
  <c r="U19" i="13" s="1"/>
  <c r="R19" i="13"/>
  <c r="O19" i="13"/>
  <c r="T18" i="13"/>
  <c r="V18" i="13" s="1"/>
  <c r="S18" i="13"/>
  <c r="U18" i="13" s="1"/>
  <c r="R18" i="13"/>
  <c r="O18" i="13"/>
  <c r="V17" i="13"/>
  <c r="T17" i="13"/>
  <c r="S17" i="13"/>
  <c r="U17" i="13" s="1"/>
  <c r="R17" i="13"/>
  <c r="O17" i="13"/>
  <c r="V16" i="13"/>
  <c r="T16" i="13"/>
  <c r="S16" i="13"/>
  <c r="U16" i="13" s="1"/>
  <c r="R16" i="13"/>
  <c r="O16" i="13"/>
  <c r="V15" i="13"/>
  <c r="T15" i="13"/>
  <c r="S15" i="13"/>
  <c r="U15" i="13" s="1"/>
  <c r="R15" i="13"/>
  <c r="O15" i="13"/>
  <c r="V14" i="13"/>
  <c r="T14" i="13"/>
  <c r="S14" i="13"/>
  <c r="U14" i="13" s="1"/>
  <c r="R14" i="13"/>
  <c r="O14" i="13"/>
  <c r="V13" i="13"/>
  <c r="T13" i="13"/>
  <c r="S13" i="13"/>
  <c r="U13" i="13" s="1"/>
  <c r="R13" i="13"/>
  <c r="O13" i="13"/>
  <c r="T12" i="13"/>
  <c r="V12" i="13" s="1"/>
  <c r="S12" i="13"/>
  <c r="U12" i="13" s="1"/>
  <c r="R12" i="13"/>
  <c r="O12" i="13"/>
  <c r="T11" i="13"/>
  <c r="V11" i="13" s="1"/>
  <c r="S11" i="13"/>
  <c r="U11" i="13" s="1"/>
  <c r="R11" i="13"/>
  <c r="O11" i="13"/>
  <c r="V10" i="13"/>
  <c r="T10" i="13"/>
  <c r="S10" i="13"/>
  <c r="U10" i="13" s="1"/>
  <c r="R10" i="13"/>
  <c r="O10" i="13"/>
  <c r="V9" i="13"/>
  <c r="T9" i="13"/>
  <c r="S9" i="13"/>
  <c r="U9" i="13" s="1"/>
  <c r="R9" i="13"/>
  <c r="O9" i="13"/>
  <c r="T8" i="13"/>
  <c r="V8" i="13" s="1"/>
  <c r="S8" i="13"/>
  <c r="U8" i="13" s="1"/>
  <c r="R8" i="13"/>
  <c r="O8" i="13"/>
  <c r="T7" i="13"/>
  <c r="V7" i="13" s="1"/>
  <c r="S7" i="13"/>
  <c r="U7" i="13" s="1"/>
  <c r="R7" i="13"/>
  <c r="O7" i="13"/>
  <c r="V6" i="13"/>
  <c r="T6" i="13"/>
  <c r="S6" i="13"/>
  <c r="U6" i="13" s="1"/>
  <c r="R6" i="13"/>
  <c r="O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K4" authorId="0" shapeId="0" xr:uid="{F3FDA5C5-BE57-224B-84AF-AB6F6E5927E7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5B9AB529-7325-E840-AB0B-D63273E4F2E6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W5" authorId="1" shapeId="0" xr:uid="{EC658ED5-35A9-CC40-9927-E9E3755DFBE1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<sst xmlns="http://schemas.openxmlformats.org/spreadsheetml/2006/main" count="1408" uniqueCount="418">
  <si>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</si>
  <si>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</si>
  <si>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</si>
  <si>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</si>
  <si>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</si>
  <si>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</si>
  <si>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</si>
  <si>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</si>
  <si>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</si>
  <si>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</si>
  <si>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</si>
  <si>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</si>
  <si>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</si>
  <si>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</si>
  <si>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</si>
  <si>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</si>
  <si>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</si>
  <si>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</si>
  <si>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</si>
  <si>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</si>
  <si>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</si>
  <si>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</si>
  <si>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</si>
  <si>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</si>
  <si>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</si>
  <si>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</si>
  <si>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</si>
  <si>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</si>
  <si>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</si>
  <si>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</si>
  <si>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</si>
  <si>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</si>
  <si>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</si>
  <si>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</si>
  <si>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</si>
  <si>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</si>
  <si>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</si>
  <si>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</si>
  <si>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</si>
  <si>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</si>
  <si>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</si>
  <si>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</si>
  <si>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</si>
  <si>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</si>
  <si>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</si>
  <si>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Distance</t>
  </si>
  <si>
    <t>OMM</t>
  </si>
  <si>
    <t>Parallelism</t>
  </si>
  <si>
    <t>Flatness</t>
  </si>
  <si>
    <t>Enhanced Cpk Data Sheet - Enclosures MD</t>
  </si>
  <si>
    <t xml:space="preserve">  </t>
    <phoneticPr fontId="43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</si>
  <si>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</si>
  <si>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</si>
  <si>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</si>
  <si>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</si>
  <si>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</si>
  <si>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</si>
  <si>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</si>
  <si>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</si>
  <si>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7" type="noConversion"/>
  </si>
  <si>
    <t>Description</t>
    <phoneticPr fontId="48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</si>
  <si>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</si>
  <si>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</si>
  <si>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</si>
  <si>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</si>
  <si>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</si>
  <si>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</si>
  <si>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</si>
  <si>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3" type="noConversion"/>
  </si>
  <si>
    <t>Cp</t>
  </si>
  <si>
    <t>Ca</t>
  </si>
  <si>
    <t>Ca Level</t>
  </si>
  <si>
    <t>UCPK</t>
    <phoneticPr fontId="49" type="noConversion"/>
  </si>
  <si>
    <t>LCPK</t>
    <phoneticPr fontId="49" type="noConversion"/>
  </si>
  <si>
    <t>Cpk</t>
  </si>
  <si>
    <t>Yield</t>
  </si>
  <si>
    <t>+Tol =&gt; Cpk*</t>
  </si>
  <si>
    <t>-Tol =&gt; Cpk*</t>
  </si>
  <si>
    <t>Mean Shift</t>
    <phoneticPr fontId="43" type="noConversion"/>
  </si>
  <si>
    <t>Tol Range
=&gt; Cp*</t>
  </si>
  <si>
    <t>Normality Test</t>
    <phoneticPr fontId="10" type="noConversion"/>
  </si>
  <si>
    <t>Normality Result</t>
  </si>
  <si>
    <t>Notes</t>
  </si>
  <si>
    <t>C</t>
  </si>
  <si>
    <t>No</t>
  </si>
  <si>
    <t>G</t>
  </si>
  <si>
    <t>X</t>
  </si>
  <si>
    <t>Y</t>
  </si>
  <si>
    <t>Z</t>
  </si>
  <si>
    <t>AC</t>
  </si>
  <si>
    <t>AN</t>
  </si>
  <si>
    <t>AE</t>
  </si>
  <si>
    <t>AD</t>
  </si>
  <si>
    <t>AG</t>
  </si>
  <si>
    <t>AH</t>
  </si>
  <si>
    <t>AI</t>
  </si>
  <si>
    <t>AL</t>
  </si>
  <si>
    <t>AM</t>
  </si>
  <si>
    <t>Cosmetic Waiver List</t>
  </si>
  <si>
    <t>Vendor Input</t>
  </si>
  <si>
    <t>No.</t>
  </si>
  <si>
    <t>Defect Name</t>
  </si>
  <si>
    <t>Description</t>
  </si>
  <si>
    <t>Picture</t>
  </si>
  <si>
    <t>Limit Sample</t>
    <phoneticPr fontId="0" type="noConversion"/>
  </si>
  <si>
    <t>Proposal</t>
    <phoneticPr fontId="0" type="noConversion"/>
  </si>
  <si>
    <r>
      <t xml:space="preserve"> Grading  Yield</t>
    </r>
    <r>
      <rPr>
        <sz val="14"/>
        <rFont val="細明體"/>
        <family val="3"/>
        <charset val="136"/>
      </rPr>
      <t/>
    </r>
  </si>
  <si>
    <t>Root Cause</t>
    <phoneticPr fontId="0" type="noConversion"/>
  </si>
  <si>
    <t>Corrective Action</t>
    <phoneticPr fontId="0" type="noConversion"/>
  </si>
  <si>
    <t>SQE disposition</t>
    <phoneticPr fontId="0" type="noConversion"/>
  </si>
  <si>
    <t>SBE disposition</t>
    <phoneticPr fontId="0" type="noConversion"/>
  </si>
  <si>
    <t>PD disposition</t>
    <phoneticPr fontId="0" type="noConversion"/>
  </si>
  <si>
    <t xml:space="preserve"> Spec</t>
    <phoneticPr fontId="0" type="noConversion"/>
  </si>
  <si>
    <t>Yield</t>
    <phoneticPr fontId="0" type="noConversion"/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</si>
  <si>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</si>
  <si>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</si>
  <si>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</si>
  <si>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</si>
  <si>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Dimensional Waiver List</t>
  </si>
  <si>
    <t>FAI</t>
  </si>
  <si>
    <t>SPC</t>
  </si>
  <si>
    <t>Inpsection Method</t>
  </si>
  <si>
    <t>Spec</t>
  </si>
  <si>
    <t>Waiver Proposal</t>
  </si>
  <si>
    <t>Tol+</t>
  </si>
  <si>
    <t>Tol-</t>
  </si>
  <si>
    <t>Yield %</t>
  </si>
  <si>
    <t>Functional Waiver List</t>
  </si>
  <si>
    <t>Reliability Waiver List</t>
  </si>
  <si>
    <t>REL/ORT Test</t>
  </si>
  <si>
    <t>Checkpoint</t>
  </si>
  <si>
    <t>Input Qty</t>
  </si>
  <si>
    <t>NG Qty</t>
  </si>
  <si>
    <t>Failure Mode</t>
  </si>
  <si>
    <t>Revision</t>
  </si>
  <si>
    <t>Date</t>
  </si>
  <si>
    <t>Author</t>
    <phoneticPr fontId="0" type="noConversion"/>
  </si>
  <si>
    <t>Comments</t>
  </si>
  <si>
    <t>Tim Burks</t>
  </si>
  <si>
    <t>Initial Release</t>
  </si>
  <si>
    <t>Memphis-Project</t>
    <phoneticPr fontId="10" type="noConversion"/>
  </si>
  <si>
    <t>3-1</t>
  </si>
  <si>
    <t>3-2</t>
  </si>
  <si>
    <t>8-1</t>
  </si>
  <si>
    <t>8-2</t>
  </si>
  <si>
    <t>27-1</t>
  </si>
  <si>
    <t>27-2</t>
  </si>
  <si>
    <t>32-1</t>
  </si>
  <si>
    <t>32-2</t>
  </si>
  <si>
    <t>37-1</t>
  </si>
  <si>
    <t>37-2</t>
  </si>
  <si>
    <t>65-1</t>
  </si>
  <si>
    <t>65-2</t>
  </si>
  <si>
    <t>72-1</t>
  </si>
  <si>
    <t>72-2</t>
  </si>
  <si>
    <t>73-1</t>
  </si>
  <si>
    <t>73-2</t>
  </si>
  <si>
    <t>6-1</t>
  </si>
  <si>
    <t>6-2</t>
  </si>
  <si>
    <t>8-3</t>
  </si>
  <si>
    <t>14_1</t>
  </si>
  <si>
    <t>14_2</t>
  </si>
  <si>
    <t>17-1</t>
  </si>
  <si>
    <t>17-2</t>
  </si>
  <si>
    <t>17-3</t>
  </si>
  <si>
    <t>20-1</t>
  </si>
  <si>
    <t>20-2</t>
  </si>
  <si>
    <t>20-3</t>
  </si>
  <si>
    <t>22-1</t>
  </si>
  <si>
    <t>22-2</t>
  </si>
  <si>
    <t>23-1</t>
  </si>
  <si>
    <t>23-2</t>
  </si>
  <si>
    <t>28-1</t>
  </si>
  <si>
    <t>28-2</t>
  </si>
  <si>
    <t>33-1</t>
  </si>
  <si>
    <t>33-2</t>
  </si>
  <si>
    <t>35-1</t>
  </si>
  <si>
    <t>35-2</t>
  </si>
  <si>
    <t>37-3</t>
  </si>
  <si>
    <t>38-1</t>
  </si>
  <si>
    <t>38-2</t>
  </si>
  <si>
    <t>39-1</t>
  </si>
  <si>
    <t>39-2</t>
  </si>
  <si>
    <t>40-1</t>
  </si>
  <si>
    <t>40-2</t>
  </si>
  <si>
    <t>40-3</t>
  </si>
  <si>
    <t>41-1</t>
  </si>
  <si>
    <t>41-2</t>
  </si>
  <si>
    <t>41-3</t>
  </si>
  <si>
    <t>41-4</t>
  </si>
  <si>
    <t>42-1</t>
  </si>
  <si>
    <t>42-2</t>
  </si>
  <si>
    <t>42-3</t>
  </si>
  <si>
    <t>44-1</t>
  </si>
  <si>
    <t>44-2</t>
  </si>
  <si>
    <t>44-3</t>
  </si>
  <si>
    <t>44-4</t>
  </si>
  <si>
    <t>45-1</t>
  </si>
  <si>
    <t>45-2</t>
  </si>
  <si>
    <t>45-3</t>
  </si>
  <si>
    <t>46-1</t>
  </si>
  <si>
    <t>46-2</t>
  </si>
  <si>
    <t>61-1</t>
  </si>
  <si>
    <t>61-2</t>
  </si>
  <si>
    <t>61-3</t>
  </si>
  <si>
    <t>64-1</t>
  </si>
  <si>
    <t>64-2</t>
  </si>
  <si>
    <t>64-3</t>
  </si>
  <si>
    <t>65-3</t>
  </si>
  <si>
    <t>66</t>
  </si>
  <si>
    <t>67</t>
  </si>
  <si>
    <t>68-1</t>
  </si>
  <si>
    <t>68-2</t>
  </si>
  <si>
    <t>68-3</t>
  </si>
  <si>
    <t>69-1</t>
  </si>
  <si>
    <t>69-2</t>
  </si>
  <si>
    <t>69-3</t>
  </si>
  <si>
    <t>70</t>
  </si>
  <si>
    <t>71-1</t>
  </si>
  <si>
    <t>71-2</t>
  </si>
  <si>
    <t>74-1</t>
  </si>
  <si>
    <t>74-2</t>
  </si>
  <si>
    <t>75-1</t>
  </si>
  <si>
    <t>75-2</t>
  </si>
  <si>
    <t>77</t>
  </si>
  <si>
    <t>82-1</t>
  </si>
  <si>
    <t>82-2</t>
  </si>
  <si>
    <t>82-3</t>
  </si>
  <si>
    <t>82-4</t>
  </si>
  <si>
    <t>82-5</t>
  </si>
  <si>
    <t>82-6</t>
  </si>
  <si>
    <t>86</t>
  </si>
  <si>
    <t>87-1</t>
  </si>
  <si>
    <t>87-2</t>
  </si>
  <si>
    <t>87-3</t>
  </si>
  <si>
    <t>88-1</t>
  </si>
  <si>
    <t>88-2</t>
  </si>
  <si>
    <t>94-1</t>
  </si>
  <si>
    <t>94-2</t>
  </si>
  <si>
    <t>94-3</t>
  </si>
  <si>
    <t>94-4</t>
  </si>
  <si>
    <t>94-5</t>
  </si>
  <si>
    <t>94-6</t>
  </si>
  <si>
    <t>101-1</t>
  </si>
  <si>
    <t>101-2</t>
  </si>
  <si>
    <t>101-3</t>
  </si>
  <si>
    <t>107-1</t>
  </si>
  <si>
    <t>107-2</t>
  </si>
  <si>
    <t>107-3</t>
  </si>
  <si>
    <t>108-1</t>
  </si>
  <si>
    <t>108-2</t>
  </si>
  <si>
    <t>109-1</t>
  </si>
  <si>
    <t>109-2</t>
  </si>
  <si>
    <t>110-1</t>
  </si>
  <si>
    <t>110-2</t>
  </si>
  <si>
    <t>112-1</t>
  </si>
  <si>
    <t>112-2</t>
  </si>
  <si>
    <t>118</t>
  </si>
  <si>
    <t>127-1</t>
  </si>
  <si>
    <t>127-2</t>
  </si>
  <si>
    <t>128-1</t>
  </si>
  <si>
    <t>128-2</t>
  </si>
  <si>
    <t>129-1</t>
  </si>
  <si>
    <t>129-2</t>
  </si>
  <si>
    <t>130-1</t>
  </si>
  <si>
    <t>130-2</t>
  </si>
  <si>
    <t>145-1</t>
  </si>
  <si>
    <t>145-2</t>
  </si>
  <si>
    <t>145-3</t>
  </si>
  <si>
    <t>Straightness</t>
  </si>
  <si>
    <t>Diameter</t>
  </si>
  <si>
    <t>True position</t>
  </si>
  <si>
    <t>Line profile</t>
  </si>
  <si>
    <t>CMM</t>
  </si>
  <si>
    <t>A</t>
  </si>
  <si>
    <t>U</t>
  </si>
  <si>
    <t>T</t>
  </si>
  <si>
    <t>W</t>
  </si>
  <si>
    <t>AK</t>
  </si>
  <si>
    <t>AJ</t>
  </si>
  <si>
    <t>AS</t>
  </si>
  <si>
    <t>AT</t>
  </si>
  <si>
    <t>AU</t>
  </si>
  <si>
    <t>V</t>
  </si>
  <si>
    <t>AP</t>
  </si>
  <si>
    <t>AQ</t>
  </si>
  <si>
    <t>AV</t>
  </si>
  <si>
    <t>AW</t>
  </si>
  <si>
    <t>AZ</t>
  </si>
  <si>
    <t>BA</t>
  </si>
  <si>
    <t>BB</t>
  </si>
  <si>
    <t>BC</t>
  </si>
  <si>
    <t>BE</t>
  </si>
  <si>
    <t>BF</t>
  </si>
  <si>
    <t>BG</t>
  </si>
  <si>
    <t>BH</t>
  </si>
  <si>
    <t>BI</t>
  </si>
  <si>
    <t>BK</t>
  </si>
  <si>
    <t>BL</t>
  </si>
  <si>
    <t>BS</t>
  </si>
  <si>
    <t>BT</t>
  </si>
  <si>
    <t>22-3</t>
  </si>
  <si>
    <t>22-4</t>
  </si>
  <si>
    <t>22-5</t>
  </si>
  <si>
    <t>78-2</t>
    <phoneticPr fontId="10" type="noConversion"/>
  </si>
  <si>
    <t>78-1</t>
    <phoneticPr fontId="10" type="noConversion"/>
  </si>
  <si>
    <t>89-1</t>
    <phoneticPr fontId="10" type="noConversion"/>
  </si>
  <si>
    <t>89-2</t>
    <phoneticPr fontId="10" type="noConversion"/>
  </si>
  <si>
    <t>94-7</t>
  </si>
  <si>
    <t>94-8</t>
  </si>
  <si>
    <t>94-9</t>
  </si>
  <si>
    <t>94-10</t>
  </si>
  <si>
    <t>94-11</t>
  </si>
  <si>
    <t>94-12</t>
  </si>
  <si>
    <t>94-13</t>
  </si>
  <si>
    <t>94-14</t>
  </si>
  <si>
    <t>94-15</t>
  </si>
  <si>
    <t>94-16</t>
  </si>
  <si>
    <t>94-17</t>
  </si>
  <si>
    <t>94-18</t>
  </si>
  <si>
    <t>94-19</t>
  </si>
  <si>
    <t>94-20</t>
  </si>
  <si>
    <t>94-21</t>
  </si>
  <si>
    <t>101-4</t>
    <phoneticPr fontId="10" type="noConversion"/>
  </si>
  <si>
    <t>105-1</t>
    <phoneticPr fontId="10" type="noConversion"/>
  </si>
  <si>
    <t>105-2</t>
  </si>
  <si>
    <t>105-3</t>
  </si>
  <si>
    <t>106-1</t>
    <phoneticPr fontId="10" type="noConversion"/>
  </si>
  <si>
    <t>106-2</t>
  </si>
  <si>
    <t>106-3</t>
  </si>
  <si>
    <t>138-1</t>
    <phoneticPr fontId="10" type="noConversion"/>
  </si>
  <si>
    <t>138-2</t>
  </si>
  <si>
    <t>138-3</t>
  </si>
  <si>
    <t>146-1</t>
    <phoneticPr fontId="10" type="noConversion"/>
  </si>
  <si>
    <t>146-2</t>
  </si>
  <si>
    <t>146-3</t>
  </si>
  <si>
    <t>Profile of a Surface</t>
  </si>
  <si>
    <t>149-1</t>
    <phoneticPr fontId="10" type="noConversion"/>
  </si>
  <si>
    <t>149-2</t>
  </si>
  <si>
    <t>Verticality</t>
  </si>
  <si>
    <t>136-1(l1)</t>
    <phoneticPr fontId="10" type="noConversion"/>
  </si>
  <si>
    <t>136-2(l1)</t>
    <phoneticPr fontId="10" type="noConversion"/>
  </si>
  <si>
    <t>136-3(l1)</t>
    <phoneticPr fontId="10" type="noConversion"/>
  </si>
  <si>
    <t>Waiver Spec</t>
    <phoneticPr fontId="0" type="noConversion"/>
  </si>
  <si>
    <t>F</t>
  </si>
  <si>
    <t>AF</t>
  </si>
  <si>
    <t>BD</t>
  </si>
  <si>
    <t>E-1</t>
  </si>
  <si>
    <t>E-2</t>
  </si>
  <si>
    <t>E-3</t>
  </si>
  <si>
    <t>44-5</t>
  </si>
  <si>
    <t>146-1</t>
  </si>
  <si>
    <t>BU</t>
  </si>
  <si>
    <t>BV</t>
  </si>
  <si>
    <t>BW</t>
  </si>
  <si>
    <t>BX</t>
  </si>
  <si>
    <t>BY</t>
  </si>
  <si>
    <t>CA</t>
  </si>
  <si>
    <t>CB</t>
  </si>
  <si>
    <t>BZ</t>
  </si>
  <si>
    <t>21-1 (P73)</t>
  </si>
  <si>
    <t>21-2 (P52)</t>
    <phoneticPr fontId="10" type="noConversion"/>
  </si>
  <si>
    <t>21-3 (P36)</t>
    <phoneticPr fontId="10" type="noConversion"/>
  </si>
  <si>
    <t>21-4 (P21)</t>
    <phoneticPr fontId="10" type="noConversion"/>
  </si>
  <si>
    <t>21-5 (P2)</t>
    <phoneticPr fontId="10" type="noConversion"/>
  </si>
  <si>
    <t>21-6 (P1)</t>
    <phoneticPr fontId="10" type="noConversion"/>
  </si>
  <si>
    <t>44-6</t>
  </si>
  <si>
    <t>25-A</t>
    <phoneticPr fontId="10" type="noConversion"/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</si>
  <si>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</si>
  <si>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</si>
  <si>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</si>
  <si>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</si>
  <si>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</si>
  <si>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</si>
  <si>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</si>
  <si>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</si>
  <si>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</si>
  <si>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817-11868</t>
    <phoneticPr fontId="10" type="noConversion"/>
  </si>
  <si>
    <t>817-11868</t>
  </si>
  <si>
    <t>PCS</t>
    <phoneticPr fontId="64" type="noConversion"/>
  </si>
  <si>
    <t>MP</t>
    <phoneticPr fontId="10" type="noConversion"/>
  </si>
  <si>
    <t>AB</t>
    <phoneticPr fontId="10" type="noConversion"/>
  </si>
  <si>
    <t>21-P73</t>
  </si>
  <si>
    <t>21-P52</t>
  </si>
  <si>
    <t>21-P36</t>
  </si>
  <si>
    <t>21-P21</t>
  </si>
  <si>
    <t>21-P2</t>
  </si>
  <si>
    <t>21-P1</t>
  </si>
  <si>
    <t>22-S1</t>
  </si>
  <si>
    <t>22-S2</t>
  </si>
  <si>
    <t>22-S3</t>
  </si>
  <si>
    <t>22-S4</t>
  </si>
  <si>
    <t>22-S5</t>
  </si>
  <si>
    <t>23-S6</t>
  </si>
  <si>
    <t>23-S7</t>
  </si>
  <si>
    <t>CC</t>
  </si>
  <si>
    <t>CD</t>
  </si>
  <si>
    <t>3HUR00018A/320/DP252372060A1BBM</t>
  </si>
  <si>
    <t>20250603-50-B</t>
  </si>
  <si>
    <t>관리 치수</t>
    <phoneticPr fontId="10" type="noConversion"/>
  </si>
  <si>
    <t>LSL</t>
    <phoneticPr fontId="10" type="noConversion"/>
  </si>
  <si>
    <t>USL</t>
    <phoneticPr fontId="10" type="noConversion"/>
  </si>
  <si>
    <t>LG 요청 치수</t>
    <phoneticPr fontId="10" type="noConversion"/>
  </si>
  <si>
    <t>111</t>
  </si>
  <si>
    <t>112-V1</t>
  </si>
  <si>
    <t>113-V1</t>
  </si>
  <si>
    <t>114-V1</t>
  </si>
  <si>
    <t>115-V1</t>
  </si>
  <si>
    <t>116-V1</t>
  </si>
  <si>
    <t>117-V1</t>
  </si>
  <si>
    <t>112-V2</t>
  </si>
  <si>
    <t>113-V2</t>
  </si>
  <si>
    <t xml:space="preserve"> 114-V2</t>
  </si>
  <si>
    <t>115-V2</t>
  </si>
  <si>
    <t>116-V2</t>
  </si>
  <si>
    <t>117-V2</t>
  </si>
  <si>
    <t>Judgment :</t>
    <phoneticPr fontId="10" type="noConversion"/>
  </si>
  <si>
    <t>MCO Rev.7 / MSoP Rev.1 /
PGM Rev.1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</si>
</sst>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yyyy\-mm\-dd;@"/>
    <numFmt numFmtId="184" formatCode="m/d/yyyy;@"/>
    <numFmt numFmtId="185" formatCode="0_);[Red]\(0\)"/>
  </numFmts>
  <fonts count="70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sz val="10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20"/>
      <name val="Helvetica Neue"/>
      <family val="2"/>
    </font>
    <font>
      <sz val="14"/>
      <name val="Helvetica Neue"/>
      <family val="2"/>
    </font>
    <font>
      <sz val="14"/>
      <name val="細明體"/>
      <family val="3"/>
      <charset val="136"/>
    </font>
    <font>
      <b/>
      <sz val="12"/>
      <color rgb="FF212121"/>
      <name val="Helvetica Neue"/>
      <family val="2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sz val="10"/>
      <color theme="1"/>
      <name val="Arial"/>
      <family val="2"/>
    </font>
    <font>
      <sz val="12"/>
      <name val="Helvetica Neue"/>
      <family val="1"/>
    </font>
    <font>
      <sz val="12"/>
      <color indexed="8"/>
      <name val="맑은 고딕"/>
      <family val="3"/>
      <charset val="129"/>
      <scheme val="major"/>
    </font>
    <font>
      <sz val="8"/>
      <name val="굴림"/>
      <family val="3"/>
      <charset val="129"/>
    </font>
    <font>
      <sz val="9"/>
      <name val="맑은 고딕"/>
      <family val="2"/>
      <charset val="129"/>
    </font>
    <font>
      <sz val="10"/>
      <color theme="0"/>
      <name val="Arial"/>
      <family val="2"/>
    </font>
    <font>
      <sz val="12"/>
      <color theme="0"/>
      <name val="맑은 고딕"/>
      <family val="2"/>
      <scheme val="minor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94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1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7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178" fontId="11" fillId="0" borderId="0"/>
    <xf numFmtId="0" fontId="51" fillId="0" borderId="0"/>
    <xf numFmtId="178" fontId="9" fillId="0" borderId="0"/>
  </cellStyleXfs>
  <cellXfs count="207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2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39" fillId="0" borderId="1" xfId="0" applyFont="1" applyBorder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8" xfId="0" applyFont="1" applyBorder="1" applyAlignment="1">
      <alignment vertical="center"/>
    </xf>
    <xf numFmtId="0" fontId="12" fillId="0" borderId="19" xfId="0" applyFont="1" applyBorder="1" applyAlignment="1" applyProtection="1">
      <alignment horizontal="center" vertical="center"/>
      <protection locked="0"/>
    </xf>
    <xf numFmtId="58" fontId="39" fillId="0" borderId="18" xfId="48" applyNumberFormat="1" applyFont="1" applyBorder="1" applyAlignment="1" applyProtection="1">
      <alignment vertical="center" wrapText="1"/>
      <protection locked="0"/>
    </xf>
    <xf numFmtId="2" fontId="39" fillId="0" borderId="18" xfId="48" applyNumberFormat="1" applyFont="1" applyBorder="1" applyAlignment="1" applyProtection="1">
      <alignment vertical="center" wrapText="1"/>
      <protection locked="0"/>
    </xf>
    <xf numFmtId="0" fontId="44" fillId="0" borderId="1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vertical="center" wrapText="1"/>
    </xf>
    <xf numFmtId="0" fontId="39" fillId="0" borderId="18" xfId="48" applyFont="1" applyBorder="1" applyAlignment="1">
      <alignment vertical="center" wrapText="1"/>
    </xf>
    <xf numFmtId="0" fontId="39" fillId="0" borderId="18" xfId="48" applyFont="1" applyBorder="1" applyAlignment="1">
      <alignment vertical="center"/>
    </xf>
    <xf numFmtId="2" fontId="39" fillId="0" borderId="18" xfId="48" applyNumberFormat="1" applyFont="1" applyBorder="1" applyAlignment="1">
      <alignment vertical="center"/>
    </xf>
    <xf numFmtId="181" fontId="39" fillId="0" borderId="18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0" fontId="45" fillId="0" borderId="18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6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6" fillId="0" borderId="4" xfId="0" applyFont="1" applyBorder="1" applyAlignment="1">
      <alignment vertical="center"/>
    </xf>
    <xf numFmtId="0" fontId="50" fillId="0" borderId="0" xfId="0" applyFont="1" applyAlignment="1">
      <alignment vertical="center"/>
    </xf>
    <xf numFmtId="0" fontId="12" fillId="0" borderId="18" xfId="691" applyNumberFormat="1" applyFont="1" applyBorder="1" applyAlignment="1" applyProtection="1">
      <alignment horizontal="center" vertical="center"/>
      <protection locked="0"/>
    </xf>
    <xf numFmtId="49" fontId="12" fillId="0" borderId="19" xfId="692" applyNumberFormat="1" applyFont="1" applyBorder="1" applyAlignment="1" applyProtection="1">
      <alignment horizontal="center" vertical="center" wrapText="1"/>
      <protection locked="0"/>
    </xf>
    <xf numFmtId="181" fontId="12" fillId="0" borderId="19" xfId="0" applyNumberFormat="1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>
      <alignment vertical="center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0" fontId="39" fillId="0" borderId="0" xfId="692" applyFont="1" applyAlignment="1" applyProtection="1">
      <alignment horizontal="center" vertical="center"/>
      <protection locked="0"/>
    </xf>
    <xf numFmtId="0" fontId="39" fillId="0" borderId="3" xfId="692" applyFont="1" applyBorder="1" applyAlignment="1" applyProtection="1">
      <alignment horizontal="center" vertical="center"/>
      <protection locked="0"/>
    </xf>
    <xf numFmtId="0" fontId="4" fillId="0" borderId="0" xfId="1" applyFont="1" applyAlignment="1">
      <alignment vertical="center"/>
    </xf>
    <xf numFmtId="0" fontId="55" fillId="0" borderId="0" xfId="1" applyFont="1" applyAlignment="1">
      <alignment vertical="center"/>
    </xf>
    <xf numFmtId="0" fontId="56" fillId="0" borderId="0" xfId="1" applyFont="1" applyAlignment="1">
      <alignment horizontal="center" vertical="center"/>
    </xf>
    <xf numFmtId="0" fontId="56" fillId="0" borderId="0" xfId="1" applyFont="1" applyAlignment="1">
      <alignment vertical="center"/>
    </xf>
    <xf numFmtId="0" fontId="56" fillId="0" borderId="0" xfId="1" applyFont="1"/>
    <xf numFmtId="0" fontId="5" fillId="0" borderId="0" xfId="1" applyFont="1" applyAlignment="1">
      <alignment vertical="center"/>
    </xf>
    <xf numFmtId="0" fontId="6" fillId="5" borderId="1" xfId="1" applyFont="1" applyFill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5" fillId="4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77" fontId="5" fillId="0" borderId="1" xfId="2" applyNumberFormat="1" applyFont="1" applyFill="1" applyBorder="1" applyAlignment="1">
      <alignment horizontal="left" vertical="center" wrapText="1"/>
    </xf>
    <xf numFmtId="9" fontId="5" fillId="0" borderId="1" xfId="2" applyFont="1" applyFill="1" applyBorder="1" applyAlignment="1">
      <alignment horizontal="center" vertical="center" wrapText="1"/>
    </xf>
    <xf numFmtId="9" fontId="5" fillId="4" borderId="1" xfId="2" applyFont="1" applyFill="1" applyBorder="1" applyAlignment="1">
      <alignment horizontal="center" vertical="center" wrapText="1"/>
    </xf>
    <xf numFmtId="10" fontId="5" fillId="4" borderId="1" xfId="2" applyNumberFormat="1" applyFont="1" applyFill="1" applyBorder="1" applyAlignment="1">
      <alignment horizontal="left" vertical="center" wrapText="1"/>
    </xf>
    <xf numFmtId="9" fontId="5" fillId="4" borderId="1" xfId="2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4" borderId="1" xfId="2" applyNumberFormat="1" applyFont="1" applyFill="1" applyBorder="1" applyAlignment="1">
      <alignment horizontal="left" vertical="center" wrapText="1"/>
    </xf>
    <xf numFmtId="0" fontId="6" fillId="5" borderId="18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58" fillId="5" borderId="1" xfId="3" applyFont="1" applyFill="1" applyBorder="1" applyAlignment="1">
      <alignment horizontal="center" vertical="center"/>
    </xf>
    <xf numFmtId="0" fontId="59" fillId="4" borderId="1" xfId="3" applyFont="1" applyFill="1" applyBorder="1" applyAlignment="1">
      <alignment horizontal="center" vertical="center"/>
    </xf>
    <xf numFmtId="183" fontId="60" fillId="4" borderId="1" xfId="3" applyNumberFormat="1" applyFont="1" applyFill="1" applyBorder="1" applyAlignment="1">
      <alignment horizontal="center" vertical="center"/>
    </xf>
    <xf numFmtId="184" fontId="60" fillId="4" borderId="1" xfId="3" applyNumberFormat="1" applyFont="1" applyFill="1" applyBorder="1" applyAlignment="1">
      <alignment horizontal="center" vertical="center"/>
    </xf>
    <xf numFmtId="0" fontId="60" fillId="4" borderId="1" xfId="3" applyFont="1" applyFill="1" applyBorder="1" applyAlignment="1">
      <alignment vertical="center" wrapText="1"/>
    </xf>
    <xf numFmtId="0" fontId="39" fillId="0" borderId="28" xfId="48" applyFont="1" applyBorder="1" applyAlignment="1" applyProtection="1">
      <alignment horizontal="center" vertical="center"/>
      <protection locked="0"/>
    </xf>
    <xf numFmtId="0" fontId="12" fillId="0" borderId="28" xfId="0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/>
      <protection locked="0"/>
    </xf>
    <xf numFmtId="181" fontId="12" fillId="0" borderId="28" xfId="0" applyNumberFormat="1" applyFont="1" applyBorder="1" applyAlignment="1" applyProtection="1">
      <alignment horizontal="center" vertical="center"/>
      <protection locked="0"/>
    </xf>
    <xf numFmtId="0" fontId="61" fillId="0" borderId="21" xfId="0" applyFont="1" applyBorder="1" applyAlignment="1" applyProtection="1">
      <alignment horizontal="center"/>
      <protection locked="0"/>
    </xf>
    <xf numFmtId="0" fontId="6" fillId="5" borderId="28" xfId="1" applyFont="1" applyFill="1" applyBorder="1" applyAlignment="1">
      <alignment horizontal="center" vertical="center"/>
    </xf>
    <xf numFmtId="49" fontId="12" fillId="0" borderId="28" xfId="692" applyNumberFormat="1" applyFont="1" applyBorder="1" applyAlignment="1" applyProtection="1">
      <alignment horizontal="center" vertical="center" wrapText="1"/>
      <protection locked="0"/>
    </xf>
    <xf numFmtId="181" fontId="12" fillId="0" borderId="28" xfId="48" applyNumberFormat="1" applyFont="1" applyBorder="1" applyAlignment="1">
      <alignment horizontal="center" vertical="center"/>
    </xf>
    <xf numFmtId="10" fontId="12" fillId="0" borderId="28" xfId="48" applyNumberFormat="1" applyFont="1" applyBorder="1" applyAlignment="1">
      <alignment horizontal="center" vertical="center"/>
    </xf>
    <xf numFmtId="181" fontId="12" fillId="0" borderId="28" xfId="692" applyNumberFormat="1" applyFont="1" applyBorder="1" applyAlignment="1" applyProtection="1">
      <alignment horizontal="center" vertical="center"/>
      <protection locked="0"/>
    </xf>
    <xf numFmtId="0" fontId="39" fillId="0" borderId="28" xfId="692" applyFont="1" applyBorder="1" applyAlignment="1" applyProtection="1">
      <alignment horizontal="center" vertical="center"/>
      <protection locked="0"/>
    </xf>
    <xf numFmtId="0" fontId="5" fillId="4" borderId="28" xfId="1" applyFont="1" applyFill="1" applyBorder="1" applyAlignment="1">
      <alignment horizontal="center" vertical="center"/>
    </xf>
    <xf numFmtId="0" fontId="5" fillId="0" borderId="28" xfId="1" applyFont="1" applyBorder="1" applyAlignment="1">
      <alignment horizontal="center" vertical="center" wrapText="1"/>
    </xf>
    <xf numFmtId="177" fontId="5" fillId="0" borderId="28" xfId="2" applyNumberFormat="1" applyFont="1" applyFill="1" applyBorder="1" applyAlignment="1">
      <alignment horizontal="left" vertical="center" wrapText="1"/>
    </xf>
    <xf numFmtId="9" fontId="5" fillId="0" borderId="28" xfId="2" applyFont="1" applyFill="1" applyBorder="1" applyAlignment="1">
      <alignment horizontal="center" vertical="center" wrapText="1"/>
    </xf>
    <xf numFmtId="9" fontId="5" fillId="4" borderId="28" xfId="2" applyFont="1" applyFill="1" applyBorder="1" applyAlignment="1">
      <alignment horizontal="center" vertical="center" wrapText="1"/>
    </xf>
    <xf numFmtId="10" fontId="5" fillId="4" borderId="28" xfId="2" applyNumberFormat="1" applyFont="1" applyFill="1" applyBorder="1" applyAlignment="1">
      <alignment horizontal="left" vertical="center" wrapText="1"/>
    </xf>
    <xf numFmtId="0" fontId="5" fillId="4" borderId="28" xfId="2" quotePrefix="1" applyNumberFormat="1" applyFont="1" applyFill="1" applyBorder="1" applyAlignment="1">
      <alignment horizontal="left" vertical="center" wrapText="1"/>
    </xf>
    <xf numFmtId="9" fontId="5" fillId="4" borderId="28" xfId="2" applyFont="1" applyFill="1" applyBorder="1" applyAlignment="1">
      <alignment horizontal="left" vertical="center" wrapText="1"/>
    </xf>
    <xf numFmtId="0" fontId="5" fillId="0" borderId="28" xfId="1" applyFont="1" applyBorder="1" applyAlignment="1">
      <alignment horizontal="left" vertical="center" wrapText="1"/>
    </xf>
    <xf numFmtId="0" fontId="5" fillId="4" borderId="28" xfId="2" applyNumberFormat="1" applyFont="1" applyFill="1" applyBorder="1" applyAlignment="1">
      <alignment horizontal="left" vertical="center" wrapText="1"/>
    </xf>
    <xf numFmtId="0" fontId="5" fillId="0" borderId="28" xfId="2" applyNumberFormat="1" applyFont="1" applyFill="1" applyBorder="1" applyAlignment="1">
      <alignment horizontal="center" vertical="center" wrapText="1"/>
    </xf>
    <xf numFmtId="10" fontId="5" fillId="4" borderId="28" xfId="2" quotePrefix="1" applyNumberFormat="1" applyFont="1" applyFill="1" applyBorder="1" applyAlignment="1">
      <alignment horizontal="left" vertical="center" wrapText="1"/>
    </xf>
    <xf numFmtId="10" fontId="62" fillId="4" borderId="28" xfId="2" quotePrefix="1" applyNumberFormat="1" applyFont="1" applyFill="1" applyBorder="1" applyAlignment="1">
      <alignment horizontal="left" vertical="center" wrapText="1"/>
    </xf>
    <xf numFmtId="2" fontId="12" fillId="0" borderId="27" xfId="0" applyNumberFormat="1" applyFont="1" applyBorder="1" applyAlignment="1">
      <alignment horizontal="center" vertical="center" wrapText="1"/>
    </xf>
    <xf numFmtId="0" fontId="12" fillId="0" borderId="28" xfId="4" applyNumberFormat="1" applyFont="1" applyBorder="1" applyAlignment="1">
      <alignment horizontal="center" vertical="center"/>
    </xf>
    <xf numFmtId="181" fontId="12" fillId="0" borderId="28" xfId="364" applyNumberFormat="1" applyFont="1" applyBorder="1" applyAlignment="1" applyProtection="1">
      <alignment horizontal="center" vertical="center"/>
      <protection locked="0"/>
    </xf>
    <xf numFmtId="181" fontId="12" fillId="0" borderId="28" xfId="692" applyNumberFormat="1" applyFont="1" applyBorder="1" applyAlignment="1" applyProtection="1">
      <alignment horizontal="center" vertical="center" wrapText="1"/>
      <protection locked="0"/>
    </xf>
    <xf numFmtId="182" fontId="12" fillId="0" borderId="28" xfId="692" applyNumberFormat="1" applyFont="1" applyBorder="1" applyAlignment="1">
      <alignment horizontal="center" vertical="center"/>
    </xf>
    <xf numFmtId="182" fontId="12" fillId="0" borderId="28" xfId="48" applyNumberFormat="1" applyFont="1" applyBorder="1" applyAlignment="1">
      <alignment horizontal="center" vertical="center"/>
    </xf>
    <xf numFmtId="0" fontId="12" fillId="0" borderId="28" xfId="691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 wrapText="1"/>
      <protection locked="0"/>
    </xf>
    <xf numFmtId="17" fontId="12" fillId="0" borderId="28" xfId="0" quotePrefix="1" applyNumberFormat="1" applyFont="1" applyBorder="1" applyAlignment="1" applyProtection="1">
      <alignment horizontal="center" vertical="center"/>
      <protection locked="0"/>
    </xf>
    <xf numFmtId="0" fontId="12" fillId="0" borderId="28" xfId="0" quotePrefix="1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63" fillId="0" borderId="0" xfId="62" applyFont="1" applyAlignment="1">
      <alignment horizontal="center" vertical="center"/>
    </xf>
    <xf numFmtId="185" fontId="63" fillId="0" borderId="0" xfId="62" applyNumberFormat="1" applyFont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4" fontId="63" fillId="4" borderId="29" xfId="388" applyNumberFormat="1" applyFont="1" applyFill="1" applyBorder="1" applyAlignment="1">
      <alignment horizontal="center" vertical="center"/>
    </xf>
    <xf numFmtId="49" fontId="63" fillId="4" borderId="29" xfId="388" applyNumberFormat="1" applyFont="1" applyFill="1" applyBorder="1" applyAlignment="1">
      <alignment horizontal="center" vertical="center"/>
    </xf>
    <xf numFmtId="0" fontId="63" fillId="0" borderId="29" xfId="388" applyFont="1" applyBorder="1" applyAlignment="1">
      <alignment horizontal="center" vertical="center"/>
    </xf>
    <xf numFmtId="185" fontId="63" fillId="4" borderId="29" xfId="388" applyNumberFormat="1" applyFont="1" applyFill="1" applyBorder="1" applyAlignment="1">
      <alignment horizontal="center" vertical="center"/>
    </xf>
    <xf numFmtId="0" fontId="63" fillId="4" borderId="29" xfId="388" applyFont="1" applyFill="1" applyBorder="1" applyAlignment="1">
      <alignment horizontal="center" vertical="center"/>
    </xf>
    <xf numFmtId="185" fontId="63" fillId="0" borderId="29" xfId="388" applyNumberFormat="1" applyFont="1" applyBorder="1" applyAlignment="1">
      <alignment horizontal="center" vertical="center"/>
    </xf>
    <xf numFmtId="0" fontId="12" fillId="0" borderId="29" xfId="0" applyFont="1" applyBorder="1" applyAlignment="1" applyProtection="1">
      <alignment horizontal="center" vertical="center"/>
      <protection locked="0"/>
    </xf>
    <xf numFmtId="181" fontId="12" fillId="0" borderId="29" xfId="364" applyNumberFormat="1" applyFont="1" applyBorder="1" applyAlignment="1" applyProtection="1">
      <alignment horizontal="center" vertical="center"/>
      <protection locked="0"/>
    </xf>
    <xf numFmtId="181" fontId="12" fillId="0" borderId="29" xfId="692" applyNumberFormat="1" applyFont="1" applyBorder="1" applyAlignment="1" applyProtection="1">
      <alignment horizontal="center" vertical="center" wrapText="1"/>
      <protection locked="0"/>
    </xf>
    <xf numFmtId="49" fontId="12" fillId="0" borderId="29" xfId="692" applyNumberFormat="1" applyFont="1" applyBorder="1" applyAlignment="1" applyProtection="1">
      <alignment horizontal="center" vertical="center" wrapText="1"/>
      <protection locked="0"/>
    </xf>
    <xf numFmtId="182" fontId="12" fillId="0" borderId="28" xfId="691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49" fontId="63" fillId="4" borderId="29" xfId="388" applyNumberFormat="1" applyFont="1" applyFill="1" applyBorder="1">
      <alignment vertical="center"/>
    </xf>
    <xf numFmtId="185" fontId="63" fillId="4" borderId="29" xfId="388" applyNumberFormat="1" applyFont="1" applyFill="1" applyBorder="1">
      <alignment vertical="center"/>
    </xf>
    <xf numFmtId="0" fontId="39" fillId="0" borderId="29" xfId="0" quotePrefix="1" applyFont="1" applyBorder="1" applyAlignment="1">
      <alignment horizontal="center" vertical="center" wrapText="1"/>
    </xf>
    <xf numFmtId="181" fontId="12" fillId="0" borderId="29" xfId="0" applyNumberFormat="1" applyFont="1" applyBorder="1" applyAlignment="1" applyProtection="1">
      <alignment horizontal="center" vertical="center"/>
      <protection locked="0"/>
    </xf>
    <xf numFmtId="181" fontId="12" fillId="0" borderId="4" xfId="0" applyNumberFormat="1" applyFont="1" applyBorder="1" applyAlignment="1" applyProtection="1">
      <alignment horizontal="center" vertical="center"/>
      <protection locked="0"/>
    </xf>
    <xf numFmtId="181" fontId="12" fillId="0" borderId="29" xfId="48" applyNumberFormat="1" applyFont="1" applyBorder="1" applyAlignment="1">
      <alignment horizontal="center" vertical="center"/>
    </xf>
    <xf numFmtId="10" fontId="12" fillId="0" borderId="29" xfId="48" applyNumberFormat="1" applyFont="1" applyBorder="1" applyAlignment="1">
      <alignment horizontal="center" vertical="center"/>
    </xf>
    <xf numFmtId="181" fontId="12" fillId="0" borderId="29" xfId="692" applyNumberFormat="1" applyFont="1" applyBorder="1" applyAlignment="1" applyProtection="1">
      <alignment horizontal="center" vertical="center"/>
      <protection locked="0"/>
    </xf>
    <xf numFmtId="182" fontId="12" fillId="0" borderId="29" xfId="691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66" fillId="0" borderId="0" xfId="0" applyFont="1" applyAlignment="1" applyProtection="1">
      <alignment vertical="center"/>
      <protection locked="0"/>
    </xf>
    <xf numFmtId="0" fontId="66" fillId="0" borderId="0" xfId="0" applyFont="1" applyAlignment="1" applyProtection="1">
      <alignment horizontal="center" vertical="center"/>
      <protection locked="0"/>
    </xf>
    <xf numFmtId="0" fontId="67" fillId="0" borderId="0" xfId="0" applyFont="1" applyAlignment="1">
      <alignment vertical="center"/>
    </xf>
    <xf numFmtId="0" fontId="68" fillId="0" borderId="29" xfId="692" applyFont="1" applyBorder="1" applyAlignment="1" applyProtection="1">
      <alignment horizontal="center" vertical="center"/>
      <protection locked="0"/>
    </xf>
    <xf numFmtId="0" fontId="69" fillId="0" borderId="29" xfId="0" applyFont="1" applyBorder="1" applyAlignment="1" applyProtection="1">
      <alignment horizontal="center" vertical="center"/>
      <protection locked="0"/>
    </xf>
    <xf numFmtId="0" fontId="5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9" fillId="0" borderId="1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80" fontId="39" fillId="0" borderId="1" xfId="0" applyNumberFormat="1" applyFont="1" applyBorder="1" applyAlignment="1">
      <alignment horizontal="center" vertical="center"/>
    </xf>
    <xf numFmtId="0" fontId="39" fillId="0" borderId="1" xfId="0" quotePrefix="1" applyFont="1" applyBorder="1" applyAlignment="1">
      <alignment horizontal="center" vertical="center" wrapText="1"/>
    </xf>
    <xf numFmtId="0" fontId="65" fillId="0" borderId="2" xfId="0" quotePrefix="1" applyFont="1" applyBorder="1" applyAlignment="1">
      <alignment horizontal="center" vertical="center" wrapText="1"/>
    </xf>
    <xf numFmtId="0" fontId="39" fillId="0" borderId="27" xfId="0" quotePrefix="1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center" vertical="center" wrapText="1"/>
    </xf>
    <xf numFmtId="0" fontId="65" fillId="0" borderId="23" xfId="48" applyFont="1" applyBorder="1" applyAlignment="1">
      <alignment horizontal="center" vertical="center" wrapText="1"/>
    </xf>
    <xf numFmtId="0" fontId="39" fillId="0" borderId="25" xfId="48" applyFont="1" applyBorder="1" applyAlignment="1">
      <alignment horizontal="center" vertical="center" wrapText="1"/>
    </xf>
    <xf numFmtId="0" fontId="6" fillId="5" borderId="28" xfId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</cellXfs>
  <cellStyles count="694">
    <cellStyle name="___CPK__" xfId="52" xr:uid="{66B5D527-70B2-400F-8B63-DFBD3372561C}"/>
    <cellStyle name="20% - 강조색1" xfId="25" builtinId="30" customBuiltin="1"/>
    <cellStyle name="20% - 강조색1 10" xfId="226" xr:uid="{144ACF6C-EC76-4508-8082-1FFC5044376A}"/>
    <cellStyle name="20% - 강조색1 10 2" xfId="552" xr:uid="{E8F9FED5-EF02-4838-BCE1-BB17C9AE1CCF}"/>
    <cellStyle name="20% - 강조색1 11" xfId="246" xr:uid="{A0133E03-4FF6-4773-83EB-E1C71755515E}"/>
    <cellStyle name="20% - 강조색1 11 2" xfId="572" xr:uid="{C07AC29F-D51B-450D-8E05-BC44565C7D5F}"/>
    <cellStyle name="20% - 강조색1 12" xfId="266" xr:uid="{69765A4B-5601-441F-932C-239E408BA924}"/>
    <cellStyle name="20% - 강조색1 12 2" xfId="592" xr:uid="{ACF1B649-6D3E-4344-B00C-5A9E5333174A}"/>
    <cellStyle name="20% - 강조색1 13" xfId="286" xr:uid="{2D93951E-88EE-4D56-A398-D06CE1F6EA5E}"/>
    <cellStyle name="20% - 강조색1 13 2" xfId="612" xr:uid="{ECB5471B-72C7-4180-B8B4-E6617C907679}"/>
    <cellStyle name="20% - 강조색1 14" xfId="306" xr:uid="{D2E72044-9889-43C0-AEC5-6EB1830CA591}"/>
    <cellStyle name="20% - 강조색1 14 2" xfId="632" xr:uid="{64036DCC-F9AF-49DF-94BB-0AB3EC1B791E}"/>
    <cellStyle name="20% - 강조색1 15" xfId="326" xr:uid="{F699FD11-AFE7-4F15-B0D0-594A5B59A6DC}"/>
    <cellStyle name="20% - 강조색1 15 2" xfId="652" xr:uid="{C50703FE-66D0-4711-ABE8-0F2DBC47714A}"/>
    <cellStyle name="20% - 강조색1 16" xfId="346" xr:uid="{B2D40CCE-D2F7-47F4-A6D2-B2E79757B518}"/>
    <cellStyle name="20% - 강조색1 16 2" xfId="672" xr:uid="{170251E1-E21D-449D-A6F6-157A495DE3ED}"/>
    <cellStyle name="20% - 강조색1 17" xfId="370" xr:uid="{3E7A58F4-5BA1-44AD-A8AD-607F4BFB7B8E}"/>
    <cellStyle name="20% - 강조색1 2" xfId="66" xr:uid="{C000C105-B9B6-4FCD-955D-5C51AE01AD63}"/>
    <cellStyle name="20% - 강조색1 2 2" xfId="392" xr:uid="{411555D5-D6E7-49B4-BE91-DAA511DB5AA2}"/>
    <cellStyle name="20% - 강조색1 3" xfId="86" xr:uid="{F5A672B4-D06D-4DB2-937D-339516178143}"/>
    <cellStyle name="20% - 강조색1 3 2" xfId="412" xr:uid="{A2CAA1E8-30E1-4CDF-B2B6-0E94A495ADC5}"/>
    <cellStyle name="20% - 강조색1 4" xfId="106" xr:uid="{3C64C37A-44A9-4367-B271-41D2A0E02959}"/>
    <cellStyle name="20% - 강조색1 4 2" xfId="432" xr:uid="{B72246AE-C160-41F2-AF39-7B0EB0968845}"/>
    <cellStyle name="20% - 강조색1 5" xfId="126" xr:uid="{85AD6993-9104-4803-AB92-CF10796A4D3D}"/>
    <cellStyle name="20% - 강조색1 5 2" xfId="452" xr:uid="{F718DDDF-76CB-419B-A1B4-AD235186A216}"/>
    <cellStyle name="20% - 강조색1 6" xfId="146" xr:uid="{72C18894-A5F7-4A98-BC89-75E38C4C69E0}"/>
    <cellStyle name="20% - 강조색1 6 2" xfId="472" xr:uid="{35861B30-DDE2-4B9D-AD34-248C36F75069}"/>
    <cellStyle name="20% - 강조색1 7" xfId="166" xr:uid="{3D432729-A8DE-423D-A1F2-8BB10728B8A7}"/>
    <cellStyle name="20% - 강조색1 7 2" xfId="492" xr:uid="{0DC8D07B-A2F2-40AB-BD57-1C7269561E75}"/>
    <cellStyle name="20% - 강조색1 8" xfId="186" xr:uid="{EA8B51F4-DF1C-4AD3-B065-82345EB025A5}"/>
    <cellStyle name="20% - 강조색1 8 2" xfId="512" xr:uid="{B51293B8-7FFB-4DBA-BDD3-4C08AA726E70}"/>
    <cellStyle name="20% - 강조색1 9" xfId="206" xr:uid="{3AF2B297-8D3F-4630-89A2-074B4220D709}"/>
    <cellStyle name="20% - 강조색1 9 2" xfId="532" xr:uid="{7A8228DA-BD73-4843-953B-BE63140ED1CE}"/>
    <cellStyle name="20% - 강조색2" xfId="29" builtinId="34" customBuiltin="1"/>
    <cellStyle name="20% - 강조색2 10" xfId="229" xr:uid="{626F9513-4C92-4F94-B200-104CF2CD402B}"/>
    <cellStyle name="20% - 강조색2 10 2" xfId="555" xr:uid="{890507FD-E5FC-4FEA-A63A-E400DCD61AA3}"/>
    <cellStyle name="20% - 강조색2 11" xfId="249" xr:uid="{26249CFF-D7A2-4344-AF21-7004B903DE59}"/>
    <cellStyle name="20% - 강조색2 11 2" xfId="575" xr:uid="{D6AC5028-C339-4DA6-828E-02FAD130A535}"/>
    <cellStyle name="20% - 강조색2 12" xfId="269" xr:uid="{4C7B131D-BF00-41A3-A47F-EF7251B28828}"/>
    <cellStyle name="20% - 강조색2 12 2" xfId="595" xr:uid="{02EEB93B-D574-4000-A9D1-30294A5CF2B7}"/>
    <cellStyle name="20% - 강조색2 13" xfId="289" xr:uid="{DDA91409-2ECB-49B2-9139-3C4AB69E3086}"/>
    <cellStyle name="20% - 강조색2 13 2" xfId="615" xr:uid="{5D1FDD45-A86E-4794-85FB-8DE220772576}"/>
    <cellStyle name="20% - 강조색2 14" xfId="309" xr:uid="{28A644DC-7FF4-4C83-BFE4-A6C26544894C}"/>
    <cellStyle name="20% - 강조색2 14 2" xfId="635" xr:uid="{598F3429-4785-487A-97B7-9BFB8A21A87A}"/>
    <cellStyle name="20% - 강조색2 15" xfId="329" xr:uid="{03343EA4-A181-4A6B-9013-D99EAEB9A7B5}"/>
    <cellStyle name="20% - 강조색2 15 2" xfId="655" xr:uid="{37207D4E-C36B-4FEA-893E-A4B709F24030}"/>
    <cellStyle name="20% - 강조색2 16" xfId="349" xr:uid="{90DF914E-13D3-42B4-90E8-30C7D1A3016E}"/>
    <cellStyle name="20% - 강조색2 16 2" xfId="675" xr:uid="{BDA247A6-002E-48C5-B3B4-9F5FB9190611}"/>
    <cellStyle name="20% - 강조색2 17" xfId="373" xr:uid="{6EC34284-EB7A-4B1D-A897-7E017A51C880}"/>
    <cellStyle name="20% - 강조색2 2" xfId="69" xr:uid="{D6F77B8E-DA75-4D1F-84E3-B26EE1B4E3DC}"/>
    <cellStyle name="20% - 강조색2 2 2" xfId="395" xr:uid="{60E5787C-779F-4EB5-B050-1C758CB5598A}"/>
    <cellStyle name="20% - 강조색2 3" xfId="89" xr:uid="{E95C3191-E88A-42C1-9017-12532ABFFD51}"/>
    <cellStyle name="20% - 강조색2 3 2" xfId="415" xr:uid="{2FA8B672-6B7B-4439-AE43-1D53F4158D53}"/>
    <cellStyle name="20% - 강조색2 4" xfId="109" xr:uid="{D686A997-3988-4BCE-82AC-AEACBF73748C}"/>
    <cellStyle name="20% - 강조색2 4 2" xfId="435" xr:uid="{A0684F5A-B397-4254-BB57-2482839A58EB}"/>
    <cellStyle name="20% - 강조색2 5" xfId="129" xr:uid="{0A64B3A1-8AA3-494D-9AD7-DACAB7C93F5B}"/>
    <cellStyle name="20% - 강조색2 5 2" xfId="455" xr:uid="{233CDE41-E33E-4EA6-872D-64A176DF322E}"/>
    <cellStyle name="20% - 강조색2 6" xfId="149" xr:uid="{F82DB304-D754-4E19-ACEA-7104782A493D}"/>
    <cellStyle name="20% - 강조색2 6 2" xfId="475" xr:uid="{A03020B3-5B5E-4338-841A-595B0D5C4C69}"/>
    <cellStyle name="20% - 강조색2 7" xfId="169" xr:uid="{3ACEDB0C-3AB5-42A9-8A54-0171BEA68931}"/>
    <cellStyle name="20% - 강조색2 7 2" xfId="495" xr:uid="{07495A01-5A2B-49D6-A50A-6B12D80D04F8}"/>
    <cellStyle name="20% - 강조색2 8" xfId="189" xr:uid="{92D06AA7-BD79-4A08-A0AC-19FAAE141A9A}"/>
    <cellStyle name="20% - 강조색2 8 2" xfId="515" xr:uid="{1A70B3D7-1E9C-4AD2-8E38-97C6CABAF110}"/>
    <cellStyle name="20% - 강조색2 9" xfId="209" xr:uid="{87FEFB61-F2A8-431E-926D-D0AA74DBDF54}"/>
    <cellStyle name="20% - 강조색2 9 2" xfId="535" xr:uid="{94061066-09E5-41C2-9471-91DA84E608BD}"/>
    <cellStyle name="20% - 강조색3" xfId="33" builtinId="38" customBuiltin="1"/>
    <cellStyle name="20% - 강조색3 10" xfId="232" xr:uid="{61651A33-B832-41AE-9EBF-C4749E3E2278}"/>
    <cellStyle name="20% - 강조색3 10 2" xfId="558" xr:uid="{2676F700-AC82-4A42-934E-3075BB291FC5}"/>
    <cellStyle name="20% - 강조색3 11" xfId="252" xr:uid="{E949058E-E0C6-4200-8EC6-DBEF142DAD18}"/>
    <cellStyle name="20% - 강조색3 11 2" xfId="578" xr:uid="{C04DF2ED-7372-4041-8EE3-BA522ADBC1AD}"/>
    <cellStyle name="20% - 강조색3 12" xfId="272" xr:uid="{426D12DE-A4BE-4992-808E-7DC40B9718AD}"/>
    <cellStyle name="20% - 강조색3 12 2" xfId="598" xr:uid="{B586FC2F-5C3B-4DF4-B7B1-5619BCC09DDC}"/>
    <cellStyle name="20% - 강조색3 13" xfId="292" xr:uid="{0768D020-6E83-4F1E-AF32-AE5A782C18B5}"/>
    <cellStyle name="20% - 강조색3 13 2" xfId="618" xr:uid="{A9EA22FB-2FD9-4C72-AE60-CFEFADAEE3CC}"/>
    <cellStyle name="20% - 강조색3 14" xfId="312" xr:uid="{1703ADAA-77C1-42AF-988A-62849F1C5366}"/>
    <cellStyle name="20% - 강조색3 14 2" xfId="638" xr:uid="{DB58E0C9-F0BA-420C-96D0-BE2EB83CEDDB}"/>
    <cellStyle name="20% - 강조색3 15" xfId="332" xr:uid="{8893DAEB-8166-4103-ADD1-C300EA23E857}"/>
    <cellStyle name="20% - 강조색3 15 2" xfId="658" xr:uid="{FC29CE04-CA7D-47BB-A177-3A63014DDB4F}"/>
    <cellStyle name="20% - 강조색3 16" xfId="352" xr:uid="{A4F2511B-64D6-493B-AC77-889421CE3F84}"/>
    <cellStyle name="20% - 강조색3 16 2" xfId="678" xr:uid="{2EC5CE9F-11D4-47D9-A034-1660C8316C0E}"/>
    <cellStyle name="20% - 강조색3 17" xfId="376" xr:uid="{F1B84866-832F-4048-BA49-FFA28E979F28}"/>
    <cellStyle name="20% - 강조색3 2" xfId="72" xr:uid="{DADA5BBF-655E-4DF7-8AF7-F67FAB006F70}"/>
    <cellStyle name="20% - 강조색3 2 2" xfId="398" xr:uid="{4B9382E3-0C53-4346-9FF1-72517896A8A4}"/>
    <cellStyle name="20% - 강조색3 3" xfId="92" xr:uid="{8A2B4D20-D914-4DED-AD89-24BEA2F842A1}"/>
    <cellStyle name="20% - 강조색3 3 2" xfId="418" xr:uid="{26AF0F01-BD65-43E4-B0C7-CD35F9D690EC}"/>
    <cellStyle name="20% - 강조색3 4" xfId="112" xr:uid="{D02C6126-C8BA-436E-A7C9-F01EB6D42534}"/>
    <cellStyle name="20% - 강조색3 4 2" xfId="438" xr:uid="{6BB33E00-53F6-4F37-92A6-55451F70BDF0}"/>
    <cellStyle name="20% - 강조색3 5" xfId="132" xr:uid="{0B27F645-BFC1-4271-97C7-A69C5A0D1187}"/>
    <cellStyle name="20% - 강조색3 5 2" xfId="458" xr:uid="{B395A8E2-767E-4DB8-BC64-04E7C36AC57E}"/>
    <cellStyle name="20% - 강조색3 6" xfId="152" xr:uid="{BC6E1FF5-9FA1-457C-807E-0DDB42F82165}"/>
    <cellStyle name="20% - 강조색3 6 2" xfId="478" xr:uid="{4A4C3515-208C-4F2B-AD8B-BBFC9445277D}"/>
    <cellStyle name="20% - 강조색3 7" xfId="172" xr:uid="{FBCAFDFA-76DB-42D8-9AFC-73132063C498}"/>
    <cellStyle name="20% - 강조색3 7 2" xfId="498" xr:uid="{9B9A2B3E-1CC5-4773-AF65-440060719C21}"/>
    <cellStyle name="20% - 강조색3 8" xfId="192" xr:uid="{7B7916C4-7649-4B69-BBA1-586F1F8236AC}"/>
    <cellStyle name="20% - 강조색3 8 2" xfId="518" xr:uid="{12D2E9EF-C5A5-44B2-83C3-7DC5927E5710}"/>
    <cellStyle name="20% - 강조색3 9" xfId="212" xr:uid="{B05A3FC1-2BD3-4D5D-BBD1-AF122FFA97D0}"/>
    <cellStyle name="20% - 강조색3 9 2" xfId="538" xr:uid="{5A2BECAA-F255-40C3-8421-6A4601240941}"/>
    <cellStyle name="20% - 강조색4" xfId="37" builtinId="42" customBuiltin="1"/>
    <cellStyle name="20% - 강조색4 10" xfId="235" xr:uid="{D7777BE9-BACF-476F-AC89-842F95EB340A}"/>
    <cellStyle name="20% - 강조색4 10 2" xfId="561" xr:uid="{71967C4B-E571-4B8A-9563-A1FE564F08F1}"/>
    <cellStyle name="20% - 강조색4 11" xfId="255" xr:uid="{8CECB8CF-16A3-4C86-9941-19EB25997AC4}"/>
    <cellStyle name="20% - 강조색4 11 2" xfId="581" xr:uid="{F555291A-4F53-4E27-83C3-FA9EB1AAB66D}"/>
    <cellStyle name="20% - 강조색4 12" xfId="275" xr:uid="{11494E53-DE89-497B-B9CA-0A28AD5C723D}"/>
    <cellStyle name="20% - 강조색4 12 2" xfId="601" xr:uid="{6B3C9575-77C3-433E-8482-57E16F778473}"/>
    <cellStyle name="20% - 강조색4 13" xfId="295" xr:uid="{542C1C52-CA1D-4EBF-A46A-733955597A8B}"/>
    <cellStyle name="20% - 강조색4 13 2" xfId="621" xr:uid="{E8FC0367-014F-478A-874E-B18FEA0ECEA4}"/>
    <cellStyle name="20% - 강조색4 14" xfId="315" xr:uid="{9865A804-0170-4131-AACE-8F585E2184FD}"/>
    <cellStyle name="20% - 강조색4 14 2" xfId="641" xr:uid="{533FC0E3-FCFF-49D1-A5F3-B8300E38D325}"/>
    <cellStyle name="20% - 강조색4 15" xfId="335" xr:uid="{7574BF02-A4A9-44E1-BE7C-980F480A446B}"/>
    <cellStyle name="20% - 강조색4 15 2" xfId="661" xr:uid="{0EBAFC0F-097E-4E36-A3F6-98CA47DC414E}"/>
    <cellStyle name="20% - 강조색4 16" xfId="355" xr:uid="{90B0289A-96D5-4BC4-A0B4-357B6F7EC418}"/>
    <cellStyle name="20% - 강조색4 16 2" xfId="681" xr:uid="{4A3017BD-4916-4FA2-81A4-0515F1AB313C}"/>
    <cellStyle name="20% - 강조색4 17" xfId="379" xr:uid="{51CF6848-6CB8-407A-9A4B-9FCCB4CFF5E4}"/>
    <cellStyle name="20% - 강조색4 2" xfId="75" xr:uid="{05A71B88-BCC1-42C7-A0B3-5CF2BDB8026A}"/>
    <cellStyle name="20% - 강조색4 2 2" xfId="401" xr:uid="{7ADD6138-E326-4DED-9A57-C31051B974BB}"/>
    <cellStyle name="20% - 강조색4 3" xfId="95" xr:uid="{CEEC9913-54C2-470C-AD1F-B0DEF55F5A3D}"/>
    <cellStyle name="20% - 강조색4 3 2" xfId="421" xr:uid="{93FC3742-9F5B-459F-866A-280CF61274A4}"/>
    <cellStyle name="20% - 강조색4 4" xfId="115" xr:uid="{9D29B216-1327-471D-A20E-ACED39D6B564}"/>
    <cellStyle name="20% - 강조색4 4 2" xfId="441" xr:uid="{FFBCD24D-54C2-498F-88ED-F51662A34943}"/>
    <cellStyle name="20% - 강조색4 5" xfId="135" xr:uid="{1F96C247-4CD8-4046-9DC3-CA3F66EB2D71}"/>
    <cellStyle name="20% - 강조색4 5 2" xfId="461" xr:uid="{E90D5178-3FD3-4407-BF13-5268CBE9DEFF}"/>
    <cellStyle name="20% - 강조색4 6" xfId="155" xr:uid="{45777F64-79FC-4C0E-B98D-EE32497B449E}"/>
    <cellStyle name="20% - 강조색4 6 2" xfId="481" xr:uid="{3CB069FA-126D-42CC-8477-0ABF393B0D00}"/>
    <cellStyle name="20% - 강조색4 7" xfId="175" xr:uid="{D8023C2B-337C-4793-B1D3-453BF274B485}"/>
    <cellStyle name="20% - 강조색4 7 2" xfId="501" xr:uid="{35BB2BAA-3E6A-4588-8DB9-9ADF5C153BB5}"/>
    <cellStyle name="20% - 강조색4 8" xfId="195" xr:uid="{8113DDBD-D399-448B-B8ED-873D89E0096A}"/>
    <cellStyle name="20% - 강조색4 8 2" xfId="521" xr:uid="{A2179F81-96C8-4BA5-A813-3E1DB94B41B0}"/>
    <cellStyle name="20% - 강조색4 9" xfId="215" xr:uid="{14FB7DB9-C519-47BE-8EC1-AA255607A88C}"/>
    <cellStyle name="20% - 강조색4 9 2" xfId="541" xr:uid="{EED34536-61FA-4658-9B9F-2318A6269995}"/>
    <cellStyle name="20% - 강조색5" xfId="41" builtinId="46" customBuiltin="1"/>
    <cellStyle name="20% - 강조색5 10" xfId="238" xr:uid="{E411D9CE-490D-4DFD-94EE-328AACF8795E}"/>
    <cellStyle name="20% - 강조색5 10 2" xfId="564" xr:uid="{65A503CD-CDED-4957-97BF-209C9429B45C}"/>
    <cellStyle name="20% - 강조색5 11" xfId="258" xr:uid="{A182F85F-D434-4461-A92A-139E7B12C467}"/>
    <cellStyle name="20% - 강조색5 11 2" xfId="584" xr:uid="{97A4637E-90C3-4C56-A375-303C7EB5676B}"/>
    <cellStyle name="20% - 강조색5 12" xfId="278" xr:uid="{EB7F973A-7A61-4F6E-A5B0-410E883B7724}"/>
    <cellStyle name="20% - 강조색5 12 2" xfId="604" xr:uid="{8902E3FA-C700-41CE-ACD8-8B10291510CC}"/>
    <cellStyle name="20% - 강조색5 13" xfId="298" xr:uid="{E467C45C-A85E-4CBD-8151-8F87AEF39C33}"/>
    <cellStyle name="20% - 강조색5 13 2" xfId="624" xr:uid="{16F2BB80-3551-45F6-8E95-D76C1154AF1B}"/>
    <cellStyle name="20% - 강조색5 14" xfId="318" xr:uid="{BD4DAB35-D038-4546-91FD-449946C108CB}"/>
    <cellStyle name="20% - 강조색5 14 2" xfId="644" xr:uid="{ED0959E7-B761-4617-A0CD-17E8AE4CE57A}"/>
    <cellStyle name="20% - 강조색5 15" xfId="338" xr:uid="{C5DB7B8A-2BB1-4DD5-AC2D-C79121582DE1}"/>
    <cellStyle name="20% - 강조색5 15 2" xfId="664" xr:uid="{8F82AD60-3400-4C0F-8B82-21C14C3F7F3D}"/>
    <cellStyle name="20% - 강조색5 16" xfId="358" xr:uid="{1937A4F5-0471-44D0-B2CD-DBF9CC2D59D1}"/>
    <cellStyle name="20% - 강조색5 16 2" xfId="684" xr:uid="{4EE05C36-DAA0-4597-8619-2624704019A5}"/>
    <cellStyle name="20% - 강조색5 17" xfId="382" xr:uid="{2B9CB8CF-EA56-4FA1-B858-3866EA689EEE}"/>
    <cellStyle name="20% - 강조색5 2" xfId="78" xr:uid="{09E915A1-162C-49F6-8553-DBB874A046DF}"/>
    <cellStyle name="20% - 강조색5 2 2" xfId="404" xr:uid="{B21B470B-504E-4714-8525-B08BE74137A0}"/>
    <cellStyle name="20% - 강조색5 3" xfId="98" xr:uid="{32594ED3-3038-4CDC-9C30-0B355FD9C119}"/>
    <cellStyle name="20% - 강조색5 3 2" xfId="424" xr:uid="{DD613285-495A-49D4-8362-CF579DFE7DDF}"/>
    <cellStyle name="20% - 강조색5 4" xfId="118" xr:uid="{7C16B7F5-F116-4837-AC93-56230614F5EB}"/>
    <cellStyle name="20% - 강조색5 4 2" xfId="444" xr:uid="{E6402E3B-1AF6-47FA-A666-33DF93073614}"/>
    <cellStyle name="20% - 강조색5 5" xfId="138" xr:uid="{AD61E653-6D02-4993-BE8B-BC8C624BE249}"/>
    <cellStyle name="20% - 강조색5 5 2" xfId="464" xr:uid="{0BF17982-30C0-4ECC-862B-D928D1940915}"/>
    <cellStyle name="20% - 강조색5 6" xfId="158" xr:uid="{79AED299-6773-43D7-859D-1841B1C64F91}"/>
    <cellStyle name="20% - 강조색5 6 2" xfId="484" xr:uid="{0A890114-400E-42CB-87FA-DE1B62861521}"/>
    <cellStyle name="20% - 강조색5 7" xfId="178" xr:uid="{4E271861-0A9C-4BD9-AA4B-8EC2BC60B6CD}"/>
    <cellStyle name="20% - 강조색5 7 2" xfId="504" xr:uid="{B2504234-4202-49D3-A2BB-E06CF06E3E26}"/>
    <cellStyle name="20% - 강조색5 8" xfId="198" xr:uid="{065D2FA9-1C3F-4C00-BAA7-41A137662E55}"/>
    <cellStyle name="20% - 강조색5 8 2" xfId="524" xr:uid="{D1EB53DD-D986-43C6-81AF-D36C9E6A0501}"/>
    <cellStyle name="20% - 강조색5 9" xfId="218" xr:uid="{772F6110-8CBC-401D-913D-DFF9BBD2E526}"/>
    <cellStyle name="20% - 강조색5 9 2" xfId="544" xr:uid="{F9BCC682-A3D4-4A37-A29C-E3EF86CA1344}"/>
    <cellStyle name="20% - 강조색6" xfId="45" builtinId="50" customBuiltin="1"/>
    <cellStyle name="20% - 강조색6 10" xfId="241" xr:uid="{A9D7E7EF-A19E-4C1A-AB1C-96A3CDA2DCD8}"/>
    <cellStyle name="20% - 강조색6 10 2" xfId="567" xr:uid="{229F6D76-36E4-41F4-B9F8-916ED5ED0987}"/>
    <cellStyle name="20% - 강조색6 11" xfId="261" xr:uid="{8D2F71CB-6051-471E-94A7-4CAE37718795}"/>
    <cellStyle name="20% - 강조색6 11 2" xfId="587" xr:uid="{9418758F-6876-417D-B599-14A66CCC9E95}"/>
    <cellStyle name="20% - 강조색6 12" xfId="281" xr:uid="{2976DA9E-E40C-4CBB-B753-8F3838D90FF5}"/>
    <cellStyle name="20% - 강조색6 12 2" xfId="607" xr:uid="{D29F5EC1-DB5A-462C-93BC-11AB2B43E2E5}"/>
    <cellStyle name="20% - 강조색6 13" xfId="301" xr:uid="{1CF5B089-D809-40CF-978F-C0726662BAD4}"/>
    <cellStyle name="20% - 강조색6 13 2" xfId="627" xr:uid="{8F08B4C3-26F0-4BB5-BAB9-62CAC024A901}"/>
    <cellStyle name="20% - 강조색6 14" xfId="321" xr:uid="{5C69464F-281D-4BAC-8941-618B90636E59}"/>
    <cellStyle name="20% - 강조색6 14 2" xfId="647" xr:uid="{CF9876CA-EC7C-426B-AD0C-2BCAC02ED287}"/>
    <cellStyle name="20% - 강조색6 15" xfId="341" xr:uid="{40F01361-CA31-4499-9DBE-6C6AB30963FF}"/>
    <cellStyle name="20% - 강조색6 15 2" xfId="667" xr:uid="{1A894E5F-2E6A-4D6D-AAB9-DC7DE25F0965}"/>
    <cellStyle name="20% - 강조색6 16" xfId="361" xr:uid="{F40D55B9-7FFD-4629-BBAC-33FEAF6B353F}"/>
    <cellStyle name="20% - 강조색6 16 2" xfId="687" xr:uid="{56A6A483-F660-4AFE-9AC8-0092692BA55F}"/>
    <cellStyle name="20% - 강조색6 17" xfId="385" xr:uid="{6A5B2CBF-E3C7-460C-A4C3-DF96AC60CEEE}"/>
    <cellStyle name="20% - 강조색6 2" xfId="81" xr:uid="{E94A4951-3DCE-4107-A172-07961584A1EC}"/>
    <cellStyle name="20% - 강조색6 2 2" xfId="407" xr:uid="{23F56308-1E4C-4D11-A80B-DF382AA711B9}"/>
    <cellStyle name="20% - 강조색6 3" xfId="101" xr:uid="{F0F6CE67-9038-4292-8AD0-D6B8B02E23D6}"/>
    <cellStyle name="20% - 강조색6 3 2" xfId="427" xr:uid="{FF6887FC-1E72-4027-B83D-83A9EFE2EC42}"/>
    <cellStyle name="20% - 강조색6 4" xfId="121" xr:uid="{CFE1F780-5DD4-4234-A16D-F6D66B1D0248}"/>
    <cellStyle name="20% - 강조색6 4 2" xfId="447" xr:uid="{A96F4F22-71B7-45E9-8EA2-F9DA5F398ED9}"/>
    <cellStyle name="20% - 강조색6 5" xfId="141" xr:uid="{5190C24C-3DB1-4404-98F9-AAA2ABDACE24}"/>
    <cellStyle name="20% - 강조색6 5 2" xfId="467" xr:uid="{CEA5BE69-2E15-484F-9146-E9CE11FCFF2D}"/>
    <cellStyle name="20% - 강조색6 6" xfId="161" xr:uid="{068ACF7A-B94A-4263-9EA3-BAD4356213EE}"/>
    <cellStyle name="20% - 강조색6 6 2" xfId="487" xr:uid="{E4BC927E-F624-4502-915D-43D110FE514D}"/>
    <cellStyle name="20% - 강조색6 7" xfId="181" xr:uid="{7F0E0991-186C-46D1-849C-F961850DAF91}"/>
    <cellStyle name="20% - 강조색6 7 2" xfId="507" xr:uid="{14EB2374-2D54-4D19-B1C1-2C3F7E4030B6}"/>
    <cellStyle name="20% - 강조색6 8" xfId="201" xr:uid="{25052CED-D218-4512-8F9B-138DD7092BA0}"/>
    <cellStyle name="20% - 강조색6 8 2" xfId="527" xr:uid="{1567BED1-894B-47B9-9B7A-D2F7A9729458}"/>
    <cellStyle name="20% - 강조색6 9" xfId="221" xr:uid="{CE3D1595-0958-48A2-B9EE-416DA293B80D}"/>
    <cellStyle name="20% - 강조색6 9 2" xfId="547" xr:uid="{C54790E1-8D89-4CF8-99BA-779727EF99C8}"/>
    <cellStyle name="40% - 강조색1" xfId="26" builtinId="31" customBuiltin="1"/>
    <cellStyle name="40% - 강조색1 10" xfId="227" xr:uid="{E08ED7FC-FA6B-4FD9-A116-0BE127A8255A}"/>
    <cellStyle name="40% - 강조색1 10 2" xfId="553" xr:uid="{3B6EDD84-2B70-4C89-8602-BDCAB73EB691}"/>
    <cellStyle name="40% - 강조색1 11" xfId="247" xr:uid="{1995D369-4950-4911-8B5B-D6D1B63DABEC}"/>
    <cellStyle name="40% - 강조색1 11 2" xfId="573" xr:uid="{1A021095-C40D-44FA-82B3-B4C88CA673C5}"/>
    <cellStyle name="40% - 강조색1 12" xfId="267" xr:uid="{28FA5F6C-C506-48F5-972A-4BD8254ECA20}"/>
    <cellStyle name="40% - 강조색1 12 2" xfId="593" xr:uid="{48968E67-C754-4D37-9687-29BD9BF998B8}"/>
    <cellStyle name="40% - 강조색1 13" xfId="287" xr:uid="{DC801FBA-B5DC-4833-A0E5-0880E2C9FA75}"/>
    <cellStyle name="40% - 강조색1 13 2" xfId="613" xr:uid="{0C8EC703-FB7B-4520-B03F-978E6F2276EB}"/>
    <cellStyle name="40% - 강조색1 14" xfId="307" xr:uid="{D86DB530-F8E8-4256-A055-C4DCF24DF42B}"/>
    <cellStyle name="40% - 강조색1 14 2" xfId="633" xr:uid="{9E1630A3-C468-4F37-8579-EC82369AB453}"/>
    <cellStyle name="40% - 강조색1 15" xfId="327" xr:uid="{C6DEF322-810C-450F-8439-21E9E59A2120}"/>
    <cellStyle name="40% - 강조색1 15 2" xfId="653" xr:uid="{F1551BEE-C80B-4E6D-9B7E-70F29817D833}"/>
    <cellStyle name="40% - 강조색1 16" xfId="347" xr:uid="{7A654AAF-A51C-4D06-AD76-DDD5C11DEE5E}"/>
    <cellStyle name="40% - 강조색1 16 2" xfId="673" xr:uid="{3235A7EE-8127-45A8-8E09-49B023774EA1}"/>
    <cellStyle name="40% - 강조색1 17" xfId="371" xr:uid="{5CCF7804-5292-4798-8C63-E98E3681DFE0}"/>
    <cellStyle name="40% - 강조색1 2" xfId="67" xr:uid="{B3DEA3BC-2994-4847-AB57-CDE22DE2526D}"/>
    <cellStyle name="40% - 강조색1 2 2" xfId="393" xr:uid="{49D2A977-D130-41B6-BFAA-216DE41B6010}"/>
    <cellStyle name="40% - 강조색1 3" xfId="87" xr:uid="{BC042DC4-BE1F-4C1C-B3E7-DAD07FE4A460}"/>
    <cellStyle name="40% - 강조색1 3 2" xfId="413" xr:uid="{9D3746BE-A4D5-4507-9A15-BAE004A9E9A9}"/>
    <cellStyle name="40% - 강조색1 4" xfId="107" xr:uid="{0657A2DC-39FC-4EAF-86E3-357E212E02A7}"/>
    <cellStyle name="40% - 강조색1 4 2" xfId="433" xr:uid="{E7BB95FA-F704-4464-98E4-B14481A3165E}"/>
    <cellStyle name="40% - 강조색1 5" xfId="127" xr:uid="{578BAB59-F1C4-40D9-A0B9-4F984791752D}"/>
    <cellStyle name="40% - 강조색1 5 2" xfId="453" xr:uid="{AE40FF7C-B4AD-4797-9E04-5B00F8A289AF}"/>
    <cellStyle name="40% - 강조색1 6" xfId="147" xr:uid="{8FFBF4F8-FB29-4DA6-9794-9A1398CED210}"/>
    <cellStyle name="40% - 강조색1 6 2" xfId="473" xr:uid="{EEE7CC83-930B-4E1F-AFF7-F855E54F9D9B}"/>
    <cellStyle name="40% - 강조색1 7" xfId="167" xr:uid="{1927FD0E-4BE2-4492-BB2E-1966527C7123}"/>
    <cellStyle name="40% - 강조색1 7 2" xfId="493" xr:uid="{005EBE41-FB45-4FB2-932A-3FFF06F4F729}"/>
    <cellStyle name="40% - 강조색1 8" xfId="187" xr:uid="{534FA0DC-8F7C-49E0-9E23-7705211A8717}"/>
    <cellStyle name="40% - 강조색1 8 2" xfId="513" xr:uid="{E6BDE4DC-21A8-4C38-AEB2-C6434EA29095}"/>
    <cellStyle name="40% - 강조색1 9" xfId="207" xr:uid="{3AE69E2A-7B92-4C93-BFD7-548085599299}"/>
    <cellStyle name="40% - 강조색1 9 2" xfId="533" xr:uid="{5AC288D9-A9F5-4823-AE64-7030C4EB4C72}"/>
    <cellStyle name="40% - 강조색2" xfId="30" builtinId="35" customBuiltin="1"/>
    <cellStyle name="40% - 강조색2 10" xfId="230" xr:uid="{382D258B-D946-495B-BB96-23BC5A2A4906}"/>
    <cellStyle name="40% - 강조색2 10 2" xfId="556" xr:uid="{B74A1249-E683-4FD1-8A6C-C38B48C4B4D9}"/>
    <cellStyle name="40% - 강조색2 11" xfId="250" xr:uid="{BCC6833B-7F37-4366-AB03-A4189D5D1A5C}"/>
    <cellStyle name="40% - 강조색2 11 2" xfId="576" xr:uid="{6F659A87-6BB3-4667-83A8-3F1D42578329}"/>
    <cellStyle name="40% - 강조색2 12" xfId="270" xr:uid="{403E36EF-A38B-4C19-8BA7-DB8475CFAFF4}"/>
    <cellStyle name="40% - 강조색2 12 2" xfId="596" xr:uid="{42172EDE-57C8-43D4-BB0D-E4740D36232A}"/>
    <cellStyle name="40% - 강조색2 13" xfId="290" xr:uid="{A2F10307-2B51-454B-A85E-4616A0F5935B}"/>
    <cellStyle name="40% - 강조색2 13 2" xfId="616" xr:uid="{7925176B-8493-422D-A336-1719B62F24BF}"/>
    <cellStyle name="40% - 강조색2 14" xfId="310" xr:uid="{B4141A08-22E1-4CDC-BA81-C732B403F5E0}"/>
    <cellStyle name="40% - 강조색2 14 2" xfId="636" xr:uid="{4CE59C30-AAF1-45C2-8573-0B1A76FE9775}"/>
    <cellStyle name="40% - 강조색2 15" xfId="330" xr:uid="{33712066-8439-4FAC-8F5C-5F034E7A6D27}"/>
    <cellStyle name="40% - 강조색2 15 2" xfId="656" xr:uid="{C69B29F6-EC13-4C3D-A349-31937900A657}"/>
    <cellStyle name="40% - 강조색2 16" xfId="350" xr:uid="{AFC6F076-90EA-4581-8BDE-36F03B53E5FA}"/>
    <cellStyle name="40% - 강조색2 16 2" xfId="676" xr:uid="{982BE938-31B6-4B65-8972-AB0418BD22B4}"/>
    <cellStyle name="40% - 강조색2 17" xfId="374" xr:uid="{68E69414-3C83-47B5-8F56-205C3E050D6F}"/>
    <cellStyle name="40% - 강조색2 2" xfId="70" xr:uid="{146568DE-76ED-412C-8120-A894E6D0A4B0}"/>
    <cellStyle name="40% - 강조색2 2 2" xfId="396" xr:uid="{EB23B7EC-F893-4CBB-A3AF-8CB38533E13C}"/>
    <cellStyle name="40% - 강조색2 3" xfId="90" xr:uid="{6937B661-ED94-4445-9C14-01D5D09A333C}"/>
    <cellStyle name="40% - 강조색2 3 2" xfId="416" xr:uid="{0502301C-11C1-418D-9D03-85D4F3A01C9A}"/>
    <cellStyle name="40% - 강조색2 4" xfId="110" xr:uid="{EF3AB1E6-F129-4803-A904-8F5D2B56F839}"/>
    <cellStyle name="40% - 강조색2 4 2" xfId="436" xr:uid="{FB50638B-F9E8-4951-BB9E-945DADF46489}"/>
    <cellStyle name="40% - 강조색2 5" xfId="130" xr:uid="{3B2608EE-CC80-4ED2-A47A-206D0C8833A2}"/>
    <cellStyle name="40% - 강조색2 5 2" xfId="456" xr:uid="{BB267B76-062E-4EFF-846B-F607FBA96784}"/>
    <cellStyle name="40% - 강조색2 6" xfId="150" xr:uid="{3036EC20-0BD7-4FB0-9452-B74E026CC1F0}"/>
    <cellStyle name="40% - 강조색2 6 2" xfId="476" xr:uid="{B8BCC4AD-BC5E-41CE-A07F-6573A6D3CB1D}"/>
    <cellStyle name="40% - 강조색2 7" xfId="170" xr:uid="{06D71241-9842-4FB1-92CC-B4734351DE63}"/>
    <cellStyle name="40% - 강조색2 7 2" xfId="496" xr:uid="{23C2DC8D-4DB9-4879-97D2-FA0591B90D20}"/>
    <cellStyle name="40% - 강조색2 8" xfId="190" xr:uid="{E4CD3BF1-0702-4D79-8779-88F0FB3618AE}"/>
    <cellStyle name="40% - 강조색2 8 2" xfId="516" xr:uid="{F410D1F7-7C58-4ACE-820D-8FDF8F5C939A}"/>
    <cellStyle name="40% - 강조색2 9" xfId="210" xr:uid="{132DE09A-2130-4280-B94F-352BF1679BB9}"/>
    <cellStyle name="40% - 강조색2 9 2" xfId="536" xr:uid="{44CF8CF0-AE2D-4766-A8D9-869580757FDA}"/>
    <cellStyle name="40% - 강조색3" xfId="34" builtinId="39" customBuiltin="1"/>
    <cellStyle name="40% - 강조색3 10" xfId="233" xr:uid="{5DCA0145-145D-477F-9C69-0E7D0BDAA8CE}"/>
    <cellStyle name="40% - 강조색3 10 2" xfId="559" xr:uid="{826201E5-0736-4BF2-9DDC-FA9CBEE387D4}"/>
    <cellStyle name="40% - 강조색3 11" xfId="253" xr:uid="{12DE31AC-58EA-478B-B2F8-EC3A4EF8B964}"/>
    <cellStyle name="40% - 강조색3 11 2" xfId="579" xr:uid="{A6221081-E659-450E-8CA3-6F423642F481}"/>
    <cellStyle name="40% - 강조색3 12" xfId="273" xr:uid="{4D7B6B2B-88B6-4009-9330-B8230883E09C}"/>
    <cellStyle name="40% - 강조색3 12 2" xfId="599" xr:uid="{90F654FB-FA79-4E48-874C-18A6FF71DF0D}"/>
    <cellStyle name="40% - 강조색3 13" xfId="293" xr:uid="{9D4232AF-38AE-4270-A53D-2285EF09B933}"/>
    <cellStyle name="40% - 강조색3 13 2" xfId="619" xr:uid="{7A3B96F0-AFBF-43A7-A8E2-09E40E2D91B7}"/>
    <cellStyle name="40% - 강조색3 14" xfId="313" xr:uid="{4DD5EB19-A054-4F9C-BA8A-F25A1F5CA218}"/>
    <cellStyle name="40% - 강조색3 14 2" xfId="639" xr:uid="{3DD4FE66-FC05-4003-8796-5A62E4C08AEC}"/>
    <cellStyle name="40% - 강조색3 15" xfId="333" xr:uid="{B100FFB5-33E8-41BF-8CBF-C81607218082}"/>
    <cellStyle name="40% - 강조색3 15 2" xfId="659" xr:uid="{03AA5D2B-6EFE-4125-AC88-AB14C422EC36}"/>
    <cellStyle name="40% - 강조색3 16" xfId="353" xr:uid="{3A0E85DF-FC63-43E3-BC34-1401B1198215}"/>
    <cellStyle name="40% - 강조색3 16 2" xfId="679" xr:uid="{0CFEA221-DC51-4A33-83C7-4350F82CDC85}"/>
    <cellStyle name="40% - 강조색3 17" xfId="377" xr:uid="{56B5F7C7-C8E6-4D4E-8E96-24AED725F1F3}"/>
    <cellStyle name="40% - 강조색3 2" xfId="73" xr:uid="{C705B1AE-544A-4371-ADBE-70B9BA64B990}"/>
    <cellStyle name="40% - 강조색3 2 2" xfId="399" xr:uid="{304727EA-BFB1-4292-8734-2996CCDDDAC2}"/>
    <cellStyle name="40% - 강조색3 3" xfId="93" xr:uid="{75AFCD94-0305-4697-A3EE-8E26414271F6}"/>
    <cellStyle name="40% - 강조색3 3 2" xfId="419" xr:uid="{27EE79F0-7912-49BD-B256-C891C4ED9049}"/>
    <cellStyle name="40% - 강조색3 4" xfId="113" xr:uid="{A46A58AF-ADF1-4CD5-8249-50FFE2BB1134}"/>
    <cellStyle name="40% - 강조색3 4 2" xfId="439" xr:uid="{E3BE6E42-8C1A-4527-9F79-8D6A8661F388}"/>
    <cellStyle name="40% - 강조색3 5" xfId="133" xr:uid="{0800A894-E1D7-40D2-8B77-A8F344BA31E2}"/>
    <cellStyle name="40% - 강조색3 5 2" xfId="459" xr:uid="{FC99DC94-DB5B-4F27-9845-D77690627598}"/>
    <cellStyle name="40% - 강조색3 6" xfId="153" xr:uid="{54F5813A-1F40-4B47-825B-478DA88788F1}"/>
    <cellStyle name="40% - 강조색3 6 2" xfId="479" xr:uid="{C89B7CA2-A538-4FBD-9758-F0D220452133}"/>
    <cellStyle name="40% - 강조색3 7" xfId="173" xr:uid="{31D59DE3-E49F-462A-9662-80189E92696D}"/>
    <cellStyle name="40% - 강조색3 7 2" xfId="499" xr:uid="{CCD76E03-FA5A-4C1A-8FB4-76A613230ADC}"/>
    <cellStyle name="40% - 강조색3 8" xfId="193" xr:uid="{B9B7443B-9F0E-4C88-B960-D2AFA151E97E}"/>
    <cellStyle name="40% - 강조색3 8 2" xfId="519" xr:uid="{A9C3DDB0-8FEA-4009-A75E-3C7FDC17395B}"/>
    <cellStyle name="40% - 강조색3 9" xfId="213" xr:uid="{4A23610B-77CE-47A2-B2FB-E8C44A920724}"/>
    <cellStyle name="40% - 강조색3 9 2" xfId="539" xr:uid="{62F8445B-5FC7-4AAE-9BF1-492B7CBD76E7}"/>
    <cellStyle name="40% - 강조색4" xfId="38" builtinId="43" customBuiltin="1"/>
    <cellStyle name="40% - 강조색4 10" xfId="236" xr:uid="{279AACC2-5F8A-4635-BD30-C38CC99F5BBF}"/>
    <cellStyle name="40% - 강조색4 10 2" xfId="562" xr:uid="{D904CBF3-AD96-4BB6-B5BA-A376555F62A5}"/>
    <cellStyle name="40% - 강조색4 11" xfId="256" xr:uid="{9192174F-5DD8-40D2-8FBE-748F54596A66}"/>
    <cellStyle name="40% - 강조색4 11 2" xfId="582" xr:uid="{165A10CA-7E3B-4678-8A98-BFFF8BA8A4D7}"/>
    <cellStyle name="40% - 강조색4 12" xfId="276" xr:uid="{E7D5EA16-D63E-4C1A-AF42-E59203C3D5BE}"/>
    <cellStyle name="40% - 강조색4 12 2" xfId="602" xr:uid="{8EC1F7BE-ECC7-46AB-9F32-D2AA64CFE6BD}"/>
    <cellStyle name="40% - 강조색4 13" xfId="296" xr:uid="{CD315F74-634E-45B3-B400-D1F3A704B954}"/>
    <cellStyle name="40% - 강조색4 13 2" xfId="622" xr:uid="{892D4A04-C425-4630-8453-72F6A3C07CB1}"/>
    <cellStyle name="40% - 강조색4 14" xfId="316" xr:uid="{AEE24686-1DFF-44DB-AACB-CB3518FE212E}"/>
    <cellStyle name="40% - 강조색4 14 2" xfId="642" xr:uid="{15AC6BEE-3795-443E-ACE4-2DA85033C346}"/>
    <cellStyle name="40% - 강조색4 15" xfId="336" xr:uid="{8AB618DB-58B6-4512-9B5B-DEFD00DF04CB}"/>
    <cellStyle name="40% - 강조색4 15 2" xfId="662" xr:uid="{5A1A0FF6-AAE6-460F-A8EC-E18C6DE159FF}"/>
    <cellStyle name="40% - 강조색4 16" xfId="356" xr:uid="{E771F947-75DA-4814-9184-2E49D604F767}"/>
    <cellStyle name="40% - 강조색4 16 2" xfId="682" xr:uid="{58285420-17B5-49D1-8DF0-A06E656F3438}"/>
    <cellStyle name="40% - 강조색4 17" xfId="380" xr:uid="{BF801756-05BE-4D5A-B0AE-A97D209D883B}"/>
    <cellStyle name="40% - 강조색4 2" xfId="76" xr:uid="{EB5178A4-8D44-4DCF-8595-8E58742034D4}"/>
    <cellStyle name="40% - 강조색4 2 2" xfId="402" xr:uid="{37308085-847B-4ED4-A2CB-86116581835E}"/>
    <cellStyle name="40% - 강조색4 3" xfId="96" xr:uid="{7DDF99F7-62C4-4110-8149-7035429412C4}"/>
    <cellStyle name="40% - 강조색4 3 2" xfId="422" xr:uid="{AE1DF6BA-8219-495D-A559-5595662E522B}"/>
    <cellStyle name="40% - 강조색4 4" xfId="116" xr:uid="{1E9F2364-AB0C-4410-BDC1-1AE32AB9EBB0}"/>
    <cellStyle name="40% - 강조색4 4 2" xfId="442" xr:uid="{745F50C8-B434-4F58-9EA6-7BE13FE61EDE}"/>
    <cellStyle name="40% - 강조색4 5" xfId="136" xr:uid="{E68D7333-2DDE-4C3C-926E-5C42685FBF6F}"/>
    <cellStyle name="40% - 강조색4 5 2" xfId="462" xr:uid="{98FDF6BA-EA7E-49AF-9B93-3A34B41467FB}"/>
    <cellStyle name="40% - 강조색4 6" xfId="156" xr:uid="{4ACE2520-D97A-432B-9F39-F4AEAB87806C}"/>
    <cellStyle name="40% - 강조색4 6 2" xfId="482" xr:uid="{8C580946-063D-479A-B102-6507739C3FA9}"/>
    <cellStyle name="40% - 강조색4 7" xfId="176" xr:uid="{45C0AF15-E90B-4919-B72B-1328E7C285F5}"/>
    <cellStyle name="40% - 강조색4 7 2" xfId="502" xr:uid="{9075EAE3-5BDB-42D8-86DB-4950A43F62E6}"/>
    <cellStyle name="40% - 강조색4 8" xfId="196" xr:uid="{42FE4E23-137F-4281-896F-4A37A35DF536}"/>
    <cellStyle name="40% - 강조색4 8 2" xfId="522" xr:uid="{90EFC29F-E633-4F15-A6EA-BD8C6438F6C8}"/>
    <cellStyle name="40% - 강조색4 9" xfId="216" xr:uid="{5FE4A7DD-4F23-4F4B-9A91-26CA02F74E9F}"/>
    <cellStyle name="40% - 강조색4 9 2" xfId="542" xr:uid="{6E0F506F-D7E0-44F1-AC96-1A5A4F3830E8}"/>
    <cellStyle name="40% - 강조색5" xfId="42" builtinId="47" customBuiltin="1"/>
    <cellStyle name="40% - 강조색5 10" xfId="239" xr:uid="{BA76548E-7B5B-498D-8406-8634949E5754}"/>
    <cellStyle name="40% - 강조색5 10 2" xfId="565" xr:uid="{AAE5E940-EFED-434F-9788-ACB3835964F0}"/>
    <cellStyle name="40% - 강조색5 11" xfId="259" xr:uid="{424F185F-7460-4E6C-A653-EFCCE0B5C804}"/>
    <cellStyle name="40% - 강조색5 11 2" xfId="585" xr:uid="{311E7204-568E-4889-AFF7-516BAC0A7A22}"/>
    <cellStyle name="40% - 강조색5 12" xfId="279" xr:uid="{F5BD1F5E-3484-4B88-A4B4-9A38BB4DB575}"/>
    <cellStyle name="40% - 강조색5 12 2" xfId="605" xr:uid="{7E116849-7762-4260-A82B-04BA30472012}"/>
    <cellStyle name="40% - 강조색5 13" xfId="299" xr:uid="{A664C5D0-FB12-4A05-B564-030B6E90913C}"/>
    <cellStyle name="40% - 강조색5 13 2" xfId="625" xr:uid="{CE4B90E2-9B03-44B2-94D1-AE954B1D4E88}"/>
    <cellStyle name="40% - 강조색5 14" xfId="319" xr:uid="{BE37C2E4-E4CE-499D-B8C6-1A2D96C594B2}"/>
    <cellStyle name="40% - 강조색5 14 2" xfId="645" xr:uid="{A4FB2A48-DD89-4F48-98D6-84B984AC0E2E}"/>
    <cellStyle name="40% - 강조색5 15" xfId="339" xr:uid="{A60B9A30-D593-48D8-B8B7-DA95F35BD562}"/>
    <cellStyle name="40% - 강조색5 15 2" xfId="665" xr:uid="{93C8CB02-6E93-46B8-8E9E-26C1ACC99414}"/>
    <cellStyle name="40% - 강조색5 16" xfId="359" xr:uid="{3572AD67-08C0-4CA1-9D33-A662BC77D774}"/>
    <cellStyle name="40% - 강조색5 16 2" xfId="685" xr:uid="{121B2DBA-9A3E-4D8F-8092-08BFBD8B0CAC}"/>
    <cellStyle name="40% - 강조색5 17" xfId="383" xr:uid="{2ED52A95-2DB0-461B-B67C-19AC53847AE9}"/>
    <cellStyle name="40% - 강조색5 2" xfId="79" xr:uid="{2FD2444E-57DF-4113-B480-858C6A8D4451}"/>
    <cellStyle name="40% - 강조색5 2 2" xfId="405" xr:uid="{BEE0CF2F-2E49-421F-A635-8992BAE7D3D6}"/>
    <cellStyle name="40% - 강조색5 3" xfId="99" xr:uid="{F226EFB6-2501-4022-91DE-D0995D383E3C}"/>
    <cellStyle name="40% - 강조색5 3 2" xfId="425" xr:uid="{4661970A-303A-4957-A4A4-95BD85C85255}"/>
    <cellStyle name="40% - 강조색5 4" xfId="119" xr:uid="{48F82457-8C9B-4497-BFC6-D40C30AE952B}"/>
    <cellStyle name="40% - 강조색5 4 2" xfId="445" xr:uid="{02435DFF-6C96-4D71-95F3-32224F0A916A}"/>
    <cellStyle name="40% - 강조색5 5" xfId="139" xr:uid="{5D18B759-CFA1-423A-8896-513E7463EA2D}"/>
    <cellStyle name="40% - 강조색5 5 2" xfId="465" xr:uid="{A0F7D106-C97A-4CA2-B311-5437CE032C27}"/>
    <cellStyle name="40% - 강조색5 6" xfId="159" xr:uid="{92D981D6-A165-4648-B862-13C2C8AF5A2B}"/>
    <cellStyle name="40% - 강조색5 6 2" xfId="485" xr:uid="{B8AE8091-B638-421C-9D16-652300F9C7D1}"/>
    <cellStyle name="40% - 강조색5 7" xfId="179" xr:uid="{0E855858-D7BA-4E58-A50B-DF778967EFAA}"/>
    <cellStyle name="40% - 강조색5 7 2" xfId="505" xr:uid="{FC6BB774-61D4-44A4-B2A2-6BC1EA162F8C}"/>
    <cellStyle name="40% - 강조색5 8" xfId="199" xr:uid="{4D7F1574-D752-49B6-892C-7686097E072D}"/>
    <cellStyle name="40% - 강조색5 8 2" xfId="525" xr:uid="{C72E6ADE-7654-4BB8-A4D4-AA2048319308}"/>
    <cellStyle name="40% - 강조색5 9" xfId="219" xr:uid="{C3599F2D-029D-43AC-A322-099F96CB9902}"/>
    <cellStyle name="40% - 강조색5 9 2" xfId="545" xr:uid="{A0DDE44A-6DFD-4647-AB0F-467B3A4B6251}"/>
    <cellStyle name="40% - 강조색6" xfId="46" builtinId="51" customBuiltin="1"/>
    <cellStyle name="40% - 강조색6 10" xfId="242" xr:uid="{E82BFB48-84FD-41B7-AB7F-3FC7DAD9B6DF}"/>
    <cellStyle name="40% - 강조색6 10 2" xfId="568" xr:uid="{BA77E0A3-5094-4F23-BA11-86477752FD24}"/>
    <cellStyle name="40% - 강조색6 11" xfId="262" xr:uid="{7F222311-21F8-4F52-86D3-B6BCB9F92164}"/>
    <cellStyle name="40% - 강조색6 11 2" xfId="588" xr:uid="{A3E237FD-3D6F-46DB-B517-086E10DAED6C}"/>
    <cellStyle name="40% - 강조색6 12" xfId="282" xr:uid="{620521F1-AF1F-4213-A635-B81EA35B4D80}"/>
    <cellStyle name="40% - 강조색6 12 2" xfId="608" xr:uid="{E0F044D9-B92A-4A82-8C12-F70F75F6E4A6}"/>
    <cellStyle name="40% - 강조색6 13" xfId="302" xr:uid="{918AA8C0-6591-4A67-A306-A8D34B2778DA}"/>
    <cellStyle name="40% - 강조색6 13 2" xfId="628" xr:uid="{DC4C1E51-3EB8-4A4B-B5A4-238E304E3CFC}"/>
    <cellStyle name="40% - 강조색6 14" xfId="322" xr:uid="{0F489502-E054-437F-BAD6-962A518FFF7D}"/>
    <cellStyle name="40% - 강조색6 14 2" xfId="648" xr:uid="{F189C1B9-0361-4C18-B2C4-404FBEDD8D7D}"/>
    <cellStyle name="40% - 강조색6 15" xfId="342" xr:uid="{D02158DF-36FE-4148-9949-1B565C11BBDF}"/>
    <cellStyle name="40% - 강조색6 15 2" xfId="668" xr:uid="{FB875705-8822-4E18-994B-0D511BB3C1C0}"/>
    <cellStyle name="40% - 강조색6 16" xfId="362" xr:uid="{0228A41F-3552-403A-BEB9-13D91F7107B5}"/>
    <cellStyle name="40% - 강조색6 16 2" xfId="688" xr:uid="{33C0478D-2378-47ED-B89B-8C1E402E44EE}"/>
    <cellStyle name="40% - 강조색6 17" xfId="386" xr:uid="{33BA725C-531F-45C2-AF45-50BC6D895E6B}"/>
    <cellStyle name="40% - 강조색6 2" xfId="82" xr:uid="{ABAFEDE8-FFD6-42E3-AE21-8DF4E8E999CF}"/>
    <cellStyle name="40% - 강조색6 2 2" xfId="408" xr:uid="{EC5CC130-63B4-497A-841B-531A5394634B}"/>
    <cellStyle name="40% - 강조색6 3" xfId="102" xr:uid="{261FF799-21A4-4DFD-BC41-AD36A40AB6C0}"/>
    <cellStyle name="40% - 강조색6 3 2" xfId="428" xr:uid="{B7D4D7C4-5A69-4232-9EDC-06BE9C0660E1}"/>
    <cellStyle name="40% - 강조색6 4" xfId="122" xr:uid="{6D2E5168-6F7B-4B98-A80D-3A36768628F3}"/>
    <cellStyle name="40% - 강조색6 4 2" xfId="448" xr:uid="{9E6FE1AF-13D7-4540-805F-9CC65229710A}"/>
    <cellStyle name="40% - 강조색6 5" xfId="142" xr:uid="{4647BD6D-3215-4C41-8EF3-2645F2D1CA00}"/>
    <cellStyle name="40% - 강조색6 5 2" xfId="468" xr:uid="{F650306A-9608-4298-BC47-CD96995B65D4}"/>
    <cellStyle name="40% - 강조색6 6" xfId="162" xr:uid="{7E3D72B4-30A0-4B08-BDD0-18D2D7826858}"/>
    <cellStyle name="40% - 강조색6 6 2" xfId="488" xr:uid="{2254C232-9AB7-4C77-95AD-6732248C9AAB}"/>
    <cellStyle name="40% - 강조색6 7" xfId="182" xr:uid="{05CFEC58-67B0-46E3-A580-AB3F892F5F02}"/>
    <cellStyle name="40% - 강조색6 7 2" xfId="508" xr:uid="{5BC35FD6-628C-4784-B529-B266C8F8BCA2}"/>
    <cellStyle name="40% - 강조색6 8" xfId="202" xr:uid="{3DB6A435-9D18-41C8-A80C-5CA6BC3C8EC3}"/>
    <cellStyle name="40% - 강조색6 8 2" xfId="528" xr:uid="{D896379B-EDA5-4D41-8F54-E7EA47C0AEE4}"/>
    <cellStyle name="40% - 강조색6 9" xfId="222" xr:uid="{437FDFC9-C82F-4230-A465-4560C5905C74}"/>
    <cellStyle name="40% - 강조색6 9 2" xfId="548" xr:uid="{23F2E989-D1DB-40F9-8141-8F0F13CC8FC1}"/>
    <cellStyle name="60% - 강조색1" xfId="27" builtinId="32" customBuiltin="1"/>
    <cellStyle name="60% - 강조색1 10" xfId="228" xr:uid="{B2CB40AD-4A4F-4918-9765-E0E0363F2909}"/>
    <cellStyle name="60% - 강조색1 10 2" xfId="554" xr:uid="{716893EB-55D8-49AE-8824-F96AE98EC548}"/>
    <cellStyle name="60% - 강조색1 11" xfId="248" xr:uid="{E4397767-24DE-4A4E-8808-6EE3AC7ADD6A}"/>
    <cellStyle name="60% - 강조색1 11 2" xfId="574" xr:uid="{E631519B-5058-4FCA-A912-0C0056FF6E35}"/>
    <cellStyle name="60% - 강조색1 12" xfId="268" xr:uid="{45163B68-6E14-49BA-BFA4-ECA510354E09}"/>
    <cellStyle name="60% - 강조색1 12 2" xfId="594" xr:uid="{AF48C2FD-DF4A-4E94-8723-278BF6A7D844}"/>
    <cellStyle name="60% - 강조색1 13" xfId="288" xr:uid="{4ECEC866-C940-4B1D-8E38-55A23D2D0542}"/>
    <cellStyle name="60% - 강조색1 13 2" xfId="614" xr:uid="{81BF8C33-1380-46C9-B1BC-D076DC9D5796}"/>
    <cellStyle name="60% - 강조색1 14" xfId="308" xr:uid="{DF8043AD-8773-4D93-B2C8-1B5C7502C135}"/>
    <cellStyle name="60% - 강조색1 14 2" xfId="634" xr:uid="{6D4924FB-D4EC-4984-958C-62DD197925B4}"/>
    <cellStyle name="60% - 강조색1 15" xfId="328" xr:uid="{AE574A2D-9FB0-4ACE-B888-47AD5434508A}"/>
    <cellStyle name="60% - 강조색1 15 2" xfId="654" xr:uid="{4B960FB9-0582-4163-8762-80E9E03E4C92}"/>
    <cellStyle name="60% - 강조색1 16" xfId="348" xr:uid="{8CEA539B-6240-42C9-B368-161B9EDC0A45}"/>
    <cellStyle name="60% - 강조색1 16 2" xfId="674" xr:uid="{530C25CC-14FC-4BBE-B556-FF24741D1FE8}"/>
    <cellStyle name="60% - 강조색1 17" xfId="372" xr:uid="{7F093298-44F2-40F4-905A-56E02281C76D}"/>
    <cellStyle name="60% - 강조색1 2" xfId="68" xr:uid="{D96F520C-0939-4D6D-A16E-E458CF2912C2}"/>
    <cellStyle name="60% - 강조색1 2 2" xfId="394" xr:uid="{AD3A7BF6-70EC-4EAA-ACBB-CD08D3E74DF1}"/>
    <cellStyle name="60% - 강조색1 3" xfId="88" xr:uid="{F66CE541-3BD7-4504-AC6D-7AF378A3DEDA}"/>
    <cellStyle name="60% - 강조색1 3 2" xfId="414" xr:uid="{968F2DDD-35D0-4B4F-BAD1-0473956120DA}"/>
    <cellStyle name="60% - 강조색1 4" xfId="108" xr:uid="{6FA34F41-E20A-49FA-BFCA-CD52598158FD}"/>
    <cellStyle name="60% - 강조색1 4 2" xfId="434" xr:uid="{5A016575-34C8-456A-9861-4431A90BEB9F}"/>
    <cellStyle name="60% - 강조색1 5" xfId="128" xr:uid="{3463E9EE-F8EC-4E54-834C-9B81B7FECD98}"/>
    <cellStyle name="60% - 강조색1 5 2" xfId="454" xr:uid="{C733D582-8350-44A7-B391-05FC6BB2B0A0}"/>
    <cellStyle name="60% - 강조색1 6" xfId="148" xr:uid="{5B333DEA-5B17-48AA-B16F-C66878B0742C}"/>
    <cellStyle name="60% - 강조색1 6 2" xfId="474" xr:uid="{65B88DBF-6BBC-4F4A-BD17-3CFF58AA7491}"/>
    <cellStyle name="60% - 강조색1 7" xfId="168" xr:uid="{8212DAC3-9A02-42BE-8CA2-BF85CA1F7FF5}"/>
    <cellStyle name="60% - 강조색1 7 2" xfId="494" xr:uid="{11A8AF8F-E20E-42BA-B672-EC81DF7ADF05}"/>
    <cellStyle name="60% - 강조색1 8" xfId="188" xr:uid="{C4DD9030-1D5F-45AE-A9B8-68EA671C2427}"/>
    <cellStyle name="60% - 강조색1 8 2" xfId="514" xr:uid="{BB2511A3-C809-4350-9216-444F9C856FBF}"/>
    <cellStyle name="60% - 강조색1 9" xfId="208" xr:uid="{17F085EB-9BA6-42BC-90C0-6F0174349845}"/>
    <cellStyle name="60% - 강조색1 9 2" xfId="534" xr:uid="{8BA2814B-4D44-4E0D-BC5A-5F5D6BB08F4E}"/>
    <cellStyle name="60% - 강조색2" xfId="31" builtinId="36" customBuiltin="1"/>
    <cellStyle name="60% - 강조색2 10" xfId="231" xr:uid="{14C597ED-74A6-41A0-B9C3-84CD44CA0D59}"/>
    <cellStyle name="60% - 강조색2 10 2" xfId="557" xr:uid="{C2208A7B-612E-457D-AEE8-F7882A9DAAB2}"/>
    <cellStyle name="60% - 강조색2 11" xfId="251" xr:uid="{8C1F64DB-16E4-48E9-A735-71A04F737194}"/>
    <cellStyle name="60% - 강조색2 11 2" xfId="577" xr:uid="{89F9C4F5-D74B-41DF-9F67-4062859E033D}"/>
    <cellStyle name="60% - 강조색2 12" xfId="271" xr:uid="{8AF8D59B-02D0-4311-9B00-197848AD0A13}"/>
    <cellStyle name="60% - 강조색2 12 2" xfId="597" xr:uid="{E6000D19-C5F0-4BD0-81E2-1BE52BDE2F72}"/>
    <cellStyle name="60% - 강조색2 13" xfId="291" xr:uid="{092D3EDE-EB8C-4BC8-A3E3-6F8586AFA4F1}"/>
    <cellStyle name="60% - 강조색2 13 2" xfId="617" xr:uid="{F2C4DEBC-7853-4F00-94F9-EFDBD3981823}"/>
    <cellStyle name="60% - 강조색2 14" xfId="311" xr:uid="{67D6E8F6-6671-4854-A51D-68A4D4178F79}"/>
    <cellStyle name="60% - 강조색2 14 2" xfId="637" xr:uid="{80363DA6-560D-4E2A-B6A2-02B168EADC91}"/>
    <cellStyle name="60% - 강조색2 15" xfId="331" xr:uid="{AFB5EB0C-80FD-4EB2-B8A6-C7F9EA67F76F}"/>
    <cellStyle name="60% - 강조색2 15 2" xfId="657" xr:uid="{7B010868-751E-4D77-8EB2-E9E10EF358DB}"/>
    <cellStyle name="60% - 강조색2 16" xfId="351" xr:uid="{509739BE-ABF1-4169-8BB8-402FA881B622}"/>
    <cellStyle name="60% - 강조색2 16 2" xfId="677" xr:uid="{F9457492-35D1-431A-BA4B-F08ED94A52FA}"/>
    <cellStyle name="60% - 강조색2 17" xfId="375" xr:uid="{0E105AEC-84DC-4C45-952C-5A63B924A83C}"/>
    <cellStyle name="60% - 강조색2 2" xfId="71" xr:uid="{644D7E5D-D95D-4561-AA7D-F03E99268569}"/>
    <cellStyle name="60% - 강조색2 2 2" xfId="397" xr:uid="{9391A819-3926-4942-A529-C66691DEC0E2}"/>
    <cellStyle name="60% - 강조색2 3" xfId="91" xr:uid="{6D8DD7CB-BAD5-42BD-8CAA-D865CE7EE7B0}"/>
    <cellStyle name="60% - 강조색2 3 2" xfId="417" xr:uid="{FF924D95-8FCF-4B74-9DA1-F5CB01713D89}"/>
    <cellStyle name="60% - 강조색2 4" xfId="111" xr:uid="{EB7CA402-BA71-47F3-AA96-0364DD842CDA}"/>
    <cellStyle name="60% - 강조색2 4 2" xfId="437" xr:uid="{0BBCA394-7828-40DE-B278-E67C846828F1}"/>
    <cellStyle name="60% - 강조색2 5" xfId="131" xr:uid="{F4E8DAEC-7A51-4F25-AF51-75342EDBB9BF}"/>
    <cellStyle name="60% - 강조색2 5 2" xfId="457" xr:uid="{A5A41A51-5D4D-4DCB-B914-781920DD59F6}"/>
    <cellStyle name="60% - 강조색2 6" xfId="151" xr:uid="{232C6D60-F69C-4131-BA00-A2518A57C92F}"/>
    <cellStyle name="60% - 강조색2 6 2" xfId="477" xr:uid="{28920535-5E28-4088-82D2-C79EB4AC1B0D}"/>
    <cellStyle name="60% - 강조색2 7" xfId="171" xr:uid="{54B6E76E-4A23-423C-A58F-0036EF4BD218}"/>
    <cellStyle name="60% - 강조색2 7 2" xfId="497" xr:uid="{C47A5AD5-75E5-48A6-BF07-4714249EBE3F}"/>
    <cellStyle name="60% - 강조색2 8" xfId="191" xr:uid="{CAB13629-03F9-4D57-B12A-3727FBAF4666}"/>
    <cellStyle name="60% - 강조색2 8 2" xfId="517" xr:uid="{62BEFE39-4CCF-4A3A-8018-6A959D2A2B4F}"/>
    <cellStyle name="60% - 강조색2 9" xfId="211" xr:uid="{A63107D2-B5A6-4F95-8B93-DE528608944A}"/>
    <cellStyle name="60% - 강조색2 9 2" xfId="537" xr:uid="{718210F5-E92E-44EF-ABF8-60C5ABA46674}"/>
    <cellStyle name="60% - 강조색3" xfId="35" builtinId="40" customBuiltin="1"/>
    <cellStyle name="60% - 강조색3 10" xfId="234" xr:uid="{ED75E9BB-902D-42DB-AF09-843CCDFA3E09}"/>
    <cellStyle name="60% - 강조색3 10 2" xfId="560" xr:uid="{ED026136-452A-4164-8F55-332F07E34BB5}"/>
    <cellStyle name="60% - 강조색3 11" xfId="254" xr:uid="{EA1454C4-3A62-4C0E-9767-7776B2D9DF0C}"/>
    <cellStyle name="60% - 강조색3 11 2" xfId="580" xr:uid="{E382B2DB-B03B-4F05-A2FE-462AE79D4E0F}"/>
    <cellStyle name="60% - 강조색3 12" xfId="274" xr:uid="{758273EF-D7DF-41A3-A017-443AF2472E7F}"/>
    <cellStyle name="60% - 강조색3 12 2" xfId="600" xr:uid="{CB58E2B6-EEB6-40D5-B78F-093BAAD2D156}"/>
    <cellStyle name="60% - 강조색3 13" xfId="294" xr:uid="{9D1FA834-CFEF-4C9E-A7EE-EB66B3C4C5F0}"/>
    <cellStyle name="60% - 강조색3 13 2" xfId="620" xr:uid="{2480EC36-08F0-47E1-8CC2-43E986DFBDDE}"/>
    <cellStyle name="60% - 강조색3 14" xfId="314" xr:uid="{8A0584AF-AF63-476E-9C0B-405244535428}"/>
    <cellStyle name="60% - 강조색3 14 2" xfId="640" xr:uid="{9506A392-450E-4BDA-868E-FBF3706E1653}"/>
    <cellStyle name="60% - 강조색3 15" xfId="334" xr:uid="{814BFB90-17CB-4D6B-A673-DDF213A4D15F}"/>
    <cellStyle name="60% - 강조색3 15 2" xfId="660" xr:uid="{31C2C45B-A7CF-4E7E-AA5C-53652997DD10}"/>
    <cellStyle name="60% - 강조색3 16" xfId="354" xr:uid="{37125019-D4FC-4E93-9440-04BD06B12DCE}"/>
    <cellStyle name="60% - 강조색3 16 2" xfId="680" xr:uid="{7C91D700-9E5C-439D-BF69-20679D09925C}"/>
    <cellStyle name="60% - 강조색3 17" xfId="378" xr:uid="{B483A45B-D613-423F-AB6D-BE2A0E7A1A68}"/>
    <cellStyle name="60% - 강조색3 2" xfId="74" xr:uid="{8A119AEB-6E38-4FDE-B0BF-D55711F2A704}"/>
    <cellStyle name="60% - 강조색3 2 2" xfId="400" xr:uid="{0A41F3EA-18B3-4873-B4FB-EFF49C811C55}"/>
    <cellStyle name="60% - 강조색3 3" xfId="94" xr:uid="{3C8C73D0-4078-4609-BAB5-8A20ADB91724}"/>
    <cellStyle name="60% - 강조색3 3 2" xfId="420" xr:uid="{0F25B658-55BD-4EA4-81D7-2B8381AD977A}"/>
    <cellStyle name="60% - 강조색3 4" xfId="114" xr:uid="{EC9E5DEB-280D-4710-9F22-874497065958}"/>
    <cellStyle name="60% - 강조색3 4 2" xfId="440" xr:uid="{C8C4E472-41A6-4200-9B5B-48FF13761520}"/>
    <cellStyle name="60% - 강조색3 5" xfId="134" xr:uid="{CBEAA6D1-B501-4E4F-92F6-55490AEBEF24}"/>
    <cellStyle name="60% - 강조색3 5 2" xfId="460" xr:uid="{D9695D79-C200-477B-BE15-3E186AE0094F}"/>
    <cellStyle name="60% - 강조색3 6" xfId="154" xr:uid="{BF2604A9-F699-4508-B09F-0FCF998B8E7C}"/>
    <cellStyle name="60% - 강조색3 6 2" xfId="480" xr:uid="{0D5B3F67-56F7-495A-B787-111DDCDA515F}"/>
    <cellStyle name="60% - 강조색3 7" xfId="174" xr:uid="{CC34085C-2DF9-4B63-BC74-48FB0D0B41C0}"/>
    <cellStyle name="60% - 강조색3 7 2" xfId="500" xr:uid="{DF872E01-4F7F-4EA1-B3B1-9F1F57605DF9}"/>
    <cellStyle name="60% - 강조색3 8" xfId="194" xr:uid="{92B4DA0C-F19C-4089-8BF9-BBEE225A05A5}"/>
    <cellStyle name="60% - 강조색3 8 2" xfId="520" xr:uid="{60B19A0F-BFE3-4AE4-8768-B65FFBFE48EA}"/>
    <cellStyle name="60% - 강조색3 9" xfId="214" xr:uid="{FB8BE683-8343-4BEB-9B06-CDF01B070856}"/>
    <cellStyle name="60% - 강조색3 9 2" xfId="540" xr:uid="{20D1634B-CEAF-4453-91D3-486B1B80280E}"/>
    <cellStyle name="60% - 강조색4" xfId="39" builtinId="44" customBuiltin="1"/>
    <cellStyle name="60% - 강조색4 10" xfId="237" xr:uid="{70E89AC4-5EED-43E7-9ED8-EF9FC159426C}"/>
    <cellStyle name="60% - 강조색4 10 2" xfId="563" xr:uid="{CDC0EF42-7DE5-4D23-8FE6-DF68950457FF}"/>
    <cellStyle name="60% - 강조색4 11" xfId="257" xr:uid="{069866A3-60DC-46EA-9CD7-FBE3CA7D5DA3}"/>
    <cellStyle name="60% - 강조색4 11 2" xfId="583" xr:uid="{F92A5232-9E46-46E6-85D4-4D6238A1C6F0}"/>
    <cellStyle name="60% - 강조색4 12" xfId="277" xr:uid="{D7C60D16-EB4F-4F13-94C9-22FBC38F668A}"/>
    <cellStyle name="60% - 강조색4 12 2" xfId="603" xr:uid="{6AF99043-B7D6-4BB1-8B38-7DBAD2907E0A}"/>
    <cellStyle name="60% - 강조색4 13" xfId="297" xr:uid="{6F27FC83-76D1-46F7-B3AD-56241F0BE553}"/>
    <cellStyle name="60% - 강조색4 13 2" xfId="623" xr:uid="{37A638F9-FB80-4D13-A030-B84321FDAD52}"/>
    <cellStyle name="60% - 강조색4 14" xfId="317" xr:uid="{E2708639-9E78-49CB-99B9-C5695C11F1AA}"/>
    <cellStyle name="60% - 강조색4 14 2" xfId="643" xr:uid="{9C2EDD99-A228-4F35-9070-6C6F04B07F1A}"/>
    <cellStyle name="60% - 강조색4 15" xfId="337" xr:uid="{C85AEFAC-1A27-465A-808B-FF9B657C1459}"/>
    <cellStyle name="60% - 강조색4 15 2" xfId="663" xr:uid="{A87A6C87-57C1-44A7-8E05-00B95A511A9B}"/>
    <cellStyle name="60% - 강조색4 16" xfId="357" xr:uid="{19EA790D-267E-40B1-9477-DADE12FD25CC}"/>
    <cellStyle name="60% - 강조색4 16 2" xfId="683" xr:uid="{DC589776-962C-4370-905E-8809AA47C0D6}"/>
    <cellStyle name="60% - 강조색4 17" xfId="381" xr:uid="{E0AF7DA9-80D6-4486-B3D9-0D32BD159559}"/>
    <cellStyle name="60% - 강조색4 2" xfId="77" xr:uid="{1792CD84-041D-468B-B354-D747C2D04C1D}"/>
    <cellStyle name="60% - 강조색4 2 2" xfId="403" xr:uid="{6DA805A7-409C-4B6C-AF3D-B4E4DCEB44B1}"/>
    <cellStyle name="60% - 강조색4 3" xfId="97" xr:uid="{A1937497-621F-41D7-853F-4DF5D3F9421B}"/>
    <cellStyle name="60% - 강조색4 3 2" xfId="423" xr:uid="{A9203216-0BE1-4DE6-8800-30F0929D088C}"/>
    <cellStyle name="60% - 강조색4 4" xfId="117" xr:uid="{77FD045A-28DE-49C3-9FED-388E253D598A}"/>
    <cellStyle name="60% - 강조색4 4 2" xfId="443" xr:uid="{A7BA055D-AEA3-4494-837D-15FE42578D5F}"/>
    <cellStyle name="60% - 강조색4 5" xfId="137" xr:uid="{990E823D-6CD7-4AD7-A165-238769E1884C}"/>
    <cellStyle name="60% - 강조색4 5 2" xfId="463" xr:uid="{4E7F5A72-0E60-4CB1-924A-11F501FCA3C6}"/>
    <cellStyle name="60% - 강조색4 6" xfId="157" xr:uid="{DEC53E00-AB73-4777-A99B-B832E160D84A}"/>
    <cellStyle name="60% - 강조색4 6 2" xfId="483" xr:uid="{43272124-39DB-4260-98C4-941AE1BDB319}"/>
    <cellStyle name="60% - 강조색4 7" xfId="177" xr:uid="{98FF8F1B-C298-4C4F-8370-A09AC3F2FFB8}"/>
    <cellStyle name="60% - 강조색4 7 2" xfId="503" xr:uid="{09CECDE9-C870-4619-9DA2-8DE9D0C4A992}"/>
    <cellStyle name="60% - 강조색4 8" xfId="197" xr:uid="{5C8022D0-2716-4511-BCE5-F749E9A7505F}"/>
    <cellStyle name="60% - 강조색4 8 2" xfId="523" xr:uid="{1DF0264B-901E-4FE6-950C-0F69F238339A}"/>
    <cellStyle name="60% - 강조색4 9" xfId="217" xr:uid="{398F5B73-4152-4111-A6C1-88930B304A8F}"/>
    <cellStyle name="60% - 강조색4 9 2" xfId="543" xr:uid="{B45702C4-B062-45FF-B097-C5EC4FC10324}"/>
    <cellStyle name="60% - 강조색5" xfId="43" builtinId="48" customBuiltin="1"/>
    <cellStyle name="60% - 강조색5 10" xfId="240" xr:uid="{A4732F92-E2E7-47F7-8962-09A53158E49E}"/>
    <cellStyle name="60% - 강조색5 10 2" xfId="566" xr:uid="{539B5567-0BBB-4CFA-ACE7-CD69405258C8}"/>
    <cellStyle name="60% - 강조색5 11" xfId="260" xr:uid="{833A5587-5E37-4DDD-A9A7-B9B835D4EEC6}"/>
    <cellStyle name="60% - 강조색5 11 2" xfId="586" xr:uid="{C6B0B1C5-F5FF-4807-AA17-DE7DE609D400}"/>
    <cellStyle name="60% - 강조색5 12" xfId="280" xr:uid="{0CF639C7-E6D7-4838-8BD1-2A7DDFC35C69}"/>
    <cellStyle name="60% - 강조색5 12 2" xfId="606" xr:uid="{E1F68129-B9C3-4267-B333-1E4C3B862E89}"/>
    <cellStyle name="60% - 강조색5 13" xfId="300" xr:uid="{DD9DC0D0-B0AA-4409-BC18-73F74EE6DC64}"/>
    <cellStyle name="60% - 강조색5 13 2" xfId="626" xr:uid="{B9BC7258-486F-4898-95D7-494429E00BBC}"/>
    <cellStyle name="60% - 강조색5 14" xfId="320" xr:uid="{509A9514-662E-4223-8C47-3AF46E407071}"/>
    <cellStyle name="60% - 강조색5 14 2" xfId="646" xr:uid="{28EF65A0-5048-40C7-967B-8AC0D899BF98}"/>
    <cellStyle name="60% - 강조색5 15" xfId="340" xr:uid="{9B28C65F-3F16-43C9-9433-48DBF0EA6B76}"/>
    <cellStyle name="60% - 강조색5 15 2" xfId="666" xr:uid="{CB358EC4-4CC2-4497-88DE-8DFC590CAB3F}"/>
    <cellStyle name="60% - 강조색5 16" xfId="360" xr:uid="{77D17A4D-0892-4BC2-B936-5A54501FA2FF}"/>
    <cellStyle name="60% - 강조색5 16 2" xfId="686" xr:uid="{5A1B45FA-8841-4D0B-BF0E-37C7F48819B8}"/>
    <cellStyle name="60% - 강조색5 17" xfId="384" xr:uid="{041AF838-F743-4A02-AA39-B29EEE838AB2}"/>
    <cellStyle name="60% - 강조색5 2" xfId="80" xr:uid="{83C87137-7D9D-4435-8D26-FB3DD7FDD5B2}"/>
    <cellStyle name="60% - 강조색5 2 2" xfId="406" xr:uid="{0CFCEF93-74F1-40DC-B022-162F8F281760}"/>
    <cellStyle name="60% - 강조색5 3" xfId="100" xr:uid="{8A3FC43A-9273-4EDE-A3D4-12656ACA2B00}"/>
    <cellStyle name="60% - 강조색5 3 2" xfId="426" xr:uid="{0E3AA4F8-443D-4A92-9286-B19848AA6338}"/>
    <cellStyle name="60% - 강조색5 4" xfId="120" xr:uid="{8C64B1C1-5D00-4464-8C70-D32A97402830}"/>
    <cellStyle name="60% - 강조색5 4 2" xfId="446" xr:uid="{F88243B4-52C3-4057-BDFB-F70E64B047AE}"/>
    <cellStyle name="60% - 강조색5 5" xfId="140" xr:uid="{CEEB8C43-7F0B-422B-AD7B-CFAA54FDBE61}"/>
    <cellStyle name="60% - 강조색5 5 2" xfId="466" xr:uid="{F0F1B274-547A-4D76-92E1-ADFE48258C21}"/>
    <cellStyle name="60% - 강조색5 6" xfId="160" xr:uid="{7CAA41A2-41F0-4F2A-852C-9148935AF173}"/>
    <cellStyle name="60% - 강조색5 6 2" xfId="486" xr:uid="{375AB23B-2BDD-422B-A405-DFD164F9AB50}"/>
    <cellStyle name="60% - 강조색5 7" xfId="180" xr:uid="{B8F7E0E2-4C83-4F44-B59F-356F510E044A}"/>
    <cellStyle name="60% - 강조색5 7 2" xfId="506" xr:uid="{3AC65559-C515-4F73-8C83-80912B62CFE8}"/>
    <cellStyle name="60% - 강조색5 8" xfId="200" xr:uid="{6D2D570D-EC52-4E0C-B1E9-5D2AB26D118B}"/>
    <cellStyle name="60% - 강조색5 8 2" xfId="526" xr:uid="{A1F6E989-7FEC-4407-BE9A-6DABCE4EA8E2}"/>
    <cellStyle name="60% - 강조색5 9" xfId="220" xr:uid="{922B3494-236E-4C09-974D-F60AAF6C7BE7}"/>
    <cellStyle name="60% - 강조색5 9 2" xfId="546" xr:uid="{E92CF570-78BA-4D31-8BF4-6427C7F120FB}"/>
    <cellStyle name="60% - 강조색6" xfId="47" builtinId="52" customBuiltin="1"/>
    <cellStyle name="60% - 강조색6 10" xfId="243" xr:uid="{45C2A6A0-CD21-437A-82CA-BC3AD53B6A17}"/>
    <cellStyle name="60% - 강조색6 10 2" xfId="569" xr:uid="{5FD9F675-609D-47E2-95ED-2D4BA0DC2B23}"/>
    <cellStyle name="60% - 강조색6 11" xfId="263" xr:uid="{A320767B-703A-471C-8140-F1287F2FFA6B}"/>
    <cellStyle name="60% - 강조색6 11 2" xfId="589" xr:uid="{C2EC4849-596B-4B3A-9787-E48C56D85A00}"/>
    <cellStyle name="60% - 강조색6 12" xfId="283" xr:uid="{089059AD-EDC4-453B-8BF0-CD3801C452E4}"/>
    <cellStyle name="60% - 강조색6 12 2" xfId="609" xr:uid="{3E437D45-575A-4592-A2FA-1D91F3EF7828}"/>
    <cellStyle name="60% - 강조색6 13" xfId="303" xr:uid="{DF5BB59F-4766-4740-8D6D-9EFC37439CE9}"/>
    <cellStyle name="60% - 강조색6 13 2" xfId="629" xr:uid="{45F10604-07C8-4970-9C2B-B400CD1FB685}"/>
    <cellStyle name="60% - 강조색6 14" xfId="323" xr:uid="{7F342A78-9A20-4FA7-A393-60C2CB5924F1}"/>
    <cellStyle name="60% - 강조색6 14 2" xfId="649" xr:uid="{01472F48-A508-4D32-86FF-7B5D6E03CB78}"/>
    <cellStyle name="60% - 강조색6 15" xfId="343" xr:uid="{ED88BECD-6E0C-45E7-99FA-A4CDF3CF7ADD}"/>
    <cellStyle name="60% - 강조색6 15 2" xfId="669" xr:uid="{45DE4FB3-8499-4019-B410-F620C8E0762C}"/>
    <cellStyle name="60% - 강조색6 16" xfId="363" xr:uid="{606700C0-23F4-4BB8-B081-FB2BDB824788}"/>
    <cellStyle name="60% - 강조색6 16 2" xfId="689" xr:uid="{DEAD8788-B478-4CFE-AC35-029E5D124275}"/>
    <cellStyle name="60% - 강조색6 17" xfId="387" xr:uid="{E0C49DEB-B7F3-43A9-93BE-3556CED13C89}"/>
    <cellStyle name="60% - 강조색6 2" xfId="83" xr:uid="{17B91430-62BE-4134-AC04-1D7C5943D02F}"/>
    <cellStyle name="60% - 강조색6 2 2" xfId="409" xr:uid="{0897584B-4C29-45DA-9C08-438448909A5B}"/>
    <cellStyle name="60% - 강조색6 3" xfId="103" xr:uid="{9331A509-0875-4C0F-8C3D-D5FB52FB4174}"/>
    <cellStyle name="60% - 강조색6 3 2" xfId="429" xr:uid="{F14197A2-785B-40C5-9033-72CF735EC2B3}"/>
    <cellStyle name="60% - 강조색6 4" xfId="123" xr:uid="{B9658C44-09E3-424D-B22E-7C3FCC9C0806}"/>
    <cellStyle name="60% - 강조색6 4 2" xfId="449" xr:uid="{121EFA6B-3AD3-45CE-8096-2B7C1BF00A23}"/>
    <cellStyle name="60% - 강조색6 5" xfId="143" xr:uid="{C1BAFC03-FA40-4450-840A-F36FB1A6041B}"/>
    <cellStyle name="60% - 강조색6 5 2" xfId="469" xr:uid="{C66DC005-9672-47F9-A627-81446CB99577}"/>
    <cellStyle name="60% - 강조색6 6" xfId="163" xr:uid="{1089B983-8593-4207-A1CE-09349D3C4605}"/>
    <cellStyle name="60% - 강조색6 6 2" xfId="489" xr:uid="{0A79068E-A641-4A4C-BDE8-AB1C10301257}"/>
    <cellStyle name="60% - 강조색6 7" xfId="183" xr:uid="{FF60C2DA-079A-4EE1-A9B5-1AD3A9A8D643}"/>
    <cellStyle name="60% - 강조색6 7 2" xfId="509" xr:uid="{752C2208-7AA5-474C-B7E6-4A1786FB333F}"/>
    <cellStyle name="60% - 강조색6 8" xfId="203" xr:uid="{1DBB24E1-EC94-4394-B3EB-483F05503DF3}"/>
    <cellStyle name="60% - 강조색6 8 2" xfId="529" xr:uid="{734B267A-8D46-4C64-B612-1312B78E3C27}"/>
    <cellStyle name="60% - 강조색6 9" xfId="223" xr:uid="{3EA00A76-CBFA-49F9-B4AE-8BB59E2AEFE3}"/>
    <cellStyle name="60% - 강조색6 9 2" xfId="549" xr:uid="{0457F248-0D54-4F87-B068-6C7A7E309E8D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3" xr:uid="{CBA6508B-077C-D642-90AC-C703833CB265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89ECD5E5-75A5-0D4E-8E06-C906A3BDE173}"/>
    <cellStyle name="Normal_Capability Study - IPEG EVT1 0713a.xls" xfId="692" xr:uid="{EDE0CED2-921D-4D41-A07B-B4CD930D6078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강조색1" xfId="24" builtinId="29" customBuiltin="1"/>
    <cellStyle name="강조색2" xfId="28" builtinId="33" customBuiltin="1"/>
    <cellStyle name="강조색3" xfId="32" builtinId="37" customBuiltin="1"/>
    <cellStyle name="강조색4" xfId="36" builtinId="41" customBuiltin="1"/>
    <cellStyle name="강조색5" xfId="40" builtinId="45" customBuiltin="1"/>
    <cellStyle name="강조색6" xfId="44" builtinId="49" customBuiltin="1"/>
    <cellStyle name="경고문" xfId="21" builtinId="11" customBuiltin="1"/>
    <cellStyle name="계산" xfId="18" builtinId="22" customBuiltin="1"/>
    <cellStyle name="나쁨" xfId="14" builtinId="27" customBuiltin="1"/>
    <cellStyle name="나쁨 2" xfId="365" xr:uid="{5D9ED5E1-C801-406D-93E0-2B3591175749}"/>
    <cellStyle name="메모 10" xfId="205" xr:uid="{F1E6B1A6-DFCC-43B5-938B-AC4EA38735C0}"/>
    <cellStyle name="메모 10 2" xfId="531" xr:uid="{94189CAC-7F9C-4DC4-AC07-5E4823A08368}"/>
    <cellStyle name="메모 11" xfId="225" xr:uid="{96156C23-3B33-4EC6-904C-30CD9C6AE460}"/>
    <cellStyle name="메모 11 2" xfId="551" xr:uid="{A5590162-89CE-4046-9E62-98059462BC8F}"/>
    <cellStyle name="메모 12" xfId="245" xr:uid="{5CB831BA-C7F1-474B-BA74-58288726F36E}"/>
    <cellStyle name="메모 12 2" xfId="571" xr:uid="{A6543E53-A679-4601-A8BF-F02E9240CD41}"/>
    <cellStyle name="메모 13" xfId="265" xr:uid="{91BBAD60-6ED6-4715-A410-BA21B2B80F9B}"/>
    <cellStyle name="메모 13 2" xfId="591" xr:uid="{3B4FDE31-DB01-450C-9B38-D125E506559D}"/>
    <cellStyle name="메모 14" xfId="285" xr:uid="{72C31025-9F67-4651-9FD6-55D175EBD059}"/>
    <cellStyle name="메모 14 2" xfId="611" xr:uid="{D26BCF79-232D-45B2-817E-C519EDC8CD07}"/>
    <cellStyle name="메모 15" xfId="305" xr:uid="{64142A57-8907-4EB8-81F0-21D0FC161584}"/>
    <cellStyle name="메모 15 2" xfId="631" xr:uid="{79C0ACC6-F90C-46A3-890A-ABD233CFC725}"/>
    <cellStyle name="메모 16" xfId="325" xr:uid="{429D3280-652F-41CC-BE36-941A19F819E6}"/>
    <cellStyle name="메모 16 2" xfId="651" xr:uid="{AFEEBAB9-E567-4EC9-A863-9FDF4E35CE9D}"/>
    <cellStyle name="메모 17" xfId="345" xr:uid="{42ECB233-434C-45FD-A02B-764D46565700}"/>
    <cellStyle name="메모 17 2" xfId="671" xr:uid="{987284A7-F8A6-4E1C-9DA7-2A2E2C967081}"/>
    <cellStyle name="메모 2" xfId="63" xr:uid="{C5E085BA-2B59-45F4-9A7F-16FA145D7B84}"/>
    <cellStyle name="메모 2 2" xfId="389" xr:uid="{E486E85D-359A-40D5-B184-0E8E720E3FF5}"/>
    <cellStyle name="메모 3" xfId="65" xr:uid="{CF354A69-28DB-401C-A63E-3F347A572426}"/>
    <cellStyle name="메모 3 2" xfId="391" xr:uid="{25E915B7-F958-4912-AEF2-DC0958DED5E9}"/>
    <cellStyle name="메모 4" xfId="85" xr:uid="{775D36BA-F6FE-4815-AEDB-99DCD30B3F80}"/>
    <cellStyle name="메모 4 2" xfId="411" xr:uid="{F53F0B97-023B-4421-A6E1-D9C1C9D10D04}"/>
    <cellStyle name="메모 5" xfId="105" xr:uid="{A16EE7B9-2783-46EF-847B-5843EB9314E0}"/>
    <cellStyle name="메모 5 2" xfId="431" xr:uid="{42CB8883-229C-4CD2-B631-1DC716B7A551}"/>
    <cellStyle name="메모 6" xfId="125" xr:uid="{99D5518B-558D-4D06-8223-349768351A5B}"/>
    <cellStyle name="메모 6 2" xfId="451" xr:uid="{59407AEA-A58F-45B0-A878-DF2C24FE83D4}"/>
    <cellStyle name="메모 7" xfId="145" xr:uid="{46215A0F-5D5F-4A1E-AE77-6F7125E3F5FD}"/>
    <cellStyle name="메모 7 2" xfId="471" xr:uid="{860E5420-DD76-4270-BE2A-B9275A8C78C6}"/>
    <cellStyle name="메모 8" xfId="165" xr:uid="{3F7FA357-98BF-476F-AC6F-5346764332E9}"/>
    <cellStyle name="메모 8 2" xfId="491" xr:uid="{A2455D44-1567-4902-9232-0355D50FC422}"/>
    <cellStyle name="메모 9" xfId="185" xr:uid="{3BDA0B01-7855-47A6-943B-A22238ECF36D}"/>
    <cellStyle name="메모 9 2" xfId="511" xr:uid="{ECD9A7A6-174C-45C8-84A1-FC1D652BF901}"/>
    <cellStyle name="百分比 3" xfId="2" xr:uid="{D6C95A67-1C7B-404B-8CDF-2921498D764C}"/>
    <cellStyle name="백분율 2" xfId="49" xr:uid="{E41B836F-9572-4D1C-9D74-1056A2A9CD16}"/>
    <cellStyle name="보통" xfId="15" builtinId="28" customBuiltin="1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설명 텍스트" xfId="22" builtinId="53" customBuiltin="1"/>
    <cellStyle name="셀 확인" xfId="20" builtinId="23" customBuiltin="1"/>
    <cellStyle name="쉼표 [0] 2" xfId="7" xr:uid="{404A706B-A3F0-6D4E-AC76-48F566C7C22E}"/>
    <cellStyle name="쉼표 [0] 2 2" xfId="369" xr:uid="{ADB4494C-2724-4892-8B8C-AFA06F9C5571}"/>
    <cellStyle name="연결된 셀" xfId="19" builtinId="24" customBuiltin="1"/>
    <cellStyle name="요약" xfId="23" builtinId="25" customBuiltin="1"/>
    <cellStyle name="一般 3" xfId="1" xr:uid="{CBDF56BD-CEEB-C64C-84C9-24C904CBE56D}"/>
    <cellStyle name="입력" xfId="16" builtinId="20" customBuiltin="1"/>
    <cellStyle name="제목" xfId="8" builtinId="15" customBuiltin="1"/>
    <cellStyle name="제목 1" xfId="9" builtinId="16" customBuiltin="1"/>
    <cellStyle name="제목 2" xfId="10" builtinId="17" customBuiltin="1"/>
    <cellStyle name="제목 3" xfId="11" builtinId="18" customBuiltin="1"/>
    <cellStyle name="제목 4" xfId="12" builtinId="19" customBuiltin="1"/>
    <cellStyle name="좋음" xfId="13" builtinId="26" customBuiltin="1"/>
    <cellStyle name="출력" xfId="17" builtinId="21" customBuiltin="1"/>
    <cellStyle name="표준" xfId="0" builtinId="0"/>
    <cellStyle name="표준 10" xfId="204" xr:uid="{97A0A5AD-B5E0-4681-B396-4D85486E02B2}"/>
    <cellStyle name="표준 10 2" xfId="530" xr:uid="{C702AF46-07B9-49A9-BBB8-0A57A31041F3}"/>
    <cellStyle name="표준 11" xfId="224" xr:uid="{DCBD210C-C26C-487C-AAFF-E96EFCCBF417}"/>
    <cellStyle name="표준 11 2" xfId="550" xr:uid="{5E8262AC-31F6-4285-9A34-4A57C551940F}"/>
    <cellStyle name="표준 12" xfId="244" xr:uid="{88A20BFC-BAA2-4A3D-B20F-C81594BE5818}"/>
    <cellStyle name="표준 12 2" xfId="570" xr:uid="{B0091205-C195-43A7-9DB0-693F4631CCF3}"/>
    <cellStyle name="표준 13" xfId="264" xr:uid="{5A98D856-1E8E-4B48-AB04-D5F9C62DEF9B}"/>
    <cellStyle name="표준 13 2" xfId="590" xr:uid="{430897E5-AEAD-40A1-9C8C-E3D573054103}"/>
    <cellStyle name="표준 14" xfId="284" xr:uid="{C1185FA1-2FFE-424F-966F-F35568CDFD2A}"/>
    <cellStyle name="표준 14 2" xfId="610" xr:uid="{71A1D278-02F6-4D88-8AD4-D07AA239D0A0}"/>
    <cellStyle name="표준 15" xfId="304" xr:uid="{34CB0A49-8C75-4926-9182-6D33642A8364}"/>
    <cellStyle name="표준 15 2" xfId="630" xr:uid="{93AAE6D9-50D1-4BB9-AEF4-AAE61269D0A1}"/>
    <cellStyle name="표준 16" xfId="324" xr:uid="{2AF502FC-B8DF-40F3-8A1B-C5F51B61B3E9}"/>
    <cellStyle name="표준 16 2" xfId="650" xr:uid="{F523B7E8-A79A-4D44-9EFD-06BB87569E3A}"/>
    <cellStyle name="표준 17" xfId="344" xr:uid="{C24D31C8-5BE4-420F-9B14-38B86A495FDF}"/>
    <cellStyle name="표준 17 2" xfId="670" xr:uid="{749B46E0-54B0-430B-A767-15FD47518E42}"/>
    <cellStyle name="표준 2" xfId="62" xr:uid="{2BCC682B-7B18-403A-8898-3D72D1F92BEA}"/>
    <cellStyle name="표준 2 2" xfId="367" xr:uid="{1DC67D5C-8146-4223-80C5-9B7EF4425AEB}"/>
    <cellStyle name="표준 2 2 2" xfId="690" xr:uid="{BDE52584-9778-42CA-BA42-737D9915283C}"/>
    <cellStyle name="표준 2 3" xfId="388" xr:uid="{09E49552-8C15-4DB6-8127-C2D72061EDD7}"/>
    <cellStyle name="표준 3" xfId="64" xr:uid="{8A91C379-9E86-4ECE-8FC9-502778FF8674}"/>
    <cellStyle name="표준 3 2" xfId="390" xr:uid="{1BEE62A5-F3AF-46DE-AD5E-0EAC4D4383AD}"/>
    <cellStyle name="표준 4" xfId="84" xr:uid="{D49317C4-0983-47D2-9FEE-B35901E022C0}"/>
    <cellStyle name="표준 4 2" xfId="368" xr:uid="{CA5758E8-F703-4C6A-913F-4E5F7E22DC54}"/>
    <cellStyle name="표준 4 3" xfId="410" xr:uid="{05F0041D-66A6-429E-A520-B20CE2931870}"/>
    <cellStyle name="표준 5" xfId="104" xr:uid="{C846E875-D831-4D02-8B7F-240014E6224A}"/>
    <cellStyle name="표준 5 2" xfId="430" xr:uid="{169832B1-754E-49BE-99E8-916E67CEC14D}"/>
    <cellStyle name="표준 6" xfId="124" xr:uid="{96BBFF81-0E0D-49A8-8075-BE29211F8FD1}"/>
    <cellStyle name="표준 6 2" xfId="450" xr:uid="{6769A1ED-5F5D-4B12-A385-A2FB4DA2DE1B}"/>
    <cellStyle name="표준 7" xfId="144" xr:uid="{CCEE4C6D-6860-49F6-BD89-D6BFB3C97F52}"/>
    <cellStyle name="표준 7 2" xfId="470" xr:uid="{C4D26E28-5B88-43CB-9677-0D8FAD63015A}"/>
    <cellStyle name="표준 8" xfId="164" xr:uid="{C8006356-40C1-4BB8-AE4A-A787D7EEC51F}"/>
    <cellStyle name="표준 8 2" xfId="490" xr:uid="{1F6E8E1A-D6F4-4404-8D93-0BEAF190BDAC}"/>
    <cellStyle name="표준 9" xfId="184" xr:uid="{546D25E5-03AC-4E09-9A2E-CEA11BAB5BC9}"/>
    <cellStyle name="표준 9 2" xfId="510" xr:uid="{D4B8B081-77EA-4BC0-96C6-B5D36C809687}"/>
  </cellStyles>
  <dxfs count="17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C1B7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abSelected="1" zoomScale="125" workbookViewId="0">
      <selection activeCell="C13" sqref="C13"/>
    </sheetView>
  </sheetViews>
  <sheetFormatPr defaultColWidth="10.81640625" defaultRowHeight="19.2"/>
  <cols>
    <col min="1" max="1" width="10.81640625" style="16"/>
    <col min="2" max="2" width="13.81640625" style="16" customWidth="1"/>
    <col min="3" max="3" width="30.81640625" style="16" customWidth="1"/>
    <col min="4" max="5" width="25.81640625" style="16" customWidth="1"/>
    <col min="6" max="6" width="13.81640625" style="15" customWidth="1"/>
    <col min="7" max="7" width="10.81640625" style="16"/>
    <col min="8" max="9" width="10.81640625" style="16" customWidth="1"/>
    <col min="10" max="16384" width="10.81640625" style="16"/>
  </cols>
  <sheetData>
    <row r="2" spans="1:10" ht="40.200000000000003" customHeight="1">
      <c r="A2" s="9"/>
      <c r="B2" s="169" t="s">
        <v>20</v>
      </c>
      <c r="C2" s="169"/>
      <c r="D2" s="169"/>
      <c r="E2" s="169"/>
      <c r="F2" s="169"/>
      <c r="G2" s="9"/>
      <c r="H2" s="9"/>
      <c r="I2" s="9"/>
      <c r="J2" s="9"/>
    </row>
    <row r="3" spans="1:10" ht="16.2" customHeight="1">
      <c r="A3" s="9"/>
      <c r="B3" s="1"/>
      <c r="C3" s="1"/>
      <c r="D3" s="1"/>
      <c r="E3" s="1"/>
      <c r="F3" s="1"/>
      <c r="G3" s="9"/>
      <c r="H3" s="9"/>
      <c r="I3" s="9"/>
      <c r="J3" s="9"/>
    </row>
    <row r="4" spans="1:10" ht="16.2" customHeight="1">
      <c r="A4" s="9"/>
      <c r="B4" s="9"/>
      <c r="C4" s="12" t="s">
        <v>17</v>
      </c>
      <c r="D4" s="9"/>
      <c r="E4" s="12" t="s">
        <v>17</v>
      </c>
      <c r="F4" s="1"/>
      <c r="G4" s="9"/>
      <c r="H4" s="9"/>
      <c r="I4" s="9"/>
      <c r="J4" s="9"/>
    </row>
    <row r="5" spans="1:10" ht="16.2" customHeight="1">
      <c r="A5" s="9"/>
      <c r="B5" s="2" t="s">
        <v>6</v>
      </c>
      <c r="C5" s="3" t="s">
        <v>140</v>
      </c>
      <c r="D5" s="2" t="s">
        <v>7</v>
      </c>
      <c r="E5" s="5" t="s">
        <v>23</v>
      </c>
      <c r="H5" s="9"/>
      <c r="I5" s="9"/>
      <c r="J5" s="9"/>
    </row>
    <row r="6" spans="1:10" ht="16.2" customHeight="1">
      <c r="A6" s="1"/>
      <c r="B6" s="2" t="s">
        <v>0</v>
      </c>
      <c r="C6" s="3" t="s">
        <v>22</v>
      </c>
      <c r="D6" s="2" t="s">
        <v>8</v>
      </c>
      <c r="E6" s="5">
        <f>'Shipping Lot List'!B2</f>
        <v>46080</v>
      </c>
      <c r="H6" s="1"/>
      <c r="I6" s="1"/>
      <c r="J6" s="1"/>
    </row>
    <row r="7" spans="1:10">
      <c r="A7" s="4"/>
      <c r="B7" s="2" t="s">
        <v>5</v>
      </c>
      <c r="C7" s="138" t="s">
        <v>377</v>
      </c>
      <c r="D7" s="2" t="s">
        <v>416</v>
      </c>
      <c r="E7" s="160" t="str">
        <f>IF(AND(FAI!W244=0, SPC!AH141=0), "PASS", "NG")</f>
        <v>NG</v>
      </c>
      <c r="H7" s="4"/>
      <c r="I7" s="4"/>
      <c r="J7" s="4"/>
    </row>
    <row r="8" spans="1:10" ht="30">
      <c r="A8" s="4"/>
      <c r="B8" s="2" t="s">
        <v>21</v>
      </c>
      <c r="C8" s="166" t="s">
        <v>417</v>
      </c>
      <c r="D8" s="2" t="s">
        <v>4</v>
      </c>
      <c r="E8" s="20">
        <f>SUM('Shipping Lot List'!H:H)</f>
        <v>320</v>
      </c>
      <c r="F8" s="13" t="s">
        <v>17</v>
      </c>
      <c r="H8" s="4"/>
      <c r="I8" s="4"/>
      <c r="J8" s="4"/>
    </row>
    <row r="9" spans="1:10">
      <c r="A9" s="4"/>
      <c r="B9" s="2" t="s">
        <v>1</v>
      </c>
      <c r="C9" s="138" t="s">
        <v>380</v>
      </c>
      <c r="D9" s="2" t="s">
        <v>3</v>
      </c>
      <c r="E9" s="20"/>
      <c r="F9" s="170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20">
        <f>E8</f>
        <v>320</v>
      </c>
      <c r="F10" s="170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71" t="s">
        <v>17</v>
      </c>
      <c r="C12" s="171"/>
      <c r="D12" s="171"/>
      <c r="E12" s="171"/>
      <c r="F12" s="171"/>
      <c r="G12" s="4"/>
      <c r="H12" s="4"/>
      <c r="I12" s="4"/>
      <c r="J12" s="4"/>
    </row>
    <row r="13" spans="1:10">
      <c r="A13" s="4"/>
      <c r="B13" s="18" t="s">
        <v>16</v>
      </c>
      <c r="C13" s="18" t="s">
        <v>15</v>
      </c>
      <c r="D13" s="18" t="s">
        <v>9</v>
      </c>
      <c r="E13" s="18" t="s">
        <v>10</v>
      </c>
      <c r="F13" s="18" t="s">
        <v>14</v>
      </c>
      <c r="G13" s="4"/>
      <c r="H13" s="4"/>
      <c r="I13" s="6"/>
      <c r="J13" s="6"/>
    </row>
    <row r="14" spans="1:10">
      <c r="A14" s="11"/>
      <c r="B14" s="168" t="s">
        <v>11</v>
      </c>
      <c r="C14" s="7"/>
      <c r="D14" s="14"/>
      <c r="E14" s="19"/>
      <c r="F14" s="21"/>
    </row>
    <row r="15" spans="1:10">
      <c r="A15" s="11"/>
      <c r="B15" s="168"/>
      <c r="C15" s="7"/>
      <c r="D15" s="8"/>
      <c r="E15" s="10"/>
      <c r="F15" s="14"/>
    </row>
    <row r="16" spans="1:10">
      <c r="A16" s="11"/>
      <c r="B16" s="168"/>
      <c r="C16" s="7"/>
      <c r="D16" s="8"/>
      <c r="E16" s="10"/>
      <c r="F16" s="14"/>
    </row>
    <row r="17" spans="1:6">
      <c r="A17" s="11"/>
      <c r="B17" s="168"/>
      <c r="C17" s="7"/>
      <c r="D17" s="8"/>
      <c r="E17" s="10"/>
      <c r="F17" s="14"/>
    </row>
    <row r="18" spans="1:6">
      <c r="A18" s="11"/>
      <c r="B18" s="168"/>
      <c r="C18" s="7"/>
      <c r="D18" s="8"/>
      <c r="E18" s="10"/>
      <c r="F18" s="14"/>
    </row>
    <row r="19" spans="1:6">
      <c r="A19" s="11"/>
      <c r="B19" s="168"/>
      <c r="C19" s="7"/>
      <c r="D19" s="8"/>
      <c r="E19" s="10"/>
      <c r="F19" s="14"/>
    </row>
    <row r="20" spans="1:6">
      <c r="A20" s="11"/>
      <c r="B20" s="168"/>
      <c r="C20" s="7"/>
      <c r="D20" s="8"/>
      <c r="E20" s="10"/>
      <c r="F20" s="14"/>
    </row>
    <row r="21" spans="1:6">
      <c r="A21" s="11"/>
      <c r="B21" s="168"/>
      <c r="C21" s="7"/>
      <c r="D21" s="8"/>
      <c r="E21" s="10"/>
      <c r="F21" s="14"/>
    </row>
    <row r="22" spans="1:6">
      <c r="A22" s="11"/>
      <c r="B22" s="168"/>
      <c r="C22" s="7"/>
      <c r="D22" s="8"/>
      <c r="E22" s="10"/>
      <c r="F22" s="14"/>
    </row>
    <row r="23" spans="1:6">
      <c r="A23" s="11"/>
      <c r="B23" s="168"/>
      <c r="C23" s="7"/>
      <c r="D23" s="8"/>
      <c r="E23" s="10"/>
      <c r="F23" s="14"/>
    </row>
    <row r="24" spans="1:6">
      <c r="A24" s="11"/>
      <c r="B24" s="168" t="s">
        <v>12</v>
      </c>
      <c r="C24" s="7"/>
      <c r="D24" s="14"/>
      <c r="E24" s="19"/>
      <c r="F24" s="21"/>
    </row>
    <row r="25" spans="1:6">
      <c r="A25" s="11"/>
      <c r="B25" s="168"/>
      <c r="C25" s="7"/>
      <c r="D25" s="14"/>
      <c r="E25" s="19"/>
      <c r="F25" s="21"/>
    </row>
    <row r="26" spans="1:6">
      <c r="A26" s="11"/>
      <c r="B26" s="168"/>
      <c r="C26" s="7"/>
      <c r="D26" s="14"/>
      <c r="E26" s="19"/>
      <c r="F26" s="14"/>
    </row>
    <row r="27" spans="1:6">
      <c r="A27" s="17"/>
      <c r="B27" s="168"/>
      <c r="C27" s="7"/>
      <c r="D27" s="14"/>
      <c r="E27" s="19"/>
      <c r="F27" s="14"/>
    </row>
    <row r="28" spans="1:6">
      <c r="A28" s="17"/>
      <c r="B28" s="168"/>
      <c r="C28" s="7"/>
      <c r="D28" s="14"/>
      <c r="E28" s="19"/>
      <c r="F28" s="14"/>
    </row>
    <row r="29" spans="1:6">
      <c r="A29" s="17"/>
      <c r="B29" s="168"/>
      <c r="C29" s="7"/>
      <c r="D29" s="14"/>
      <c r="E29" s="19"/>
      <c r="F29" s="14"/>
    </row>
    <row r="30" spans="1:6">
      <c r="A30" s="17"/>
      <c r="B30" s="168"/>
      <c r="C30" s="7"/>
      <c r="D30" s="14"/>
      <c r="E30" s="19"/>
      <c r="F30" s="14"/>
    </row>
    <row r="31" spans="1:6">
      <c r="A31" s="17"/>
      <c r="B31" s="168"/>
      <c r="C31" s="7"/>
      <c r="D31" s="14"/>
      <c r="E31" s="19"/>
      <c r="F31" s="14"/>
    </row>
    <row r="32" spans="1:6">
      <c r="A32" s="17"/>
      <c r="B32" s="168"/>
      <c r="C32" s="7"/>
      <c r="D32" s="14"/>
      <c r="E32" s="19"/>
      <c r="F32" s="14"/>
    </row>
    <row r="33" spans="1:6">
      <c r="A33" s="17"/>
      <c r="B33" s="168"/>
      <c r="C33" s="7"/>
      <c r="D33" s="14"/>
      <c r="E33" s="19"/>
      <c r="F33" s="14"/>
    </row>
    <row r="34" spans="1:6">
      <c r="A34" s="17"/>
      <c r="B34" s="168" t="s">
        <v>13</v>
      </c>
      <c r="C34" s="7"/>
      <c r="D34" s="8"/>
      <c r="E34" s="8"/>
      <c r="F34" s="14"/>
    </row>
    <row r="35" spans="1:6">
      <c r="A35" s="17"/>
      <c r="B35" s="168"/>
      <c r="C35" s="7"/>
      <c r="D35" s="8"/>
      <c r="E35" s="8"/>
      <c r="F35" s="14"/>
    </row>
    <row r="36" spans="1:6">
      <c r="A36" s="17"/>
      <c r="B36" s="168"/>
      <c r="C36" s="7"/>
      <c r="D36" s="8"/>
      <c r="E36" s="8"/>
      <c r="F36" s="14"/>
    </row>
    <row r="37" spans="1:6">
      <c r="A37" s="17"/>
      <c r="B37" s="168"/>
      <c r="C37" s="7"/>
      <c r="D37" s="8"/>
      <c r="E37" s="8"/>
      <c r="F37" s="14"/>
    </row>
    <row r="38" spans="1:6">
      <c r="A38" s="17"/>
      <c r="B38" s="168"/>
      <c r="C38" s="7"/>
      <c r="D38" s="8"/>
      <c r="E38" s="8"/>
      <c r="F38" s="14"/>
    </row>
    <row r="39" spans="1:6">
      <c r="A39" s="17"/>
      <c r="B39" s="168"/>
      <c r="C39" s="7"/>
      <c r="D39" s="8"/>
      <c r="E39" s="8"/>
      <c r="F39" s="14"/>
    </row>
    <row r="40" spans="1:6">
      <c r="A40" s="17"/>
      <c r="B40" s="168"/>
      <c r="C40" s="7"/>
      <c r="D40" s="8"/>
      <c r="E40" s="8"/>
      <c r="F40" s="14"/>
    </row>
    <row r="41" spans="1:6">
      <c r="A41" s="17"/>
      <c r="B41" s="168"/>
      <c r="C41" s="7"/>
      <c r="D41" s="8"/>
      <c r="E41" s="8"/>
      <c r="F41" s="14"/>
    </row>
    <row r="42" spans="1:6">
      <c r="A42" s="17"/>
      <c r="B42" s="168"/>
      <c r="C42" s="7"/>
      <c r="D42" s="8"/>
      <c r="E42" s="8"/>
      <c r="F42" s="14"/>
    </row>
    <row r="43" spans="1:6">
      <c r="A43" s="17"/>
      <c r="B43" s="168"/>
      <c r="C43" s="7"/>
      <c r="D43" s="8"/>
      <c r="E43" s="8"/>
      <c r="F43" s="14"/>
    </row>
    <row r="44" spans="1:6">
      <c r="B44" s="167" t="s">
        <v>19</v>
      </c>
      <c r="C44" s="7"/>
      <c r="D44" s="8"/>
      <c r="E44" s="8"/>
      <c r="F44" s="14"/>
    </row>
    <row r="45" spans="1:6">
      <c r="B45" s="167"/>
      <c r="C45" s="7"/>
      <c r="D45" s="8"/>
      <c r="E45" s="8"/>
      <c r="F45" s="14"/>
    </row>
    <row r="46" spans="1:6">
      <c r="B46" s="167"/>
      <c r="C46" s="7"/>
      <c r="D46" s="8"/>
      <c r="E46" s="8"/>
      <c r="F46" s="14"/>
    </row>
    <row r="47" spans="1:6">
      <c r="B47" s="167"/>
      <c r="C47" s="7"/>
      <c r="D47" s="8"/>
      <c r="E47" s="8"/>
      <c r="F47" s="14"/>
    </row>
    <row r="48" spans="1:6">
      <c r="B48" s="167"/>
      <c r="C48" s="7"/>
      <c r="D48" s="8"/>
      <c r="E48" s="8"/>
      <c r="F48" s="14"/>
    </row>
    <row r="49" spans="2:6">
      <c r="B49" s="167"/>
      <c r="C49" s="7"/>
      <c r="D49" s="8"/>
      <c r="E49" s="8"/>
      <c r="F49" s="14"/>
    </row>
    <row r="50" spans="2:6">
      <c r="B50" s="167"/>
      <c r="C50" s="7"/>
      <c r="D50" s="8"/>
      <c r="E50" s="8"/>
      <c r="F50" s="14"/>
    </row>
    <row r="51" spans="2:6">
      <c r="B51" s="167"/>
      <c r="C51" s="7"/>
      <c r="D51" s="8"/>
      <c r="E51" s="8"/>
      <c r="F51" s="14"/>
    </row>
    <row r="52" spans="2:6">
      <c r="B52" s="167"/>
      <c r="C52" s="7"/>
      <c r="D52" s="8"/>
      <c r="E52" s="8"/>
      <c r="F52" s="14"/>
    </row>
    <row r="53" spans="2:6">
      <c r="B53" s="167"/>
      <c r="C53" s="7"/>
      <c r="D53" s="8"/>
      <c r="E53" s="8"/>
      <c r="F53" s="14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0" type="noConversion"/>
  <conditionalFormatting sqref="E7">
    <cfRule type="containsText" dxfId="16" priority="1" operator="containsText" text="NG">
      <formula>NOT(ISERROR(SEARCH("NG",E7)))</formula>
    </cfRule>
    <cfRule type="containsText" dxfId="15" priority="2" operator="containsText" text="PASS">
      <formula>NOT(ISERROR(SEARCH("PASS",E7)))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03D5-F6C3-E746-AFEF-FBAA63547D3A}">
  <sheetPr codeName="Sheet1"/>
  <dimension ref="A1:I5"/>
  <sheetViews>
    <sheetView workbookViewId="0">
      <selection activeCell="B13" sqref="B13"/>
    </sheetView>
  </sheetViews>
  <sheetFormatPr defaultColWidth="10.90625" defaultRowHeight="19.2"/>
  <cols>
    <col min="1" max="2" width="17.6328125" style="136" customWidth="1"/>
    <col min="3" max="3" width="12.6328125" style="136" customWidth="1"/>
    <col min="4" max="4" width="40.6328125" style="136" customWidth="1"/>
    <col min="5" max="5" width="17.6328125" style="136" customWidth="1"/>
    <col min="6" max="6" width="12.6328125" style="136" customWidth="1"/>
    <col min="7" max="7" width="12.6328125" style="137" customWidth="1"/>
    <col min="8" max="9" width="12.6328125" style="136" customWidth="1"/>
    <col min="10" max="16384" width="10.90625" style="136"/>
  </cols>
  <sheetData>
    <row r="1" spans="1:9">
      <c r="A1" s="139" t="s">
        <v>368</v>
      </c>
      <c r="B1" s="139" t="s">
        <v>369</v>
      </c>
      <c r="C1" s="140" t="s">
        <v>370</v>
      </c>
      <c r="D1" s="141" t="s">
        <v>371</v>
      </c>
      <c r="E1" s="141" t="s">
        <v>372</v>
      </c>
      <c r="F1" s="141" t="s">
        <v>373</v>
      </c>
      <c r="G1" s="141" t="s">
        <v>374</v>
      </c>
      <c r="H1" s="141" t="s">
        <v>375</v>
      </c>
      <c r="I1" s="140" t="s">
        <v>376</v>
      </c>
    </row>
    <row r="2" spans="1:9" ht="19.2" customHeight="1">
      <c r="A2" s="139" t="s">
        <v>378</v>
      </c>
      <c r="B2" s="139">
        <v>46080</v>
      </c>
      <c r="C2" s="140" t="s">
        <v>380</v>
      </c>
      <c r="D2" s="140" t="s">
        <v>397</v>
      </c>
      <c r="E2" s="143" t="s">
        <v>398</v>
      </c>
      <c r="F2" s="152">
        <v>2880</v>
      </c>
      <c r="G2" s="142">
        <v>1</v>
      </c>
      <c r="H2" s="143">
        <v>320</v>
      </c>
      <c r="I2" s="141" t="s">
        <v>379</v>
      </c>
    </row>
    <row r="3" spans="1:9">
      <c r="A3" s="139"/>
      <c r="B3" s="139"/>
      <c r="C3" s="140"/>
      <c r="D3" s="141"/>
      <c r="E3" s="151"/>
      <c r="F3" s="152"/>
      <c r="G3" s="144"/>
      <c r="H3" s="141"/>
      <c r="I3" s="141"/>
    </row>
    <row r="4" spans="1:9">
      <c r="A4" s="139"/>
      <c r="B4" s="139"/>
      <c r="C4" s="140"/>
      <c r="D4" s="141"/>
      <c r="E4" s="151"/>
      <c r="F4" s="152"/>
      <c r="G4" s="144"/>
      <c r="H4" s="141"/>
      <c r="I4" s="141"/>
    </row>
    <row r="5" spans="1:9">
      <c r="A5" s="139"/>
      <c r="B5" s="139"/>
      <c r="C5" s="140"/>
      <c r="D5" s="141"/>
      <c r="E5" s="151"/>
      <c r="F5" s="152"/>
      <c r="G5" s="144"/>
      <c r="H5" s="141"/>
      <c r="I5" s="141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F4D5-D5EA-634C-A614-D0BA044AC34A}">
  <sheetPr codeName="Sheet3"/>
  <dimension ref="A1:X244"/>
  <sheetViews>
    <sheetView zoomScale="85" zoomScaleNormal="85" workbookViewId="0">
      <selection activeCell="L238" sqref="L238"/>
    </sheetView>
  </sheetViews>
  <sheetFormatPr defaultColWidth="12.453125" defaultRowHeight="13.2"/>
  <cols>
    <col min="1" max="1" width="0.81640625" style="23" customWidth="1"/>
    <col min="2" max="2" width="9" style="23" customWidth="1"/>
    <col min="3" max="3" width="13" style="23" customWidth="1"/>
    <col min="4" max="6" width="9" style="23" customWidth="1"/>
    <col min="7" max="10" width="9" style="23" hidden="1" customWidth="1"/>
    <col min="11" max="22" width="9" style="23" customWidth="1"/>
    <col min="23" max="23" width="14.1796875" style="23" customWidth="1"/>
    <col min="24" max="24" width="12.453125" style="161"/>
    <col min="25" max="16384" width="12.453125" style="23"/>
  </cols>
  <sheetData>
    <row r="1" spans="1:24" ht="21">
      <c r="A1" s="177" t="s">
        <v>25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</row>
    <row r="2" spans="1:24" ht="10.199999999999999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4" s="26" customFormat="1" ht="15" customHeight="1">
      <c r="A3" s="24"/>
      <c r="B3" s="178" t="s">
        <v>26</v>
      </c>
      <c r="C3" s="178"/>
      <c r="D3" s="178"/>
      <c r="E3" s="178"/>
      <c r="F3" s="178"/>
      <c r="G3" s="179"/>
      <c r="H3" s="179"/>
      <c r="I3" s="179"/>
      <c r="J3" s="179"/>
      <c r="K3" s="178"/>
      <c r="L3" s="180" t="s">
        <v>27</v>
      </c>
      <c r="M3" s="181"/>
      <c r="N3" s="181"/>
      <c r="O3" s="180"/>
      <c r="P3" s="181"/>
      <c r="Q3" s="181"/>
      <c r="R3" s="182" t="s">
        <v>28</v>
      </c>
      <c r="S3" s="180"/>
      <c r="T3" s="180"/>
      <c r="U3" s="180"/>
      <c r="V3" s="183"/>
      <c r="W3" s="184" t="s">
        <v>29</v>
      </c>
      <c r="X3" s="162"/>
    </row>
    <row r="4" spans="1:24" ht="15" customHeight="1">
      <c r="A4" s="27"/>
      <c r="B4" s="184" t="s">
        <v>30</v>
      </c>
      <c r="C4" s="184" t="s">
        <v>31</v>
      </c>
      <c r="D4" s="185" t="s">
        <v>32</v>
      </c>
      <c r="E4" s="186" t="s">
        <v>33</v>
      </c>
      <c r="F4" s="186" t="s">
        <v>34</v>
      </c>
      <c r="G4" s="187" t="s">
        <v>399</v>
      </c>
      <c r="H4" s="188"/>
      <c r="I4" s="187" t="s">
        <v>402</v>
      </c>
      <c r="J4" s="188"/>
      <c r="K4" s="172" t="s">
        <v>35</v>
      </c>
      <c r="L4" s="173" t="s">
        <v>36</v>
      </c>
      <c r="M4" s="174"/>
      <c r="N4" s="174"/>
      <c r="O4" s="173" t="s">
        <v>37</v>
      </c>
      <c r="P4" s="174"/>
      <c r="Q4" s="174"/>
      <c r="R4" s="175" t="s">
        <v>38</v>
      </c>
      <c r="S4" s="28" t="s">
        <v>39</v>
      </c>
      <c r="T4" s="29"/>
      <c r="U4" s="30" t="s">
        <v>40</v>
      </c>
      <c r="V4" s="29"/>
      <c r="W4" s="184"/>
    </row>
    <row r="5" spans="1:24" ht="18" customHeight="1">
      <c r="A5" s="31"/>
      <c r="B5" s="184"/>
      <c r="C5" s="184"/>
      <c r="D5" s="185"/>
      <c r="E5" s="186"/>
      <c r="F5" s="186"/>
      <c r="G5" s="153" t="s">
        <v>401</v>
      </c>
      <c r="H5" s="153" t="s">
        <v>400</v>
      </c>
      <c r="I5" s="153" t="s">
        <v>401</v>
      </c>
      <c r="J5" s="153" t="s">
        <v>400</v>
      </c>
      <c r="K5" s="172"/>
      <c r="L5" s="135"/>
      <c r="M5" s="135"/>
      <c r="N5" s="135"/>
      <c r="O5" s="135">
        <v>1</v>
      </c>
      <c r="P5" s="135">
        <v>2</v>
      </c>
      <c r="Q5" s="135">
        <v>3</v>
      </c>
      <c r="R5" s="176"/>
      <c r="S5" s="25" t="s">
        <v>41</v>
      </c>
      <c r="T5" s="29" t="s">
        <v>42</v>
      </c>
      <c r="U5" s="25" t="s">
        <v>43</v>
      </c>
      <c r="V5" s="29" t="s">
        <v>44</v>
      </c>
      <c r="W5" s="184"/>
    </row>
    <row r="6" spans="1:24" ht="18" customHeight="1">
      <c r="A6" s="32"/>
      <c r="B6" s="101">
        <v>1</v>
      </c>
      <c r="C6" s="101" t="s">
        <v>47</v>
      </c>
      <c r="D6" s="103">
        <v>0</v>
      </c>
      <c r="E6" s="103">
        <v>0.04</v>
      </c>
      <c r="F6" s="103">
        <v>0</v>
      </c>
      <c r="G6" s="154">
        <v>3.4000000000000002E-2</v>
      </c>
      <c r="H6" s="154">
        <v>0</v>
      </c>
      <c r="I6" s="154"/>
      <c r="J6" s="154"/>
      <c r="K6" s="102" t="s">
        <v>46</v>
      </c>
      <c r="L6" s="131"/>
      <c r="M6" s="131"/>
      <c r="N6" s="131"/>
      <c r="O6" s="33" t="str">
        <f t="shared" ref="O6:O69" si="0">IF(ISERR(L6/L6)=TRUE," ",L6-$D6)</f>
        <v xml:space="preserve"> </v>
      </c>
      <c r="P6" s="33" t="str">
        <f t="shared" ref="P6:P69" si="1">IF(ISERR(M6/M6)=TRUE," ",M6-$D6)</f>
        <v xml:space="preserve"> </v>
      </c>
      <c r="Q6" s="33" t="str">
        <f t="shared" ref="Q6:Q69" si="2">IF(ISERR(N6/N6)=TRUE," ",N6-$D6)</f>
        <v xml:space="preserve"> </v>
      </c>
      <c r="R6" s="34" t="str">
        <f t="shared" ref="R6:R69" si="3">IF(ISERR(L6/L6)=TRUE," ",AVERAGE(L6:N6))</f>
        <v xml:space="preserve"> </v>
      </c>
      <c r="S6" s="35" t="str">
        <f t="shared" ref="S6:S69" si="4">IF(ISERR(E6/E6)=TRUE," ",IF(ISERR(L6/L6)=TRUE," ",IF(ISNUMBER($L6)=FALSE," ",IF(MAX($L6:$N6)&lt;$D6,0,(MAX($L6:$N6)-$D6)/$E6))))</f>
        <v xml:space="preserve"> </v>
      </c>
      <c r="T6" s="36" t="str">
        <f t="shared" ref="T6:T69" si="5">IF(ISERR(F6/D6)=TRUE," ",IF(ISERR(F6/F6)=TRUE," ",IF(ISERR(L6/L6)=TRUE," ",IF(ISNUMBER(L6)=FALSE," ",IF(MIN(L6:N6)&gt;$D6,0,($D6-MIN(L6:N6))/-F6)))))</f>
        <v xml:space="preserve"> </v>
      </c>
      <c r="U6" s="34" t="str">
        <f t="shared" ref="U6:U70" si="6">IF(ISNUMBER($S6)=TRUE,IF($S6&gt;0.651,IF($S6&gt;1.001,"Reject","Alert"),""),"")</f>
        <v/>
      </c>
      <c r="V6" s="34" t="str">
        <f t="shared" ref="V6:V33" si="7">IF(L6="","",IF(ISERR(F6/F6)=TRUE,"",IF(ISERR(F6/D6)=TRUE,IF((F6-MIN(L6:N6))&gt;0.001,"Reject",""),IF(ISNUMBER($T6)=TRUE,IF($T6&gt;0.651,IF($T6&gt;1.001,"Reject","Alert"),""),""))))</f>
        <v/>
      </c>
      <c r="W6" s="165" t="str" cm="1">
        <f t="array" ref="W6">IF(AND(L6:N6 &gt;= D6+F6, L6:N6 &lt;= D6+E6), "OK", "NG")</f>
        <v>OK</v>
      </c>
    </row>
    <row r="7" spans="1:24" ht="18" customHeight="1">
      <c r="A7" s="32"/>
      <c r="B7" s="101" t="s">
        <v>141</v>
      </c>
      <c r="C7" s="132" t="s">
        <v>45</v>
      </c>
      <c r="D7" s="103">
        <v>3.984</v>
      </c>
      <c r="E7" s="103">
        <v>2.5000000000000001E-2</v>
      </c>
      <c r="F7" s="103">
        <v>-0.02</v>
      </c>
      <c r="G7" s="154">
        <v>4.0052500000000002</v>
      </c>
      <c r="H7" s="154">
        <v>3.9670000000000001</v>
      </c>
      <c r="I7" s="154"/>
      <c r="J7" s="154"/>
      <c r="K7" s="102" t="s">
        <v>46</v>
      </c>
      <c r="L7" s="131"/>
      <c r="M7" s="131"/>
      <c r="N7" s="131"/>
      <c r="O7" s="33" t="str">
        <f t="shared" si="0"/>
        <v xml:space="preserve"> </v>
      </c>
      <c r="P7" s="33" t="str">
        <f t="shared" si="1"/>
        <v xml:space="preserve"> </v>
      </c>
      <c r="Q7" s="33" t="str">
        <f t="shared" si="2"/>
        <v xml:space="preserve"> </v>
      </c>
      <c r="R7" s="34" t="str">
        <f t="shared" si="3"/>
        <v xml:space="preserve"> </v>
      </c>
      <c r="S7" s="35" t="str">
        <f t="shared" si="4"/>
        <v xml:space="preserve"> </v>
      </c>
      <c r="T7" s="36" t="str">
        <f t="shared" si="5"/>
        <v xml:space="preserve"> </v>
      </c>
      <c r="U7" s="34" t="str">
        <f t="shared" si="6"/>
        <v/>
      </c>
      <c r="V7" s="34" t="str">
        <f t="shared" si="7"/>
        <v/>
      </c>
      <c r="W7" s="165" t="str" cm="1">
        <f t="array" ref="W7">IF(AND(L7:N7 &gt;= D7+F7, L7:N7 &lt;= D7+E7), "OK", "NG")</f>
        <v>NG</v>
      </c>
    </row>
    <row r="8" spans="1:24" ht="18" customHeight="1">
      <c r="A8" s="32"/>
      <c r="B8" s="101" t="s">
        <v>142</v>
      </c>
      <c r="C8" s="102" t="s">
        <v>45</v>
      </c>
      <c r="D8" s="103">
        <v>3.984</v>
      </c>
      <c r="E8" s="103">
        <v>2.5000000000000001E-2</v>
      </c>
      <c r="F8" s="103">
        <v>-0.02</v>
      </c>
      <c r="G8" s="154">
        <v>4.0052500000000002</v>
      </c>
      <c r="H8" s="154">
        <v>3.9670000000000001</v>
      </c>
      <c r="I8" s="154"/>
      <c r="J8" s="154"/>
      <c r="K8" s="102" t="s">
        <v>46</v>
      </c>
      <c r="L8" s="131"/>
      <c r="M8" s="131"/>
      <c r="N8" s="131"/>
      <c r="O8" s="33" t="str">
        <f t="shared" si="0"/>
        <v xml:space="preserve"> </v>
      </c>
      <c r="P8" s="33" t="str">
        <f t="shared" si="1"/>
        <v xml:space="preserve"> </v>
      </c>
      <c r="Q8" s="33" t="str">
        <f t="shared" si="2"/>
        <v xml:space="preserve"> </v>
      </c>
      <c r="R8" s="34" t="str">
        <f t="shared" si="3"/>
        <v xml:space="preserve"> </v>
      </c>
      <c r="S8" s="35" t="str">
        <f t="shared" si="4"/>
        <v xml:space="preserve"> </v>
      </c>
      <c r="T8" s="36" t="str">
        <f t="shared" si="5"/>
        <v xml:space="preserve"> </v>
      </c>
      <c r="U8" s="34" t="str">
        <f t="shared" si="6"/>
        <v/>
      </c>
      <c r="V8" s="34" t="str">
        <f t="shared" si="7"/>
        <v/>
      </c>
      <c r="W8" s="165" t="str" cm="1">
        <f t="array" ref="W8">IF(AND(L8:N8 &gt;= D8+F8, L8:N8 &lt;= D8+E8), "OK", "NG")</f>
        <v>NG</v>
      </c>
    </row>
    <row r="9" spans="1:24" ht="18" customHeight="1">
      <c r="A9" s="32"/>
      <c r="B9" s="101">
        <v>4</v>
      </c>
      <c r="C9" s="102" t="s">
        <v>48</v>
      </c>
      <c r="D9" s="103">
        <v>0</v>
      </c>
      <c r="E9" s="103">
        <v>1.4999999999999999E-2</v>
      </c>
      <c r="F9" s="103">
        <v>0</v>
      </c>
      <c r="G9" s="154">
        <v>1.2749999999999999E-2</v>
      </c>
      <c r="H9" s="154">
        <v>0</v>
      </c>
      <c r="I9" s="154"/>
      <c r="J9" s="154"/>
      <c r="K9" s="102" t="s">
        <v>46</v>
      </c>
      <c r="L9" s="131"/>
      <c r="M9" s="131"/>
      <c r="N9" s="131"/>
      <c r="O9" s="33" t="str">
        <f t="shared" si="0"/>
        <v xml:space="preserve"> </v>
      </c>
      <c r="P9" s="33" t="str">
        <f t="shared" si="1"/>
        <v xml:space="preserve"> </v>
      </c>
      <c r="Q9" s="33" t="str">
        <f t="shared" si="2"/>
        <v xml:space="preserve"> </v>
      </c>
      <c r="R9" s="34" t="str">
        <f t="shared" si="3"/>
        <v xml:space="preserve"> </v>
      </c>
      <c r="S9" s="35" t="str">
        <f t="shared" si="4"/>
        <v xml:space="preserve"> </v>
      </c>
      <c r="T9" s="36" t="str">
        <f t="shared" si="5"/>
        <v xml:space="preserve"> </v>
      </c>
      <c r="U9" s="34" t="str">
        <f t="shared" si="6"/>
        <v/>
      </c>
      <c r="V9" s="34" t="str">
        <f t="shared" si="7"/>
        <v/>
      </c>
      <c r="W9" s="165" t="str" cm="1">
        <f t="array" ref="W9">IF(AND(L9:N9 &gt;= D9+F9, L9:N9 &lt;= D9+E9), "OK", "NG")</f>
        <v>OK</v>
      </c>
    </row>
    <row r="10" spans="1:24" ht="18" customHeight="1">
      <c r="A10" s="32"/>
      <c r="B10" s="101">
        <v>5</v>
      </c>
      <c r="C10" s="102" t="s">
        <v>48</v>
      </c>
      <c r="D10" s="103">
        <v>0</v>
      </c>
      <c r="E10" s="103">
        <v>1.4999999999999999E-2</v>
      </c>
      <c r="F10" s="103">
        <v>0</v>
      </c>
      <c r="G10" s="154">
        <v>1.2749999999999999E-2</v>
      </c>
      <c r="H10" s="154">
        <v>0</v>
      </c>
      <c r="I10" s="154"/>
      <c r="J10" s="154"/>
      <c r="K10" s="102" t="s">
        <v>46</v>
      </c>
      <c r="L10" s="131"/>
      <c r="M10" s="131"/>
      <c r="N10" s="131"/>
      <c r="O10" s="33" t="str">
        <f t="shared" si="0"/>
        <v xml:space="preserve"> </v>
      </c>
      <c r="P10" s="33" t="str">
        <f t="shared" si="1"/>
        <v xml:space="preserve"> </v>
      </c>
      <c r="Q10" s="33" t="str">
        <f t="shared" si="2"/>
        <v xml:space="preserve"> </v>
      </c>
      <c r="R10" s="34" t="str">
        <f t="shared" si="3"/>
        <v xml:space="preserve"> </v>
      </c>
      <c r="S10" s="35" t="str">
        <f t="shared" si="4"/>
        <v xml:space="preserve"> </v>
      </c>
      <c r="T10" s="36" t="str">
        <f t="shared" si="5"/>
        <v xml:space="preserve"> </v>
      </c>
      <c r="U10" s="34" t="str">
        <f t="shared" si="6"/>
        <v/>
      </c>
      <c r="V10" s="34" t="str">
        <f t="shared" si="7"/>
        <v/>
      </c>
      <c r="W10" s="165" t="str" cm="1">
        <f t="array" ref="W10">IF(AND(L10:N10 &gt;= D10+F10, L10:N10 &lt;= D10+E10), "OK", "NG")</f>
        <v>OK</v>
      </c>
    </row>
    <row r="11" spans="1:24" ht="18" customHeight="1">
      <c r="A11" s="32"/>
      <c r="B11" s="101" t="s">
        <v>157</v>
      </c>
      <c r="C11" s="102" t="s">
        <v>45</v>
      </c>
      <c r="D11" s="103">
        <v>4.0090000000000003</v>
      </c>
      <c r="E11" s="103">
        <v>0.02</v>
      </c>
      <c r="F11" s="103">
        <v>-0.02</v>
      </c>
      <c r="G11" s="154">
        <v>4.0260000000000007</v>
      </c>
      <c r="H11" s="154">
        <v>3.9920000000000004</v>
      </c>
      <c r="I11" s="154"/>
      <c r="J11" s="154"/>
      <c r="K11" s="102" t="s">
        <v>46</v>
      </c>
      <c r="L11" s="131"/>
      <c r="M11" s="131"/>
      <c r="N11" s="131"/>
      <c r="O11" s="33" t="str">
        <f t="shared" si="0"/>
        <v xml:space="preserve"> </v>
      </c>
      <c r="P11" s="33" t="str">
        <f t="shared" si="1"/>
        <v xml:space="preserve"> </v>
      </c>
      <c r="Q11" s="33" t="str">
        <f t="shared" si="2"/>
        <v xml:space="preserve"> </v>
      </c>
      <c r="R11" s="34" t="str">
        <f t="shared" si="3"/>
        <v xml:space="preserve"> </v>
      </c>
      <c r="S11" s="35" t="str">
        <f t="shared" si="4"/>
        <v xml:space="preserve"> </v>
      </c>
      <c r="T11" s="36" t="str">
        <f t="shared" si="5"/>
        <v xml:space="preserve"> </v>
      </c>
      <c r="U11" s="34" t="str">
        <f t="shared" si="6"/>
        <v/>
      </c>
      <c r="V11" s="34" t="str">
        <f t="shared" si="7"/>
        <v/>
      </c>
      <c r="W11" s="165" t="str" cm="1">
        <f t="array" ref="W11">IF(AND(L11:N11 &gt;= D11+F11, L11:N11 &lt;= D11+E11), "OK", "NG")</f>
        <v>NG</v>
      </c>
    </row>
    <row r="12" spans="1:24" ht="18" customHeight="1">
      <c r="A12" s="32"/>
      <c r="B12" s="101" t="s">
        <v>158</v>
      </c>
      <c r="C12" s="102" t="s">
        <v>45</v>
      </c>
      <c r="D12" s="103">
        <v>4.0090000000000003</v>
      </c>
      <c r="E12" s="103">
        <v>0.02</v>
      </c>
      <c r="F12" s="103">
        <v>-0.02</v>
      </c>
      <c r="G12" s="154">
        <v>4.0260000000000007</v>
      </c>
      <c r="H12" s="154">
        <v>3.9920000000000004</v>
      </c>
      <c r="I12" s="154"/>
      <c r="J12" s="154"/>
      <c r="K12" s="102" t="s">
        <v>46</v>
      </c>
      <c r="L12" s="131"/>
      <c r="M12" s="131"/>
      <c r="N12" s="131"/>
      <c r="O12" s="33" t="str">
        <f t="shared" si="0"/>
        <v xml:space="preserve"> </v>
      </c>
      <c r="P12" s="33" t="str">
        <f t="shared" si="1"/>
        <v xml:space="preserve"> </v>
      </c>
      <c r="Q12" s="33" t="str">
        <f t="shared" si="2"/>
        <v xml:space="preserve"> </v>
      </c>
      <c r="R12" s="34" t="str">
        <f t="shared" si="3"/>
        <v xml:space="preserve"> </v>
      </c>
      <c r="S12" s="35" t="str">
        <f t="shared" si="4"/>
        <v xml:space="preserve"> </v>
      </c>
      <c r="T12" s="36" t="str">
        <f t="shared" si="5"/>
        <v xml:space="preserve"> </v>
      </c>
      <c r="U12" s="34" t="str">
        <f t="shared" si="6"/>
        <v/>
      </c>
      <c r="V12" s="34" t="str">
        <f t="shared" si="7"/>
        <v/>
      </c>
      <c r="W12" s="165" t="str" cm="1">
        <f t="array" ref="W12">IF(AND(L12:N12 &gt;= D12+F12, L12:N12 &lt;= D12+E12), "OK", "NG")</f>
        <v>NG</v>
      </c>
    </row>
    <row r="13" spans="1:24" ht="18" customHeight="1">
      <c r="A13" s="32"/>
      <c r="B13" s="101" t="s">
        <v>143</v>
      </c>
      <c r="C13" s="102" t="s">
        <v>269</v>
      </c>
      <c r="D13" s="103">
        <v>0</v>
      </c>
      <c r="E13" s="103">
        <v>8.0000000000000002E-3</v>
      </c>
      <c r="F13" s="103">
        <v>0</v>
      </c>
      <c r="G13" s="154">
        <v>6.7999999999999996E-3</v>
      </c>
      <c r="H13" s="154">
        <v>0</v>
      </c>
      <c r="I13" s="154"/>
      <c r="J13" s="154"/>
      <c r="K13" s="102" t="s">
        <v>273</v>
      </c>
      <c r="L13" s="131"/>
      <c r="M13" s="131"/>
      <c r="N13" s="131"/>
      <c r="O13" s="33" t="str">
        <f t="shared" si="0"/>
        <v xml:space="preserve"> </v>
      </c>
      <c r="P13" s="33" t="str">
        <f t="shared" si="1"/>
        <v xml:space="preserve"> </v>
      </c>
      <c r="Q13" s="33" t="str">
        <f t="shared" si="2"/>
        <v xml:space="preserve"> </v>
      </c>
      <c r="R13" s="34" t="str">
        <f t="shared" si="3"/>
        <v xml:space="preserve"> </v>
      </c>
      <c r="S13" s="35" t="str">
        <f t="shared" si="4"/>
        <v xml:space="preserve"> </v>
      </c>
      <c r="T13" s="36" t="str">
        <f t="shared" si="5"/>
        <v xml:space="preserve"> </v>
      </c>
      <c r="U13" s="34" t="str">
        <f t="shared" si="6"/>
        <v/>
      </c>
      <c r="V13" s="34" t="str">
        <f t="shared" si="7"/>
        <v/>
      </c>
      <c r="W13" s="165" t="str" cm="1">
        <f t="array" ref="W13">IF(AND(L13:N13 &gt;= D13+F13, L13:N13 &lt;= D13+E13), "OK", "NG")</f>
        <v>OK</v>
      </c>
    </row>
    <row r="14" spans="1:24" ht="18" customHeight="1">
      <c r="A14" s="32"/>
      <c r="B14" s="101" t="s">
        <v>144</v>
      </c>
      <c r="C14" s="102" t="s">
        <v>269</v>
      </c>
      <c r="D14" s="103">
        <v>0</v>
      </c>
      <c r="E14" s="103">
        <v>8.0000000000000002E-3</v>
      </c>
      <c r="F14" s="103">
        <v>0</v>
      </c>
      <c r="G14" s="154">
        <v>6.7999999999999996E-3</v>
      </c>
      <c r="H14" s="154">
        <v>0</v>
      </c>
      <c r="I14" s="154"/>
      <c r="J14" s="154"/>
      <c r="K14" s="102" t="s">
        <v>273</v>
      </c>
      <c r="L14" s="131"/>
      <c r="M14" s="131"/>
      <c r="N14" s="131"/>
      <c r="O14" s="33" t="str">
        <f t="shared" si="0"/>
        <v xml:space="preserve"> </v>
      </c>
      <c r="P14" s="33" t="str">
        <f t="shared" si="1"/>
        <v xml:space="preserve"> </v>
      </c>
      <c r="Q14" s="33" t="str">
        <f t="shared" si="2"/>
        <v xml:space="preserve"> </v>
      </c>
      <c r="R14" s="34" t="str">
        <f t="shared" si="3"/>
        <v xml:space="preserve"> </v>
      </c>
      <c r="S14" s="35" t="str">
        <f t="shared" si="4"/>
        <v xml:space="preserve"> </v>
      </c>
      <c r="T14" s="36" t="str">
        <f t="shared" si="5"/>
        <v xml:space="preserve"> </v>
      </c>
      <c r="U14" s="34" t="str">
        <f t="shared" si="6"/>
        <v/>
      </c>
      <c r="V14" s="34" t="str">
        <f t="shared" si="7"/>
        <v/>
      </c>
      <c r="W14" s="165" t="str" cm="1">
        <f t="array" ref="W14">IF(AND(L14:N14 &gt;= D14+F14, L14:N14 &lt;= D14+E14), "OK", "NG")</f>
        <v>OK</v>
      </c>
    </row>
    <row r="15" spans="1:24" ht="18" customHeight="1">
      <c r="A15" s="32"/>
      <c r="B15" s="101" t="s">
        <v>159</v>
      </c>
      <c r="C15" s="102" t="s">
        <v>269</v>
      </c>
      <c r="D15" s="103">
        <v>0</v>
      </c>
      <c r="E15" s="103">
        <v>8.0000000000000002E-3</v>
      </c>
      <c r="F15" s="103">
        <v>0</v>
      </c>
      <c r="G15" s="154">
        <v>6.7999999999999996E-3</v>
      </c>
      <c r="H15" s="154">
        <v>0</v>
      </c>
      <c r="I15" s="154"/>
      <c r="J15" s="154"/>
      <c r="K15" s="102" t="s">
        <v>273</v>
      </c>
      <c r="L15" s="131"/>
      <c r="M15" s="131"/>
      <c r="N15" s="131"/>
      <c r="O15" s="33" t="str">
        <f t="shared" si="0"/>
        <v xml:space="preserve"> </v>
      </c>
      <c r="P15" s="33" t="str">
        <f t="shared" si="1"/>
        <v xml:space="preserve"> </v>
      </c>
      <c r="Q15" s="33" t="str">
        <f t="shared" si="2"/>
        <v xml:space="preserve"> </v>
      </c>
      <c r="R15" s="34" t="str">
        <f t="shared" si="3"/>
        <v xml:space="preserve"> </v>
      </c>
      <c r="S15" s="35" t="str">
        <f t="shared" si="4"/>
        <v xml:space="preserve"> </v>
      </c>
      <c r="T15" s="36" t="str">
        <f t="shared" si="5"/>
        <v xml:space="preserve"> </v>
      </c>
      <c r="U15" s="34" t="str">
        <f t="shared" si="6"/>
        <v/>
      </c>
      <c r="V15" s="34" t="str">
        <f t="shared" si="7"/>
        <v/>
      </c>
      <c r="W15" s="165" t="str" cm="1">
        <f t="array" ref="W15">IF(AND(L15:N15 &gt;= D15+F15, L15:N15 &lt;= D15+E15), "OK", "NG")</f>
        <v>OK</v>
      </c>
    </row>
    <row r="16" spans="1:24" ht="18" customHeight="1">
      <c r="A16" s="32"/>
      <c r="B16" s="101">
        <v>9</v>
      </c>
      <c r="C16" s="102" t="s">
        <v>48</v>
      </c>
      <c r="D16" s="103">
        <v>0</v>
      </c>
      <c r="E16" s="103">
        <v>0.06</v>
      </c>
      <c r="F16" s="103">
        <v>0</v>
      </c>
      <c r="G16" s="154">
        <v>5.0999999999999997E-2</v>
      </c>
      <c r="H16" s="154">
        <v>0</v>
      </c>
      <c r="I16" s="154"/>
      <c r="J16" s="154"/>
      <c r="K16" s="102" t="s">
        <v>46</v>
      </c>
      <c r="L16" s="131"/>
      <c r="M16" s="131"/>
      <c r="N16" s="131"/>
      <c r="O16" s="33" t="str">
        <f t="shared" si="0"/>
        <v xml:space="preserve"> </v>
      </c>
      <c r="P16" s="33" t="str">
        <f t="shared" si="1"/>
        <v xml:space="preserve"> </v>
      </c>
      <c r="Q16" s="33" t="str">
        <f t="shared" si="2"/>
        <v xml:space="preserve"> </v>
      </c>
      <c r="R16" s="34" t="str">
        <f t="shared" si="3"/>
        <v xml:space="preserve"> </v>
      </c>
      <c r="S16" s="35" t="str">
        <f t="shared" si="4"/>
        <v xml:space="preserve"> </v>
      </c>
      <c r="T16" s="36" t="str">
        <f t="shared" si="5"/>
        <v xml:space="preserve"> </v>
      </c>
      <c r="U16" s="34" t="str">
        <f t="shared" si="6"/>
        <v/>
      </c>
      <c r="V16" s="34" t="str">
        <f t="shared" si="7"/>
        <v/>
      </c>
      <c r="W16" s="165" t="str" cm="1">
        <f t="array" ref="W16">IF(AND(L16:N16 &gt;= D16+F16, L16:N16 &lt;= D16+E16), "OK", "NG")</f>
        <v>OK</v>
      </c>
    </row>
    <row r="17" spans="1:23" ht="18" customHeight="1">
      <c r="A17" s="32"/>
      <c r="B17" s="101">
        <v>10</v>
      </c>
      <c r="C17" s="102" t="s">
        <v>48</v>
      </c>
      <c r="D17" s="103">
        <v>0</v>
      </c>
      <c r="E17" s="103">
        <v>0.06</v>
      </c>
      <c r="F17" s="103">
        <v>0</v>
      </c>
      <c r="G17" s="154">
        <v>5.0999999999999997E-2</v>
      </c>
      <c r="H17" s="154">
        <v>0</v>
      </c>
      <c r="I17" s="154"/>
      <c r="J17" s="154"/>
      <c r="K17" s="102" t="s">
        <v>46</v>
      </c>
      <c r="L17" s="131"/>
      <c r="M17" s="131"/>
      <c r="N17" s="131"/>
      <c r="O17" s="33" t="str">
        <f t="shared" si="0"/>
        <v xml:space="preserve"> </v>
      </c>
      <c r="P17" s="33" t="str">
        <f t="shared" si="1"/>
        <v xml:space="preserve"> </v>
      </c>
      <c r="Q17" s="33" t="str">
        <f t="shared" si="2"/>
        <v xml:space="preserve"> </v>
      </c>
      <c r="R17" s="34" t="str">
        <f t="shared" si="3"/>
        <v xml:space="preserve"> </v>
      </c>
      <c r="S17" s="35" t="str">
        <f t="shared" si="4"/>
        <v xml:space="preserve"> </v>
      </c>
      <c r="T17" s="36" t="str">
        <f t="shared" si="5"/>
        <v xml:space="preserve"> </v>
      </c>
      <c r="U17" s="34" t="str">
        <f t="shared" si="6"/>
        <v/>
      </c>
      <c r="V17" s="34" t="str">
        <f t="shared" si="7"/>
        <v/>
      </c>
      <c r="W17" s="165" t="str" cm="1">
        <f t="array" ref="W17">IF(AND(L17:N17 &gt;= D17+F17, L17:N17 &lt;= D17+E17), "OK", "NG")</f>
        <v>OK</v>
      </c>
    </row>
    <row r="18" spans="1:23" ht="18" customHeight="1">
      <c r="A18" s="32"/>
      <c r="B18" s="101">
        <v>13</v>
      </c>
      <c r="C18" s="102" t="s">
        <v>45</v>
      </c>
      <c r="D18" s="103">
        <v>0.53500000000000003</v>
      </c>
      <c r="E18" s="103">
        <v>0.03</v>
      </c>
      <c r="F18" s="103">
        <v>-0.03</v>
      </c>
      <c r="G18" s="154">
        <v>0.5605</v>
      </c>
      <c r="H18" s="154">
        <v>0.50950000000000006</v>
      </c>
      <c r="I18" s="154"/>
      <c r="J18" s="154"/>
      <c r="K18" s="102" t="s">
        <v>46</v>
      </c>
      <c r="L18" s="131"/>
      <c r="M18" s="131"/>
      <c r="N18" s="131"/>
      <c r="O18" s="33" t="str">
        <f t="shared" si="0"/>
        <v xml:space="preserve"> </v>
      </c>
      <c r="P18" s="33" t="str">
        <f t="shared" si="1"/>
        <v xml:space="preserve"> </v>
      </c>
      <c r="Q18" s="33" t="str">
        <f t="shared" si="2"/>
        <v xml:space="preserve"> </v>
      </c>
      <c r="R18" s="34" t="str">
        <f t="shared" si="3"/>
        <v xml:space="preserve"> </v>
      </c>
      <c r="S18" s="35" t="str">
        <f t="shared" si="4"/>
        <v xml:space="preserve"> </v>
      </c>
      <c r="T18" s="36" t="str">
        <f t="shared" si="5"/>
        <v xml:space="preserve"> </v>
      </c>
      <c r="U18" s="34" t="str">
        <f t="shared" si="6"/>
        <v/>
      </c>
      <c r="V18" s="34" t="str">
        <f t="shared" si="7"/>
        <v/>
      </c>
      <c r="W18" s="165" t="str" cm="1">
        <f t="array" ref="W18">IF(AND(L18:N18 &gt;= D18+F18, L18:N18 &lt;= D18+E18), "OK", "NG")</f>
        <v>NG</v>
      </c>
    </row>
    <row r="19" spans="1:23" ht="18" customHeight="1">
      <c r="A19" s="32"/>
      <c r="B19" s="101" t="s">
        <v>160</v>
      </c>
      <c r="C19" s="102" t="s">
        <v>45</v>
      </c>
      <c r="D19" s="103">
        <v>4.09</v>
      </c>
      <c r="E19" s="103">
        <v>0.05</v>
      </c>
      <c r="F19" s="103">
        <v>-0.03</v>
      </c>
      <c r="G19" s="154">
        <v>4.1325000000000003</v>
      </c>
      <c r="H19" s="154">
        <v>4.0644999999999998</v>
      </c>
      <c r="I19" s="154"/>
      <c r="J19" s="154"/>
      <c r="K19" s="102" t="s">
        <v>46</v>
      </c>
      <c r="L19" s="131"/>
      <c r="M19" s="131"/>
      <c r="N19" s="131"/>
      <c r="O19" s="33" t="str">
        <f t="shared" si="0"/>
        <v xml:space="preserve"> </v>
      </c>
      <c r="P19" s="33" t="str">
        <f t="shared" si="1"/>
        <v xml:space="preserve"> </v>
      </c>
      <c r="Q19" s="33" t="str">
        <f t="shared" si="2"/>
        <v xml:space="preserve"> </v>
      </c>
      <c r="R19" s="34" t="str">
        <f t="shared" si="3"/>
        <v xml:space="preserve"> </v>
      </c>
      <c r="S19" s="35" t="str">
        <f t="shared" si="4"/>
        <v xml:space="preserve"> </v>
      </c>
      <c r="T19" s="36" t="str">
        <f t="shared" si="5"/>
        <v xml:space="preserve"> </v>
      </c>
      <c r="U19" s="34" t="str">
        <f t="shared" si="6"/>
        <v/>
      </c>
      <c r="V19" s="34" t="str">
        <f t="shared" si="7"/>
        <v/>
      </c>
      <c r="W19" s="165" t="str" cm="1">
        <f t="array" ref="W19">IF(AND(L19:N19 &gt;= D19+F19, L19:N19 &lt;= D19+E19), "OK", "NG")</f>
        <v>NG</v>
      </c>
    </row>
    <row r="20" spans="1:23" ht="18" customHeight="1">
      <c r="A20" s="32"/>
      <c r="B20" s="101" t="s">
        <v>161</v>
      </c>
      <c r="C20" s="102" t="s">
        <v>45</v>
      </c>
      <c r="D20" s="103">
        <v>4.09</v>
      </c>
      <c r="E20" s="103">
        <v>0.05</v>
      </c>
      <c r="F20" s="103">
        <v>-0.03</v>
      </c>
      <c r="G20" s="154">
        <v>4.1325000000000003</v>
      </c>
      <c r="H20" s="154">
        <v>4.0644999999999998</v>
      </c>
      <c r="I20" s="154"/>
      <c r="J20" s="154"/>
      <c r="K20" s="102" t="s">
        <v>46</v>
      </c>
      <c r="L20" s="131"/>
      <c r="M20" s="131"/>
      <c r="N20" s="131"/>
      <c r="O20" s="33" t="str">
        <f t="shared" si="0"/>
        <v xml:space="preserve"> </v>
      </c>
      <c r="P20" s="33" t="str">
        <f t="shared" si="1"/>
        <v xml:space="preserve"> </v>
      </c>
      <c r="Q20" s="33" t="str">
        <f t="shared" si="2"/>
        <v xml:space="preserve"> </v>
      </c>
      <c r="R20" s="34" t="str">
        <f t="shared" si="3"/>
        <v xml:space="preserve"> </v>
      </c>
      <c r="S20" s="35" t="str">
        <f t="shared" si="4"/>
        <v xml:space="preserve"> </v>
      </c>
      <c r="T20" s="36" t="str">
        <f t="shared" si="5"/>
        <v xml:space="preserve"> </v>
      </c>
      <c r="U20" s="34" t="str">
        <f t="shared" si="6"/>
        <v/>
      </c>
      <c r="V20" s="34" t="str">
        <f t="shared" si="7"/>
        <v/>
      </c>
      <c r="W20" s="165" t="str" cm="1">
        <f t="array" ref="W20">IF(AND(L20:N20 &gt;= D20+F20, L20:N20 &lt;= D20+E20), "OK", "NG")</f>
        <v>NG</v>
      </c>
    </row>
    <row r="21" spans="1:23" ht="18" customHeight="1">
      <c r="A21" s="32"/>
      <c r="B21" s="101" t="s">
        <v>162</v>
      </c>
      <c r="C21" s="102" t="s">
        <v>45</v>
      </c>
      <c r="D21" s="103">
        <v>19.794</v>
      </c>
      <c r="E21" s="103">
        <v>0.03</v>
      </c>
      <c r="F21" s="103">
        <v>-0.03</v>
      </c>
      <c r="G21" s="154">
        <v>19.819500000000001</v>
      </c>
      <c r="H21" s="154">
        <v>19.7685</v>
      </c>
      <c r="I21" s="154"/>
      <c r="J21" s="154"/>
      <c r="K21" s="102" t="s">
        <v>46</v>
      </c>
      <c r="L21" s="131"/>
      <c r="M21" s="131"/>
      <c r="N21" s="131"/>
      <c r="O21" s="33" t="str">
        <f t="shared" si="0"/>
        <v xml:space="preserve"> </v>
      </c>
      <c r="P21" s="33" t="str">
        <f t="shared" si="1"/>
        <v xml:space="preserve"> </v>
      </c>
      <c r="Q21" s="33" t="str">
        <f t="shared" si="2"/>
        <v xml:space="preserve"> </v>
      </c>
      <c r="R21" s="34" t="str">
        <f t="shared" si="3"/>
        <v xml:space="preserve"> </v>
      </c>
      <c r="S21" s="35" t="str">
        <f t="shared" si="4"/>
        <v xml:space="preserve"> </v>
      </c>
      <c r="T21" s="36" t="str">
        <f t="shared" si="5"/>
        <v xml:space="preserve"> </v>
      </c>
      <c r="U21" s="34" t="str">
        <f t="shared" si="6"/>
        <v/>
      </c>
      <c r="V21" s="34" t="str">
        <f t="shared" si="7"/>
        <v/>
      </c>
      <c r="W21" s="165" t="str" cm="1">
        <f t="array" ref="W21">IF(AND(L21:N21 &gt;= D21+F21, L21:N21 &lt;= D21+E21), "OK", "NG")</f>
        <v>NG</v>
      </c>
    </row>
    <row r="22" spans="1:23" ht="18" customHeight="1">
      <c r="A22" s="32"/>
      <c r="B22" s="101" t="s">
        <v>163</v>
      </c>
      <c r="C22" s="102" t="s">
        <v>45</v>
      </c>
      <c r="D22" s="103">
        <v>19.794</v>
      </c>
      <c r="E22" s="103">
        <v>0.03</v>
      </c>
      <c r="F22" s="103">
        <v>-0.03</v>
      </c>
      <c r="G22" s="154">
        <v>19.819500000000001</v>
      </c>
      <c r="H22" s="154">
        <v>19.7685</v>
      </c>
      <c r="I22" s="154"/>
      <c r="J22" s="154"/>
      <c r="K22" s="102" t="s">
        <v>46</v>
      </c>
      <c r="L22" s="131"/>
      <c r="M22" s="131"/>
      <c r="N22" s="131"/>
      <c r="O22" s="33" t="str">
        <f t="shared" si="0"/>
        <v xml:space="preserve"> </v>
      </c>
      <c r="P22" s="33" t="str">
        <f t="shared" si="1"/>
        <v xml:space="preserve"> </v>
      </c>
      <c r="Q22" s="33" t="str">
        <f t="shared" si="2"/>
        <v xml:space="preserve"> </v>
      </c>
      <c r="R22" s="34" t="str">
        <f t="shared" si="3"/>
        <v xml:space="preserve"> </v>
      </c>
      <c r="S22" s="35" t="str">
        <f t="shared" si="4"/>
        <v xml:space="preserve"> </v>
      </c>
      <c r="T22" s="36" t="str">
        <f t="shared" si="5"/>
        <v xml:space="preserve"> </v>
      </c>
      <c r="U22" s="34" t="str">
        <f t="shared" si="6"/>
        <v/>
      </c>
      <c r="V22" s="34" t="str">
        <f t="shared" si="7"/>
        <v/>
      </c>
      <c r="W22" s="165" t="str" cm="1">
        <f t="array" ref="W22">IF(AND(L22:N22 &gt;= D22+F22, L22:N22 &lt;= D22+E22), "OK", "NG")</f>
        <v>NG</v>
      </c>
    </row>
    <row r="23" spans="1:23" ht="18" customHeight="1">
      <c r="A23" s="32"/>
      <c r="B23" s="101" t="s">
        <v>164</v>
      </c>
      <c r="C23" s="102" t="s">
        <v>45</v>
      </c>
      <c r="D23" s="103">
        <v>19.794</v>
      </c>
      <c r="E23" s="103">
        <v>0.03</v>
      </c>
      <c r="F23" s="103">
        <v>-0.03</v>
      </c>
      <c r="G23" s="154">
        <v>19.819500000000001</v>
      </c>
      <c r="H23" s="154">
        <v>19.7685</v>
      </c>
      <c r="I23" s="154"/>
      <c r="J23" s="154"/>
      <c r="K23" s="102" t="s">
        <v>46</v>
      </c>
      <c r="L23" s="131"/>
      <c r="M23" s="131"/>
      <c r="N23" s="131"/>
      <c r="O23" s="33" t="str">
        <f t="shared" si="0"/>
        <v xml:space="preserve"> </v>
      </c>
      <c r="P23" s="33" t="str">
        <f t="shared" si="1"/>
        <v xml:space="preserve"> </v>
      </c>
      <c r="Q23" s="33" t="str">
        <f t="shared" si="2"/>
        <v xml:space="preserve"> </v>
      </c>
      <c r="R23" s="34" t="str">
        <f t="shared" si="3"/>
        <v xml:space="preserve"> </v>
      </c>
      <c r="S23" s="35" t="str">
        <f t="shared" si="4"/>
        <v xml:space="preserve"> </v>
      </c>
      <c r="T23" s="36" t="str">
        <f t="shared" si="5"/>
        <v xml:space="preserve"> </v>
      </c>
      <c r="U23" s="34" t="str">
        <f t="shared" si="6"/>
        <v/>
      </c>
      <c r="V23" s="34" t="str">
        <f t="shared" si="7"/>
        <v/>
      </c>
      <c r="W23" s="165" t="str" cm="1">
        <f t="array" ref="W23">IF(AND(L23:N23 &gt;= D23+F23, L23:N23 &lt;= D23+E23), "OK", "NG")</f>
        <v>NG</v>
      </c>
    </row>
    <row r="24" spans="1:23" ht="18" customHeight="1">
      <c r="A24" s="32"/>
      <c r="B24" s="101">
        <v>18</v>
      </c>
      <c r="C24" s="102" t="s">
        <v>45</v>
      </c>
      <c r="D24" s="103">
        <v>18.643000000000001</v>
      </c>
      <c r="E24" s="103">
        <v>0.03</v>
      </c>
      <c r="F24" s="103">
        <v>-0.03</v>
      </c>
      <c r="G24" s="154">
        <v>18.668500000000002</v>
      </c>
      <c r="H24" s="154">
        <v>18.6175</v>
      </c>
      <c r="I24" s="154"/>
      <c r="J24" s="154"/>
      <c r="K24" s="102" t="s">
        <v>46</v>
      </c>
      <c r="L24" s="131"/>
      <c r="M24" s="131"/>
      <c r="N24" s="131"/>
      <c r="O24" s="33" t="str">
        <f t="shared" si="0"/>
        <v xml:space="preserve"> </v>
      </c>
      <c r="P24" s="33" t="str">
        <f t="shared" si="1"/>
        <v xml:space="preserve"> </v>
      </c>
      <c r="Q24" s="33" t="str">
        <f t="shared" si="2"/>
        <v xml:space="preserve"> </v>
      </c>
      <c r="R24" s="34" t="str">
        <f t="shared" si="3"/>
        <v xml:space="preserve"> </v>
      </c>
      <c r="S24" s="35" t="str">
        <f t="shared" si="4"/>
        <v xml:space="preserve"> </v>
      </c>
      <c r="T24" s="36" t="str">
        <f t="shared" si="5"/>
        <v xml:space="preserve"> </v>
      </c>
      <c r="U24" s="34" t="str">
        <f t="shared" si="6"/>
        <v/>
      </c>
      <c r="V24" s="34" t="str">
        <f t="shared" si="7"/>
        <v/>
      </c>
      <c r="W24" s="165" t="str" cm="1">
        <f t="array" ref="W24">IF(AND(L24:N24 &gt;= D24+F24, L24:N24 &lt;= D24+E24), "OK", "NG")</f>
        <v>NG</v>
      </c>
    </row>
    <row r="25" spans="1:23" ht="18" customHeight="1">
      <c r="A25" s="32"/>
      <c r="B25" s="101">
        <v>19</v>
      </c>
      <c r="C25" s="102" t="s">
        <v>45</v>
      </c>
      <c r="D25" s="103">
        <v>15.882999999999999</v>
      </c>
      <c r="E25" s="103">
        <v>0.03</v>
      </c>
      <c r="F25" s="103">
        <v>-0.03</v>
      </c>
      <c r="G25" s="154">
        <v>15.908499999999998</v>
      </c>
      <c r="H25" s="154">
        <v>15.8575</v>
      </c>
      <c r="I25" s="154"/>
      <c r="J25" s="154"/>
      <c r="K25" s="102" t="s">
        <v>46</v>
      </c>
      <c r="L25" s="131"/>
      <c r="M25" s="131"/>
      <c r="N25" s="131"/>
      <c r="O25" s="33" t="str">
        <f t="shared" si="0"/>
        <v xml:space="preserve"> </v>
      </c>
      <c r="P25" s="33" t="str">
        <f t="shared" si="1"/>
        <v xml:space="preserve"> </v>
      </c>
      <c r="Q25" s="33" t="str">
        <f t="shared" si="2"/>
        <v xml:space="preserve"> </v>
      </c>
      <c r="R25" s="34" t="str">
        <f t="shared" si="3"/>
        <v xml:space="preserve"> </v>
      </c>
      <c r="S25" s="35" t="str">
        <f t="shared" si="4"/>
        <v xml:space="preserve"> </v>
      </c>
      <c r="T25" s="36" t="str">
        <f t="shared" si="5"/>
        <v xml:space="preserve"> </v>
      </c>
      <c r="U25" s="34" t="str">
        <f t="shared" si="6"/>
        <v/>
      </c>
      <c r="V25" s="34" t="str">
        <f t="shared" si="7"/>
        <v/>
      </c>
      <c r="W25" s="165" t="str" cm="1">
        <f t="array" ref="W25">IF(AND(L25:N25 &gt;= D25+F25, L25:N25 &lt;= D25+E25), "OK", "NG")</f>
        <v>NG</v>
      </c>
    </row>
    <row r="26" spans="1:23" ht="18" customHeight="1">
      <c r="A26" s="32"/>
      <c r="B26" s="101" t="s">
        <v>165</v>
      </c>
      <c r="C26" s="102" t="s">
        <v>45</v>
      </c>
      <c r="D26" s="103">
        <v>3.9380000000000002</v>
      </c>
      <c r="E26" s="103">
        <v>0.03</v>
      </c>
      <c r="F26" s="103">
        <v>-0.03</v>
      </c>
      <c r="G26" s="154">
        <v>3.9635000000000002</v>
      </c>
      <c r="H26" s="154">
        <v>3.9125000000000001</v>
      </c>
      <c r="I26" s="154"/>
      <c r="J26" s="154"/>
      <c r="K26" s="102" t="s">
        <v>46</v>
      </c>
      <c r="L26" s="131"/>
      <c r="M26" s="131"/>
      <c r="N26" s="131"/>
      <c r="O26" s="33" t="str">
        <f t="shared" si="0"/>
        <v xml:space="preserve"> </v>
      </c>
      <c r="P26" s="33" t="str">
        <f t="shared" si="1"/>
        <v xml:space="preserve"> </v>
      </c>
      <c r="Q26" s="33" t="str">
        <f t="shared" si="2"/>
        <v xml:space="preserve"> </v>
      </c>
      <c r="R26" s="34" t="str">
        <f t="shared" si="3"/>
        <v xml:space="preserve"> </v>
      </c>
      <c r="S26" s="35" t="str">
        <f t="shared" si="4"/>
        <v xml:space="preserve"> </v>
      </c>
      <c r="T26" s="36" t="str">
        <f t="shared" si="5"/>
        <v xml:space="preserve"> </v>
      </c>
      <c r="U26" s="34" t="str">
        <f t="shared" si="6"/>
        <v/>
      </c>
      <c r="V26" s="34" t="str">
        <f t="shared" si="7"/>
        <v/>
      </c>
      <c r="W26" s="165" t="str" cm="1">
        <f t="array" ref="W26">IF(AND(L26:N26 &gt;= D26+F26, L26:N26 &lt;= D26+E26), "OK", "NG")</f>
        <v>NG</v>
      </c>
    </row>
    <row r="27" spans="1:23" ht="18" customHeight="1">
      <c r="A27" s="32"/>
      <c r="B27" s="101" t="s">
        <v>166</v>
      </c>
      <c r="C27" s="102" t="s">
        <v>45</v>
      </c>
      <c r="D27" s="103">
        <v>3.9380000000000002</v>
      </c>
      <c r="E27" s="103">
        <v>0.03</v>
      </c>
      <c r="F27" s="103">
        <v>-0.03</v>
      </c>
      <c r="G27" s="154">
        <v>3.9635000000000002</v>
      </c>
      <c r="H27" s="154">
        <v>3.9125000000000001</v>
      </c>
      <c r="I27" s="154"/>
      <c r="J27" s="154"/>
      <c r="K27" s="102" t="s">
        <v>46</v>
      </c>
      <c r="L27" s="131"/>
      <c r="M27" s="131"/>
      <c r="N27" s="131"/>
      <c r="O27" s="33" t="str">
        <f t="shared" si="0"/>
        <v xml:space="preserve"> </v>
      </c>
      <c r="P27" s="33" t="str">
        <f t="shared" si="1"/>
        <v xml:space="preserve"> </v>
      </c>
      <c r="Q27" s="33" t="str">
        <f t="shared" si="2"/>
        <v xml:space="preserve"> </v>
      </c>
      <c r="R27" s="34" t="str">
        <f t="shared" si="3"/>
        <v xml:space="preserve"> </v>
      </c>
      <c r="S27" s="35" t="str">
        <f t="shared" si="4"/>
        <v xml:space="preserve"> </v>
      </c>
      <c r="T27" s="36" t="str">
        <f t="shared" si="5"/>
        <v xml:space="preserve"> </v>
      </c>
      <c r="U27" s="34" t="str">
        <f t="shared" si="6"/>
        <v/>
      </c>
      <c r="V27" s="34" t="str">
        <f t="shared" si="7"/>
        <v/>
      </c>
      <c r="W27" s="165" t="str" cm="1">
        <f t="array" ref="W27">IF(AND(L27:N27 &gt;= D27+F27, L27:N27 &lt;= D27+E27), "OK", "NG")</f>
        <v>NG</v>
      </c>
    </row>
    <row r="28" spans="1:23" ht="18" customHeight="1">
      <c r="A28" s="32"/>
      <c r="B28" s="101" t="s">
        <v>167</v>
      </c>
      <c r="C28" s="102" t="s">
        <v>45</v>
      </c>
      <c r="D28" s="103">
        <v>3.9380000000000002</v>
      </c>
      <c r="E28" s="103">
        <v>0.03</v>
      </c>
      <c r="F28" s="103">
        <v>-0.03</v>
      </c>
      <c r="G28" s="154">
        <v>3.9635000000000002</v>
      </c>
      <c r="H28" s="154">
        <v>3.9125000000000001</v>
      </c>
      <c r="I28" s="154"/>
      <c r="J28" s="154"/>
      <c r="K28" s="102" t="s">
        <v>46</v>
      </c>
      <c r="L28" s="131"/>
      <c r="M28" s="131"/>
      <c r="N28" s="131"/>
      <c r="O28" s="33" t="str">
        <f t="shared" si="0"/>
        <v xml:space="preserve"> </v>
      </c>
      <c r="P28" s="33" t="str">
        <f t="shared" si="1"/>
        <v xml:space="preserve"> </v>
      </c>
      <c r="Q28" s="33" t="str">
        <f t="shared" si="2"/>
        <v xml:space="preserve"> </v>
      </c>
      <c r="R28" s="34" t="str">
        <f t="shared" si="3"/>
        <v xml:space="preserve"> </v>
      </c>
      <c r="S28" s="35" t="str">
        <f t="shared" si="4"/>
        <v xml:space="preserve"> </v>
      </c>
      <c r="T28" s="36" t="str">
        <f t="shared" si="5"/>
        <v xml:space="preserve"> </v>
      </c>
      <c r="U28" s="34" t="str">
        <f t="shared" si="6"/>
        <v/>
      </c>
      <c r="V28" s="34" t="str">
        <f t="shared" si="7"/>
        <v/>
      </c>
      <c r="W28" s="165" t="str" cm="1">
        <f t="array" ref="W28">IF(AND(L28:N28 &gt;= D28+F28, L28:N28 &lt;= D28+E28), "OK", "NG")</f>
        <v>NG</v>
      </c>
    </row>
    <row r="29" spans="1:23" ht="18" customHeight="1">
      <c r="A29" s="32"/>
      <c r="B29" s="101" t="s">
        <v>360</v>
      </c>
      <c r="C29" s="102" t="s">
        <v>45</v>
      </c>
      <c r="D29" s="103">
        <v>1.125</v>
      </c>
      <c r="E29" s="103">
        <v>0.03</v>
      </c>
      <c r="F29" s="103">
        <v>-0.02</v>
      </c>
      <c r="G29" s="154">
        <v>1.1505000000000001</v>
      </c>
      <c r="H29" s="154">
        <v>1.1080000000000001</v>
      </c>
      <c r="I29" s="154">
        <v>1.1475</v>
      </c>
      <c r="J29" s="154">
        <v>1.1100000000000001</v>
      </c>
      <c r="K29" s="102" t="s">
        <v>273</v>
      </c>
      <c r="L29" s="131"/>
      <c r="M29" s="131"/>
      <c r="N29" s="131"/>
      <c r="O29" s="33" t="str">
        <f t="shared" si="0"/>
        <v xml:space="preserve"> </v>
      </c>
      <c r="P29" s="33" t="str">
        <f t="shared" si="1"/>
        <v xml:space="preserve"> </v>
      </c>
      <c r="Q29" s="33" t="str">
        <f t="shared" si="2"/>
        <v xml:space="preserve"> </v>
      </c>
      <c r="R29" s="34" t="str">
        <f t="shared" si="3"/>
        <v xml:space="preserve"> </v>
      </c>
      <c r="S29" s="35" t="str">
        <f t="shared" si="4"/>
        <v xml:space="preserve"> </v>
      </c>
      <c r="T29" s="36" t="str">
        <f t="shared" si="5"/>
        <v xml:space="preserve"> </v>
      </c>
      <c r="U29" s="34" t="str">
        <f t="shared" si="6"/>
        <v/>
      </c>
      <c r="V29" s="34" t="str">
        <f t="shared" si="7"/>
        <v/>
      </c>
      <c r="W29" s="165" t="str" cm="1">
        <f t="array" ref="W29">IF(AND(L29:N29 &gt;= D29+F29, L29:N29 &lt;= D29+E29), "OK", "NG")</f>
        <v>NG</v>
      </c>
    </row>
    <row r="30" spans="1:23" ht="18" customHeight="1">
      <c r="A30" s="32"/>
      <c r="B30" s="101" t="s">
        <v>361</v>
      </c>
      <c r="C30" s="102" t="s">
        <v>45</v>
      </c>
      <c r="D30" s="103">
        <v>1.125</v>
      </c>
      <c r="E30" s="103">
        <v>0.03</v>
      </c>
      <c r="F30" s="103">
        <v>-0.02</v>
      </c>
      <c r="G30" s="154">
        <v>1.1505000000000001</v>
      </c>
      <c r="H30" s="154">
        <v>1.1080000000000001</v>
      </c>
      <c r="I30" s="154">
        <v>1.1475</v>
      </c>
      <c r="J30" s="154">
        <v>1.1100000000000001</v>
      </c>
      <c r="K30" s="102" t="s">
        <v>273</v>
      </c>
      <c r="L30" s="131"/>
      <c r="M30" s="131"/>
      <c r="N30" s="131"/>
      <c r="O30" s="33" t="str">
        <f t="shared" si="0"/>
        <v xml:space="preserve"> </v>
      </c>
      <c r="P30" s="33" t="str">
        <f t="shared" si="1"/>
        <v xml:space="preserve"> </v>
      </c>
      <c r="Q30" s="33" t="str">
        <f t="shared" si="2"/>
        <v xml:space="preserve"> </v>
      </c>
      <c r="R30" s="34" t="str">
        <f t="shared" si="3"/>
        <v xml:space="preserve"> </v>
      </c>
      <c r="S30" s="35" t="str">
        <f t="shared" si="4"/>
        <v xml:space="preserve"> </v>
      </c>
      <c r="T30" s="36" t="str">
        <f t="shared" si="5"/>
        <v xml:space="preserve"> </v>
      </c>
      <c r="U30" s="34" t="str">
        <f t="shared" si="6"/>
        <v/>
      </c>
      <c r="V30" s="34" t="str">
        <f t="shared" si="7"/>
        <v/>
      </c>
      <c r="W30" s="165" t="str" cm="1">
        <f t="array" ref="W30">IF(AND(L30:N30 &gt;= D30+F30, L30:N30 &lt;= D30+E30), "OK", "NG")</f>
        <v>NG</v>
      </c>
    </row>
    <row r="31" spans="1:23" ht="18" customHeight="1">
      <c r="A31" s="32"/>
      <c r="B31" s="101" t="s">
        <v>362</v>
      </c>
      <c r="C31" s="102" t="s">
        <v>45</v>
      </c>
      <c r="D31" s="103">
        <v>1.125</v>
      </c>
      <c r="E31" s="103">
        <v>0.03</v>
      </c>
      <c r="F31" s="103">
        <v>-0.02</v>
      </c>
      <c r="G31" s="154">
        <v>1.1505000000000001</v>
      </c>
      <c r="H31" s="154">
        <v>1.1080000000000001</v>
      </c>
      <c r="I31" s="154">
        <v>1.1475</v>
      </c>
      <c r="J31" s="154">
        <v>1.1100000000000001</v>
      </c>
      <c r="K31" s="102" t="s">
        <v>273</v>
      </c>
      <c r="L31" s="131"/>
      <c r="M31" s="131"/>
      <c r="N31" s="131"/>
      <c r="O31" s="33" t="str">
        <f t="shared" si="0"/>
        <v xml:space="preserve"> </v>
      </c>
      <c r="P31" s="33" t="str">
        <f t="shared" si="1"/>
        <v xml:space="preserve"> </v>
      </c>
      <c r="Q31" s="33" t="str">
        <f t="shared" si="2"/>
        <v xml:space="preserve"> </v>
      </c>
      <c r="R31" s="34" t="str">
        <f t="shared" si="3"/>
        <v xml:space="preserve"> </v>
      </c>
      <c r="S31" s="35" t="str">
        <f t="shared" si="4"/>
        <v xml:space="preserve"> </v>
      </c>
      <c r="T31" s="36" t="str">
        <f t="shared" si="5"/>
        <v xml:space="preserve"> </v>
      </c>
      <c r="U31" s="34" t="str">
        <f t="shared" si="6"/>
        <v/>
      </c>
      <c r="V31" s="34" t="str">
        <f t="shared" si="7"/>
        <v/>
      </c>
      <c r="W31" s="165" t="str" cm="1">
        <f t="array" ref="W31">IF(AND(L31:N31 &gt;= D31+F31, L31:N31 &lt;= D31+E31), "OK", "NG")</f>
        <v>NG</v>
      </c>
    </row>
    <row r="32" spans="1:23" ht="18" customHeight="1">
      <c r="A32" s="32"/>
      <c r="B32" s="101" t="s">
        <v>363</v>
      </c>
      <c r="C32" s="102" t="s">
        <v>45</v>
      </c>
      <c r="D32" s="103">
        <v>1.125</v>
      </c>
      <c r="E32" s="103">
        <v>0.03</v>
      </c>
      <c r="F32" s="103">
        <v>-0.02</v>
      </c>
      <c r="G32" s="154">
        <v>1.1505000000000001</v>
      </c>
      <c r="H32" s="154">
        <v>1.1080000000000001</v>
      </c>
      <c r="I32" s="154">
        <v>1.1475</v>
      </c>
      <c r="J32" s="154">
        <v>1.1100000000000001</v>
      </c>
      <c r="K32" s="102" t="s">
        <v>273</v>
      </c>
      <c r="L32" s="131"/>
      <c r="M32" s="131"/>
      <c r="N32" s="131"/>
      <c r="O32" s="33" t="str">
        <f t="shared" si="0"/>
        <v xml:space="preserve"> </v>
      </c>
      <c r="P32" s="33" t="str">
        <f t="shared" si="1"/>
        <v xml:space="preserve"> </v>
      </c>
      <c r="Q32" s="33" t="str">
        <f t="shared" si="2"/>
        <v xml:space="preserve"> </v>
      </c>
      <c r="R32" s="34" t="str">
        <f t="shared" si="3"/>
        <v xml:space="preserve"> </v>
      </c>
      <c r="S32" s="35" t="str">
        <f t="shared" si="4"/>
        <v xml:space="preserve"> </v>
      </c>
      <c r="T32" s="36" t="str">
        <f t="shared" si="5"/>
        <v xml:space="preserve"> </v>
      </c>
      <c r="U32" s="34" t="str">
        <f t="shared" si="6"/>
        <v/>
      </c>
      <c r="V32" s="34" t="str">
        <f t="shared" si="7"/>
        <v/>
      </c>
      <c r="W32" s="165" t="str" cm="1">
        <f t="array" ref="W32">IF(AND(L32:N32 &gt;= D32+F32, L32:N32 &lt;= D32+E32), "OK", "NG")</f>
        <v>NG</v>
      </c>
    </row>
    <row r="33" spans="1:23" ht="18" customHeight="1">
      <c r="A33" s="32"/>
      <c r="B33" s="101" t="s">
        <v>364</v>
      </c>
      <c r="C33" s="102" t="s">
        <v>45</v>
      </c>
      <c r="D33" s="103">
        <v>1.125</v>
      </c>
      <c r="E33" s="103">
        <v>0.03</v>
      </c>
      <c r="F33" s="103">
        <v>-0.02</v>
      </c>
      <c r="G33" s="154">
        <v>1.1505000000000001</v>
      </c>
      <c r="H33" s="154">
        <v>1.1080000000000001</v>
      </c>
      <c r="I33" s="154">
        <v>1.1475</v>
      </c>
      <c r="J33" s="154">
        <v>1.1100000000000001</v>
      </c>
      <c r="K33" s="102" t="s">
        <v>273</v>
      </c>
      <c r="L33" s="131"/>
      <c r="M33" s="131"/>
      <c r="N33" s="131"/>
      <c r="O33" s="33" t="str">
        <f t="shared" si="0"/>
        <v xml:space="preserve"> </v>
      </c>
      <c r="P33" s="33" t="str">
        <f t="shared" si="1"/>
        <v xml:space="preserve"> </v>
      </c>
      <c r="Q33" s="33" t="str">
        <f t="shared" si="2"/>
        <v xml:space="preserve"> </v>
      </c>
      <c r="R33" s="34" t="str">
        <f t="shared" si="3"/>
        <v xml:space="preserve"> </v>
      </c>
      <c r="S33" s="35" t="str">
        <f t="shared" si="4"/>
        <v xml:space="preserve"> </v>
      </c>
      <c r="T33" s="36" t="str">
        <f t="shared" si="5"/>
        <v xml:space="preserve"> </v>
      </c>
      <c r="U33" s="34" t="str">
        <f t="shared" si="6"/>
        <v/>
      </c>
      <c r="V33" s="34" t="str">
        <f t="shared" si="7"/>
        <v/>
      </c>
      <c r="W33" s="165" t="str" cm="1">
        <f t="array" ref="W33">IF(AND(L33:N33 &gt;= D33+F33, L33:N33 &lt;= D33+E33), "OK", "NG")</f>
        <v>NG</v>
      </c>
    </row>
    <row r="34" spans="1:23" ht="18" customHeight="1">
      <c r="A34" s="32"/>
      <c r="B34" s="101" t="s">
        <v>365</v>
      </c>
      <c r="C34" s="102" t="s">
        <v>45</v>
      </c>
      <c r="D34" s="103">
        <v>1.125</v>
      </c>
      <c r="E34" s="103">
        <v>0.03</v>
      </c>
      <c r="F34" s="103">
        <v>-0.02</v>
      </c>
      <c r="G34" s="154">
        <v>1.1505000000000001</v>
      </c>
      <c r="H34" s="154">
        <v>1.1080000000000001</v>
      </c>
      <c r="I34" s="154">
        <v>1.1475</v>
      </c>
      <c r="J34" s="154">
        <v>1.1100000000000001</v>
      </c>
      <c r="K34" s="102" t="s">
        <v>273</v>
      </c>
      <c r="L34" s="131"/>
      <c r="M34" s="131"/>
      <c r="N34" s="131"/>
      <c r="O34" s="33" t="str">
        <f t="shared" si="0"/>
        <v xml:space="preserve"> </v>
      </c>
      <c r="P34" s="33" t="str">
        <f t="shared" si="1"/>
        <v xml:space="preserve"> </v>
      </c>
      <c r="Q34" s="33" t="str">
        <f t="shared" si="2"/>
        <v xml:space="preserve"> </v>
      </c>
      <c r="R34" s="34" t="str">
        <f t="shared" si="3"/>
        <v xml:space="preserve"> </v>
      </c>
      <c r="S34" s="35" t="str">
        <f t="shared" si="4"/>
        <v xml:space="preserve"> </v>
      </c>
      <c r="T34" s="36" t="str">
        <f t="shared" si="5"/>
        <v xml:space="preserve"> </v>
      </c>
      <c r="U34" s="34"/>
      <c r="V34" s="34"/>
      <c r="W34" s="165" t="str" cm="1">
        <f t="array" ref="W34">IF(AND(L34:N34 &gt;= D34+F34, L34:N34 &lt;= D34+E34), "OK", "NG")</f>
        <v>NG</v>
      </c>
    </row>
    <row r="35" spans="1:23" ht="18" customHeight="1">
      <c r="A35" s="32"/>
      <c r="B35" s="101" t="s">
        <v>168</v>
      </c>
      <c r="C35" s="102" t="s">
        <v>45</v>
      </c>
      <c r="D35" s="103">
        <v>0.27500000000000002</v>
      </c>
      <c r="E35" s="103">
        <v>0.03</v>
      </c>
      <c r="F35" s="103">
        <v>-0.03</v>
      </c>
      <c r="G35" s="154">
        <v>0.30050000000000004</v>
      </c>
      <c r="H35" s="154">
        <v>0.24950000000000003</v>
      </c>
      <c r="I35" s="154"/>
      <c r="J35" s="154"/>
      <c r="K35" s="102" t="s">
        <v>46</v>
      </c>
      <c r="L35" s="131"/>
      <c r="M35" s="131"/>
      <c r="N35" s="131"/>
      <c r="O35" s="33" t="str">
        <f t="shared" si="0"/>
        <v xml:space="preserve"> </v>
      </c>
      <c r="P35" s="33" t="str">
        <f t="shared" si="1"/>
        <v xml:space="preserve"> </v>
      </c>
      <c r="Q35" s="33" t="str">
        <f t="shared" si="2"/>
        <v xml:space="preserve"> </v>
      </c>
      <c r="R35" s="34" t="str">
        <f t="shared" si="3"/>
        <v xml:space="preserve"> </v>
      </c>
      <c r="S35" s="35" t="str">
        <f t="shared" si="4"/>
        <v xml:space="preserve"> </v>
      </c>
      <c r="T35" s="36" t="str">
        <f t="shared" si="5"/>
        <v xml:space="preserve"> </v>
      </c>
      <c r="U35" s="34" t="str">
        <f t="shared" si="6"/>
        <v/>
      </c>
      <c r="V35" s="34" t="str">
        <f t="shared" ref="V35:V98" si="8">IF(L35="","",IF(ISERR(F35/F35)=TRUE,"",IF(ISERR(F35/D35)=TRUE,IF((F35-MIN(L35:N35))&gt;0.001,"Reject",""),IF(ISNUMBER($T35)=TRUE,IF($T35&gt;0.651,IF($T35&gt;1.001,"Reject","Alert"),""),""))))</f>
        <v/>
      </c>
      <c r="W35" s="165" t="str" cm="1">
        <f t="array" ref="W35">IF(AND(L35:N35 &gt;= D35+F35, L35:N35 &lt;= D35+E35), "OK", "NG")</f>
        <v>NG</v>
      </c>
    </row>
    <row r="36" spans="1:23" ht="18" customHeight="1">
      <c r="A36" s="32"/>
      <c r="B36" s="101" t="s">
        <v>169</v>
      </c>
      <c r="C36" s="102" t="s">
        <v>45</v>
      </c>
      <c r="D36" s="103">
        <v>0.27500000000000002</v>
      </c>
      <c r="E36" s="103">
        <v>0.03</v>
      </c>
      <c r="F36" s="103">
        <v>-0.03</v>
      </c>
      <c r="G36" s="154">
        <v>0.30050000000000004</v>
      </c>
      <c r="H36" s="154">
        <v>0.24950000000000003</v>
      </c>
      <c r="I36" s="154"/>
      <c r="J36" s="154"/>
      <c r="K36" s="102" t="s">
        <v>46</v>
      </c>
      <c r="L36" s="131"/>
      <c r="M36" s="131"/>
      <c r="N36" s="131"/>
      <c r="O36" s="33" t="str">
        <f t="shared" si="0"/>
        <v xml:space="preserve"> </v>
      </c>
      <c r="P36" s="33" t="str">
        <f t="shared" si="1"/>
        <v xml:space="preserve"> </v>
      </c>
      <c r="Q36" s="33" t="str">
        <f t="shared" si="2"/>
        <v xml:space="preserve"> </v>
      </c>
      <c r="R36" s="34" t="str">
        <f t="shared" si="3"/>
        <v xml:space="preserve"> </v>
      </c>
      <c r="S36" s="35" t="str">
        <f t="shared" si="4"/>
        <v xml:space="preserve"> </v>
      </c>
      <c r="T36" s="36" t="str">
        <f t="shared" si="5"/>
        <v xml:space="preserve"> </v>
      </c>
      <c r="U36" s="34" t="str">
        <f t="shared" si="6"/>
        <v/>
      </c>
      <c r="V36" s="34" t="str">
        <f t="shared" si="8"/>
        <v/>
      </c>
      <c r="W36" s="165" t="str" cm="1">
        <f t="array" ref="W36">IF(AND(L36:N36 &gt;= D36+F36, L36:N36 &lt;= D36+E36), "OK", "NG")</f>
        <v>NG</v>
      </c>
    </row>
    <row r="37" spans="1:23" ht="18" customHeight="1">
      <c r="A37" s="32"/>
      <c r="B37" s="101" t="s">
        <v>301</v>
      </c>
      <c r="C37" s="102" t="s">
        <v>45</v>
      </c>
      <c r="D37" s="103">
        <v>0.27500000000000002</v>
      </c>
      <c r="E37" s="103">
        <v>0.03</v>
      </c>
      <c r="F37" s="103">
        <v>-0.03</v>
      </c>
      <c r="G37" s="154">
        <v>0.30050000000000004</v>
      </c>
      <c r="H37" s="154">
        <v>0.24950000000000003</v>
      </c>
      <c r="I37" s="154"/>
      <c r="J37" s="154"/>
      <c r="K37" s="102" t="s">
        <v>46</v>
      </c>
      <c r="L37" s="131"/>
      <c r="M37" s="131"/>
      <c r="N37" s="131"/>
      <c r="O37" s="33" t="str">
        <f t="shared" si="0"/>
        <v xml:space="preserve"> </v>
      </c>
      <c r="P37" s="33" t="str">
        <f t="shared" si="1"/>
        <v xml:space="preserve"> </v>
      </c>
      <c r="Q37" s="33" t="str">
        <f t="shared" si="2"/>
        <v xml:space="preserve"> </v>
      </c>
      <c r="R37" s="34" t="str">
        <f t="shared" si="3"/>
        <v xml:space="preserve"> </v>
      </c>
      <c r="S37" s="35" t="str">
        <f t="shared" si="4"/>
        <v xml:space="preserve"> </v>
      </c>
      <c r="T37" s="36" t="str">
        <f t="shared" si="5"/>
        <v xml:space="preserve"> </v>
      </c>
      <c r="U37" s="34" t="str">
        <f t="shared" si="6"/>
        <v/>
      </c>
      <c r="V37" s="34" t="str">
        <f t="shared" si="8"/>
        <v/>
      </c>
      <c r="W37" s="165" t="str" cm="1">
        <f t="array" ref="W37">IF(AND(L37:N37 &gt;= D37+F37, L37:N37 &lt;= D37+E37), "OK", "NG")</f>
        <v>NG</v>
      </c>
    </row>
    <row r="38" spans="1:23" ht="18" customHeight="1">
      <c r="A38" s="32"/>
      <c r="B38" s="101" t="s">
        <v>302</v>
      </c>
      <c r="C38" s="102" t="s">
        <v>45</v>
      </c>
      <c r="D38" s="103">
        <v>0.27500000000000002</v>
      </c>
      <c r="E38" s="103">
        <v>0.03</v>
      </c>
      <c r="F38" s="103">
        <v>-0.03</v>
      </c>
      <c r="G38" s="154">
        <v>0.30050000000000004</v>
      </c>
      <c r="H38" s="154">
        <v>0.24950000000000003</v>
      </c>
      <c r="I38" s="154"/>
      <c r="J38" s="154"/>
      <c r="K38" s="102" t="s">
        <v>46</v>
      </c>
      <c r="L38" s="131"/>
      <c r="M38" s="131"/>
      <c r="N38" s="131"/>
      <c r="O38" s="33" t="str">
        <f t="shared" si="0"/>
        <v xml:space="preserve"> </v>
      </c>
      <c r="P38" s="33" t="str">
        <f t="shared" si="1"/>
        <v xml:space="preserve"> </v>
      </c>
      <c r="Q38" s="33" t="str">
        <f t="shared" si="2"/>
        <v xml:space="preserve"> </v>
      </c>
      <c r="R38" s="34" t="str">
        <f t="shared" si="3"/>
        <v xml:space="preserve"> </v>
      </c>
      <c r="S38" s="35" t="str">
        <f t="shared" si="4"/>
        <v xml:space="preserve"> </v>
      </c>
      <c r="T38" s="36" t="str">
        <f t="shared" si="5"/>
        <v xml:space="preserve"> </v>
      </c>
      <c r="U38" s="34" t="str">
        <f t="shared" si="6"/>
        <v/>
      </c>
      <c r="V38" s="34" t="str">
        <f t="shared" si="8"/>
        <v/>
      </c>
      <c r="W38" s="165" t="str" cm="1">
        <f t="array" ref="W38">IF(AND(L38:N38 &gt;= D38+F38, L38:N38 &lt;= D38+E38), "OK", "NG")</f>
        <v>NG</v>
      </c>
    </row>
    <row r="39" spans="1:23" ht="18" customHeight="1">
      <c r="A39" s="32"/>
      <c r="B39" s="101" t="s">
        <v>303</v>
      </c>
      <c r="C39" s="102" t="s">
        <v>45</v>
      </c>
      <c r="D39" s="103">
        <v>0.27500000000000002</v>
      </c>
      <c r="E39" s="103">
        <v>0.03</v>
      </c>
      <c r="F39" s="103">
        <v>-0.03</v>
      </c>
      <c r="G39" s="154">
        <v>0.30050000000000004</v>
      </c>
      <c r="H39" s="154">
        <v>0.24950000000000003</v>
      </c>
      <c r="I39" s="154"/>
      <c r="J39" s="154"/>
      <c r="K39" s="102" t="s">
        <v>46</v>
      </c>
      <c r="L39" s="131"/>
      <c r="M39" s="131"/>
      <c r="N39" s="131"/>
      <c r="O39" s="33" t="str">
        <f t="shared" si="0"/>
        <v xml:space="preserve"> </v>
      </c>
      <c r="P39" s="33" t="str">
        <f t="shared" si="1"/>
        <v xml:space="preserve"> </v>
      </c>
      <c r="Q39" s="33" t="str">
        <f t="shared" si="2"/>
        <v xml:space="preserve"> </v>
      </c>
      <c r="R39" s="34" t="str">
        <f t="shared" si="3"/>
        <v xml:space="preserve"> </v>
      </c>
      <c r="S39" s="35" t="str">
        <f t="shared" si="4"/>
        <v xml:space="preserve"> </v>
      </c>
      <c r="T39" s="36" t="str">
        <f t="shared" si="5"/>
        <v xml:space="preserve"> </v>
      </c>
      <c r="U39" s="34" t="str">
        <f t="shared" si="6"/>
        <v/>
      </c>
      <c r="V39" s="34" t="str">
        <f t="shared" si="8"/>
        <v/>
      </c>
      <c r="W39" s="165" t="str" cm="1">
        <f t="array" ref="W39">IF(AND(L39:N39 &gt;= D39+F39, L39:N39 &lt;= D39+E39), "OK", "NG")</f>
        <v>NG</v>
      </c>
    </row>
    <row r="40" spans="1:23" ht="18" customHeight="1">
      <c r="A40" s="32"/>
      <c r="B40" s="101" t="s">
        <v>170</v>
      </c>
      <c r="C40" s="102" t="s">
        <v>45</v>
      </c>
      <c r="D40" s="103">
        <v>0.27500000000000002</v>
      </c>
      <c r="E40" s="103">
        <v>1.4999999999999999E-2</v>
      </c>
      <c r="F40" s="103">
        <v>-1.4999999999999999E-2</v>
      </c>
      <c r="G40" s="154">
        <v>0.28775000000000001</v>
      </c>
      <c r="H40" s="154">
        <v>0.26225000000000004</v>
      </c>
      <c r="I40" s="154"/>
      <c r="J40" s="154"/>
      <c r="K40" s="102" t="s">
        <v>46</v>
      </c>
      <c r="L40" s="131"/>
      <c r="M40" s="131"/>
      <c r="N40" s="131"/>
      <c r="O40" s="33" t="str">
        <f t="shared" si="0"/>
        <v xml:space="preserve"> </v>
      </c>
      <c r="P40" s="33" t="str">
        <f t="shared" si="1"/>
        <v xml:space="preserve"> </v>
      </c>
      <c r="Q40" s="33" t="str">
        <f t="shared" si="2"/>
        <v xml:space="preserve"> </v>
      </c>
      <c r="R40" s="34" t="str">
        <f t="shared" si="3"/>
        <v xml:space="preserve"> </v>
      </c>
      <c r="S40" s="35" t="str">
        <f t="shared" si="4"/>
        <v xml:space="preserve"> </v>
      </c>
      <c r="T40" s="36" t="str">
        <f t="shared" si="5"/>
        <v xml:space="preserve"> </v>
      </c>
      <c r="U40" s="34" t="str">
        <f t="shared" si="6"/>
        <v/>
      </c>
      <c r="V40" s="34" t="str">
        <f t="shared" si="8"/>
        <v/>
      </c>
      <c r="W40" s="165" t="str" cm="1">
        <f t="array" ref="W40">IF(AND(L40:N40 &gt;= D40+F40, L40:N40 &lt;= D40+E40), "OK", "NG")</f>
        <v>NG</v>
      </c>
    </row>
    <row r="41" spans="1:23" ht="18" customHeight="1">
      <c r="A41" s="32"/>
      <c r="B41" s="101" t="s">
        <v>171</v>
      </c>
      <c r="C41" s="102" t="s">
        <v>45</v>
      </c>
      <c r="D41" s="103">
        <v>0.27500000000000002</v>
      </c>
      <c r="E41" s="103">
        <v>1.4999999999999999E-2</v>
      </c>
      <c r="F41" s="103">
        <v>-1.4999999999999999E-2</v>
      </c>
      <c r="G41" s="154">
        <v>0.28775000000000001</v>
      </c>
      <c r="H41" s="154">
        <v>0.26225000000000004</v>
      </c>
      <c r="I41" s="154"/>
      <c r="J41" s="154"/>
      <c r="K41" s="102" t="s">
        <v>46</v>
      </c>
      <c r="L41" s="131"/>
      <c r="M41" s="131"/>
      <c r="N41" s="131"/>
      <c r="O41" s="33" t="str">
        <f t="shared" si="0"/>
        <v xml:space="preserve"> </v>
      </c>
      <c r="P41" s="33" t="str">
        <f t="shared" si="1"/>
        <v xml:space="preserve"> </v>
      </c>
      <c r="Q41" s="33" t="str">
        <f t="shared" si="2"/>
        <v xml:space="preserve"> </v>
      </c>
      <c r="R41" s="34" t="str">
        <f t="shared" si="3"/>
        <v xml:space="preserve"> </v>
      </c>
      <c r="S41" s="35" t="str">
        <f t="shared" si="4"/>
        <v xml:space="preserve"> </v>
      </c>
      <c r="T41" s="36" t="str">
        <f t="shared" si="5"/>
        <v xml:space="preserve"> </v>
      </c>
      <c r="U41" s="34" t="str">
        <f t="shared" si="6"/>
        <v/>
      </c>
      <c r="V41" s="34" t="str">
        <f t="shared" si="8"/>
        <v/>
      </c>
      <c r="W41" s="165" t="str" cm="1">
        <f t="array" ref="W41">IF(AND(L41:N41 &gt;= D41+F41, L41:N41 &lt;= D41+E41), "OK", "NG")</f>
        <v>NG</v>
      </c>
    </row>
    <row r="42" spans="1:23" ht="18" customHeight="1">
      <c r="A42" s="32"/>
      <c r="B42" s="101" t="s">
        <v>367</v>
      </c>
      <c r="C42" s="102" t="s">
        <v>45</v>
      </c>
      <c r="D42" s="103">
        <v>1.8180000000000001</v>
      </c>
      <c r="E42" s="103">
        <v>0.03</v>
      </c>
      <c r="F42" s="103">
        <v>-0.03</v>
      </c>
      <c r="G42" s="154">
        <v>1.8435000000000001</v>
      </c>
      <c r="H42" s="154">
        <v>1.7925</v>
      </c>
      <c r="I42" s="154"/>
      <c r="J42" s="154"/>
      <c r="K42" s="102" t="s">
        <v>46</v>
      </c>
      <c r="L42" s="131"/>
      <c r="M42" s="131"/>
      <c r="N42" s="131"/>
      <c r="O42" s="33" t="str">
        <f t="shared" si="0"/>
        <v xml:space="preserve"> </v>
      </c>
      <c r="P42" s="33" t="str">
        <f t="shared" si="1"/>
        <v xml:space="preserve"> </v>
      </c>
      <c r="Q42" s="33" t="str">
        <f t="shared" si="2"/>
        <v xml:space="preserve"> </v>
      </c>
      <c r="R42" s="34" t="str">
        <f t="shared" si="3"/>
        <v xml:space="preserve"> </v>
      </c>
      <c r="S42" s="35" t="str">
        <f t="shared" si="4"/>
        <v xml:space="preserve"> </v>
      </c>
      <c r="T42" s="36" t="str">
        <f t="shared" si="5"/>
        <v xml:space="preserve"> </v>
      </c>
      <c r="U42" s="34" t="str">
        <f t="shared" si="6"/>
        <v/>
      </c>
      <c r="V42" s="34" t="str">
        <f t="shared" si="8"/>
        <v/>
      </c>
      <c r="W42" s="165" t="str" cm="1">
        <f t="array" ref="W42">IF(AND(L42:N42 &gt;= D42+F42, L42:N42 &lt;= D42+E42), "OK", "NG")</f>
        <v>NG</v>
      </c>
    </row>
    <row r="43" spans="1:23" ht="18" customHeight="1">
      <c r="A43" s="32"/>
      <c r="B43" s="101">
        <v>26</v>
      </c>
      <c r="C43" s="102" t="s">
        <v>45</v>
      </c>
      <c r="D43" s="103">
        <v>5.9269999999999996</v>
      </c>
      <c r="E43" s="103">
        <v>0.03</v>
      </c>
      <c r="F43" s="103">
        <v>-0.03</v>
      </c>
      <c r="G43" s="154">
        <v>5.9524999999999997</v>
      </c>
      <c r="H43" s="154">
        <v>5.9014999999999995</v>
      </c>
      <c r="I43" s="154"/>
      <c r="J43" s="154"/>
      <c r="K43" s="102" t="s">
        <v>46</v>
      </c>
      <c r="L43" s="131"/>
      <c r="M43" s="131"/>
      <c r="N43" s="131"/>
      <c r="O43" s="33" t="str">
        <f t="shared" si="0"/>
        <v xml:space="preserve"> </v>
      </c>
      <c r="P43" s="33" t="str">
        <f t="shared" si="1"/>
        <v xml:space="preserve"> </v>
      </c>
      <c r="Q43" s="33" t="str">
        <f t="shared" si="2"/>
        <v xml:space="preserve"> </v>
      </c>
      <c r="R43" s="34" t="str">
        <f t="shared" si="3"/>
        <v xml:space="preserve"> </v>
      </c>
      <c r="S43" s="35" t="str">
        <f t="shared" si="4"/>
        <v xml:space="preserve"> </v>
      </c>
      <c r="T43" s="36" t="str">
        <f t="shared" si="5"/>
        <v xml:space="preserve"> </v>
      </c>
      <c r="U43" s="34" t="str">
        <f t="shared" si="6"/>
        <v/>
      </c>
      <c r="V43" s="34" t="str">
        <f t="shared" si="8"/>
        <v/>
      </c>
      <c r="W43" s="165" t="str" cm="1">
        <f t="array" ref="W43">IF(AND(L43:N43 &gt;= D43+F43, L43:N43 &lt;= D43+E43), "OK", "NG")</f>
        <v>NG</v>
      </c>
    </row>
    <row r="44" spans="1:23" ht="18" customHeight="1">
      <c r="A44" s="32"/>
      <c r="B44" s="101" t="s">
        <v>145</v>
      </c>
      <c r="C44" s="102" t="s">
        <v>45</v>
      </c>
      <c r="D44" s="103">
        <v>8.3719999999999999</v>
      </c>
      <c r="E44" s="103">
        <v>0.03</v>
      </c>
      <c r="F44" s="103">
        <v>-0.03</v>
      </c>
      <c r="G44" s="154">
        <v>8.3974999999999991</v>
      </c>
      <c r="H44" s="154">
        <v>8.3465000000000007</v>
      </c>
      <c r="I44" s="154"/>
      <c r="J44" s="154"/>
      <c r="K44" s="102" t="s">
        <v>46</v>
      </c>
      <c r="L44" s="131"/>
      <c r="M44" s="131"/>
      <c r="N44" s="131"/>
      <c r="O44" s="33" t="str">
        <f t="shared" si="0"/>
        <v xml:space="preserve"> </v>
      </c>
      <c r="P44" s="33" t="str">
        <f t="shared" si="1"/>
        <v xml:space="preserve"> </v>
      </c>
      <c r="Q44" s="33" t="str">
        <f t="shared" si="2"/>
        <v xml:space="preserve"> </v>
      </c>
      <c r="R44" s="34" t="str">
        <f t="shared" si="3"/>
        <v xml:space="preserve"> </v>
      </c>
      <c r="S44" s="35" t="str">
        <f t="shared" si="4"/>
        <v xml:space="preserve"> </v>
      </c>
      <c r="T44" s="36" t="str">
        <f t="shared" si="5"/>
        <v xml:space="preserve"> </v>
      </c>
      <c r="U44" s="34" t="str">
        <f t="shared" si="6"/>
        <v/>
      </c>
      <c r="V44" s="34" t="str">
        <f t="shared" si="8"/>
        <v/>
      </c>
      <c r="W44" s="165" t="str" cm="1">
        <f t="array" ref="W44">IF(AND(L44:N44 &gt;= D44+F44, L44:N44 &lt;= D44+E44), "OK", "NG")</f>
        <v>NG</v>
      </c>
    </row>
    <row r="45" spans="1:23" ht="18" customHeight="1">
      <c r="A45" s="32"/>
      <c r="B45" s="101" t="s">
        <v>146</v>
      </c>
      <c r="C45" s="102" t="s">
        <v>45</v>
      </c>
      <c r="D45" s="103">
        <v>8.3719999999999999</v>
      </c>
      <c r="E45" s="103">
        <v>0.03</v>
      </c>
      <c r="F45" s="103">
        <v>-0.03</v>
      </c>
      <c r="G45" s="154">
        <v>8.3974999999999991</v>
      </c>
      <c r="H45" s="154">
        <v>8.3465000000000007</v>
      </c>
      <c r="I45" s="154"/>
      <c r="J45" s="154"/>
      <c r="K45" s="102" t="s">
        <v>46</v>
      </c>
      <c r="L45" s="131"/>
      <c r="M45" s="131"/>
      <c r="N45" s="131"/>
      <c r="O45" s="33" t="str">
        <f t="shared" si="0"/>
        <v xml:space="preserve"> </v>
      </c>
      <c r="P45" s="33" t="str">
        <f t="shared" si="1"/>
        <v xml:space="preserve"> </v>
      </c>
      <c r="Q45" s="33" t="str">
        <f t="shared" si="2"/>
        <v xml:space="preserve"> </v>
      </c>
      <c r="R45" s="34" t="str">
        <f t="shared" si="3"/>
        <v xml:space="preserve"> </v>
      </c>
      <c r="S45" s="35" t="str">
        <f t="shared" si="4"/>
        <v xml:space="preserve"> </v>
      </c>
      <c r="T45" s="36" t="str">
        <f t="shared" si="5"/>
        <v xml:space="preserve"> </v>
      </c>
      <c r="U45" s="34" t="str">
        <f t="shared" si="6"/>
        <v/>
      </c>
      <c r="V45" s="34" t="str">
        <f t="shared" si="8"/>
        <v/>
      </c>
      <c r="W45" s="165" t="str" cm="1">
        <f t="array" ref="W45">IF(AND(L45:N45 &gt;= D45+F45, L45:N45 &lt;= D45+E45), "OK", "NG")</f>
        <v>NG</v>
      </c>
    </row>
    <row r="46" spans="1:23" ht="18" customHeight="1">
      <c r="A46" s="32"/>
      <c r="B46" s="101" t="s">
        <v>172</v>
      </c>
      <c r="C46" s="102" t="s">
        <v>45</v>
      </c>
      <c r="D46" s="103">
        <v>20.184999999999999</v>
      </c>
      <c r="E46" s="103">
        <v>0.03</v>
      </c>
      <c r="F46" s="103">
        <v>-0.03</v>
      </c>
      <c r="G46" s="154">
        <v>20.2105</v>
      </c>
      <c r="H46" s="154">
        <v>20.159499999999998</v>
      </c>
      <c r="I46" s="154"/>
      <c r="J46" s="154"/>
      <c r="K46" s="102" t="s">
        <v>46</v>
      </c>
      <c r="L46" s="131"/>
      <c r="M46" s="131"/>
      <c r="N46" s="131"/>
      <c r="O46" s="33" t="str">
        <f t="shared" si="0"/>
        <v xml:space="preserve"> </v>
      </c>
      <c r="P46" s="33" t="str">
        <f t="shared" si="1"/>
        <v xml:space="preserve"> </v>
      </c>
      <c r="Q46" s="33" t="str">
        <f t="shared" si="2"/>
        <v xml:space="preserve"> </v>
      </c>
      <c r="R46" s="34" t="str">
        <f t="shared" si="3"/>
        <v xml:space="preserve"> </v>
      </c>
      <c r="S46" s="35" t="str">
        <f t="shared" si="4"/>
        <v xml:space="preserve"> </v>
      </c>
      <c r="T46" s="36" t="str">
        <f t="shared" si="5"/>
        <v xml:space="preserve"> </v>
      </c>
      <c r="U46" s="34" t="str">
        <f t="shared" si="6"/>
        <v/>
      </c>
      <c r="V46" s="34" t="str">
        <f t="shared" si="8"/>
        <v/>
      </c>
      <c r="W46" s="165" t="str" cm="1">
        <f t="array" ref="W46">IF(AND(L46:N46 &gt;= D46+F46, L46:N46 &lt;= D46+E46), "OK", "NG")</f>
        <v>NG</v>
      </c>
    </row>
    <row r="47" spans="1:23" ht="17.25" customHeight="1">
      <c r="A47" s="32"/>
      <c r="B47" s="101" t="s">
        <v>173</v>
      </c>
      <c r="C47" s="102" t="s">
        <v>45</v>
      </c>
      <c r="D47" s="103">
        <v>20.184999999999999</v>
      </c>
      <c r="E47" s="103">
        <v>0.03</v>
      </c>
      <c r="F47" s="103">
        <v>-0.03</v>
      </c>
      <c r="G47" s="154">
        <v>20.2105</v>
      </c>
      <c r="H47" s="154">
        <v>20.159499999999998</v>
      </c>
      <c r="I47" s="154"/>
      <c r="J47" s="154"/>
      <c r="K47" s="102" t="s">
        <v>46</v>
      </c>
      <c r="L47" s="131"/>
      <c r="M47" s="131"/>
      <c r="N47" s="131"/>
      <c r="O47" s="33" t="str">
        <f t="shared" si="0"/>
        <v xml:space="preserve"> </v>
      </c>
      <c r="P47" s="33" t="str">
        <f t="shared" si="1"/>
        <v xml:space="preserve"> </v>
      </c>
      <c r="Q47" s="33" t="str">
        <f t="shared" si="2"/>
        <v xml:space="preserve"> </v>
      </c>
      <c r="R47" s="34" t="str">
        <f t="shared" si="3"/>
        <v xml:space="preserve"> </v>
      </c>
      <c r="S47" s="35" t="str">
        <f t="shared" si="4"/>
        <v xml:space="preserve"> </v>
      </c>
      <c r="T47" s="36" t="str">
        <f t="shared" si="5"/>
        <v xml:space="preserve"> </v>
      </c>
      <c r="U47" s="34" t="str">
        <f t="shared" si="6"/>
        <v/>
      </c>
      <c r="V47" s="34" t="str">
        <f t="shared" si="8"/>
        <v/>
      </c>
      <c r="W47" s="165" t="str" cm="1">
        <f t="array" ref="W47">IF(AND(L47:N47 &gt;= D47+F47, L47:N47 &lt;= D47+E47), "OK", "NG")</f>
        <v>NG</v>
      </c>
    </row>
    <row r="48" spans="1:23" ht="18" customHeight="1">
      <c r="A48" s="32"/>
      <c r="B48" s="101">
        <v>29</v>
      </c>
      <c r="C48" s="102" t="s">
        <v>45</v>
      </c>
      <c r="D48" s="103">
        <v>9.6820000000000004</v>
      </c>
      <c r="E48" s="103">
        <v>0.03</v>
      </c>
      <c r="F48" s="103">
        <v>-0.03</v>
      </c>
      <c r="G48" s="154">
        <v>9.7074999999999996</v>
      </c>
      <c r="H48" s="154">
        <v>9.6565000000000012</v>
      </c>
      <c r="I48" s="154"/>
      <c r="J48" s="154"/>
      <c r="K48" s="102" t="s">
        <v>46</v>
      </c>
      <c r="L48" s="131"/>
      <c r="M48" s="131"/>
      <c r="N48" s="131"/>
      <c r="O48" s="33" t="str">
        <f t="shared" si="0"/>
        <v xml:space="preserve"> </v>
      </c>
      <c r="P48" s="33" t="str">
        <f t="shared" si="1"/>
        <v xml:space="preserve"> </v>
      </c>
      <c r="Q48" s="33" t="str">
        <f t="shared" si="2"/>
        <v xml:space="preserve"> </v>
      </c>
      <c r="R48" s="34" t="str">
        <f t="shared" si="3"/>
        <v xml:space="preserve"> </v>
      </c>
      <c r="S48" s="35" t="str">
        <f t="shared" si="4"/>
        <v xml:space="preserve"> </v>
      </c>
      <c r="T48" s="36" t="str">
        <f t="shared" si="5"/>
        <v xml:space="preserve"> </v>
      </c>
      <c r="U48" s="34" t="str">
        <f t="shared" si="6"/>
        <v/>
      </c>
      <c r="V48" s="34" t="str">
        <f t="shared" si="8"/>
        <v/>
      </c>
      <c r="W48" s="165" t="str" cm="1">
        <f t="array" ref="W48">IF(AND(L48:N48 &gt;= D48+F48, L48:N48 &lt;= D48+E48), "OK", "NG")</f>
        <v>NG</v>
      </c>
    </row>
    <row r="49" spans="1:23" ht="18" customHeight="1">
      <c r="A49" s="32"/>
      <c r="B49" s="101">
        <v>30</v>
      </c>
      <c r="C49" s="102" t="s">
        <v>45</v>
      </c>
      <c r="D49" s="103">
        <v>24.37</v>
      </c>
      <c r="E49" s="103">
        <v>0.03</v>
      </c>
      <c r="F49" s="103">
        <v>-0.03</v>
      </c>
      <c r="G49" s="154">
        <v>24.395500000000002</v>
      </c>
      <c r="H49" s="154">
        <v>24.3445</v>
      </c>
      <c r="I49" s="154"/>
      <c r="J49" s="154"/>
      <c r="K49" s="102" t="s">
        <v>46</v>
      </c>
      <c r="L49" s="131"/>
      <c r="M49" s="131"/>
      <c r="N49" s="131"/>
      <c r="O49" s="33" t="str">
        <f t="shared" si="0"/>
        <v xml:space="preserve"> </v>
      </c>
      <c r="P49" s="33" t="str">
        <f t="shared" si="1"/>
        <v xml:space="preserve"> </v>
      </c>
      <c r="Q49" s="33" t="str">
        <f t="shared" si="2"/>
        <v xml:space="preserve"> </v>
      </c>
      <c r="R49" s="34" t="str">
        <f t="shared" si="3"/>
        <v xml:space="preserve"> </v>
      </c>
      <c r="S49" s="35" t="str">
        <f t="shared" si="4"/>
        <v xml:space="preserve"> </v>
      </c>
      <c r="T49" s="36" t="str">
        <f t="shared" si="5"/>
        <v xml:space="preserve"> </v>
      </c>
      <c r="U49" s="34" t="str">
        <f t="shared" si="6"/>
        <v/>
      </c>
      <c r="V49" s="34" t="str">
        <f t="shared" si="8"/>
        <v/>
      </c>
      <c r="W49" s="165" t="str" cm="1">
        <f t="array" ref="W49">IF(AND(L49:N49 &gt;= D49+F49, L49:N49 &lt;= D49+E49), "OK", "NG")</f>
        <v>NG</v>
      </c>
    </row>
    <row r="50" spans="1:23" ht="18" customHeight="1">
      <c r="A50" s="32"/>
      <c r="B50" s="101">
        <v>31</v>
      </c>
      <c r="C50" s="102" t="s">
        <v>45</v>
      </c>
      <c r="D50" s="103">
        <v>22.236000000000001</v>
      </c>
      <c r="E50" s="103">
        <v>0.03</v>
      </c>
      <c r="F50" s="103">
        <v>-0.03</v>
      </c>
      <c r="G50" s="154">
        <v>22.261500000000002</v>
      </c>
      <c r="H50" s="154">
        <v>22.2105</v>
      </c>
      <c r="I50" s="154"/>
      <c r="J50" s="154"/>
      <c r="K50" s="102" t="s">
        <v>46</v>
      </c>
      <c r="L50" s="131"/>
      <c r="M50" s="131"/>
      <c r="N50" s="131"/>
      <c r="O50" s="33" t="str">
        <f t="shared" si="0"/>
        <v xml:space="preserve"> </v>
      </c>
      <c r="P50" s="33" t="str">
        <f t="shared" si="1"/>
        <v xml:space="preserve"> </v>
      </c>
      <c r="Q50" s="33" t="str">
        <f t="shared" si="2"/>
        <v xml:space="preserve"> </v>
      </c>
      <c r="R50" s="34" t="str">
        <f t="shared" si="3"/>
        <v xml:space="preserve"> </v>
      </c>
      <c r="S50" s="35" t="str">
        <f t="shared" si="4"/>
        <v xml:space="preserve"> </v>
      </c>
      <c r="T50" s="36" t="str">
        <f t="shared" si="5"/>
        <v xml:space="preserve"> </v>
      </c>
      <c r="U50" s="34" t="str">
        <f t="shared" si="6"/>
        <v/>
      </c>
      <c r="V50" s="34" t="str">
        <f t="shared" si="8"/>
        <v/>
      </c>
      <c r="W50" s="165" t="str" cm="1">
        <f t="array" ref="W50">IF(AND(L50:N50 &gt;= D50+F50, L50:N50 &lt;= D50+E50), "OK", "NG")</f>
        <v>NG</v>
      </c>
    </row>
    <row r="51" spans="1:23" ht="18" customHeight="1">
      <c r="A51" s="32"/>
      <c r="B51" s="101" t="s">
        <v>147</v>
      </c>
      <c r="C51" s="102" t="s">
        <v>45</v>
      </c>
      <c r="D51" s="103">
        <v>23.802</v>
      </c>
      <c r="E51" s="103">
        <v>0.03</v>
      </c>
      <c r="F51" s="103">
        <v>-0.03</v>
      </c>
      <c r="G51" s="154">
        <v>23.827500000000001</v>
      </c>
      <c r="H51" s="154">
        <v>23.776499999999999</v>
      </c>
      <c r="I51" s="154"/>
      <c r="J51" s="154"/>
      <c r="K51" s="102" t="s">
        <v>46</v>
      </c>
      <c r="L51" s="131"/>
      <c r="M51" s="131"/>
      <c r="N51" s="131"/>
      <c r="O51" s="33" t="str">
        <f t="shared" si="0"/>
        <v xml:space="preserve"> </v>
      </c>
      <c r="P51" s="33" t="str">
        <f t="shared" si="1"/>
        <v xml:space="preserve"> </v>
      </c>
      <c r="Q51" s="33" t="str">
        <f t="shared" si="2"/>
        <v xml:space="preserve"> </v>
      </c>
      <c r="R51" s="34" t="str">
        <f t="shared" si="3"/>
        <v xml:space="preserve"> </v>
      </c>
      <c r="S51" s="35" t="str">
        <f t="shared" si="4"/>
        <v xml:space="preserve"> </v>
      </c>
      <c r="T51" s="36" t="str">
        <f t="shared" si="5"/>
        <v xml:space="preserve"> </v>
      </c>
      <c r="U51" s="34" t="str">
        <f t="shared" si="6"/>
        <v/>
      </c>
      <c r="V51" s="34" t="str">
        <f t="shared" si="8"/>
        <v/>
      </c>
      <c r="W51" s="165" t="str" cm="1">
        <f t="array" ref="W51">IF(AND(L51:N51 &gt;= D51+F51, L51:N51 &lt;= D51+E51), "OK", "NG")</f>
        <v>NG</v>
      </c>
    </row>
    <row r="52" spans="1:23" ht="18" customHeight="1">
      <c r="A52" s="32"/>
      <c r="B52" s="101" t="s">
        <v>148</v>
      </c>
      <c r="C52" s="102" t="s">
        <v>45</v>
      </c>
      <c r="D52" s="103">
        <v>23.802</v>
      </c>
      <c r="E52" s="103">
        <v>0.03</v>
      </c>
      <c r="F52" s="103">
        <v>-0.03</v>
      </c>
      <c r="G52" s="154">
        <v>23.827500000000001</v>
      </c>
      <c r="H52" s="154">
        <v>23.776499999999999</v>
      </c>
      <c r="I52" s="154"/>
      <c r="J52" s="154"/>
      <c r="K52" s="102" t="s">
        <v>46</v>
      </c>
      <c r="L52" s="131"/>
      <c r="M52" s="131"/>
      <c r="N52" s="131"/>
      <c r="O52" s="33" t="str">
        <f t="shared" si="0"/>
        <v xml:space="preserve"> </v>
      </c>
      <c r="P52" s="33" t="str">
        <f t="shared" si="1"/>
        <v xml:space="preserve"> </v>
      </c>
      <c r="Q52" s="33" t="str">
        <f t="shared" si="2"/>
        <v xml:space="preserve"> </v>
      </c>
      <c r="R52" s="34" t="str">
        <f t="shared" si="3"/>
        <v xml:space="preserve"> </v>
      </c>
      <c r="S52" s="35" t="str">
        <f t="shared" si="4"/>
        <v xml:space="preserve"> </v>
      </c>
      <c r="T52" s="36" t="str">
        <f t="shared" si="5"/>
        <v xml:space="preserve"> </v>
      </c>
      <c r="U52" s="34" t="str">
        <f t="shared" si="6"/>
        <v/>
      </c>
      <c r="V52" s="34" t="str">
        <f t="shared" si="8"/>
        <v/>
      </c>
      <c r="W52" s="165" t="str" cm="1">
        <f t="array" ref="W52">IF(AND(L52:N52 &gt;= D52+F52, L52:N52 &lt;= D52+E52), "OK", "NG")</f>
        <v>NG</v>
      </c>
    </row>
    <row r="53" spans="1:23" ht="18" customHeight="1">
      <c r="A53" s="32"/>
      <c r="B53" s="101" t="s">
        <v>174</v>
      </c>
      <c r="C53" s="102" t="s">
        <v>45</v>
      </c>
      <c r="D53" s="103">
        <v>24.17</v>
      </c>
      <c r="E53" s="103">
        <v>0.03</v>
      </c>
      <c r="F53" s="103">
        <v>-0.03</v>
      </c>
      <c r="G53" s="154">
        <v>24.195500000000003</v>
      </c>
      <c r="H53" s="154">
        <v>24.144500000000001</v>
      </c>
      <c r="I53" s="154"/>
      <c r="J53" s="154"/>
      <c r="K53" s="102" t="s">
        <v>46</v>
      </c>
      <c r="L53" s="131"/>
      <c r="M53" s="131"/>
      <c r="N53" s="131"/>
      <c r="O53" s="33" t="str">
        <f t="shared" si="0"/>
        <v xml:space="preserve"> </v>
      </c>
      <c r="P53" s="33" t="str">
        <f t="shared" si="1"/>
        <v xml:space="preserve"> </v>
      </c>
      <c r="Q53" s="33" t="str">
        <f t="shared" si="2"/>
        <v xml:space="preserve"> </v>
      </c>
      <c r="R53" s="34" t="str">
        <f t="shared" si="3"/>
        <v xml:space="preserve"> </v>
      </c>
      <c r="S53" s="35" t="str">
        <f t="shared" si="4"/>
        <v xml:space="preserve"> </v>
      </c>
      <c r="T53" s="36" t="str">
        <f t="shared" si="5"/>
        <v xml:space="preserve"> </v>
      </c>
      <c r="U53" s="34" t="str">
        <f t="shared" si="6"/>
        <v/>
      </c>
      <c r="V53" s="34" t="str">
        <f t="shared" si="8"/>
        <v/>
      </c>
      <c r="W53" s="165" t="str" cm="1">
        <f t="array" ref="W53">IF(AND(L53:N53 &gt;= D53+F53, L53:N53 &lt;= D53+E53), "OK", "NG")</f>
        <v>NG</v>
      </c>
    </row>
    <row r="54" spans="1:23" ht="18" customHeight="1">
      <c r="A54" s="32"/>
      <c r="B54" s="101" t="s">
        <v>175</v>
      </c>
      <c r="C54" s="102" t="s">
        <v>45</v>
      </c>
      <c r="D54" s="103">
        <v>24.17</v>
      </c>
      <c r="E54" s="103">
        <v>0.03</v>
      </c>
      <c r="F54" s="103">
        <v>-0.03</v>
      </c>
      <c r="G54" s="154">
        <v>24.195500000000003</v>
      </c>
      <c r="H54" s="154">
        <v>24.144500000000001</v>
      </c>
      <c r="I54" s="154"/>
      <c r="J54" s="154"/>
      <c r="K54" s="102" t="s">
        <v>46</v>
      </c>
      <c r="L54" s="131"/>
      <c r="M54" s="131"/>
      <c r="N54" s="131"/>
      <c r="O54" s="33" t="str">
        <f t="shared" si="0"/>
        <v xml:space="preserve"> </v>
      </c>
      <c r="P54" s="33" t="str">
        <f t="shared" si="1"/>
        <v xml:space="preserve"> </v>
      </c>
      <c r="Q54" s="33" t="str">
        <f t="shared" si="2"/>
        <v xml:space="preserve"> </v>
      </c>
      <c r="R54" s="34" t="str">
        <f t="shared" si="3"/>
        <v xml:space="preserve"> </v>
      </c>
      <c r="S54" s="35" t="str">
        <f t="shared" si="4"/>
        <v xml:space="preserve"> </v>
      </c>
      <c r="T54" s="36" t="str">
        <f t="shared" si="5"/>
        <v xml:space="preserve"> </v>
      </c>
      <c r="U54" s="34" t="str">
        <f t="shared" si="6"/>
        <v/>
      </c>
      <c r="V54" s="34" t="str">
        <f t="shared" si="8"/>
        <v/>
      </c>
      <c r="W54" s="165" t="str" cm="1">
        <f t="array" ref="W54">IF(AND(L54:N54 &gt;= D54+F54, L54:N54 &lt;= D54+E54), "OK", "NG")</f>
        <v>NG</v>
      </c>
    </row>
    <row r="55" spans="1:23" ht="18" customHeight="1">
      <c r="A55" s="32"/>
      <c r="B55" s="101" t="s">
        <v>176</v>
      </c>
      <c r="C55" s="102" t="s">
        <v>45</v>
      </c>
      <c r="D55" s="103">
        <v>8.4719999999999995</v>
      </c>
      <c r="E55" s="103">
        <v>0.03</v>
      </c>
      <c r="F55" s="103">
        <v>-0.03</v>
      </c>
      <c r="G55" s="154">
        <v>8.4974999999999987</v>
      </c>
      <c r="H55" s="154">
        <v>8.4465000000000003</v>
      </c>
      <c r="I55" s="154"/>
      <c r="J55" s="154"/>
      <c r="K55" s="102" t="s">
        <v>46</v>
      </c>
      <c r="L55" s="131"/>
      <c r="M55" s="131"/>
      <c r="N55" s="131"/>
      <c r="O55" s="33" t="str">
        <f t="shared" si="0"/>
        <v xml:space="preserve"> </v>
      </c>
      <c r="P55" s="33" t="str">
        <f t="shared" si="1"/>
        <v xml:space="preserve"> </v>
      </c>
      <c r="Q55" s="33" t="str">
        <f t="shared" si="2"/>
        <v xml:space="preserve"> </v>
      </c>
      <c r="R55" s="34" t="str">
        <f t="shared" si="3"/>
        <v xml:space="preserve"> </v>
      </c>
      <c r="S55" s="35" t="str">
        <f t="shared" si="4"/>
        <v xml:space="preserve"> </v>
      </c>
      <c r="T55" s="36" t="str">
        <f t="shared" si="5"/>
        <v xml:space="preserve"> </v>
      </c>
      <c r="U55" s="34" t="str">
        <f t="shared" si="6"/>
        <v/>
      </c>
      <c r="V55" s="34" t="str">
        <f t="shared" si="8"/>
        <v/>
      </c>
      <c r="W55" s="165" t="str" cm="1">
        <f t="array" ref="W55">IF(AND(L55:N55 &gt;= D55+F55, L55:N55 &lt;= D55+E55), "OK", "NG")</f>
        <v>NG</v>
      </c>
    </row>
    <row r="56" spans="1:23" ht="18" customHeight="1">
      <c r="A56" s="32"/>
      <c r="B56" s="101" t="s">
        <v>177</v>
      </c>
      <c r="C56" s="102" t="s">
        <v>45</v>
      </c>
      <c r="D56" s="103">
        <v>8.4719999999999995</v>
      </c>
      <c r="E56" s="103">
        <v>0.03</v>
      </c>
      <c r="F56" s="103">
        <v>-0.03</v>
      </c>
      <c r="G56" s="154">
        <v>8.4974999999999987</v>
      </c>
      <c r="H56" s="154">
        <v>8.4465000000000003</v>
      </c>
      <c r="I56" s="154"/>
      <c r="J56" s="154"/>
      <c r="K56" s="102" t="s">
        <v>46</v>
      </c>
      <c r="L56" s="131"/>
      <c r="M56" s="131"/>
      <c r="N56" s="131"/>
      <c r="O56" s="33" t="str">
        <f t="shared" si="0"/>
        <v xml:space="preserve"> </v>
      </c>
      <c r="P56" s="33" t="str">
        <f t="shared" si="1"/>
        <v xml:space="preserve"> </v>
      </c>
      <c r="Q56" s="33" t="str">
        <f t="shared" si="2"/>
        <v xml:space="preserve"> </v>
      </c>
      <c r="R56" s="34" t="str">
        <f t="shared" si="3"/>
        <v xml:space="preserve"> </v>
      </c>
      <c r="S56" s="35" t="str">
        <f t="shared" si="4"/>
        <v xml:space="preserve"> </v>
      </c>
      <c r="T56" s="36" t="str">
        <f t="shared" si="5"/>
        <v xml:space="preserve"> </v>
      </c>
      <c r="U56" s="34" t="str">
        <f t="shared" si="6"/>
        <v/>
      </c>
      <c r="V56" s="34" t="str">
        <f t="shared" si="8"/>
        <v/>
      </c>
      <c r="W56" s="165" t="str" cm="1">
        <f t="array" ref="W56">IF(AND(L56:N56 &gt;= D56+F56, L56:N56 &lt;= D56+E56), "OK", "NG")</f>
        <v>NG</v>
      </c>
    </row>
    <row r="57" spans="1:23" ht="18" customHeight="1">
      <c r="A57" s="32"/>
      <c r="B57" s="101" t="s">
        <v>149</v>
      </c>
      <c r="C57" s="102" t="s">
        <v>45</v>
      </c>
      <c r="D57" s="103">
        <v>23.006</v>
      </c>
      <c r="E57" s="103">
        <v>0.03</v>
      </c>
      <c r="F57" s="103">
        <v>-0.03</v>
      </c>
      <c r="G57" s="154">
        <v>23.031500000000001</v>
      </c>
      <c r="H57" s="154">
        <v>22.980499999999999</v>
      </c>
      <c r="I57" s="154"/>
      <c r="J57" s="154"/>
      <c r="K57" s="102" t="s">
        <v>46</v>
      </c>
      <c r="L57" s="131"/>
      <c r="M57" s="131"/>
      <c r="N57" s="131"/>
      <c r="O57" s="33" t="str">
        <f t="shared" si="0"/>
        <v xml:space="preserve"> </v>
      </c>
      <c r="P57" s="33" t="str">
        <f t="shared" si="1"/>
        <v xml:space="preserve"> </v>
      </c>
      <c r="Q57" s="33" t="str">
        <f t="shared" si="2"/>
        <v xml:space="preserve"> </v>
      </c>
      <c r="R57" s="34" t="str">
        <f t="shared" si="3"/>
        <v xml:space="preserve"> </v>
      </c>
      <c r="S57" s="35" t="str">
        <f t="shared" si="4"/>
        <v xml:space="preserve"> </v>
      </c>
      <c r="T57" s="36" t="str">
        <f t="shared" si="5"/>
        <v xml:space="preserve"> </v>
      </c>
      <c r="U57" s="34" t="str">
        <f t="shared" si="6"/>
        <v/>
      </c>
      <c r="V57" s="34" t="str">
        <f t="shared" si="8"/>
        <v/>
      </c>
      <c r="W57" s="165" t="str" cm="1">
        <f t="array" ref="W57">IF(AND(L57:N57 &gt;= D57+F57, L57:N57 &lt;= D57+E57), "OK", "NG")</f>
        <v>NG</v>
      </c>
    </row>
    <row r="58" spans="1:23" ht="18" customHeight="1">
      <c r="A58" s="32"/>
      <c r="B58" s="101" t="s">
        <v>150</v>
      </c>
      <c r="C58" s="102" t="s">
        <v>45</v>
      </c>
      <c r="D58" s="103">
        <v>23.006</v>
      </c>
      <c r="E58" s="103">
        <v>0.03</v>
      </c>
      <c r="F58" s="103">
        <v>-0.03</v>
      </c>
      <c r="G58" s="154">
        <v>23.031500000000001</v>
      </c>
      <c r="H58" s="154">
        <v>22.980499999999999</v>
      </c>
      <c r="I58" s="154"/>
      <c r="J58" s="154"/>
      <c r="K58" s="102" t="s">
        <v>46</v>
      </c>
      <c r="L58" s="131"/>
      <c r="M58" s="131"/>
      <c r="N58" s="131"/>
      <c r="O58" s="33" t="str">
        <f t="shared" si="0"/>
        <v xml:space="preserve"> </v>
      </c>
      <c r="P58" s="33" t="str">
        <f t="shared" si="1"/>
        <v xml:space="preserve"> </v>
      </c>
      <c r="Q58" s="33" t="str">
        <f t="shared" si="2"/>
        <v xml:space="preserve"> </v>
      </c>
      <c r="R58" s="34" t="str">
        <f t="shared" si="3"/>
        <v xml:space="preserve"> </v>
      </c>
      <c r="S58" s="35" t="str">
        <f t="shared" si="4"/>
        <v xml:space="preserve"> </v>
      </c>
      <c r="T58" s="36" t="str">
        <f t="shared" si="5"/>
        <v xml:space="preserve"> </v>
      </c>
      <c r="U58" s="34" t="str">
        <f t="shared" si="6"/>
        <v/>
      </c>
      <c r="V58" s="34" t="str">
        <f t="shared" si="8"/>
        <v/>
      </c>
      <c r="W58" s="165" t="str" cm="1">
        <f t="array" ref="W58">IF(AND(L58:N58 &gt;= D58+F58, L58:N58 &lt;= D58+E58), "OK", "NG")</f>
        <v>NG</v>
      </c>
    </row>
    <row r="59" spans="1:23" ht="18" customHeight="1">
      <c r="A59" s="32"/>
      <c r="B59" s="101" t="s">
        <v>178</v>
      </c>
      <c r="C59" s="102" t="s">
        <v>45</v>
      </c>
      <c r="D59" s="103">
        <v>23.006</v>
      </c>
      <c r="E59" s="103">
        <v>0.03</v>
      </c>
      <c r="F59" s="103">
        <v>-0.03</v>
      </c>
      <c r="G59" s="154">
        <v>23.031500000000001</v>
      </c>
      <c r="H59" s="154">
        <v>22.980499999999999</v>
      </c>
      <c r="I59" s="154"/>
      <c r="J59" s="154"/>
      <c r="K59" s="102" t="s">
        <v>46</v>
      </c>
      <c r="L59" s="131"/>
      <c r="M59" s="131"/>
      <c r="N59" s="131"/>
      <c r="O59" s="33" t="str">
        <f t="shared" si="0"/>
        <v xml:space="preserve"> </v>
      </c>
      <c r="P59" s="33" t="str">
        <f t="shared" si="1"/>
        <v xml:space="preserve"> </v>
      </c>
      <c r="Q59" s="33" t="str">
        <f t="shared" si="2"/>
        <v xml:space="preserve"> </v>
      </c>
      <c r="R59" s="34" t="str">
        <f t="shared" si="3"/>
        <v xml:space="preserve"> </v>
      </c>
      <c r="S59" s="35" t="str">
        <f t="shared" si="4"/>
        <v xml:space="preserve"> </v>
      </c>
      <c r="T59" s="36" t="str">
        <f t="shared" si="5"/>
        <v xml:space="preserve"> </v>
      </c>
      <c r="U59" s="34" t="str">
        <f t="shared" si="6"/>
        <v/>
      </c>
      <c r="V59" s="34" t="str">
        <f t="shared" si="8"/>
        <v/>
      </c>
      <c r="W59" s="165" t="str" cm="1">
        <f t="array" ref="W59">IF(AND(L59:N59 &gt;= D59+F59, L59:N59 &lt;= D59+E59), "OK", "NG")</f>
        <v>NG</v>
      </c>
    </row>
    <row r="60" spans="1:23" ht="18" customHeight="1">
      <c r="A60" s="32"/>
      <c r="B60" s="101" t="s">
        <v>179</v>
      </c>
      <c r="C60" s="102" t="s">
        <v>45</v>
      </c>
      <c r="D60" s="103">
        <v>23.385999999999999</v>
      </c>
      <c r="E60" s="103">
        <v>3.5000000000000003E-2</v>
      </c>
      <c r="F60" s="103">
        <v>-3.5000000000000003E-2</v>
      </c>
      <c r="G60" s="154">
        <v>23.415749999999999</v>
      </c>
      <c r="H60" s="154">
        <v>23.356249999999999</v>
      </c>
      <c r="I60" s="154"/>
      <c r="J60" s="154"/>
      <c r="K60" s="102" t="s">
        <v>46</v>
      </c>
      <c r="L60" s="131"/>
      <c r="M60" s="131"/>
      <c r="N60" s="131"/>
      <c r="O60" s="33" t="str">
        <f t="shared" si="0"/>
        <v xml:space="preserve"> </v>
      </c>
      <c r="P60" s="33" t="str">
        <f t="shared" si="1"/>
        <v xml:space="preserve"> </v>
      </c>
      <c r="Q60" s="33" t="str">
        <f t="shared" si="2"/>
        <v xml:space="preserve"> </v>
      </c>
      <c r="R60" s="34" t="str">
        <f t="shared" si="3"/>
        <v xml:space="preserve"> </v>
      </c>
      <c r="S60" s="35" t="str">
        <f t="shared" si="4"/>
        <v xml:space="preserve"> </v>
      </c>
      <c r="T60" s="36" t="str">
        <f t="shared" si="5"/>
        <v xml:space="preserve"> </v>
      </c>
      <c r="U60" s="34" t="str">
        <f t="shared" si="6"/>
        <v/>
      </c>
      <c r="V60" s="34" t="str">
        <f t="shared" si="8"/>
        <v/>
      </c>
      <c r="W60" s="165" t="str" cm="1">
        <f t="array" ref="W60">IF(AND(L60:N60 &gt;= D60+F60, L60:N60 &lt;= D60+E60), "OK", "NG")</f>
        <v>NG</v>
      </c>
    </row>
    <row r="61" spans="1:23" ht="18" customHeight="1">
      <c r="A61" s="32"/>
      <c r="B61" s="101" t="s">
        <v>180</v>
      </c>
      <c r="C61" s="102" t="s">
        <v>45</v>
      </c>
      <c r="D61" s="103">
        <v>23.385999999999999</v>
      </c>
      <c r="E61" s="103">
        <v>3.5000000000000003E-2</v>
      </c>
      <c r="F61" s="103">
        <v>-3.5000000000000003E-2</v>
      </c>
      <c r="G61" s="154">
        <v>23.415749999999999</v>
      </c>
      <c r="H61" s="154">
        <v>23.356249999999999</v>
      </c>
      <c r="I61" s="154"/>
      <c r="J61" s="154"/>
      <c r="K61" s="102" t="s">
        <v>46</v>
      </c>
      <c r="L61" s="131"/>
      <c r="M61" s="131"/>
      <c r="N61" s="131"/>
      <c r="O61" s="33" t="str">
        <f t="shared" si="0"/>
        <v xml:space="preserve"> </v>
      </c>
      <c r="P61" s="33" t="str">
        <f t="shared" si="1"/>
        <v xml:space="preserve"> </v>
      </c>
      <c r="Q61" s="33" t="str">
        <f t="shared" si="2"/>
        <v xml:space="preserve"> </v>
      </c>
      <c r="R61" s="34" t="str">
        <f t="shared" si="3"/>
        <v xml:space="preserve"> </v>
      </c>
      <c r="S61" s="35" t="str">
        <f t="shared" si="4"/>
        <v xml:space="preserve"> </v>
      </c>
      <c r="T61" s="36" t="str">
        <f t="shared" si="5"/>
        <v xml:space="preserve"> </v>
      </c>
      <c r="U61" s="34" t="str">
        <f t="shared" si="6"/>
        <v/>
      </c>
      <c r="V61" s="34" t="str">
        <f t="shared" si="8"/>
        <v/>
      </c>
      <c r="W61" s="165" t="str" cm="1">
        <f t="array" ref="W61">IF(AND(L61:N61 &gt;= D61+F61, L61:N61 &lt;= D61+E61), "OK", "NG")</f>
        <v>NG</v>
      </c>
    </row>
    <row r="62" spans="1:23" ht="18" customHeight="1">
      <c r="A62" s="32"/>
      <c r="B62" s="101" t="s">
        <v>181</v>
      </c>
      <c r="C62" s="102" t="s">
        <v>45</v>
      </c>
      <c r="D62" s="103">
        <v>15.667</v>
      </c>
      <c r="E62" s="103">
        <v>0.03</v>
      </c>
      <c r="F62" s="103">
        <v>-0.03</v>
      </c>
      <c r="G62" s="154">
        <v>15.692499999999999</v>
      </c>
      <c r="H62" s="154">
        <v>15.641500000000001</v>
      </c>
      <c r="I62" s="154"/>
      <c r="J62" s="154"/>
      <c r="K62" s="102" t="s">
        <v>46</v>
      </c>
      <c r="L62" s="131"/>
      <c r="M62" s="131"/>
      <c r="N62" s="131"/>
      <c r="O62" s="33" t="str">
        <f t="shared" si="0"/>
        <v xml:space="preserve"> </v>
      </c>
      <c r="P62" s="33" t="str">
        <f t="shared" si="1"/>
        <v xml:space="preserve"> </v>
      </c>
      <c r="Q62" s="33" t="str">
        <f t="shared" si="2"/>
        <v xml:space="preserve"> </v>
      </c>
      <c r="R62" s="34" t="str">
        <f t="shared" si="3"/>
        <v xml:space="preserve"> </v>
      </c>
      <c r="S62" s="35" t="str">
        <f t="shared" si="4"/>
        <v xml:space="preserve"> </v>
      </c>
      <c r="T62" s="36" t="str">
        <f t="shared" si="5"/>
        <v xml:space="preserve"> </v>
      </c>
      <c r="U62" s="34" t="str">
        <f t="shared" si="6"/>
        <v/>
      </c>
      <c r="V62" s="34" t="str">
        <f t="shared" si="8"/>
        <v/>
      </c>
      <c r="W62" s="165" t="str" cm="1">
        <f t="array" ref="W62">IF(AND(L62:N62 &gt;= D62+F62, L62:N62 &lt;= D62+E62), "OK", "NG")</f>
        <v>NG</v>
      </c>
    </row>
    <row r="63" spans="1:23" ht="18" customHeight="1">
      <c r="A63" s="32"/>
      <c r="B63" s="101" t="s">
        <v>182</v>
      </c>
      <c r="C63" s="102" t="s">
        <v>45</v>
      </c>
      <c r="D63" s="103">
        <v>15.667</v>
      </c>
      <c r="E63" s="103">
        <v>0.03</v>
      </c>
      <c r="F63" s="103">
        <v>-0.03</v>
      </c>
      <c r="G63" s="154">
        <v>15.692499999999999</v>
      </c>
      <c r="H63" s="154">
        <v>15.641500000000001</v>
      </c>
      <c r="I63" s="154"/>
      <c r="J63" s="154"/>
      <c r="K63" s="102" t="s">
        <v>46</v>
      </c>
      <c r="L63" s="131"/>
      <c r="M63" s="131"/>
      <c r="N63" s="131"/>
      <c r="O63" s="33" t="str">
        <f t="shared" si="0"/>
        <v xml:space="preserve"> </v>
      </c>
      <c r="P63" s="33" t="str">
        <f t="shared" si="1"/>
        <v xml:space="preserve"> </v>
      </c>
      <c r="Q63" s="33" t="str">
        <f t="shared" si="2"/>
        <v xml:space="preserve"> </v>
      </c>
      <c r="R63" s="34" t="str">
        <f t="shared" si="3"/>
        <v xml:space="preserve"> </v>
      </c>
      <c r="S63" s="35" t="str">
        <f t="shared" si="4"/>
        <v xml:space="preserve"> </v>
      </c>
      <c r="T63" s="36" t="str">
        <f t="shared" si="5"/>
        <v xml:space="preserve"> </v>
      </c>
      <c r="U63" s="34" t="str">
        <f t="shared" si="6"/>
        <v/>
      </c>
      <c r="V63" s="34" t="str">
        <f t="shared" si="8"/>
        <v/>
      </c>
      <c r="W63" s="165" t="str" cm="1">
        <f t="array" ref="W63">IF(AND(L63:N63 &gt;= D63+F63, L63:N63 &lt;= D63+E63), "OK", "NG")</f>
        <v>NG</v>
      </c>
    </row>
    <row r="64" spans="1:23" ht="18" customHeight="1">
      <c r="A64" s="32"/>
      <c r="B64" s="101" t="s">
        <v>183</v>
      </c>
      <c r="C64" s="102" t="s">
        <v>45</v>
      </c>
      <c r="D64" s="103">
        <v>18.323</v>
      </c>
      <c r="E64" s="103">
        <v>3.5000000000000003E-2</v>
      </c>
      <c r="F64" s="103">
        <v>-3.5000000000000003E-2</v>
      </c>
      <c r="G64" s="154">
        <v>18.35275</v>
      </c>
      <c r="H64" s="154">
        <v>18.29325</v>
      </c>
      <c r="I64" s="154"/>
      <c r="J64" s="154"/>
      <c r="K64" s="102" t="s">
        <v>46</v>
      </c>
      <c r="L64" s="131"/>
      <c r="M64" s="131"/>
      <c r="N64" s="131"/>
      <c r="O64" s="33" t="str">
        <f t="shared" si="0"/>
        <v xml:space="preserve"> </v>
      </c>
      <c r="P64" s="33" t="str">
        <f t="shared" si="1"/>
        <v xml:space="preserve"> </v>
      </c>
      <c r="Q64" s="33" t="str">
        <f t="shared" si="2"/>
        <v xml:space="preserve"> </v>
      </c>
      <c r="R64" s="34" t="str">
        <f t="shared" si="3"/>
        <v xml:space="preserve"> </v>
      </c>
      <c r="S64" s="35" t="str">
        <f t="shared" si="4"/>
        <v xml:space="preserve"> </v>
      </c>
      <c r="T64" s="36" t="str">
        <f t="shared" si="5"/>
        <v xml:space="preserve"> </v>
      </c>
      <c r="U64" s="34" t="str">
        <f t="shared" si="6"/>
        <v/>
      </c>
      <c r="V64" s="34" t="str">
        <f t="shared" si="8"/>
        <v/>
      </c>
      <c r="W64" s="165" t="str" cm="1">
        <f t="array" ref="W64">IF(AND(L64:N64 &gt;= D64+F64, L64:N64 &lt;= D64+E64), "OK", "NG")</f>
        <v>NG</v>
      </c>
    </row>
    <row r="65" spans="1:23" ht="18" customHeight="1">
      <c r="A65" s="32"/>
      <c r="B65" s="101" t="s">
        <v>184</v>
      </c>
      <c r="C65" s="102" t="s">
        <v>45</v>
      </c>
      <c r="D65" s="103">
        <v>18.323</v>
      </c>
      <c r="E65" s="103">
        <v>3.5000000000000003E-2</v>
      </c>
      <c r="F65" s="103">
        <v>-3.5000000000000003E-2</v>
      </c>
      <c r="G65" s="154">
        <v>18.35275</v>
      </c>
      <c r="H65" s="154">
        <v>18.29325</v>
      </c>
      <c r="I65" s="154"/>
      <c r="J65" s="154"/>
      <c r="K65" s="102" t="s">
        <v>46</v>
      </c>
      <c r="L65" s="131"/>
      <c r="M65" s="131"/>
      <c r="N65" s="131"/>
      <c r="O65" s="33" t="str">
        <f t="shared" si="0"/>
        <v xml:space="preserve"> </v>
      </c>
      <c r="P65" s="33" t="str">
        <f t="shared" si="1"/>
        <v xml:space="preserve"> </v>
      </c>
      <c r="Q65" s="33" t="str">
        <f t="shared" si="2"/>
        <v xml:space="preserve"> </v>
      </c>
      <c r="R65" s="34" t="str">
        <f t="shared" si="3"/>
        <v xml:space="preserve"> </v>
      </c>
      <c r="S65" s="35" t="str">
        <f t="shared" si="4"/>
        <v xml:space="preserve"> </v>
      </c>
      <c r="T65" s="36" t="str">
        <f t="shared" si="5"/>
        <v xml:space="preserve"> </v>
      </c>
      <c r="U65" s="34" t="str">
        <f t="shared" si="6"/>
        <v/>
      </c>
      <c r="V65" s="34" t="str">
        <f t="shared" si="8"/>
        <v/>
      </c>
      <c r="W65" s="165" t="str" cm="1">
        <f t="array" ref="W65">IF(AND(L65:N65 &gt;= D65+F65, L65:N65 &lt;= D65+E65), "OK", "NG")</f>
        <v>NG</v>
      </c>
    </row>
    <row r="66" spans="1:23" ht="18" customHeight="1">
      <c r="A66" s="32"/>
      <c r="B66" s="101" t="s">
        <v>185</v>
      </c>
      <c r="C66" s="102" t="s">
        <v>45</v>
      </c>
      <c r="D66" s="103">
        <v>18.323</v>
      </c>
      <c r="E66" s="103">
        <v>3.5000000000000003E-2</v>
      </c>
      <c r="F66" s="103">
        <v>-3.5000000000000003E-2</v>
      </c>
      <c r="G66" s="154">
        <v>18.35275</v>
      </c>
      <c r="H66" s="154">
        <v>18.29325</v>
      </c>
      <c r="I66" s="154"/>
      <c r="J66" s="154"/>
      <c r="K66" s="102" t="s">
        <v>46</v>
      </c>
      <c r="L66" s="131"/>
      <c r="M66" s="131"/>
      <c r="N66" s="131"/>
      <c r="O66" s="33" t="str">
        <f t="shared" si="0"/>
        <v xml:space="preserve"> </v>
      </c>
      <c r="P66" s="33" t="str">
        <f t="shared" si="1"/>
        <v xml:space="preserve"> </v>
      </c>
      <c r="Q66" s="33" t="str">
        <f t="shared" si="2"/>
        <v xml:space="preserve"> </v>
      </c>
      <c r="R66" s="34" t="str">
        <f t="shared" si="3"/>
        <v xml:space="preserve"> </v>
      </c>
      <c r="S66" s="35" t="str">
        <f t="shared" si="4"/>
        <v xml:space="preserve"> </v>
      </c>
      <c r="T66" s="36" t="str">
        <f t="shared" si="5"/>
        <v xml:space="preserve"> </v>
      </c>
      <c r="U66" s="34" t="str">
        <f t="shared" si="6"/>
        <v/>
      </c>
      <c r="V66" s="34" t="str">
        <f t="shared" si="8"/>
        <v/>
      </c>
      <c r="W66" s="165" t="str" cm="1">
        <f t="array" ref="W66">IF(AND(L66:N66 &gt;= D66+F66, L66:N66 &lt;= D66+E66), "OK", "NG")</f>
        <v>NG</v>
      </c>
    </row>
    <row r="67" spans="1:23" ht="18" customHeight="1">
      <c r="A67" s="32"/>
      <c r="B67" s="101" t="s">
        <v>186</v>
      </c>
      <c r="C67" s="102" t="s">
        <v>45</v>
      </c>
      <c r="D67" s="103">
        <v>1.5249999999999999</v>
      </c>
      <c r="E67" s="103">
        <v>0.03</v>
      </c>
      <c r="F67" s="103">
        <v>-0.03</v>
      </c>
      <c r="G67" s="154">
        <v>1.5505</v>
      </c>
      <c r="H67" s="154">
        <v>1.4994999999999998</v>
      </c>
      <c r="I67" s="154"/>
      <c r="J67" s="154"/>
      <c r="K67" s="102" t="s">
        <v>46</v>
      </c>
      <c r="L67" s="131"/>
      <c r="M67" s="131"/>
      <c r="N67" s="131"/>
      <c r="O67" s="33" t="str">
        <f t="shared" si="0"/>
        <v xml:space="preserve"> </v>
      </c>
      <c r="P67" s="33" t="str">
        <f t="shared" si="1"/>
        <v xml:space="preserve"> </v>
      </c>
      <c r="Q67" s="33" t="str">
        <f t="shared" si="2"/>
        <v xml:space="preserve"> </v>
      </c>
      <c r="R67" s="34" t="str">
        <f t="shared" si="3"/>
        <v xml:space="preserve"> </v>
      </c>
      <c r="S67" s="35" t="str">
        <f t="shared" si="4"/>
        <v xml:space="preserve"> </v>
      </c>
      <c r="T67" s="36" t="str">
        <f t="shared" si="5"/>
        <v xml:space="preserve"> </v>
      </c>
      <c r="U67" s="34" t="str">
        <f t="shared" si="6"/>
        <v/>
      </c>
      <c r="V67" s="34" t="str">
        <f t="shared" si="8"/>
        <v/>
      </c>
      <c r="W67" s="165" t="str" cm="1">
        <f t="array" ref="W67">IF(AND(L67:N67 &gt;= D67+F67, L67:N67 &lt;= D67+E67), "OK", "NG")</f>
        <v>NG</v>
      </c>
    </row>
    <row r="68" spans="1:23" ht="18" customHeight="1">
      <c r="A68" s="32"/>
      <c r="B68" s="101" t="s">
        <v>187</v>
      </c>
      <c r="C68" s="102" t="s">
        <v>45</v>
      </c>
      <c r="D68" s="103">
        <v>1.5249999999999999</v>
      </c>
      <c r="E68" s="103">
        <v>0.03</v>
      </c>
      <c r="F68" s="103">
        <v>-0.03</v>
      </c>
      <c r="G68" s="154">
        <v>1.5505</v>
      </c>
      <c r="H68" s="154">
        <v>1.4994999999999998</v>
      </c>
      <c r="I68" s="154"/>
      <c r="J68" s="154"/>
      <c r="K68" s="102" t="s">
        <v>46</v>
      </c>
      <c r="L68" s="131"/>
      <c r="M68" s="131"/>
      <c r="N68" s="131"/>
      <c r="O68" s="33" t="str">
        <f t="shared" si="0"/>
        <v xml:space="preserve"> </v>
      </c>
      <c r="P68" s="33" t="str">
        <f t="shared" si="1"/>
        <v xml:space="preserve"> </v>
      </c>
      <c r="Q68" s="33" t="str">
        <f t="shared" si="2"/>
        <v xml:space="preserve"> </v>
      </c>
      <c r="R68" s="34" t="str">
        <f t="shared" si="3"/>
        <v xml:space="preserve"> </v>
      </c>
      <c r="S68" s="35" t="str">
        <f t="shared" si="4"/>
        <v xml:space="preserve"> </v>
      </c>
      <c r="T68" s="36" t="str">
        <f t="shared" si="5"/>
        <v xml:space="preserve"> </v>
      </c>
      <c r="U68" s="34" t="str">
        <f t="shared" si="6"/>
        <v/>
      </c>
      <c r="V68" s="34" t="str">
        <f t="shared" si="8"/>
        <v/>
      </c>
      <c r="W68" s="165" t="str" cm="1">
        <f t="array" ref="W68">IF(AND(L68:N68 &gt;= D68+F68, L68:N68 &lt;= D68+E68), "OK", "NG")</f>
        <v>NG</v>
      </c>
    </row>
    <row r="69" spans="1:23" ht="18" customHeight="1">
      <c r="A69" s="32"/>
      <c r="B69" s="101" t="s">
        <v>188</v>
      </c>
      <c r="C69" s="102" t="s">
        <v>45</v>
      </c>
      <c r="D69" s="103">
        <v>1.5249999999999999</v>
      </c>
      <c r="E69" s="103">
        <v>0.03</v>
      </c>
      <c r="F69" s="103">
        <v>-0.03</v>
      </c>
      <c r="G69" s="154">
        <v>1.5505</v>
      </c>
      <c r="H69" s="154">
        <v>1.4994999999999998</v>
      </c>
      <c r="I69" s="154"/>
      <c r="J69" s="154"/>
      <c r="K69" s="102" t="s">
        <v>46</v>
      </c>
      <c r="L69" s="131"/>
      <c r="M69" s="131"/>
      <c r="N69" s="131"/>
      <c r="O69" s="33" t="str">
        <f t="shared" si="0"/>
        <v xml:space="preserve"> </v>
      </c>
      <c r="P69" s="33" t="str">
        <f t="shared" si="1"/>
        <v xml:space="preserve"> </v>
      </c>
      <c r="Q69" s="33" t="str">
        <f t="shared" si="2"/>
        <v xml:space="preserve"> </v>
      </c>
      <c r="R69" s="34" t="str">
        <f t="shared" si="3"/>
        <v xml:space="preserve"> </v>
      </c>
      <c r="S69" s="35" t="str">
        <f t="shared" si="4"/>
        <v xml:space="preserve"> </v>
      </c>
      <c r="T69" s="36" t="str">
        <f t="shared" si="5"/>
        <v xml:space="preserve"> </v>
      </c>
      <c r="U69" s="34" t="str">
        <f t="shared" si="6"/>
        <v/>
      </c>
      <c r="V69" s="34" t="str">
        <f t="shared" si="8"/>
        <v/>
      </c>
      <c r="W69" s="165" t="str" cm="1">
        <f t="array" ref="W69">IF(AND(L69:N69 &gt;= D69+F69, L69:N69 &lt;= D69+E69), "OK", "NG")</f>
        <v>NG</v>
      </c>
    </row>
    <row r="70" spans="1:23" ht="18" customHeight="1">
      <c r="A70" s="32"/>
      <c r="B70" s="101" t="s">
        <v>189</v>
      </c>
      <c r="C70" s="102" t="s">
        <v>45</v>
      </c>
      <c r="D70" s="103">
        <v>1.5249999999999999</v>
      </c>
      <c r="E70" s="103">
        <v>0.03</v>
      </c>
      <c r="F70" s="103">
        <v>-0.03</v>
      </c>
      <c r="G70" s="154">
        <v>1.5505</v>
      </c>
      <c r="H70" s="154">
        <v>1.4994999999999998</v>
      </c>
      <c r="I70" s="154"/>
      <c r="J70" s="154"/>
      <c r="K70" s="102" t="s">
        <v>46</v>
      </c>
      <c r="L70" s="131"/>
      <c r="M70" s="131"/>
      <c r="N70" s="131"/>
      <c r="O70" s="33" t="str">
        <f t="shared" ref="O70:O133" si="9">IF(ISERR(L70/L70)=TRUE," ",L70-$D70)</f>
        <v xml:space="preserve"> </v>
      </c>
      <c r="P70" s="33" t="str">
        <f t="shared" ref="P70:P133" si="10">IF(ISERR(M70/M70)=TRUE," ",M70-$D70)</f>
        <v xml:space="preserve"> </v>
      </c>
      <c r="Q70" s="33" t="str">
        <f t="shared" ref="Q70:Q133" si="11">IF(ISERR(N70/N70)=TRUE," ",N70-$D70)</f>
        <v xml:space="preserve"> </v>
      </c>
      <c r="R70" s="34" t="str">
        <f t="shared" ref="R70:R133" si="12">IF(ISERR(L70/L70)=TRUE," ",AVERAGE(L70:N70))</f>
        <v xml:space="preserve"> </v>
      </c>
      <c r="S70" s="35" t="str">
        <f t="shared" ref="S70:S133" si="13">IF(ISERR(E70/E70)=TRUE," ",IF(ISERR(L70/L70)=TRUE," ",IF(ISNUMBER($L70)=FALSE," ",IF(MAX($L70:$N70)&lt;$D70,0,(MAX($L70:$N70)-$D70)/$E70))))</f>
        <v xml:space="preserve"> </v>
      </c>
      <c r="T70" s="36" t="str">
        <f t="shared" ref="T70:T133" si="14">IF(ISERR(F70/D70)=TRUE," ",IF(ISERR(F70/F70)=TRUE," ",IF(ISERR(L70/L70)=TRUE," ",IF(ISNUMBER(L70)=FALSE," ",IF(MIN(L70:N70)&gt;$D70,0,($D70-MIN(L70:N70))/-F70)))))</f>
        <v xml:space="preserve"> </v>
      </c>
      <c r="U70" s="34" t="str">
        <f t="shared" si="6"/>
        <v/>
      </c>
      <c r="V70" s="34" t="str">
        <f t="shared" si="8"/>
        <v/>
      </c>
      <c r="W70" s="165" t="str" cm="1">
        <f t="array" ref="W70">IF(AND(L70:N70 &gt;= D70+F70, L70:N70 &lt;= D70+E70), "OK", "NG")</f>
        <v>NG</v>
      </c>
    </row>
    <row r="71" spans="1:23" ht="18" customHeight="1">
      <c r="A71" s="32"/>
      <c r="B71" s="101" t="s">
        <v>190</v>
      </c>
      <c r="C71" s="102" t="s">
        <v>45</v>
      </c>
      <c r="D71" s="103">
        <v>0.72499999999999998</v>
      </c>
      <c r="E71" s="103">
        <v>0.03</v>
      </c>
      <c r="F71" s="103">
        <v>-0.03</v>
      </c>
      <c r="G71" s="154">
        <v>0.755</v>
      </c>
      <c r="H71" s="154">
        <v>0.69499999999999995</v>
      </c>
      <c r="I71" s="154"/>
      <c r="J71" s="154"/>
      <c r="K71" s="102" t="s">
        <v>46</v>
      </c>
      <c r="L71" s="131"/>
      <c r="M71" s="131"/>
      <c r="N71" s="131"/>
      <c r="O71" s="33" t="str">
        <f t="shared" si="9"/>
        <v xml:space="preserve"> </v>
      </c>
      <c r="P71" s="33" t="str">
        <f t="shared" si="10"/>
        <v xml:space="preserve"> </v>
      </c>
      <c r="Q71" s="33" t="str">
        <f t="shared" si="11"/>
        <v xml:space="preserve"> </v>
      </c>
      <c r="R71" s="34" t="str">
        <f t="shared" si="12"/>
        <v xml:space="preserve"> </v>
      </c>
      <c r="S71" s="35" t="str">
        <f t="shared" si="13"/>
        <v xml:space="preserve"> </v>
      </c>
      <c r="T71" s="36" t="str">
        <f t="shared" si="14"/>
        <v xml:space="preserve"> </v>
      </c>
      <c r="U71" s="34" t="str">
        <f t="shared" ref="U71:U135" si="15">IF(ISNUMBER($S71)=TRUE,IF($S71&gt;0.651,IF($S71&gt;1.001,"Reject","Alert"),""),"")</f>
        <v/>
      </c>
      <c r="V71" s="34" t="str">
        <f t="shared" si="8"/>
        <v/>
      </c>
      <c r="W71" s="165" t="str" cm="1">
        <f t="array" ref="W71">IF(AND(L71:N71 &gt;= D71+F71, L71:N71 &lt;= D71+E71), "OK", "NG")</f>
        <v>NG</v>
      </c>
    </row>
    <row r="72" spans="1:23" ht="18" customHeight="1">
      <c r="A72" s="32"/>
      <c r="B72" s="101" t="s">
        <v>191</v>
      </c>
      <c r="C72" s="102" t="s">
        <v>45</v>
      </c>
      <c r="D72" s="103">
        <v>0.72499999999999998</v>
      </c>
      <c r="E72" s="103">
        <v>0.03</v>
      </c>
      <c r="F72" s="103">
        <v>-0.03</v>
      </c>
      <c r="G72" s="154">
        <v>0.755</v>
      </c>
      <c r="H72" s="154">
        <v>0.69499999999999995</v>
      </c>
      <c r="I72" s="154"/>
      <c r="J72" s="154"/>
      <c r="K72" s="102" t="s">
        <v>46</v>
      </c>
      <c r="L72" s="131"/>
      <c r="M72" s="131"/>
      <c r="N72" s="131"/>
      <c r="O72" s="33" t="str">
        <f t="shared" si="9"/>
        <v xml:space="preserve"> </v>
      </c>
      <c r="P72" s="33" t="str">
        <f t="shared" si="10"/>
        <v xml:space="preserve"> </v>
      </c>
      <c r="Q72" s="33" t="str">
        <f t="shared" si="11"/>
        <v xml:space="preserve"> </v>
      </c>
      <c r="R72" s="34" t="str">
        <f t="shared" si="12"/>
        <v xml:space="preserve"> </v>
      </c>
      <c r="S72" s="35" t="str">
        <f t="shared" si="13"/>
        <v xml:space="preserve"> </v>
      </c>
      <c r="T72" s="36" t="str">
        <f t="shared" si="14"/>
        <v xml:space="preserve"> </v>
      </c>
      <c r="U72" s="34" t="str">
        <f t="shared" si="15"/>
        <v/>
      </c>
      <c r="V72" s="34" t="str">
        <f t="shared" si="8"/>
        <v/>
      </c>
      <c r="W72" s="165" t="str" cm="1">
        <f t="array" ref="W72">IF(AND(L72:N72 &gt;= D72+F72, L72:N72 &lt;= D72+E72), "OK", "NG")</f>
        <v>NG</v>
      </c>
    </row>
    <row r="73" spans="1:23" ht="18" customHeight="1">
      <c r="A73" s="32"/>
      <c r="B73" s="101" t="s">
        <v>192</v>
      </c>
      <c r="C73" s="102" t="s">
        <v>45</v>
      </c>
      <c r="D73" s="103">
        <v>0.72499999999999998</v>
      </c>
      <c r="E73" s="103">
        <v>0.03</v>
      </c>
      <c r="F73" s="103">
        <v>-0.03</v>
      </c>
      <c r="G73" s="154">
        <v>0.755</v>
      </c>
      <c r="H73" s="154">
        <v>0.69499999999999995</v>
      </c>
      <c r="I73" s="154"/>
      <c r="J73" s="154"/>
      <c r="K73" s="102" t="s">
        <v>46</v>
      </c>
      <c r="L73" s="131"/>
      <c r="M73" s="131"/>
      <c r="N73" s="131"/>
      <c r="O73" s="33" t="str">
        <f t="shared" si="9"/>
        <v xml:space="preserve"> </v>
      </c>
      <c r="P73" s="33" t="str">
        <f t="shared" si="10"/>
        <v xml:space="preserve"> </v>
      </c>
      <c r="Q73" s="33" t="str">
        <f t="shared" si="11"/>
        <v xml:space="preserve"> </v>
      </c>
      <c r="R73" s="34" t="str">
        <f t="shared" si="12"/>
        <v xml:space="preserve"> </v>
      </c>
      <c r="S73" s="35" t="str">
        <f t="shared" si="13"/>
        <v xml:space="preserve"> </v>
      </c>
      <c r="T73" s="36" t="str">
        <f t="shared" si="14"/>
        <v xml:space="preserve"> </v>
      </c>
      <c r="U73" s="34" t="str">
        <f t="shared" si="15"/>
        <v/>
      </c>
      <c r="V73" s="34" t="str">
        <f t="shared" si="8"/>
        <v/>
      </c>
      <c r="W73" s="165" t="str" cm="1">
        <f t="array" ref="W73">IF(AND(L73:N73 &gt;= D73+F73, L73:N73 &lt;= D73+E73), "OK", "NG")</f>
        <v>NG</v>
      </c>
    </row>
    <row r="74" spans="1:23" ht="18" customHeight="1">
      <c r="A74" s="32"/>
      <c r="B74" s="101">
        <v>43</v>
      </c>
      <c r="C74" s="102" t="s">
        <v>45</v>
      </c>
      <c r="D74" s="103">
        <v>18.573</v>
      </c>
      <c r="E74" s="103">
        <v>0.03</v>
      </c>
      <c r="F74" s="103">
        <v>-0.03</v>
      </c>
      <c r="G74" s="154">
        <v>18.598500000000001</v>
      </c>
      <c r="H74" s="154">
        <v>18.547499999999999</v>
      </c>
      <c r="I74" s="154"/>
      <c r="J74" s="154"/>
      <c r="K74" s="102" t="s">
        <v>46</v>
      </c>
      <c r="L74" s="131"/>
      <c r="M74" s="131"/>
      <c r="N74" s="131"/>
      <c r="O74" s="33" t="str">
        <f t="shared" si="9"/>
        <v xml:space="preserve"> </v>
      </c>
      <c r="P74" s="33" t="str">
        <f t="shared" si="10"/>
        <v xml:space="preserve"> </v>
      </c>
      <c r="Q74" s="33" t="str">
        <f t="shared" si="11"/>
        <v xml:space="preserve"> </v>
      </c>
      <c r="R74" s="34" t="str">
        <f t="shared" si="12"/>
        <v xml:space="preserve"> </v>
      </c>
      <c r="S74" s="35" t="str">
        <f t="shared" si="13"/>
        <v xml:space="preserve"> </v>
      </c>
      <c r="T74" s="36" t="str">
        <f t="shared" si="14"/>
        <v xml:space="preserve"> </v>
      </c>
      <c r="U74" s="34" t="str">
        <f t="shared" si="15"/>
        <v/>
      </c>
      <c r="V74" s="34" t="str">
        <f t="shared" si="8"/>
        <v/>
      </c>
      <c r="W74" s="165" t="str" cm="1">
        <f t="array" ref="W74">IF(AND(L74:N74 &gt;= D74+F74, L74:N74 &lt;= D74+E74), "OK", "NG")</f>
        <v>NG</v>
      </c>
    </row>
    <row r="75" spans="1:23" ht="18" customHeight="1">
      <c r="A75" s="32"/>
      <c r="B75" s="101" t="s">
        <v>193</v>
      </c>
      <c r="C75" s="102" t="s">
        <v>45</v>
      </c>
      <c r="D75" s="103">
        <v>0.93899999999999995</v>
      </c>
      <c r="E75" s="103">
        <v>0.03</v>
      </c>
      <c r="F75" s="103">
        <v>-0.02</v>
      </c>
      <c r="G75" s="154">
        <v>0.96449999999999991</v>
      </c>
      <c r="H75" s="154">
        <v>0.92199999999999993</v>
      </c>
      <c r="I75" s="154">
        <v>0.96149999999999991</v>
      </c>
      <c r="J75" s="154">
        <v>0.92399999999999993</v>
      </c>
      <c r="K75" s="102" t="s">
        <v>273</v>
      </c>
      <c r="L75" s="131"/>
      <c r="M75" s="131"/>
      <c r="N75" s="131"/>
      <c r="O75" s="33" t="str">
        <f t="shared" si="9"/>
        <v xml:space="preserve"> </v>
      </c>
      <c r="P75" s="33" t="str">
        <f t="shared" si="10"/>
        <v xml:space="preserve"> </v>
      </c>
      <c r="Q75" s="33" t="str">
        <f t="shared" si="11"/>
        <v xml:space="preserve"> </v>
      </c>
      <c r="R75" s="34" t="str">
        <f t="shared" si="12"/>
        <v xml:space="preserve"> </v>
      </c>
      <c r="S75" s="35" t="str">
        <f t="shared" si="13"/>
        <v xml:space="preserve"> </v>
      </c>
      <c r="T75" s="36" t="str">
        <f t="shared" si="14"/>
        <v xml:space="preserve"> </v>
      </c>
      <c r="U75" s="34" t="str">
        <f t="shared" si="15"/>
        <v/>
      </c>
      <c r="V75" s="34" t="str">
        <f t="shared" si="8"/>
        <v/>
      </c>
      <c r="W75" s="165" t="str" cm="1">
        <f t="array" ref="W75">IF(AND(L75:N75 &gt;= D75+F75, L75:N75 &lt;= D75+E75), "OK", "NG")</f>
        <v>NG</v>
      </c>
    </row>
    <row r="76" spans="1:23" ht="18" customHeight="1">
      <c r="A76" s="32"/>
      <c r="B76" s="101" t="s">
        <v>194</v>
      </c>
      <c r="C76" s="102" t="s">
        <v>45</v>
      </c>
      <c r="D76" s="103">
        <v>0.93899999999999995</v>
      </c>
      <c r="E76" s="103">
        <v>0.03</v>
      </c>
      <c r="F76" s="103">
        <v>-0.02</v>
      </c>
      <c r="G76" s="154">
        <v>0.96449999999999991</v>
      </c>
      <c r="H76" s="154">
        <v>0.92199999999999993</v>
      </c>
      <c r="I76" s="154">
        <v>0.96149999999999991</v>
      </c>
      <c r="J76" s="154">
        <v>0.92399999999999993</v>
      </c>
      <c r="K76" s="102" t="s">
        <v>273</v>
      </c>
      <c r="L76" s="131"/>
      <c r="M76" s="131"/>
      <c r="N76" s="131"/>
      <c r="O76" s="33" t="str">
        <f t="shared" si="9"/>
        <v xml:space="preserve"> </v>
      </c>
      <c r="P76" s="33" t="str">
        <f t="shared" si="10"/>
        <v xml:space="preserve"> </v>
      </c>
      <c r="Q76" s="33" t="str">
        <f t="shared" si="11"/>
        <v xml:space="preserve"> </v>
      </c>
      <c r="R76" s="34" t="str">
        <f t="shared" si="12"/>
        <v xml:space="preserve"> </v>
      </c>
      <c r="S76" s="35" t="str">
        <f t="shared" si="13"/>
        <v xml:space="preserve"> </v>
      </c>
      <c r="T76" s="36" t="str">
        <f t="shared" si="14"/>
        <v xml:space="preserve"> </v>
      </c>
      <c r="U76" s="34" t="str">
        <f t="shared" si="15"/>
        <v/>
      </c>
      <c r="V76" s="34" t="str">
        <f t="shared" si="8"/>
        <v/>
      </c>
      <c r="W76" s="165" t="str" cm="1">
        <f t="array" ref="W76">IF(AND(L76:N76 &gt;= D76+F76, L76:N76 &lt;= D76+E76), "OK", "NG")</f>
        <v>NG</v>
      </c>
    </row>
    <row r="77" spans="1:23" ht="18" customHeight="1">
      <c r="A77" s="32"/>
      <c r="B77" s="101" t="s">
        <v>195</v>
      </c>
      <c r="C77" s="102" t="s">
        <v>45</v>
      </c>
      <c r="D77" s="103">
        <v>0.93899999999999995</v>
      </c>
      <c r="E77" s="103">
        <v>0.03</v>
      </c>
      <c r="F77" s="103">
        <v>-0.02</v>
      </c>
      <c r="G77" s="154">
        <v>0.96449999999999991</v>
      </c>
      <c r="H77" s="154">
        <v>0.92199999999999993</v>
      </c>
      <c r="I77" s="154">
        <v>0.96149999999999991</v>
      </c>
      <c r="J77" s="154">
        <v>0.92399999999999993</v>
      </c>
      <c r="K77" s="102" t="s">
        <v>273</v>
      </c>
      <c r="L77" s="131"/>
      <c r="M77" s="131"/>
      <c r="N77" s="131"/>
      <c r="O77" s="33" t="str">
        <f t="shared" si="9"/>
        <v xml:space="preserve"> </v>
      </c>
      <c r="P77" s="33" t="str">
        <f t="shared" si="10"/>
        <v xml:space="preserve"> </v>
      </c>
      <c r="Q77" s="33" t="str">
        <f t="shared" si="11"/>
        <v xml:space="preserve"> </v>
      </c>
      <c r="R77" s="34" t="str">
        <f t="shared" si="12"/>
        <v xml:space="preserve"> </v>
      </c>
      <c r="S77" s="35" t="str">
        <f t="shared" si="13"/>
        <v xml:space="preserve"> </v>
      </c>
      <c r="T77" s="36" t="str">
        <f t="shared" si="14"/>
        <v xml:space="preserve"> </v>
      </c>
      <c r="U77" s="34" t="str">
        <f t="shared" si="15"/>
        <v/>
      </c>
      <c r="V77" s="34" t="str">
        <f t="shared" si="8"/>
        <v/>
      </c>
      <c r="W77" s="165" t="str" cm="1">
        <f t="array" ref="W77">IF(AND(L77:N77 &gt;= D77+F77, L77:N77 &lt;= D77+E77), "OK", "NG")</f>
        <v>NG</v>
      </c>
    </row>
    <row r="78" spans="1:23" ht="18" customHeight="1">
      <c r="A78" s="32"/>
      <c r="B78" s="101" t="s">
        <v>196</v>
      </c>
      <c r="C78" s="102" t="s">
        <v>45</v>
      </c>
      <c r="D78" s="103">
        <v>0.93899999999999995</v>
      </c>
      <c r="E78" s="103">
        <v>0.03</v>
      </c>
      <c r="F78" s="103">
        <v>-0.02</v>
      </c>
      <c r="G78" s="154">
        <v>0.96449999999999991</v>
      </c>
      <c r="H78" s="154">
        <v>0.92199999999999993</v>
      </c>
      <c r="I78" s="154">
        <v>0.96149999999999991</v>
      </c>
      <c r="J78" s="154">
        <v>0.92399999999999993</v>
      </c>
      <c r="K78" s="102" t="s">
        <v>273</v>
      </c>
      <c r="L78" s="131"/>
      <c r="M78" s="131"/>
      <c r="N78" s="131"/>
      <c r="O78" s="33" t="str">
        <f t="shared" si="9"/>
        <v xml:space="preserve"> </v>
      </c>
      <c r="P78" s="33" t="str">
        <f t="shared" si="10"/>
        <v xml:space="preserve"> </v>
      </c>
      <c r="Q78" s="33" t="str">
        <f t="shared" si="11"/>
        <v xml:space="preserve"> </v>
      </c>
      <c r="R78" s="34" t="str">
        <f t="shared" si="12"/>
        <v xml:space="preserve"> </v>
      </c>
      <c r="S78" s="35" t="str">
        <f t="shared" si="13"/>
        <v xml:space="preserve"> </v>
      </c>
      <c r="T78" s="36" t="str">
        <f t="shared" si="14"/>
        <v xml:space="preserve"> </v>
      </c>
      <c r="U78" s="34" t="str">
        <f t="shared" si="15"/>
        <v/>
      </c>
      <c r="V78" s="34" t="str">
        <f t="shared" si="8"/>
        <v/>
      </c>
      <c r="W78" s="165" t="str" cm="1">
        <f t="array" ref="W78">IF(AND(L78:N78 &gt;= D78+F78, L78:N78 &lt;= D78+E78), "OK", "NG")</f>
        <v>NG</v>
      </c>
    </row>
    <row r="79" spans="1:23" ht="18" customHeight="1">
      <c r="A79" s="32"/>
      <c r="B79" s="101" t="s">
        <v>350</v>
      </c>
      <c r="C79" s="102" t="s">
        <v>45</v>
      </c>
      <c r="D79" s="103">
        <v>0.93899999999999995</v>
      </c>
      <c r="E79" s="103">
        <v>0.03</v>
      </c>
      <c r="F79" s="103">
        <v>-0.02</v>
      </c>
      <c r="G79" s="154">
        <v>0.96449999999999991</v>
      </c>
      <c r="H79" s="154">
        <v>0.92199999999999993</v>
      </c>
      <c r="I79" s="154">
        <v>0.96149999999999991</v>
      </c>
      <c r="J79" s="154">
        <v>0.92399999999999993</v>
      </c>
      <c r="K79" s="102" t="s">
        <v>273</v>
      </c>
      <c r="L79" s="131"/>
      <c r="M79" s="131"/>
      <c r="N79" s="131"/>
      <c r="O79" s="33" t="str">
        <f t="shared" si="9"/>
        <v xml:space="preserve"> </v>
      </c>
      <c r="P79" s="33" t="str">
        <f t="shared" si="10"/>
        <v xml:space="preserve"> </v>
      </c>
      <c r="Q79" s="33" t="str">
        <f t="shared" si="11"/>
        <v xml:space="preserve"> </v>
      </c>
      <c r="R79" s="34" t="str">
        <f t="shared" si="12"/>
        <v xml:space="preserve"> </v>
      </c>
      <c r="S79" s="35" t="str">
        <f t="shared" si="13"/>
        <v xml:space="preserve"> </v>
      </c>
      <c r="T79" s="36" t="str">
        <f t="shared" si="14"/>
        <v xml:space="preserve"> </v>
      </c>
      <c r="U79" s="34" t="str">
        <f t="shared" si="15"/>
        <v/>
      </c>
      <c r="V79" s="34" t="str">
        <f t="shared" si="8"/>
        <v/>
      </c>
      <c r="W79" s="165" t="str" cm="1">
        <f t="array" ref="W79">IF(AND(L79:N79 &gt;= D79+F79, L79:N79 &lt;= D79+E79), "OK", "NG")</f>
        <v>NG</v>
      </c>
    </row>
    <row r="80" spans="1:23" ht="18" customHeight="1">
      <c r="A80" s="32"/>
      <c r="B80" s="101" t="s">
        <v>366</v>
      </c>
      <c r="C80" s="102" t="s">
        <v>45</v>
      </c>
      <c r="D80" s="103">
        <v>0.93899999999999995</v>
      </c>
      <c r="E80" s="103">
        <v>0.03</v>
      </c>
      <c r="F80" s="103">
        <v>-0.02</v>
      </c>
      <c r="G80" s="154">
        <v>0.96449999999999991</v>
      </c>
      <c r="H80" s="154">
        <v>0.92199999999999993</v>
      </c>
      <c r="I80" s="154">
        <v>0.96149999999999991</v>
      </c>
      <c r="J80" s="154">
        <v>0.92399999999999993</v>
      </c>
      <c r="K80" s="102" t="s">
        <v>273</v>
      </c>
      <c r="L80" s="131"/>
      <c r="M80" s="131"/>
      <c r="N80" s="131"/>
      <c r="O80" s="33" t="str">
        <f t="shared" si="9"/>
        <v xml:space="preserve"> </v>
      </c>
      <c r="P80" s="33" t="str">
        <f t="shared" si="10"/>
        <v xml:space="preserve"> </v>
      </c>
      <c r="Q80" s="33" t="str">
        <f t="shared" si="11"/>
        <v xml:space="preserve"> </v>
      </c>
      <c r="R80" s="34" t="str">
        <f t="shared" si="12"/>
        <v xml:space="preserve"> </v>
      </c>
      <c r="S80" s="35" t="str">
        <f t="shared" si="13"/>
        <v xml:space="preserve"> </v>
      </c>
      <c r="T80" s="36" t="str">
        <f t="shared" si="14"/>
        <v xml:space="preserve"> </v>
      </c>
      <c r="U80" s="34" t="str">
        <f t="shared" si="15"/>
        <v/>
      </c>
      <c r="V80" s="34" t="str">
        <f t="shared" si="8"/>
        <v/>
      </c>
      <c r="W80" s="165" t="str" cm="1">
        <f t="array" ref="W80">IF(AND(L80:N80 &gt;= D80+F80, L80:N80 &lt;= D80+E80), "OK", "NG")</f>
        <v>NG</v>
      </c>
    </row>
    <row r="81" spans="1:23" ht="18" customHeight="1">
      <c r="A81" s="32"/>
      <c r="B81" s="101" t="s">
        <v>197</v>
      </c>
      <c r="C81" s="102" t="s">
        <v>45</v>
      </c>
      <c r="D81" s="103">
        <v>18.419</v>
      </c>
      <c r="E81" s="103">
        <v>0.03</v>
      </c>
      <c r="F81" s="103">
        <v>-0.03</v>
      </c>
      <c r="G81" s="154">
        <v>18.449000000000002</v>
      </c>
      <c r="H81" s="154">
        <v>18.388999999999999</v>
      </c>
      <c r="I81" s="154"/>
      <c r="J81" s="154"/>
      <c r="K81" s="102" t="s">
        <v>46</v>
      </c>
      <c r="L81" s="131"/>
      <c r="M81" s="131"/>
      <c r="N81" s="131"/>
      <c r="O81" s="33" t="str">
        <f t="shared" si="9"/>
        <v xml:space="preserve"> </v>
      </c>
      <c r="P81" s="33" t="str">
        <f t="shared" si="10"/>
        <v xml:space="preserve"> </v>
      </c>
      <c r="Q81" s="33" t="str">
        <f t="shared" si="11"/>
        <v xml:space="preserve"> </v>
      </c>
      <c r="R81" s="34" t="str">
        <f t="shared" si="12"/>
        <v xml:space="preserve"> </v>
      </c>
      <c r="S81" s="35" t="str">
        <f t="shared" si="13"/>
        <v xml:space="preserve"> </v>
      </c>
      <c r="T81" s="36" t="str">
        <f t="shared" si="14"/>
        <v xml:space="preserve"> </v>
      </c>
      <c r="U81" s="34" t="str">
        <f t="shared" si="15"/>
        <v/>
      </c>
      <c r="V81" s="34" t="str">
        <f t="shared" si="8"/>
        <v/>
      </c>
      <c r="W81" s="165" t="str" cm="1">
        <f t="array" ref="W81">IF(AND(L81:N81 &gt;= D81+F81, L81:N81 &lt;= D81+E81), "OK", "NG")</f>
        <v>NG</v>
      </c>
    </row>
    <row r="82" spans="1:23" ht="18" customHeight="1">
      <c r="A82" s="32"/>
      <c r="B82" s="101" t="s">
        <v>198</v>
      </c>
      <c r="C82" s="102" t="s">
        <v>45</v>
      </c>
      <c r="D82" s="103">
        <v>18.419</v>
      </c>
      <c r="E82" s="103">
        <v>0.03</v>
      </c>
      <c r="F82" s="103">
        <v>-0.03</v>
      </c>
      <c r="G82" s="154">
        <v>18.449000000000002</v>
      </c>
      <c r="H82" s="154">
        <v>18.388999999999999</v>
      </c>
      <c r="I82" s="154"/>
      <c r="J82" s="154"/>
      <c r="K82" s="102" t="s">
        <v>46</v>
      </c>
      <c r="L82" s="131"/>
      <c r="M82" s="131"/>
      <c r="N82" s="131"/>
      <c r="O82" s="33" t="str">
        <f t="shared" si="9"/>
        <v xml:space="preserve"> </v>
      </c>
      <c r="P82" s="33" t="str">
        <f t="shared" si="10"/>
        <v xml:space="preserve"> </v>
      </c>
      <c r="Q82" s="33" t="str">
        <f t="shared" si="11"/>
        <v xml:space="preserve"> </v>
      </c>
      <c r="R82" s="34" t="str">
        <f t="shared" si="12"/>
        <v xml:space="preserve"> </v>
      </c>
      <c r="S82" s="35" t="str">
        <f t="shared" si="13"/>
        <v xml:space="preserve"> </v>
      </c>
      <c r="T82" s="36" t="str">
        <f t="shared" si="14"/>
        <v xml:space="preserve"> </v>
      </c>
      <c r="U82" s="34" t="str">
        <f t="shared" si="15"/>
        <v/>
      </c>
      <c r="V82" s="34" t="str">
        <f t="shared" si="8"/>
        <v/>
      </c>
      <c r="W82" s="165" t="str" cm="1">
        <f t="array" ref="W82">IF(AND(L82:N82 &gt;= D82+F82, L82:N82 &lt;= D82+E82), "OK", "NG")</f>
        <v>NG</v>
      </c>
    </row>
    <row r="83" spans="1:23" ht="18" customHeight="1">
      <c r="A83" s="32"/>
      <c r="B83" s="101" t="s">
        <v>199</v>
      </c>
      <c r="C83" s="102" t="s">
        <v>45</v>
      </c>
      <c r="D83" s="103">
        <v>18.419</v>
      </c>
      <c r="E83" s="103">
        <v>0.03</v>
      </c>
      <c r="F83" s="103">
        <v>-0.03</v>
      </c>
      <c r="G83" s="154">
        <v>18.449000000000002</v>
      </c>
      <c r="H83" s="154">
        <v>18.388999999999999</v>
      </c>
      <c r="I83" s="154"/>
      <c r="J83" s="154"/>
      <c r="K83" s="102" t="s">
        <v>46</v>
      </c>
      <c r="L83" s="131"/>
      <c r="M83" s="131"/>
      <c r="N83" s="131"/>
      <c r="O83" s="33" t="str">
        <f t="shared" si="9"/>
        <v xml:space="preserve"> </v>
      </c>
      <c r="P83" s="33" t="str">
        <f t="shared" si="10"/>
        <v xml:space="preserve"> </v>
      </c>
      <c r="Q83" s="33" t="str">
        <f t="shared" si="11"/>
        <v xml:space="preserve"> </v>
      </c>
      <c r="R83" s="34" t="str">
        <f t="shared" si="12"/>
        <v xml:space="preserve"> </v>
      </c>
      <c r="S83" s="35" t="str">
        <f t="shared" si="13"/>
        <v xml:space="preserve"> </v>
      </c>
      <c r="T83" s="36" t="str">
        <f t="shared" si="14"/>
        <v xml:space="preserve"> </v>
      </c>
      <c r="U83" s="34" t="str">
        <f t="shared" si="15"/>
        <v/>
      </c>
      <c r="V83" s="34" t="str">
        <f t="shared" si="8"/>
        <v/>
      </c>
      <c r="W83" s="165" t="str" cm="1">
        <f t="array" ref="W83">IF(AND(L83:N83 &gt;= D83+F83, L83:N83 &lt;= D83+E83), "OK", "NG")</f>
        <v>NG</v>
      </c>
    </row>
    <row r="84" spans="1:23" ht="18" customHeight="1">
      <c r="A84" s="32"/>
      <c r="B84" s="101" t="s">
        <v>200</v>
      </c>
      <c r="C84" s="102" t="s">
        <v>45</v>
      </c>
      <c r="D84" s="103">
        <v>4.3440000000000003</v>
      </c>
      <c r="E84" s="103">
        <v>0.03</v>
      </c>
      <c r="F84" s="103">
        <v>-0.03</v>
      </c>
      <c r="G84" s="154">
        <v>4.3695000000000004</v>
      </c>
      <c r="H84" s="154">
        <v>4.3185000000000002</v>
      </c>
      <c r="I84" s="154"/>
      <c r="J84" s="154"/>
      <c r="K84" s="102" t="s">
        <v>46</v>
      </c>
      <c r="L84" s="131"/>
      <c r="M84" s="131"/>
      <c r="N84" s="131"/>
      <c r="O84" s="33" t="str">
        <f t="shared" si="9"/>
        <v xml:space="preserve"> </v>
      </c>
      <c r="P84" s="33" t="str">
        <f t="shared" si="10"/>
        <v xml:space="preserve"> </v>
      </c>
      <c r="Q84" s="33" t="str">
        <f t="shared" si="11"/>
        <v xml:space="preserve"> </v>
      </c>
      <c r="R84" s="34" t="str">
        <f t="shared" si="12"/>
        <v xml:space="preserve"> </v>
      </c>
      <c r="S84" s="35" t="str">
        <f t="shared" si="13"/>
        <v xml:space="preserve"> </v>
      </c>
      <c r="T84" s="36" t="str">
        <f t="shared" si="14"/>
        <v xml:space="preserve"> </v>
      </c>
      <c r="U84" s="34" t="str">
        <f t="shared" si="15"/>
        <v/>
      </c>
      <c r="V84" s="34" t="str">
        <f t="shared" si="8"/>
        <v/>
      </c>
      <c r="W84" s="165" t="str" cm="1">
        <f t="array" ref="W84">IF(AND(L84:N84 &gt;= D84+F84, L84:N84 &lt;= D84+E84), "OK", "NG")</f>
        <v>NG</v>
      </c>
    </row>
    <row r="85" spans="1:23" ht="18" customHeight="1">
      <c r="A85" s="32"/>
      <c r="B85" s="101" t="s">
        <v>201</v>
      </c>
      <c r="C85" s="102" t="s">
        <v>45</v>
      </c>
      <c r="D85" s="103">
        <v>4.3440000000000003</v>
      </c>
      <c r="E85" s="103">
        <v>0.03</v>
      </c>
      <c r="F85" s="103">
        <v>-0.03</v>
      </c>
      <c r="G85" s="154">
        <v>4.3695000000000004</v>
      </c>
      <c r="H85" s="154">
        <v>4.3185000000000002</v>
      </c>
      <c r="I85" s="154"/>
      <c r="J85" s="154"/>
      <c r="K85" s="102" t="s">
        <v>46</v>
      </c>
      <c r="L85" s="131"/>
      <c r="M85" s="131"/>
      <c r="N85" s="131"/>
      <c r="O85" s="33" t="str">
        <f t="shared" si="9"/>
        <v xml:space="preserve"> </v>
      </c>
      <c r="P85" s="33" t="str">
        <f t="shared" si="10"/>
        <v xml:space="preserve"> </v>
      </c>
      <c r="Q85" s="33" t="str">
        <f t="shared" si="11"/>
        <v xml:space="preserve"> </v>
      </c>
      <c r="R85" s="34" t="str">
        <f t="shared" si="12"/>
        <v xml:space="preserve"> </v>
      </c>
      <c r="S85" s="35" t="str">
        <f t="shared" si="13"/>
        <v xml:space="preserve"> </v>
      </c>
      <c r="T85" s="36" t="str">
        <f t="shared" si="14"/>
        <v xml:space="preserve"> </v>
      </c>
      <c r="U85" s="34" t="str">
        <f t="shared" si="15"/>
        <v/>
      </c>
      <c r="V85" s="34" t="str">
        <f t="shared" si="8"/>
        <v/>
      </c>
      <c r="W85" s="165" t="str" cm="1">
        <f t="array" ref="W85">IF(AND(L85:N85 &gt;= D85+F85, L85:N85 &lt;= D85+E85), "OK", "NG")</f>
        <v>NG</v>
      </c>
    </row>
    <row r="86" spans="1:23" ht="18" customHeight="1">
      <c r="A86" s="32"/>
      <c r="B86" s="101">
        <v>60</v>
      </c>
      <c r="C86" s="102" t="s">
        <v>271</v>
      </c>
      <c r="D86" s="103">
        <v>0</v>
      </c>
      <c r="E86" s="103">
        <v>0.05</v>
      </c>
      <c r="F86" s="103">
        <v>0</v>
      </c>
      <c r="G86" s="154">
        <v>4.2500000000000003E-2</v>
      </c>
      <c r="H86" s="154">
        <v>0</v>
      </c>
      <c r="I86" s="154"/>
      <c r="J86" s="154"/>
      <c r="K86" s="102" t="s">
        <v>46</v>
      </c>
      <c r="L86" s="131"/>
      <c r="M86" s="131"/>
      <c r="N86" s="131"/>
      <c r="O86" s="33" t="str">
        <f t="shared" si="9"/>
        <v xml:space="preserve"> </v>
      </c>
      <c r="P86" s="33" t="str">
        <f t="shared" si="10"/>
        <v xml:space="preserve"> </v>
      </c>
      <c r="Q86" s="33" t="str">
        <f t="shared" si="11"/>
        <v xml:space="preserve"> </v>
      </c>
      <c r="R86" s="34" t="str">
        <f t="shared" si="12"/>
        <v xml:space="preserve"> </v>
      </c>
      <c r="S86" s="35" t="str">
        <f t="shared" si="13"/>
        <v xml:space="preserve"> </v>
      </c>
      <c r="T86" s="36" t="str">
        <f t="shared" si="14"/>
        <v xml:space="preserve"> </v>
      </c>
      <c r="U86" s="34" t="str">
        <f t="shared" si="15"/>
        <v/>
      </c>
      <c r="V86" s="34" t="str">
        <f t="shared" si="8"/>
        <v/>
      </c>
      <c r="W86" s="165" t="str" cm="1">
        <f t="array" ref="W86">IF(AND(L86:N86 &gt;= D86+F86, L86:N86 &lt;= D86+E86), "OK", "NG")</f>
        <v>OK</v>
      </c>
    </row>
    <row r="87" spans="1:23" ht="18" customHeight="1">
      <c r="A87" s="32"/>
      <c r="B87" s="101" t="s">
        <v>202</v>
      </c>
      <c r="C87" s="102" t="s">
        <v>45</v>
      </c>
      <c r="D87" s="103">
        <v>8.9339999999999993</v>
      </c>
      <c r="E87" s="103">
        <v>0.02</v>
      </c>
      <c r="F87" s="103">
        <v>-0.02</v>
      </c>
      <c r="G87" s="154">
        <v>8.9509999999999987</v>
      </c>
      <c r="H87" s="154">
        <v>8.9169999999999998</v>
      </c>
      <c r="I87" s="154"/>
      <c r="J87" s="154"/>
      <c r="K87" s="102" t="s">
        <v>46</v>
      </c>
      <c r="L87" s="131"/>
      <c r="M87" s="131"/>
      <c r="N87" s="131"/>
      <c r="O87" s="33" t="str">
        <f t="shared" si="9"/>
        <v xml:space="preserve"> </v>
      </c>
      <c r="P87" s="33" t="str">
        <f t="shared" si="10"/>
        <v xml:space="preserve"> </v>
      </c>
      <c r="Q87" s="33" t="str">
        <f t="shared" si="11"/>
        <v xml:space="preserve"> </v>
      </c>
      <c r="R87" s="34" t="str">
        <f t="shared" si="12"/>
        <v xml:space="preserve"> </v>
      </c>
      <c r="S87" s="35" t="str">
        <f t="shared" si="13"/>
        <v xml:space="preserve"> </v>
      </c>
      <c r="T87" s="36" t="str">
        <f t="shared" si="14"/>
        <v xml:space="preserve"> </v>
      </c>
      <c r="U87" s="34" t="str">
        <f t="shared" si="15"/>
        <v/>
      </c>
      <c r="V87" s="34" t="str">
        <f t="shared" si="8"/>
        <v/>
      </c>
      <c r="W87" s="165" t="str" cm="1">
        <f t="array" ref="W87">IF(AND(L87:N87 &gt;= D87+F87, L87:N87 &lt;= D87+E87), "OK", "NG")</f>
        <v>NG</v>
      </c>
    </row>
    <row r="88" spans="1:23" ht="18" customHeight="1">
      <c r="A88" s="32"/>
      <c r="B88" s="101" t="s">
        <v>203</v>
      </c>
      <c r="C88" s="102" t="s">
        <v>45</v>
      </c>
      <c r="D88" s="103">
        <v>8.9339999999999993</v>
      </c>
      <c r="E88" s="103">
        <v>0.02</v>
      </c>
      <c r="F88" s="103">
        <v>-0.02</v>
      </c>
      <c r="G88" s="154">
        <v>8.9509999999999987</v>
      </c>
      <c r="H88" s="154">
        <v>8.9169999999999998</v>
      </c>
      <c r="I88" s="154"/>
      <c r="J88" s="154"/>
      <c r="K88" s="102" t="s">
        <v>46</v>
      </c>
      <c r="L88" s="131"/>
      <c r="M88" s="131"/>
      <c r="N88" s="131"/>
      <c r="O88" s="33" t="str">
        <f t="shared" si="9"/>
        <v xml:space="preserve"> </v>
      </c>
      <c r="P88" s="33" t="str">
        <f t="shared" si="10"/>
        <v xml:space="preserve"> </v>
      </c>
      <c r="Q88" s="33" t="str">
        <f t="shared" si="11"/>
        <v xml:space="preserve"> </v>
      </c>
      <c r="R88" s="34" t="str">
        <f t="shared" si="12"/>
        <v xml:space="preserve"> </v>
      </c>
      <c r="S88" s="35" t="str">
        <f t="shared" si="13"/>
        <v xml:space="preserve"> </v>
      </c>
      <c r="T88" s="36" t="str">
        <f t="shared" si="14"/>
        <v xml:space="preserve"> </v>
      </c>
      <c r="U88" s="34" t="str">
        <f t="shared" si="15"/>
        <v/>
      </c>
      <c r="V88" s="34" t="str">
        <f t="shared" si="8"/>
        <v/>
      </c>
      <c r="W88" s="165" t="str" cm="1">
        <f t="array" ref="W88">IF(AND(L88:N88 &gt;= D88+F88, L88:N88 &lt;= D88+E88), "OK", "NG")</f>
        <v>NG</v>
      </c>
    </row>
    <row r="89" spans="1:23" ht="18" customHeight="1">
      <c r="A89" s="32"/>
      <c r="B89" s="101" t="s">
        <v>204</v>
      </c>
      <c r="C89" s="102" t="s">
        <v>45</v>
      </c>
      <c r="D89" s="103">
        <v>8.9339999999999993</v>
      </c>
      <c r="E89" s="103">
        <v>0.02</v>
      </c>
      <c r="F89" s="103">
        <v>-0.02</v>
      </c>
      <c r="G89" s="154">
        <v>8.9509999999999987</v>
      </c>
      <c r="H89" s="154">
        <v>8.9169999999999998</v>
      </c>
      <c r="I89" s="154"/>
      <c r="J89" s="154"/>
      <c r="K89" s="102" t="s">
        <v>46</v>
      </c>
      <c r="L89" s="131"/>
      <c r="M89" s="131"/>
      <c r="N89" s="131"/>
      <c r="O89" s="33" t="str">
        <f t="shared" si="9"/>
        <v xml:space="preserve"> </v>
      </c>
      <c r="P89" s="33" t="str">
        <f t="shared" si="10"/>
        <v xml:space="preserve"> </v>
      </c>
      <c r="Q89" s="33" t="str">
        <f t="shared" si="11"/>
        <v xml:space="preserve"> </v>
      </c>
      <c r="R89" s="34" t="str">
        <f t="shared" si="12"/>
        <v xml:space="preserve"> </v>
      </c>
      <c r="S89" s="35" t="str">
        <f t="shared" si="13"/>
        <v xml:space="preserve"> </v>
      </c>
      <c r="T89" s="36" t="str">
        <f t="shared" si="14"/>
        <v xml:space="preserve"> </v>
      </c>
      <c r="U89" s="34" t="str">
        <f t="shared" si="15"/>
        <v/>
      </c>
      <c r="V89" s="34" t="str">
        <f t="shared" si="8"/>
        <v/>
      </c>
      <c r="W89" s="165" t="str" cm="1">
        <f t="array" ref="W89">IF(AND(L89:N89 &gt;= D89+F89, L89:N89 &lt;= D89+E89), "OK", "NG")</f>
        <v>NG</v>
      </c>
    </row>
    <row r="90" spans="1:23" ht="18" customHeight="1">
      <c r="A90" s="32"/>
      <c r="B90" s="101">
        <v>63</v>
      </c>
      <c r="C90" s="102" t="s">
        <v>271</v>
      </c>
      <c r="D90" s="103">
        <v>0</v>
      </c>
      <c r="E90" s="103">
        <v>0.05</v>
      </c>
      <c r="F90" s="103">
        <v>0</v>
      </c>
      <c r="G90" s="154">
        <v>4.2500000000000003E-2</v>
      </c>
      <c r="H90" s="154">
        <v>0</v>
      </c>
      <c r="I90" s="154"/>
      <c r="J90" s="154"/>
      <c r="K90" s="102" t="s">
        <v>46</v>
      </c>
      <c r="L90" s="131"/>
      <c r="M90" s="131"/>
      <c r="N90" s="131"/>
      <c r="O90" s="33" t="str">
        <f t="shared" si="9"/>
        <v xml:space="preserve"> </v>
      </c>
      <c r="P90" s="33" t="str">
        <f t="shared" si="10"/>
        <v xml:space="preserve"> </v>
      </c>
      <c r="Q90" s="33" t="str">
        <f t="shared" si="11"/>
        <v xml:space="preserve"> </v>
      </c>
      <c r="R90" s="34" t="str">
        <f t="shared" si="12"/>
        <v xml:space="preserve"> </v>
      </c>
      <c r="S90" s="35" t="str">
        <f t="shared" si="13"/>
        <v xml:space="preserve"> </v>
      </c>
      <c r="T90" s="36" t="str">
        <f t="shared" si="14"/>
        <v xml:space="preserve"> </v>
      </c>
      <c r="U90" s="34" t="str">
        <f t="shared" si="15"/>
        <v/>
      </c>
      <c r="V90" s="34" t="str">
        <f t="shared" si="8"/>
        <v/>
      </c>
      <c r="W90" s="165" t="str" cm="1">
        <f t="array" ref="W90">IF(AND(L90:N90 &gt;= D90+F90, L90:N90 &lt;= D90+E90), "OK", "NG")</f>
        <v>OK</v>
      </c>
    </row>
    <row r="91" spans="1:23" ht="18" customHeight="1">
      <c r="A91" s="32"/>
      <c r="B91" s="101" t="s">
        <v>205</v>
      </c>
      <c r="C91" s="102" t="s">
        <v>45</v>
      </c>
      <c r="D91" s="103">
        <v>8.5380000000000003</v>
      </c>
      <c r="E91" s="103">
        <v>0.02</v>
      </c>
      <c r="F91" s="103">
        <v>-0.02</v>
      </c>
      <c r="G91" s="154">
        <v>8.5549999999999997</v>
      </c>
      <c r="H91" s="154">
        <v>8.5210000000000008</v>
      </c>
      <c r="I91" s="154"/>
      <c r="J91" s="154"/>
      <c r="K91" s="102" t="s">
        <v>46</v>
      </c>
      <c r="L91" s="131"/>
      <c r="M91" s="131"/>
      <c r="N91" s="131"/>
      <c r="O91" s="33" t="str">
        <f t="shared" si="9"/>
        <v xml:space="preserve"> </v>
      </c>
      <c r="P91" s="33" t="str">
        <f t="shared" si="10"/>
        <v xml:space="preserve"> </v>
      </c>
      <c r="Q91" s="33" t="str">
        <f t="shared" si="11"/>
        <v xml:space="preserve"> </v>
      </c>
      <c r="R91" s="34" t="str">
        <f t="shared" si="12"/>
        <v xml:space="preserve"> </v>
      </c>
      <c r="S91" s="35" t="str">
        <f t="shared" si="13"/>
        <v xml:space="preserve"> </v>
      </c>
      <c r="T91" s="36" t="str">
        <f t="shared" si="14"/>
        <v xml:space="preserve"> </v>
      </c>
      <c r="U91" s="34" t="str">
        <f t="shared" si="15"/>
        <v/>
      </c>
      <c r="V91" s="34" t="str">
        <f t="shared" si="8"/>
        <v/>
      </c>
      <c r="W91" s="165" t="str" cm="1">
        <f t="array" ref="W91">IF(AND(L91:N91 &gt;= D91+F91, L91:N91 &lt;= D91+E91), "OK", "NG")</f>
        <v>NG</v>
      </c>
    </row>
    <row r="92" spans="1:23" ht="18" customHeight="1">
      <c r="A92" s="32"/>
      <c r="B92" s="101" t="s">
        <v>206</v>
      </c>
      <c r="C92" s="102" t="s">
        <v>45</v>
      </c>
      <c r="D92" s="103">
        <v>8.5380000000000003</v>
      </c>
      <c r="E92" s="103">
        <v>0.02</v>
      </c>
      <c r="F92" s="103">
        <v>-0.02</v>
      </c>
      <c r="G92" s="154">
        <v>8.5549999999999997</v>
      </c>
      <c r="H92" s="154">
        <v>8.5210000000000008</v>
      </c>
      <c r="I92" s="154"/>
      <c r="J92" s="154"/>
      <c r="K92" s="102" t="s">
        <v>46</v>
      </c>
      <c r="L92" s="131"/>
      <c r="M92" s="131"/>
      <c r="N92" s="131"/>
      <c r="O92" s="33" t="str">
        <f t="shared" si="9"/>
        <v xml:space="preserve"> </v>
      </c>
      <c r="P92" s="33" t="str">
        <f t="shared" si="10"/>
        <v xml:space="preserve"> </v>
      </c>
      <c r="Q92" s="33" t="str">
        <f t="shared" si="11"/>
        <v xml:space="preserve"> </v>
      </c>
      <c r="R92" s="34" t="str">
        <f t="shared" si="12"/>
        <v xml:space="preserve"> </v>
      </c>
      <c r="S92" s="35" t="str">
        <f t="shared" si="13"/>
        <v xml:space="preserve"> </v>
      </c>
      <c r="T92" s="36" t="str">
        <f t="shared" si="14"/>
        <v xml:space="preserve"> </v>
      </c>
      <c r="U92" s="34" t="str">
        <f t="shared" si="15"/>
        <v/>
      </c>
      <c r="V92" s="34" t="str">
        <f t="shared" si="8"/>
        <v/>
      </c>
      <c r="W92" s="165" t="str" cm="1">
        <f t="array" ref="W92">IF(AND(L92:N92 &gt;= D92+F92, L92:N92 &lt;= D92+E92), "OK", "NG")</f>
        <v>NG</v>
      </c>
    </row>
    <row r="93" spans="1:23" ht="18" customHeight="1">
      <c r="A93" s="32"/>
      <c r="B93" s="101" t="s">
        <v>207</v>
      </c>
      <c r="C93" s="102" t="s">
        <v>45</v>
      </c>
      <c r="D93" s="103">
        <v>8.5380000000000003</v>
      </c>
      <c r="E93" s="103">
        <v>0.02</v>
      </c>
      <c r="F93" s="103">
        <v>-0.02</v>
      </c>
      <c r="G93" s="154">
        <v>8.5549999999999997</v>
      </c>
      <c r="H93" s="154">
        <v>8.5210000000000008</v>
      </c>
      <c r="I93" s="154"/>
      <c r="J93" s="154"/>
      <c r="K93" s="102" t="s">
        <v>46</v>
      </c>
      <c r="L93" s="131"/>
      <c r="M93" s="131"/>
      <c r="N93" s="131"/>
      <c r="O93" s="33" t="str">
        <f t="shared" si="9"/>
        <v xml:space="preserve"> </v>
      </c>
      <c r="P93" s="33" t="str">
        <f t="shared" si="10"/>
        <v xml:space="preserve"> </v>
      </c>
      <c r="Q93" s="33" t="str">
        <f t="shared" si="11"/>
        <v xml:space="preserve"> </v>
      </c>
      <c r="R93" s="34" t="str">
        <f t="shared" si="12"/>
        <v xml:space="preserve"> </v>
      </c>
      <c r="S93" s="35" t="str">
        <f t="shared" si="13"/>
        <v xml:space="preserve"> </v>
      </c>
      <c r="T93" s="36" t="str">
        <f t="shared" si="14"/>
        <v xml:space="preserve"> </v>
      </c>
      <c r="U93" s="34" t="str">
        <f t="shared" si="15"/>
        <v/>
      </c>
      <c r="V93" s="34" t="str">
        <f t="shared" si="8"/>
        <v/>
      </c>
      <c r="W93" s="165" t="str" cm="1">
        <f t="array" ref="W93">IF(AND(L93:N93 &gt;= D93+F93, L93:N93 &lt;= D93+E93), "OK", "NG")</f>
        <v>NG</v>
      </c>
    </row>
    <row r="94" spans="1:23" ht="18" customHeight="1">
      <c r="A94" s="32"/>
      <c r="B94" s="101" t="s">
        <v>151</v>
      </c>
      <c r="C94" s="102" t="s">
        <v>45</v>
      </c>
      <c r="D94" s="103">
        <v>8.827</v>
      </c>
      <c r="E94" s="103">
        <v>0.02</v>
      </c>
      <c r="F94" s="103">
        <v>-0.02</v>
      </c>
      <c r="G94" s="154">
        <v>8.8439999999999994</v>
      </c>
      <c r="H94" s="154">
        <v>8.81</v>
      </c>
      <c r="I94" s="154"/>
      <c r="J94" s="154"/>
      <c r="K94" s="102" t="s">
        <v>46</v>
      </c>
      <c r="L94" s="131"/>
      <c r="M94" s="131"/>
      <c r="N94" s="131"/>
      <c r="O94" s="33" t="str">
        <f t="shared" si="9"/>
        <v xml:space="preserve"> </v>
      </c>
      <c r="P94" s="33" t="str">
        <f t="shared" si="10"/>
        <v xml:space="preserve"> </v>
      </c>
      <c r="Q94" s="33" t="str">
        <f t="shared" si="11"/>
        <v xml:space="preserve"> </v>
      </c>
      <c r="R94" s="34" t="str">
        <f t="shared" si="12"/>
        <v xml:space="preserve"> </v>
      </c>
      <c r="S94" s="35" t="str">
        <f t="shared" si="13"/>
        <v xml:space="preserve"> </v>
      </c>
      <c r="T94" s="36" t="str">
        <f t="shared" si="14"/>
        <v xml:space="preserve"> </v>
      </c>
      <c r="U94" s="34" t="str">
        <f t="shared" si="15"/>
        <v/>
      </c>
      <c r="V94" s="34" t="str">
        <f t="shared" si="8"/>
        <v/>
      </c>
      <c r="W94" s="165" t="str" cm="1">
        <f t="array" ref="W94">IF(AND(L94:N94 &gt;= D94+F94, L94:N94 &lt;= D94+E94), "OK", "NG")</f>
        <v>NG</v>
      </c>
    </row>
    <row r="95" spans="1:23" ht="18" customHeight="1">
      <c r="A95" s="32"/>
      <c r="B95" s="101" t="s">
        <v>152</v>
      </c>
      <c r="C95" s="102" t="s">
        <v>45</v>
      </c>
      <c r="D95" s="103">
        <v>8.827</v>
      </c>
      <c r="E95" s="103">
        <v>0.02</v>
      </c>
      <c r="F95" s="103">
        <v>-0.02</v>
      </c>
      <c r="G95" s="154">
        <v>8.8439999999999994</v>
      </c>
      <c r="H95" s="154">
        <v>8.81</v>
      </c>
      <c r="I95" s="154"/>
      <c r="J95" s="154"/>
      <c r="K95" s="102" t="s">
        <v>46</v>
      </c>
      <c r="L95" s="131"/>
      <c r="M95" s="131"/>
      <c r="N95" s="131"/>
      <c r="O95" s="33" t="str">
        <f t="shared" si="9"/>
        <v xml:space="preserve"> </v>
      </c>
      <c r="P95" s="33" t="str">
        <f t="shared" si="10"/>
        <v xml:space="preserve"> </v>
      </c>
      <c r="Q95" s="33" t="str">
        <f t="shared" si="11"/>
        <v xml:space="preserve"> </v>
      </c>
      <c r="R95" s="34" t="str">
        <f t="shared" si="12"/>
        <v xml:space="preserve"> </v>
      </c>
      <c r="S95" s="35" t="str">
        <f t="shared" si="13"/>
        <v xml:space="preserve"> </v>
      </c>
      <c r="T95" s="36" t="str">
        <f t="shared" si="14"/>
        <v xml:space="preserve"> </v>
      </c>
      <c r="U95" s="34" t="str">
        <f t="shared" si="15"/>
        <v/>
      </c>
      <c r="V95" s="34" t="str">
        <f t="shared" si="8"/>
        <v/>
      </c>
      <c r="W95" s="165" t="str" cm="1">
        <f t="array" ref="W95">IF(AND(L95:N95 &gt;= D95+F95, L95:N95 &lt;= D95+E95), "OK", "NG")</f>
        <v>NG</v>
      </c>
    </row>
    <row r="96" spans="1:23" ht="18" customHeight="1">
      <c r="A96" s="32"/>
      <c r="B96" s="101" t="s">
        <v>208</v>
      </c>
      <c r="C96" s="102" t="s">
        <v>45</v>
      </c>
      <c r="D96" s="103">
        <v>8.827</v>
      </c>
      <c r="E96" s="103">
        <v>0.02</v>
      </c>
      <c r="F96" s="103">
        <v>-0.02</v>
      </c>
      <c r="G96" s="154">
        <v>8.8439999999999994</v>
      </c>
      <c r="H96" s="154">
        <v>8.81</v>
      </c>
      <c r="I96" s="154"/>
      <c r="J96" s="154"/>
      <c r="K96" s="102" t="s">
        <v>46</v>
      </c>
      <c r="L96" s="131"/>
      <c r="M96" s="131"/>
      <c r="N96" s="131"/>
      <c r="O96" s="33" t="str">
        <f t="shared" si="9"/>
        <v xml:space="preserve"> </v>
      </c>
      <c r="P96" s="33" t="str">
        <f t="shared" si="10"/>
        <v xml:space="preserve"> </v>
      </c>
      <c r="Q96" s="33" t="str">
        <f t="shared" si="11"/>
        <v xml:space="preserve"> </v>
      </c>
      <c r="R96" s="34" t="str">
        <f t="shared" si="12"/>
        <v xml:space="preserve"> </v>
      </c>
      <c r="S96" s="35" t="str">
        <f t="shared" si="13"/>
        <v xml:space="preserve"> </v>
      </c>
      <c r="T96" s="36" t="str">
        <f t="shared" si="14"/>
        <v xml:space="preserve"> </v>
      </c>
      <c r="U96" s="34" t="str">
        <f t="shared" si="15"/>
        <v/>
      </c>
      <c r="V96" s="34" t="str">
        <f t="shared" si="8"/>
        <v/>
      </c>
      <c r="W96" s="165" t="str" cm="1">
        <f t="array" ref="W96">IF(AND(L96:N96 &gt;= D96+F96, L96:N96 &lt;= D96+E96), "OK", "NG")</f>
        <v>NG</v>
      </c>
    </row>
    <row r="97" spans="1:23" ht="18" customHeight="1">
      <c r="A97" s="32"/>
      <c r="B97" s="101" t="s">
        <v>209</v>
      </c>
      <c r="C97" s="102" t="s">
        <v>271</v>
      </c>
      <c r="D97" s="103">
        <v>0</v>
      </c>
      <c r="E97" s="103">
        <v>0.05</v>
      </c>
      <c r="F97" s="103">
        <v>0</v>
      </c>
      <c r="G97" s="154">
        <v>4.2500000000000003E-2</v>
      </c>
      <c r="H97" s="154">
        <v>0</v>
      </c>
      <c r="I97" s="154"/>
      <c r="J97" s="154"/>
      <c r="K97" s="102" t="s">
        <v>46</v>
      </c>
      <c r="L97" s="131"/>
      <c r="M97" s="131"/>
      <c r="N97" s="131"/>
      <c r="O97" s="33" t="str">
        <f t="shared" si="9"/>
        <v xml:space="preserve"> </v>
      </c>
      <c r="P97" s="33" t="str">
        <f t="shared" si="10"/>
        <v xml:space="preserve"> </v>
      </c>
      <c r="Q97" s="33" t="str">
        <f t="shared" si="11"/>
        <v xml:space="preserve"> </v>
      </c>
      <c r="R97" s="34" t="str">
        <f t="shared" si="12"/>
        <v xml:space="preserve"> </v>
      </c>
      <c r="S97" s="35" t="str">
        <f t="shared" si="13"/>
        <v xml:space="preserve"> </v>
      </c>
      <c r="T97" s="36" t="str">
        <f t="shared" si="14"/>
        <v xml:space="preserve"> </v>
      </c>
      <c r="U97" s="34" t="str">
        <f t="shared" si="15"/>
        <v/>
      </c>
      <c r="V97" s="34" t="str">
        <f t="shared" si="8"/>
        <v/>
      </c>
      <c r="W97" s="165" t="str" cm="1">
        <f t="array" ref="W97">IF(AND(L97:N97 &gt;= D97+F97, L97:N97 &lt;= D97+E97), "OK", "NG")</f>
        <v>OK</v>
      </c>
    </row>
    <row r="98" spans="1:23" ht="18" customHeight="1">
      <c r="A98" s="32"/>
      <c r="B98" s="101" t="s">
        <v>210</v>
      </c>
      <c r="C98" s="102" t="s">
        <v>271</v>
      </c>
      <c r="D98" s="103">
        <v>0</v>
      </c>
      <c r="E98" s="103">
        <v>0.05</v>
      </c>
      <c r="F98" s="103">
        <v>0</v>
      </c>
      <c r="G98" s="154">
        <v>4.2500000000000003E-2</v>
      </c>
      <c r="H98" s="154">
        <v>0</v>
      </c>
      <c r="I98" s="154"/>
      <c r="J98" s="154"/>
      <c r="K98" s="102" t="s">
        <v>46</v>
      </c>
      <c r="L98" s="131"/>
      <c r="M98" s="131"/>
      <c r="N98" s="131"/>
      <c r="O98" s="33" t="str">
        <f t="shared" si="9"/>
        <v xml:space="preserve"> </v>
      </c>
      <c r="P98" s="33" t="str">
        <f t="shared" si="10"/>
        <v xml:space="preserve"> </v>
      </c>
      <c r="Q98" s="33" t="str">
        <f t="shared" si="11"/>
        <v xml:space="preserve"> </v>
      </c>
      <c r="R98" s="34" t="str">
        <f t="shared" si="12"/>
        <v xml:space="preserve"> </v>
      </c>
      <c r="S98" s="35" t="str">
        <f t="shared" si="13"/>
        <v xml:space="preserve"> </v>
      </c>
      <c r="T98" s="36" t="str">
        <f t="shared" si="14"/>
        <v xml:space="preserve"> </v>
      </c>
      <c r="U98" s="34" t="str">
        <f t="shared" si="15"/>
        <v/>
      </c>
      <c r="V98" s="34" t="str">
        <f t="shared" si="8"/>
        <v/>
      </c>
      <c r="W98" s="165" t="str" cm="1">
        <f t="array" ref="W98">IF(AND(L98:N98 &gt;= D98+F98, L98:N98 &lt;= D98+E98), "OK", "NG")</f>
        <v>OK</v>
      </c>
    </row>
    <row r="99" spans="1:23" ht="18" customHeight="1">
      <c r="A99" s="32"/>
      <c r="B99" s="101" t="s">
        <v>211</v>
      </c>
      <c r="C99" s="102" t="s">
        <v>45</v>
      </c>
      <c r="D99" s="103">
        <v>2.927</v>
      </c>
      <c r="E99" s="103">
        <v>0.02</v>
      </c>
      <c r="F99" s="103">
        <v>-0.02</v>
      </c>
      <c r="G99" s="154">
        <v>2.944</v>
      </c>
      <c r="H99" s="154">
        <v>2.91</v>
      </c>
      <c r="I99" s="154"/>
      <c r="J99" s="154"/>
      <c r="K99" s="102" t="s">
        <v>46</v>
      </c>
      <c r="L99" s="131"/>
      <c r="M99" s="131"/>
      <c r="N99" s="131"/>
      <c r="O99" s="33" t="str">
        <f t="shared" si="9"/>
        <v xml:space="preserve"> </v>
      </c>
      <c r="P99" s="33" t="str">
        <f t="shared" si="10"/>
        <v xml:space="preserve"> </v>
      </c>
      <c r="Q99" s="33" t="str">
        <f t="shared" si="11"/>
        <v xml:space="preserve"> </v>
      </c>
      <c r="R99" s="34" t="str">
        <f t="shared" si="12"/>
        <v xml:space="preserve"> </v>
      </c>
      <c r="S99" s="35" t="str">
        <f t="shared" si="13"/>
        <v xml:space="preserve"> </v>
      </c>
      <c r="T99" s="36" t="str">
        <f t="shared" si="14"/>
        <v xml:space="preserve"> </v>
      </c>
      <c r="U99" s="34" t="str">
        <f t="shared" si="15"/>
        <v/>
      </c>
      <c r="V99" s="34" t="str">
        <f t="shared" ref="V99:V162" si="16">IF(L99="","",IF(ISERR(F99/F99)=TRUE,"",IF(ISERR(F99/D99)=TRUE,IF((F99-MIN(L99:N99))&gt;0.001,"Reject",""),IF(ISNUMBER($T99)=TRUE,IF($T99&gt;0.651,IF($T99&gt;1.001,"Reject","Alert"),""),""))))</f>
        <v/>
      </c>
      <c r="W99" s="165" t="str" cm="1">
        <f t="array" ref="W99">IF(AND(L99:N99 &gt;= D99+F99, L99:N99 &lt;= D99+E99), "OK", "NG")</f>
        <v>NG</v>
      </c>
    </row>
    <row r="100" spans="1:23" ht="18" customHeight="1">
      <c r="A100" s="32"/>
      <c r="B100" s="101" t="s">
        <v>212</v>
      </c>
      <c r="C100" s="102" t="s">
        <v>45</v>
      </c>
      <c r="D100" s="103">
        <v>2.927</v>
      </c>
      <c r="E100" s="103">
        <v>0.02</v>
      </c>
      <c r="F100" s="103">
        <v>-0.02</v>
      </c>
      <c r="G100" s="154">
        <v>2.944</v>
      </c>
      <c r="H100" s="154">
        <v>2.91</v>
      </c>
      <c r="I100" s="154"/>
      <c r="J100" s="154"/>
      <c r="K100" s="102" t="s">
        <v>46</v>
      </c>
      <c r="L100" s="131"/>
      <c r="M100" s="131"/>
      <c r="N100" s="131"/>
      <c r="O100" s="33" t="str">
        <f t="shared" si="9"/>
        <v xml:space="preserve"> </v>
      </c>
      <c r="P100" s="33" t="str">
        <f t="shared" si="10"/>
        <v xml:space="preserve"> </v>
      </c>
      <c r="Q100" s="33" t="str">
        <f t="shared" si="11"/>
        <v xml:space="preserve"> </v>
      </c>
      <c r="R100" s="34" t="str">
        <f t="shared" si="12"/>
        <v xml:space="preserve"> </v>
      </c>
      <c r="S100" s="35" t="str">
        <f t="shared" si="13"/>
        <v xml:space="preserve"> </v>
      </c>
      <c r="T100" s="36" t="str">
        <f t="shared" si="14"/>
        <v xml:space="preserve"> </v>
      </c>
      <c r="U100" s="34" t="str">
        <f t="shared" si="15"/>
        <v/>
      </c>
      <c r="V100" s="34" t="str">
        <f t="shared" si="16"/>
        <v/>
      </c>
      <c r="W100" s="165" t="str" cm="1">
        <f t="array" ref="W100">IF(AND(L100:N100 &gt;= D100+F100, L100:N100 &lt;= D100+E100), "OK", "NG")</f>
        <v>NG</v>
      </c>
    </row>
    <row r="101" spans="1:23" ht="18" customHeight="1">
      <c r="A101" s="32"/>
      <c r="B101" s="101" t="s">
        <v>213</v>
      </c>
      <c r="C101" s="102" t="s">
        <v>45</v>
      </c>
      <c r="D101" s="103">
        <v>2.927</v>
      </c>
      <c r="E101" s="103">
        <v>0.02</v>
      </c>
      <c r="F101" s="103">
        <v>-0.02</v>
      </c>
      <c r="G101" s="154">
        <v>2.944</v>
      </c>
      <c r="H101" s="154">
        <v>2.91</v>
      </c>
      <c r="I101" s="154"/>
      <c r="J101" s="154"/>
      <c r="K101" s="102" t="s">
        <v>46</v>
      </c>
      <c r="L101" s="131"/>
      <c r="M101" s="131"/>
      <c r="N101" s="131"/>
      <c r="O101" s="33" t="str">
        <f t="shared" si="9"/>
        <v xml:space="preserve"> </v>
      </c>
      <c r="P101" s="33" t="str">
        <f t="shared" si="10"/>
        <v xml:space="preserve"> </v>
      </c>
      <c r="Q101" s="33" t="str">
        <f t="shared" si="11"/>
        <v xml:space="preserve"> </v>
      </c>
      <c r="R101" s="34" t="str">
        <f t="shared" si="12"/>
        <v xml:space="preserve"> </v>
      </c>
      <c r="S101" s="35" t="str">
        <f t="shared" si="13"/>
        <v xml:space="preserve"> </v>
      </c>
      <c r="T101" s="36" t="str">
        <f t="shared" si="14"/>
        <v xml:space="preserve"> </v>
      </c>
      <c r="U101" s="34" t="str">
        <f t="shared" si="15"/>
        <v/>
      </c>
      <c r="V101" s="34" t="str">
        <f t="shared" si="16"/>
        <v/>
      </c>
      <c r="W101" s="165" t="str" cm="1">
        <f t="array" ref="W101">IF(AND(L101:N101 &gt;= D101+F101, L101:N101 &lt;= D101+E101), "OK", "NG")</f>
        <v>NG</v>
      </c>
    </row>
    <row r="102" spans="1:23" ht="18" customHeight="1">
      <c r="A102" s="32"/>
      <c r="B102" s="101" t="s">
        <v>214</v>
      </c>
      <c r="C102" s="102" t="s">
        <v>45</v>
      </c>
      <c r="D102" s="103">
        <v>3.2679999999999998</v>
      </c>
      <c r="E102" s="103">
        <v>0.02</v>
      </c>
      <c r="F102" s="103">
        <v>-0.02</v>
      </c>
      <c r="G102" s="154">
        <v>3.2849999999999997</v>
      </c>
      <c r="H102" s="154">
        <v>3.2509999999999999</v>
      </c>
      <c r="I102" s="154"/>
      <c r="J102" s="154"/>
      <c r="K102" s="102" t="s">
        <v>46</v>
      </c>
      <c r="L102" s="131"/>
      <c r="M102" s="131"/>
      <c r="N102" s="131"/>
      <c r="O102" s="33" t="str">
        <f t="shared" si="9"/>
        <v xml:space="preserve"> </v>
      </c>
      <c r="P102" s="33" t="str">
        <f t="shared" si="10"/>
        <v xml:space="preserve"> </v>
      </c>
      <c r="Q102" s="33" t="str">
        <f t="shared" si="11"/>
        <v xml:space="preserve"> </v>
      </c>
      <c r="R102" s="34" t="str">
        <f t="shared" si="12"/>
        <v xml:space="preserve"> </v>
      </c>
      <c r="S102" s="35" t="str">
        <f t="shared" si="13"/>
        <v xml:space="preserve"> </v>
      </c>
      <c r="T102" s="36" t="str">
        <f t="shared" si="14"/>
        <v xml:space="preserve"> </v>
      </c>
      <c r="U102" s="34" t="str">
        <f t="shared" si="15"/>
        <v/>
      </c>
      <c r="V102" s="34" t="str">
        <f t="shared" si="16"/>
        <v/>
      </c>
      <c r="W102" s="165" t="str" cm="1">
        <f t="array" ref="W102">IF(AND(L102:N102 &gt;= D102+F102, L102:N102 &lt;= D102+E102), "OK", "NG")</f>
        <v>NG</v>
      </c>
    </row>
    <row r="103" spans="1:23" ht="18" customHeight="1">
      <c r="A103" s="32"/>
      <c r="B103" s="101" t="s">
        <v>215</v>
      </c>
      <c r="C103" s="102" t="s">
        <v>45</v>
      </c>
      <c r="D103" s="103">
        <v>3.2679999999999998</v>
      </c>
      <c r="E103" s="103">
        <v>0.02</v>
      </c>
      <c r="F103" s="103">
        <v>-0.02</v>
      </c>
      <c r="G103" s="154">
        <v>3.2849999999999997</v>
      </c>
      <c r="H103" s="154">
        <v>3.2509999999999999</v>
      </c>
      <c r="I103" s="154"/>
      <c r="J103" s="154"/>
      <c r="K103" s="102" t="s">
        <v>46</v>
      </c>
      <c r="L103" s="131"/>
      <c r="M103" s="131"/>
      <c r="N103" s="131"/>
      <c r="O103" s="33" t="str">
        <f t="shared" si="9"/>
        <v xml:space="preserve"> </v>
      </c>
      <c r="P103" s="33" t="str">
        <f t="shared" si="10"/>
        <v xml:space="preserve"> </v>
      </c>
      <c r="Q103" s="33" t="str">
        <f t="shared" si="11"/>
        <v xml:space="preserve"> </v>
      </c>
      <c r="R103" s="34" t="str">
        <f t="shared" si="12"/>
        <v xml:space="preserve"> </v>
      </c>
      <c r="S103" s="35" t="str">
        <f t="shared" si="13"/>
        <v xml:space="preserve"> </v>
      </c>
      <c r="T103" s="36" t="str">
        <f t="shared" si="14"/>
        <v xml:space="preserve"> </v>
      </c>
      <c r="U103" s="34" t="str">
        <f t="shared" si="15"/>
        <v/>
      </c>
      <c r="V103" s="34" t="str">
        <f t="shared" si="16"/>
        <v/>
      </c>
      <c r="W103" s="165" t="str" cm="1">
        <f t="array" ref="W103">IF(AND(L103:N103 &gt;= D103+F103, L103:N103 &lt;= D103+E103), "OK", "NG")</f>
        <v>NG</v>
      </c>
    </row>
    <row r="104" spans="1:23" ht="18" customHeight="1">
      <c r="A104" s="32"/>
      <c r="B104" s="101" t="s">
        <v>216</v>
      </c>
      <c r="C104" s="102" t="s">
        <v>45</v>
      </c>
      <c r="D104" s="103">
        <v>3.2679999999999998</v>
      </c>
      <c r="E104" s="103">
        <v>0.02</v>
      </c>
      <c r="F104" s="103">
        <v>-0.02</v>
      </c>
      <c r="G104" s="154">
        <v>3.2849999999999997</v>
      </c>
      <c r="H104" s="154">
        <v>3.2509999999999999</v>
      </c>
      <c r="I104" s="154"/>
      <c r="J104" s="154"/>
      <c r="K104" s="102" t="s">
        <v>46</v>
      </c>
      <c r="L104" s="131"/>
      <c r="M104" s="131"/>
      <c r="N104" s="131"/>
      <c r="O104" s="33" t="str">
        <f t="shared" si="9"/>
        <v xml:space="preserve"> </v>
      </c>
      <c r="P104" s="33" t="str">
        <f t="shared" si="10"/>
        <v xml:space="preserve"> </v>
      </c>
      <c r="Q104" s="33" t="str">
        <f t="shared" si="11"/>
        <v xml:space="preserve"> </v>
      </c>
      <c r="R104" s="34" t="str">
        <f t="shared" si="12"/>
        <v xml:space="preserve"> </v>
      </c>
      <c r="S104" s="35" t="str">
        <f t="shared" si="13"/>
        <v xml:space="preserve"> </v>
      </c>
      <c r="T104" s="36" t="str">
        <f t="shared" si="14"/>
        <v xml:space="preserve"> </v>
      </c>
      <c r="U104" s="34" t="str">
        <f t="shared" si="15"/>
        <v/>
      </c>
      <c r="V104" s="34" t="str">
        <f t="shared" si="16"/>
        <v/>
      </c>
      <c r="W104" s="165" t="str" cm="1">
        <f t="array" ref="W104">IF(AND(L104:N104 &gt;= D104+F104, L104:N104 &lt;= D104+E104), "OK", "NG")</f>
        <v>NG</v>
      </c>
    </row>
    <row r="105" spans="1:23" ht="18" customHeight="1">
      <c r="A105" s="32"/>
      <c r="B105" s="101" t="s">
        <v>217</v>
      </c>
      <c r="C105" s="102" t="s">
        <v>271</v>
      </c>
      <c r="D105" s="103">
        <v>0</v>
      </c>
      <c r="E105" s="103">
        <v>0.05</v>
      </c>
      <c r="F105" s="103">
        <v>0</v>
      </c>
      <c r="G105" s="154">
        <v>4.2500000000000003E-2</v>
      </c>
      <c r="H105" s="154">
        <v>0</v>
      </c>
      <c r="I105" s="154"/>
      <c r="J105" s="154"/>
      <c r="K105" s="102" t="s">
        <v>46</v>
      </c>
      <c r="L105" s="131"/>
      <c r="M105" s="131"/>
      <c r="N105" s="131"/>
      <c r="O105" s="33" t="str">
        <f t="shared" si="9"/>
        <v xml:space="preserve"> </v>
      </c>
      <c r="P105" s="33" t="str">
        <f t="shared" si="10"/>
        <v xml:space="preserve"> </v>
      </c>
      <c r="Q105" s="33" t="str">
        <f t="shared" si="11"/>
        <v xml:space="preserve"> </v>
      </c>
      <c r="R105" s="34" t="str">
        <f t="shared" si="12"/>
        <v xml:space="preserve"> </v>
      </c>
      <c r="S105" s="35" t="str">
        <f t="shared" si="13"/>
        <v xml:space="preserve"> </v>
      </c>
      <c r="T105" s="36" t="str">
        <f t="shared" si="14"/>
        <v xml:space="preserve"> </v>
      </c>
      <c r="U105" s="34" t="str">
        <f t="shared" si="15"/>
        <v/>
      </c>
      <c r="V105" s="34" t="str">
        <f t="shared" si="16"/>
        <v/>
      </c>
      <c r="W105" s="165" t="str" cm="1">
        <f t="array" ref="W105">IF(AND(L105:N105 &gt;= D105+F105, L105:N105 &lt;= D105+E105), "OK", "NG")</f>
        <v>OK</v>
      </c>
    </row>
    <row r="106" spans="1:23" ht="18" customHeight="1">
      <c r="A106" s="32"/>
      <c r="B106" s="101" t="s">
        <v>218</v>
      </c>
      <c r="C106" s="102" t="s">
        <v>45</v>
      </c>
      <c r="D106" s="103">
        <v>15.433999999999999</v>
      </c>
      <c r="E106" s="103">
        <v>0.03</v>
      </c>
      <c r="F106" s="103">
        <v>-0.03</v>
      </c>
      <c r="G106" s="154">
        <v>15.459499999999998</v>
      </c>
      <c r="H106" s="154">
        <v>15.4085</v>
      </c>
      <c r="I106" s="154"/>
      <c r="J106" s="154"/>
      <c r="K106" s="102" t="s">
        <v>46</v>
      </c>
      <c r="L106" s="131"/>
      <c r="M106" s="131"/>
      <c r="N106" s="131"/>
      <c r="O106" s="33" t="str">
        <f t="shared" si="9"/>
        <v xml:space="preserve"> </v>
      </c>
      <c r="P106" s="33" t="str">
        <f t="shared" si="10"/>
        <v xml:space="preserve"> </v>
      </c>
      <c r="Q106" s="33" t="str">
        <f t="shared" si="11"/>
        <v xml:space="preserve"> </v>
      </c>
      <c r="R106" s="34" t="str">
        <f t="shared" si="12"/>
        <v xml:space="preserve"> </v>
      </c>
      <c r="S106" s="35" t="str">
        <f t="shared" si="13"/>
        <v xml:space="preserve"> </v>
      </c>
      <c r="T106" s="36" t="str">
        <f t="shared" si="14"/>
        <v xml:space="preserve"> </v>
      </c>
      <c r="U106" s="34" t="str">
        <f t="shared" si="15"/>
        <v/>
      </c>
      <c r="V106" s="34" t="str">
        <f t="shared" si="16"/>
        <v/>
      </c>
      <c r="W106" s="165" t="str" cm="1">
        <f t="array" ref="W106">IF(AND(L106:N106 &gt;= D106+F106, L106:N106 &lt;= D106+E106), "OK", "NG")</f>
        <v>NG</v>
      </c>
    </row>
    <row r="107" spans="1:23" ht="18" customHeight="1">
      <c r="A107" s="32"/>
      <c r="B107" s="101" t="s">
        <v>219</v>
      </c>
      <c r="C107" s="102" t="s">
        <v>45</v>
      </c>
      <c r="D107" s="103">
        <v>15.433999999999999</v>
      </c>
      <c r="E107" s="103">
        <v>0.03</v>
      </c>
      <c r="F107" s="103">
        <v>-0.03</v>
      </c>
      <c r="G107" s="154">
        <v>15.459499999999998</v>
      </c>
      <c r="H107" s="154">
        <v>15.4085</v>
      </c>
      <c r="I107" s="154"/>
      <c r="J107" s="154"/>
      <c r="K107" s="102" t="s">
        <v>46</v>
      </c>
      <c r="L107" s="131"/>
      <c r="M107" s="131"/>
      <c r="N107" s="131"/>
      <c r="O107" s="33" t="str">
        <f t="shared" si="9"/>
        <v xml:space="preserve"> </v>
      </c>
      <c r="P107" s="33" t="str">
        <f t="shared" si="10"/>
        <v xml:space="preserve"> </v>
      </c>
      <c r="Q107" s="33" t="str">
        <f t="shared" si="11"/>
        <v xml:space="preserve"> </v>
      </c>
      <c r="R107" s="34" t="str">
        <f t="shared" si="12"/>
        <v xml:space="preserve"> </v>
      </c>
      <c r="S107" s="35" t="str">
        <f t="shared" si="13"/>
        <v xml:space="preserve"> </v>
      </c>
      <c r="T107" s="36" t="str">
        <f t="shared" si="14"/>
        <v xml:space="preserve"> </v>
      </c>
      <c r="U107" s="34" t="str">
        <f t="shared" si="15"/>
        <v/>
      </c>
      <c r="V107" s="34" t="str">
        <f t="shared" si="16"/>
        <v/>
      </c>
      <c r="W107" s="165" t="str" cm="1">
        <f t="array" ref="W107">IF(AND(L107:N107 &gt;= D107+F107, L107:N107 &lt;= D107+E107), "OK", "NG")</f>
        <v>NG</v>
      </c>
    </row>
    <row r="108" spans="1:23" ht="18" customHeight="1">
      <c r="A108" s="32"/>
      <c r="B108" s="101" t="s">
        <v>153</v>
      </c>
      <c r="C108" s="102" t="s">
        <v>45</v>
      </c>
      <c r="D108" s="103">
        <v>4.5739999999999998</v>
      </c>
      <c r="E108" s="103">
        <v>0.04</v>
      </c>
      <c r="F108" s="103">
        <v>-0.04</v>
      </c>
      <c r="G108" s="154">
        <v>4.6079999999999997</v>
      </c>
      <c r="H108" s="154">
        <v>4.54</v>
      </c>
      <c r="I108" s="154"/>
      <c r="J108" s="154"/>
      <c r="K108" s="102" t="s">
        <v>46</v>
      </c>
      <c r="L108" s="131"/>
      <c r="M108" s="131"/>
      <c r="N108" s="131"/>
      <c r="O108" s="33" t="str">
        <f t="shared" si="9"/>
        <v xml:space="preserve"> </v>
      </c>
      <c r="P108" s="33" t="str">
        <f t="shared" si="10"/>
        <v xml:space="preserve"> </v>
      </c>
      <c r="Q108" s="33" t="str">
        <f t="shared" si="11"/>
        <v xml:space="preserve"> </v>
      </c>
      <c r="R108" s="34" t="str">
        <f t="shared" si="12"/>
        <v xml:space="preserve"> </v>
      </c>
      <c r="S108" s="35" t="str">
        <f t="shared" si="13"/>
        <v xml:space="preserve"> </v>
      </c>
      <c r="T108" s="36" t="str">
        <f t="shared" si="14"/>
        <v xml:space="preserve"> </v>
      </c>
      <c r="U108" s="34" t="str">
        <f t="shared" si="15"/>
        <v/>
      </c>
      <c r="V108" s="34" t="str">
        <f t="shared" si="16"/>
        <v/>
      </c>
      <c r="W108" s="165" t="str" cm="1">
        <f t="array" ref="W108">IF(AND(L108:N108 &gt;= D108+F108, L108:N108 &lt;= D108+E108), "OK", "NG")</f>
        <v>NG</v>
      </c>
    </row>
    <row r="109" spans="1:23" ht="18" customHeight="1">
      <c r="A109" s="32"/>
      <c r="B109" s="101" t="s">
        <v>154</v>
      </c>
      <c r="C109" s="102" t="s">
        <v>45</v>
      </c>
      <c r="D109" s="103">
        <v>4.5739999999999998</v>
      </c>
      <c r="E109" s="103">
        <v>0.04</v>
      </c>
      <c r="F109" s="103">
        <v>-0.04</v>
      </c>
      <c r="G109" s="154">
        <v>4.6079999999999997</v>
      </c>
      <c r="H109" s="154">
        <v>4.54</v>
      </c>
      <c r="I109" s="154"/>
      <c r="J109" s="154"/>
      <c r="K109" s="102" t="s">
        <v>46</v>
      </c>
      <c r="L109" s="131"/>
      <c r="M109" s="131"/>
      <c r="N109" s="131"/>
      <c r="O109" s="33" t="str">
        <f t="shared" si="9"/>
        <v xml:space="preserve"> </v>
      </c>
      <c r="P109" s="33" t="str">
        <f t="shared" si="10"/>
        <v xml:space="preserve"> </v>
      </c>
      <c r="Q109" s="33" t="str">
        <f t="shared" si="11"/>
        <v xml:space="preserve"> </v>
      </c>
      <c r="R109" s="34" t="str">
        <f t="shared" si="12"/>
        <v xml:space="preserve"> </v>
      </c>
      <c r="S109" s="35" t="str">
        <f t="shared" si="13"/>
        <v xml:space="preserve"> </v>
      </c>
      <c r="T109" s="36" t="str">
        <f t="shared" si="14"/>
        <v xml:space="preserve"> </v>
      </c>
      <c r="U109" s="34" t="str">
        <f t="shared" si="15"/>
        <v/>
      </c>
      <c r="V109" s="34" t="str">
        <f t="shared" si="16"/>
        <v/>
      </c>
      <c r="W109" s="165" t="str" cm="1">
        <f t="array" ref="W109">IF(AND(L109:N109 &gt;= D109+F109, L109:N109 &lt;= D109+E109), "OK", "NG")</f>
        <v>NG</v>
      </c>
    </row>
    <row r="110" spans="1:23" ht="18" customHeight="1">
      <c r="A110" s="32"/>
      <c r="B110" s="101" t="s">
        <v>155</v>
      </c>
      <c r="C110" s="102" t="s">
        <v>45</v>
      </c>
      <c r="D110" s="103">
        <v>19.952000000000002</v>
      </c>
      <c r="E110" s="103">
        <v>0.03</v>
      </c>
      <c r="F110" s="103">
        <v>-0.03</v>
      </c>
      <c r="G110" s="154">
        <v>19.977500000000003</v>
      </c>
      <c r="H110" s="154">
        <v>19.926500000000001</v>
      </c>
      <c r="I110" s="154"/>
      <c r="J110" s="154"/>
      <c r="K110" s="102" t="s">
        <v>46</v>
      </c>
      <c r="L110" s="131"/>
      <c r="M110" s="131"/>
      <c r="N110" s="131"/>
      <c r="O110" s="33" t="str">
        <f t="shared" si="9"/>
        <v xml:space="preserve"> </v>
      </c>
      <c r="P110" s="33" t="str">
        <f t="shared" si="10"/>
        <v xml:space="preserve"> </v>
      </c>
      <c r="Q110" s="33" t="str">
        <f t="shared" si="11"/>
        <v xml:space="preserve"> </v>
      </c>
      <c r="R110" s="34" t="str">
        <f t="shared" si="12"/>
        <v xml:space="preserve"> </v>
      </c>
      <c r="S110" s="35" t="str">
        <f t="shared" si="13"/>
        <v xml:space="preserve"> </v>
      </c>
      <c r="T110" s="36" t="str">
        <f t="shared" si="14"/>
        <v xml:space="preserve"> </v>
      </c>
      <c r="U110" s="34" t="str">
        <f t="shared" si="15"/>
        <v/>
      </c>
      <c r="V110" s="34" t="str">
        <f t="shared" si="16"/>
        <v/>
      </c>
      <c r="W110" s="165" t="str" cm="1">
        <f t="array" ref="W110">IF(AND(L110:N110 &gt;= D110+F110, L110:N110 &lt;= D110+E110), "OK", "NG")</f>
        <v>NG</v>
      </c>
    </row>
    <row r="111" spans="1:23" ht="18" customHeight="1">
      <c r="A111" s="32"/>
      <c r="B111" s="101" t="s">
        <v>156</v>
      </c>
      <c r="C111" s="102" t="s">
        <v>45</v>
      </c>
      <c r="D111" s="103">
        <v>19.952000000000002</v>
      </c>
      <c r="E111" s="103">
        <v>0.03</v>
      </c>
      <c r="F111" s="103">
        <v>-0.03</v>
      </c>
      <c r="G111" s="154">
        <v>19.977500000000003</v>
      </c>
      <c r="H111" s="154">
        <v>19.926500000000001</v>
      </c>
      <c r="I111" s="154"/>
      <c r="J111" s="154"/>
      <c r="K111" s="102" t="s">
        <v>46</v>
      </c>
      <c r="L111" s="131"/>
      <c r="M111" s="131"/>
      <c r="N111" s="131"/>
      <c r="O111" s="33" t="str">
        <f t="shared" si="9"/>
        <v xml:space="preserve"> </v>
      </c>
      <c r="P111" s="33" t="str">
        <f t="shared" si="10"/>
        <v xml:space="preserve"> </v>
      </c>
      <c r="Q111" s="33" t="str">
        <f t="shared" si="11"/>
        <v xml:space="preserve"> </v>
      </c>
      <c r="R111" s="34" t="str">
        <f t="shared" si="12"/>
        <v xml:space="preserve"> </v>
      </c>
      <c r="S111" s="35" t="str">
        <f t="shared" si="13"/>
        <v xml:space="preserve"> </v>
      </c>
      <c r="T111" s="36" t="str">
        <f t="shared" si="14"/>
        <v xml:space="preserve"> </v>
      </c>
      <c r="U111" s="34" t="str">
        <f t="shared" si="15"/>
        <v/>
      </c>
      <c r="V111" s="34" t="str">
        <f t="shared" si="16"/>
        <v/>
      </c>
      <c r="W111" s="165" t="str" cm="1">
        <f t="array" ref="W111">IF(AND(L111:N111 &gt;= D111+F111, L111:N111 &lt;= D111+E111), "OK", "NG")</f>
        <v>NG</v>
      </c>
    </row>
    <row r="112" spans="1:23" ht="18" customHeight="1">
      <c r="A112" s="32"/>
      <c r="B112" s="101" t="s">
        <v>220</v>
      </c>
      <c r="C112" s="102" t="s">
        <v>45</v>
      </c>
      <c r="D112" s="103">
        <v>8.1219999999999999</v>
      </c>
      <c r="E112" s="103">
        <v>0.03</v>
      </c>
      <c r="F112" s="103">
        <v>-0.03</v>
      </c>
      <c r="G112" s="154">
        <v>8.1474999999999991</v>
      </c>
      <c r="H112" s="154">
        <v>8.0965000000000007</v>
      </c>
      <c r="I112" s="154"/>
      <c r="J112" s="154"/>
      <c r="K112" s="102" t="s">
        <v>46</v>
      </c>
      <c r="L112" s="131"/>
      <c r="M112" s="131"/>
      <c r="N112" s="131"/>
      <c r="O112" s="33" t="str">
        <f t="shared" si="9"/>
        <v xml:space="preserve"> </v>
      </c>
      <c r="P112" s="33" t="str">
        <f t="shared" si="10"/>
        <v xml:space="preserve"> </v>
      </c>
      <c r="Q112" s="33" t="str">
        <f t="shared" si="11"/>
        <v xml:space="preserve"> </v>
      </c>
      <c r="R112" s="34" t="str">
        <f t="shared" si="12"/>
        <v xml:space="preserve"> </v>
      </c>
      <c r="S112" s="35" t="str">
        <f t="shared" si="13"/>
        <v xml:space="preserve"> </v>
      </c>
      <c r="T112" s="36" t="str">
        <f t="shared" si="14"/>
        <v xml:space="preserve"> </v>
      </c>
      <c r="U112" s="34" t="str">
        <f t="shared" si="15"/>
        <v/>
      </c>
      <c r="V112" s="34" t="str">
        <f t="shared" si="16"/>
        <v/>
      </c>
      <c r="W112" s="165" t="str" cm="1">
        <f t="array" ref="W112">IF(AND(L112:N112 &gt;= D112+F112, L112:N112 &lt;= D112+E112), "OK", "NG")</f>
        <v>NG</v>
      </c>
    </row>
    <row r="113" spans="1:23" ht="18" customHeight="1">
      <c r="A113" s="32"/>
      <c r="B113" s="101" t="s">
        <v>221</v>
      </c>
      <c r="C113" s="102" t="s">
        <v>45</v>
      </c>
      <c r="D113" s="103">
        <v>8.1219999999999999</v>
      </c>
      <c r="E113" s="103">
        <v>0.03</v>
      </c>
      <c r="F113" s="103">
        <v>-0.03</v>
      </c>
      <c r="G113" s="154">
        <v>8.1474999999999991</v>
      </c>
      <c r="H113" s="154">
        <v>8.0965000000000007</v>
      </c>
      <c r="I113" s="154"/>
      <c r="J113" s="154"/>
      <c r="K113" s="102" t="s">
        <v>46</v>
      </c>
      <c r="L113" s="131"/>
      <c r="M113" s="131"/>
      <c r="N113" s="131"/>
      <c r="O113" s="33" t="str">
        <f t="shared" si="9"/>
        <v xml:space="preserve"> </v>
      </c>
      <c r="P113" s="33" t="str">
        <f t="shared" si="10"/>
        <v xml:space="preserve"> </v>
      </c>
      <c r="Q113" s="33" t="str">
        <f t="shared" si="11"/>
        <v xml:space="preserve"> </v>
      </c>
      <c r="R113" s="34" t="str">
        <f t="shared" si="12"/>
        <v xml:space="preserve"> </v>
      </c>
      <c r="S113" s="35" t="str">
        <f t="shared" si="13"/>
        <v xml:space="preserve"> </v>
      </c>
      <c r="T113" s="36" t="str">
        <f t="shared" si="14"/>
        <v xml:space="preserve"> </v>
      </c>
      <c r="U113" s="34" t="str">
        <f t="shared" si="15"/>
        <v/>
      </c>
      <c r="V113" s="34" t="str">
        <f t="shared" si="16"/>
        <v/>
      </c>
      <c r="W113" s="165" t="str" cm="1">
        <f t="array" ref="W113">IF(AND(L113:N113 &gt;= D113+F113, L113:N113 &lt;= D113+E113), "OK", "NG")</f>
        <v>NG</v>
      </c>
    </row>
    <row r="114" spans="1:23" ht="18" customHeight="1">
      <c r="A114" s="32"/>
      <c r="B114" s="101" t="s">
        <v>222</v>
      </c>
      <c r="C114" s="102" t="s">
        <v>45</v>
      </c>
      <c r="D114" s="103">
        <v>2.2429999999999999</v>
      </c>
      <c r="E114" s="103">
        <v>0.03</v>
      </c>
      <c r="F114" s="103">
        <v>-0.03</v>
      </c>
      <c r="G114" s="154">
        <v>2.2685</v>
      </c>
      <c r="H114" s="154">
        <v>2.2174999999999998</v>
      </c>
      <c r="I114" s="154"/>
      <c r="J114" s="154"/>
      <c r="K114" s="102" t="s">
        <v>46</v>
      </c>
      <c r="L114" s="131"/>
      <c r="M114" s="131"/>
      <c r="N114" s="131"/>
      <c r="O114" s="33" t="str">
        <f t="shared" si="9"/>
        <v xml:space="preserve"> </v>
      </c>
      <c r="P114" s="33" t="str">
        <f t="shared" si="10"/>
        <v xml:space="preserve"> </v>
      </c>
      <c r="Q114" s="33" t="str">
        <f t="shared" si="11"/>
        <v xml:space="preserve"> </v>
      </c>
      <c r="R114" s="34" t="str">
        <f t="shared" si="12"/>
        <v xml:space="preserve"> </v>
      </c>
      <c r="S114" s="35" t="str">
        <f t="shared" si="13"/>
        <v xml:space="preserve"> </v>
      </c>
      <c r="T114" s="36" t="str">
        <f t="shared" si="14"/>
        <v xml:space="preserve"> </v>
      </c>
      <c r="U114" s="34" t="str">
        <f t="shared" si="15"/>
        <v/>
      </c>
      <c r="V114" s="34" t="str">
        <f t="shared" si="16"/>
        <v/>
      </c>
      <c r="W114" s="165" t="str" cm="1">
        <f t="array" ref="W114">IF(AND(L114:N114 &gt;= D114+F114, L114:N114 &lt;= D114+E114), "OK", "NG")</f>
        <v>NG</v>
      </c>
    </row>
    <row r="115" spans="1:23" ht="18" customHeight="1">
      <c r="A115" s="32"/>
      <c r="B115" s="101" t="s">
        <v>223</v>
      </c>
      <c r="C115" s="102" t="s">
        <v>45</v>
      </c>
      <c r="D115" s="103">
        <v>2.2429999999999999</v>
      </c>
      <c r="E115" s="103">
        <v>0.03</v>
      </c>
      <c r="F115" s="103">
        <v>-0.03</v>
      </c>
      <c r="G115" s="154">
        <v>2.2685</v>
      </c>
      <c r="H115" s="154">
        <v>2.2174999999999998</v>
      </c>
      <c r="I115" s="154"/>
      <c r="J115" s="154"/>
      <c r="K115" s="102" t="s">
        <v>46</v>
      </c>
      <c r="L115" s="131"/>
      <c r="M115" s="131"/>
      <c r="N115" s="131"/>
      <c r="O115" s="33" t="str">
        <f t="shared" si="9"/>
        <v xml:space="preserve"> </v>
      </c>
      <c r="P115" s="33" t="str">
        <f t="shared" si="10"/>
        <v xml:space="preserve"> </v>
      </c>
      <c r="Q115" s="33" t="str">
        <f t="shared" si="11"/>
        <v xml:space="preserve"> </v>
      </c>
      <c r="R115" s="34" t="str">
        <f t="shared" si="12"/>
        <v xml:space="preserve"> </v>
      </c>
      <c r="S115" s="35" t="str">
        <f t="shared" si="13"/>
        <v xml:space="preserve"> </v>
      </c>
      <c r="T115" s="36" t="str">
        <f t="shared" si="14"/>
        <v xml:space="preserve"> </v>
      </c>
      <c r="U115" s="34" t="str">
        <f t="shared" si="15"/>
        <v/>
      </c>
      <c r="V115" s="34" t="str">
        <f t="shared" si="16"/>
        <v/>
      </c>
      <c r="W115" s="165" t="str" cm="1">
        <f t="array" ref="W115">IF(AND(L115:N115 &gt;= D115+F115, L115:N115 &lt;= D115+E115), "OK", "NG")</f>
        <v>NG</v>
      </c>
    </row>
    <row r="116" spans="1:23" ht="18" customHeight="1">
      <c r="A116" s="32"/>
      <c r="B116" s="101">
        <v>76</v>
      </c>
      <c r="C116" s="102" t="s">
        <v>45</v>
      </c>
      <c r="D116" s="103">
        <v>3.5779999999999998</v>
      </c>
      <c r="E116" s="103">
        <v>0.03</v>
      </c>
      <c r="F116" s="103">
        <v>-0.03</v>
      </c>
      <c r="G116" s="154">
        <v>3.6034999999999999</v>
      </c>
      <c r="H116" s="154">
        <v>3.5524999999999998</v>
      </c>
      <c r="I116" s="154"/>
      <c r="J116" s="154"/>
      <c r="K116" s="102" t="s">
        <v>46</v>
      </c>
      <c r="L116" s="131"/>
      <c r="M116" s="131"/>
      <c r="N116" s="131"/>
      <c r="O116" s="33" t="str">
        <f t="shared" si="9"/>
        <v xml:space="preserve"> </v>
      </c>
      <c r="P116" s="33" t="str">
        <f t="shared" si="10"/>
        <v xml:space="preserve"> </v>
      </c>
      <c r="Q116" s="33" t="str">
        <f t="shared" si="11"/>
        <v xml:space="preserve"> </v>
      </c>
      <c r="R116" s="34" t="str">
        <f t="shared" si="12"/>
        <v xml:space="preserve"> </v>
      </c>
      <c r="S116" s="35" t="str">
        <f t="shared" si="13"/>
        <v xml:space="preserve"> </v>
      </c>
      <c r="T116" s="36" t="str">
        <f t="shared" si="14"/>
        <v xml:space="preserve"> </v>
      </c>
      <c r="U116" s="34" t="str">
        <f t="shared" si="15"/>
        <v/>
      </c>
      <c r="V116" s="34" t="str">
        <f t="shared" si="16"/>
        <v/>
      </c>
      <c r="W116" s="165" t="str" cm="1">
        <f t="array" ref="W116">IF(AND(L116:N116 &gt;= D116+F116, L116:N116 &lt;= D116+E116), "OK", "NG")</f>
        <v>NG</v>
      </c>
    </row>
    <row r="117" spans="1:23" ht="18" customHeight="1">
      <c r="A117" s="32"/>
      <c r="B117" s="101" t="s">
        <v>224</v>
      </c>
      <c r="C117" s="102" t="s">
        <v>45</v>
      </c>
      <c r="D117" s="103">
        <v>16.434000000000001</v>
      </c>
      <c r="E117" s="103">
        <v>0.03</v>
      </c>
      <c r="F117" s="103">
        <v>-0.03</v>
      </c>
      <c r="G117" s="154">
        <v>16.459500000000002</v>
      </c>
      <c r="H117" s="154">
        <v>16.4085</v>
      </c>
      <c r="I117" s="154"/>
      <c r="J117" s="154"/>
      <c r="K117" s="102" t="s">
        <v>46</v>
      </c>
      <c r="L117" s="131"/>
      <c r="M117" s="131"/>
      <c r="N117" s="131"/>
      <c r="O117" s="33" t="str">
        <f t="shared" si="9"/>
        <v xml:space="preserve"> </v>
      </c>
      <c r="P117" s="33" t="str">
        <f t="shared" si="10"/>
        <v xml:space="preserve"> </v>
      </c>
      <c r="Q117" s="33" t="str">
        <f t="shared" si="11"/>
        <v xml:space="preserve"> </v>
      </c>
      <c r="R117" s="34" t="str">
        <f t="shared" si="12"/>
        <v xml:space="preserve"> </v>
      </c>
      <c r="S117" s="35" t="str">
        <f t="shared" si="13"/>
        <v xml:space="preserve"> </v>
      </c>
      <c r="T117" s="36" t="str">
        <f t="shared" si="14"/>
        <v xml:space="preserve"> </v>
      </c>
      <c r="U117" s="34" t="str">
        <f t="shared" si="15"/>
        <v/>
      </c>
      <c r="V117" s="34" t="str">
        <f t="shared" si="16"/>
        <v/>
      </c>
      <c r="W117" s="165" t="str" cm="1">
        <f t="array" ref="W117">IF(AND(L117:N117 &gt;= D117+F117, L117:N117 &lt;= D117+E117), "OK", "NG")</f>
        <v>NG</v>
      </c>
    </row>
    <row r="118" spans="1:23" ht="18" customHeight="1">
      <c r="A118" s="32"/>
      <c r="B118" s="133" t="s">
        <v>305</v>
      </c>
      <c r="C118" s="102" t="s">
        <v>45</v>
      </c>
      <c r="D118" s="103">
        <v>24.367000000000001</v>
      </c>
      <c r="E118" s="103">
        <v>0.03</v>
      </c>
      <c r="F118" s="103">
        <v>-0.05</v>
      </c>
      <c r="G118" s="154">
        <v>24.392500000000002</v>
      </c>
      <c r="H118" s="154">
        <v>24.3245</v>
      </c>
      <c r="I118" s="154"/>
      <c r="J118" s="154"/>
      <c r="K118" s="102" t="s">
        <v>46</v>
      </c>
      <c r="L118" s="131"/>
      <c r="M118" s="131"/>
      <c r="N118" s="131"/>
      <c r="O118" s="33" t="str">
        <f t="shared" si="9"/>
        <v xml:space="preserve"> </v>
      </c>
      <c r="P118" s="33" t="str">
        <f t="shared" si="10"/>
        <v xml:space="preserve"> </v>
      </c>
      <c r="Q118" s="33" t="str">
        <f t="shared" si="11"/>
        <v xml:space="preserve"> </v>
      </c>
      <c r="R118" s="34" t="str">
        <f t="shared" si="12"/>
        <v xml:space="preserve"> </v>
      </c>
      <c r="S118" s="35" t="str">
        <f t="shared" si="13"/>
        <v xml:space="preserve"> </v>
      </c>
      <c r="T118" s="36" t="str">
        <f t="shared" si="14"/>
        <v xml:space="preserve"> </v>
      </c>
      <c r="U118" s="34" t="str">
        <f t="shared" si="15"/>
        <v/>
      </c>
      <c r="V118" s="34" t="str">
        <f t="shared" si="16"/>
        <v/>
      </c>
      <c r="W118" s="165" t="str" cm="1">
        <f t="array" ref="W118">IF(AND(L118:N118 &gt;= D118+F118, L118:N118 &lt;= D118+E118), "OK", "NG")</f>
        <v>NG</v>
      </c>
    </row>
    <row r="119" spans="1:23" ht="18" customHeight="1">
      <c r="A119" s="32"/>
      <c r="B119" s="133" t="s">
        <v>304</v>
      </c>
      <c r="C119" s="102" t="s">
        <v>45</v>
      </c>
      <c r="D119" s="103">
        <v>24.367000000000001</v>
      </c>
      <c r="E119" s="103">
        <v>0.03</v>
      </c>
      <c r="F119" s="103">
        <v>-0.05</v>
      </c>
      <c r="G119" s="154">
        <v>24.392500000000002</v>
      </c>
      <c r="H119" s="154">
        <v>24.3245</v>
      </c>
      <c r="I119" s="154"/>
      <c r="J119" s="154"/>
      <c r="K119" s="102" t="s">
        <v>46</v>
      </c>
      <c r="L119" s="131"/>
      <c r="M119" s="131"/>
      <c r="N119" s="131"/>
      <c r="O119" s="33" t="str">
        <f t="shared" si="9"/>
        <v xml:space="preserve"> </v>
      </c>
      <c r="P119" s="33" t="str">
        <f t="shared" si="10"/>
        <v xml:space="preserve"> </v>
      </c>
      <c r="Q119" s="33" t="str">
        <f t="shared" si="11"/>
        <v xml:space="preserve"> </v>
      </c>
      <c r="R119" s="34" t="str">
        <f t="shared" si="12"/>
        <v xml:space="preserve"> </v>
      </c>
      <c r="S119" s="35" t="str">
        <f t="shared" si="13"/>
        <v xml:space="preserve"> </v>
      </c>
      <c r="T119" s="36" t="str">
        <f t="shared" si="14"/>
        <v xml:space="preserve"> </v>
      </c>
      <c r="U119" s="34" t="str">
        <f t="shared" si="15"/>
        <v/>
      </c>
      <c r="V119" s="34" t="str">
        <f t="shared" si="16"/>
        <v/>
      </c>
      <c r="W119" s="165" t="str" cm="1">
        <f t="array" ref="W119">IF(AND(L119:N119 &gt;= D119+F119, L119:N119 &lt;= D119+E119), "OK", "NG")</f>
        <v>NG</v>
      </c>
    </row>
    <row r="120" spans="1:23" ht="18" customHeight="1">
      <c r="A120" s="32"/>
      <c r="B120" s="101" t="s">
        <v>225</v>
      </c>
      <c r="C120" s="102" t="s">
        <v>45</v>
      </c>
      <c r="D120" s="103">
        <v>4.5609999999999999</v>
      </c>
      <c r="E120" s="103">
        <v>0.03</v>
      </c>
      <c r="F120" s="103">
        <v>-0.03</v>
      </c>
      <c r="G120" s="154">
        <v>4.5865</v>
      </c>
      <c r="H120" s="154">
        <v>4.5354999999999999</v>
      </c>
      <c r="I120" s="154"/>
      <c r="J120" s="154"/>
      <c r="K120" s="102" t="s">
        <v>46</v>
      </c>
      <c r="L120" s="131"/>
      <c r="M120" s="131"/>
      <c r="N120" s="131"/>
      <c r="O120" s="33" t="str">
        <f t="shared" si="9"/>
        <v xml:space="preserve"> </v>
      </c>
      <c r="P120" s="33" t="str">
        <f t="shared" si="10"/>
        <v xml:space="preserve"> </v>
      </c>
      <c r="Q120" s="33" t="str">
        <f t="shared" si="11"/>
        <v xml:space="preserve"> </v>
      </c>
      <c r="R120" s="34" t="str">
        <f t="shared" si="12"/>
        <v xml:space="preserve"> </v>
      </c>
      <c r="S120" s="35" t="str">
        <f t="shared" si="13"/>
        <v xml:space="preserve"> </v>
      </c>
      <c r="T120" s="36" t="str">
        <f t="shared" si="14"/>
        <v xml:space="preserve"> </v>
      </c>
      <c r="U120" s="34" t="str">
        <f t="shared" si="15"/>
        <v/>
      </c>
      <c r="V120" s="34" t="str">
        <f t="shared" si="16"/>
        <v/>
      </c>
      <c r="W120" s="165" t="str" cm="1">
        <f t="array" ref="W120">IF(AND(L120:N120 &gt;= D120+F120, L120:N120 &lt;= D120+E120), "OK", "NG")</f>
        <v>NG</v>
      </c>
    </row>
    <row r="121" spans="1:23" ht="18" customHeight="1">
      <c r="A121" s="32"/>
      <c r="B121" s="101" t="s">
        <v>226</v>
      </c>
      <c r="C121" s="102" t="s">
        <v>45</v>
      </c>
      <c r="D121" s="103">
        <v>4.5609999999999999</v>
      </c>
      <c r="E121" s="103">
        <v>0.03</v>
      </c>
      <c r="F121" s="103">
        <v>-0.03</v>
      </c>
      <c r="G121" s="154">
        <v>4.5865</v>
      </c>
      <c r="H121" s="154">
        <v>4.5354999999999999</v>
      </c>
      <c r="I121" s="154"/>
      <c r="J121" s="154"/>
      <c r="K121" s="102" t="s">
        <v>46</v>
      </c>
      <c r="L121" s="131"/>
      <c r="M121" s="131"/>
      <c r="N121" s="131"/>
      <c r="O121" s="33" t="str">
        <f t="shared" si="9"/>
        <v xml:space="preserve"> </v>
      </c>
      <c r="P121" s="33" t="str">
        <f t="shared" si="10"/>
        <v xml:space="preserve"> </v>
      </c>
      <c r="Q121" s="33" t="str">
        <f t="shared" si="11"/>
        <v xml:space="preserve"> </v>
      </c>
      <c r="R121" s="34" t="str">
        <f t="shared" si="12"/>
        <v xml:space="preserve"> </v>
      </c>
      <c r="S121" s="35" t="str">
        <f t="shared" si="13"/>
        <v xml:space="preserve"> </v>
      </c>
      <c r="T121" s="36" t="str">
        <f t="shared" si="14"/>
        <v xml:space="preserve"> </v>
      </c>
      <c r="U121" s="34" t="str">
        <f t="shared" si="15"/>
        <v/>
      </c>
      <c r="V121" s="34" t="str">
        <f t="shared" si="16"/>
        <v/>
      </c>
      <c r="W121" s="165" t="str" cm="1">
        <f t="array" ref="W121">IF(AND(L121:N121 &gt;= D121+F121, L121:N121 &lt;= D121+E121), "OK", "NG")</f>
        <v>NG</v>
      </c>
    </row>
    <row r="122" spans="1:23" ht="18" customHeight="1">
      <c r="A122" s="32"/>
      <c r="B122" s="101" t="s">
        <v>227</v>
      </c>
      <c r="C122" s="102" t="s">
        <v>45</v>
      </c>
      <c r="D122" s="103">
        <v>4.5609999999999999</v>
      </c>
      <c r="E122" s="103">
        <v>0.03</v>
      </c>
      <c r="F122" s="103">
        <v>-0.03</v>
      </c>
      <c r="G122" s="154">
        <v>4.5865</v>
      </c>
      <c r="H122" s="154">
        <v>4.5354999999999999</v>
      </c>
      <c r="I122" s="154"/>
      <c r="J122" s="154"/>
      <c r="K122" s="102" t="s">
        <v>46</v>
      </c>
      <c r="L122" s="131"/>
      <c r="M122" s="131"/>
      <c r="N122" s="131"/>
      <c r="O122" s="33" t="str">
        <f t="shared" si="9"/>
        <v xml:space="preserve"> </v>
      </c>
      <c r="P122" s="33" t="str">
        <f t="shared" si="10"/>
        <v xml:space="preserve"> </v>
      </c>
      <c r="Q122" s="33" t="str">
        <f t="shared" si="11"/>
        <v xml:space="preserve"> </v>
      </c>
      <c r="R122" s="34" t="str">
        <f t="shared" si="12"/>
        <v xml:space="preserve"> </v>
      </c>
      <c r="S122" s="35" t="str">
        <f t="shared" si="13"/>
        <v xml:space="preserve"> </v>
      </c>
      <c r="T122" s="36" t="str">
        <f t="shared" si="14"/>
        <v xml:space="preserve"> </v>
      </c>
      <c r="U122" s="34" t="str">
        <f t="shared" si="15"/>
        <v/>
      </c>
      <c r="V122" s="34" t="str">
        <f t="shared" si="16"/>
        <v/>
      </c>
      <c r="W122" s="165" t="str" cm="1">
        <f t="array" ref="W122">IF(AND(L122:N122 &gt;= D122+F122, L122:N122 &lt;= D122+E122), "OK", "NG")</f>
        <v>NG</v>
      </c>
    </row>
    <row r="123" spans="1:23" ht="18" customHeight="1">
      <c r="A123" s="32"/>
      <c r="B123" s="101" t="s">
        <v>228</v>
      </c>
      <c r="C123" s="102" t="s">
        <v>45</v>
      </c>
      <c r="D123" s="103">
        <v>4.5609999999999999</v>
      </c>
      <c r="E123" s="103">
        <v>0.03</v>
      </c>
      <c r="F123" s="103">
        <v>-0.03</v>
      </c>
      <c r="G123" s="154">
        <v>4.5865</v>
      </c>
      <c r="H123" s="154">
        <v>4.5354999999999999</v>
      </c>
      <c r="I123" s="154"/>
      <c r="J123" s="154"/>
      <c r="K123" s="102" t="s">
        <v>46</v>
      </c>
      <c r="L123" s="131"/>
      <c r="M123" s="131"/>
      <c r="N123" s="131"/>
      <c r="O123" s="33" t="str">
        <f t="shared" si="9"/>
        <v xml:space="preserve"> </v>
      </c>
      <c r="P123" s="33" t="str">
        <f t="shared" si="10"/>
        <v xml:space="preserve"> </v>
      </c>
      <c r="Q123" s="33" t="str">
        <f t="shared" si="11"/>
        <v xml:space="preserve"> </v>
      </c>
      <c r="R123" s="34" t="str">
        <f t="shared" si="12"/>
        <v xml:space="preserve"> </v>
      </c>
      <c r="S123" s="35" t="str">
        <f t="shared" si="13"/>
        <v xml:space="preserve"> </v>
      </c>
      <c r="T123" s="36" t="str">
        <f t="shared" si="14"/>
        <v xml:space="preserve"> </v>
      </c>
      <c r="U123" s="34" t="str">
        <f t="shared" si="15"/>
        <v/>
      </c>
      <c r="V123" s="34" t="str">
        <f t="shared" si="16"/>
        <v/>
      </c>
      <c r="W123" s="165" t="str" cm="1">
        <f t="array" ref="W123">IF(AND(L123:N123 &gt;= D123+F123, L123:N123 &lt;= D123+E123), "OK", "NG")</f>
        <v>NG</v>
      </c>
    </row>
    <row r="124" spans="1:23" ht="18" customHeight="1">
      <c r="A124" s="32"/>
      <c r="B124" s="101" t="s">
        <v>229</v>
      </c>
      <c r="C124" s="102" t="s">
        <v>45</v>
      </c>
      <c r="D124" s="103">
        <v>4.5609999999999999</v>
      </c>
      <c r="E124" s="103">
        <v>0.03</v>
      </c>
      <c r="F124" s="103">
        <v>-0.03</v>
      </c>
      <c r="G124" s="154">
        <v>4.5865</v>
      </c>
      <c r="H124" s="154">
        <v>4.5354999999999999</v>
      </c>
      <c r="I124" s="154"/>
      <c r="J124" s="154"/>
      <c r="K124" s="102" t="s">
        <v>46</v>
      </c>
      <c r="L124" s="131"/>
      <c r="M124" s="131"/>
      <c r="N124" s="131"/>
      <c r="O124" s="33" t="str">
        <f t="shared" si="9"/>
        <v xml:space="preserve"> </v>
      </c>
      <c r="P124" s="33" t="str">
        <f t="shared" si="10"/>
        <v xml:space="preserve"> </v>
      </c>
      <c r="Q124" s="33" t="str">
        <f t="shared" si="11"/>
        <v xml:space="preserve"> </v>
      </c>
      <c r="R124" s="34" t="str">
        <f t="shared" si="12"/>
        <v xml:space="preserve"> </v>
      </c>
      <c r="S124" s="35" t="str">
        <f t="shared" si="13"/>
        <v xml:space="preserve"> </v>
      </c>
      <c r="T124" s="36" t="str">
        <f t="shared" si="14"/>
        <v xml:space="preserve"> </v>
      </c>
      <c r="U124" s="34" t="str">
        <f t="shared" si="15"/>
        <v/>
      </c>
      <c r="V124" s="34" t="str">
        <f t="shared" si="16"/>
        <v/>
      </c>
      <c r="W124" s="165" t="str" cm="1">
        <f t="array" ref="W124">IF(AND(L124:N124 &gt;= D124+F124, L124:N124 &lt;= D124+E124), "OK", "NG")</f>
        <v>NG</v>
      </c>
    </row>
    <row r="125" spans="1:23" ht="18" customHeight="1">
      <c r="A125" s="32"/>
      <c r="B125" s="101" t="s">
        <v>230</v>
      </c>
      <c r="C125" s="102" t="s">
        <v>45</v>
      </c>
      <c r="D125" s="103">
        <v>4.5609999999999999</v>
      </c>
      <c r="E125" s="103">
        <v>0.03</v>
      </c>
      <c r="F125" s="103">
        <v>-0.03</v>
      </c>
      <c r="G125" s="154">
        <v>4.5865</v>
      </c>
      <c r="H125" s="154">
        <v>4.5354999999999999</v>
      </c>
      <c r="I125" s="154"/>
      <c r="J125" s="154"/>
      <c r="K125" s="102" t="s">
        <v>46</v>
      </c>
      <c r="L125" s="131"/>
      <c r="M125" s="131"/>
      <c r="N125" s="131"/>
      <c r="O125" s="33" t="str">
        <f t="shared" si="9"/>
        <v xml:space="preserve"> </v>
      </c>
      <c r="P125" s="33" t="str">
        <f t="shared" si="10"/>
        <v xml:space="preserve"> </v>
      </c>
      <c r="Q125" s="33" t="str">
        <f t="shared" si="11"/>
        <v xml:space="preserve"> </v>
      </c>
      <c r="R125" s="34" t="str">
        <f t="shared" si="12"/>
        <v xml:space="preserve"> </v>
      </c>
      <c r="S125" s="35" t="str">
        <f t="shared" si="13"/>
        <v xml:space="preserve"> </v>
      </c>
      <c r="T125" s="36" t="str">
        <f t="shared" si="14"/>
        <v xml:space="preserve"> </v>
      </c>
      <c r="U125" s="34" t="str">
        <f t="shared" si="15"/>
        <v/>
      </c>
      <c r="V125" s="34" t="str">
        <f t="shared" si="16"/>
        <v/>
      </c>
      <c r="W125" s="165" t="str" cm="1">
        <f t="array" ref="W125">IF(AND(L125:N125 &gt;= D125+F125, L125:N125 &lt;= D125+E125), "OK", "NG")</f>
        <v>NG</v>
      </c>
    </row>
    <row r="126" spans="1:23" ht="18" customHeight="1">
      <c r="A126" s="32"/>
      <c r="B126" s="101" t="s">
        <v>231</v>
      </c>
      <c r="C126" s="102" t="s">
        <v>271</v>
      </c>
      <c r="D126" s="103">
        <v>0</v>
      </c>
      <c r="E126" s="103">
        <v>0.05</v>
      </c>
      <c r="F126" s="103">
        <v>0</v>
      </c>
      <c r="G126" s="154">
        <v>4.2500000000000003E-2</v>
      </c>
      <c r="H126" s="154">
        <v>0</v>
      </c>
      <c r="I126" s="154"/>
      <c r="J126" s="154"/>
      <c r="K126" s="102" t="s">
        <v>46</v>
      </c>
      <c r="L126" s="131"/>
      <c r="M126" s="131"/>
      <c r="N126" s="131"/>
      <c r="O126" s="33" t="str">
        <f t="shared" si="9"/>
        <v xml:space="preserve"> </v>
      </c>
      <c r="P126" s="33" t="str">
        <f t="shared" si="10"/>
        <v xml:space="preserve"> </v>
      </c>
      <c r="Q126" s="33" t="str">
        <f t="shared" si="11"/>
        <v xml:space="preserve"> </v>
      </c>
      <c r="R126" s="34" t="str">
        <f t="shared" si="12"/>
        <v xml:space="preserve"> </v>
      </c>
      <c r="S126" s="35" t="str">
        <f t="shared" si="13"/>
        <v xml:space="preserve"> </v>
      </c>
      <c r="T126" s="36" t="str">
        <f t="shared" si="14"/>
        <v xml:space="preserve"> </v>
      </c>
      <c r="U126" s="34" t="str">
        <f t="shared" si="15"/>
        <v/>
      </c>
      <c r="V126" s="34" t="str">
        <f t="shared" si="16"/>
        <v/>
      </c>
      <c r="W126" s="165" t="str" cm="1">
        <f t="array" ref="W126">IF(AND(L126:N126 &gt;= D126+F126, L126:N126 &lt;= D126+E126), "OK", "NG")</f>
        <v>OK</v>
      </c>
    </row>
    <row r="127" spans="1:23" ht="18" customHeight="1">
      <c r="A127" s="32"/>
      <c r="B127" s="101" t="s">
        <v>232</v>
      </c>
      <c r="C127" s="102" t="s">
        <v>45</v>
      </c>
      <c r="D127" s="103">
        <v>2.9279999999999999</v>
      </c>
      <c r="E127" s="103">
        <v>0.02</v>
      </c>
      <c r="F127" s="103">
        <v>-0.02</v>
      </c>
      <c r="G127" s="154">
        <v>2.9449999999999998</v>
      </c>
      <c r="H127" s="154">
        <v>2.911</v>
      </c>
      <c r="I127" s="154"/>
      <c r="J127" s="154"/>
      <c r="K127" s="102" t="s">
        <v>46</v>
      </c>
      <c r="L127" s="131"/>
      <c r="M127" s="131"/>
      <c r="N127" s="131"/>
      <c r="O127" s="33" t="str">
        <f t="shared" si="9"/>
        <v xml:space="preserve"> </v>
      </c>
      <c r="P127" s="33" t="str">
        <f t="shared" si="10"/>
        <v xml:space="preserve"> </v>
      </c>
      <c r="Q127" s="33" t="str">
        <f t="shared" si="11"/>
        <v xml:space="preserve"> </v>
      </c>
      <c r="R127" s="34" t="str">
        <f t="shared" si="12"/>
        <v xml:space="preserve"> </v>
      </c>
      <c r="S127" s="35" t="str">
        <f t="shared" si="13"/>
        <v xml:space="preserve"> </v>
      </c>
      <c r="T127" s="36" t="str">
        <f t="shared" si="14"/>
        <v xml:space="preserve"> </v>
      </c>
      <c r="U127" s="34" t="str">
        <f t="shared" si="15"/>
        <v/>
      </c>
      <c r="V127" s="34" t="str">
        <f t="shared" si="16"/>
        <v/>
      </c>
      <c r="W127" s="165" t="str" cm="1">
        <f t="array" ref="W127">IF(AND(L127:N127 &gt;= D127+F127, L127:N127 &lt;= D127+E127), "OK", "NG")</f>
        <v>NG</v>
      </c>
    </row>
    <row r="128" spans="1:23" ht="18" customHeight="1">
      <c r="A128" s="32"/>
      <c r="B128" s="101" t="s">
        <v>233</v>
      </c>
      <c r="C128" s="102" t="s">
        <v>45</v>
      </c>
      <c r="D128" s="103">
        <v>2.9279999999999999</v>
      </c>
      <c r="E128" s="103">
        <v>0.02</v>
      </c>
      <c r="F128" s="103">
        <v>-0.02</v>
      </c>
      <c r="G128" s="154">
        <v>2.9449999999999998</v>
      </c>
      <c r="H128" s="154">
        <v>2.911</v>
      </c>
      <c r="I128" s="154"/>
      <c r="J128" s="154"/>
      <c r="K128" s="102" t="s">
        <v>46</v>
      </c>
      <c r="L128" s="131"/>
      <c r="M128" s="131"/>
      <c r="N128" s="131"/>
      <c r="O128" s="33" t="str">
        <f t="shared" si="9"/>
        <v xml:space="preserve"> </v>
      </c>
      <c r="P128" s="33" t="str">
        <f t="shared" si="10"/>
        <v xml:space="preserve"> </v>
      </c>
      <c r="Q128" s="33" t="str">
        <f t="shared" si="11"/>
        <v xml:space="preserve"> </v>
      </c>
      <c r="R128" s="34" t="str">
        <f t="shared" si="12"/>
        <v xml:space="preserve"> </v>
      </c>
      <c r="S128" s="35" t="str">
        <f t="shared" si="13"/>
        <v xml:space="preserve"> </v>
      </c>
      <c r="T128" s="36" t="str">
        <f t="shared" si="14"/>
        <v xml:space="preserve"> </v>
      </c>
      <c r="U128" s="34" t="str">
        <f t="shared" si="15"/>
        <v/>
      </c>
      <c r="V128" s="34" t="str">
        <f t="shared" si="16"/>
        <v/>
      </c>
      <c r="W128" s="165" t="str" cm="1">
        <f t="array" ref="W128">IF(AND(L128:N128 &gt;= D128+F128, L128:N128 &lt;= D128+E128), "OK", "NG")</f>
        <v>NG</v>
      </c>
    </row>
    <row r="129" spans="1:23" ht="18" customHeight="1">
      <c r="A129" s="32"/>
      <c r="B129" s="101" t="s">
        <v>234</v>
      </c>
      <c r="C129" s="102" t="s">
        <v>45</v>
      </c>
      <c r="D129" s="103">
        <v>2.9279999999999999</v>
      </c>
      <c r="E129" s="103">
        <v>0.02</v>
      </c>
      <c r="F129" s="103">
        <v>-0.02</v>
      </c>
      <c r="G129" s="154">
        <v>2.9449999999999998</v>
      </c>
      <c r="H129" s="154">
        <v>2.911</v>
      </c>
      <c r="I129" s="154"/>
      <c r="J129" s="154"/>
      <c r="K129" s="102" t="s">
        <v>46</v>
      </c>
      <c r="L129" s="131"/>
      <c r="M129" s="131"/>
      <c r="N129" s="131"/>
      <c r="O129" s="33" t="str">
        <f t="shared" si="9"/>
        <v xml:space="preserve"> </v>
      </c>
      <c r="P129" s="33" t="str">
        <f t="shared" si="10"/>
        <v xml:space="preserve"> </v>
      </c>
      <c r="Q129" s="33" t="str">
        <f t="shared" si="11"/>
        <v xml:space="preserve"> </v>
      </c>
      <c r="R129" s="34" t="str">
        <f t="shared" si="12"/>
        <v xml:space="preserve"> </v>
      </c>
      <c r="S129" s="35" t="str">
        <f t="shared" si="13"/>
        <v xml:space="preserve"> </v>
      </c>
      <c r="T129" s="36" t="str">
        <f t="shared" si="14"/>
        <v xml:space="preserve"> </v>
      </c>
      <c r="U129" s="34" t="str">
        <f t="shared" si="15"/>
        <v/>
      </c>
      <c r="V129" s="34" t="str">
        <f t="shared" si="16"/>
        <v/>
      </c>
      <c r="W129" s="165" t="str" cm="1">
        <f t="array" ref="W129">IF(AND(L129:N129 &gt;= D129+F129, L129:N129 &lt;= D129+E129), "OK", "NG")</f>
        <v>NG</v>
      </c>
    </row>
    <row r="130" spans="1:23" ht="18" customHeight="1">
      <c r="A130" s="32"/>
      <c r="B130" s="101" t="s">
        <v>235</v>
      </c>
      <c r="C130" s="102" t="s">
        <v>45</v>
      </c>
      <c r="D130" s="103">
        <v>23.286000000000001</v>
      </c>
      <c r="E130" s="103">
        <v>0.03</v>
      </c>
      <c r="F130" s="103">
        <v>-0.03</v>
      </c>
      <c r="G130" s="154">
        <v>23.311500000000002</v>
      </c>
      <c r="H130" s="154">
        <v>23.2605</v>
      </c>
      <c r="I130" s="154"/>
      <c r="J130" s="154"/>
      <c r="K130" s="102" t="s">
        <v>46</v>
      </c>
      <c r="L130" s="131"/>
      <c r="M130" s="131"/>
      <c r="N130" s="131"/>
      <c r="O130" s="33" t="str">
        <f t="shared" si="9"/>
        <v xml:space="preserve"> </v>
      </c>
      <c r="P130" s="33" t="str">
        <f t="shared" si="10"/>
        <v xml:space="preserve"> </v>
      </c>
      <c r="Q130" s="33" t="str">
        <f t="shared" si="11"/>
        <v xml:space="preserve"> </v>
      </c>
      <c r="R130" s="34" t="str">
        <f t="shared" si="12"/>
        <v xml:space="preserve"> </v>
      </c>
      <c r="S130" s="35" t="str">
        <f t="shared" si="13"/>
        <v xml:space="preserve"> </v>
      </c>
      <c r="T130" s="36" t="str">
        <f t="shared" si="14"/>
        <v xml:space="preserve"> </v>
      </c>
      <c r="U130" s="34" t="str">
        <f t="shared" si="15"/>
        <v/>
      </c>
      <c r="V130" s="34" t="str">
        <f t="shared" si="16"/>
        <v/>
      </c>
      <c r="W130" s="165" t="str" cm="1">
        <f t="array" ref="W130">IF(AND(L130:N130 &gt;= D130+F130, L130:N130 &lt;= D130+E130), "OK", "NG")</f>
        <v>NG</v>
      </c>
    </row>
    <row r="131" spans="1:23" ht="18" customHeight="1">
      <c r="A131" s="32"/>
      <c r="B131" s="101" t="s">
        <v>236</v>
      </c>
      <c r="C131" s="102" t="s">
        <v>45</v>
      </c>
      <c r="D131" s="103">
        <v>23.286000000000001</v>
      </c>
      <c r="E131" s="103">
        <v>0.03</v>
      </c>
      <c r="F131" s="103">
        <v>-0.03</v>
      </c>
      <c r="G131" s="154">
        <v>23.311500000000002</v>
      </c>
      <c r="H131" s="154">
        <v>23.2605</v>
      </c>
      <c r="I131" s="154"/>
      <c r="J131" s="154"/>
      <c r="K131" s="102" t="s">
        <v>46</v>
      </c>
      <c r="L131" s="131"/>
      <c r="M131" s="131"/>
      <c r="N131" s="131"/>
      <c r="O131" s="33" t="str">
        <f t="shared" si="9"/>
        <v xml:space="preserve"> </v>
      </c>
      <c r="P131" s="33" t="str">
        <f t="shared" si="10"/>
        <v xml:space="preserve"> </v>
      </c>
      <c r="Q131" s="33" t="str">
        <f t="shared" si="11"/>
        <v xml:space="preserve"> </v>
      </c>
      <c r="R131" s="34" t="str">
        <f t="shared" si="12"/>
        <v xml:space="preserve"> </v>
      </c>
      <c r="S131" s="35" t="str">
        <f t="shared" si="13"/>
        <v xml:space="preserve"> </v>
      </c>
      <c r="T131" s="36" t="str">
        <f t="shared" si="14"/>
        <v xml:space="preserve"> </v>
      </c>
      <c r="U131" s="34" t="str">
        <f t="shared" si="15"/>
        <v/>
      </c>
      <c r="V131" s="34" t="str">
        <f t="shared" si="16"/>
        <v/>
      </c>
      <c r="W131" s="165" t="str" cm="1">
        <f t="array" ref="W131">IF(AND(L131:N131 &gt;= D131+F131, L131:N131 &lt;= D131+E131), "OK", "NG")</f>
        <v>NG</v>
      </c>
    </row>
    <row r="132" spans="1:23" ht="18" customHeight="1">
      <c r="A132" s="32"/>
      <c r="B132" s="134" t="s">
        <v>306</v>
      </c>
      <c r="C132" s="102" t="s">
        <v>45</v>
      </c>
      <c r="D132" s="103">
        <v>19.318999999999999</v>
      </c>
      <c r="E132" s="103">
        <v>0.03</v>
      </c>
      <c r="F132" s="103">
        <v>-0.03</v>
      </c>
      <c r="G132" s="154">
        <v>19.3445</v>
      </c>
      <c r="H132" s="154">
        <v>19.293499999999998</v>
      </c>
      <c r="I132" s="154"/>
      <c r="J132" s="154"/>
      <c r="K132" s="102" t="s">
        <v>46</v>
      </c>
      <c r="L132" s="131"/>
      <c r="M132" s="131"/>
      <c r="N132" s="131"/>
      <c r="O132" s="33" t="str">
        <f t="shared" si="9"/>
        <v xml:space="preserve"> </v>
      </c>
      <c r="P132" s="33" t="str">
        <f t="shared" si="10"/>
        <v xml:space="preserve"> </v>
      </c>
      <c r="Q132" s="33" t="str">
        <f t="shared" si="11"/>
        <v xml:space="preserve"> </v>
      </c>
      <c r="R132" s="34" t="str">
        <f t="shared" si="12"/>
        <v xml:space="preserve"> </v>
      </c>
      <c r="S132" s="35" t="str">
        <f t="shared" si="13"/>
        <v xml:space="preserve"> </v>
      </c>
      <c r="T132" s="36" t="str">
        <f t="shared" si="14"/>
        <v xml:space="preserve"> </v>
      </c>
      <c r="U132" s="34" t="str">
        <f t="shared" si="15"/>
        <v/>
      </c>
      <c r="V132" s="34" t="str">
        <f t="shared" si="16"/>
        <v/>
      </c>
      <c r="W132" s="165" t="str" cm="1">
        <f t="array" ref="W132">IF(AND(L132:N132 &gt;= D132+F132, L132:N132 &lt;= D132+E132), "OK", "NG")</f>
        <v>NG</v>
      </c>
    </row>
    <row r="133" spans="1:23" ht="18" customHeight="1">
      <c r="A133" s="32"/>
      <c r="B133" s="133" t="s">
        <v>307</v>
      </c>
      <c r="C133" s="102" t="s">
        <v>45</v>
      </c>
      <c r="D133" s="103">
        <v>19.318999999999999</v>
      </c>
      <c r="E133" s="103">
        <v>0.03</v>
      </c>
      <c r="F133" s="103">
        <v>-0.03</v>
      </c>
      <c r="G133" s="154">
        <v>19.3445</v>
      </c>
      <c r="H133" s="154">
        <v>19.293499999999998</v>
      </c>
      <c r="I133" s="154"/>
      <c r="J133" s="154"/>
      <c r="K133" s="102" t="s">
        <v>46</v>
      </c>
      <c r="L133" s="131"/>
      <c r="M133" s="131"/>
      <c r="N133" s="131"/>
      <c r="O133" s="33" t="str">
        <f t="shared" si="9"/>
        <v xml:space="preserve"> </v>
      </c>
      <c r="P133" s="33" t="str">
        <f t="shared" si="10"/>
        <v xml:space="preserve"> </v>
      </c>
      <c r="Q133" s="33" t="str">
        <f t="shared" si="11"/>
        <v xml:space="preserve"> </v>
      </c>
      <c r="R133" s="34" t="str">
        <f t="shared" si="12"/>
        <v xml:space="preserve"> </v>
      </c>
      <c r="S133" s="35" t="str">
        <f t="shared" si="13"/>
        <v xml:space="preserve"> </v>
      </c>
      <c r="T133" s="36" t="str">
        <f t="shared" si="14"/>
        <v xml:space="preserve"> </v>
      </c>
      <c r="U133" s="34" t="str">
        <f t="shared" si="15"/>
        <v/>
      </c>
      <c r="V133" s="34" t="str">
        <f t="shared" si="16"/>
        <v/>
      </c>
      <c r="W133" s="165" t="str" cm="1">
        <f t="array" ref="W133">IF(AND(L133:N133 &gt;= D133+F133, L133:N133 &lt;= D133+E133), "OK", "NG")</f>
        <v>NG</v>
      </c>
    </row>
    <row r="134" spans="1:23" ht="18" customHeight="1">
      <c r="A134" s="32"/>
      <c r="B134" s="101" t="s">
        <v>237</v>
      </c>
      <c r="C134" s="102" t="s">
        <v>45</v>
      </c>
      <c r="D134" s="103">
        <v>0.04</v>
      </c>
      <c r="E134" s="103">
        <v>0.04</v>
      </c>
      <c r="F134" s="103">
        <v>-0.04</v>
      </c>
      <c r="G134" s="154">
        <v>7.400000000000001E-2</v>
      </c>
      <c r="H134" s="154">
        <v>5.9999999999999984E-3</v>
      </c>
      <c r="I134" s="154"/>
      <c r="J134" s="154"/>
      <c r="K134" s="102" t="s">
        <v>46</v>
      </c>
      <c r="L134" s="131"/>
      <c r="M134" s="131"/>
      <c r="N134" s="131"/>
      <c r="O134" s="33" t="str">
        <f t="shared" ref="O134:O197" si="17">IF(ISERR(L134/L134)=TRUE," ",L134-$D134)</f>
        <v xml:space="preserve"> </v>
      </c>
      <c r="P134" s="33" t="str">
        <f t="shared" ref="P134:P197" si="18">IF(ISERR(M134/M134)=TRUE," ",M134-$D134)</f>
        <v xml:space="preserve"> </v>
      </c>
      <c r="Q134" s="33" t="str">
        <f t="shared" ref="Q134:Q197" si="19">IF(ISERR(N134/N134)=TRUE," ",N134-$D134)</f>
        <v xml:space="preserve"> </v>
      </c>
      <c r="R134" s="34" t="str">
        <f t="shared" ref="R134:R197" si="20">IF(ISERR(L134/L134)=TRUE," ",AVERAGE(L134:N134))</f>
        <v xml:space="preserve"> </v>
      </c>
      <c r="S134" s="35" t="str">
        <f t="shared" ref="S134:S197" si="21">IF(ISERR(E134/E134)=TRUE," ",IF(ISERR(L134/L134)=TRUE," ",IF(ISNUMBER($L134)=FALSE," ",IF(MAX($L134:$N134)&lt;$D134,0,(MAX($L134:$N134)-$D134)/$E134))))</f>
        <v xml:space="preserve"> </v>
      </c>
      <c r="T134" s="36" t="str">
        <f t="shared" ref="T134:T197" si="22">IF(ISERR(F134/D134)=TRUE," ",IF(ISERR(F134/F134)=TRUE," ",IF(ISERR(L134/L134)=TRUE," ",IF(ISNUMBER(L134)=FALSE," ",IF(MIN(L134:N134)&gt;$D134,0,($D134-MIN(L134:N134))/-F134)))))</f>
        <v xml:space="preserve"> </v>
      </c>
      <c r="U134" s="34" t="str">
        <f t="shared" si="15"/>
        <v/>
      </c>
      <c r="V134" s="34" t="str">
        <f t="shared" si="16"/>
        <v/>
      </c>
      <c r="W134" s="165" t="str" cm="1">
        <f t="array" ref="W134">IF(AND(L134:N134 &gt;= D134+F134, L134:N134 &lt;= D134+E134), "OK", "NG")</f>
        <v>OK</v>
      </c>
    </row>
    <row r="135" spans="1:23" ht="18" customHeight="1">
      <c r="A135" s="32"/>
      <c r="B135" s="101" t="s">
        <v>238</v>
      </c>
      <c r="C135" s="102" t="s">
        <v>45</v>
      </c>
      <c r="D135" s="103">
        <v>0.04</v>
      </c>
      <c r="E135" s="103">
        <v>0.04</v>
      </c>
      <c r="F135" s="103">
        <v>-0.04</v>
      </c>
      <c r="G135" s="154">
        <v>7.400000000000001E-2</v>
      </c>
      <c r="H135" s="154">
        <v>5.9999999999999984E-3</v>
      </c>
      <c r="I135" s="154"/>
      <c r="J135" s="154"/>
      <c r="K135" s="102" t="s">
        <v>46</v>
      </c>
      <c r="L135" s="131"/>
      <c r="M135" s="131"/>
      <c r="N135" s="131"/>
      <c r="O135" s="33" t="str">
        <f t="shared" si="17"/>
        <v xml:space="preserve"> </v>
      </c>
      <c r="P135" s="33" t="str">
        <f t="shared" si="18"/>
        <v xml:space="preserve"> </v>
      </c>
      <c r="Q135" s="33" t="str">
        <f t="shared" si="19"/>
        <v xml:space="preserve"> </v>
      </c>
      <c r="R135" s="34" t="str">
        <f t="shared" si="20"/>
        <v xml:space="preserve"> </v>
      </c>
      <c r="S135" s="35" t="str">
        <f t="shared" si="21"/>
        <v xml:space="preserve"> </v>
      </c>
      <c r="T135" s="36" t="str">
        <f t="shared" si="22"/>
        <v xml:space="preserve"> </v>
      </c>
      <c r="U135" s="34" t="str">
        <f t="shared" si="15"/>
        <v/>
      </c>
      <c r="V135" s="34" t="str">
        <f t="shared" si="16"/>
        <v/>
      </c>
      <c r="W135" s="165" t="str" cm="1">
        <f t="array" ref="W135">IF(AND(L135:N135 &gt;= D135+F135, L135:N135 &lt;= D135+E135), "OK", "NG")</f>
        <v>OK</v>
      </c>
    </row>
    <row r="136" spans="1:23" ht="18" customHeight="1">
      <c r="A136" s="32"/>
      <c r="B136" s="101" t="s">
        <v>239</v>
      </c>
      <c r="C136" s="102" t="s">
        <v>45</v>
      </c>
      <c r="D136" s="103">
        <v>0.04</v>
      </c>
      <c r="E136" s="103">
        <v>0.04</v>
      </c>
      <c r="F136" s="103">
        <v>-0.04</v>
      </c>
      <c r="G136" s="154">
        <v>7.400000000000001E-2</v>
      </c>
      <c r="H136" s="154">
        <v>5.9999999999999984E-3</v>
      </c>
      <c r="I136" s="154"/>
      <c r="J136" s="154"/>
      <c r="K136" s="102" t="s">
        <v>46</v>
      </c>
      <c r="L136" s="131"/>
      <c r="M136" s="131"/>
      <c r="N136" s="131"/>
      <c r="O136" s="33" t="str">
        <f t="shared" si="17"/>
        <v xml:space="preserve"> </v>
      </c>
      <c r="P136" s="33" t="str">
        <f t="shared" si="18"/>
        <v xml:space="preserve"> </v>
      </c>
      <c r="Q136" s="33" t="str">
        <f t="shared" si="19"/>
        <v xml:space="preserve"> </v>
      </c>
      <c r="R136" s="34" t="str">
        <f t="shared" si="20"/>
        <v xml:space="preserve"> </v>
      </c>
      <c r="S136" s="35" t="str">
        <f t="shared" si="21"/>
        <v xml:space="preserve"> </v>
      </c>
      <c r="T136" s="36" t="str">
        <f t="shared" si="22"/>
        <v xml:space="preserve"> </v>
      </c>
      <c r="U136" s="34" t="str">
        <f t="shared" ref="U136:U211" si="23">IF(ISNUMBER($S136)=TRUE,IF($S136&gt;0.651,IF($S136&gt;1.001,"Reject","Alert"),""),"")</f>
        <v/>
      </c>
      <c r="V136" s="34" t="str">
        <f t="shared" si="16"/>
        <v/>
      </c>
      <c r="W136" s="165" t="str" cm="1">
        <f t="array" ref="W136">IF(AND(L136:N136 &gt;= D136+F136, L136:N136 &lt;= D136+E136), "OK", "NG")</f>
        <v>OK</v>
      </c>
    </row>
    <row r="137" spans="1:23" ht="18" customHeight="1">
      <c r="A137" s="32"/>
      <c r="B137" s="101" t="s">
        <v>240</v>
      </c>
      <c r="C137" s="102" t="s">
        <v>45</v>
      </c>
      <c r="D137" s="103">
        <v>0.04</v>
      </c>
      <c r="E137" s="103">
        <v>0.04</v>
      </c>
      <c r="F137" s="103">
        <v>-0.04</v>
      </c>
      <c r="G137" s="154">
        <v>7.400000000000001E-2</v>
      </c>
      <c r="H137" s="154">
        <v>5.9999999999999984E-3</v>
      </c>
      <c r="I137" s="154"/>
      <c r="J137" s="154"/>
      <c r="K137" s="102" t="s">
        <v>46</v>
      </c>
      <c r="L137" s="131"/>
      <c r="M137" s="131"/>
      <c r="N137" s="131"/>
      <c r="O137" s="33" t="str">
        <f t="shared" si="17"/>
        <v xml:space="preserve"> </v>
      </c>
      <c r="P137" s="33" t="str">
        <f t="shared" si="18"/>
        <v xml:space="preserve"> </v>
      </c>
      <c r="Q137" s="33" t="str">
        <f t="shared" si="19"/>
        <v xml:space="preserve"> </v>
      </c>
      <c r="R137" s="34" t="str">
        <f t="shared" si="20"/>
        <v xml:space="preserve"> </v>
      </c>
      <c r="S137" s="35" t="str">
        <f t="shared" si="21"/>
        <v xml:space="preserve"> </v>
      </c>
      <c r="T137" s="36" t="str">
        <f t="shared" si="22"/>
        <v xml:space="preserve"> </v>
      </c>
      <c r="U137" s="34" t="str">
        <f t="shared" si="23"/>
        <v/>
      </c>
      <c r="V137" s="34" t="str">
        <f t="shared" si="16"/>
        <v/>
      </c>
      <c r="W137" s="165" t="str" cm="1">
        <f t="array" ref="W137">IF(AND(L137:N137 &gt;= D137+F137, L137:N137 &lt;= D137+E137), "OK", "NG")</f>
        <v>OK</v>
      </c>
    </row>
    <row r="138" spans="1:23" ht="18" customHeight="1">
      <c r="A138" s="32"/>
      <c r="B138" s="101" t="s">
        <v>241</v>
      </c>
      <c r="C138" s="102" t="s">
        <v>45</v>
      </c>
      <c r="D138" s="103">
        <v>0.04</v>
      </c>
      <c r="E138" s="103">
        <v>0.04</v>
      </c>
      <c r="F138" s="103">
        <v>-0.04</v>
      </c>
      <c r="G138" s="154">
        <v>7.400000000000001E-2</v>
      </c>
      <c r="H138" s="154">
        <v>5.9999999999999984E-3</v>
      </c>
      <c r="I138" s="154"/>
      <c r="J138" s="154"/>
      <c r="K138" s="102" t="s">
        <v>46</v>
      </c>
      <c r="L138" s="131"/>
      <c r="M138" s="131"/>
      <c r="N138" s="131"/>
      <c r="O138" s="33" t="str">
        <f t="shared" si="17"/>
        <v xml:space="preserve"> </v>
      </c>
      <c r="P138" s="33" t="str">
        <f t="shared" si="18"/>
        <v xml:space="preserve"> </v>
      </c>
      <c r="Q138" s="33" t="str">
        <f t="shared" si="19"/>
        <v xml:space="preserve"> </v>
      </c>
      <c r="R138" s="34" t="str">
        <f t="shared" si="20"/>
        <v xml:space="preserve"> </v>
      </c>
      <c r="S138" s="35" t="str">
        <f t="shared" si="21"/>
        <v xml:space="preserve"> </v>
      </c>
      <c r="T138" s="36" t="str">
        <f t="shared" si="22"/>
        <v xml:space="preserve"> </v>
      </c>
      <c r="U138" s="34" t="str">
        <f t="shared" si="23"/>
        <v/>
      </c>
      <c r="V138" s="34" t="str">
        <f t="shared" si="16"/>
        <v/>
      </c>
      <c r="W138" s="165" t="str" cm="1">
        <f t="array" ref="W138">IF(AND(L138:N138 &gt;= D138+F138, L138:N138 &lt;= D138+E138), "OK", "NG")</f>
        <v>OK</v>
      </c>
    </row>
    <row r="139" spans="1:23" ht="18" customHeight="1">
      <c r="A139" s="32"/>
      <c r="B139" s="101" t="s">
        <v>242</v>
      </c>
      <c r="C139" s="102" t="s">
        <v>45</v>
      </c>
      <c r="D139" s="103">
        <v>0.04</v>
      </c>
      <c r="E139" s="103">
        <v>0.04</v>
      </c>
      <c r="F139" s="103">
        <v>-0.04</v>
      </c>
      <c r="G139" s="154">
        <v>7.400000000000001E-2</v>
      </c>
      <c r="H139" s="154">
        <v>5.9999999999999984E-3</v>
      </c>
      <c r="I139" s="154"/>
      <c r="J139" s="154"/>
      <c r="K139" s="102" t="s">
        <v>46</v>
      </c>
      <c r="L139" s="131"/>
      <c r="M139" s="131"/>
      <c r="N139" s="131"/>
      <c r="O139" s="33" t="str">
        <f t="shared" si="17"/>
        <v xml:space="preserve"> </v>
      </c>
      <c r="P139" s="33" t="str">
        <f t="shared" si="18"/>
        <v xml:space="preserve"> </v>
      </c>
      <c r="Q139" s="33" t="str">
        <f t="shared" si="19"/>
        <v xml:space="preserve"> </v>
      </c>
      <c r="R139" s="34" t="str">
        <f t="shared" si="20"/>
        <v xml:space="preserve"> </v>
      </c>
      <c r="S139" s="35" t="str">
        <f t="shared" si="21"/>
        <v xml:space="preserve"> </v>
      </c>
      <c r="T139" s="36" t="str">
        <f t="shared" si="22"/>
        <v xml:space="preserve"> </v>
      </c>
      <c r="U139" s="34" t="str">
        <f t="shared" si="23"/>
        <v/>
      </c>
      <c r="V139" s="34" t="str">
        <f t="shared" si="16"/>
        <v/>
      </c>
      <c r="W139" s="165" t="str" cm="1">
        <f t="array" ref="W139">IF(AND(L139:N139 &gt;= D139+F139, L139:N139 &lt;= D139+E139), "OK", "NG")</f>
        <v>OK</v>
      </c>
    </row>
    <row r="140" spans="1:23" ht="18" customHeight="1">
      <c r="A140" s="32"/>
      <c r="B140" s="101" t="s">
        <v>308</v>
      </c>
      <c r="C140" s="102" t="s">
        <v>45</v>
      </c>
      <c r="D140" s="103">
        <v>0.04</v>
      </c>
      <c r="E140" s="103">
        <v>0.04</v>
      </c>
      <c r="F140" s="103">
        <v>-0.04</v>
      </c>
      <c r="G140" s="154">
        <v>7.400000000000001E-2</v>
      </c>
      <c r="H140" s="154">
        <v>5.9999999999999984E-3</v>
      </c>
      <c r="I140" s="154"/>
      <c r="J140" s="154"/>
      <c r="K140" s="102" t="s">
        <v>46</v>
      </c>
      <c r="L140" s="131"/>
      <c r="M140" s="131"/>
      <c r="N140" s="131"/>
      <c r="O140" s="33" t="str">
        <f t="shared" si="17"/>
        <v xml:space="preserve"> </v>
      </c>
      <c r="P140" s="33" t="str">
        <f t="shared" si="18"/>
        <v xml:space="preserve"> </v>
      </c>
      <c r="Q140" s="33" t="str">
        <f t="shared" si="19"/>
        <v xml:space="preserve"> </v>
      </c>
      <c r="R140" s="34" t="str">
        <f t="shared" si="20"/>
        <v xml:space="preserve"> </v>
      </c>
      <c r="S140" s="35" t="str">
        <f t="shared" si="21"/>
        <v xml:space="preserve"> </v>
      </c>
      <c r="T140" s="36" t="str">
        <f t="shared" si="22"/>
        <v xml:space="preserve"> </v>
      </c>
      <c r="U140" s="34" t="str">
        <f t="shared" si="23"/>
        <v/>
      </c>
      <c r="V140" s="34" t="str">
        <f t="shared" si="16"/>
        <v/>
      </c>
      <c r="W140" s="165" t="str" cm="1">
        <f t="array" ref="W140">IF(AND(L140:N140 &gt;= D140+F140, L140:N140 &lt;= D140+E140), "OK", "NG")</f>
        <v>OK</v>
      </c>
    </row>
    <row r="141" spans="1:23" ht="18" customHeight="1">
      <c r="A141" s="32"/>
      <c r="B141" s="101" t="s">
        <v>309</v>
      </c>
      <c r="C141" s="102" t="s">
        <v>45</v>
      </c>
      <c r="D141" s="103">
        <v>0.04</v>
      </c>
      <c r="E141" s="103">
        <v>0.04</v>
      </c>
      <c r="F141" s="103">
        <v>-0.04</v>
      </c>
      <c r="G141" s="154">
        <v>7.400000000000001E-2</v>
      </c>
      <c r="H141" s="154">
        <v>5.9999999999999984E-3</v>
      </c>
      <c r="I141" s="154"/>
      <c r="J141" s="154"/>
      <c r="K141" s="102" t="s">
        <v>46</v>
      </c>
      <c r="L141" s="131"/>
      <c r="M141" s="131"/>
      <c r="N141" s="131"/>
      <c r="O141" s="33" t="str">
        <f t="shared" si="17"/>
        <v xml:space="preserve"> </v>
      </c>
      <c r="P141" s="33" t="str">
        <f t="shared" si="18"/>
        <v xml:space="preserve"> </v>
      </c>
      <c r="Q141" s="33" t="str">
        <f t="shared" si="19"/>
        <v xml:space="preserve"> </v>
      </c>
      <c r="R141" s="34" t="str">
        <f t="shared" si="20"/>
        <v xml:space="preserve"> </v>
      </c>
      <c r="S141" s="35" t="str">
        <f t="shared" si="21"/>
        <v xml:space="preserve"> </v>
      </c>
      <c r="T141" s="36" t="str">
        <f t="shared" si="22"/>
        <v xml:space="preserve"> </v>
      </c>
      <c r="U141" s="34" t="str">
        <f t="shared" si="23"/>
        <v/>
      </c>
      <c r="V141" s="34" t="str">
        <f t="shared" si="16"/>
        <v/>
      </c>
      <c r="W141" s="165" t="str" cm="1">
        <f t="array" ref="W141">IF(AND(L141:N141 &gt;= D141+F141, L141:N141 &lt;= D141+E141), "OK", "NG")</f>
        <v>OK</v>
      </c>
    </row>
    <row r="142" spans="1:23" ht="18" customHeight="1">
      <c r="A142" s="32"/>
      <c r="B142" s="101" t="s">
        <v>310</v>
      </c>
      <c r="C142" s="102" t="s">
        <v>45</v>
      </c>
      <c r="D142" s="103">
        <v>0.04</v>
      </c>
      <c r="E142" s="103">
        <v>0.04</v>
      </c>
      <c r="F142" s="103">
        <v>-0.04</v>
      </c>
      <c r="G142" s="154">
        <v>7.400000000000001E-2</v>
      </c>
      <c r="H142" s="154">
        <v>5.9999999999999984E-3</v>
      </c>
      <c r="I142" s="154"/>
      <c r="J142" s="154"/>
      <c r="K142" s="102" t="s">
        <v>46</v>
      </c>
      <c r="L142" s="131"/>
      <c r="M142" s="131"/>
      <c r="N142" s="131"/>
      <c r="O142" s="33" t="str">
        <f t="shared" si="17"/>
        <v xml:space="preserve"> </v>
      </c>
      <c r="P142" s="33" t="str">
        <f t="shared" si="18"/>
        <v xml:space="preserve"> </v>
      </c>
      <c r="Q142" s="33" t="str">
        <f t="shared" si="19"/>
        <v xml:space="preserve"> </v>
      </c>
      <c r="R142" s="34" t="str">
        <f t="shared" si="20"/>
        <v xml:space="preserve"> </v>
      </c>
      <c r="S142" s="35" t="str">
        <f t="shared" si="21"/>
        <v xml:space="preserve"> </v>
      </c>
      <c r="T142" s="36" t="str">
        <f t="shared" si="22"/>
        <v xml:space="preserve"> </v>
      </c>
      <c r="U142" s="34" t="str">
        <f t="shared" si="23"/>
        <v/>
      </c>
      <c r="V142" s="34" t="str">
        <f t="shared" si="16"/>
        <v/>
      </c>
      <c r="W142" s="165" t="str" cm="1">
        <f t="array" ref="W142">IF(AND(L142:N142 &gt;= D142+F142, L142:N142 &lt;= D142+E142), "OK", "NG")</f>
        <v>OK</v>
      </c>
    </row>
    <row r="143" spans="1:23" ht="18" customHeight="1">
      <c r="A143" s="32"/>
      <c r="B143" s="101" t="s">
        <v>311</v>
      </c>
      <c r="C143" s="102" t="s">
        <v>45</v>
      </c>
      <c r="D143" s="103">
        <v>0.04</v>
      </c>
      <c r="E143" s="103">
        <v>0.04</v>
      </c>
      <c r="F143" s="103">
        <v>-0.04</v>
      </c>
      <c r="G143" s="154">
        <v>7.400000000000001E-2</v>
      </c>
      <c r="H143" s="154">
        <v>5.9999999999999984E-3</v>
      </c>
      <c r="I143" s="154"/>
      <c r="J143" s="154"/>
      <c r="K143" s="102" t="s">
        <v>46</v>
      </c>
      <c r="L143" s="131"/>
      <c r="M143" s="131"/>
      <c r="N143" s="131"/>
      <c r="O143" s="33" t="str">
        <f t="shared" si="17"/>
        <v xml:space="preserve"> </v>
      </c>
      <c r="P143" s="33" t="str">
        <f t="shared" si="18"/>
        <v xml:space="preserve"> </v>
      </c>
      <c r="Q143" s="33" t="str">
        <f t="shared" si="19"/>
        <v xml:space="preserve"> </v>
      </c>
      <c r="R143" s="34" t="str">
        <f t="shared" si="20"/>
        <v xml:space="preserve"> </v>
      </c>
      <c r="S143" s="35" t="str">
        <f t="shared" si="21"/>
        <v xml:space="preserve"> </v>
      </c>
      <c r="T143" s="36" t="str">
        <f t="shared" si="22"/>
        <v xml:space="preserve"> </v>
      </c>
      <c r="U143" s="34" t="str">
        <f t="shared" si="23"/>
        <v/>
      </c>
      <c r="V143" s="34" t="str">
        <f t="shared" si="16"/>
        <v/>
      </c>
      <c r="W143" s="165" t="str" cm="1">
        <f t="array" ref="W143">IF(AND(L143:N143 &gt;= D143+F143, L143:N143 &lt;= D143+E143), "OK", "NG")</f>
        <v>OK</v>
      </c>
    </row>
    <row r="144" spans="1:23" ht="18" customHeight="1">
      <c r="A144" s="32"/>
      <c r="B144" s="101" t="s">
        <v>312</v>
      </c>
      <c r="C144" s="102" t="s">
        <v>45</v>
      </c>
      <c r="D144" s="103">
        <v>0.04</v>
      </c>
      <c r="E144" s="103">
        <v>0.04</v>
      </c>
      <c r="F144" s="103">
        <v>-0.04</v>
      </c>
      <c r="G144" s="154">
        <v>7.400000000000001E-2</v>
      </c>
      <c r="H144" s="154">
        <v>5.9999999999999984E-3</v>
      </c>
      <c r="I144" s="154"/>
      <c r="J144" s="154"/>
      <c r="K144" s="102" t="s">
        <v>46</v>
      </c>
      <c r="L144" s="131"/>
      <c r="M144" s="131"/>
      <c r="N144" s="131"/>
      <c r="O144" s="33" t="str">
        <f t="shared" si="17"/>
        <v xml:space="preserve"> </v>
      </c>
      <c r="P144" s="33" t="str">
        <f t="shared" si="18"/>
        <v xml:space="preserve"> </v>
      </c>
      <c r="Q144" s="33" t="str">
        <f t="shared" si="19"/>
        <v xml:space="preserve"> </v>
      </c>
      <c r="R144" s="34" t="str">
        <f t="shared" si="20"/>
        <v xml:space="preserve"> </v>
      </c>
      <c r="S144" s="35" t="str">
        <f t="shared" si="21"/>
        <v xml:space="preserve"> </v>
      </c>
      <c r="T144" s="36" t="str">
        <f t="shared" si="22"/>
        <v xml:space="preserve"> </v>
      </c>
      <c r="U144" s="34" t="str">
        <f t="shared" si="23"/>
        <v/>
      </c>
      <c r="V144" s="34" t="str">
        <f t="shared" si="16"/>
        <v/>
      </c>
      <c r="W144" s="165" t="str" cm="1">
        <f t="array" ref="W144">IF(AND(L144:N144 &gt;= D144+F144, L144:N144 &lt;= D144+E144), "OK", "NG")</f>
        <v>OK</v>
      </c>
    </row>
    <row r="145" spans="1:23" ht="18" customHeight="1">
      <c r="A145" s="32"/>
      <c r="B145" s="101" t="s">
        <v>313</v>
      </c>
      <c r="C145" s="102" t="s">
        <v>45</v>
      </c>
      <c r="D145" s="103">
        <v>0.04</v>
      </c>
      <c r="E145" s="103">
        <v>0.04</v>
      </c>
      <c r="F145" s="103">
        <v>-0.04</v>
      </c>
      <c r="G145" s="154">
        <v>7.400000000000001E-2</v>
      </c>
      <c r="H145" s="154">
        <v>5.9999999999999984E-3</v>
      </c>
      <c r="I145" s="154"/>
      <c r="J145" s="154"/>
      <c r="K145" s="102" t="s">
        <v>46</v>
      </c>
      <c r="L145" s="131"/>
      <c r="M145" s="131"/>
      <c r="N145" s="131"/>
      <c r="O145" s="33" t="str">
        <f t="shared" si="17"/>
        <v xml:space="preserve"> </v>
      </c>
      <c r="P145" s="33" t="str">
        <f t="shared" si="18"/>
        <v xml:space="preserve"> </v>
      </c>
      <c r="Q145" s="33" t="str">
        <f t="shared" si="19"/>
        <v xml:space="preserve"> </v>
      </c>
      <c r="R145" s="34" t="str">
        <f t="shared" si="20"/>
        <v xml:space="preserve"> </v>
      </c>
      <c r="S145" s="35" t="str">
        <f t="shared" si="21"/>
        <v xml:space="preserve"> </v>
      </c>
      <c r="T145" s="36" t="str">
        <f t="shared" si="22"/>
        <v xml:space="preserve"> </v>
      </c>
      <c r="U145" s="34" t="str">
        <f t="shared" si="23"/>
        <v/>
      </c>
      <c r="V145" s="34" t="str">
        <f t="shared" si="16"/>
        <v/>
      </c>
      <c r="W145" s="165" t="str" cm="1">
        <f t="array" ref="W145">IF(AND(L145:N145 &gt;= D145+F145, L145:N145 &lt;= D145+E145), "OK", "NG")</f>
        <v>OK</v>
      </c>
    </row>
    <row r="146" spans="1:23" ht="18" customHeight="1">
      <c r="A146" s="32"/>
      <c r="B146" s="101" t="s">
        <v>314</v>
      </c>
      <c r="C146" s="102" t="s">
        <v>45</v>
      </c>
      <c r="D146" s="103">
        <v>0.04</v>
      </c>
      <c r="E146" s="103">
        <v>0.04</v>
      </c>
      <c r="F146" s="103">
        <v>-0.04</v>
      </c>
      <c r="G146" s="154">
        <v>7.400000000000001E-2</v>
      </c>
      <c r="H146" s="154">
        <v>5.9999999999999984E-3</v>
      </c>
      <c r="I146" s="154"/>
      <c r="J146" s="154"/>
      <c r="K146" s="102" t="s">
        <v>46</v>
      </c>
      <c r="L146" s="131"/>
      <c r="M146" s="131"/>
      <c r="N146" s="131"/>
      <c r="O146" s="33" t="str">
        <f t="shared" si="17"/>
        <v xml:space="preserve"> </v>
      </c>
      <c r="P146" s="33" t="str">
        <f t="shared" si="18"/>
        <v xml:space="preserve"> </v>
      </c>
      <c r="Q146" s="33" t="str">
        <f t="shared" si="19"/>
        <v xml:space="preserve"> </v>
      </c>
      <c r="R146" s="34" t="str">
        <f t="shared" si="20"/>
        <v xml:space="preserve"> </v>
      </c>
      <c r="S146" s="35" t="str">
        <f t="shared" si="21"/>
        <v xml:space="preserve"> </v>
      </c>
      <c r="T146" s="36" t="str">
        <f t="shared" si="22"/>
        <v xml:space="preserve"> </v>
      </c>
      <c r="U146" s="34" t="str">
        <f t="shared" si="23"/>
        <v/>
      </c>
      <c r="V146" s="34" t="str">
        <f t="shared" si="16"/>
        <v/>
      </c>
      <c r="W146" s="165" t="str" cm="1">
        <f t="array" ref="W146">IF(AND(L146:N146 &gt;= D146+F146, L146:N146 &lt;= D146+E146), "OK", "NG")</f>
        <v>OK</v>
      </c>
    </row>
    <row r="147" spans="1:23" ht="18" customHeight="1">
      <c r="A147" s="32"/>
      <c r="B147" s="101" t="s">
        <v>315</v>
      </c>
      <c r="C147" s="102" t="s">
        <v>45</v>
      </c>
      <c r="D147" s="103">
        <v>0.04</v>
      </c>
      <c r="E147" s="103">
        <v>0.04</v>
      </c>
      <c r="F147" s="103">
        <v>-0.04</v>
      </c>
      <c r="G147" s="154">
        <v>7.400000000000001E-2</v>
      </c>
      <c r="H147" s="154">
        <v>5.9999999999999984E-3</v>
      </c>
      <c r="I147" s="154"/>
      <c r="J147" s="154"/>
      <c r="K147" s="102" t="s">
        <v>46</v>
      </c>
      <c r="L147" s="131"/>
      <c r="M147" s="131"/>
      <c r="N147" s="131"/>
      <c r="O147" s="33" t="str">
        <f t="shared" si="17"/>
        <v xml:space="preserve"> </v>
      </c>
      <c r="P147" s="33" t="str">
        <f t="shared" si="18"/>
        <v xml:space="preserve"> </v>
      </c>
      <c r="Q147" s="33" t="str">
        <f t="shared" si="19"/>
        <v xml:space="preserve"> </v>
      </c>
      <c r="R147" s="34" t="str">
        <f t="shared" si="20"/>
        <v xml:space="preserve"> </v>
      </c>
      <c r="S147" s="35" t="str">
        <f t="shared" si="21"/>
        <v xml:space="preserve"> </v>
      </c>
      <c r="T147" s="36" t="str">
        <f t="shared" si="22"/>
        <v xml:space="preserve"> </v>
      </c>
      <c r="U147" s="34" t="str">
        <f t="shared" si="23"/>
        <v/>
      </c>
      <c r="V147" s="34" t="str">
        <f t="shared" si="16"/>
        <v/>
      </c>
      <c r="W147" s="165" t="str" cm="1">
        <f t="array" ref="W147">IF(AND(L147:N147 &gt;= D147+F147, L147:N147 &lt;= D147+E147), "OK", "NG")</f>
        <v>OK</v>
      </c>
    </row>
    <row r="148" spans="1:23" ht="18" customHeight="1">
      <c r="A148" s="32"/>
      <c r="B148" s="101" t="s">
        <v>316</v>
      </c>
      <c r="C148" s="102" t="s">
        <v>45</v>
      </c>
      <c r="D148" s="103">
        <v>0.04</v>
      </c>
      <c r="E148" s="103">
        <v>0.04</v>
      </c>
      <c r="F148" s="103">
        <v>-0.04</v>
      </c>
      <c r="G148" s="154">
        <v>7.400000000000001E-2</v>
      </c>
      <c r="H148" s="154">
        <v>5.9999999999999984E-3</v>
      </c>
      <c r="I148" s="154"/>
      <c r="J148" s="154"/>
      <c r="K148" s="102" t="s">
        <v>46</v>
      </c>
      <c r="L148" s="131"/>
      <c r="M148" s="131"/>
      <c r="N148" s="131"/>
      <c r="O148" s="33" t="str">
        <f t="shared" si="17"/>
        <v xml:space="preserve"> </v>
      </c>
      <c r="P148" s="33" t="str">
        <f t="shared" si="18"/>
        <v xml:space="preserve"> </v>
      </c>
      <c r="Q148" s="33" t="str">
        <f t="shared" si="19"/>
        <v xml:space="preserve"> </v>
      </c>
      <c r="R148" s="34" t="str">
        <f t="shared" si="20"/>
        <v xml:space="preserve"> </v>
      </c>
      <c r="S148" s="35" t="str">
        <f t="shared" si="21"/>
        <v xml:space="preserve"> </v>
      </c>
      <c r="T148" s="36" t="str">
        <f t="shared" si="22"/>
        <v xml:space="preserve"> </v>
      </c>
      <c r="U148" s="34" t="str">
        <f t="shared" si="23"/>
        <v/>
      </c>
      <c r="V148" s="34" t="str">
        <f t="shared" si="16"/>
        <v/>
      </c>
      <c r="W148" s="165" t="str" cm="1">
        <f t="array" ref="W148">IF(AND(L148:N148 &gt;= D148+F148, L148:N148 &lt;= D148+E148), "OK", "NG")</f>
        <v>OK</v>
      </c>
    </row>
    <row r="149" spans="1:23" ht="18" customHeight="1">
      <c r="A149" s="32"/>
      <c r="B149" s="101" t="s">
        <v>317</v>
      </c>
      <c r="C149" s="102" t="s">
        <v>45</v>
      </c>
      <c r="D149" s="103">
        <v>0.04</v>
      </c>
      <c r="E149" s="103">
        <v>0.04</v>
      </c>
      <c r="F149" s="103">
        <v>-0.04</v>
      </c>
      <c r="G149" s="154">
        <v>7.400000000000001E-2</v>
      </c>
      <c r="H149" s="154">
        <v>5.9999999999999984E-3</v>
      </c>
      <c r="I149" s="154"/>
      <c r="J149" s="154"/>
      <c r="K149" s="102" t="s">
        <v>46</v>
      </c>
      <c r="L149" s="131"/>
      <c r="M149" s="131"/>
      <c r="N149" s="131"/>
      <c r="O149" s="33" t="str">
        <f t="shared" si="17"/>
        <v xml:space="preserve"> </v>
      </c>
      <c r="P149" s="33" t="str">
        <f t="shared" si="18"/>
        <v xml:space="preserve"> </v>
      </c>
      <c r="Q149" s="33" t="str">
        <f t="shared" si="19"/>
        <v xml:space="preserve"> </v>
      </c>
      <c r="R149" s="34" t="str">
        <f t="shared" si="20"/>
        <v xml:space="preserve"> </v>
      </c>
      <c r="S149" s="35" t="str">
        <f t="shared" si="21"/>
        <v xml:space="preserve"> </v>
      </c>
      <c r="T149" s="36" t="str">
        <f t="shared" si="22"/>
        <v xml:space="preserve"> </v>
      </c>
      <c r="U149" s="34" t="str">
        <f t="shared" si="23"/>
        <v/>
      </c>
      <c r="V149" s="34" t="str">
        <f t="shared" si="16"/>
        <v/>
      </c>
      <c r="W149" s="165" t="str" cm="1">
        <f t="array" ref="W149">IF(AND(L149:N149 &gt;= D149+F149, L149:N149 &lt;= D149+E149), "OK", "NG")</f>
        <v>OK</v>
      </c>
    </row>
    <row r="150" spans="1:23" ht="18" customHeight="1">
      <c r="A150" s="32"/>
      <c r="B150" s="101" t="s">
        <v>318</v>
      </c>
      <c r="C150" s="102" t="s">
        <v>45</v>
      </c>
      <c r="D150" s="103">
        <v>0.04</v>
      </c>
      <c r="E150" s="103">
        <v>0.04</v>
      </c>
      <c r="F150" s="103">
        <v>-0.04</v>
      </c>
      <c r="G150" s="154">
        <v>7.400000000000001E-2</v>
      </c>
      <c r="H150" s="154">
        <v>5.9999999999999984E-3</v>
      </c>
      <c r="I150" s="154"/>
      <c r="J150" s="154"/>
      <c r="K150" s="102" t="s">
        <v>46</v>
      </c>
      <c r="L150" s="131"/>
      <c r="M150" s="131"/>
      <c r="N150" s="131"/>
      <c r="O150" s="33" t="str">
        <f t="shared" si="17"/>
        <v xml:space="preserve"> </v>
      </c>
      <c r="P150" s="33" t="str">
        <f t="shared" si="18"/>
        <v xml:space="preserve"> </v>
      </c>
      <c r="Q150" s="33" t="str">
        <f t="shared" si="19"/>
        <v xml:space="preserve"> </v>
      </c>
      <c r="R150" s="34" t="str">
        <f t="shared" si="20"/>
        <v xml:space="preserve"> </v>
      </c>
      <c r="S150" s="35" t="str">
        <f t="shared" si="21"/>
        <v xml:space="preserve"> </v>
      </c>
      <c r="T150" s="36" t="str">
        <f t="shared" si="22"/>
        <v xml:space="preserve"> </v>
      </c>
      <c r="U150" s="34" t="str">
        <f t="shared" si="23"/>
        <v/>
      </c>
      <c r="V150" s="34" t="str">
        <f t="shared" si="16"/>
        <v/>
      </c>
      <c r="W150" s="165" t="str" cm="1">
        <f t="array" ref="W150">IF(AND(L150:N150 &gt;= D150+F150, L150:N150 &lt;= D150+E150), "OK", "NG")</f>
        <v>OK</v>
      </c>
    </row>
    <row r="151" spans="1:23" ht="18" customHeight="1">
      <c r="A151" s="32"/>
      <c r="B151" s="101" t="s">
        <v>319</v>
      </c>
      <c r="C151" s="102" t="s">
        <v>45</v>
      </c>
      <c r="D151" s="103">
        <v>0.04</v>
      </c>
      <c r="E151" s="103">
        <v>0.04</v>
      </c>
      <c r="F151" s="103">
        <v>-0.04</v>
      </c>
      <c r="G151" s="154">
        <v>7.400000000000001E-2</v>
      </c>
      <c r="H151" s="154">
        <v>5.9999999999999984E-3</v>
      </c>
      <c r="I151" s="154"/>
      <c r="J151" s="154"/>
      <c r="K151" s="102" t="s">
        <v>46</v>
      </c>
      <c r="L151" s="131"/>
      <c r="M151" s="131"/>
      <c r="N151" s="131"/>
      <c r="O151" s="33" t="str">
        <f t="shared" si="17"/>
        <v xml:space="preserve"> </v>
      </c>
      <c r="P151" s="33" t="str">
        <f t="shared" si="18"/>
        <v xml:space="preserve"> </v>
      </c>
      <c r="Q151" s="33" t="str">
        <f t="shared" si="19"/>
        <v xml:space="preserve"> </v>
      </c>
      <c r="R151" s="34" t="str">
        <f t="shared" si="20"/>
        <v xml:space="preserve"> </v>
      </c>
      <c r="S151" s="35" t="str">
        <f t="shared" si="21"/>
        <v xml:space="preserve"> </v>
      </c>
      <c r="T151" s="36" t="str">
        <f t="shared" si="22"/>
        <v xml:space="preserve"> </v>
      </c>
      <c r="U151" s="34" t="str">
        <f t="shared" si="23"/>
        <v/>
      </c>
      <c r="V151" s="34" t="str">
        <f t="shared" si="16"/>
        <v/>
      </c>
      <c r="W151" s="165" t="str" cm="1">
        <f t="array" ref="W151">IF(AND(L151:N151 &gt;= D151+F151, L151:N151 &lt;= D151+E151), "OK", "NG")</f>
        <v>OK</v>
      </c>
    </row>
    <row r="152" spans="1:23" ht="18" customHeight="1">
      <c r="A152" s="32"/>
      <c r="B152" s="101" t="s">
        <v>320</v>
      </c>
      <c r="C152" s="102" t="s">
        <v>45</v>
      </c>
      <c r="D152" s="103">
        <v>0.04</v>
      </c>
      <c r="E152" s="103">
        <v>0.04</v>
      </c>
      <c r="F152" s="103">
        <v>-0.04</v>
      </c>
      <c r="G152" s="154">
        <v>7.400000000000001E-2</v>
      </c>
      <c r="H152" s="154">
        <v>5.9999999999999984E-3</v>
      </c>
      <c r="I152" s="154"/>
      <c r="J152" s="154"/>
      <c r="K152" s="102" t="s">
        <v>46</v>
      </c>
      <c r="L152" s="131"/>
      <c r="M152" s="131"/>
      <c r="N152" s="131"/>
      <c r="O152" s="33" t="str">
        <f t="shared" si="17"/>
        <v xml:space="preserve"> </v>
      </c>
      <c r="P152" s="33" t="str">
        <f t="shared" si="18"/>
        <v xml:space="preserve"> </v>
      </c>
      <c r="Q152" s="33" t="str">
        <f t="shared" si="19"/>
        <v xml:space="preserve"> </v>
      </c>
      <c r="R152" s="34" t="str">
        <f t="shared" si="20"/>
        <v xml:space="preserve"> </v>
      </c>
      <c r="S152" s="35" t="str">
        <f t="shared" si="21"/>
        <v xml:space="preserve"> </v>
      </c>
      <c r="T152" s="36" t="str">
        <f t="shared" si="22"/>
        <v xml:space="preserve"> </v>
      </c>
      <c r="U152" s="34" t="str">
        <f t="shared" si="23"/>
        <v/>
      </c>
      <c r="V152" s="34" t="str">
        <f t="shared" si="16"/>
        <v/>
      </c>
      <c r="W152" s="165" t="str" cm="1">
        <f t="array" ref="W152">IF(AND(L152:N152 &gt;= D152+F152, L152:N152 &lt;= D152+E152), "OK", "NG")</f>
        <v>OK</v>
      </c>
    </row>
    <row r="153" spans="1:23" ht="18" customHeight="1">
      <c r="A153" s="32"/>
      <c r="B153" s="101" t="s">
        <v>321</v>
      </c>
      <c r="C153" s="102" t="s">
        <v>45</v>
      </c>
      <c r="D153" s="103">
        <v>0.04</v>
      </c>
      <c r="E153" s="103">
        <v>0.04</v>
      </c>
      <c r="F153" s="103">
        <v>-0.04</v>
      </c>
      <c r="G153" s="154">
        <v>7.400000000000001E-2</v>
      </c>
      <c r="H153" s="154">
        <v>5.9999999999999984E-3</v>
      </c>
      <c r="I153" s="154"/>
      <c r="J153" s="154"/>
      <c r="K153" s="102" t="s">
        <v>46</v>
      </c>
      <c r="L153" s="131"/>
      <c r="M153" s="131"/>
      <c r="N153" s="131"/>
      <c r="O153" s="33" t="str">
        <f t="shared" si="17"/>
        <v xml:space="preserve"> </v>
      </c>
      <c r="P153" s="33" t="str">
        <f t="shared" si="18"/>
        <v xml:space="preserve"> </v>
      </c>
      <c r="Q153" s="33" t="str">
        <f t="shared" si="19"/>
        <v xml:space="preserve"> </v>
      </c>
      <c r="R153" s="34" t="str">
        <f t="shared" si="20"/>
        <v xml:space="preserve"> </v>
      </c>
      <c r="S153" s="35" t="str">
        <f t="shared" si="21"/>
        <v xml:space="preserve"> </v>
      </c>
      <c r="T153" s="36" t="str">
        <f t="shared" si="22"/>
        <v xml:space="preserve"> </v>
      </c>
      <c r="U153" s="34" t="str">
        <f t="shared" si="23"/>
        <v/>
      </c>
      <c r="V153" s="34" t="str">
        <f t="shared" si="16"/>
        <v/>
      </c>
      <c r="W153" s="165" t="str" cm="1">
        <f t="array" ref="W153">IF(AND(L153:N153 &gt;= D153+F153, L153:N153 &lt;= D153+E153), "OK", "NG")</f>
        <v>OK</v>
      </c>
    </row>
    <row r="154" spans="1:23" ht="18" customHeight="1">
      <c r="A154" s="32"/>
      <c r="B154" s="101" t="s">
        <v>322</v>
      </c>
      <c r="C154" s="102" t="s">
        <v>45</v>
      </c>
      <c r="D154" s="103">
        <v>0.04</v>
      </c>
      <c r="E154" s="103">
        <v>0.04</v>
      </c>
      <c r="F154" s="103">
        <v>-0.04</v>
      </c>
      <c r="G154" s="154">
        <v>7.400000000000001E-2</v>
      </c>
      <c r="H154" s="154">
        <v>5.9999999999999984E-3</v>
      </c>
      <c r="I154" s="154"/>
      <c r="J154" s="154"/>
      <c r="K154" s="102" t="s">
        <v>46</v>
      </c>
      <c r="L154" s="131"/>
      <c r="M154" s="131"/>
      <c r="N154" s="131"/>
      <c r="O154" s="33" t="str">
        <f t="shared" si="17"/>
        <v xml:space="preserve"> </v>
      </c>
      <c r="P154" s="33" t="str">
        <f t="shared" si="18"/>
        <v xml:space="preserve"> </v>
      </c>
      <c r="Q154" s="33" t="str">
        <f t="shared" si="19"/>
        <v xml:space="preserve"> </v>
      </c>
      <c r="R154" s="34" t="str">
        <f t="shared" si="20"/>
        <v xml:space="preserve"> </v>
      </c>
      <c r="S154" s="35" t="str">
        <f t="shared" si="21"/>
        <v xml:space="preserve"> </v>
      </c>
      <c r="T154" s="36" t="str">
        <f t="shared" si="22"/>
        <v xml:space="preserve"> </v>
      </c>
      <c r="U154" s="34" t="str">
        <f t="shared" si="23"/>
        <v/>
      </c>
      <c r="V154" s="34" t="str">
        <f t="shared" si="16"/>
        <v/>
      </c>
      <c r="W154" s="165" t="str" cm="1">
        <f t="array" ref="W154">IF(AND(L154:N154 &gt;= D154+F154, L154:N154 &lt;= D154+E154), "OK", "NG")</f>
        <v>OK</v>
      </c>
    </row>
    <row r="155" spans="1:23" ht="18" customHeight="1">
      <c r="A155" s="32"/>
      <c r="B155" s="101">
        <v>97</v>
      </c>
      <c r="C155" s="102" t="s">
        <v>45</v>
      </c>
      <c r="D155" s="103">
        <v>1.966</v>
      </c>
      <c r="E155" s="103">
        <v>2.5000000000000001E-2</v>
      </c>
      <c r="F155" s="103">
        <v>-2.5000000000000001E-2</v>
      </c>
      <c r="G155" s="154">
        <v>1.98725</v>
      </c>
      <c r="H155" s="154">
        <v>1.94475</v>
      </c>
      <c r="I155" s="154"/>
      <c r="J155" s="154"/>
      <c r="K155" s="102" t="s">
        <v>46</v>
      </c>
      <c r="L155" s="131"/>
      <c r="M155" s="131"/>
      <c r="N155" s="131"/>
      <c r="O155" s="33" t="str">
        <f t="shared" si="17"/>
        <v xml:space="preserve"> </v>
      </c>
      <c r="P155" s="33" t="str">
        <f t="shared" si="18"/>
        <v xml:space="preserve"> </v>
      </c>
      <c r="Q155" s="33" t="str">
        <f t="shared" si="19"/>
        <v xml:space="preserve"> </v>
      </c>
      <c r="R155" s="34" t="str">
        <f t="shared" si="20"/>
        <v xml:space="preserve"> </v>
      </c>
      <c r="S155" s="35" t="str">
        <f t="shared" si="21"/>
        <v xml:space="preserve"> </v>
      </c>
      <c r="T155" s="36" t="str">
        <f t="shared" si="22"/>
        <v xml:space="preserve"> </v>
      </c>
      <c r="U155" s="34" t="str">
        <f t="shared" si="23"/>
        <v/>
      </c>
      <c r="V155" s="34" t="str">
        <f t="shared" si="16"/>
        <v/>
      </c>
      <c r="W155" s="165" t="str" cm="1">
        <f t="array" ref="W155">IF(AND(L155:N155 &gt;= D155+F155, L155:N155 &lt;= D155+E155), "OK", "NG")</f>
        <v>NG</v>
      </c>
    </row>
    <row r="156" spans="1:23" ht="18" customHeight="1">
      <c r="A156" s="32"/>
      <c r="B156" s="101">
        <v>98</v>
      </c>
      <c r="C156" s="102" t="s">
        <v>45</v>
      </c>
      <c r="D156" s="103">
        <v>5.3949999999999996</v>
      </c>
      <c r="E156" s="103">
        <v>0.3</v>
      </c>
      <c r="F156" s="103">
        <v>-0.3</v>
      </c>
      <c r="G156" s="154">
        <v>5.6499999999999995</v>
      </c>
      <c r="H156" s="154">
        <v>5.14</v>
      </c>
      <c r="I156" s="154"/>
      <c r="J156" s="154"/>
      <c r="K156" s="102" t="s">
        <v>46</v>
      </c>
      <c r="L156" s="131"/>
      <c r="M156" s="131"/>
      <c r="N156" s="131"/>
      <c r="O156" s="33" t="str">
        <f t="shared" si="17"/>
        <v xml:space="preserve"> </v>
      </c>
      <c r="P156" s="33" t="str">
        <f t="shared" si="18"/>
        <v xml:space="preserve"> </v>
      </c>
      <c r="Q156" s="33" t="str">
        <f t="shared" si="19"/>
        <v xml:space="preserve"> </v>
      </c>
      <c r="R156" s="34" t="str">
        <f t="shared" si="20"/>
        <v xml:space="preserve"> </v>
      </c>
      <c r="S156" s="35" t="str">
        <f t="shared" si="21"/>
        <v xml:space="preserve"> </v>
      </c>
      <c r="T156" s="36" t="str">
        <f t="shared" si="22"/>
        <v xml:space="preserve"> </v>
      </c>
      <c r="U156" s="34" t="str">
        <f t="shared" si="23"/>
        <v/>
      </c>
      <c r="V156" s="34" t="str">
        <f t="shared" si="16"/>
        <v/>
      </c>
      <c r="W156" s="165" t="str" cm="1">
        <f t="array" ref="W156">IF(AND(L156:N156 &gt;= D156+F156, L156:N156 &lt;= D156+E156), "OK", "NG")</f>
        <v>NG</v>
      </c>
    </row>
    <row r="157" spans="1:23" ht="18" customHeight="1">
      <c r="A157" s="32"/>
      <c r="B157" s="101">
        <v>99</v>
      </c>
      <c r="C157" s="102" t="s">
        <v>45</v>
      </c>
      <c r="D157" s="103">
        <v>10.004</v>
      </c>
      <c r="E157" s="103">
        <v>0.6</v>
      </c>
      <c r="F157" s="103">
        <v>-0.6</v>
      </c>
      <c r="G157" s="154">
        <v>10.513999999999999</v>
      </c>
      <c r="H157" s="154">
        <v>9.4939999999999998</v>
      </c>
      <c r="I157" s="154"/>
      <c r="J157" s="154"/>
      <c r="K157" s="102" t="s">
        <v>46</v>
      </c>
      <c r="L157" s="131"/>
      <c r="M157" s="131"/>
      <c r="N157" s="131"/>
      <c r="O157" s="33" t="str">
        <f t="shared" si="17"/>
        <v xml:space="preserve"> </v>
      </c>
      <c r="P157" s="33" t="str">
        <f t="shared" si="18"/>
        <v xml:space="preserve"> </v>
      </c>
      <c r="Q157" s="33" t="str">
        <f t="shared" si="19"/>
        <v xml:space="preserve"> </v>
      </c>
      <c r="R157" s="34" t="str">
        <f t="shared" si="20"/>
        <v xml:space="preserve"> </v>
      </c>
      <c r="S157" s="35" t="str">
        <f t="shared" si="21"/>
        <v xml:space="preserve"> </v>
      </c>
      <c r="T157" s="36" t="str">
        <f t="shared" si="22"/>
        <v xml:space="preserve"> </v>
      </c>
      <c r="U157" s="34" t="str">
        <f t="shared" si="23"/>
        <v/>
      </c>
      <c r="V157" s="34" t="str">
        <f t="shared" si="16"/>
        <v/>
      </c>
      <c r="W157" s="165" t="str" cm="1">
        <f t="array" ref="W157">IF(AND(L157:N157 &gt;= D157+F157, L157:N157 &lt;= D157+E157), "OK", "NG")</f>
        <v>NG</v>
      </c>
    </row>
    <row r="158" spans="1:23" ht="18" customHeight="1">
      <c r="A158" s="32"/>
      <c r="B158" s="101">
        <v>100</v>
      </c>
      <c r="C158" s="102" t="s">
        <v>45</v>
      </c>
      <c r="D158" s="103">
        <v>0</v>
      </c>
      <c r="E158" s="103">
        <v>3</v>
      </c>
      <c r="F158" s="103">
        <v>-3</v>
      </c>
      <c r="G158" s="154">
        <v>2.5499999999999998</v>
      </c>
      <c r="H158" s="154">
        <v>-2.5499999999999998</v>
      </c>
      <c r="I158" s="154"/>
      <c r="J158" s="154"/>
      <c r="K158" s="102" t="s">
        <v>46</v>
      </c>
      <c r="L158" s="131"/>
      <c r="M158" s="131"/>
      <c r="N158" s="131"/>
      <c r="O158" s="33" t="str">
        <f t="shared" si="17"/>
        <v xml:space="preserve"> </v>
      </c>
      <c r="P158" s="33" t="str">
        <f t="shared" si="18"/>
        <v xml:space="preserve"> </v>
      </c>
      <c r="Q158" s="33" t="str">
        <f t="shared" si="19"/>
        <v xml:space="preserve"> </v>
      </c>
      <c r="R158" s="34" t="str">
        <f t="shared" si="20"/>
        <v xml:space="preserve"> </v>
      </c>
      <c r="S158" s="35" t="str">
        <f t="shared" si="21"/>
        <v xml:space="preserve"> </v>
      </c>
      <c r="T158" s="36" t="str">
        <f t="shared" si="22"/>
        <v xml:space="preserve"> </v>
      </c>
      <c r="U158" s="34" t="str">
        <f t="shared" si="23"/>
        <v/>
      </c>
      <c r="V158" s="34" t="str">
        <f t="shared" si="16"/>
        <v/>
      </c>
      <c r="W158" s="165" t="str" cm="1">
        <f t="array" ref="W158">IF(AND(L158:N158 &gt;= D158+F158, L158:N158 &lt;= D158+E158), "OK", "NG")</f>
        <v>OK</v>
      </c>
    </row>
    <row r="159" spans="1:23" ht="18" customHeight="1">
      <c r="A159" s="32"/>
      <c r="B159" s="101" t="s">
        <v>243</v>
      </c>
      <c r="C159" s="102" t="s">
        <v>45</v>
      </c>
      <c r="D159" s="103">
        <v>0.05</v>
      </c>
      <c r="E159" s="103">
        <v>2.5000000000000001E-2</v>
      </c>
      <c r="F159" s="103">
        <v>-0.02</v>
      </c>
      <c r="G159" s="154">
        <v>7.1250000000000008E-2</v>
      </c>
      <c r="H159" s="154">
        <v>3.3000000000000002E-2</v>
      </c>
      <c r="I159" s="154"/>
      <c r="J159" s="154"/>
      <c r="K159" s="102" t="s">
        <v>46</v>
      </c>
      <c r="L159" s="131"/>
      <c r="M159" s="131"/>
      <c r="N159" s="131"/>
      <c r="O159" s="33" t="str">
        <f t="shared" si="17"/>
        <v xml:space="preserve"> </v>
      </c>
      <c r="P159" s="33" t="str">
        <f t="shared" si="18"/>
        <v xml:space="preserve"> </v>
      </c>
      <c r="Q159" s="33" t="str">
        <f t="shared" si="19"/>
        <v xml:space="preserve"> </v>
      </c>
      <c r="R159" s="34" t="str">
        <f t="shared" si="20"/>
        <v xml:space="preserve"> </v>
      </c>
      <c r="S159" s="35" t="str">
        <f t="shared" si="21"/>
        <v xml:space="preserve"> </v>
      </c>
      <c r="T159" s="36" t="str">
        <f t="shared" si="22"/>
        <v xml:space="preserve"> </v>
      </c>
      <c r="U159" s="34" t="str">
        <f t="shared" si="23"/>
        <v/>
      </c>
      <c r="V159" s="34" t="str">
        <f t="shared" si="16"/>
        <v/>
      </c>
      <c r="W159" s="165" t="str" cm="1">
        <f t="array" ref="W159">IF(AND(L159:N159 &gt;= D159+F159, L159:N159 &lt;= D159+E159), "OK", "NG")</f>
        <v>NG</v>
      </c>
    </row>
    <row r="160" spans="1:23" ht="18" customHeight="1">
      <c r="A160" s="32"/>
      <c r="B160" s="101" t="s">
        <v>244</v>
      </c>
      <c r="C160" s="102" t="s">
        <v>45</v>
      </c>
      <c r="D160" s="103">
        <v>0.05</v>
      </c>
      <c r="E160" s="103">
        <v>2.5000000000000001E-2</v>
      </c>
      <c r="F160" s="103">
        <v>-0.02</v>
      </c>
      <c r="G160" s="154">
        <v>7.1250000000000008E-2</v>
      </c>
      <c r="H160" s="154">
        <v>3.3000000000000002E-2</v>
      </c>
      <c r="I160" s="154"/>
      <c r="J160" s="154"/>
      <c r="K160" s="102" t="s">
        <v>46</v>
      </c>
      <c r="L160" s="131"/>
      <c r="M160" s="131"/>
      <c r="N160" s="131"/>
      <c r="O160" s="33" t="str">
        <f t="shared" si="17"/>
        <v xml:space="preserve"> </v>
      </c>
      <c r="P160" s="33" t="str">
        <f t="shared" si="18"/>
        <v xml:space="preserve"> </v>
      </c>
      <c r="Q160" s="33" t="str">
        <f t="shared" si="19"/>
        <v xml:space="preserve"> </v>
      </c>
      <c r="R160" s="34" t="str">
        <f t="shared" si="20"/>
        <v xml:space="preserve"> </v>
      </c>
      <c r="S160" s="35" t="str">
        <f t="shared" si="21"/>
        <v xml:space="preserve"> </v>
      </c>
      <c r="T160" s="36" t="str">
        <f t="shared" si="22"/>
        <v xml:space="preserve"> </v>
      </c>
      <c r="U160" s="34" t="str">
        <f t="shared" si="23"/>
        <v/>
      </c>
      <c r="V160" s="34" t="str">
        <f t="shared" si="16"/>
        <v/>
      </c>
      <c r="W160" s="165" t="str" cm="1">
        <f t="array" ref="W160">IF(AND(L160:N160 &gt;= D160+F160, L160:N160 &lt;= D160+E160), "OK", "NG")</f>
        <v>NG</v>
      </c>
    </row>
    <row r="161" spans="1:23" ht="18" customHeight="1">
      <c r="A161" s="32"/>
      <c r="B161" s="101" t="s">
        <v>245</v>
      </c>
      <c r="C161" s="102" t="s">
        <v>45</v>
      </c>
      <c r="D161" s="103">
        <v>0.05</v>
      </c>
      <c r="E161" s="103">
        <v>2.5000000000000001E-2</v>
      </c>
      <c r="F161" s="103">
        <v>-0.02</v>
      </c>
      <c r="G161" s="154">
        <v>7.1250000000000008E-2</v>
      </c>
      <c r="H161" s="154">
        <v>3.3000000000000002E-2</v>
      </c>
      <c r="I161" s="154"/>
      <c r="J161" s="154"/>
      <c r="K161" s="102" t="s">
        <v>46</v>
      </c>
      <c r="L161" s="131"/>
      <c r="M161" s="131"/>
      <c r="N161" s="131"/>
      <c r="O161" s="33" t="str">
        <f t="shared" si="17"/>
        <v xml:space="preserve"> </v>
      </c>
      <c r="P161" s="33" t="str">
        <f t="shared" si="18"/>
        <v xml:space="preserve"> </v>
      </c>
      <c r="Q161" s="33" t="str">
        <f t="shared" si="19"/>
        <v xml:space="preserve"> </v>
      </c>
      <c r="R161" s="34" t="str">
        <f t="shared" si="20"/>
        <v xml:space="preserve"> </v>
      </c>
      <c r="S161" s="35" t="str">
        <f t="shared" si="21"/>
        <v xml:space="preserve"> </v>
      </c>
      <c r="T161" s="36" t="str">
        <f t="shared" si="22"/>
        <v xml:space="preserve"> </v>
      </c>
      <c r="U161" s="34" t="str">
        <f t="shared" si="23"/>
        <v/>
      </c>
      <c r="V161" s="34" t="str">
        <f t="shared" si="16"/>
        <v/>
      </c>
      <c r="W161" s="165" t="str" cm="1">
        <f t="array" ref="W161">IF(AND(L161:N161 &gt;= D161+F161, L161:N161 &lt;= D161+E161), "OK", "NG")</f>
        <v>NG</v>
      </c>
    </row>
    <row r="162" spans="1:23" ht="18" customHeight="1">
      <c r="A162" s="32"/>
      <c r="B162" s="101" t="s">
        <v>323</v>
      </c>
      <c r="C162" s="102" t="s">
        <v>45</v>
      </c>
      <c r="D162" s="103">
        <v>0.05</v>
      </c>
      <c r="E162" s="103">
        <v>2.5000000000000001E-2</v>
      </c>
      <c r="F162" s="103">
        <v>-0.02</v>
      </c>
      <c r="G162" s="154">
        <v>7.1250000000000008E-2</v>
      </c>
      <c r="H162" s="154">
        <v>3.3000000000000002E-2</v>
      </c>
      <c r="I162" s="154"/>
      <c r="J162" s="154"/>
      <c r="K162" s="102" t="s">
        <v>46</v>
      </c>
      <c r="L162" s="131"/>
      <c r="M162" s="131"/>
      <c r="N162" s="131"/>
      <c r="O162" s="33" t="str">
        <f t="shared" si="17"/>
        <v xml:space="preserve"> </v>
      </c>
      <c r="P162" s="33" t="str">
        <f t="shared" si="18"/>
        <v xml:space="preserve"> </v>
      </c>
      <c r="Q162" s="33" t="str">
        <f t="shared" si="19"/>
        <v xml:space="preserve"> </v>
      </c>
      <c r="R162" s="34" t="str">
        <f t="shared" si="20"/>
        <v xml:space="preserve"> </v>
      </c>
      <c r="S162" s="35" t="str">
        <f t="shared" si="21"/>
        <v xml:space="preserve"> </v>
      </c>
      <c r="T162" s="36" t="str">
        <f t="shared" si="22"/>
        <v xml:space="preserve"> </v>
      </c>
      <c r="U162" s="34" t="str">
        <f t="shared" si="23"/>
        <v/>
      </c>
      <c r="V162" s="34" t="str">
        <f t="shared" si="16"/>
        <v/>
      </c>
      <c r="W162" s="165" t="str" cm="1">
        <f t="array" ref="W162">IF(AND(L162:N162 &gt;= D162+F162, L162:N162 &lt;= D162+E162), "OK", "NG")</f>
        <v>NG</v>
      </c>
    </row>
    <row r="163" spans="1:23" ht="18" customHeight="1">
      <c r="A163" s="32"/>
      <c r="B163" s="101">
        <v>102</v>
      </c>
      <c r="C163" s="102" t="s">
        <v>45</v>
      </c>
      <c r="D163" s="103">
        <v>8.5640000000000001</v>
      </c>
      <c r="E163" s="103">
        <v>0.03</v>
      </c>
      <c r="F163" s="103">
        <v>-0.03</v>
      </c>
      <c r="G163" s="154">
        <v>8.5894999999999992</v>
      </c>
      <c r="H163" s="154">
        <v>8.5385000000000009</v>
      </c>
      <c r="I163" s="154"/>
      <c r="J163" s="154"/>
      <c r="K163" s="102" t="s">
        <v>46</v>
      </c>
      <c r="L163" s="131"/>
      <c r="M163" s="131"/>
      <c r="N163" s="131"/>
      <c r="O163" s="33" t="str">
        <f t="shared" si="17"/>
        <v xml:space="preserve"> </v>
      </c>
      <c r="P163" s="33" t="str">
        <f t="shared" si="18"/>
        <v xml:space="preserve"> </v>
      </c>
      <c r="Q163" s="33" t="str">
        <f t="shared" si="19"/>
        <v xml:space="preserve"> </v>
      </c>
      <c r="R163" s="34" t="str">
        <f t="shared" si="20"/>
        <v xml:space="preserve"> </v>
      </c>
      <c r="S163" s="35" t="str">
        <f t="shared" si="21"/>
        <v xml:space="preserve"> </v>
      </c>
      <c r="T163" s="36" t="str">
        <f t="shared" si="22"/>
        <v xml:space="preserve"> </v>
      </c>
      <c r="U163" s="34" t="str">
        <f t="shared" si="23"/>
        <v/>
      </c>
      <c r="V163" s="34" t="str">
        <f t="shared" ref="V163:V226" si="24">IF(L163="","",IF(ISERR(F163/F163)=TRUE,"",IF(ISERR(F163/D163)=TRUE,IF((F163-MIN(L163:N163))&gt;0.001,"Reject",""),IF(ISNUMBER($T163)=TRUE,IF($T163&gt;0.651,IF($T163&gt;1.001,"Reject","Alert"),""),""))))</f>
        <v/>
      </c>
      <c r="W163" s="165" t="str" cm="1">
        <f t="array" ref="W163">IF(AND(L163:N163 &gt;= D163+F163, L163:N163 &lt;= D163+E163), "OK", "NG")</f>
        <v>NG</v>
      </c>
    </row>
    <row r="164" spans="1:23" ht="18" customHeight="1">
      <c r="A164" s="32"/>
      <c r="B164" s="101">
        <v>103</v>
      </c>
      <c r="C164" s="102" t="s">
        <v>45</v>
      </c>
      <c r="D164" s="103">
        <v>11.237</v>
      </c>
      <c r="E164" s="103">
        <v>0.03</v>
      </c>
      <c r="F164" s="103">
        <v>-0.03</v>
      </c>
      <c r="G164" s="154">
        <v>11.262499999999999</v>
      </c>
      <c r="H164" s="154">
        <v>11.211500000000001</v>
      </c>
      <c r="I164" s="154"/>
      <c r="J164" s="154"/>
      <c r="K164" s="102" t="s">
        <v>46</v>
      </c>
      <c r="L164" s="131"/>
      <c r="M164" s="131"/>
      <c r="N164" s="131"/>
      <c r="O164" s="33" t="str">
        <f t="shared" si="17"/>
        <v xml:space="preserve"> </v>
      </c>
      <c r="P164" s="33" t="str">
        <f t="shared" si="18"/>
        <v xml:space="preserve"> </v>
      </c>
      <c r="Q164" s="33" t="str">
        <f t="shared" si="19"/>
        <v xml:space="preserve"> </v>
      </c>
      <c r="R164" s="34" t="str">
        <f t="shared" si="20"/>
        <v xml:space="preserve"> </v>
      </c>
      <c r="S164" s="35" t="str">
        <f t="shared" si="21"/>
        <v xml:space="preserve"> </v>
      </c>
      <c r="T164" s="36" t="str">
        <f t="shared" si="22"/>
        <v xml:space="preserve"> </v>
      </c>
      <c r="U164" s="34" t="str">
        <f t="shared" si="23"/>
        <v/>
      </c>
      <c r="V164" s="34" t="str">
        <f t="shared" si="24"/>
        <v/>
      </c>
      <c r="W164" s="165" t="str" cm="1">
        <f t="array" ref="W164">IF(AND(L164:N164 &gt;= D164+F164, L164:N164 &lt;= D164+E164), "OK", "NG")</f>
        <v>NG</v>
      </c>
    </row>
    <row r="165" spans="1:23" ht="18" customHeight="1">
      <c r="A165" s="32"/>
      <c r="B165" s="134" t="s">
        <v>324</v>
      </c>
      <c r="C165" s="102" t="s">
        <v>272</v>
      </c>
      <c r="D165" s="103">
        <v>0</v>
      </c>
      <c r="E165" s="103">
        <v>0.03</v>
      </c>
      <c r="F165" s="103">
        <v>-7.0000000000000007E-2</v>
      </c>
      <c r="G165" s="154">
        <v>2.5499999999999998E-2</v>
      </c>
      <c r="H165" s="154">
        <v>-5.9500000000000004E-2</v>
      </c>
      <c r="I165" s="154"/>
      <c r="J165" s="154"/>
      <c r="K165" s="102" t="s">
        <v>273</v>
      </c>
      <c r="L165" s="131"/>
      <c r="M165" s="131"/>
      <c r="N165" s="131"/>
      <c r="O165" s="33" t="str">
        <f t="shared" si="17"/>
        <v xml:space="preserve"> </v>
      </c>
      <c r="P165" s="33" t="str">
        <f t="shared" si="18"/>
        <v xml:space="preserve"> </v>
      </c>
      <c r="Q165" s="33" t="str">
        <f t="shared" si="19"/>
        <v xml:space="preserve"> </v>
      </c>
      <c r="R165" s="34" t="str">
        <f t="shared" si="20"/>
        <v xml:space="preserve"> </v>
      </c>
      <c r="S165" s="35" t="str">
        <f t="shared" si="21"/>
        <v xml:space="preserve"> </v>
      </c>
      <c r="T165" s="36" t="str">
        <f t="shared" si="22"/>
        <v xml:space="preserve"> </v>
      </c>
      <c r="U165" s="34" t="str">
        <f t="shared" si="23"/>
        <v/>
      </c>
      <c r="V165" s="34" t="str">
        <f t="shared" si="24"/>
        <v/>
      </c>
      <c r="W165" s="165" t="str" cm="1">
        <f t="array" ref="W165">IF(AND(L165:N165 &gt;= D165+F165, L165:N165 &lt;= D165+E165), "OK", "NG")</f>
        <v>OK</v>
      </c>
    </row>
    <row r="166" spans="1:23" ht="18" customHeight="1">
      <c r="A166" s="32"/>
      <c r="B166" s="134" t="s">
        <v>325</v>
      </c>
      <c r="C166" s="102" t="s">
        <v>272</v>
      </c>
      <c r="D166" s="103">
        <v>0</v>
      </c>
      <c r="E166" s="103">
        <v>0.03</v>
      </c>
      <c r="F166" s="103">
        <v>-7.0000000000000007E-2</v>
      </c>
      <c r="G166" s="154">
        <v>2.5499999999999998E-2</v>
      </c>
      <c r="H166" s="154">
        <v>-5.9500000000000004E-2</v>
      </c>
      <c r="I166" s="154"/>
      <c r="J166" s="154"/>
      <c r="K166" s="102" t="s">
        <v>273</v>
      </c>
      <c r="L166" s="131"/>
      <c r="M166" s="131"/>
      <c r="N166" s="131"/>
      <c r="O166" s="33" t="str">
        <f t="shared" si="17"/>
        <v xml:space="preserve"> </v>
      </c>
      <c r="P166" s="33" t="str">
        <f t="shared" si="18"/>
        <v xml:space="preserve"> </v>
      </c>
      <c r="Q166" s="33" t="str">
        <f t="shared" si="19"/>
        <v xml:space="preserve"> </v>
      </c>
      <c r="R166" s="34" t="str">
        <f t="shared" si="20"/>
        <v xml:space="preserve"> </v>
      </c>
      <c r="S166" s="35" t="str">
        <f t="shared" si="21"/>
        <v xml:space="preserve"> </v>
      </c>
      <c r="T166" s="36" t="str">
        <f t="shared" si="22"/>
        <v xml:space="preserve"> </v>
      </c>
      <c r="U166" s="34" t="str">
        <f t="shared" si="23"/>
        <v/>
      </c>
      <c r="V166" s="34" t="str">
        <f t="shared" si="24"/>
        <v/>
      </c>
      <c r="W166" s="165" t="str" cm="1">
        <f t="array" ref="W166">IF(AND(L166:N166 &gt;= D166+F166, L166:N166 &lt;= D166+E166), "OK", "NG")</f>
        <v>OK</v>
      </c>
    </row>
    <row r="167" spans="1:23" ht="18" customHeight="1">
      <c r="A167" s="32"/>
      <c r="B167" s="134" t="s">
        <v>326</v>
      </c>
      <c r="C167" s="102" t="s">
        <v>272</v>
      </c>
      <c r="D167" s="103">
        <v>0</v>
      </c>
      <c r="E167" s="103">
        <v>0.03</v>
      </c>
      <c r="F167" s="103">
        <v>-7.0000000000000007E-2</v>
      </c>
      <c r="G167" s="154">
        <v>2.5499999999999998E-2</v>
      </c>
      <c r="H167" s="154">
        <v>-5.9500000000000004E-2</v>
      </c>
      <c r="I167" s="154"/>
      <c r="J167" s="154"/>
      <c r="K167" s="102" t="s">
        <v>273</v>
      </c>
      <c r="L167" s="131"/>
      <c r="M167" s="131"/>
      <c r="N167" s="131"/>
      <c r="O167" s="33" t="str">
        <f t="shared" si="17"/>
        <v xml:space="preserve"> </v>
      </c>
      <c r="P167" s="33" t="str">
        <f t="shared" si="18"/>
        <v xml:space="preserve"> </v>
      </c>
      <c r="Q167" s="33" t="str">
        <f t="shared" si="19"/>
        <v xml:space="preserve"> </v>
      </c>
      <c r="R167" s="34" t="str">
        <f t="shared" si="20"/>
        <v xml:space="preserve"> </v>
      </c>
      <c r="S167" s="35" t="str">
        <f t="shared" si="21"/>
        <v xml:space="preserve"> </v>
      </c>
      <c r="T167" s="36" t="str">
        <f t="shared" si="22"/>
        <v xml:space="preserve"> </v>
      </c>
      <c r="U167" s="34" t="str">
        <f t="shared" si="23"/>
        <v/>
      </c>
      <c r="V167" s="34" t="str">
        <f t="shared" si="24"/>
        <v/>
      </c>
      <c r="W167" s="165" t="str" cm="1">
        <f t="array" ref="W167">IF(AND(L167:N167 &gt;= D167+F167, L167:N167 &lt;= D167+E167), "OK", "NG")</f>
        <v>OK</v>
      </c>
    </row>
    <row r="168" spans="1:23" ht="18" customHeight="1">
      <c r="A168" s="32"/>
      <c r="B168" s="134" t="s">
        <v>327</v>
      </c>
      <c r="C168" s="102" t="s">
        <v>272</v>
      </c>
      <c r="D168" s="103">
        <v>0</v>
      </c>
      <c r="E168" s="103">
        <v>0.03</v>
      </c>
      <c r="F168" s="103">
        <v>-7.0000000000000007E-2</v>
      </c>
      <c r="G168" s="154">
        <v>2.5499999999999998E-2</v>
      </c>
      <c r="H168" s="154">
        <v>-5.9500000000000004E-2</v>
      </c>
      <c r="I168" s="154"/>
      <c r="J168" s="154"/>
      <c r="K168" s="102" t="s">
        <v>273</v>
      </c>
      <c r="L168" s="131"/>
      <c r="M168" s="131"/>
      <c r="N168" s="131"/>
      <c r="O168" s="33" t="str">
        <f t="shared" si="17"/>
        <v xml:space="preserve"> </v>
      </c>
      <c r="P168" s="33" t="str">
        <f t="shared" si="18"/>
        <v xml:space="preserve"> </v>
      </c>
      <c r="Q168" s="33" t="str">
        <f t="shared" si="19"/>
        <v xml:space="preserve"> </v>
      </c>
      <c r="R168" s="34" t="str">
        <f t="shared" si="20"/>
        <v xml:space="preserve"> </v>
      </c>
      <c r="S168" s="35" t="str">
        <f t="shared" si="21"/>
        <v xml:space="preserve"> </v>
      </c>
      <c r="T168" s="36" t="str">
        <f t="shared" si="22"/>
        <v xml:space="preserve"> </v>
      </c>
      <c r="U168" s="34" t="str">
        <f t="shared" si="23"/>
        <v/>
      </c>
      <c r="V168" s="34" t="str">
        <f t="shared" si="24"/>
        <v/>
      </c>
      <c r="W168" s="165" t="str" cm="1">
        <f t="array" ref="W168">IF(AND(L168:N168 &gt;= D168+F168, L168:N168 &lt;= D168+E168), "OK", "NG")</f>
        <v>OK</v>
      </c>
    </row>
    <row r="169" spans="1:23" ht="18" customHeight="1">
      <c r="A169" s="32"/>
      <c r="B169" s="134" t="s">
        <v>328</v>
      </c>
      <c r="C169" s="102" t="s">
        <v>272</v>
      </c>
      <c r="D169" s="103">
        <v>0</v>
      </c>
      <c r="E169" s="103">
        <v>0.03</v>
      </c>
      <c r="F169" s="103">
        <v>-7.0000000000000007E-2</v>
      </c>
      <c r="G169" s="154">
        <v>2.5499999999999998E-2</v>
      </c>
      <c r="H169" s="154">
        <v>-5.9500000000000004E-2</v>
      </c>
      <c r="I169" s="154"/>
      <c r="J169" s="154"/>
      <c r="K169" s="102" t="s">
        <v>273</v>
      </c>
      <c r="L169" s="131"/>
      <c r="M169" s="131"/>
      <c r="N169" s="131"/>
      <c r="O169" s="33" t="str">
        <f t="shared" si="17"/>
        <v xml:space="preserve"> </v>
      </c>
      <c r="P169" s="33" t="str">
        <f t="shared" si="18"/>
        <v xml:space="preserve"> </v>
      </c>
      <c r="Q169" s="33" t="str">
        <f t="shared" si="19"/>
        <v xml:space="preserve"> </v>
      </c>
      <c r="R169" s="34" t="str">
        <f t="shared" si="20"/>
        <v xml:space="preserve"> </v>
      </c>
      <c r="S169" s="35" t="str">
        <f t="shared" si="21"/>
        <v xml:space="preserve"> </v>
      </c>
      <c r="T169" s="36" t="str">
        <f t="shared" si="22"/>
        <v xml:space="preserve"> </v>
      </c>
      <c r="U169" s="34" t="str">
        <f t="shared" si="23"/>
        <v/>
      </c>
      <c r="V169" s="34" t="str">
        <f t="shared" si="24"/>
        <v/>
      </c>
      <c r="W169" s="165" t="str" cm="1">
        <f t="array" ref="W169">IF(AND(L169:N169 &gt;= D169+F169, L169:N169 &lt;= D169+E169), "OK", "NG")</f>
        <v>OK</v>
      </c>
    </row>
    <row r="170" spans="1:23" ht="18" customHeight="1">
      <c r="A170" s="32"/>
      <c r="B170" s="134" t="s">
        <v>329</v>
      </c>
      <c r="C170" s="102" t="s">
        <v>272</v>
      </c>
      <c r="D170" s="103">
        <v>0</v>
      </c>
      <c r="E170" s="103">
        <v>0.03</v>
      </c>
      <c r="F170" s="103">
        <v>-7.0000000000000007E-2</v>
      </c>
      <c r="G170" s="154">
        <v>2.5499999999999998E-2</v>
      </c>
      <c r="H170" s="154">
        <v>-5.9500000000000004E-2</v>
      </c>
      <c r="I170" s="154"/>
      <c r="J170" s="154"/>
      <c r="K170" s="102" t="s">
        <v>273</v>
      </c>
      <c r="L170" s="131"/>
      <c r="M170" s="131"/>
      <c r="N170" s="131"/>
      <c r="O170" s="33" t="str">
        <f t="shared" si="17"/>
        <v xml:space="preserve"> </v>
      </c>
      <c r="P170" s="33" t="str">
        <f t="shared" si="18"/>
        <v xml:space="preserve"> </v>
      </c>
      <c r="Q170" s="33" t="str">
        <f t="shared" si="19"/>
        <v xml:space="preserve"> </v>
      </c>
      <c r="R170" s="34" t="str">
        <f t="shared" si="20"/>
        <v xml:space="preserve"> </v>
      </c>
      <c r="S170" s="35" t="str">
        <f t="shared" si="21"/>
        <v xml:space="preserve"> </v>
      </c>
      <c r="T170" s="36" t="str">
        <f t="shared" si="22"/>
        <v xml:space="preserve"> </v>
      </c>
      <c r="U170" s="34" t="str">
        <f t="shared" si="23"/>
        <v/>
      </c>
      <c r="V170" s="34" t="str">
        <f t="shared" si="24"/>
        <v/>
      </c>
      <c r="W170" s="165" t="str" cm="1">
        <f t="array" ref="W170">IF(AND(L170:N170 &gt;= D170+F170, L170:N170 &lt;= D170+E170), "OK", "NG")</f>
        <v>OK</v>
      </c>
    </row>
    <row r="171" spans="1:23" ht="18" customHeight="1">
      <c r="A171" s="32"/>
      <c r="B171" s="101" t="s">
        <v>246</v>
      </c>
      <c r="C171" s="102" t="s">
        <v>45</v>
      </c>
      <c r="D171" s="103">
        <v>1.125</v>
      </c>
      <c r="E171" s="103">
        <v>0.05</v>
      </c>
      <c r="F171" s="103">
        <v>-0.05</v>
      </c>
      <c r="G171" s="154">
        <v>1.1675</v>
      </c>
      <c r="H171" s="154">
        <v>1.0825</v>
      </c>
      <c r="I171" s="154"/>
      <c r="J171" s="154"/>
      <c r="K171" s="102" t="s">
        <v>46</v>
      </c>
      <c r="L171" s="131"/>
      <c r="M171" s="131"/>
      <c r="N171" s="131"/>
      <c r="O171" s="33" t="str">
        <f t="shared" si="17"/>
        <v xml:space="preserve"> </v>
      </c>
      <c r="P171" s="33" t="str">
        <f t="shared" si="18"/>
        <v xml:space="preserve"> </v>
      </c>
      <c r="Q171" s="33" t="str">
        <f t="shared" si="19"/>
        <v xml:space="preserve"> </v>
      </c>
      <c r="R171" s="34" t="str">
        <f t="shared" si="20"/>
        <v xml:space="preserve"> </v>
      </c>
      <c r="S171" s="35" t="str">
        <f t="shared" si="21"/>
        <v xml:space="preserve"> </v>
      </c>
      <c r="T171" s="36" t="str">
        <f t="shared" si="22"/>
        <v xml:space="preserve"> </v>
      </c>
      <c r="U171" s="34" t="str">
        <f t="shared" si="23"/>
        <v/>
      </c>
      <c r="V171" s="34" t="str">
        <f t="shared" si="24"/>
        <v/>
      </c>
      <c r="W171" s="165" t="str" cm="1">
        <f t="array" ref="W171">IF(AND(L171:N171 &gt;= D171+F171, L171:N171 &lt;= D171+E171), "OK", "NG")</f>
        <v>NG</v>
      </c>
    </row>
    <row r="172" spans="1:23" ht="18" customHeight="1">
      <c r="A172" s="32"/>
      <c r="B172" s="101" t="s">
        <v>247</v>
      </c>
      <c r="C172" s="102" t="s">
        <v>45</v>
      </c>
      <c r="D172" s="103">
        <v>1.125</v>
      </c>
      <c r="E172" s="103">
        <v>0.05</v>
      </c>
      <c r="F172" s="103">
        <v>-0.05</v>
      </c>
      <c r="G172" s="154">
        <v>1.1675</v>
      </c>
      <c r="H172" s="154">
        <v>1.0825</v>
      </c>
      <c r="I172" s="154"/>
      <c r="J172" s="154"/>
      <c r="K172" s="102" t="s">
        <v>46</v>
      </c>
      <c r="L172" s="131"/>
      <c r="M172" s="131"/>
      <c r="N172" s="131"/>
      <c r="O172" s="33" t="str">
        <f t="shared" si="17"/>
        <v xml:space="preserve"> </v>
      </c>
      <c r="P172" s="33" t="str">
        <f t="shared" si="18"/>
        <v xml:space="preserve"> </v>
      </c>
      <c r="Q172" s="33" t="str">
        <f t="shared" si="19"/>
        <v xml:space="preserve"> </v>
      </c>
      <c r="R172" s="34" t="str">
        <f t="shared" si="20"/>
        <v xml:space="preserve"> </v>
      </c>
      <c r="S172" s="35" t="str">
        <f t="shared" si="21"/>
        <v xml:space="preserve"> </v>
      </c>
      <c r="T172" s="36" t="str">
        <f t="shared" si="22"/>
        <v xml:space="preserve"> </v>
      </c>
      <c r="U172" s="34" t="str">
        <f t="shared" si="23"/>
        <v/>
      </c>
      <c r="V172" s="34" t="str">
        <f t="shared" si="24"/>
        <v/>
      </c>
      <c r="W172" s="165" t="str" cm="1">
        <f t="array" ref="W172">IF(AND(L172:N172 &gt;= D172+F172, L172:N172 &lt;= D172+E172), "OK", "NG")</f>
        <v>NG</v>
      </c>
    </row>
    <row r="173" spans="1:23" ht="18" customHeight="1">
      <c r="A173" s="32"/>
      <c r="B173" s="101" t="s">
        <v>248</v>
      </c>
      <c r="C173" s="102" t="s">
        <v>45</v>
      </c>
      <c r="D173" s="103">
        <v>1.125</v>
      </c>
      <c r="E173" s="103">
        <v>0.05</v>
      </c>
      <c r="F173" s="103">
        <v>-0.05</v>
      </c>
      <c r="G173" s="154">
        <v>1.1675</v>
      </c>
      <c r="H173" s="154">
        <v>1.0825</v>
      </c>
      <c r="I173" s="154"/>
      <c r="J173" s="154"/>
      <c r="K173" s="102" t="s">
        <v>46</v>
      </c>
      <c r="L173" s="131"/>
      <c r="M173" s="131"/>
      <c r="N173" s="131"/>
      <c r="O173" s="33" t="str">
        <f t="shared" si="17"/>
        <v xml:space="preserve"> </v>
      </c>
      <c r="P173" s="33" t="str">
        <f t="shared" si="18"/>
        <v xml:space="preserve"> </v>
      </c>
      <c r="Q173" s="33" t="str">
        <f t="shared" si="19"/>
        <v xml:space="preserve"> </v>
      </c>
      <c r="R173" s="34" t="str">
        <f t="shared" si="20"/>
        <v xml:space="preserve"> </v>
      </c>
      <c r="S173" s="35" t="str">
        <f t="shared" si="21"/>
        <v xml:space="preserve"> </v>
      </c>
      <c r="T173" s="36" t="str">
        <f t="shared" si="22"/>
        <v xml:space="preserve"> </v>
      </c>
      <c r="U173" s="34" t="str">
        <f t="shared" si="23"/>
        <v/>
      </c>
      <c r="V173" s="34" t="str">
        <f t="shared" si="24"/>
        <v/>
      </c>
      <c r="W173" s="165" t="str" cm="1">
        <f t="array" ref="W173">IF(AND(L173:N173 &gt;= D173+F173, L173:N173 &lt;= D173+E173), "OK", "NG")</f>
        <v>NG</v>
      </c>
    </row>
    <row r="174" spans="1:23" ht="18" customHeight="1">
      <c r="A174" s="32"/>
      <c r="B174" s="101" t="s">
        <v>249</v>
      </c>
      <c r="C174" s="102" t="s">
        <v>45</v>
      </c>
      <c r="D174" s="103">
        <v>0.35</v>
      </c>
      <c r="E174" s="103">
        <v>0.03</v>
      </c>
      <c r="F174" s="103">
        <v>-0.03</v>
      </c>
      <c r="G174" s="154">
        <v>0.3755</v>
      </c>
      <c r="H174" s="154">
        <v>0.32449999999999996</v>
      </c>
      <c r="I174" s="154"/>
      <c r="J174" s="154"/>
      <c r="K174" s="102" t="s">
        <v>46</v>
      </c>
      <c r="L174" s="131"/>
      <c r="M174" s="131"/>
      <c r="N174" s="131"/>
      <c r="O174" s="33" t="str">
        <f t="shared" si="17"/>
        <v xml:space="preserve"> </v>
      </c>
      <c r="P174" s="33" t="str">
        <f t="shared" si="18"/>
        <v xml:space="preserve"> </v>
      </c>
      <c r="Q174" s="33" t="str">
        <f t="shared" si="19"/>
        <v xml:space="preserve"> </v>
      </c>
      <c r="R174" s="34" t="str">
        <f t="shared" si="20"/>
        <v xml:space="preserve"> </v>
      </c>
      <c r="S174" s="35" t="str">
        <f t="shared" si="21"/>
        <v xml:space="preserve"> </v>
      </c>
      <c r="T174" s="36" t="str">
        <f t="shared" si="22"/>
        <v xml:space="preserve"> </v>
      </c>
      <c r="U174" s="34" t="str">
        <f t="shared" si="23"/>
        <v/>
      </c>
      <c r="V174" s="34" t="str">
        <f t="shared" si="24"/>
        <v/>
      </c>
      <c r="W174" s="165" t="str" cm="1">
        <f t="array" ref="W174">IF(AND(L174:N174 &gt;= D174+F174, L174:N174 &lt;= D174+E174), "OK", "NG")</f>
        <v>NG</v>
      </c>
    </row>
    <row r="175" spans="1:23" ht="18" customHeight="1">
      <c r="A175" s="32"/>
      <c r="B175" s="101" t="s">
        <v>250</v>
      </c>
      <c r="C175" s="102" t="s">
        <v>45</v>
      </c>
      <c r="D175" s="103">
        <v>0.35</v>
      </c>
      <c r="E175" s="103">
        <v>0.03</v>
      </c>
      <c r="F175" s="103">
        <v>-0.03</v>
      </c>
      <c r="G175" s="154">
        <v>0.3755</v>
      </c>
      <c r="H175" s="154">
        <v>0.32449999999999996</v>
      </c>
      <c r="I175" s="154"/>
      <c r="J175" s="154"/>
      <c r="K175" s="102" t="s">
        <v>46</v>
      </c>
      <c r="L175" s="131"/>
      <c r="M175" s="131"/>
      <c r="N175" s="131"/>
      <c r="O175" s="33" t="str">
        <f t="shared" si="17"/>
        <v xml:space="preserve"> </v>
      </c>
      <c r="P175" s="33" t="str">
        <f t="shared" si="18"/>
        <v xml:space="preserve"> </v>
      </c>
      <c r="Q175" s="33" t="str">
        <f t="shared" si="19"/>
        <v xml:space="preserve"> </v>
      </c>
      <c r="R175" s="34" t="str">
        <f t="shared" si="20"/>
        <v xml:space="preserve"> </v>
      </c>
      <c r="S175" s="35" t="str">
        <f t="shared" si="21"/>
        <v xml:space="preserve"> </v>
      </c>
      <c r="T175" s="36" t="str">
        <f t="shared" si="22"/>
        <v xml:space="preserve"> </v>
      </c>
      <c r="U175" s="34" t="str">
        <f t="shared" si="23"/>
        <v/>
      </c>
      <c r="V175" s="34" t="str">
        <f t="shared" si="24"/>
        <v/>
      </c>
      <c r="W175" s="165" t="str" cm="1">
        <f t="array" ref="W175">IF(AND(L175:N175 &gt;= D175+F175, L175:N175 &lt;= D175+E175), "OK", "NG")</f>
        <v>NG</v>
      </c>
    </row>
    <row r="176" spans="1:23" ht="18" customHeight="1">
      <c r="A176" s="32"/>
      <c r="B176" s="101" t="s">
        <v>251</v>
      </c>
      <c r="C176" s="102" t="s">
        <v>45</v>
      </c>
      <c r="D176" s="103">
        <v>0.35</v>
      </c>
      <c r="E176" s="103">
        <v>0.03</v>
      </c>
      <c r="F176" s="103">
        <v>-0.03</v>
      </c>
      <c r="G176" s="154">
        <v>0.3755</v>
      </c>
      <c r="H176" s="154">
        <v>0.32449999999999996</v>
      </c>
      <c r="I176" s="154"/>
      <c r="J176" s="154"/>
      <c r="K176" s="102" t="s">
        <v>46</v>
      </c>
      <c r="L176" s="131"/>
      <c r="M176" s="131"/>
      <c r="N176" s="131"/>
      <c r="O176" s="33" t="str">
        <f t="shared" si="17"/>
        <v xml:space="preserve"> </v>
      </c>
      <c r="P176" s="33" t="str">
        <f t="shared" si="18"/>
        <v xml:space="preserve"> </v>
      </c>
      <c r="Q176" s="33" t="str">
        <f t="shared" si="19"/>
        <v xml:space="preserve"> </v>
      </c>
      <c r="R176" s="34" t="str">
        <f t="shared" si="20"/>
        <v xml:space="preserve"> </v>
      </c>
      <c r="S176" s="35" t="str">
        <f t="shared" si="21"/>
        <v xml:space="preserve"> </v>
      </c>
      <c r="T176" s="36" t="str">
        <f t="shared" si="22"/>
        <v xml:space="preserve"> </v>
      </c>
      <c r="U176" s="34" t="str">
        <f t="shared" si="23"/>
        <v/>
      </c>
      <c r="V176" s="34" t="str">
        <f t="shared" si="24"/>
        <v/>
      </c>
      <c r="W176" s="165" t="str" cm="1">
        <f t="array" ref="W176">IF(AND(L176:N176 &gt;= D176+F176, L176:N176 &lt;= D176+E176), "OK", "NG")</f>
        <v>NG</v>
      </c>
    </row>
    <row r="177" spans="1:23" ht="18" customHeight="1">
      <c r="A177" s="32"/>
      <c r="B177" s="101" t="s">
        <v>252</v>
      </c>
      <c r="C177" s="102" t="s">
        <v>45</v>
      </c>
      <c r="D177" s="103">
        <v>0.35</v>
      </c>
      <c r="E177" s="103">
        <v>0.03</v>
      </c>
      <c r="F177" s="103">
        <v>-0.03</v>
      </c>
      <c r="G177" s="154">
        <v>0.3755</v>
      </c>
      <c r="H177" s="154">
        <v>0.32449999999999996</v>
      </c>
      <c r="I177" s="154"/>
      <c r="J177" s="154"/>
      <c r="K177" s="102" t="s">
        <v>46</v>
      </c>
      <c r="L177" s="131"/>
      <c r="M177" s="131"/>
      <c r="N177" s="131"/>
      <c r="O177" s="33" t="str">
        <f t="shared" si="17"/>
        <v xml:space="preserve"> </v>
      </c>
      <c r="P177" s="33" t="str">
        <f t="shared" si="18"/>
        <v xml:space="preserve"> </v>
      </c>
      <c r="Q177" s="33" t="str">
        <f t="shared" si="19"/>
        <v xml:space="preserve"> </v>
      </c>
      <c r="R177" s="34" t="str">
        <f t="shared" si="20"/>
        <v xml:space="preserve"> </v>
      </c>
      <c r="S177" s="35" t="str">
        <f t="shared" si="21"/>
        <v xml:space="preserve"> </v>
      </c>
      <c r="T177" s="36" t="str">
        <f t="shared" si="22"/>
        <v xml:space="preserve"> </v>
      </c>
      <c r="U177" s="34" t="str">
        <f t="shared" si="23"/>
        <v/>
      </c>
      <c r="V177" s="34" t="str">
        <f t="shared" si="24"/>
        <v/>
      </c>
      <c r="W177" s="165" t="str" cm="1">
        <f t="array" ref="W177">IF(AND(L177:N177 &gt;= D177+F177, L177:N177 &lt;= D177+E177), "OK", "NG")</f>
        <v>NG</v>
      </c>
    </row>
    <row r="178" spans="1:23" ht="18" customHeight="1">
      <c r="A178" s="32"/>
      <c r="B178" s="101" t="s">
        <v>253</v>
      </c>
      <c r="C178" s="102" t="s">
        <v>45</v>
      </c>
      <c r="D178" s="103">
        <v>0.25</v>
      </c>
      <c r="E178" s="103">
        <v>0.03</v>
      </c>
      <c r="F178" s="103">
        <v>-0.03</v>
      </c>
      <c r="G178" s="154">
        <v>0.27550000000000002</v>
      </c>
      <c r="H178" s="154">
        <v>0.22450000000000001</v>
      </c>
      <c r="I178" s="154"/>
      <c r="J178" s="154"/>
      <c r="K178" s="102" t="s">
        <v>46</v>
      </c>
      <c r="L178" s="131"/>
      <c r="M178" s="131"/>
      <c r="N178" s="131"/>
      <c r="O178" s="33" t="str">
        <f t="shared" si="17"/>
        <v xml:space="preserve"> </v>
      </c>
      <c r="P178" s="33" t="str">
        <f t="shared" si="18"/>
        <v xml:space="preserve"> </v>
      </c>
      <c r="Q178" s="33" t="str">
        <f t="shared" si="19"/>
        <v xml:space="preserve"> </v>
      </c>
      <c r="R178" s="34" t="str">
        <f t="shared" si="20"/>
        <v xml:space="preserve"> </v>
      </c>
      <c r="S178" s="35" t="str">
        <f t="shared" si="21"/>
        <v xml:space="preserve"> </v>
      </c>
      <c r="T178" s="36" t="str">
        <f t="shared" si="22"/>
        <v xml:space="preserve"> </v>
      </c>
      <c r="U178" s="34" t="str">
        <f t="shared" si="23"/>
        <v/>
      </c>
      <c r="V178" s="34" t="str">
        <f t="shared" si="24"/>
        <v/>
      </c>
      <c r="W178" s="165" t="str" cm="1">
        <f t="array" ref="W178">IF(AND(L178:N178 &gt;= D178+F178, L178:N178 &lt;= D178+E178), "OK", "NG")</f>
        <v>NG</v>
      </c>
    </row>
    <row r="179" spans="1:23" ht="18" customHeight="1">
      <c r="A179" s="32"/>
      <c r="B179" s="101" t="s">
        <v>254</v>
      </c>
      <c r="C179" s="102" t="s">
        <v>45</v>
      </c>
      <c r="D179" s="103">
        <v>0.25</v>
      </c>
      <c r="E179" s="103">
        <v>0.03</v>
      </c>
      <c r="F179" s="103">
        <v>-0.03</v>
      </c>
      <c r="G179" s="154">
        <v>0.27550000000000002</v>
      </c>
      <c r="H179" s="154">
        <v>0.22450000000000001</v>
      </c>
      <c r="I179" s="154"/>
      <c r="J179" s="154"/>
      <c r="K179" s="102" t="s">
        <v>46</v>
      </c>
      <c r="L179" s="131"/>
      <c r="M179" s="131"/>
      <c r="N179" s="131"/>
      <c r="O179" s="33" t="str">
        <f t="shared" si="17"/>
        <v xml:space="preserve"> </v>
      </c>
      <c r="P179" s="33" t="str">
        <f t="shared" si="18"/>
        <v xml:space="preserve"> </v>
      </c>
      <c r="Q179" s="33" t="str">
        <f t="shared" si="19"/>
        <v xml:space="preserve"> </v>
      </c>
      <c r="R179" s="34" t="str">
        <f t="shared" si="20"/>
        <v xml:space="preserve"> </v>
      </c>
      <c r="S179" s="35" t="str">
        <f t="shared" si="21"/>
        <v xml:space="preserve"> </v>
      </c>
      <c r="T179" s="36" t="str">
        <f t="shared" si="22"/>
        <v xml:space="preserve"> </v>
      </c>
      <c r="U179" s="34" t="str">
        <f t="shared" si="23"/>
        <v/>
      </c>
      <c r="V179" s="34" t="str">
        <f t="shared" si="24"/>
        <v/>
      </c>
      <c r="W179" s="165" t="str" cm="1">
        <f t="array" ref="W179">IF(AND(L179:N179 &gt;= D179+F179, L179:N179 &lt;= D179+E179), "OK", "NG")</f>
        <v>NG</v>
      </c>
    </row>
    <row r="180" spans="1:23" ht="18" customHeight="1">
      <c r="A180" s="32"/>
      <c r="B180" s="101" t="s">
        <v>403</v>
      </c>
      <c r="C180" s="102" t="s">
        <v>45</v>
      </c>
      <c r="D180" s="103">
        <v>3.4249999999999998</v>
      </c>
      <c r="E180" s="103">
        <v>0.03</v>
      </c>
      <c r="F180" s="103">
        <v>-4.4999999999999998E-2</v>
      </c>
      <c r="G180" s="154">
        <v>3.4504999999999999</v>
      </c>
      <c r="H180" s="154">
        <v>3.3867499999999997</v>
      </c>
      <c r="I180" s="154"/>
      <c r="J180" s="154"/>
      <c r="K180" s="102" t="s">
        <v>46</v>
      </c>
      <c r="L180" s="131"/>
      <c r="M180" s="131"/>
      <c r="N180" s="131"/>
      <c r="O180" s="33" t="str">
        <f t="shared" si="17"/>
        <v xml:space="preserve"> </v>
      </c>
      <c r="P180" s="33" t="str">
        <f t="shared" si="18"/>
        <v xml:space="preserve"> </v>
      </c>
      <c r="Q180" s="33" t="str">
        <f t="shared" si="19"/>
        <v xml:space="preserve"> </v>
      </c>
      <c r="R180" s="34" t="str">
        <f t="shared" si="20"/>
        <v xml:space="preserve"> </v>
      </c>
      <c r="S180" s="35" t="str">
        <f t="shared" si="21"/>
        <v xml:space="preserve"> </v>
      </c>
      <c r="T180" s="36" t="str">
        <f t="shared" si="22"/>
        <v xml:space="preserve"> </v>
      </c>
      <c r="U180" s="34" t="str">
        <f t="shared" si="23"/>
        <v/>
      </c>
      <c r="V180" s="34" t="str">
        <f t="shared" si="24"/>
        <v/>
      </c>
      <c r="W180" s="165" t="str" cm="1">
        <f t="array" ref="W180">IF(AND(L180:N180 &gt;= D180+F180, L180:N180 &lt;= D180+E180), "OK", "NG")</f>
        <v>NG</v>
      </c>
    </row>
    <row r="181" spans="1:23" ht="18" customHeight="1">
      <c r="A181" s="32"/>
      <c r="B181" s="101" t="s">
        <v>404</v>
      </c>
      <c r="C181" s="102" t="s">
        <v>45</v>
      </c>
      <c r="D181" s="103">
        <v>-0.45</v>
      </c>
      <c r="E181" s="103">
        <v>1.4999999999999999E-2</v>
      </c>
      <c r="F181" s="103">
        <v>-1.4999999999999999E-2</v>
      </c>
      <c r="G181" s="154">
        <v>-0.43725000000000003</v>
      </c>
      <c r="H181" s="154">
        <v>-0.46274999999999999</v>
      </c>
      <c r="I181" s="154"/>
      <c r="J181" s="154"/>
      <c r="K181" s="102" t="s">
        <v>273</v>
      </c>
      <c r="L181" s="131"/>
      <c r="M181" s="131"/>
      <c r="N181" s="131"/>
      <c r="O181" s="33" t="str">
        <f t="shared" si="17"/>
        <v xml:space="preserve"> </v>
      </c>
      <c r="P181" s="33" t="str">
        <f t="shared" si="18"/>
        <v xml:space="preserve"> </v>
      </c>
      <c r="Q181" s="33" t="str">
        <f t="shared" si="19"/>
        <v xml:space="preserve"> </v>
      </c>
      <c r="R181" s="34" t="str">
        <f t="shared" si="20"/>
        <v xml:space="preserve"> </v>
      </c>
      <c r="S181" s="35" t="str">
        <f t="shared" si="21"/>
        <v xml:space="preserve"> </v>
      </c>
      <c r="T181" s="36" t="str">
        <f t="shared" si="22"/>
        <v xml:space="preserve"> </v>
      </c>
      <c r="U181" s="34" t="str">
        <f t="shared" si="23"/>
        <v/>
      </c>
      <c r="V181" s="34" t="str">
        <f t="shared" si="24"/>
        <v/>
      </c>
      <c r="W181" s="165" t="str" cm="1">
        <f t="array" ref="W181">IF(AND(L181:N181 &gt;= D181+F181, L181:N181 &lt;= D181+E181), "OK", "NG")</f>
        <v>NG</v>
      </c>
    </row>
    <row r="182" spans="1:23" ht="18" customHeight="1">
      <c r="A182" s="32"/>
      <c r="B182" s="101" t="s">
        <v>405</v>
      </c>
      <c r="C182" s="102" t="s">
        <v>45</v>
      </c>
      <c r="D182" s="103">
        <v>0</v>
      </c>
      <c r="E182" s="103">
        <v>3.0000000000000001E-3</v>
      </c>
      <c r="F182" s="103">
        <v>-3.0000000000000001E-3</v>
      </c>
      <c r="G182" s="154">
        <v>2.5500000000000002E-3</v>
      </c>
      <c r="H182" s="154">
        <v>-2.5500000000000002E-3</v>
      </c>
      <c r="I182" s="154"/>
      <c r="J182" s="154"/>
      <c r="K182" s="102" t="s">
        <v>273</v>
      </c>
      <c r="L182" s="131"/>
      <c r="M182" s="131"/>
      <c r="N182" s="131"/>
      <c r="O182" s="33" t="str">
        <f t="shared" si="17"/>
        <v xml:space="preserve"> </v>
      </c>
      <c r="P182" s="33" t="str">
        <f t="shared" si="18"/>
        <v xml:space="preserve"> </v>
      </c>
      <c r="Q182" s="33" t="str">
        <f t="shared" si="19"/>
        <v xml:space="preserve"> </v>
      </c>
      <c r="R182" s="34" t="str">
        <f t="shared" si="20"/>
        <v xml:space="preserve"> </v>
      </c>
      <c r="S182" s="35" t="str">
        <f t="shared" si="21"/>
        <v xml:space="preserve"> </v>
      </c>
      <c r="T182" s="36" t="str">
        <f t="shared" si="22"/>
        <v xml:space="preserve"> </v>
      </c>
      <c r="U182" s="34" t="str">
        <f t="shared" si="23"/>
        <v/>
      </c>
      <c r="V182" s="34" t="str">
        <f t="shared" si="24"/>
        <v/>
      </c>
      <c r="W182" s="165" t="str" cm="1">
        <f t="array" ref="W182">IF(AND(L182:N182 &gt;= D182+F182, L182:N182 &lt;= D182+E182), "OK", "NG")</f>
        <v>OK</v>
      </c>
    </row>
    <row r="183" spans="1:23" ht="18" customHeight="1">
      <c r="A183" s="32"/>
      <c r="B183" s="101" t="s">
        <v>406</v>
      </c>
      <c r="C183" s="102" t="s">
        <v>45</v>
      </c>
      <c r="D183" s="103">
        <v>0</v>
      </c>
      <c r="E183" s="103">
        <v>3.0000000000000001E-3</v>
      </c>
      <c r="F183" s="103">
        <v>-3.0000000000000001E-3</v>
      </c>
      <c r="G183" s="154">
        <v>2.5500000000000002E-3</v>
      </c>
      <c r="H183" s="154">
        <v>-2.5500000000000002E-3</v>
      </c>
      <c r="I183" s="154"/>
      <c r="J183" s="154"/>
      <c r="K183" s="102" t="s">
        <v>273</v>
      </c>
      <c r="L183" s="131"/>
      <c r="M183" s="131"/>
      <c r="N183" s="131"/>
      <c r="O183" s="33" t="str">
        <f t="shared" si="17"/>
        <v xml:space="preserve"> </v>
      </c>
      <c r="P183" s="33" t="str">
        <f t="shared" si="18"/>
        <v xml:space="preserve"> </v>
      </c>
      <c r="Q183" s="33" t="str">
        <f t="shared" si="19"/>
        <v xml:space="preserve"> </v>
      </c>
      <c r="R183" s="34" t="str">
        <f t="shared" si="20"/>
        <v xml:space="preserve"> </v>
      </c>
      <c r="S183" s="35" t="str">
        <f t="shared" si="21"/>
        <v xml:space="preserve"> </v>
      </c>
      <c r="T183" s="36" t="str">
        <f t="shared" si="22"/>
        <v xml:space="preserve"> </v>
      </c>
      <c r="U183" s="34" t="str">
        <f t="shared" si="23"/>
        <v/>
      </c>
      <c r="V183" s="34" t="str">
        <f t="shared" si="24"/>
        <v/>
      </c>
      <c r="W183" s="165" t="str" cm="1">
        <f t="array" ref="W183">IF(AND(L183:N183 &gt;= D183+F183, L183:N183 &lt;= D183+E183), "OK", "NG")</f>
        <v>OK</v>
      </c>
    </row>
    <row r="184" spans="1:23" ht="18" customHeight="1">
      <c r="A184" s="32"/>
      <c r="B184" s="101" t="s">
        <v>407</v>
      </c>
      <c r="C184" s="102" t="s">
        <v>45</v>
      </c>
      <c r="D184" s="103">
        <v>0</v>
      </c>
      <c r="E184" s="103">
        <v>5.0000000000000001E-3</v>
      </c>
      <c r="F184" s="103">
        <v>-8.0000000000000002E-3</v>
      </c>
      <c r="G184" s="154">
        <v>4.2500000000000003E-3</v>
      </c>
      <c r="H184" s="154">
        <v>-6.7999999999999996E-3</v>
      </c>
      <c r="I184" s="154"/>
      <c r="J184" s="154"/>
      <c r="K184" s="102" t="s">
        <v>273</v>
      </c>
      <c r="L184" s="131"/>
      <c r="M184" s="131"/>
      <c r="N184" s="131"/>
      <c r="O184" s="33" t="str">
        <f t="shared" si="17"/>
        <v xml:space="preserve"> </v>
      </c>
      <c r="P184" s="33" t="str">
        <f t="shared" si="18"/>
        <v xml:space="preserve"> </v>
      </c>
      <c r="Q184" s="33" t="str">
        <f t="shared" si="19"/>
        <v xml:space="preserve"> </v>
      </c>
      <c r="R184" s="34" t="str">
        <f t="shared" si="20"/>
        <v xml:space="preserve"> </v>
      </c>
      <c r="S184" s="35" t="str">
        <f t="shared" si="21"/>
        <v xml:space="preserve"> </v>
      </c>
      <c r="T184" s="36" t="str">
        <f t="shared" si="22"/>
        <v xml:space="preserve"> </v>
      </c>
      <c r="U184" s="34" t="str">
        <f t="shared" si="23"/>
        <v/>
      </c>
      <c r="V184" s="34" t="str">
        <f t="shared" si="24"/>
        <v/>
      </c>
      <c r="W184" s="165" t="str" cm="1">
        <f t="array" ref="W184">IF(AND(L184:N184 &gt;= D184+F184, L184:N184 &lt;= D184+E184), "OK", "NG")</f>
        <v>OK</v>
      </c>
    </row>
    <row r="185" spans="1:23" ht="18" customHeight="1">
      <c r="A185" s="32"/>
      <c r="B185" s="101" t="s">
        <v>408</v>
      </c>
      <c r="C185" s="102" t="s">
        <v>45</v>
      </c>
      <c r="D185" s="103">
        <v>0</v>
      </c>
      <c r="E185" s="103">
        <v>7.0000000000000001E-3</v>
      </c>
      <c r="F185" s="103">
        <v>-7.0000000000000001E-3</v>
      </c>
      <c r="G185" s="154">
        <v>5.9499999999999996E-3</v>
      </c>
      <c r="H185" s="154">
        <v>-5.9499999999999996E-3</v>
      </c>
      <c r="I185" s="154"/>
      <c r="J185" s="154"/>
      <c r="K185" s="102" t="s">
        <v>273</v>
      </c>
      <c r="L185" s="131"/>
      <c r="M185" s="131"/>
      <c r="N185" s="131"/>
      <c r="O185" s="33" t="str">
        <f t="shared" si="17"/>
        <v xml:space="preserve"> </v>
      </c>
      <c r="P185" s="33" t="str">
        <f t="shared" si="18"/>
        <v xml:space="preserve"> </v>
      </c>
      <c r="Q185" s="33" t="str">
        <f t="shared" si="19"/>
        <v xml:space="preserve"> </v>
      </c>
      <c r="R185" s="34" t="str">
        <f t="shared" si="20"/>
        <v xml:space="preserve"> </v>
      </c>
      <c r="S185" s="35" t="str">
        <f t="shared" si="21"/>
        <v xml:space="preserve"> </v>
      </c>
      <c r="T185" s="36" t="str">
        <f t="shared" si="22"/>
        <v xml:space="preserve"> </v>
      </c>
      <c r="U185" s="34" t="str">
        <f t="shared" si="23"/>
        <v/>
      </c>
      <c r="V185" s="34" t="str">
        <f t="shared" si="24"/>
        <v/>
      </c>
      <c r="W185" s="165" t="str" cm="1">
        <f t="array" ref="W185">IF(AND(L185:N185 &gt;= D185+F185, L185:N185 &lt;= D185+E185), "OK", "NG")</f>
        <v>OK</v>
      </c>
    </row>
    <row r="186" spans="1:23" ht="18" customHeight="1">
      <c r="A186" s="32"/>
      <c r="B186" s="101" t="s">
        <v>409</v>
      </c>
      <c r="C186" s="102" t="s">
        <v>45</v>
      </c>
      <c r="D186" s="103">
        <v>0</v>
      </c>
      <c r="E186" s="103">
        <v>8.0000000000000002E-3</v>
      </c>
      <c r="F186" s="103">
        <v>-8.0000000000000002E-3</v>
      </c>
      <c r="G186" s="154">
        <v>6.7999999999999996E-3</v>
      </c>
      <c r="H186" s="154">
        <v>-6.7999999999999996E-3</v>
      </c>
      <c r="I186" s="154"/>
      <c r="J186" s="154"/>
      <c r="K186" s="102" t="s">
        <v>273</v>
      </c>
      <c r="L186" s="131"/>
      <c r="M186" s="131"/>
      <c r="N186" s="131"/>
      <c r="O186" s="33" t="str">
        <f t="shared" si="17"/>
        <v xml:space="preserve"> </v>
      </c>
      <c r="P186" s="33" t="str">
        <f t="shared" si="18"/>
        <v xml:space="preserve"> </v>
      </c>
      <c r="Q186" s="33" t="str">
        <f t="shared" si="19"/>
        <v xml:space="preserve"> </v>
      </c>
      <c r="R186" s="34" t="str">
        <f t="shared" si="20"/>
        <v xml:space="preserve"> </v>
      </c>
      <c r="S186" s="35" t="str">
        <f t="shared" si="21"/>
        <v xml:space="preserve"> </v>
      </c>
      <c r="T186" s="36" t="str">
        <f t="shared" si="22"/>
        <v xml:space="preserve"> </v>
      </c>
      <c r="U186" s="34" t="str">
        <f t="shared" si="23"/>
        <v/>
      </c>
      <c r="V186" s="34" t="str">
        <f t="shared" si="24"/>
        <v/>
      </c>
      <c r="W186" s="165" t="str" cm="1">
        <f t="array" ref="W186">IF(AND(L186:N186 &gt;= D186+F186, L186:N186 &lt;= D186+E186), "OK", "NG")</f>
        <v>OK</v>
      </c>
    </row>
    <row r="187" spans="1:23" ht="18" customHeight="1">
      <c r="A187" s="32"/>
      <c r="B187" s="101" t="s">
        <v>410</v>
      </c>
      <c r="C187" s="102" t="s">
        <v>45</v>
      </c>
      <c r="D187" s="103">
        <v>-0.45</v>
      </c>
      <c r="E187" s="103">
        <v>1.4999999999999999E-2</v>
      </c>
      <c r="F187" s="103">
        <v>-1.4999999999999999E-2</v>
      </c>
      <c r="G187" s="154">
        <v>-0.43725000000000003</v>
      </c>
      <c r="H187" s="154">
        <v>-0.46274999999999999</v>
      </c>
      <c r="I187" s="154"/>
      <c r="J187" s="154"/>
      <c r="K187" s="102" t="s">
        <v>273</v>
      </c>
      <c r="L187" s="131"/>
      <c r="M187" s="131"/>
      <c r="N187" s="131"/>
      <c r="O187" s="33" t="str">
        <f t="shared" si="17"/>
        <v xml:space="preserve"> </v>
      </c>
      <c r="P187" s="33" t="str">
        <f t="shared" si="18"/>
        <v xml:space="preserve"> </v>
      </c>
      <c r="Q187" s="33" t="str">
        <f t="shared" si="19"/>
        <v xml:space="preserve"> </v>
      </c>
      <c r="R187" s="34" t="str">
        <f t="shared" si="20"/>
        <v xml:space="preserve"> </v>
      </c>
      <c r="S187" s="35" t="str">
        <f t="shared" si="21"/>
        <v xml:space="preserve"> </v>
      </c>
      <c r="T187" s="36" t="str">
        <f t="shared" si="22"/>
        <v xml:space="preserve"> </v>
      </c>
      <c r="U187" s="34" t="str">
        <f t="shared" si="23"/>
        <v/>
      </c>
      <c r="V187" s="34" t="str">
        <f t="shared" si="24"/>
        <v/>
      </c>
      <c r="W187" s="165" t="str" cm="1">
        <f t="array" ref="W187">IF(AND(L187:N187 &gt;= D187+F187, L187:N187 &lt;= D187+E187), "OK", "NG")</f>
        <v>NG</v>
      </c>
    </row>
    <row r="188" spans="1:23" ht="18" customHeight="1">
      <c r="A188" s="32"/>
      <c r="B188" s="101" t="s">
        <v>411</v>
      </c>
      <c r="C188" s="102" t="s">
        <v>45</v>
      </c>
      <c r="D188" s="103">
        <v>0</v>
      </c>
      <c r="E188" s="103">
        <v>3.0000000000000001E-3</v>
      </c>
      <c r="F188" s="103">
        <v>-3.0000000000000001E-3</v>
      </c>
      <c r="G188" s="154">
        <v>2.5500000000000002E-3</v>
      </c>
      <c r="H188" s="154">
        <v>-2.5500000000000002E-3</v>
      </c>
      <c r="I188" s="154"/>
      <c r="J188" s="154"/>
      <c r="K188" s="102" t="s">
        <v>273</v>
      </c>
      <c r="L188" s="131"/>
      <c r="M188" s="131"/>
      <c r="N188" s="131"/>
      <c r="O188" s="33" t="str">
        <f t="shared" si="17"/>
        <v xml:space="preserve"> </v>
      </c>
      <c r="P188" s="33" t="str">
        <f t="shared" si="18"/>
        <v xml:space="preserve"> </v>
      </c>
      <c r="Q188" s="33" t="str">
        <f t="shared" si="19"/>
        <v xml:space="preserve"> </v>
      </c>
      <c r="R188" s="34" t="str">
        <f t="shared" si="20"/>
        <v xml:space="preserve"> </v>
      </c>
      <c r="S188" s="35" t="str">
        <f t="shared" si="21"/>
        <v xml:space="preserve"> </v>
      </c>
      <c r="T188" s="36" t="str">
        <f t="shared" si="22"/>
        <v xml:space="preserve"> </v>
      </c>
      <c r="U188" s="34" t="str">
        <f t="shared" si="23"/>
        <v/>
      </c>
      <c r="V188" s="34" t="str">
        <f t="shared" si="24"/>
        <v/>
      </c>
      <c r="W188" s="165" t="str" cm="1">
        <f t="array" ref="W188">IF(AND(L188:N188 &gt;= D188+F188, L188:N188 &lt;= D188+E188), "OK", "NG")</f>
        <v>OK</v>
      </c>
    </row>
    <row r="189" spans="1:23" ht="18" customHeight="1">
      <c r="A189" s="32"/>
      <c r="B189" s="101" t="s">
        <v>412</v>
      </c>
      <c r="C189" s="102" t="s">
        <v>45</v>
      </c>
      <c r="D189" s="103">
        <v>0</v>
      </c>
      <c r="E189" s="103">
        <v>3.0000000000000001E-3</v>
      </c>
      <c r="F189" s="103">
        <v>-3.0000000000000001E-3</v>
      </c>
      <c r="G189" s="154">
        <v>2.5500000000000002E-3</v>
      </c>
      <c r="H189" s="154">
        <v>-2.5500000000000002E-3</v>
      </c>
      <c r="I189" s="154"/>
      <c r="J189" s="154"/>
      <c r="K189" s="102" t="s">
        <v>273</v>
      </c>
      <c r="L189" s="131"/>
      <c r="M189" s="131"/>
      <c r="N189" s="131"/>
      <c r="O189" s="33" t="str">
        <f t="shared" si="17"/>
        <v xml:space="preserve"> </v>
      </c>
      <c r="P189" s="33" t="str">
        <f t="shared" si="18"/>
        <v xml:space="preserve"> </v>
      </c>
      <c r="Q189" s="33" t="str">
        <f t="shared" si="19"/>
        <v xml:space="preserve"> </v>
      </c>
      <c r="R189" s="34" t="str">
        <f t="shared" si="20"/>
        <v xml:space="preserve"> </v>
      </c>
      <c r="S189" s="35" t="str">
        <f t="shared" si="21"/>
        <v xml:space="preserve"> </v>
      </c>
      <c r="T189" s="36" t="str">
        <f t="shared" si="22"/>
        <v xml:space="preserve"> </v>
      </c>
      <c r="U189" s="34" t="str">
        <f t="shared" si="23"/>
        <v/>
      </c>
      <c r="V189" s="34" t="str">
        <f t="shared" si="24"/>
        <v/>
      </c>
      <c r="W189" s="165" t="str" cm="1">
        <f t="array" ref="W189">IF(AND(L189:N189 &gt;= D189+F189, L189:N189 &lt;= D189+E189), "OK", "NG")</f>
        <v>OK</v>
      </c>
    </row>
    <row r="190" spans="1:23" ht="18" customHeight="1">
      <c r="A190" s="32"/>
      <c r="B190" s="101" t="s">
        <v>413</v>
      </c>
      <c r="C190" s="102" t="s">
        <v>45</v>
      </c>
      <c r="D190" s="103">
        <v>0</v>
      </c>
      <c r="E190" s="103">
        <v>5.0000000000000001E-3</v>
      </c>
      <c r="F190" s="103">
        <v>-8.0000000000000002E-3</v>
      </c>
      <c r="G190" s="154">
        <v>4.2500000000000003E-3</v>
      </c>
      <c r="H190" s="154">
        <v>-6.7999999999999996E-3</v>
      </c>
      <c r="I190" s="154"/>
      <c r="J190" s="154"/>
      <c r="K190" s="102" t="s">
        <v>273</v>
      </c>
      <c r="L190" s="131"/>
      <c r="M190" s="131"/>
      <c r="N190" s="131"/>
      <c r="O190" s="33" t="str">
        <f t="shared" si="17"/>
        <v xml:space="preserve"> </v>
      </c>
      <c r="P190" s="33" t="str">
        <f t="shared" si="18"/>
        <v xml:space="preserve"> </v>
      </c>
      <c r="Q190" s="33" t="str">
        <f t="shared" si="19"/>
        <v xml:space="preserve"> </v>
      </c>
      <c r="R190" s="34" t="str">
        <f t="shared" si="20"/>
        <v xml:space="preserve"> </v>
      </c>
      <c r="S190" s="35" t="str">
        <f t="shared" si="21"/>
        <v xml:space="preserve"> </v>
      </c>
      <c r="T190" s="36" t="str">
        <f t="shared" si="22"/>
        <v xml:space="preserve"> </v>
      </c>
      <c r="U190" s="34" t="str">
        <f t="shared" si="23"/>
        <v/>
      </c>
      <c r="V190" s="34" t="str">
        <f t="shared" si="24"/>
        <v/>
      </c>
      <c r="W190" s="165" t="str" cm="1">
        <f t="array" ref="W190">IF(AND(L190:N190 &gt;= D190+F190, L190:N190 &lt;= D190+E190), "OK", "NG")</f>
        <v>OK</v>
      </c>
    </row>
    <row r="191" spans="1:23" ht="18" customHeight="1">
      <c r="A191" s="32"/>
      <c r="B191" s="101" t="s">
        <v>414</v>
      </c>
      <c r="C191" s="102" t="s">
        <v>45</v>
      </c>
      <c r="D191" s="103">
        <v>0</v>
      </c>
      <c r="E191" s="103">
        <v>7.0000000000000001E-3</v>
      </c>
      <c r="F191" s="103">
        <v>-7.0000000000000001E-3</v>
      </c>
      <c r="G191" s="154">
        <v>5.9499999999999996E-3</v>
      </c>
      <c r="H191" s="154">
        <v>-5.9499999999999996E-3</v>
      </c>
      <c r="I191" s="154"/>
      <c r="J191" s="154"/>
      <c r="K191" s="102" t="s">
        <v>273</v>
      </c>
      <c r="L191" s="131"/>
      <c r="M191" s="131"/>
      <c r="N191" s="131"/>
      <c r="O191" s="33" t="str">
        <f t="shared" si="17"/>
        <v xml:space="preserve"> </v>
      </c>
      <c r="P191" s="33" t="str">
        <f t="shared" si="18"/>
        <v xml:space="preserve"> </v>
      </c>
      <c r="Q191" s="33" t="str">
        <f t="shared" si="19"/>
        <v xml:space="preserve"> </v>
      </c>
      <c r="R191" s="34" t="str">
        <f t="shared" si="20"/>
        <v xml:space="preserve"> </v>
      </c>
      <c r="S191" s="35" t="str">
        <f t="shared" si="21"/>
        <v xml:space="preserve"> </v>
      </c>
      <c r="T191" s="36" t="str">
        <f t="shared" si="22"/>
        <v xml:space="preserve"> </v>
      </c>
      <c r="U191" s="34" t="str">
        <f t="shared" si="23"/>
        <v/>
      </c>
      <c r="V191" s="34" t="str">
        <f t="shared" si="24"/>
        <v/>
      </c>
      <c r="W191" s="165" t="str" cm="1">
        <f t="array" ref="W191">IF(AND(L191:N191 &gt;= D191+F191, L191:N191 &lt;= D191+E191), "OK", "NG")</f>
        <v>OK</v>
      </c>
    </row>
    <row r="192" spans="1:23" ht="18" customHeight="1">
      <c r="A192" s="32"/>
      <c r="B192" s="101" t="s">
        <v>415</v>
      </c>
      <c r="C192" s="102" t="s">
        <v>45</v>
      </c>
      <c r="D192" s="103">
        <v>0</v>
      </c>
      <c r="E192" s="103">
        <v>8.0000000000000002E-3</v>
      </c>
      <c r="F192" s="103">
        <v>-8.0000000000000002E-3</v>
      </c>
      <c r="G192" s="154">
        <v>6.7999999999999996E-3</v>
      </c>
      <c r="H192" s="154">
        <v>-6.7999999999999996E-3</v>
      </c>
      <c r="I192" s="154"/>
      <c r="J192" s="154"/>
      <c r="K192" s="102" t="s">
        <v>273</v>
      </c>
      <c r="L192" s="131"/>
      <c r="M192" s="131"/>
      <c r="N192" s="131"/>
      <c r="O192" s="33" t="str">
        <f t="shared" si="17"/>
        <v xml:space="preserve"> </v>
      </c>
      <c r="P192" s="33" t="str">
        <f t="shared" si="18"/>
        <v xml:space="preserve"> </v>
      </c>
      <c r="Q192" s="33" t="str">
        <f t="shared" si="19"/>
        <v xml:space="preserve"> </v>
      </c>
      <c r="R192" s="34" t="str">
        <f t="shared" si="20"/>
        <v xml:space="preserve"> </v>
      </c>
      <c r="S192" s="35" t="str">
        <f t="shared" si="21"/>
        <v xml:space="preserve"> </v>
      </c>
      <c r="T192" s="36" t="str">
        <f t="shared" si="22"/>
        <v xml:space="preserve"> </v>
      </c>
      <c r="U192" s="34" t="str">
        <f t="shared" si="23"/>
        <v/>
      </c>
      <c r="V192" s="34" t="str">
        <f t="shared" si="24"/>
        <v/>
      </c>
      <c r="W192" s="165" t="str" cm="1">
        <f t="array" ref="W192">IF(AND(L192:N192 &gt;= D192+F192, L192:N192 &lt;= D192+E192), "OK", "NG")</f>
        <v>OK</v>
      </c>
    </row>
    <row r="193" spans="1:23" ht="18" customHeight="1">
      <c r="A193" s="32"/>
      <c r="B193" s="101" t="s">
        <v>257</v>
      </c>
      <c r="C193" s="102" t="s">
        <v>45</v>
      </c>
      <c r="D193" s="103">
        <v>-0.45</v>
      </c>
      <c r="E193" s="103">
        <v>1.4999999999999999E-2</v>
      </c>
      <c r="F193" s="103">
        <v>-1.4999999999999999E-2</v>
      </c>
      <c r="G193" s="154">
        <v>-0.43725000000000003</v>
      </c>
      <c r="H193" s="154">
        <v>-0.46274999999999999</v>
      </c>
      <c r="I193" s="154"/>
      <c r="J193" s="154"/>
      <c r="K193" s="102" t="s">
        <v>273</v>
      </c>
      <c r="L193" s="131"/>
      <c r="M193" s="131"/>
      <c r="N193" s="131"/>
      <c r="O193" s="33" t="str">
        <f t="shared" si="17"/>
        <v xml:space="preserve"> </v>
      </c>
      <c r="P193" s="33" t="str">
        <f t="shared" si="18"/>
        <v xml:space="preserve"> </v>
      </c>
      <c r="Q193" s="33" t="str">
        <f t="shared" si="19"/>
        <v xml:space="preserve"> </v>
      </c>
      <c r="R193" s="34" t="str">
        <f t="shared" si="20"/>
        <v xml:space="preserve"> </v>
      </c>
      <c r="S193" s="35" t="str">
        <f t="shared" si="21"/>
        <v xml:space="preserve"> </v>
      </c>
      <c r="T193" s="36" t="str">
        <f t="shared" si="22"/>
        <v xml:space="preserve"> </v>
      </c>
      <c r="U193" s="34" t="str">
        <f t="shared" si="23"/>
        <v/>
      </c>
      <c r="V193" s="34" t="str">
        <f t="shared" si="24"/>
        <v/>
      </c>
      <c r="W193" s="165" t="str" cm="1">
        <f t="array" ref="W193">IF(AND(L193:N193 &gt;= D193+F193, L193:N193 &lt;= D193+E193), "OK", "NG")</f>
        <v>NG</v>
      </c>
    </row>
    <row r="194" spans="1:23" ht="18" customHeight="1">
      <c r="A194" s="32"/>
      <c r="B194" s="101">
        <v>119</v>
      </c>
      <c r="C194" s="102" t="s">
        <v>45</v>
      </c>
      <c r="D194" s="103">
        <v>0</v>
      </c>
      <c r="E194" s="103">
        <v>3.0000000000000001E-3</v>
      </c>
      <c r="F194" s="103">
        <v>-3.0000000000000001E-3</v>
      </c>
      <c r="G194" s="154">
        <v>2.5500000000000002E-3</v>
      </c>
      <c r="H194" s="154">
        <v>-2.5500000000000002E-3</v>
      </c>
      <c r="I194" s="154"/>
      <c r="J194" s="154"/>
      <c r="K194" s="102" t="s">
        <v>273</v>
      </c>
      <c r="L194" s="131"/>
      <c r="M194" s="131"/>
      <c r="N194" s="131"/>
      <c r="O194" s="33" t="str">
        <f t="shared" si="17"/>
        <v xml:space="preserve"> </v>
      </c>
      <c r="P194" s="33" t="str">
        <f t="shared" si="18"/>
        <v xml:space="preserve"> </v>
      </c>
      <c r="Q194" s="33" t="str">
        <f t="shared" si="19"/>
        <v xml:space="preserve"> </v>
      </c>
      <c r="R194" s="34" t="str">
        <f t="shared" si="20"/>
        <v xml:space="preserve"> </v>
      </c>
      <c r="S194" s="35" t="str">
        <f t="shared" si="21"/>
        <v xml:space="preserve"> </v>
      </c>
      <c r="T194" s="36" t="str">
        <f t="shared" si="22"/>
        <v xml:space="preserve"> </v>
      </c>
      <c r="U194" s="34" t="str">
        <f t="shared" si="23"/>
        <v/>
      </c>
      <c r="V194" s="34" t="str">
        <f t="shared" si="24"/>
        <v/>
      </c>
      <c r="W194" s="165" t="str" cm="1">
        <f t="array" ref="W194">IF(AND(L194:N194 &gt;= D194+F194, L194:N194 &lt;= D194+E194), "OK", "NG")</f>
        <v>OK</v>
      </c>
    </row>
    <row r="195" spans="1:23" ht="18" customHeight="1">
      <c r="A195" s="32"/>
      <c r="B195" s="101">
        <v>120</v>
      </c>
      <c r="C195" s="102" t="s">
        <v>45</v>
      </c>
      <c r="D195" s="103">
        <v>0</v>
      </c>
      <c r="E195" s="103">
        <v>3.0000000000000001E-3</v>
      </c>
      <c r="F195" s="103">
        <v>-4.0000000000000001E-3</v>
      </c>
      <c r="G195" s="154">
        <v>2.5500000000000002E-3</v>
      </c>
      <c r="H195" s="154">
        <v>-3.3999999999999998E-3</v>
      </c>
      <c r="I195" s="154"/>
      <c r="J195" s="154"/>
      <c r="K195" s="102" t="s">
        <v>273</v>
      </c>
      <c r="L195" s="131"/>
      <c r="M195" s="131"/>
      <c r="N195" s="131"/>
      <c r="O195" s="33" t="str">
        <f t="shared" si="17"/>
        <v xml:space="preserve"> </v>
      </c>
      <c r="P195" s="33" t="str">
        <f t="shared" si="18"/>
        <v xml:space="preserve"> </v>
      </c>
      <c r="Q195" s="33" t="str">
        <f t="shared" si="19"/>
        <v xml:space="preserve"> </v>
      </c>
      <c r="R195" s="34" t="str">
        <f t="shared" si="20"/>
        <v xml:space="preserve"> </v>
      </c>
      <c r="S195" s="35" t="str">
        <f t="shared" si="21"/>
        <v xml:space="preserve"> </v>
      </c>
      <c r="T195" s="36" t="str">
        <f t="shared" si="22"/>
        <v xml:space="preserve"> </v>
      </c>
      <c r="U195" s="34" t="str">
        <f t="shared" si="23"/>
        <v/>
      </c>
      <c r="V195" s="34" t="str">
        <f t="shared" si="24"/>
        <v/>
      </c>
      <c r="W195" s="165" t="str" cm="1">
        <f t="array" ref="W195">IF(AND(L195:N195 &gt;= D195+F195, L195:N195 &lt;= D195+E195), "OK", "NG")</f>
        <v>OK</v>
      </c>
    </row>
    <row r="196" spans="1:23" ht="18" customHeight="1">
      <c r="A196" s="32"/>
      <c r="B196" s="101">
        <v>121</v>
      </c>
      <c r="C196" s="102" t="s">
        <v>45</v>
      </c>
      <c r="D196" s="103">
        <v>0</v>
      </c>
      <c r="E196" s="103">
        <v>4.0000000000000001E-3</v>
      </c>
      <c r="F196" s="103">
        <v>-6.0000000000000001E-3</v>
      </c>
      <c r="G196" s="154">
        <v>3.3999999999999998E-3</v>
      </c>
      <c r="H196" s="154">
        <v>-5.1000000000000004E-3</v>
      </c>
      <c r="I196" s="154"/>
      <c r="J196" s="154"/>
      <c r="K196" s="102" t="s">
        <v>273</v>
      </c>
      <c r="L196" s="131"/>
      <c r="M196" s="131"/>
      <c r="N196" s="131"/>
      <c r="O196" s="33" t="str">
        <f t="shared" si="17"/>
        <v xml:space="preserve"> </v>
      </c>
      <c r="P196" s="33" t="str">
        <f t="shared" si="18"/>
        <v xml:space="preserve"> </v>
      </c>
      <c r="Q196" s="33" t="str">
        <f t="shared" si="19"/>
        <v xml:space="preserve"> </v>
      </c>
      <c r="R196" s="34" t="str">
        <f t="shared" si="20"/>
        <v xml:space="preserve"> </v>
      </c>
      <c r="S196" s="35" t="str">
        <f t="shared" si="21"/>
        <v xml:space="preserve"> </v>
      </c>
      <c r="T196" s="36" t="str">
        <f t="shared" si="22"/>
        <v xml:space="preserve"> </v>
      </c>
      <c r="U196" s="34" t="str">
        <f t="shared" si="23"/>
        <v/>
      </c>
      <c r="V196" s="34" t="str">
        <f t="shared" si="24"/>
        <v/>
      </c>
      <c r="W196" s="165" t="str" cm="1">
        <f t="array" ref="W196">IF(AND(L196:N196 &gt;= D196+F196, L196:N196 &lt;= D196+E196), "OK", "NG")</f>
        <v>OK</v>
      </c>
    </row>
    <row r="197" spans="1:23" ht="18" customHeight="1">
      <c r="A197" s="32"/>
      <c r="B197" s="101">
        <v>122</v>
      </c>
      <c r="C197" s="102" t="s">
        <v>45</v>
      </c>
      <c r="D197" s="103">
        <v>0</v>
      </c>
      <c r="E197" s="103">
        <v>5.0000000000000001E-3</v>
      </c>
      <c r="F197" s="103">
        <v>-8.9999999999999993E-3</v>
      </c>
      <c r="G197" s="154">
        <v>4.2500000000000003E-3</v>
      </c>
      <c r="H197" s="154">
        <v>-7.6499999999999988E-3</v>
      </c>
      <c r="I197" s="154"/>
      <c r="J197" s="154"/>
      <c r="K197" s="102" t="s">
        <v>273</v>
      </c>
      <c r="L197" s="131"/>
      <c r="M197" s="131"/>
      <c r="N197" s="131"/>
      <c r="O197" s="33" t="str">
        <f t="shared" si="17"/>
        <v xml:space="preserve"> </v>
      </c>
      <c r="P197" s="33" t="str">
        <f t="shared" si="18"/>
        <v xml:space="preserve"> </v>
      </c>
      <c r="Q197" s="33" t="str">
        <f t="shared" si="19"/>
        <v xml:space="preserve"> </v>
      </c>
      <c r="R197" s="34" t="str">
        <f t="shared" si="20"/>
        <v xml:space="preserve"> </v>
      </c>
      <c r="S197" s="35" t="str">
        <f t="shared" si="21"/>
        <v xml:space="preserve"> </v>
      </c>
      <c r="T197" s="36" t="str">
        <f t="shared" si="22"/>
        <v xml:space="preserve"> </v>
      </c>
      <c r="U197" s="34" t="str">
        <f t="shared" si="23"/>
        <v/>
      </c>
      <c r="V197" s="34" t="str">
        <f t="shared" si="24"/>
        <v/>
      </c>
      <c r="W197" s="165" t="str" cm="1">
        <f t="array" ref="W197">IF(AND(L197:N197 &gt;= D197+F197, L197:N197 &lt;= D197+E197), "OK", "NG")</f>
        <v>OK</v>
      </c>
    </row>
    <row r="198" spans="1:23" ht="18" customHeight="1">
      <c r="A198" s="32"/>
      <c r="B198" s="101">
        <v>123</v>
      </c>
      <c r="C198" s="102" t="s">
        <v>45</v>
      </c>
      <c r="D198" s="103">
        <v>0</v>
      </c>
      <c r="E198" s="103">
        <v>6.0000000000000001E-3</v>
      </c>
      <c r="F198" s="103">
        <v>-0.01</v>
      </c>
      <c r="G198" s="154">
        <v>5.1000000000000004E-3</v>
      </c>
      <c r="H198" s="154">
        <v>-8.5000000000000006E-3</v>
      </c>
      <c r="I198" s="154"/>
      <c r="J198" s="154"/>
      <c r="K198" s="102" t="s">
        <v>273</v>
      </c>
      <c r="L198" s="131"/>
      <c r="M198" s="131"/>
      <c r="N198" s="131"/>
      <c r="O198" s="33" t="str">
        <f t="shared" ref="O198:O243" si="25">IF(ISERR(L198/L198)=TRUE," ",L198-$D198)</f>
        <v xml:space="preserve"> </v>
      </c>
      <c r="P198" s="33" t="str">
        <f t="shared" ref="P198:P243" si="26">IF(ISERR(M198/M198)=TRUE," ",M198-$D198)</f>
        <v xml:space="preserve"> </v>
      </c>
      <c r="Q198" s="33" t="str">
        <f t="shared" ref="Q198:Q243" si="27">IF(ISERR(N198/N198)=TRUE," ",N198-$D198)</f>
        <v xml:space="preserve"> </v>
      </c>
      <c r="R198" s="34" t="str">
        <f t="shared" ref="R198:R243" si="28">IF(ISERR(L198/L198)=TRUE," ",AVERAGE(L198:N198))</f>
        <v xml:space="preserve"> </v>
      </c>
      <c r="S198" s="35" t="str">
        <f t="shared" ref="S198:S243" si="29">IF(ISERR(E198/E198)=TRUE," ",IF(ISERR(L198/L198)=TRUE," ",IF(ISNUMBER($L198)=FALSE," ",IF(MAX($L198:$N198)&lt;$D198,0,(MAX($L198:$N198)-$D198)/$E198))))</f>
        <v xml:space="preserve"> </v>
      </c>
      <c r="T198" s="36" t="str">
        <f t="shared" ref="T198:T243" si="30">IF(ISERR(F198/D198)=TRUE," ",IF(ISERR(F198/F198)=TRUE," ",IF(ISERR(L198/L198)=TRUE," ",IF(ISNUMBER(L198)=FALSE," ",IF(MIN(L198:N198)&gt;$D198,0,($D198-MIN(L198:N198))/-F198)))))</f>
        <v xml:space="preserve"> </v>
      </c>
      <c r="U198" s="34" t="str">
        <f t="shared" si="23"/>
        <v/>
      </c>
      <c r="V198" s="34" t="str">
        <f t="shared" si="24"/>
        <v/>
      </c>
      <c r="W198" s="165" t="str" cm="1">
        <f t="array" ref="W198">IF(AND(L198:N198 &gt;= D198+F198, L198:N198 &lt;= D198+E198), "OK", "NG")</f>
        <v>OK</v>
      </c>
    </row>
    <row r="199" spans="1:23" ht="18" customHeight="1">
      <c r="A199" s="32"/>
      <c r="B199" s="101">
        <v>124</v>
      </c>
      <c r="C199" s="102" t="s">
        <v>45</v>
      </c>
      <c r="D199" s="103">
        <v>92.1</v>
      </c>
      <c r="E199" s="103">
        <v>3</v>
      </c>
      <c r="F199" s="103">
        <v>-3</v>
      </c>
      <c r="G199" s="154">
        <v>94.649999999999991</v>
      </c>
      <c r="H199" s="154">
        <v>89.55</v>
      </c>
      <c r="I199" s="154"/>
      <c r="J199" s="154"/>
      <c r="K199" s="102" t="s">
        <v>46</v>
      </c>
      <c r="L199" s="131"/>
      <c r="M199" s="131"/>
      <c r="N199" s="131"/>
      <c r="O199" s="33" t="str">
        <f t="shared" si="25"/>
        <v xml:space="preserve"> </v>
      </c>
      <c r="P199" s="33" t="str">
        <f t="shared" si="26"/>
        <v xml:space="preserve"> </v>
      </c>
      <c r="Q199" s="33" t="str">
        <f t="shared" si="27"/>
        <v xml:space="preserve"> </v>
      </c>
      <c r="R199" s="34" t="str">
        <f t="shared" si="28"/>
        <v xml:space="preserve"> </v>
      </c>
      <c r="S199" s="35" t="str">
        <f t="shared" si="29"/>
        <v xml:space="preserve"> </v>
      </c>
      <c r="T199" s="36" t="str">
        <f t="shared" si="30"/>
        <v xml:space="preserve"> </v>
      </c>
      <c r="U199" s="34" t="str">
        <f t="shared" si="23"/>
        <v/>
      </c>
      <c r="V199" s="34" t="str">
        <f t="shared" si="24"/>
        <v/>
      </c>
      <c r="W199" s="165" t="str" cm="1">
        <f t="array" ref="W199">IF(AND(L199:N199 &gt;= D199+F199, L199:N199 &lt;= D199+E199), "OK", "NG")</f>
        <v>NG</v>
      </c>
    </row>
    <row r="200" spans="1:23" ht="18" customHeight="1">
      <c r="A200" s="32"/>
      <c r="B200" s="101">
        <v>125</v>
      </c>
      <c r="C200" s="102" t="s">
        <v>45</v>
      </c>
      <c r="D200" s="103">
        <v>91.9</v>
      </c>
      <c r="E200" s="103">
        <v>3</v>
      </c>
      <c r="F200" s="103">
        <v>-3</v>
      </c>
      <c r="G200" s="154">
        <v>94.45</v>
      </c>
      <c r="H200" s="154">
        <v>89.350000000000009</v>
      </c>
      <c r="I200" s="154"/>
      <c r="J200" s="154"/>
      <c r="K200" s="102" t="s">
        <v>46</v>
      </c>
      <c r="L200" s="131"/>
      <c r="M200" s="131"/>
      <c r="N200" s="131"/>
      <c r="O200" s="33" t="str">
        <f t="shared" si="25"/>
        <v xml:space="preserve"> </v>
      </c>
      <c r="P200" s="33" t="str">
        <f t="shared" si="26"/>
        <v xml:space="preserve"> </v>
      </c>
      <c r="Q200" s="33" t="str">
        <f t="shared" si="27"/>
        <v xml:space="preserve"> </v>
      </c>
      <c r="R200" s="34" t="str">
        <f t="shared" si="28"/>
        <v xml:space="preserve"> </v>
      </c>
      <c r="S200" s="35" t="str">
        <f t="shared" si="29"/>
        <v xml:space="preserve"> </v>
      </c>
      <c r="T200" s="36" t="str">
        <f t="shared" si="30"/>
        <v xml:space="preserve"> </v>
      </c>
      <c r="U200" s="34" t="str">
        <f t="shared" si="23"/>
        <v/>
      </c>
      <c r="V200" s="34" t="str">
        <f t="shared" si="24"/>
        <v/>
      </c>
      <c r="W200" s="165" t="str" cm="1">
        <f t="array" ref="W200">IF(AND(L200:N200 &gt;= D200+F200, L200:N200 &lt;= D200+E200), "OK", "NG")</f>
        <v>NG</v>
      </c>
    </row>
    <row r="201" spans="1:23" ht="18" customHeight="1">
      <c r="A201" s="32"/>
      <c r="B201" s="101">
        <v>126</v>
      </c>
      <c r="C201" s="102" t="s">
        <v>45</v>
      </c>
      <c r="D201" s="103">
        <v>0.26100000000000001</v>
      </c>
      <c r="E201" s="103">
        <v>0.03</v>
      </c>
      <c r="F201" s="103">
        <v>-0.03</v>
      </c>
      <c r="G201" s="154">
        <v>0.28650000000000003</v>
      </c>
      <c r="H201" s="154">
        <v>0.23550000000000001</v>
      </c>
      <c r="I201" s="154"/>
      <c r="J201" s="154"/>
      <c r="K201" s="102" t="s">
        <v>46</v>
      </c>
      <c r="L201" s="131"/>
      <c r="M201" s="131"/>
      <c r="N201" s="131"/>
      <c r="O201" s="33" t="str">
        <f t="shared" si="25"/>
        <v xml:space="preserve"> </v>
      </c>
      <c r="P201" s="33" t="str">
        <f t="shared" si="26"/>
        <v xml:space="preserve"> </v>
      </c>
      <c r="Q201" s="33" t="str">
        <f t="shared" si="27"/>
        <v xml:space="preserve"> </v>
      </c>
      <c r="R201" s="34" t="str">
        <f t="shared" si="28"/>
        <v xml:space="preserve"> </v>
      </c>
      <c r="S201" s="35" t="str">
        <f t="shared" si="29"/>
        <v xml:space="preserve"> </v>
      </c>
      <c r="T201" s="36" t="str">
        <f t="shared" si="30"/>
        <v xml:space="preserve"> </v>
      </c>
      <c r="U201" s="34" t="str">
        <f t="shared" si="23"/>
        <v/>
      </c>
      <c r="V201" s="34" t="str">
        <f t="shared" si="24"/>
        <v/>
      </c>
      <c r="W201" s="165" t="str" cm="1">
        <f t="array" ref="W201">IF(AND(L201:N201 &gt;= D201+F201, L201:N201 &lt;= D201+E201), "OK", "NG")</f>
        <v>NG</v>
      </c>
    </row>
    <row r="202" spans="1:23" ht="18" customHeight="1">
      <c r="A202" s="32"/>
      <c r="B202" s="101" t="s">
        <v>258</v>
      </c>
      <c r="C202" s="102" t="s">
        <v>45</v>
      </c>
      <c r="D202" s="103">
        <v>21.385999999999999</v>
      </c>
      <c r="E202" s="103">
        <v>0.03</v>
      </c>
      <c r="F202" s="103">
        <v>-0.03</v>
      </c>
      <c r="G202" s="154">
        <v>21.4115</v>
      </c>
      <c r="H202" s="154">
        <v>21.360499999999998</v>
      </c>
      <c r="I202" s="154"/>
      <c r="J202" s="154"/>
      <c r="K202" s="102" t="s">
        <v>46</v>
      </c>
      <c r="L202" s="131"/>
      <c r="M202" s="131"/>
      <c r="N202" s="131"/>
      <c r="O202" s="33" t="str">
        <f t="shared" si="25"/>
        <v xml:space="preserve"> </v>
      </c>
      <c r="P202" s="33" t="str">
        <f t="shared" si="26"/>
        <v xml:space="preserve"> </v>
      </c>
      <c r="Q202" s="33" t="str">
        <f t="shared" si="27"/>
        <v xml:space="preserve"> </v>
      </c>
      <c r="R202" s="34" t="str">
        <f t="shared" si="28"/>
        <v xml:space="preserve"> </v>
      </c>
      <c r="S202" s="35" t="str">
        <f t="shared" si="29"/>
        <v xml:space="preserve"> </v>
      </c>
      <c r="T202" s="36" t="str">
        <f t="shared" si="30"/>
        <v xml:space="preserve"> </v>
      </c>
      <c r="U202" s="34" t="str">
        <f t="shared" si="23"/>
        <v/>
      </c>
      <c r="V202" s="34" t="str">
        <f t="shared" si="24"/>
        <v/>
      </c>
      <c r="W202" s="165" t="str" cm="1">
        <f t="array" ref="W202">IF(AND(L202:N202 &gt;= D202+F202, L202:N202 &lt;= D202+E202), "OK", "NG")</f>
        <v>NG</v>
      </c>
    </row>
    <row r="203" spans="1:23" ht="18" customHeight="1">
      <c r="A203" s="32"/>
      <c r="B203" s="101" t="s">
        <v>259</v>
      </c>
      <c r="C203" s="102" t="s">
        <v>45</v>
      </c>
      <c r="D203" s="103">
        <v>21.385999999999999</v>
      </c>
      <c r="E203" s="103">
        <v>0.03</v>
      </c>
      <c r="F203" s="103">
        <v>-0.03</v>
      </c>
      <c r="G203" s="154">
        <v>21.4115</v>
      </c>
      <c r="H203" s="154">
        <v>21.360499999999998</v>
      </c>
      <c r="I203" s="154"/>
      <c r="J203" s="154"/>
      <c r="K203" s="102" t="s">
        <v>46</v>
      </c>
      <c r="L203" s="131"/>
      <c r="M203" s="131"/>
      <c r="N203" s="131"/>
      <c r="O203" s="33" t="str">
        <f t="shared" si="25"/>
        <v xml:space="preserve"> </v>
      </c>
      <c r="P203" s="33" t="str">
        <f t="shared" si="26"/>
        <v xml:space="preserve"> </v>
      </c>
      <c r="Q203" s="33" t="str">
        <f t="shared" si="27"/>
        <v xml:space="preserve"> </v>
      </c>
      <c r="R203" s="34" t="str">
        <f t="shared" si="28"/>
        <v xml:space="preserve"> </v>
      </c>
      <c r="S203" s="35" t="str">
        <f t="shared" si="29"/>
        <v xml:space="preserve"> </v>
      </c>
      <c r="T203" s="36" t="str">
        <f t="shared" si="30"/>
        <v xml:space="preserve"> </v>
      </c>
      <c r="U203" s="34" t="str">
        <f t="shared" si="23"/>
        <v/>
      </c>
      <c r="V203" s="34" t="str">
        <f t="shared" si="24"/>
        <v/>
      </c>
      <c r="W203" s="165" t="str" cm="1">
        <f t="array" ref="W203">IF(AND(L203:N203 &gt;= D203+F203, L203:N203 &lt;= D203+E203), "OK", "NG")</f>
        <v>NG</v>
      </c>
    </row>
    <row r="204" spans="1:23" ht="18" customHeight="1">
      <c r="A204" s="32"/>
      <c r="B204" s="101" t="s">
        <v>260</v>
      </c>
      <c r="C204" s="102" t="s">
        <v>45</v>
      </c>
      <c r="D204" s="103">
        <v>1.1240000000000001</v>
      </c>
      <c r="E204" s="103">
        <v>0.03</v>
      </c>
      <c r="F204" s="103">
        <v>-0.03</v>
      </c>
      <c r="G204" s="154">
        <v>1.1495000000000002</v>
      </c>
      <c r="H204" s="154">
        <v>1.0985</v>
      </c>
      <c r="I204" s="154"/>
      <c r="J204" s="154"/>
      <c r="K204" s="102" t="s">
        <v>46</v>
      </c>
      <c r="L204" s="131"/>
      <c r="M204" s="131"/>
      <c r="N204" s="131"/>
      <c r="O204" s="33" t="str">
        <f t="shared" si="25"/>
        <v xml:space="preserve"> </v>
      </c>
      <c r="P204" s="33" t="str">
        <f t="shared" si="26"/>
        <v xml:space="preserve"> </v>
      </c>
      <c r="Q204" s="33" t="str">
        <f t="shared" si="27"/>
        <v xml:space="preserve"> </v>
      </c>
      <c r="R204" s="34" t="str">
        <f t="shared" si="28"/>
        <v xml:space="preserve"> </v>
      </c>
      <c r="S204" s="35" t="str">
        <f t="shared" si="29"/>
        <v xml:space="preserve"> </v>
      </c>
      <c r="T204" s="36" t="str">
        <f t="shared" si="30"/>
        <v xml:space="preserve"> </v>
      </c>
      <c r="U204" s="34" t="str">
        <f t="shared" si="23"/>
        <v/>
      </c>
      <c r="V204" s="34" t="str">
        <f t="shared" si="24"/>
        <v/>
      </c>
      <c r="W204" s="165" t="str" cm="1">
        <f t="array" ref="W204">IF(AND(L204:N204 &gt;= D204+F204, L204:N204 &lt;= D204+E204), "OK", "NG")</f>
        <v>NG</v>
      </c>
    </row>
    <row r="205" spans="1:23" ht="18" customHeight="1">
      <c r="A205" s="32"/>
      <c r="B205" s="101" t="s">
        <v>261</v>
      </c>
      <c r="C205" s="102" t="s">
        <v>45</v>
      </c>
      <c r="D205" s="103">
        <v>1.1240000000000001</v>
      </c>
      <c r="E205" s="103">
        <v>0.03</v>
      </c>
      <c r="F205" s="103">
        <v>-0.03</v>
      </c>
      <c r="G205" s="154">
        <v>1.1495000000000002</v>
      </c>
      <c r="H205" s="154">
        <v>1.0985</v>
      </c>
      <c r="I205" s="154"/>
      <c r="J205" s="154"/>
      <c r="K205" s="102" t="s">
        <v>46</v>
      </c>
      <c r="L205" s="131"/>
      <c r="M205" s="131"/>
      <c r="N205" s="131"/>
      <c r="O205" s="33" t="str">
        <f t="shared" si="25"/>
        <v xml:space="preserve"> </v>
      </c>
      <c r="P205" s="33" t="str">
        <f t="shared" si="26"/>
        <v xml:space="preserve"> </v>
      </c>
      <c r="Q205" s="33" t="str">
        <f t="shared" si="27"/>
        <v xml:space="preserve"> </v>
      </c>
      <c r="R205" s="34" t="str">
        <f t="shared" si="28"/>
        <v xml:space="preserve"> </v>
      </c>
      <c r="S205" s="35" t="str">
        <f t="shared" si="29"/>
        <v xml:space="preserve"> </v>
      </c>
      <c r="T205" s="36" t="str">
        <f t="shared" si="30"/>
        <v xml:space="preserve"> </v>
      </c>
      <c r="U205" s="34" t="str">
        <f t="shared" si="23"/>
        <v/>
      </c>
      <c r="V205" s="34" t="str">
        <f t="shared" si="24"/>
        <v/>
      </c>
      <c r="W205" s="165" t="str" cm="1">
        <f t="array" ref="W205">IF(AND(L205:N205 &gt;= D205+F205, L205:N205 &lt;= D205+E205), "OK", "NG")</f>
        <v>NG</v>
      </c>
    </row>
    <row r="206" spans="1:23" ht="18" customHeight="1">
      <c r="A206" s="32"/>
      <c r="B206" s="101" t="s">
        <v>262</v>
      </c>
      <c r="C206" s="102" t="s">
        <v>45</v>
      </c>
      <c r="D206" s="103">
        <v>3.1509999999999998</v>
      </c>
      <c r="E206" s="103">
        <v>0.03</v>
      </c>
      <c r="F206" s="103">
        <v>-0.03</v>
      </c>
      <c r="G206" s="154">
        <v>3.1764999999999999</v>
      </c>
      <c r="H206" s="154">
        <v>3.1254999999999997</v>
      </c>
      <c r="I206" s="154"/>
      <c r="J206" s="154"/>
      <c r="K206" s="102" t="s">
        <v>46</v>
      </c>
      <c r="L206" s="131"/>
      <c r="M206" s="131"/>
      <c r="N206" s="131"/>
      <c r="O206" s="33" t="str">
        <f t="shared" si="25"/>
        <v xml:space="preserve"> </v>
      </c>
      <c r="P206" s="33" t="str">
        <f t="shared" si="26"/>
        <v xml:space="preserve"> </v>
      </c>
      <c r="Q206" s="33" t="str">
        <f t="shared" si="27"/>
        <v xml:space="preserve"> </v>
      </c>
      <c r="R206" s="34" t="str">
        <f t="shared" si="28"/>
        <v xml:space="preserve"> </v>
      </c>
      <c r="S206" s="35" t="str">
        <f t="shared" si="29"/>
        <v xml:space="preserve"> </v>
      </c>
      <c r="T206" s="36" t="str">
        <f t="shared" si="30"/>
        <v xml:space="preserve"> </v>
      </c>
      <c r="U206" s="34" t="str">
        <f t="shared" si="23"/>
        <v/>
      </c>
      <c r="V206" s="34" t="str">
        <f t="shared" si="24"/>
        <v/>
      </c>
      <c r="W206" s="165" t="str" cm="1">
        <f t="array" ref="W206">IF(AND(L206:N206 &gt;= D206+F206, L206:N206 &lt;= D206+E206), "OK", "NG")</f>
        <v>NG</v>
      </c>
    </row>
    <row r="207" spans="1:23" ht="18" customHeight="1">
      <c r="A207" s="32"/>
      <c r="B207" s="101" t="s">
        <v>263</v>
      </c>
      <c r="C207" s="102" t="s">
        <v>45</v>
      </c>
      <c r="D207" s="103">
        <v>3.1509999999999998</v>
      </c>
      <c r="E207" s="103">
        <v>0.03</v>
      </c>
      <c r="F207" s="103">
        <v>-0.03</v>
      </c>
      <c r="G207" s="154">
        <v>3.1764999999999999</v>
      </c>
      <c r="H207" s="154">
        <v>3.1254999999999997</v>
      </c>
      <c r="I207" s="154"/>
      <c r="J207" s="154"/>
      <c r="K207" s="102" t="s">
        <v>46</v>
      </c>
      <c r="L207" s="131"/>
      <c r="M207" s="131"/>
      <c r="N207" s="131"/>
      <c r="O207" s="33" t="str">
        <f t="shared" si="25"/>
        <v xml:space="preserve"> </v>
      </c>
      <c r="P207" s="33" t="str">
        <f t="shared" si="26"/>
        <v xml:space="preserve"> </v>
      </c>
      <c r="Q207" s="33" t="str">
        <f t="shared" si="27"/>
        <v xml:space="preserve"> </v>
      </c>
      <c r="R207" s="34" t="str">
        <f t="shared" si="28"/>
        <v xml:space="preserve"> </v>
      </c>
      <c r="S207" s="35" t="str">
        <f t="shared" si="29"/>
        <v xml:space="preserve"> </v>
      </c>
      <c r="T207" s="36" t="str">
        <f t="shared" si="30"/>
        <v xml:space="preserve"> </v>
      </c>
      <c r="U207" s="34" t="str">
        <f t="shared" si="23"/>
        <v/>
      </c>
      <c r="V207" s="34" t="str">
        <f t="shared" si="24"/>
        <v/>
      </c>
      <c r="W207" s="165" t="str" cm="1">
        <f t="array" ref="W207">IF(AND(L207:N207 &gt;= D207+F207, L207:N207 &lt;= D207+E207), "OK", "NG")</f>
        <v>NG</v>
      </c>
    </row>
    <row r="208" spans="1:23" ht="18" customHeight="1">
      <c r="A208" s="32"/>
      <c r="B208" s="101" t="s">
        <v>264</v>
      </c>
      <c r="C208" s="102" t="s">
        <v>45</v>
      </c>
      <c r="D208" s="103">
        <v>16.852</v>
      </c>
      <c r="E208" s="103">
        <v>0.03</v>
      </c>
      <c r="F208" s="103">
        <v>-0.03</v>
      </c>
      <c r="G208" s="154">
        <v>16.877500000000001</v>
      </c>
      <c r="H208" s="154">
        <v>16.826499999999999</v>
      </c>
      <c r="I208" s="154"/>
      <c r="J208" s="154"/>
      <c r="K208" s="102" t="s">
        <v>46</v>
      </c>
      <c r="L208" s="131"/>
      <c r="M208" s="131"/>
      <c r="N208" s="131"/>
      <c r="O208" s="33" t="str">
        <f t="shared" si="25"/>
        <v xml:space="preserve"> </v>
      </c>
      <c r="P208" s="33" t="str">
        <f t="shared" si="26"/>
        <v xml:space="preserve"> </v>
      </c>
      <c r="Q208" s="33" t="str">
        <f t="shared" si="27"/>
        <v xml:space="preserve"> </v>
      </c>
      <c r="R208" s="34" t="str">
        <f t="shared" si="28"/>
        <v xml:space="preserve"> </v>
      </c>
      <c r="S208" s="35" t="str">
        <f t="shared" si="29"/>
        <v xml:space="preserve"> </v>
      </c>
      <c r="T208" s="36" t="str">
        <f t="shared" si="30"/>
        <v xml:space="preserve"> </v>
      </c>
      <c r="U208" s="34" t="str">
        <f t="shared" si="23"/>
        <v/>
      </c>
      <c r="V208" s="34" t="str">
        <f t="shared" si="24"/>
        <v/>
      </c>
      <c r="W208" s="165" t="str" cm="1">
        <f t="array" ref="W208">IF(AND(L208:N208 &gt;= D208+F208, L208:N208 &lt;= D208+E208), "OK", "NG")</f>
        <v>NG</v>
      </c>
    </row>
    <row r="209" spans="1:23" ht="18" customHeight="1">
      <c r="A209" s="32"/>
      <c r="B209" s="101" t="s">
        <v>265</v>
      </c>
      <c r="C209" s="102" t="s">
        <v>45</v>
      </c>
      <c r="D209" s="103">
        <v>16.852</v>
      </c>
      <c r="E209" s="103">
        <v>0.03</v>
      </c>
      <c r="F209" s="103">
        <v>-0.03</v>
      </c>
      <c r="G209" s="154">
        <v>16.877500000000001</v>
      </c>
      <c r="H209" s="154">
        <v>16.826499999999999</v>
      </c>
      <c r="I209" s="154"/>
      <c r="J209" s="154"/>
      <c r="K209" s="102" t="s">
        <v>46</v>
      </c>
      <c r="L209" s="131"/>
      <c r="M209" s="131"/>
      <c r="N209" s="131"/>
      <c r="O209" s="33" t="str">
        <f t="shared" si="25"/>
        <v xml:space="preserve"> </v>
      </c>
      <c r="P209" s="33" t="str">
        <f t="shared" si="26"/>
        <v xml:space="preserve"> </v>
      </c>
      <c r="Q209" s="33" t="str">
        <f t="shared" si="27"/>
        <v xml:space="preserve"> </v>
      </c>
      <c r="R209" s="34" t="str">
        <f t="shared" si="28"/>
        <v xml:space="preserve"> </v>
      </c>
      <c r="S209" s="35" t="str">
        <f t="shared" si="29"/>
        <v xml:space="preserve"> </v>
      </c>
      <c r="T209" s="36" t="str">
        <f t="shared" si="30"/>
        <v xml:space="preserve"> </v>
      </c>
      <c r="U209" s="34" t="str">
        <f t="shared" si="23"/>
        <v/>
      </c>
      <c r="V209" s="34" t="str">
        <f t="shared" si="24"/>
        <v/>
      </c>
      <c r="W209" s="165" t="str" cm="1">
        <f t="array" ref="W209">IF(AND(L209:N209 &gt;= D209+F209, L209:N209 &lt;= D209+E209), "OK", "NG")</f>
        <v>NG</v>
      </c>
    </row>
    <row r="210" spans="1:23" ht="18" customHeight="1">
      <c r="A210" s="32"/>
      <c r="B210" s="101">
        <v>131</v>
      </c>
      <c r="C210" s="102" t="s">
        <v>270</v>
      </c>
      <c r="D210" s="103">
        <v>0.4</v>
      </c>
      <c r="E210" s="103">
        <v>0.03</v>
      </c>
      <c r="F210" s="103">
        <v>-0.03</v>
      </c>
      <c r="G210" s="154">
        <v>0.42550000000000004</v>
      </c>
      <c r="H210" s="154">
        <v>0.3745</v>
      </c>
      <c r="I210" s="154"/>
      <c r="J210" s="154"/>
      <c r="K210" s="102" t="s">
        <v>46</v>
      </c>
      <c r="L210" s="131"/>
      <c r="M210" s="131"/>
      <c r="N210" s="131"/>
      <c r="O210" s="33" t="str">
        <f t="shared" si="25"/>
        <v xml:space="preserve"> </v>
      </c>
      <c r="P210" s="33" t="str">
        <f t="shared" si="26"/>
        <v xml:space="preserve"> </v>
      </c>
      <c r="Q210" s="33" t="str">
        <f t="shared" si="27"/>
        <v xml:space="preserve"> </v>
      </c>
      <c r="R210" s="34" t="str">
        <f t="shared" si="28"/>
        <v xml:space="preserve"> </v>
      </c>
      <c r="S210" s="35" t="str">
        <f t="shared" si="29"/>
        <v xml:space="preserve"> </v>
      </c>
      <c r="T210" s="36" t="str">
        <f t="shared" si="30"/>
        <v xml:space="preserve"> </v>
      </c>
      <c r="U210" s="34" t="str">
        <f t="shared" si="23"/>
        <v/>
      </c>
      <c r="V210" s="34" t="str">
        <f t="shared" si="24"/>
        <v/>
      </c>
      <c r="W210" s="165" t="str" cm="1">
        <f t="array" ref="W210">IF(AND(L210:N210 &gt;= D210+F210, L210:N210 &lt;= D210+E210), "OK", "NG")</f>
        <v>NG</v>
      </c>
    </row>
    <row r="211" spans="1:23" ht="18" customHeight="1">
      <c r="A211" s="32"/>
      <c r="B211" s="101">
        <v>132</v>
      </c>
      <c r="C211" s="102" t="s">
        <v>271</v>
      </c>
      <c r="D211" s="103">
        <v>0</v>
      </c>
      <c r="E211" s="103">
        <v>0.08</v>
      </c>
      <c r="F211" s="103">
        <v>0</v>
      </c>
      <c r="G211" s="154">
        <v>6.8000000000000005E-2</v>
      </c>
      <c r="H211" s="154">
        <v>0</v>
      </c>
      <c r="I211" s="154"/>
      <c r="J211" s="154"/>
      <c r="K211" s="102" t="s">
        <v>46</v>
      </c>
      <c r="L211" s="131"/>
      <c r="M211" s="131"/>
      <c r="N211" s="131"/>
      <c r="O211" s="33" t="str">
        <f t="shared" si="25"/>
        <v xml:space="preserve"> </v>
      </c>
      <c r="P211" s="33" t="str">
        <f t="shared" si="26"/>
        <v xml:space="preserve"> </v>
      </c>
      <c r="Q211" s="33" t="str">
        <f t="shared" si="27"/>
        <v xml:space="preserve"> </v>
      </c>
      <c r="R211" s="34" t="str">
        <f t="shared" si="28"/>
        <v xml:space="preserve"> </v>
      </c>
      <c r="S211" s="35" t="str">
        <f t="shared" si="29"/>
        <v xml:space="preserve"> </v>
      </c>
      <c r="T211" s="36" t="str">
        <f t="shared" si="30"/>
        <v xml:space="preserve"> </v>
      </c>
      <c r="U211" s="34" t="str">
        <f t="shared" si="23"/>
        <v/>
      </c>
      <c r="V211" s="34" t="str">
        <f t="shared" si="24"/>
        <v/>
      </c>
      <c r="W211" s="165" t="str" cm="1">
        <f t="array" ref="W211">IF(AND(L211:N211 &gt;= D211+F211, L211:N211 &lt;= D211+E211), "OK", "NG")</f>
        <v>OK</v>
      </c>
    </row>
    <row r="212" spans="1:23" ht="18" customHeight="1">
      <c r="A212" s="32"/>
      <c r="B212" s="101">
        <v>133</v>
      </c>
      <c r="C212" s="102" t="s">
        <v>272</v>
      </c>
      <c r="D212" s="103">
        <v>0</v>
      </c>
      <c r="E212" s="103">
        <v>0.05</v>
      </c>
      <c r="F212" s="103">
        <v>0</v>
      </c>
      <c r="G212" s="154">
        <v>4.2500000000000003E-2</v>
      </c>
      <c r="H212" s="154">
        <v>0</v>
      </c>
      <c r="I212" s="154"/>
      <c r="J212" s="154"/>
      <c r="K212" s="102" t="s">
        <v>46</v>
      </c>
      <c r="L212" s="131"/>
      <c r="M212" s="131"/>
      <c r="N212" s="131"/>
      <c r="O212" s="33" t="str">
        <f t="shared" si="25"/>
        <v xml:space="preserve"> </v>
      </c>
      <c r="P212" s="33" t="str">
        <f t="shared" si="26"/>
        <v xml:space="preserve"> </v>
      </c>
      <c r="Q212" s="33" t="str">
        <f t="shared" si="27"/>
        <v xml:space="preserve"> </v>
      </c>
      <c r="R212" s="34" t="str">
        <f t="shared" si="28"/>
        <v xml:space="preserve"> </v>
      </c>
      <c r="S212" s="35" t="str">
        <f t="shared" si="29"/>
        <v xml:space="preserve"> </v>
      </c>
      <c r="T212" s="36" t="str">
        <f t="shared" si="30"/>
        <v xml:space="preserve"> </v>
      </c>
      <c r="U212" s="34" t="str">
        <f t="shared" ref="U212:U243" si="31">IF(ISNUMBER($S212)=TRUE,IF($S212&gt;0.651,IF($S212&gt;1.001,"Reject","Alert"),""),"")</f>
        <v/>
      </c>
      <c r="V212" s="34" t="str">
        <f t="shared" si="24"/>
        <v/>
      </c>
      <c r="W212" s="165" t="str" cm="1">
        <f t="array" ref="W212">IF(AND(L212:N212 &gt;= D212+F212, L212:N212 &lt;= D212+E212), "OK", "NG")</f>
        <v>OK</v>
      </c>
    </row>
    <row r="213" spans="1:23" ht="18" customHeight="1">
      <c r="A213" s="32"/>
      <c r="B213" s="101">
        <v>135</v>
      </c>
      <c r="C213" s="102" t="s">
        <v>272</v>
      </c>
      <c r="D213" s="103">
        <v>0</v>
      </c>
      <c r="E213" s="103">
        <v>0.05</v>
      </c>
      <c r="F213" s="103">
        <v>0</v>
      </c>
      <c r="G213" s="154">
        <v>4.2500000000000003E-2</v>
      </c>
      <c r="H213" s="154">
        <v>0</v>
      </c>
      <c r="I213" s="154"/>
      <c r="J213" s="154"/>
      <c r="K213" s="102" t="s">
        <v>46</v>
      </c>
      <c r="L213" s="131"/>
      <c r="M213" s="131"/>
      <c r="N213" s="131"/>
      <c r="O213" s="33" t="str">
        <f t="shared" si="25"/>
        <v xml:space="preserve"> </v>
      </c>
      <c r="P213" s="33" t="str">
        <f t="shared" si="26"/>
        <v xml:space="preserve"> </v>
      </c>
      <c r="Q213" s="33" t="str">
        <f t="shared" si="27"/>
        <v xml:space="preserve"> </v>
      </c>
      <c r="R213" s="34" t="str">
        <f t="shared" si="28"/>
        <v xml:space="preserve"> </v>
      </c>
      <c r="S213" s="35" t="str">
        <f t="shared" si="29"/>
        <v xml:space="preserve"> </v>
      </c>
      <c r="T213" s="36" t="str">
        <f t="shared" si="30"/>
        <v xml:space="preserve"> </v>
      </c>
      <c r="U213" s="34" t="str">
        <f t="shared" si="31"/>
        <v/>
      </c>
      <c r="V213" s="34" t="str">
        <f t="shared" si="24"/>
        <v/>
      </c>
      <c r="W213" s="165" t="str" cm="1">
        <f t="array" ref="W213">IF(AND(L213:N213 &gt;= D213+F213, L213:N213 &lt;= D213+E213), "OK", "NG")</f>
        <v>OK</v>
      </c>
    </row>
    <row r="214" spans="1:23" ht="18" customHeight="1">
      <c r="A214" s="32"/>
      <c r="B214" s="134" t="s">
        <v>340</v>
      </c>
      <c r="C214" s="102" t="s">
        <v>272</v>
      </c>
      <c r="D214" s="103">
        <v>22.312999999999999</v>
      </c>
      <c r="E214" s="103">
        <v>2.5000000000000001E-2</v>
      </c>
      <c r="F214" s="103">
        <v>-2.5000000000000001E-2</v>
      </c>
      <c r="G214" s="154">
        <v>22.334249999999997</v>
      </c>
      <c r="H214" s="154">
        <v>22.29175</v>
      </c>
      <c r="I214" s="154"/>
      <c r="J214" s="154"/>
      <c r="K214" s="102" t="s">
        <v>46</v>
      </c>
      <c r="L214" s="131"/>
      <c r="M214" s="131"/>
      <c r="N214" s="131"/>
      <c r="O214" s="33" t="str">
        <f t="shared" si="25"/>
        <v xml:space="preserve"> </v>
      </c>
      <c r="P214" s="33" t="str">
        <f t="shared" si="26"/>
        <v xml:space="preserve"> </v>
      </c>
      <c r="Q214" s="33" t="str">
        <f t="shared" si="27"/>
        <v xml:space="preserve"> </v>
      </c>
      <c r="R214" s="34" t="str">
        <f t="shared" si="28"/>
        <v xml:space="preserve"> </v>
      </c>
      <c r="S214" s="35" t="str">
        <f t="shared" si="29"/>
        <v xml:space="preserve"> </v>
      </c>
      <c r="T214" s="36" t="str">
        <f t="shared" si="30"/>
        <v xml:space="preserve"> </v>
      </c>
      <c r="U214" s="34" t="str">
        <f t="shared" si="31"/>
        <v/>
      </c>
      <c r="V214" s="34" t="str">
        <f t="shared" si="24"/>
        <v/>
      </c>
      <c r="W214" s="165" t="str" cm="1">
        <f t="array" ref="W214">IF(AND(L214:N214 &gt;= D214+F214, L214:N214 &lt;= D214+E214), "OK", "NG")</f>
        <v>NG</v>
      </c>
    </row>
    <row r="215" spans="1:23" ht="18" customHeight="1">
      <c r="A215" s="32"/>
      <c r="B215" s="134" t="s">
        <v>341</v>
      </c>
      <c r="C215" s="102" t="s">
        <v>272</v>
      </c>
      <c r="D215" s="103">
        <v>22.312999999999999</v>
      </c>
      <c r="E215" s="103">
        <v>2.5000000000000001E-2</v>
      </c>
      <c r="F215" s="103">
        <v>-2.5000000000000001E-2</v>
      </c>
      <c r="G215" s="154">
        <v>22.334249999999997</v>
      </c>
      <c r="H215" s="154">
        <v>22.29175</v>
      </c>
      <c r="I215" s="154"/>
      <c r="J215" s="154"/>
      <c r="K215" s="102" t="s">
        <v>46</v>
      </c>
      <c r="L215" s="131"/>
      <c r="M215" s="131"/>
      <c r="N215" s="131"/>
      <c r="O215" s="33" t="str">
        <f t="shared" si="25"/>
        <v xml:space="preserve"> </v>
      </c>
      <c r="P215" s="33" t="str">
        <f t="shared" si="26"/>
        <v xml:space="preserve"> </v>
      </c>
      <c r="Q215" s="33" t="str">
        <f t="shared" si="27"/>
        <v xml:space="preserve"> </v>
      </c>
      <c r="R215" s="34" t="str">
        <f t="shared" si="28"/>
        <v xml:space="preserve"> </v>
      </c>
      <c r="S215" s="35" t="str">
        <f t="shared" si="29"/>
        <v xml:space="preserve"> </v>
      </c>
      <c r="T215" s="36" t="str">
        <f t="shared" si="30"/>
        <v xml:space="preserve"> </v>
      </c>
      <c r="U215" s="34" t="str">
        <f t="shared" si="31"/>
        <v/>
      </c>
      <c r="V215" s="34" t="str">
        <f t="shared" si="24"/>
        <v/>
      </c>
      <c r="W215" s="165" t="str" cm="1">
        <f t="array" ref="W215">IF(AND(L215:N215 &gt;= D215+F215, L215:N215 &lt;= D215+E215), "OK", "NG")</f>
        <v>NG</v>
      </c>
    </row>
    <row r="216" spans="1:23" ht="18" customHeight="1">
      <c r="A216" s="32"/>
      <c r="B216" s="134" t="s">
        <v>342</v>
      </c>
      <c r="C216" s="102" t="s">
        <v>272</v>
      </c>
      <c r="D216" s="103">
        <v>22.312999999999999</v>
      </c>
      <c r="E216" s="103">
        <v>2.5000000000000001E-2</v>
      </c>
      <c r="F216" s="103">
        <v>-2.5000000000000001E-2</v>
      </c>
      <c r="G216" s="154">
        <v>22.334249999999997</v>
      </c>
      <c r="H216" s="154">
        <v>22.29175</v>
      </c>
      <c r="I216" s="154"/>
      <c r="J216" s="154"/>
      <c r="K216" s="102" t="s">
        <v>46</v>
      </c>
      <c r="L216" s="131"/>
      <c r="M216" s="131"/>
      <c r="N216" s="131"/>
      <c r="O216" s="33" t="str">
        <f t="shared" si="25"/>
        <v xml:space="preserve"> </v>
      </c>
      <c r="P216" s="33" t="str">
        <f t="shared" si="26"/>
        <v xml:space="preserve"> </v>
      </c>
      <c r="Q216" s="33" t="str">
        <f t="shared" si="27"/>
        <v xml:space="preserve"> </v>
      </c>
      <c r="R216" s="34" t="str">
        <f t="shared" si="28"/>
        <v xml:space="preserve"> </v>
      </c>
      <c r="S216" s="35" t="str">
        <f t="shared" si="29"/>
        <v xml:space="preserve"> </v>
      </c>
      <c r="T216" s="36" t="str">
        <f t="shared" si="30"/>
        <v xml:space="preserve"> </v>
      </c>
      <c r="U216" s="34" t="str">
        <f t="shared" si="31"/>
        <v/>
      </c>
      <c r="V216" s="34" t="str">
        <f t="shared" si="24"/>
        <v/>
      </c>
      <c r="W216" s="165" t="str" cm="1">
        <f t="array" ref="W216">IF(AND(L216:N216 &gt;= D216+F216, L216:N216 &lt;= D216+E216), "OK", "NG")</f>
        <v>NG</v>
      </c>
    </row>
    <row r="217" spans="1:23" ht="18" customHeight="1">
      <c r="A217" s="32"/>
      <c r="B217" s="101">
        <v>137</v>
      </c>
      <c r="C217" s="102" t="s">
        <v>272</v>
      </c>
      <c r="D217" s="103">
        <v>0</v>
      </c>
      <c r="E217" s="103">
        <v>0.05</v>
      </c>
      <c r="F217" s="103">
        <v>0</v>
      </c>
      <c r="G217" s="154">
        <v>4.2500000000000003E-2</v>
      </c>
      <c r="H217" s="154">
        <v>0</v>
      </c>
      <c r="I217" s="154"/>
      <c r="J217" s="154"/>
      <c r="K217" s="102" t="s">
        <v>46</v>
      </c>
      <c r="L217" s="131"/>
      <c r="M217" s="131"/>
      <c r="N217" s="131"/>
      <c r="O217" s="33" t="str">
        <f t="shared" si="25"/>
        <v xml:space="preserve"> </v>
      </c>
      <c r="P217" s="33" t="str">
        <f t="shared" si="26"/>
        <v xml:space="preserve"> </v>
      </c>
      <c r="Q217" s="33" t="str">
        <f t="shared" si="27"/>
        <v xml:space="preserve"> </v>
      </c>
      <c r="R217" s="34" t="str">
        <f t="shared" si="28"/>
        <v xml:space="preserve"> </v>
      </c>
      <c r="S217" s="35" t="str">
        <f t="shared" si="29"/>
        <v xml:space="preserve"> </v>
      </c>
      <c r="T217" s="36" t="str">
        <f t="shared" si="30"/>
        <v xml:space="preserve"> </v>
      </c>
      <c r="U217" s="34" t="str">
        <f t="shared" si="31"/>
        <v/>
      </c>
      <c r="V217" s="34" t="str">
        <f t="shared" si="24"/>
        <v/>
      </c>
      <c r="W217" s="165" t="str" cm="1">
        <f t="array" ref="W217">IF(AND(L217:N217 &gt;= D217+F217, L217:N217 &lt;= D217+E217), "OK", "NG")</f>
        <v>OK</v>
      </c>
    </row>
    <row r="218" spans="1:23" ht="18" customHeight="1">
      <c r="A218" s="32"/>
      <c r="B218" s="134" t="s">
        <v>330</v>
      </c>
      <c r="C218" s="102" t="s">
        <v>272</v>
      </c>
      <c r="D218" s="103">
        <v>2.5449999999999999</v>
      </c>
      <c r="E218" s="103">
        <v>0.03</v>
      </c>
      <c r="F218" s="103">
        <v>-0.03</v>
      </c>
      <c r="G218" s="154">
        <v>2.5705</v>
      </c>
      <c r="H218" s="154">
        <v>2.5194999999999999</v>
      </c>
      <c r="I218" s="154"/>
      <c r="J218" s="154"/>
      <c r="K218" s="102" t="s">
        <v>46</v>
      </c>
      <c r="L218" s="131"/>
      <c r="M218" s="131"/>
      <c r="N218" s="131"/>
      <c r="O218" s="33" t="str">
        <f t="shared" si="25"/>
        <v xml:space="preserve"> </v>
      </c>
      <c r="P218" s="33" t="str">
        <f t="shared" si="26"/>
        <v xml:space="preserve"> </v>
      </c>
      <c r="Q218" s="33" t="str">
        <f t="shared" si="27"/>
        <v xml:space="preserve"> </v>
      </c>
      <c r="R218" s="34" t="str">
        <f t="shared" si="28"/>
        <v xml:space="preserve"> </v>
      </c>
      <c r="S218" s="35" t="str">
        <f t="shared" si="29"/>
        <v xml:space="preserve"> </v>
      </c>
      <c r="T218" s="36" t="str">
        <f t="shared" si="30"/>
        <v xml:space="preserve"> </v>
      </c>
      <c r="U218" s="34" t="str">
        <f t="shared" si="31"/>
        <v/>
      </c>
      <c r="V218" s="34" t="str">
        <f t="shared" si="24"/>
        <v/>
      </c>
      <c r="W218" s="165" t="str" cm="1">
        <f t="array" ref="W218">IF(AND(L218:N218 &gt;= D218+F218, L218:N218 &lt;= D218+E218), "OK", "NG")</f>
        <v>NG</v>
      </c>
    </row>
    <row r="219" spans="1:23" ht="18" customHeight="1">
      <c r="A219" s="32"/>
      <c r="B219" s="134" t="s">
        <v>331</v>
      </c>
      <c r="C219" s="102" t="s">
        <v>272</v>
      </c>
      <c r="D219" s="103">
        <v>2.5449999999999999</v>
      </c>
      <c r="E219" s="103">
        <v>0.03</v>
      </c>
      <c r="F219" s="103">
        <v>-0.03</v>
      </c>
      <c r="G219" s="154">
        <v>2.5705</v>
      </c>
      <c r="H219" s="154">
        <v>2.5194999999999999</v>
      </c>
      <c r="I219" s="154"/>
      <c r="J219" s="154"/>
      <c r="K219" s="102" t="s">
        <v>46</v>
      </c>
      <c r="L219" s="131"/>
      <c r="M219" s="131"/>
      <c r="N219" s="131"/>
      <c r="O219" s="33" t="str">
        <f t="shared" si="25"/>
        <v xml:space="preserve"> </v>
      </c>
      <c r="P219" s="33" t="str">
        <f t="shared" si="26"/>
        <v xml:space="preserve"> </v>
      </c>
      <c r="Q219" s="33" t="str">
        <f t="shared" si="27"/>
        <v xml:space="preserve"> </v>
      </c>
      <c r="R219" s="34" t="str">
        <f t="shared" si="28"/>
        <v xml:space="preserve"> </v>
      </c>
      <c r="S219" s="35" t="str">
        <f t="shared" si="29"/>
        <v xml:space="preserve"> </v>
      </c>
      <c r="T219" s="36" t="str">
        <f t="shared" si="30"/>
        <v xml:space="preserve"> </v>
      </c>
      <c r="U219" s="34" t="str">
        <f t="shared" si="31"/>
        <v/>
      </c>
      <c r="V219" s="34" t="str">
        <f t="shared" si="24"/>
        <v/>
      </c>
      <c r="W219" s="165" t="str" cm="1">
        <f t="array" ref="W219">IF(AND(L219:N219 &gt;= D219+F219, L219:N219 &lt;= D219+E219), "OK", "NG")</f>
        <v>NG</v>
      </c>
    </row>
    <row r="220" spans="1:23" ht="18" customHeight="1">
      <c r="A220" s="32"/>
      <c r="B220" s="134" t="s">
        <v>332</v>
      </c>
      <c r="C220" s="102" t="s">
        <v>272</v>
      </c>
      <c r="D220" s="103">
        <v>2.5449999999999999</v>
      </c>
      <c r="E220" s="103">
        <v>0.03</v>
      </c>
      <c r="F220" s="103">
        <v>-0.03</v>
      </c>
      <c r="G220" s="154">
        <v>2.5705</v>
      </c>
      <c r="H220" s="154">
        <v>2.5194999999999999</v>
      </c>
      <c r="I220" s="154"/>
      <c r="J220" s="154"/>
      <c r="K220" s="102" t="s">
        <v>46</v>
      </c>
      <c r="L220" s="131"/>
      <c r="M220" s="131"/>
      <c r="N220" s="131"/>
      <c r="O220" s="33" t="str">
        <f t="shared" si="25"/>
        <v xml:space="preserve"> </v>
      </c>
      <c r="P220" s="33" t="str">
        <f t="shared" si="26"/>
        <v xml:space="preserve"> </v>
      </c>
      <c r="Q220" s="33" t="str">
        <f t="shared" si="27"/>
        <v xml:space="preserve"> </v>
      </c>
      <c r="R220" s="34" t="str">
        <f t="shared" si="28"/>
        <v xml:space="preserve"> </v>
      </c>
      <c r="S220" s="35" t="str">
        <f t="shared" si="29"/>
        <v xml:space="preserve"> </v>
      </c>
      <c r="T220" s="36" t="str">
        <f t="shared" si="30"/>
        <v xml:space="preserve"> </v>
      </c>
      <c r="U220" s="34" t="str">
        <f t="shared" si="31"/>
        <v/>
      </c>
      <c r="V220" s="34" t="str">
        <f t="shared" si="24"/>
        <v/>
      </c>
      <c r="W220" s="165" t="str" cm="1">
        <f t="array" ref="W220">IF(AND(L220:N220 &gt;= D220+F220, L220:N220 &lt;= D220+E220), "OK", "NG")</f>
        <v>NG</v>
      </c>
    </row>
    <row r="221" spans="1:23" ht="18" customHeight="1">
      <c r="A221" s="32"/>
      <c r="B221" s="101">
        <v>139</v>
      </c>
      <c r="C221" s="102" t="s">
        <v>272</v>
      </c>
      <c r="D221" s="103">
        <v>0</v>
      </c>
      <c r="E221" s="103">
        <v>0.05</v>
      </c>
      <c r="F221" s="103">
        <v>0</v>
      </c>
      <c r="G221" s="154">
        <v>4.2500000000000003E-2</v>
      </c>
      <c r="H221" s="154">
        <v>0</v>
      </c>
      <c r="I221" s="154"/>
      <c r="J221" s="154"/>
      <c r="K221" s="102" t="s">
        <v>46</v>
      </c>
      <c r="L221" s="131"/>
      <c r="M221" s="131"/>
      <c r="N221" s="131"/>
      <c r="O221" s="33" t="str">
        <f t="shared" si="25"/>
        <v xml:space="preserve"> </v>
      </c>
      <c r="P221" s="33" t="str">
        <f t="shared" si="26"/>
        <v xml:space="preserve"> </v>
      </c>
      <c r="Q221" s="33" t="str">
        <f t="shared" si="27"/>
        <v xml:space="preserve"> </v>
      </c>
      <c r="R221" s="34" t="str">
        <f t="shared" si="28"/>
        <v xml:space="preserve"> </v>
      </c>
      <c r="S221" s="35" t="str">
        <f t="shared" si="29"/>
        <v xml:space="preserve"> </v>
      </c>
      <c r="T221" s="36" t="str">
        <f t="shared" si="30"/>
        <v xml:space="preserve"> </v>
      </c>
      <c r="U221" s="34" t="str">
        <f t="shared" si="31"/>
        <v/>
      </c>
      <c r="V221" s="34" t="str">
        <f t="shared" si="24"/>
        <v/>
      </c>
      <c r="W221" s="165" t="str" cm="1">
        <f t="array" ref="W221">IF(AND(L221:N221 &gt;= D221+F221, L221:N221 &lt;= D221+E221), "OK", "NG")</f>
        <v>OK</v>
      </c>
    </row>
    <row r="222" spans="1:23" ht="18" customHeight="1">
      <c r="A222" s="32"/>
      <c r="B222" s="101">
        <v>140</v>
      </c>
      <c r="C222" s="102" t="s">
        <v>45</v>
      </c>
      <c r="D222" s="103">
        <v>6.0999999999999999E-2</v>
      </c>
      <c r="E222" s="103">
        <v>0.03</v>
      </c>
      <c r="F222" s="103">
        <v>-0.03</v>
      </c>
      <c r="G222" s="154">
        <v>8.6499999999999994E-2</v>
      </c>
      <c r="H222" s="154">
        <v>3.5500000000000004E-2</v>
      </c>
      <c r="I222" s="154"/>
      <c r="J222" s="154"/>
      <c r="K222" s="102" t="s">
        <v>46</v>
      </c>
      <c r="L222" s="131"/>
      <c r="M222" s="131"/>
      <c r="N222" s="131"/>
      <c r="O222" s="33" t="str">
        <f t="shared" si="25"/>
        <v xml:space="preserve"> </v>
      </c>
      <c r="P222" s="33" t="str">
        <f t="shared" si="26"/>
        <v xml:space="preserve"> </v>
      </c>
      <c r="Q222" s="33" t="str">
        <f t="shared" si="27"/>
        <v xml:space="preserve"> </v>
      </c>
      <c r="R222" s="34" t="str">
        <f t="shared" si="28"/>
        <v xml:space="preserve"> </v>
      </c>
      <c r="S222" s="35" t="str">
        <f t="shared" si="29"/>
        <v xml:space="preserve"> </v>
      </c>
      <c r="T222" s="36" t="str">
        <f t="shared" si="30"/>
        <v xml:space="preserve"> </v>
      </c>
      <c r="U222" s="34" t="str">
        <f t="shared" si="31"/>
        <v/>
      </c>
      <c r="V222" s="34" t="str">
        <f t="shared" si="24"/>
        <v/>
      </c>
      <c r="W222" s="165" t="str" cm="1">
        <f t="array" ref="W222">IF(AND(L222:N222 &gt;= D222+F222, L222:N222 &lt;= D222+E222), "OK", "NG")</f>
        <v>NG</v>
      </c>
    </row>
    <row r="223" spans="1:23" ht="18" customHeight="1">
      <c r="A223" s="32"/>
      <c r="B223" s="101">
        <v>141</v>
      </c>
      <c r="C223" s="102" t="s">
        <v>45</v>
      </c>
      <c r="D223" s="103">
        <v>0.28000000000000003</v>
      </c>
      <c r="E223" s="103">
        <v>0.03</v>
      </c>
      <c r="F223" s="103">
        <v>-0.03</v>
      </c>
      <c r="G223" s="154">
        <v>0.30550000000000005</v>
      </c>
      <c r="H223" s="154">
        <v>0.2545</v>
      </c>
      <c r="I223" s="154"/>
      <c r="J223" s="154"/>
      <c r="K223" s="102" t="s">
        <v>46</v>
      </c>
      <c r="L223" s="131"/>
      <c r="M223" s="131"/>
      <c r="N223" s="131"/>
      <c r="O223" s="33" t="str">
        <f t="shared" si="25"/>
        <v xml:space="preserve"> </v>
      </c>
      <c r="P223" s="33" t="str">
        <f t="shared" si="26"/>
        <v xml:space="preserve"> </v>
      </c>
      <c r="Q223" s="33" t="str">
        <f t="shared" si="27"/>
        <v xml:space="preserve"> </v>
      </c>
      <c r="R223" s="34" t="str">
        <f t="shared" si="28"/>
        <v xml:space="preserve"> </v>
      </c>
      <c r="S223" s="35" t="str">
        <f t="shared" si="29"/>
        <v xml:space="preserve"> </v>
      </c>
      <c r="T223" s="36" t="str">
        <f t="shared" si="30"/>
        <v xml:space="preserve"> </v>
      </c>
      <c r="U223" s="34" t="str">
        <f t="shared" si="31"/>
        <v/>
      </c>
      <c r="V223" s="34" t="str">
        <f t="shared" si="24"/>
        <v/>
      </c>
      <c r="W223" s="165" t="str" cm="1">
        <f t="array" ref="W223">IF(AND(L223:N223 &gt;= D223+F223, L223:N223 &lt;= D223+E223), "OK", "NG")</f>
        <v>NG</v>
      </c>
    </row>
    <row r="224" spans="1:23" ht="18" customHeight="1">
      <c r="A224" s="32"/>
      <c r="B224" s="101">
        <v>143</v>
      </c>
      <c r="C224" s="102" t="s">
        <v>272</v>
      </c>
      <c r="D224" s="103">
        <v>0</v>
      </c>
      <c r="E224" s="103">
        <v>0.17</v>
      </c>
      <c r="F224" s="103">
        <v>0</v>
      </c>
      <c r="G224" s="154">
        <v>0.14450000000000002</v>
      </c>
      <c r="H224" s="154">
        <v>0</v>
      </c>
      <c r="I224" s="154"/>
      <c r="J224" s="154"/>
      <c r="K224" s="102" t="s">
        <v>46</v>
      </c>
      <c r="L224" s="131"/>
      <c r="M224" s="131"/>
      <c r="N224" s="131"/>
      <c r="O224" s="33" t="str">
        <f t="shared" si="25"/>
        <v xml:space="preserve"> </v>
      </c>
      <c r="P224" s="33" t="str">
        <f t="shared" si="26"/>
        <v xml:space="preserve"> </v>
      </c>
      <c r="Q224" s="33" t="str">
        <f t="shared" si="27"/>
        <v xml:space="preserve"> </v>
      </c>
      <c r="R224" s="34" t="str">
        <f t="shared" si="28"/>
        <v xml:space="preserve"> </v>
      </c>
      <c r="S224" s="35" t="str">
        <f t="shared" si="29"/>
        <v xml:space="preserve"> </v>
      </c>
      <c r="T224" s="36" t="str">
        <f t="shared" si="30"/>
        <v xml:space="preserve"> </v>
      </c>
      <c r="U224" s="34" t="str">
        <f t="shared" si="31"/>
        <v/>
      </c>
      <c r="V224" s="34" t="str">
        <f t="shared" si="24"/>
        <v/>
      </c>
      <c r="W224" s="165" t="str" cm="1">
        <f t="array" ref="W224">IF(AND(L224:N224 &gt;= D224+F224, L224:N224 &lt;= D224+E224), "OK", "NG")</f>
        <v>OK</v>
      </c>
    </row>
    <row r="225" spans="1:23" ht="18" customHeight="1">
      <c r="A225" s="32"/>
      <c r="B225" s="101">
        <v>144</v>
      </c>
      <c r="C225" s="102" t="s">
        <v>272</v>
      </c>
      <c r="D225" s="103">
        <v>0</v>
      </c>
      <c r="E225" s="103">
        <v>0.14000000000000001</v>
      </c>
      <c r="F225" s="103">
        <v>0</v>
      </c>
      <c r="G225" s="154">
        <v>0.11900000000000001</v>
      </c>
      <c r="H225" s="154">
        <v>0</v>
      </c>
      <c r="I225" s="154"/>
      <c r="J225" s="154"/>
      <c r="K225" s="102" t="s">
        <v>46</v>
      </c>
      <c r="L225" s="131"/>
      <c r="M225" s="131"/>
      <c r="N225" s="131"/>
      <c r="O225" s="33" t="str">
        <f t="shared" si="25"/>
        <v xml:space="preserve"> </v>
      </c>
      <c r="P225" s="33" t="str">
        <f t="shared" si="26"/>
        <v xml:space="preserve"> </v>
      </c>
      <c r="Q225" s="33" t="str">
        <f t="shared" si="27"/>
        <v xml:space="preserve"> </v>
      </c>
      <c r="R225" s="34" t="str">
        <f t="shared" si="28"/>
        <v xml:space="preserve"> </v>
      </c>
      <c r="S225" s="35" t="str">
        <f t="shared" si="29"/>
        <v xml:space="preserve"> </v>
      </c>
      <c r="T225" s="36" t="str">
        <f t="shared" si="30"/>
        <v xml:space="preserve"> </v>
      </c>
      <c r="U225" s="34" t="str">
        <f t="shared" si="31"/>
        <v/>
      </c>
      <c r="V225" s="34" t="str">
        <f t="shared" si="24"/>
        <v/>
      </c>
      <c r="W225" s="165" t="str" cm="1">
        <f t="array" ref="W225">IF(AND(L225:N225 &gt;= D225+F225, L225:N225 &lt;= D225+E225), "OK", "NG")</f>
        <v>OK</v>
      </c>
    </row>
    <row r="226" spans="1:23" ht="18" customHeight="1">
      <c r="A226" s="32"/>
      <c r="B226" s="101" t="s">
        <v>266</v>
      </c>
      <c r="C226" s="104" t="s">
        <v>336</v>
      </c>
      <c r="D226" s="103">
        <v>0</v>
      </c>
      <c r="E226" s="103">
        <v>0.05</v>
      </c>
      <c r="F226" s="103">
        <v>0</v>
      </c>
      <c r="G226" s="154">
        <v>4.2500000000000003E-2</v>
      </c>
      <c r="H226" s="154">
        <v>0</v>
      </c>
      <c r="I226" s="154"/>
      <c r="J226" s="154"/>
      <c r="K226" s="102" t="s">
        <v>46</v>
      </c>
      <c r="L226" s="131"/>
      <c r="M226" s="131"/>
      <c r="N226" s="131"/>
      <c r="O226" s="33" t="str">
        <f t="shared" si="25"/>
        <v xml:space="preserve"> </v>
      </c>
      <c r="P226" s="33" t="str">
        <f t="shared" si="26"/>
        <v xml:space="preserve"> </v>
      </c>
      <c r="Q226" s="33" t="str">
        <f t="shared" si="27"/>
        <v xml:space="preserve"> </v>
      </c>
      <c r="R226" s="34" t="str">
        <f t="shared" si="28"/>
        <v xml:space="preserve"> </v>
      </c>
      <c r="S226" s="35" t="str">
        <f t="shared" si="29"/>
        <v xml:space="preserve"> </v>
      </c>
      <c r="T226" s="36" t="str">
        <f t="shared" si="30"/>
        <v xml:space="preserve"> </v>
      </c>
      <c r="U226" s="34" t="str">
        <f t="shared" si="31"/>
        <v/>
      </c>
      <c r="V226" s="34" t="str">
        <f t="shared" si="24"/>
        <v/>
      </c>
      <c r="W226" s="165" t="str" cm="1">
        <f t="array" ref="W226">IF(AND(L226:N226 &gt;= D226+F226, L226:N226 &lt;= D226+E226), "OK", "NG")</f>
        <v>OK</v>
      </c>
    </row>
    <row r="227" spans="1:23" ht="18" customHeight="1">
      <c r="A227" s="32"/>
      <c r="B227" s="101" t="s">
        <v>267</v>
      </c>
      <c r="C227" s="104" t="s">
        <v>336</v>
      </c>
      <c r="D227" s="103">
        <v>0</v>
      </c>
      <c r="E227" s="103">
        <v>0.05</v>
      </c>
      <c r="F227" s="103">
        <v>0</v>
      </c>
      <c r="G227" s="154">
        <v>4.2500000000000003E-2</v>
      </c>
      <c r="H227" s="154">
        <v>0</v>
      </c>
      <c r="I227" s="154"/>
      <c r="J227" s="154"/>
      <c r="K227" s="102" t="s">
        <v>46</v>
      </c>
      <c r="L227" s="131"/>
      <c r="M227" s="131"/>
      <c r="N227" s="131"/>
      <c r="O227" s="33" t="str">
        <f t="shared" si="25"/>
        <v xml:space="preserve"> </v>
      </c>
      <c r="P227" s="33" t="str">
        <f t="shared" si="26"/>
        <v xml:space="preserve"> </v>
      </c>
      <c r="Q227" s="33" t="str">
        <f t="shared" si="27"/>
        <v xml:space="preserve"> </v>
      </c>
      <c r="R227" s="34" t="str">
        <f t="shared" si="28"/>
        <v xml:space="preserve"> </v>
      </c>
      <c r="S227" s="35" t="str">
        <f t="shared" si="29"/>
        <v xml:space="preserve"> </v>
      </c>
      <c r="T227" s="36" t="str">
        <f t="shared" si="30"/>
        <v xml:space="preserve"> </v>
      </c>
      <c r="U227" s="34" t="str">
        <f t="shared" si="31"/>
        <v/>
      </c>
      <c r="V227" s="34" t="str">
        <f t="shared" ref="V227:V243" si="32">IF(L227="","",IF(ISERR(F227/F227)=TRUE,"",IF(ISERR(F227/D227)=TRUE,IF((F227-MIN(L227:N227))&gt;0.001,"Reject",""),IF(ISNUMBER($T227)=TRUE,IF($T227&gt;0.651,IF($T227&gt;1.001,"Reject","Alert"),""),""))))</f>
        <v/>
      </c>
      <c r="W227" s="165" t="str" cm="1">
        <f t="array" ref="W227">IF(AND(L227:N227 &gt;= D227+F227, L227:N227 &lt;= D227+E227), "OK", "NG")</f>
        <v>OK</v>
      </c>
    </row>
    <row r="228" spans="1:23" ht="18" customHeight="1">
      <c r="A228" s="32"/>
      <c r="B228" s="101" t="s">
        <v>268</v>
      </c>
      <c r="C228" s="104" t="s">
        <v>336</v>
      </c>
      <c r="D228" s="103">
        <v>0</v>
      </c>
      <c r="E228" s="103">
        <v>0.05</v>
      </c>
      <c r="F228" s="103">
        <v>0</v>
      </c>
      <c r="G228" s="154">
        <v>4.2500000000000003E-2</v>
      </c>
      <c r="H228" s="154">
        <v>0</v>
      </c>
      <c r="I228" s="154"/>
      <c r="J228" s="154"/>
      <c r="K228" s="102" t="s">
        <v>46</v>
      </c>
      <c r="L228" s="131"/>
      <c r="M228" s="131"/>
      <c r="N228" s="131"/>
      <c r="O228" s="33" t="str">
        <f t="shared" si="25"/>
        <v xml:space="preserve"> </v>
      </c>
      <c r="P228" s="33" t="str">
        <f t="shared" si="26"/>
        <v xml:space="preserve"> </v>
      </c>
      <c r="Q228" s="33" t="str">
        <f t="shared" si="27"/>
        <v xml:space="preserve"> </v>
      </c>
      <c r="R228" s="34" t="str">
        <f t="shared" si="28"/>
        <v xml:space="preserve"> </v>
      </c>
      <c r="S228" s="35" t="str">
        <f t="shared" si="29"/>
        <v xml:space="preserve"> </v>
      </c>
      <c r="T228" s="36" t="str">
        <f t="shared" si="30"/>
        <v xml:space="preserve"> </v>
      </c>
      <c r="U228" s="34" t="str">
        <f t="shared" si="31"/>
        <v/>
      </c>
      <c r="V228" s="34" t="str">
        <f t="shared" si="32"/>
        <v/>
      </c>
      <c r="W228" s="165" t="str" cm="1">
        <f t="array" ref="W228">IF(AND(L228:N228 &gt;= D228+F228, L228:N228 &lt;= D228+E228), "OK", "NG")</f>
        <v>OK</v>
      </c>
    </row>
    <row r="229" spans="1:23" ht="18" customHeight="1">
      <c r="A229" s="32"/>
      <c r="B229" s="101" t="s">
        <v>333</v>
      </c>
      <c r="C229" s="104" t="s">
        <v>336</v>
      </c>
      <c r="D229" s="103">
        <v>0</v>
      </c>
      <c r="E229" s="103">
        <v>0.05</v>
      </c>
      <c r="F229" s="103">
        <v>0</v>
      </c>
      <c r="G229" s="154">
        <v>4.2500000000000003E-2</v>
      </c>
      <c r="H229" s="154">
        <v>0</v>
      </c>
      <c r="I229" s="154"/>
      <c r="J229" s="154"/>
      <c r="K229" s="102" t="s">
        <v>46</v>
      </c>
      <c r="L229" s="131"/>
      <c r="M229" s="131"/>
      <c r="N229" s="131"/>
      <c r="O229" s="33" t="str">
        <f t="shared" si="25"/>
        <v xml:space="preserve"> </v>
      </c>
      <c r="P229" s="33" t="str">
        <f t="shared" si="26"/>
        <v xml:space="preserve"> </v>
      </c>
      <c r="Q229" s="33" t="str">
        <f t="shared" si="27"/>
        <v xml:space="preserve"> </v>
      </c>
      <c r="R229" s="34" t="str">
        <f t="shared" si="28"/>
        <v xml:space="preserve"> </v>
      </c>
      <c r="S229" s="35" t="str">
        <f t="shared" si="29"/>
        <v xml:space="preserve"> </v>
      </c>
      <c r="T229" s="36" t="str">
        <f t="shared" si="30"/>
        <v xml:space="preserve"> </v>
      </c>
      <c r="U229" s="34" t="str">
        <f t="shared" si="31"/>
        <v/>
      </c>
      <c r="V229" s="34" t="str">
        <f t="shared" si="32"/>
        <v/>
      </c>
      <c r="W229" s="165" t="str" cm="1">
        <f t="array" ref="W229">IF(AND(L229:N229 &gt;= D229+F229, L229:N229 &lt;= D229+E229), "OK", "NG")</f>
        <v>OK</v>
      </c>
    </row>
    <row r="230" spans="1:23" ht="18" customHeight="1">
      <c r="A230" s="32"/>
      <c r="B230" s="101" t="s">
        <v>334</v>
      </c>
      <c r="C230" s="104" t="s">
        <v>336</v>
      </c>
      <c r="D230" s="103">
        <v>0</v>
      </c>
      <c r="E230" s="103">
        <v>0.05</v>
      </c>
      <c r="F230" s="103">
        <v>0</v>
      </c>
      <c r="G230" s="154">
        <v>4.2500000000000003E-2</v>
      </c>
      <c r="H230" s="154">
        <v>0</v>
      </c>
      <c r="I230" s="154"/>
      <c r="J230" s="154"/>
      <c r="K230" s="102" t="s">
        <v>46</v>
      </c>
      <c r="L230" s="131"/>
      <c r="M230" s="131"/>
      <c r="N230" s="131"/>
      <c r="O230" s="33" t="str">
        <f t="shared" si="25"/>
        <v xml:space="preserve"> </v>
      </c>
      <c r="P230" s="33" t="str">
        <f t="shared" si="26"/>
        <v xml:space="preserve"> </v>
      </c>
      <c r="Q230" s="33" t="str">
        <f t="shared" si="27"/>
        <v xml:space="preserve"> </v>
      </c>
      <c r="R230" s="34" t="str">
        <f t="shared" si="28"/>
        <v xml:space="preserve"> </v>
      </c>
      <c r="S230" s="35" t="str">
        <f t="shared" si="29"/>
        <v xml:space="preserve"> </v>
      </c>
      <c r="T230" s="36" t="str">
        <f t="shared" si="30"/>
        <v xml:space="preserve"> </v>
      </c>
      <c r="U230" s="34" t="str">
        <f t="shared" si="31"/>
        <v/>
      </c>
      <c r="V230" s="34" t="str">
        <f t="shared" si="32"/>
        <v/>
      </c>
      <c r="W230" s="165" t="str" cm="1">
        <f t="array" ref="W230">IF(AND(L230:N230 &gt;= D230+F230, L230:N230 &lt;= D230+E230), "OK", "NG")</f>
        <v>OK</v>
      </c>
    </row>
    <row r="231" spans="1:23" ht="18" customHeight="1">
      <c r="A231" s="32"/>
      <c r="B231" s="101" t="s">
        <v>335</v>
      </c>
      <c r="C231" s="104" t="s">
        <v>336</v>
      </c>
      <c r="D231" s="103">
        <v>0</v>
      </c>
      <c r="E231" s="103">
        <v>0.05</v>
      </c>
      <c r="F231" s="103">
        <v>0</v>
      </c>
      <c r="G231" s="154">
        <v>4.2500000000000003E-2</v>
      </c>
      <c r="H231" s="154">
        <v>0</v>
      </c>
      <c r="I231" s="154"/>
      <c r="J231" s="154"/>
      <c r="K231" s="102" t="s">
        <v>46</v>
      </c>
      <c r="L231" s="131"/>
      <c r="M231" s="131"/>
      <c r="N231" s="131"/>
      <c r="O231" s="33" t="str">
        <f t="shared" si="25"/>
        <v xml:space="preserve"> </v>
      </c>
      <c r="P231" s="33" t="str">
        <f t="shared" si="26"/>
        <v xml:space="preserve"> </v>
      </c>
      <c r="Q231" s="33" t="str">
        <f t="shared" si="27"/>
        <v xml:space="preserve"> </v>
      </c>
      <c r="R231" s="34" t="str">
        <f t="shared" si="28"/>
        <v xml:space="preserve"> </v>
      </c>
      <c r="S231" s="35" t="str">
        <f t="shared" si="29"/>
        <v xml:space="preserve"> </v>
      </c>
      <c r="T231" s="36" t="str">
        <f t="shared" si="30"/>
        <v xml:space="preserve"> </v>
      </c>
      <c r="U231" s="34" t="str">
        <f t="shared" si="31"/>
        <v/>
      </c>
      <c r="V231" s="34" t="str">
        <f t="shared" si="32"/>
        <v/>
      </c>
      <c r="W231" s="165" t="str" cm="1">
        <f t="array" ref="W231">IF(AND(L231:N231 &gt;= D231+F231, L231:N231 &lt;= D231+E231), "OK", "NG")</f>
        <v>OK</v>
      </c>
    </row>
    <row r="232" spans="1:23" ht="18" customHeight="1">
      <c r="A232" s="32"/>
      <c r="B232" s="101">
        <v>147</v>
      </c>
      <c r="C232" s="102" t="s">
        <v>336</v>
      </c>
      <c r="D232" s="103">
        <v>0</v>
      </c>
      <c r="E232" s="103">
        <v>0.02</v>
      </c>
      <c r="F232" s="103">
        <v>0</v>
      </c>
      <c r="G232" s="154">
        <v>1.7000000000000001E-2</v>
      </c>
      <c r="H232" s="154">
        <v>0</v>
      </c>
      <c r="I232" s="154"/>
      <c r="J232" s="154"/>
      <c r="K232" s="102" t="s">
        <v>46</v>
      </c>
      <c r="L232" s="131"/>
      <c r="M232" s="131"/>
      <c r="N232" s="131"/>
      <c r="O232" s="33" t="str">
        <f t="shared" si="25"/>
        <v xml:space="preserve"> </v>
      </c>
      <c r="P232" s="33" t="str">
        <f t="shared" si="26"/>
        <v xml:space="preserve"> </v>
      </c>
      <c r="Q232" s="33" t="str">
        <f t="shared" si="27"/>
        <v xml:space="preserve"> </v>
      </c>
      <c r="R232" s="34" t="str">
        <f t="shared" si="28"/>
        <v xml:space="preserve"> </v>
      </c>
      <c r="S232" s="35" t="str">
        <f t="shared" si="29"/>
        <v xml:space="preserve"> </v>
      </c>
      <c r="T232" s="36" t="str">
        <f t="shared" si="30"/>
        <v xml:space="preserve"> </v>
      </c>
      <c r="U232" s="34" t="str">
        <f t="shared" si="31"/>
        <v/>
      </c>
      <c r="V232" s="34" t="str">
        <f t="shared" si="32"/>
        <v/>
      </c>
      <c r="W232" s="165" t="str" cm="1">
        <f t="array" ref="W232">IF(AND(L232:N232 &gt;= D232+F232, L232:N232 &lt;= D232+E232), "OK", "NG")</f>
        <v>OK</v>
      </c>
    </row>
    <row r="233" spans="1:23" ht="18" customHeight="1">
      <c r="A233" s="32"/>
      <c r="B233" s="101">
        <v>148</v>
      </c>
      <c r="C233" s="102" t="s">
        <v>339</v>
      </c>
      <c r="D233" s="103">
        <v>0</v>
      </c>
      <c r="E233" s="103">
        <v>0.02</v>
      </c>
      <c r="F233" s="103">
        <v>0</v>
      </c>
      <c r="G233" s="154">
        <v>1.7000000000000001E-2</v>
      </c>
      <c r="H233" s="154">
        <v>0</v>
      </c>
      <c r="I233" s="154"/>
      <c r="J233" s="154"/>
      <c r="K233" s="102" t="s">
        <v>46</v>
      </c>
      <c r="L233" s="131"/>
      <c r="M233" s="131"/>
      <c r="N233" s="131"/>
      <c r="O233" s="33" t="str">
        <f t="shared" si="25"/>
        <v xml:space="preserve"> </v>
      </c>
      <c r="P233" s="33" t="str">
        <f t="shared" si="26"/>
        <v xml:space="preserve"> </v>
      </c>
      <c r="Q233" s="33" t="str">
        <f t="shared" si="27"/>
        <v xml:space="preserve"> </v>
      </c>
      <c r="R233" s="34" t="str">
        <f t="shared" si="28"/>
        <v xml:space="preserve"> </v>
      </c>
      <c r="S233" s="35" t="str">
        <f t="shared" si="29"/>
        <v xml:space="preserve"> </v>
      </c>
      <c r="T233" s="36" t="str">
        <f t="shared" si="30"/>
        <v xml:space="preserve"> </v>
      </c>
      <c r="U233" s="34" t="str">
        <f t="shared" si="31"/>
        <v/>
      </c>
      <c r="V233" s="34" t="str">
        <f t="shared" si="32"/>
        <v/>
      </c>
      <c r="W233" s="165" t="str" cm="1">
        <f t="array" ref="W233">IF(AND(L233:N233 &gt;= D233+F233, L233:N233 &lt;= D233+E233), "OK", "NG")</f>
        <v>OK</v>
      </c>
    </row>
    <row r="234" spans="1:23" ht="18" customHeight="1">
      <c r="A234" s="32"/>
      <c r="B234" s="101" t="s">
        <v>337</v>
      </c>
      <c r="C234" s="102" t="s">
        <v>45</v>
      </c>
      <c r="D234" s="103">
        <v>0.2</v>
      </c>
      <c r="E234" s="103">
        <v>0.03</v>
      </c>
      <c r="F234" s="103">
        <v>-0.03</v>
      </c>
      <c r="G234" s="154">
        <v>0.22550000000000001</v>
      </c>
      <c r="H234" s="154">
        <v>0.17450000000000002</v>
      </c>
      <c r="I234" s="154"/>
      <c r="J234" s="154"/>
      <c r="K234" s="102" t="s">
        <v>46</v>
      </c>
      <c r="L234" s="131"/>
      <c r="M234" s="131"/>
      <c r="N234" s="131"/>
      <c r="O234" s="33" t="str">
        <f t="shared" si="25"/>
        <v xml:space="preserve"> </v>
      </c>
      <c r="P234" s="33" t="str">
        <f t="shared" si="26"/>
        <v xml:space="preserve"> </v>
      </c>
      <c r="Q234" s="33" t="str">
        <f t="shared" si="27"/>
        <v xml:space="preserve"> </v>
      </c>
      <c r="R234" s="34" t="str">
        <f t="shared" si="28"/>
        <v xml:space="preserve"> </v>
      </c>
      <c r="S234" s="35" t="str">
        <f t="shared" si="29"/>
        <v xml:space="preserve"> </v>
      </c>
      <c r="T234" s="36" t="str">
        <f t="shared" si="30"/>
        <v xml:space="preserve"> </v>
      </c>
      <c r="U234" s="34" t="str">
        <f t="shared" si="31"/>
        <v/>
      </c>
      <c r="V234" s="34" t="str">
        <f t="shared" si="32"/>
        <v/>
      </c>
      <c r="W234" s="165" t="str" cm="1">
        <f t="array" ref="W234">IF(AND(L234:N234 &gt;= D234+F234, L234:N234 &lt;= D234+E234), "OK", "NG")</f>
        <v>NG</v>
      </c>
    </row>
    <row r="235" spans="1:23" ht="18" customHeight="1">
      <c r="A235" s="32"/>
      <c r="B235" s="101" t="s">
        <v>338</v>
      </c>
      <c r="C235" s="102" t="s">
        <v>45</v>
      </c>
      <c r="D235" s="103">
        <v>0.2</v>
      </c>
      <c r="E235" s="103">
        <v>0.03</v>
      </c>
      <c r="F235" s="103">
        <v>-0.03</v>
      </c>
      <c r="G235" s="154">
        <v>0.22550000000000001</v>
      </c>
      <c r="H235" s="154">
        <v>0.17450000000000002</v>
      </c>
      <c r="I235" s="154"/>
      <c r="J235" s="154"/>
      <c r="K235" s="102" t="s">
        <v>46</v>
      </c>
      <c r="L235" s="131"/>
      <c r="M235" s="131"/>
      <c r="N235" s="131"/>
      <c r="O235" s="33" t="str">
        <f t="shared" si="25"/>
        <v xml:space="preserve"> </v>
      </c>
      <c r="P235" s="33" t="str">
        <f t="shared" si="26"/>
        <v xml:space="preserve"> </v>
      </c>
      <c r="Q235" s="33" t="str">
        <f t="shared" si="27"/>
        <v xml:space="preserve"> </v>
      </c>
      <c r="R235" s="34" t="str">
        <f t="shared" si="28"/>
        <v xml:space="preserve"> </v>
      </c>
      <c r="S235" s="35" t="str">
        <f t="shared" si="29"/>
        <v xml:space="preserve"> </v>
      </c>
      <c r="T235" s="36" t="str">
        <f t="shared" si="30"/>
        <v xml:space="preserve"> </v>
      </c>
      <c r="U235" s="34" t="str">
        <f t="shared" si="31"/>
        <v/>
      </c>
      <c r="V235" s="34" t="str">
        <f t="shared" si="32"/>
        <v/>
      </c>
      <c r="W235" s="165" t="str" cm="1">
        <f t="array" ref="W235">IF(AND(L235:N235 &gt;= D235+F235, L235:N235 &lt;= D235+E235), "OK", "NG")</f>
        <v>NG</v>
      </c>
    </row>
    <row r="236" spans="1:23" ht="18" customHeight="1">
      <c r="A236" s="32"/>
      <c r="B236" s="101">
        <v>150</v>
      </c>
      <c r="C236" s="102" t="s">
        <v>47</v>
      </c>
      <c r="D236" s="103">
        <v>0</v>
      </c>
      <c r="E236" s="103">
        <v>0.04</v>
      </c>
      <c r="F236" s="103">
        <v>0</v>
      </c>
      <c r="G236" s="154">
        <v>3.4000000000000002E-2</v>
      </c>
      <c r="H236" s="154">
        <v>0</v>
      </c>
      <c r="I236" s="154"/>
      <c r="J236" s="154"/>
      <c r="K236" s="102" t="s">
        <v>46</v>
      </c>
      <c r="L236" s="131"/>
      <c r="M236" s="131"/>
      <c r="N236" s="131"/>
      <c r="O236" s="33" t="str">
        <f t="shared" si="25"/>
        <v xml:space="preserve"> </v>
      </c>
      <c r="P236" s="33" t="str">
        <f t="shared" si="26"/>
        <v xml:space="preserve"> </v>
      </c>
      <c r="Q236" s="33" t="str">
        <f t="shared" si="27"/>
        <v xml:space="preserve"> </v>
      </c>
      <c r="R236" s="34" t="str">
        <f t="shared" si="28"/>
        <v xml:space="preserve"> </v>
      </c>
      <c r="S236" s="35" t="str">
        <f t="shared" si="29"/>
        <v xml:space="preserve"> </v>
      </c>
      <c r="T236" s="36" t="str">
        <f t="shared" si="30"/>
        <v xml:space="preserve"> </v>
      </c>
      <c r="U236" s="34" t="str">
        <f t="shared" si="31"/>
        <v/>
      </c>
      <c r="V236" s="34" t="str">
        <f t="shared" si="32"/>
        <v/>
      </c>
      <c r="W236" s="165" t="str" cm="1">
        <f t="array" ref="W236">IF(AND(L236:N236 &gt;= D236+F236, L236:N236 &lt;= D236+E236), "OK", "NG")</f>
        <v>OK</v>
      </c>
    </row>
    <row r="237" spans="1:23" ht="18" customHeight="1">
      <c r="A237" s="32"/>
      <c r="B237" s="101">
        <v>151</v>
      </c>
      <c r="C237" s="102" t="s">
        <v>47</v>
      </c>
      <c r="D237" s="103">
        <v>0</v>
      </c>
      <c r="E237" s="103">
        <v>0.03</v>
      </c>
      <c r="F237" s="103">
        <v>0</v>
      </c>
      <c r="G237" s="154">
        <v>2.5499999999999998E-2</v>
      </c>
      <c r="H237" s="154">
        <v>0</v>
      </c>
      <c r="I237" s="154"/>
      <c r="J237" s="154"/>
      <c r="K237" s="102" t="s">
        <v>46</v>
      </c>
      <c r="L237" s="131"/>
      <c r="M237" s="131"/>
      <c r="N237" s="131"/>
      <c r="O237" s="33" t="str">
        <f t="shared" si="25"/>
        <v xml:space="preserve"> </v>
      </c>
      <c r="P237" s="33" t="str">
        <f t="shared" si="26"/>
        <v xml:space="preserve"> </v>
      </c>
      <c r="Q237" s="33" t="str">
        <f t="shared" si="27"/>
        <v xml:space="preserve"> </v>
      </c>
      <c r="R237" s="34" t="str">
        <f t="shared" si="28"/>
        <v xml:space="preserve"> </v>
      </c>
      <c r="S237" s="35" t="str">
        <f t="shared" si="29"/>
        <v xml:space="preserve"> </v>
      </c>
      <c r="T237" s="36" t="str">
        <f t="shared" si="30"/>
        <v xml:space="preserve"> </v>
      </c>
      <c r="U237" s="34" t="str">
        <f t="shared" si="31"/>
        <v/>
      </c>
      <c r="V237" s="34" t="str">
        <f t="shared" si="32"/>
        <v/>
      </c>
      <c r="W237" s="165" t="str" cm="1">
        <f t="array" ref="W237">IF(AND(L237:N237 &gt;= D237+F237, L237:N237 &lt;= D237+E237), "OK", "NG")</f>
        <v>OK</v>
      </c>
    </row>
    <row r="238" spans="1:23" ht="18" customHeight="1">
      <c r="A238" s="32"/>
      <c r="B238" s="101">
        <v>152</v>
      </c>
      <c r="C238" s="102" t="s">
        <v>47</v>
      </c>
      <c r="D238" s="103">
        <v>0</v>
      </c>
      <c r="E238" s="103">
        <v>0.05</v>
      </c>
      <c r="F238" s="103">
        <v>0</v>
      </c>
      <c r="G238" s="154">
        <v>4.2500000000000003E-2</v>
      </c>
      <c r="H238" s="154">
        <v>0</v>
      </c>
      <c r="I238" s="154"/>
      <c r="J238" s="154"/>
      <c r="K238" s="102" t="s">
        <v>46</v>
      </c>
      <c r="L238" s="131"/>
      <c r="M238" s="131"/>
      <c r="N238" s="131"/>
      <c r="O238" s="33" t="str">
        <f t="shared" si="25"/>
        <v xml:space="preserve"> </v>
      </c>
      <c r="P238" s="33" t="str">
        <f t="shared" si="26"/>
        <v xml:space="preserve"> </v>
      </c>
      <c r="Q238" s="33" t="str">
        <f t="shared" si="27"/>
        <v xml:space="preserve"> </v>
      </c>
      <c r="R238" s="34" t="str">
        <f t="shared" si="28"/>
        <v xml:space="preserve"> </v>
      </c>
      <c r="S238" s="35" t="str">
        <f t="shared" si="29"/>
        <v xml:space="preserve"> </v>
      </c>
      <c r="T238" s="36" t="str">
        <f t="shared" si="30"/>
        <v xml:space="preserve"> </v>
      </c>
      <c r="U238" s="34" t="str">
        <f t="shared" si="31"/>
        <v/>
      </c>
      <c r="V238" s="34" t="str">
        <f t="shared" si="32"/>
        <v/>
      </c>
      <c r="W238" s="165" t="str" cm="1">
        <f t="array" ref="W238">IF(AND(L238:N238 &gt;= D238+F238, L238:N238 &lt;= D238+E238), "OK", "NG")</f>
        <v>OK</v>
      </c>
    </row>
    <row r="239" spans="1:23" ht="18" customHeight="1">
      <c r="A239" s="32"/>
      <c r="B239" s="101">
        <v>153</v>
      </c>
      <c r="C239" s="102" t="s">
        <v>47</v>
      </c>
      <c r="D239" s="103">
        <v>0</v>
      </c>
      <c r="E239" s="103">
        <v>0.06</v>
      </c>
      <c r="F239" s="103">
        <v>0</v>
      </c>
      <c r="G239" s="154">
        <v>5.0999999999999997E-2</v>
      </c>
      <c r="H239" s="154">
        <v>0</v>
      </c>
      <c r="I239" s="154"/>
      <c r="J239" s="154"/>
      <c r="K239" s="102" t="s">
        <v>46</v>
      </c>
      <c r="L239" s="131"/>
      <c r="M239" s="131"/>
      <c r="N239" s="131"/>
      <c r="O239" s="33" t="str">
        <f t="shared" si="25"/>
        <v xml:space="preserve"> </v>
      </c>
      <c r="P239" s="33" t="str">
        <f t="shared" si="26"/>
        <v xml:space="preserve"> </v>
      </c>
      <c r="Q239" s="33" t="str">
        <f t="shared" si="27"/>
        <v xml:space="preserve"> </v>
      </c>
      <c r="R239" s="34" t="str">
        <f t="shared" si="28"/>
        <v xml:space="preserve"> </v>
      </c>
      <c r="S239" s="35" t="str">
        <f t="shared" si="29"/>
        <v xml:space="preserve"> </v>
      </c>
      <c r="T239" s="36" t="str">
        <f t="shared" si="30"/>
        <v xml:space="preserve"> </v>
      </c>
      <c r="U239" s="34" t="str">
        <f t="shared" si="31"/>
        <v/>
      </c>
      <c r="V239" s="34" t="str">
        <f t="shared" si="32"/>
        <v/>
      </c>
      <c r="W239" s="165" t="str" cm="1">
        <f t="array" ref="W239">IF(AND(L239:N239 &gt;= D239+F239, L239:N239 &lt;= D239+E239), "OK", "NG")</f>
        <v>OK</v>
      </c>
    </row>
    <row r="240" spans="1:23" ht="18" customHeight="1">
      <c r="A240" s="32"/>
      <c r="B240" s="101">
        <v>154</v>
      </c>
      <c r="C240" s="102" t="s">
        <v>47</v>
      </c>
      <c r="D240" s="103">
        <v>0</v>
      </c>
      <c r="E240" s="103">
        <v>0.06</v>
      </c>
      <c r="F240" s="103">
        <v>0</v>
      </c>
      <c r="G240" s="154">
        <v>5.0999999999999997E-2</v>
      </c>
      <c r="H240" s="154">
        <v>0</v>
      </c>
      <c r="I240" s="154"/>
      <c r="J240" s="154"/>
      <c r="K240" s="102" t="s">
        <v>46</v>
      </c>
      <c r="L240" s="131"/>
      <c r="M240" s="131"/>
      <c r="N240" s="131"/>
      <c r="O240" s="33" t="str">
        <f t="shared" si="25"/>
        <v xml:space="preserve"> </v>
      </c>
      <c r="P240" s="33" t="str">
        <f t="shared" si="26"/>
        <v xml:space="preserve"> </v>
      </c>
      <c r="Q240" s="33" t="str">
        <f t="shared" si="27"/>
        <v xml:space="preserve"> </v>
      </c>
      <c r="R240" s="34" t="str">
        <f t="shared" si="28"/>
        <v xml:space="preserve"> </v>
      </c>
      <c r="S240" s="35" t="str">
        <f t="shared" si="29"/>
        <v xml:space="preserve"> </v>
      </c>
      <c r="T240" s="36" t="str">
        <f t="shared" si="30"/>
        <v xml:space="preserve"> </v>
      </c>
      <c r="U240" s="34" t="str">
        <f t="shared" si="31"/>
        <v/>
      </c>
      <c r="V240" s="34" t="str">
        <f t="shared" si="32"/>
        <v/>
      </c>
      <c r="W240" s="165" t="str" cm="1">
        <f t="array" ref="W240">IF(AND(L240:N240 &gt;= D240+F240, L240:N240 &lt;= D240+E240), "OK", "NG")</f>
        <v>OK</v>
      </c>
    </row>
    <row r="241" spans="1:23" ht="18" customHeight="1">
      <c r="A241" s="32"/>
      <c r="B241" s="101">
        <v>155</v>
      </c>
      <c r="C241" s="102" t="s">
        <v>47</v>
      </c>
      <c r="D241" s="103">
        <v>0</v>
      </c>
      <c r="E241" s="103">
        <v>0.06</v>
      </c>
      <c r="F241" s="103">
        <v>0</v>
      </c>
      <c r="G241" s="154">
        <v>2.5499999999999998E-2</v>
      </c>
      <c r="H241" s="154">
        <v>0</v>
      </c>
      <c r="I241" s="154"/>
      <c r="J241" s="154"/>
      <c r="K241" s="102" t="s">
        <v>46</v>
      </c>
      <c r="L241" s="131"/>
      <c r="M241" s="131"/>
      <c r="N241" s="131"/>
      <c r="O241" s="33" t="str">
        <f t="shared" si="25"/>
        <v xml:space="preserve"> </v>
      </c>
      <c r="P241" s="33" t="str">
        <f t="shared" si="26"/>
        <v xml:space="preserve"> </v>
      </c>
      <c r="Q241" s="33" t="str">
        <f t="shared" si="27"/>
        <v xml:space="preserve"> </v>
      </c>
      <c r="R241" s="34" t="str">
        <f t="shared" si="28"/>
        <v xml:space="preserve"> </v>
      </c>
      <c r="S241" s="35" t="str">
        <f t="shared" si="29"/>
        <v xml:space="preserve"> </v>
      </c>
      <c r="T241" s="36" t="str">
        <f t="shared" si="30"/>
        <v xml:space="preserve"> </v>
      </c>
      <c r="U241" s="34" t="str">
        <f t="shared" si="31"/>
        <v/>
      </c>
      <c r="V241" s="34" t="str">
        <f t="shared" si="32"/>
        <v/>
      </c>
      <c r="W241" s="165" t="str" cm="1">
        <f t="array" ref="W241">IF(AND(L241:N241 &gt;= D241+F241, L241:N241 &lt;= D241+E241), "OK", "NG")</f>
        <v>OK</v>
      </c>
    </row>
    <row r="242" spans="1:23" ht="18" customHeight="1">
      <c r="A242" s="32"/>
      <c r="B242" s="101">
        <v>157</v>
      </c>
      <c r="C242" s="102" t="s">
        <v>45</v>
      </c>
      <c r="D242" s="103">
        <v>18.472999999999999</v>
      </c>
      <c r="E242" s="103">
        <v>0.02</v>
      </c>
      <c r="F242" s="103">
        <v>-0.02</v>
      </c>
      <c r="G242" s="154">
        <v>18.489999999999998</v>
      </c>
      <c r="H242" s="154">
        <v>18.456</v>
      </c>
      <c r="I242" s="154"/>
      <c r="J242" s="154"/>
      <c r="K242" s="102" t="s">
        <v>46</v>
      </c>
      <c r="L242" s="131"/>
      <c r="M242" s="131"/>
      <c r="N242" s="131"/>
      <c r="O242" s="33" t="str">
        <f t="shared" si="25"/>
        <v xml:space="preserve"> </v>
      </c>
      <c r="P242" s="33" t="str">
        <f t="shared" si="26"/>
        <v xml:space="preserve"> </v>
      </c>
      <c r="Q242" s="33" t="str">
        <f t="shared" si="27"/>
        <v xml:space="preserve"> </v>
      </c>
      <c r="R242" s="34" t="str">
        <f t="shared" si="28"/>
        <v xml:space="preserve"> </v>
      </c>
      <c r="S242" s="35" t="str">
        <f t="shared" si="29"/>
        <v xml:space="preserve"> </v>
      </c>
      <c r="T242" s="36" t="str">
        <f t="shared" si="30"/>
        <v xml:space="preserve"> </v>
      </c>
      <c r="U242" s="34" t="str">
        <f t="shared" si="31"/>
        <v/>
      </c>
      <c r="V242" s="34" t="str">
        <f t="shared" si="32"/>
        <v/>
      </c>
      <c r="W242" s="165" t="str" cm="1">
        <f t="array" ref="W242">IF(AND(L242:N242 &gt;= D242+F242, L242:N242 &lt;= D242+E242), "OK", "NG")</f>
        <v>NG</v>
      </c>
    </row>
    <row r="243" spans="1:23" ht="18" customHeight="1">
      <c r="A243" s="32"/>
      <c r="B243" s="101">
        <v>158</v>
      </c>
      <c r="C243" s="102" t="s">
        <v>45</v>
      </c>
      <c r="D243" s="103">
        <v>18.593</v>
      </c>
      <c r="E243" s="103">
        <v>0.02</v>
      </c>
      <c r="F243" s="103">
        <v>-0.02</v>
      </c>
      <c r="G243" s="154">
        <v>18.61</v>
      </c>
      <c r="H243" s="154">
        <v>18.576000000000001</v>
      </c>
      <c r="I243" s="154"/>
      <c r="J243" s="154"/>
      <c r="K243" s="102" t="s">
        <v>46</v>
      </c>
      <c r="L243" s="131"/>
      <c r="M243" s="131"/>
      <c r="N243" s="131"/>
      <c r="O243" s="33" t="str">
        <f t="shared" si="25"/>
        <v xml:space="preserve"> </v>
      </c>
      <c r="P243" s="33" t="str">
        <f t="shared" si="26"/>
        <v xml:space="preserve"> </v>
      </c>
      <c r="Q243" s="33" t="str">
        <f t="shared" si="27"/>
        <v xml:space="preserve"> </v>
      </c>
      <c r="R243" s="34" t="str">
        <f t="shared" si="28"/>
        <v xml:space="preserve"> </v>
      </c>
      <c r="S243" s="35" t="str">
        <f t="shared" si="29"/>
        <v xml:space="preserve"> </v>
      </c>
      <c r="T243" s="36" t="str">
        <f t="shared" si="30"/>
        <v xml:space="preserve"> </v>
      </c>
      <c r="U243" s="34" t="str">
        <f t="shared" si="31"/>
        <v/>
      </c>
      <c r="V243" s="34" t="str">
        <f t="shared" si="32"/>
        <v/>
      </c>
      <c r="W243" s="165" t="str" cm="1">
        <f t="array" ref="W243">IF(AND(L243:N243 &gt;= D243+F243, L243:N243 &lt;= D243+E243), "OK", "NG")</f>
        <v>NG</v>
      </c>
    </row>
    <row r="244" spans="1:23">
      <c r="W244" s="161">
        <f>COUNTIFS(W6:W243,"NG")</f>
        <v>160</v>
      </c>
    </row>
  </sheetData>
  <mergeCells count="16">
    <mergeCell ref="K4:K5"/>
    <mergeCell ref="L4:N4"/>
    <mergeCell ref="O4:Q4"/>
    <mergeCell ref="R4:R5"/>
    <mergeCell ref="A1:W1"/>
    <mergeCell ref="B3:K3"/>
    <mergeCell ref="L3:Q3"/>
    <mergeCell ref="R3:V3"/>
    <mergeCell ref="W3:W5"/>
    <mergeCell ref="B4:B5"/>
    <mergeCell ref="C4:C5"/>
    <mergeCell ref="D4:D5"/>
    <mergeCell ref="E4:E5"/>
    <mergeCell ref="F4:F5"/>
    <mergeCell ref="G4:H4"/>
    <mergeCell ref="I4:J4"/>
  </mergeCells>
  <phoneticPr fontId="10" type="noConversion"/>
  <conditionalFormatting sqref="L6:N243">
    <cfRule type="expression" dxfId="14" priority="1" stopIfTrue="1">
      <formula>AND(($D6+$E6)&lt;&gt;"",L6&lt;&gt;"",L6&gt;($D6+$E6))</formula>
    </cfRule>
    <cfRule type="expression" dxfId="13" priority="2" stopIfTrue="1">
      <formula>AND(($D6+$F6)&lt;&gt;"",L6&lt;&gt;"",L6&lt;($D6+$F6))</formula>
    </cfRule>
    <cfRule type="cellIs" dxfId="12" priority="3" operator="lessThan">
      <formula>$H6</formula>
    </cfRule>
    <cfRule type="cellIs" dxfId="11" priority="4" operator="greaterThan">
      <formula>$G6</formula>
    </cfRule>
  </conditionalFormatting>
  <conditionalFormatting sqref="L29:N34">
    <cfRule type="cellIs" dxfId="10" priority="7" operator="lessThan">
      <formula>$J29</formula>
    </cfRule>
    <cfRule type="cellIs" dxfId="9" priority="8" operator="greaterThan">
      <formula>$I29</formula>
    </cfRule>
  </conditionalFormatting>
  <conditionalFormatting sqref="L75:N80">
    <cfRule type="cellIs" dxfId="8" priority="5" operator="lessThan">
      <formula>$J75</formula>
    </cfRule>
    <cfRule type="cellIs" dxfId="7" priority="6" operator="greaterThan">
      <formula>$I75</formula>
    </cfRule>
  </conditionalFormatting>
  <pageMargins left="0.7" right="0.7" top="0.75" bottom="0.75" header="0.3" footer="0.3"/>
  <pageSetup paperSize="9" orientation="portrait" horizontalDpi="90" verticalDpi="90" r:id="rId1"/>
  <ignoredErrors>
    <ignoredError sqref="W6:W244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BC6D-6869-9541-80AE-A21083A54525}">
  <sheetPr codeName="Sheet4"/>
  <dimension ref="A1:BR141"/>
  <sheetViews>
    <sheetView showGridLines="0" zoomScale="85" zoomScaleNormal="85" zoomScalePageLayoutView="125" workbookViewId="0">
      <pane xSplit="16" ySplit="1" topLeftCell="Q2" activePane="bottomRight" state="frozen"/>
      <selection activeCell="D226" sqref="D226:F227"/>
      <selection pane="topRight" activeCell="D226" sqref="D226:F227"/>
      <selection pane="bottomLeft" activeCell="D226" sqref="D226:F227"/>
      <selection pane="bottomRight" activeCell="J6" sqref="J6"/>
    </sheetView>
  </sheetViews>
  <sheetFormatPr defaultColWidth="8.81640625" defaultRowHeight="19.2"/>
  <cols>
    <col min="1" max="1" width="0.81640625" style="16" customWidth="1"/>
    <col min="2" max="2" width="7.81640625" style="16" customWidth="1"/>
    <col min="3" max="3" width="11.1796875" style="16" bestFit="1" customWidth="1"/>
    <col min="4" max="4" width="24" style="16" customWidth="1"/>
    <col min="5" max="5" width="7.81640625" style="16" customWidth="1"/>
    <col min="6" max="7" width="8.1796875" style="16" customWidth="1"/>
    <col min="8" max="8" width="7.81640625" style="16" customWidth="1"/>
    <col min="9" max="9" width="7.81640625" style="16" hidden="1" customWidth="1"/>
    <col min="10" max="11" width="7.81640625" style="16" customWidth="1"/>
    <col min="12" max="15" width="7.81640625" style="16" hidden="1" customWidth="1"/>
    <col min="16" max="16" width="0.81640625" style="16" customWidth="1"/>
    <col min="17" max="20" width="7.81640625" style="16" customWidth="1"/>
    <col min="21" max="26" width="7.81640625" style="16" hidden="1" customWidth="1"/>
    <col min="27" max="27" width="7.81640625" style="16" customWidth="1"/>
    <col min="28" max="28" width="10" style="16" hidden="1" customWidth="1"/>
    <col min="29" max="31" width="9.453125" style="16" hidden="1" customWidth="1"/>
    <col min="32" max="32" width="7.81640625" style="16" customWidth="1"/>
    <col min="33" max="33" width="9" style="16" customWidth="1"/>
    <col min="34" max="34" width="8.6328125" style="16" customWidth="1"/>
    <col min="35" max="36" width="9" style="16" hidden="1" customWidth="1"/>
    <col min="37" max="37" width="7.54296875" style="16" hidden="1" customWidth="1"/>
    <col min="38" max="38" width="0.81640625" style="16" customWidth="1"/>
    <col min="39" max="70" width="7.81640625" style="16" customWidth="1"/>
    <col min="71" max="16384" width="8.81640625" style="16"/>
  </cols>
  <sheetData>
    <row r="1" spans="1:70" s="23" customFormat="1" ht="22.2" customHeight="1">
      <c r="A1" s="177" t="s">
        <v>49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22"/>
      <c r="AI1" s="22"/>
      <c r="AJ1" s="22"/>
      <c r="AK1" s="22"/>
      <c r="AL1" s="22"/>
    </row>
    <row r="2" spans="1:70" s="23" customFormat="1" ht="9" customHeight="1"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Q2" s="37"/>
      <c r="R2" s="37"/>
      <c r="S2" s="37"/>
      <c r="T2" s="37"/>
      <c r="U2" s="37" t="s">
        <v>50</v>
      </c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M2" s="38"/>
    </row>
    <row r="3" spans="1:70" s="26" customFormat="1" ht="15" customHeight="1">
      <c r="A3" s="39"/>
      <c r="B3" s="182" t="s">
        <v>51</v>
      </c>
      <c r="C3" s="181"/>
      <c r="D3" s="181"/>
      <c r="E3" s="181"/>
      <c r="F3" s="181"/>
      <c r="G3" s="181"/>
      <c r="H3" s="181"/>
      <c r="I3" s="181"/>
      <c r="J3" s="181"/>
      <c r="K3" s="195"/>
      <c r="L3" s="150"/>
      <c r="M3" s="150"/>
      <c r="N3" s="150"/>
      <c r="O3" s="150"/>
      <c r="P3" s="40"/>
      <c r="Q3" s="182" t="s">
        <v>52</v>
      </c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95"/>
      <c r="AH3" s="41"/>
      <c r="AI3" s="196" t="s">
        <v>53</v>
      </c>
      <c r="AJ3" s="196"/>
      <c r="AK3" s="196"/>
      <c r="AL3" s="24"/>
      <c r="AM3" s="189" t="s">
        <v>54</v>
      </c>
      <c r="AN3" s="190"/>
      <c r="AO3" s="190"/>
      <c r="AP3" s="190"/>
      <c r="AQ3" s="190"/>
      <c r="AR3" s="190"/>
      <c r="AS3" s="190"/>
      <c r="AT3" s="190"/>
      <c r="AU3" s="190"/>
      <c r="AV3" s="190"/>
      <c r="AW3" s="190"/>
      <c r="AX3" s="190"/>
      <c r="AY3" s="190"/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0"/>
      <c r="BK3" s="190"/>
      <c r="BL3" s="190"/>
      <c r="BM3" s="190"/>
      <c r="BN3" s="190"/>
      <c r="BO3" s="190"/>
      <c r="BP3" s="190"/>
      <c r="BQ3" s="190"/>
      <c r="BR3" s="191"/>
    </row>
    <row r="4" spans="1:70" s="26" customFormat="1" ht="25.2" customHeight="1">
      <c r="A4" s="39"/>
      <c r="B4" s="42"/>
      <c r="C4" s="42"/>
      <c r="D4" s="42"/>
      <c r="E4" s="43"/>
      <c r="F4" s="44" t="s">
        <v>55</v>
      </c>
      <c r="G4" s="44" t="s">
        <v>56</v>
      </c>
      <c r="H4" s="45"/>
      <c r="I4" s="45"/>
      <c r="J4" s="46"/>
      <c r="K4" s="46"/>
      <c r="L4" s="199" t="s">
        <v>399</v>
      </c>
      <c r="M4" s="200"/>
      <c r="N4" s="187" t="s">
        <v>402</v>
      </c>
      <c r="O4" s="188"/>
      <c r="P4" s="39"/>
      <c r="Q4" s="47"/>
      <c r="R4" s="47"/>
      <c r="S4" s="48"/>
      <c r="T4" s="47"/>
      <c r="U4" s="49"/>
      <c r="V4" s="49"/>
      <c r="W4" s="49"/>
      <c r="X4" s="49"/>
      <c r="Y4" s="49"/>
      <c r="Z4" s="49"/>
      <c r="AA4" s="49"/>
      <c r="AB4" s="197" t="s">
        <v>57</v>
      </c>
      <c r="AC4" s="198"/>
      <c r="AD4" s="50" t="s">
        <v>58</v>
      </c>
      <c r="AE4" s="124">
        <v>1.5</v>
      </c>
      <c r="AF4" s="51"/>
      <c r="AG4" s="51"/>
      <c r="AH4" s="40"/>
      <c r="AI4" s="24"/>
      <c r="AJ4" s="24"/>
      <c r="AK4" s="52"/>
      <c r="AL4" s="53"/>
      <c r="AM4" s="192"/>
      <c r="AN4" s="193"/>
      <c r="AO4" s="193"/>
      <c r="AP4" s="193"/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  <c r="BJ4" s="193"/>
      <c r="BK4" s="193"/>
      <c r="BL4" s="193"/>
      <c r="BM4" s="193"/>
      <c r="BN4" s="193"/>
      <c r="BO4" s="193"/>
      <c r="BP4" s="193"/>
      <c r="BQ4" s="193"/>
      <c r="BR4" s="194"/>
    </row>
    <row r="5" spans="1:70" s="67" customFormat="1" ht="22.8">
      <c r="A5" s="54"/>
      <c r="B5" s="55" t="s">
        <v>59</v>
      </c>
      <c r="C5" s="55" t="s">
        <v>30</v>
      </c>
      <c r="D5" s="55" t="s">
        <v>60</v>
      </c>
      <c r="E5" s="56" t="s">
        <v>32</v>
      </c>
      <c r="F5" s="57" t="s">
        <v>61</v>
      </c>
      <c r="G5" s="57" t="s">
        <v>62</v>
      </c>
      <c r="H5" s="58" t="s">
        <v>35</v>
      </c>
      <c r="I5" s="58" t="s">
        <v>63</v>
      </c>
      <c r="J5" s="59" t="s">
        <v>64</v>
      </c>
      <c r="K5" s="59" t="s">
        <v>65</v>
      </c>
      <c r="L5" s="59" t="s">
        <v>64</v>
      </c>
      <c r="M5" s="59" t="s">
        <v>65</v>
      </c>
      <c r="N5" s="153" t="s">
        <v>401</v>
      </c>
      <c r="O5" s="153" t="s">
        <v>400</v>
      </c>
      <c r="P5" s="54"/>
      <c r="Q5" s="60" t="s">
        <v>66</v>
      </c>
      <c r="R5" s="60" t="s">
        <v>67</v>
      </c>
      <c r="S5" s="61" t="s">
        <v>38</v>
      </c>
      <c r="T5" s="60" t="s">
        <v>68</v>
      </c>
      <c r="U5" s="62" t="s">
        <v>69</v>
      </c>
      <c r="V5" s="62" t="s">
        <v>70</v>
      </c>
      <c r="W5" s="62" t="s">
        <v>71</v>
      </c>
      <c r="X5" s="62" t="s">
        <v>72</v>
      </c>
      <c r="Y5" s="62" t="s">
        <v>73</v>
      </c>
      <c r="Z5" s="62" t="s">
        <v>74</v>
      </c>
      <c r="AA5" s="62" t="s">
        <v>75</v>
      </c>
      <c r="AB5" s="63" t="s">
        <v>76</v>
      </c>
      <c r="AC5" s="63" t="s">
        <v>77</v>
      </c>
      <c r="AD5" s="63" t="s">
        <v>78</v>
      </c>
      <c r="AE5" s="64" t="s">
        <v>79</v>
      </c>
      <c r="AF5" s="65" t="s">
        <v>80</v>
      </c>
      <c r="AG5" s="65" t="s">
        <v>81</v>
      </c>
      <c r="AH5" s="65" t="s">
        <v>82</v>
      </c>
      <c r="AI5" s="24"/>
      <c r="AJ5" s="24"/>
      <c r="AK5" s="52"/>
      <c r="AL5" s="66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</row>
    <row r="6" spans="1:70" ht="19.2" customHeight="1">
      <c r="B6" s="68" t="s">
        <v>274</v>
      </c>
      <c r="C6" s="101">
        <v>1</v>
      </c>
      <c r="D6" s="125" t="s">
        <v>47</v>
      </c>
      <c r="E6" s="126">
        <v>0</v>
      </c>
      <c r="F6" s="127">
        <v>0.04</v>
      </c>
      <c r="G6" s="127">
        <v>0</v>
      </c>
      <c r="H6" s="106" t="s">
        <v>46</v>
      </c>
      <c r="I6" s="69" t="s">
        <v>84</v>
      </c>
      <c r="J6" s="70">
        <f>E6+F6</f>
        <v>0.04</v>
      </c>
      <c r="K6" s="70">
        <f>E6+G6</f>
        <v>0</v>
      </c>
      <c r="L6" s="70">
        <v>3.4000000000000002E-2</v>
      </c>
      <c r="M6" s="70">
        <v>0</v>
      </c>
      <c r="N6" s="155"/>
      <c r="O6" s="155"/>
      <c r="P6" s="71"/>
      <c r="Q6" s="128">
        <f t="shared" ref="Q6:Q80" si="0">IF(OR($AM6=ISBLANK(TRUE),ISNUMBER($AM6)=FALSE),,MAX(AM6:BR6))</f>
        <v>0</v>
      </c>
      <c r="R6" s="128">
        <f t="shared" ref="R6:R80" si="1">IF(OR($AM6=ISBLANK(TRUE),ISNUMBER($AM6)=FALSE),,MIN(AM6:BR6))</f>
        <v>0</v>
      </c>
      <c r="S6" s="128">
        <f t="shared" ref="S6:S80" si="2">IF(OR($AM6=ISBLANK(TRUE),ISNUMBER($AM6)=FALSE),,AVERAGE(AM6:BR6))</f>
        <v>0</v>
      </c>
      <c r="T6" s="129">
        <f t="shared" ref="T6:T58" si="3">IF(OR($AM6=ISBLANK(TRUE),ISNUMBER($AM6)=FALSE),,STDEV(AM6:BR6))</f>
        <v>0</v>
      </c>
      <c r="U6" s="107" t="str">
        <f t="shared" ref="U6:U80" si="4">IF(OR($AM6="",ISNUMBER($AM6)=FALSE),"",IF(AND(E6=0,G6=0),X6,IF(AND(E6="",F6=""),Y6,(F6+ABS(G6))/(6*T6))))</f>
        <v/>
      </c>
      <c r="V6" s="108" t="str">
        <f>IF(OR($AM6="",ISNUMBER($AM6)=FALSE),"",IF(AND(#REF!="Tolerance",$E6&lt;&gt;""),($S6-$E6)/(($J6-$K6)/2),IF(AND(#REF!="GD&amp;T",$F6&lt;&gt;""),$S6/$F6,"")))</f>
        <v/>
      </c>
      <c r="W6" s="108" t="str">
        <f>IF($V6="","",IF(ABS($V6)&lt;=0.125, "Level A",IF(AND(ABS($V6)&gt;0.125,ABS($V6)&lt;=0.25), "Level B",IF(AND(ABS($V6)&gt;0.25,ABS($V6)&lt;=0.5), "Level C", IF(ABS($V6)&gt;0.5, "Level D")))))</f>
        <v/>
      </c>
      <c r="X6" s="107" t="str">
        <f t="shared" ref="X6:X80" si="5">IF(OR($AM6="",ISNUMBER($AM6)=FALSE),"",IF(F6="","",(J6-S6)/(3*T6)))</f>
        <v/>
      </c>
      <c r="Y6" s="107" t="str">
        <f t="shared" ref="Y6:Y80" si="6">IF(OR($AM6="",ISNUMBER($AM6)=FALSE),"",IF(G6="","",(S6-K6)/(3*T6)))</f>
        <v/>
      </c>
      <c r="Z6" s="107" t="str">
        <f t="shared" ref="Z6:Z80" si="7">IF(OR($AM6="",ISNUMBER($AM6)=FALSE),"",IF(AND(E6=0,G6=0),((F6)-(S6))/(3*T6),MIN(X6:Y6)))</f>
        <v/>
      </c>
      <c r="AA6" s="72" t="str">
        <f t="shared" ref="AA6:AA80" si="8">IF(OR($AM6="",ISNUMBER($AM6)=FALSE),"",IF(AND(E6=0,G6=0),NORMSDIST(3*Z6),NORMSDIST(3*Z6)+NORMSDIST(6*U6-3*Z6)-1))</f>
        <v/>
      </c>
      <c r="AB6" s="73" t="e">
        <f>IF($S6="","",IF(#REF!="Tolerance",IF((#REF!*3*T6+S6)-E6&lt;F6,"",(#REF!*3*T6+S6)-E6),IF(OR(#REF!="GD&amp;T",#REF!="MAX"),IF((#REF!*3*T6+S6)&lt;F6,"",(#REF!*3*T6+S6)),"")))</f>
        <v>#REF!</v>
      </c>
      <c r="AC6" s="73" t="e">
        <f>IF(S6="","",IF(#REF!="Tolerance",IF(-((#REF!*3*T6)-S6)-E6&gt;G6,"",-((#REF!*3*T6)-S6)-E6),IF(#REF!="MIN",IF(-((#REF!*3*T6)-S6)&gt;G6,"",-((#REF!*3*T6)-S6)),"")))</f>
        <v>#REF!</v>
      </c>
      <c r="AD6" s="73">
        <f>IF(OR(E6="",S6=""),"",(J6+K6)/2-S6)</f>
        <v>0.02</v>
      </c>
      <c r="AE6" s="73" t="str">
        <f t="shared" ref="AE6:AE80" si="9">IF(OR($U6&gt;$AE$4,$T6=""),"",$AE$4*6*$T6)</f>
        <v/>
      </c>
      <c r="AF6" s="109"/>
      <c r="AG6" s="110" t="str">
        <f>IF(AF6="","",IF(AF6&gt;=0.966,"Normal","Not Normal"))</f>
        <v/>
      </c>
      <c r="AH6" s="164" t="str" cm="1">
        <f t="array" ref="AH6">IF(AND(AM6:BR6 &gt;= K6, AM6:BR6 &lt;= J6), "OK", "NG")</f>
        <v>OK</v>
      </c>
      <c r="AI6" s="74"/>
      <c r="AJ6" s="74"/>
      <c r="AK6" s="75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49"/>
      <c r="BK6" s="149"/>
      <c r="BL6" s="149"/>
      <c r="BM6" s="149"/>
      <c r="BN6" s="149"/>
      <c r="BO6" s="149"/>
      <c r="BP6" s="149"/>
      <c r="BQ6" s="149"/>
      <c r="BR6" s="149"/>
    </row>
    <row r="7" spans="1:70" ht="19.2" customHeight="1">
      <c r="B7" s="68" t="s">
        <v>96</v>
      </c>
      <c r="C7" s="101" t="s">
        <v>141</v>
      </c>
      <c r="D7" s="125" t="s">
        <v>45</v>
      </c>
      <c r="E7" s="126">
        <v>3.984</v>
      </c>
      <c r="F7" s="127">
        <v>2.5000000000000001E-2</v>
      </c>
      <c r="G7" s="127">
        <v>-0.02</v>
      </c>
      <c r="H7" s="106" t="s">
        <v>46</v>
      </c>
      <c r="I7" s="69" t="s">
        <v>84</v>
      </c>
      <c r="J7" s="70">
        <f t="shared" ref="J7:J70" si="10">E7+F7</f>
        <v>4.0090000000000003</v>
      </c>
      <c r="K7" s="70">
        <f t="shared" ref="K7:K70" si="11">E7+G7</f>
        <v>3.964</v>
      </c>
      <c r="L7" s="70">
        <v>4.0052500000000002</v>
      </c>
      <c r="M7" s="70">
        <v>3.9670000000000001</v>
      </c>
      <c r="N7" s="155"/>
      <c r="O7" s="155"/>
      <c r="P7" s="71"/>
      <c r="Q7" s="128">
        <f t="shared" si="0"/>
        <v>0</v>
      </c>
      <c r="R7" s="128">
        <f t="shared" si="1"/>
        <v>0</v>
      </c>
      <c r="S7" s="128">
        <f t="shared" si="2"/>
        <v>0</v>
      </c>
      <c r="T7" s="129">
        <f t="shared" si="3"/>
        <v>0</v>
      </c>
      <c r="U7" s="107" t="str">
        <f t="shared" si="4"/>
        <v/>
      </c>
      <c r="V7" s="108" t="str">
        <f>IF(OR($AM7="",ISNUMBER($AM7)=FALSE),"",IF(AND(#REF!="Tolerance",$E7&lt;&gt;""),($S7-$E7)/(($J7-$K7)/2),IF(AND(#REF!="GD&amp;T",$F7&lt;&gt;""),$S7/$F7,"")))</f>
        <v/>
      </c>
      <c r="W7" s="108" t="str">
        <f t="shared" ref="W7:W81" si="12">IF($V7="","",IF(ABS($V7)&lt;=0.125, "Level A",IF(AND(ABS($V7)&gt;0.125,ABS($V7)&lt;=0.25), "Level B",IF(AND(ABS($V7)&gt;0.25,ABS($V7)&lt;=0.5), "Level C", IF(ABS($V7)&gt;0.5, "Level D")))))</f>
        <v/>
      </c>
      <c r="X7" s="107" t="str">
        <f t="shared" si="5"/>
        <v/>
      </c>
      <c r="Y7" s="107" t="str">
        <f t="shared" si="6"/>
        <v/>
      </c>
      <c r="Z7" s="107" t="str">
        <f t="shared" si="7"/>
        <v/>
      </c>
      <c r="AA7" s="72" t="str">
        <f t="shared" si="8"/>
        <v/>
      </c>
      <c r="AB7" s="73" t="e">
        <f>IF($S7="","",IF(#REF!="Tolerance",IF((#REF!*3*T7+S7)-E7&lt;F7,"",(#REF!*3*T7+S7)-E7),IF(OR(#REF!="GD&amp;T",#REF!="MAX"),IF((#REF!*3*T7+S7)&lt;F7,"",(#REF!*3*T7+S7)),"")))</f>
        <v>#REF!</v>
      </c>
      <c r="AC7" s="73" t="e">
        <f>IF(S7="","",IF(#REF!="Tolerance",IF(-((#REF!*3*T7)-S7)-E7&gt;G7,"",-((#REF!*3*T7)-S7)-E7),IF(#REF!="MIN",IF(-((#REF!*3*T7)-S7)&gt;G7,"",-((#REF!*3*T7)-S7)),"")))</f>
        <v>#REF!</v>
      </c>
      <c r="AD7" s="73">
        <f t="shared" ref="AD7:AD81" si="13">IF(OR(E7="",S7=""),"",(J7+K7)/2-S7)</f>
        <v>3.9865000000000004</v>
      </c>
      <c r="AE7" s="73" t="str">
        <f t="shared" si="9"/>
        <v/>
      </c>
      <c r="AF7" s="109"/>
      <c r="AG7" s="110" t="str">
        <f t="shared" ref="AG7:AG70" si="14">IF(AF7="","",IF(AF7&gt;=0.966,"Normal","Not Normal"))</f>
        <v/>
      </c>
      <c r="AH7" s="164" t="str" cm="1">
        <f t="array" ref="AH7">IF(AND(AM7:BR7 &gt;= K7, AM7:BR7 &lt;= J7), "OK", "NG")</f>
        <v>NG</v>
      </c>
      <c r="AI7" s="74"/>
      <c r="AJ7" s="74"/>
      <c r="AK7" s="75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/>
      <c r="BG7" s="149"/>
      <c r="BH7" s="149"/>
      <c r="BI7" s="149"/>
      <c r="BJ7" s="149"/>
      <c r="BK7" s="149"/>
      <c r="BL7" s="149"/>
      <c r="BM7" s="149"/>
      <c r="BN7" s="149"/>
      <c r="BO7" s="149"/>
      <c r="BP7" s="149"/>
      <c r="BQ7" s="149"/>
      <c r="BR7" s="149"/>
    </row>
    <row r="8" spans="1:70" ht="19.2" customHeight="1">
      <c r="B8" s="68" t="s">
        <v>96</v>
      </c>
      <c r="C8" s="101" t="s">
        <v>142</v>
      </c>
      <c r="D8" s="125" t="s">
        <v>45</v>
      </c>
      <c r="E8" s="126">
        <v>3.984</v>
      </c>
      <c r="F8" s="127">
        <v>2.5000000000000001E-2</v>
      </c>
      <c r="G8" s="127">
        <v>-0.02</v>
      </c>
      <c r="H8" s="106" t="s">
        <v>46</v>
      </c>
      <c r="I8" s="69" t="s">
        <v>84</v>
      </c>
      <c r="J8" s="70">
        <f t="shared" si="10"/>
        <v>4.0090000000000003</v>
      </c>
      <c r="K8" s="70">
        <f t="shared" si="11"/>
        <v>3.964</v>
      </c>
      <c r="L8" s="70">
        <v>4.0052500000000002</v>
      </c>
      <c r="M8" s="70">
        <v>3.9670000000000001</v>
      </c>
      <c r="N8" s="155"/>
      <c r="O8" s="155"/>
      <c r="P8" s="71"/>
      <c r="Q8" s="128">
        <f t="shared" si="0"/>
        <v>0</v>
      </c>
      <c r="R8" s="128">
        <f t="shared" si="1"/>
        <v>0</v>
      </c>
      <c r="S8" s="128">
        <f t="shared" si="2"/>
        <v>0</v>
      </c>
      <c r="T8" s="129">
        <f t="shared" si="3"/>
        <v>0</v>
      </c>
      <c r="U8" s="107" t="str">
        <f t="shared" si="4"/>
        <v/>
      </c>
      <c r="V8" s="108" t="str">
        <f>IF(OR($AM8="",ISNUMBER($AM8)=FALSE),"",IF(AND(#REF!="Tolerance",$E8&lt;&gt;""),($S8-$E8)/(($J8-$K8)/2),IF(AND(#REF!="GD&amp;T",$F8&lt;&gt;""),$S8/$F8,"")))</f>
        <v/>
      </c>
      <c r="W8" s="108" t="str">
        <f t="shared" si="12"/>
        <v/>
      </c>
      <c r="X8" s="107" t="str">
        <f t="shared" si="5"/>
        <v/>
      </c>
      <c r="Y8" s="107" t="str">
        <f t="shared" si="6"/>
        <v/>
      </c>
      <c r="Z8" s="107" t="str">
        <f t="shared" si="7"/>
        <v/>
      </c>
      <c r="AA8" s="72" t="str">
        <f t="shared" si="8"/>
        <v/>
      </c>
      <c r="AB8" s="73" t="e">
        <f>IF($S8="","",IF(#REF!="Tolerance",IF((#REF!*3*T8+S8)-E8&lt;F8,"",(#REF!*3*T8+S8)-E8),IF(OR(#REF!="GD&amp;T",#REF!="MAX"),IF((#REF!*3*T8+S8)&lt;F8,"",(#REF!*3*T8+S8)),"")))</f>
        <v>#REF!</v>
      </c>
      <c r="AC8" s="73" t="e">
        <f>IF(S8="","",IF(#REF!="Tolerance",IF(-((#REF!*3*T8)-S8)-E8&gt;G8,"",-((#REF!*3*T8)-S8)-E8),IF(#REF!="MIN",IF(-((#REF!*3*T8)-S8)&gt;G8,"",-((#REF!*3*T8)-S8)),"")))</f>
        <v>#REF!</v>
      </c>
      <c r="AD8" s="73">
        <f t="shared" si="13"/>
        <v>3.9865000000000004</v>
      </c>
      <c r="AE8" s="73" t="str">
        <f t="shared" si="9"/>
        <v/>
      </c>
      <c r="AF8" s="109"/>
      <c r="AG8" s="110" t="str">
        <f t="shared" si="14"/>
        <v/>
      </c>
      <c r="AH8" s="164" t="str" cm="1">
        <f t="array" ref="AH8">IF(AND(AM8:BR8 &gt;= K8, AM8:BR8 &lt;= J8), "OK", "NG")</f>
        <v>NG</v>
      </c>
      <c r="AI8" s="74"/>
      <c r="AJ8" s="74"/>
      <c r="AK8" s="75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149"/>
      <c r="BN8" s="149"/>
      <c r="BO8" s="149"/>
      <c r="BP8" s="149"/>
      <c r="BQ8" s="149"/>
      <c r="BR8" s="149"/>
    </row>
    <row r="9" spans="1:70" ht="19.2" customHeight="1">
      <c r="B9" s="68" t="s">
        <v>83</v>
      </c>
      <c r="C9" s="101">
        <v>4</v>
      </c>
      <c r="D9" s="125" t="s">
        <v>48</v>
      </c>
      <c r="E9" s="126">
        <v>0</v>
      </c>
      <c r="F9" s="127">
        <v>1.4999999999999999E-2</v>
      </c>
      <c r="G9" s="127">
        <v>0</v>
      </c>
      <c r="H9" s="106" t="s">
        <v>46</v>
      </c>
      <c r="I9" s="69" t="s">
        <v>84</v>
      </c>
      <c r="J9" s="70">
        <f t="shared" si="10"/>
        <v>1.4999999999999999E-2</v>
      </c>
      <c r="K9" s="70">
        <f t="shared" si="11"/>
        <v>0</v>
      </c>
      <c r="L9" s="70">
        <v>1.2749999999999999E-2</v>
      </c>
      <c r="M9" s="70">
        <v>0</v>
      </c>
      <c r="N9" s="155"/>
      <c r="O9" s="155"/>
      <c r="P9" s="71"/>
      <c r="Q9" s="128">
        <f t="shared" si="0"/>
        <v>0</v>
      </c>
      <c r="R9" s="128">
        <f t="shared" si="1"/>
        <v>0</v>
      </c>
      <c r="S9" s="128">
        <f t="shared" si="2"/>
        <v>0</v>
      </c>
      <c r="T9" s="129">
        <f t="shared" si="3"/>
        <v>0</v>
      </c>
      <c r="U9" s="107" t="str">
        <f t="shared" si="4"/>
        <v/>
      </c>
      <c r="V9" s="108" t="str">
        <f>IF(OR($AM9="",ISNUMBER($AM9)=FALSE),"",IF(AND(#REF!="Tolerance",$E9&lt;&gt;""),($S9-$E9)/(($J9-$K9)/2),IF(AND(#REF!="GD&amp;T",$F9&lt;&gt;""),$S9/$F9,"")))</f>
        <v/>
      </c>
      <c r="W9" s="108" t="str">
        <f t="shared" si="12"/>
        <v/>
      </c>
      <c r="X9" s="107" t="str">
        <f t="shared" si="5"/>
        <v/>
      </c>
      <c r="Y9" s="107" t="str">
        <f t="shared" si="6"/>
        <v/>
      </c>
      <c r="Z9" s="107" t="str">
        <f t="shared" si="7"/>
        <v/>
      </c>
      <c r="AA9" s="72" t="str">
        <f t="shared" si="8"/>
        <v/>
      </c>
      <c r="AB9" s="73" t="e">
        <f>IF($S9="","",IF(#REF!="Tolerance",IF((#REF!*3*T9+S9)-E9&lt;F9,"",(#REF!*3*T9+S9)-E9),IF(OR(#REF!="GD&amp;T",#REF!="MAX"),IF((#REF!*3*T9+S9)&lt;F9,"",(#REF!*3*T9+S9)),"")))</f>
        <v>#REF!</v>
      </c>
      <c r="AC9" s="73" t="e">
        <f>IF(S9="","",IF(#REF!="Tolerance",IF(-((#REF!*3*T9)-S9)-E9&gt;G9,"",-((#REF!*3*T9)-S9)-E9),IF(#REF!="MIN",IF(-((#REF!*3*T9)-S9)&gt;G9,"",-((#REF!*3*T9)-S9)),"")))</f>
        <v>#REF!</v>
      </c>
      <c r="AD9" s="73">
        <f t="shared" si="13"/>
        <v>7.4999999999999997E-3</v>
      </c>
      <c r="AE9" s="73" t="str">
        <f t="shared" si="9"/>
        <v/>
      </c>
      <c r="AF9" s="109"/>
      <c r="AG9" s="110" t="str">
        <f t="shared" si="14"/>
        <v/>
      </c>
      <c r="AH9" s="164" t="str" cm="1">
        <f t="array" ref="AH9">IF(AND(AM9:BR9 &gt;= K9, AM9:BR9 &lt;= J9), "OK", "NG")</f>
        <v>OK</v>
      </c>
      <c r="AI9" s="74"/>
      <c r="AJ9" s="74"/>
      <c r="AK9" s="75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</row>
    <row r="10" spans="1:70" ht="19.2" customHeight="1">
      <c r="B10" s="68" t="s">
        <v>97</v>
      </c>
      <c r="C10" s="101" t="s">
        <v>157</v>
      </c>
      <c r="D10" s="125" t="s">
        <v>45</v>
      </c>
      <c r="E10" s="126">
        <v>4.0090000000000003</v>
      </c>
      <c r="F10" s="127">
        <v>0.02</v>
      </c>
      <c r="G10" s="127">
        <v>-0.02</v>
      </c>
      <c r="H10" s="106" t="s">
        <v>46</v>
      </c>
      <c r="I10" s="69" t="s">
        <v>84</v>
      </c>
      <c r="J10" s="70">
        <f t="shared" si="10"/>
        <v>4.0289999999999999</v>
      </c>
      <c r="K10" s="70">
        <f t="shared" si="11"/>
        <v>3.9890000000000003</v>
      </c>
      <c r="L10" s="70">
        <v>4.0260000000000007</v>
      </c>
      <c r="M10" s="70">
        <v>3.9920000000000004</v>
      </c>
      <c r="N10" s="155"/>
      <c r="O10" s="155"/>
      <c r="P10" s="71"/>
      <c r="Q10" s="128">
        <f t="shared" si="0"/>
        <v>0</v>
      </c>
      <c r="R10" s="128">
        <f t="shared" si="1"/>
        <v>0</v>
      </c>
      <c r="S10" s="128">
        <f t="shared" si="2"/>
        <v>0</v>
      </c>
      <c r="T10" s="129">
        <f t="shared" si="3"/>
        <v>0</v>
      </c>
      <c r="U10" s="107" t="str">
        <f t="shared" si="4"/>
        <v/>
      </c>
      <c r="V10" s="108" t="str">
        <f>IF(OR($AM10="",ISNUMBER($AM10)=FALSE),"",IF(AND(#REF!="Tolerance",$E10&lt;&gt;""),($S10-$E10)/(($J10-$K10)/2),IF(AND(#REF!="GD&amp;T",$F10&lt;&gt;""),$S10/$F10,"")))</f>
        <v/>
      </c>
      <c r="W10" s="108" t="str">
        <f t="shared" si="12"/>
        <v/>
      </c>
      <c r="X10" s="107" t="str">
        <f t="shared" si="5"/>
        <v/>
      </c>
      <c r="Y10" s="107" t="str">
        <f t="shared" si="6"/>
        <v/>
      </c>
      <c r="Z10" s="107" t="str">
        <f t="shared" si="7"/>
        <v/>
      </c>
      <c r="AA10" s="72" t="str">
        <f t="shared" si="8"/>
        <v/>
      </c>
      <c r="AB10" s="73" t="e">
        <f>IF($S10="","",IF(#REF!="Tolerance",IF((#REF!*3*T10+S10)-E10&lt;F10,"",(#REF!*3*T10+S10)-E10),IF(OR(#REF!="GD&amp;T",#REF!="MAX"),IF((#REF!*3*T10+S10)&lt;F10,"",(#REF!*3*T10+S10)),"")))</f>
        <v>#REF!</v>
      </c>
      <c r="AC10" s="73" t="e">
        <f>IF(S10="","",IF(#REF!="Tolerance",IF(-((#REF!*3*T10)-S10)-E10&gt;G10,"",-((#REF!*3*T10)-S10)-E10),IF(#REF!="MIN",IF(-((#REF!*3*T10)-S10)&gt;G10,"",-((#REF!*3*T10)-S10)),"")))</f>
        <v>#REF!</v>
      </c>
      <c r="AD10" s="73">
        <f t="shared" si="13"/>
        <v>4.0090000000000003</v>
      </c>
      <c r="AE10" s="73" t="str">
        <f t="shared" si="9"/>
        <v/>
      </c>
      <c r="AF10" s="109"/>
      <c r="AG10" s="110" t="str">
        <f t="shared" si="14"/>
        <v/>
      </c>
      <c r="AH10" s="164" t="str" cm="1">
        <f t="array" ref="AH10">IF(AND(AM10:BR10 &gt;= K10, AM10:BR10 &lt;= J10), "OK", "NG")</f>
        <v>NG</v>
      </c>
      <c r="AI10" s="74"/>
      <c r="AJ10" s="74"/>
      <c r="AK10" s="75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49"/>
      <c r="BM10" s="149"/>
      <c r="BN10" s="149"/>
      <c r="BO10" s="149"/>
      <c r="BP10" s="149"/>
      <c r="BQ10" s="149"/>
      <c r="BR10" s="149"/>
    </row>
    <row r="11" spans="1:70" ht="19.2" customHeight="1">
      <c r="B11" s="68" t="s">
        <v>97</v>
      </c>
      <c r="C11" s="101" t="s">
        <v>158</v>
      </c>
      <c r="D11" s="125" t="s">
        <v>45</v>
      </c>
      <c r="E11" s="126">
        <v>4.0090000000000003</v>
      </c>
      <c r="F11" s="127">
        <v>0.02</v>
      </c>
      <c r="G11" s="127">
        <v>-0.02</v>
      </c>
      <c r="H11" s="106" t="s">
        <v>46</v>
      </c>
      <c r="I11" s="69" t="s">
        <v>84</v>
      </c>
      <c r="J11" s="70">
        <f t="shared" si="10"/>
        <v>4.0289999999999999</v>
      </c>
      <c r="K11" s="70">
        <f t="shared" si="11"/>
        <v>3.9890000000000003</v>
      </c>
      <c r="L11" s="70">
        <v>4.0260000000000007</v>
      </c>
      <c r="M11" s="70">
        <v>3.9920000000000004</v>
      </c>
      <c r="N11" s="155"/>
      <c r="O11" s="155"/>
      <c r="P11" s="71"/>
      <c r="Q11" s="128">
        <f t="shared" si="0"/>
        <v>0</v>
      </c>
      <c r="R11" s="128">
        <f t="shared" si="1"/>
        <v>0</v>
      </c>
      <c r="S11" s="128">
        <f t="shared" si="2"/>
        <v>0</v>
      </c>
      <c r="T11" s="129">
        <f t="shared" si="3"/>
        <v>0</v>
      </c>
      <c r="U11" s="107" t="str">
        <f t="shared" si="4"/>
        <v/>
      </c>
      <c r="V11" s="108" t="str">
        <f>IF(OR($AM11="",ISNUMBER($AM11)=FALSE),"",IF(AND(#REF!="Tolerance",$E11&lt;&gt;""),($S11-$E11)/(($J11-$K11)/2),IF(AND(#REF!="GD&amp;T",$F11&lt;&gt;""),$S11/$F11,"")))</f>
        <v/>
      </c>
      <c r="W11" s="108" t="str">
        <f t="shared" si="12"/>
        <v/>
      </c>
      <c r="X11" s="107" t="str">
        <f t="shared" si="5"/>
        <v/>
      </c>
      <c r="Y11" s="107" t="str">
        <f t="shared" si="6"/>
        <v/>
      </c>
      <c r="Z11" s="107" t="str">
        <f t="shared" si="7"/>
        <v/>
      </c>
      <c r="AA11" s="72" t="str">
        <f t="shared" si="8"/>
        <v/>
      </c>
      <c r="AB11" s="73" t="e">
        <f>IF($S11="","",IF(#REF!="Tolerance",IF((#REF!*3*T11+S11)-E11&lt;F11,"",(#REF!*3*T11+S11)-E11),IF(OR(#REF!="GD&amp;T",#REF!="MAX"),IF((#REF!*3*T11+S11)&lt;F11,"",(#REF!*3*T11+S11)),"")))</f>
        <v>#REF!</v>
      </c>
      <c r="AC11" s="73" t="e">
        <f>IF(S11="","",IF(#REF!="Tolerance",IF(-((#REF!*3*T11)-S11)-E11&gt;G11,"",-((#REF!*3*T11)-S11)-E11),IF(#REF!="MIN",IF(-((#REF!*3*T11)-S11)&gt;G11,"",-((#REF!*3*T11)-S11)),"")))</f>
        <v>#REF!</v>
      </c>
      <c r="AD11" s="73">
        <f t="shared" si="13"/>
        <v>4.0090000000000003</v>
      </c>
      <c r="AE11" s="73" t="str">
        <f t="shared" si="9"/>
        <v/>
      </c>
      <c r="AF11" s="109"/>
      <c r="AG11" s="110" t="str">
        <f t="shared" si="14"/>
        <v/>
      </c>
      <c r="AH11" s="164" t="str" cm="1">
        <f t="array" ref="AH11">IF(AND(AM11:BR11 &gt;= K11, AM11:BR11 &lt;= J11), "OK", "NG")</f>
        <v>NG</v>
      </c>
      <c r="AI11" s="74"/>
      <c r="AJ11" s="74"/>
      <c r="AK11" s="75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</row>
    <row r="12" spans="1:70" ht="19.2" customHeight="1">
      <c r="B12" s="68" t="s">
        <v>347</v>
      </c>
      <c r="C12" s="101" t="s">
        <v>143</v>
      </c>
      <c r="D12" s="125" t="s">
        <v>269</v>
      </c>
      <c r="E12" s="126">
        <v>0</v>
      </c>
      <c r="F12" s="127">
        <v>8.0000000000000002E-3</v>
      </c>
      <c r="G12" s="127">
        <v>0</v>
      </c>
      <c r="H12" s="106" t="s">
        <v>273</v>
      </c>
      <c r="I12" s="69" t="s">
        <v>84</v>
      </c>
      <c r="J12" s="70">
        <f t="shared" si="10"/>
        <v>8.0000000000000002E-3</v>
      </c>
      <c r="K12" s="70">
        <f t="shared" si="11"/>
        <v>0</v>
      </c>
      <c r="L12" s="70">
        <v>6.7999999999999996E-3</v>
      </c>
      <c r="M12" s="70">
        <v>0</v>
      </c>
      <c r="N12" s="155"/>
      <c r="O12" s="155"/>
      <c r="P12" s="71"/>
      <c r="Q12" s="128">
        <f t="shared" si="0"/>
        <v>0</v>
      </c>
      <c r="R12" s="128">
        <f t="shared" si="1"/>
        <v>0</v>
      </c>
      <c r="S12" s="128">
        <f t="shared" si="2"/>
        <v>0</v>
      </c>
      <c r="T12" s="129">
        <f t="shared" si="3"/>
        <v>0</v>
      </c>
      <c r="U12" s="107" t="str">
        <f t="shared" si="4"/>
        <v/>
      </c>
      <c r="V12" s="108" t="str">
        <f>IF(OR($AM12="",ISNUMBER($AM12)=FALSE),"",IF(AND(#REF!="Tolerance",$E12&lt;&gt;""),($S12-$E12)/(($J12-$K12)/2),IF(AND(#REF!="GD&amp;T",$F12&lt;&gt;""),$S12/$F12,"")))</f>
        <v/>
      </c>
      <c r="W12" s="108" t="str">
        <f t="shared" si="12"/>
        <v/>
      </c>
      <c r="X12" s="107" t="str">
        <f t="shared" si="5"/>
        <v/>
      </c>
      <c r="Y12" s="107" t="str">
        <f t="shared" si="6"/>
        <v/>
      </c>
      <c r="Z12" s="107" t="str">
        <f t="shared" si="7"/>
        <v/>
      </c>
      <c r="AA12" s="72" t="str">
        <f t="shared" si="8"/>
        <v/>
      </c>
      <c r="AB12" s="73" t="e">
        <f>IF($S12="","",IF(#REF!="Tolerance",IF((#REF!*3*T12+S12)-E12&lt;F12,"",(#REF!*3*T12+S12)-E12),IF(OR(#REF!="GD&amp;T",#REF!="MAX"),IF((#REF!*3*T12+S12)&lt;F12,"",(#REF!*3*T12+S12)),"")))</f>
        <v>#REF!</v>
      </c>
      <c r="AC12" s="73" t="e">
        <f>IF(S12="","",IF(#REF!="Tolerance",IF(-((#REF!*3*T12)-S12)-E12&gt;G12,"",-((#REF!*3*T12)-S12)-E12),IF(#REF!="MIN",IF(-((#REF!*3*T12)-S12)&gt;G12,"",-((#REF!*3*T12)-S12)),"")))</f>
        <v>#REF!</v>
      </c>
      <c r="AD12" s="73">
        <f t="shared" si="13"/>
        <v>4.0000000000000001E-3</v>
      </c>
      <c r="AE12" s="73" t="str">
        <f t="shared" si="9"/>
        <v/>
      </c>
      <c r="AF12" s="109"/>
      <c r="AG12" s="110" t="str">
        <f t="shared" si="14"/>
        <v/>
      </c>
      <c r="AH12" s="164" t="str" cm="1">
        <f t="array" ref="AH12">IF(AND(AM12:BR12 &gt;= K12, AM12:BR12 &lt;= J12), "OK", "NG")</f>
        <v>OK</v>
      </c>
      <c r="AI12" s="74"/>
      <c r="AJ12" s="74"/>
      <c r="AK12" s="75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</row>
    <row r="13" spans="1:70" ht="19.2" customHeight="1">
      <c r="B13" s="68" t="s">
        <v>348</v>
      </c>
      <c r="C13" s="101" t="s">
        <v>144</v>
      </c>
      <c r="D13" s="125" t="s">
        <v>269</v>
      </c>
      <c r="E13" s="126">
        <v>0</v>
      </c>
      <c r="F13" s="127">
        <v>8.0000000000000002E-3</v>
      </c>
      <c r="G13" s="127">
        <v>0</v>
      </c>
      <c r="H13" s="106" t="s">
        <v>273</v>
      </c>
      <c r="I13" s="69" t="s">
        <v>84</v>
      </c>
      <c r="J13" s="70">
        <f t="shared" si="10"/>
        <v>8.0000000000000002E-3</v>
      </c>
      <c r="K13" s="70">
        <f t="shared" si="11"/>
        <v>0</v>
      </c>
      <c r="L13" s="70">
        <v>6.7999999999999996E-3</v>
      </c>
      <c r="M13" s="70">
        <v>0</v>
      </c>
      <c r="N13" s="155"/>
      <c r="O13" s="155"/>
      <c r="P13" s="71"/>
      <c r="Q13" s="128">
        <f t="shared" si="0"/>
        <v>0</v>
      </c>
      <c r="R13" s="128">
        <f t="shared" si="1"/>
        <v>0</v>
      </c>
      <c r="S13" s="128">
        <f t="shared" si="2"/>
        <v>0</v>
      </c>
      <c r="T13" s="129">
        <f t="shared" si="3"/>
        <v>0</v>
      </c>
      <c r="U13" s="107" t="str">
        <f t="shared" si="4"/>
        <v/>
      </c>
      <c r="V13" s="108" t="str">
        <f>IF(OR($AM13="",ISNUMBER($AM13)=FALSE),"",IF(AND(#REF!="Tolerance",$E13&lt;&gt;""),($S13-$E13)/(($J13-$K13)/2),IF(AND(#REF!="GD&amp;T",$F13&lt;&gt;""),$S13/$F13,"")))</f>
        <v/>
      </c>
      <c r="W13" s="108" t="str">
        <f t="shared" si="12"/>
        <v/>
      </c>
      <c r="X13" s="107" t="str">
        <f t="shared" si="5"/>
        <v/>
      </c>
      <c r="Y13" s="107" t="str">
        <f t="shared" si="6"/>
        <v/>
      </c>
      <c r="Z13" s="107" t="str">
        <f t="shared" si="7"/>
        <v/>
      </c>
      <c r="AA13" s="72" t="str">
        <f t="shared" si="8"/>
        <v/>
      </c>
      <c r="AB13" s="73" t="e">
        <f>IF($S13="","",IF(#REF!="Tolerance",IF((#REF!*3*T13+S13)-E13&lt;F13,"",(#REF!*3*T13+S13)-E13),IF(OR(#REF!="GD&amp;T",#REF!="MAX"),IF((#REF!*3*T13+S13)&lt;F13,"",(#REF!*3*T13+S13)),"")))</f>
        <v>#REF!</v>
      </c>
      <c r="AC13" s="73" t="e">
        <f>IF(S13="","",IF(#REF!="Tolerance",IF(-((#REF!*3*T13)-S13)-E13&gt;G13,"",-((#REF!*3*T13)-S13)-E13),IF(#REF!="MIN",IF(-((#REF!*3*T13)-S13)&gt;G13,"",-((#REF!*3*T13)-S13)),"")))</f>
        <v>#REF!</v>
      </c>
      <c r="AD13" s="73">
        <f t="shared" si="13"/>
        <v>4.0000000000000001E-3</v>
      </c>
      <c r="AE13" s="73" t="str">
        <f t="shared" si="9"/>
        <v/>
      </c>
      <c r="AF13" s="109"/>
      <c r="AG13" s="110" t="str">
        <f t="shared" si="14"/>
        <v/>
      </c>
      <c r="AH13" s="164" t="str" cm="1">
        <f t="array" ref="AH13">IF(AND(AM13:BR13 &gt;= K13, AM13:BR13 &lt;= J13), "OK", "NG")</f>
        <v>OK</v>
      </c>
      <c r="AI13" s="74"/>
      <c r="AJ13" s="74"/>
      <c r="AK13" s="75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</row>
    <row r="14" spans="1:70" ht="19.2" customHeight="1">
      <c r="B14" s="68" t="s">
        <v>349</v>
      </c>
      <c r="C14" s="101" t="s">
        <v>159</v>
      </c>
      <c r="D14" s="125" t="s">
        <v>269</v>
      </c>
      <c r="E14" s="126">
        <v>0</v>
      </c>
      <c r="F14" s="127">
        <v>8.0000000000000002E-3</v>
      </c>
      <c r="G14" s="127">
        <v>0</v>
      </c>
      <c r="H14" s="106" t="s">
        <v>273</v>
      </c>
      <c r="I14" s="69" t="s">
        <v>84</v>
      </c>
      <c r="J14" s="70">
        <f t="shared" si="10"/>
        <v>8.0000000000000002E-3</v>
      </c>
      <c r="K14" s="70">
        <f t="shared" si="11"/>
        <v>0</v>
      </c>
      <c r="L14" s="70">
        <v>6.7999999999999996E-3</v>
      </c>
      <c r="M14" s="70">
        <v>0</v>
      </c>
      <c r="N14" s="155"/>
      <c r="O14" s="155"/>
      <c r="P14" s="71"/>
      <c r="Q14" s="128">
        <f t="shared" si="0"/>
        <v>0</v>
      </c>
      <c r="R14" s="128">
        <f t="shared" si="1"/>
        <v>0</v>
      </c>
      <c r="S14" s="128">
        <f t="shared" si="2"/>
        <v>0</v>
      </c>
      <c r="T14" s="129">
        <f t="shared" si="3"/>
        <v>0</v>
      </c>
      <c r="U14" s="107" t="str">
        <f t="shared" si="4"/>
        <v/>
      </c>
      <c r="V14" s="108" t="str">
        <f>IF(OR($AM14="",ISNUMBER($AM14)=FALSE),"",IF(AND(#REF!="Tolerance",$E14&lt;&gt;""),($S14-$E14)/(($J14-$K14)/2),IF(AND(#REF!="GD&amp;T",$F14&lt;&gt;""),$S14/$F14,"")))</f>
        <v/>
      </c>
      <c r="W14" s="108" t="str">
        <f t="shared" si="12"/>
        <v/>
      </c>
      <c r="X14" s="107" t="str">
        <f t="shared" si="5"/>
        <v/>
      </c>
      <c r="Y14" s="107" t="str">
        <f t="shared" si="6"/>
        <v/>
      </c>
      <c r="Z14" s="107" t="str">
        <f t="shared" si="7"/>
        <v/>
      </c>
      <c r="AA14" s="72" t="str">
        <f t="shared" si="8"/>
        <v/>
      </c>
      <c r="AB14" s="73" t="e">
        <f>IF($S14="","",IF(#REF!="Tolerance",IF((#REF!*3*T14+S14)-E14&lt;F14,"",(#REF!*3*T14+S14)-E14),IF(OR(#REF!="GD&amp;T",#REF!="MAX"),IF((#REF!*3*T14+S14)&lt;F14,"",(#REF!*3*T14+S14)),"")))</f>
        <v>#REF!</v>
      </c>
      <c r="AC14" s="73" t="e">
        <f>IF(S14="","",IF(#REF!="Tolerance",IF(-((#REF!*3*T14)-S14)-E14&gt;G14,"",-((#REF!*3*T14)-S14)-E14),IF(#REF!="MIN",IF(-((#REF!*3*T14)-S14)&gt;G14,"",-((#REF!*3*T14)-S14)),"")))</f>
        <v>#REF!</v>
      </c>
      <c r="AD14" s="73">
        <f t="shared" si="13"/>
        <v>4.0000000000000001E-3</v>
      </c>
      <c r="AE14" s="73" t="str">
        <f t="shared" si="9"/>
        <v/>
      </c>
      <c r="AF14" s="109"/>
      <c r="AG14" s="110" t="str">
        <f t="shared" si="14"/>
        <v/>
      </c>
      <c r="AH14" s="164" t="str" cm="1">
        <f t="array" ref="AH14">IF(AND(AM14:BR14 &gt;= K14, AM14:BR14 &lt;= J14), "OK", "NG")</f>
        <v>OK</v>
      </c>
      <c r="AI14" s="74"/>
      <c r="AJ14" s="74"/>
      <c r="AK14" s="75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</row>
    <row r="15" spans="1:70" ht="19.2" customHeight="1">
      <c r="B15" s="68" t="s">
        <v>344</v>
      </c>
      <c r="C15" s="101">
        <v>9</v>
      </c>
      <c r="D15" s="125" t="s">
        <v>48</v>
      </c>
      <c r="E15" s="126">
        <v>0</v>
      </c>
      <c r="F15" s="127">
        <v>0.06</v>
      </c>
      <c r="G15" s="127">
        <v>0</v>
      </c>
      <c r="H15" s="106" t="s">
        <v>46</v>
      </c>
      <c r="I15" s="69" t="s">
        <v>84</v>
      </c>
      <c r="J15" s="70">
        <f t="shared" si="10"/>
        <v>0.06</v>
      </c>
      <c r="K15" s="70">
        <f t="shared" si="11"/>
        <v>0</v>
      </c>
      <c r="L15" s="70">
        <v>5.0999999999999997E-2</v>
      </c>
      <c r="M15" s="70">
        <v>0</v>
      </c>
      <c r="N15" s="155"/>
      <c r="O15" s="155"/>
      <c r="P15" s="71"/>
      <c r="Q15" s="128">
        <f t="shared" si="0"/>
        <v>0</v>
      </c>
      <c r="R15" s="128">
        <f t="shared" si="1"/>
        <v>0</v>
      </c>
      <c r="S15" s="128">
        <f t="shared" si="2"/>
        <v>0</v>
      </c>
      <c r="T15" s="129">
        <f t="shared" si="3"/>
        <v>0</v>
      </c>
      <c r="U15" s="107" t="str">
        <f t="shared" si="4"/>
        <v/>
      </c>
      <c r="V15" s="108" t="str">
        <f>IF(OR($AM15="",ISNUMBER($AM15)=FALSE),"",IF(AND(#REF!="Tolerance",$E15&lt;&gt;""),($S15-$E15)/(($J15-$K15)/2),IF(AND(#REF!="GD&amp;T",$F15&lt;&gt;""),$S15/$F15,"")))</f>
        <v/>
      </c>
      <c r="W15" s="108" t="str">
        <f t="shared" si="12"/>
        <v/>
      </c>
      <c r="X15" s="107" t="str">
        <f t="shared" si="5"/>
        <v/>
      </c>
      <c r="Y15" s="107" t="str">
        <f t="shared" si="6"/>
        <v/>
      </c>
      <c r="Z15" s="107" t="str">
        <f t="shared" si="7"/>
        <v/>
      </c>
      <c r="AA15" s="72" t="str">
        <f t="shared" si="8"/>
        <v/>
      </c>
      <c r="AB15" s="73" t="e">
        <f>IF($S15="","",IF(#REF!="Tolerance",IF((#REF!*3*T15+S15)-E15&lt;F15,"",(#REF!*3*T15+S15)-E15),IF(OR(#REF!="GD&amp;T",#REF!="MAX"),IF((#REF!*3*T15+S15)&lt;F15,"",(#REF!*3*T15+S15)),"")))</f>
        <v>#REF!</v>
      </c>
      <c r="AC15" s="73" t="e">
        <f>IF(S15="","",IF(#REF!="Tolerance",IF(-((#REF!*3*T15)-S15)-E15&gt;G15,"",-((#REF!*3*T15)-S15)-E15),IF(#REF!="MIN",IF(-((#REF!*3*T15)-S15)&gt;G15,"",-((#REF!*3*T15)-S15)),"")))</f>
        <v>#REF!</v>
      </c>
      <c r="AD15" s="73">
        <f t="shared" si="13"/>
        <v>0.03</v>
      </c>
      <c r="AE15" s="73" t="str">
        <f t="shared" si="9"/>
        <v/>
      </c>
      <c r="AF15" s="109"/>
      <c r="AG15" s="110" t="str">
        <f t="shared" si="14"/>
        <v/>
      </c>
      <c r="AH15" s="164" t="str" cm="1">
        <f t="array" ref="AH15">IF(AND(AM15:BR15 &gt;= K15, AM15:BR15 &lt;= J15), "OK", "NG")</f>
        <v>OK</v>
      </c>
      <c r="AI15" s="74"/>
      <c r="AJ15" s="74"/>
      <c r="AK15" s="75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</row>
    <row r="16" spans="1:70" ht="19.2" customHeight="1">
      <c r="B16" s="68" t="s">
        <v>85</v>
      </c>
      <c r="C16" s="101">
        <v>10</v>
      </c>
      <c r="D16" s="125" t="s">
        <v>48</v>
      </c>
      <c r="E16" s="126">
        <v>0</v>
      </c>
      <c r="F16" s="127">
        <v>0.06</v>
      </c>
      <c r="G16" s="127">
        <v>0</v>
      </c>
      <c r="H16" s="106" t="s">
        <v>46</v>
      </c>
      <c r="I16" s="69"/>
      <c r="J16" s="70">
        <f t="shared" si="10"/>
        <v>0.06</v>
      </c>
      <c r="K16" s="70">
        <f t="shared" si="11"/>
        <v>0</v>
      </c>
      <c r="L16" s="70">
        <v>5.0999999999999997E-2</v>
      </c>
      <c r="M16" s="70">
        <v>0</v>
      </c>
      <c r="N16" s="155"/>
      <c r="O16" s="155"/>
      <c r="P16" s="71"/>
      <c r="Q16" s="128">
        <f t="shared" si="0"/>
        <v>0</v>
      </c>
      <c r="R16" s="128">
        <f t="shared" si="1"/>
        <v>0</v>
      </c>
      <c r="S16" s="128">
        <f t="shared" si="2"/>
        <v>0</v>
      </c>
      <c r="T16" s="129">
        <f t="shared" si="3"/>
        <v>0</v>
      </c>
      <c r="U16" s="107" t="str">
        <f t="shared" si="4"/>
        <v/>
      </c>
      <c r="V16" s="108" t="str">
        <f>IF(OR($AM16="",ISNUMBER($AM16)=FALSE),"",IF(AND(#REF!="Tolerance",$E16&lt;&gt;""),($S16-$E16)/(($J16-$K16)/2),IF(AND(#REF!="GD&amp;T",$F16&lt;&gt;""),$S16/$F16,"")))</f>
        <v/>
      </c>
      <c r="W16" s="108" t="str">
        <f t="shared" si="12"/>
        <v/>
      </c>
      <c r="X16" s="107" t="str">
        <f t="shared" si="5"/>
        <v/>
      </c>
      <c r="Y16" s="107" t="str">
        <f t="shared" si="6"/>
        <v/>
      </c>
      <c r="Z16" s="107" t="str">
        <f t="shared" si="7"/>
        <v/>
      </c>
      <c r="AA16" s="72" t="str">
        <f t="shared" si="8"/>
        <v/>
      </c>
      <c r="AB16" s="73" t="e">
        <f>IF($S16="","",IF(#REF!="Tolerance",IF((#REF!*3*T16+S16)-E16&lt;F16,"",(#REF!*3*T16+S16)-E16),IF(OR(#REF!="GD&amp;T",#REF!="MAX"),IF((#REF!*3*T16+S16)&lt;F16,"",(#REF!*3*T16+S16)),"")))</f>
        <v>#REF!</v>
      </c>
      <c r="AC16" s="73" t="e">
        <f>IF(S16="","",IF(#REF!="Tolerance",IF(-((#REF!*3*T16)-S16)-E16&gt;G16,"",-((#REF!*3*T16)-S16)-E16),IF(#REF!="MIN",IF(-((#REF!*3*T16)-S16)&gt;G16,"",-((#REF!*3*T16)-S16)),"")))</f>
        <v>#REF!</v>
      </c>
      <c r="AD16" s="73">
        <f t="shared" si="13"/>
        <v>0.03</v>
      </c>
      <c r="AE16" s="73" t="str">
        <f t="shared" si="9"/>
        <v/>
      </c>
      <c r="AF16" s="109"/>
      <c r="AG16" s="110" t="str">
        <f t="shared" si="14"/>
        <v/>
      </c>
      <c r="AH16" s="164" t="str" cm="1">
        <f t="array" ref="AH16">IF(AND(AM16:BR16 &gt;= K16, AM16:BR16 &lt;= J16), "OK", "NG")</f>
        <v>OK</v>
      </c>
      <c r="AI16" s="74"/>
      <c r="AJ16" s="74"/>
      <c r="AK16" s="75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</row>
    <row r="17" spans="2:70" ht="19.2" customHeight="1">
      <c r="B17" s="68" t="s">
        <v>275</v>
      </c>
      <c r="C17" s="101" t="s">
        <v>162</v>
      </c>
      <c r="D17" s="125" t="s">
        <v>45</v>
      </c>
      <c r="E17" s="126">
        <v>19.794</v>
      </c>
      <c r="F17" s="127">
        <v>0.03</v>
      </c>
      <c r="G17" s="127">
        <v>-0.03</v>
      </c>
      <c r="H17" s="106" t="s">
        <v>46</v>
      </c>
      <c r="I17" s="69"/>
      <c r="J17" s="70">
        <f t="shared" si="10"/>
        <v>19.824000000000002</v>
      </c>
      <c r="K17" s="70">
        <f t="shared" si="11"/>
        <v>19.763999999999999</v>
      </c>
      <c r="L17" s="70">
        <v>19.819500000000001</v>
      </c>
      <c r="M17" s="70">
        <v>19.7685</v>
      </c>
      <c r="N17" s="155"/>
      <c r="O17" s="155"/>
      <c r="P17" s="71"/>
      <c r="Q17" s="128">
        <f t="shared" si="0"/>
        <v>0</v>
      </c>
      <c r="R17" s="128">
        <f t="shared" si="1"/>
        <v>0</v>
      </c>
      <c r="S17" s="128">
        <f t="shared" si="2"/>
        <v>0</v>
      </c>
      <c r="T17" s="129">
        <f t="shared" si="3"/>
        <v>0</v>
      </c>
      <c r="U17" s="107" t="str">
        <f t="shared" si="4"/>
        <v/>
      </c>
      <c r="V17" s="108" t="str">
        <f>IF(OR($AM17="",ISNUMBER($AM17)=FALSE),"",IF(AND(#REF!="Tolerance",$E17&lt;&gt;""),($S17-$E17)/(($J17-$K17)/2),IF(AND(#REF!="GD&amp;T",$F17&lt;&gt;""),$S17/$F17,"")))</f>
        <v/>
      </c>
      <c r="W17" s="108" t="str">
        <f t="shared" si="12"/>
        <v/>
      </c>
      <c r="X17" s="107" t="str">
        <f t="shared" si="5"/>
        <v/>
      </c>
      <c r="Y17" s="107" t="str">
        <f t="shared" si="6"/>
        <v/>
      </c>
      <c r="Z17" s="107" t="str">
        <f t="shared" si="7"/>
        <v/>
      </c>
      <c r="AA17" s="72" t="str">
        <f t="shared" si="8"/>
        <v/>
      </c>
      <c r="AB17" s="73" t="e">
        <f>IF($S17="","",IF(#REF!="Tolerance",IF((#REF!*3*T17+S17)-E17&lt;F17,"",(#REF!*3*T17+S17)-E17),IF(OR(#REF!="GD&amp;T",#REF!="MAX"),IF((#REF!*3*T17+S17)&lt;F17,"",(#REF!*3*T17+S17)),"")))</f>
        <v>#REF!</v>
      </c>
      <c r="AC17" s="73" t="e">
        <f>IF(S17="","",IF(#REF!="Tolerance",IF(-((#REF!*3*T17)-S17)-E17&gt;G17,"",-((#REF!*3*T17)-S17)-E17),IF(#REF!="MIN",IF(-((#REF!*3*T17)-S17)&gt;G17,"",-((#REF!*3*T17)-S17)),"")))</f>
        <v>#REF!</v>
      </c>
      <c r="AD17" s="73">
        <f t="shared" si="13"/>
        <v>19.794</v>
      </c>
      <c r="AE17" s="73" t="str">
        <f t="shared" si="9"/>
        <v/>
      </c>
      <c r="AF17" s="109"/>
      <c r="AG17" s="110" t="str">
        <f t="shared" si="14"/>
        <v/>
      </c>
      <c r="AH17" s="164" t="str" cm="1">
        <f t="array" ref="AH17">IF(AND(AM17:BR17 &gt;= K17, AM17:BR17 &lt;= J17), "OK", "NG")</f>
        <v>NG</v>
      </c>
      <c r="AI17" s="74"/>
      <c r="AJ17" s="74"/>
      <c r="AK17" s="75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</row>
    <row r="18" spans="2:70" ht="19.2" customHeight="1">
      <c r="B18" s="68" t="s">
        <v>275</v>
      </c>
      <c r="C18" s="101" t="s">
        <v>163</v>
      </c>
      <c r="D18" s="125" t="s">
        <v>45</v>
      </c>
      <c r="E18" s="126">
        <v>19.794</v>
      </c>
      <c r="F18" s="127">
        <v>0.03</v>
      </c>
      <c r="G18" s="127">
        <v>-0.03</v>
      </c>
      <c r="H18" s="106" t="s">
        <v>46</v>
      </c>
      <c r="I18" s="69"/>
      <c r="J18" s="70">
        <f t="shared" si="10"/>
        <v>19.824000000000002</v>
      </c>
      <c r="K18" s="70">
        <f t="shared" si="11"/>
        <v>19.763999999999999</v>
      </c>
      <c r="L18" s="70">
        <v>19.819500000000001</v>
      </c>
      <c r="M18" s="70">
        <v>19.7685</v>
      </c>
      <c r="N18" s="155"/>
      <c r="O18" s="155"/>
      <c r="P18" s="71"/>
      <c r="Q18" s="128">
        <f t="shared" si="0"/>
        <v>0</v>
      </c>
      <c r="R18" s="128">
        <f t="shared" si="1"/>
        <v>0</v>
      </c>
      <c r="S18" s="128">
        <f t="shared" si="2"/>
        <v>0</v>
      </c>
      <c r="T18" s="129">
        <f t="shared" si="3"/>
        <v>0</v>
      </c>
      <c r="U18" s="107" t="str">
        <f t="shared" si="4"/>
        <v/>
      </c>
      <c r="V18" s="108" t="str">
        <f>IF(OR($AM18="",ISNUMBER($AM18)=FALSE),"",IF(AND(#REF!="Tolerance",$E18&lt;&gt;""),($S18-$E18)/(($J18-$K18)/2),IF(AND(#REF!="GD&amp;T",$F18&lt;&gt;""),$S18/$F18,"")))</f>
        <v/>
      </c>
      <c r="W18" s="108" t="str">
        <f t="shared" si="12"/>
        <v/>
      </c>
      <c r="X18" s="107" t="str">
        <f t="shared" si="5"/>
        <v/>
      </c>
      <c r="Y18" s="107" t="str">
        <f t="shared" si="6"/>
        <v/>
      </c>
      <c r="Z18" s="107" t="str">
        <f t="shared" si="7"/>
        <v/>
      </c>
      <c r="AA18" s="72" t="str">
        <f t="shared" si="8"/>
        <v/>
      </c>
      <c r="AB18" s="73" t="e">
        <f>IF($S18="","",IF(#REF!="Tolerance",IF((#REF!*3*T18+S18)-E18&lt;F18,"",(#REF!*3*T18+S18)-E18),IF(OR(#REF!="GD&amp;T",#REF!="MAX"),IF((#REF!*3*T18+S18)&lt;F18,"",(#REF!*3*T18+S18)),"")))</f>
        <v>#REF!</v>
      </c>
      <c r="AC18" s="73" t="e">
        <f>IF(S18="","",IF(#REF!="Tolerance",IF(-((#REF!*3*T18)-S18)-E18&gt;G18,"",-((#REF!*3*T18)-S18)-E18),IF(#REF!="MIN",IF(-((#REF!*3*T18)-S18)&gt;G18,"",-((#REF!*3*T18)-S18)),"")))</f>
        <v>#REF!</v>
      </c>
      <c r="AD18" s="73">
        <f t="shared" si="13"/>
        <v>19.794</v>
      </c>
      <c r="AE18" s="73" t="str">
        <f t="shared" si="9"/>
        <v/>
      </c>
      <c r="AF18" s="109"/>
      <c r="AG18" s="110" t="str">
        <f t="shared" si="14"/>
        <v/>
      </c>
      <c r="AH18" s="164" t="str" cm="1">
        <f t="array" ref="AH18">IF(AND(AM18:BR18 &gt;= K18, AM18:BR18 &lt;= J18), "OK", "NG")</f>
        <v>NG</v>
      </c>
      <c r="AI18" s="74"/>
      <c r="AJ18" s="74"/>
      <c r="AK18" s="75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</row>
    <row r="19" spans="2:70" ht="19.2" customHeight="1">
      <c r="B19" s="68" t="s">
        <v>275</v>
      </c>
      <c r="C19" s="101" t="s">
        <v>164</v>
      </c>
      <c r="D19" s="125" t="s">
        <v>45</v>
      </c>
      <c r="E19" s="126">
        <v>19.794</v>
      </c>
      <c r="F19" s="127">
        <v>0.03</v>
      </c>
      <c r="G19" s="127">
        <v>-0.03</v>
      </c>
      <c r="H19" s="106" t="s">
        <v>46</v>
      </c>
      <c r="I19" s="69"/>
      <c r="J19" s="70">
        <f t="shared" si="10"/>
        <v>19.824000000000002</v>
      </c>
      <c r="K19" s="70">
        <f t="shared" si="11"/>
        <v>19.763999999999999</v>
      </c>
      <c r="L19" s="70">
        <v>19.819500000000001</v>
      </c>
      <c r="M19" s="70">
        <v>19.7685</v>
      </c>
      <c r="N19" s="155"/>
      <c r="O19" s="155"/>
      <c r="P19" s="71"/>
      <c r="Q19" s="128">
        <f t="shared" si="0"/>
        <v>0</v>
      </c>
      <c r="R19" s="128">
        <f t="shared" si="1"/>
        <v>0</v>
      </c>
      <c r="S19" s="128">
        <f t="shared" si="2"/>
        <v>0</v>
      </c>
      <c r="T19" s="129">
        <f t="shared" si="3"/>
        <v>0</v>
      </c>
      <c r="U19" s="107" t="str">
        <f t="shared" si="4"/>
        <v/>
      </c>
      <c r="V19" s="108" t="str">
        <f>IF(OR($AM19="",ISNUMBER($AM19)=FALSE),"",IF(AND(#REF!="Tolerance",$E19&lt;&gt;""),($S19-$E19)/(($J19-$K19)/2),IF(AND(#REF!="GD&amp;T",$F19&lt;&gt;""),$S19/$F19,"")))</f>
        <v/>
      </c>
      <c r="W19" s="108" t="str">
        <f t="shared" si="12"/>
        <v/>
      </c>
      <c r="X19" s="107" t="str">
        <f t="shared" si="5"/>
        <v/>
      </c>
      <c r="Y19" s="107" t="str">
        <f t="shared" si="6"/>
        <v/>
      </c>
      <c r="Z19" s="107" t="str">
        <f t="shared" si="7"/>
        <v/>
      </c>
      <c r="AA19" s="72" t="str">
        <f t="shared" si="8"/>
        <v/>
      </c>
      <c r="AB19" s="73" t="e">
        <f>IF($S19="","",IF(#REF!="Tolerance",IF((#REF!*3*T19+S19)-E19&lt;F19,"",(#REF!*3*T19+S19)-E19),IF(OR(#REF!="GD&amp;T",#REF!="MAX"),IF((#REF!*3*T19+S19)&lt;F19,"",(#REF!*3*T19+S19)),"")))</f>
        <v>#REF!</v>
      </c>
      <c r="AC19" s="73" t="e">
        <f>IF(S19="","",IF(#REF!="Tolerance",IF(-((#REF!*3*T19)-S19)-E19&gt;G19,"",-((#REF!*3*T19)-S19)-E19),IF(#REF!="MIN",IF(-((#REF!*3*T19)-S19)&gt;G19,"",-((#REF!*3*T19)-S19)),"")))</f>
        <v>#REF!</v>
      </c>
      <c r="AD19" s="73">
        <f t="shared" si="13"/>
        <v>19.794</v>
      </c>
      <c r="AE19" s="73" t="str">
        <f t="shared" si="9"/>
        <v/>
      </c>
      <c r="AF19" s="109"/>
      <c r="AG19" s="110" t="str">
        <f t="shared" si="14"/>
        <v/>
      </c>
      <c r="AH19" s="164" t="str" cm="1">
        <f t="array" ref="AH19">IF(AND(AM19:BR19 &gt;= K19, AM19:BR19 &lt;= J19), "OK", "NG")</f>
        <v>NG</v>
      </c>
      <c r="AI19" s="74"/>
      <c r="AJ19" s="74"/>
      <c r="AK19" s="75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</row>
    <row r="20" spans="2:70" ht="19.2" customHeight="1">
      <c r="B20" s="68" t="s">
        <v>381</v>
      </c>
      <c r="C20" s="101">
        <v>18</v>
      </c>
      <c r="D20" s="125" t="s">
        <v>45</v>
      </c>
      <c r="E20" s="126">
        <v>18.643000000000001</v>
      </c>
      <c r="F20" s="127">
        <v>0.03</v>
      </c>
      <c r="G20" s="127">
        <v>-0.03</v>
      </c>
      <c r="H20" s="106" t="s">
        <v>46</v>
      </c>
      <c r="I20" s="69"/>
      <c r="J20" s="70">
        <f t="shared" si="10"/>
        <v>18.673000000000002</v>
      </c>
      <c r="K20" s="70">
        <f t="shared" si="11"/>
        <v>18.613</v>
      </c>
      <c r="L20" s="70">
        <v>18.668500000000002</v>
      </c>
      <c r="M20" s="70">
        <v>18.6175</v>
      </c>
      <c r="N20" s="155"/>
      <c r="O20" s="155"/>
      <c r="P20" s="71"/>
      <c r="Q20" s="128">
        <f t="shared" si="0"/>
        <v>0</v>
      </c>
      <c r="R20" s="128">
        <f t="shared" si="1"/>
        <v>0</v>
      </c>
      <c r="S20" s="128">
        <f t="shared" si="2"/>
        <v>0</v>
      </c>
      <c r="T20" s="129">
        <f t="shared" si="3"/>
        <v>0</v>
      </c>
      <c r="U20" s="107" t="str">
        <f t="shared" si="4"/>
        <v/>
      </c>
      <c r="V20" s="108" t="str">
        <f>IF(OR($AM20="",ISNUMBER($AM20)=FALSE),"",IF(AND(#REF!="Tolerance",$E20&lt;&gt;""),($S20-$E20)/(($J20-$K20)/2),IF(AND(#REF!="GD&amp;T",$F20&lt;&gt;""),$S20/$F20,"")))</f>
        <v/>
      </c>
      <c r="W20" s="108" t="str">
        <f t="shared" si="12"/>
        <v/>
      </c>
      <c r="X20" s="107" t="str">
        <f t="shared" si="5"/>
        <v/>
      </c>
      <c r="Y20" s="107" t="str">
        <f t="shared" si="6"/>
        <v/>
      </c>
      <c r="Z20" s="107" t="str">
        <f t="shared" si="7"/>
        <v/>
      </c>
      <c r="AA20" s="72" t="str">
        <f t="shared" si="8"/>
        <v/>
      </c>
      <c r="AB20" s="73" t="e">
        <f>IF($S20="","",IF(#REF!="Tolerance",IF((#REF!*3*T20+S20)-E20&lt;F20,"",(#REF!*3*T20+S20)-E20),IF(OR(#REF!="GD&amp;T",#REF!="MAX"),IF((#REF!*3*T20+S20)&lt;F20,"",(#REF!*3*T20+S20)),"")))</f>
        <v>#REF!</v>
      </c>
      <c r="AC20" s="73" t="e">
        <f>IF(S20="","",IF(#REF!="Tolerance",IF(-((#REF!*3*T20)-S20)-E20&gt;G20,"",-((#REF!*3*T20)-S20)-E20),IF(#REF!="MIN",IF(-((#REF!*3*T20)-S20)&gt;G20,"",-((#REF!*3*T20)-S20)),"")))</f>
        <v>#REF!</v>
      </c>
      <c r="AD20" s="73">
        <f t="shared" si="13"/>
        <v>18.643000000000001</v>
      </c>
      <c r="AE20" s="73" t="str">
        <f t="shared" si="9"/>
        <v/>
      </c>
      <c r="AF20" s="109"/>
      <c r="AG20" s="110" t="str">
        <f t="shared" si="14"/>
        <v/>
      </c>
      <c r="AH20" s="164" t="str" cm="1">
        <f t="array" ref="AH20">IF(AND(AM20:BR20 &gt;= K20, AM20:BR20 &lt;= J20), "OK", "NG")</f>
        <v>NG</v>
      </c>
      <c r="AI20" s="74"/>
      <c r="AJ20" s="74"/>
      <c r="AK20" s="75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</row>
    <row r="21" spans="2:70" ht="19.2" customHeight="1">
      <c r="B21" s="68" t="s">
        <v>89</v>
      </c>
      <c r="C21" s="101">
        <v>19</v>
      </c>
      <c r="D21" s="125" t="s">
        <v>45</v>
      </c>
      <c r="E21" s="126">
        <v>15.882999999999999</v>
      </c>
      <c r="F21" s="127">
        <v>0.03</v>
      </c>
      <c r="G21" s="127">
        <v>-0.03</v>
      </c>
      <c r="H21" s="106" t="s">
        <v>46</v>
      </c>
      <c r="I21" s="69"/>
      <c r="J21" s="70">
        <f t="shared" si="10"/>
        <v>15.912999999999998</v>
      </c>
      <c r="K21" s="70">
        <f t="shared" si="11"/>
        <v>15.853</v>
      </c>
      <c r="L21" s="70">
        <v>15.908499999999998</v>
      </c>
      <c r="M21" s="70">
        <v>15.8575</v>
      </c>
      <c r="N21" s="155"/>
      <c r="O21" s="155"/>
      <c r="P21" s="71"/>
      <c r="Q21" s="128">
        <f t="shared" si="0"/>
        <v>0</v>
      </c>
      <c r="R21" s="128">
        <f t="shared" si="1"/>
        <v>0</v>
      </c>
      <c r="S21" s="128">
        <f t="shared" si="2"/>
        <v>0</v>
      </c>
      <c r="T21" s="129">
        <f t="shared" si="3"/>
        <v>0</v>
      </c>
      <c r="U21" s="107" t="str">
        <f t="shared" si="4"/>
        <v/>
      </c>
      <c r="V21" s="108" t="str">
        <f>IF(OR($AM21="",ISNUMBER($AM21)=FALSE),"",IF(AND(#REF!="Tolerance",$E21&lt;&gt;""),($S21-$E21)/(($J21-$K21)/2),IF(AND(#REF!="GD&amp;T",$F21&lt;&gt;""),$S21/$F21,"")))</f>
        <v/>
      </c>
      <c r="W21" s="108" t="str">
        <f t="shared" si="12"/>
        <v/>
      </c>
      <c r="X21" s="107" t="str">
        <f t="shared" si="5"/>
        <v/>
      </c>
      <c r="Y21" s="107" t="str">
        <f t="shared" si="6"/>
        <v/>
      </c>
      <c r="Z21" s="107" t="str">
        <f t="shared" si="7"/>
        <v/>
      </c>
      <c r="AA21" s="72" t="str">
        <f t="shared" si="8"/>
        <v/>
      </c>
      <c r="AB21" s="73" t="e">
        <f>IF($S21="","",IF(#REF!="Tolerance",IF((#REF!*3*T21+S21)-E21&lt;F21,"",(#REF!*3*T21+S21)-E21),IF(OR(#REF!="GD&amp;T",#REF!="MAX"),IF((#REF!*3*T21+S21)&lt;F21,"",(#REF!*3*T21+S21)),"")))</f>
        <v>#REF!</v>
      </c>
      <c r="AC21" s="73" t="e">
        <f>IF(S21="","",IF(#REF!="Tolerance",IF(-((#REF!*3*T21)-S21)-E21&gt;G21,"",-((#REF!*3*T21)-S21)-E21),IF(#REF!="MIN",IF(-((#REF!*3*T21)-S21)&gt;G21,"",-((#REF!*3*T21)-S21)),"")))</f>
        <v>#REF!</v>
      </c>
      <c r="AD21" s="73">
        <f t="shared" si="13"/>
        <v>15.882999999999999</v>
      </c>
      <c r="AE21" s="73" t="str">
        <f t="shared" si="9"/>
        <v/>
      </c>
      <c r="AF21" s="109"/>
      <c r="AG21" s="110" t="str">
        <f t="shared" si="14"/>
        <v/>
      </c>
      <c r="AH21" s="164" t="str" cm="1">
        <f t="array" ref="AH21">IF(AND(AM21:BR21 &gt;= K21, AM21:BR21 &lt;= J21), "OK", "NG")</f>
        <v>NG</v>
      </c>
      <c r="AI21" s="74"/>
      <c r="AJ21" s="74"/>
      <c r="AK21" s="75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</row>
    <row r="22" spans="2:70" ht="19.2" customHeight="1">
      <c r="B22" s="68" t="s">
        <v>92</v>
      </c>
      <c r="C22" s="101" t="s">
        <v>165</v>
      </c>
      <c r="D22" s="125" t="s">
        <v>45</v>
      </c>
      <c r="E22" s="126">
        <v>3.9380000000000002</v>
      </c>
      <c r="F22" s="127">
        <v>0.03</v>
      </c>
      <c r="G22" s="127">
        <v>-0.03</v>
      </c>
      <c r="H22" s="106" t="s">
        <v>46</v>
      </c>
      <c r="I22" s="69"/>
      <c r="J22" s="70">
        <f t="shared" si="10"/>
        <v>3.968</v>
      </c>
      <c r="K22" s="70">
        <f t="shared" si="11"/>
        <v>3.9080000000000004</v>
      </c>
      <c r="L22" s="70">
        <v>3.9635000000000002</v>
      </c>
      <c r="M22" s="70">
        <v>3.9125000000000001</v>
      </c>
      <c r="N22" s="155"/>
      <c r="O22" s="155"/>
      <c r="P22" s="71"/>
      <c r="Q22" s="128">
        <f t="shared" si="0"/>
        <v>0</v>
      </c>
      <c r="R22" s="128">
        <f t="shared" si="1"/>
        <v>0</v>
      </c>
      <c r="S22" s="128">
        <f t="shared" si="2"/>
        <v>0</v>
      </c>
      <c r="T22" s="129">
        <f t="shared" si="3"/>
        <v>0</v>
      </c>
      <c r="U22" s="107" t="str">
        <f t="shared" si="4"/>
        <v/>
      </c>
      <c r="V22" s="108" t="str">
        <f>IF(OR($AM22="",ISNUMBER($AM22)=FALSE),"",IF(AND(#REF!="Tolerance",$E22&lt;&gt;""),($S22-$E22)/(($J22-$K22)/2),IF(AND(#REF!="GD&amp;T",$F22&lt;&gt;""),$S22/$F22,"")))</f>
        <v/>
      </c>
      <c r="W22" s="108" t="str">
        <f t="shared" si="12"/>
        <v/>
      </c>
      <c r="X22" s="107" t="str">
        <f t="shared" si="5"/>
        <v/>
      </c>
      <c r="Y22" s="107" t="str">
        <f t="shared" si="6"/>
        <v/>
      </c>
      <c r="Z22" s="107" t="str">
        <f t="shared" si="7"/>
        <v/>
      </c>
      <c r="AA22" s="72" t="str">
        <f t="shared" si="8"/>
        <v/>
      </c>
      <c r="AB22" s="73" t="e">
        <f>IF($S22="","",IF(#REF!="Tolerance",IF((#REF!*3*T22+S22)-E22&lt;F22,"",(#REF!*3*T22+S22)-E22),IF(OR(#REF!="GD&amp;T",#REF!="MAX"),IF((#REF!*3*T22+S22)&lt;F22,"",(#REF!*3*T22+S22)),"")))</f>
        <v>#REF!</v>
      </c>
      <c r="AC22" s="73" t="e">
        <f>IF(S22="","",IF(#REF!="Tolerance",IF(-((#REF!*3*T22)-S22)-E22&gt;G22,"",-((#REF!*3*T22)-S22)-E22),IF(#REF!="MIN",IF(-((#REF!*3*T22)-S22)&gt;G22,"",-((#REF!*3*T22)-S22)),"")))</f>
        <v>#REF!</v>
      </c>
      <c r="AD22" s="73">
        <f t="shared" si="13"/>
        <v>3.9380000000000002</v>
      </c>
      <c r="AE22" s="73" t="str">
        <f t="shared" si="9"/>
        <v/>
      </c>
      <c r="AF22" s="109"/>
      <c r="AG22" s="110" t="str">
        <f t="shared" si="14"/>
        <v/>
      </c>
      <c r="AH22" s="164" t="str" cm="1">
        <f t="array" ref="AH22">IF(AND(AM22:BR22 &gt;= K22, AM22:BR22 &lt;= J22), "OK", "NG")</f>
        <v>NG</v>
      </c>
      <c r="AI22" s="74"/>
      <c r="AJ22" s="74"/>
      <c r="AK22" s="75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  <c r="BN22" s="149"/>
      <c r="BO22" s="149"/>
      <c r="BP22" s="149"/>
      <c r="BQ22" s="149"/>
      <c r="BR22" s="149"/>
    </row>
    <row r="23" spans="2:70" ht="19.2" customHeight="1">
      <c r="B23" s="68" t="s">
        <v>92</v>
      </c>
      <c r="C23" s="101" t="s">
        <v>166</v>
      </c>
      <c r="D23" s="125" t="s">
        <v>45</v>
      </c>
      <c r="E23" s="126">
        <v>3.9380000000000002</v>
      </c>
      <c r="F23" s="127">
        <v>0.03</v>
      </c>
      <c r="G23" s="127">
        <v>-0.03</v>
      </c>
      <c r="H23" s="106" t="s">
        <v>46</v>
      </c>
      <c r="I23" s="69"/>
      <c r="J23" s="70">
        <f t="shared" si="10"/>
        <v>3.968</v>
      </c>
      <c r="K23" s="70">
        <f t="shared" si="11"/>
        <v>3.9080000000000004</v>
      </c>
      <c r="L23" s="70">
        <v>3.9635000000000002</v>
      </c>
      <c r="M23" s="70">
        <v>3.9125000000000001</v>
      </c>
      <c r="N23" s="155"/>
      <c r="O23" s="155"/>
      <c r="P23" s="71"/>
      <c r="Q23" s="128">
        <f t="shared" si="0"/>
        <v>0</v>
      </c>
      <c r="R23" s="128">
        <f t="shared" si="1"/>
        <v>0</v>
      </c>
      <c r="S23" s="128">
        <f t="shared" si="2"/>
        <v>0</v>
      </c>
      <c r="T23" s="129">
        <f t="shared" si="3"/>
        <v>0</v>
      </c>
      <c r="U23" s="107" t="str">
        <f t="shared" si="4"/>
        <v/>
      </c>
      <c r="V23" s="108" t="str">
        <f>IF(OR($AM23="",ISNUMBER($AM23)=FALSE),"",IF(AND(#REF!="Tolerance",$E23&lt;&gt;""),($S23-$E23)/(($J23-$K23)/2),IF(AND(#REF!="GD&amp;T",$F23&lt;&gt;""),$S23/$F23,"")))</f>
        <v/>
      </c>
      <c r="W23" s="108" t="str">
        <f t="shared" si="12"/>
        <v/>
      </c>
      <c r="X23" s="107" t="str">
        <f t="shared" si="5"/>
        <v/>
      </c>
      <c r="Y23" s="107" t="str">
        <f t="shared" si="6"/>
        <v/>
      </c>
      <c r="Z23" s="107" t="str">
        <f t="shared" si="7"/>
        <v/>
      </c>
      <c r="AA23" s="72" t="str">
        <f t="shared" si="8"/>
        <v/>
      </c>
      <c r="AB23" s="73" t="e">
        <f>IF($S23="","",IF(#REF!="Tolerance",IF((#REF!*3*T23+S23)-E23&lt;F23,"",(#REF!*3*T23+S23)-E23),IF(OR(#REF!="GD&amp;T",#REF!="MAX"),IF((#REF!*3*T23+S23)&lt;F23,"",(#REF!*3*T23+S23)),"")))</f>
        <v>#REF!</v>
      </c>
      <c r="AC23" s="73" t="e">
        <f>IF(S23="","",IF(#REF!="Tolerance",IF(-((#REF!*3*T23)-S23)-E23&gt;G23,"",-((#REF!*3*T23)-S23)-E23),IF(#REF!="MIN",IF(-((#REF!*3*T23)-S23)&gt;G23,"",-((#REF!*3*T23)-S23)),"")))</f>
        <v>#REF!</v>
      </c>
      <c r="AD23" s="73">
        <f t="shared" si="13"/>
        <v>3.9380000000000002</v>
      </c>
      <c r="AE23" s="73" t="str">
        <f t="shared" si="9"/>
        <v/>
      </c>
      <c r="AF23" s="109"/>
      <c r="AG23" s="110" t="str">
        <f t="shared" si="14"/>
        <v/>
      </c>
      <c r="AH23" s="164" t="str" cm="1">
        <f t="array" ref="AH23">IF(AND(AM23:BR23 &gt;= K23, AM23:BR23 &lt;= J23), "OK", "NG")</f>
        <v>NG</v>
      </c>
      <c r="AI23" s="74"/>
      <c r="AJ23" s="74"/>
      <c r="AK23" s="75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  <c r="BQ23" s="149"/>
      <c r="BR23" s="149"/>
    </row>
    <row r="24" spans="2:70" ht="19.2" customHeight="1">
      <c r="B24" s="68" t="s">
        <v>92</v>
      </c>
      <c r="C24" s="101" t="s">
        <v>167</v>
      </c>
      <c r="D24" s="125" t="s">
        <v>45</v>
      </c>
      <c r="E24" s="126">
        <v>3.9380000000000002</v>
      </c>
      <c r="F24" s="127">
        <v>0.03</v>
      </c>
      <c r="G24" s="127">
        <v>-0.03</v>
      </c>
      <c r="H24" s="106" t="s">
        <v>46</v>
      </c>
      <c r="I24" s="69"/>
      <c r="J24" s="70">
        <f t="shared" si="10"/>
        <v>3.968</v>
      </c>
      <c r="K24" s="70">
        <f t="shared" si="11"/>
        <v>3.9080000000000004</v>
      </c>
      <c r="L24" s="70">
        <v>3.9635000000000002</v>
      </c>
      <c r="M24" s="70">
        <v>3.9125000000000001</v>
      </c>
      <c r="N24" s="155"/>
      <c r="O24" s="155"/>
      <c r="P24" s="71"/>
      <c r="Q24" s="128">
        <f t="shared" si="0"/>
        <v>0</v>
      </c>
      <c r="R24" s="128">
        <f t="shared" si="1"/>
        <v>0</v>
      </c>
      <c r="S24" s="128">
        <f t="shared" si="2"/>
        <v>0</v>
      </c>
      <c r="T24" s="129">
        <f t="shared" si="3"/>
        <v>0</v>
      </c>
      <c r="U24" s="107" t="str">
        <f t="shared" si="4"/>
        <v/>
      </c>
      <c r="V24" s="108" t="str">
        <f>IF(OR($AM24="",ISNUMBER($AM24)=FALSE),"",IF(AND(#REF!="Tolerance",$E24&lt;&gt;""),($S24-$E24)/(($J24-$K24)/2),IF(AND(#REF!="GD&amp;T",$F24&lt;&gt;""),$S24/$F24,"")))</f>
        <v/>
      </c>
      <c r="W24" s="108" t="str">
        <f t="shared" si="12"/>
        <v/>
      </c>
      <c r="X24" s="107" t="str">
        <f t="shared" si="5"/>
        <v/>
      </c>
      <c r="Y24" s="107" t="str">
        <f t="shared" si="6"/>
        <v/>
      </c>
      <c r="Z24" s="107" t="str">
        <f t="shared" si="7"/>
        <v/>
      </c>
      <c r="AA24" s="72" t="str">
        <f t="shared" si="8"/>
        <v/>
      </c>
      <c r="AB24" s="73" t="e">
        <f>IF($S24="","",IF(#REF!="Tolerance",IF((#REF!*3*T24+S24)-E24&lt;F24,"",(#REF!*3*T24+S24)-E24),IF(OR(#REF!="GD&amp;T",#REF!="MAX"),IF((#REF!*3*T24+S24)&lt;F24,"",(#REF!*3*T24+S24)),"")))</f>
        <v>#REF!</v>
      </c>
      <c r="AC24" s="73" t="e">
        <f>IF(S24="","",IF(#REF!="Tolerance",IF(-((#REF!*3*T24)-S24)-E24&gt;G24,"",-((#REF!*3*T24)-S24)-E24),IF(#REF!="MIN",IF(-((#REF!*3*T24)-S24)&gt;G24,"",-((#REF!*3*T24)-S24)),"")))</f>
        <v>#REF!</v>
      </c>
      <c r="AD24" s="73">
        <f t="shared" si="13"/>
        <v>3.9380000000000002</v>
      </c>
      <c r="AE24" s="73" t="str">
        <f t="shared" si="9"/>
        <v/>
      </c>
      <c r="AF24" s="109"/>
      <c r="AG24" s="110" t="str">
        <f t="shared" si="14"/>
        <v/>
      </c>
      <c r="AH24" s="164" t="str" cm="1">
        <f t="array" ref="AH24">IF(AND(AM24:BR24 &gt;= K24, AM24:BR24 &lt;= J24), "OK", "NG")</f>
        <v>NG</v>
      </c>
      <c r="AI24" s="74"/>
      <c r="AJ24" s="74"/>
      <c r="AK24" s="75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</row>
    <row r="25" spans="2:70" ht="19.2" customHeight="1">
      <c r="B25" s="68" t="s">
        <v>359</v>
      </c>
      <c r="C25" s="101" t="s">
        <v>382</v>
      </c>
      <c r="D25" s="125" t="s">
        <v>45</v>
      </c>
      <c r="E25" s="126">
        <v>1.125</v>
      </c>
      <c r="F25" s="127">
        <v>0.03</v>
      </c>
      <c r="G25" s="127">
        <v>-0.02</v>
      </c>
      <c r="H25" s="106" t="s">
        <v>273</v>
      </c>
      <c r="I25" s="69"/>
      <c r="J25" s="70">
        <f t="shared" si="10"/>
        <v>1.155</v>
      </c>
      <c r="K25" s="70">
        <f t="shared" si="11"/>
        <v>1.105</v>
      </c>
      <c r="L25" s="70">
        <v>1.1505000000000001</v>
      </c>
      <c r="M25" s="70">
        <v>1.1080000000000001</v>
      </c>
      <c r="N25" s="155">
        <v>1.1475</v>
      </c>
      <c r="O25" s="155">
        <v>1.1100000000000001</v>
      </c>
      <c r="P25" s="71"/>
      <c r="Q25" s="128">
        <f t="shared" si="0"/>
        <v>0</v>
      </c>
      <c r="R25" s="128">
        <f t="shared" si="1"/>
        <v>0</v>
      </c>
      <c r="S25" s="128">
        <f t="shared" si="2"/>
        <v>0</v>
      </c>
      <c r="T25" s="129">
        <f t="shared" si="3"/>
        <v>0</v>
      </c>
      <c r="U25" s="107" t="str">
        <f t="shared" si="4"/>
        <v/>
      </c>
      <c r="V25" s="108" t="str">
        <f>IF(OR($AM25="",ISNUMBER($AM25)=FALSE),"",IF(AND(#REF!="Tolerance",$E25&lt;&gt;""),($S25-$E25)/(($J25-$K25)/2),IF(AND(#REF!="GD&amp;T",$F25&lt;&gt;""),$S25/$F25,"")))</f>
        <v/>
      </c>
      <c r="W25" s="108" t="str">
        <f t="shared" si="12"/>
        <v/>
      </c>
      <c r="X25" s="107" t="str">
        <f t="shared" si="5"/>
        <v/>
      </c>
      <c r="Y25" s="107" t="str">
        <f t="shared" si="6"/>
        <v/>
      </c>
      <c r="Z25" s="107" t="str">
        <f t="shared" si="7"/>
        <v/>
      </c>
      <c r="AA25" s="72" t="str">
        <f t="shared" si="8"/>
        <v/>
      </c>
      <c r="AB25" s="73"/>
      <c r="AC25" s="73"/>
      <c r="AD25" s="73"/>
      <c r="AE25" s="73"/>
      <c r="AF25" s="109"/>
      <c r="AG25" s="110" t="str">
        <f t="shared" si="14"/>
        <v/>
      </c>
      <c r="AH25" s="164" t="str" cm="1">
        <f t="array" ref="AH25">IF(AND(AM25:BR25 &gt;= K25, AM25:BR25 &lt;= J25), "OK", "NG")</f>
        <v>NG</v>
      </c>
      <c r="AI25" s="74"/>
      <c r="AJ25" s="74"/>
      <c r="AK25" s="75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  <c r="BN25" s="149"/>
      <c r="BO25" s="149"/>
      <c r="BP25" s="149"/>
      <c r="BQ25" s="149"/>
      <c r="BR25" s="149"/>
    </row>
    <row r="26" spans="2:70" ht="19.2" customHeight="1">
      <c r="B26" s="68" t="s">
        <v>359</v>
      </c>
      <c r="C26" s="101" t="s">
        <v>383</v>
      </c>
      <c r="D26" s="125" t="s">
        <v>45</v>
      </c>
      <c r="E26" s="126">
        <v>1.125</v>
      </c>
      <c r="F26" s="127">
        <v>0.03</v>
      </c>
      <c r="G26" s="127">
        <v>-0.02</v>
      </c>
      <c r="H26" s="106" t="s">
        <v>273</v>
      </c>
      <c r="I26" s="69"/>
      <c r="J26" s="70">
        <f t="shared" si="10"/>
        <v>1.155</v>
      </c>
      <c r="K26" s="70">
        <f t="shared" si="11"/>
        <v>1.105</v>
      </c>
      <c r="L26" s="70">
        <v>1.1505000000000001</v>
      </c>
      <c r="M26" s="70">
        <v>1.1080000000000001</v>
      </c>
      <c r="N26" s="155">
        <v>1.1475</v>
      </c>
      <c r="O26" s="155">
        <v>1.1100000000000001</v>
      </c>
      <c r="P26" s="71"/>
      <c r="Q26" s="128">
        <f t="shared" si="0"/>
        <v>0</v>
      </c>
      <c r="R26" s="128">
        <f t="shared" si="1"/>
        <v>0</v>
      </c>
      <c r="S26" s="128">
        <f t="shared" si="2"/>
        <v>0</v>
      </c>
      <c r="T26" s="129">
        <f t="shared" si="3"/>
        <v>0</v>
      </c>
      <c r="U26" s="107" t="str">
        <f t="shared" si="4"/>
        <v/>
      </c>
      <c r="V26" s="108" t="str">
        <f>IF(OR($AM26="",ISNUMBER($AM26)=FALSE),"",IF(AND(#REF!="Tolerance",$E26&lt;&gt;""),($S26-$E26)/(($J26-$K26)/2),IF(AND(#REF!="GD&amp;T",$F26&lt;&gt;""),$S26/$F26,"")))</f>
        <v/>
      </c>
      <c r="W26" s="108" t="str">
        <f t="shared" si="12"/>
        <v/>
      </c>
      <c r="X26" s="107" t="str">
        <f t="shared" si="5"/>
        <v/>
      </c>
      <c r="Y26" s="107" t="str">
        <f t="shared" si="6"/>
        <v/>
      </c>
      <c r="Z26" s="107" t="str">
        <f t="shared" si="7"/>
        <v/>
      </c>
      <c r="AA26" s="72" t="str">
        <f t="shared" si="8"/>
        <v/>
      </c>
      <c r="AB26" s="73"/>
      <c r="AC26" s="73"/>
      <c r="AD26" s="73"/>
      <c r="AE26" s="73"/>
      <c r="AF26" s="109"/>
      <c r="AG26" s="110" t="str">
        <f t="shared" si="14"/>
        <v/>
      </c>
      <c r="AH26" s="164" t="str" cm="1">
        <f t="array" ref="AH26">IF(AND(AM26:BR26 &gt;= K26, AM26:BR26 &lt;= J26), "OK", "NG")</f>
        <v>NG</v>
      </c>
      <c r="AI26" s="74"/>
      <c r="AJ26" s="74"/>
      <c r="AK26" s="75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  <c r="BI26" s="149"/>
      <c r="BJ26" s="149"/>
      <c r="BK26" s="149"/>
      <c r="BL26" s="149"/>
      <c r="BM26" s="149"/>
      <c r="BN26" s="149"/>
      <c r="BO26" s="149"/>
      <c r="BP26" s="149"/>
      <c r="BQ26" s="149"/>
      <c r="BR26" s="149"/>
    </row>
    <row r="27" spans="2:70" ht="19.2" customHeight="1">
      <c r="B27" s="68" t="s">
        <v>359</v>
      </c>
      <c r="C27" s="101" t="s">
        <v>384</v>
      </c>
      <c r="D27" s="125" t="s">
        <v>45</v>
      </c>
      <c r="E27" s="126">
        <v>1.125</v>
      </c>
      <c r="F27" s="127">
        <v>0.03</v>
      </c>
      <c r="G27" s="127">
        <v>-0.02</v>
      </c>
      <c r="H27" s="106" t="s">
        <v>273</v>
      </c>
      <c r="I27" s="69"/>
      <c r="J27" s="70">
        <f t="shared" si="10"/>
        <v>1.155</v>
      </c>
      <c r="K27" s="70">
        <f t="shared" si="11"/>
        <v>1.105</v>
      </c>
      <c r="L27" s="70">
        <v>1.1505000000000001</v>
      </c>
      <c r="M27" s="70">
        <v>1.1080000000000001</v>
      </c>
      <c r="N27" s="155">
        <v>1.1475</v>
      </c>
      <c r="O27" s="155">
        <v>1.1100000000000001</v>
      </c>
      <c r="P27" s="71"/>
      <c r="Q27" s="128">
        <f t="shared" si="0"/>
        <v>0</v>
      </c>
      <c r="R27" s="128">
        <f t="shared" si="1"/>
        <v>0</v>
      </c>
      <c r="S27" s="128">
        <f t="shared" si="2"/>
        <v>0</v>
      </c>
      <c r="T27" s="129">
        <f t="shared" si="3"/>
        <v>0</v>
      </c>
      <c r="U27" s="107" t="str">
        <f t="shared" si="4"/>
        <v/>
      </c>
      <c r="V27" s="108" t="str">
        <f>IF(OR($AM27="",ISNUMBER($AM27)=FALSE),"",IF(AND(#REF!="Tolerance",$E27&lt;&gt;""),($S27-$E27)/(($J27-$K27)/2),IF(AND(#REF!="GD&amp;T",$F27&lt;&gt;""),$S27/$F27,"")))</f>
        <v/>
      </c>
      <c r="W27" s="108" t="str">
        <f t="shared" si="12"/>
        <v/>
      </c>
      <c r="X27" s="107" t="str">
        <f t="shared" si="5"/>
        <v/>
      </c>
      <c r="Y27" s="107" t="str">
        <f t="shared" si="6"/>
        <v/>
      </c>
      <c r="Z27" s="107" t="str">
        <f t="shared" si="7"/>
        <v/>
      </c>
      <c r="AA27" s="72" t="str">
        <f t="shared" si="8"/>
        <v/>
      </c>
      <c r="AB27" s="73"/>
      <c r="AC27" s="73"/>
      <c r="AD27" s="73"/>
      <c r="AE27" s="73"/>
      <c r="AF27" s="109"/>
      <c r="AG27" s="110" t="str">
        <f t="shared" si="14"/>
        <v/>
      </c>
      <c r="AH27" s="164" t="str" cm="1">
        <f t="array" ref="AH27">IF(AND(AM27:BR27 &gt;= K27, AM27:BR27 &lt;= J27), "OK", "NG")</f>
        <v>NG</v>
      </c>
      <c r="AI27" s="74"/>
      <c r="AJ27" s="74"/>
      <c r="AK27" s="75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  <c r="BI27" s="149"/>
      <c r="BJ27" s="149"/>
      <c r="BK27" s="149"/>
      <c r="BL27" s="149"/>
      <c r="BM27" s="149"/>
      <c r="BN27" s="149"/>
      <c r="BO27" s="149"/>
      <c r="BP27" s="149"/>
      <c r="BQ27" s="149"/>
      <c r="BR27" s="149"/>
    </row>
    <row r="28" spans="2:70" ht="19.2" customHeight="1">
      <c r="B28" s="68" t="s">
        <v>359</v>
      </c>
      <c r="C28" s="101" t="s">
        <v>385</v>
      </c>
      <c r="D28" s="125" t="s">
        <v>45</v>
      </c>
      <c r="E28" s="126">
        <v>1.125</v>
      </c>
      <c r="F28" s="127">
        <v>0.03</v>
      </c>
      <c r="G28" s="127">
        <v>-0.02</v>
      </c>
      <c r="H28" s="106" t="s">
        <v>273</v>
      </c>
      <c r="I28" s="69"/>
      <c r="J28" s="70">
        <f t="shared" si="10"/>
        <v>1.155</v>
      </c>
      <c r="K28" s="70">
        <f t="shared" si="11"/>
        <v>1.105</v>
      </c>
      <c r="L28" s="70">
        <v>1.1505000000000001</v>
      </c>
      <c r="M28" s="70">
        <v>1.1080000000000001</v>
      </c>
      <c r="N28" s="155">
        <v>1.1475</v>
      </c>
      <c r="O28" s="155">
        <v>1.1100000000000001</v>
      </c>
      <c r="P28" s="71"/>
      <c r="Q28" s="128">
        <f t="shared" si="0"/>
        <v>0</v>
      </c>
      <c r="R28" s="128">
        <f t="shared" si="1"/>
        <v>0</v>
      </c>
      <c r="S28" s="128">
        <f t="shared" si="2"/>
        <v>0</v>
      </c>
      <c r="T28" s="129">
        <f t="shared" si="3"/>
        <v>0</v>
      </c>
      <c r="U28" s="107" t="str">
        <f t="shared" si="4"/>
        <v/>
      </c>
      <c r="V28" s="108" t="str">
        <f>IF(OR($AM28="",ISNUMBER($AM28)=FALSE),"",IF(AND(#REF!="Tolerance",$E28&lt;&gt;""),($S28-$E28)/(($J28-$K28)/2),IF(AND(#REF!="GD&amp;T",$F28&lt;&gt;""),$S28/$F28,"")))</f>
        <v/>
      </c>
      <c r="W28" s="108" t="str">
        <f t="shared" si="12"/>
        <v/>
      </c>
      <c r="X28" s="107" t="str">
        <f t="shared" si="5"/>
        <v/>
      </c>
      <c r="Y28" s="107" t="str">
        <f t="shared" si="6"/>
        <v/>
      </c>
      <c r="Z28" s="107" t="str">
        <f t="shared" si="7"/>
        <v/>
      </c>
      <c r="AA28" s="72" t="str">
        <f t="shared" si="8"/>
        <v/>
      </c>
      <c r="AB28" s="73"/>
      <c r="AC28" s="73"/>
      <c r="AD28" s="73"/>
      <c r="AE28" s="73"/>
      <c r="AF28" s="109"/>
      <c r="AG28" s="110" t="str">
        <f t="shared" si="14"/>
        <v/>
      </c>
      <c r="AH28" s="164" t="str" cm="1">
        <f t="array" ref="AH28">IF(AND(AM28:BR28 &gt;= K28, AM28:BR28 &lt;= J28), "OK", "NG")</f>
        <v>NG</v>
      </c>
      <c r="AI28" s="74"/>
      <c r="AJ28" s="74"/>
      <c r="AK28" s="75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  <c r="BI28" s="149"/>
      <c r="BJ28" s="149"/>
      <c r="BK28" s="149"/>
      <c r="BL28" s="149"/>
      <c r="BM28" s="149"/>
      <c r="BN28" s="149"/>
      <c r="BO28" s="149"/>
      <c r="BP28" s="149"/>
      <c r="BQ28" s="149"/>
      <c r="BR28" s="149"/>
    </row>
    <row r="29" spans="2:70" ht="19.2" customHeight="1">
      <c r="B29" s="68" t="s">
        <v>359</v>
      </c>
      <c r="C29" s="101" t="s">
        <v>386</v>
      </c>
      <c r="D29" s="125" t="s">
        <v>45</v>
      </c>
      <c r="E29" s="126">
        <v>1.125</v>
      </c>
      <c r="F29" s="127">
        <v>0.03</v>
      </c>
      <c r="G29" s="127">
        <v>-0.02</v>
      </c>
      <c r="H29" s="106" t="s">
        <v>273</v>
      </c>
      <c r="I29" s="69"/>
      <c r="J29" s="70">
        <f t="shared" si="10"/>
        <v>1.155</v>
      </c>
      <c r="K29" s="70">
        <f t="shared" si="11"/>
        <v>1.105</v>
      </c>
      <c r="L29" s="70">
        <v>1.1505000000000001</v>
      </c>
      <c r="M29" s="70">
        <v>1.1080000000000001</v>
      </c>
      <c r="N29" s="155">
        <v>1.1475</v>
      </c>
      <c r="O29" s="155">
        <v>1.1100000000000001</v>
      </c>
      <c r="P29" s="71"/>
      <c r="Q29" s="128">
        <f t="shared" si="0"/>
        <v>0</v>
      </c>
      <c r="R29" s="128">
        <f t="shared" si="1"/>
        <v>0</v>
      </c>
      <c r="S29" s="128">
        <f t="shared" si="2"/>
        <v>0</v>
      </c>
      <c r="T29" s="129">
        <f t="shared" si="3"/>
        <v>0</v>
      </c>
      <c r="U29" s="107" t="str">
        <f t="shared" si="4"/>
        <v/>
      </c>
      <c r="V29" s="108" t="str">
        <f>IF(OR($AM29="",ISNUMBER($AM29)=FALSE),"",IF(AND(#REF!="Tolerance",$E29&lt;&gt;""),($S29-$E29)/(($J29-$K29)/2),IF(AND(#REF!="GD&amp;T",$F29&lt;&gt;""),$S29/$F29,"")))</f>
        <v/>
      </c>
      <c r="W29" s="108" t="str">
        <f t="shared" si="12"/>
        <v/>
      </c>
      <c r="X29" s="107" t="str">
        <f t="shared" si="5"/>
        <v/>
      </c>
      <c r="Y29" s="107" t="str">
        <f t="shared" si="6"/>
        <v/>
      </c>
      <c r="Z29" s="107" t="str">
        <f t="shared" si="7"/>
        <v/>
      </c>
      <c r="AA29" s="72" t="str">
        <f t="shared" si="8"/>
        <v/>
      </c>
      <c r="AB29" s="73"/>
      <c r="AC29" s="73"/>
      <c r="AD29" s="73"/>
      <c r="AE29" s="73"/>
      <c r="AF29" s="109"/>
      <c r="AG29" s="110" t="str">
        <f t="shared" si="14"/>
        <v/>
      </c>
      <c r="AH29" s="164" t="str" cm="1">
        <f t="array" ref="AH29">IF(AND(AM29:BR29 &gt;= K29, AM29:BR29 &lt;= J29), "OK", "NG")</f>
        <v>NG</v>
      </c>
      <c r="AI29" s="74"/>
      <c r="AJ29" s="74"/>
      <c r="AK29" s="75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  <c r="BI29" s="149"/>
      <c r="BJ29" s="149"/>
      <c r="BK29" s="149"/>
      <c r="BL29" s="149"/>
      <c r="BM29" s="149"/>
      <c r="BN29" s="149"/>
      <c r="BO29" s="149"/>
      <c r="BP29" s="149"/>
      <c r="BQ29" s="149"/>
      <c r="BR29" s="149"/>
    </row>
    <row r="30" spans="2:70" ht="19.2" customHeight="1">
      <c r="B30" s="68" t="s">
        <v>359</v>
      </c>
      <c r="C30" s="101" t="s">
        <v>387</v>
      </c>
      <c r="D30" s="125" t="s">
        <v>45</v>
      </c>
      <c r="E30" s="126">
        <v>1.125</v>
      </c>
      <c r="F30" s="127">
        <v>0.03</v>
      </c>
      <c r="G30" s="127">
        <v>-0.02</v>
      </c>
      <c r="H30" s="106" t="s">
        <v>273</v>
      </c>
      <c r="I30" s="69"/>
      <c r="J30" s="70">
        <f t="shared" si="10"/>
        <v>1.155</v>
      </c>
      <c r="K30" s="70">
        <f t="shared" si="11"/>
        <v>1.105</v>
      </c>
      <c r="L30" s="70">
        <v>1.1505000000000001</v>
      </c>
      <c r="M30" s="70">
        <v>1.1080000000000001</v>
      </c>
      <c r="N30" s="155">
        <v>1.1475</v>
      </c>
      <c r="O30" s="155">
        <v>1.1100000000000001</v>
      </c>
      <c r="P30" s="71"/>
      <c r="Q30" s="128">
        <f t="shared" si="0"/>
        <v>0</v>
      </c>
      <c r="R30" s="128">
        <f t="shared" si="1"/>
        <v>0</v>
      </c>
      <c r="S30" s="128">
        <f t="shared" si="2"/>
        <v>0</v>
      </c>
      <c r="T30" s="129">
        <f t="shared" si="3"/>
        <v>0</v>
      </c>
      <c r="U30" s="107" t="str">
        <f t="shared" si="4"/>
        <v/>
      </c>
      <c r="V30" s="108" t="str">
        <f>IF(OR($AM30="",ISNUMBER($AM30)=FALSE),"",IF(AND(#REF!="Tolerance",$E30&lt;&gt;""),($S30-$E30)/(($J30-$K30)/2),IF(AND(#REF!="GD&amp;T",$F30&lt;&gt;""),$S30/$F30,"")))</f>
        <v/>
      </c>
      <c r="W30" s="108" t="str">
        <f t="shared" si="12"/>
        <v/>
      </c>
      <c r="X30" s="107" t="str">
        <f t="shared" si="5"/>
        <v/>
      </c>
      <c r="Y30" s="107" t="str">
        <f t="shared" si="6"/>
        <v/>
      </c>
      <c r="Z30" s="107" t="str">
        <f t="shared" si="7"/>
        <v/>
      </c>
      <c r="AA30" s="72" t="str">
        <f t="shared" si="8"/>
        <v/>
      </c>
      <c r="AB30" s="73" t="e">
        <f>IF($S30="","",IF(#REF!="Tolerance",IF((#REF!*3*T30+S30)-E30&lt;F30,"",(#REF!*3*T30+S30)-E30),IF(OR(#REF!="GD&amp;T",#REF!="MAX"),IF((#REF!*3*T30+S30)&lt;F30,"",(#REF!*3*T30+S30)),"")))</f>
        <v>#REF!</v>
      </c>
      <c r="AC30" s="73" t="e">
        <f>IF(S30="","",IF(#REF!="Tolerance",IF(-((#REF!*3*T30)-S30)-E30&gt;G30,"",-((#REF!*3*T30)-S30)-E30),IF(#REF!="MIN",IF(-((#REF!*3*T30)-S30)&gt;G30,"",-((#REF!*3*T30)-S30)),"")))</f>
        <v>#REF!</v>
      </c>
      <c r="AD30" s="73">
        <f t="shared" si="13"/>
        <v>1.1299999999999999</v>
      </c>
      <c r="AE30" s="73" t="str">
        <f t="shared" si="9"/>
        <v/>
      </c>
      <c r="AF30" s="109"/>
      <c r="AG30" s="110" t="str">
        <f t="shared" si="14"/>
        <v/>
      </c>
      <c r="AH30" s="164" t="str" cm="1">
        <f t="array" ref="AH30">IF(AND(AM30:BR30 &gt;= K30, AM30:BR30 &lt;= J30), "OK", "NG")</f>
        <v>NG</v>
      </c>
      <c r="AI30" s="74"/>
      <c r="AJ30" s="74"/>
      <c r="AK30" s="75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  <c r="BM30" s="149"/>
      <c r="BN30" s="149"/>
      <c r="BO30" s="149"/>
      <c r="BP30" s="149"/>
      <c r="BQ30" s="149"/>
      <c r="BR30" s="149"/>
    </row>
    <row r="31" spans="2:70" ht="19.2" customHeight="1">
      <c r="B31" s="68" t="s">
        <v>395</v>
      </c>
      <c r="C31" s="145" t="s">
        <v>388</v>
      </c>
      <c r="D31" s="125" t="s">
        <v>45</v>
      </c>
      <c r="E31" s="146">
        <v>0.27500000000000002</v>
      </c>
      <c r="F31" s="147">
        <v>0.03</v>
      </c>
      <c r="G31" s="147">
        <v>-0.03</v>
      </c>
      <c r="H31" s="148" t="s">
        <v>46</v>
      </c>
      <c r="I31" s="69"/>
      <c r="J31" s="70">
        <f t="shared" si="10"/>
        <v>0.30500000000000005</v>
      </c>
      <c r="K31" s="70">
        <f t="shared" si="11"/>
        <v>0.24500000000000002</v>
      </c>
      <c r="L31" s="70">
        <v>0.30050000000000004</v>
      </c>
      <c r="M31" s="70">
        <v>0.24950000000000003</v>
      </c>
      <c r="N31" s="155"/>
      <c r="O31" s="155"/>
      <c r="P31" s="71"/>
      <c r="Q31" s="128">
        <f t="shared" ref="Q31:Q37" si="15">IF(OR($AM31=ISBLANK(TRUE),ISNUMBER($AM31)=FALSE),,MAX(AM31:BR31))</f>
        <v>0</v>
      </c>
      <c r="R31" s="128">
        <f t="shared" ref="R31:R37" si="16">IF(OR($AM31=ISBLANK(TRUE),ISNUMBER($AM31)=FALSE),,MIN(AM31:BR31))</f>
        <v>0</v>
      </c>
      <c r="S31" s="128">
        <f t="shared" ref="S31:S37" si="17">IF(OR($AM31=ISBLANK(TRUE),ISNUMBER($AM31)=FALSE),,AVERAGE(AM31:BR31))</f>
        <v>0</v>
      </c>
      <c r="T31" s="129">
        <f t="shared" ref="T31:T37" si="18">IF(OR($AM31=ISBLANK(TRUE),ISNUMBER($AM31)=FALSE),,STDEV(AM31:BR31))</f>
        <v>0</v>
      </c>
      <c r="U31" s="107" t="str">
        <f t="shared" ref="U31:U37" si="19">IF(OR($AM31="",ISNUMBER($AM31)=FALSE),"",IF(AND(E31=0,G31=0),X31,IF(AND(E31="",F31=""),Y31,(F31+ABS(G31))/(6*T31))))</f>
        <v/>
      </c>
      <c r="V31" s="108" t="str">
        <f>IF(OR($AM31="",ISNUMBER($AM31)=FALSE),"",IF(AND(#REF!="Tolerance",$E31&lt;&gt;""),($S31-$E31)/(($J31-$K31)/2),IF(AND(#REF!="GD&amp;T",$F31&lt;&gt;""),$S31/$F31,"")))</f>
        <v/>
      </c>
      <c r="W31" s="108" t="str">
        <f t="shared" si="12"/>
        <v/>
      </c>
      <c r="X31" s="107" t="str">
        <f t="shared" ref="X31:X37" si="20">IF(OR($AM31="",ISNUMBER($AM31)=FALSE),"",IF(F31="","",(J31-S31)/(3*T31)))</f>
        <v/>
      </c>
      <c r="Y31" s="107" t="str">
        <f t="shared" ref="Y31:Y37" si="21">IF(OR($AM31="",ISNUMBER($AM31)=FALSE),"",IF(G31="","",(S31-K31)/(3*T31)))</f>
        <v/>
      </c>
      <c r="Z31" s="107" t="str">
        <f t="shared" ref="Z31:Z37" si="22">IF(OR($AM31="",ISNUMBER($AM31)=FALSE),"",IF(AND(E31=0,G31=0),((F31)-(S31))/(3*T31),MIN(X31:Y31)))</f>
        <v/>
      </c>
      <c r="AA31" s="72" t="str">
        <f t="shared" ref="AA31:AA37" si="23">IF(OR($AM31="",ISNUMBER($AM31)=FALSE),"",IF(AND(E31=0,G31=0),NORMSDIST(3*Z31),NORMSDIST(3*Z31)+NORMSDIST(6*U31-3*Z31)-1))</f>
        <v/>
      </c>
      <c r="AB31" s="73" t="e">
        <f>IF($S31="","",IF(#REF!="Tolerance",IF((#REF!*3*T31+S31)-E31&lt;F31,"",(#REF!*3*T31+S31)-E31),IF(OR(#REF!="GD&amp;T",#REF!="MAX"),IF((#REF!*3*T31+S31)&lt;F31,"",(#REF!*3*T31+S31)),"")))</f>
        <v>#REF!</v>
      </c>
      <c r="AC31" s="73" t="e">
        <f>IF(S31="","",IF(#REF!="Tolerance",IF(-((#REF!*3*T31)-S31)-E31&gt;G31,"",-((#REF!*3*T31)-S31)-E31),IF(#REF!="MIN",IF(-((#REF!*3*T31)-S31)&gt;G31,"",-((#REF!*3*T31)-S31)),"")))</f>
        <v>#REF!</v>
      </c>
      <c r="AD31" s="73">
        <f t="shared" ref="AD31:AD37" si="24">IF(OR(E31="",S31=""),"",(J31+K31)/2-S31)</f>
        <v>0.27500000000000002</v>
      </c>
      <c r="AE31" s="73" t="str">
        <f t="shared" si="9"/>
        <v/>
      </c>
      <c r="AF31" s="109"/>
      <c r="AG31" s="110" t="str">
        <f t="shared" si="14"/>
        <v/>
      </c>
      <c r="AH31" s="164" t="str" cm="1">
        <f t="array" ref="AH31">IF(AND(AM31:BR31 &gt;= K31, AM31:BR31 &lt;= J31), "OK", "NG")</f>
        <v>NG</v>
      </c>
      <c r="AI31" s="74"/>
      <c r="AJ31" s="74"/>
      <c r="AK31" s="75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49"/>
      <c r="BM31" s="149"/>
      <c r="BN31" s="149"/>
      <c r="BO31" s="149"/>
      <c r="BP31" s="149"/>
      <c r="BQ31" s="149"/>
      <c r="BR31" s="149"/>
    </row>
    <row r="32" spans="2:70" ht="19.2" customHeight="1">
      <c r="B32" s="68" t="s">
        <v>395</v>
      </c>
      <c r="C32" s="145" t="s">
        <v>389</v>
      </c>
      <c r="D32" s="125" t="s">
        <v>45</v>
      </c>
      <c r="E32" s="146">
        <v>0.27500000000000002</v>
      </c>
      <c r="F32" s="147">
        <v>0.03</v>
      </c>
      <c r="G32" s="147">
        <v>-0.03</v>
      </c>
      <c r="H32" s="148" t="s">
        <v>46</v>
      </c>
      <c r="I32" s="69"/>
      <c r="J32" s="70">
        <f t="shared" si="10"/>
        <v>0.30500000000000005</v>
      </c>
      <c r="K32" s="70">
        <f t="shared" si="11"/>
        <v>0.24500000000000002</v>
      </c>
      <c r="L32" s="70">
        <v>0.30050000000000004</v>
      </c>
      <c r="M32" s="70">
        <v>0.24950000000000003</v>
      </c>
      <c r="N32" s="155"/>
      <c r="O32" s="155"/>
      <c r="P32" s="71"/>
      <c r="Q32" s="128">
        <f t="shared" si="15"/>
        <v>0</v>
      </c>
      <c r="R32" s="128">
        <f t="shared" si="16"/>
        <v>0</v>
      </c>
      <c r="S32" s="128">
        <f t="shared" si="17"/>
        <v>0</v>
      </c>
      <c r="T32" s="129">
        <f t="shared" si="18"/>
        <v>0</v>
      </c>
      <c r="U32" s="107" t="str">
        <f t="shared" si="19"/>
        <v/>
      </c>
      <c r="V32" s="108" t="str">
        <f>IF(OR($AM32="",ISNUMBER($AM32)=FALSE),"",IF(AND(#REF!="Tolerance",$E32&lt;&gt;""),($S32-$E32)/(($J32-$K32)/2),IF(AND(#REF!="GD&amp;T",$F32&lt;&gt;""),$S32/$F32,"")))</f>
        <v/>
      </c>
      <c r="W32" s="108" t="str">
        <f t="shared" si="12"/>
        <v/>
      </c>
      <c r="X32" s="107" t="str">
        <f t="shared" si="20"/>
        <v/>
      </c>
      <c r="Y32" s="107" t="str">
        <f t="shared" si="21"/>
        <v/>
      </c>
      <c r="Z32" s="107" t="str">
        <f t="shared" si="22"/>
        <v/>
      </c>
      <c r="AA32" s="72" t="str">
        <f t="shared" si="23"/>
        <v/>
      </c>
      <c r="AB32" s="73" t="e">
        <f>IF($S32="","",IF(#REF!="Tolerance",IF((#REF!*3*T32+S32)-E32&lt;F32,"",(#REF!*3*T32+S32)-E32),IF(OR(#REF!="GD&amp;T",#REF!="MAX"),IF((#REF!*3*T32+S32)&lt;F32,"",(#REF!*3*T32+S32)),"")))</f>
        <v>#REF!</v>
      </c>
      <c r="AC32" s="73" t="e">
        <f>IF(S32="","",IF(#REF!="Tolerance",IF(-((#REF!*3*T32)-S32)-E32&gt;G32,"",-((#REF!*3*T32)-S32)-E32),IF(#REF!="MIN",IF(-((#REF!*3*T32)-S32)&gt;G32,"",-((#REF!*3*T32)-S32)),"")))</f>
        <v>#REF!</v>
      </c>
      <c r="AD32" s="73">
        <f t="shared" si="24"/>
        <v>0.27500000000000002</v>
      </c>
      <c r="AE32" s="73" t="str">
        <f t="shared" si="9"/>
        <v/>
      </c>
      <c r="AF32" s="109"/>
      <c r="AG32" s="110" t="str">
        <f t="shared" si="14"/>
        <v/>
      </c>
      <c r="AH32" s="164" t="str" cm="1">
        <f t="array" ref="AH32">IF(AND(AM32:BR32 &gt;= K32, AM32:BR32 &lt;= J32), "OK", "NG")</f>
        <v>NG</v>
      </c>
      <c r="AI32" s="74"/>
      <c r="AJ32" s="74"/>
      <c r="AK32" s="75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  <c r="BI32" s="149"/>
      <c r="BJ32" s="149"/>
      <c r="BK32" s="149"/>
      <c r="BL32" s="149"/>
      <c r="BM32" s="149"/>
      <c r="BN32" s="149"/>
      <c r="BO32" s="149"/>
      <c r="BP32" s="149"/>
      <c r="BQ32" s="149"/>
      <c r="BR32" s="149"/>
    </row>
    <row r="33" spans="2:70" ht="19.2" customHeight="1">
      <c r="B33" s="68" t="s">
        <v>395</v>
      </c>
      <c r="C33" s="145" t="s">
        <v>390</v>
      </c>
      <c r="D33" s="125" t="s">
        <v>45</v>
      </c>
      <c r="E33" s="146">
        <v>0.27500000000000002</v>
      </c>
      <c r="F33" s="147">
        <v>0.03</v>
      </c>
      <c r="G33" s="147">
        <v>-0.03</v>
      </c>
      <c r="H33" s="148" t="s">
        <v>46</v>
      </c>
      <c r="I33" s="69"/>
      <c r="J33" s="70">
        <f t="shared" si="10"/>
        <v>0.30500000000000005</v>
      </c>
      <c r="K33" s="70">
        <f t="shared" si="11"/>
        <v>0.24500000000000002</v>
      </c>
      <c r="L33" s="70">
        <v>0.30050000000000004</v>
      </c>
      <c r="M33" s="70">
        <v>0.24950000000000003</v>
      </c>
      <c r="N33" s="155"/>
      <c r="O33" s="155"/>
      <c r="P33" s="71"/>
      <c r="Q33" s="128">
        <f t="shared" si="15"/>
        <v>0</v>
      </c>
      <c r="R33" s="128">
        <f t="shared" si="16"/>
        <v>0</v>
      </c>
      <c r="S33" s="128">
        <f t="shared" si="17"/>
        <v>0</v>
      </c>
      <c r="T33" s="129">
        <f t="shared" si="18"/>
        <v>0</v>
      </c>
      <c r="U33" s="107" t="str">
        <f t="shared" si="19"/>
        <v/>
      </c>
      <c r="V33" s="108" t="str">
        <f>IF(OR($AM33="",ISNUMBER($AM33)=FALSE),"",IF(AND(#REF!="Tolerance",$E33&lt;&gt;""),($S33-$E33)/(($J33-$K33)/2),IF(AND(#REF!="GD&amp;T",$F33&lt;&gt;""),$S33/$F33,"")))</f>
        <v/>
      </c>
      <c r="W33" s="108" t="str">
        <f t="shared" si="12"/>
        <v/>
      </c>
      <c r="X33" s="107" t="str">
        <f t="shared" si="20"/>
        <v/>
      </c>
      <c r="Y33" s="107" t="str">
        <f t="shared" si="21"/>
        <v/>
      </c>
      <c r="Z33" s="107" t="str">
        <f t="shared" si="22"/>
        <v/>
      </c>
      <c r="AA33" s="72" t="str">
        <f t="shared" si="23"/>
        <v/>
      </c>
      <c r="AB33" s="73" t="e">
        <f>IF($S33="","",IF(#REF!="Tolerance",IF((#REF!*3*T33+S33)-E33&lt;F33,"",(#REF!*3*T33+S33)-E33),IF(OR(#REF!="GD&amp;T",#REF!="MAX"),IF((#REF!*3*T33+S33)&lt;F33,"",(#REF!*3*T33+S33)),"")))</f>
        <v>#REF!</v>
      </c>
      <c r="AC33" s="73" t="e">
        <f>IF(S33="","",IF(#REF!="Tolerance",IF(-((#REF!*3*T33)-S33)-E33&gt;G33,"",-((#REF!*3*T33)-S33)-E33),IF(#REF!="MIN",IF(-((#REF!*3*T33)-S33)&gt;G33,"",-((#REF!*3*T33)-S33)),"")))</f>
        <v>#REF!</v>
      </c>
      <c r="AD33" s="73">
        <f t="shared" si="24"/>
        <v>0.27500000000000002</v>
      </c>
      <c r="AE33" s="73" t="str">
        <f t="shared" si="9"/>
        <v/>
      </c>
      <c r="AF33" s="109"/>
      <c r="AG33" s="110" t="str">
        <f t="shared" si="14"/>
        <v/>
      </c>
      <c r="AH33" s="164" t="str" cm="1">
        <f t="array" ref="AH33">IF(AND(AM33:BR33 &gt;= K33, AM33:BR33 &lt;= J33), "OK", "NG")</f>
        <v>NG</v>
      </c>
      <c r="AI33" s="74"/>
      <c r="AJ33" s="74"/>
      <c r="AK33" s="75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  <c r="BN33" s="149"/>
      <c r="BO33" s="149"/>
      <c r="BP33" s="149"/>
      <c r="BQ33" s="149"/>
      <c r="BR33" s="149"/>
    </row>
    <row r="34" spans="2:70" ht="19.2" customHeight="1">
      <c r="B34" s="68" t="s">
        <v>395</v>
      </c>
      <c r="C34" s="145" t="s">
        <v>391</v>
      </c>
      <c r="D34" s="125" t="s">
        <v>45</v>
      </c>
      <c r="E34" s="146">
        <v>0.27500000000000002</v>
      </c>
      <c r="F34" s="147">
        <v>0.03</v>
      </c>
      <c r="G34" s="147">
        <v>-0.03</v>
      </c>
      <c r="H34" s="148" t="s">
        <v>46</v>
      </c>
      <c r="I34" s="69"/>
      <c r="J34" s="70">
        <f t="shared" si="10"/>
        <v>0.30500000000000005</v>
      </c>
      <c r="K34" s="70">
        <f t="shared" si="11"/>
        <v>0.24500000000000002</v>
      </c>
      <c r="L34" s="70">
        <v>0.30050000000000004</v>
      </c>
      <c r="M34" s="70">
        <v>0.24950000000000003</v>
      </c>
      <c r="N34" s="155"/>
      <c r="O34" s="155"/>
      <c r="P34" s="71"/>
      <c r="Q34" s="128">
        <f t="shared" si="15"/>
        <v>0</v>
      </c>
      <c r="R34" s="128">
        <f t="shared" si="16"/>
        <v>0</v>
      </c>
      <c r="S34" s="128">
        <f t="shared" si="17"/>
        <v>0</v>
      </c>
      <c r="T34" s="129">
        <f t="shared" si="18"/>
        <v>0</v>
      </c>
      <c r="U34" s="107" t="str">
        <f t="shared" si="19"/>
        <v/>
      </c>
      <c r="V34" s="108" t="str">
        <f>IF(OR($AM34="",ISNUMBER($AM34)=FALSE),"",IF(AND(#REF!="Tolerance",$E34&lt;&gt;""),($S34-$E34)/(($J34-$K34)/2),IF(AND(#REF!="GD&amp;T",$F34&lt;&gt;""),$S34/$F34,"")))</f>
        <v/>
      </c>
      <c r="W34" s="108" t="str">
        <f t="shared" si="12"/>
        <v/>
      </c>
      <c r="X34" s="107" t="str">
        <f t="shared" si="20"/>
        <v/>
      </c>
      <c r="Y34" s="107" t="str">
        <f t="shared" si="21"/>
        <v/>
      </c>
      <c r="Z34" s="107" t="str">
        <f t="shared" si="22"/>
        <v/>
      </c>
      <c r="AA34" s="72" t="str">
        <f t="shared" si="23"/>
        <v/>
      </c>
      <c r="AB34" s="73" t="e">
        <f>IF($S34="","",IF(#REF!="Tolerance",IF((#REF!*3*T34+S34)-E34&lt;F34,"",(#REF!*3*T34+S34)-E34),IF(OR(#REF!="GD&amp;T",#REF!="MAX"),IF((#REF!*3*T34+S34)&lt;F34,"",(#REF!*3*T34+S34)),"")))</f>
        <v>#REF!</v>
      </c>
      <c r="AC34" s="73" t="e">
        <f>IF(S34="","",IF(#REF!="Tolerance",IF(-((#REF!*3*T34)-S34)-E34&gt;G34,"",-((#REF!*3*T34)-S34)-E34),IF(#REF!="MIN",IF(-((#REF!*3*T34)-S34)&gt;G34,"",-((#REF!*3*T34)-S34)),"")))</f>
        <v>#REF!</v>
      </c>
      <c r="AD34" s="73">
        <f t="shared" si="24"/>
        <v>0.27500000000000002</v>
      </c>
      <c r="AE34" s="73" t="str">
        <f t="shared" si="9"/>
        <v/>
      </c>
      <c r="AF34" s="109"/>
      <c r="AG34" s="110" t="str">
        <f t="shared" si="14"/>
        <v/>
      </c>
      <c r="AH34" s="164" t="str" cm="1">
        <f t="array" ref="AH34">IF(AND(AM34:BR34 &gt;= K34, AM34:BR34 &lt;= J34), "OK", "NG")</f>
        <v>NG</v>
      </c>
      <c r="AI34" s="74"/>
      <c r="AJ34" s="74"/>
      <c r="AK34" s="75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  <c r="BN34" s="149"/>
      <c r="BO34" s="149"/>
      <c r="BP34" s="149"/>
      <c r="BQ34" s="149"/>
      <c r="BR34" s="149"/>
    </row>
    <row r="35" spans="2:70" ht="19.2" customHeight="1">
      <c r="B35" s="68" t="s">
        <v>395</v>
      </c>
      <c r="C35" s="145" t="s">
        <v>392</v>
      </c>
      <c r="D35" s="125" t="s">
        <v>45</v>
      </c>
      <c r="E35" s="146">
        <v>0.27500000000000002</v>
      </c>
      <c r="F35" s="147">
        <v>0.03</v>
      </c>
      <c r="G35" s="147">
        <v>-0.03</v>
      </c>
      <c r="H35" s="148" t="s">
        <v>46</v>
      </c>
      <c r="I35" s="69"/>
      <c r="J35" s="70">
        <f t="shared" si="10"/>
        <v>0.30500000000000005</v>
      </c>
      <c r="K35" s="70">
        <f t="shared" si="11"/>
        <v>0.24500000000000002</v>
      </c>
      <c r="L35" s="70">
        <v>0.30050000000000004</v>
      </c>
      <c r="M35" s="70">
        <v>0.24950000000000003</v>
      </c>
      <c r="N35" s="155"/>
      <c r="O35" s="155"/>
      <c r="P35" s="71"/>
      <c r="Q35" s="128">
        <f t="shared" si="15"/>
        <v>0</v>
      </c>
      <c r="R35" s="128">
        <f t="shared" si="16"/>
        <v>0</v>
      </c>
      <c r="S35" s="128">
        <f t="shared" si="17"/>
        <v>0</v>
      </c>
      <c r="T35" s="129">
        <f t="shared" si="18"/>
        <v>0</v>
      </c>
      <c r="U35" s="107" t="str">
        <f t="shared" si="19"/>
        <v/>
      </c>
      <c r="V35" s="108" t="str">
        <f>IF(OR($AM35="",ISNUMBER($AM35)=FALSE),"",IF(AND(#REF!="Tolerance",$E35&lt;&gt;""),($S35-$E35)/(($J35-$K35)/2),IF(AND(#REF!="GD&amp;T",$F35&lt;&gt;""),$S35/$F35,"")))</f>
        <v/>
      </c>
      <c r="W35" s="108" t="str">
        <f t="shared" si="12"/>
        <v/>
      </c>
      <c r="X35" s="107" t="str">
        <f t="shared" si="20"/>
        <v/>
      </c>
      <c r="Y35" s="107" t="str">
        <f t="shared" si="21"/>
        <v/>
      </c>
      <c r="Z35" s="107" t="str">
        <f t="shared" si="22"/>
        <v/>
      </c>
      <c r="AA35" s="72" t="str">
        <f t="shared" si="23"/>
        <v/>
      </c>
      <c r="AB35" s="73" t="e">
        <f>IF($S35="","",IF(#REF!="Tolerance",IF((#REF!*3*T35+S35)-E35&lt;F35,"",(#REF!*3*T35+S35)-E35),IF(OR(#REF!="GD&amp;T",#REF!="MAX"),IF((#REF!*3*T35+S35)&lt;F35,"",(#REF!*3*T35+S35)),"")))</f>
        <v>#REF!</v>
      </c>
      <c r="AC35" s="73" t="e">
        <f>IF(S35="","",IF(#REF!="Tolerance",IF(-((#REF!*3*T35)-S35)-E35&gt;G35,"",-((#REF!*3*T35)-S35)-E35),IF(#REF!="MIN",IF(-((#REF!*3*T35)-S35)&gt;G35,"",-((#REF!*3*T35)-S35)),"")))</f>
        <v>#REF!</v>
      </c>
      <c r="AD35" s="73">
        <f t="shared" si="24"/>
        <v>0.27500000000000002</v>
      </c>
      <c r="AE35" s="73" t="str">
        <f t="shared" si="9"/>
        <v/>
      </c>
      <c r="AF35" s="109"/>
      <c r="AG35" s="110" t="str">
        <f t="shared" si="14"/>
        <v/>
      </c>
      <c r="AH35" s="164" t="str" cm="1">
        <f t="array" ref="AH35">IF(AND(AM35:BR35 &gt;= K35, AM35:BR35 &lt;= J35), "OK", "NG")</f>
        <v>NG</v>
      </c>
      <c r="AI35" s="74"/>
      <c r="AJ35" s="74"/>
      <c r="AK35" s="75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  <c r="BN35" s="149"/>
      <c r="BO35" s="149"/>
      <c r="BP35" s="149"/>
      <c r="BQ35" s="149"/>
      <c r="BR35" s="149"/>
    </row>
    <row r="36" spans="2:70" ht="19.2" customHeight="1">
      <c r="B36" s="68" t="s">
        <v>396</v>
      </c>
      <c r="C36" s="145" t="s">
        <v>393</v>
      </c>
      <c r="D36" s="125" t="s">
        <v>45</v>
      </c>
      <c r="E36" s="146">
        <v>0.27500000000000002</v>
      </c>
      <c r="F36" s="147">
        <v>1.4999999999999999E-2</v>
      </c>
      <c r="G36" s="147">
        <v>-1.4999999999999999E-2</v>
      </c>
      <c r="H36" s="148" t="s">
        <v>46</v>
      </c>
      <c r="I36" s="69"/>
      <c r="J36" s="70">
        <f t="shared" si="10"/>
        <v>0.29000000000000004</v>
      </c>
      <c r="K36" s="70">
        <f t="shared" si="11"/>
        <v>0.26</v>
      </c>
      <c r="L36" s="70">
        <v>0.28775000000000001</v>
      </c>
      <c r="M36" s="70">
        <v>0.26225000000000004</v>
      </c>
      <c r="N36" s="155"/>
      <c r="O36" s="155"/>
      <c r="P36" s="71"/>
      <c r="Q36" s="128">
        <f t="shared" si="15"/>
        <v>0</v>
      </c>
      <c r="R36" s="128">
        <f t="shared" si="16"/>
        <v>0</v>
      </c>
      <c r="S36" s="128">
        <f t="shared" si="17"/>
        <v>0</v>
      </c>
      <c r="T36" s="129">
        <f t="shared" si="18"/>
        <v>0</v>
      </c>
      <c r="U36" s="107" t="str">
        <f t="shared" si="19"/>
        <v/>
      </c>
      <c r="V36" s="108" t="str">
        <f>IF(OR($AM36="",ISNUMBER($AM36)=FALSE),"",IF(AND(#REF!="Tolerance",$E36&lt;&gt;""),($S36-$E36)/(($J36-$K36)/2),IF(AND(#REF!="GD&amp;T",$F36&lt;&gt;""),$S36/$F36,"")))</f>
        <v/>
      </c>
      <c r="W36" s="108" t="str">
        <f t="shared" si="12"/>
        <v/>
      </c>
      <c r="X36" s="107" t="str">
        <f t="shared" si="20"/>
        <v/>
      </c>
      <c r="Y36" s="107" t="str">
        <f t="shared" si="21"/>
        <v/>
      </c>
      <c r="Z36" s="107" t="str">
        <f t="shared" si="22"/>
        <v/>
      </c>
      <c r="AA36" s="72" t="str">
        <f t="shared" si="23"/>
        <v/>
      </c>
      <c r="AB36" s="73" t="e">
        <f>IF($S36="","",IF(#REF!="Tolerance",IF((#REF!*3*T36+S36)-E36&lt;F36,"",(#REF!*3*T36+S36)-E36),IF(OR(#REF!="GD&amp;T",#REF!="MAX"),IF((#REF!*3*T36+S36)&lt;F36,"",(#REF!*3*T36+S36)),"")))</f>
        <v>#REF!</v>
      </c>
      <c r="AC36" s="73" t="e">
        <f>IF(S36="","",IF(#REF!="Tolerance",IF(-((#REF!*3*T36)-S36)-E36&gt;G36,"",-((#REF!*3*T36)-S36)-E36),IF(#REF!="MIN",IF(-((#REF!*3*T36)-S36)&gt;G36,"",-((#REF!*3*T36)-S36)),"")))</f>
        <v>#REF!</v>
      </c>
      <c r="AD36" s="73">
        <f t="shared" si="24"/>
        <v>0.27500000000000002</v>
      </c>
      <c r="AE36" s="73" t="str">
        <f t="shared" si="9"/>
        <v/>
      </c>
      <c r="AF36" s="109"/>
      <c r="AG36" s="110" t="str">
        <f t="shared" si="14"/>
        <v/>
      </c>
      <c r="AH36" s="164" t="str" cm="1">
        <f t="array" ref="AH36">IF(AND(AM36:BR36 &gt;= K36, AM36:BR36 &lt;= J36), "OK", "NG")</f>
        <v>NG</v>
      </c>
      <c r="AI36" s="74"/>
      <c r="AJ36" s="74"/>
      <c r="AK36" s="75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  <c r="BN36" s="149"/>
      <c r="BO36" s="149"/>
      <c r="BP36" s="149"/>
      <c r="BQ36" s="149"/>
      <c r="BR36" s="149"/>
    </row>
    <row r="37" spans="2:70" ht="19.2" customHeight="1">
      <c r="B37" s="68" t="s">
        <v>396</v>
      </c>
      <c r="C37" s="145" t="s">
        <v>394</v>
      </c>
      <c r="D37" s="125" t="s">
        <v>45</v>
      </c>
      <c r="E37" s="146">
        <v>0.27500000000000002</v>
      </c>
      <c r="F37" s="147">
        <v>1.4999999999999999E-2</v>
      </c>
      <c r="G37" s="147">
        <v>-1.4999999999999999E-2</v>
      </c>
      <c r="H37" s="148" t="s">
        <v>46</v>
      </c>
      <c r="I37" s="69"/>
      <c r="J37" s="70">
        <f t="shared" si="10"/>
        <v>0.29000000000000004</v>
      </c>
      <c r="K37" s="70">
        <f t="shared" si="11"/>
        <v>0.26</v>
      </c>
      <c r="L37" s="70">
        <v>0.28775000000000001</v>
      </c>
      <c r="M37" s="70">
        <v>0.26225000000000004</v>
      </c>
      <c r="N37" s="155"/>
      <c r="O37" s="155"/>
      <c r="P37" s="71"/>
      <c r="Q37" s="128">
        <f t="shared" si="15"/>
        <v>0</v>
      </c>
      <c r="R37" s="128">
        <f t="shared" si="16"/>
        <v>0</v>
      </c>
      <c r="S37" s="128">
        <f t="shared" si="17"/>
        <v>0</v>
      </c>
      <c r="T37" s="129">
        <f t="shared" si="18"/>
        <v>0</v>
      </c>
      <c r="U37" s="107" t="str">
        <f t="shared" si="19"/>
        <v/>
      </c>
      <c r="V37" s="108" t="str">
        <f>IF(OR($AM37="",ISNUMBER($AM37)=FALSE),"",IF(AND(#REF!="Tolerance",$E37&lt;&gt;""),($S37-$E37)/(($J37-$K37)/2),IF(AND(#REF!="GD&amp;T",$F37&lt;&gt;""),$S37/$F37,"")))</f>
        <v/>
      </c>
      <c r="W37" s="108" t="str">
        <f t="shared" si="12"/>
        <v/>
      </c>
      <c r="X37" s="107" t="str">
        <f t="shared" si="20"/>
        <v/>
      </c>
      <c r="Y37" s="107" t="str">
        <f t="shared" si="21"/>
        <v/>
      </c>
      <c r="Z37" s="107" t="str">
        <f t="shared" si="22"/>
        <v/>
      </c>
      <c r="AA37" s="72" t="str">
        <f t="shared" si="23"/>
        <v/>
      </c>
      <c r="AB37" s="73" t="e">
        <f>IF($S37="","",IF(#REF!="Tolerance",IF((#REF!*3*T37+S37)-E37&lt;F37,"",(#REF!*3*T37+S37)-E37),IF(OR(#REF!="GD&amp;T",#REF!="MAX"),IF((#REF!*3*T37+S37)&lt;F37,"",(#REF!*3*T37+S37)),"")))</f>
        <v>#REF!</v>
      </c>
      <c r="AC37" s="73" t="e">
        <f>IF(S37="","",IF(#REF!="Tolerance",IF(-((#REF!*3*T37)-S37)-E37&gt;G37,"",-((#REF!*3*T37)-S37)-E37),IF(#REF!="MIN",IF(-((#REF!*3*T37)-S37)&gt;G37,"",-((#REF!*3*T37)-S37)),"")))</f>
        <v>#REF!</v>
      </c>
      <c r="AD37" s="73">
        <f t="shared" si="24"/>
        <v>0.27500000000000002</v>
      </c>
      <c r="AE37" s="73" t="str">
        <f t="shared" si="9"/>
        <v/>
      </c>
      <c r="AF37" s="109"/>
      <c r="AG37" s="110" t="str">
        <f t="shared" si="14"/>
        <v/>
      </c>
      <c r="AH37" s="164" t="str" cm="1">
        <f t="array" ref="AH37">IF(AND(AM37:BR37 &gt;= K37, AM37:BR37 &lt;= J37), "OK", "NG")</f>
        <v>NG</v>
      </c>
      <c r="AI37" s="74"/>
      <c r="AJ37" s="74"/>
      <c r="AK37" s="75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  <c r="BP37" s="149"/>
      <c r="BQ37" s="149"/>
      <c r="BR37" s="149"/>
    </row>
    <row r="38" spans="2:70" ht="19.2" customHeight="1">
      <c r="B38" s="68" t="s">
        <v>88</v>
      </c>
      <c r="C38" s="101" t="s">
        <v>145</v>
      </c>
      <c r="D38" s="125" t="s">
        <v>45</v>
      </c>
      <c r="E38" s="126">
        <v>8.3719999999999999</v>
      </c>
      <c r="F38" s="127">
        <v>0.03</v>
      </c>
      <c r="G38" s="127">
        <v>-0.03</v>
      </c>
      <c r="H38" s="106" t="s">
        <v>46</v>
      </c>
      <c r="I38" s="69"/>
      <c r="J38" s="70">
        <f t="shared" si="10"/>
        <v>8.4019999999999992</v>
      </c>
      <c r="K38" s="70">
        <f t="shared" si="11"/>
        <v>8.3420000000000005</v>
      </c>
      <c r="L38" s="70">
        <v>8.3974999999999991</v>
      </c>
      <c r="M38" s="70">
        <v>8.3465000000000007</v>
      </c>
      <c r="N38" s="155"/>
      <c r="O38" s="155"/>
      <c r="P38" s="71"/>
      <c r="Q38" s="128">
        <f t="shared" si="0"/>
        <v>0</v>
      </c>
      <c r="R38" s="128">
        <f t="shared" si="1"/>
        <v>0</v>
      </c>
      <c r="S38" s="128">
        <f t="shared" si="2"/>
        <v>0</v>
      </c>
      <c r="T38" s="129">
        <f t="shared" si="3"/>
        <v>0</v>
      </c>
      <c r="U38" s="107" t="str">
        <f t="shared" si="4"/>
        <v/>
      </c>
      <c r="V38" s="108" t="str">
        <f>IF(OR($AM38="",ISNUMBER($AM38)=FALSE),"",IF(AND(#REF!="Tolerance",$E38&lt;&gt;""),($S38-$E38)/(($J38-$K38)/2),IF(AND(#REF!="GD&amp;T",$F38&lt;&gt;""),$S38/$F38,"")))</f>
        <v/>
      </c>
      <c r="W38" s="108" t="str">
        <f t="shared" si="12"/>
        <v/>
      </c>
      <c r="X38" s="107" t="str">
        <f t="shared" si="5"/>
        <v/>
      </c>
      <c r="Y38" s="107" t="str">
        <f t="shared" si="6"/>
        <v/>
      </c>
      <c r="Z38" s="107" t="str">
        <f t="shared" si="7"/>
        <v/>
      </c>
      <c r="AA38" s="72" t="str">
        <f t="shared" si="8"/>
        <v/>
      </c>
      <c r="AB38" s="73" t="e">
        <f>IF($S38="","",IF(#REF!="Tolerance",IF((#REF!*3*T38+S38)-E38&lt;F38,"",(#REF!*3*T38+S38)-E38),IF(OR(#REF!="GD&amp;T",#REF!="MAX"),IF((#REF!*3*T38+S38)&lt;F38,"",(#REF!*3*T38+S38)),"")))</f>
        <v>#REF!</v>
      </c>
      <c r="AC38" s="73" t="e">
        <f>IF(S38="","",IF(#REF!="Tolerance",IF(-((#REF!*3*T38)-S38)-E38&gt;G38,"",-((#REF!*3*T38)-S38)-E38),IF(#REF!="MIN",IF(-((#REF!*3*T38)-S38)&gt;G38,"",-((#REF!*3*T38)-S38)),"")))</f>
        <v>#REF!</v>
      </c>
      <c r="AD38" s="73">
        <f t="shared" si="13"/>
        <v>8.3719999999999999</v>
      </c>
      <c r="AE38" s="73" t="str">
        <f t="shared" si="9"/>
        <v/>
      </c>
      <c r="AF38" s="109"/>
      <c r="AG38" s="110" t="str">
        <f t="shared" si="14"/>
        <v/>
      </c>
      <c r="AH38" s="164" t="str" cm="1">
        <f t="array" ref="AH38">IF(AND(AM38:BR38 &gt;= K38, AM38:BR38 &lt;= J38), "OK", "NG")</f>
        <v>NG</v>
      </c>
      <c r="AI38" s="74"/>
      <c r="AJ38" s="74"/>
      <c r="AK38" s="75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  <c r="BN38" s="149"/>
      <c r="BO38" s="149"/>
      <c r="BP38" s="149"/>
      <c r="BQ38" s="149"/>
      <c r="BR38" s="149"/>
    </row>
    <row r="39" spans="2:70" ht="19.2" customHeight="1">
      <c r="B39" s="68" t="s">
        <v>88</v>
      </c>
      <c r="C39" s="101" t="s">
        <v>146</v>
      </c>
      <c r="D39" s="125" t="s">
        <v>45</v>
      </c>
      <c r="E39" s="126">
        <v>8.3719999999999999</v>
      </c>
      <c r="F39" s="127">
        <v>0.03</v>
      </c>
      <c r="G39" s="127">
        <v>-0.03</v>
      </c>
      <c r="H39" s="106" t="s">
        <v>46</v>
      </c>
      <c r="I39" s="69"/>
      <c r="J39" s="70">
        <f t="shared" si="10"/>
        <v>8.4019999999999992</v>
      </c>
      <c r="K39" s="70">
        <f t="shared" si="11"/>
        <v>8.3420000000000005</v>
      </c>
      <c r="L39" s="70">
        <v>8.3974999999999991</v>
      </c>
      <c r="M39" s="70">
        <v>8.3465000000000007</v>
      </c>
      <c r="N39" s="155"/>
      <c r="O39" s="155"/>
      <c r="P39" s="71"/>
      <c r="Q39" s="128">
        <f t="shared" si="0"/>
        <v>0</v>
      </c>
      <c r="R39" s="128">
        <f t="shared" si="1"/>
        <v>0</v>
      </c>
      <c r="S39" s="128">
        <f t="shared" si="2"/>
        <v>0</v>
      </c>
      <c r="T39" s="129">
        <f t="shared" si="3"/>
        <v>0</v>
      </c>
      <c r="U39" s="107" t="str">
        <f t="shared" si="4"/>
        <v/>
      </c>
      <c r="V39" s="108" t="str">
        <f>IF(OR($AM39="",ISNUMBER($AM39)=FALSE),"",IF(AND(#REF!="Tolerance",$E39&lt;&gt;""),($S39-$E39)/(($J39-$K39)/2),IF(AND(#REF!="GD&amp;T",$F39&lt;&gt;""),$S39/$F39,"")))</f>
        <v/>
      </c>
      <c r="W39" s="108" t="str">
        <f t="shared" si="12"/>
        <v/>
      </c>
      <c r="X39" s="107" t="str">
        <f t="shared" si="5"/>
        <v/>
      </c>
      <c r="Y39" s="107" t="str">
        <f t="shared" si="6"/>
        <v/>
      </c>
      <c r="Z39" s="107" t="str">
        <f t="shared" si="7"/>
        <v/>
      </c>
      <c r="AA39" s="72" t="str">
        <f t="shared" si="8"/>
        <v/>
      </c>
      <c r="AB39" s="73" t="e">
        <f>IF($S39="","",IF(#REF!="Tolerance",IF((#REF!*3*T39+S39)-E39&lt;F39,"",(#REF!*3*T39+S39)-E39),IF(OR(#REF!="GD&amp;T",#REF!="MAX"),IF((#REF!*3*T39+S39)&lt;F39,"",(#REF!*3*T39+S39)),"")))</f>
        <v>#REF!</v>
      </c>
      <c r="AC39" s="73" t="e">
        <f>IF(S39="","",IF(#REF!="Tolerance",IF(-((#REF!*3*T39)-S39)-E39&gt;G39,"",-((#REF!*3*T39)-S39)-E39),IF(#REF!="MIN",IF(-((#REF!*3*T39)-S39)&gt;G39,"",-((#REF!*3*T39)-S39)),"")))</f>
        <v>#REF!</v>
      </c>
      <c r="AD39" s="73">
        <f t="shared" si="13"/>
        <v>8.3719999999999999</v>
      </c>
      <c r="AE39" s="73" t="str">
        <f t="shared" si="9"/>
        <v/>
      </c>
      <c r="AF39" s="109"/>
      <c r="AG39" s="110" t="str">
        <f t="shared" si="14"/>
        <v/>
      </c>
      <c r="AH39" s="164" t="str" cm="1">
        <f t="array" ref="AH39">IF(AND(AM39:BR39 &gt;= K39, AM39:BR39 &lt;= J39), "OK", "NG")</f>
        <v>NG</v>
      </c>
      <c r="AI39" s="74"/>
      <c r="AJ39" s="74"/>
      <c r="AK39" s="75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  <c r="BP39" s="149"/>
      <c r="BQ39" s="149"/>
      <c r="BR39" s="149"/>
    </row>
    <row r="40" spans="2:70" ht="19.2" customHeight="1">
      <c r="B40" s="68" t="s">
        <v>345</v>
      </c>
      <c r="C40" s="101">
        <v>29</v>
      </c>
      <c r="D40" s="125" t="s">
        <v>45</v>
      </c>
      <c r="E40" s="126">
        <v>9.6820000000000004</v>
      </c>
      <c r="F40" s="127">
        <v>0.03</v>
      </c>
      <c r="G40" s="127">
        <v>-0.03</v>
      </c>
      <c r="H40" s="106" t="s">
        <v>46</v>
      </c>
      <c r="I40" s="69"/>
      <c r="J40" s="70">
        <f t="shared" si="10"/>
        <v>9.7119999999999997</v>
      </c>
      <c r="K40" s="70">
        <f t="shared" si="11"/>
        <v>9.652000000000001</v>
      </c>
      <c r="L40" s="70">
        <v>9.7074999999999996</v>
      </c>
      <c r="M40" s="70">
        <v>9.6565000000000012</v>
      </c>
      <c r="N40" s="155"/>
      <c r="O40" s="155"/>
      <c r="P40" s="71"/>
      <c r="Q40" s="128">
        <f t="shared" si="0"/>
        <v>0</v>
      </c>
      <c r="R40" s="128">
        <f t="shared" si="1"/>
        <v>0</v>
      </c>
      <c r="S40" s="128">
        <f t="shared" si="2"/>
        <v>0</v>
      </c>
      <c r="T40" s="129">
        <f t="shared" si="3"/>
        <v>0</v>
      </c>
      <c r="U40" s="107" t="str">
        <f t="shared" si="4"/>
        <v/>
      </c>
      <c r="V40" s="108" t="str">
        <f>IF(OR($AM40="",ISNUMBER($AM40)=FALSE),"",IF(AND(#REF!="Tolerance",$E40&lt;&gt;""),($S40-$E40)/(($J40-$K40)/2),IF(AND(#REF!="GD&amp;T",$F40&lt;&gt;""),$S40/$F40,"")))</f>
        <v/>
      </c>
      <c r="W40" s="108" t="str">
        <f t="shared" si="12"/>
        <v/>
      </c>
      <c r="X40" s="107" t="str">
        <f t="shared" si="5"/>
        <v/>
      </c>
      <c r="Y40" s="107" t="str">
        <f t="shared" si="6"/>
        <v/>
      </c>
      <c r="Z40" s="107" t="str">
        <f t="shared" si="7"/>
        <v/>
      </c>
      <c r="AA40" s="72" t="str">
        <f t="shared" si="8"/>
        <v/>
      </c>
      <c r="AB40" s="73" t="e">
        <f>IF($S40="","",IF(#REF!="Tolerance",IF((#REF!*3*T40+S40)-E40&lt;F40,"",(#REF!*3*T40+S40)-E40),IF(OR(#REF!="GD&amp;T",#REF!="MAX"),IF((#REF!*3*T40+S40)&lt;F40,"",(#REF!*3*T40+S40)),"")))</f>
        <v>#REF!</v>
      </c>
      <c r="AC40" s="73" t="e">
        <f>IF(S40="","",IF(#REF!="Tolerance",IF(-((#REF!*3*T40)-S40)-E40&gt;G40,"",-((#REF!*3*T40)-S40)-E40),IF(#REF!="MIN",IF(-((#REF!*3*T40)-S40)&gt;G40,"",-((#REF!*3*T40)-S40)),"")))</f>
        <v>#REF!</v>
      </c>
      <c r="AD40" s="73">
        <f t="shared" si="13"/>
        <v>9.6820000000000004</v>
      </c>
      <c r="AE40" s="73" t="str">
        <f t="shared" si="9"/>
        <v/>
      </c>
      <c r="AF40" s="109"/>
      <c r="AG40" s="110" t="str">
        <f t="shared" si="14"/>
        <v/>
      </c>
      <c r="AH40" s="164" t="str" cm="1">
        <f t="array" ref="AH40">IF(AND(AM40:BR40 &gt;= K40, AM40:BR40 &lt;= J40), "OK", "NG")</f>
        <v>NG</v>
      </c>
      <c r="AI40" s="74"/>
      <c r="AJ40" s="74"/>
      <c r="AK40" s="75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  <c r="BM40" s="149"/>
      <c r="BN40" s="149"/>
      <c r="BO40" s="149"/>
      <c r="BP40" s="149"/>
      <c r="BQ40" s="149"/>
      <c r="BR40" s="149"/>
    </row>
    <row r="41" spans="2:70" ht="19.2" customHeight="1">
      <c r="B41" s="68" t="s">
        <v>276</v>
      </c>
      <c r="C41" s="101">
        <v>30</v>
      </c>
      <c r="D41" s="125" t="s">
        <v>45</v>
      </c>
      <c r="E41" s="126">
        <v>24.37</v>
      </c>
      <c r="F41" s="127">
        <v>0.03</v>
      </c>
      <c r="G41" s="127">
        <v>-0.03</v>
      </c>
      <c r="H41" s="106" t="s">
        <v>46</v>
      </c>
      <c r="I41" s="69"/>
      <c r="J41" s="70">
        <f t="shared" si="10"/>
        <v>24.400000000000002</v>
      </c>
      <c r="K41" s="70">
        <f t="shared" si="11"/>
        <v>24.34</v>
      </c>
      <c r="L41" s="70">
        <v>24.395500000000002</v>
      </c>
      <c r="M41" s="70">
        <v>24.3445</v>
      </c>
      <c r="N41" s="155"/>
      <c r="O41" s="155"/>
      <c r="P41" s="71"/>
      <c r="Q41" s="128">
        <f t="shared" si="0"/>
        <v>0</v>
      </c>
      <c r="R41" s="128">
        <f t="shared" si="1"/>
        <v>0</v>
      </c>
      <c r="S41" s="128">
        <f t="shared" si="2"/>
        <v>0</v>
      </c>
      <c r="T41" s="129">
        <f t="shared" si="3"/>
        <v>0</v>
      </c>
      <c r="U41" s="107" t="str">
        <f t="shared" si="4"/>
        <v/>
      </c>
      <c r="V41" s="108" t="str">
        <f>IF(OR($AM41="",ISNUMBER($AM41)=FALSE),"",IF(AND(#REF!="Tolerance",$E41&lt;&gt;""),($S41-$E41)/(($J41-$K41)/2),IF(AND(#REF!="GD&amp;T",$F41&lt;&gt;""),$S41/$F41,"")))</f>
        <v/>
      </c>
      <c r="W41" s="108" t="str">
        <f t="shared" si="12"/>
        <v/>
      </c>
      <c r="X41" s="107" t="str">
        <f t="shared" si="5"/>
        <v/>
      </c>
      <c r="Y41" s="107" t="str">
        <f t="shared" si="6"/>
        <v/>
      </c>
      <c r="Z41" s="107" t="str">
        <f t="shared" si="7"/>
        <v/>
      </c>
      <c r="AA41" s="72" t="str">
        <f t="shared" si="8"/>
        <v/>
      </c>
      <c r="AB41" s="73" t="e">
        <f>IF($S41="","",IF(#REF!="Tolerance",IF((#REF!*3*T41+S41)-E41&lt;F41,"",(#REF!*3*T41+S41)-E41),IF(OR(#REF!="GD&amp;T",#REF!="MAX"),IF((#REF!*3*T41+S41)&lt;F41,"",(#REF!*3*T41+S41)),"")))</f>
        <v>#REF!</v>
      </c>
      <c r="AC41" s="73" t="e">
        <f>IF(S41="","",IF(#REF!="Tolerance",IF(-((#REF!*3*T41)-S41)-E41&gt;G41,"",-((#REF!*3*T41)-S41)-E41),IF(#REF!="MIN",IF(-((#REF!*3*T41)-S41)&gt;G41,"",-((#REF!*3*T41)-S41)),"")))</f>
        <v>#REF!</v>
      </c>
      <c r="AD41" s="73">
        <f t="shared" si="13"/>
        <v>24.37</v>
      </c>
      <c r="AE41" s="73" t="str">
        <f t="shared" si="9"/>
        <v/>
      </c>
      <c r="AF41" s="109"/>
      <c r="AG41" s="110" t="str">
        <f t="shared" si="14"/>
        <v/>
      </c>
      <c r="AH41" s="164" t="str" cm="1">
        <f t="array" ref="AH41">IF(AND(AM41:BR41 &gt;= K41, AM41:BR41 &lt;= J41), "OK", "NG")</f>
        <v>NG</v>
      </c>
      <c r="AI41" s="74"/>
      <c r="AJ41" s="74"/>
      <c r="AK41" s="75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  <c r="BN41" s="149"/>
      <c r="BO41" s="149"/>
      <c r="BP41" s="149"/>
      <c r="BQ41" s="149"/>
      <c r="BR41" s="149"/>
    </row>
    <row r="42" spans="2:70" ht="19.2" customHeight="1">
      <c r="B42" s="68" t="s">
        <v>91</v>
      </c>
      <c r="C42" s="101">
        <v>31</v>
      </c>
      <c r="D42" s="125" t="s">
        <v>45</v>
      </c>
      <c r="E42" s="126">
        <v>22.236000000000001</v>
      </c>
      <c r="F42" s="127">
        <v>0.03</v>
      </c>
      <c r="G42" s="127">
        <v>-0.03</v>
      </c>
      <c r="H42" s="106" t="s">
        <v>46</v>
      </c>
      <c r="I42" s="69"/>
      <c r="J42" s="70">
        <f t="shared" si="10"/>
        <v>22.266000000000002</v>
      </c>
      <c r="K42" s="70">
        <f t="shared" si="11"/>
        <v>22.206</v>
      </c>
      <c r="L42" s="70">
        <v>22.261500000000002</v>
      </c>
      <c r="M42" s="70">
        <v>22.2105</v>
      </c>
      <c r="N42" s="155"/>
      <c r="O42" s="155"/>
      <c r="P42" s="71"/>
      <c r="Q42" s="128">
        <f t="shared" si="0"/>
        <v>0</v>
      </c>
      <c r="R42" s="128">
        <f t="shared" si="1"/>
        <v>0</v>
      </c>
      <c r="S42" s="128">
        <f t="shared" si="2"/>
        <v>0</v>
      </c>
      <c r="T42" s="129">
        <f t="shared" si="3"/>
        <v>0</v>
      </c>
      <c r="U42" s="107" t="str">
        <f t="shared" si="4"/>
        <v/>
      </c>
      <c r="V42" s="108" t="str">
        <f>IF(OR($AM42="",ISNUMBER($AM42)=FALSE),"",IF(AND(#REF!="Tolerance",$E42&lt;&gt;""),($S42-$E42)/(($J42-$K42)/2),IF(AND(#REF!="GD&amp;T",$F42&lt;&gt;""),$S42/$F42,"")))</f>
        <v/>
      </c>
      <c r="W42" s="108" t="str">
        <f t="shared" si="12"/>
        <v/>
      </c>
      <c r="X42" s="107" t="str">
        <f t="shared" si="5"/>
        <v/>
      </c>
      <c r="Y42" s="107" t="str">
        <f t="shared" si="6"/>
        <v/>
      </c>
      <c r="Z42" s="107" t="str">
        <f t="shared" si="7"/>
        <v/>
      </c>
      <c r="AA42" s="72" t="str">
        <f t="shared" si="8"/>
        <v/>
      </c>
      <c r="AB42" s="73" t="e">
        <f>IF($S42="","",IF(#REF!="Tolerance",IF((#REF!*3*T42+S42)-E42&lt;F42,"",(#REF!*3*T42+S42)-E42),IF(OR(#REF!="GD&amp;T",#REF!="MAX"),IF((#REF!*3*T42+S42)&lt;F42,"",(#REF!*3*T42+S42)),"")))</f>
        <v>#REF!</v>
      </c>
      <c r="AC42" s="73" t="e">
        <f>IF(S42="","",IF(#REF!="Tolerance",IF(-((#REF!*3*T42)-S42)-E42&gt;G42,"",-((#REF!*3*T42)-S42)-E42),IF(#REF!="MIN",IF(-((#REF!*3*T42)-S42)&gt;G42,"",-((#REF!*3*T42)-S42)),"")))</f>
        <v>#REF!</v>
      </c>
      <c r="AD42" s="73">
        <f t="shared" si="13"/>
        <v>22.236000000000001</v>
      </c>
      <c r="AE42" s="73" t="str">
        <f t="shared" si="9"/>
        <v/>
      </c>
      <c r="AF42" s="109"/>
      <c r="AG42" s="110" t="str">
        <f t="shared" si="14"/>
        <v/>
      </c>
      <c r="AH42" s="164" t="str" cm="1">
        <f t="array" ref="AH42">IF(AND(AM42:BR42 &gt;= K42, AM42:BR42 &lt;= J42), "OK", "NG")</f>
        <v>NG</v>
      </c>
      <c r="AI42" s="74"/>
      <c r="AJ42" s="74"/>
      <c r="AK42" s="75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  <c r="BM42" s="149"/>
      <c r="BN42" s="149"/>
      <c r="BO42" s="149"/>
      <c r="BP42" s="149"/>
      <c r="BQ42" s="149"/>
      <c r="BR42" s="149"/>
    </row>
    <row r="43" spans="2:70" ht="19.2" customHeight="1">
      <c r="B43" s="68" t="s">
        <v>277</v>
      </c>
      <c r="C43" s="101" t="s">
        <v>147</v>
      </c>
      <c r="D43" s="125" t="s">
        <v>45</v>
      </c>
      <c r="E43" s="126">
        <v>23.802</v>
      </c>
      <c r="F43" s="127">
        <v>0.03</v>
      </c>
      <c r="G43" s="127">
        <v>-0.03</v>
      </c>
      <c r="H43" s="106" t="s">
        <v>46</v>
      </c>
      <c r="I43" s="69"/>
      <c r="J43" s="70">
        <f t="shared" si="10"/>
        <v>23.832000000000001</v>
      </c>
      <c r="K43" s="70">
        <f t="shared" si="11"/>
        <v>23.771999999999998</v>
      </c>
      <c r="L43" s="70">
        <v>23.827500000000001</v>
      </c>
      <c r="M43" s="70">
        <v>23.776499999999999</v>
      </c>
      <c r="N43" s="155"/>
      <c r="O43" s="155"/>
      <c r="P43" s="71"/>
      <c r="Q43" s="128">
        <f t="shared" si="0"/>
        <v>0</v>
      </c>
      <c r="R43" s="128">
        <f t="shared" si="1"/>
        <v>0</v>
      </c>
      <c r="S43" s="128">
        <f t="shared" si="2"/>
        <v>0</v>
      </c>
      <c r="T43" s="129">
        <f t="shared" si="3"/>
        <v>0</v>
      </c>
      <c r="U43" s="107" t="str">
        <f t="shared" si="4"/>
        <v/>
      </c>
      <c r="V43" s="108" t="str">
        <f>IF(OR($AM43="",ISNUMBER($AM43)=FALSE),"",IF(AND(#REF!="Tolerance",$E43&lt;&gt;""),($S43-$E43)/(($J43-$K43)/2),IF(AND(#REF!="GD&amp;T",$F43&lt;&gt;""),$S43/$F43,"")))</f>
        <v/>
      </c>
      <c r="W43" s="108" t="str">
        <f t="shared" si="12"/>
        <v/>
      </c>
      <c r="X43" s="107" t="str">
        <f t="shared" si="5"/>
        <v/>
      </c>
      <c r="Y43" s="107" t="str">
        <f t="shared" si="6"/>
        <v/>
      </c>
      <c r="Z43" s="107" t="str">
        <f t="shared" si="7"/>
        <v/>
      </c>
      <c r="AA43" s="72" t="str">
        <f t="shared" si="8"/>
        <v/>
      </c>
      <c r="AB43" s="73" t="e">
        <f>IF($S43="","",IF(#REF!="Tolerance",IF((#REF!*3*T43+S43)-E43&lt;F43,"",(#REF!*3*T43+S43)-E43),IF(OR(#REF!="GD&amp;T",#REF!="MAX"),IF((#REF!*3*T43+S43)&lt;F43,"",(#REF!*3*T43+S43)),"")))</f>
        <v>#REF!</v>
      </c>
      <c r="AC43" s="73" t="e">
        <f>IF(S43="","",IF(#REF!="Tolerance",IF(-((#REF!*3*T43)-S43)-E43&gt;G43,"",-((#REF!*3*T43)-S43)-E43),IF(#REF!="MIN",IF(-((#REF!*3*T43)-S43)&gt;G43,"",-((#REF!*3*T43)-S43)),"")))</f>
        <v>#REF!</v>
      </c>
      <c r="AD43" s="73">
        <f t="shared" si="13"/>
        <v>23.802</v>
      </c>
      <c r="AE43" s="73" t="str">
        <f t="shared" si="9"/>
        <v/>
      </c>
      <c r="AF43" s="109"/>
      <c r="AG43" s="110" t="str">
        <f t="shared" si="14"/>
        <v/>
      </c>
      <c r="AH43" s="164" t="str" cm="1">
        <f t="array" ref="AH43">IF(AND(AM43:BR43 &gt;= K43, AM43:BR43 &lt;= J43), "OK", "NG")</f>
        <v>NG</v>
      </c>
      <c r="AI43" s="74"/>
      <c r="AJ43" s="74"/>
      <c r="AK43" s="75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  <c r="BN43" s="149"/>
      <c r="BO43" s="149"/>
      <c r="BP43" s="149"/>
      <c r="BQ43" s="149"/>
      <c r="BR43" s="149"/>
    </row>
    <row r="44" spans="2:70" ht="19.2" customHeight="1">
      <c r="B44" s="68" t="s">
        <v>277</v>
      </c>
      <c r="C44" s="101" t="s">
        <v>148</v>
      </c>
      <c r="D44" s="125" t="s">
        <v>45</v>
      </c>
      <c r="E44" s="126">
        <v>23.802</v>
      </c>
      <c r="F44" s="127">
        <v>0.03</v>
      </c>
      <c r="G44" s="127">
        <v>-0.03</v>
      </c>
      <c r="H44" s="106" t="s">
        <v>46</v>
      </c>
      <c r="I44" s="69"/>
      <c r="J44" s="70">
        <f t="shared" si="10"/>
        <v>23.832000000000001</v>
      </c>
      <c r="K44" s="70">
        <f t="shared" si="11"/>
        <v>23.771999999999998</v>
      </c>
      <c r="L44" s="70">
        <v>23.827500000000001</v>
      </c>
      <c r="M44" s="70">
        <v>23.776499999999999</v>
      </c>
      <c r="N44" s="155"/>
      <c r="O44" s="155"/>
      <c r="P44" s="71"/>
      <c r="Q44" s="128">
        <f t="shared" si="0"/>
        <v>0</v>
      </c>
      <c r="R44" s="128">
        <f t="shared" si="1"/>
        <v>0</v>
      </c>
      <c r="S44" s="128">
        <f t="shared" si="2"/>
        <v>0</v>
      </c>
      <c r="T44" s="129">
        <f t="shared" si="3"/>
        <v>0</v>
      </c>
      <c r="U44" s="107" t="str">
        <f t="shared" si="4"/>
        <v/>
      </c>
      <c r="V44" s="108" t="str">
        <f>IF(OR($AM44="",ISNUMBER($AM44)=FALSE),"",IF(AND(#REF!="Tolerance",$E44&lt;&gt;""),($S44-$E44)/(($J44-$K44)/2),IF(AND(#REF!="GD&amp;T",$F44&lt;&gt;""),$S44/$F44,"")))</f>
        <v/>
      </c>
      <c r="W44" s="108" t="str">
        <f t="shared" si="12"/>
        <v/>
      </c>
      <c r="X44" s="107" t="str">
        <f t="shared" si="5"/>
        <v/>
      </c>
      <c r="Y44" s="107" t="str">
        <f t="shared" si="6"/>
        <v/>
      </c>
      <c r="Z44" s="107" t="str">
        <f t="shared" si="7"/>
        <v/>
      </c>
      <c r="AA44" s="72" t="str">
        <f t="shared" si="8"/>
        <v/>
      </c>
      <c r="AB44" s="73" t="e">
        <f>IF($S44="","",IF(#REF!="Tolerance",IF((#REF!*3*T44+S44)-E44&lt;F44,"",(#REF!*3*T44+S44)-E44),IF(OR(#REF!="GD&amp;T",#REF!="MAX"),IF((#REF!*3*T44+S44)&lt;F44,"",(#REF!*3*T44+S44)),"")))</f>
        <v>#REF!</v>
      </c>
      <c r="AC44" s="73" t="e">
        <f>IF(S44="","",IF(#REF!="Tolerance",IF(-((#REF!*3*T44)-S44)-E44&gt;G44,"",-((#REF!*3*T44)-S44)-E44),IF(#REF!="MIN",IF(-((#REF!*3*T44)-S44)&gt;G44,"",-((#REF!*3*T44)-S44)),"")))</f>
        <v>#REF!</v>
      </c>
      <c r="AD44" s="73">
        <f t="shared" si="13"/>
        <v>23.802</v>
      </c>
      <c r="AE44" s="73" t="str">
        <f t="shared" si="9"/>
        <v/>
      </c>
      <c r="AF44" s="109"/>
      <c r="AG44" s="110" t="str">
        <f t="shared" si="14"/>
        <v/>
      </c>
      <c r="AH44" s="164" t="str" cm="1">
        <f t="array" ref="AH44">IF(AND(AM44:BR44 &gt;= K44, AM44:BR44 &lt;= J44), "OK", "NG")</f>
        <v>NG</v>
      </c>
      <c r="AI44" s="74"/>
      <c r="AJ44" s="74"/>
      <c r="AK44" s="75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  <c r="BN44" s="149"/>
      <c r="BO44" s="149"/>
      <c r="BP44" s="149"/>
      <c r="BQ44" s="149"/>
      <c r="BR44" s="149"/>
    </row>
    <row r="45" spans="2:70" ht="19.2" customHeight="1">
      <c r="B45" s="68" t="s">
        <v>87</v>
      </c>
      <c r="C45" s="101" t="s">
        <v>176</v>
      </c>
      <c r="D45" s="125" t="s">
        <v>45</v>
      </c>
      <c r="E45" s="126">
        <v>8.4719999999999995</v>
      </c>
      <c r="F45" s="127">
        <v>0.03</v>
      </c>
      <c r="G45" s="127">
        <v>-0.03</v>
      </c>
      <c r="H45" s="106" t="s">
        <v>46</v>
      </c>
      <c r="I45" s="69"/>
      <c r="J45" s="70">
        <f t="shared" si="10"/>
        <v>8.5019999999999989</v>
      </c>
      <c r="K45" s="70">
        <f t="shared" si="11"/>
        <v>8.4420000000000002</v>
      </c>
      <c r="L45" s="70">
        <v>8.4974999999999987</v>
      </c>
      <c r="M45" s="70">
        <v>8.4465000000000003</v>
      </c>
      <c r="N45" s="155"/>
      <c r="O45" s="155"/>
      <c r="P45" s="71"/>
      <c r="Q45" s="128">
        <f t="shared" si="0"/>
        <v>0</v>
      </c>
      <c r="R45" s="128">
        <f t="shared" si="1"/>
        <v>0</v>
      </c>
      <c r="S45" s="128">
        <f t="shared" si="2"/>
        <v>0</v>
      </c>
      <c r="T45" s="129">
        <f t="shared" si="3"/>
        <v>0</v>
      </c>
      <c r="U45" s="107" t="str">
        <f t="shared" si="4"/>
        <v/>
      </c>
      <c r="V45" s="108" t="str">
        <f>IF(OR($AM45="",ISNUMBER($AM45)=FALSE),"",IF(AND(#REF!="Tolerance",$E45&lt;&gt;""),($S45-$E45)/(($J45-$K45)/2),IF(AND(#REF!="GD&amp;T",$F45&lt;&gt;""),$S45/$F45,"")))</f>
        <v/>
      </c>
      <c r="W45" s="108" t="str">
        <f t="shared" si="12"/>
        <v/>
      </c>
      <c r="X45" s="107" t="str">
        <f t="shared" si="5"/>
        <v/>
      </c>
      <c r="Y45" s="107" t="str">
        <f t="shared" si="6"/>
        <v/>
      </c>
      <c r="Z45" s="107" t="str">
        <f t="shared" si="7"/>
        <v/>
      </c>
      <c r="AA45" s="72" t="str">
        <f t="shared" si="8"/>
        <v/>
      </c>
      <c r="AB45" s="73" t="e">
        <f>IF($S45="","",IF(#REF!="Tolerance",IF((#REF!*3*T45+S45)-E45&lt;F45,"",(#REF!*3*T45+S45)-E45),IF(OR(#REF!="GD&amp;T",#REF!="MAX"),IF((#REF!*3*T45+S45)&lt;F45,"",(#REF!*3*T45+S45)),"")))</f>
        <v>#REF!</v>
      </c>
      <c r="AC45" s="73" t="e">
        <f>IF(S45="","",IF(#REF!="Tolerance",IF(-((#REF!*3*T45)-S45)-E45&gt;G45,"",-((#REF!*3*T45)-S45)-E45),IF(#REF!="MIN",IF(-((#REF!*3*T45)-S45)&gt;G45,"",-((#REF!*3*T45)-S45)),"")))</f>
        <v>#REF!</v>
      </c>
      <c r="AD45" s="73">
        <f t="shared" si="13"/>
        <v>8.4719999999999995</v>
      </c>
      <c r="AE45" s="73" t="str">
        <f t="shared" si="9"/>
        <v/>
      </c>
      <c r="AF45" s="109"/>
      <c r="AG45" s="110" t="str">
        <f t="shared" si="14"/>
        <v/>
      </c>
      <c r="AH45" s="164" t="str" cm="1">
        <f t="array" ref="AH45">IF(AND(AM45:BR45 &gt;= K45, AM45:BR45 &lt;= J45), "OK", "NG")</f>
        <v>NG</v>
      </c>
      <c r="AI45" s="74"/>
      <c r="AJ45" s="74"/>
      <c r="AK45" s="75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  <c r="BN45" s="149"/>
      <c r="BO45" s="149"/>
      <c r="BP45" s="149"/>
      <c r="BQ45" s="149"/>
      <c r="BR45" s="149"/>
    </row>
    <row r="46" spans="2:70" ht="19.2" customHeight="1">
      <c r="B46" s="68" t="s">
        <v>87</v>
      </c>
      <c r="C46" s="101" t="s">
        <v>177</v>
      </c>
      <c r="D46" s="125" t="s">
        <v>45</v>
      </c>
      <c r="E46" s="126">
        <v>8.4719999999999995</v>
      </c>
      <c r="F46" s="127">
        <v>0.03</v>
      </c>
      <c r="G46" s="127">
        <v>-0.03</v>
      </c>
      <c r="H46" s="106" t="s">
        <v>46</v>
      </c>
      <c r="I46" s="69"/>
      <c r="J46" s="70">
        <f t="shared" si="10"/>
        <v>8.5019999999999989</v>
      </c>
      <c r="K46" s="70">
        <f t="shared" si="11"/>
        <v>8.4420000000000002</v>
      </c>
      <c r="L46" s="70">
        <v>8.4974999999999987</v>
      </c>
      <c r="M46" s="70">
        <v>8.4465000000000003</v>
      </c>
      <c r="N46" s="155"/>
      <c r="O46" s="155"/>
      <c r="P46" s="71"/>
      <c r="Q46" s="128">
        <f t="shared" si="0"/>
        <v>0</v>
      </c>
      <c r="R46" s="128">
        <f t="shared" si="1"/>
        <v>0</v>
      </c>
      <c r="S46" s="128">
        <f t="shared" si="2"/>
        <v>0</v>
      </c>
      <c r="T46" s="129">
        <f t="shared" si="3"/>
        <v>0</v>
      </c>
      <c r="U46" s="107" t="str">
        <f t="shared" si="4"/>
        <v/>
      </c>
      <c r="V46" s="108" t="str">
        <f>IF(OR($AM46="",ISNUMBER($AM46)=FALSE),"",IF(AND(#REF!="Tolerance",$E46&lt;&gt;""),($S46-$E46)/(($J46-$K46)/2),IF(AND(#REF!="GD&amp;T",$F46&lt;&gt;""),$S46/$F46,"")))</f>
        <v/>
      </c>
      <c r="W46" s="108" t="str">
        <f t="shared" si="12"/>
        <v/>
      </c>
      <c r="X46" s="107" t="str">
        <f t="shared" si="5"/>
        <v/>
      </c>
      <c r="Y46" s="107" t="str">
        <f t="shared" si="6"/>
        <v/>
      </c>
      <c r="Z46" s="107" t="str">
        <f t="shared" si="7"/>
        <v/>
      </c>
      <c r="AA46" s="72" t="str">
        <f t="shared" si="8"/>
        <v/>
      </c>
      <c r="AB46" s="73" t="e">
        <f>IF($S46="","",IF(#REF!="Tolerance",IF((#REF!*3*T46+S46)-E46&lt;F46,"",(#REF!*3*T46+S46)-E46),IF(OR(#REF!="GD&amp;T",#REF!="MAX"),IF((#REF!*3*T46+S46)&lt;F46,"",(#REF!*3*T46+S46)),"")))</f>
        <v>#REF!</v>
      </c>
      <c r="AC46" s="73" t="e">
        <f>IF(S46="","",IF(#REF!="Tolerance",IF(-((#REF!*3*T46)-S46)-E46&gt;G46,"",-((#REF!*3*T46)-S46)-E46),IF(#REF!="MIN",IF(-((#REF!*3*T46)-S46)&gt;G46,"",-((#REF!*3*T46)-S46)),"")))</f>
        <v>#REF!</v>
      </c>
      <c r="AD46" s="73">
        <f t="shared" si="13"/>
        <v>8.4719999999999995</v>
      </c>
      <c r="AE46" s="73" t="str">
        <f t="shared" si="9"/>
        <v/>
      </c>
      <c r="AF46" s="109"/>
      <c r="AG46" s="110" t="str">
        <f t="shared" si="14"/>
        <v/>
      </c>
      <c r="AH46" s="164" t="str" cm="1">
        <f t="array" ref="AH46">IF(AND(AM46:BR46 &gt;= K46, AM46:BR46 &lt;= J46), "OK", "NG")</f>
        <v>NG</v>
      </c>
      <c r="AI46" s="74"/>
      <c r="AJ46" s="74"/>
      <c r="AK46" s="75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  <c r="BM46" s="149"/>
      <c r="BN46" s="149"/>
      <c r="BO46" s="149"/>
      <c r="BP46" s="149"/>
      <c r="BQ46" s="149"/>
      <c r="BR46" s="149"/>
    </row>
    <row r="47" spans="2:70" ht="19.2" customHeight="1">
      <c r="B47" s="68" t="s">
        <v>86</v>
      </c>
      <c r="C47" s="101" t="s">
        <v>149</v>
      </c>
      <c r="D47" s="125" t="s">
        <v>45</v>
      </c>
      <c r="E47" s="126">
        <v>23.006</v>
      </c>
      <c r="F47" s="127">
        <v>0.03</v>
      </c>
      <c r="G47" s="127">
        <v>-0.03</v>
      </c>
      <c r="H47" s="106" t="s">
        <v>46</v>
      </c>
      <c r="I47" s="69"/>
      <c r="J47" s="70">
        <f t="shared" si="10"/>
        <v>23.036000000000001</v>
      </c>
      <c r="K47" s="70">
        <f t="shared" si="11"/>
        <v>22.975999999999999</v>
      </c>
      <c r="L47" s="70">
        <v>23.031500000000001</v>
      </c>
      <c r="M47" s="70">
        <v>22.980499999999999</v>
      </c>
      <c r="N47" s="155"/>
      <c r="O47" s="155"/>
      <c r="P47" s="71"/>
      <c r="Q47" s="128">
        <f t="shared" si="0"/>
        <v>0</v>
      </c>
      <c r="R47" s="128">
        <f t="shared" si="1"/>
        <v>0</v>
      </c>
      <c r="S47" s="128">
        <f t="shared" si="2"/>
        <v>0</v>
      </c>
      <c r="T47" s="129">
        <f t="shared" si="3"/>
        <v>0</v>
      </c>
      <c r="U47" s="107" t="str">
        <f t="shared" si="4"/>
        <v/>
      </c>
      <c r="V47" s="108" t="str">
        <f>IF(OR($AM47="",ISNUMBER($AM47)=FALSE),"",IF(AND(#REF!="Tolerance",$E47&lt;&gt;""),($S47-$E47)/(($J47-$K47)/2),IF(AND(#REF!="GD&amp;T",$F47&lt;&gt;""),$S47/$F47,"")))</f>
        <v/>
      </c>
      <c r="W47" s="108" t="str">
        <f t="shared" si="12"/>
        <v/>
      </c>
      <c r="X47" s="107" t="str">
        <f t="shared" si="5"/>
        <v/>
      </c>
      <c r="Y47" s="107" t="str">
        <f t="shared" si="6"/>
        <v/>
      </c>
      <c r="Z47" s="107" t="str">
        <f t="shared" si="7"/>
        <v/>
      </c>
      <c r="AA47" s="72" t="str">
        <f t="shared" si="8"/>
        <v/>
      </c>
      <c r="AB47" s="73" t="e">
        <f>IF($S47="","",IF(#REF!="Tolerance",IF((#REF!*3*T47+S47)-E47&lt;F47,"",(#REF!*3*T47+S47)-E47),IF(OR(#REF!="GD&amp;T",#REF!="MAX"),IF((#REF!*3*T47+S47)&lt;F47,"",(#REF!*3*T47+S47)),"")))</f>
        <v>#REF!</v>
      </c>
      <c r="AC47" s="73" t="e">
        <f>IF(S47="","",IF(#REF!="Tolerance",IF(-((#REF!*3*T47)-S47)-E47&gt;G47,"",-((#REF!*3*T47)-S47)-E47),IF(#REF!="MIN",IF(-((#REF!*3*T47)-S47)&gt;G47,"",-((#REF!*3*T47)-S47)),"")))</f>
        <v>#REF!</v>
      </c>
      <c r="AD47" s="73">
        <f t="shared" si="13"/>
        <v>23.006</v>
      </c>
      <c r="AE47" s="73" t="str">
        <f t="shared" si="9"/>
        <v/>
      </c>
      <c r="AF47" s="109"/>
      <c r="AG47" s="110" t="str">
        <f t="shared" si="14"/>
        <v/>
      </c>
      <c r="AH47" s="164" t="str" cm="1">
        <f t="array" ref="AH47">IF(AND(AM47:BR47 &gt;= K47, AM47:BR47 &lt;= J47), "OK", "NG")</f>
        <v>NG</v>
      </c>
      <c r="AI47" s="74"/>
      <c r="AJ47" s="74"/>
      <c r="AK47" s="75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  <c r="BN47" s="149"/>
      <c r="BO47" s="149"/>
      <c r="BP47" s="149"/>
      <c r="BQ47" s="149"/>
      <c r="BR47" s="149"/>
    </row>
    <row r="48" spans="2:70" ht="19.2" customHeight="1">
      <c r="B48" s="68" t="s">
        <v>86</v>
      </c>
      <c r="C48" s="101" t="s">
        <v>150</v>
      </c>
      <c r="D48" s="125" t="s">
        <v>45</v>
      </c>
      <c r="E48" s="126">
        <v>23.006</v>
      </c>
      <c r="F48" s="127">
        <v>0.03</v>
      </c>
      <c r="G48" s="127">
        <v>-0.03</v>
      </c>
      <c r="H48" s="106" t="s">
        <v>46</v>
      </c>
      <c r="I48" s="69"/>
      <c r="J48" s="70">
        <f t="shared" si="10"/>
        <v>23.036000000000001</v>
      </c>
      <c r="K48" s="70">
        <f t="shared" si="11"/>
        <v>22.975999999999999</v>
      </c>
      <c r="L48" s="70">
        <v>23.031500000000001</v>
      </c>
      <c r="M48" s="70">
        <v>22.980499999999999</v>
      </c>
      <c r="N48" s="155"/>
      <c r="O48" s="155"/>
      <c r="P48" s="71"/>
      <c r="Q48" s="128">
        <f t="shared" si="0"/>
        <v>0</v>
      </c>
      <c r="R48" s="128">
        <f t="shared" si="1"/>
        <v>0</v>
      </c>
      <c r="S48" s="128">
        <f t="shared" si="2"/>
        <v>0</v>
      </c>
      <c r="T48" s="129">
        <f t="shared" si="3"/>
        <v>0</v>
      </c>
      <c r="U48" s="107" t="str">
        <f t="shared" si="4"/>
        <v/>
      </c>
      <c r="V48" s="108" t="str">
        <f>IF(OR($AM48="",ISNUMBER($AM48)=FALSE),"",IF(AND(#REF!="Tolerance",$E48&lt;&gt;""),($S48-$E48)/(($J48-$K48)/2),IF(AND(#REF!="GD&amp;T",$F48&lt;&gt;""),$S48/$F48,"")))</f>
        <v/>
      </c>
      <c r="W48" s="108" t="str">
        <f t="shared" si="12"/>
        <v/>
      </c>
      <c r="X48" s="107" t="str">
        <f t="shared" si="5"/>
        <v/>
      </c>
      <c r="Y48" s="107" t="str">
        <f t="shared" si="6"/>
        <v/>
      </c>
      <c r="Z48" s="107" t="str">
        <f t="shared" si="7"/>
        <v/>
      </c>
      <c r="AA48" s="72" t="str">
        <f t="shared" si="8"/>
        <v/>
      </c>
      <c r="AB48" s="73" t="e">
        <f>IF($S48="","",IF(#REF!="Tolerance",IF((#REF!*3*T48+S48)-E48&lt;F48,"",(#REF!*3*T48+S48)-E48),IF(OR(#REF!="GD&amp;T",#REF!="MAX"),IF((#REF!*3*T48+S48)&lt;F48,"",(#REF!*3*T48+S48)),"")))</f>
        <v>#REF!</v>
      </c>
      <c r="AC48" s="73" t="e">
        <f>IF(S48="","",IF(#REF!="Tolerance",IF(-((#REF!*3*T48)-S48)-E48&gt;G48,"",-((#REF!*3*T48)-S48)-E48),IF(#REF!="MIN",IF(-((#REF!*3*T48)-S48)&gt;G48,"",-((#REF!*3*T48)-S48)),"")))</f>
        <v>#REF!</v>
      </c>
      <c r="AD48" s="73">
        <f t="shared" si="13"/>
        <v>23.006</v>
      </c>
      <c r="AE48" s="73" t="str">
        <f t="shared" si="9"/>
        <v/>
      </c>
      <c r="AF48" s="109"/>
      <c r="AG48" s="110" t="str">
        <f t="shared" si="14"/>
        <v/>
      </c>
      <c r="AH48" s="164" t="str" cm="1">
        <f t="array" ref="AH48">IF(AND(AM48:BR48 &gt;= K48, AM48:BR48 &lt;= J48), "OK", "NG")</f>
        <v>NG</v>
      </c>
      <c r="AI48" s="74"/>
      <c r="AJ48" s="74"/>
      <c r="AK48" s="75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  <c r="BM48" s="149"/>
      <c r="BN48" s="149"/>
      <c r="BO48" s="149"/>
      <c r="BP48" s="149"/>
      <c r="BQ48" s="149"/>
      <c r="BR48" s="149"/>
    </row>
    <row r="49" spans="2:70" ht="19.2" customHeight="1">
      <c r="B49" s="68" t="s">
        <v>86</v>
      </c>
      <c r="C49" s="101" t="s">
        <v>178</v>
      </c>
      <c r="D49" s="125" t="s">
        <v>45</v>
      </c>
      <c r="E49" s="126">
        <v>23.006</v>
      </c>
      <c r="F49" s="127">
        <v>0.03</v>
      </c>
      <c r="G49" s="127">
        <v>-0.03</v>
      </c>
      <c r="H49" s="106" t="s">
        <v>46</v>
      </c>
      <c r="I49" s="69"/>
      <c r="J49" s="70">
        <f t="shared" si="10"/>
        <v>23.036000000000001</v>
      </c>
      <c r="K49" s="70">
        <f t="shared" si="11"/>
        <v>22.975999999999999</v>
      </c>
      <c r="L49" s="70">
        <v>23.031500000000001</v>
      </c>
      <c r="M49" s="70">
        <v>22.980499999999999</v>
      </c>
      <c r="N49" s="155"/>
      <c r="O49" s="155"/>
      <c r="P49" s="71"/>
      <c r="Q49" s="128">
        <f t="shared" si="0"/>
        <v>0</v>
      </c>
      <c r="R49" s="128">
        <f t="shared" si="1"/>
        <v>0</v>
      </c>
      <c r="S49" s="128">
        <f t="shared" si="2"/>
        <v>0</v>
      </c>
      <c r="T49" s="129">
        <f t="shared" si="3"/>
        <v>0</v>
      </c>
      <c r="U49" s="107" t="str">
        <f t="shared" si="4"/>
        <v/>
      </c>
      <c r="V49" s="108" t="str">
        <f>IF(OR($AM49="",ISNUMBER($AM49)=FALSE),"",IF(AND(#REF!="Tolerance",$E49&lt;&gt;""),($S49-$E49)/(($J49-$K49)/2),IF(AND(#REF!="GD&amp;T",$F49&lt;&gt;""),$S49/$F49,"")))</f>
        <v/>
      </c>
      <c r="W49" s="108" t="str">
        <f t="shared" si="12"/>
        <v/>
      </c>
      <c r="X49" s="107" t="str">
        <f t="shared" si="5"/>
        <v/>
      </c>
      <c r="Y49" s="107" t="str">
        <f t="shared" si="6"/>
        <v/>
      </c>
      <c r="Z49" s="107" t="str">
        <f t="shared" si="7"/>
        <v/>
      </c>
      <c r="AA49" s="72" t="str">
        <f t="shared" si="8"/>
        <v/>
      </c>
      <c r="AB49" s="73" t="e">
        <f>IF($S49="","",IF(#REF!="Tolerance",IF((#REF!*3*T49+S49)-E49&lt;F49,"",(#REF!*3*T49+S49)-E49),IF(OR(#REF!="GD&amp;T",#REF!="MAX"),IF((#REF!*3*T49+S49)&lt;F49,"",(#REF!*3*T49+S49)),"")))</f>
        <v>#REF!</v>
      </c>
      <c r="AC49" s="73" t="e">
        <f>IF(S49="","",IF(#REF!="Tolerance",IF(-((#REF!*3*T49)-S49)-E49&gt;G49,"",-((#REF!*3*T49)-S49)-E49),IF(#REF!="MIN",IF(-((#REF!*3*T49)-S49)&gt;G49,"",-((#REF!*3*T49)-S49)),"")))</f>
        <v>#REF!</v>
      </c>
      <c r="AD49" s="73">
        <f t="shared" si="13"/>
        <v>23.006</v>
      </c>
      <c r="AE49" s="73" t="str">
        <f t="shared" si="9"/>
        <v/>
      </c>
      <c r="AF49" s="109"/>
      <c r="AG49" s="110" t="str">
        <f t="shared" si="14"/>
        <v/>
      </c>
      <c r="AH49" s="164" t="str" cm="1">
        <f t="array" ref="AH49">IF(AND(AM49:BR49 &gt;= K49, AM49:BR49 &lt;= J49), "OK", "NG")</f>
        <v>NG</v>
      </c>
      <c r="AI49" s="74"/>
      <c r="AJ49" s="74"/>
      <c r="AK49" s="75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</row>
    <row r="50" spans="2:70" ht="19.2" customHeight="1">
      <c r="B50" s="68" t="s">
        <v>93</v>
      </c>
      <c r="C50" s="101" t="s">
        <v>179</v>
      </c>
      <c r="D50" s="125" t="s">
        <v>45</v>
      </c>
      <c r="E50" s="126">
        <v>23.385999999999999</v>
      </c>
      <c r="F50" s="127">
        <v>3.5000000000000003E-2</v>
      </c>
      <c r="G50" s="127">
        <v>-3.5000000000000003E-2</v>
      </c>
      <c r="H50" s="106" t="s">
        <v>46</v>
      </c>
      <c r="I50" s="69"/>
      <c r="J50" s="70">
        <f t="shared" si="10"/>
        <v>23.420999999999999</v>
      </c>
      <c r="K50" s="70">
        <f t="shared" si="11"/>
        <v>23.350999999999999</v>
      </c>
      <c r="L50" s="70">
        <v>23.415749999999999</v>
      </c>
      <c r="M50" s="70">
        <v>23.356249999999999</v>
      </c>
      <c r="N50" s="155"/>
      <c r="O50" s="155"/>
      <c r="P50" s="71"/>
      <c r="Q50" s="128">
        <f t="shared" si="0"/>
        <v>0</v>
      </c>
      <c r="R50" s="128">
        <f t="shared" si="1"/>
        <v>0</v>
      </c>
      <c r="S50" s="128">
        <f t="shared" si="2"/>
        <v>0</v>
      </c>
      <c r="T50" s="129">
        <f t="shared" si="3"/>
        <v>0</v>
      </c>
      <c r="U50" s="107" t="str">
        <f t="shared" si="4"/>
        <v/>
      </c>
      <c r="V50" s="108" t="str">
        <f>IF(OR($AM50="",ISNUMBER($AM50)=FALSE),"",IF(AND(#REF!="Tolerance",$E50&lt;&gt;""),($S50-$E50)/(($J50-$K50)/2),IF(AND(#REF!="GD&amp;T",$F50&lt;&gt;""),$S50/$F50,"")))</f>
        <v/>
      </c>
      <c r="W50" s="108" t="str">
        <f t="shared" si="12"/>
        <v/>
      </c>
      <c r="X50" s="107" t="str">
        <f t="shared" si="5"/>
        <v/>
      </c>
      <c r="Y50" s="107" t="str">
        <f t="shared" si="6"/>
        <v/>
      </c>
      <c r="Z50" s="107" t="str">
        <f t="shared" si="7"/>
        <v/>
      </c>
      <c r="AA50" s="72" t="str">
        <f t="shared" si="8"/>
        <v/>
      </c>
      <c r="AB50" s="73" t="e">
        <f>IF($S50="","",IF(#REF!="Tolerance",IF((#REF!*3*T50+S50)-E50&lt;F50,"",(#REF!*3*T50+S50)-E50),IF(OR(#REF!="GD&amp;T",#REF!="MAX"),IF((#REF!*3*T50+S50)&lt;F50,"",(#REF!*3*T50+S50)),"")))</f>
        <v>#REF!</v>
      </c>
      <c r="AC50" s="73" t="e">
        <f>IF(S50="","",IF(#REF!="Tolerance",IF(-((#REF!*3*T50)-S50)-E50&gt;G50,"",-((#REF!*3*T50)-S50)-E50),IF(#REF!="MIN",IF(-((#REF!*3*T50)-S50)&gt;G50,"",-((#REF!*3*T50)-S50)),"")))</f>
        <v>#REF!</v>
      </c>
      <c r="AD50" s="73">
        <f t="shared" si="13"/>
        <v>23.385999999999999</v>
      </c>
      <c r="AE50" s="73" t="str">
        <f t="shared" si="9"/>
        <v/>
      </c>
      <c r="AF50" s="109"/>
      <c r="AG50" s="110" t="str">
        <f t="shared" si="14"/>
        <v/>
      </c>
      <c r="AH50" s="164" t="str" cm="1">
        <f t="array" ref="AH50">IF(AND(AM50:BR50 &gt;= K50, AM50:BR50 &lt;= J50), "OK", "NG")</f>
        <v>NG</v>
      </c>
      <c r="AI50" s="74"/>
      <c r="AJ50" s="74"/>
      <c r="AK50" s="75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</row>
    <row r="51" spans="2:70" ht="19.2" customHeight="1">
      <c r="B51" s="68" t="s">
        <v>93</v>
      </c>
      <c r="C51" s="101" t="s">
        <v>180</v>
      </c>
      <c r="D51" s="125" t="s">
        <v>45</v>
      </c>
      <c r="E51" s="126">
        <v>23.385999999999999</v>
      </c>
      <c r="F51" s="127">
        <v>3.5000000000000003E-2</v>
      </c>
      <c r="G51" s="127">
        <v>-3.5000000000000003E-2</v>
      </c>
      <c r="H51" s="106" t="s">
        <v>46</v>
      </c>
      <c r="I51" s="69"/>
      <c r="J51" s="70">
        <f t="shared" si="10"/>
        <v>23.420999999999999</v>
      </c>
      <c r="K51" s="70">
        <f t="shared" si="11"/>
        <v>23.350999999999999</v>
      </c>
      <c r="L51" s="70">
        <v>23.415749999999999</v>
      </c>
      <c r="M51" s="70">
        <v>23.356249999999999</v>
      </c>
      <c r="N51" s="155"/>
      <c r="O51" s="155"/>
      <c r="P51" s="71"/>
      <c r="Q51" s="128">
        <f t="shared" si="0"/>
        <v>0</v>
      </c>
      <c r="R51" s="128">
        <f t="shared" si="1"/>
        <v>0</v>
      </c>
      <c r="S51" s="128">
        <f t="shared" si="2"/>
        <v>0</v>
      </c>
      <c r="T51" s="129">
        <f t="shared" si="3"/>
        <v>0</v>
      </c>
      <c r="U51" s="107" t="str">
        <f t="shared" si="4"/>
        <v/>
      </c>
      <c r="V51" s="108" t="str">
        <f>IF(OR($AM51="",ISNUMBER($AM51)=FALSE),"",IF(AND(#REF!="Tolerance",$E51&lt;&gt;""),($S51-$E51)/(($J51-$K51)/2),IF(AND(#REF!="GD&amp;T",$F51&lt;&gt;""),$S51/$F51,"")))</f>
        <v/>
      </c>
      <c r="W51" s="108" t="str">
        <f t="shared" si="12"/>
        <v/>
      </c>
      <c r="X51" s="107" t="str">
        <f t="shared" si="5"/>
        <v/>
      </c>
      <c r="Y51" s="107" t="str">
        <f t="shared" si="6"/>
        <v/>
      </c>
      <c r="Z51" s="107" t="str">
        <f t="shared" si="7"/>
        <v/>
      </c>
      <c r="AA51" s="72" t="str">
        <f t="shared" si="8"/>
        <v/>
      </c>
      <c r="AB51" s="73" t="e">
        <f>IF($S51="","",IF(#REF!="Tolerance",IF((#REF!*3*T51+S51)-E51&lt;F51,"",(#REF!*3*T51+S51)-E51),IF(OR(#REF!="GD&amp;T",#REF!="MAX"),IF((#REF!*3*T51+S51)&lt;F51,"",(#REF!*3*T51+S51)),"")))</f>
        <v>#REF!</v>
      </c>
      <c r="AC51" s="73" t="e">
        <f>IF(S51="","",IF(#REF!="Tolerance",IF(-((#REF!*3*T51)-S51)-E51&gt;G51,"",-((#REF!*3*T51)-S51)-E51),IF(#REF!="MIN",IF(-((#REF!*3*T51)-S51)&gt;G51,"",-((#REF!*3*T51)-S51)),"")))</f>
        <v>#REF!</v>
      </c>
      <c r="AD51" s="73">
        <f t="shared" si="13"/>
        <v>23.385999999999999</v>
      </c>
      <c r="AE51" s="73" t="str">
        <f t="shared" si="9"/>
        <v/>
      </c>
      <c r="AF51" s="109"/>
      <c r="AG51" s="110" t="str">
        <f t="shared" si="14"/>
        <v/>
      </c>
      <c r="AH51" s="164" t="str" cm="1">
        <f t="array" ref="AH51">IF(AND(AM51:BR51 &gt;= K51, AM51:BR51 &lt;= J51), "OK", "NG")</f>
        <v>NG</v>
      </c>
      <c r="AI51" s="74"/>
      <c r="AJ51" s="74"/>
      <c r="AK51" s="75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</row>
    <row r="52" spans="2:70" ht="19.2" customHeight="1">
      <c r="B52" s="68" t="s">
        <v>278</v>
      </c>
      <c r="C52" s="101" t="s">
        <v>183</v>
      </c>
      <c r="D52" s="125" t="s">
        <v>45</v>
      </c>
      <c r="E52" s="126">
        <v>18.323</v>
      </c>
      <c r="F52" s="127">
        <v>3.5000000000000003E-2</v>
      </c>
      <c r="G52" s="127">
        <v>-3.5000000000000003E-2</v>
      </c>
      <c r="H52" s="106" t="s">
        <v>46</v>
      </c>
      <c r="I52" s="69"/>
      <c r="J52" s="70">
        <f t="shared" si="10"/>
        <v>18.358000000000001</v>
      </c>
      <c r="K52" s="70">
        <f t="shared" si="11"/>
        <v>18.288</v>
      </c>
      <c r="L52" s="70">
        <v>18.35275</v>
      </c>
      <c r="M52" s="70">
        <v>18.29325</v>
      </c>
      <c r="N52" s="155"/>
      <c r="O52" s="155"/>
      <c r="P52" s="71"/>
      <c r="Q52" s="128">
        <f t="shared" si="0"/>
        <v>0</v>
      </c>
      <c r="R52" s="128">
        <f t="shared" si="1"/>
        <v>0</v>
      </c>
      <c r="S52" s="128">
        <f t="shared" si="2"/>
        <v>0</v>
      </c>
      <c r="T52" s="129">
        <f t="shared" si="3"/>
        <v>0</v>
      </c>
      <c r="U52" s="107" t="str">
        <f t="shared" si="4"/>
        <v/>
      </c>
      <c r="V52" s="108" t="str">
        <f>IF(OR($AM52="",ISNUMBER($AM52)=FALSE),"",IF(AND(#REF!="Tolerance",$E52&lt;&gt;""),($S52-$E52)/(($J52-$K52)/2),IF(AND(#REF!="GD&amp;T",$F52&lt;&gt;""),$S52/$F52,"")))</f>
        <v/>
      </c>
      <c r="W52" s="108" t="str">
        <f t="shared" si="12"/>
        <v/>
      </c>
      <c r="X52" s="107" t="str">
        <f t="shared" si="5"/>
        <v/>
      </c>
      <c r="Y52" s="107" t="str">
        <f t="shared" si="6"/>
        <v/>
      </c>
      <c r="Z52" s="107" t="str">
        <f t="shared" si="7"/>
        <v/>
      </c>
      <c r="AA52" s="72" t="str">
        <f t="shared" si="8"/>
        <v/>
      </c>
      <c r="AB52" s="73" t="e">
        <f>IF($S52="","",IF(#REF!="Tolerance",IF((#REF!*3*T52+S52)-E52&lt;F52,"",(#REF!*3*T52+S52)-E52),IF(OR(#REF!="GD&amp;T",#REF!="MAX"),IF((#REF!*3*T52+S52)&lt;F52,"",(#REF!*3*T52+S52)),"")))</f>
        <v>#REF!</v>
      </c>
      <c r="AC52" s="73" t="e">
        <f>IF(S52="","",IF(#REF!="Tolerance",IF(-((#REF!*3*T52)-S52)-E52&gt;G52,"",-((#REF!*3*T52)-S52)-E52),IF(#REF!="MIN",IF(-((#REF!*3*T52)-S52)&gt;G52,"",-((#REF!*3*T52)-S52)),"")))</f>
        <v>#REF!</v>
      </c>
      <c r="AD52" s="73">
        <f t="shared" si="13"/>
        <v>18.323</v>
      </c>
      <c r="AE52" s="73" t="str">
        <f t="shared" si="9"/>
        <v/>
      </c>
      <c r="AF52" s="109"/>
      <c r="AG52" s="110" t="str">
        <f t="shared" si="14"/>
        <v/>
      </c>
      <c r="AH52" s="164" t="str" cm="1">
        <f t="array" ref="AH52">IF(AND(AM52:BR52 &gt;= K52, AM52:BR52 &lt;= J52), "OK", "NG")</f>
        <v>NG</v>
      </c>
      <c r="AI52" s="74"/>
      <c r="AJ52" s="74"/>
      <c r="AK52" s="75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</row>
    <row r="53" spans="2:70" ht="19.2" customHeight="1">
      <c r="B53" s="68" t="s">
        <v>278</v>
      </c>
      <c r="C53" s="101" t="s">
        <v>184</v>
      </c>
      <c r="D53" s="125" t="s">
        <v>45</v>
      </c>
      <c r="E53" s="126">
        <v>18.323</v>
      </c>
      <c r="F53" s="127">
        <v>3.5000000000000003E-2</v>
      </c>
      <c r="G53" s="127">
        <v>-3.5000000000000003E-2</v>
      </c>
      <c r="H53" s="106" t="s">
        <v>46</v>
      </c>
      <c r="I53" s="69"/>
      <c r="J53" s="70">
        <f t="shared" si="10"/>
        <v>18.358000000000001</v>
      </c>
      <c r="K53" s="70">
        <f t="shared" si="11"/>
        <v>18.288</v>
      </c>
      <c r="L53" s="70">
        <v>18.35275</v>
      </c>
      <c r="M53" s="70">
        <v>18.29325</v>
      </c>
      <c r="N53" s="155"/>
      <c r="O53" s="155"/>
      <c r="P53" s="71"/>
      <c r="Q53" s="128">
        <f t="shared" si="0"/>
        <v>0</v>
      </c>
      <c r="R53" s="128">
        <f t="shared" si="1"/>
        <v>0</v>
      </c>
      <c r="S53" s="128">
        <f t="shared" si="2"/>
        <v>0</v>
      </c>
      <c r="T53" s="129">
        <f t="shared" si="3"/>
        <v>0</v>
      </c>
      <c r="U53" s="107" t="str">
        <f t="shared" si="4"/>
        <v/>
      </c>
      <c r="V53" s="108" t="str">
        <f>IF(OR($AM53="",ISNUMBER($AM53)=FALSE),"",IF(AND(#REF!="Tolerance",$E53&lt;&gt;""),($S53-$E53)/(($J53-$K53)/2),IF(AND(#REF!="GD&amp;T",$F53&lt;&gt;""),$S53/$F53,"")))</f>
        <v/>
      </c>
      <c r="W53" s="108" t="str">
        <f t="shared" si="12"/>
        <v/>
      </c>
      <c r="X53" s="107" t="str">
        <f t="shared" si="5"/>
        <v/>
      </c>
      <c r="Y53" s="107" t="str">
        <f t="shared" si="6"/>
        <v/>
      </c>
      <c r="Z53" s="107" t="str">
        <f t="shared" si="7"/>
        <v/>
      </c>
      <c r="AA53" s="72" t="str">
        <f t="shared" si="8"/>
        <v/>
      </c>
      <c r="AB53" s="73" t="e">
        <f>IF($S53="","",IF(#REF!="Tolerance",IF((#REF!*3*T53+S53)-E53&lt;F53,"",(#REF!*3*T53+S53)-E53),IF(OR(#REF!="GD&amp;T",#REF!="MAX"),IF((#REF!*3*T53+S53)&lt;F53,"",(#REF!*3*T53+S53)),"")))</f>
        <v>#REF!</v>
      </c>
      <c r="AC53" s="73" t="e">
        <f>IF(S53="","",IF(#REF!="Tolerance",IF(-((#REF!*3*T53)-S53)-E53&gt;G53,"",-((#REF!*3*T53)-S53)-E53),IF(#REF!="MIN",IF(-((#REF!*3*T53)-S53)&gt;G53,"",-((#REF!*3*T53)-S53)),"")))</f>
        <v>#REF!</v>
      </c>
      <c r="AD53" s="73">
        <f t="shared" si="13"/>
        <v>18.323</v>
      </c>
      <c r="AE53" s="73" t="str">
        <f t="shared" si="9"/>
        <v/>
      </c>
      <c r="AF53" s="109"/>
      <c r="AG53" s="110" t="str">
        <f t="shared" si="14"/>
        <v/>
      </c>
      <c r="AH53" s="164" t="str" cm="1">
        <f t="array" ref="AH53">IF(AND(AM53:BR53 &gt;= K53, AM53:BR53 &lt;= J53), "OK", "NG")</f>
        <v>NG</v>
      </c>
      <c r="AI53" s="74"/>
      <c r="AJ53" s="74"/>
      <c r="AK53" s="75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  <c r="BI53" s="149"/>
      <c r="BJ53" s="149"/>
      <c r="BK53" s="149"/>
      <c r="BL53" s="149"/>
      <c r="BM53" s="149"/>
      <c r="BN53" s="149"/>
      <c r="BO53" s="149"/>
      <c r="BP53" s="149"/>
      <c r="BQ53" s="149"/>
      <c r="BR53" s="149"/>
    </row>
    <row r="54" spans="2:70" ht="19.2" customHeight="1">
      <c r="B54" s="68" t="s">
        <v>278</v>
      </c>
      <c r="C54" s="101" t="s">
        <v>185</v>
      </c>
      <c r="D54" s="125" t="s">
        <v>45</v>
      </c>
      <c r="E54" s="126">
        <v>18.323</v>
      </c>
      <c r="F54" s="127">
        <v>3.5000000000000003E-2</v>
      </c>
      <c r="G54" s="127">
        <v>-3.5000000000000003E-2</v>
      </c>
      <c r="H54" s="106" t="s">
        <v>46</v>
      </c>
      <c r="I54" s="69"/>
      <c r="J54" s="70">
        <f t="shared" si="10"/>
        <v>18.358000000000001</v>
      </c>
      <c r="K54" s="70">
        <f t="shared" si="11"/>
        <v>18.288</v>
      </c>
      <c r="L54" s="70">
        <v>18.35275</v>
      </c>
      <c r="M54" s="70">
        <v>18.29325</v>
      </c>
      <c r="N54" s="155"/>
      <c r="O54" s="155"/>
      <c r="P54" s="71"/>
      <c r="Q54" s="128">
        <f t="shared" si="0"/>
        <v>0</v>
      </c>
      <c r="R54" s="128">
        <f t="shared" si="1"/>
        <v>0</v>
      </c>
      <c r="S54" s="128">
        <f t="shared" si="2"/>
        <v>0</v>
      </c>
      <c r="T54" s="129">
        <f t="shared" si="3"/>
        <v>0</v>
      </c>
      <c r="U54" s="107" t="str">
        <f t="shared" si="4"/>
        <v/>
      </c>
      <c r="V54" s="108" t="str">
        <f>IF(OR($AM54="",ISNUMBER($AM54)=FALSE),"",IF(AND(#REF!="Tolerance",$E54&lt;&gt;""),($S54-$E54)/(($J54-$K54)/2),IF(AND(#REF!="GD&amp;T",$F54&lt;&gt;""),$S54/$F54,"")))</f>
        <v/>
      </c>
      <c r="W54" s="108" t="str">
        <f t="shared" si="12"/>
        <v/>
      </c>
      <c r="X54" s="107" t="str">
        <f t="shared" si="5"/>
        <v/>
      </c>
      <c r="Y54" s="107" t="str">
        <f t="shared" si="6"/>
        <v/>
      </c>
      <c r="Z54" s="107" t="str">
        <f t="shared" si="7"/>
        <v/>
      </c>
      <c r="AA54" s="72" t="str">
        <f t="shared" si="8"/>
        <v/>
      </c>
      <c r="AB54" s="73" t="e">
        <f>IF($S54="","",IF(#REF!="Tolerance",IF((#REF!*3*T54+S54)-E54&lt;F54,"",(#REF!*3*T54+S54)-E54),IF(OR(#REF!="GD&amp;T",#REF!="MAX"),IF((#REF!*3*T54+S54)&lt;F54,"",(#REF!*3*T54+S54)),"")))</f>
        <v>#REF!</v>
      </c>
      <c r="AC54" s="73" t="e">
        <f>IF(S54="","",IF(#REF!="Tolerance",IF(-((#REF!*3*T54)-S54)-E54&gt;G54,"",-((#REF!*3*T54)-S54)-E54),IF(#REF!="MIN",IF(-((#REF!*3*T54)-S54)&gt;G54,"",-((#REF!*3*T54)-S54)),"")))</f>
        <v>#REF!</v>
      </c>
      <c r="AD54" s="73">
        <f t="shared" si="13"/>
        <v>18.323</v>
      </c>
      <c r="AE54" s="73" t="str">
        <f t="shared" si="9"/>
        <v/>
      </c>
      <c r="AF54" s="109"/>
      <c r="AG54" s="110" t="str">
        <f t="shared" si="14"/>
        <v/>
      </c>
      <c r="AH54" s="164" t="str" cm="1">
        <f t="array" ref="AH54">IF(AND(AM54:BR54 &gt;= K54, AM54:BR54 &lt;= J54), "OK", "NG")</f>
        <v>NG</v>
      </c>
      <c r="AI54" s="74"/>
      <c r="AJ54" s="74"/>
      <c r="AK54" s="75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49"/>
      <c r="BL54" s="149"/>
      <c r="BM54" s="149"/>
      <c r="BN54" s="149"/>
      <c r="BO54" s="149"/>
      <c r="BP54" s="149"/>
      <c r="BQ54" s="149"/>
      <c r="BR54" s="149"/>
    </row>
    <row r="55" spans="2:70" ht="19.2" customHeight="1">
      <c r="B55" s="68" t="s">
        <v>94</v>
      </c>
      <c r="C55" s="101" t="s">
        <v>186</v>
      </c>
      <c r="D55" s="125" t="s">
        <v>45</v>
      </c>
      <c r="E55" s="126">
        <v>1.5249999999999999</v>
      </c>
      <c r="F55" s="127">
        <v>0.03</v>
      </c>
      <c r="G55" s="127">
        <v>-0.03</v>
      </c>
      <c r="H55" s="106" t="s">
        <v>46</v>
      </c>
      <c r="I55" s="69"/>
      <c r="J55" s="70">
        <f t="shared" si="10"/>
        <v>1.5549999999999999</v>
      </c>
      <c r="K55" s="70">
        <f t="shared" si="11"/>
        <v>1.4949999999999999</v>
      </c>
      <c r="L55" s="70">
        <v>1.5505</v>
      </c>
      <c r="M55" s="70">
        <v>1.4994999999999998</v>
      </c>
      <c r="N55" s="155"/>
      <c r="O55" s="155"/>
      <c r="P55" s="71"/>
      <c r="Q55" s="128">
        <f t="shared" si="0"/>
        <v>0</v>
      </c>
      <c r="R55" s="128">
        <f t="shared" si="1"/>
        <v>0</v>
      </c>
      <c r="S55" s="128">
        <f t="shared" si="2"/>
        <v>0</v>
      </c>
      <c r="T55" s="129">
        <f t="shared" si="3"/>
        <v>0</v>
      </c>
      <c r="U55" s="107" t="str">
        <f t="shared" si="4"/>
        <v/>
      </c>
      <c r="V55" s="108" t="str">
        <f>IF(OR($AM55="",ISNUMBER($AM55)=FALSE),"",IF(AND(#REF!="Tolerance",$E55&lt;&gt;""),($S55-$E55)/(($J55-$K55)/2),IF(AND(#REF!="GD&amp;T",$F55&lt;&gt;""),$S55/$F55,"")))</f>
        <v/>
      </c>
      <c r="W55" s="108" t="str">
        <f t="shared" si="12"/>
        <v/>
      </c>
      <c r="X55" s="107" t="str">
        <f t="shared" si="5"/>
        <v/>
      </c>
      <c r="Y55" s="107" t="str">
        <f t="shared" si="6"/>
        <v/>
      </c>
      <c r="Z55" s="107" t="str">
        <f t="shared" si="7"/>
        <v/>
      </c>
      <c r="AA55" s="72" t="str">
        <f t="shared" si="8"/>
        <v/>
      </c>
      <c r="AB55" s="73" t="e">
        <f>IF($S55="","",IF(#REF!="Tolerance",IF((#REF!*3*T55+S55)-E55&lt;F55,"",(#REF!*3*T55+S55)-E55),IF(OR(#REF!="GD&amp;T",#REF!="MAX"),IF((#REF!*3*T55+S55)&lt;F55,"",(#REF!*3*T55+S55)),"")))</f>
        <v>#REF!</v>
      </c>
      <c r="AC55" s="73" t="e">
        <f>IF(S55="","",IF(#REF!="Tolerance",IF(-((#REF!*3*T55)-S55)-E55&gt;G55,"",-((#REF!*3*T55)-S55)-E55),IF(#REF!="MIN",IF(-((#REF!*3*T55)-S55)&gt;G55,"",-((#REF!*3*T55)-S55)),"")))</f>
        <v>#REF!</v>
      </c>
      <c r="AD55" s="73">
        <f t="shared" si="13"/>
        <v>1.5249999999999999</v>
      </c>
      <c r="AE55" s="73" t="str">
        <f t="shared" si="9"/>
        <v/>
      </c>
      <c r="AF55" s="109"/>
      <c r="AG55" s="110" t="str">
        <f t="shared" si="14"/>
        <v/>
      </c>
      <c r="AH55" s="164" t="str" cm="1">
        <f t="array" ref="AH55">IF(AND(AM55:BR55 &gt;= K55, AM55:BR55 &lt;= J55), "OK", "NG")</f>
        <v>NG</v>
      </c>
      <c r="AI55" s="74"/>
      <c r="AJ55" s="74"/>
      <c r="AK55" s="75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  <c r="BI55" s="149"/>
      <c r="BJ55" s="149"/>
      <c r="BK55" s="149"/>
      <c r="BL55" s="149"/>
      <c r="BM55" s="149"/>
      <c r="BN55" s="149"/>
      <c r="BO55" s="149"/>
      <c r="BP55" s="149"/>
      <c r="BQ55" s="149"/>
      <c r="BR55" s="149"/>
    </row>
    <row r="56" spans="2:70" ht="19.2" customHeight="1">
      <c r="B56" s="68" t="s">
        <v>94</v>
      </c>
      <c r="C56" s="101" t="s">
        <v>187</v>
      </c>
      <c r="D56" s="125" t="s">
        <v>45</v>
      </c>
      <c r="E56" s="126">
        <v>1.5249999999999999</v>
      </c>
      <c r="F56" s="127">
        <v>0.03</v>
      </c>
      <c r="G56" s="127">
        <v>-0.03</v>
      </c>
      <c r="H56" s="106" t="s">
        <v>46</v>
      </c>
      <c r="I56" s="69"/>
      <c r="J56" s="70">
        <f t="shared" si="10"/>
        <v>1.5549999999999999</v>
      </c>
      <c r="K56" s="70">
        <f t="shared" si="11"/>
        <v>1.4949999999999999</v>
      </c>
      <c r="L56" s="70">
        <v>1.5505</v>
      </c>
      <c r="M56" s="70">
        <v>1.4994999999999998</v>
      </c>
      <c r="N56" s="155"/>
      <c r="O56" s="155"/>
      <c r="P56" s="71"/>
      <c r="Q56" s="128">
        <f t="shared" si="0"/>
        <v>0</v>
      </c>
      <c r="R56" s="128">
        <f t="shared" si="1"/>
        <v>0</v>
      </c>
      <c r="S56" s="128">
        <f t="shared" si="2"/>
        <v>0</v>
      </c>
      <c r="T56" s="129">
        <f t="shared" si="3"/>
        <v>0</v>
      </c>
      <c r="U56" s="107" t="str">
        <f t="shared" si="4"/>
        <v/>
      </c>
      <c r="V56" s="108" t="str">
        <f>IF(OR($AM56="",ISNUMBER($AM56)=FALSE),"",IF(AND(#REF!="Tolerance",$E56&lt;&gt;""),($S56-$E56)/(($J56-$K56)/2),IF(AND(#REF!="GD&amp;T",$F56&lt;&gt;""),$S56/$F56,"")))</f>
        <v/>
      </c>
      <c r="W56" s="108" t="str">
        <f t="shared" si="12"/>
        <v/>
      </c>
      <c r="X56" s="107" t="str">
        <f t="shared" si="5"/>
        <v/>
      </c>
      <c r="Y56" s="107" t="str">
        <f t="shared" si="6"/>
        <v/>
      </c>
      <c r="Z56" s="107" t="str">
        <f t="shared" si="7"/>
        <v/>
      </c>
      <c r="AA56" s="72" t="str">
        <f t="shared" si="8"/>
        <v/>
      </c>
      <c r="AB56" s="73" t="e">
        <f>IF($S56="","",IF(#REF!="Tolerance",IF((#REF!*3*T56+S56)-E56&lt;F56,"",(#REF!*3*T56+S56)-E56),IF(OR(#REF!="GD&amp;T",#REF!="MAX"),IF((#REF!*3*T56+S56)&lt;F56,"",(#REF!*3*T56+S56)),"")))</f>
        <v>#REF!</v>
      </c>
      <c r="AC56" s="73" t="e">
        <f>IF(S56="","",IF(#REF!="Tolerance",IF(-((#REF!*3*T56)-S56)-E56&gt;G56,"",-((#REF!*3*T56)-S56)-E56),IF(#REF!="MIN",IF(-((#REF!*3*T56)-S56)&gt;G56,"",-((#REF!*3*T56)-S56)),"")))</f>
        <v>#REF!</v>
      </c>
      <c r="AD56" s="73">
        <f t="shared" si="13"/>
        <v>1.5249999999999999</v>
      </c>
      <c r="AE56" s="73" t="str">
        <f t="shared" si="9"/>
        <v/>
      </c>
      <c r="AF56" s="109"/>
      <c r="AG56" s="110" t="str">
        <f t="shared" si="14"/>
        <v/>
      </c>
      <c r="AH56" s="164" t="str" cm="1">
        <f t="array" ref="AH56">IF(AND(AM56:BR56 &gt;= K56, AM56:BR56 &lt;= J56), "OK", "NG")</f>
        <v>NG</v>
      </c>
      <c r="AI56" s="74"/>
      <c r="AJ56" s="74"/>
      <c r="AK56" s="75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  <c r="BI56" s="149"/>
      <c r="BJ56" s="149"/>
      <c r="BK56" s="149"/>
      <c r="BL56" s="149"/>
      <c r="BM56" s="149"/>
      <c r="BN56" s="149"/>
      <c r="BO56" s="149"/>
      <c r="BP56" s="149"/>
      <c r="BQ56" s="149"/>
      <c r="BR56" s="149"/>
    </row>
    <row r="57" spans="2:70" ht="19.2" customHeight="1">
      <c r="B57" s="68" t="s">
        <v>94</v>
      </c>
      <c r="C57" s="101" t="s">
        <v>188</v>
      </c>
      <c r="D57" s="125" t="s">
        <v>45</v>
      </c>
      <c r="E57" s="126">
        <v>1.5249999999999999</v>
      </c>
      <c r="F57" s="127">
        <v>0.03</v>
      </c>
      <c r="G57" s="127">
        <v>-0.03</v>
      </c>
      <c r="H57" s="106" t="s">
        <v>46</v>
      </c>
      <c r="I57" s="69"/>
      <c r="J57" s="70">
        <f t="shared" si="10"/>
        <v>1.5549999999999999</v>
      </c>
      <c r="K57" s="70">
        <f t="shared" si="11"/>
        <v>1.4949999999999999</v>
      </c>
      <c r="L57" s="70">
        <v>1.5505</v>
      </c>
      <c r="M57" s="70">
        <v>1.4994999999999998</v>
      </c>
      <c r="N57" s="155"/>
      <c r="O57" s="155"/>
      <c r="P57" s="71"/>
      <c r="Q57" s="128">
        <f t="shared" si="0"/>
        <v>0</v>
      </c>
      <c r="R57" s="128">
        <f t="shared" si="1"/>
        <v>0</v>
      </c>
      <c r="S57" s="128">
        <f t="shared" si="2"/>
        <v>0</v>
      </c>
      <c r="T57" s="129">
        <f t="shared" si="3"/>
        <v>0</v>
      </c>
      <c r="U57" s="107" t="str">
        <f t="shared" si="4"/>
        <v/>
      </c>
      <c r="V57" s="108" t="str">
        <f>IF(OR($AM57="",ISNUMBER($AM57)=FALSE),"",IF(AND(#REF!="Tolerance",$E57&lt;&gt;""),($S57-$E57)/(($J57-$K57)/2),IF(AND(#REF!="GD&amp;T",$F57&lt;&gt;""),$S57/$F57,"")))</f>
        <v/>
      </c>
      <c r="W57" s="108" t="str">
        <f t="shared" si="12"/>
        <v/>
      </c>
      <c r="X57" s="107" t="str">
        <f t="shared" si="5"/>
        <v/>
      </c>
      <c r="Y57" s="107" t="str">
        <f t="shared" si="6"/>
        <v/>
      </c>
      <c r="Z57" s="107" t="str">
        <f t="shared" si="7"/>
        <v/>
      </c>
      <c r="AA57" s="72" t="str">
        <f t="shared" si="8"/>
        <v/>
      </c>
      <c r="AB57" s="73" t="e">
        <f>IF($S57="","",IF(#REF!="Tolerance",IF((#REF!*3*T57+S57)-E57&lt;F57,"",(#REF!*3*T57+S57)-E57),IF(OR(#REF!="GD&amp;T",#REF!="MAX"),IF((#REF!*3*T57+S57)&lt;F57,"",(#REF!*3*T57+S57)),"")))</f>
        <v>#REF!</v>
      </c>
      <c r="AC57" s="73" t="e">
        <f>IF(S57="","",IF(#REF!="Tolerance",IF(-((#REF!*3*T57)-S57)-E57&gt;G57,"",-((#REF!*3*T57)-S57)-E57),IF(#REF!="MIN",IF(-((#REF!*3*T57)-S57)&gt;G57,"",-((#REF!*3*T57)-S57)),"")))</f>
        <v>#REF!</v>
      </c>
      <c r="AD57" s="73">
        <f t="shared" si="13"/>
        <v>1.5249999999999999</v>
      </c>
      <c r="AE57" s="73" t="str">
        <f t="shared" si="9"/>
        <v/>
      </c>
      <c r="AF57" s="109"/>
      <c r="AG57" s="110" t="str">
        <f t="shared" si="14"/>
        <v/>
      </c>
      <c r="AH57" s="164" t="str" cm="1">
        <f t="array" ref="AH57">IF(AND(AM57:BR57 &gt;= K57, AM57:BR57 &lt;= J57), "OK", "NG")</f>
        <v>NG</v>
      </c>
      <c r="AI57" s="74"/>
      <c r="AJ57" s="74"/>
      <c r="AK57" s="75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  <c r="BM57" s="149"/>
      <c r="BN57" s="149"/>
      <c r="BO57" s="149"/>
      <c r="BP57" s="149"/>
      <c r="BQ57" s="149"/>
      <c r="BR57" s="149"/>
    </row>
    <row r="58" spans="2:70" ht="19.2" customHeight="1">
      <c r="B58" s="68" t="s">
        <v>94</v>
      </c>
      <c r="C58" s="101" t="s">
        <v>189</v>
      </c>
      <c r="D58" s="125" t="s">
        <v>45</v>
      </c>
      <c r="E58" s="126">
        <v>1.5249999999999999</v>
      </c>
      <c r="F58" s="127">
        <v>0.03</v>
      </c>
      <c r="G58" s="127">
        <v>-0.03</v>
      </c>
      <c r="H58" s="106" t="s">
        <v>46</v>
      </c>
      <c r="I58" s="69"/>
      <c r="J58" s="70">
        <f t="shared" si="10"/>
        <v>1.5549999999999999</v>
      </c>
      <c r="K58" s="70">
        <f t="shared" si="11"/>
        <v>1.4949999999999999</v>
      </c>
      <c r="L58" s="70">
        <v>1.5505</v>
      </c>
      <c r="M58" s="70">
        <v>1.4994999999999998</v>
      </c>
      <c r="N58" s="155"/>
      <c r="O58" s="155"/>
      <c r="P58" s="71"/>
      <c r="Q58" s="128">
        <f t="shared" si="0"/>
        <v>0</v>
      </c>
      <c r="R58" s="128">
        <f t="shared" si="1"/>
        <v>0</v>
      </c>
      <c r="S58" s="128">
        <f t="shared" si="2"/>
        <v>0</v>
      </c>
      <c r="T58" s="129">
        <f t="shared" si="3"/>
        <v>0</v>
      </c>
      <c r="U58" s="107" t="str">
        <f t="shared" si="4"/>
        <v/>
      </c>
      <c r="V58" s="108" t="str">
        <f>IF(OR($AM58="",ISNUMBER($AM58)=FALSE),"",IF(AND(#REF!="Tolerance",$E58&lt;&gt;""),($S58-$E58)/(($J58-$K58)/2),IF(AND(#REF!="GD&amp;T",$F58&lt;&gt;""),$S58/$F58,"")))</f>
        <v/>
      </c>
      <c r="W58" s="108" t="str">
        <f t="shared" si="12"/>
        <v/>
      </c>
      <c r="X58" s="107" t="str">
        <f t="shared" si="5"/>
        <v/>
      </c>
      <c r="Y58" s="107" t="str">
        <f t="shared" si="6"/>
        <v/>
      </c>
      <c r="Z58" s="107" t="str">
        <f t="shared" si="7"/>
        <v/>
      </c>
      <c r="AA58" s="72" t="str">
        <f t="shared" si="8"/>
        <v/>
      </c>
      <c r="AB58" s="73" t="e">
        <f>IF($S58="","",IF(#REF!="Tolerance",IF((#REF!*3*T58+S58)-E58&lt;F58,"",(#REF!*3*T58+S58)-E58),IF(OR(#REF!="GD&amp;T",#REF!="MAX"),IF((#REF!*3*T58+S58)&lt;F58,"",(#REF!*3*T58+S58)),"")))</f>
        <v>#REF!</v>
      </c>
      <c r="AC58" s="73" t="e">
        <f>IF(S58="","",IF(#REF!="Tolerance",IF(-((#REF!*3*T58)-S58)-E58&gt;G58,"",-((#REF!*3*T58)-S58)-E58),IF(#REF!="MIN",IF(-((#REF!*3*T58)-S58)&gt;G58,"",-((#REF!*3*T58)-S58)),"")))</f>
        <v>#REF!</v>
      </c>
      <c r="AD58" s="73">
        <f t="shared" si="13"/>
        <v>1.5249999999999999</v>
      </c>
      <c r="AE58" s="73" t="str">
        <f t="shared" si="9"/>
        <v/>
      </c>
      <c r="AF58" s="109"/>
      <c r="AG58" s="110" t="str">
        <f t="shared" si="14"/>
        <v/>
      </c>
      <c r="AH58" s="164" t="str" cm="1">
        <f t="array" ref="AH58">IF(AND(AM58:BR58 &gt;= K58, AM58:BR58 &lt;= J58), "OK", "NG")</f>
        <v>NG</v>
      </c>
      <c r="AI58" s="74"/>
      <c r="AJ58" s="74"/>
      <c r="AK58" s="75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  <c r="BI58" s="149"/>
      <c r="BJ58" s="149"/>
      <c r="BK58" s="149"/>
      <c r="BL58" s="149"/>
      <c r="BM58" s="149"/>
      <c r="BN58" s="149"/>
      <c r="BO58" s="149"/>
      <c r="BP58" s="149"/>
      <c r="BQ58" s="149"/>
      <c r="BR58" s="149"/>
    </row>
    <row r="59" spans="2:70" ht="19.2" customHeight="1">
      <c r="B59" s="68" t="s">
        <v>90</v>
      </c>
      <c r="C59" s="101" t="s">
        <v>190</v>
      </c>
      <c r="D59" s="125" t="s">
        <v>45</v>
      </c>
      <c r="E59" s="126">
        <v>0.72499999999999998</v>
      </c>
      <c r="F59" s="127">
        <v>0.03</v>
      </c>
      <c r="G59" s="127">
        <v>-0.03</v>
      </c>
      <c r="H59" s="106" t="s">
        <v>46</v>
      </c>
      <c r="I59" s="69"/>
      <c r="J59" s="70">
        <f t="shared" si="10"/>
        <v>0.755</v>
      </c>
      <c r="K59" s="70">
        <f t="shared" si="11"/>
        <v>0.69499999999999995</v>
      </c>
      <c r="L59" s="70">
        <v>0.755</v>
      </c>
      <c r="M59" s="70">
        <v>0.69499999999999995</v>
      </c>
      <c r="N59" s="155"/>
      <c r="O59" s="155"/>
      <c r="P59" s="71"/>
      <c r="Q59" s="128">
        <f t="shared" si="0"/>
        <v>0</v>
      </c>
      <c r="R59" s="128">
        <f t="shared" si="1"/>
        <v>0</v>
      </c>
      <c r="S59" s="128">
        <f t="shared" si="2"/>
        <v>0</v>
      </c>
      <c r="T59" s="129">
        <f>IF(OR($AM59=ISBLANK(TRUE),ISNUMBER($AM59)=FALSE),,STDEV(AM59:BR59))</f>
        <v>0</v>
      </c>
      <c r="U59" s="107" t="str">
        <f t="shared" si="4"/>
        <v/>
      </c>
      <c r="V59" s="108" t="str">
        <f>IF(OR($AM59="",ISNUMBER($AM59)=FALSE),"",IF(AND(#REF!="Tolerance",$E59&lt;&gt;""),($S59-$E59)/(($J59-$K59)/2),IF(AND(#REF!="GD&amp;T",$F59&lt;&gt;""),$S59/$F59,"")))</f>
        <v/>
      </c>
      <c r="W59" s="108" t="str">
        <f t="shared" si="12"/>
        <v/>
      </c>
      <c r="X59" s="107" t="str">
        <f t="shared" si="5"/>
        <v/>
      </c>
      <c r="Y59" s="107" t="str">
        <f t="shared" si="6"/>
        <v/>
      </c>
      <c r="Z59" s="107" t="str">
        <f t="shared" si="7"/>
        <v/>
      </c>
      <c r="AA59" s="72" t="str">
        <f t="shared" si="8"/>
        <v/>
      </c>
      <c r="AB59" s="73" t="e">
        <f>IF($S59="","",IF(#REF!="Tolerance",IF((#REF!*3*T59+S59)-E59&lt;F59,"",(#REF!*3*T59+S59)-E59),IF(OR(#REF!="GD&amp;T",#REF!="MAX"),IF((#REF!*3*T59+S59)&lt;F59,"",(#REF!*3*T59+S59)),"")))</f>
        <v>#REF!</v>
      </c>
      <c r="AC59" s="73" t="e">
        <f>IF(S59="","",IF(#REF!="Tolerance",IF(-((#REF!*3*T59)-S59)-E59&gt;G59,"",-((#REF!*3*T59)-S59)-E59),IF(#REF!="MIN",IF(-((#REF!*3*T59)-S59)&gt;G59,"",-((#REF!*3*T59)-S59)),"")))</f>
        <v>#REF!</v>
      </c>
      <c r="AD59" s="73">
        <f t="shared" si="13"/>
        <v>0.72499999999999998</v>
      </c>
      <c r="AE59" s="73" t="str">
        <f t="shared" si="9"/>
        <v/>
      </c>
      <c r="AF59" s="109"/>
      <c r="AG59" s="110" t="str">
        <f t="shared" si="14"/>
        <v/>
      </c>
      <c r="AH59" s="164" t="str" cm="1">
        <f t="array" ref="AH59">IF(AND(AM59:BR59 &gt;= K59, AM59:BR59 &lt;= J59), "OK", "NG")</f>
        <v>NG</v>
      </c>
      <c r="AI59" s="74"/>
      <c r="AJ59" s="74"/>
      <c r="AK59" s="75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  <c r="BI59" s="149"/>
      <c r="BJ59" s="149"/>
      <c r="BK59" s="149"/>
      <c r="BL59" s="149"/>
      <c r="BM59" s="149"/>
      <c r="BN59" s="149"/>
      <c r="BO59" s="149"/>
      <c r="BP59" s="149"/>
      <c r="BQ59" s="149"/>
      <c r="BR59" s="149"/>
    </row>
    <row r="60" spans="2:70" ht="19.2" customHeight="1">
      <c r="B60" s="68" t="s">
        <v>90</v>
      </c>
      <c r="C60" s="101" t="s">
        <v>191</v>
      </c>
      <c r="D60" s="125" t="s">
        <v>45</v>
      </c>
      <c r="E60" s="126">
        <v>0.72499999999999998</v>
      </c>
      <c r="F60" s="127">
        <v>0.03</v>
      </c>
      <c r="G60" s="127">
        <v>-0.03</v>
      </c>
      <c r="H60" s="106" t="s">
        <v>46</v>
      </c>
      <c r="I60" s="69"/>
      <c r="J60" s="70">
        <f t="shared" si="10"/>
        <v>0.755</v>
      </c>
      <c r="K60" s="70">
        <f t="shared" si="11"/>
        <v>0.69499999999999995</v>
      </c>
      <c r="L60" s="70">
        <v>0.755</v>
      </c>
      <c r="M60" s="70">
        <v>0.69499999999999995</v>
      </c>
      <c r="N60" s="155"/>
      <c r="O60" s="155"/>
      <c r="P60" s="71"/>
      <c r="Q60" s="128">
        <f t="shared" si="0"/>
        <v>0</v>
      </c>
      <c r="R60" s="128">
        <f t="shared" si="1"/>
        <v>0</v>
      </c>
      <c r="S60" s="128">
        <f t="shared" si="2"/>
        <v>0</v>
      </c>
      <c r="T60" s="129">
        <f t="shared" ref="T60:T84" si="25">IF(OR($AM60=ISBLANK(TRUE),ISNUMBER($AM60)=FALSE),,STDEV(AM60:BR60))</f>
        <v>0</v>
      </c>
      <c r="U60" s="107" t="str">
        <f t="shared" si="4"/>
        <v/>
      </c>
      <c r="V60" s="108" t="str">
        <f>IF(OR($AM60="",ISNUMBER($AM60)=FALSE),"",IF(AND(#REF!="Tolerance",$E60&lt;&gt;""),($S60-$E60)/(($J60-$K60)/2),IF(AND(#REF!="GD&amp;T",$F60&lt;&gt;""),$S60/$F60,"")))</f>
        <v/>
      </c>
      <c r="W60" s="108" t="str">
        <f t="shared" si="12"/>
        <v/>
      </c>
      <c r="X60" s="107" t="str">
        <f t="shared" si="5"/>
        <v/>
      </c>
      <c r="Y60" s="107" t="str">
        <f t="shared" si="6"/>
        <v/>
      </c>
      <c r="Z60" s="107" t="str">
        <f t="shared" si="7"/>
        <v/>
      </c>
      <c r="AA60" s="72" t="str">
        <f t="shared" si="8"/>
        <v/>
      </c>
      <c r="AB60" s="73" t="e">
        <f>IF($S60="","",IF(#REF!="Tolerance",IF((#REF!*3*T60+S60)-E60&lt;F60,"",(#REF!*3*T60+S60)-E60),IF(OR(#REF!="GD&amp;T",#REF!="MAX"),IF((#REF!*3*T60+S60)&lt;F60,"",(#REF!*3*T60+S60)),"")))</f>
        <v>#REF!</v>
      </c>
      <c r="AC60" s="73" t="e">
        <f>IF(S60="","",IF(#REF!="Tolerance",IF(-((#REF!*3*T60)-S60)-E60&gt;G60,"",-((#REF!*3*T60)-S60)-E60),IF(#REF!="MIN",IF(-((#REF!*3*T60)-S60)&gt;G60,"",-((#REF!*3*T60)-S60)),"")))</f>
        <v>#REF!</v>
      </c>
      <c r="AD60" s="73">
        <f t="shared" si="13"/>
        <v>0.72499999999999998</v>
      </c>
      <c r="AE60" s="73" t="str">
        <f t="shared" si="9"/>
        <v/>
      </c>
      <c r="AF60" s="109"/>
      <c r="AG60" s="110" t="str">
        <f t="shared" si="14"/>
        <v/>
      </c>
      <c r="AH60" s="164" t="str" cm="1">
        <f t="array" ref="AH60">IF(AND(AM60:BR60 &gt;= K60, AM60:BR60 &lt;= J60), "OK", "NG")</f>
        <v>NG</v>
      </c>
      <c r="AI60" s="74"/>
      <c r="AJ60" s="74"/>
      <c r="AK60" s="75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  <c r="BI60" s="149"/>
      <c r="BJ60" s="149"/>
      <c r="BK60" s="149"/>
      <c r="BL60" s="149"/>
      <c r="BM60" s="149"/>
      <c r="BN60" s="149"/>
      <c r="BO60" s="149"/>
      <c r="BP60" s="149"/>
      <c r="BQ60" s="149"/>
      <c r="BR60" s="149"/>
    </row>
    <row r="61" spans="2:70" ht="19.2" customHeight="1">
      <c r="B61" s="68" t="s">
        <v>90</v>
      </c>
      <c r="C61" s="101" t="s">
        <v>192</v>
      </c>
      <c r="D61" s="125" t="s">
        <v>45</v>
      </c>
      <c r="E61" s="126">
        <v>0.72499999999999998</v>
      </c>
      <c r="F61" s="127">
        <v>0.03</v>
      </c>
      <c r="G61" s="127">
        <v>-0.03</v>
      </c>
      <c r="H61" s="106" t="s">
        <v>46</v>
      </c>
      <c r="I61" s="69"/>
      <c r="J61" s="70">
        <f t="shared" si="10"/>
        <v>0.755</v>
      </c>
      <c r="K61" s="70">
        <f t="shared" si="11"/>
        <v>0.69499999999999995</v>
      </c>
      <c r="L61" s="70">
        <v>0.755</v>
      </c>
      <c r="M61" s="70">
        <v>0.69499999999999995</v>
      </c>
      <c r="N61" s="155"/>
      <c r="O61" s="155"/>
      <c r="P61" s="71"/>
      <c r="Q61" s="128">
        <f t="shared" si="0"/>
        <v>0</v>
      </c>
      <c r="R61" s="128">
        <f t="shared" si="1"/>
        <v>0</v>
      </c>
      <c r="S61" s="128">
        <f t="shared" si="2"/>
        <v>0</v>
      </c>
      <c r="T61" s="129">
        <f t="shared" si="25"/>
        <v>0</v>
      </c>
      <c r="U61" s="107" t="str">
        <f t="shared" si="4"/>
        <v/>
      </c>
      <c r="V61" s="108" t="str">
        <f>IF(OR($AM61="",ISNUMBER($AM61)=FALSE),"",IF(AND(#REF!="Tolerance",$E61&lt;&gt;""),($S61-$E61)/(($J61-$K61)/2),IF(AND(#REF!="GD&amp;T",$F61&lt;&gt;""),$S61/$F61,"")))</f>
        <v/>
      </c>
      <c r="W61" s="108" t="str">
        <f t="shared" si="12"/>
        <v/>
      </c>
      <c r="X61" s="107" t="str">
        <f t="shared" si="5"/>
        <v/>
      </c>
      <c r="Y61" s="107" t="str">
        <f t="shared" si="6"/>
        <v/>
      </c>
      <c r="Z61" s="107" t="str">
        <f t="shared" si="7"/>
        <v/>
      </c>
      <c r="AA61" s="72" t="str">
        <f t="shared" si="8"/>
        <v/>
      </c>
      <c r="AB61" s="73" t="e">
        <f>IF($S61="","",IF(#REF!="Tolerance",IF((#REF!*3*T61+S61)-E61&lt;F61,"",(#REF!*3*T61+S61)-E61),IF(OR(#REF!="GD&amp;T",#REF!="MAX"),IF((#REF!*3*T61+S61)&lt;F61,"",(#REF!*3*T61+S61)),"")))</f>
        <v>#REF!</v>
      </c>
      <c r="AC61" s="73" t="e">
        <f>IF(S61="","",IF(#REF!="Tolerance",IF(-((#REF!*3*T61)-S61)-E61&gt;G61,"",-((#REF!*3*T61)-S61)-E61),IF(#REF!="MIN",IF(-((#REF!*3*T61)-S61)&gt;G61,"",-((#REF!*3*T61)-S61)),"")))</f>
        <v>#REF!</v>
      </c>
      <c r="AD61" s="73">
        <f t="shared" si="13"/>
        <v>0.72499999999999998</v>
      </c>
      <c r="AE61" s="73" t="str">
        <f t="shared" si="9"/>
        <v/>
      </c>
      <c r="AF61" s="109"/>
      <c r="AG61" s="110" t="str">
        <f t="shared" si="14"/>
        <v/>
      </c>
      <c r="AH61" s="164" t="str" cm="1">
        <f t="array" ref="AH61">IF(AND(AM61:BR61 &gt;= K61, AM61:BR61 &lt;= J61), "OK", "NG")</f>
        <v>NG</v>
      </c>
      <c r="AI61" s="74"/>
      <c r="AJ61" s="74"/>
      <c r="AK61" s="75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  <c r="BI61" s="149"/>
      <c r="BJ61" s="149"/>
      <c r="BK61" s="149"/>
      <c r="BL61" s="149"/>
      <c r="BM61" s="149"/>
      <c r="BN61" s="149"/>
      <c r="BO61" s="149"/>
      <c r="BP61" s="149"/>
      <c r="BQ61" s="149"/>
      <c r="BR61" s="149"/>
    </row>
    <row r="62" spans="2:70" ht="19.2" customHeight="1">
      <c r="B62" s="68" t="s">
        <v>95</v>
      </c>
      <c r="C62" s="101" t="s">
        <v>193</v>
      </c>
      <c r="D62" s="125" t="s">
        <v>45</v>
      </c>
      <c r="E62" s="126">
        <v>0.93899999999999995</v>
      </c>
      <c r="F62" s="127">
        <v>0.03</v>
      </c>
      <c r="G62" s="127">
        <v>-0.02</v>
      </c>
      <c r="H62" s="106" t="s">
        <v>273</v>
      </c>
      <c r="I62" s="69"/>
      <c r="J62" s="70">
        <f t="shared" si="10"/>
        <v>0.96899999999999997</v>
      </c>
      <c r="K62" s="70">
        <f t="shared" si="11"/>
        <v>0.91899999999999993</v>
      </c>
      <c r="L62" s="70">
        <v>0.96449999999999991</v>
      </c>
      <c r="M62" s="70">
        <v>0.92199999999999993</v>
      </c>
      <c r="N62" s="155">
        <v>0.96149999999999991</v>
      </c>
      <c r="O62" s="155">
        <v>0.92399999999999993</v>
      </c>
      <c r="P62" s="71"/>
      <c r="Q62" s="128">
        <f t="shared" si="0"/>
        <v>0</v>
      </c>
      <c r="R62" s="128">
        <f t="shared" si="1"/>
        <v>0</v>
      </c>
      <c r="S62" s="128">
        <f t="shared" si="2"/>
        <v>0</v>
      </c>
      <c r="T62" s="129">
        <f t="shared" si="25"/>
        <v>0</v>
      </c>
      <c r="U62" s="107" t="str">
        <f t="shared" si="4"/>
        <v/>
      </c>
      <c r="V62" s="108" t="str">
        <f>IF(OR($AM62="",ISNUMBER($AM62)=FALSE),"",IF(AND(#REF!="Tolerance",$E62&lt;&gt;""),($S62-$E62)/(($J62-$K62)/2),IF(AND(#REF!="GD&amp;T",$F62&lt;&gt;""),$S62/$F62,"")))</f>
        <v/>
      </c>
      <c r="W62" s="108" t="str">
        <f t="shared" si="12"/>
        <v/>
      </c>
      <c r="X62" s="107" t="str">
        <f t="shared" si="5"/>
        <v/>
      </c>
      <c r="Y62" s="107" t="str">
        <f t="shared" si="6"/>
        <v/>
      </c>
      <c r="Z62" s="107" t="str">
        <f t="shared" si="7"/>
        <v/>
      </c>
      <c r="AA62" s="72" t="str">
        <f t="shared" si="8"/>
        <v/>
      </c>
      <c r="AB62" s="73" t="e">
        <f>IF($S62="","",IF(#REF!="Tolerance",IF((#REF!*3*T62+S62)-E62&lt;F62,"",(#REF!*3*T62+S62)-E62),IF(OR(#REF!="GD&amp;T",#REF!="MAX"),IF((#REF!*3*T62+S62)&lt;F62,"",(#REF!*3*T62+S62)),"")))</f>
        <v>#REF!</v>
      </c>
      <c r="AC62" s="73" t="e">
        <f>IF(S62="","",IF(#REF!="Tolerance",IF(-((#REF!*3*T62)-S62)-E62&gt;G62,"",-((#REF!*3*T62)-S62)-E62),IF(#REF!="MIN",IF(-((#REF!*3*T62)-S62)&gt;G62,"",-((#REF!*3*T62)-S62)),"")))</f>
        <v>#REF!</v>
      </c>
      <c r="AD62" s="73">
        <f t="shared" si="13"/>
        <v>0.94399999999999995</v>
      </c>
      <c r="AE62" s="73" t="str">
        <f t="shared" si="9"/>
        <v/>
      </c>
      <c r="AF62" s="109"/>
      <c r="AG62" s="110" t="str">
        <f t="shared" si="14"/>
        <v/>
      </c>
      <c r="AH62" s="164" t="str" cm="1">
        <f t="array" ref="AH62">IF(AND(AM62:BR62 &gt;= K62, AM62:BR62 &lt;= J62), "OK", "NG")</f>
        <v>NG</v>
      </c>
      <c r="AI62" s="74"/>
      <c r="AJ62" s="74"/>
      <c r="AK62" s="75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  <c r="BI62" s="149"/>
      <c r="BJ62" s="149"/>
      <c r="BK62" s="149"/>
      <c r="BL62" s="149"/>
      <c r="BM62" s="149"/>
      <c r="BN62" s="149"/>
      <c r="BO62" s="149"/>
      <c r="BP62" s="149"/>
      <c r="BQ62" s="149"/>
      <c r="BR62" s="149"/>
    </row>
    <row r="63" spans="2:70" ht="19.2" customHeight="1">
      <c r="B63" s="68" t="s">
        <v>95</v>
      </c>
      <c r="C63" s="101" t="s">
        <v>194</v>
      </c>
      <c r="D63" s="125" t="s">
        <v>45</v>
      </c>
      <c r="E63" s="126">
        <v>0.93899999999999995</v>
      </c>
      <c r="F63" s="127">
        <v>0.03</v>
      </c>
      <c r="G63" s="127">
        <v>-0.02</v>
      </c>
      <c r="H63" s="106" t="s">
        <v>273</v>
      </c>
      <c r="I63" s="69"/>
      <c r="J63" s="70">
        <f t="shared" si="10"/>
        <v>0.96899999999999997</v>
      </c>
      <c r="K63" s="70">
        <f t="shared" si="11"/>
        <v>0.91899999999999993</v>
      </c>
      <c r="L63" s="70">
        <v>0.96449999999999991</v>
      </c>
      <c r="M63" s="70">
        <v>0.92199999999999993</v>
      </c>
      <c r="N63" s="155">
        <v>0.96149999999999991</v>
      </c>
      <c r="O63" s="155">
        <v>0.92399999999999993</v>
      </c>
      <c r="P63" s="71"/>
      <c r="Q63" s="128">
        <f t="shared" si="0"/>
        <v>0</v>
      </c>
      <c r="R63" s="128">
        <f t="shared" si="1"/>
        <v>0</v>
      </c>
      <c r="S63" s="128">
        <f t="shared" si="2"/>
        <v>0</v>
      </c>
      <c r="T63" s="129">
        <f t="shared" si="25"/>
        <v>0</v>
      </c>
      <c r="U63" s="107" t="str">
        <f t="shared" si="4"/>
        <v/>
      </c>
      <c r="V63" s="108" t="str">
        <f>IF(OR($AM63="",ISNUMBER($AM63)=FALSE),"",IF(AND(#REF!="Tolerance",$E63&lt;&gt;""),($S63-$E63)/(($J63-$K63)/2),IF(AND(#REF!="GD&amp;T",$F63&lt;&gt;""),$S63/$F63,"")))</f>
        <v/>
      </c>
      <c r="W63" s="108" t="str">
        <f t="shared" si="12"/>
        <v/>
      </c>
      <c r="X63" s="107" t="str">
        <f t="shared" si="5"/>
        <v/>
      </c>
      <c r="Y63" s="107" t="str">
        <f t="shared" si="6"/>
        <v/>
      </c>
      <c r="Z63" s="107" t="str">
        <f t="shared" si="7"/>
        <v/>
      </c>
      <c r="AA63" s="72" t="str">
        <f t="shared" si="8"/>
        <v/>
      </c>
      <c r="AB63" s="73" t="e">
        <f>IF($S63="","",IF(#REF!="Tolerance",IF((#REF!*3*T63+S63)-E63&lt;F63,"",(#REF!*3*T63+S63)-E63),IF(OR(#REF!="GD&amp;T",#REF!="MAX"),IF((#REF!*3*T63+S63)&lt;F63,"",(#REF!*3*T63+S63)),"")))</f>
        <v>#REF!</v>
      </c>
      <c r="AC63" s="73" t="e">
        <f>IF(S63="","",IF(#REF!="Tolerance",IF(-((#REF!*3*T63)-S63)-E63&gt;G63,"",-((#REF!*3*T63)-S63)-E63),IF(#REF!="MIN",IF(-((#REF!*3*T63)-S63)&gt;G63,"",-((#REF!*3*T63)-S63)),"")))</f>
        <v>#REF!</v>
      </c>
      <c r="AD63" s="73">
        <f t="shared" si="13"/>
        <v>0.94399999999999995</v>
      </c>
      <c r="AE63" s="73" t="str">
        <f t="shared" si="9"/>
        <v/>
      </c>
      <c r="AF63" s="109"/>
      <c r="AG63" s="110" t="str">
        <f t="shared" si="14"/>
        <v/>
      </c>
      <c r="AH63" s="164" t="str" cm="1">
        <f t="array" ref="AH63">IF(AND(AM63:BR63 &gt;= K63, AM63:BR63 &lt;= J63), "OK", "NG")</f>
        <v>NG</v>
      </c>
      <c r="AI63" s="74"/>
      <c r="AJ63" s="74"/>
      <c r="AK63" s="75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  <c r="BI63" s="149"/>
      <c r="BJ63" s="149"/>
      <c r="BK63" s="149"/>
      <c r="BL63" s="149"/>
      <c r="BM63" s="149"/>
      <c r="BN63" s="149"/>
      <c r="BO63" s="149"/>
      <c r="BP63" s="149"/>
      <c r="BQ63" s="149"/>
      <c r="BR63" s="149"/>
    </row>
    <row r="64" spans="2:70" ht="19.2" customHeight="1">
      <c r="B64" s="68" t="s">
        <v>95</v>
      </c>
      <c r="C64" s="101" t="s">
        <v>195</v>
      </c>
      <c r="D64" s="125" t="s">
        <v>45</v>
      </c>
      <c r="E64" s="126">
        <v>0.93899999999999995</v>
      </c>
      <c r="F64" s="127">
        <v>0.03</v>
      </c>
      <c r="G64" s="127">
        <v>-0.02</v>
      </c>
      <c r="H64" s="106" t="s">
        <v>273</v>
      </c>
      <c r="I64" s="69"/>
      <c r="J64" s="70">
        <f t="shared" si="10"/>
        <v>0.96899999999999997</v>
      </c>
      <c r="K64" s="70">
        <f t="shared" si="11"/>
        <v>0.91899999999999993</v>
      </c>
      <c r="L64" s="70">
        <v>0.96449999999999991</v>
      </c>
      <c r="M64" s="70">
        <v>0.92199999999999993</v>
      </c>
      <c r="N64" s="155">
        <v>0.96149999999999991</v>
      </c>
      <c r="O64" s="155">
        <v>0.92399999999999993</v>
      </c>
      <c r="P64" s="71"/>
      <c r="Q64" s="128">
        <f t="shared" si="0"/>
        <v>0</v>
      </c>
      <c r="R64" s="128">
        <f t="shared" si="1"/>
        <v>0</v>
      </c>
      <c r="S64" s="128">
        <f t="shared" si="2"/>
        <v>0</v>
      </c>
      <c r="T64" s="129">
        <f t="shared" si="25"/>
        <v>0</v>
      </c>
      <c r="U64" s="107" t="str">
        <f t="shared" si="4"/>
        <v/>
      </c>
      <c r="V64" s="108" t="str">
        <f>IF(OR($AM64="",ISNUMBER($AM64)=FALSE),"",IF(AND(#REF!="Tolerance",$E64&lt;&gt;""),($S64-$E64)/(($J64-$K64)/2),IF(AND(#REF!="GD&amp;T",$F64&lt;&gt;""),$S64/$F64,"")))</f>
        <v/>
      </c>
      <c r="W64" s="108" t="str">
        <f t="shared" si="12"/>
        <v/>
      </c>
      <c r="X64" s="107" t="str">
        <f t="shared" si="5"/>
        <v/>
      </c>
      <c r="Y64" s="107" t="str">
        <f t="shared" si="6"/>
        <v/>
      </c>
      <c r="Z64" s="107" t="str">
        <f t="shared" si="7"/>
        <v/>
      </c>
      <c r="AA64" s="72" t="str">
        <f t="shared" si="8"/>
        <v/>
      </c>
      <c r="AB64" s="73" t="e">
        <f>IF($S64="","",IF(#REF!="Tolerance",IF((#REF!*3*T64+S64)-E64&lt;F64,"",(#REF!*3*T64+S64)-E64),IF(OR(#REF!="GD&amp;T",#REF!="MAX"),IF((#REF!*3*T64+S64)&lt;F64,"",(#REF!*3*T64+S64)),"")))</f>
        <v>#REF!</v>
      </c>
      <c r="AC64" s="73" t="e">
        <f>IF(S64="","",IF(#REF!="Tolerance",IF(-((#REF!*3*T64)-S64)-E64&gt;G64,"",-((#REF!*3*T64)-S64)-E64),IF(#REF!="MIN",IF(-((#REF!*3*T64)-S64)&gt;G64,"",-((#REF!*3*T64)-S64)),"")))</f>
        <v>#REF!</v>
      </c>
      <c r="AD64" s="73">
        <f t="shared" si="13"/>
        <v>0.94399999999999995</v>
      </c>
      <c r="AE64" s="73" t="str">
        <f t="shared" si="9"/>
        <v/>
      </c>
      <c r="AF64" s="109"/>
      <c r="AG64" s="110" t="str">
        <f t="shared" si="14"/>
        <v/>
      </c>
      <c r="AH64" s="164" t="str" cm="1">
        <f t="array" ref="AH64">IF(AND(AM64:BR64 &gt;= K64, AM64:BR64 &lt;= J64), "OK", "NG")</f>
        <v>NG</v>
      </c>
      <c r="AI64" s="74"/>
      <c r="AJ64" s="74"/>
      <c r="AK64" s="75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  <c r="BI64" s="149"/>
      <c r="BJ64" s="149"/>
      <c r="BK64" s="149"/>
      <c r="BL64" s="149"/>
      <c r="BM64" s="149"/>
      <c r="BN64" s="149"/>
      <c r="BO64" s="149"/>
      <c r="BP64" s="149"/>
      <c r="BQ64" s="149"/>
      <c r="BR64" s="149"/>
    </row>
    <row r="65" spans="2:70" ht="19.2" customHeight="1">
      <c r="B65" s="68" t="s">
        <v>95</v>
      </c>
      <c r="C65" s="101" t="s">
        <v>196</v>
      </c>
      <c r="D65" s="125" t="s">
        <v>45</v>
      </c>
      <c r="E65" s="126">
        <v>0.93899999999999995</v>
      </c>
      <c r="F65" s="127">
        <v>0.03</v>
      </c>
      <c r="G65" s="127">
        <v>-0.02</v>
      </c>
      <c r="H65" s="106" t="s">
        <v>273</v>
      </c>
      <c r="I65" s="69"/>
      <c r="J65" s="70">
        <f t="shared" si="10"/>
        <v>0.96899999999999997</v>
      </c>
      <c r="K65" s="70">
        <f t="shared" si="11"/>
        <v>0.91899999999999993</v>
      </c>
      <c r="L65" s="70">
        <v>0.96449999999999991</v>
      </c>
      <c r="M65" s="70">
        <v>0.92199999999999993</v>
      </c>
      <c r="N65" s="155">
        <v>0.96149999999999991</v>
      </c>
      <c r="O65" s="155">
        <v>0.92399999999999993</v>
      </c>
      <c r="P65" s="71"/>
      <c r="Q65" s="128">
        <f t="shared" si="0"/>
        <v>0</v>
      </c>
      <c r="R65" s="128">
        <f t="shared" si="1"/>
        <v>0</v>
      </c>
      <c r="S65" s="128">
        <f t="shared" si="2"/>
        <v>0</v>
      </c>
      <c r="T65" s="129">
        <f t="shared" si="25"/>
        <v>0</v>
      </c>
      <c r="U65" s="107" t="str">
        <f t="shared" si="4"/>
        <v/>
      </c>
      <c r="V65" s="108" t="str">
        <f>IF(OR($AM65="",ISNUMBER($AM65)=FALSE),"",IF(AND(#REF!="Tolerance",$E65&lt;&gt;""),($S65-$E65)/(($J65-$K65)/2),IF(AND(#REF!="GD&amp;T",$F65&lt;&gt;""),$S65/$F65,"")))</f>
        <v/>
      </c>
      <c r="W65" s="108" t="str">
        <f t="shared" si="12"/>
        <v/>
      </c>
      <c r="X65" s="107" t="str">
        <f t="shared" si="5"/>
        <v/>
      </c>
      <c r="Y65" s="107" t="str">
        <f t="shared" si="6"/>
        <v/>
      </c>
      <c r="Z65" s="107" t="str">
        <f t="shared" si="7"/>
        <v/>
      </c>
      <c r="AA65" s="72" t="str">
        <f t="shared" si="8"/>
        <v/>
      </c>
      <c r="AB65" s="73" t="e">
        <f>IF($S65="","",IF(#REF!="Tolerance",IF((#REF!*3*T65+S65)-E65&lt;F65,"",(#REF!*3*T65+S65)-E65),IF(OR(#REF!="GD&amp;T",#REF!="MAX"),IF((#REF!*3*T65+S65)&lt;F65,"",(#REF!*3*T65+S65)),"")))</f>
        <v>#REF!</v>
      </c>
      <c r="AC65" s="73" t="e">
        <f>IF(S65="","",IF(#REF!="Tolerance",IF(-((#REF!*3*T65)-S65)-E65&gt;G65,"",-((#REF!*3*T65)-S65)-E65),IF(#REF!="MIN",IF(-((#REF!*3*T65)-S65)&gt;G65,"",-((#REF!*3*T65)-S65)),"")))</f>
        <v>#REF!</v>
      </c>
      <c r="AD65" s="73">
        <f t="shared" si="13"/>
        <v>0.94399999999999995</v>
      </c>
      <c r="AE65" s="73" t="str">
        <f t="shared" si="9"/>
        <v/>
      </c>
      <c r="AF65" s="109"/>
      <c r="AG65" s="110" t="str">
        <f t="shared" si="14"/>
        <v/>
      </c>
      <c r="AH65" s="164" t="str" cm="1">
        <f t="array" ref="AH65">IF(AND(AM65:BR65 &gt;= K65, AM65:BR65 &lt;= J65), "OK", "NG")</f>
        <v>NG</v>
      </c>
      <c r="AI65" s="74"/>
      <c r="AJ65" s="74"/>
      <c r="AK65" s="75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149"/>
      <c r="BN65" s="149"/>
      <c r="BO65" s="149"/>
      <c r="BP65" s="149"/>
      <c r="BQ65" s="149"/>
      <c r="BR65" s="149"/>
    </row>
    <row r="66" spans="2:70" ht="19.2" customHeight="1">
      <c r="B66" s="68" t="s">
        <v>95</v>
      </c>
      <c r="C66" s="101" t="s">
        <v>350</v>
      </c>
      <c r="D66" s="125" t="s">
        <v>45</v>
      </c>
      <c r="E66" s="126">
        <v>0.93899999999999995</v>
      </c>
      <c r="F66" s="127">
        <v>0.03</v>
      </c>
      <c r="G66" s="127">
        <v>-0.02</v>
      </c>
      <c r="H66" s="106" t="s">
        <v>273</v>
      </c>
      <c r="I66" s="69"/>
      <c r="J66" s="70">
        <f t="shared" si="10"/>
        <v>0.96899999999999997</v>
      </c>
      <c r="K66" s="70">
        <f t="shared" si="11"/>
        <v>0.91899999999999993</v>
      </c>
      <c r="L66" s="70">
        <v>0.96449999999999991</v>
      </c>
      <c r="M66" s="70">
        <v>0.92199999999999993</v>
      </c>
      <c r="N66" s="155">
        <v>0.96149999999999991</v>
      </c>
      <c r="O66" s="155">
        <v>0.92399999999999993</v>
      </c>
      <c r="P66" s="71"/>
      <c r="Q66" s="128">
        <f t="shared" si="0"/>
        <v>0</v>
      </c>
      <c r="R66" s="128">
        <f t="shared" si="1"/>
        <v>0</v>
      </c>
      <c r="S66" s="128">
        <f t="shared" si="2"/>
        <v>0</v>
      </c>
      <c r="T66" s="129">
        <f t="shared" si="25"/>
        <v>0</v>
      </c>
      <c r="U66" s="107" t="str">
        <f t="shared" si="4"/>
        <v/>
      </c>
      <c r="V66" s="108" t="str">
        <f>IF(OR($AM66="",ISNUMBER($AM66)=FALSE),"",IF(AND(#REF!="Tolerance",$E66&lt;&gt;""),($S66-$E66)/(($J66-$K66)/2),IF(AND(#REF!="GD&amp;T",$F66&lt;&gt;""),$S66/$F66,"")))</f>
        <v/>
      </c>
      <c r="W66" s="108" t="str">
        <f t="shared" si="12"/>
        <v/>
      </c>
      <c r="X66" s="107" t="str">
        <f t="shared" si="5"/>
        <v/>
      </c>
      <c r="Y66" s="107" t="str">
        <f t="shared" si="6"/>
        <v/>
      </c>
      <c r="Z66" s="107" t="str">
        <f t="shared" si="7"/>
        <v/>
      </c>
      <c r="AA66" s="72" t="str">
        <f t="shared" si="8"/>
        <v/>
      </c>
      <c r="AB66" s="73" t="e">
        <f>IF($S66="","",IF(#REF!="Tolerance",IF((#REF!*3*T66+S66)-E66&lt;F66,"",(#REF!*3*T66+S66)-E66),IF(OR(#REF!="GD&amp;T",#REF!="MAX"),IF((#REF!*3*T66+S66)&lt;F66,"",(#REF!*3*T66+S66)),"")))</f>
        <v>#REF!</v>
      </c>
      <c r="AC66" s="73" t="e">
        <f>IF(S66="","",IF(#REF!="Tolerance",IF(-((#REF!*3*T66)-S66)-E66&gt;G66,"",-((#REF!*3*T66)-S66)-E66),IF(#REF!="MIN",IF(-((#REF!*3*T66)-S66)&gt;G66,"",-((#REF!*3*T66)-S66)),"")))</f>
        <v>#REF!</v>
      </c>
      <c r="AD66" s="73">
        <f t="shared" si="13"/>
        <v>0.94399999999999995</v>
      </c>
      <c r="AE66" s="73" t="str">
        <f t="shared" si="9"/>
        <v/>
      </c>
      <c r="AF66" s="109"/>
      <c r="AG66" s="110" t="str">
        <f t="shared" si="14"/>
        <v/>
      </c>
      <c r="AH66" s="164" t="str" cm="1">
        <f t="array" ref="AH66">IF(AND(AM66:BR66 &gt;= K66, AM66:BR66 &lt;= J66), "OK", "NG")</f>
        <v>NG</v>
      </c>
      <c r="AI66" s="74"/>
      <c r="AJ66" s="74"/>
      <c r="AK66" s="75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  <c r="BN66" s="149"/>
      <c r="BO66" s="149"/>
      <c r="BP66" s="149"/>
      <c r="BQ66" s="149"/>
      <c r="BR66" s="149"/>
    </row>
    <row r="67" spans="2:70" ht="19.2" customHeight="1">
      <c r="B67" s="68" t="s">
        <v>95</v>
      </c>
      <c r="C67" s="101" t="s">
        <v>366</v>
      </c>
      <c r="D67" s="125" t="s">
        <v>45</v>
      </c>
      <c r="E67" s="126">
        <v>0.93899999999999995</v>
      </c>
      <c r="F67" s="127">
        <v>0.03</v>
      </c>
      <c r="G67" s="127">
        <v>-0.02</v>
      </c>
      <c r="H67" s="106" t="s">
        <v>273</v>
      </c>
      <c r="I67" s="69"/>
      <c r="J67" s="70">
        <f t="shared" si="10"/>
        <v>0.96899999999999997</v>
      </c>
      <c r="K67" s="70">
        <f t="shared" si="11"/>
        <v>0.91899999999999993</v>
      </c>
      <c r="L67" s="70">
        <v>0.96449999999999991</v>
      </c>
      <c r="M67" s="70">
        <v>0.92199999999999993</v>
      </c>
      <c r="N67" s="155">
        <v>0.96149999999999991</v>
      </c>
      <c r="O67" s="155">
        <v>0.92399999999999993</v>
      </c>
      <c r="P67" s="71"/>
      <c r="Q67" s="128">
        <f t="shared" si="0"/>
        <v>0</v>
      </c>
      <c r="R67" s="128">
        <f t="shared" si="1"/>
        <v>0</v>
      </c>
      <c r="S67" s="128">
        <f t="shared" si="2"/>
        <v>0</v>
      </c>
      <c r="T67" s="129">
        <f t="shared" si="25"/>
        <v>0</v>
      </c>
      <c r="U67" s="107" t="str">
        <f t="shared" si="4"/>
        <v/>
      </c>
      <c r="V67" s="108" t="str">
        <f>IF(OR($AM67="",ISNUMBER($AM67)=FALSE),"",IF(AND(#REF!="Tolerance",$E67&lt;&gt;""),($S67-$E67)/(($J67-$K67)/2),IF(AND(#REF!="GD&amp;T",$F67&lt;&gt;""),$S67/$F67,"")))</f>
        <v/>
      </c>
      <c r="W67" s="108" t="str">
        <f t="shared" si="12"/>
        <v/>
      </c>
      <c r="X67" s="107" t="str">
        <f t="shared" si="5"/>
        <v/>
      </c>
      <c r="Y67" s="107" t="str">
        <f t="shared" si="6"/>
        <v/>
      </c>
      <c r="Z67" s="107" t="str">
        <f t="shared" si="7"/>
        <v/>
      </c>
      <c r="AA67" s="72" t="str">
        <f t="shared" si="8"/>
        <v/>
      </c>
      <c r="AB67" s="73" t="e">
        <f>IF($S67="","",IF(#REF!="Tolerance",IF((#REF!*3*T67+S67)-E67&lt;F67,"",(#REF!*3*T67+S67)-E67),IF(OR(#REF!="GD&amp;T",#REF!="MAX"),IF((#REF!*3*T67+S67)&lt;F67,"",(#REF!*3*T67+S67)),"")))</f>
        <v>#REF!</v>
      </c>
      <c r="AC67" s="73" t="e">
        <f>IF(S67="","",IF(#REF!="Tolerance",IF(-((#REF!*3*T67)-S67)-E67&gt;G67,"",-((#REF!*3*T67)-S67)-E67),IF(#REF!="MIN",IF(-((#REF!*3*T67)-S67)&gt;G67,"",-((#REF!*3*T67)-S67)),"")))</f>
        <v>#REF!</v>
      </c>
      <c r="AD67" s="73">
        <f t="shared" si="13"/>
        <v>0.94399999999999995</v>
      </c>
      <c r="AE67" s="73" t="str">
        <f t="shared" si="9"/>
        <v/>
      </c>
      <c r="AF67" s="109"/>
      <c r="AG67" s="110" t="str">
        <f t="shared" si="14"/>
        <v/>
      </c>
      <c r="AH67" s="164" t="str" cm="1">
        <f t="array" ref="AH67">IF(AND(AM67:BR67 &gt;= K67, AM67:BR67 &lt;= J67), "OK", "NG")</f>
        <v>NG</v>
      </c>
      <c r="AI67" s="74"/>
      <c r="AJ67" s="74"/>
      <c r="AK67" s="75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  <c r="BN67" s="149"/>
      <c r="BO67" s="149"/>
      <c r="BP67" s="149"/>
      <c r="BQ67" s="149"/>
      <c r="BR67" s="149"/>
    </row>
    <row r="68" spans="2:70" ht="19.2" customHeight="1">
      <c r="B68" s="68" t="s">
        <v>279</v>
      </c>
      <c r="C68" s="101" t="s">
        <v>197</v>
      </c>
      <c r="D68" s="125" t="s">
        <v>45</v>
      </c>
      <c r="E68" s="126">
        <v>18.419</v>
      </c>
      <c r="F68" s="127">
        <v>0.03</v>
      </c>
      <c r="G68" s="127">
        <v>-0.03</v>
      </c>
      <c r="H68" s="106" t="s">
        <v>46</v>
      </c>
      <c r="I68" s="69"/>
      <c r="J68" s="70">
        <f t="shared" si="10"/>
        <v>18.449000000000002</v>
      </c>
      <c r="K68" s="70">
        <f t="shared" si="11"/>
        <v>18.388999999999999</v>
      </c>
      <c r="L68" s="70">
        <v>18.449000000000002</v>
      </c>
      <c r="M68" s="70">
        <v>18.388999999999999</v>
      </c>
      <c r="N68" s="155"/>
      <c r="O68" s="155"/>
      <c r="P68" s="71"/>
      <c r="Q68" s="128">
        <f t="shared" si="0"/>
        <v>0</v>
      </c>
      <c r="R68" s="128">
        <f t="shared" si="1"/>
        <v>0</v>
      </c>
      <c r="S68" s="128">
        <f t="shared" si="2"/>
        <v>0</v>
      </c>
      <c r="T68" s="129">
        <f t="shared" si="25"/>
        <v>0</v>
      </c>
      <c r="U68" s="107" t="str">
        <f t="shared" si="4"/>
        <v/>
      </c>
      <c r="V68" s="108" t="str">
        <f>IF(OR($AM68="",ISNUMBER($AM68)=FALSE),"",IF(AND(#REF!="Tolerance",$E68&lt;&gt;""),($S68-$E68)/(($J68-$K68)/2),IF(AND(#REF!="GD&amp;T",$F68&lt;&gt;""),$S68/$F68,"")))</f>
        <v/>
      </c>
      <c r="W68" s="108" t="str">
        <f t="shared" si="12"/>
        <v/>
      </c>
      <c r="X68" s="107" t="str">
        <f t="shared" si="5"/>
        <v/>
      </c>
      <c r="Y68" s="107" t="str">
        <f t="shared" si="6"/>
        <v/>
      </c>
      <c r="Z68" s="107" t="str">
        <f t="shared" si="7"/>
        <v/>
      </c>
      <c r="AA68" s="72" t="str">
        <f t="shared" si="8"/>
        <v/>
      </c>
      <c r="AB68" s="73" t="e">
        <f>IF($S68="","",IF(#REF!="Tolerance",IF((#REF!*3*T68+S68)-E68&lt;F68,"",(#REF!*3*T68+S68)-E68),IF(OR(#REF!="GD&amp;T",#REF!="MAX"),IF((#REF!*3*T68+S68)&lt;F68,"",(#REF!*3*T68+S68)),"")))</f>
        <v>#REF!</v>
      </c>
      <c r="AC68" s="73" t="e">
        <f>IF(S68="","",IF(#REF!="Tolerance",IF(-((#REF!*3*T68)-S68)-E68&gt;G68,"",-((#REF!*3*T68)-S68)-E68),IF(#REF!="MIN",IF(-((#REF!*3*T68)-S68)&gt;G68,"",-((#REF!*3*T68)-S68)),"")))</f>
        <v>#REF!</v>
      </c>
      <c r="AD68" s="73">
        <f t="shared" si="13"/>
        <v>18.419</v>
      </c>
      <c r="AE68" s="73" t="str">
        <f t="shared" si="9"/>
        <v/>
      </c>
      <c r="AF68" s="109"/>
      <c r="AG68" s="110" t="str">
        <f t="shared" si="14"/>
        <v/>
      </c>
      <c r="AH68" s="164" t="str" cm="1">
        <f t="array" ref="AH68">IF(AND(AM68:BR68 &gt;= K68, AM68:BR68 &lt;= J68), "OK", "NG")</f>
        <v>NG</v>
      </c>
      <c r="AI68" s="74"/>
      <c r="AJ68" s="74"/>
      <c r="AK68" s="75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  <c r="BN68" s="149"/>
      <c r="BO68" s="149"/>
      <c r="BP68" s="149"/>
      <c r="BQ68" s="149"/>
      <c r="BR68" s="149"/>
    </row>
    <row r="69" spans="2:70" ht="19.2" customHeight="1">
      <c r="B69" s="68" t="s">
        <v>279</v>
      </c>
      <c r="C69" s="101" t="s">
        <v>198</v>
      </c>
      <c r="D69" s="125" t="s">
        <v>45</v>
      </c>
      <c r="E69" s="126">
        <v>18.419</v>
      </c>
      <c r="F69" s="127">
        <v>0.03</v>
      </c>
      <c r="G69" s="127">
        <v>-0.03</v>
      </c>
      <c r="H69" s="106" t="s">
        <v>46</v>
      </c>
      <c r="I69" s="69"/>
      <c r="J69" s="70">
        <f t="shared" si="10"/>
        <v>18.449000000000002</v>
      </c>
      <c r="K69" s="70">
        <f t="shared" si="11"/>
        <v>18.388999999999999</v>
      </c>
      <c r="L69" s="70">
        <v>18.449000000000002</v>
      </c>
      <c r="M69" s="70">
        <v>18.388999999999999</v>
      </c>
      <c r="N69" s="155"/>
      <c r="O69" s="155"/>
      <c r="P69" s="71"/>
      <c r="Q69" s="128">
        <f t="shared" si="0"/>
        <v>0</v>
      </c>
      <c r="R69" s="128">
        <f t="shared" si="1"/>
        <v>0</v>
      </c>
      <c r="S69" s="128">
        <f t="shared" si="2"/>
        <v>0</v>
      </c>
      <c r="T69" s="129">
        <f t="shared" si="25"/>
        <v>0</v>
      </c>
      <c r="U69" s="107" t="str">
        <f t="shared" si="4"/>
        <v/>
      </c>
      <c r="V69" s="108" t="str">
        <f>IF(OR($AM69="",ISNUMBER($AM69)=FALSE),"",IF(AND(#REF!="Tolerance",$E69&lt;&gt;""),($S69-$E69)/(($J69-$K69)/2),IF(AND(#REF!="GD&amp;T",$F69&lt;&gt;""),$S69/$F69,"")))</f>
        <v/>
      </c>
      <c r="W69" s="108" t="str">
        <f t="shared" si="12"/>
        <v/>
      </c>
      <c r="X69" s="107" t="str">
        <f t="shared" si="5"/>
        <v/>
      </c>
      <c r="Y69" s="107" t="str">
        <f t="shared" si="6"/>
        <v/>
      </c>
      <c r="Z69" s="107" t="str">
        <f t="shared" si="7"/>
        <v/>
      </c>
      <c r="AA69" s="72" t="str">
        <f t="shared" si="8"/>
        <v/>
      </c>
      <c r="AB69" s="73" t="e">
        <f>IF($S69="","",IF(#REF!="Tolerance",IF((#REF!*3*T69+S69)-E69&lt;F69,"",(#REF!*3*T69+S69)-E69),IF(OR(#REF!="GD&amp;T",#REF!="MAX"),IF((#REF!*3*T69+S69)&lt;F69,"",(#REF!*3*T69+S69)),"")))</f>
        <v>#REF!</v>
      </c>
      <c r="AC69" s="73" t="e">
        <f>IF(S69="","",IF(#REF!="Tolerance",IF(-((#REF!*3*T69)-S69)-E69&gt;G69,"",-((#REF!*3*T69)-S69)-E69),IF(#REF!="MIN",IF(-((#REF!*3*T69)-S69)&gt;G69,"",-((#REF!*3*T69)-S69)),"")))</f>
        <v>#REF!</v>
      </c>
      <c r="AD69" s="73">
        <f t="shared" si="13"/>
        <v>18.419</v>
      </c>
      <c r="AE69" s="73" t="str">
        <f t="shared" si="9"/>
        <v/>
      </c>
      <c r="AF69" s="109"/>
      <c r="AG69" s="110" t="str">
        <f t="shared" si="14"/>
        <v/>
      </c>
      <c r="AH69" s="164" t="str" cm="1">
        <f t="array" ref="AH69">IF(AND(AM69:BR69 &gt;= K69, AM69:BR69 &lt;= J69), "OK", "NG")</f>
        <v>NG</v>
      </c>
      <c r="AI69" s="74"/>
      <c r="AJ69" s="74"/>
      <c r="AK69" s="75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  <c r="BN69" s="149"/>
      <c r="BO69" s="149"/>
      <c r="BP69" s="149"/>
      <c r="BQ69" s="149"/>
      <c r="BR69" s="149"/>
    </row>
    <row r="70" spans="2:70" ht="19.2" customHeight="1">
      <c r="B70" s="130" t="s">
        <v>279</v>
      </c>
      <c r="C70" s="101" t="s">
        <v>199</v>
      </c>
      <c r="D70" s="125" t="s">
        <v>45</v>
      </c>
      <c r="E70" s="126">
        <v>18.419</v>
      </c>
      <c r="F70" s="127">
        <v>0.03</v>
      </c>
      <c r="G70" s="127">
        <v>-0.03</v>
      </c>
      <c r="H70" s="106" t="s">
        <v>46</v>
      </c>
      <c r="I70" s="69"/>
      <c r="J70" s="70">
        <f t="shared" si="10"/>
        <v>18.449000000000002</v>
      </c>
      <c r="K70" s="70">
        <f t="shared" si="11"/>
        <v>18.388999999999999</v>
      </c>
      <c r="L70" s="70">
        <v>18.449000000000002</v>
      </c>
      <c r="M70" s="70">
        <v>18.388999999999999</v>
      </c>
      <c r="N70" s="155"/>
      <c r="O70" s="155"/>
      <c r="P70" s="71"/>
      <c r="Q70" s="128">
        <f t="shared" si="0"/>
        <v>0</v>
      </c>
      <c r="R70" s="128">
        <f t="shared" si="1"/>
        <v>0</v>
      </c>
      <c r="S70" s="128">
        <f t="shared" si="2"/>
        <v>0</v>
      </c>
      <c r="T70" s="129">
        <f t="shared" si="25"/>
        <v>0</v>
      </c>
      <c r="U70" s="107" t="str">
        <f t="shared" si="4"/>
        <v/>
      </c>
      <c r="V70" s="108" t="str">
        <f>IF(OR($AM70="",ISNUMBER($AM70)=FALSE),"",IF(AND(#REF!="Tolerance",$E70&lt;&gt;""),($S70-$E70)/(($J70-$K70)/2),IF(AND(#REF!="GD&amp;T",$F70&lt;&gt;""),$S70/$F70,"")))</f>
        <v/>
      </c>
      <c r="W70" s="108" t="str">
        <f t="shared" si="12"/>
        <v/>
      </c>
      <c r="X70" s="107" t="str">
        <f t="shared" si="5"/>
        <v/>
      </c>
      <c r="Y70" s="107" t="str">
        <f t="shared" si="6"/>
        <v/>
      </c>
      <c r="Z70" s="107" t="str">
        <f t="shared" si="7"/>
        <v/>
      </c>
      <c r="AA70" s="72" t="str">
        <f t="shared" si="8"/>
        <v/>
      </c>
      <c r="AB70" s="73" t="e">
        <f>IF($S70="","",IF(#REF!="Tolerance",IF((#REF!*3*T70+S70)-E70&lt;F70,"",(#REF!*3*T70+S70)-E70),IF(OR(#REF!="GD&amp;T",#REF!="MAX"),IF((#REF!*3*T70+S70)&lt;F70,"",(#REF!*3*T70+S70)),"")))</f>
        <v>#REF!</v>
      </c>
      <c r="AC70" s="73" t="e">
        <f>IF(S70="","",IF(#REF!="Tolerance",IF(-((#REF!*3*T70)-S70)-E70&gt;G70,"",-((#REF!*3*T70)-S70)-E70),IF(#REF!="MIN",IF(-((#REF!*3*T70)-S70)&gt;G70,"",-((#REF!*3*T70)-S70)),"")))</f>
        <v>#REF!</v>
      </c>
      <c r="AD70" s="73">
        <f t="shared" si="13"/>
        <v>18.419</v>
      </c>
      <c r="AE70" s="73" t="str">
        <f t="shared" si="9"/>
        <v/>
      </c>
      <c r="AF70" s="109"/>
      <c r="AG70" s="110" t="str">
        <f t="shared" si="14"/>
        <v/>
      </c>
      <c r="AH70" s="164" t="str" cm="1">
        <f t="array" ref="AH70">IF(AND(AM70:BR70 &gt;= K70, AM70:BR70 &lt;= J70), "OK", "NG")</f>
        <v>NG</v>
      </c>
      <c r="AI70" s="74"/>
      <c r="AJ70" s="74"/>
      <c r="AK70" s="75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  <c r="BN70" s="149"/>
      <c r="BO70" s="149"/>
      <c r="BP70" s="149"/>
      <c r="BQ70" s="149"/>
      <c r="BR70" s="149"/>
    </row>
    <row r="71" spans="2:70" ht="19.2" customHeight="1">
      <c r="B71" s="68" t="s">
        <v>280</v>
      </c>
      <c r="C71" s="101" t="s">
        <v>218</v>
      </c>
      <c r="D71" s="125" t="s">
        <v>45</v>
      </c>
      <c r="E71" s="126">
        <v>15.433999999999999</v>
      </c>
      <c r="F71" s="127">
        <v>0.03</v>
      </c>
      <c r="G71" s="127">
        <v>-0.03</v>
      </c>
      <c r="H71" s="106" t="s">
        <v>46</v>
      </c>
      <c r="I71" s="69"/>
      <c r="J71" s="70">
        <f t="shared" ref="J71:J134" si="26">E71+F71</f>
        <v>15.463999999999999</v>
      </c>
      <c r="K71" s="70">
        <f t="shared" ref="K71:K134" si="27">E71+G71</f>
        <v>15.404</v>
      </c>
      <c r="L71" s="70">
        <v>15.459499999999998</v>
      </c>
      <c r="M71" s="70">
        <v>15.4085</v>
      </c>
      <c r="N71" s="155"/>
      <c r="O71" s="155"/>
      <c r="P71" s="71"/>
      <c r="Q71" s="128">
        <f t="shared" si="0"/>
        <v>0</v>
      </c>
      <c r="R71" s="128">
        <f t="shared" si="1"/>
        <v>0</v>
      </c>
      <c r="S71" s="128">
        <f t="shared" si="2"/>
        <v>0</v>
      </c>
      <c r="T71" s="129">
        <f t="shared" si="25"/>
        <v>0</v>
      </c>
      <c r="U71" s="107" t="str">
        <f t="shared" si="4"/>
        <v/>
      </c>
      <c r="V71" s="108" t="str">
        <f>IF(OR($AM71="",ISNUMBER($AM71)=FALSE),"",IF(AND(#REF!="Tolerance",$E71&lt;&gt;""),($S71-$E71)/(($J71-$K71)/2),IF(AND(#REF!="GD&amp;T",$F71&lt;&gt;""),$S71/$F71,"")))</f>
        <v/>
      </c>
      <c r="W71" s="108" t="str">
        <f t="shared" si="12"/>
        <v/>
      </c>
      <c r="X71" s="107" t="str">
        <f t="shared" si="5"/>
        <v/>
      </c>
      <c r="Y71" s="107" t="str">
        <f t="shared" si="6"/>
        <v/>
      </c>
      <c r="Z71" s="107" t="str">
        <f t="shared" si="7"/>
        <v/>
      </c>
      <c r="AA71" s="72" t="str">
        <f t="shared" si="8"/>
        <v/>
      </c>
      <c r="AB71" s="73" t="e">
        <f>IF($S71="","",IF(#REF!="Tolerance",IF((#REF!*3*T71+S71)-E71&lt;F71,"",(#REF!*3*T71+S71)-E71),IF(OR(#REF!="GD&amp;T",#REF!="MAX"),IF((#REF!*3*T71+S71)&lt;F71,"",(#REF!*3*T71+S71)),"")))</f>
        <v>#REF!</v>
      </c>
      <c r="AC71" s="73" t="e">
        <f>IF(S71="","",IF(#REF!="Tolerance",IF(-((#REF!*3*T71)-S71)-E71&gt;G71,"",-((#REF!*3*T71)-S71)-E71),IF(#REF!="MIN",IF(-((#REF!*3*T71)-S71)&gt;G71,"",-((#REF!*3*T71)-S71)),"")))</f>
        <v>#REF!</v>
      </c>
      <c r="AD71" s="73">
        <f t="shared" si="13"/>
        <v>15.433999999999999</v>
      </c>
      <c r="AE71" s="73" t="str">
        <f t="shared" si="9"/>
        <v/>
      </c>
      <c r="AF71" s="109"/>
      <c r="AG71" s="110" t="str">
        <f t="shared" ref="AG71:AG134" si="28">IF(AF71="","",IF(AF71&gt;=0.966,"Normal","Not Normal"))</f>
        <v/>
      </c>
      <c r="AH71" s="164" t="str" cm="1">
        <f t="array" ref="AH71">IF(AND(AM71:BR71 &gt;= K71, AM71:BR71 &lt;= J71), "OK", "NG")</f>
        <v>NG</v>
      </c>
      <c r="AI71" s="74"/>
      <c r="AJ71" s="74"/>
      <c r="AK71" s="75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149"/>
      <c r="BN71" s="149"/>
      <c r="BO71" s="149"/>
      <c r="BP71" s="149"/>
      <c r="BQ71" s="149"/>
      <c r="BR71" s="149"/>
    </row>
    <row r="72" spans="2:70" ht="19.2" customHeight="1">
      <c r="B72" s="68" t="s">
        <v>280</v>
      </c>
      <c r="C72" s="101" t="s">
        <v>219</v>
      </c>
      <c r="D72" s="125" t="s">
        <v>45</v>
      </c>
      <c r="E72" s="126">
        <v>15.433999999999999</v>
      </c>
      <c r="F72" s="127">
        <v>0.03</v>
      </c>
      <c r="G72" s="127">
        <v>-0.03</v>
      </c>
      <c r="H72" s="106" t="s">
        <v>46</v>
      </c>
      <c r="I72" s="69"/>
      <c r="J72" s="70">
        <f t="shared" si="26"/>
        <v>15.463999999999999</v>
      </c>
      <c r="K72" s="70">
        <f t="shared" si="27"/>
        <v>15.404</v>
      </c>
      <c r="L72" s="70">
        <v>15.459499999999998</v>
      </c>
      <c r="M72" s="70">
        <v>15.4085</v>
      </c>
      <c r="N72" s="155"/>
      <c r="O72" s="155"/>
      <c r="P72" s="71"/>
      <c r="Q72" s="128">
        <f t="shared" si="0"/>
        <v>0</v>
      </c>
      <c r="R72" s="128">
        <f t="shared" si="1"/>
        <v>0</v>
      </c>
      <c r="S72" s="128">
        <f t="shared" si="2"/>
        <v>0</v>
      </c>
      <c r="T72" s="129">
        <f t="shared" si="25"/>
        <v>0</v>
      </c>
      <c r="U72" s="107" t="str">
        <f t="shared" si="4"/>
        <v/>
      </c>
      <c r="V72" s="108" t="str">
        <f>IF(OR($AM72="",ISNUMBER($AM72)=FALSE),"",IF(AND(#REF!="Tolerance",$E72&lt;&gt;""),($S72-$E72)/(($J72-$K72)/2),IF(AND(#REF!="GD&amp;T",$F72&lt;&gt;""),$S72/$F72,"")))</f>
        <v/>
      </c>
      <c r="W72" s="108" t="str">
        <f t="shared" si="12"/>
        <v/>
      </c>
      <c r="X72" s="107" t="str">
        <f t="shared" si="5"/>
        <v/>
      </c>
      <c r="Y72" s="107" t="str">
        <f t="shared" si="6"/>
        <v/>
      </c>
      <c r="Z72" s="107" t="str">
        <f t="shared" si="7"/>
        <v/>
      </c>
      <c r="AA72" s="72" t="str">
        <f t="shared" si="8"/>
        <v/>
      </c>
      <c r="AB72" s="73" t="e">
        <f>IF($S72="","",IF(#REF!="Tolerance",IF((#REF!*3*T72+S72)-E72&lt;F72,"",(#REF!*3*T72+S72)-E72),IF(OR(#REF!="GD&amp;T",#REF!="MAX"),IF((#REF!*3*T72+S72)&lt;F72,"",(#REF!*3*T72+S72)),"")))</f>
        <v>#REF!</v>
      </c>
      <c r="AC72" s="73" t="e">
        <f>IF(S72="","",IF(#REF!="Tolerance",IF(-((#REF!*3*T72)-S72)-E72&gt;G72,"",-((#REF!*3*T72)-S72)-E72),IF(#REF!="MIN",IF(-((#REF!*3*T72)-S72)&gt;G72,"",-((#REF!*3*T72)-S72)),"")))</f>
        <v>#REF!</v>
      </c>
      <c r="AD72" s="73">
        <f t="shared" si="13"/>
        <v>15.433999999999999</v>
      </c>
      <c r="AE72" s="73" t="str">
        <f t="shared" si="9"/>
        <v/>
      </c>
      <c r="AF72" s="109"/>
      <c r="AG72" s="110" t="str">
        <f t="shared" si="28"/>
        <v/>
      </c>
      <c r="AH72" s="164" t="str" cm="1">
        <f t="array" ref="AH72">IF(AND(AM72:BR72 &gt;= K72, AM72:BR72 &lt;= J72), "OK", "NG")</f>
        <v>NG</v>
      </c>
      <c r="AI72" s="74"/>
      <c r="AJ72" s="74"/>
      <c r="AK72" s="75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  <c r="BI72" s="149"/>
      <c r="BJ72" s="149"/>
      <c r="BK72" s="149"/>
      <c r="BL72" s="149"/>
      <c r="BM72" s="149"/>
      <c r="BN72" s="149"/>
      <c r="BO72" s="149"/>
      <c r="BP72" s="149"/>
      <c r="BQ72" s="149"/>
      <c r="BR72" s="149"/>
    </row>
    <row r="73" spans="2:70" ht="19.2" customHeight="1">
      <c r="B73" s="68" t="s">
        <v>281</v>
      </c>
      <c r="C73" s="101" t="s">
        <v>153</v>
      </c>
      <c r="D73" s="125" t="s">
        <v>45</v>
      </c>
      <c r="E73" s="126">
        <v>4.5739999999999998</v>
      </c>
      <c r="F73" s="127">
        <v>0.04</v>
      </c>
      <c r="G73" s="127">
        <v>-0.04</v>
      </c>
      <c r="H73" s="106" t="s">
        <v>46</v>
      </c>
      <c r="I73" s="69"/>
      <c r="J73" s="70">
        <f t="shared" si="26"/>
        <v>4.6139999999999999</v>
      </c>
      <c r="K73" s="70">
        <f t="shared" si="27"/>
        <v>4.5339999999999998</v>
      </c>
      <c r="L73" s="70">
        <v>4.6079999999999997</v>
      </c>
      <c r="M73" s="70">
        <v>4.54</v>
      </c>
      <c r="N73" s="155"/>
      <c r="O73" s="155"/>
      <c r="P73" s="71"/>
      <c r="Q73" s="128">
        <f t="shared" si="0"/>
        <v>0</v>
      </c>
      <c r="R73" s="128">
        <f t="shared" si="1"/>
        <v>0</v>
      </c>
      <c r="S73" s="128">
        <f t="shared" si="2"/>
        <v>0</v>
      </c>
      <c r="T73" s="129">
        <f t="shared" si="25"/>
        <v>0</v>
      </c>
      <c r="U73" s="107" t="str">
        <f t="shared" si="4"/>
        <v/>
      </c>
      <c r="V73" s="108" t="str">
        <f>IF(OR($AM73="",ISNUMBER($AM73)=FALSE),"",IF(AND(#REF!="Tolerance",$E73&lt;&gt;""),($S73-$E73)/(($J73-$K73)/2),IF(AND(#REF!="GD&amp;T",$F73&lt;&gt;""),$S73/$F73,"")))</f>
        <v/>
      </c>
      <c r="W73" s="108" t="str">
        <f t="shared" si="12"/>
        <v/>
      </c>
      <c r="X73" s="107" t="str">
        <f t="shared" si="5"/>
        <v/>
      </c>
      <c r="Y73" s="107" t="str">
        <f t="shared" si="6"/>
        <v/>
      </c>
      <c r="Z73" s="107" t="str">
        <f t="shared" si="7"/>
        <v/>
      </c>
      <c r="AA73" s="72" t="str">
        <f t="shared" si="8"/>
        <v/>
      </c>
      <c r="AB73" s="73" t="e">
        <f>IF($S73="","",IF(#REF!="Tolerance",IF((#REF!*3*T73+S73)-E73&lt;F73,"",(#REF!*3*T73+S73)-E73),IF(OR(#REF!="GD&amp;T",#REF!="MAX"),IF((#REF!*3*T73+S73)&lt;F73,"",(#REF!*3*T73+S73)),"")))</f>
        <v>#REF!</v>
      </c>
      <c r="AC73" s="73" t="e">
        <f>IF(S73="","",IF(#REF!="Tolerance",IF(-((#REF!*3*T73)-S73)-E73&gt;G73,"",-((#REF!*3*T73)-S73)-E73),IF(#REF!="MIN",IF(-((#REF!*3*T73)-S73)&gt;G73,"",-((#REF!*3*T73)-S73)),"")))</f>
        <v>#REF!</v>
      </c>
      <c r="AD73" s="73">
        <f t="shared" si="13"/>
        <v>4.5739999999999998</v>
      </c>
      <c r="AE73" s="73" t="str">
        <f t="shared" si="9"/>
        <v/>
      </c>
      <c r="AF73" s="109"/>
      <c r="AG73" s="110" t="str">
        <f t="shared" si="28"/>
        <v/>
      </c>
      <c r="AH73" s="164" t="str" cm="1">
        <f t="array" ref="AH73">IF(AND(AM73:BR73 &gt;= K73, AM73:BR73 &lt;= J73), "OK", "NG")</f>
        <v>NG</v>
      </c>
      <c r="AI73" s="74"/>
      <c r="AJ73" s="74"/>
      <c r="AK73" s="75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  <c r="BI73" s="149"/>
      <c r="BJ73" s="149"/>
      <c r="BK73" s="149"/>
      <c r="BL73" s="149"/>
      <c r="BM73" s="149"/>
      <c r="BN73" s="149"/>
      <c r="BO73" s="149"/>
      <c r="BP73" s="149"/>
      <c r="BQ73" s="149"/>
      <c r="BR73" s="149"/>
    </row>
    <row r="74" spans="2:70" ht="19.2" customHeight="1">
      <c r="B74" s="68" t="s">
        <v>281</v>
      </c>
      <c r="C74" s="101" t="s">
        <v>154</v>
      </c>
      <c r="D74" s="125" t="s">
        <v>45</v>
      </c>
      <c r="E74" s="126">
        <v>4.5739999999999998</v>
      </c>
      <c r="F74" s="127">
        <v>0.04</v>
      </c>
      <c r="G74" s="127">
        <v>-0.04</v>
      </c>
      <c r="H74" s="106" t="s">
        <v>46</v>
      </c>
      <c r="I74" s="69"/>
      <c r="J74" s="70">
        <f t="shared" si="26"/>
        <v>4.6139999999999999</v>
      </c>
      <c r="K74" s="70">
        <f t="shared" si="27"/>
        <v>4.5339999999999998</v>
      </c>
      <c r="L74" s="70">
        <v>4.6079999999999997</v>
      </c>
      <c r="M74" s="70">
        <v>4.54</v>
      </c>
      <c r="N74" s="155"/>
      <c r="O74" s="155"/>
      <c r="P74" s="71"/>
      <c r="Q74" s="128">
        <f t="shared" si="0"/>
        <v>0</v>
      </c>
      <c r="R74" s="128">
        <f t="shared" si="1"/>
        <v>0</v>
      </c>
      <c r="S74" s="128">
        <f t="shared" si="2"/>
        <v>0</v>
      </c>
      <c r="T74" s="129">
        <f t="shared" si="25"/>
        <v>0</v>
      </c>
      <c r="U74" s="107" t="str">
        <f t="shared" si="4"/>
        <v/>
      </c>
      <c r="V74" s="108" t="str">
        <f>IF(OR($AM74="",ISNUMBER($AM74)=FALSE),"",IF(AND(#REF!="Tolerance",$E74&lt;&gt;""),($S74-$E74)/(($J74-$K74)/2),IF(AND(#REF!="GD&amp;T",$F74&lt;&gt;""),$S74/$F74,"")))</f>
        <v/>
      </c>
      <c r="W74" s="108" t="str">
        <f t="shared" si="12"/>
        <v/>
      </c>
      <c r="X74" s="107" t="str">
        <f t="shared" si="5"/>
        <v/>
      </c>
      <c r="Y74" s="107" t="str">
        <f t="shared" si="6"/>
        <v/>
      </c>
      <c r="Z74" s="107" t="str">
        <f t="shared" si="7"/>
        <v/>
      </c>
      <c r="AA74" s="72" t="str">
        <f t="shared" si="8"/>
        <v/>
      </c>
      <c r="AB74" s="73" t="e">
        <f>IF($S74="","",IF(#REF!="Tolerance",IF((#REF!*3*T74+S74)-E74&lt;F74,"",(#REF!*3*T74+S74)-E74),IF(OR(#REF!="GD&amp;T",#REF!="MAX"),IF((#REF!*3*T74+S74)&lt;F74,"",(#REF!*3*T74+S74)),"")))</f>
        <v>#REF!</v>
      </c>
      <c r="AC74" s="73" t="e">
        <f>IF(S74="","",IF(#REF!="Tolerance",IF(-((#REF!*3*T74)-S74)-E74&gt;G74,"",-((#REF!*3*T74)-S74)-E74),IF(#REF!="MIN",IF(-((#REF!*3*T74)-S74)&gt;G74,"",-((#REF!*3*T74)-S74)),"")))</f>
        <v>#REF!</v>
      </c>
      <c r="AD74" s="73">
        <f t="shared" si="13"/>
        <v>4.5739999999999998</v>
      </c>
      <c r="AE74" s="73" t="str">
        <f t="shared" si="9"/>
        <v/>
      </c>
      <c r="AF74" s="109"/>
      <c r="AG74" s="110" t="str">
        <f t="shared" si="28"/>
        <v/>
      </c>
      <c r="AH74" s="164" t="str" cm="1">
        <f t="array" ref="AH74">IF(AND(AM74:BR74 &gt;= K74, AM74:BR74 &lt;= J74), "OK", "NG")</f>
        <v>NG</v>
      </c>
      <c r="AI74" s="74"/>
      <c r="AJ74" s="74"/>
      <c r="AK74" s="75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  <c r="BI74" s="149"/>
      <c r="BJ74" s="149"/>
      <c r="BK74" s="149"/>
      <c r="BL74" s="149"/>
      <c r="BM74" s="149"/>
      <c r="BN74" s="149"/>
      <c r="BO74" s="149"/>
      <c r="BP74" s="149"/>
      <c r="BQ74" s="149"/>
      <c r="BR74" s="149"/>
    </row>
    <row r="75" spans="2:70" ht="19.2" customHeight="1">
      <c r="B75" s="68" t="s">
        <v>282</v>
      </c>
      <c r="C75" s="101" t="s">
        <v>155</v>
      </c>
      <c r="D75" s="125" t="s">
        <v>45</v>
      </c>
      <c r="E75" s="126">
        <v>19.952000000000002</v>
      </c>
      <c r="F75" s="127">
        <v>0.03</v>
      </c>
      <c r="G75" s="127">
        <v>-0.03</v>
      </c>
      <c r="H75" s="106" t="s">
        <v>46</v>
      </c>
      <c r="I75" s="69"/>
      <c r="J75" s="70">
        <f t="shared" si="26"/>
        <v>19.982000000000003</v>
      </c>
      <c r="K75" s="70">
        <f t="shared" si="27"/>
        <v>19.922000000000001</v>
      </c>
      <c r="L75" s="70">
        <v>19.977500000000003</v>
      </c>
      <c r="M75" s="70">
        <v>19.926500000000001</v>
      </c>
      <c r="N75" s="155"/>
      <c r="O75" s="155"/>
      <c r="P75" s="71"/>
      <c r="Q75" s="128">
        <f t="shared" si="0"/>
        <v>0</v>
      </c>
      <c r="R75" s="128">
        <f t="shared" si="1"/>
        <v>0</v>
      </c>
      <c r="S75" s="128">
        <f t="shared" si="2"/>
        <v>0</v>
      </c>
      <c r="T75" s="129">
        <f t="shared" si="25"/>
        <v>0</v>
      </c>
      <c r="U75" s="107" t="str">
        <f t="shared" si="4"/>
        <v/>
      </c>
      <c r="V75" s="108" t="str">
        <f>IF(OR($AM75="",ISNUMBER($AM75)=FALSE),"",IF(AND(#REF!="Tolerance",$E75&lt;&gt;""),($S75-$E75)/(($J75-$K75)/2),IF(AND(#REF!="GD&amp;T",$F75&lt;&gt;""),$S75/$F75,"")))</f>
        <v/>
      </c>
      <c r="W75" s="108" t="str">
        <f t="shared" si="12"/>
        <v/>
      </c>
      <c r="X75" s="107" t="str">
        <f t="shared" si="5"/>
        <v/>
      </c>
      <c r="Y75" s="107" t="str">
        <f t="shared" si="6"/>
        <v/>
      </c>
      <c r="Z75" s="107" t="str">
        <f t="shared" si="7"/>
        <v/>
      </c>
      <c r="AA75" s="72" t="str">
        <f t="shared" si="8"/>
        <v/>
      </c>
      <c r="AB75" s="73" t="e">
        <f>IF($S75="","",IF(#REF!="Tolerance",IF((#REF!*3*T75+S75)-E75&lt;F75,"",(#REF!*3*T75+S75)-E75),IF(OR(#REF!="GD&amp;T",#REF!="MAX"),IF((#REF!*3*T75+S75)&lt;F75,"",(#REF!*3*T75+S75)),"")))</f>
        <v>#REF!</v>
      </c>
      <c r="AC75" s="73" t="e">
        <f>IF(S75="","",IF(#REF!="Tolerance",IF(-((#REF!*3*T75)-S75)-E75&gt;G75,"",-((#REF!*3*T75)-S75)-E75),IF(#REF!="MIN",IF(-((#REF!*3*T75)-S75)&gt;G75,"",-((#REF!*3*T75)-S75)),"")))</f>
        <v>#REF!</v>
      </c>
      <c r="AD75" s="73">
        <f t="shared" si="13"/>
        <v>19.952000000000002</v>
      </c>
      <c r="AE75" s="73" t="str">
        <f t="shared" si="9"/>
        <v/>
      </c>
      <c r="AF75" s="109"/>
      <c r="AG75" s="110" t="str">
        <f t="shared" si="28"/>
        <v/>
      </c>
      <c r="AH75" s="164" t="str" cm="1">
        <f t="array" ref="AH75">IF(AND(AM75:BR75 &gt;= K75, AM75:BR75 &lt;= J75), "OK", "NG")</f>
        <v>NG</v>
      </c>
      <c r="AI75" s="74"/>
      <c r="AJ75" s="74"/>
      <c r="AK75" s="75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  <c r="BI75" s="149"/>
      <c r="BJ75" s="149"/>
      <c r="BK75" s="149"/>
      <c r="BL75" s="149"/>
      <c r="BM75" s="149"/>
      <c r="BN75" s="149"/>
      <c r="BO75" s="149"/>
      <c r="BP75" s="149"/>
      <c r="BQ75" s="149"/>
      <c r="BR75" s="149"/>
    </row>
    <row r="76" spans="2:70" ht="19.2" customHeight="1">
      <c r="B76" s="68" t="s">
        <v>282</v>
      </c>
      <c r="C76" s="101" t="s">
        <v>156</v>
      </c>
      <c r="D76" s="125" t="s">
        <v>45</v>
      </c>
      <c r="E76" s="126">
        <v>19.952000000000002</v>
      </c>
      <c r="F76" s="127">
        <v>0.03</v>
      </c>
      <c r="G76" s="127">
        <v>-0.03</v>
      </c>
      <c r="H76" s="106" t="s">
        <v>46</v>
      </c>
      <c r="I76" s="69"/>
      <c r="J76" s="70">
        <f t="shared" si="26"/>
        <v>19.982000000000003</v>
      </c>
      <c r="K76" s="70">
        <f t="shared" si="27"/>
        <v>19.922000000000001</v>
      </c>
      <c r="L76" s="70">
        <v>19.977500000000003</v>
      </c>
      <c r="M76" s="70">
        <v>19.926500000000001</v>
      </c>
      <c r="N76" s="155"/>
      <c r="O76" s="155"/>
      <c r="P76" s="71"/>
      <c r="Q76" s="128">
        <f t="shared" si="0"/>
        <v>0</v>
      </c>
      <c r="R76" s="128">
        <f t="shared" si="1"/>
        <v>0</v>
      </c>
      <c r="S76" s="128">
        <f t="shared" si="2"/>
        <v>0</v>
      </c>
      <c r="T76" s="129">
        <f t="shared" si="25"/>
        <v>0</v>
      </c>
      <c r="U76" s="107" t="str">
        <f t="shared" si="4"/>
        <v/>
      </c>
      <c r="V76" s="108" t="str">
        <f>IF(OR($AM76="",ISNUMBER($AM76)=FALSE),"",IF(AND(#REF!="Tolerance",$E76&lt;&gt;""),($S76-$E76)/(($J76-$K76)/2),IF(AND(#REF!="GD&amp;T",$F76&lt;&gt;""),$S76/$F76,"")))</f>
        <v/>
      </c>
      <c r="W76" s="108" t="str">
        <f t="shared" si="12"/>
        <v/>
      </c>
      <c r="X76" s="107" t="str">
        <f t="shared" si="5"/>
        <v/>
      </c>
      <c r="Y76" s="107" t="str">
        <f t="shared" si="6"/>
        <v/>
      </c>
      <c r="Z76" s="107" t="str">
        <f t="shared" si="7"/>
        <v/>
      </c>
      <c r="AA76" s="72" t="str">
        <f t="shared" si="8"/>
        <v/>
      </c>
      <c r="AB76" s="73" t="e">
        <f>IF($S76="","",IF(#REF!="Tolerance",IF((#REF!*3*T76+S76)-E76&lt;F76,"",(#REF!*3*T76+S76)-E76),IF(OR(#REF!="GD&amp;T",#REF!="MAX"),IF((#REF!*3*T76+S76)&lt;F76,"",(#REF!*3*T76+S76)),"")))</f>
        <v>#REF!</v>
      </c>
      <c r="AC76" s="73" t="e">
        <f>IF(S76="","",IF(#REF!="Tolerance",IF(-((#REF!*3*T76)-S76)-E76&gt;G76,"",-((#REF!*3*T76)-S76)-E76),IF(#REF!="MIN",IF(-((#REF!*3*T76)-S76)&gt;G76,"",-((#REF!*3*T76)-S76)),"")))</f>
        <v>#REF!</v>
      </c>
      <c r="AD76" s="73">
        <f t="shared" si="13"/>
        <v>19.952000000000002</v>
      </c>
      <c r="AE76" s="73" t="str">
        <f t="shared" si="9"/>
        <v/>
      </c>
      <c r="AF76" s="109"/>
      <c r="AG76" s="110" t="str">
        <f t="shared" si="28"/>
        <v/>
      </c>
      <c r="AH76" s="164" t="str" cm="1">
        <f t="array" ref="AH76">IF(AND(AM76:BR76 &gt;= K76, AM76:BR76 &lt;= J76), "OK", "NG")</f>
        <v>NG</v>
      </c>
      <c r="AI76" s="74"/>
      <c r="AJ76" s="74"/>
      <c r="AK76" s="75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  <c r="BI76" s="149"/>
      <c r="BJ76" s="149"/>
      <c r="BK76" s="149"/>
      <c r="BL76" s="149"/>
      <c r="BM76" s="149"/>
      <c r="BN76" s="149"/>
      <c r="BO76" s="149"/>
      <c r="BP76" s="149"/>
      <c r="BQ76" s="149"/>
      <c r="BR76" s="149"/>
    </row>
    <row r="77" spans="2:70" ht="19.2" customHeight="1">
      <c r="B77" s="68" t="s">
        <v>283</v>
      </c>
      <c r="C77" s="101" t="s">
        <v>225</v>
      </c>
      <c r="D77" s="125" t="s">
        <v>45</v>
      </c>
      <c r="E77" s="126">
        <v>4.5609999999999999</v>
      </c>
      <c r="F77" s="127">
        <v>0.03</v>
      </c>
      <c r="G77" s="127">
        <v>-0.03</v>
      </c>
      <c r="H77" s="106" t="s">
        <v>46</v>
      </c>
      <c r="I77" s="69"/>
      <c r="J77" s="70">
        <f t="shared" si="26"/>
        <v>4.5910000000000002</v>
      </c>
      <c r="K77" s="70">
        <f t="shared" si="27"/>
        <v>4.5309999999999997</v>
      </c>
      <c r="L77" s="70">
        <v>4.5865</v>
      </c>
      <c r="M77" s="70">
        <v>4.5354999999999999</v>
      </c>
      <c r="N77" s="155"/>
      <c r="O77" s="155"/>
      <c r="P77" s="71"/>
      <c r="Q77" s="128">
        <f t="shared" si="0"/>
        <v>0</v>
      </c>
      <c r="R77" s="128">
        <f t="shared" si="1"/>
        <v>0</v>
      </c>
      <c r="S77" s="128">
        <f t="shared" si="2"/>
        <v>0</v>
      </c>
      <c r="T77" s="129">
        <f t="shared" si="25"/>
        <v>0</v>
      </c>
      <c r="U77" s="107" t="str">
        <f t="shared" si="4"/>
        <v/>
      </c>
      <c r="V77" s="108" t="str">
        <f>IF(OR($AM77="",ISNUMBER($AM77)=FALSE),"",IF(AND(#REF!="Tolerance",$E77&lt;&gt;""),($S77-$E77)/(($J77-$K77)/2),IF(AND(#REF!="GD&amp;T",$F77&lt;&gt;""),$S77/$F77,"")))</f>
        <v/>
      </c>
      <c r="W77" s="108" t="str">
        <f t="shared" si="12"/>
        <v/>
      </c>
      <c r="X77" s="107" t="str">
        <f t="shared" si="5"/>
        <v/>
      </c>
      <c r="Y77" s="107" t="str">
        <f t="shared" si="6"/>
        <v/>
      </c>
      <c r="Z77" s="107" t="str">
        <f t="shared" si="7"/>
        <v/>
      </c>
      <c r="AA77" s="72" t="str">
        <f t="shared" si="8"/>
        <v/>
      </c>
      <c r="AB77" s="73" t="e">
        <f>IF($S77="","",IF(#REF!="Tolerance",IF((#REF!*3*T77+S77)-E77&lt;F77,"",(#REF!*3*T77+S77)-E77),IF(OR(#REF!="GD&amp;T",#REF!="MAX"),IF((#REF!*3*T77+S77)&lt;F77,"",(#REF!*3*T77+S77)),"")))</f>
        <v>#REF!</v>
      </c>
      <c r="AC77" s="73" t="e">
        <f>IF(S77="","",IF(#REF!="Tolerance",IF(-((#REF!*3*T77)-S77)-E77&gt;G77,"",-((#REF!*3*T77)-S77)-E77),IF(#REF!="MIN",IF(-((#REF!*3*T77)-S77)&gt;G77,"",-((#REF!*3*T77)-S77)),"")))</f>
        <v>#REF!</v>
      </c>
      <c r="AD77" s="73">
        <f t="shared" si="13"/>
        <v>4.5609999999999999</v>
      </c>
      <c r="AE77" s="73" t="str">
        <f t="shared" si="9"/>
        <v/>
      </c>
      <c r="AF77" s="109"/>
      <c r="AG77" s="110" t="str">
        <f t="shared" si="28"/>
        <v/>
      </c>
      <c r="AH77" s="164" t="str" cm="1">
        <f t="array" ref="AH77">IF(AND(AM77:BR77 &gt;= K77, AM77:BR77 &lt;= J77), "OK", "NG")</f>
        <v>NG</v>
      </c>
      <c r="AI77" s="74"/>
      <c r="AJ77" s="74"/>
      <c r="AK77" s="75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  <c r="BI77" s="149"/>
      <c r="BJ77" s="149"/>
      <c r="BK77" s="149"/>
      <c r="BL77" s="149"/>
      <c r="BM77" s="149"/>
      <c r="BN77" s="149"/>
      <c r="BO77" s="149"/>
      <c r="BP77" s="149"/>
      <c r="BQ77" s="149"/>
      <c r="BR77" s="149"/>
    </row>
    <row r="78" spans="2:70" ht="19.2" customHeight="1">
      <c r="B78" s="68" t="s">
        <v>283</v>
      </c>
      <c r="C78" s="101" t="s">
        <v>226</v>
      </c>
      <c r="D78" s="125" t="s">
        <v>45</v>
      </c>
      <c r="E78" s="126">
        <v>4.5609999999999999</v>
      </c>
      <c r="F78" s="127">
        <v>0.03</v>
      </c>
      <c r="G78" s="127">
        <v>-0.03</v>
      </c>
      <c r="H78" s="106" t="s">
        <v>46</v>
      </c>
      <c r="I78" s="69"/>
      <c r="J78" s="70">
        <f t="shared" si="26"/>
        <v>4.5910000000000002</v>
      </c>
      <c r="K78" s="70">
        <f t="shared" si="27"/>
        <v>4.5309999999999997</v>
      </c>
      <c r="L78" s="70">
        <v>4.5865</v>
      </c>
      <c r="M78" s="70">
        <v>4.5354999999999999</v>
      </c>
      <c r="N78" s="155"/>
      <c r="O78" s="155"/>
      <c r="P78" s="71"/>
      <c r="Q78" s="128">
        <f t="shared" si="0"/>
        <v>0</v>
      </c>
      <c r="R78" s="128">
        <f t="shared" si="1"/>
        <v>0</v>
      </c>
      <c r="S78" s="128">
        <f t="shared" si="2"/>
        <v>0</v>
      </c>
      <c r="T78" s="129">
        <f t="shared" si="25"/>
        <v>0</v>
      </c>
      <c r="U78" s="107" t="str">
        <f t="shared" si="4"/>
        <v/>
      </c>
      <c r="V78" s="108" t="str">
        <f>IF(OR($AM78="",ISNUMBER($AM78)=FALSE),"",IF(AND(#REF!="Tolerance",$E78&lt;&gt;""),($S78-$E78)/(($J78-$K78)/2),IF(AND(#REF!="GD&amp;T",$F78&lt;&gt;""),$S78/$F78,"")))</f>
        <v/>
      </c>
      <c r="W78" s="108" t="str">
        <f t="shared" si="12"/>
        <v/>
      </c>
      <c r="X78" s="107" t="str">
        <f t="shared" si="5"/>
        <v/>
      </c>
      <c r="Y78" s="107" t="str">
        <f t="shared" si="6"/>
        <v/>
      </c>
      <c r="Z78" s="107" t="str">
        <f t="shared" si="7"/>
        <v/>
      </c>
      <c r="AA78" s="72" t="str">
        <f t="shared" si="8"/>
        <v/>
      </c>
      <c r="AB78" s="73" t="e">
        <f>IF($S78="","",IF(#REF!="Tolerance",IF((#REF!*3*T78+S78)-E78&lt;F78,"",(#REF!*3*T78+S78)-E78),IF(OR(#REF!="GD&amp;T",#REF!="MAX"),IF((#REF!*3*T78+S78)&lt;F78,"",(#REF!*3*T78+S78)),"")))</f>
        <v>#REF!</v>
      </c>
      <c r="AC78" s="73" t="e">
        <f>IF(S78="","",IF(#REF!="Tolerance",IF(-((#REF!*3*T78)-S78)-E78&gt;G78,"",-((#REF!*3*T78)-S78)-E78),IF(#REF!="MIN",IF(-((#REF!*3*T78)-S78)&gt;G78,"",-((#REF!*3*T78)-S78)),"")))</f>
        <v>#REF!</v>
      </c>
      <c r="AD78" s="73">
        <f t="shared" si="13"/>
        <v>4.5609999999999999</v>
      </c>
      <c r="AE78" s="73" t="str">
        <f t="shared" si="9"/>
        <v/>
      </c>
      <c r="AF78" s="109"/>
      <c r="AG78" s="110" t="str">
        <f t="shared" si="28"/>
        <v/>
      </c>
      <c r="AH78" s="164" t="str" cm="1">
        <f t="array" ref="AH78">IF(AND(AM78:BR78 &gt;= K78, AM78:BR78 &lt;= J78), "OK", "NG")</f>
        <v>NG</v>
      </c>
      <c r="AI78" s="74"/>
      <c r="AJ78" s="74"/>
      <c r="AK78" s="75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  <c r="BI78" s="149"/>
      <c r="BJ78" s="149"/>
      <c r="BK78" s="149"/>
      <c r="BL78" s="149"/>
      <c r="BM78" s="149"/>
      <c r="BN78" s="149"/>
      <c r="BO78" s="149"/>
      <c r="BP78" s="149"/>
      <c r="BQ78" s="149"/>
      <c r="BR78" s="149"/>
    </row>
    <row r="79" spans="2:70" ht="19.2" customHeight="1">
      <c r="B79" s="130" t="s">
        <v>283</v>
      </c>
      <c r="C79" s="101" t="s">
        <v>227</v>
      </c>
      <c r="D79" s="125" t="s">
        <v>45</v>
      </c>
      <c r="E79" s="126">
        <v>4.5609999999999999</v>
      </c>
      <c r="F79" s="127">
        <v>0.03</v>
      </c>
      <c r="G79" s="127">
        <v>-0.03</v>
      </c>
      <c r="H79" s="106" t="s">
        <v>46</v>
      </c>
      <c r="I79" s="69"/>
      <c r="J79" s="70">
        <f t="shared" si="26"/>
        <v>4.5910000000000002</v>
      </c>
      <c r="K79" s="70">
        <f t="shared" si="27"/>
        <v>4.5309999999999997</v>
      </c>
      <c r="L79" s="70">
        <v>4.5865</v>
      </c>
      <c r="M79" s="70">
        <v>4.5354999999999999</v>
      </c>
      <c r="N79" s="155"/>
      <c r="O79" s="155"/>
      <c r="P79" s="71"/>
      <c r="Q79" s="128">
        <f t="shared" si="0"/>
        <v>0</v>
      </c>
      <c r="R79" s="128">
        <f t="shared" si="1"/>
        <v>0</v>
      </c>
      <c r="S79" s="128">
        <f t="shared" si="2"/>
        <v>0</v>
      </c>
      <c r="T79" s="129">
        <f t="shared" si="25"/>
        <v>0</v>
      </c>
      <c r="U79" s="107" t="str">
        <f t="shared" si="4"/>
        <v/>
      </c>
      <c r="V79" s="108" t="str">
        <f>IF(OR($AM79="",ISNUMBER($AM79)=FALSE),"",IF(AND(#REF!="Tolerance",$E79&lt;&gt;""),($S79-$E79)/(($J79-$K79)/2),IF(AND(#REF!="GD&amp;T",$F79&lt;&gt;""),$S79/$F79,"")))</f>
        <v/>
      </c>
      <c r="W79" s="108" t="str">
        <f t="shared" si="12"/>
        <v/>
      </c>
      <c r="X79" s="107" t="str">
        <f t="shared" si="5"/>
        <v/>
      </c>
      <c r="Y79" s="107" t="str">
        <f t="shared" si="6"/>
        <v/>
      </c>
      <c r="Z79" s="107" t="str">
        <f t="shared" si="7"/>
        <v/>
      </c>
      <c r="AA79" s="72" t="str">
        <f t="shared" si="8"/>
        <v/>
      </c>
      <c r="AB79" s="73" t="e">
        <f>IF($S79="","",IF(#REF!="Tolerance",IF((#REF!*3*T79+S79)-E79&lt;F79,"",(#REF!*3*T79+S79)-E79),IF(OR(#REF!="GD&amp;T",#REF!="MAX"),IF((#REF!*3*T79+S79)&lt;F79,"",(#REF!*3*T79+S79)),"")))</f>
        <v>#REF!</v>
      </c>
      <c r="AC79" s="73" t="e">
        <f>IF(S79="","",IF(#REF!="Tolerance",IF(-((#REF!*3*T79)-S79)-E79&gt;G79,"",-((#REF!*3*T79)-S79)-E79),IF(#REF!="MIN",IF(-((#REF!*3*T79)-S79)&gt;G79,"",-((#REF!*3*T79)-S79)),"")))</f>
        <v>#REF!</v>
      </c>
      <c r="AD79" s="73">
        <f t="shared" si="13"/>
        <v>4.5609999999999999</v>
      </c>
      <c r="AE79" s="73" t="str">
        <f t="shared" si="9"/>
        <v/>
      </c>
      <c r="AF79" s="109"/>
      <c r="AG79" s="110" t="str">
        <f t="shared" si="28"/>
        <v/>
      </c>
      <c r="AH79" s="164" t="str" cm="1">
        <f t="array" ref="AH79">IF(AND(AM79:BR79 &gt;= K79, AM79:BR79 &lt;= J79), "OK", "NG")</f>
        <v>NG</v>
      </c>
      <c r="AI79" s="74"/>
      <c r="AJ79" s="74"/>
      <c r="AK79" s="75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  <c r="BI79" s="149"/>
      <c r="BJ79" s="149"/>
      <c r="BK79" s="149"/>
      <c r="BL79" s="149"/>
      <c r="BM79" s="149"/>
      <c r="BN79" s="149"/>
      <c r="BO79" s="149"/>
      <c r="BP79" s="149"/>
      <c r="BQ79" s="149"/>
      <c r="BR79" s="149"/>
    </row>
    <row r="80" spans="2:70" ht="19.2" customHeight="1">
      <c r="B80" s="130" t="s">
        <v>283</v>
      </c>
      <c r="C80" s="101" t="s">
        <v>228</v>
      </c>
      <c r="D80" s="125" t="s">
        <v>45</v>
      </c>
      <c r="E80" s="126">
        <v>4.5609999999999999</v>
      </c>
      <c r="F80" s="127">
        <v>0.03</v>
      </c>
      <c r="G80" s="127">
        <v>-0.03</v>
      </c>
      <c r="H80" s="106" t="s">
        <v>46</v>
      </c>
      <c r="I80" s="69"/>
      <c r="J80" s="70">
        <f t="shared" si="26"/>
        <v>4.5910000000000002</v>
      </c>
      <c r="K80" s="70">
        <f t="shared" si="27"/>
        <v>4.5309999999999997</v>
      </c>
      <c r="L80" s="70">
        <v>4.5865</v>
      </c>
      <c r="M80" s="70">
        <v>4.5354999999999999</v>
      </c>
      <c r="N80" s="155"/>
      <c r="O80" s="155"/>
      <c r="P80" s="71"/>
      <c r="Q80" s="128">
        <f t="shared" si="0"/>
        <v>0</v>
      </c>
      <c r="R80" s="128">
        <f t="shared" si="1"/>
        <v>0</v>
      </c>
      <c r="S80" s="128">
        <f t="shared" si="2"/>
        <v>0</v>
      </c>
      <c r="T80" s="129">
        <f t="shared" si="25"/>
        <v>0</v>
      </c>
      <c r="U80" s="107" t="str">
        <f t="shared" si="4"/>
        <v/>
      </c>
      <c r="V80" s="108" t="str">
        <f>IF(OR($AM80="",ISNUMBER($AM80)=FALSE),"",IF(AND(#REF!="Tolerance",$E80&lt;&gt;""),($S80-$E80)/(($J80-$K80)/2),IF(AND(#REF!="GD&amp;T",$F80&lt;&gt;""),$S80/$F80,"")))</f>
        <v/>
      </c>
      <c r="W80" s="108" t="str">
        <f t="shared" si="12"/>
        <v/>
      </c>
      <c r="X80" s="107" t="str">
        <f t="shared" si="5"/>
        <v/>
      </c>
      <c r="Y80" s="107" t="str">
        <f t="shared" si="6"/>
        <v/>
      </c>
      <c r="Z80" s="107" t="str">
        <f t="shared" si="7"/>
        <v/>
      </c>
      <c r="AA80" s="72" t="str">
        <f t="shared" si="8"/>
        <v/>
      </c>
      <c r="AB80" s="73" t="e">
        <f>IF($S80="","",IF(#REF!="Tolerance",IF((#REF!*3*T80+S80)-E80&lt;F80,"",(#REF!*3*T80+S80)-E80),IF(OR(#REF!="GD&amp;T",#REF!="MAX"),IF((#REF!*3*T80+S80)&lt;F80,"",(#REF!*3*T80+S80)),"")))</f>
        <v>#REF!</v>
      </c>
      <c r="AC80" s="73" t="e">
        <f>IF(S80="","",IF(#REF!="Tolerance",IF(-((#REF!*3*T80)-S80)-E80&gt;G80,"",-((#REF!*3*T80)-S80)-E80),IF(#REF!="MIN",IF(-((#REF!*3*T80)-S80)&gt;G80,"",-((#REF!*3*T80)-S80)),"")))</f>
        <v>#REF!</v>
      </c>
      <c r="AD80" s="73">
        <f t="shared" si="13"/>
        <v>4.5609999999999999</v>
      </c>
      <c r="AE80" s="73" t="str">
        <f t="shared" si="9"/>
        <v/>
      </c>
      <c r="AF80" s="109"/>
      <c r="AG80" s="110" t="str">
        <f t="shared" si="28"/>
        <v/>
      </c>
      <c r="AH80" s="164" t="str" cm="1">
        <f t="array" ref="AH80">IF(AND(AM80:BR80 &gt;= K80, AM80:BR80 &lt;= J80), "OK", "NG")</f>
        <v>NG</v>
      </c>
      <c r="AI80" s="74"/>
      <c r="AJ80" s="74"/>
      <c r="AK80" s="75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  <c r="BI80" s="149"/>
      <c r="BJ80" s="149"/>
      <c r="BK80" s="149"/>
      <c r="BL80" s="149"/>
      <c r="BM80" s="149"/>
      <c r="BN80" s="149"/>
      <c r="BO80" s="149"/>
      <c r="BP80" s="149"/>
      <c r="BQ80" s="149"/>
      <c r="BR80" s="149"/>
    </row>
    <row r="81" spans="2:70" ht="19.2" customHeight="1">
      <c r="B81" s="130" t="s">
        <v>283</v>
      </c>
      <c r="C81" s="101" t="s">
        <v>229</v>
      </c>
      <c r="D81" s="125" t="s">
        <v>45</v>
      </c>
      <c r="E81" s="126">
        <v>4.5609999999999999</v>
      </c>
      <c r="F81" s="127">
        <v>0.03</v>
      </c>
      <c r="G81" s="127">
        <v>-0.03</v>
      </c>
      <c r="H81" s="106" t="s">
        <v>46</v>
      </c>
      <c r="I81" s="69"/>
      <c r="J81" s="70">
        <f t="shared" si="26"/>
        <v>4.5910000000000002</v>
      </c>
      <c r="K81" s="70">
        <f t="shared" si="27"/>
        <v>4.5309999999999997</v>
      </c>
      <c r="L81" s="70">
        <v>4.5865</v>
      </c>
      <c r="M81" s="70">
        <v>4.5354999999999999</v>
      </c>
      <c r="N81" s="155"/>
      <c r="O81" s="155"/>
      <c r="P81" s="71"/>
      <c r="Q81" s="128">
        <f t="shared" ref="Q81:Q132" si="29">IF(OR($AM81=ISBLANK(TRUE),ISNUMBER($AM81)=FALSE),,MAX(AM81:BR81))</f>
        <v>0</v>
      </c>
      <c r="R81" s="128">
        <f t="shared" ref="R81:R132" si="30">IF(OR($AM81=ISBLANK(TRUE),ISNUMBER($AM81)=FALSE),,MIN(AM81:BR81))</f>
        <v>0</v>
      </c>
      <c r="S81" s="128">
        <f t="shared" ref="S81:S132" si="31">IF(OR($AM81=ISBLANK(TRUE),ISNUMBER($AM81)=FALSE),,AVERAGE(AM81:BR81))</f>
        <v>0</v>
      </c>
      <c r="T81" s="129">
        <f t="shared" si="25"/>
        <v>0</v>
      </c>
      <c r="U81" s="107" t="str">
        <f t="shared" ref="U81:U132" si="32">IF(OR($AM81="",ISNUMBER($AM81)=FALSE),"",IF(AND(E81=0,G81=0),X81,IF(AND(E81="",F81=""),Y81,(F81+ABS(G81))/(6*T81))))</f>
        <v/>
      </c>
      <c r="V81" s="108" t="str">
        <f>IF(OR($AM81="",ISNUMBER($AM81)=FALSE),"",IF(AND(#REF!="Tolerance",$E81&lt;&gt;""),($S81-$E81)/(($J81-$K81)/2),IF(AND(#REF!="GD&amp;T",$F81&lt;&gt;""),$S81/$F81,"")))</f>
        <v/>
      </c>
      <c r="W81" s="108" t="str">
        <f t="shared" si="12"/>
        <v/>
      </c>
      <c r="X81" s="107" t="str">
        <f t="shared" ref="X81:X132" si="33">IF(OR($AM81="",ISNUMBER($AM81)=FALSE),"",IF(F81="","",(J81-S81)/(3*T81)))</f>
        <v/>
      </c>
      <c r="Y81" s="107" t="str">
        <f t="shared" ref="Y81:Y132" si="34">IF(OR($AM81="",ISNUMBER($AM81)=FALSE),"",IF(G81="","",(S81-K81)/(3*T81)))</f>
        <v/>
      </c>
      <c r="Z81" s="107" t="str">
        <f t="shared" ref="Z81:Z132" si="35">IF(OR($AM81="",ISNUMBER($AM81)=FALSE),"",IF(AND(E81=0,G81=0),((F81)-(S81))/(3*T81),MIN(X81:Y81)))</f>
        <v/>
      </c>
      <c r="AA81" s="72" t="str">
        <f t="shared" ref="AA81:AA132" si="36">IF(OR($AM81="",ISNUMBER($AM81)=FALSE),"",IF(AND(E81=0,G81=0),NORMSDIST(3*Z81),NORMSDIST(3*Z81)+NORMSDIST(6*U81-3*Z81)-1))</f>
        <v/>
      </c>
      <c r="AB81" s="73" t="e">
        <f>IF($S81="","",IF(#REF!="Tolerance",IF((#REF!*3*T81+S81)-E81&lt;F81,"",(#REF!*3*T81+S81)-E81),IF(OR(#REF!="GD&amp;T",#REF!="MAX"),IF((#REF!*3*T81+S81)&lt;F81,"",(#REF!*3*T81+S81)),"")))</f>
        <v>#REF!</v>
      </c>
      <c r="AC81" s="73" t="e">
        <f>IF(S81="","",IF(#REF!="Tolerance",IF(-((#REF!*3*T81)-S81)-E81&gt;G81,"",-((#REF!*3*T81)-S81)-E81),IF(#REF!="MIN",IF(-((#REF!*3*T81)-S81)&gt;G81,"",-((#REF!*3*T81)-S81)),"")))</f>
        <v>#REF!</v>
      </c>
      <c r="AD81" s="73">
        <f t="shared" si="13"/>
        <v>4.5609999999999999</v>
      </c>
      <c r="AE81" s="73" t="str">
        <f t="shared" ref="AE81:AE140" si="37">IF(OR($U81&gt;$AE$4,$T81=""),"",$AE$4*6*$T81)</f>
        <v/>
      </c>
      <c r="AF81" s="109"/>
      <c r="AG81" s="110" t="str">
        <f t="shared" si="28"/>
        <v/>
      </c>
      <c r="AH81" s="164" t="str" cm="1">
        <f t="array" ref="AH81">IF(AND(AM81:BR81 &gt;= K81, AM81:BR81 &lt;= J81), "OK", "NG")</f>
        <v>NG</v>
      </c>
      <c r="AI81" s="74"/>
      <c r="AJ81" s="74"/>
      <c r="AK81" s="75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  <c r="BI81" s="149"/>
      <c r="BJ81" s="149"/>
      <c r="BK81" s="149"/>
      <c r="BL81" s="149"/>
      <c r="BM81" s="149"/>
      <c r="BN81" s="149"/>
      <c r="BO81" s="149"/>
      <c r="BP81" s="149"/>
      <c r="BQ81" s="149"/>
      <c r="BR81" s="149"/>
    </row>
    <row r="82" spans="2:70" ht="19.2" customHeight="1">
      <c r="B82" s="130" t="s">
        <v>283</v>
      </c>
      <c r="C82" s="101" t="s">
        <v>230</v>
      </c>
      <c r="D82" s="125" t="s">
        <v>45</v>
      </c>
      <c r="E82" s="126">
        <v>4.5609999999999999</v>
      </c>
      <c r="F82" s="127">
        <v>0.03</v>
      </c>
      <c r="G82" s="127">
        <v>-0.03</v>
      </c>
      <c r="H82" s="106" t="s">
        <v>46</v>
      </c>
      <c r="I82" s="69"/>
      <c r="J82" s="70">
        <f t="shared" si="26"/>
        <v>4.5910000000000002</v>
      </c>
      <c r="K82" s="70">
        <f t="shared" si="27"/>
        <v>4.5309999999999997</v>
      </c>
      <c r="L82" s="70">
        <v>4.5865</v>
      </c>
      <c r="M82" s="70">
        <v>4.5354999999999999</v>
      </c>
      <c r="N82" s="155"/>
      <c r="O82" s="155"/>
      <c r="P82" s="71"/>
      <c r="Q82" s="128">
        <f t="shared" si="29"/>
        <v>0</v>
      </c>
      <c r="R82" s="128">
        <f t="shared" si="30"/>
        <v>0</v>
      </c>
      <c r="S82" s="128">
        <f t="shared" si="31"/>
        <v>0</v>
      </c>
      <c r="T82" s="129">
        <f t="shared" si="25"/>
        <v>0</v>
      </c>
      <c r="U82" s="107" t="str">
        <f t="shared" si="32"/>
        <v/>
      </c>
      <c r="V82" s="108" t="str">
        <f>IF(OR($AM82="",ISNUMBER($AM82)=FALSE),"",IF(AND(#REF!="Tolerance",$E82&lt;&gt;""),($S82-$E82)/(($J82-$K82)/2),IF(AND(#REF!="GD&amp;T",$F82&lt;&gt;""),$S82/$F82,"")))</f>
        <v/>
      </c>
      <c r="W82" s="108" t="str">
        <f t="shared" ref="W82:W140" si="38">IF($V82="","",IF(ABS($V82)&lt;=0.125, "Level A",IF(AND(ABS($V82)&gt;0.125,ABS($V82)&lt;=0.25), "Level B",IF(AND(ABS($V82)&gt;0.25,ABS($V82)&lt;=0.5), "Level C", IF(ABS($V82)&gt;0.5, "Level D")))))</f>
        <v/>
      </c>
      <c r="X82" s="107" t="str">
        <f t="shared" si="33"/>
        <v/>
      </c>
      <c r="Y82" s="107" t="str">
        <f t="shared" si="34"/>
        <v/>
      </c>
      <c r="Z82" s="107" t="str">
        <f t="shared" si="35"/>
        <v/>
      </c>
      <c r="AA82" s="72" t="str">
        <f t="shared" si="36"/>
        <v/>
      </c>
      <c r="AB82" s="73" t="e">
        <f>IF($S82="","",IF(#REF!="Tolerance",IF((#REF!*3*T82+S82)-E82&lt;F82,"",(#REF!*3*T82+S82)-E82),IF(OR(#REF!="GD&amp;T",#REF!="MAX"),IF((#REF!*3*T82+S82)&lt;F82,"",(#REF!*3*T82+S82)),"")))</f>
        <v>#REF!</v>
      </c>
      <c r="AC82" s="73" t="e">
        <f>IF(S82="","",IF(#REF!="Tolerance",IF(-((#REF!*3*T82)-S82)-E82&gt;G82,"",-((#REF!*3*T82)-S82)-E82),IF(#REF!="MIN",IF(-((#REF!*3*T82)-S82)&gt;G82,"",-((#REF!*3*T82)-S82)),"")))</f>
        <v>#REF!</v>
      </c>
      <c r="AD82" s="73">
        <f t="shared" ref="AD82:AD133" si="39">IF(OR(E82="",S82=""),"",(J82+K82)/2-S82)</f>
        <v>4.5609999999999999</v>
      </c>
      <c r="AE82" s="73" t="str">
        <f t="shared" si="37"/>
        <v/>
      </c>
      <c r="AF82" s="109"/>
      <c r="AG82" s="110" t="str">
        <f t="shared" si="28"/>
        <v/>
      </c>
      <c r="AH82" s="164" t="str" cm="1">
        <f t="array" ref="AH82">IF(AND(AM82:BR82 &gt;= K82, AM82:BR82 &lt;= J82), "OK", "NG")</f>
        <v>NG</v>
      </c>
      <c r="AI82" s="74"/>
      <c r="AJ82" s="74"/>
      <c r="AK82" s="75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  <c r="BI82" s="149"/>
      <c r="BJ82" s="149"/>
      <c r="BK82" s="149"/>
      <c r="BL82" s="149"/>
      <c r="BM82" s="149"/>
      <c r="BN82" s="149"/>
      <c r="BO82" s="149"/>
      <c r="BP82" s="149"/>
      <c r="BQ82" s="149"/>
      <c r="BR82" s="149"/>
    </row>
    <row r="83" spans="2:70" ht="19.2" customHeight="1">
      <c r="B83" s="130" t="s">
        <v>284</v>
      </c>
      <c r="C83" s="101" t="s">
        <v>235</v>
      </c>
      <c r="D83" s="125" t="s">
        <v>45</v>
      </c>
      <c r="E83" s="126">
        <v>23.286000000000001</v>
      </c>
      <c r="F83" s="127">
        <v>0.03</v>
      </c>
      <c r="G83" s="127">
        <v>-0.03</v>
      </c>
      <c r="H83" s="106" t="s">
        <v>46</v>
      </c>
      <c r="I83" s="69"/>
      <c r="J83" s="70">
        <f t="shared" si="26"/>
        <v>23.316000000000003</v>
      </c>
      <c r="K83" s="70">
        <f t="shared" si="27"/>
        <v>23.256</v>
      </c>
      <c r="L83" s="70">
        <v>23.311500000000002</v>
      </c>
      <c r="M83" s="70">
        <v>23.2605</v>
      </c>
      <c r="N83" s="155"/>
      <c r="O83" s="155"/>
      <c r="P83" s="71"/>
      <c r="Q83" s="128">
        <f t="shared" si="29"/>
        <v>0</v>
      </c>
      <c r="R83" s="128">
        <f t="shared" si="30"/>
        <v>0</v>
      </c>
      <c r="S83" s="128">
        <f t="shared" si="31"/>
        <v>0</v>
      </c>
      <c r="T83" s="129">
        <f t="shared" si="25"/>
        <v>0</v>
      </c>
      <c r="U83" s="107" t="str">
        <f t="shared" si="32"/>
        <v/>
      </c>
      <c r="V83" s="108" t="str">
        <f>IF(OR($AM83="",ISNUMBER($AM83)=FALSE),"",IF(AND(#REF!="Tolerance",$E83&lt;&gt;""),($S83-$E83)/(($J83-$K83)/2),IF(AND(#REF!="GD&amp;T",$F83&lt;&gt;""),$S83/$F83,"")))</f>
        <v/>
      </c>
      <c r="W83" s="108" t="str">
        <f t="shared" si="38"/>
        <v/>
      </c>
      <c r="X83" s="107" t="str">
        <f t="shared" si="33"/>
        <v/>
      </c>
      <c r="Y83" s="107" t="str">
        <f t="shared" si="34"/>
        <v/>
      </c>
      <c r="Z83" s="107" t="str">
        <f t="shared" si="35"/>
        <v/>
      </c>
      <c r="AA83" s="72" t="str">
        <f t="shared" si="36"/>
        <v/>
      </c>
      <c r="AB83" s="73" t="e">
        <f>IF($S83="","",IF(#REF!="Tolerance",IF((#REF!*3*T83+S83)-E83&lt;F83,"",(#REF!*3*T83+S83)-E83),IF(OR(#REF!="GD&amp;T",#REF!="MAX"),IF((#REF!*3*T83+S83)&lt;F83,"",(#REF!*3*T83+S83)),"")))</f>
        <v>#REF!</v>
      </c>
      <c r="AC83" s="73" t="e">
        <f>IF(S83="","",IF(#REF!="Tolerance",IF(-((#REF!*3*T83)-S83)-E83&gt;G83,"",-((#REF!*3*T83)-S83)-E83),IF(#REF!="MIN",IF(-((#REF!*3*T83)-S83)&gt;G83,"",-((#REF!*3*T83)-S83)),"")))</f>
        <v>#REF!</v>
      </c>
      <c r="AD83" s="73">
        <f t="shared" si="39"/>
        <v>23.286000000000001</v>
      </c>
      <c r="AE83" s="73" t="str">
        <f t="shared" si="37"/>
        <v/>
      </c>
      <c r="AF83" s="109"/>
      <c r="AG83" s="110" t="str">
        <f t="shared" si="28"/>
        <v/>
      </c>
      <c r="AH83" s="164" t="str" cm="1">
        <f t="array" ref="AH83">IF(AND(AM83:BR83 &gt;= K83, AM83:BR83 &lt;= J83), "OK", "NG")</f>
        <v>NG</v>
      </c>
      <c r="AI83" s="74"/>
      <c r="AJ83" s="74"/>
      <c r="AK83" s="75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  <c r="BI83" s="149"/>
      <c r="BJ83" s="149"/>
      <c r="BK83" s="149"/>
      <c r="BL83" s="149"/>
      <c r="BM83" s="149"/>
      <c r="BN83" s="149"/>
      <c r="BO83" s="149"/>
      <c r="BP83" s="149"/>
      <c r="BQ83" s="149"/>
      <c r="BR83" s="149"/>
    </row>
    <row r="84" spans="2:70" ht="19.2" customHeight="1">
      <c r="B84" s="68" t="s">
        <v>284</v>
      </c>
      <c r="C84" s="101" t="s">
        <v>236</v>
      </c>
      <c r="D84" s="125" t="s">
        <v>45</v>
      </c>
      <c r="E84" s="126">
        <v>23.286000000000001</v>
      </c>
      <c r="F84" s="127">
        <v>0.03</v>
      </c>
      <c r="G84" s="127">
        <v>-0.03</v>
      </c>
      <c r="H84" s="106" t="s">
        <v>46</v>
      </c>
      <c r="I84" s="69"/>
      <c r="J84" s="70">
        <f t="shared" si="26"/>
        <v>23.316000000000003</v>
      </c>
      <c r="K84" s="70">
        <f t="shared" si="27"/>
        <v>23.256</v>
      </c>
      <c r="L84" s="70">
        <v>23.311500000000002</v>
      </c>
      <c r="M84" s="70">
        <v>23.2605</v>
      </c>
      <c r="N84" s="155"/>
      <c r="O84" s="155"/>
      <c r="P84" s="71"/>
      <c r="Q84" s="128">
        <f t="shared" si="29"/>
        <v>0</v>
      </c>
      <c r="R84" s="128">
        <f t="shared" si="30"/>
        <v>0</v>
      </c>
      <c r="S84" s="128">
        <f t="shared" si="31"/>
        <v>0</v>
      </c>
      <c r="T84" s="129">
        <f t="shared" si="25"/>
        <v>0</v>
      </c>
      <c r="U84" s="107" t="str">
        <f t="shared" si="32"/>
        <v/>
      </c>
      <c r="V84" s="108" t="str">
        <f>IF(OR($AM84="",ISNUMBER($AM84)=FALSE),"",IF(AND(#REF!="Tolerance",$E84&lt;&gt;""),($S84-$E84)/(($J84-$K84)/2),IF(AND(#REF!="GD&amp;T",$F84&lt;&gt;""),$S84/$F84,"")))</f>
        <v/>
      </c>
      <c r="W84" s="108" t="str">
        <f t="shared" si="38"/>
        <v/>
      </c>
      <c r="X84" s="107" t="str">
        <f t="shared" si="33"/>
        <v/>
      </c>
      <c r="Y84" s="107" t="str">
        <f t="shared" si="34"/>
        <v/>
      </c>
      <c r="Z84" s="107" t="str">
        <f t="shared" si="35"/>
        <v/>
      </c>
      <c r="AA84" s="72" t="str">
        <f t="shared" si="36"/>
        <v/>
      </c>
      <c r="AB84" s="73" t="e">
        <f>IF($S84="","",IF(#REF!="Tolerance",IF((#REF!*3*T84+S84)-E84&lt;F84,"",(#REF!*3*T84+S84)-E84),IF(OR(#REF!="GD&amp;T",#REF!="MAX"),IF((#REF!*3*T84+S84)&lt;F84,"",(#REF!*3*T84+S84)),"")))</f>
        <v>#REF!</v>
      </c>
      <c r="AC84" s="73" t="e">
        <f>IF(S84="","",IF(#REF!="Tolerance",IF(-((#REF!*3*T84)-S84)-E84&gt;G84,"",-((#REF!*3*T84)-S84)-E84),IF(#REF!="MIN",IF(-((#REF!*3*T84)-S84)&gt;G84,"",-((#REF!*3*T84)-S84)),"")))</f>
        <v>#REF!</v>
      </c>
      <c r="AD84" s="73">
        <f t="shared" si="39"/>
        <v>23.286000000000001</v>
      </c>
      <c r="AE84" s="73" t="str">
        <f t="shared" si="37"/>
        <v/>
      </c>
      <c r="AF84" s="109"/>
      <c r="AG84" s="110" t="str">
        <f t="shared" si="28"/>
        <v/>
      </c>
      <c r="AH84" s="164" t="str" cm="1">
        <f t="array" ref="AH84">IF(AND(AM84:BR84 &gt;= K84, AM84:BR84 &lt;= J84), "OK", "NG")</f>
        <v>NG</v>
      </c>
      <c r="AI84" s="74"/>
      <c r="AJ84" s="74"/>
      <c r="AK84" s="75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  <c r="BI84" s="149"/>
      <c r="BJ84" s="149"/>
      <c r="BK84" s="149"/>
      <c r="BL84" s="149"/>
      <c r="BM84" s="149"/>
      <c r="BN84" s="149"/>
      <c r="BO84" s="149"/>
      <c r="BP84" s="149"/>
      <c r="BQ84" s="149"/>
      <c r="BR84" s="149"/>
    </row>
    <row r="85" spans="2:70" ht="19.2" customHeight="1">
      <c r="B85" s="68" t="s">
        <v>285</v>
      </c>
      <c r="C85" s="101" t="s">
        <v>237</v>
      </c>
      <c r="D85" s="125" t="s">
        <v>45</v>
      </c>
      <c r="E85" s="126">
        <v>0.04</v>
      </c>
      <c r="F85" s="127">
        <v>0.04</v>
      </c>
      <c r="G85" s="127">
        <v>-0.04</v>
      </c>
      <c r="H85" s="106" t="s">
        <v>46</v>
      </c>
      <c r="I85" s="69"/>
      <c r="J85" s="70">
        <f t="shared" si="26"/>
        <v>0.08</v>
      </c>
      <c r="K85" s="70">
        <f t="shared" si="27"/>
        <v>0</v>
      </c>
      <c r="L85" s="70">
        <v>7.400000000000001E-2</v>
      </c>
      <c r="M85" s="70">
        <v>5.9999999999999984E-3</v>
      </c>
      <c r="N85" s="155"/>
      <c r="O85" s="155"/>
      <c r="P85" s="71"/>
      <c r="Q85" s="128">
        <f t="shared" si="29"/>
        <v>0</v>
      </c>
      <c r="R85" s="128">
        <f t="shared" si="30"/>
        <v>0</v>
      </c>
      <c r="S85" s="128">
        <f t="shared" si="31"/>
        <v>0</v>
      </c>
      <c r="T85" s="129">
        <f>IF(OR($AM85=ISBLANK(TRUE),ISNUMBER($AM85)=FALSE),,STDEV(AM85:BR85))</f>
        <v>0</v>
      </c>
      <c r="U85" s="107" t="str">
        <f t="shared" si="32"/>
        <v/>
      </c>
      <c r="V85" s="108" t="str">
        <f>IF(OR($AM85="",ISNUMBER($AM85)=FALSE),"",IF(AND(#REF!="Tolerance",$E85&lt;&gt;""),($S85-$E85)/(($J85-$K85)/2),IF(AND(#REF!="GD&amp;T",$F85&lt;&gt;""),$S85/$F85,"")))</f>
        <v/>
      </c>
      <c r="W85" s="108" t="str">
        <f t="shared" si="38"/>
        <v/>
      </c>
      <c r="X85" s="107" t="str">
        <f t="shared" si="33"/>
        <v/>
      </c>
      <c r="Y85" s="107" t="str">
        <f t="shared" si="34"/>
        <v/>
      </c>
      <c r="Z85" s="107" t="str">
        <f t="shared" si="35"/>
        <v/>
      </c>
      <c r="AA85" s="72" t="str">
        <f t="shared" si="36"/>
        <v/>
      </c>
      <c r="AB85" s="73" t="e">
        <f>IF($S85="","",IF(#REF!="Tolerance",IF((#REF!*3*T85+S85)-E85&lt;F85,"",(#REF!*3*T85+S85)-E85),IF(OR(#REF!="GD&amp;T",#REF!="MAX"),IF((#REF!*3*T85+S85)&lt;F85,"",(#REF!*3*T85+S85)),"")))</f>
        <v>#REF!</v>
      </c>
      <c r="AC85" s="73" t="e">
        <f>IF(S85="","",IF(#REF!="Tolerance",IF(-((#REF!*3*T85)-S85)-E85&gt;G85,"",-((#REF!*3*T85)-S85)-E85),IF(#REF!="MIN",IF(-((#REF!*3*T85)-S85)&gt;G85,"",-((#REF!*3*T85)-S85)),"")))</f>
        <v>#REF!</v>
      </c>
      <c r="AD85" s="73">
        <f t="shared" si="39"/>
        <v>0.04</v>
      </c>
      <c r="AE85" s="73" t="str">
        <f t="shared" si="37"/>
        <v/>
      </c>
      <c r="AF85" s="109"/>
      <c r="AG85" s="110" t="str">
        <f t="shared" si="28"/>
        <v/>
      </c>
      <c r="AH85" s="164" t="str" cm="1">
        <f t="array" ref="AH85">IF(AND(AM85:BR85 &gt;= K85, AM85:BR85 &lt;= J85), "OK", "NG")</f>
        <v>OK</v>
      </c>
      <c r="AI85" s="74"/>
      <c r="AJ85" s="74"/>
      <c r="AK85" s="75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  <c r="BI85" s="149"/>
      <c r="BJ85" s="149"/>
      <c r="BK85" s="149"/>
      <c r="BL85" s="149"/>
      <c r="BM85" s="149"/>
      <c r="BN85" s="149"/>
      <c r="BO85" s="149"/>
      <c r="BP85" s="149"/>
      <c r="BQ85" s="149"/>
      <c r="BR85" s="149"/>
    </row>
    <row r="86" spans="2:70" ht="19.2" customHeight="1">
      <c r="B86" s="68" t="s">
        <v>285</v>
      </c>
      <c r="C86" s="101" t="s">
        <v>238</v>
      </c>
      <c r="D86" s="125" t="s">
        <v>45</v>
      </c>
      <c r="E86" s="126">
        <v>0.04</v>
      </c>
      <c r="F86" s="127">
        <v>0.04</v>
      </c>
      <c r="G86" s="127">
        <v>-0.04</v>
      </c>
      <c r="H86" s="106" t="s">
        <v>46</v>
      </c>
      <c r="I86" s="69"/>
      <c r="J86" s="70">
        <f t="shared" si="26"/>
        <v>0.08</v>
      </c>
      <c r="K86" s="70">
        <f t="shared" si="27"/>
        <v>0</v>
      </c>
      <c r="L86" s="70">
        <v>7.400000000000001E-2</v>
      </c>
      <c r="M86" s="70">
        <v>5.9999999999999984E-3</v>
      </c>
      <c r="N86" s="155"/>
      <c r="O86" s="155"/>
      <c r="P86" s="71"/>
      <c r="Q86" s="128">
        <f t="shared" si="29"/>
        <v>0</v>
      </c>
      <c r="R86" s="128">
        <f t="shared" si="30"/>
        <v>0</v>
      </c>
      <c r="S86" s="128">
        <f t="shared" si="31"/>
        <v>0</v>
      </c>
      <c r="T86" s="129">
        <f t="shared" ref="T86:T137" si="40">IF(OR($AM86=ISBLANK(TRUE),ISNUMBER($AM86)=FALSE),,STDEV(AM86:BR86))</f>
        <v>0</v>
      </c>
      <c r="U86" s="107" t="str">
        <f t="shared" si="32"/>
        <v/>
      </c>
      <c r="V86" s="108" t="str">
        <f>IF(OR($AM86="",ISNUMBER($AM86)=FALSE),"",IF(AND(#REF!="Tolerance",$E86&lt;&gt;""),($S86-$E86)/(($J86-$K86)/2),IF(AND(#REF!="GD&amp;T",$F86&lt;&gt;""),$S86/$F86,"")))</f>
        <v/>
      </c>
      <c r="W86" s="108" t="str">
        <f t="shared" si="38"/>
        <v/>
      </c>
      <c r="X86" s="107" t="str">
        <f t="shared" si="33"/>
        <v/>
      </c>
      <c r="Y86" s="107" t="str">
        <f t="shared" si="34"/>
        <v/>
      </c>
      <c r="Z86" s="107" t="str">
        <f t="shared" si="35"/>
        <v/>
      </c>
      <c r="AA86" s="72" t="str">
        <f t="shared" si="36"/>
        <v/>
      </c>
      <c r="AB86" s="73" t="e">
        <f>IF($S86="","",IF(#REF!="Tolerance",IF((#REF!*3*T86+S86)-E86&lt;F86,"",(#REF!*3*T86+S86)-E86),IF(OR(#REF!="GD&amp;T",#REF!="MAX"),IF((#REF!*3*T86+S86)&lt;F86,"",(#REF!*3*T86+S86)),"")))</f>
        <v>#REF!</v>
      </c>
      <c r="AC86" s="73" t="e">
        <f>IF(S86="","",IF(#REF!="Tolerance",IF(-((#REF!*3*T86)-S86)-E86&gt;G86,"",-((#REF!*3*T86)-S86)-E86),IF(#REF!="MIN",IF(-((#REF!*3*T86)-S86)&gt;G86,"",-((#REF!*3*T86)-S86)),"")))</f>
        <v>#REF!</v>
      </c>
      <c r="AD86" s="73">
        <f t="shared" si="39"/>
        <v>0.04</v>
      </c>
      <c r="AE86" s="73" t="str">
        <f t="shared" si="37"/>
        <v/>
      </c>
      <c r="AF86" s="109"/>
      <c r="AG86" s="110" t="str">
        <f t="shared" si="28"/>
        <v/>
      </c>
      <c r="AH86" s="164" t="str" cm="1">
        <f t="array" ref="AH86">IF(AND(AM86:BR86 &gt;= K86, AM86:BR86 &lt;= J86), "OK", "NG")</f>
        <v>OK</v>
      </c>
      <c r="AI86" s="74"/>
      <c r="AJ86" s="74"/>
      <c r="AK86" s="75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  <c r="BI86" s="149"/>
      <c r="BJ86" s="149"/>
      <c r="BK86" s="149"/>
      <c r="BL86" s="149"/>
      <c r="BM86" s="149"/>
      <c r="BN86" s="149"/>
      <c r="BO86" s="149"/>
      <c r="BP86" s="149"/>
      <c r="BQ86" s="149"/>
      <c r="BR86" s="149"/>
    </row>
    <row r="87" spans="2:70" ht="19.2" customHeight="1">
      <c r="B87" s="68" t="s">
        <v>285</v>
      </c>
      <c r="C87" s="101" t="s">
        <v>239</v>
      </c>
      <c r="D87" s="125" t="s">
        <v>45</v>
      </c>
      <c r="E87" s="126">
        <v>0.04</v>
      </c>
      <c r="F87" s="127">
        <v>0.04</v>
      </c>
      <c r="G87" s="127">
        <v>-0.04</v>
      </c>
      <c r="H87" s="106" t="s">
        <v>46</v>
      </c>
      <c r="I87" s="69"/>
      <c r="J87" s="70">
        <f t="shared" si="26"/>
        <v>0.08</v>
      </c>
      <c r="K87" s="70">
        <f t="shared" si="27"/>
        <v>0</v>
      </c>
      <c r="L87" s="70">
        <v>7.400000000000001E-2</v>
      </c>
      <c r="M87" s="70">
        <v>5.9999999999999984E-3</v>
      </c>
      <c r="N87" s="155"/>
      <c r="O87" s="155"/>
      <c r="P87" s="71"/>
      <c r="Q87" s="128">
        <f t="shared" si="29"/>
        <v>0</v>
      </c>
      <c r="R87" s="128">
        <f t="shared" si="30"/>
        <v>0</v>
      </c>
      <c r="S87" s="128">
        <f t="shared" si="31"/>
        <v>0</v>
      </c>
      <c r="T87" s="129">
        <f t="shared" si="40"/>
        <v>0</v>
      </c>
      <c r="U87" s="107" t="str">
        <f t="shared" si="32"/>
        <v/>
      </c>
      <c r="V87" s="108" t="str">
        <f>IF(OR($AM87="",ISNUMBER($AM87)=FALSE),"",IF(AND(#REF!="Tolerance",$E87&lt;&gt;""),($S87-$E87)/(($J87-$K87)/2),IF(AND(#REF!="GD&amp;T",$F87&lt;&gt;""),$S87/$F87,"")))</f>
        <v/>
      </c>
      <c r="W87" s="108" t="str">
        <f t="shared" si="38"/>
        <v/>
      </c>
      <c r="X87" s="107" t="str">
        <f t="shared" si="33"/>
        <v/>
      </c>
      <c r="Y87" s="107" t="str">
        <f t="shared" si="34"/>
        <v/>
      </c>
      <c r="Z87" s="107" t="str">
        <f t="shared" si="35"/>
        <v/>
      </c>
      <c r="AA87" s="72" t="str">
        <f t="shared" si="36"/>
        <v/>
      </c>
      <c r="AB87" s="73" t="e">
        <f>IF($S87="","",IF(#REF!="Tolerance",IF((#REF!*3*T87+S87)-E87&lt;F87,"",(#REF!*3*T87+S87)-E87),IF(OR(#REF!="GD&amp;T",#REF!="MAX"),IF((#REF!*3*T87+S87)&lt;F87,"",(#REF!*3*T87+S87)),"")))</f>
        <v>#REF!</v>
      </c>
      <c r="AC87" s="73" t="e">
        <f>IF(S87="","",IF(#REF!="Tolerance",IF(-((#REF!*3*T87)-S87)-E87&gt;G87,"",-((#REF!*3*T87)-S87)-E87),IF(#REF!="MIN",IF(-((#REF!*3*T87)-S87)&gt;G87,"",-((#REF!*3*T87)-S87)),"")))</f>
        <v>#REF!</v>
      </c>
      <c r="AD87" s="73">
        <f t="shared" si="39"/>
        <v>0.04</v>
      </c>
      <c r="AE87" s="73" t="str">
        <f t="shared" si="37"/>
        <v/>
      </c>
      <c r="AF87" s="109"/>
      <c r="AG87" s="110" t="str">
        <f t="shared" si="28"/>
        <v/>
      </c>
      <c r="AH87" s="164" t="str" cm="1">
        <f t="array" ref="AH87">IF(AND(AM87:BR87 &gt;= K87, AM87:BR87 &lt;= J87), "OK", "NG")</f>
        <v>OK</v>
      </c>
      <c r="AI87" s="74"/>
      <c r="AJ87" s="74"/>
      <c r="AK87" s="75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  <c r="BI87" s="149"/>
      <c r="BJ87" s="149"/>
      <c r="BK87" s="149"/>
      <c r="BL87" s="149"/>
      <c r="BM87" s="149"/>
      <c r="BN87" s="149"/>
      <c r="BO87" s="149"/>
      <c r="BP87" s="149"/>
      <c r="BQ87" s="149"/>
      <c r="BR87" s="149"/>
    </row>
    <row r="88" spans="2:70" ht="19.2" customHeight="1">
      <c r="B88" s="68" t="s">
        <v>285</v>
      </c>
      <c r="C88" s="101" t="s">
        <v>240</v>
      </c>
      <c r="D88" s="125" t="s">
        <v>45</v>
      </c>
      <c r="E88" s="126">
        <v>0.04</v>
      </c>
      <c r="F88" s="127">
        <v>0.04</v>
      </c>
      <c r="G88" s="127">
        <v>-0.04</v>
      </c>
      <c r="H88" s="106" t="s">
        <v>46</v>
      </c>
      <c r="I88" s="69"/>
      <c r="J88" s="70">
        <f t="shared" si="26"/>
        <v>0.08</v>
      </c>
      <c r="K88" s="70">
        <f t="shared" si="27"/>
        <v>0</v>
      </c>
      <c r="L88" s="70">
        <v>7.400000000000001E-2</v>
      </c>
      <c r="M88" s="70">
        <v>5.9999999999999984E-3</v>
      </c>
      <c r="N88" s="155"/>
      <c r="O88" s="155"/>
      <c r="P88" s="71"/>
      <c r="Q88" s="128">
        <f t="shared" si="29"/>
        <v>0</v>
      </c>
      <c r="R88" s="128">
        <f t="shared" si="30"/>
        <v>0</v>
      </c>
      <c r="S88" s="128">
        <f t="shared" si="31"/>
        <v>0</v>
      </c>
      <c r="T88" s="129">
        <f t="shared" si="40"/>
        <v>0</v>
      </c>
      <c r="U88" s="107" t="str">
        <f t="shared" si="32"/>
        <v/>
      </c>
      <c r="V88" s="108" t="str">
        <f>IF(OR($AM88="",ISNUMBER($AM88)=FALSE),"",IF(AND(#REF!="Tolerance",$E88&lt;&gt;""),($S88-$E88)/(($J88-$K88)/2),IF(AND(#REF!="GD&amp;T",$F88&lt;&gt;""),$S88/$F88,"")))</f>
        <v/>
      </c>
      <c r="W88" s="108" t="str">
        <f t="shared" si="38"/>
        <v/>
      </c>
      <c r="X88" s="107" t="str">
        <f t="shared" si="33"/>
        <v/>
      </c>
      <c r="Y88" s="107" t="str">
        <f t="shared" si="34"/>
        <v/>
      </c>
      <c r="Z88" s="107" t="str">
        <f t="shared" si="35"/>
        <v/>
      </c>
      <c r="AA88" s="72" t="str">
        <f t="shared" si="36"/>
        <v/>
      </c>
      <c r="AB88" s="73" t="e">
        <f>IF($S88="","",IF(#REF!="Tolerance",IF((#REF!*3*T88+S88)-E88&lt;F88,"",(#REF!*3*T88+S88)-E88),IF(OR(#REF!="GD&amp;T",#REF!="MAX"),IF((#REF!*3*T88+S88)&lt;F88,"",(#REF!*3*T88+S88)),"")))</f>
        <v>#REF!</v>
      </c>
      <c r="AC88" s="73" t="e">
        <f>IF(S88="","",IF(#REF!="Tolerance",IF(-((#REF!*3*T88)-S88)-E88&gt;G88,"",-((#REF!*3*T88)-S88)-E88),IF(#REF!="MIN",IF(-((#REF!*3*T88)-S88)&gt;G88,"",-((#REF!*3*T88)-S88)),"")))</f>
        <v>#REF!</v>
      </c>
      <c r="AD88" s="73">
        <f t="shared" si="39"/>
        <v>0.04</v>
      </c>
      <c r="AE88" s="73" t="str">
        <f t="shared" si="37"/>
        <v/>
      </c>
      <c r="AF88" s="109"/>
      <c r="AG88" s="110" t="str">
        <f t="shared" si="28"/>
        <v/>
      </c>
      <c r="AH88" s="164" t="str" cm="1">
        <f t="array" ref="AH88">IF(AND(AM88:BR88 &gt;= K88, AM88:BR88 &lt;= J88), "OK", "NG")</f>
        <v>OK</v>
      </c>
      <c r="AI88" s="74"/>
      <c r="AJ88" s="74"/>
      <c r="AK88" s="75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  <c r="BI88" s="149"/>
      <c r="BJ88" s="149"/>
      <c r="BK88" s="149"/>
      <c r="BL88" s="149"/>
      <c r="BM88" s="149"/>
      <c r="BN88" s="149"/>
      <c r="BO88" s="149"/>
      <c r="BP88" s="149"/>
      <c r="BQ88" s="149"/>
      <c r="BR88" s="149"/>
    </row>
    <row r="89" spans="2:70" ht="19.2" customHeight="1">
      <c r="B89" s="68" t="s">
        <v>285</v>
      </c>
      <c r="C89" s="101" t="s">
        <v>241</v>
      </c>
      <c r="D89" s="125" t="s">
        <v>45</v>
      </c>
      <c r="E89" s="126">
        <v>0.04</v>
      </c>
      <c r="F89" s="127">
        <v>0.04</v>
      </c>
      <c r="G89" s="127">
        <v>-0.04</v>
      </c>
      <c r="H89" s="106" t="s">
        <v>46</v>
      </c>
      <c r="I89" s="69"/>
      <c r="J89" s="70">
        <f t="shared" si="26"/>
        <v>0.08</v>
      </c>
      <c r="K89" s="70">
        <f t="shared" si="27"/>
        <v>0</v>
      </c>
      <c r="L89" s="70">
        <v>7.400000000000001E-2</v>
      </c>
      <c r="M89" s="70">
        <v>5.9999999999999984E-3</v>
      </c>
      <c r="N89" s="155"/>
      <c r="O89" s="155"/>
      <c r="P89" s="71"/>
      <c r="Q89" s="128">
        <f t="shared" si="29"/>
        <v>0</v>
      </c>
      <c r="R89" s="128">
        <f t="shared" si="30"/>
        <v>0</v>
      </c>
      <c r="S89" s="128">
        <f t="shared" si="31"/>
        <v>0</v>
      </c>
      <c r="T89" s="129">
        <f t="shared" si="40"/>
        <v>0</v>
      </c>
      <c r="U89" s="107" t="str">
        <f t="shared" si="32"/>
        <v/>
      </c>
      <c r="V89" s="108" t="str">
        <f>IF(OR($AM89="",ISNUMBER($AM89)=FALSE),"",IF(AND(#REF!="Tolerance",$E89&lt;&gt;""),($S89-$E89)/(($J89-$K89)/2),IF(AND(#REF!="GD&amp;T",$F89&lt;&gt;""),$S89/$F89,"")))</f>
        <v/>
      </c>
      <c r="W89" s="108" t="str">
        <f t="shared" si="38"/>
        <v/>
      </c>
      <c r="X89" s="107" t="str">
        <f t="shared" si="33"/>
        <v/>
      </c>
      <c r="Y89" s="107" t="str">
        <f t="shared" si="34"/>
        <v/>
      </c>
      <c r="Z89" s="107" t="str">
        <f t="shared" si="35"/>
        <v/>
      </c>
      <c r="AA89" s="72" t="str">
        <f t="shared" si="36"/>
        <v/>
      </c>
      <c r="AB89" s="73" t="e">
        <f>IF($S89="","",IF(#REF!="Tolerance",IF((#REF!*3*T89+S89)-E89&lt;F89,"",(#REF!*3*T89+S89)-E89),IF(OR(#REF!="GD&amp;T",#REF!="MAX"),IF((#REF!*3*T89+S89)&lt;F89,"",(#REF!*3*T89+S89)),"")))</f>
        <v>#REF!</v>
      </c>
      <c r="AC89" s="73" t="e">
        <f>IF(S89="","",IF(#REF!="Tolerance",IF(-((#REF!*3*T89)-S89)-E89&gt;G89,"",-((#REF!*3*T89)-S89)-E89),IF(#REF!="MIN",IF(-((#REF!*3*T89)-S89)&gt;G89,"",-((#REF!*3*T89)-S89)),"")))</f>
        <v>#REF!</v>
      </c>
      <c r="AD89" s="73">
        <f t="shared" si="39"/>
        <v>0.04</v>
      </c>
      <c r="AE89" s="73" t="str">
        <f t="shared" si="37"/>
        <v/>
      </c>
      <c r="AF89" s="109"/>
      <c r="AG89" s="110" t="str">
        <f t="shared" si="28"/>
        <v/>
      </c>
      <c r="AH89" s="164" t="str" cm="1">
        <f t="array" ref="AH89">IF(AND(AM89:BR89 &gt;= K89, AM89:BR89 &lt;= J89), "OK", "NG")</f>
        <v>OK</v>
      </c>
      <c r="AI89" s="74"/>
      <c r="AJ89" s="74"/>
      <c r="AK89" s="75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  <c r="BI89" s="149"/>
      <c r="BJ89" s="149"/>
      <c r="BK89" s="149"/>
      <c r="BL89" s="149"/>
      <c r="BM89" s="149"/>
      <c r="BN89" s="149"/>
      <c r="BO89" s="149"/>
      <c r="BP89" s="149"/>
      <c r="BQ89" s="149"/>
      <c r="BR89" s="149"/>
    </row>
    <row r="90" spans="2:70" ht="19.2" customHeight="1">
      <c r="B90" s="68" t="s">
        <v>285</v>
      </c>
      <c r="C90" s="101" t="s">
        <v>242</v>
      </c>
      <c r="D90" s="125" t="s">
        <v>45</v>
      </c>
      <c r="E90" s="126">
        <v>0.04</v>
      </c>
      <c r="F90" s="127">
        <v>0.04</v>
      </c>
      <c r="G90" s="127">
        <v>-0.04</v>
      </c>
      <c r="H90" s="106" t="s">
        <v>46</v>
      </c>
      <c r="I90" s="69"/>
      <c r="J90" s="70">
        <f t="shared" si="26"/>
        <v>0.08</v>
      </c>
      <c r="K90" s="70">
        <f t="shared" si="27"/>
        <v>0</v>
      </c>
      <c r="L90" s="70">
        <v>7.400000000000001E-2</v>
      </c>
      <c r="M90" s="70">
        <v>5.9999999999999984E-3</v>
      </c>
      <c r="N90" s="155"/>
      <c r="O90" s="155"/>
      <c r="P90" s="71"/>
      <c r="Q90" s="128">
        <f t="shared" si="29"/>
        <v>0</v>
      </c>
      <c r="R90" s="128">
        <f t="shared" si="30"/>
        <v>0</v>
      </c>
      <c r="S90" s="128">
        <f t="shared" si="31"/>
        <v>0</v>
      </c>
      <c r="T90" s="129">
        <f t="shared" si="40"/>
        <v>0</v>
      </c>
      <c r="U90" s="107" t="str">
        <f t="shared" si="32"/>
        <v/>
      </c>
      <c r="V90" s="108" t="str">
        <f>IF(OR($AM90="",ISNUMBER($AM90)=FALSE),"",IF(AND(#REF!="Tolerance",$E90&lt;&gt;""),($S90-$E90)/(($J90-$K90)/2),IF(AND(#REF!="GD&amp;T",$F90&lt;&gt;""),$S90/$F90,"")))</f>
        <v/>
      </c>
      <c r="W90" s="108" t="str">
        <f t="shared" si="38"/>
        <v/>
      </c>
      <c r="X90" s="107" t="str">
        <f t="shared" si="33"/>
        <v/>
      </c>
      <c r="Y90" s="107" t="str">
        <f t="shared" si="34"/>
        <v/>
      </c>
      <c r="Z90" s="107" t="str">
        <f t="shared" si="35"/>
        <v/>
      </c>
      <c r="AA90" s="72" t="str">
        <f t="shared" si="36"/>
        <v/>
      </c>
      <c r="AB90" s="73" t="e">
        <f>IF($S90="","",IF(#REF!="Tolerance",IF((#REF!*3*T90+S90)-E90&lt;F90,"",(#REF!*3*T90+S90)-E90),IF(OR(#REF!="GD&amp;T",#REF!="MAX"),IF((#REF!*3*T90+S90)&lt;F90,"",(#REF!*3*T90+S90)),"")))</f>
        <v>#REF!</v>
      </c>
      <c r="AC90" s="73" t="e">
        <f>IF(S90="","",IF(#REF!="Tolerance",IF(-((#REF!*3*T90)-S90)-E90&gt;G90,"",-((#REF!*3*T90)-S90)-E90),IF(#REF!="MIN",IF(-((#REF!*3*T90)-S90)&gt;G90,"",-((#REF!*3*T90)-S90)),"")))</f>
        <v>#REF!</v>
      </c>
      <c r="AD90" s="73">
        <f t="shared" si="39"/>
        <v>0.04</v>
      </c>
      <c r="AE90" s="73" t="str">
        <f t="shared" si="37"/>
        <v/>
      </c>
      <c r="AF90" s="109"/>
      <c r="AG90" s="110" t="str">
        <f t="shared" si="28"/>
        <v/>
      </c>
      <c r="AH90" s="164" t="str" cm="1">
        <f t="array" ref="AH90">IF(AND(AM90:BR90 &gt;= K90, AM90:BR90 &lt;= J90), "OK", "NG")</f>
        <v>OK</v>
      </c>
      <c r="AI90" s="74"/>
      <c r="AJ90" s="74"/>
      <c r="AK90" s="75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  <c r="BI90" s="149"/>
      <c r="BJ90" s="149"/>
      <c r="BK90" s="149"/>
      <c r="BL90" s="149"/>
      <c r="BM90" s="149"/>
      <c r="BN90" s="149"/>
      <c r="BO90" s="149"/>
      <c r="BP90" s="149"/>
      <c r="BQ90" s="149"/>
      <c r="BR90" s="149"/>
    </row>
    <row r="91" spans="2:70" ht="19.2" customHeight="1">
      <c r="B91" s="68" t="s">
        <v>285</v>
      </c>
      <c r="C91" s="101" t="s">
        <v>308</v>
      </c>
      <c r="D91" s="125" t="s">
        <v>45</v>
      </c>
      <c r="E91" s="126">
        <v>0.04</v>
      </c>
      <c r="F91" s="127">
        <v>0.04</v>
      </c>
      <c r="G91" s="127">
        <v>-0.04</v>
      </c>
      <c r="H91" s="106" t="s">
        <v>46</v>
      </c>
      <c r="I91" s="69"/>
      <c r="J91" s="70">
        <f t="shared" si="26"/>
        <v>0.08</v>
      </c>
      <c r="K91" s="70">
        <f t="shared" si="27"/>
        <v>0</v>
      </c>
      <c r="L91" s="70">
        <v>7.400000000000001E-2</v>
      </c>
      <c r="M91" s="70">
        <v>5.9999999999999984E-3</v>
      </c>
      <c r="N91" s="155"/>
      <c r="O91" s="155"/>
      <c r="P91" s="71"/>
      <c r="Q91" s="128">
        <f t="shared" si="29"/>
        <v>0</v>
      </c>
      <c r="R91" s="128">
        <f t="shared" si="30"/>
        <v>0</v>
      </c>
      <c r="S91" s="128">
        <f t="shared" si="31"/>
        <v>0</v>
      </c>
      <c r="T91" s="129">
        <f t="shared" si="40"/>
        <v>0</v>
      </c>
      <c r="U91" s="107" t="str">
        <f t="shared" si="32"/>
        <v/>
      </c>
      <c r="V91" s="108" t="str">
        <f>IF(OR($AM91="",ISNUMBER($AM91)=FALSE),"",IF(AND(#REF!="Tolerance",$E91&lt;&gt;""),($S91-$E91)/(($J91-$K91)/2),IF(AND(#REF!="GD&amp;T",$F91&lt;&gt;""),$S91/$F91,"")))</f>
        <v/>
      </c>
      <c r="W91" s="108" t="str">
        <f t="shared" si="38"/>
        <v/>
      </c>
      <c r="X91" s="107" t="str">
        <f t="shared" si="33"/>
        <v/>
      </c>
      <c r="Y91" s="107" t="str">
        <f t="shared" si="34"/>
        <v/>
      </c>
      <c r="Z91" s="107" t="str">
        <f t="shared" si="35"/>
        <v/>
      </c>
      <c r="AA91" s="72" t="str">
        <f t="shared" si="36"/>
        <v/>
      </c>
      <c r="AB91" s="73" t="e">
        <f>IF($S91="","",IF(#REF!="Tolerance",IF((#REF!*3*T91+S91)-E91&lt;F91,"",(#REF!*3*T91+S91)-E91),IF(OR(#REF!="GD&amp;T",#REF!="MAX"),IF((#REF!*3*T91+S91)&lt;F91,"",(#REF!*3*T91+S91)),"")))</f>
        <v>#REF!</v>
      </c>
      <c r="AC91" s="73" t="e">
        <f>IF(S91="","",IF(#REF!="Tolerance",IF(-((#REF!*3*T91)-S91)-E91&gt;G91,"",-((#REF!*3*T91)-S91)-E91),IF(#REF!="MIN",IF(-((#REF!*3*T91)-S91)&gt;G91,"",-((#REF!*3*T91)-S91)),"")))</f>
        <v>#REF!</v>
      </c>
      <c r="AD91" s="73">
        <f t="shared" si="39"/>
        <v>0.04</v>
      </c>
      <c r="AE91" s="73" t="str">
        <f t="shared" si="37"/>
        <v/>
      </c>
      <c r="AF91" s="109"/>
      <c r="AG91" s="110" t="str">
        <f t="shared" si="28"/>
        <v/>
      </c>
      <c r="AH91" s="164" t="str" cm="1">
        <f t="array" ref="AH91">IF(AND(AM91:BR91 &gt;= K91, AM91:BR91 &lt;= J91), "OK", "NG")</f>
        <v>OK</v>
      </c>
      <c r="AI91" s="74"/>
      <c r="AJ91" s="74"/>
      <c r="AK91" s="75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  <c r="BI91" s="149"/>
      <c r="BJ91" s="149"/>
      <c r="BK91" s="149"/>
      <c r="BL91" s="149"/>
      <c r="BM91" s="149"/>
      <c r="BN91" s="149"/>
      <c r="BO91" s="149"/>
      <c r="BP91" s="149"/>
      <c r="BQ91" s="149"/>
      <c r="BR91" s="149"/>
    </row>
    <row r="92" spans="2:70" ht="19.2" customHeight="1">
      <c r="B92" s="68" t="s">
        <v>285</v>
      </c>
      <c r="C92" s="101" t="s">
        <v>309</v>
      </c>
      <c r="D92" s="125" t="s">
        <v>45</v>
      </c>
      <c r="E92" s="126">
        <v>0.04</v>
      </c>
      <c r="F92" s="127">
        <v>0.04</v>
      </c>
      <c r="G92" s="127">
        <v>-0.04</v>
      </c>
      <c r="H92" s="106" t="s">
        <v>46</v>
      </c>
      <c r="I92" s="69"/>
      <c r="J92" s="70">
        <f t="shared" si="26"/>
        <v>0.08</v>
      </c>
      <c r="K92" s="70">
        <f t="shared" si="27"/>
        <v>0</v>
      </c>
      <c r="L92" s="70">
        <v>7.400000000000001E-2</v>
      </c>
      <c r="M92" s="70">
        <v>5.9999999999999984E-3</v>
      </c>
      <c r="N92" s="155"/>
      <c r="O92" s="155"/>
      <c r="P92" s="71"/>
      <c r="Q92" s="128">
        <f t="shared" si="29"/>
        <v>0</v>
      </c>
      <c r="R92" s="128">
        <f t="shared" si="30"/>
        <v>0</v>
      </c>
      <c r="S92" s="128">
        <f t="shared" si="31"/>
        <v>0</v>
      </c>
      <c r="T92" s="129">
        <f t="shared" si="40"/>
        <v>0</v>
      </c>
      <c r="U92" s="107" t="str">
        <f t="shared" si="32"/>
        <v/>
      </c>
      <c r="V92" s="108" t="str">
        <f>IF(OR($AM92="",ISNUMBER($AM92)=FALSE),"",IF(AND(#REF!="Tolerance",$E92&lt;&gt;""),($S92-$E92)/(($J92-$K92)/2),IF(AND(#REF!="GD&amp;T",$F92&lt;&gt;""),$S92/$F92,"")))</f>
        <v/>
      </c>
      <c r="W92" s="108" t="str">
        <f t="shared" si="38"/>
        <v/>
      </c>
      <c r="X92" s="107" t="str">
        <f t="shared" si="33"/>
        <v/>
      </c>
      <c r="Y92" s="107" t="str">
        <f t="shared" si="34"/>
        <v/>
      </c>
      <c r="Z92" s="107" t="str">
        <f t="shared" si="35"/>
        <v/>
      </c>
      <c r="AA92" s="72" t="str">
        <f t="shared" si="36"/>
        <v/>
      </c>
      <c r="AB92" s="73" t="e">
        <f>IF($S92="","",IF(#REF!="Tolerance",IF((#REF!*3*T92+S92)-E92&lt;F92,"",(#REF!*3*T92+S92)-E92),IF(OR(#REF!="GD&amp;T",#REF!="MAX"),IF((#REF!*3*T92+S92)&lt;F92,"",(#REF!*3*T92+S92)),"")))</f>
        <v>#REF!</v>
      </c>
      <c r="AC92" s="73" t="e">
        <f>IF(S92="","",IF(#REF!="Tolerance",IF(-((#REF!*3*T92)-S92)-E92&gt;G92,"",-((#REF!*3*T92)-S92)-E92),IF(#REF!="MIN",IF(-((#REF!*3*T92)-S92)&gt;G92,"",-((#REF!*3*T92)-S92)),"")))</f>
        <v>#REF!</v>
      </c>
      <c r="AD92" s="73">
        <f t="shared" si="39"/>
        <v>0.04</v>
      </c>
      <c r="AE92" s="73" t="str">
        <f t="shared" si="37"/>
        <v/>
      </c>
      <c r="AF92" s="109"/>
      <c r="AG92" s="110" t="str">
        <f t="shared" si="28"/>
        <v/>
      </c>
      <c r="AH92" s="164" t="str" cm="1">
        <f t="array" ref="AH92">IF(AND(AM92:BR92 &gt;= K92, AM92:BR92 &lt;= J92), "OK", "NG")</f>
        <v>OK</v>
      </c>
      <c r="AI92" s="74"/>
      <c r="AJ92" s="74"/>
      <c r="AK92" s="75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  <c r="BI92" s="149"/>
      <c r="BJ92" s="149"/>
      <c r="BK92" s="149"/>
      <c r="BL92" s="149"/>
      <c r="BM92" s="149"/>
      <c r="BN92" s="149"/>
      <c r="BO92" s="149"/>
      <c r="BP92" s="149"/>
      <c r="BQ92" s="149"/>
      <c r="BR92" s="149"/>
    </row>
    <row r="93" spans="2:70" ht="19.2" customHeight="1">
      <c r="B93" s="68" t="s">
        <v>285</v>
      </c>
      <c r="C93" s="101" t="s">
        <v>310</v>
      </c>
      <c r="D93" s="125" t="s">
        <v>45</v>
      </c>
      <c r="E93" s="126">
        <v>0.04</v>
      </c>
      <c r="F93" s="127">
        <v>0.04</v>
      </c>
      <c r="G93" s="127">
        <v>-0.04</v>
      </c>
      <c r="H93" s="106" t="s">
        <v>46</v>
      </c>
      <c r="I93" s="69"/>
      <c r="J93" s="70">
        <f t="shared" si="26"/>
        <v>0.08</v>
      </c>
      <c r="K93" s="70">
        <f t="shared" si="27"/>
        <v>0</v>
      </c>
      <c r="L93" s="70">
        <v>7.400000000000001E-2</v>
      </c>
      <c r="M93" s="70">
        <v>5.9999999999999984E-3</v>
      </c>
      <c r="N93" s="155"/>
      <c r="O93" s="155"/>
      <c r="P93" s="71"/>
      <c r="Q93" s="128">
        <f t="shared" si="29"/>
        <v>0</v>
      </c>
      <c r="R93" s="128">
        <f t="shared" si="30"/>
        <v>0</v>
      </c>
      <c r="S93" s="128">
        <f t="shared" si="31"/>
        <v>0</v>
      </c>
      <c r="T93" s="129">
        <f t="shared" si="40"/>
        <v>0</v>
      </c>
      <c r="U93" s="107" t="str">
        <f t="shared" si="32"/>
        <v/>
      </c>
      <c r="V93" s="108" t="str">
        <f>IF(OR($AM93="",ISNUMBER($AM93)=FALSE),"",IF(AND(#REF!="Tolerance",$E93&lt;&gt;""),($S93-$E93)/(($J93-$K93)/2),IF(AND(#REF!="GD&amp;T",$F93&lt;&gt;""),$S93/$F93,"")))</f>
        <v/>
      </c>
      <c r="W93" s="108" t="str">
        <f t="shared" si="38"/>
        <v/>
      </c>
      <c r="X93" s="107" t="str">
        <f t="shared" si="33"/>
        <v/>
      </c>
      <c r="Y93" s="107" t="str">
        <f t="shared" si="34"/>
        <v/>
      </c>
      <c r="Z93" s="107" t="str">
        <f t="shared" si="35"/>
        <v/>
      </c>
      <c r="AA93" s="72" t="str">
        <f t="shared" si="36"/>
        <v/>
      </c>
      <c r="AB93" s="73" t="e">
        <f>IF($S93="","",IF(#REF!="Tolerance",IF((#REF!*3*T93+S93)-E93&lt;F93,"",(#REF!*3*T93+S93)-E93),IF(OR(#REF!="GD&amp;T",#REF!="MAX"),IF((#REF!*3*T93+S93)&lt;F93,"",(#REF!*3*T93+S93)),"")))</f>
        <v>#REF!</v>
      </c>
      <c r="AC93" s="73" t="e">
        <f>IF(S93="","",IF(#REF!="Tolerance",IF(-((#REF!*3*T93)-S93)-E93&gt;G93,"",-((#REF!*3*T93)-S93)-E93),IF(#REF!="MIN",IF(-((#REF!*3*T93)-S93)&gt;G93,"",-((#REF!*3*T93)-S93)),"")))</f>
        <v>#REF!</v>
      </c>
      <c r="AD93" s="73">
        <f t="shared" si="39"/>
        <v>0.04</v>
      </c>
      <c r="AE93" s="73" t="str">
        <f t="shared" si="37"/>
        <v/>
      </c>
      <c r="AF93" s="109"/>
      <c r="AG93" s="110" t="str">
        <f t="shared" si="28"/>
        <v/>
      </c>
      <c r="AH93" s="164" t="str" cm="1">
        <f t="array" ref="AH93">IF(AND(AM93:BR93 &gt;= K93, AM93:BR93 &lt;= J93), "OK", "NG")</f>
        <v>OK</v>
      </c>
      <c r="AI93" s="74"/>
      <c r="AJ93" s="74"/>
      <c r="AK93" s="75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  <c r="BI93" s="149"/>
      <c r="BJ93" s="149"/>
      <c r="BK93" s="149"/>
      <c r="BL93" s="149"/>
      <c r="BM93" s="149"/>
      <c r="BN93" s="149"/>
      <c r="BO93" s="149"/>
      <c r="BP93" s="149"/>
      <c r="BQ93" s="149"/>
      <c r="BR93" s="149"/>
    </row>
    <row r="94" spans="2:70" ht="19.2" customHeight="1">
      <c r="B94" s="68" t="s">
        <v>285</v>
      </c>
      <c r="C94" s="101" t="s">
        <v>311</v>
      </c>
      <c r="D94" s="125" t="s">
        <v>45</v>
      </c>
      <c r="E94" s="126">
        <v>0.04</v>
      </c>
      <c r="F94" s="127">
        <v>0.04</v>
      </c>
      <c r="G94" s="127">
        <v>-0.04</v>
      </c>
      <c r="H94" s="106" t="s">
        <v>46</v>
      </c>
      <c r="I94" s="69"/>
      <c r="J94" s="70">
        <f t="shared" si="26"/>
        <v>0.08</v>
      </c>
      <c r="K94" s="70">
        <f t="shared" si="27"/>
        <v>0</v>
      </c>
      <c r="L94" s="70">
        <v>7.400000000000001E-2</v>
      </c>
      <c r="M94" s="70">
        <v>5.9999999999999984E-3</v>
      </c>
      <c r="N94" s="155"/>
      <c r="O94" s="155"/>
      <c r="P94" s="71"/>
      <c r="Q94" s="128">
        <f t="shared" si="29"/>
        <v>0</v>
      </c>
      <c r="R94" s="128">
        <f t="shared" si="30"/>
        <v>0</v>
      </c>
      <c r="S94" s="128">
        <f t="shared" si="31"/>
        <v>0</v>
      </c>
      <c r="T94" s="129">
        <f t="shared" si="40"/>
        <v>0</v>
      </c>
      <c r="U94" s="107" t="str">
        <f t="shared" si="32"/>
        <v/>
      </c>
      <c r="V94" s="108" t="str">
        <f>IF(OR($AM94="",ISNUMBER($AM94)=FALSE),"",IF(AND(#REF!="Tolerance",$E94&lt;&gt;""),($S94-$E94)/(($J94-$K94)/2),IF(AND(#REF!="GD&amp;T",$F94&lt;&gt;""),$S94/$F94,"")))</f>
        <v/>
      </c>
      <c r="W94" s="108" t="str">
        <f t="shared" si="38"/>
        <v/>
      </c>
      <c r="X94" s="107" t="str">
        <f t="shared" si="33"/>
        <v/>
      </c>
      <c r="Y94" s="107" t="str">
        <f t="shared" si="34"/>
        <v/>
      </c>
      <c r="Z94" s="107" t="str">
        <f t="shared" si="35"/>
        <v/>
      </c>
      <c r="AA94" s="72" t="str">
        <f t="shared" si="36"/>
        <v/>
      </c>
      <c r="AB94" s="73" t="e">
        <f>IF($S94="","",IF(#REF!="Tolerance",IF((#REF!*3*T94+S94)-E94&lt;F94,"",(#REF!*3*T94+S94)-E94),IF(OR(#REF!="GD&amp;T",#REF!="MAX"),IF((#REF!*3*T94+S94)&lt;F94,"",(#REF!*3*T94+S94)),"")))</f>
        <v>#REF!</v>
      </c>
      <c r="AC94" s="73" t="e">
        <f>IF(S94="","",IF(#REF!="Tolerance",IF(-((#REF!*3*T94)-S94)-E94&gt;G94,"",-((#REF!*3*T94)-S94)-E94),IF(#REF!="MIN",IF(-((#REF!*3*T94)-S94)&gt;G94,"",-((#REF!*3*T94)-S94)),"")))</f>
        <v>#REF!</v>
      </c>
      <c r="AD94" s="73">
        <f t="shared" si="39"/>
        <v>0.04</v>
      </c>
      <c r="AE94" s="73" t="str">
        <f t="shared" si="37"/>
        <v/>
      </c>
      <c r="AF94" s="109"/>
      <c r="AG94" s="110" t="str">
        <f t="shared" si="28"/>
        <v/>
      </c>
      <c r="AH94" s="164" t="str" cm="1">
        <f t="array" ref="AH94">IF(AND(AM94:BR94 &gt;= K94, AM94:BR94 &lt;= J94), "OK", "NG")</f>
        <v>OK</v>
      </c>
      <c r="AI94" s="74"/>
      <c r="AJ94" s="74"/>
      <c r="AK94" s="75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  <c r="BI94" s="149"/>
      <c r="BJ94" s="149"/>
      <c r="BK94" s="149"/>
      <c r="BL94" s="149"/>
      <c r="BM94" s="149"/>
      <c r="BN94" s="149"/>
      <c r="BO94" s="149"/>
      <c r="BP94" s="149"/>
      <c r="BQ94" s="149"/>
      <c r="BR94" s="149"/>
    </row>
    <row r="95" spans="2:70" ht="19.2" customHeight="1">
      <c r="B95" s="68" t="s">
        <v>285</v>
      </c>
      <c r="C95" s="101" t="s">
        <v>312</v>
      </c>
      <c r="D95" s="125" t="s">
        <v>45</v>
      </c>
      <c r="E95" s="126">
        <v>0.04</v>
      </c>
      <c r="F95" s="127">
        <v>0.04</v>
      </c>
      <c r="G95" s="127">
        <v>-0.04</v>
      </c>
      <c r="H95" s="106" t="s">
        <v>46</v>
      </c>
      <c r="I95" s="69"/>
      <c r="J95" s="70">
        <f t="shared" si="26"/>
        <v>0.08</v>
      </c>
      <c r="K95" s="70">
        <f t="shared" si="27"/>
        <v>0</v>
      </c>
      <c r="L95" s="70">
        <v>7.400000000000001E-2</v>
      </c>
      <c r="M95" s="70">
        <v>5.9999999999999984E-3</v>
      </c>
      <c r="N95" s="155"/>
      <c r="O95" s="155"/>
      <c r="P95" s="71"/>
      <c r="Q95" s="128">
        <f t="shared" si="29"/>
        <v>0</v>
      </c>
      <c r="R95" s="128">
        <f t="shared" si="30"/>
        <v>0</v>
      </c>
      <c r="S95" s="128">
        <f t="shared" si="31"/>
        <v>0</v>
      </c>
      <c r="T95" s="129">
        <f t="shared" si="40"/>
        <v>0</v>
      </c>
      <c r="U95" s="107" t="str">
        <f t="shared" si="32"/>
        <v/>
      </c>
      <c r="V95" s="108" t="str">
        <f>IF(OR($AM95="",ISNUMBER($AM95)=FALSE),"",IF(AND(#REF!="Tolerance",$E95&lt;&gt;""),($S95-$E95)/(($J95-$K95)/2),IF(AND(#REF!="GD&amp;T",$F95&lt;&gt;""),$S95/$F95,"")))</f>
        <v/>
      </c>
      <c r="W95" s="108" t="str">
        <f t="shared" si="38"/>
        <v/>
      </c>
      <c r="X95" s="107" t="str">
        <f t="shared" si="33"/>
        <v/>
      </c>
      <c r="Y95" s="107" t="str">
        <f t="shared" si="34"/>
        <v/>
      </c>
      <c r="Z95" s="107" t="str">
        <f t="shared" si="35"/>
        <v/>
      </c>
      <c r="AA95" s="72" t="str">
        <f t="shared" si="36"/>
        <v/>
      </c>
      <c r="AB95" s="73" t="e">
        <f>IF($S95="","",IF(#REF!="Tolerance",IF((#REF!*3*T95+S95)-E95&lt;F95,"",(#REF!*3*T95+S95)-E95),IF(OR(#REF!="GD&amp;T",#REF!="MAX"),IF((#REF!*3*T95+S95)&lt;F95,"",(#REF!*3*T95+S95)),"")))</f>
        <v>#REF!</v>
      </c>
      <c r="AC95" s="73" t="e">
        <f>IF(S95="","",IF(#REF!="Tolerance",IF(-((#REF!*3*T95)-S95)-E95&gt;G95,"",-((#REF!*3*T95)-S95)-E95),IF(#REF!="MIN",IF(-((#REF!*3*T95)-S95)&gt;G95,"",-((#REF!*3*T95)-S95)),"")))</f>
        <v>#REF!</v>
      </c>
      <c r="AD95" s="73">
        <f t="shared" si="39"/>
        <v>0.04</v>
      </c>
      <c r="AE95" s="73" t="str">
        <f t="shared" si="37"/>
        <v/>
      </c>
      <c r="AF95" s="109"/>
      <c r="AG95" s="110" t="str">
        <f t="shared" si="28"/>
        <v/>
      </c>
      <c r="AH95" s="164" t="str" cm="1">
        <f t="array" ref="AH95">IF(AND(AM95:BR95 &gt;= K95, AM95:BR95 &lt;= J95), "OK", "NG")</f>
        <v>OK</v>
      </c>
      <c r="AI95" s="74"/>
      <c r="AJ95" s="74"/>
      <c r="AK95" s="75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  <c r="BI95" s="149"/>
      <c r="BJ95" s="149"/>
      <c r="BK95" s="149"/>
      <c r="BL95" s="149"/>
      <c r="BM95" s="149"/>
      <c r="BN95" s="149"/>
      <c r="BO95" s="149"/>
      <c r="BP95" s="149"/>
      <c r="BQ95" s="149"/>
      <c r="BR95" s="149"/>
    </row>
    <row r="96" spans="2:70" ht="19.2" customHeight="1">
      <c r="B96" s="130" t="s">
        <v>285</v>
      </c>
      <c r="C96" s="101" t="s">
        <v>313</v>
      </c>
      <c r="D96" s="125" t="s">
        <v>45</v>
      </c>
      <c r="E96" s="126">
        <v>0.04</v>
      </c>
      <c r="F96" s="127">
        <v>0.04</v>
      </c>
      <c r="G96" s="127">
        <v>-0.04</v>
      </c>
      <c r="H96" s="106" t="s">
        <v>46</v>
      </c>
      <c r="I96" s="69"/>
      <c r="J96" s="70">
        <f t="shared" si="26"/>
        <v>0.08</v>
      </c>
      <c r="K96" s="70">
        <f t="shared" si="27"/>
        <v>0</v>
      </c>
      <c r="L96" s="70">
        <v>7.400000000000001E-2</v>
      </c>
      <c r="M96" s="70">
        <v>5.9999999999999984E-3</v>
      </c>
      <c r="N96" s="155"/>
      <c r="O96" s="155"/>
      <c r="P96" s="71"/>
      <c r="Q96" s="128">
        <f t="shared" si="29"/>
        <v>0</v>
      </c>
      <c r="R96" s="128">
        <f t="shared" si="30"/>
        <v>0</v>
      </c>
      <c r="S96" s="128">
        <f t="shared" si="31"/>
        <v>0</v>
      </c>
      <c r="T96" s="129">
        <f t="shared" si="40"/>
        <v>0</v>
      </c>
      <c r="U96" s="107" t="str">
        <f t="shared" si="32"/>
        <v/>
      </c>
      <c r="V96" s="108" t="str">
        <f>IF(OR($AM96="",ISNUMBER($AM96)=FALSE),"",IF(AND(#REF!="Tolerance",$E96&lt;&gt;""),($S96-$E96)/(($J96-$K96)/2),IF(AND(#REF!="GD&amp;T",$F96&lt;&gt;""),$S96/$F96,"")))</f>
        <v/>
      </c>
      <c r="W96" s="108" t="str">
        <f t="shared" si="38"/>
        <v/>
      </c>
      <c r="X96" s="107" t="str">
        <f t="shared" si="33"/>
        <v/>
      </c>
      <c r="Y96" s="107" t="str">
        <f t="shared" si="34"/>
        <v/>
      </c>
      <c r="Z96" s="107" t="str">
        <f t="shared" si="35"/>
        <v/>
      </c>
      <c r="AA96" s="72" t="str">
        <f t="shared" si="36"/>
        <v/>
      </c>
      <c r="AB96" s="73" t="e">
        <f>IF($S96="","",IF(#REF!="Tolerance",IF((#REF!*3*T96+S96)-E96&lt;F96,"",(#REF!*3*T96+S96)-E96),IF(OR(#REF!="GD&amp;T",#REF!="MAX"),IF((#REF!*3*T96+S96)&lt;F96,"",(#REF!*3*T96+S96)),"")))</f>
        <v>#REF!</v>
      </c>
      <c r="AC96" s="73" t="e">
        <f>IF(S96="","",IF(#REF!="Tolerance",IF(-((#REF!*3*T96)-S96)-E96&gt;G96,"",-((#REF!*3*T96)-S96)-E96),IF(#REF!="MIN",IF(-((#REF!*3*T96)-S96)&gt;G96,"",-((#REF!*3*T96)-S96)),"")))</f>
        <v>#REF!</v>
      </c>
      <c r="AD96" s="73">
        <f t="shared" si="39"/>
        <v>0.04</v>
      </c>
      <c r="AE96" s="73" t="str">
        <f t="shared" si="37"/>
        <v/>
      </c>
      <c r="AF96" s="109"/>
      <c r="AG96" s="110" t="str">
        <f t="shared" si="28"/>
        <v/>
      </c>
      <c r="AH96" s="164" t="str" cm="1">
        <f t="array" ref="AH96">IF(AND(AM96:BR96 &gt;= K96, AM96:BR96 &lt;= J96), "OK", "NG")</f>
        <v>OK</v>
      </c>
      <c r="AI96" s="74"/>
      <c r="AJ96" s="74"/>
      <c r="AK96" s="75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  <c r="BI96" s="149"/>
      <c r="BJ96" s="149"/>
      <c r="BK96" s="149"/>
      <c r="BL96" s="149"/>
      <c r="BM96" s="149"/>
      <c r="BN96" s="149"/>
      <c r="BO96" s="149"/>
      <c r="BP96" s="149"/>
      <c r="BQ96" s="149"/>
      <c r="BR96" s="149"/>
    </row>
    <row r="97" spans="2:70" ht="19.2" customHeight="1">
      <c r="B97" s="68" t="s">
        <v>285</v>
      </c>
      <c r="C97" s="101" t="s">
        <v>314</v>
      </c>
      <c r="D97" s="125" t="s">
        <v>45</v>
      </c>
      <c r="E97" s="126">
        <v>0.04</v>
      </c>
      <c r="F97" s="127">
        <v>0.04</v>
      </c>
      <c r="G97" s="127">
        <v>-0.04</v>
      </c>
      <c r="H97" s="106" t="s">
        <v>46</v>
      </c>
      <c r="I97" s="69"/>
      <c r="J97" s="70">
        <f t="shared" si="26"/>
        <v>0.08</v>
      </c>
      <c r="K97" s="70">
        <f t="shared" si="27"/>
        <v>0</v>
      </c>
      <c r="L97" s="70">
        <v>7.400000000000001E-2</v>
      </c>
      <c r="M97" s="70">
        <v>5.9999999999999984E-3</v>
      </c>
      <c r="N97" s="155"/>
      <c r="O97" s="155"/>
      <c r="P97" s="71"/>
      <c r="Q97" s="128">
        <f t="shared" si="29"/>
        <v>0</v>
      </c>
      <c r="R97" s="128">
        <f t="shared" si="30"/>
        <v>0</v>
      </c>
      <c r="S97" s="128">
        <f t="shared" si="31"/>
        <v>0</v>
      </c>
      <c r="T97" s="129">
        <f t="shared" si="40"/>
        <v>0</v>
      </c>
      <c r="U97" s="107" t="str">
        <f t="shared" si="32"/>
        <v/>
      </c>
      <c r="V97" s="108" t="str">
        <f>IF(OR($AM97="",ISNUMBER($AM97)=FALSE),"",IF(AND(#REF!="Tolerance",$E97&lt;&gt;""),($S97-$E97)/(($J97-$K97)/2),IF(AND(#REF!="GD&amp;T",$F97&lt;&gt;""),$S97/$F97,"")))</f>
        <v/>
      </c>
      <c r="W97" s="108" t="str">
        <f t="shared" si="38"/>
        <v/>
      </c>
      <c r="X97" s="107" t="str">
        <f t="shared" si="33"/>
        <v/>
      </c>
      <c r="Y97" s="107" t="str">
        <f t="shared" si="34"/>
        <v/>
      </c>
      <c r="Z97" s="107" t="str">
        <f t="shared" si="35"/>
        <v/>
      </c>
      <c r="AA97" s="72" t="str">
        <f t="shared" si="36"/>
        <v/>
      </c>
      <c r="AB97" s="73" t="e">
        <f>IF($S97="","",IF(#REF!="Tolerance",IF((#REF!*3*T97+S97)-E97&lt;F97,"",(#REF!*3*T97+S97)-E97),IF(OR(#REF!="GD&amp;T",#REF!="MAX"),IF((#REF!*3*T97+S97)&lt;F97,"",(#REF!*3*T97+S97)),"")))</f>
        <v>#REF!</v>
      </c>
      <c r="AC97" s="73" t="e">
        <f>IF(S97="","",IF(#REF!="Tolerance",IF(-((#REF!*3*T97)-S97)-E97&gt;G97,"",-((#REF!*3*T97)-S97)-E97),IF(#REF!="MIN",IF(-((#REF!*3*T97)-S97)&gt;G97,"",-((#REF!*3*T97)-S97)),"")))</f>
        <v>#REF!</v>
      </c>
      <c r="AD97" s="73">
        <f t="shared" si="39"/>
        <v>0.04</v>
      </c>
      <c r="AE97" s="73" t="str">
        <f t="shared" si="37"/>
        <v/>
      </c>
      <c r="AF97" s="109"/>
      <c r="AG97" s="110" t="str">
        <f t="shared" si="28"/>
        <v/>
      </c>
      <c r="AH97" s="164" t="str" cm="1">
        <f t="array" ref="AH97">IF(AND(AM97:BR97 &gt;= K97, AM97:BR97 &lt;= J97), "OK", "NG")</f>
        <v>OK</v>
      </c>
      <c r="AI97" s="74"/>
      <c r="AJ97" s="74"/>
      <c r="AK97" s="75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  <c r="BI97" s="149"/>
      <c r="BJ97" s="149"/>
      <c r="BK97" s="149"/>
      <c r="BL97" s="149"/>
      <c r="BM97" s="149"/>
      <c r="BN97" s="149"/>
      <c r="BO97" s="149"/>
      <c r="BP97" s="149"/>
      <c r="BQ97" s="149"/>
      <c r="BR97" s="149"/>
    </row>
    <row r="98" spans="2:70" ht="19.2" customHeight="1">
      <c r="B98" s="68" t="s">
        <v>285</v>
      </c>
      <c r="C98" s="101" t="s">
        <v>315</v>
      </c>
      <c r="D98" s="125" t="s">
        <v>45</v>
      </c>
      <c r="E98" s="126">
        <v>0.04</v>
      </c>
      <c r="F98" s="127">
        <v>0.04</v>
      </c>
      <c r="G98" s="127">
        <v>-0.04</v>
      </c>
      <c r="H98" s="106" t="s">
        <v>46</v>
      </c>
      <c r="I98" s="69"/>
      <c r="J98" s="70">
        <f t="shared" si="26"/>
        <v>0.08</v>
      </c>
      <c r="K98" s="70">
        <f t="shared" si="27"/>
        <v>0</v>
      </c>
      <c r="L98" s="70">
        <v>7.400000000000001E-2</v>
      </c>
      <c r="M98" s="70">
        <v>5.9999999999999984E-3</v>
      </c>
      <c r="N98" s="155"/>
      <c r="O98" s="155"/>
      <c r="P98" s="71"/>
      <c r="Q98" s="128">
        <f t="shared" si="29"/>
        <v>0</v>
      </c>
      <c r="R98" s="128">
        <f t="shared" si="30"/>
        <v>0</v>
      </c>
      <c r="S98" s="128">
        <f t="shared" si="31"/>
        <v>0</v>
      </c>
      <c r="T98" s="129">
        <f t="shared" si="40"/>
        <v>0</v>
      </c>
      <c r="U98" s="107" t="str">
        <f t="shared" si="32"/>
        <v/>
      </c>
      <c r="V98" s="108" t="str">
        <f>IF(OR($AM98="",ISNUMBER($AM98)=FALSE),"",IF(AND(#REF!="Tolerance",$E98&lt;&gt;""),($S98-$E98)/(($J98-$K98)/2),IF(AND(#REF!="GD&amp;T",$F98&lt;&gt;""),$S98/$F98,"")))</f>
        <v/>
      </c>
      <c r="W98" s="108" t="str">
        <f t="shared" si="38"/>
        <v/>
      </c>
      <c r="X98" s="107" t="str">
        <f t="shared" si="33"/>
        <v/>
      </c>
      <c r="Y98" s="107" t="str">
        <f t="shared" si="34"/>
        <v/>
      </c>
      <c r="Z98" s="107" t="str">
        <f t="shared" si="35"/>
        <v/>
      </c>
      <c r="AA98" s="72" t="str">
        <f t="shared" si="36"/>
        <v/>
      </c>
      <c r="AB98" s="73" t="e">
        <f>IF($S98="","",IF(#REF!="Tolerance",IF((#REF!*3*T98+S98)-E98&lt;F98,"",(#REF!*3*T98+S98)-E98),IF(OR(#REF!="GD&amp;T",#REF!="MAX"),IF((#REF!*3*T98+S98)&lt;F98,"",(#REF!*3*T98+S98)),"")))</f>
        <v>#REF!</v>
      </c>
      <c r="AC98" s="73" t="e">
        <f>IF(S98="","",IF(#REF!="Tolerance",IF(-((#REF!*3*T98)-S98)-E98&gt;G98,"",-((#REF!*3*T98)-S98)-E98),IF(#REF!="MIN",IF(-((#REF!*3*T98)-S98)&gt;G98,"",-((#REF!*3*T98)-S98)),"")))</f>
        <v>#REF!</v>
      </c>
      <c r="AD98" s="73">
        <f t="shared" si="39"/>
        <v>0.04</v>
      </c>
      <c r="AE98" s="73" t="str">
        <f t="shared" si="37"/>
        <v/>
      </c>
      <c r="AF98" s="109"/>
      <c r="AG98" s="110" t="str">
        <f t="shared" si="28"/>
        <v/>
      </c>
      <c r="AH98" s="164" t="str" cm="1">
        <f t="array" ref="AH98">IF(AND(AM98:BR98 &gt;= K98, AM98:BR98 &lt;= J98), "OK", "NG")</f>
        <v>OK</v>
      </c>
      <c r="AI98" s="74"/>
      <c r="AJ98" s="74"/>
      <c r="AK98" s="75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  <c r="BI98" s="149"/>
      <c r="BJ98" s="149"/>
      <c r="BK98" s="149"/>
      <c r="BL98" s="149"/>
      <c r="BM98" s="149"/>
      <c r="BN98" s="149"/>
      <c r="BO98" s="149"/>
      <c r="BP98" s="149"/>
      <c r="BQ98" s="149"/>
      <c r="BR98" s="149"/>
    </row>
    <row r="99" spans="2:70" ht="19.2" customHeight="1">
      <c r="B99" s="68" t="s">
        <v>285</v>
      </c>
      <c r="C99" s="101" t="s">
        <v>316</v>
      </c>
      <c r="D99" s="125" t="s">
        <v>45</v>
      </c>
      <c r="E99" s="126">
        <v>0.04</v>
      </c>
      <c r="F99" s="127">
        <v>0.04</v>
      </c>
      <c r="G99" s="127">
        <v>-0.04</v>
      </c>
      <c r="H99" s="106" t="s">
        <v>46</v>
      </c>
      <c r="I99" s="69"/>
      <c r="J99" s="70">
        <f t="shared" si="26"/>
        <v>0.08</v>
      </c>
      <c r="K99" s="70">
        <f t="shared" si="27"/>
        <v>0</v>
      </c>
      <c r="L99" s="70">
        <v>7.400000000000001E-2</v>
      </c>
      <c r="M99" s="70">
        <v>5.9999999999999984E-3</v>
      </c>
      <c r="N99" s="155"/>
      <c r="O99" s="155"/>
      <c r="P99" s="71"/>
      <c r="Q99" s="128">
        <f t="shared" si="29"/>
        <v>0</v>
      </c>
      <c r="R99" s="128">
        <f t="shared" si="30"/>
        <v>0</v>
      </c>
      <c r="S99" s="128">
        <f t="shared" si="31"/>
        <v>0</v>
      </c>
      <c r="T99" s="129">
        <f t="shared" si="40"/>
        <v>0</v>
      </c>
      <c r="U99" s="107" t="str">
        <f t="shared" si="32"/>
        <v/>
      </c>
      <c r="V99" s="108" t="str">
        <f>IF(OR($AM99="",ISNUMBER($AM99)=FALSE),"",IF(AND(#REF!="Tolerance",$E99&lt;&gt;""),($S99-$E99)/(($J99-$K99)/2),IF(AND(#REF!="GD&amp;T",$F99&lt;&gt;""),$S99/$F99,"")))</f>
        <v/>
      </c>
      <c r="W99" s="108" t="str">
        <f t="shared" si="38"/>
        <v/>
      </c>
      <c r="X99" s="107" t="str">
        <f t="shared" si="33"/>
        <v/>
      </c>
      <c r="Y99" s="107" t="str">
        <f t="shared" si="34"/>
        <v/>
      </c>
      <c r="Z99" s="107" t="str">
        <f t="shared" si="35"/>
        <v/>
      </c>
      <c r="AA99" s="72" t="str">
        <f t="shared" si="36"/>
        <v/>
      </c>
      <c r="AB99" s="73" t="e">
        <f>IF($S99="","",IF(#REF!="Tolerance",IF((#REF!*3*T99+S99)-E99&lt;F99,"",(#REF!*3*T99+S99)-E99),IF(OR(#REF!="GD&amp;T",#REF!="MAX"),IF((#REF!*3*T99+S99)&lt;F99,"",(#REF!*3*T99+S99)),"")))</f>
        <v>#REF!</v>
      </c>
      <c r="AC99" s="73" t="e">
        <f>IF(S99="","",IF(#REF!="Tolerance",IF(-((#REF!*3*T99)-S99)-E99&gt;G99,"",-((#REF!*3*T99)-S99)-E99),IF(#REF!="MIN",IF(-((#REF!*3*T99)-S99)&gt;G99,"",-((#REF!*3*T99)-S99)),"")))</f>
        <v>#REF!</v>
      </c>
      <c r="AD99" s="73">
        <f t="shared" si="39"/>
        <v>0.04</v>
      </c>
      <c r="AE99" s="73" t="str">
        <f t="shared" si="37"/>
        <v/>
      </c>
      <c r="AF99" s="109"/>
      <c r="AG99" s="110" t="str">
        <f t="shared" si="28"/>
        <v/>
      </c>
      <c r="AH99" s="164" t="str" cm="1">
        <f t="array" ref="AH99">IF(AND(AM99:BR99 &gt;= K99, AM99:BR99 &lt;= J99), "OK", "NG")</f>
        <v>OK</v>
      </c>
      <c r="AI99" s="74"/>
      <c r="AJ99" s="74"/>
      <c r="AK99" s="75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  <c r="BI99" s="149"/>
      <c r="BJ99" s="149"/>
      <c r="BK99" s="149"/>
      <c r="BL99" s="149"/>
      <c r="BM99" s="149"/>
      <c r="BN99" s="149"/>
      <c r="BO99" s="149"/>
      <c r="BP99" s="149"/>
      <c r="BQ99" s="149"/>
      <c r="BR99" s="149"/>
    </row>
    <row r="100" spans="2:70" ht="19.2" customHeight="1">
      <c r="B100" s="68" t="s">
        <v>285</v>
      </c>
      <c r="C100" s="101" t="s">
        <v>317</v>
      </c>
      <c r="D100" s="125" t="s">
        <v>45</v>
      </c>
      <c r="E100" s="126">
        <v>0.04</v>
      </c>
      <c r="F100" s="127">
        <v>0.04</v>
      </c>
      <c r="G100" s="127">
        <v>-0.04</v>
      </c>
      <c r="H100" s="106" t="s">
        <v>46</v>
      </c>
      <c r="I100" s="69"/>
      <c r="J100" s="70">
        <f t="shared" si="26"/>
        <v>0.08</v>
      </c>
      <c r="K100" s="70">
        <f t="shared" si="27"/>
        <v>0</v>
      </c>
      <c r="L100" s="70">
        <v>7.400000000000001E-2</v>
      </c>
      <c r="M100" s="70">
        <v>5.9999999999999984E-3</v>
      </c>
      <c r="N100" s="155"/>
      <c r="O100" s="155"/>
      <c r="P100" s="71"/>
      <c r="Q100" s="128">
        <f t="shared" si="29"/>
        <v>0</v>
      </c>
      <c r="R100" s="128">
        <f t="shared" si="30"/>
        <v>0</v>
      </c>
      <c r="S100" s="128">
        <f t="shared" si="31"/>
        <v>0</v>
      </c>
      <c r="T100" s="129">
        <f t="shared" si="40"/>
        <v>0</v>
      </c>
      <c r="U100" s="107" t="str">
        <f t="shared" si="32"/>
        <v/>
      </c>
      <c r="V100" s="108" t="str">
        <f>IF(OR($AM100="",ISNUMBER($AM100)=FALSE),"",IF(AND(#REF!="Tolerance",$E100&lt;&gt;""),($S100-$E100)/(($J100-$K100)/2),IF(AND(#REF!="GD&amp;T",$F100&lt;&gt;""),$S100/$F100,"")))</f>
        <v/>
      </c>
      <c r="W100" s="108" t="str">
        <f t="shared" si="38"/>
        <v/>
      </c>
      <c r="X100" s="107" t="str">
        <f t="shared" si="33"/>
        <v/>
      </c>
      <c r="Y100" s="107" t="str">
        <f t="shared" si="34"/>
        <v/>
      </c>
      <c r="Z100" s="107" t="str">
        <f t="shared" si="35"/>
        <v/>
      </c>
      <c r="AA100" s="72" t="str">
        <f t="shared" si="36"/>
        <v/>
      </c>
      <c r="AB100" s="73" t="e">
        <f>IF($S100="","",IF(#REF!="Tolerance",IF((#REF!*3*T100+S100)-E100&lt;F100,"",(#REF!*3*T100+S100)-E100),IF(OR(#REF!="GD&amp;T",#REF!="MAX"),IF((#REF!*3*T100+S100)&lt;F100,"",(#REF!*3*T100+S100)),"")))</f>
        <v>#REF!</v>
      </c>
      <c r="AC100" s="73" t="e">
        <f>IF(S100="","",IF(#REF!="Tolerance",IF(-((#REF!*3*T100)-S100)-E100&gt;G100,"",-((#REF!*3*T100)-S100)-E100),IF(#REF!="MIN",IF(-((#REF!*3*T100)-S100)&gt;G100,"",-((#REF!*3*T100)-S100)),"")))</f>
        <v>#REF!</v>
      </c>
      <c r="AD100" s="73">
        <f t="shared" si="39"/>
        <v>0.04</v>
      </c>
      <c r="AE100" s="73" t="str">
        <f t="shared" si="37"/>
        <v/>
      </c>
      <c r="AF100" s="109"/>
      <c r="AG100" s="110" t="str">
        <f t="shared" si="28"/>
        <v/>
      </c>
      <c r="AH100" s="164" t="str" cm="1">
        <f t="array" ref="AH100">IF(AND(AM100:BR100 &gt;= K100, AM100:BR100 &lt;= J100), "OK", "NG")</f>
        <v>OK</v>
      </c>
      <c r="AI100" s="74"/>
      <c r="AJ100" s="74"/>
      <c r="AK100" s="75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  <c r="BI100" s="149"/>
      <c r="BJ100" s="149"/>
      <c r="BK100" s="149"/>
      <c r="BL100" s="149"/>
      <c r="BM100" s="149"/>
      <c r="BN100" s="149"/>
      <c r="BO100" s="149"/>
      <c r="BP100" s="149"/>
      <c r="BQ100" s="149"/>
      <c r="BR100" s="149"/>
    </row>
    <row r="101" spans="2:70" ht="19.2" customHeight="1">
      <c r="B101" s="68" t="s">
        <v>285</v>
      </c>
      <c r="C101" s="101" t="s">
        <v>318</v>
      </c>
      <c r="D101" s="125" t="s">
        <v>45</v>
      </c>
      <c r="E101" s="126">
        <v>0.04</v>
      </c>
      <c r="F101" s="127">
        <v>0.04</v>
      </c>
      <c r="G101" s="127">
        <v>-0.04</v>
      </c>
      <c r="H101" s="106" t="s">
        <v>46</v>
      </c>
      <c r="I101" s="69"/>
      <c r="J101" s="70">
        <f t="shared" si="26"/>
        <v>0.08</v>
      </c>
      <c r="K101" s="70">
        <f t="shared" si="27"/>
        <v>0</v>
      </c>
      <c r="L101" s="70">
        <v>7.400000000000001E-2</v>
      </c>
      <c r="M101" s="70">
        <v>5.9999999999999984E-3</v>
      </c>
      <c r="N101" s="155"/>
      <c r="O101" s="155"/>
      <c r="P101" s="71"/>
      <c r="Q101" s="128">
        <f t="shared" si="29"/>
        <v>0</v>
      </c>
      <c r="R101" s="128">
        <f t="shared" si="30"/>
        <v>0</v>
      </c>
      <c r="S101" s="128">
        <f t="shared" si="31"/>
        <v>0</v>
      </c>
      <c r="T101" s="129">
        <f t="shared" si="40"/>
        <v>0</v>
      </c>
      <c r="U101" s="107" t="str">
        <f t="shared" si="32"/>
        <v/>
      </c>
      <c r="V101" s="108" t="str">
        <f>IF(OR($AM101="",ISNUMBER($AM101)=FALSE),"",IF(AND(#REF!="Tolerance",$E101&lt;&gt;""),($S101-$E101)/(($J101-$K101)/2),IF(AND(#REF!="GD&amp;T",$F101&lt;&gt;""),$S101/$F101,"")))</f>
        <v/>
      </c>
      <c r="W101" s="108" t="str">
        <f t="shared" si="38"/>
        <v/>
      </c>
      <c r="X101" s="107" t="str">
        <f t="shared" si="33"/>
        <v/>
      </c>
      <c r="Y101" s="107" t="str">
        <f t="shared" si="34"/>
        <v/>
      </c>
      <c r="Z101" s="107" t="str">
        <f t="shared" si="35"/>
        <v/>
      </c>
      <c r="AA101" s="72" t="str">
        <f t="shared" si="36"/>
        <v/>
      </c>
      <c r="AB101" s="73" t="e">
        <f>IF($S101="","",IF(#REF!="Tolerance",IF((#REF!*3*T101+S101)-E101&lt;F101,"",(#REF!*3*T101+S101)-E101),IF(OR(#REF!="GD&amp;T",#REF!="MAX"),IF((#REF!*3*T101+S101)&lt;F101,"",(#REF!*3*T101+S101)),"")))</f>
        <v>#REF!</v>
      </c>
      <c r="AC101" s="73" t="e">
        <f>IF(S101="","",IF(#REF!="Tolerance",IF(-((#REF!*3*T101)-S101)-E101&gt;G101,"",-((#REF!*3*T101)-S101)-E101),IF(#REF!="MIN",IF(-((#REF!*3*T101)-S101)&gt;G101,"",-((#REF!*3*T101)-S101)),"")))</f>
        <v>#REF!</v>
      </c>
      <c r="AD101" s="73">
        <f t="shared" si="39"/>
        <v>0.04</v>
      </c>
      <c r="AE101" s="73" t="str">
        <f t="shared" si="37"/>
        <v/>
      </c>
      <c r="AF101" s="109"/>
      <c r="AG101" s="110" t="str">
        <f t="shared" si="28"/>
        <v/>
      </c>
      <c r="AH101" s="164" t="str" cm="1">
        <f t="array" ref="AH101">IF(AND(AM101:BR101 &gt;= K101, AM101:BR101 &lt;= J101), "OK", "NG")</f>
        <v>OK</v>
      </c>
      <c r="AI101" s="74"/>
      <c r="AJ101" s="74"/>
      <c r="AK101" s="75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  <c r="BI101" s="149"/>
      <c r="BJ101" s="149"/>
      <c r="BK101" s="149"/>
      <c r="BL101" s="149"/>
      <c r="BM101" s="149"/>
      <c r="BN101" s="149"/>
      <c r="BO101" s="149"/>
      <c r="BP101" s="149"/>
      <c r="BQ101" s="149"/>
      <c r="BR101" s="149"/>
    </row>
    <row r="102" spans="2:70" ht="19.2" customHeight="1">
      <c r="B102" s="68" t="s">
        <v>285</v>
      </c>
      <c r="C102" s="101" t="s">
        <v>319</v>
      </c>
      <c r="D102" s="125" t="s">
        <v>45</v>
      </c>
      <c r="E102" s="126">
        <v>0.04</v>
      </c>
      <c r="F102" s="127">
        <v>0.04</v>
      </c>
      <c r="G102" s="127">
        <v>-0.04</v>
      </c>
      <c r="H102" s="106" t="s">
        <v>46</v>
      </c>
      <c r="I102" s="69"/>
      <c r="J102" s="70">
        <f t="shared" si="26"/>
        <v>0.08</v>
      </c>
      <c r="K102" s="70">
        <f t="shared" si="27"/>
        <v>0</v>
      </c>
      <c r="L102" s="70">
        <v>7.400000000000001E-2</v>
      </c>
      <c r="M102" s="70">
        <v>5.9999999999999984E-3</v>
      </c>
      <c r="N102" s="155"/>
      <c r="O102" s="155"/>
      <c r="P102" s="71"/>
      <c r="Q102" s="128">
        <f t="shared" si="29"/>
        <v>0</v>
      </c>
      <c r="R102" s="128">
        <f t="shared" si="30"/>
        <v>0</v>
      </c>
      <c r="S102" s="128">
        <f t="shared" si="31"/>
        <v>0</v>
      </c>
      <c r="T102" s="129">
        <f t="shared" si="40"/>
        <v>0</v>
      </c>
      <c r="U102" s="107" t="str">
        <f t="shared" si="32"/>
        <v/>
      </c>
      <c r="V102" s="108" t="str">
        <f>IF(OR($AM102="",ISNUMBER($AM102)=FALSE),"",IF(AND(#REF!="Tolerance",$E102&lt;&gt;""),($S102-$E102)/(($J102-$K102)/2),IF(AND(#REF!="GD&amp;T",$F102&lt;&gt;""),$S102/$F102,"")))</f>
        <v/>
      </c>
      <c r="W102" s="108" t="str">
        <f t="shared" si="38"/>
        <v/>
      </c>
      <c r="X102" s="107" t="str">
        <f t="shared" si="33"/>
        <v/>
      </c>
      <c r="Y102" s="107" t="str">
        <f t="shared" si="34"/>
        <v/>
      </c>
      <c r="Z102" s="107" t="str">
        <f t="shared" si="35"/>
        <v/>
      </c>
      <c r="AA102" s="72" t="str">
        <f t="shared" si="36"/>
        <v/>
      </c>
      <c r="AB102" s="73" t="e">
        <f>IF($S102="","",IF(#REF!="Tolerance",IF((#REF!*3*T102+S102)-E102&lt;F102,"",(#REF!*3*T102+S102)-E102),IF(OR(#REF!="GD&amp;T",#REF!="MAX"),IF((#REF!*3*T102+S102)&lt;F102,"",(#REF!*3*T102+S102)),"")))</f>
        <v>#REF!</v>
      </c>
      <c r="AC102" s="73" t="e">
        <f>IF(S102="","",IF(#REF!="Tolerance",IF(-((#REF!*3*T102)-S102)-E102&gt;G102,"",-((#REF!*3*T102)-S102)-E102),IF(#REF!="MIN",IF(-((#REF!*3*T102)-S102)&gt;G102,"",-((#REF!*3*T102)-S102)),"")))</f>
        <v>#REF!</v>
      </c>
      <c r="AD102" s="73">
        <f t="shared" si="39"/>
        <v>0.04</v>
      </c>
      <c r="AE102" s="73" t="str">
        <f t="shared" si="37"/>
        <v/>
      </c>
      <c r="AF102" s="109"/>
      <c r="AG102" s="110" t="str">
        <f t="shared" si="28"/>
        <v/>
      </c>
      <c r="AH102" s="164" t="str" cm="1">
        <f t="array" ref="AH102">IF(AND(AM102:BR102 &gt;= K102, AM102:BR102 &lt;= J102), "OK", "NG")</f>
        <v>OK</v>
      </c>
      <c r="AI102" s="74"/>
      <c r="AJ102" s="74"/>
      <c r="AK102" s="75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149"/>
      <c r="BH102" s="149"/>
      <c r="BI102" s="149"/>
      <c r="BJ102" s="149"/>
      <c r="BK102" s="149"/>
      <c r="BL102" s="149"/>
      <c r="BM102" s="149"/>
      <c r="BN102" s="149"/>
      <c r="BO102" s="149"/>
      <c r="BP102" s="149"/>
      <c r="BQ102" s="149"/>
      <c r="BR102" s="149"/>
    </row>
    <row r="103" spans="2:70" ht="19.2" customHeight="1">
      <c r="B103" s="68" t="s">
        <v>285</v>
      </c>
      <c r="C103" s="101" t="s">
        <v>320</v>
      </c>
      <c r="D103" s="125" t="s">
        <v>45</v>
      </c>
      <c r="E103" s="126">
        <v>0.04</v>
      </c>
      <c r="F103" s="127">
        <v>0.04</v>
      </c>
      <c r="G103" s="127">
        <v>-0.04</v>
      </c>
      <c r="H103" s="106" t="s">
        <v>46</v>
      </c>
      <c r="I103" s="69"/>
      <c r="J103" s="70">
        <f t="shared" si="26"/>
        <v>0.08</v>
      </c>
      <c r="K103" s="70">
        <f t="shared" si="27"/>
        <v>0</v>
      </c>
      <c r="L103" s="70">
        <v>7.400000000000001E-2</v>
      </c>
      <c r="M103" s="70">
        <v>5.9999999999999984E-3</v>
      </c>
      <c r="N103" s="155"/>
      <c r="O103" s="155"/>
      <c r="P103" s="71"/>
      <c r="Q103" s="128">
        <f t="shared" si="29"/>
        <v>0</v>
      </c>
      <c r="R103" s="128">
        <f t="shared" si="30"/>
        <v>0</v>
      </c>
      <c r="S103" s="128">
        <f t="shared" si="31"/>
        <v>0</v>
      </c>
      <c r="T103" s="129">
        <f t="shared" si="40"/>
        <v>0</v>
      </c>
      <c r="U103" s="107" t="str">
        <f t="shared" si="32"/>
        <v/>
      </c>
      <c r="V103" s="108" t="str">
        <f>IF(OR($AM103="",ISNUMBER($AM103)=FALSE),"",IF(AND(#REF!="Tolerance",$E103&lt;&gt;""),($S103-$E103)/(($J103-$K103)/2),IF(AND(#REF!="GD&amp;T",$F103&lt;&gt;""),$S103/$F103,"")))</f>
        <v/>
      </c>
      <c r="W103" s="108" t="str">
        <f t="shared" si="38"/>
        <v/>
      </c>
      <c r="X103" s="107" t="str">
        <f t="shared" si="33"/>
        <v/>
      </c>
      <c r="Y103" s="107" t="str">
        <f t="shared" si="34"/>
        <v/>
      </c>
      <c r="Z103" s="107" t="str">
        <f t="shared" si="35"/>
        <v/>
      </c>
      <c r="AA103" s="72" t="str">
        <f t="shared" si="36"/>
        <v/>
      </c>
      <c r="AB103" s="73" t="e">
        <f>IF($S103="","",IF(#REF!="Tolerance",IF((#REF!*3*T103+S103)-E103&lt;F103,"",(#REF!*3*T103+S103)-E103),IF(OR(#REF!="GD&amp;T",#REF!="MAX"),IF((#REF!*3*T103+S103)&lt;F103,"",(#REF!*3*T103+S103)),"")))</f>
        <v>#REF!</v>
      </c>
      <c r="AC103" s="73" t="e">
        <f>IF(S103="","",IF(#REF!="Tolerance",IF(-((#REF!*3*T103)-S103)-E103&gt;G103,"",-((#REF!*3*T103)-S103)-E103),IF(#REF!="MIN",IF(-((#REF!*3*T103)-S103)&gt;G103,"",-((#REF!*3*T103)-S103)),"")))</f>
        <v>#REF!</v>
      </c>
      <c r="AD103" s="73">
        <f t="shared" si="39"/>
        <v>0.04</v>
      </c>
      <c r="AE103" s="73" t="str">
        <f t="shared" si="37"/>
        <v/>
      </c>
      <c r="AF103" s="109"/>
      <c r="AG103" s="110" t="str">
        <f t="shared" si="28"/>
        <v/>
      </c>
      <c r="AH103" s="164" t="str" cm="1">
        <f t="array" ref="AH103">IF(AND(AM103:BR103 &gt;= K103, AM103:BR103 &lt;= J103), "OK", "NG")</f>
        <v>OK</v>
      </c>
      <c r="AI103" s="74"/>
      <c r="AJ103" s="74"/>
      <c r="AK103" s="75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149"/>
      <c r="BH103" s="149"/>
      <c r="BI103" s="149"/>
      <c r="BJ103" s="149"/>
      <c r="BK103" s="149"/>
      <c r="BL103" s="149"/>
      <c r="BM103" s="149"/>
      <c r="BN103" s="149"/>
      <c r="BO103" s="149"/>
      <c r="BP103" s="149"/>
      <c r="BQ103" s="149"/>
      <c r="BR103" s="149"/>
    </row>
    <row r="104" spans="2:70" ht="19.2" customHeight="1">
      <c r="B104" s="68" t="s">
        <v>285</v>
      </c>
      <c r="C104" s="101" t="s">
        <v>321</v>
      </c>
      <c r="D104" s="125" t="s">
        <v>45</v>
      </c>
      <c r="E104" s="126">
        <v>0.04</v>
      </c>
      <c r="F104" s="127">
        <v>0.04</v>
      </c>
      <c r="G104" s="127">
        <v>-0.04</v>
      </c>
      <c r="H104" s="106" t="s">
        <v>46</v>
      </c>
      <c r="I104" s="69"/>
      <c r="J104" s="70">
        <f t="shared" si="26"/>
        <v>0.08</v>
      </c>
      <c r="K104" s="70">
        <f t="shared" si="27"/>
        <v>0</v>
      </c>
      <c r="L104" s="70">
        <v>7.400000000000001E-2</v>
      </c>
      <c r="M104" s="70">
        <v>5.9999999999999984E-3</v>
      </c>
      <c r="N104" s="155"/>
      <c r="O104" s="155"/>
      <c r="P104" s="71"/>
      <c r="Q104" s="128">
        <f t="shared" si="29"/>
        <v>0</v>
      </c>
      <c r="R104" s="128">
        <f t="shared" si="30"/>
        <v>0</v>
      </c>
      <c r="S104" s="128">
        <f t="shared" si="31"/>
        <v>0</v>
      </c>
      <c r="T104" s="129">
        <f t="shared" si="40"/>
        <v>0</v>
      </c>
      <c r="U104" s="107" t="str">
        <f t="shared" si="32"/>
        <v/>
      </c>
      <c r="V104" s="108" t="str">
        <f>IF(OR($AM104="",ISNUMBER($AM104)=FALSE),"",IF(AND(#REF!="Tolerance",$E104&lt;&gt;""),($S104-$E104)/(($J104-$K104)/2),IF(AND(#REF!="GD&amp;T",$F104&lt;&gt;""),$S104/$F104,"")))</f>
        <v/>
      </c>
      <c r="W104" s="108" t="str">
        <f t="shared" si="38"/>
        <v/>
      </c>
      <c r="X104" s="107" t="str">
        <f t="shared" si="33"/>
        <v/>
      </c>
      <c r="Y104" s="107" t="str">
        <f t="shared" si="34"/>
        <v/>
      </c>
      <c r="Z104" s="107" t="str">
        <f t="shared" si="35"/>
        <v/>
      </c>
      <c r="AA104" s="72" t="str">
        <f t="shared" si="36"/>
        <v/>
      </c>
      <c r="AB104" s="73" t="e">
        <f>IF($S104="","",IF(#REF!="Tolerance",IF((#REF!*3*T104+S104)-E104&lt;F104,"",(#REF!*3*T104+S104)-E104),IF(OR(#REF!="GD&amp;T",#REF!="MAX"),IF((#REF!*3*T104+S104)&lt;F104,"",(#REF!*3*T104+S104)),"")))</f>
        <v>#REF!</v>
      </c>
      <c r="AC104" s="73" t="e">
        <f>IF(S104="","",IF(#REF!="Tolerance",IF(-((#REF!*3*T104)-S104)-E104&gt;G104,"",-((#REF!*3*T104)-S104)-E104),IF(#REF!="MIN",IF(-((#REF!*3*T104)-S104)&gt;G104,"",-((#REF!*3*T104)-S104)),"")))</f>
        <v>#REF!</v>
      </c>
      <c r="AD104" s="73">
        <f t="shared" si="39"/>
        <v>0.04</v>
      </c>
      <c r="AE104" s="73" t="str">
        <f t="shared" si="37"/>
        <v/>
      </c>
      <c r="AF104" s="109"/>
      <c r="AG104" s="110" t="str">
        <f t="shared" si="28"/>
        <v/>
      </c>
      <c r="AH104" s="164" t="str" cm="1">
        <f t="array" ref="AH104">IF(AND(AM104:BR104 &gt;= K104, AM104:BR104 &lt;= J104), "OK", "NG")</f>
        <v>OK</v>
      </c>
      <c r="AI104" s="74"/>
      <c r="AJ104" s="74"/>
      <c r="AK104" s="75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149"/>
      <c r="BH104" s="149"/>
      <c r="BI104" s="149"/>
      <c r="BJ104" s="149"/>
      <c r="BK104" s="149"/>
      <c r="BL104" s="149"/>
      <c r="BM104" s="149"/>
      <c r="BN104" s="149"/>
      <c r="BO104" s="149"/>
      <c r="BP104" s="149"/>
      <c r="BQ104" s="149"/>
      <c r="BR104" s="149"/>
    </row>
    <row r="105" spans="2:70" ht="19.2" customHeight="1">
      <c r="B105" s="130" t="s">
        <v>285</v>
      </c>
      <c r="C105" s="101" t="s">
        <v>322</v>
      </c>
      <c r="D105" s="125" t="s">
        <v>45</v>
      </c>
      <c r="E105" s="126">
        <v>0.04</v>
      </c>
      <c r="F105" s="127">
        <v>0.04</v>
      </c>
      <c r="G105" s="127">
        <v>-0.04</v>
      </c>
      <c r="H105" s="106" t="s">
        <v>46</v>
      </c>
      <c r="I105" s="69"/>
      <c r="J105" s="70">
        <f t="shared" si="26"/>
        <v>0.08</v>
      </c>
      <c r="K105" s="70">
        <f t="shared" si="27"/>
        <v>0</v>
      </c>
      <c r="L105" s="70">
        <v>7.400000000000001E-2</v>
      </c>
      <c r="M105" s="70">
        <v>5.9999999999999984E-3</v>
      </c>
      <c r="N105" s="155"/>
      <c r="O105" s="155"/>
      <c r="P105" s="71"/>
      <c r="Q105" s="128">
        <f t="shared" si="29"/>
        <v>0</v>
      </c>
      <c r="R105" s="128">
        <f t="shared" si="30"/>
        <v>0</v>
      </c>
      <c r="S105" s="128">
        <f t="shared" si="31"/>
        <v>0</v>
      </c>
      <c r="T105" s="129">
        <f t="shared" si="40"/>
        <v>0</v>
      </c>
      <c r="U105" s="107" t="str">
        <f t="shared" si="32"/>
        <v/>
      </c>
      <c r="V105" s="108" t="str">
        <f>IF(OR($AM105="",ISNUMBER($AM105)=FALSE),"",IF(AND(#REF!="Tolerance",$E105&lt;&gt;""),($S105-$E105)/(($J105-$K105)/2),IF(AND(#REF!="GD&amp;T",$F105&lt;&gt;""),$S105/$F105,"")))</f>
        <v/>
      </c>
      <c r="W105" s="108" t="str">
        <f t="shared" si="38"/>
        <v/>
      </c>
      <c r="X105" s="107" t="str">
        <f t="shared" si="33"/>
        <v/>
      </c>
      <c r="Y105" s="107" t="str">
        <f t="shared" si="34"/>
        <v/>
      </c>
      <c r="Z105" s="107" t="str">
        <f t="shared" si="35"/>
        <v/>
      </c>
      <c r="AA105" s="72" t="str">
        <f t="shared" si="36"/>
        <v/>
      </c>
      <c r="AB105" s="73" t="e">
        <f>IF($S105="","",IF(#REF!="Tolerance",IF((#REF!*3*T105+S105)-E105&lt;F105,"",(#REF!*3*T105+S105)-E105),IF(OR(#REF!="GD&amp;T",#REF!="MAX"),IF((#REF!*3*T105+S105)&lt;F105,"",(#REF!*3*T105+S105)),"")))</f>
        <v>#REF!</v>
      </c>
      <c r="AC105" s="73" t="e">
        <f>IF(S105="","",IF(#REF!="Tolerance",IF(-((#REF!*3*T105)-S105)-E105&gt;G105,"",-((#REF!*3*T105)-S105)-E105),IF(#REF!="MIN",IF(-((#REF!*3*T105)-S105)&gt;G105,"",-((#REF!*3*T105)-S105)),"")))</f>
        <v>#REF!</v>
      </c>
      <c r="AD105" s="73">
        <f t="shared" si="39"/>
        <v>0.04</v>
      </c>
      <c r="AE105" s="73" t="str">
        <f t="shared" si="37"/>
        <v/>
      </c>
      <c r="AF105" s="109"/>
      <c r="AG105" s="110" t="str">
        <f t="shared" si="28"/>
        <v/>
      </c>
      <c r="AH105" s="164" t="str" cm="1">
        <f t="array" ref="AH105">IF(AND(AM105:BR105 &gt;= K105, AM105:BR105 &lt;= J105), "OK", "NG")</f>
        <v>OK</v>
      </c>
      <c r="AI105" s="74"/>
      <c r="AJ105" s="74"/>
      <c r="AK105" s="75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  <c r="BI105" s="149"/>
      <c r="BJ105" s="149"/>
      <c r="BK105" s="149"/>
      <c r="BL105" s="149"/>
      <c r="BM105" s="149"/>
      <c r="BN105" s="149"/>
      <c r="BO105" s="149"/>
      <c r="BP105" s="149"/>
      <c r="BQ105" s="149"/>
      <c r="BR105" s="149"/>
    </row>
    <row r="106" spans="2:70" ht="19.2" customHeight="1">
      <c r="B106" s="130" t="s">
        <v>286</v>
      </c>
      <c r="C106" s="101">
        <v>97</v>
      </c>
      <c r="D106" s="125" t="s">
        <v>45</v>
      </c>
      <c r="E106" s="126">
        <v>1.966</v>
      </c>
      <c r="F106" s="127">
        <v>2.5000000000000001E-2</v>
      </c>
      <c r="G106" s="127">
        <v>-2.5000000000000001E-2</v>
      </c>
      <c r="H106" s="106" t="s">
        <v>46</v>
      </c>
      <c r="I106" s="69"/>
      <c r="J106" s="70">
        <f t="shared" si="26"/>
        <v>1.9909999999999999</v>
      </c>
      <c r="K106" s="70">
        <f t="shared" si="27"/>
        <v>1.9410000000000001</v>
      </c>
      <c r="L106" s="70">
        <v>1.98725</v>
      </c>
      <c r="M106" s="70">
        <v>1.94475</v>
      </c>
      <c r="N106" s="155"/>
      <c r="O106" s="155"/>
      <c r="P106" s="71"/>
      <c r="Q106" s="128">
        <f t="shared" si="29"/>
        <v>0</v>
      </c>
      <c r="R106" s="128">
        <f t="shared" si="30"/>
        <v>0</v>
      </c>
      <c r="S106" s="128">
        <f t="shared" si="31"/>
        <v>0</v>
      </c>
      <c r="T106" s="129">
        <f t="shared" si="40"/>
        <v>0</v>
      </c>
      <c r="U106" s="107" t="str">
        <f t="shared" si="32"/>
        <v/>
      </c>
      <c r="V106" s="108" t="str">
        <f>IF(OR($AM106="",ISNUMBER($AM106)=FALSE),"",IF(AND(#REF!="Tolerance",$E106&lt;&gt;""),($S106-$E106)/(($J106-$K106)/2),IF(AND(#REF!="GD&amp;T",$F106&lt;&gt;""),$S106/$F106,"")))</f>
        <v/>
      </c>
      <c r="W106" s="108" t="str">
        <f t="shared" si="38"/>
        <v/>
      </c>
      <c r="X106" s="107" t="str">
        <f t="shared" si="33"/>
        <v/>
      </c>
      <c r="Y106" s="107" t="str">
        <f t="shared" si="34"/>
        <v/>
      </c>
      <c r="Z106" s="107" t="str">
        <f t="shared" si="35"/>
        <v/>
      </c>
      <c r="AA106" s="72" t="str">
        <f t="shared" si="36"/>
        <v/>
      </c>
      <c r="AB106" s="73" t="e">
        <f>IF($S106="","",IF(#REF!="Tolerance",IF((#REF!*3*T106+S106)-E106&lt;F106,"",(#REF!*3*T106+S106)-E106),IF(OR(#REF!="GD&amp;T",#REF!="MAX"),IF((#REF!*3*T106+S106)&lt;F106,"",(#REF!*3*T106+S106)),"")))</f>
        <v>#REF!</v>
      </c>
      <c r="AC106" s="73" t="e">
        <f>IF(S106="","",IF(#REF!="Tolerance",IF(-((#REF!*3*T106)-S106)-E106&gt;G106,"",-((#REF!*3*T106)-S106)-E106),IF(#REF!="MIN",IF(-((#REF!*3*T106)-S106)&gt;G106,"",-((#REF!*3*T106)-S106)),"")))</f>
        <v>#REF!</v>
      </c>
      <c r="AD106" s="73">
        <f t="shared" si="39"/>
        <v>1.966</v>
      </c>
      <c r="AE106" s="73" t="str">
        <f t="shared" si="37"/>
        <v/>
      </c>
      <c r="AF106" s="109"/>
      <c r="AG106" s="110" t="str">
        <f t="shared" si="28"/>
        <v/>
      </c>
      <c r="AH106" s="164" t="str" cm="1">
        <f t="array" ref="AH106">IF(AND(AM106:BR106 &gt;= K106, AM106:BR106 &lt;= J106), "OK", "NG")</f>
        <v>NG</v>
      </c>
      <c r="AI106" s="74"/>
      <c r="AJ106" s="74"/>
      <c r="AK106" s="75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49"/>
      <c r="BF106" s="149"/>
      <c r="BG106" s="149"/>
      <c r="BH106" s="149"/>
      <c r="BI106" s="149"/>
      <c r="BJ106" s="149"/>
      <c r="BK106" s="149"/>
      <c r="BL106" s="149"/>
      <c r="BM106" s="149"/>
      <c r="BN106" s="149"/>
      <c r="BO106" s="149"/>
      <c r="BP106" s="149"/>
      <c r="BQ106" s="149"/>
      <c r="BR106" s="149"/>
    </row>
    <row r="107" spans="2:70" ht="19.2" customHeight="1">
      <c r="B107" s="130" t="s">
        <v>287</v>
      </c>
      <c r="C107" s="101" t="s">
        <v>255</v>
      </c>
      <c r="D107" s="125" t="s">
        <v>45</v>
      </c>
      <c r="E107" s="126">
        <v>-0.45</v>
      </c>
      <c r="F107" s="127">
        <v>1.4999999999999999E-2</v>
      </c>
      <c r="G107" s="127">
        <v>-1.4999999999999999E-2</v>
      </c>
      <c r="H107" s="106" t="s">
        <v>273</v>
      </c>
      <c r="I107" s="69"/>
      <c r="J107" s="70">
        <f t="shared" si="26"/>
        <v>-0.435</v>
      </c>
      <c r="K107" s="70">
        <f t="shared" si="27"/>
        <v>-0.46500000000000002</v>
      </c>
      <c r="L107" s="70">
        <v>-0.43725000000000003</v>
      </c>
      <c r="M107" s="70">
        <v>-0.46274999999999999</v>
      </c>
      <c r="N107" s="155"/>
      <c r="O107" s="155"/>
      <c r="P107" s="71"/>
      <c r="Q107" s="128">
        <f t="shared" si="29"/>
        <v>0</v>
      </c>
      <c r="R107" s="128">
        <f t="shared" si="30"/>
        <v>0</v>
      </c>
      <c r="S107" s="128">
        <f t="shared" si="31"/>
        <v>0</v>
      </c>
      <c r="T107" s="129">
        <f t="shared" si="40"/>
        <v>0</v>
      </c>
      <c r="U107" s="107" t="str">
        <f t="shared" si="32"/>
        <v/>
      </c>
      <c r="V107" s="108" t="str">
        <f>IF(OR($AM107="",ISNUMBER($AM107)=FALSE),"",IF(AND(#REF!="Tolerance",$E107&lt;&gt;""),($S107-$E107)/(($J107-$K107)/2),IF(AND(#REF!="GD&amp;T",$F107&lt;&gt;""),$S107/$F107,"")))</f>
        <v/>
      </c>
      <c r="W107" s="108" t="str">
        <f t="shared" si="38"/>
        <v/>
      </c>
      <c r="X107" s="107" t="str">
        <f t="shared" si="33"/>
        <v/>
      </c>
      <c r="Y107" s="107" t="str">
        <f t="shared" si="34"/>
        <v/>
      </c>
      <c r="Z107" s="107" t="str">
        <f t="shared" si="35"/>
        <v/>
      </c>
      <c r="AA107" s="72" t="str">
        <f t="shared" si="36"/>
        <v/>
      </c>
      <c r="AB107" s="73" t="e">
        <f>IF($S107="","",IF(#REF!="Tolerance",IF((#REF!*3*T107+S107)-E107&lt;F107,"",(#REF!*3*T107+S107)-E107),IF(OR(#REF!="GD&amp;T",#REF!="MAX"),IF((#REF!*3*T107+S107)&lt;F107,"",(#REF!*3*T107+S107)),"")))</f>
        <v>#REF!</v>
      </c>
      <c r="AC107" s="73" t="e">
        <f>IF(S107="","",IF(#REF!="Tolerance",IF(-((#REF!*3*T107)-S107)-E107&gt;G107,"",-((#REF!*3*T107)-S107)-E107),IF(#REF!="MIN",IF(-((#REF!*3*T107)-S107)&gt;G107,"",-((#REF!*3*T107)-S107)),"")))</f>
        <v>#REF!</v>
      </c>
      <c r="AD107" s="73">
        <f t="shared" si="39"/>
        <v>-0.45</v>
      </c>
      <c r="AE107" s="73" t="str">
        <f t="shared" si="37"/>
        <v/>
      </c>
      <c r="AF107" s="109"/>
      <c r="AG107" s="110" t="str">
        <f t="shared" si="28"/>
        <v/>
      </c>
      <c r="AH107" s="164" t="str" cm="1">
        <f t="array" ref="AH107">IF(AND(AM107:BR107 &gt;= K107, AM107:BR107 &lt;= J107), "OK", "NG")</f>
        <v>NG</v>
      </c>
      <c r="AI107" s="74"/>
      <c r="AJ107" s="74"/>
      <c r="AK107" s="75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  <c r="BI107" s="149"/>
      <c r="BJ107" s="149"/>
      <c r="BK107" s="149"/>
      <c r="BL107" s="149"/>
      <c r="BM107" s="149"/>
      <c r="BN107" s="149"/>
      <c r="BO107" s="149"/>
      <c r="BP107" s="149"/>
      <c r="BQ107" s="149"/>
      <c r="BR107" s="149"/>
    </row>
    <row r="108" spans="2:70" ht="19.2" customHeight="1">
      <c r="B108" s="130" t="s">
        <v>287</v>
      </c>
      <c r="C108" s="101" t="s">
        <v>256</v>
      </c>
      <c r="D108" s="125" t="s">
        <v>45</v>
      </c>
      <c r="E108" s="126">
        <v>-0.45</v>
      </c>
      <c r="F108" s="127">
        <v>1.4999999999999999E-2</v>
      </c>
      <c r="G108" s="127">
        <v>-1.4999999999999999E-2</v>
      </c>
      <c r="H108" s="106" t="s">
        <v>273</v>
      </c>
      <c r="I108" s="69"/>
      <c r="J108" s="70">
        <f t="shared" si="26"/>
        <v>-0.435</v>
      </c>
      <c r="K108" s="70">
        <f t="shared" si="27"/>
        <v>-0.46500000000000002</v>
      </c>
      <c r="L108" s="70">
        <v>-0.43725000000000003</v>
      </c>
      <c r="M108" s="70">
        <v>-0.46274999999999999</v>
      </c>
      <c r="N108" s="155"/>
      <c r="O108" s="155"/>
      <c r="P108" s="71"/>
      <c r="Q108" s="128">
        <f>IF(OR($AM108=ISBLANK(TRUE),ISNUMBER($AM108)=FALSE),,MAX(AM108:BR108))</f>
        <v>0</v>
      </c>
      <c r="R108" s="128">
        <f>IF(OR($AM108=ISBLANK(TRUE),ISNUMBER($AM108)=FALSE),,MIN(AM108:BR108))</f>
        <v>0</v>
      </c>
      <c r="S108" s="128">
        <f>IF(OR($AM108=ISBLANK(TRUE),ISNUMBER($AM108)=FALSE),,AVERAGE(AM108:BR108))</f>
        <v>0</v>
      </c>
      <c r="T108" s="129">
        <f>IF(OR($AM108=ISBLANK(TRUE),ISNUMBER($AM108)=FALSE),,STDEV(AM108:BR108))</f>
        <v>0</v>
      </c>
      <c r="U108" s="107" t="str">
        <f>IF(OR($AM108="",ISNUMBER($AM108)=FALSE),"",IF(AND(E108=0,G108=0),X108,IF(AND(E108="",F108=""),Y108,(F108+ABS(G108))/(6*T108))))</f>
        <v/>
      </c>
      <c r="V108" s="108" t="str">
        <f>IF(OR($AM108="",ISNUMBER($AM108)=FALSE),"",IF(AND(#REF!="Tolerance",$E108&lt;&gt;""),($S108-$E108)/(($J108-$K108)/2),IF(AND(#REF!="GD&amp;T",$F108&lt;&gt;""),$S108/$F108,"")))</f>
        <v/>
      </c>
      <c r="W108" s="108" t="str">
        <f>IF($V108="","",IF(ABS($V108)&lt;=0.125, "Level A",IF(AND(ABS($V108)&gt;0.125,ABS($V108)&lt;=0.25), "Level B",IF(AND(ABS($V108)&gt;0.25,ABS($V108)&lt;=0.5), "Level C", IF(ABS($V108)&gt;0.5, "Level D")))))</f>
        <v/>
      </c>
      <c r="X108" s="107" t="str">
        <f>IF(OR($AM108="",ISNUMBER($AM108)=FALSE),"",IF(F108="","",(J108-S108)/(3*T108)))</f>
        <v/>
      </c>
      <c r="Y108" s="107" t="str">
        <f>IF(OR($AM108="",ISNUMBER($AM108)=FALSE),"",IF(G108="","",(S108-K108)/(3*T108)))</f>
        <v/>
      </c>
      <c r="Z108" s="107" t="str">
        <f>IF(OR($AM108="",ISNUMBER($AM108)=FALSE),"",IF(AND(E108=0,G108=0),((F108)-(S108))/(3*T108),MIN(X108:Y108)))</f>
        <v/>
      </c>
      <c r="AA108" s="72" t="str">
        <f>IF(OR($AM108="",ISNUMBER($AM108)=FALSE),"",IF(AND(E108=0,G108=0),NORMSDIST(3*Z108),NORMSDIST(3*Z108)+NORMSDIST(6*U108-3*Z108)-1))</f>
        <v/>
      </c>
      <c r="AB108" s="73" t="e">
        <f>IF($S108="","",IF(#REF!="Tolerance",IF((#REF!*3*T108+S108)-E108&lt;F108,"",(#REF!*3*T108+S108)-E108),IF(OR(#REF!="GD&amp;T",#REF!="MAX"),IF((#REF!*3*T108+S108)&lt;F108,"",(#REF!*3*T108+S108)),"")))</f>
        <v>#REF!</v>
      </c>
      <c r="AC108" s="73" t="e">
        <f>IF(S108="","",IF(#REF!="Tolerance",IF(-((#REF!*3*T108)-S108)-E108&gt;G108,"",-((#REF!*3*T108)-S108)-E108),IF(#REF!="MIN",IF(-((#REF!*3*T108)-S108)&gt;G108,"",-((#REF!*3*T108)-S108)),"")))</f>
        <v>#REF!</v>
      </c>
      <c r="AD108" s="73">
        <f t="shared" ref="AD108" si="41">IF(OR(E108="",S108=""),"",(J108+K108)/2-S108)</f>
        <v>-0.45</v>
      </c>
      <c r="AE108" s="73" t="str">
        <f>IF(OR($U108&gt;$AE$4,$T108=""),"",$AE$4*6*$T108)</f>
        <v/>
      </c>
      <c r="AF108" s="109"/>
      <c r="AG108" s="110" t="str">
        <f t="shared" si="28"/>
        <v/>
      </c>
      <c r="AH108" s="164" t="str" cm="1">
        <f t="array" ref="AH108">IF(AND(AM108:BR108 &gt;= K108, AM108:BR108 &lt;= J108), "OK", "NG")</f>
        <v>NG</v>
      </c>
      <c r="AI108" s="74"/>
      <c r="AJ108" s="74"/>
      <c r="AK108" s="75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  <c r="BI108" s="149"/>
      <c r="BJ108" s="149"/>
      <c r="BK108" s="149"/>
      <c r="BL108" s="149"/>
      <c r="BM108" s="149"/>
      <c r="BN108" s="149"/>
      <c r="BO108" s="149"/>
      <c r="BP108" s="149"/>
      <c r="BQ108" s="149"/>
      <c r="BR108" s="149"/>
    </row>
    <row r="109" spans="2:70" ht="19.2" customHeight="1">
      <c r="B109" s="68" t="s">
        <v>23</v>
      </c>
      <c r="C109" s="145" t="s">
        <v>409</v>
      </c>
      <c r="D109" s="125" t="s">
        <v>45</v>
      </c>
      <c r="E109" s="146">
        <v>0</v>
      </c>
      <c r="F109" s="147">
        <v>8.0000000000000002E-3</v>
      </c>
      <c r="G109" s="147">
        <v>-8.0000000000000002E-3</v>
      </c>
      <c r="H109" s="106" t="s">
        <v>273</v>
      </c>
      <c r="I109" s="69"/>
      <c r="J109" s="70">
        <f t="shared" si="26"/>
        <v>8.0000000000000002E-3</v>
      </c>
      <c r="K109" s="70">
        <f t="shared" si="27"/>
        <v>-8.0000000000000002E-3</v>
      </c>
      <c r="L109" s="70">
        <v>6.7999999999999996E-3</v>
      </c>
      <c r="M109" s="70">
        <v>-6.7999999999999996E-3</v>
      </c>
      <c r="N109" s="155"/>
      <c r="O109" s="155"/>
      <c r="P109" s="71"/>
      <c r="Q109" s="128">
        <f>IF(OR($AM109=ISBLANK(TRUE),ISNUMBER($AM109)=FALSE),,MAX(AM109:BR109))</f>
        <v>0</v>
      </c>
      <c r="R109" s="128">
        <f>IF(OR($AM109=ISBLANK(TRUE),ISNUMBER($AM109)=FALSE),,MIN(AM109:BR109))</f>
        <v>0</v>
      </c>
      <c r="S109" s="128">
        <f>IF(OR($AM109=ISBLANK(TRUE),ISNUMBER($AM109)=FALSE),,AVERAGE(AM109:BR109))</f>
        <v>0</v>
      </c>
      <c r="T109" s="129">
        <f>IF(OR($AM109=ISBLANK(TRUE),ISNUMBER($AM109)=FALSE),,STDEV(AM109:BR109))</f>
        <v>0</v>
      </c>
      <c r="U109" s="156"/>
      <c r="V109" s="157"/>
      <c r="W109" s="157"/>
      <c r="X109" s="156"/>
      <c r="Y109" s="156"/>
      <c r="Z109" s="156"/>
      <c r="AA109" s="72"/>
      <c r="AB109" s="73"/>
      <c r="AC109" s="73"/>
      <c r="AD109" s="73"/>
      <c r="AE109" s="73"/>
      <c r="AF109" s="158"/>
      <c r="AG109" s="110" t="str">
        <f t="shared" si="28"/>
        <v/>
      </c>
      <c r="AH109" s="164" t="str" cm="1">
        <f t="array" ref="AH109">IF(AND(AM109:BR109 &gt;= K109, AM109:BR109 &lt;= J109), "OK", "NG")</f>
        <v>OK</v>
      </c>
      <c r="AI109" s="74"/>
      <c r="AJ109" s="74"/>
      <c r="AK109" s="75"/>
      <c r="AM109" s="159"/>
      <c r="AN109" s="159"/>
      <c r="AO109" s="159"/>
      <c r="AP109" s="159"/>
      <c r="AQ109" s="159"/>
      <c r="AR109" s="159"/>
      <c r="AS109" s="159"/>
      <c r="AT109" s="159"/>
      <c r="AU109" s="159"/>
      <c r="AV109" s="159"/>
      <c r="AW109" s="159"/>
      <c r="AX109" s="159"/>
      <c r="AY109" s="159"/>
      <c r="AZ109" s="159"/>
      <c r="BA109" s="159"/>
      <c r="BB109" s="159"/>
      <c r="BC109" s="159"/>
      <c r="BD109" s="159"/>
      <c r="BE109" s="159"/>
      <c r="BF109" s="159"/>
      <c r="BG109" s="159"/>
      <c r="BH109" s="159"/>
      <c r="BI109" s="159"/>
      <c r="BJ109" s="159"/>
      <c r="BK109" s="159"/>
      <c r="BL109" s="159"/>
      <c r="BM109" s="159"/>
      <c r="BN109" s="159"/>
      <c r="BO109" s="159"/>
      <c r="BP109" s="159"/>
      <c r="BQ109" s="159"/>
      <c r="BR109" s="159"/>
    </row>
    <row r="110" spans="2:70" ht="19.2" customHeight="1">
      <c r="B110" s="68" t="s">
        <v>23</v>
      </c>
      <c r="C110" s="145" t="s">
        <v>415</v>
      </c>
      <c r="D110" s="125" t="s">
        <v>45</v>
      </c>
      <c r="E110" s="146">
        <v>0</v>
      </c>
      <c r="F110" s="147">
        <v>8.0000000000000002E-3</v>
      </c>
      <c r="G110" s="147">
        <v>-8.0000000000000002E-3</v>
      </c>
      <c r="H110" s="106" t="s">
        <v>273</v>
      </c>
      <c r="I110" s="69"/>
      <c r="J110" s="70">
        <f t="shared" si="26"/>
        <v>8.0000000000000002E-3</v>
      </c>
      <c r="K110" s="70">
        <f t="shared" si="27"/>
        <v>-8.0000000000000002E-3</v>
      </c>
      <c r="L110" s="70">
        <v>6.7999999999999996E-3</v>
      </c>
      <c r="M110" s="70">
        <v>-6.7999999999999996E-3</v>
      </c>
      <c r="N110" s="155"/>
      <c r="O110" s="155"/>
      <c r="P110" s="71"/>
      <c r="Q110" s="128">
        <f t="shared" ref="Q110:Q112" si="42">IF(OR($AM110=ISBLANK(TRUE),ISNUMBER($AM110)=FALSE),,MAX(AM110:BR110))</f>
        <v>0</v>
      </c>
      <c r="R110" s="128">
        <f t="shared" ref="R110:R112" si="43">IF(OR($AM110=ISBLANK(TRUE),ISNUMBER($AM110)=FALSE),,MIN(AM110:BR110))</f>
        <v>0</v>
      </c>
      <c r="S110" s="128">
        <f t="shared" ref="S110:S112" si="44">IF(OR($AM110=ISBLANK(TRUE),ISNUMBER($AM110)=FALSE),,AVERAGE(AM110:BR110))</f>
        <v>0</v>
      </c>
      <c r="T110" s="129">
        <f t="shared" ref="T110:T112" si="45">IF(OR($AM110=ISBLANK(TRUE),ISNUMBER($AM110)=FALSE),,STDEV(AM110:BR110))</f>
        <v>0</v>
      </c>
      <c r="U110" s="156"/>
      <c r="V110" s="157"/>
      <c r="W110" s="157"/>
      <c r="X110" s="156"/>
      <c r="Y110" s="156"/>
      <c r="Z110" s="156"/>
      <c r="AA110" s="72"/>
      <c r="AB110" s="73"/>
      <c r="AC110" s="73"/>
      <c r="AD110" s="73"/>
      <c r="AE110" s="73"/>
      <c r="AF110" s="158"/>
      <c r="AG110" s="110" t="str">
        <f t="shared" si="28"/>
        <v/>
      </c>
      <c r="AH110" s="164" t="str" cm="1">
        <f t="array" ref="AH110">IF(AND(AM110:BR110 &gt;= K110, AM110:BR110 &lt;= J110), "OK", "NG")</f>
        <v>OK</v>
      </c>
      <c r="AI110" s="74"/>
      <c r="AJ110" s="74"/>
      <c r="AK110" s="75"/>
      <c r="AM110" s="159"/>
      <c r="AN110" s="159"/>
      <c r="AO110" s="159"/>
      <c r="AP110" s="159"/>
      <c r="AQ110" s="159"/>
      <c r="AR110" s="159"/>
      <c r="AS110" s="159"/>
      <c r="AT110" s="159"/>
      <c r="AU110" s="159"/>
      <c r="AV110" s="159"/>
      <c r="AW110" s="159"/>
      <c r="AX110" s="159"/>
      <c r="AY110" s="159"/>
      <c r="AZ110" s="159"/>
      <c r="BA110" s="159"/>
      <c r="BB110" s="159"/>
      <c r="BC110" s="159"/>
      <c r="BD110" s="159"/>
      <c r="BE110" s="159"/>
      <c r="BF110" s="159"/>
      <c r="BG110" s="159"/>
      <c r="BH110" s="159"/>
      <c r="BI110" s="159"/>
      <c r="BJ110" s="159"/>
      <c r="BK110" s="159"/>
      <c r="BL110" s="159"/>
      <c r="BM110" s="159"/>
      <c r="BN110" s="159"/>
      <c r="BO110" s="159"/>
      <c r="BP110" s="159"/>
      <c r="BQ110" s="159"/>
      <c r="BR110" s="159"/>
    </row>
    <row r="111" spans="2:70" ht="19.2" customHeight="1">
      <c r="B111" s="68" t="s">
        <v>288</v>
      </c>
      <c r="C111" s="101" t="s">
        <v>257</v>
      </c>
      <c r="D111" s="125" t="s">
        <v>45</v>
      </c>
      <c r="E111" s="126">
        <v>-0.45</v>
      </c>
      <c r="F111" s="127">
        <v>1.4999999999999999E-2</v>
      </c>
      <c r="G111" s="127">
        <v>-1.4999999999999999E-2</v>
      </c>
      <c r="H111" s="106" t="s">
        <v>273</v>
      </c>
      <c r="I111" s="69"/>
      <c r="J111" s="70">
        <f t="shared" si="26"/>
        <v>-0.435</v>
      </c>
      <c r="K111" s="70">
        <f t="shared" si="27"/>
        <v>-0.46500000000000002</v>
      </c>
      <c r="L111" s="70">
        <v>-0.43725000000000003</v>
      </c>
      <c r="M111" s="70">
        <v>-0.46274999999999999</v>
      </c>
      <c r="N111" s="155"/>
      <c r="O111" s="155"/>
      <c r="P111" s="71"/>
      <c r="Q111" s="128">
        <f t="shared" si="42"/>
        <v>0</v>
      </c>
      <c r="R111" s="128">
        <f t="shared" si="43"/>
        <v>0</v>
      </c>
      <c r="S111" s="128">
        <f t="shared" si="44"/>
        <v>0</v>
      </c>
      <c r="T111" s="129">
        <f t="shared" si="45"/>
        <v>0</v>
      </c>
      <c r="U111" s="107" t="str">
        <f t="shared" si="32"/>
        <v/>
      </c>
      <c r="V111" s="108" t="str">
        <f>IF(OR($AM111="",ISNUMBER($AM111)=FALSE),"",IF(AND(#REF!="Tolerance",$E111&lt;&gt;""),($S111-$E111)/(($J111-$K111)/2),IF(AND(#REF!="GD&amp;T",$F111&lt;&gt;""),$S111/$F111,"")))</f>
        <v/>
      </c>
      <c r="W111" s="108" t="str">
        <f t="shared" si="38"/>
        <v/>
      </c>
      <c r="X111" s="107" t="str">
        <f t="shared" si="33"/>
        <v/>
      </c>
      <c r="Y111" s="107" t="str">
        <f t="shared" si="34"/>
        <v/>
      </c>
      <c r="Z111" s="107" t="str">
        <f t="shared" si="35"/>
        <v/>
      </c>
      <c r="AA111" s="72" t="str">
        <f t="shared" si="36"/>
        <v/>
      </c>
      <c r="AB111" s="73" t="e">
        <f>IF($S111="","",IF(#REF!="Tolerance",IF((#REF!*3*T111+S111)-E111&lt;F111,"",(#REF!*3*T111+S111)-E111),IF(OR(#REF!="GD&amp;T",#REF!="MAX"),IF((#REF!*3*T111+S111)&lt;F111,"",(#REF!*3*T111+S111)),"")))</f>
        <v>#REF!</v>
      </c>
      <c r="AC111" s="73" t="e">
        <f>IF(S111="","",IF(#REF!="Tolerance",IF(-((#REF!*3*T111)-S111)-E111&gt;G111,"",-((#REF!*3*T111)-S111)-E111),IF(#REF!="MIN",IF(-((#REF!*3*T111)-S111)&gt;G111,"",-((#REF!*3*T111)-S111)),"")))</f>
        <v>#REF!</v>
      </c>
      <c r="AD111" s="73">
        <f t="shared" si="39"/>
        <v>-0.45</v>
      </c>
      <c r="AE111" s="73" t="str">
        <f t="shared" si="37"/>
        <v/>
      </c>
      <c r="AF111" s="109"/>
      <c r="AG111" s="110" t="str">
        <f t="shared" si="28"/>
        <v/>
      </c>
      <c r="AH111" s="164" t="str" cm="1">
        <f t="array" ref="AH111">IF(AND(AM111:BR111 &gt;= K111, AM111:BR111 &lt;= J111), "OK", "NG")</f>
        <v>NG</v>
      </c>
      <c r="AI111" s="74"/>
      <c r="AJ111" s="74"/>
      <c r="AK111" s="75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149"/>
      <c r="BH111" s="149"/>
      <c r="BI111" s="149"/>
      <c r="BJ111" s="149"/>
      <c r="BK111" s="149"/>
      <c r="BL111" s="149"/>
      <c r="BM111" s="149"/>
      <c r="BN111" s="149"/>
      <c r="BO111" s="149"/>
      <c r="BP111" s="149"/>
      <c r="BQ111" s="149"/>
      <c r="BR111" s="149"/>
    </row>
    <row r="112" spans="2:70" ht="19.2" customHeight="1">
      <c r="B112" s="68" t="s">
        <v>23</v>
      </c>
      <c r="C112" s="145">
        <v>123</v>
      </c>
      <c r="D112" s="125" t="s">
        <v>45</v>
      </c>
      <c r="E112" s="146">
        <v>0</v>
      </c>
      <c r="F112" s="147">
        <v>6.0000000000000001E-3</v>
      </c>
      <c r="G112" s="147">
        <v>-0.01</v>
      </c>
      <c r="H112" s="106" t="s">
        <v>273</v>
      </c>
      <c r="I112" s="69"/>
      <c r="J112" s="70">
        <f t="shared" si="26"/>
        <v>6.0000000000000001E-3</v>
      </c>
      <c r="K112" s="70">
        <f t="shared" si="27"/>
        <v>-0.01</v>
      </c>
      <c r="L112" s="70">
        <v>5.1000000000000004E-3</v>
      </c>
      <c r="M112" s="70">
        <v>-8.5000000000000006E-3</v>
      </c>
      <c r="N112" s="155"/>
      <c r="O112" s="155"/>
      <c r="P112" s="71"/>
      <c r="Q112" s="128">
        <f t="shared" si="42"/>
        <v>0</v>
      </c>
      <c r="R112" s="128">
        <f t="shared" si="43"/>
        <v>0</v>
      </c>
      <c r="S112" s="128">
        <f t="shared" si="44"/>
        <v>0</v>
      </c>
      <c r="T112" s="129">
        <f t="shared" si="45"/>
        <v>0</v>
      </c>
      <c r="U112" s="156"/>
      <c r="V112" s="157"/>
      <c r="W112" s="157"/>
      <c r="X112" s="156"/>
      <c r="Y112" s="156"/>
      <c r="Z112" s="156"/>
      <c r="AA112" s="72"/>
      <c r="AB112" s="73"/>
      <c r="AC112" s="73"/>
      <c r="AD112" s="73"/>
      <c r="AE112" s="73"/>
      <c r="AF112" s="158"/>
      <c r="AG112" s="110" t="str">
        <f t="shared" si="28"/>
        <v/>
      </c>
      <c r="AH112" s="164" t="str" cm="1">
        <f t="array" ref="AH112">IF(AND(AM112:BR112 &gt;= K112, AM112:BR112 &lt;= J112), "OK", "NG")</f>
        <v>OK</v>
      </c>
      <c r="AI112" s="74"/>
      <c r="AJ112" s="74"/>
      <c r="AK112" s="75"/>
      <c r="AM112" s="159"/>
      <c r="AN112" s="159"/>
      <c r="AO112" s="159"/>
      <c r="AP112" s="159"/>
      <c r="AQ112" s="159"/>
      <c r="AR112" s="159"/>
      <c r="AS112" s="159"/>
      <c r="AT112" s="159"/>
      <c r="AU112" s="159"/>
      <c r="AV112" s="159"/>
      <c r="AW112" s="159"/>
      <c r="AX112" s="159"/>
      <c r="AY112" s="159"/>
      <c r="AZ112" s="159"/>
      <c r="BA112" s="159"/>
      <c r="BB112" s="159"/>
      <c r="BC112" s="159"/>
      <c r="BD112" s="159"/>
      <c r="BE112" s="159"/>
      <c r="BF112" s="159"/>
      <c r="BG112" s="159"/>
      <c r="BH112" s="159"/>
      <c r="BI112" s="159"/>
      <c r="BJ112" s="159"/>
      <c r="BK112" s="159"/>
      <c r="BL112" s="159"/>
      <c r="BM112" s="159"/>
      <c r="BN112" s="159"/>
      <c r="BO112" s="159"/>
      <c r="BP112" s="159"/>
      <c r="BQ112" s="159"/>
      <c r="BR112" s="159"/>
    </row>
    <row r="113" spans="2:70" ht="19.2" customHeight="1">
      <c r="B113" s="130" t="s">
        <v>289</v>
      </c>
      <c r="C113" s="101">
        <v>126</v>
      </c>
      <c r="D113" s="125" t="s">
        <v>45</v>
      </c>
      <c r="E113" s="126">
        <v>0.26100000000000001</v>
      </c>
      <c r="F113" s="127">
        <v>0.03</v>
      </c>
      <c r="G113" s="127">
        <v>-0.03</v>
      </c>
      <c r="H113" s="106" t="s">
        <v>46</v>
      </c>
      <c r="I113" s="69"/>
      <c r="J113" s="70">
        <f t="shared" si="26"/>
        <v>0.29100000000000004</v>
      </c>
      <c r="K113" s="70">
        <f t="shared" si="27"/>
        <v>0.23100000000000001</v>
      </c>
      <c r="L113" s="70">
        <v>0.28650000000000003</v>
      </c>
      <c r="M113" s="70">
        <v>0.23550000000000001</v>
      </c>
      <c r="N113" s="155"/>
      <c r="O113" s="155"/>
      <c r="P113" s="71"/>
      <c r="Q113" s="128">
        <f t="shared" si="29"/>
        <v>0</v>
      </c>
      <c r="R113" s="128">
        <f t="shared" si="30"/>
        <v>0</v>
      </c>
      <c r="S113" s="128">
        <f t="shared" si="31"/>
        <v>0</v>
      </c>
      <c r="T113" s="129">
        <f t="shared" si="40"/>
        <v>0</v>
      </c>
      <c r="U113" s="107" t="str">
        <f t="shared" si="32"/>
        <v/>
      </c>
      <c r="V113" s="108" t="str">
        <f>IF(OR($AM113="",ISNUMBER($AM113)=FALSE),"",IF(AND(#REF!="Tolerance",$E113&lt;&gt;""),($S113-$E113)/(($J113-$K113)/2),IF(AND(#REF!="GD&amp;T",$F113&lt;&gt;""),$S113/$F113,"")))</f>
        <v/>
      </c>
      <c r="W113" s="108" t="str">
        <f t="shared" si="38"/>
        <v/>
      </c>
      <c r="X113" s="107" t="str">
        <f t="shared" si="33"/>
        <v/>
      </c>
      <c r="Y113" s="107" t="str">
        <f t="shared" si="34"/>
        <v/>
      </c>
      <c r="Z113" s="107" t="str">
        <f t="shared" si="35"/>
        <v/>
      </c>
      <c r="AA113" s="72" t="str">
        <f t="shared" si="36"/>
        <v/>
      </c>
      <c r="AB113" s="73" t="e">
        <f>IF($S113="","",IF(#REF!="Tolerance",IF((#REF!*3*T113+S113)-E113&lt;F113,"",(#REF!*3*T113+S113)-E113),IF(OR(#REF!="GD&amp;T",#REF!="MAX"),IF((#REF!*3*T113+S113)&lt;F113,"",(#REF!*3*T113+S113)),"")))</f>
        <v>#REF!</v>
      </c>
      <c r="AC113" s="73" t="e">
        <f>IF(S113="","",IF(#REF!="Tolerance",IF(-((#REF!*3*T113)-S113)-E113&gt;G113,"",-((#REF!*3*T113)-S113)-E113),IF(#REF!="MIN",IF(-((#REF!*3*T113)-S113)&gt;G113,"",-((#REF!*3*T113)-S113)),"")))</f>
        <v>#REF!</v>
      </c>
      <c r="AD113" s="73">
        <f t="shared" si="39"/>
        <v>0.26100000000000001</v>
      </c>
      <c r="AE113" s="73" t="str">
        <f t="shared" si="37"/>
        <v/>
      </c>
      <c r="AF113" s="109"/>
      <c r="AG113" s="110" t="str">
        <f t="shared" si="28"/>
        <v/>
      </c>
      <c r="AH113" s="164" t="str" cm="1">
        <f t="array" ref="AH113">IF(AND(AM113:BR113 &gt;= K113, AM113:BR113 &lt;= J113), "OK", "NG")</f>
        <v>NG</v>
      </c>
      <c r="AI113" s="74"/>
      <c r="AJ113" s="74"/>
      <c r="AK113" s="75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149"/>
      <c r="BH113" s="149"/>
      <c r="BI113" s="149"/>
      <c r="BJ113" s="149"/>
      <c r="BK113" s="149"/>
      <c r="BL113" s="149"/>
      <c r="BM113" s="149"/>
      <c r="BN113" s="149"/>
      <c r="BO113" s="149"/>
      <c r="BP113" s="149"/>
      <c r="BQ113" s="149"/>
      <c r="BR113" s="149"/>
    </row>
    <row r="114" spans="2:70" ht="19.2" customHeight="1">
      <c r="B114" s="68" t="s">
        <v>290</v>
      </c>
      <c r="C114" s="101" t="s">
        <v>258</v>
      </c>
      <c r="D114" s="125" t="s">
        <v>45</v>
      </c>
      <c r="E114" s="126">
        <v>21.385999999999999</v>
      </c>
      <c r="F114" s="127">
        <v>0.03</v>
      </c>
      <c r="G114" s="127">
        <v>-0.03</v>
      </c>
      <c r="H114" s="106" t="s">
        <v>46</v>
      </c>
      <c r="I114" s="69"/>
      <c r="J114" s="70">
        <f t="shared" si="26"/>
        <v>21.416</v>
      </c>
      <c r="K114" s="70">
        <f t="shared" si="27"/>
        <v>21.355999999999998</v>
      </c>
      <c r="L114" s="70">
        <v>21.4115</v>
      </c>
      <c r="M114" s="70">
        <v>21.360499999999998</v>
      </c>
      <c r="N114" s="155"/>
      <c r="O114" s="155"/>
      <c r="P114" s="71"/>
      <c r="Q114" s="128">
        <f t="shared" si="29"/>
        <v>0</v>
      </c>
      <c r="R114" s="128">
        <f t="shared" si="30"/>
        <v>0</v>
      </c>
      <c r="S114" s="128">
        <f t="shared" si="31"/>
        <v>0</v>
      </c>
      <c r="T114" s="129">
        <f t="shared" si="40"/>
        <v>0</v>
      </c>
      <c r="U114" s="107" t="str">
        <f t="shared" si="32"/>
        <v/>
      </c>
      <c r="V114" s="108" t="str">
        <f>IF(OR($AM114="",ISNUMBER($AM114)=FALSE),"",IF(AND(#REF!="Tolerance",$E114&lt;&gt;""),($S114-$E114)/(($J114-$K114)/2),IF(AND(#REF!="GD&amp;T",$F114&lt;&gt;""),$S114/$F114,"")))</f>
        <v/>
      </c>
      <c r="W114" s="108" t="str">
        <f t="shared" si="38"/>
        <v/>
      </c>
      <c r="X114" s="107" t="str">
        <f t="shared" si="33"/>
        <v/>
      </c>
      <c r="Y114" s="107" t="str">
        <f t="shared" si="34"/>
        <v/>
      </c>
      <c r="Z114" s="107" t="str">
        <f t="shared" si="35"/>
        <v/>
      </c>
      <c r="AA114" s="72" t="str">
        <f t="shared" si="36"/>
        <v/>
      </c>
      <c r="AB114" s="73" t="e">
        <f>IF($S114="","",IF(#REF!="Tolerance",IF((#REF!*3*T114+S114)-E114&lt;F114,"",(#REF!*3*T114+S114)-E114),IF(OR(#REF!="GD&amp;T",#REF!="MAX"),IF((#REF!*3*T114+S114)&lt;F114,"",(#REF!*3*T114+S114)),"")))</f>
        <v>#REF!</v>
      </c>
      <c r="AC114" s="73" t="e">
        <f>IF(S114="","",IF(#REF!="Tolerance",IF(-((#REF!*3*T114)-S114)-E114&gt;G114,"",-((#REF!*3*T114)-S114)-E114),IF(#REF!="MIN",IF(-((#REF!*3*T114)-S114)&gt;G114,"",-((#REF!*3*T114)-S114)),"")))</f>
        <v>#REF!</v>
      </c>
      <c r="AD114" s="73">
        <f t="shared" si="39"/>
        <v>21.385999999999999</v>
      </c>
      <c r="AE114" s="73" t="str">
        <f t="shared" si="37"/>
        <v/>
      </c>
      <c r="AF114" s="109"/>
      <c r="AG114" s="110" t="str">
        <f t="shared" si="28"/>
        <v/>
      </c>
      <c r="AH114" s="164" t="str" cm="1">
        <f t="array" ref="AH114">IF(AND(AM114:BR114 &gt;= K114, AM114:BR114 &lt;= J114), "OK", "NG")</f>
        <v>NG</v>
      </c>
      <c r="AI114" s="74"/>
      <c r="AJ114" s="74"/>
      <c r="AK114" s="75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149"/>
      <c r="BH114" s="149"/>
      <c r="BI114" s="149"/>
      <c r="BJ114" s="149"/>
      <c r="BK114" s="149"/>
      <c r="BL114" s="149"/>
      <c r="BM114" s="149"/>
      <c r="BN114" s="149"/>
      <c r="BO114" s="149"/>
      <c r="BP114" s="149"/>
      <c r="BQ114" s="149"/>
      <c r="BR114" s="149"/>
    </row>
    <row r="115" spans="2:70" ht="19.2" customHeight="1">
      <c r="B115" s="68" t="s">
        <v>290</v>
      </c>
      <c r="C115" s="101" t="s">
        <v>259</v>
      </c>
      <c r="D115" s="125" t="s">
        <v>45</v>
      </c>
      <c r="E115" s="126">
        <v>21.385999999999999</v>
      </c>
      <c r="F115" s="127">
        <v>0.03</v>
      </c>
      <c r="G115" s="127">
        <v>-0.03</v>
      </c>
      <c r="H115" s="106" t="s">
        <v>46</v>
      </c>
      <c r="I115" s="69"/>
      <c r="J115" s="70">
        <f t="shared" si="26"/>
        <v>21.416</v>
      </c>
      <c r="K115" s="70">
        <f t="shared" si="27"/>
        <v>21.355999999999998</v>
      </c>
      <c r="L115" s="70">
        <v>21.4115</v>
      </c>
      <c r="M115" s="70">
        <v>21.360499999999998</v>
      </c>
      <c r="N115" s="155"/>
      <c r="O115" s="155"/>
      <c r="P115" s="71"/>
      <c r="Q115" s="128">
        <f t="shared" si="29"/>
        <v>0</v>
      </c>
      <c r="R115" s="128">
        <f t="shared" si="30"/>
        <v>0</v>
      </c>
      <c r="S115" s="128">
        <f t="shared" si="31"/>
        <v>0</v>
      </c>
      <c r="T115" s="129">
        <f t="shared" si="40"/>
        <v>0</v>
      </c>
      <c r="U115" s="107" t="str">
        <f t="shared" si="32"/>
        <v/>
      </c>
      <c r="V115" s="108" t="str">
        <f>IF(OR($AM115="",ISNUMBER($AM115)=FALSE),"",IF(AND(#REF!="Tolerance",$E115&lt;&gt;""),($S115-$E115)/(($J115-$K115)/2),IF(AND(#REF!="GD&amp;T",$F115&lt;&gt;""),$S115/$F115,"")))</f>
        <v/>
      </c>
      <c r="W115" s="108" t="str">
        <f t="shared" si="38"/>
        <v/>
      </c>
      <c r="X115" s="107" t="str">
        <f t="shared" si="33"/>
        <v/>
      </c>
      <c r="Y115" s="107" t="str">
        <f t="shared" si="34"/>
        <v/>
      </c>
      <c r="Z115" s="107" t="str">
        <f t="shared" si="35"/>
        <v/>
      </c>
      <c r="AA115" s="72" t="str">
        <f t="shared" si="36"/>
        <v/>
      </c>
      <c r="AB115" s="73" t="e">
        <f>IF($S115="","",IF(#REF!="Tolerance",IF((#REF!*3*T115+S115)-E115&lt;F115,"",(#REF!*3*T115+S115)-E115),IF(OR(#REF!="GD&amp;T",#REF!="MAX"),IF((#REF!*3*T115+S115)&lt;F115,"",(#REF!*3*T115+S115)),"")))</f>
        <v>#REF!</v>
      </c>
      <c r="AC115" s="73" t="e">
        <f>IF(S115="","",IF(#REF!="Tolerance",IF(-((#REF!*3*T115)-S115)-E115&gt;G115,"",-((#REF!*3*T115)-S115)-E115),IF(#REF!="MIN",IF(-((#REF!*3*T115)-S115)&gt;G115,"",-((#REF!*3*T115)-S115)),"")))</f>
        <v>#REF!</v>
      </c>
      <c r="AD115" s="73">
        <f t="shared" si="39"/>
        <v>21.385999999999999</v>
      </c>
      <c r="AE115" s="73" t="str">
        <f t="shared" si="37"/>
        <v/>
      </c>
      <c r="AF115" s="109"/>
      <c r="AG115" s="110" t="str">
        <f t="shared" si="28"/>
        <v/>
      </c>
      <c r="AH115" s="164" t="str" cm="1">
        <f t="array" ref="AH115">IF(AND(AM115:BR115 &gt;= K115, AM115:BR115 &lt;= J115), "OK", "NG")</f>
        <v>NG</v>
      </c>
      <c r="AI115" s="74"/>
      <c r="AJ115" s="74"/>
      <c r="AK115" s="75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  <c r="BG115" s="149"/>
      <c r="BH115" s="149"/>
      <c r="BI115" s="149"/>
      <c r="BJ115" s="149"/>
      <c r="BK115" s="149"/>
      <c r="BL115" s="149"/>
      <c r="BM115" s="149"/>
      <c r="BN115" s="149"/>
      <c r="BO115" s="149"/>
      <c r="BP115" s="149"/>
      <c r="BQ115" s="149"/>
      <c r="BR115" s="149"/>
    </row>
    <row r="116" spans="2:70" ht="19.2" customHeight="1">
      <c r="B116" s="68" t="s">
        <v>291</v>
      </c>
      <c r="C116" s="101" t="s">
        <v>260</v>
      </c>
      <c r="D116" s="125" t="s">
        <v>45</v>
      </c>
      <c r="E116" s="126">
        <v>1.1240000000000001</v>
      </c>
      <c r="F116" s="127">
        <v>0.03</v>
      </c>
      <c r="G116" s="127">
        <v>-0.03</v>
      </c>
      <c r="H116" s="106" t="s">
        <v>46</v>
      </c>
      <c r="I116" s="69"/>
      <c r="J116" s="70">
        <f t="shared" si="26"/>
        <v>1.1540000000000001</v>
      </c>
      <c r="K116" s="70">
        <f t="shared" si="27"/>
        <v>1.0940000000000001</v>
      </c>
      <c r="L116" s="70">
        <v>1.1495000000000002</v>
      </c>
      <c r="M116" s="70">
        <v>1.0985</v>
      </c>
      <c r="N116" s="155"/>
      <c r="O116" s="155"/>
      <c r="P116" s="71"/>
      <c r="Q116" s="128">
        <f t="shared" si="29"/>
        <v>0</v>
      </c>
      <c r="R116" s="128">
        <f t="shared" si="30"/>
        <v>0</v>
      </c>
      <c r="S116" s="128">
        <f t="shared" si="31"/>
        <v>0</v>
      </c>
      <c r="T116" s="129">
        <f t="shared" si="40"/>
        <v>0</v>
      </c>
      <c r="U116" s="107" t="str">
        <f t="shared" si="32"/>
        <v/>
      </c>
      <c r="V116" s="108" t="str">
        <f>IF(OR($AM116="",ISNUMBER($AM116)=FALSE),"",IF(AND(#REF!="Tolerance",$E116&lt;&gt;""),($S116-$E116)/(($J116-$K116)/2),IF(AND(#REF!="GD&amp;T",$F116&lt;&gt;""),$S116/$F116,"")))</f>
        <v/>
      </c>
      <c r="W116" s="108" t="str">
        <f t="shared" si="38"/>
        <v/>
      </c>
      <c r="X116" s="107" t="str">
        <f t="shared" si="33"/>
        <v/>
      </c>
      <c r="Y116" s="107" t="str">
        <f t="shared" si="34"/>
        <v/>
      </c>
      <c r="Z116" s="107" t="str">
        <f t="shared" si="35"/>
        <v/>
      </c>
      <c r="AA116" s="72" t="str">
        <f t="shared" si="36"/>
        <v/>
      </c>
      <c r="AB116" s="73" t="e">
        <f>IF($S116="","",IF(#REF!="Tolerance",IF((#REF!*3*T116+S116)-E116&lt;F116,"",(#REF!*3*T116+S116)-E116),IF(OR(#REF!="GD&amp;T",#REF!="MAX"),IF((#REF!*3*T116+S116)&lt;F116,"",(#REF!*3*T116+S116)),"")))</f>
        <v>#REF!</v>
      </c>
      <c r="AC116" s="73" t="e">
        <f>IF(S116="","",IF(#REF!="Tolerance",IF(-((#REF!*3*T116)-S116)-E116&gt;G116,"",-((#REF!*3*T116)-S116)-E116),IF(#REF!="MIN",IF(-((#REF!*3*T116)-S116)&gt;G116,"",-((#REF!*3*T116)-S116)),"")))</f>
        <v>#REF!</v>
      </c>
      <c r="AD116" s="73">
        <f t="shared" si="39"/>
        <v>1.1240000000000001</v>
      </c>
      <c r="AE116" s="73" t="str">
        <f t="shared" si="37"/>
        <v/>
      </c>
      <c r="AF116" s="109"/>
      <c r="AG116" s="110" t="str">
        <f t="shared" si="28"/>
        <v/>
      </c>
      <c r="AH116" s="164" t="str" cm="1">
        <f t="array" ref="AH116">IF(AND(AM116:BR116 &gt;= K116, AM116:BR116 &lt;= J116), "OK", "NG")</f>
        <v>NG</v>
      </c>
      <c r="AI116" s="74"/>
      <c r="AJ116" s="74"/>
      <c r="AK116" s="75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  <c r="BF116" s="149"/>
      <c r="BG116" s="149"/>
      <c r="BH116" s="149"/>
      <c r="BI116" s="149"/>
      <c r="BJ116" s="149"/>
      <c r="BK116" s="149"/>
      <c r="BL116" s="149"/>
      <c r="BM116" s="149"/>
      <c r="BN116" s="149"/>
      <c r="BO116" s="149"/>
      <c r="BP116" s="149"/>
      <c r="BQ116" s="149"/>
      <c r="BR116" s="149"/>
    </row>
    <row r="117" spans="2:70" ht="19.2" customHeight="1">
      <c r="B117" s="68" t="s">
        <v>291</v>
      </c>
      <c r="C117" s="101" t="s">
        <v>261</v>
      </c>
      <c r="D117" s="125" t="s">
        <v>45</v>
      </c>
      <c r="E117" s="126">
        <v>1.1240000000000001</v>
      </c>
      <c r="F117" s="127">
        <v>0.03</v>
      </c>
      <c r="G117" s="127">
        <v>-0.03</v>
      </c>
      <c r="H117" s="106" t="s">
        <v>46</v>
      </c>
      <c r="I117" s="69"/>
      <c r="J117" s="70">
        <f t="shared" si="26"/>
        <v>1.1540000000000001</v>
      </c>
      <c r="K117" s="70">
        <f t="shared" si="27"/>
        <v>1.0940000000000001</v>
      </c>
      <c r="L117" s="70">
        <v>1.1495000000000002</v>
      </c>
      <c r="M117" s="70">
        <v>1.0985</v>
      </c>
      <c r="N117" s="155"/>
      <c r="O117" s="155"/>
      <c r="P117" s="71"/>
      <c r="Q117" s="128">
        <f t="shared" si="29"/>
        <v>0</v>
      </c>
      <c r="R117" s="128">
        <f t="shared" si="30"/>
        <v>0</v>
      </c>
      <c r="S117" s="128">
        <f t="shared" si="31"/>
        <v>0</v>
      </c>
      <c r="T117" s="129">
        <f t="shared" si="40"/>
        <v>0</v>
      </c>
      <c r="U117" s="107" t="str">
        <f t="shared" si="32"/>
        <v/>
      </c>
      <c r="V117" s="108" t="str">
        <f>IF(OR($AM117="",ISNUMBER($AM117)=FALSE),"",IF(AND(#REF!="Tolerance",$E117&lt;&gt;""),($S117-$E117)/(($J117-$K117)/2),IF(AND(#REF!="GD&amp;T",$F117&lt;&gt;""),$S117/$F117,"")))</f>
        <v/>
      </c>
      <c r="W117" s="108" t="str">
        <f t="shared" si="38"/>
        <v/>
      </c>
      <c r="X117" s="107" t="str">
        <f t="shared" si="33"/>
        <v/>
      </c>
      <c r="Y117" s="107" t="str">
        <f t="shared" si="34"/>
        <v/>
      </c>
      <c r="Z117" s="107" t="str">
        <f t="shared" si="35"/>
        <v/>
      </c>
      <c r="AA117" s="72" t="str">
        <f t="shared" si="36"/>
        <v/>
      </c>
      <c r="AB117" s="73" t="e">
        <f>IF($S117="","",IF(#REF!="Tolerance",IF((#REF!*3*T117+S117)-E117&lt;F117,"",(#REF!*3*T117+S117)-E117),IF(OR(#REF!="GD&amp;T",#REF!="MAX"),IF((#REF!*3*T117+S117)&lt;F117,"",(#REF!*3*T117+S117)),"")))</f>
        <v>#REF!</v>
      </c>
      <c r="AC117" s="73" t="e">
        <f>IF(S117="","",IF(#REF!="Tolerance",IF(-((#REF!*3*T117)-S117)-E117&gt;G117,"",-((#REF!*3*T117)-S117)-E117),IF(#REF!="MIN",IF(-((#REF!*3*T117)-S117)&gt;G117,"",-((#REF!*3*T117)-S117)),"")))</f>
        <v>#REF!</v>
      </c>
      <c r="AD117" s="73">
        <f t="shared" si="39"/>
        <v>1.1240000000000001</v>
      </c>
      <c r="AE117" s="73" t="str">
        <f t="shared" si="37"/>
        <v/>
      </c>
      <c r="AF117" s="109"/>
      <c r="AG117" s="110" t="str">
        <f t="shared" si="28"/>
        <v/>
      </c>
      <c r="AH117" s="164" t="str" cm="1">
        <f t="array" ref="AH117">IF(AND(AM117:BR117 &gt;= K117, AM117:BR117 &lt;= J117), "OK", "NG")</f>
        <v>NG</v>
      </c>
      <c r="AI117" s="74"/>
      <c r="AJ117" s="74"/>
      <c r="AK117" s="75"/>
      <c r="AM117" s="149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  <c r="BI117" s="149"/>
      <c r="BJ117" s="149"/>
      <c r="BK117" s="149"/>
      <c r="BL117" s="149"/>
      <c r="BM117" s="149"/>
      <c r="BN117" s="149"/>
      <c r="BO117" s="149"/>
      <c r="BP117" s="149"/>
      <c r="BQ117" s="149"/>
      <c r="BR117" s="149"/>
    </row>
    <row r="118" spans="2:70" ht="19.2" customHeight="1">
      <c r="B118" s="68" t="s">
        <v>346</v>
      </c>
      <c r="C118" s="101" t="s">
        <v>262</v>
      </c>
      <c r="D118" s="125" t="s">
        <v>45</v>
      </c>
      <c r="E118" s="126">
        <v>3.1509999999999998</v>
      </c>
      <c r="F118" s="127">
        <v>0.03</v>
      </c>
      <c r="G118" s="127">
        <v>-0.03</v>
      </c>
      <c r="H118" s="106" t="s">
        <v>46</v>
      </c>
      <c r="I118" s="69"/>
      <c r="J118" s="70">
        <f t="shared" si="26"/>
        <v>3.1809999999999996</v>
      </c>
      <c r="K118" s="70">
        <f t="shared" si="27"/>
        <v>3.121</v>
      </c>
      <c r="L118" s="70">
        <v>3.1764999999999999</v>
      </c>
      <c r="M118" s="70">
        <v>3.1254999999999997</v>
      </c>
      <c r="N118" s="155"/>
      <c r="O118" s="155"/>
      <c r="P118" s="71"/>
      <c r="Q118" s="128">
        <f t="shared" si="29"/>
        <v>0</v>
      </c>
      <c r="R118" s="128">
        <f t="shared" si="30"/>
        <v>0</v>
      </c>
      <c r="S118" s="128">
        <f t="shared" si="31"/>
        <v>0</v>
      </c>
      <c r="T118" s="129">
        <f t="shared" si="40"/>
        <v>0</v>
      </c>
      <c r="U118" s="107" t="str">
        <f t="shared" si="32"/>
        <v/>
      </c>
      <c r="V118" s="108" t="str">
        <f>IF(OR($AM118="",ISNUMBER($AM118)=FALSE),"",IF(AND(#REF!="Tolerance",$E118&lt;&gt;""),($S118-$E118)/(($J118-$K118)/2),IF(AND(#REF!="GD&amp;T",$F118&lt;&gt;""),$S118/$F118,"")))</f>
        <v/>
      </c>
      <c r="W118" s="108" t="str">
        <f t="shared" si="38"/>
        <v/>
      </c>
      <c r="X118" s="107" t="str">
        <f t="shared" si="33"/>
        <v/>
      </c>
      <c r="Y118" s="107" t="str">
        <f t="shared" si="34"/>
        <v/>
      </c>
      <c r="Z118" s="107" t="str">
        <f t="shared" si="35"/>
        <v/>
      </c>
      <c r="AA118" s="72" t="str">
        <f t="shared" si="36"/>
        <v/>
      </c>
      <c r="AB118" s="73" t="e">
        <f>IF($S118="","",IF(#REF!="Tolerance",IF((#REF!*3*T118+S118)-E118&lt;F118,"",(#REF!*3*T118+S118)-E118),IF(OR(#REF!="GD&amp;T",#REF!="MAX"),IF((#REF!*3*T118+S118)&lt;F118,"",(#REF!*3*T118+S118)),"")))</f>
        <v>#REF!</v>
      </c>
      <c r="AC118" s="73" t="e">
        <f>IF(S118="","",IF(#REF!="Tolerance",IF(-((#REF!*3*T118)-S118)-E118&gt;G118,"",-((#REF!*3*T118)-S118)-E118),IF(#REF!="MIN",IF(-((#REF!*3*T118)-S118)&gt;G118,"",-((#REF!*3*T118)-S118)),"")))</f>
        <v>#REF!</v>
      </c>
      <c r="AD118" s="73">
        <f t="shared" si="39"/>
        <v>3.1509999999999998</v>
      </c>
      <c r="AE118" s="73" t="str">
        <f t="shared" si="37"/>
        <v/>
      </c>
      <c r="AF118" s="109"/>
      <c r="AG118" s="110" t="str">
        <f t="shared" si="28"/>
        <v/>
      </c>
      <c r="AH118" s="164" t="str" cm="1">
        <f t="array" ref="AH118">IF(AND(AM118:BR118 &gt;= K118, AM118:BR118 &lt;= J118), "OK", "NG")</f>
        <v>NG</v>
      </c>
      <c r="AI118" s="74"/>
      <c r="AJ118" s="74"/>
      <c r="AK118" s="75"/>
      <c r="AM118" s="149"/>
      <c r="AN118" s="149"/>
      <c r="AO118" s="149"/>
      <c r="AP118" s="149"/>
      <c r="AQ118" s="149"/>
      <c r="AR118" s="149"/>
      <c r="AS118" s="149"/>
      <c r="AT118" s="149"/>
      <c r="AU118" s="149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149"/>
      <c r="BH118" s="149"/>
      <c r="BI118" s="149"/>
      <c r="BJ118" s="149"/>
      <c r="BK118" s="149"/>
      <c r="BL118" s="149"/>
      <c r="BM118" s="149"/>
      <c r="BN118" s="149"/>
      <c r="BO118" s="149"/>
      <c r="BP118" s="149"/>
      <c r="BQ118" s="149"/>
      <c r="BR118" s="149"/>
    </row>
    <row r="119" spans="2:70" ht="19.2" customHeight="1">
      <c r="B119" s="68" t="s">
        <v>346</v>
      </c>
      <c r="C119" s="101" t="s">
        <v>263</v>
      </c>
      <c r="D119" s="125" t="s">
        <v>45</v>
      </c>
      <c r="E119" s="126">
        <v>3.1509999999999998</v>
      </c>
      <c r="F119" s="127">
        <v>0.03</v>
      </c>
      <c r="G119" s="127">
        <v>-0.03</v>
      </c>
      <c r="H119" s="106" t="s">
        <v>46</v>
      </c>
      <c r="I119" s="69"/>
      <c r="J119" s="70">
        <f t="shared" si="26"/>
        <v>3.1809999999999996</v>
      </c>
      <c r="K119" s="70">
        <f t="shared" si="27"/>
        <v>3.121</v>
      </c>
      <c r="L119" s="70">
        <v>3.1764999999999999</v>
      </c>
      <c r="M119" s="70">
        <v>3.1254999999999997</v>
      </c>
      <c r="N119" s="155"/>
      <c r="O119" s="155"/>
      <c r="P119" s="71"/>
      <c r="Q119" s="128">
        <f t="shared" si="29"/>
        <v>0</v>
      </c>
      <c r="R119" s="128">
        <f t="shared" si="30"/>
        <v>0</v>
      </c>
      <c r="S119" s="128">
        <f t="shared" si="31"/>
        <v>0</v>
      </c>
      <c r="T119" s="129">
        <f t="shared" si="40"/>
        <v>0</v>
      </c>
      <c r="U119" s="107" t="str">
        <f t="shared" si="32"/>
        <v/>
      </c>
      <c r="V119" s="108" t="str">
        <f>IF(OR($AM119="",ISNUMBER($AM119)=FALSE),"",IF(AND(#REF!="Tolerance",$E119&lt;&gt;""),($S119-$E119)/(($J119-$K119)/2),IF(AND(#REF!="GD&amp;T",$F119&lt;&gt;""),$S119/$F119,"")))</f>
        <v/>
      </c>
      <c r="W119" s="108" t="str">
        <f t="shared" si="38"/>
        <v/>
      </c>
      <c r="X119" s="107" t="str">
        <f t="shared" si="33"/>
        <v/>
      </c>
      <c r="Y119" s="107" t="str">
        <f t="shared" si="34"/>
        <v/>
      </c>
      <c r="Z119" s="107" t="str">
        <f t="shared" si="35"/>
        <v/>
      </c>
      <c r="AA119" s="72" t="str">
        <f t="shared" si="36"/>
        <v/>
      </c>
      <c r="AB119" s="73" t="e">
        <f>IF($S119="","",IF(#REF!="Tolerance",IF((#REF!*3*T119+S119)-E119&lt;F119,"",(#REF!*3*T119+S119)-E119),IF(OR(#REF!="GD&amp;T",#REF!="MAX"),IF((#REF!*3*T119+S119)&lt;F119,"",(#REF!*3*T119+S119)),"")))</f>
        <v>#REF!</v>
      </c>
      <c r="AC119" s="73" t="e">
        <f>IF(S119="","",IF(#REF!="Tolerance",IF(-((#REF!*3*T119)-S119)-E119&gt;G119,"",-((#REF!*3*T119)-S119)-E119),IF(#REF!="MIN",IF(-((#REF!*3*T119)-S119)&gt;G119,"",-((#REF!*3*T119)-S119)),"")))</f>
        <v>#REF!</v>
      </c>
      <c r="AD119" s="73">
        <f t="shared" si="39"/>
        <v>3.1509999999999998</v>
      </c>
      <c r="AE119" s="73" t="str">
        <f t="shared" si="37"/>
        <v/>
      </c>
      <c r="AF119" s="109"/>
      <c r="AG119" s="110" t="str">
        <f t="shared" si="28"/>
        <v/>
      </c>
      <c r="AH119" s="164" t="str" cm="1">
        <f t="array" ref="AH119">IF(AND(AM119:BR119 &gt;= K119, AM119:BR119 &lt;= J119), "OK", "NG")</f>
        <v>NG</v>
      </c>
      <c r="AI119" s="74"/>
      <c r="AJ119" s="74"/>
      <c r="AK119" s="75"/>
      <c r="AM119" s="149"/>
      <c r="AN119" s="149"/>
      <c r="AO119" s="149"/>
      <c r="AP119" s="149"/>
      <c r="AQ119" s="149"/>
      <c r="AR119" s="149"/>
      <c r="AS119" s="149"/>
      <c r="AT119" s="149"/>
      <c r="AU119" s="149"/>
      <c r="AV119" s="149"/>
      <c r="AW119" s="149"/>
      <c r="AX119" s="149"/>
      <c r="AY119" s="149"/>
      <c r="AZ119" s="149"/>
      <c r="BA119" s="149"/>
      <c r="BB119" s="149"/>
      <c r="BC119" s="149"/>
      <c r="BD119" s="149"/>
      <c r="BE119" s="149"/>
      <c r="BF119" s="149"/>
      <c r="BG119" s="149"/>
      <c r="BH119" s="149"/>
      <c r="BI119" s="149"/>
      <c r="BJ119" s="149"/>
      <c r="BK119" s="149"/>
      <c r="BL119" s="149"/>
      <c r="BM119" s="149"/>
      <c r="BN119" s="149"/>
      <c r="BO119" s="149"/>
      <c r="BP119" s="149"/>
      <c r="BQ119" s="149"/>
      <c r="BR119" s="149"/>
    </row>
    <row r="120" spans="2:70" ht="19.2" customHeight="1">
      <c r="B120" s="130" t="s">
        <v>292</v>
      </c>
      <c r="C120" s="101" t="s">
        <v>264</v>
      </c>
      <c r="D120" s="125" t="s">
        <v>45</v>
      </c>
      <c r="E120" s="126">
        <v>16.852</v>
      </c>
      <c r="F120" s="127">
        <v>0.03</v>
      </c>
      <c r="G120" s="127">
        <v>-0.03</v>
      </c>
      <c r="H120" s="106" t="s">
        <v>46</v>
      </c>
      <c r="I120" s="69"/>
      <c r="J120" s="70">
        <f t="shared" si="26"/>
        <v>16.882000000000001</v>
      </c>
      <c r="K120" s="70">
        <f t="shared" si="27"/>
        <v>16.821999999999999</v>
      </c>
      <c r="L120" s="70">
        <v>16.877500000000001</v>
      </c>
      <c r="M120" s="70">
        <v>16.826499999999999</v>
      </c>
      <c r="N120" s="155"/>
      <c r="O120" s="155"/>
      <c r="P120" s="71"/>
      <c r="Q120" s="128">
        <f t="shared" si="29"/>
        <v>0</v>
      </c>
      <c r="R120" s="128">
        <f t="shared" si="30"/>
        <v>0</v>
      </c>
      <c r="S120" s="128">
        <f t="shared" si="31"/>
        <v>0</v>
      </c>
      <c r="T120" s="129">
        <f t="shared" si="40"/>
        <v>0</v>
      </c>
      <c r="U120" s="107" t="str">
        <f t="shared" si="32"/>
        <v/>
      </c>
      <c r="V120" s="108" t="str">
        <f>IF(OR($AM120="",ISNUMBER($AM120)=FALSE),"",IF(AND(#REF!="Tolerance",$E120&lt;&gt;""),($S120-$E120)/(($J120-$K120)/2),IF(AND(#REF!="GD&amp;T",$F120&lt;&gt;""),$S120/$F120,"")))</f>
        <v/>
      </c>
      <c r="W120" s="108" t="str">
        <f t="shared" si="38"/>
        <v/>
      </c>
      <c r="X120" s="107" t="str">
        <f t="shared" si="33"/>
        <v/>
      </c>
      <c r="Y120" s="107" t="str">
        <f t="shared" si="34"/>
        <v/>
      </c>
      <c r="Z120" s="107" t="str">
        <f t="shared" si="35"/>
        <v/>
      </c>
      <c r="AA120" s="72" t="str">
        <f t="shared" si="36"/>
        <v/>
      </c>
      <c r="AB120" s="73" t="e">
        <f>IF($S120="","",IF(#REF!="Tolerance",IF((#REF!*3*T120+S120)-E120&lt;F120,"",(#REF!*3*T120+S120)-E120),IF(OR(#REF!="GD&amp;T",#REF!="MAX"),IF((#REF!*3*T120+S120)&lt;F120,"",(#REF!*3*T120+S120)),"")))</f>
        <v>#REF!</v>
      </c>
      <c r="AC120" s="73" t="e">
        <f>IF(S120="","",IF(#REF!="Tolerance",IF(-((#REF!*3*T120)-S120)-E120&gt;G120,"",-((#REF!*3*T120)-S120)-E120),IF(#REF!="MIN",IF(-((#REF!*3*T120)-S120)&gt;G120,"",-((#REF!*3*T120)-S120)),"")))</f>
        <v>#REF!</v>
      </c>
      <c r="AD120" s="73">
        <f t="shared" si="39"/>
        <v>16.852</v>
      </c>
      <c r="AE120" s="73" t="str">
        <f t="shared" si="37"/>
        <v/>
      </c>
      <c r="AF120" s="109"/>
      <c r="AG120" s="110" t="str">
        <f t="shared" si="28"/>
        <v/>
      </c>
      <c r="AH120" s="164" t="str" cm="1">
        <f t="array" ref="AH120">IF(AND(AM120:BR120 &gt;= K120, AM120:BR120 &lt;= J120), "OK", "NG")</f>
        <v>NG</v>
      </c>
      <c r="AI120" s="74"/>
      <c r="AJ120" s="74"/>
      <c r="AK120" s="75"/>
      <c r="AM120" s="149"/>
      <c r="AN120" s="149"/>
      <c r="AO120" s="149"/>
      <c r="AP120" s="149"/>
      <c r="AQ120" s="149"/>
      <c r="AR120" s="149"/>
      <c r="AS120" s="149"/>
      <c r="AT120" s="149"/>
      <c r="AU120" s="149"/>
      <c r="AV120" s="149"/>
      <c r="AW120" s="149"/>
      <c r="AX120" s="149"/>
      <c r="AY120" s="149"/>
      <c r="AZ120" s="149"/>
      <c r="BA120" s="149"/>
      <c r="BB120" s="149"/>
      <c r="BC120" s="149"/>
      <c r="BD120" s="149"/>
      <c r="BE120" s="149"/>
      <c r="BF120" s="149"/>
      <c r="BG120" s="149"/>
      <c r="BH120" s="149"/>
      <c r="BI120" s="149"/>
      <c r="BJ120" s="149"/>
      <c r="BK120" s="149"/>
      <c r="BL120" s="149"/>
      <c r="BM120" s="149"/>
      <c r="BN120" s="149"/>
      <c r="BO120" s="149"/>
      <c r="BP120" s="149"/>
      <c r="BQ120" s="149"/>
      <c r="BR120" s="149"/>
    </row>
    <row r="121" spans="2:70" ht="19.2" customHeight="1">
      <c r="B121" s="130" t="s">
        <v>292</v>
      </c>
      <c r="C121" s="101" t="s">
        <v>265</v>
      </c>
      <c r="D121" s="125" t="s">
        <v>45</v>
      </c>
      <c r="E121" s="126">
        <v>16.852</v>
      </c>
      <c r="F121" s="127">
        <v>0.03</v>
      </c>
      <c r="G121" s="127">
        <v>-0.03</v>
      </c>
      <c r="H121" s="106" t="s">
        <v>46</v>
      </c>
      <c r="I121" s="69"/>
      <c r="J121" s="70">
        <f t="shared" si="26"/>
        <v>16.882000000000001</v>
      </c>
      <c r="K121" s="70">
        <f t="shared" si="27"/>
        <v>16.821999999999999</v>
      </c>
      <c r="L121" s="70">
        <v>16.877500000000001</v>
      </c>
      <c r="M121" s="70">
        <v>16.826499999999999</v>
      </c>
      <c r="N121" s="155"/>
      <c r="O121" s="155"/>
      <c r="P121" s="71"/>
      <c r="Q121" s="128">
        <f t="shared" si="29"/>
        <v>0</v>
      </c>
      <c r="R121" s="128">
        <f t="shared" si="30"/>
        <v>0</v>
      </c>
      <c r="S121" s="128">
        <f t="shared" si="31"/>
        <v>0</v>
      </c>
      <c r="T121" s="129">
        <f t="shared" si="40"/>
        <v>0</v>
      </c>
      <c r="U121" s="107" t="str">
        <f t="shared" si="32"/>
        <v/>
      </c>
      <c r="V121" s="108" t="str">
        <f>IF(OR($AM121="",ISNUMBER($AM121)=FALSE),"",IF(AND(#REF!="Tolerance",$E121&lt;&gt;""),($S121-$E121)/(($J121-$K121)/2),IF(AND(#REF!="GD&amp;T",$F121&lt;&gt;""),$S121/$F121,"")))</f>
        <v/>
      </c>
      <c r="W121" s="108" t="str">
        <f t="shared" si="38"/>
        <v/>
      </c>
      <c r="X121" s="107" t="str">
        <f t="shared" si="33"/>
        <v/>
      </c>
      <c r="Y121" s="107" t="str">
        <f t="shared" si="34"/>
        <v/>
      </c>
      <c r="Z121" s="107" t="str">
        <f t="shared" si="35"/>
        <v/>
      </c>
      <c r="AA121" s="72" t="str">
        <f t="shared" si="36"/>
        <v/>
      </c>
      <c r="AB121" s="73" t="e">
        <f>IF($S121="","",IF(#REF!="Tolerance",IF((#REF!*3*T121+S121)-E121&lt;F121,"",(#REF!*3*T121+S121)-E121),IF(OR(#REF!="GD&amp;T",#REF!="MAX"),IF((#REF!*3*T121+S121)&lt;F121,"",(#REF!*3*T121+S121)),"")))</f>
        <v>#REF!</v>
      </c>
      <c r="AC121" s="73" t="e">
        <f>IF(S121="","",IF(#REF!="Tolerance",IF(-((#REF!*3*T121)-S121)-E121&gt;G121,"",-((#REF!*3*T121)-S121)-E121),IF(#REF!="MIN",IF(-((#REF!*3*T121)-S121)&gt;G121,"",-((#REF!*3*T121)-S121)),"")))</f>
        <v>#REF!</v>
      </c>
      <c r="AD121" s="73">
        <f t="shared" si="39"/>
        <v>16.852</v>
      </c>
      <c r="AE121" s="73" t="str">
        <f t="shared" si="37"/>
        <v/>
      </c>
      <c r="AF121" s="109"/>
      <c r="AG121" s="110" t="str">
        <f t="shared" si="28"/>
        <v/>
      </c>
      <c r="AH121" s="164" t="str" cm="1">
        <f t="array" ref="AH121">IF(AND(AM121:BR121 &gt;= K121, AM121:BR121 &lt;= J121), "OK", "NG")</f>
        <v>NG</v>
      </c>
      <c r="AI121" s="74"/>
      <c r="AJ121" s="74"/>
      <c r="AK121" s="75"/>
      <c r="AM121" s="149"/>
      <c r="AN121" s="149"/>
      <c r="AO121" s="149"/>
      <c r="AP121" s="149"/>
      <c r="AQ121" s="149"/>
      <c r="AR121" s="149"/>
      <c r="AS121" s="149"/>
      <c r="AT121" s="149"/>
      <c r="AU121" s="149"/>
      <c r="AV121" s="149"/>
      <c r="AW121" s="149"/>
      <c r="AX121" s="149"/>
      <c r="AY121" s="149"/>
      <c r="AZ121" s="149"/>
      <c r="BA121" s="149"/>
      <c r="BB121" s="149"/>
      <c r="BC121" s="149"/>
      <c r="BD121" s="149"/>
      <c r="BE121" s="149"/>
      <c r="BF121" s="149"/>
      <c r="BG121" s="149"/>
      <c r="BH121" s="149"/>
      <c r="BI121" s="149"/>
      <c r="BJ121" s="149"/>
      <c r="BK121" s="149"/>
      <c r="BL121" s="149"/>
      <c r="BM121" s="149"/>
      <c r="BN121" s="149"/>
      <c r="BO121" s="149"/>
      <c r="BP121" s="149"/>
      <c r="BQ121" s="149"/>
      <c r="BR121" s="149"/>
    </row>
    <row r="122" spans="2:70" ht="19.2" customHeight="1">
      <c r="B122" s="130" t="s">
        <v>293</v>
      </c>
      <c r="C122" s="101">
        <v>131</v>
      </c>
      <c r="D122" s="125" t="s">
        <v>270</v>
      </c>
      <c r="E122" s="126">
        <v>0.4</v>
      </c>
      <c r="F122" s="127">
        <v>0.03</v>
      </c>
      <c r="G122" s="127">
        <v>-0.03</v>
      </c>
      <c r="H122" s="106" t="s">
        <v>46</v>
      </c>
      <c r="I122" s="69"/>
      <c r="J122" s="70">
        <f t="shared" si="26"/>
        <v>0.43000000000000005</v>
      </c>
      <c r="K122" s="70">
        <f t="shared" si="27"/>
        <v>0.37</v>
      </c>
      <c r="L122" s="70">
        <v>0.42550000000000004</v>
      </c>
      <c r="M122" s="70">
        <v>0.3745</v>
      </c>
      <c r="N122" s="155"/>
      <c r="O122" s="155"/>
      <c r="P122" s="71"/>
      <c r="Q122" s="128">
        <f t="shared" si="29"/>
        <v>0</v>
      </c>
      <c r="R122" s="128">
        <f t="shared" si="30"/>
        <v>0</v>
      </c>
      <c r="S122" s="128">
        <f t="shared" si="31"/>
        <v>0</v>
      </c>
      <c r="T122" s="129">
        <f t="shared" si="40"/>
        <v>0</v>
      </c>
      <c r="U122" s="107" t="str">
        <f t="shared" si="32"/>
        <v/>
      </c>
      <c r="V122" s="108" t="str">
        <f>IF(OR($AM122="",ISNUMBER($AM122)=FALSE),"",IF(AND(#REF!="Tolerance",$E122&lt;&gt;""),($S122-$E122)/(($J122-$K122)/2),IF(AND(#REF!="GD&amp;T",$F122&lt;&gt;""),$S122/$F122,"")))</f>
        <v/>
      </c>
      <c r="W122" s="108" t="str">
        <f t="shared" si="38"/>
        <v/>
      </c>
      <c r="X122" s="107" t="str">
        <f t="shared" si="33"/>
        <v/>
      </c>
      <c r="Y122" s="107" t="str">
        <f t="shared" si="34"/>
        <v/>
      </c>
      <c r="Z122" s="107" t="str">
        <f t="shared" si="35"/>
        <v/>
      </c>
      <c r="AA122" s="72" t="str">
        <f t="shared" si="36"/>
        <v/>
      </c>
      <c r="AB122" s="73" t="e">
        <f>IF($S122="","",IF(#REF!="Tolerance",IF((#REF!*3*T122+S122)-E122&lt;F122,"",(#REF!*3*T122+S122)-E122),IF(OR(#REF!="GD&amp;T",#REF!="MAX"),IF((#REF!*3*T122+S122)&lt;F122,"",(#REF!*3*T122+S122)),"")))</f>
        <v>#REF!</v>
      </c>
      <c r="AC122" s="73" t="e">
        <f>IF(S122="","",IF(#REF!="Tolerance",IF(-((#REF!*3*T122)-S122)-E122&gt;G122,"",-((#REF!*3*T122)-S122)-E122),IF(#REF!="MIN",IF(-((#REF!*3*T122)-S122)&gt;G122,"",-((#REF!*3*T122)-S122)),"")))</f>
        <v>#REF!</v>
      </c>
      <c r="AD122" s="73">
        <f t="shared" si="39"/>
        <v>0.4</v>
      </c>
      <c r="AE122" s="73" t="str">
        <f t="shared" si="37"/>
        <v/>
      </c>
      <c r="AF122" s="109"/>
      <c r="AG122" s="110" t="str">
        <f t="shared" si="28"/>
        <v/>
      </c>
      <c r="AH122" s="164" t="str" cm="1">
        <f t="array" ref="AH122">IF(AND(AM122:BR122 &gt;= K122, AM122:BR122 &lt;= J122), "OK", "NG")</f>
        <v>NG</v>
      </c>
      <c r="AI122" s="74"/>
      <c r="AJ122" s="74"/>
      <c r="AK122" s="75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  <c r="BG122" s="149"/>
      <c r="BH122" s="149"/>
      <c r="BI122" s="149"/>
      <c r="BJ122" s="149"/>
      <c r="BK122" s="149"/>
      <c r="BL122" s="149"/>
      <c r="BM122" s="149"/>
      <c r="BN122" s="149"/>
      <c r="BO122" s="149"/>
      <c r="BP122" s="149"/>
      <c r="BQ122" s="149"/>
      <c r="BR122" s="149"/>
    </row>
    <row r="123" spans="2:70" ht="19.2" customHeight="1">
      <c r="B123" s="130" t="s">
        <v>294</v>
      </c>
      <c r="C123" s="101">
        <v>132</v>
      </c>
      <c r="D123" s="125" t="s">
        <v>271</v>
      </c>
      <c r="E123" s="126">
        <v>0</v>
      </c>
      <c r="F123" s="127">
        <v>0.08</v>
      </c>
      <c r="G123" s="127">
        <v>0</v>
      </c>
      <c r="H123" s="106" t="s">
        <v>46</v>
      </c>
      <c r="I123" s="69"/>
      <c r="J123" s="70">
        <f t="shared" si="26"/>
        <v>0.08</v>
      </c>
      <c r="K123" s="70">
        <f t="shared" si="27"/>
        <v>0</v>
      </c>
      <c r="L123" s="70">
        <v>6.8000000000000005E-2</v>
      </c>
      <c r="M123" s="70">
        <v>0</v>
      </c>
      <c r="N123" s="155"/>
      <c r="O123" s="155"/>
      <c r="P123" s="71"/>
      <c r="Q123" s="128">
        <f t="shared" si="29"/>
        <v>0</v>
      </c>
      <c r="R123" s="128">
        <f t="shared" si="30"/>
        <v>0</v>
      </c>
      <c r="S123" s="128">
        <f t="shared" si="31"/>
        <v>0</v>
      </c>
      <c r="T123" s="129">
        <f t="shared" si="40"/>
        <v>0</v>
      </c>
      <c r="U123" s="107" t="str">
        <f t="shared" si="32"/>
        <v/>
      </c>
      <c r="V123" s="108" t="str">
        <f>IF(OR($AM123="",ISNUMBER($AM123)=FALSE),"",IF(AND(#REF!="Tolerance",$E123&lt;&gt;""),($S123-$E123)/(($J123-$K123)/2),IF(AND(#REF!="GD&amp;T",$F123&lt;&gt;""),$S123/$F123,"")))</f>
        <v/>
      </c>
      <c r="W123" s="108" t="str">
        <f t="shared" si="38"/>
        <v/>
      </c>
      <c r="X123" s="107" t="str">
        <f t="shared" si="33"/>
        <v/>
      </c>
      <c r="Y123" s="107" t="str">
        <f t="shared" si="34"/>
        <v/>
      </c>
      <c r="Z123" s="107" t="str">
        <f t="shared" si="35"/>
        <v/>
      </c>
      <c r="AA123" s="72" t="str">
        <f t="shared" si="36"/>
        <v/>
      </c>
      <c r="AB123" s="73" t="e">
        <f>IF($S123="","",IF(#REF!="Tolerance",IF((#REF!*3*T123+S123)-E123&lt;F123,"",(#REF!*3*T123+S123)-E123),IF(OR(#REF!="GD&amp;T",#REF!="MAX"),IF((#REF!*3*T123+S123)&lt;F123,"",(#REF!*3*T123+S123)),"")))</f>
        <v>#REF!</v>
      </c>
      <c r="AC123" s="73" t="e">
        <f>IF(S123="","",IF(#REF!="Tolerance",IF(-((#REF!*3*T123)-S123)-E123&gt;G123,"",-((#REF!*3*T123)-S123)-E123),IF(#REF!="MIN",IF(-((#REF!*3*T123)-S123)&gt;G123,"",-((#REF!*3*T123)-S123)),"")))</f>
        <v>#REF!</v>
      </c>
      <c r="AD123" s="73">
        <f t="shared" si="39"/>
        <v>0.04</v>
      </c>
      <c r="AE123" s="73" t="str">
        <f t="shared" si="37"/>
        <v/>
      </c>
      <c r="AF123" s="109"/>
      <c r="AG123" s="110" t="str">
        <f t="shared" si="28"/>
        <v/>
      </c>
      <c r="AH123" s="164" t="str" cm="1">
        <f t="array" ref="AH123">IF(AND(AM123:BR123 &gt;= K123, AM123:BR123 &lt;= J123), "OK", "NG")</f>
        <v>OK</v>
      </c>
      <c r="AI123" s="74"/>
      <c r="AJ123" s="74"/>
      <c r="AK123" s="75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  <c r="BG123" s="149"/>
      <c r="BH123" s="149"/>
      <c r="BI123" s="149"/>
      <c r="BJ123" s="149"/>
      <c r="BK123" s="149"/>
      <c r="BL123" s="149"/>
      <c r="BM123" s="149"/>
      <c r="BN123" s="149"/>
      <c r="BO123" s="149"/>
      <c r="BP123" s="149"/>
      <c r="BQ123" s="149"/>
      <c r="BR123" s="149"/>
    </row>
    <row r="124" spans="2:70" ht="19.2" customHeight="1">
      <c r="B124" s="130" t="s">
        <v>295</v>
      </c>
      <c r="C124" s="101">
        <v>140</v>
      </c>
      <c r="D124" s="125" t="s">
        <v>45</v>
      </c>
      <c r="E124" s="126">
        <v>6.0999999999999999E-2</v>
      </c>
      <c r="F124" s="127">
        <v>0.03</v>
      </c>
      <c r="G124" s="127">
        <v>-0.03</v>
      </c>
      <c r="H124" s="106" t="s">
        <v>46</v>
      </c>
      <c r="I124" s="69"/>
      <c r="J124" s="70">
        <f t="shared" si="26"/>
        <v>9.0999999999999998E-2</v>
      </c>
      <c r="K124" s="70">
        <f t="shared" si="27"/>
        <v>3.1E-2</v>
      </c>
      <c r="L124" s="70">
        <v>8.6499999999999994E-2</v>
      </c>
      <c r="M124" s="70">
        <v>3.5500000000000004E-2</v>
      </c>
      <c r="N124" s="155"/>
      <c r="O124" s="155"/>
      <c r="P124" s="71"/>
      <c r="Q124" s="128">
        <f t="shared" si="29"/>
        <v>0</v>
      </c>
      <c r="R124" s="128">
        <f t="shared" si="30"/>
        <v>0</v>
      </c>
      <c r="S124" s="128">
        <f t="shared" si="31"/>
        <v>0</v>
      </c>
      <c r="T124" s="129">
        <f t="shared" si="40"/>
        <v>0</v>
      </c>
      <c r="U124" s="107" t="str">
        <f t="shared" si="32"/>
        <v/>
      </c>
      <c r="V124" s="108" t="str">
        <f>IF(OR($AM124="",ISNUMBER($AM124)=FALSE),"",IF(AND(#REF!="Tolerance",$E124&lt;&gt;""),($S124-$E124)/(($J124-$K124)/2),IF(AND(#REF!="GD&amp;T",$F124&lt;&gt;""),$S124/$F124,"")))</f>
        <v/>
      </c>
      <c r="W124" s="108" t="str">
        <f t="shared" si="38"/>
        <v/>
      </c>
      <c r="X124" s="107" t="str">
        <f t="shared" si="33"/>
        <v/>
      </c>
      <c r="Y124" s="107" t="str">
        <f t="shared" si="34"/>
        <v/>
      </c>
      <c r="Z124" s="107" t="str">
        <f t="shared" si="35"/>
        <v/>
      </c>
      <c r="AA124" s="72" t="str">
        <f t="shared" si="36"/>
        <v/>
      </c>
      <c r="AB124" s="73" t="e">
        <f>IF($S124="","",IF(#REF!="Tolerance",IF((#REF!*3*T124+S124)-E124&lt;F124,"",(#REF!*3*T124+S124)-E124),IF(OR(#REF!="GD&amp;T",#REF!="MAX"),IF((#REF!*3*T124+S124)&lt;F124,"",(#REF!*3*T124+S124)),"")))</f>
        <v>#REF!</v>
      </c>
      <c r="AC124" s="73" t="e">
        <f>IF(S124="","",IF(#REF!="Tolerance",IF(-((#REF!*3*T124)-S124)-E124&gt;G124,"",-((#REF!*3*T124)-S124)-E124),IF(#REF!="MIN",IF(-((#REF!*3*T124)-S124)&gt;G124,"",-((#REF!*3*T124)-S124)),"")))</f>
        <v>#REF!</v>
      </c>
      <c r="AD124" s="73">
        <f t="shared" si="39"/>
        <v>6.0999999999999999E-2</v>
      </c>
      <c r="AE124" s="73" t="str">
        <f t="shared" si="37"/>
        <v/>
      </c>
      <c r="AF124" s="109"/>
      <c r="AG124" s="110" t="str">
        <f t="shared" si="28"/>
        <v/>
      </c>
      <c r="AH124" s="164" t="str" cm="1">
        <f t="array" ref="AH124">IF(AND(AM124:BR124 &gt;= K124, AM124:BR124 &lt;= J124), "OK", "NG")</f>
        <v>NG</v>
      </c>
      <c r="AI124" s="74"/>
      <c r="AJ124" s="74"/>
      <c r="AK124" s="75"/>
      <c r="AM124" s="149"/>
      <c r="AN124" s="149"/>
      <c r="AO124" s="149"/>
      <c r="AP124" s="149"/>
      <c r="AQ124" s="149"/>
      <c r="AR124" s="149"/>
      <c r="AS124" s="149"/>
      <c r="AT124" s="149"/>
      <c r="AU124" s="149"/>
      <c r="AV124" s="149"/>
      <c r="AW124" s="149"/>
      <c r="AX124" s="149"/>
      <c r="AY124" s="149"/>
      <c r="AZ124" s="149"/>
      <c r="BA124" s="149"/>
      <c r="BB124" s="149"/>
      <c r="BC124" s="149"/>
      <c r="BD124" s="149"/>
      <c r="BE124" s="149"/>
      <c r="BF124" s="149"/>
      <c r="BG124" s="149"/>
      <c r="BH124" s="149"/>
      <c r="BI124" s="149"/>
      <c r="BJ124" s="149"/>
      <c r="BK124" s="149"/>
      <c r="BL124" s="149"/>
      <c r="BM124" s="149"/>
      <c r="BN124" s="149"/>
      <c r="BO124" s="149"/>
      <c r="BP124" s="149"/>
      <c r="BQ124" s="149"/>
      <c r="BR124" s="149"/>
    </row>
    <row r="125" spans="2:70" ht="19.2" customHeight="1">
      <c r="B125" s="130" t="s">
        <v>296</v>
      </c>
      <c r="C125" s="101">
        <v>141</v>
      </c>
      <c r="D125" s="125" t="s">
        <v>45</v>
      </c>
      <c r="E125" s="126">
        <v>0.28000000000000003</v>
      </c>
      <c r="F125" s="127">
        <v>0.03</v>
      </c>
      <c r="G125" s="127">
        <v>-0.03</v>
      </c>
      <c r="H125" s="106" t="s">
        <v>46</v>
      </c>
      <c r="I125" s="69"/>
      <c r="J125" s="70">
        <f t="shared" si="26"/>
        <v>0.31000000000000005</v>
      </c>
      <c r="K125" s="70">
        <f t="shared" si="27"/>
        <v>0.25</v>
      </c>
      <c r="L125" s="70">
        <v>0.30550000000000005</v>
      </c>
      <c r="M125" s="70">
        <v>0.2545</v>
      </c>
      <c r="N125" s="155"/>
      <c r="O125" s="155"/>
      <c r="P125" s="71"/>
      <c r="Q125" s="128">
        <f t="shared" si="29"/>
        <v>0</v>
      </c>
      <c r="R125" s="128">
        <f t="shared" si="30"/>
        <v>0</v>
      </c>
      <c r="S125" s="128">
        <f t="shared" si="31"/>
        <v>0</v>
      </c>
      <c r="T125" s="129">
        <f t="shared" si="40"/>
        <v>0</v>
      </c>
      <c r="U125" s="107" t="str">
        <f t="shared" si="32"/>
        <v/>
      </c>
      <c r="V125" s="108" t="str">
        <f>IF(OR($AM125="",ISNUMBER($AM125)=FALSE),"",IF(AND(#REF!="Tolerance",$E125&lt;&gt;""),($S125-$E125)/(($J125-$K125)/2),IF(AND(#REF!="GD&amp;T",$F125&lt;&gt;""),$S125/$F125,"")))</f>
        <v/>
      </c>
      <c r="W125" s="108" t="str">
        <f t="shared" si="38"/>
        <v/>
      </c>
      <c r="X125" s="107" t="str">
        <f t="shared" si="33"/>
        <v/>
      </c>
      <c r="Y125" s="107" t="str">
        <f t="shared" si="34"/>
        <v/>
      </c>
      <c r="Z125" s="107" t="str">
        <f t="shared" si="35"/>
        <v/>
      </c>
      <c r="AA125" s="72" t="str">
        <f t="shared" si="36"/>
        <v/>
      </c>
      <c r="AB125" s="73" t="e">
        <f>IF($S125="","",IF(#REF!="Tolerance",IF((#REF!*3*T125+S125)-E125&lt;F125,"",(#REF!*3*T125+S125)-E125),IF(OR(#REF!="GD&amp;T",#REF!="MAX"),IF((#REF!*3*T125+S125)&lt;F125,"",(#REF!*3*T125+S125)),"")))</f>
        <v>#REF!</v>
      </c>
      <c r="AC125" s="73" t="e">
        <f>IF(S125="","",IF(#REF!="Tolerance",IF(-((#REF!*3*T125)-S125)-E125&gt;G125,"",-((#REF!*3*T125)-S125)-E125),IF(#REF!="MIN",IF(-((#REF!*3*T125)-S125)&gt;G125,"",-((#REF!*3*T125)-S125)),"")))</f>
        <v>#REF!</v>
      </c>
      <c r="AD125" s="73">
        <f t="shared" si="39"/>
        <v>0.28000000000000003</v>
      </c>
      <c r="AE125" s="73" t="str">
        <f t="shared" si="37"/>
        <v/>
      </c>
      <c r="AF125" s="109"/>
      <c r="AG125" s="110" t="str">
        <f t="shared" si="28"/>
        <v/>
      </c>
      <c r="AH125" s="164" t="str" cm="1">
        <f t="array" ref="AH125">IF(AND(AM125:BR125 &gt;= K125, AM125:BR125 &lt;= J125), "OK", "NG")</f>
        <v>NG</v>
      </c>
      <c r="AI125" s="74"/>
      <c r="AJ125" s="74"/>
      <c r="AK125" s="75"/>
      <c r="AM125" s="149"/>
      <c r="AN125" s="149"/>
      <c r="AO125" s="149"/>
      <c r="AP125" s="149"/>
      <c r="AQ125" s="149"/>
      <c r="AR125" s="149"/>
      <c r="AS125" s="149"/>
      <c r="AT125" s="149"/>
      <c r="AU125" s="149"/>
      <c r="AV125" s="149"/>
      <c r="AW125" s="149"/>
      <c r="AX125" s="149"/>
      <c r="AY125" s="149"/>
      <c r="AZ125" s="149"/>
      <c r="BA125" s="149"/>
      <c r="BB125" s="149"/>
      <c r="BC125" s="149"/>
      <c r="BD125" s="149"/>
      <c r="BE125" s="149"/>
      <c r="BF125" s="149"/>
      <c r="BG125" s="149"/>
      <c r="BH125" s="149"/>
      <c r="BI125" s="149"/>
      <c r="BJ125" s="149"/>
      <c r="BK125" s="149"/>
      <c r="BL125" s="149"/>
      <c r="BM125" s="149"/>
      <c r="BN125" s="149"/>
      <c r="BO125" s="149"/>
      <c r="BP125" s="149"/>
      <c r="BQ125" s="149"/>
      <c r="BR125" s="149"/>
    </row>
    <row r="126" spans="2:70" ht="19.2" customHeight="1">
      <c r="B126" s="130" t="s">
        <v>297</v>
      </c>
      <c r="C126" s="101">
        <v>143</v>
      </c>
      <c r="D126" s="125" t="s">
        <v>272</v>
      </c>
      <c r="E126" s="126">
        <v>0</v>
      </c>
      <c r="F126" s="127">
        <v>0.17</v>
      </c>
      <c r="G126" s="126">
        <v>0</v>
      </c>
      <c r="H126" s="106" t="s">
        <v>46</v>
      </c>
      <c r="I126" s="69"/>
      <c r="J126" s="70">
        <f t="shared" si="26"/>
        <v>0.17</v>
      </c>
      <c r="K126" s="70">
        <f t="shared" si="27"/>
        <v>0</v>
      </c>
      <c r="L126" s="70">
        <v>0.14450000000000002</v>
      </c>
      <c r="M126" s="70">
        <v>0</v>
      </c>
      <c r="N126" s="155"/>
      <c r="O126" s="155"/>
      <c r="P126" s="71"/>
      <c r="Q126" s="128">
        <f t="shared" si="29"/>
        <v>0</v>
      </c>
      <c r="R126" s="128">
        <f t="shared" si="30"/>
        <v>0</v>
      </c>
      <c r="S126" s="128">
        <f t="shared" si="31"/>
        <v>0</v>
      </c>
      <c r="T126" s="129">
        <f t="shared" si="40"/>
        <v>0</v>
      </c>
      <c r="U126" s="107" t="str">
        <f t="shared" si="32"/>
        <v/>
      </c>
      <c r="V126" s="108" t="str">
        <f>IF(OR($AM126="",ISNUMBER($AM126)=FALSE),"",IF(AND(#REF!="Tolerance",$E126&lt;&gt;""),($S126-$E126)/(($J126-$K126)/2),IF(AND(#REF!="GD&amp;T",$F126&lt;&gt;""),$S126/$F126,"")))</f>
        <v/>
      </c>
      <c r="W126" s="108" t="str">
        <f t="shared" si="38"/>
        <v/>
      </c>
      <c r="X126" s="107" t="str">
        <f t="shared" si="33"/>
        <v/>
      </c>
      <c r="Y126" s="107" t="str">
        <f t="shared" si="34"/>
        <v/>
      </c>
      <c r="Z126" s="107" t="str">
        <f t="shared" si="35"/>
        <v/>
      </c>
      <c r="AA126" s="72" t="str">
        <f t="shared" si="36"/>
        <v/>
      </c>
      <c r="AB126" s="73" t="e">
        <f>IF($S126="","",IF(#REF!="Tolerance",IF((#REF!*3*T126+S126)-E126&lt;F126,"",(#REF!*3*T126+S126)-E126),IF(OR(#REF!="GD&amp;T",#REF!="MAX"),IF((#REF!*3*T126+S126)&lt;F126,"",(#REF!*3*T126+S126)),"")))</f>
        <v>#REF!</v>
      </c>
      <c r="AC126" s="73" t="e">
        <f>IF(S126="","",IF(#REF!="Tolerance",IF(-((#REF!*3*T126)-S126)-E126&gt;G126,"",-((#REF!*3*T126)-S126)-E126),IF(#REF!="MIN",IF(-((#REF!*3*T126)-S126)&gt;G126,"",-((#REF!*3*T126)-S126)),"")))</f>
        <v>#REF!</v>
      </c>
      <c r="AD126" s="73">
        <f t="shared" si="39"/>
        <v>8.5000000000000006E-2</v>
      </c>
      <c r="AE126" s="73" t="str">
        <f t="shared" si="37"/>
        <v/>
      </c>
      <c r="AF126" s="109"/>
      <c r="AG126" s="110" t="str">
        <f t="shared" si="28"/>
        <v/>
      </c>
      <c r="AH126" s="164" t="str" cm="1">
        <f t="array" ref="AH126">IF(AND(AM126:BR126 &gt;= K126, AM126:BR126 &lt;= J126), "OK", "NG")</f>
        <v>OK</v>
      </c>
      <c r="AI126" s="74"/>
      <c r="AJ126" s="74"/>
      <c r="AK126" s="75"/>
      <c r="AM126" s="149"/>
      <c r="AN126" s="149"/>
      <c r="AO126" s="149"/>
      <c r="AP126" s="149"/>
      <c r="AQ126" s="149"/>
      <c r="AR126" s="149"/>
      <c r="AS126" s="149"/>
      <c r="AT126" s="149"/>
      <c r="AU126" s="149"/>
      <c r="AV126" s="149"/>
      <c r="AW126" s="149"/>
      <c r="AX126" s="149"/>
      <c r="AY126" s="149"/>
      <c r="AZ126" s="149"/>
      <c r="BA126" s="149"/>
      <c r="BB126" s="149"/>
      <c r="BC126" s="149"/>
      <c r="BD126" s="149"/>
      <c r="BE126" s="149"/>
      <c r="BF126" s="149"/>
      <c r="BG126" s="149"/>
      <c r="BH126" s="149"/>
      <c r="BI126" s="149"/>
      <c r="BJ126" s="149"/>
      <c r="BK126" s="149"/>
      <c r="BL126" s="149"/>
      <c r="BM126" s="149"/>
      <c r="BN126" s="149"/>
      <c r="BO126" s="149"/>
      <c r="BP126" s="149"/>
      <c r="BQ126" s="149"/>
      <c r="BR126" s="149"/>
    </row>
    <row r="127" spans="2:70" ht="19.2" customHeight="1">
      <c r="B127" s="68" t="s">
        <v>298</v>
      </c>
      <c r="C127" s="101">
        <v>144</v>
      </c>
      <c r="D127" s="125" t="s">
        <v>272</v>
      </c>
      <c r="E127" s="126">
        <v>0</v>
      </c>
      <c r="F127" s="127">
        <v>0.14000000000000001</v>
      </c>
      <c r="G127" s="126">
        <v>0</v>
      </c>
      <c r="H127" s="106" t="s">
        <v>46</v>
      </c>
      <c r="I127" s="69"/>
      <c r="J127" s="70">
        <f t="shared" si="26"/>
        <v>0.14000000000000001</v>
      </c>
      <c r="K127" s="70">
        <f t="shared" si="27"/>
        <v>0</v>
      </c>
      <c r="L127" s="70">
        <v>0.11900000000000001</v>
      </c>
      <c r="M127" s="70">
        <v>0</v>
      </c>
      <c r="N127" s="155"/>
      <c r="O127" s="155"/>
      <c r="P127" s="71"/>
      <c r="Q127" s="128">
        <f t="shared" si="29"/>
        <v>0</v>
      </c>
      <c r="R127" s="128">
        <f t="shared" si="30"/>
        <v>0</v>
      </c>
      <c r="S127" s="128">
        <f t="shared" si="31"/>
        <v>0</v>
      </c>
      <c r="T127" s="129">
        <f t="shared" si="40"/>
        <v>0</v>
      </c>
      <c r="U127" s="107" t="str">
        <f t="shared" si="32"/>
        <v/>
      </c>
      <c r="V127" s="108" t="str">
        <f>IF(OR($AM127="",ISNUMBER($AM127)=FALSE),"",IF(AND(#REF!="Tolerance",$E127&lt;&gt;""),($S127-$E127)/(($J127-$K127)/2),IF(AND(#REF!="GD&amp;T",$F127&lt;&gt;""),$S127/$F127,"")))</f>
        <v/>
      </c>
      <c r="W127" s="108" t="str">
        <f t="shared" si="38"/>
        <v/>
      </c>
      <c r="X127" s="107" t="str">
        <f t="shared" si="33"/>
        <v/>
      </c>
      <c r="Y127" s="107" t="str">
        <f t="shared" si="34"/>
        <v/>
      </c>
      <c r="Z127" s="107" t="str">
        <f t="shared" si="35"/>
        <v/>
      </c>
      <c r="AA127" s="72" t="str">
        <f t="shared" si="36"/>
        <v/>
      </c>
      <c r="AB127" s="73" t="e">
        <f>IF($S127="","",IF(#REF!="Tolerance",IF((#REF!*3*T127+S127)-E127&lt;F127,"",(#REF!*3*T127+S127)-E127),IF(OR(#REF!="GD&amp;T",#REF!="MAX"),IF((#REF!*3*T127+S127)&lt;F127,"",(#REF!*3*T127+S127)),"")))</f>
        <v>#REF!</v>
      </c>
      <c r="AC127" s="73" t="e">
        <f>IF(S127="","",IF(#REF!="Tolerance",IF(-((#REF!*3*T127)-S127)-E127&gt;G127,"",-((#REF!*3*T127)-S127)-E127),IF(#REF!="MIN",IF(-((#REF!*3*T127)-S127)&gt;G127,"",-((#REF!*3*T127)-S127)),"")))</f>
        <v>#REF!</v>
      </c>
      <c r="AD127" s="73">
        <f t="shared" si="39"/>
        <v>7.0000000000000007E-2</v>
      </c>
      <c r="AE127" s="73" t="str">
        <f t="shared" si="37"/>
        <v/>
      </c>
      <c r="AF127" s="109"/>
      <c r="AG127" s="110" t="str">
        <f t="shared" si="28"/>
        <v/>
      </c>
      <c r="AH127" s="164" t="str" cm="1">
        <f t="array" ref="AH127">IF(AND(AM127:BR127 &gt;= K127, AM127:BR127 &lt;= J127), "OK", "NG")</f>
        <v>OK</v>
      </c>
      <c r="AI127" s="74"/>
      <c r="AJ127" s="74"/>
      <c r="AK127" s="75"/>
      <c r="AM127" s="149"/>
      <c r="AN127" s="149"/>
      <c r="AO127" s="149"/>
      <c r="AP127" s="149"/>
      <c r="AQ127" s="149"/>
      <c r="AR127" s="149"/>
      <c r="AS127" s="149"/>
      <c r="AT127" s="149"/>
      <c r="AU127" s="149"/>
      <c r="AV127" s="149"/>
      <c r="AW127" s="149"/>
      <c r="AX127" s="149"/>
      <c r="AY127" s="149"/>
      <c r="AZ127" s="149"/>
      <c r="BA127" s="149"/>
      <c r="BB127" s="149"/>
      <c r="BC127" s="149"/>
      <c r="BD127" s="149"/>
      <c r="BE127" s="149"/>
      <c r="BF127" s="149"/>
      <c r="BG127" s="149"/>
      <c r="BH127" s="149"/>
      <c r="BI127" s="149"/>
      <c r="BJ127" s="149"/>
      <c r="BK127" s="149"/>
      <c r="BL127" s="149"/>
      <c r="BM127" s="149"/>
      <c r="BN127" s="149"/>
      <c r="BO127" s="149"/>
      <c r="BP127" s="149"/>
      <c r="BQ127" s="149"/>
      <c r="BR127" s="149"/>
    </row>
    <row r="128" spans="2:70" ht="19.2" customHeight="1">
      <c r="B128" s="68" t="s">
        <v>299</v>
      </c>
      <c r="C128" s="101" t="s">
        <v>266</v>
      </c>
      <c r="D128" s="125" t="s">
        <v>336</v>
      </c>
      <c r="E128" s="126">
        <v>0</v>
      </c>
      <c r="F128" s="127">
        <v>0.05</v>
      </c>
      <c r="G128" s="126">
        <v>0</v>
      </c>
      <c r="H128" s="106" t="s">
        <v>46</v>
      </c>
      <c r="I128" s="69"/>
      <c r="J128" s="70">
        <f t="shared" si="26"/>
        <v>0.05</v>
      </c>
      <c r="K128" s="70">
        <f t="shared" si="27"/>
        <v>0</v>
      </c>
      <c r="L128" s="70">
        <v>4.2500000000000003E-2</v>
      </c>
      <c r="M128" s="70">
        <v>0</v>
      </c>
      <c r="N128" s="155"/>
      <c r="O128" s="155"/>
      <c r="P128" s="71"/>
      <c r="Q128" s="128">
        <f t="shared" si="29"/>
        <v>0</v>
      </c>
      <c r="R128" s="128">
        <f t="shared" si="30"/>
        <v>0</v>
      </c>
      <c r="S128" s="128">
        <f t="shared" si="31"/>
        <v>0</v>
      </c>
      <c r="T128" s="129">
        <f t="shared" si="40"/>
        <v>0</v>
      </c>
      <c r="U128" s="107" t="str">
        <f t="shared" si="32"/>
        <v/>
      </c>
      <c r="V128" s="108" t="str">
        <f>IF(OR($AM128="",ISNUMBER($AM128)=FALSE),"",IF(AND(#REF!="Tolerance",$E128&lt;&gt;""),($S128-$E128)/(($J128-$K128)/2),IF(AND(#REF!="GD&amp;T",$F128&lt;&gt;""),$S128/$F128,"")))</f>
        <v/>
      </c>
      <c r="W128" s="108" t="str">
        <f t="shared" si="38"/>
        <v/>
      </c>
      <c r="X128" s="107" t="str">
        <f t="shared" si="33"/>
        <v/>
      </c>
      <c r="Y128" s="107" t="str">
        <f t="shared" si="34"/>
        <v/>
      </c>
      <c r="Z128" s="107" t="str">
        <f t="shared" si="35"/>
        <v/>
      </c>
      <c r="AA128" s="72" t="str">
        <f t="shared" si="36"/>
        <v/>
      </c>
      <c r="AB128" s="73" t="e">
        <f>IF($S128="","",IF(#REF!="Tolerance",IF((#REF!*3*T128+S128)-E128&lt;F128,"",(#REF!*3*T128+S128)-E128),IF(OR(#REF!="GD&amp;T",#REF!="MAX"),IF((#REF!*3*T128+S128)&lt;F128,"",(#REF!*3*T128+S128)),"")))</f>
        <v>#REF!</v>
      </c>
      <c r="AC128" s="73" t="e">
        <f>IF(S128="","",IF(#REF!="Tolerance",IF(-((#REF!*3*T128)-S128)-E128&gt;G128,"",-((#REF!*3*T128)-S128)-E128),IF(#REF!="MIN",IF(-((#REF!*3*T128)-S128)&gt;G128,"",-((#REF!*3*T128)-S128)),"")))</f>
        <v>#REF!</v>
      </c>
      <c r="AD128" s="73">
        <f t="shared" si="39"/>
        <v>2.5000000000000001E-2</v>
      </c>
      <c r="AE128" s="73" t="str">
        <f t="shared" si="37"/>
        <v/>
      </c>
      <c r="AF128" s="109"/>
      <c r="AG128" s="110" t="str">
        <f t="shared" si="28"/>
        <v/>
      </c>
      <c r="AH128" s="164" t="str" cm="1">
        <f t="array" ref="AH128">IF(AND(AM128:BR128 &gt;= K128, AM128:BR128 &lt;= J128), "OK", "NG")</f>
        <v>OK</v>
      </c>
      <c r="AI128" s="74"/>
      <c r="AJ128" s="74"/>
      <c r="AK128" s="75"/>
      <c r="AM128" s="149"/>
      <c r="AN128" s="149"/>
      <c r="AO128" s="149"/>
      <c r="AP128" s="149"/>
      <c r="AQ128" s="149"/>
      <c r="AR128" s="149"/>
      <c r="AS128" s="149"/>
      <c r="AT128" s="149"/>
      <c r="AU128" s="149"/>
      <c r="AV128" s="149"/>
      <c r="AW128" s="149"/>
      <c r="AX128" s="149"/>
      <c r="AY128" s="149"/>
      <c r="AZ128" s="149"/>
      <c r="BA128" s="149"/>
      <c r="BB128" s="149"/>
      <c r="BC128" s="149"/>
      <c r="BD128" s="149"/>
      <c r="BE128" s="149"/>
      <c r="BF128" s="149"/>
      <c r="BG128" s="149"/>
      <c r="BH128" s="149"/>
      <c r="BI128" s="149"/>
      <c r="BJ128" s="149"/>
      <c r="BK128" s="149"/>
      <c r="BL128" s="149"/>
      <c r="BM128" s="149"/>
      <c r="BN128" s="149"/>
      <c r="BO128" s="149"/>
      <c r="BP128" s="149"/>
      <c r="BQ128" s="149"/>
      <c r="BR128" s="149"/>
    </row>
    <row r="129" spans="2:70" ht="19.2" customHeight="1">
      <c r="B129" s="68" t="s">
        <v>299</v>
      </c>
      <c r="C129" s="101" t="s">
        <v>267</v>
      </c>
      <c r="D129" s="125" t="s">
        <v>336</v>
      </c>
      <c r="E129" s="126">
        <v>0</v>
      </c>
      <c r="F129" s="127">
        <v>0.05</v>
      </c>
      <c r="G129" s="126">
        <v>0</v>
      </c>
      <c r="H129" s="106" t="s">
        <v>46</v>
      </c>
      <c r="I129" s="69"/>
      <c r="J129" s="70">
        <f t="shared" si="26"/>
        <v>0.05</v>
      </c>
      <c r="K129" s="70">
        <f t="shared" si="27"/>
        <v>0</v>
      </c>
      <c r="L129" s="70">
        <v>4.2500000000000003E-2</v>
      </c>
      <c r="M129" s="70">
        <v>0</v>
      </c>
      <c r="N129" s="155"/>
      <c r="O129" s="155"/>
      <c r="P129" s="71"/>
      <c r="Q129" s="128">
        <f t="shared" si="29"/>
        <v>0</v>
      </c>
      <c r="R129" s="128">
        <f t="shared" si="30"/>
        <v>0</v>
      </c>
      <c r="S129" s="128">
        <f t="shared" si="31"/>
        <v>0</v>
      </c>
      <c r="T129" s="129">
        <f t="shared" si="40"/>
        <v>0</v>
      </c>
      <c r="U129" s="107" t="str">
        <f t="shared" si="32"/>
        <v/>
      </c>
      <c r="V129" s="108" t="str">
        <f>IF(OR($AM129="",ISNUMBER($AM129)=FALSE),"",IF(AND(#REF!="Tolerance",$E129&lt;&gt;""),($S129-$E129)/(($J129-$K129)/2),IF(AND(#REF!="GD&amp;T",$F129&lt;&gt;""),$S129/$F129,"")))</f>
        <v/>
      </c>
      <c r="W129" s="108" t="str">
        <f t="shared" si="38"/>
        <v/>
      </c>
      <c r="X129" s="107" t="str">
        <f t="shared" si="33"/>
        <v/>
      </c>
      <c r="Y129" s="107" t="str">
        <f t="shared" si="34"/>
        <v/>
      </c>
      <c r="Z129" s="107" t="str">
        <f t="shared" si="35"/>
        <v/>
      </c>
      <c r="AA129" s="72" t="str">
        <f t="shared" si="36"/>
        <v/>
      </c>
      <c r="AB129" s="73" t="e">
        <f>IF($S129="","",IF(#REF!="Tolerance",IF((#REF!*3*T129+S129)-E129&lt;F129,"",(#REF!*3*T129+S129)-E129),IF(OR(#REF!="GD&amp;T",#REF!="MAX"),IF((#REF!*3*T129+S129)&lt;F129,"",(#REF!*3*T129+S129)),"")))</f>
        <v>#REF!</v>
      </c>
      <c r="AC129" s="73" t="e">
        <f>IF(S129="","",IF(#REF!="Tolerance",IF(-((#REF!*3*T129)-S129)-E129&gt;G129,"",-((#REF!*3*T129)-S129)-E129),IF(#REF!="MIN",IF(-((#REF!*3*T129)-S129)&gt;G129,"",-((#REF!*3*T129)-S129)),"")))</f>
        <v>#REF!</v>
      </c>
      <c r="AD129" s="73">
        <f t="shared" si="39"/>
        <v>2.5000000000000001E-2</v>
      </c>
      <c r="AE129" s="73" t="str">
        <f t="shared" si="37"/>
        <v/>
      </c>
      <c r="AF129" s="109"/>
      <c r="AG129" s="110" t="str">
        <f t="shared" si="28"/>
        <v/>
      </c>
      <c r="AH129" s="164" t="str" cm="1">
        <f t="array" ref="AH129">IF(AND(AM129:BR129 &gt;= K129, AM129:BR129 &lt;= J129), "OK", "NG")</f>
        <v>OK</v>
      </c>
      <c r="AI129" s="74"/>
      <c r="AJ129" s="74"/>
      <c r="AK129" s="75"/>
      <c r="AM129" s="149"/>
      <c r="AN129" s="149"/>
      <c r="AO129" s="149"/>
      <c r="AP129" s="149"/>
      <c r="AQ129" s="149"/>
      <c r="AR129" s="149"/>
      <c r="AS129" s="149"/>
      <c r="AT129" s="149"/>
      <c r="AU129" s="149"/>
      <c r="AV129" s="149"/>
      <c r="AW129" s="149"/>
      <c r="AX129" s="149"/>
      <c r="AY129" s="149"/>
      <c r="AZ129" s="149"/>
      <c r="BA129" s="149"/>
      <c r="BB129" s="149"/>
      <c r="BC129" s="149"/>
      <c r="BD129" s="149"/>
      <c r="BE129" s="149"/>
      <c r="BF129" s="149"/>
      <c r="BG129" s="149"/>
      <c r="BH129" s="149"/>
      <c r="BI129" s="149"/>
      <c r="BJ129" s="149"/>
      <c r="BK129" s="149"/>
      <c r="BL129" s="149"/>
      <c r="BM129" s="149"/>
      <c r="BN129" s="149"/>
      <c r="BO129" s="149"/>
      <c r="BP129" s="149"/>
      <c r="BQ129" s="149"/>
      <c r="BR129" s="149"/>
    </row>
    <row r="130" spans="2:70" ht="19.2" customHeight="1">
      <c r="B130" s="68" t="s">
        <v>299</v>
      </c>
      <c r="C130" s="101" t="s">
        <v>268</v>
      </c>
      <c r="D130" s="125" t="s">
        <v>336</v>
      </c>
      <c r="E130" s="126">
        <v>0</v>
      </c>
      <c r="F130" s="127">
        <v>0.05</v>
      </c>
      <c r="G130" s="126">
        <v>0</v>
      </c>
      <c r="H130" s="106" t="s">
        <v>46</v>
      </c>
      <c r="I130" s="69"/>
      <c r="J130" s="70">
        <f t="shared" si="26"/>
        <v>0.05</v>
      </c>
      <c r="K130" s="70">
        <f t="shared" si="27"/>
        <v>0</v>
      </c>
      <c r="L130" s="70">
        <v>4.2500000000000003E-2</v>
      </c>
      <c r="M130" s="70">
        <v>0</v>
      </c>
      <c r="N130" s="155"/>
      <c r="O130" s="155"/>
      <c r="P130" s="71"/>
      <c r="Q130" s="128">
        <f t="shared" si="29"/>
        <v>0</v>
      </c>
      <c r="R130" s="128">
        <f t="shared" si="30"/>
        <v>0</v>
      </c>
      <c r="S130" s="128">
        <f t="shared" si="31"/>
        <v>0</v>
      </c>
      <c r="T130" s="129">
        <f t="shared" si="40"/>
        <v>0</v>
      </c>
      <c r="U130" s="107" t="str">
        <f t="shared" si="32"/>
        <v/>
      </c>
      <c r="V130" s="108" t="str">
        <f>IF(OR($AM130="",ISNUMBER($AM130)=FALSE),"",IF(AND(#REF!="Tolerance",$E130&lt;&gt;""),($S130-$E130)/(($J130-$K130)/2),IF(AND(#REF!="GD&amp;T",$F130&lt;&gt;""),$S130/$F130,"")))</f>
        <v/>
      </c>
      <c r="W130" s="108" t="str">
        <f t="shared" si="38"/>
        <v/>
      </c>
      <c r="X130" s="107" t="str">
        <f t="shared" si="33"/>
        <v/>
      </c>
      <c r="Y130" s="107" t="str">
        <f t="shared" si="34"/>
        <v/>
      </c>
      <c r="Z130" s="107" t="str">
        <f t="shared" si="35"/>
        <v/>
      </c>
      <c r="AA130" s="72" t="str">
        <f t="shared" si="36"/>
        <v/>
      </c>
      <c r="AB130" s="73" t="e">
        <f>IF($S130="","",IF(#REF!="Tolerance",IF((#REF!*3*T130+S130)-E130&lt;F130,"",(#REF!*3*T130+S130)-E130),IF(OR(#REF!="GD&amp;T",#REF!="MAX"),IF((#REF!*3*T130+S130)&lt;F130,"",(#REF!*3*T130+S130)),"")))</f>
        <v>#REF!</v>
      </c>
      <c r="AC130" s="73" t="e">
        <f>IF(S130="","",IF(#REF!="Tolerance",IF(-((#REF!*3*T130)-S130)-E130&gt;G130,"",-((#REF!*3*T130)-S130)-E130),IF(#REF!="MIN",IF(-((#REF!*3*T130)-S130)&gt;G130,"",-((#REF!*3*T130)-S130)),"")))</f>
        <v>#REF!</v>
      </c>
      <c r="AD130" s="73">
        <f t="shared" si="39"/>
        <v>2.5000000000000001E-2</v>
      </c>
      <c r="AE130" s="73" t="str">
        <f t="shared" si="37"/>
        <v/>
      </c>
      <c r="AF130" s="109"/>
      <c r="AG130" s="110" t="str">
        <f t="shared" si="28"/>
        <v/>
      </c>
      <c r="AH130" s="164" t="str" cm="1">
        <f t="array" ref="AH130">IF(AND(AM130:BR130 &gt;= K130, AM130:BR130 &lt;= J130), "OK", "NG")</f>
        <v>OK</v>
      </c>
      <c r="AI130" s="74"/>
      <c r="AJ130" s="74"/>
      <c r="AK130" s="75"/>
      <c r="AM130" s="149"/>
      <c r="AN130" s="149"/>
      <c r="AO130" s="149"/>
      <c r="AP130" s="149"/>
      <c r="AQ130" s="149"/>
      <c r="AR130" s="149"/>
      <c r="AS130" s="149"/>
      <c r="AT130" s="149"/>
      <c r="AU130" s="149"/>
      <c r="AV130" s="149"/>
      <c r="AW130" s="149"/>
      <c r="AX130" s="149"/>
      <c r="AY130" s="149"/>
      <c r="AZ130" s="149"/>
      <c r="BA130" s="149"/>
      <c r="BB130" s="149"/>
      <c r="BC130" s="149"/>
      <c r="BD130" s="149"/>
      <c r="BE130" s="149"/>
      <c r="BF130" s="149"/>
      <c r="BG130" s="149"/>
      <c r="BH130" s="149"/>
      <c r="BI130" s="149"/>
      <c r="BJ130" s="149"/>
      <c r="BK130" s="149"/>
      <c r="BL130" s="149"/>
      <c r="BM130" s="149"/>
      <c r="BN130" s="149"/>
      <c r="BO130" s="149"/>
      <c r="BP130" s="149"/>
      <c r="BQ130" s="149"/>
      <c r="BR130" s="149"/>
    </row>
    <row r="131" spans="2:70" ht="19.2" customHeight="1">
      <c r="B131" s="68" t="s">
        <v>300</v>
      </c>
      <c r="C131" s="101" t="s">
        <v>351</v>
      </c>
      <c r="D131" s="125" t="s">
        <v>336</v>
      </c>
      <c r="E131" s="126">
        <v>0</v>
      </c>
      <c r="F131" s="127">
        <v>0.05</v>
      </c>
      <c r="G131" s="126">
        <v>0</v>
      </c>
      <c r="H131" s="106" t="s">
        <v>46</v>
      </c>
      <c r="I131" s="69"/>
      <c r="J131" s="70">
        <f t="shared" si="26"/>
        <v>0.05</v>
      </c>
      <c r="K131" s="70">
        <f t="shared" si="27"/>
        <v>0</v>
      </c>
      <c r="L131" s="70">
        <v>4.2500000000000003E-2</v>
      </c>
      <c r="M131" s="70">
        <v>0</v>
      </c>
      <c r="N131" s="155"/>
      <c r="O131" s="155"/>
      <c r="P131" s="71"/>
      <c r="Q131" s="128">
        <f t="shared" si="29"/>
        <v>0</v>
      </c>
      <c r="R131" s="128">
        <f t="shared" si="30"/>
        <v>0</v>
      </c>
      <c r="S131" s="128">
        <f t="shared" si="31"/>
        <v>0</v>
      </c>
      <c r="T131" s="129">
        <f t="shared" si="40"/>
        <v>0</v>
      </c>
      <c r="U131" s="107" t="str">
        <f t="shared" si="32"/>
        <v/>
      </c>
      <c r="V131" s="108" t="str">
        <f>IF(OR($AM131="",ISNUMBER($AM131)=FALSE),"",IF(AND(#REF!="Tolerance",$E131&lt;&gt;""),($S131-$E131)/(($J131-$K131)/2),IF(AND(#REF!="GD&amp;T",$F131&lt;&gt;""),$S131/$F131,"")))</f>
        <v/>
      </c>
      <c r="W131" s="108" t="str">
        <f t="shared" si="38"/>
        <v/>
      </c>
      <c r="X131" s="107" t="str">
        <f t="shared" si="33"/>
        <v/>
      </c>
      <c r="Y131" s="107" t="str">
        <f t="shared" si="34"/>
        <v/>
      </c>
      <c r="Z131" s="107" t="str">
        <f t="shared" si="35"/>
        <v/>
      </c>
      <c r="AA131" s="72" t="str">
        <f t="shared" si="36"/>
        <v/>
      </c>
      <c r="AB131" s="73" t="e">
        <f>IF($S131="","",IF(#REF!="Tolerance",IF((#REF!*3*T131+S131)-E131&lt;F131,"",(#REF!*3*T131+S131)-E131),IF(OR(#REF!="GD&amp;T",#REF!="MAX"),IF((#REF!*3*T131+S131)&lt;F131,"",(#REF!*3*T131+S131)),"")))</f>
        <v>#REF!</v>
      </c>
      <c r="AC131" s="73" t="e">
        <f>IF(S131="","",IF(#REF!="Tolerance",IF(-((#REF!*3*T131)-S131)-E131&gt;G131,"",-((#REF!*3*T131)-S131)-E131),IF(#REF!="MIN",IF(-((#REF!*3*T131)-S131)&gt;G131,"",-((#REF!*3*T131)-S131)),"")))</f>
        <v>#REF!</v>
      </c>
      <c r="AD131" s="73">
        <f t="shared" si="39"/>
        <v>2.5000000000000001E-2</v>
      </c>
      <c r="AE131" s="73" t="str">
        <f t="shared" si="37"/>
        <v/>
      </c>
      <c r="AF131" s="109"/>
      <c r="AG131" s="110" t="str">
        <f t="shared" si="28"/>
        <v/>
      </c>
      <c r="AH131" s="164" t="str" cm="1">
        <f t="array" ref="AH131">IF(AND(AM131:BR131 &gt;= K131, AM131:BR131 &lt;= J131), "OK", "NG")</f>
        <v>OK</v>
      </c>
      <c r="AI131" s="74"/>
      <c r="AJ131" s="74"/>
      <c r="AK131" s="75"/>
      <c r="AM131" s="149"/>
      <c r="AN131" s="149"/>
      <c r="AO131" s="149"/>
      <c r="AP131" s="149"/>
      <c r="AQ131" s="149"/>
      <c r="AR131" s="149"/>
      <c r="AS131" s="149"/>
      <c r="AT131" s="149"/>
      <c r="AU131" s="149"/>
      <c r="AV131" s="149"/>
      <c r="AW131" s="149"/>
      <c r="AX131" s="149"/>
      <c r="AY131" s="149"/>
      <c r="AZ131" s="149"/>
      <c r="BA131" s="149"/>
      <c r="BB131" s="149"/>
      <c r="BC131" s="149"/>
      <c r="BD131" s="149"/>
      <c r="BE131" s="149"/>
      <c r="BF131" s="149"/>
      <c r="BG131" s="149"/>
      <c r="BH131" s="149"/>
      <c r="BI131" s="149"/>
      <c r="BJ131" s="149"/>
      <c r="BK131" s="149"/>
      <c r="BL131" s="149"/>
      <c r="BM131" s="149"/>
      <c r="BN131" s="149"/>
      <c r="BO131" s="149"/>
      <c r="BP131" s="149"/>
      <c r="BQ131" s="149"/>
      <c r="BR131" s="149"/>
    </row>
    <row r="132" spans="2:70" ht="19.2" customHeight="1">
      <c r="B132" s="68" t="s">
        <v>300</v>
      </c>
      <c r="C132" s="101" t="s">
        <v>334</v>
      </c>
      <c r="D132" s="125" t="s">
        <v>336</v>
      </c>
      <c r="E132" s="126">
        <v>0</v>
      </c>
      <c r="F132" s="127">
        <v>0.05</v>
      </c>
      <c r="G132" s="126">
        <v>0</v>
      </c>
      <c r="H132" s="106" t="s">
        <v>46</v>
      </c>
      <c r="I132" s="69"/>
      <c r="J132" s="70">
        <f t="shared" si="26"/>
        <v>0.05</v>
      </c>
      <c r="K132" s="70">
        <f t="shared" si="27"/>
        <v>0</v>
      </c>
      <c r="L132" s="70">
        <v>4.2500000000000003E-2</v>
      </c>
      <c r="M132" s="70">
        <v>0</v>
      </c>
      <c r="N132" s="155"/>
      <c r="O132" s="155"/>
      <c r="P132" s="71"/>
      <c r="Q132" s="128">
        <f t="shared" si="29"/>
        <v>0</v>
      </c>
      <c r="R132" s="128">
        <f t="shared" si="30"/>
        <v>0</v>
      </c>
      <c r="S132" s="128">
        <f t="shared" si="31"/>
        <v>0</v>
      </c>
      <c r="T132" s="129">
        <f t="shared" si="40"/>
        <v>0</v>
      </c>
      <c r="U132" s="107" t="str">
        <f t="shared" si="32"/>
        <v/>
      </c>
      <c r="V132" s="108" t="str">
        <f>IF(OR($AM132="",ISNUMBER($AM132)=FALSE),"",IF(AND(#REF!="Tolerance",$E132&lt;&gt;""),($S132-$E132)/(($J132-$K132)/2),IF(AND(#REF!="GD&amp;T",$F132&lt;&gt;""),$S132/$F132,"")))</f>
        <v/>
      </c>
      <c r="W132" s="108" t="str">
        <f t="shared" si="38"/>
        <v/>
      </c>
      <c r="X132" s="107" t="str">
        <f t="shared" si="33"/>
        <v/>
      </c>
      <c r="Y132" s="107" t="str">
        <f t="shared" si="34"/>
        <v/>
      </c>
      <c r="Z132" s="107" t="str">
        <f t="shared" si="35"/>
        <v/>
      </c>
      <c r="AA132" s="72" t="str">
        <f t="shared" si="36"/>
        <v/>
      </c>
      <c r="AB132" s="73" t="e">
        <f>IF($S132="","",IF(#REF!="Tolerance",IF((#REF!*3*T132+S132)-E132&lt;F132,"",(#REF!*3*T132+S132)-E132),IF(OR(#REF!="GD&amp;T",#REF!="MAX"),IF((#REF!*3*T132+S132)&lt;F132,"",(#REF!*3*T132+S132)),"")))</f>
        <v>#REF!</v>
      </c>
      <c r="AC132" s="73" t="e">
        <f>IF(S132="","",IF(#REF!="Tolerance",IF(-((#REF!*3*T132)-S132)-E132&gt;G132,"",-((#REF!*3*T132)-S132)-E132),IF(#REF!="MIN",IF(-((#REF!*3*T132)-S132)&gt;G132,"",-((#REF!*3*T132)-S132)),"")))</f>
        <v>#REF!</v>
      </c>
      <c r="AD132" s="73">
        <f t="shared" si="39"/>
        <v>2.5000000000000001E-2</v>
      </c>
      <c r="AE132" s="73" t="str">
        <f t="shared" si="37"/>
        <v/>
      </c>
      <c r="AF132" s="109"/>
      <c r="AG132" s="110" t="str">
        <f t="shared" si="28"/>
        <v/>
      </c>
      <c r="AH132" s="164" t="str" cm="1">
        <f t="array" ref="AH132">IF(AND(AM132:BR132 &gt;= K132, AM132:BR132 &lt;= J132), "OK", "NG")</f>
        <v>OK</v>
      </c>
      <c r="AI132" s="74"/>
      <c r="AJ132" s="74"/>
      <c r="AK132" s="75"/>
      <c r="AM132" s="149"/>
      <c r="AN132" s="149"/>
      <c r="AO132" s="149"/>
      <c r="AP132" s="149"/>
      <c r="AQ132" s="149"/>
      <c r="AR132" s="149"/>
      <c r="AS132" s="149"/>
      <c r="AT132" s="149"/>
      <c r="AU132" s="149"/>
      <c r="AV132" s="149"/>
      <c r="AW132" s="149"/>
      <c r="AX132" s="149"/>
      <c r="AY132" s="149"/>
      <c r="AZ132" s="149"/>
      <c r="BA132" s="149"/>
      <c r="BB132" s="149"/>
      <c r="BC132" s="149"/>
      <c r="BD132" s="149"/>
      <c r="BE132" s="149"/>
      <c r="BF132" s="149"/>
      <c r="BG132" s="149"/>
      <c r="BH132" s="149"/>
      <c r="BI132" s="149"/>
      <c r="BJ132" s="149"/>
      <c r="BK132" s="149"/>
      <c r="BL132" s="149"/>
      <c r="BM132" s="149"/>
      <c r="BN132" s="149"/>
      <c r="BO132" s="149"/>
      <c r="BP132" s="149"/>
      <c r="BQ132" s="149"/>
      <c r="BR132" s="149"/>
    </row>
    <row r="133" spans="2:70" ht="19.2" customHeight="1">
      <c r="B133" s="130" t="s">
        <v>300</v>
      </c>
      <c r="C133" s="101" t="s">
        <v>335</v>
      </c>
      <c r="D133" s="125" t="s">
        <v>336</v>
      </c>
      <c r="E133" s="126">
        <v>0</v>
      </c>
      <c r="F133" s="127">
        <v>0.05</v>
      </c>
      <c r="G133" s="126">
        <v>0</v>
      </c>
      <c r="H133" s="106" t="s">
        <v>46</v>
      </c>
      <c r="I133" s="69"/>
      <c r="J133" s="70">
        <f t="shared" si="26"/>
        <v>0.05</v>
      </c>
      <c r="K133" s="70">
        <f t="shared" si="27"/>
        <v>0</v>
      </c>
      <c r="L133" s="70">
        <v>4.2500000000000003E-2</v>
      </c>
      <c r="M133" s="70">
        <v>0</v>
      </c>
      <c r="N133" s="155"/>
      <c r="O133" s="155"/>
      <c r="P133" s="71"/>
      <c r="Q133" s="128">
        <f t="shared" ref="Q133:Q140" si="46">IF(OR($AM133=ISBLANK(TRUE),ISNUMBER($AM133)=FALSE),,MAX(AM133:BR133))</f>
        <v>0</v>
      </c>
      <c r="R133" s="128">
        <f t="shared" ref="R133:R140" si="47">IF(OR($AM133=ISBLANK(TRUE),ISNUMBER($AM133)=FALSE),,MIN(AM133:BR133))</f>
        <v>0</v>
      </c>
      <c r="S133" s="128">
        <f t="shared" ref="S133:S140" si="48">IF(OR($AM133=ISBLANK(TRUE),ISNUMBER($AM133)=FALSE),,AVERAGE(AM133:BR133))</f>
        <v>0</v>
      </c>
      <c r="T133" s="129">
        <f t="shared" si="40"/>
        <v>0</v>
      </c>
      <c r="U133" s="107" t="str">
        <f t="shared" ref="U133:U140" si="49">IF(OR($AM133="",ISNUMBER($AM133)=FALSE),"",IF(AND(E133=0,G133=0),X133,IF(AND(E133="",F133=""),Y133,(F133+ABS(G133))/(6*T133))))</f>
        <v/>
      </c>
      <c r="V133" s="108" t="str">
        <f>IF(OR($AM133="",ISNUMBER($AM133)=FALSE),"",IF(AND(#REF!="Tolerance",$E133&lt;&gt;""),($S133-$E133)/(($J133-$K133)/2),IF(AND(#REF!="GD&amp;T",$F133&lt;&gt;""),$S133/$F133,"")))</f>
        <v/>
      </c>
      <c r="W133" s="108" t="str">
        <f t="shared" si="38"/>
        <v/>
      </c>
      <c r="X133" s="107" t="str">
        <f t="shared" ref="X133:X140" si="50">IF(OR($AM133="",ISNUMBER($AM133)=FALSE),"",IF(F133="","",(J133-S133)/(3*T133)))</f>
        <v/>
      </c>
      <c r="Y133" s="107" t="str">
        <f t="shared" ref="Y133:Y140" si="51">IF(OR($AM133="",ISNUMBER($AM133)=FALSE),"",IF(G133="","",(S133-K133)/(3*T133)))</f>
        <v/>
      </c>
      <c r="Z133" s="107" t="str">
        <f t="shared" ref="Z133:Z140" si="52">IF(OR($AM133="",ISNUMBER($AM133)=FALSE),"",IF(AND(E133=0,G133=0),((F133)-(S133))/(3*T133),MIN(X133:Y133)))</f>
        <v/>
      </c>
      <c r="AA133" s="72" t="str">
        <f t="shared" ref="AA133:AA140" si="53">IF(OR($AM133="",ISNUMBER($AM133)=FALSE),"",IF(AND(E133=0,G133=0),NORMSDIST(3*Z133),NORMSDIST(3*Z133)+NORMSDIST(6*U133-3*Z133)-1))</f>
        <v/>
      </c>
      <c r="AB133" s="73" t="e">
        <f>IF($S133="","",IF(#REF!="Tolerance",IF((#REF!*3*T133+S133)-E133&lt;F133,"",(#REF!*3*T133+S133)-E133),IF(OR(#REF!="GD&amp;T",#REF!="MAX"),IF((#REF!*3*T133+S133)&lt;F133,"",(#REF!*3*T133+S133)),"")))</f>
        <v>#REF!</v>
      </c>
      <c r="AC133" s="73" t="e">
        <f>IF(S133="","",IF(#REF!="Tolerance",IF(-((#REF!*3*T133)-S133)-E133&gt;G133,"",-((#REF!*3*T133)-S133)-E133),IF(#REF!="MIN",IF(-((#REF!*3*T133)-S133)&gt;G133,"",-((#REF!*3*T133)-S133)),"")))</f>
        <v>#REF!</v>
      </c>
      <c r="AD133" s="73">
        <f t="shared" si="39"/>
        <v>2.5000000000000001E-2</v>
      </c>
      <c r="AE133" s="73" t="str">
        <f t="shared" si="37"/>
        <v/>
      </c>
      <c r="AF133" s="109"/>
      <c r="AG133" s="110" t="str">
        <f t="shared" si="28"/>
        <v/>
      </c>
      <c r="AH133" s="164" t="str" cm="1">
        <f t="array" ref="AH133">IF(AND(AM133:BR133 &gt;= K133, AM133:BR133 &lt;= J133), "OK", "NG")</f>
        <v>OK</v>
      </c>
      <c r="AI133" s="74"/>
      <c r="AJ133" s="74"/>
      <c r="AK133" s="75"/>
      <c r="AM133" s="149"/>
      <c r="AN133" s="149"/>
      <c r="AO133" s="149"/>
      <c r="AP133" s="149"/>
      <c r="AQ133" s="149"/>
      <c r="AR133" s="149"/>
      <c r="AS133" s="149"/>
      <c r="AT133" s="149"/>
      <c r="AU133" s="149"/>
      <c r="AV133" s="149"/>
      <c r="AW133" s="149"/>
      <c r="AX133" s="149"/>
      <c r="AY133" s="149"/>
      <c r="AZ133" s="149"/>
      <c r="BA133" s="149"/>
      <c r="BB133" s="149"/>
      <c r="BC133" s="149"/>
      <c r="BD133" s="149"/>
      <c r="BE133" s="149"/>
      <c r="BF133" s="149"/>
      <c r="BG133" s="149"/>
      <c r="BH133" s="149"/>
      <c r="BI133" s="149"/>
      <c r="BJ133" s="149"/>
      <c r="BK133" s="149"/>
      <c r="BL133" s="149"/>
      <c r="BM133" s="149"/>
      <c r="BN133" s="149"/>
      <c r="BO133" s="149"/>
      <c r="BP133" s="149"/>
      <c r="BQ133" s="149"/>
      <c r="BR133" s="149"/>
    </row>
    <row r="134" spans="2:70" ht="19.2" customHeight="1">
      <c r="B134" s="130" t="s">
        <v>352</v>
      </c>
      <c r="C134" s="101">
        <v>147</v>
      </c>
      <c r="D134" s="125" t="s">
        <v>336</v>
      </c>
      <c r="E134" s="126">
        <v>0</v>
      </c>
      <c r="F134" s="127">
        <v>0.02</v>
      </c>
      <c r="G134" s="126">
        <v>0</v>
      </c>
      <c r="H134" s="106" t="s">
        <v>46</v>
      </c>
      <c r="I134" s="69"/>
      <c r="J134" s="70">
        <f t="shared" si="26"/>
        <v>0.02</v>
      </c>
      <c r="K134" s="70">
        <f t="shared" si="27"/>
        <v>0</v>
      </c>
      <c r="L134" s="70">
        <v>1.7000000000000001E-2</v>
      </c>
      <c r="M134" s="70">
        <v>0</v>
      </c>
      <c r="N134" s="155"/>
      <c r="O134" s="155"/>
      <c r="P134" s="71"/>
      <c r="Q134" s="128">
        <f t="shared" si="46"/>
        <v>0</v>
      </c>
      <c r="R134" s="128">
        <f t="shared" si="47"/>
        <v>0</v>
      </c>
      <c r="S134" s="128">
        <f t="shared" si="48"/>
        <v>0</v>
      </c>
      <c r="T134" s="129">
        <f t="shared" si="40"/>
        <v>0</v>
      </c>
      <c r="U134" s="107" t="str">
        <f t="shared" si="49"/>
        <v/>
      </c>
      <c r="V134" s="108" t="str">
        <f>IF(OR($AM134="",ISNUMBER($AM134)=FALSE),"",IF(AND(#REF!="Tolerance",$E134&lt;&gt;""),($S134-$E134)/(($J134-$K134)/2),IF(AND(#REF!="GD&amp;T",$F134&lt;&gt;""),$S134/$F134,"")))</f>
        <v/>
      </c>
      <c r="W134" s="108" t="str">
        <f t="shared" si="38"/>
        <v/>
      </c>
      <c r="X134" s="107" t="str">
        <f t="shared" si="50"/>
        <v/>
      </c>
      <c r="Y134" s="107" t="str">
        <f t="shared" si="51"/>
        <v/>
      </c>
      <c r="Z134" s="107" t="str">
        <f t="shared" si="52"/>
        <v/>
      </c>
      <c r="AA134" s="72" t="str">
        <f t="shared" si="53"/>
        <v/>
      </c>
      <c r="AB134" s="73" t="e">
        <f>IF($S134="","",IF(#REF!="Tolerance",IF((#REF!*3*T134+S134)-E134&lt;F134,"",(#REF!*3*T134+S134)-E134),IF(OR(#REF!="GD&amp;T",#REF!="MAX"),IF((#REF!*3*T134+S134)&lt;F134,"",(#REF!*3*T134+S134)),"")))</f>
        <v>#REF!</v>
      </c>
      <c r="AC134" s="73" t="e">
        <f>IF(S134="","",IF(#REF!="Tolerance",IF(-((#REF!*3*T134)-S134)-E134&gt;G134,"",-((#REF!*3*T134)-S134)-E134),IF(#REF!="MIN",IF(-((#REF!*3*T134)-S134)&gt;G134,"",-((#REF!*3*T134)-S134)),"")))</f>
        <v>#REF!</v>
      </c>
      <c r="AD134" s="73">
        <f t="shared" ref="AD134:AD140" si="54">IF(OR(E134="",S134=""),"",(J134+K134)/2-S134)</f>
        <v>0.01</v>
      </c>
      <c r="AE134" s="73" t="str">
        <f t="shared" si="37"/>
        <v/>
      </c>
      <c r="AF134" s="109"/>
      <c r="AG134" s="110" t="str">
        <f t="shared" si="28"/>
        <v/>
      </c>
      <c r="AH134" s="164" t="str" cm="1">
        <f t="array" ref="AH134">IF(AND(AM134:BR134 &gt;= K134, AM134:BR134 &lt;= J134), "OK", "NG")</f>
        <v>OK</v>
      </c>
      <c r="AI134" s="74"/>
      <c r="AJ134" s="74"/>
      <c r="AK134" s="75"/>
      <c r="AM134" s="149"/>
      <c r="AN134" s="149"/>
      <c r="AO134" s="149"/>
      <c r="AP134" s="149"/>
      <c r="AQ134" s="149"/>
      <c r="AR134" s="149"/>
      <c r="AS134" s="149"/>
      <c r="AT134" s="149"/>
      <c r="AU134" s="149"/>
      <c r="AV134" s="149"/>
      <c r="AW134" s="149"/>
      <c r="AX134" s="149"/>
      <c r="AY134" s="149"/>
      <c r="AZ134" s="149"/>
      <c r="BA134" s="149"/>
      <c r="BB134" s="149"/>
      <c r="BC134" s="149"/>
      <c r="BD134" s="149"/>
      <c r="BE134" s="149"/>
      <c r="BF134" s="149"/>
      <c r="BG134" s="149"/>
      <c r="BH134" s="149"/>
      <c r="BI134" s="149"/>
      <c r="BJ134" s="149"/>
      <c r="BK134" s="149"/>
      <c r="BL134" s="149"/>
      <c r="BM134" s="149"/>
      <c r="BN134" s="149"/>
      <c r="BO134" s="149"/>
      <c r="BP134" s="149"/>
      <c r="BQ134" s="149"/>
      <c r="BR134" s="149"/>
    </row>
    <row r="135" spans="2:70" ht="19.2" customHeight="1">
      <c r="B135" s="130" t="s">
        <v>353</v>
      </c>
      <c r="C135" s="101">
        <v>148</v>
      </c>
      <c r="D135" s="125" t="s">
        <v>339</v>
      </c>
      <c r="E135" s="126">
        <v>0</v>
      </c>
      <c r="F135" s="127">
        <v>0.02</v>
      </c>
      <c r="G135" s="126">
        <v>0</v>
      </c>
      <c r="H135" s="106" t="s">
        <v>46</v>
      </c>
      <c r="I135" s="69"/>
      <c r="J135" s="70">
        <f t="shared" ref="J135:J140" si="55">E135+F135</f>
        <v>0.02</v>
      </c>
      <c r="K135" s="70">
        <f t="shared" ref="K135:K140" si="56">E135+G135</f>
        <v>0</v>
      </c>
      <c r="L135" s="70">
        <v>1.7000000000000001E-2</v>
      </c>
      <c r="M135" s="70">
        <v>0</v>
      </c>
      <c r="N135" s="155"/>
      <c r="O135" s="155"/>
      <c r="P135" s="71"/>
      <c r="Q135" s="128">
        <f t="shared" si="46"/>
        <v>0</v>
      </c>
      <c r="R135" s="128">
        <f t="shared" si="47"/>
        <v>0</v>
      </c>
      <c r="S135" s="128">
        <f t="shared" si="48"/>
        <v>0</v>
      </c>
      <c r="T135" s="129">
        <f t="shared" si="40"/>
        <v>0</v>
      </c>
      <c r="U135" s="107" t="str">
        <f t="shared" si="49"/>
        <v/>
      </c>
      <c r="V135" s="108" t="str">
        <f>IF(OR($AM135="",ISNUMBER($AM135)=FALSE),"",IF(AND(#REF!="Tolerance",$E135&lt;&gt;""),($S135-$E135)/(($J135-$K135)/2),IF(AND(#REF!="GD&amp;T",$F135&lt;&gt;""),$S135/$F135,"")))</f>
        <v/>
      </c>
      <c r="W135" s="108" t="str">
        <f t="shared" si="38"/>
        <v/>
      </c>
      <c r="X135" s="107" t="str">
        <f t="shared" si="50"/>
        <v/>
      </c>
      <c r="Y135" s="107" t="str">
        <f t="shared" si="51"/>
        <v/>
      </c>
      <c r="Z135" s="107" t="str">
        <f t="shared" si="52"/>
        <v/>
      </c>
      <c r="AA135" s="72" t="str">
        <f t="shared" si="53"/>
        <v/>
      </c>
      <c r="AB135" s="73" t="e">
        <f>IF($S135="","",IF(#REF!="Tolerance",IF((#REF!*3*T135+S135)-E135&lt;F135,"",(#REF!*3*T135+S135)-E135),IF(OR(#REF!="GD&amp;T",#REF!="MAX"),IF((#REF!*3*T135+S135)&lt;F135,"",(#REF!*3*T135+S135)),"")))</f>
        <v>#REF!</v>
      </c>
      <c r="AC135" s="73" t="e">
        <f>IF(S135="","",IF(#REF!="Tolerance",IF(-((#REF!*3*T135)-S135)-E135&gt;G135,"",-((#REF!*3*T135)-S135)-E135),IF(#REF!="MIN",IF(-((#REF!*3*T135)-S135)&gt;G135,"",-((#REF!*3*T135)-S135)),"")))</f>
        <v>#REF!</v>
      </c>
      <c r="AD135" s="73">
        <f t="shared" si="54"/>
        <v>0.01</v>
      </c>
      <c r="AE135" s="73" t="str">
        <f t="shared" si="37"/>
        <v/>
      </c>
      <c r="AF135" s="109"/>
      <c r="AG135" s="110" t="str">
        <f t="shared" ref="AG135:AG140" si="57">IF(AF135="","",IF(AF135&gt;=0.966,"Normal","Not Normal"))</f>
        <v/>
      </c>
      <c r="AH135" s="164" t="str" cm="1">
        <f t="array" ref="AH135">IF(AND(AM135:BR135 &gt;= K135, AM135:BR135 &lt;= J135), "OK", "NG")</f>
        <v>OK</v>
      </c>
      <c r="AI135" s="74"/>
      <c r="AJ135" s="74"/>
      <c r="AK135" s="75"/>
      <c r="AM135" s="149"/>
      <c r="AN135" s="149"/>
      <c r="AO135" s="149"/>
      <c r="AP135" s="149"/>
      <c r="AQ135" s="149"/>
      <c r="AR135" s="149"/>
      <c r="AS135" s="149"/>
      <c r="AT135" s="149"/>
      <c r="AU135" s="149"/>
      <c r="AV135" s="149"/>
      <c r="AW135" s="149"/>
      <c r="AX135" s="149"/>
      <c r="AY135" s="149"/>
      <c r="AZ135" s="149"/>
      <c r="BA135" s="149"/>
      <c r="BB135" s="149"/>
      <c r="BC135" s="149"/>
      <c r="BD135" s="149"/>
      <c r="BE135" s="149"/>
      <c r="BF135" s="149"/>
      <c r="BG135" s="149"/>
      <c r="BH135" s="149"/>
      <c r="BI135" s="149"/>
      <c r="BJ135" s="149"/>
      <c r="BK135" s="149"/>
      <c r="BL135" s="149"/>
      <c r="BM135" s="149"/>
      <c r="BN135" s="149"/>
      <c r="BO135" s="149"/>
      <c r="BP135" s="149"/>
      <c r="BQ135" s="149"/>
      <c r="BR135" s="149"/>
    </row>
    <row r="136" spans="2:70" ht="19.2" customHeight="1">
      <c r="B136" s="130" t="s">
        <v>354</v>
      </c>
      <c r="C136" s="101">
        <v>153</v>
      </c>
      <c r="D136" s="125" t="s">
        <v>47</v>
      </c>
      <c r="E136" s="126">
        <v>0</v>
      </c>
      <c r="F136" s="127">
        <v>0.06</v>
      </c>
      <c r="G136" s="126">
        <v>0</v>
      </c>
      <c r="H136" s="106" t="s">
        <v>46</v>
      </c>
      <c r="I136" s="69"/>
      <c r="J136" s="70">
        <f t="shared" si="55"/>
        <v>0.06</v>
      </c>
      <c r="K136" s="70">
        <f t="shared" si="56"/>
        <v>0</v>
      </c>
      <c r="L136" s="70">
        <v>5.0999999999999997E-2</v>
      </c>
      <c r="M136" s="70">
        <v>0</v>
      </c>
      <c r="N136" s="155"/>
      <c r="O136" s="155"/>
      <c r="P136" s="71"/>
      <c r="Q136" s="128">
        <f t="shared" si="46"/>
        <v>0</v>
      </c>
      <c r="R136" s="128">
        <f t="shared" si="47"/>
        <v>0</v>
      </c>
      <c r="S136" s="128">
        <f t="shared" si="48"/>
        <v>0</v>
      </c>
      <c r="T136" s="129">
        <f t="shared" si="40"/>
        <v>0</v>
      </c>
      <c r="U136" s="107" t="str">
        <f t="shared" si="49"/>
        <v/>
      </c>
      <c r="V136" s="108" t="str">
        <f>IF(OR($AM136="",ISNUMBER($AM136)=FALSE),"",IF(AND(#REF!="Tolerance",$E136&lt;&gt;""),($S136-$E136)/(($J136-$K136)/2),IF(AND(#REF!="GD&amp;T",$F136&lt;&gt;""),$S136/$F136,"")))</f>
        <v/>
      </c>
      <c r="W136" s="108" t="str">
        <f t="shared" si="38"/>
        <v/>
      </c>
      <c r="X136" s="107" t="str">
        <f t="shared" si="50"/>
        <v/>
      </c>
      <c r="Y136" s="107" t="str">
        <f t="shared" si="51"/>
        <v/>
      </c>
      <c r="Z136" s="107" t="str">
        <f t="shared" si="52"/>
        <v/>
      </c>
      <c r="AA136" s="72" t="str">
        <f t="shared" si="53"/>
        <v/>
      </c>
      <c r="AB136" s="73" t="e">
        <f>IF($S136="","",IF(#REF!="Tolerance",IF((#REF!*3*T136+S136)-E136&lt;F136,"",(#REF!*3*T136+S136)-E136),IF(OR(#REF!="GD&amp;T",#REF!="MAX"),IF((#REF!*3*T136+S136)&lt;F136,"",(#REF!*3*T136+S136)),"")))</f>
        <v>#REF!</v>
      </c>
      <c r="AC136" s="73" t="e">
        <f>IF(S136="","",IF(#REF!="Tolerance",IF(-((#REF!*3*T136)-S136)-E136&gt;G136,"",-((#REF!*3*T136)-S136)-E136),IF(#REF!="MIN",IF(-((#REF!*3*T136)-S136)&gt;G136,"",-((#REF!*3*T136)-S136)),"")))</f>
        <v>#REF!</v>
      </c>
      <c r="AD136" s="73">
        <f t="shared" si="54"/>
        <v>0.03</v>
      </c>
      <c r="AE136" s="73" t="str">
        <f t="shared" si="37"/>
        <v/>
      </c>
      <c r="AF136" s="109"/>
      <c r="AG136" s="110" t="str">
        <f t="shared" si="57"/>
        <v/>
      </c>
      <c r="AH136" s="164" t="str" cm="1">
        <f t="array" ref="AH136">IF(AND(AM136:BR136 &gt;= K136, AM136:BR136 &lt;= J136), "OK", "NG")</f>
        <v>OK</v>
      </c>
      <c r="AI136" s="74"/>
      <c r="AJ136" s="74"/>
      <c r="AK136" s="75"/>
      <c r="AM136" s="149"/>
      <c r="AN136" s="149"/>
      <c r="AO136" s="149"/>
      <c r="AP136" s="149"/>
      <c r="AQ136" s="149"/>
      <c r="AR136" s="149"/>
      <c r="AS136" s="149"/>
      <c r="AT136" s="149"/>
      <c r="AU136" s="149"/>
      <c r="AV136" s="149"/>
      <c r="AW136" s="149"/>
      <c r="AX136" s="149"/>
      <c r="AY136" s="149"/>
      <c r="AZ136" s="149"/>
      <c r="BA136" s="149"/>
      <c r="BB136" s="149"/>
      <c r="BC136" s="149"/>
      <c r="BD136" s="149"/>
      <c r="BE136" s="149"/>
      <c r="BF136" s="149"/>
      <c r="BG136" s="149"/>
      <c r="BH136" s="149"/>
      <c r="BI136" s="149"/>
      <c r="BJ136" s="149"/>
      <c r="BK136" s="149"/>
      <c r="BL136" s="149"/>
      <c r="BM136" s="149"/>
      <c r="BN136" s="149"/>
      <c r="BO136" s="149"/>
      <c r="BP136" s="149"/>
      <c r="BQ136" s="149"/>
      <c r="BR136" s="149"/>
    </row>
    <row r="137" spans="2:70" ht="19.2" customHeight="1">
      <c r="B137" s="68" t="s">
        <v>355</v>
      </c>
      <c r="C137" s="101">
        <v>154</v>
      </c>
      <c r="D137" s="125" t="s">
        <v>47</v>
      </c>
      <c r="E137" s="126">
        <v>0</v>
      </c>
      <c r="F137" s="127">
        <v>0.06</v>
      </c>
      <c r="G137" s="126">
        <v>0</v>
      </c>
      <c r="H137" s="106" t="s">
        <v>46</v>
      </c>
      <c r="I137" s="69"/>
      <c r="J137" s="70">
        <f t="shared" si="55"/>
        <v>0.06</v>
      </c>
      <c r="K137" s="70">
        <f t="shared" si="56"/>
        <v>0</v>
      </c>
      <c r="L137" s="70">
        <v>5.0999999999999997E-2</v>
      </c>
      <c r="M137" s="70">
        <v>0</v>
      </c>
      <c r="N137" s="155"/>
      <c r="O137" s="155"/>
      <c r="P137" s="71"/>
      <c r="Q137" s="128">
        <f t="shared" si="46"/>
        <v>0</v>
      </c>
      <c r="R137" s="128">
        <f t="shared" si="47"/>
        <v>0</v>
      </c>
      <c r="S137" s="128">
        <f t="shared" si="48"/>
        <v>0</v>
      </c>
      <c r="T137" s="129">
        <f t="shared" si="40"/>
        <v>0</v>
      </c>
      <c r="U137" s="107" t="str">
        <f t="shared" si="49"/>
        <v/>
      </c>
      <c r="V137" s="108" t="str">
        <f>IF(OR($AM137="",ISNUMBER($AM137)=FALSE),"",IF(AND(#REF!="Tolerance",$E137&lt;&gt;""),($S137-$E137)/(($J137-$K137)/2),IF(AND(#REF!="GD&amp;T",$F137&lt;&gt;""),$S137/$F137,"")))</f>
        <v/>
      </c>
      <c r="W137" s="108" t="str">
        <f t="shared" si="38"/>
        <v/>
      </c>
      <c r="X137" s="107" t="str">
        <f t="shared" si="50"/>
        <v/>
      </c>
      <c r="Y137" s="107" t="str">
        <f t="shared" si="51"/>
        <v/>
      </c>
      <c r="Z137" s="107" t="str">
        <f t="shared" si="52"/>
        <v/>
      </c>
      <c r="AA137" s="72" t="str">
        <f t="shared" si="53"/>
        <v/>
      </c>
      <c r="AB137" s="73" t="e">
        <f>IF($S137="","",IF(#REF!="Tolerance",IF((#REF!*3*T137+S137)-E137&lt;F137,"",(#REF!*3*T137+S137)-E137),IF(OR(#REF!="GD&amp;T",#REF!="MAX"),IF((#REF!*3*T137+S137)&lt;F137,"",(#REF!*3*T137+S137)),"")))</f>
        <v>#REF!</v>
      </c>
      <c r="AC137" s="73" t="e">
        <f>IF(S137="","",IF(#REF!="Tolerance",IF(-((#REF!*3*T137)-S137)-E137&gt;G137,"",-((#REF!*3*T137)-S137)-E137),IF(#REF!="MIN",IF(-((#REF!*3*T137)-S137)&gt;G137,"",-((#REF!*3*T137)-S137)),"")))</f>
        <v>#REF!</v>
      </c>
      <c r="AD137" s="73">
        <f t="shared" si="54"/>
        <v>0.03</v>
      </c>
      <c r="AE137" s="73" t="str">
        <f t="shared" si="37"/>
        <v/>
      </c>
      <c r="AF137" s="109"/>
      <c r="AG137" s="110" t="str">
        <f t="shared" si="57"/>
        <v/>
      </c>
      <c r="AH137" s="164" t="str" cm="1">
        <f t="array" ref="AH137">IF(AND(AM137:BR137 &gt;= K137, AM137:BR137 &lt;= J137), "OK", "NG")</f>
        <v>OK</v>
      </c>
      <c r="AI137" s="74"/>
      <c r="AJ137" s="74"/>
      <c r="AK137" s="75"/>
      <c r="AM137" s="149"/>
      <c r="AN137" s="149"/>
      <c r="AO137" s="149"/>
      <c r="AP137" s="149"/>
      <c r="AQ137" s="149"/>
      <c r="AR137" s="149"/>
      <c r="AS137" s="149"/>
      <c r="AT137" s="149"/>
      <c r="AU137" s="149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  <c r="BI137" s="149"/>
      <c r="BJ137" s="149"/>
      <c r="BK137" s="149"/>
      <c r="BL137" s="149"/>
      <c r="BM137" s="149"/>
      <c r="BN137" s="149"/>
      <c r="BO137" s="149"/>
      <c r="BP137" s="149"/>
      <c r="BQ137" s="149"/>
      <c r="BR137" s="149"/>
    </row>
    <row r="138" spans="2:70" ht="19.2" customHeight="1">
      <c r="B138" s="68" t="s">
        <v>356</v>
      </c>
      <c r="C138" s="101">
        <v>155</v>
      </c>
      <c r="D138" s="125" t="s">
        <v>47</v>
      </c>
      <c r="E138" s="126">
        <v>0</v>
      </c>
      <c r="F138" s="127">
        <v>0.06</v>
      </c>
      <c r="G138" s="126">
        <v>0</v>
      </c>
      <c r="H138" s="106" t="s">
        <v>46</v>
      </c>
      <c r="I138" s="69"/>
      <c r="J138" s="70">
        <f t="shared" si="55"/>
        <v>0.06</v>
      </c>
      <c r="K138" s="70">
        <f t="shared" si="56"/>
        <v>0</v>
      </c>
      <c r="L138" s="70">
        <v>2.5499999999999998E-2</v>
      </c>
      <c r="M138" s="70">
        <v>0</v>
      </c>
      <c r="N138" s="155"/>
      <c r="O138" s="155"/>
      <c r="P138" s="71"/>
      <c r="Q138" s="128">
        <f t="shared" si="46"/>
        <v>0</v>
      </c>
      <c r="R138" s="128">
        <f t="shared" si="47"/>
        <v>0</v>
      </c>
      <c r="S138" s="128">
        <f t="shared" si="48"/>
        <v>0</v>
      </c>
      <c r="T138" s="129">
        <f t="shared" ref="T138:T140" si="58">IF(OR($AM138=ISBLANK(TRUE),ISNUMBER($AM138)=FALSE),,STDEV(AM138:BR138))</f>
        <v>0</v>
      </c>
      <c r="U138" s="107" t="str">
        <f t="shared" si="49"/>
        <v/>
      </c>
      <c r="V138" s="108" t="str">
        <f>IF(OR($AM138="",ISNUMBER($AM138)=FALSE),"",IF(AND(#REF!="Tolerance",$E138&lt;&gt;""),($S138-$E138)/(($J138-$K138)/2),IF(AND(#REF!="GD&amp;T",$F138&lt;&gt;""),$S138/$F138,"")))</f>
        <v/>
      </c>
      <c r="W138" s="108" t="str">
        <f t="shared" si="38"/>
        <v/>
      </c>
      <c r="X138" s="107" t="str">
        <f t="shared" si="50"/>
        <v/>
      </c>
      <c r="Y138" s="107" t="str">
        <f t="shared" si="51"/>
        <v/>
      </c>
      <c r="Z138" s="107" t="str">
        <f t="shared" si="52"/>
        <v/>
      </c>
      <c r="AA138" s="72" t="str">
        <f t="shared" si="53"/>
        <v/>
      </c>
      <c r="AB138" s="73" t="e">
        <f>IF($S138="","",IF(#REF!="Tolerance",IF((#REF!*3*T138+S138)-E138&lt;F138,"",(#REF!*3*T138+S138)-E138),IF(OR(#REF!="GD&amp;T",#REF!="MAX"),IF((#REF!*3*T138+S138)&lt;F138,"",(#REF!*3*T138+S138)),"")))</f>
        <v>#REF!</v>
      </c>
      <c r="AC138" s="73" t="e">
        <f>IF(S138="","",IF(#REF!="Tolerance",IF(-((#REF!*3*T138)-S138)-E138&gt;G138,"",-((#REF!*3*T138)-S138)-E138),IF(#REF!="MIN",IF(-((#REF!*3*T138)-S138)&gt;G138,"",-((#REF!*3*T138)-S138)),"")))</f>
        <v>#REF!</v>
      </c>
      <c r="AD138" s="73">
        <f t="shared" si="54"/>
        <v>0.03</v>
      </c>
      <c r="AE138" s="73" t="str">
        <f t="shared" si="37"/>
        <v/>
      </c>
      <c r="AF138" s="109"/>
      <c r="AG138" s="110" t="str">
        <f t="shared" si="57"/>
        <v/>
      </c>
      <c r="AH138" s="164" t="str" cm="1">
        <f t="array" ref="AH138">IF(AND(AM138:BR138 &gt;= K138, AM138:BR138 &lt;= J138), "OK", "NG")</f>
        <v>OK</v>
      </c>
      <c r="AI138" s="74"/>
      <c r="AJ138" s="74"/>
      <c r="AK138" s="75"/>
      <c r="AM138" s="149"/>
      <c r="AN138" s="149"/>
      <c r="AO138" s="149"/>
      <c r="AP138" s="149"/>
      <c r="AQ138" s="149"/>
      <c r="AR138" s="149"/>
      <c r="AS138" s="149"/>
      <c r="AT138" s="149"/>
      <c r="AU138" s="149"/>
      <c r="AV138" s="149"/>
      <c r="AW138" s="149"/>
      <c r="AX138" s="149"/>
      <c r="AY138" s="149"/>
      <c r="AZ138" s="149"/>
      <c r="BA138" s="149"/>
      <c r="BB138" s="149"/>
      <c r="BC138" s="149"/>
      <c r="BD138" s="149"/>
      <c r="BE138" s="149"/>
      <c r="BF138" s="149"/>
      <c r="BG138" s="149"/>
      <c r="BH138" s="149"/>
      <c r="BI138" s="149"/>
      <c r="BJ138" s="149"/>
      <c r="BK138" s="149"/>
      <c r="BL138" s="149"/>
      <c r="BM138" s="149"/>
      <c r="BN138" s="149"/>
      <c r="BO138" s="149"/>
      <c r="BP138" s="149"/>
      <c r="BQ138" s="149"/>
      <c r="BR138" s="149"/>
    </row>
    <row r="139" spans="2:70" ht="19.2" customHeight="1">
      <c r="B139" s="68" t="s">
        <v>357</v>
      </c>
      <c r="C139" s="101">
        <v>157</v>
      </c>
      <c r="D139" s="125" t="s">
        <v>45</v>
      </c>
      <c r="E139" s="126">
        <v>18.472999999999999</v>
      </c>
      <c r="F139" s="127">
        <v>0.02</v>
      </c>
      <c r="G139" s="127">
        <v>-0.02</v>
      </c>
      <c r="H139" s="106" t="s">
        <v>46</v>
      </c>
      <c r="I139" s="69"/>
      <c r="J139" s="70">
        <f t="shared" si="55"/>
        <v>18.492999999999999</v>
      </c>
      <c r="K139" s="70">
        <f t="shared" si="56"/>
        <v>18.452999999999999</v>
      </c>
      <c r="L139" s="70">
        <v>18.489999999999998</v>
      </c>
      <c r="M139" s="70">
        <v>18.456</v>
      </c>
      <c r="N139" s="155"/>
      <c r="O139" s="155"/>
      <c r="P139" s="71"/>
      <c r="Q139" s="128">
        <f t="shared" si="46"/>
        <v>0</v>
      </c>
      <c r="R139" s="128">
        <f t="shared" si="47"/>
        <v>0</v>
      </c>
      <c r="S139" s="128">
        <f t="shared" si="48"/>
        <v>0</v>
      </c>
      <c r="T139" s="129">
        <f t="shared" si="58"/>
        <v>0</v>
      </c>
      <c r="U139" s="107" t="str">
        <f t="shared" si="49"/>
        <v/>
      </c>
      <c r="V139" s="108" t="str">
        <f>IF(OR($AM139="",ISNUMBER($AM139)=FALSE),"",IF(AND(#REF!="Tolerance",$E139&lt;&gt;""),($S139-$E139)/(($J139-$K139)/2),IF(AND(#REF!="GD&amp;T",$F139&lt;&gt;""),$S139/$F139,"")))</f>
        <v/>
      </c>
      <c r="W139" s="108" t="str">
        <f t="shared" si="38"/>
        <v/>
      </c>
      <c r="X139" s="107" t="str">
        <f t="shared" si="50"/>
        <v/>
      </c>
      <c r="Y139" s="107" t="str">
        <f t="shared" si="51"/>
        <v/>
      </c>
      <c r="Z139" s="107" t="str">
        <f t="shared" si="52"/>
        <v/>
      </c>
      <c r="AA139" s="72" t="str">
        <f t="shared" si="53"/>
        <v/>
      </c>
      <c r="AB139" s="73" t="e">
        <f>IF($S139="","",IF(#REF!="Tolerance",IF((#REF!*3*T139+S139)-E139&lt;F139,"",(#REF!*3*T139+S139)-E139),IF(OR(#REF!="GD&amp;T",#REF!="MAX"),IF((#REF!*3*T139+S139)&lt;F139,"",(#REF!*3*T139+S139)),"")))</f>
        <v>#REF!</v>
      </c>
      <c r="AC139" s="73" t="e">
        <f>IF(S139="","",IF(#REF!="Tolerance",IF(-((#REF!*3*T139)-S139)-E139&gt;G139,"",-((#REF!*3*T139)-S139)-E139),IF(#REF!="MIN",IF(-((#REF!*3*T139)-S139)&gt;G139,"",-((#REF!*3*T139)-S139)),"")))</f>
        <v>#REF!</v>
      </c>
      <c r="AD139" s="73">
        <f t="shared" si="54"/>
        <v>18.472999999999999</v>
      </c>
      <c r="AE139" s="73" t="str">
        <f t="shared" si="37"/>
        <v/>
      </c>
      <c r="AF139" s="109"/>
      <c r="AG139" s="110" t="str">
        <f t="shared" si="57"/>
        <v/>
      </c>
      <c r="AH139" s="164" t="str" cm="1">
        <f t="array" ref="AH139">IF(AND(AM139:BR139 &gt;= K139, AM139:BR139 &lt;= J139), "OK", "NG")</f>
        <v>NG</v>
      </c>
      <c r="AI139" s="74"/>
      <c r="AJ139" s="74"/>
      <c r="AK139" s="75"/>
      <c r="AM139" s="149"/>
      <c r="AN139" s="149"/>
      <c r="AO139" s="149"/>
      <c r="AP139" s="149"/>
      <c r="AQ139" s="149"/>
      <c r="AR139" s="149"/>
      <c r="AS139" s="149"/>
      <c r="AT139" s="149"/>
      <c r="AU139" s="149"/>
      <c r="AV139" s="149"/>
      <c r="AW139" s="149"/>
      <c r="AX139" s="149"/>
      <c r="AY139" s="149"/>
      <c r="AZ139" s="149"/>
      <c r="BA139" s="149"/>
      <c r="BB139" s="149"/>
      <c r="BC139" s="149"/>
      <c r="BD139" s="149"/>
      <c r="BE139" s="149"/>
      <c r="BF139" s="149"/>
      <c r="BG139" s="149"/>
      <c r="BH139" s="149"/>
      <c r="BI139" s="149"/>
      <c r="BJ139" s="149"/>
      <c r="BK139" s="149"/>
      <c r="BL139" s="149"/>
      <c r="BM139" s="149"/>
      <c r="BN139" s="149"/>
      <c r="BO139" s="149"/>
      <c r="BP139" s="149"/>
      <c r="BQ139" s="149"/>
      <c r="BR139" s="149"/>
    </row>
    <row r="140" spans="2:70" ht="19.2" customHeight="1">
      <c r="B140" s="130" t="s">
        <v>358</v>
      </c>
      <c r="C140" s="101">
        <v>158</v>
      </c>
      <c r="D140" s="125" t="s">
        <v>45</v>
      </c>
      <c r="E140" s="126">
        <v>18.593</v>
      </c>
      <c r="F140" s="127">
        <v>0.02</v>
      </c>
      <c r="G140" s="127">
        <v>-0.02</v>
      </c>
      <c r="H140" s="106" t="s">
        <v>46</v>
      </c>
      <c r="I140" s="69"/>
      <c r="J140" s="70">
        <f t="shared" si="55"/>
        <v>18.613</v>
      </c>
      <c r="K140" s="70">
        <f t="shared" si="56"/>
        <v>18.573</v>
      </c>
      <c r="L140" s="70">
        <v>18.61</v>
      </c>
      <c r="M140" s="70">
        <v>18.576000000000001</v>
      </c>
      <c r="N140" s="155"/>
      <c r="O140" s="155"/>
      <c r="P140" s="71"/>
      <c r="Q140" s="128">
        <f t="shared" si="46"/>
        <v>0</v>
      </c>
      <c r="R140" s="128">
        <f t="shared" si="47"/>
        <v>0</v>
      </c>
      <c r="S140" s="128">
        <f t="shared" si="48"/>
        <v>0</v>
      </c>
      <c r="T140" s="129">
        <f t="shared" si="58"/>
        <v>0</v>
      </c>
      <c r="U140" s="107" t="str">
        <f t="shared" si="49"/>
        <v/>
      </c>
      <c r="V140" s="108" t="str">
        <f>IF(OR($AM140="",ISNUMBER($AM140)=FALSE),"",IF(AND(#REF!="Tolerance",$E140&lt;&gt;""),($S140-$E140)/(($J140-$K140)/2),IF(AND(#REF!="GD&amp;T",$F140&lt;&gt;""),$S140/$F140,"")))</f>
        <v/>
      </c>
      <c r="W140" s="108" t="str">
        <f t="shared" si="38"/>
        <v/>
      </c>
      <c r="X140" s="107" t="str">
        <f t="shared" si="50"/>
        <v/>
      </c>
      <c r="Y140" s="107" t="str">
        <f t="shared" si="51"/>
        <v/>
      </c>
      <c r="Z140" s="107" t="str">
        <f t="shared" si="52"/>
        <v/>
      </c>
      <c r="AA140" s="72" t="str">
        <f t="shared" si="53"/>
        <v/>
      </c>
      <c r="AB140" s="73" t="e">
        <f>IF($S140="","",IF(#REF!="Tolerance",IF((#REF!*3*T140+S140)-E140&lt;F140,"",(#REF!*3*T140+S140)-E140),IF(OR(#REF!="GD&amp;T",#REF!="MAX"),IF((#REF!*3*T140+S140)&lt;F140,"",(#REF!*3*T140+S140)),"")))</f>
        <v>#REF!</v>
      </c>
      <c r="AC140" s="73" t="e">
        <f>IF(S140="","",IF(#REF!="Tolerance",IF(-((#REF!*3*T140)-S140)-E140&gt;G140,"",-((#REF!*3*T140)-S140)-E140),IF(#REF!="MIN",IF(-((#REF!*3*T140)-S140)&gt;G140,"",-((#REF!*3*T140)-S140)),"")))</f>
        <v>#REF!</v>
      </c>
      <c r="AD140" s="73">
        <f t="shared" si="54"/>
        <v>18.593</v>
      </c>
      <c r="AE140" s="73" t="str">
        <f t="shared" si="37"/>
        <v/>
      </c>
      <c r="AF140" s="109"/>
      <c r="AG140" s="110" t="str">
        <f t="shared" si="57"/>
        <v/>
      </c>
      <c r="AH140" s="164" t="str" cm="1">
        <f t="array" ref="AH140">IF(AND(AM140:BR140 &gt;= K140, AM140:BR140 &lt;= J140), "OK", "NG")</f>
        <v>NG</v>
      </c>
      <c r="AI140" s="74"/>
      <c r="AJ140" s="74"/>
      <c r="AK140" s="75"/>
      <c r="AM140" s="149"/>
      <c r="AN140" s="149"/>
      <c r="AO140" s="149"/>
      <c r="AP140" s="149"/>
      <c r="AQ140" s="149"/>
      <c r="AR140" s="149"/>
      <c r="AS140" s="149"/>
      <c r="AT140" s="149"/>
      <c r="AU140" s="149"/>
      <c r="AV140" s="149"/>
      <c r="AW140" s="149"/>
      <c r="AX140" s="149"/>
      <c r="AY140" s="149"/>
      <c r="AZ140" s="149"/>
      <c r="BA140" s="149"/>
      <c r="BB140" s="149"/>
      <c r="BC140" s="149"/>
      <c r="BD140" s="149"/>
      <c r="BE140" s="149"/>
      <c r="BF140" s="149"/>
      <c r="BG140" s="149"/>
      <c r="BH140" s="149"/>
      <c r="BI140" s="149"/>
      <c r="BJ140" s="149"/>
      <c r="BK140" s="149"/>
      <c r="BL140" s="149"/>
      <c r="BM140" s="149"/>
      <c r="BN140" s="149"/>
      <c r="BO140" s="149"/>
      <c r="BP140" s="149"/>
      <c r="BQ140" s="149"/>
      <c r="BR140" s="149"/>
    </row>
    <row r="141" spans="2:70">
      <c r="AH141" s="163">
        <f>COUNTIFS(AH6:AH140,"NG")</f>
        <v>90</v>
      </c>
    </row>
  </sheetData>
  <mergeCells count="8">
    <mergeCell ref="AM3:BR4"/>
    <mergeCell ref="A1:AG1"/>
    <mergeCell ref="B3:K3"/>
    <mergeCell ref="Q3:AG3"/>
    <mergeCell ref="AI3:AK3"/>
    <mergeCell ref="AB4:AC4"/>
    <mergeCell ref="L4:M4"/>
    <mergeCell ref="N4:O4"/>
  </mergeCells>
  <phoneticPr fontId="10" type="noConversion"/>
  <conditionalFormatting sqref="AM6:BR140">
    <cfRule type="cellIs" dxfId="6" priority="1" stopIfTrue="1" operator="notBetween">
      <formula>$E6+$F6</formula>
      <formula>$E6+$G6</formula>
    </cfRule>
    <cfRule type="cellIs" dxfId="5" priority="2" operator="lessThan">
      <formula>$M6</formula>
    </cfRule>
    <cfRule type="cellIs" dxfId="4" priority="3" operator="greaterThan">
      <formula>$L6</formula>
    </cfRule>
  </conditionalFormatting>
  <conditionalFormatting sqref="AM25:BR30">
    <cfRule type="cellIs" dxfId="3" priority="6" operator="lessThan">
      <formula>$O25</formula>
    </cfRule>
    <cfRule type="cellIs" dxfId="2" priority="11" operator="greaterThan">
      <formula>$N25</formula>
    </cfRule>
  </conditionalFormatting>
  <conditionalFormatting sqref="AM62:BR67">
    <cfRule type="cellIs" dxfId="1" priority="4" operator="lessThan">
      <formula>$O62</formula>
    </cfRule>
    <cfRule type="cellIs" dxfId="0" priority="5" operator="greaterThan">
      <formula>$N62</formula>
    </cfRule>
  </conditionalFormatting>
  <dataValidations disablePrompts="1" count="2">
    <dataValidation type="list" allowBlank="1" showInputMessage="1" showErrorMessage="1" sqref="I6:I15" xr:uid="{01CA2B5B-A33F-D241-9110-448CCEAFB7EF}">
      <formula1>gauging</formula1>
    </dataValidation>
    <dataValidation type="list" allowBlank="1" showInputMessage="1" showErrorMessage="1" sqref="H6:H15" xr:uid="{A43B2927-A0B1-764A-A782-6614148E909F}">
      <formula1>insp_meth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AH109:AH141 AH6:AH108 AG6 J6:K140 AG7:AG140" unlocked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7B5D-FE56-FC46-A2BC-BA34A1BB8B74}">
  <sheetPr codeName="Sheet5"/>
  <dimension ref="B2:R16"/>
  <sheetViews>
    <sheetView showGridLines="0" zoomScale="70" zoomScaleNormal="70" workbookViewId="0">
      <selection activeCell="D226" sqref="D226:F227"/>
    </sheetView>
  </sheetViews>
  <sheetFormatPr defaultColWidth="11" defaultRowHeight="17.399999999999999"/>
  <cols>
    <col min="1" max="1" width="1.453125" style="79" customWidth="1"/>
    <col min="2" max="2" width="7.453125" style="79" customWidth="1"/>
    <col min="3" max="3" width="20.81640625" style="78" customWidth="1"/>
    <col min="4" max="5" width="30.81640625" style="79" customWidth="1"/>
    <col min="6" max="6" width="13" style="79" customWidth="1"/>
    <col min="7" max="7" width="13" style="78" customWidth="1"/>
    <col min="8" max="13" width="13" style="79" customWidth="1"/>
    <col min="14" max="14" width="60.81640625" style="80" customWidth="1"/>
    <col min="15" max="15" width="60.81640625" style="79" customWidth="1"/>
    <col min="16" max="18" width="29.81640625" style="79" customWidth="1"/>
    <col min="19" max="19" width="11" style="79"/>
    <col min="20" max="20" width="27.54296875" style="79" bestFit="1" customWidth="1"/>
    <col min="21" max="16384" width="11" style="79"/>
  </cols>
  <sheetData>
    <row r="2" spans="2:18" ht="40.200000000000003" customHeight="1">
      <c r="B2" s="76" t="s">
        <v>98</v>
      </c>
      <c r="C2" s="77"/>
      <c r="D2" s="77"/>
      <c r="E2" s="77"/>
      <c r="F2" s="77"/>
    </row>
    <row r="3" spans="2:18" ht="18" customHeight="1">
      <c r="B3" s="77"/>
      <c r="C3" s="77"/>
      <c r="D3" s="77"/>
      <c r="E3" s="77"/>
      <c r="F3" s="77"/>
    </row>
    <row r="4" spans="2:18" s="81" customFormat="1" ht="19.2" customHeight="1">
      <c r="B4" s="202" t="s">
        <v>99</v>
      </c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3" t="s">
        <v>18</v>
      </c>
      <c r="Q4" s="203"/>
      <c r="R4" s="203"/>
    </row>
    <row r="5" spans="2:18" s="83" customFormat="1" ht="19.95" customHeight="1">
      <c r="B5" s="201" t="s">
        <v>100</v>
      </c>
      <c r="C5" s="201" t="s">
        <v>101</v>
      </c>
      <c r="D5" s="201" t="s">
        <v>102</v>
      </c>
      <c r="E5" s="201" t="s">
        <v>103</v>
      </c>
      <c r="F5" s="201" t="s">
        <v>104</v>
      </c>
      <c r="G5" s="201"/>
      <c r="H5" s="201" t="s">
        <v>105</v>
      </c>
      <c r="I5" s="201"/>
      <c r="J5" s="201" t="s">
        <v>106</v>
      </c>
      <c r="K5" s="201"/>
      <c r="L5" s="201"/>
      <c r="M5" s="201"/>
      <c r="N5" s="201" t="s">
        <v>107</v>
      </c>
      <c r="O5" s="201" t="s">
        <v>108</v>
      </c>
      <c r="P5" s="201" t="s">
        <v>109</v>
      </c>
      <c r="Q5" s="201" t="s">
        <v>110</v>
      </c>
      <c r="R5" s="201" t="s">
        <v>111</v>
      </c>
    </row>
    <row r="6" spans="2:18" s="83" customFormat="1" ht="19.95" customHeight="1">
      <c r="B6" s="201"/>
      <c r="C6" s="201"/>
      <c r="D6" s="201"/>
      <c r="E6" s="201"/>
      <c r="F6" s="105" t="s">
        <v>112</v>
      </c>
      <c r="G6" s="105" t="s">
        <v>113</v>
      </c>
      <c r="H6" s="105" t="s">
        <v>343</v>
      </c>
      <c r="I6" s="105" t="s">
        <v>113</v>
      </c>
      <c r="J6" s="105" t="s">
        <v>114</v>
      </c>
      <c r="K6" s="105" t="s">
        <v>115</v>
      </c>
      <c r="L6" s="105" t="s">
        <v>116</v>
      </c>
      <c r="M6" s="105" t="s">
        <v>117</v>
      </c>
      <c r="N6" s="201"/>
      <c r="O6" s="201"/>
      <c r="P6" s="201"/>
      <c r="Q6" s="201"/>
      <c r="R6" s="201"/>
    </row>
    <row r="7" spans="2:18" s="81" customFormat="1" ht="40.200000000000003" customHeight="1">
      <c r="B7" s="111">
        <v>1</v>
      </c>
      <c r="C7" s="112"/>
      <c r="D7" s="112"/>
      <c r="E7" s="113"/>
      <c r="F7" s="114"/>
      <c r="G7" s="114"/>
      <c r="H7" s="115"/>
      <c r="I7" s="114"/>
      <c r="J7" s="114"/>
      <c r="K7" s="114"/>
      <c r="L7" s="114"/>
      <c r="M7" s="114"/>
      <c r="N7" s="116"/>
      <c r="O7" s="117"/>
      <c r="P7" s="118"/>
      <c r="Q7" s="118"/>
      <c r="R7" s="118"/>
    </row>
    <row r="8" spans="2:18" s="81" customFormat="1" ht="40.200000000000003" customHeight="1">
      <c r="B8" s="111">
        <v>2</v>
      </c>
      <c r="C8" s="112"/>
      <c r="D8" s="119"/>
      <c r="E8" s="113"/>
      <c r="F8" s="114"/>
      <c r="G8" s="114"/>
      <c r="H8" s="115"/>
      <c r="I8" s="114"/>
      <c r="J8" s="114"/>
      <c r="K8" s="114"/>
      <c r="L8" s="114"/>
      <c r="M8" s="114"/>
      <c r="N8" s="116"/>
      <c r="O8" s="120"/>
      <c r="P8" s="118"/>
      <c r="Q8" s="118"/>
      <c r="R8" s="118"/>
    </row>
    <row r="9" spans="2:18" s="81" customFormat="1" ht="40.200000000000003" customHeight="1">
      <c r="B9" s="111">
        <v>3</v>
      </c>
      <c r="C9" s="112"/>
      <c r="D9" s="119"/>
      <c r="E9" s="113"/>
      <c r="F9" s="114"/>
      <c r="G9" s="114"/>
      <c r="H9" s="115"/>
      <c r="I9" s="114"/>
      <c r="J9" s="114"/>
      <c r="K9" s="114"/>
      <c r="L9" s="114"/>
      <c r="M9" s="114"/>
      <c r="N9" s="116"/>
      <c r="O9" s="120"/>
      <c r="P9" s="118"/>
      <c r="Q9" s="118"/>
      <c r="R9" s="118"/>
    </row>
    <row r="10" spans="2:18" s="81" customFormat="1" ht="40.200000000000003" customHeight="1">
      <c r="B10" s="111">
        <v>4</v>
      </c>
      <c r="C10" s="112"/>
      <c r="D10" s="119"/>
      <c r="E10" s="113"/>
      <c r="F10" s="114"/>
      <c r="G10" s="114"/>
      <c r="H10" s="115"/>
      <c r="I10" s="114"/>
      <c r="J10" s="114"/>
      <c r="K10" s="114"/>
      <c r="L10" s="114"/>
      <c r="M10" s="114"/>
      <c r="N10" s="116"/>
      <c r="O10" s="120"/>
      <c r="P10" s="118"/>
      <c r="Q10" s="118"/>
      <c r="R10" s="118"/>
    </row>
    <row r="11" spans="2:18" s="81" customFormat="1" ht="40.200000000000003" customHeight="1">
      <c r="B11" s="111">
        <v>5</v>
      </c>
      <c r="C11" s="112"/>
      <c r="D11" s="119"/>
      <c r="E11" s="113"/>
      <c r="F11" s="114"/>
      <c r="G11" s="114"/>
      <c r="H11" s="115"/>
      <c r="I11" s="114"/>
      <c r="J11" s="114"/>
      <c r="K11" s="114"/>
      <c r="L11" s="114"/>
      <c r="M11" s="114"/>
      <c r="N11" s="116"/>
      <c r="O11" s="120"/>
      <c r="P11" s="118"/>
      <c r="Q11" s="118"/>
      <c r="R11" s="118"/>
    </row>
    <row r="12" spans="2:18" s="81" customFormat="1" ht="40.200000000000003" customHeight="1">
      <c r="B12" s="111">
        <v>6</v>
      </c>
      <c r="C12" s="112"/>
      <c r="D12" s="119"/>
      <c r="E12" s="113"/>
      <c r="F12" s="114"/>
      <c r="G12" s="114"/>
      <c r="H12" s="115"/>
      <c r="I12" s="114"/>
      <c r="J12" s="114"/>
      <c r="K12" s="114"/>
      <c r="L12" s="114"/>
      <c r="M12" s="114"/>
      <c r="N12" s="116"/>
      <c r="O12" s="120"/>
      <c r="P12" s="118"/>
      <c r="Q12" s="118"/>
      <c r="R12" s="118"/>
    </row>
    <row r="13" spans="2:18" s="81" customFormat="1" ht="40.200000000000003" customHeight="1">
      <c r="B13" s="111">
        <v>7</v>
      </c>
      <c r="C13" s="112"/>
      <c r="D13" s="119"/>
      <c r="E13" s="113"/>
      <c r="F13" s="114"/>
      <c r="G13" s="114"/>
      <c r="H13" s="115"/>
      <c r="I13" s="114"/>
      <c r="J13" s="114"/>
      <c r="K13" s="114"/>
      <c r="L13" s="114"/>
      <c r="M13" s="114"/>
      <c r="N13" s="116"/>
      <c r="O13" s="120"/>
      <c r="P13" s="118"/>
      <c r="Q13" s="118"/>
      <c r="R13" s="118"/>
    </row>
    <row r="14" spans="2:18" s="81" customFormat="1" ht="40.200000000000003" customHeight="1">
      <c r="B14" s="111">
        <v>8</v>
      </c>
      <c r="C14" s="112"/>
      <c r="D14" s="119"/>
      <c r="E14" s="113"/>
      <c r="F14" s="114"/>
      <c r="G14" s="114"/>
      <c r="H14" s="115"/>
      <c r="I14" s="114"/>
      <c r="J14" s="114"/>
      <c r="K14" s="114"/>
      <c r="L14" s="114"/>
      <c r="M14" s="114"/>
      <c r="N14" s="116"/>
      <c r="O14" s="120"/>
      <c r="P14" s="118"/>
      <c r="Q14" s="118"/>
      <c r="R14" s="118"/>
    </row>
    <row r="15" spans="2:18" s="81" customFormat="1" ht="40.200000000000003" customHeight="1">
      <c r="B15" s="111">
        <v>9</v>
      </c>
      <c r="C15" s="112"/>
      <c r="D15" s="119"/>
      <c r="E15" s="113"/>
      <c r="F15" s="114"/>
      <c r="G15" s="114"/>
      <c r="H15" s="115"/>
      <c r="I15" s="114"/>
      <c r="J15" s="114"/>
      <c r="K15" s="114"/>
      <c r="L15" s="114"/>
      <c r="M15" s="114"/>
      <c r="N15" s="116"/>
      <c r="O15" s="120"/>
      <c r="P15" s="118"/>
      <c r="Q15" s="118"/>
      <c r="R15" s="118"/>
    </row>
    <row r="16" spans="2:18" s="81" customFormat="1" ht="40.200000000000003" customHeight="1">
      <c r="B16" s="111">
        <v>10</v>
      </c>
      <c r="C16" s="112"/>
      <c r="D16" s="119"/>
      <c r="E16" s="113"/>
      <c r="F16" s="114"/>
      <c r="G16" s="114"/>
      <c r="H16" s="115"/>
      <c r="I16" s="114"/>
      <c r="J16" s="114"/>
      <c r="K16" s="114"/>
      <c r="L16" s="114"/>
      <c r="M16" s="114"/>
      <c r="N16" s="116"/>
      <c r="O16" s="120"/>
      <c r="P16" s="118"/>
      <c r="Q16" s="118"/>
      <c r="R16" s="118"/>
    </row>
  </sheetData>
  <mergeCells count="14">
    <mergeCell ref="O5:O6"/>
    <mergeCell ref="P5:P6"/>
    <mergeCell ref="Q5:Q6"/>
    <mergeCell ref="R5:R6"/>
    <mergeCell ref="B4:O4"/>
    <mergeCell ref="P4:R4"/>
    <mergeCell ref="B5:B6"/>
    <mergeCell ref="C5:C6"/>
    <mergeCell ref="D5:D6"/>
    <mergeCell ref="E5:E6"/>
    <mergeCell ref="F5:G5"/>
    <mergeCell ref="H5:I5"/>
    <mergeCell ref="J5:M5"/>
    <mergeCell ref="N5:N6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DF64-00F4-354B-A2F7-7C2D1FC92393}">
  <sheetPr codeName="Sheet6"/>
  <dimension ref="B2:W11"/>
  <sheetViews>
    <sheetView showGridLines="0" zoomScale="70" zoomScaleNormal="70" workbookViewId="0">
      <selection activeCell="B1" sqref="B1"/>
    </sheetView>
  </sheetViews>
  <sheetFormatPr defaultColWidth="11" defaultRowHeight="17.399999999999999"/>
  <cols>
    <col min="1" max="1" width="1.453125" style="79" customWidth="1"/>
    <col min="2" max="2" width="7.453125" style="79" customWidth="1"/>
    <col min="3" max="3" width="15.81640625" style="78" customWidth="1"/>
    <col min="4" max="4" width="15.81640625" style="79" customWidth="1"/>
    <col min="5" max="6" width="30.81640625" style="79" customWidth="1"/>
    <col min="7" max="8" width="13" style="79" customWidth="1"/>
    <col min="9" max="9" width="13" style="78" customWidth="1"/>
    <col min="10" max="18" width="15.81640625" style="79" customWidth="1"/>
    <col min="19" max="19" width="60.81640625" style="80" customWidth="1"/>
    <col min="20" max="20" width="60.81640625" style="79" customWidth="1"/>
    <col min="21" max="23" width="29.81640625" style="79" hidden="1" customWidth="1"/>
    <col min="24" max="24" width="11" style="79"/>
    <col min="25" max="25" width="27.54296875" style="79" bestFit="1" customWidth="1"/>
    <col min="26" max="16384" width="11" style="79"/>
  </cols>
  <sheetData>
    <row r="2" spans="2:23" ht="40.200000000000003" customHeight="1">
      <c r="B2" s="76" t="s">
        <v>118</v>
      </c>
      <c r="C2" s="77"/>
      <c r="D2" s="77"/>
      <c r="E2" s="77"/>
      <c r="F2" s="77"/>
      <c r="G2" s="77"/>
      <c r="H2" s="77"/>
    </row>
    <row r="3" spans="2:23" ht="18" customHeight="1">
      <c r="B3" s="77"/>
      <c r="C3" s="77"/>
      <c r="D3" s="77"/>
      <c r="E3" s="77"/>
      <c r="F3" s="77"/>
      <c r="G3" s="77"/>
      <c r="H3" s="77"/>
    </row>
    <row r="4" spans="2:23" s="81" customFormat="1" ht="19.2" customHeight="1">
      <c r="B4" s="202" t="s">
        <v>99</v>
      </c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3" t="s">
        <v>18</v>
      </c>
      <c r="V4" s="203"/>
      <c r="W4" s="203"/>
    </row>
    <row r="5" spans="2:23" s="83" customFormat="1" ht="19.95" customHeight="1">
      <c r="B5" s="201" t="s">
        <v>100</v>
      </c>
      <c r="C5" s="201" t="s">
        <v>119</v>
      </c>
      <c r="D5" s="201" t="s">
        <v>120</v>
      </c>
      <c r="E5" s="201" t="s">
        <v>102</v>
      </c>
      <c r="F5" s="201" t="s">
        <v>121</v>
      </c>
      <c r="G5" s="201" t="s">
        <v>122</v>
      </c>
      <c r="H5" s="201"/>
      <c r="I5" s="201"/>
      <c r="J5" s="201" t="s">
        <v>75</v>
      </c>
      <c r="K5" s="201"/>
      <c r="L5" s="201"/>
      <c r="M5" s="201" t="s">
        <v>123</v>
      </c>
      <c r="N5" s="201"/>
      <c r="O5" s="201"/>
      <c r="P5" s="201"/>
      <c r="Q5" s="201"/>
      <c r="R5" s="201"/>
      <c r="S5" s="201" t="s">
        <v>107</v>
      </c>
      <c r="T5" s="201" t="s">
        <v>108</v>
      </c>
      <c r="U5" s="201" t="s">
        <v>109</v>
      </c>
      <c r="V5" s="201" t="s">
        <v>110</v>
      </c>
      <c r="W5" s="201" t="s">
        <v>111</v>
      </c>
    </row>
    <row r="6" spans="2:23" s="83" customFormat="1" ht="19.95" customHeight="1">
      <c r="B6" s="201"/>
      <c r="C6" s="201"/>
      <c r="D6" s="201"/>
      <c r="E6" s="201"/>
      <c r="F6" s="201"/>
      <c r="G6" s="105" t="s">
        <v>32</v>
      </c>
      <c r="H6" s="105" t="s">
        <v>124</v>
      </c>
      <c r="I6" s="105" t="s">
        <v>125</v>
      </c>
      <c r="J6" s="105" t="s">
        <v>69</v>
      </c>
      <c r="K6" s="105" t="s">
        <v>74</v>
      </c>
      <c r="L6" s="105" t="s">
        <v>126</v>
      </c>
      <c r="M6" s="105" t="s">
        <v>32</v>
      </c>
      <c r="N6" s="105" t="s">
        <v>124</v>
      </c>
      <c r="O6" s="105" t="s">
        <v>125</v>
      </c>
      <c r="P6" s="105" t="s">
        <v>69</v>
      </c>
      <c r="Q6" s="105" t="s">
        <v>74</v>
      </c>
      <c r="R6" s="105" t="s">
        <v>126</v>
      </c>
      <c r="S6" s="201"/>
      <c r="T6" s="201"/>
      <c r="U6" s="201"/>
      <c r="V6" s="201"/>
      <c r="W6" s="201"/>
    </row>
    <row r="7" spans="2:23" s="81" customFormat="1" ht="40.200000000000003" customHeight="1">
      <c r="B7" s="111">
        <v>1</v>
      </c>
      <c r="C7" s="112"/>
      <c r="D7" s="112"/>
      <c r="E7" s="112"/>
      <c r="F7" s="112"/>
      <c r="G7" s="121"/>
      <c r="H7" s="121"/>
      <c r="I7" s="121"/>
      <c r="J7" s="121"/>
      <c r="K7" s="121"/>
      <c r="L7" s="121"/>
      <c r="M7" s="114"/>
      <c r="N7" s="114"/>
      <c r="O7" s="114"/>
      <c r="P7" s="114"/>
      <c r="Q7" s="114"/>
      <c r="R7" s="114"/>
      <c r="S7" s="122"/>
      <c r="T7" s="120"/>
      <c r="U7" s="118"/>
      <c r="V7" s="118"/>
      <c r="W7" s="118"/>
    </row>
    <row r="8" spans="2:23" s="81" customFormat="1" ht="40.200000000000003" customHeight="1">
      <c r="B8" s="111">
        <v>2</v>
      </c>
      <c r="C8" s="112"/>
      <c r="D8" s="112"/>
      <c r="E8" s="112"/>
      <c r="F8" s="112"/>
      <c r="G8" s="121"/>
      <c r="H8" s="121"/>
      <c r="I8" s="121"/>
      <c r="J8" s="121"/>
      <c r="K8" s="121"/>
      <c r="L8" s="121"/>
      <c r="M8" s="114"/>
      <c r="N8" s="114"/>
      <c r="O8" s="114"/>
      <c r="P8" s="114"/>
      <c r="Q8" s="114"/>
      <c r="R8" s="114"/>
      <c r="S8" s="123"/>
      <c r="T8" s="120"/>
      <c r="U8" s="118"/>
      <c r="V8" s="118"/>
      <c r="W8" s="118"/>
    </row>
    <row r="9" spans="2:23" s="81" customFormat="1" ht="40.200000000000003" customHeight="1">
      <c r="B9" s="111">
        <v>3</v>
      </c>
      <c r="C9" s="112"/>
      <c r="D9" s="112"/>
      <c r="E9" s="112"/>
      <c r="F9" s="112"/>
      <c r="G9" s="119"/>
      <c r="H9" s="114"/>
      <c r="I9" s="114"/>
      <c r="J9" s="116"/>
      <c r="K9" s="120"/>
      <c r="L9" s="118"/>
      <c r="M9" s="118"/>
      <c r="N9" s="118"/>
      <c r="O9" s="118"/>
      <c r="P9" s="118"/>
      <c r="Q9" s="118"/>
      <c r="R9" s="118"/>
      <c r="S9" s="118"/>
      <c r="T9" s="118"/>
    </row>
    <row r="10" spans="2:23" s="81" customFormat="1" ht="40.200000000000003" customHeight="1">
      <c r="B10" s="111">
        <v>4</v>
      </c>
      <c r="C10" s="112"/>
      <c r="D10" s="112"/>
      <c r="E10" s="112"/>
      <c r="F10" s="112"/>
      <c r="G10" s="119"/>
      <c r="H10" s="114"/>
      <c r="I10" s="114"/>
      <c r="J10" s="116"/>
      <c r="K10" s="120"/>
      <c r="L10" s="118"/>
      <c r="M10" s="118"/>
      <c r="N10" s="118"/>
      <c r="O10" s="118"/>
      <c r="P10" s="118"/>
      <c r="Q10" s="118"/>
      <c r="R10" s="118"/>
      <c r="S10" s="118"/>
      <c r="T10" s="118"/>
    </row>
    <row r="11" spans="2:23" s="81" customFormat="1" ht="40.200000000000003" customHeight="1">
      <c r="B11" s="111">
        <v>5</v>
      </c>
      <c r="C11" s="112"/>
      <c r="D11" s="112"/>
      <c r="E11" s="112"/>
      <c r="F11" s="112"/>
      <c r="G11" s="119"/>
      <c r="H11" s="114"/>
      <c r="I11" s="114"/>
      <c r="J11" s="116"/>
      <c r="K11" s="120"/>
      <c r="L11" s="118"/>
      <c r="M11" s="118"/>
      <c r="N11" s="118"/>
      <c r="O11" s="118"/>
      <c r="P11" s="118"/>
      <c r="Q11" s="118"/>
      <c r="R11" s="118"/>
      <c r="S11" s="118"/>
      <c r="T11" s="118"/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C25C-9C78-3140-A4BC-86F8E15E8E52}">
  <sheetPr codeName="Sheet7"/>
  <dimension ref="B2:W16"/>
  <sheetViews>
    <sheetView showGridLines="0" zoomScaleNormal="100" workbookViewId="0">
      <selection activeCell="H10" sqref="H10"/>
    </sheetView>
  </sheetViews>
  <sheetFormatPr defaultColWidth="11" defaultRowHeight="17.399999999999999"/>
  <cols>
    <col min="1" max="1" width="1.453125" style="79" customWidth="1"/>
    <col min="2" max="2" width="7.453125" style="79" customWidth="1"/>
    <col min="3" max="3" width="15.81640625" style="78" customWidth="1"/>
    <col min="4" max="4" width="15.81640625" style="79" customWidth="1"/>
    <col min="5" max="6" width="30.81640625" style="79" customWidth="1"/>
    <col min="7" max="8" width="13" style="79" customWidth="1"/>
    <col min="9" max="9" width="13" style="78" customWidth="1"/>
    <col min="10" max="18" width="15.81640625" style="79" customWidth="1"/>
    <col min="19" max="19" width="60.81640625" style="80" customWidth="1"/>
    <col min="20" max="20" width="60.81640625" style="79" customWidth="1"/>
    <col min="21" max="23" width="29.81640625" style="79" customWidth="1"/>
    <col min="24" max="24" width="11" style="79"/>
    <col min="25" max="25" width="27.54296875" style="79" bestFit="1" customWidth="1"/>
    <col min="26" max="16384" width="11" style="79"/>
  </cols>
  <sheetData>
    <row r="2" spans="2:23" ht="40.200000000000003" customHeight="1">
      <c r="B2" s="76" t="s">
        <v>127</v>
      </c>
      <c r="C2" s="77"/>
      <c r="D2" s="77"/>
      <c r="E2" s="77"/>
      <c r="F2" s="77"/>
      <c r="G2" s="77"/>
      <c r="H2" s="77"/>
    </row>
    <row r="3" spans="2:23" ht="18" customHeight="1">
      <c r="B3" s="77"/>
      <c r="C3" s="77"/>
      <c r="D3" s="77"/>
      <c r="E3" s="77"/>
      <c r="F3" s="77"/>
      <c r="G3" s="77"/>
      <c r="H3" s="77"/>
    </row>
    <row r="4" spans="2:23" s="81" customFormat="1" ht="19.2" customHeight="1">
      <c r="B4" s="202" t="s">
        <v>99</v>
      </c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3" t="s">
        <v>18</v>
      </c>
      <c r="V4" s="203"/>
      <c r="W4" s="203"/>
    </row>
    <row r="5" spans="2:23" s="83" customFormat="1" ht="19.95" customHeight="1">
      <c r="B5" s="204" t="s">
        <v>100</v>
      </c>
      <c r="C5" s="205" t="s">
        <v>119</v>
      </c>
      <c r="D5" s="205" t="s">
        <v>120</v>
      </c>
      <c r="E5" s="204" t="s">
        <v>102</v>
      </c>
      <c r="F5" s="204" t="s">
        <v>35</v>
      </c>
      <c r="G5" s="204" t="s">
        <v>122</v>
      </c>
      <c r="H5" s="204"/>
      <c r="I5" s="204"/>
      <c r="J5" s="204" t="s">
        <v>75</v>
      </c>
      <c r="K5" s="204"/>
      <c r="L5" s="204"/>
      <c r="M5" s="204" t="s">
        <v>123</v>
      </c>
      <c r="N5" s="204"/>
      <c r="O5" s="204"/>
      <c r="P5" s="204"/>
      <c r="Q5" s="204"/>
      <c r="R5" s="204"/>
      <c r="S5" s="204" t="s">
        <v>107</v>
      </c>
      <c r="T5" s="204" t="s">
        <v>108</v>
      </c>
      <c r="U5" s="204" t="s">
        <v>109</v>
      </c>
      <c r="V5" s="204" t="s">
        <v>110</v>
      </c>
      <c r="W5" s="204" t="s">
        <v>111</v>
      </c>
    </row>
    <row r="6" spans="2:23" s="83" customFormat="1" ht="19.95" customHeight="1">
      <c r="B6" s="204"/>
      <c r="C6" s="206"/>
      <c r="D6" s="206"/>
      <c r="E6" s="204"/>
      <c r="F6" s="204"/>
      <c r="G6" s="82" t="s">
        <v>32</v>
      </c>
      <c r="H6" s="82" t="s">
        <v>124</v>
      </c>
      <c r="I6" s="82" t="s">
        <v>125</v>
      </c>
      <c r="J6" s="82" t="s">
        <v>69</v>
      </c>
      <c r="K6" s="82" t="s">
        <v>74</v>
      </c>
      <c r="L6" s="82" t="s">
        <v>126</v>
      </c>
      <c r="M6" s="82" t="s">
        <v>32</v>
      </c>
      <c r="N6" s="82" t="s">
        <v>124</v>
      </c>
      <c r="O6" s="82" t="s">
        <v>125</v>
      </c>
      <c r="P6" s="82" t="s">
        <v>69</v>
      </c>
      <c r="Q6" s="82" t="s">
        <v>74</v>
      </c>
      <c r="R6" s="82" t="s">
        <v>126</v>
      </c>
      <c r="S6" s="204"/>
      <c r="T6" s="204"/>
      <c r="U6" s="204"/>
      <c r="V6" s="204"/>
      <c r="W6" s="204"/>
    </row>
    <row r="7" spans="2:23" s="81" customFormat="1" ht="40.200000000000003" customHeight="1">
      <c r="B7" s="84">
        <v>1</v>
      </c>
      <c r="C7" s="85"/>
      <c r="D7" s="91"/>
      <c r="E7" s="86"/>
      <c r="F7" s="86"/>
      <c r="G7" s="87"/>
      <c r="H7" s="87"/>
      <c r="I7" s="87"/>
      <c r="J7" s="88"/>
      <c r="K7" s="88"/>
      <c r="L7" s="87"/>
      <c r="M7" s="87"/>
      <c r="N7" s="87"/>
      <c r="O7" s="87"/>
      <c r="P7" s="87"/>
      <c r="Q7" s="87"/>
      <c r="R7" s="87"/>
      <c r="S7" s="89"/>
      <c r="T7" s="92"/>
      <c r="U7" s="90"/>
      <c r="V7" s="90"/>
      <c r="W7" s="90"/>
    </row>
    <row r="8" spans="2:23" s="81" customFormat="1" ht="40.200000000000003" customHeight="1">
      <c r="B8" s="84">
        <v>2</v>
      </c>
      <c r="C8" s="85"/>
      <c r="D8" s="91"/>
      <c r="E8" s="86"/>
      <c r="F8" s="86"/>
      <c r="G8" s="87"/>
      <c r="H8" s="87"/>
      <c r="I8" s="87"/>
      <c r="J8" s="88"/>
      <c r="K8" s="88"/>
      <c r="L8" s="87"/>
      <c r="M8" s="87"/>
      <c r="N8" s="87"/>
      <c r="O8" s="87"/>
      <c r="P8" s="87"/>
      <c r="Q8" s="87"/>
      <c r="R8" s="87"/>
      <c r="S8" s="89"/>
      <c r="T8" s="92"/>
      <c r="U8" s="90"/>
      <c r="V8" s="90"/>
      <c r="W8" s="90"/>
    </row>
    <row r="9" spans="2:23" s="81" customFormat="1" ht="40.200000000000003" customHeight="1">
      <c r="B9" s="84">
        <v>3</v>
      </c>
      <c r="C9" s="85"/>
      <c r="D9" s="91"/>
      <c r="E9" s="86"/>
      <c r="F9" s="86"/>
      <c r="G9" s="87"/>
      <c r="H9" s="87"/>
      <c r="I9" s="87"/>
      <c r="J9" s="88"/>
      <c r="K9" s="88"/>
      <c r="L9" s="87"/>
      <c r="M9" s="87"/>
      <c r="N9" s="87"/>
      <c r="O9" s="87"/>
      <c r="P9" s="87"/>
      <c r="Q9" s="87"/>
      <c r="R9" s="87"/>
      <c r="S9" s="89"/>
      <c r="T9" s="92"/>
      <c r="U9" s="90"/>
      <c r="V9" s="90"/>
      <c r="W9" s="90"/>
    </row>
    <row r="10" spans="2:23" s="81" customFormat="1" ht="40.200000000000003" customHeight="1">
      <c r="B10" s="84">
        <v>4</v>
      </c>
      <c r="C10" s="85"/>
      <c r="D10" s="91"/>
      <c r="E10" s="86"/>
      <c r="F10" s="86"/>
      <c r="G10" s="87"/>
      <c r="H10" s="87"/>
      <c r="I10" s="87"/>
      <c r="J10" s="88"/>
      <c r="K10" s="88"/>
      <c r="L10" s="87"/>
      <c r="M10" s="87"/>
      <c r="N10" s="87"/>
      <c r="O10" s="87"/>
      <c r="P10" s="87"/>
      <c r="Q10" s="87"/>
      <c r="R10" s="87"/>
      <c r="S10" s="89"/>
      <c r="T10" s="92"/>
      <c r="U10" s="90"/>
      <c r="V10" s="90"/>
      <c r="W10" s="90"/>
    </row>
    <row r="11" spans="2:23" s="81" customFormat="1" ht="40.200000000000003" customHeight="1">
      <c r="B11" s="84">
        <v>5</v>
      </c>
      <c r="C11" s="85"/>
      <c r="D11" s="91"/>
      <c r="E11" s="86"/>
      <c r="F11" s="86"/>
      <c r="G11" s="87"/>
      <c r="H11" s="87"/>
      <c r="I11" s="87"/>
      <c r="J11" s="88"/>
      <c r="K11" s="88"/>
      <c r="L11" s="87"/>
      <c r="M11" s="87"/>
      <c r="N11" s="87"/>
      <c r="O11" s="87"/>
      <c r="P11" s="87"/>
      <c r="Q11" s="87"/>
      <c r="R11" s="87"/>
      <c r="S11" s="89"/>
      <c r="T11" s="92"/>
      <c r="U11" s="90"/>
      <c r="V11" s="90"/>
      <c r="W11" s="90"/>
    </row>
    <row r="12" spans="2:23" s="81" customFormat="1" ht="40.200000000000003" customHeight="1">
      <c r="B12" s="84">
        <v>6</v>
      </c>
      <c r="C12" s="85"/>
      <c r="D12" s="91"/>
      <c r="E12" s="86"/>
      <c r="F12" s="86"/>
      <c r="G12" s="87"/>
      <c r="H12" s="87"/>
      <c r="I12" s="87"/>
      <c r="J12" s="88"/>
      <c r="K12" s="88"/>
      <c r="L12" s="87"/>
      <c r="M12" s="87"/>
      <c r="N12" s="87"/>
      <c r="O12" s="87"/>
      <c r="P12" s="87"/>
      <c r="Q12" s="87"/>
      <c r="R12" s="87"/>
      <c r="S12" s="89"/>
      <c r="T12" s="92"/>
      <c r="U12" s="90"/>
      <c r="V12" s="90"/>
      <c r="W12" s="90"/>
    </row>
    <row r="13" spans="2:23" s="81" customFormat="1" ht="40.200000000000003" customHeight="1">
      <c r="B13" s="84">
        <v>7</v>
      </c>
      <c r="C13" s="85"/>
      <c r="D13" s="91"/>
      <c r="E13" s="86"/>
      <c r="F13" s="86"/>
      <c r="G13" s="87"/>
      <c r="H13" s="87"/>
      <c r="I13" s="87"/>
      <c r="J13" s="88"/>
      <c r="K13" s="88"/>
      <c r="L13" s="87"/>
      <c r="M13" s="87"/>
      <c r="N13" s="87"/>
      <c r="O13" s="87"/>
      <c r="P13" s="87"/>
      <c r="Q13" s="87"/>
      <c r="R13" s="87"/>
      <c r="S13" s="89"/>
      <c r="T13" s="92"/>
      <c r="U13" s="90"/>
      <c r="V13" s="90"/>
      <c r="W13" s="90"/>
    </row>
    <row r="14" spans="2:23" s="81" customFormat="1" ht="40.200000000000003" customHeight="1">
      <c r="B14" s="84">
        <v>8</v>
      </c>
      <c r="C14" s="85"/>
      <c r="D14" s="91"/>
      <c r="E14" s="86"/>
      <c r="F14" s="86"/>
      <c r="G14" s="87"/>
      <c r="H14" s="87"/>
      <c r="I14" s="87"/>
      <c r="J14" s="88"/>
      <c r="K14" s="88"/>
      <c r="L14" s="87"/>
      <c r="M14" s="87"/>
      <c r="N14" s="87"/>
      <c r="O14" s="87"/>
      <c r="P14" s="87"/>
      <c r="Q14" s="87"/>
      <c r="R14" s="87"/>
      <c r="S14" s="89"/>
      <c r="T14" s="92"/>
      <c r="U14" s="90"/>
      <c r="V14" s="90"/>
      <c r="W14" s="90"/>
    </row>
    <row r="15" spans="2:23" s="81" customFormat="1" ht="40.200000000000003" customHeight="1">
      <c r="B15" s="84">
        <v>9</v>
      </c>
      <c r="C15" s="85"/>
      <c r="D15" s="91"/>
      <c r="E15" s="86"/>
      <c r="F15" s="86"/>
      <c r="G15" s="87"/>
      <c r="H15" s="87"/>
      <c r="I15" s="87"/>
      <c r="J15" s="88"/>
      <c r="K15" s="88"/>
      <c r="L15" s="87"/>
      <c r="M15" s="87"/>
      <c r="N15" s="87"/>
      <c r="O15" s="87"/>
      <c r="P15" s="87"/>
      <c r="Q15" s="87"/>
      <c r="R15" s="87"/>
      <c r="S15" s="89"/>
      <c r="T15" s="92"/>
      <c r="U15" s="90"/>
      <c r="V15" s="90"/>
      <c r="W15" s="90"/>
    </row>
    <row r="16" spans="2:23" s="81" customFormat="1" ht="40.200000000000003" customHeight="1">
      <c r="B16" s="84">
        <v>10</v>
      </c>
      <c r="C16" s="85"/>
      <c r="D16" s="91"/>
      <c r="E16" s="86"/>
      <c r="F16" s="86"/>
      <c r="G16" s="87"/>
      <c r="H16" s="87"/>
      <c r="I16" s="87"/>
      <c r="J16" s="88"/>
      <c r="K16" s="88"/>
      <c r="L16" s="87"/>
      <c r="M16" s="87"/>
      <c r="N16" s="87"/>
      <c r="O16" s="87"/>
      <c r="P16" s="87"/>
      <c r="Q16" s="87"/>
      <c r="R16" s="87"/>
      <c r="S16" s="89"/>
      <c r="T16" s="92"/>
      <c r="U16" s="90"/>
      <c r="V16" s="90"/>
      <c r="W16" s="90"/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9790-E402-E443-8B4F-77C6F469231E}">
  <sheetPr codeName="Sheet8"/>
  <dimension ref="B2:N10"/>
  <sheetViews>
    <sheetView showGridLines="0" zoomScaleNormal="100" workbookViewId="0">
      <selection activeCell="M99" sqref="M99"/>
    </sheetView>
  </sheetViews>
  <sheetFormatPr defaultColWidth="11" defaultRowHeight="17.399999999999999"/>
  <cols>
    <col min="1" max="1" width="1.453125" style="79" customWidth="1"/>
    <col min="2" max="2" width="7.453125" style="79" customWidth="1"/>
    <col min="3" max="6" width="30.81640625" style="78" customWidth="1"/>
    <col min="7" max="7" width="30.81640625" style="79" customWidth="1"/>
    <col min="8" max="9" width="20.81640625" style="79" customWidth="1"/>
    <col min="10" max="10" width="60.81640625" style="80" customWidth="1"/>
    <col min="11" max="11" width="60.81640625" style="79" customWidth="1"/>
    <col min="12" max="14" width="29.81640625" style="79" customWidth="1"/>
    <col min="15" max="15" width="11" style="79"/>
    <col min="16" max="16" width="27.54296875" style="79" bestFit="1" customWidth="1"/>
    <col min="17" max="16384" width="11" style="79"/>
  </cols>
  <sheetData>
    <row r="2" spans="2:14" ht="40.200000000000003" customHeight="1">
      <c r="B2" s="76" t="s">
        <v>128</v>
      </c>
      <c r="C2" s="77"/>
      <c r="D2" s="77"/>
      <c r="E2" s="77"/>
      <c r="F2" s="77"/>
      <c r="G2" s="77"/>
      <c r="H2" s="77"/>
    </row>
    <row r="3" spans="2:14" ht="18" customHeight="1">
      <c r="B3" s="77"/>
      <c r="C3" s="77"/>
      <c r="D3" s="77"/>
      <c r="E3" s="77"/>
      <c r="F3" s="77"/>
      <c r="G3" s="77"/>
      <c r="H3" s="77"/>
    </row>
    <row r="4" spans="2:14" s="81" customFormat="1" ht="19.2" customHeight="1">
      <c r="B4" s="202" t="s">
        <v>99</v>
      </c>
      <c r="C4" s="202"/>
      <c r="D4" s="202"/>
      <c r="E4" s="202"/>
      <c r="F4" s="202"/>
      <c r="G4" s="202"/>
      <c r="H4" s="202"/>
      <c r="I4" s="202"/>
      <c r="J4" s="202"/>
      <c r="K4" s="202"/>
      <c r="L4" s="203" t="s">
        <v>18</v>
      </c>
      <c r="M4" s="203"/>
      <c r="N4" s="203"/>
    </row>
    <row r="5" spans="2:14" s="83" customFormat="1" ht="19.95" customHeight="1">
      <c r="B5" s="82" t="s">
        <v>100</v>
      </c>
      <c r="C5" s="93" t="s">
        <v>129</v>
      </c>
      <c r="D5" s="93" t="s">
        <v>130</v>
      </c>
      <c r="E5" s="93" t="s">
        <v>131</v>
      </c>
      <c r="F5" s="93" t="s">
        <v>132</v>
      </c>
      <c r="G5" s="93" t="s">
        <v>133</v>
      </c>
      <c r="H5" s="82" t="s">
        <v>122</v>
      </c>
      <c r="I5" s="82" t="s">
        <v>123</v>
      </c>
      <c r="J5" s="93" t="s">
        <v>107</v>
      </c>
      <c r="K5" s="93" t="s">
        <v>108</v>
      </c>
      <c r="L5" s="93" t="s">
        <v>109</v>
      </c>
      <c r="M5" s="93" t="s">
        <v>110</v>
      </c>
      <c r="N5" s="93" t="s">
        <v>111</v>
      </c>
    </row>
    <row r="6" spans="2:14" s="81" customFormat="1" ht="40.200000000000003" customHeight="1">
      <c r="B6" s="84">
        <v>1</v>
      </c>
      <c r="C6" s="94"/>
      <c r="D6" s="94"/>
      <c r="E6" s="94"/>
      <c r="F6" s="94"/>
      <c r="G6" s="91"/>
      <c r="H6" s="87"/>
      <c r="I6" s="87"/>
      <c r="J6" s="89"/>
      <c r="K6" s="92"/>
      <c r="L6" s="90"/>
      <c r="M6" s="90"/>
      <c r="N6" s="90"/>
    </row>
    <row r="7" spans="2:14" s="81" customFormat="1" ht="40.200000000000003" customHeight="1">
      <c r="B7" s="84">
        <v>2</v>
      </c>
      <c r="C7" s="85"/>
      <c r="D7" s="85"/>
      <c r="E7" s="85"/>
      <c r="F7" s="85"/>
      <c r="G7" s="91"/>
      <c r="H7" s="87"/>
      <c r="I7" s="87"/>
      <c r="J7" s="89"/>
      <c r="K7" s="92"/>
      <c r="L7" s="90"/>
      <c r="M7" s="90"/>
      <c r="N7" s="90"/>
    </row>
    <row r="8" spans="2:14" s="81" customFormat="1" ht="40.200000000000003" customHeight="1">
      <c r="B8" s="84">
        <v>3</v>
      </c>
      <c r="C8" s="85"/>
      <c r="D8" s="85"/>
      <c r="E8" s="85"/>
      <c r="F8" s="85"/>
      <c r="G8" s="91"/>
      <c r="H8" s="87"/>
      <c r="I8" s="87"/>
      <c r="J8" s="89"/>
      <c r="K8" s="92"/>
      <c r="L8" s="90"/>
      <c r="M8" s="90"/>
      <c r="N8" s="90"/>
    </row>
    <row r="9" spans="2:14" s="81" customFormat="1" ht="40.200000000000003" customHeight="1">
      <c r="B9" s="84">
        <v>4</v>
      </c>
      <c r="C9" s="85"/>
      <c r="D9" s="85"/>
      <c r="E9" s="85"/>
      <c r="F9" s="85"/>
      <c r="G9" s="91"/>
      <c r="H9" s="87"/>
      <c r="I9" s="87"/>
      <c r="J9" s="89"/>
      <c r="K9" s="92"/>
      <c r="L9" s="90"/>
      <c r="M9" s="90"/>
      <c r="N9" s="90"/>
    </row>
    <row r="10" spans="2:14" s="81" customFormat="1" ht="40.200000000000003" customHeight="1">
      <c r="B10" s="84">
        <v>5</v>
      </c>
      <c r="C10" s="85"/>
      <c r="D10" s="85"/>
      <c r="E10" s="85"/>
      <c r="F10" s="85"/>
      <c r="G10" s="91"/>
      <c r="H10" s="87"/>
      <c r="I10" s="87"/>
      <c r="J10" s="89"/>
      <c r="K10" s="92"/>
      <c r="L10" s="90"/>
      <c r="M10" s="90"/>
      <c r="N10" s="90"/>
    </row>
  </sheetData>
  <mergeCells count="2">
    <mergeCell ref="B4:K4"/>
    <mergeCell ref="L4:N4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694D-AF7A-DD4C-A893-05006F497797}">
  <sheetPr codeName="Sheet9"/>
  <dimension ref="B2:E3"/>
  <sheetViews>
    <sheetView showGridLines="0" workbookViewId="0">
      <selection activeCell="M99" sqref="M99"/>
    </sheetView>
  </sheetViews>
  <sheetFormatPr defaultColWidth="11.54296875" defaultRowHeight="19.2"/>
  <cols>
    <col min="1" max="1" width="1.81640625" customWidth="1"/>
    <col min="2" max="4" width="15.81640625" customWidth="1"/>
    <col min="5" max="5" width="90.81640625" customWidth="1"/>
  </cols>
  <sheetData>
    <row r="2" spans="2:5">
      <c r="B2" s="95" t="s">
        <v>134</v>
      </c>
      <c r="C2" s="95" t="s">
        <v>135</v>
      </c>
      <c r="D2" s="95" t="s">
        <v>136</v>
      </c>
      <c r="E2" s="95" t="s">
        <v>137</v>
      </c>
    </row>
    <row r="3" spans="2:5">
      <c r="B3" s="96">
        <v>1</v>
      </c>
      <c r="C3" s="97">
        <v>43315</v>
      </c>
      <c r="D3" s="98" t="s">
        <v>138</v>
      </c>
      <c r="E3" s="99" t="s">
        <v>139</v>
      </c>
    </row>
  </sheetData>
  <phoneticPr fontId="10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Waiver Summary</vt:lpstr>
      <vt:lpstr>Shipping Lot List</vt:lpstr>
      <vt:lpstr>FAI</vt:lpstr>
      <vt:lpstr>SPC</vt:lpstr>
      <vt:lpstr>Cosmetic Waivers</vt:lpstr>
      <vt:lpstr>Dimensional Waivers</vt:lpstr>
      <vt:lpstr>Functional Waivers</vt:lpstr>
      <vt:lpstr>Reliability Waivers</vt:lpstr>
      <vt:lpstr>Rev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이윤아</cp:lastModifiedBy>
  <dcterms:created xsi:type="dcterms:W3CDTF">2018-08-03T17:39:04Z</dcterms:created>
  <dcterms:modified xsi:type="dcterms:W3CDTF">2026-02-27T04:55:16Z</dcterms:modified>
</cp:coreProperties>
</file>