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173C02A5-7CB1-4F23-8022-F0EBA1973302}" xr6:coauthVersionLast="47" xr6:coauthVersionMax="47" xr10:uidLastSave="{00000000-0000-0000-0000-000000000000}"/>
  <bookViews>
    <workbookView xWindow="-120" yWindow="480" windowWidth="29040" windowHeight="15840" tabRatio="792" xr2:uid="{558B7DC1-779D-BB42-B43A-ED7A08375808}"/>
  </bookViews>
  <sheets>
    <sheet name="Waiver Summary" sheetId="5" r:id="rId1"/>
    <sheet name="Shipping Lot List" sheetId="21" r:id="rId2"/>
    <sheet name="FAI" sheetId="22" r:id="rId3"/>
    <sheet name="SPC" sheetId="23" r:id="rId4"/>
  </sheets>
  <externalReferences>
    <externalReference r:id="rId5"/>
  </externalReference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1" hidden="1">'Shipping Lot List'!$B$1:$H$3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[1]!ㅂㅂㅂ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E10" i="5" s="1"/>
  <c r="M7" i="22"/>
  <c r="L7" i="22"/>
  <c r="AC37" i="23"/>
  <c r="R37" i="23"/>
  <c r="S37" i="23" s="1"/>
  <c r="P37" i="23"/>
  <c r="O37" i="23"/>
  <c r="X37" i="23" s="1"/>
  <c r="N37" i="23"/>
  <c r="M37" i="23"/>
  <c r="AC36" i="23"/>
  <c r="R36" i="23"/>
  <c r="S36" i="23" s="1"/>
  <c r="P36" i="23"/>
  <c r="O36" i="23"/>
  <c r="Y36" i="23" s="1"/>
  <c r="N36" i="23"/>
  <c r="M36" i="23"/>
  <c r="AC35" i="23"/>
  <c r="O35" i="23"/>
  <c r="X35" i="23" s="1"/>
  <c r="P35" i="23"/>
  <c r="R35" i="23"/>
  <c r="S35" i="23" s="1"/>
  <c r="N35" i="23"/>
  <c r="M35" i="23"/>
  <c r="AC34" i="23"/>
  <c r="R34" i="23"/>
  <c r="S34" i="23" s="1"/>
  <c r="P34" i="23"/>
  <c r="Q34" i="23" s="1"/>
  <c r="O34" i="23"/>
  <c r="Z34" i="23" s="1"/>
  <c r="N34" i="23"/>
  <c r="M34" i="23"/>
  <c r="AC33" i="23"/>
  <c r="R33" i="23"/>
  <c r="S33" i="23" s="1"/>
  <c r="P33" i="23"/>
  <c r="Q33" i="23" s="1"/>
  <c r="AA33" i="23" s="1"/>
  <c r="O33" i="23"/>
  <c r="Y33" i="23" s="1"/>
  <c r="N33" i="23"/>
  <c r="M33" i="23"/>
  <c r="AC32" i="23"/>
  <c r="R32" i="23"/>
  <c r="S32" i="23" s="1"/>
  <c r="P32" i="23"/>
  <c r="Q32" i="23" s="1"/>
  <c r="AA32" i="23" s="1"/>
  <c r="O32" i="23"/>
  <c r="X32" i="23" s="1"/>
  <c r="N32" i="23"/>
  <c r="M32" i="23"/>
  <c r="AC31" i="23"/>
  <c r="R31" i="23"/>
  <c r="S31" i="23" s="1"/>
  <c r="P31" i="23"/>
  <c r="Q31" i="23" s="1"/>
  <c r="AA31" i="23" s="1"/>
  <c r="O31" i="23"/>
  <c r="N31" i="23"/>
  <c r="M31" i="23"/>
  <c r="AC30" i="23"/>
  <c r="O30" i="23"/>
  <c r="Y30" i="23" s="1"/>
  <c r="P30" i="23"/>
  <c r="U30" i="23" s="1"/>
  <c r="R30" i="23"/>
  <c r="S30" i="23" s="1"/>
  <c r="N30" i="23"/>
  <c r="M30" i="23"/>
  <c r="AC29" i="23"/>
  <c r="R29" i="23"/>
  <c r="S29" i="23" s="1"/>
  <c r="P29" i="23"/>
  <c r="Q29" i="23" s="1"/>
  <c r="O29" i="23"/>
  <c r="N29" i="23"/>
  <c r="M29" i="23"/>
  <c r="AC28" i="23"/>
  <c r="R28" i="23"/>
  <c r="S28" i="23" s="1"/>
  <c r="P28" i="23"/>
  <c r="Q28" i="23" s="1"/>
  <c r="O28" i="23"/>
  <c r="N28" i="23"/>
  <c r="M28" i="23"/>
  <c r="AC27" i="23"/>
  <c r="R27" i="23"/>
  <c r="S27" i="23" s="1"/>
  <c r="P27" i="23"/>
  <c r="O27" i="23"/>
  <c r="N27" i="23"/>
  <c r="M27" i="23"/>
  <c r="AC26" i="23"/>
  <c r="R26" i="23"/>
  <c r="S26" i="23" s="1"/>
  <c r="P26" i="23"/>
  <c r="Q26" i="23" s="1"/>
  <c r="O26" i="23"/>
  <c r="N26" i="23"/>
  <c r="M26" i="23"/>
  <c r="AC25" i="23"/>
  <c r="R25" i="23"/>
  <c r="S25" i="23" s="1"/>
  <c r="P25" i="23"/>
  <c r="Q25" i="23" s="1"/>
  <c r="O25" i="23"/>
  <c r="N25" i="23"/>
  <c r="M25" i="23"/>
  <c r="AC24" i="23"/>
  <c r="R24" i="23"/>
  <c r="S24" i="23" s="1"/>
  <c r="P24" i="23"/>
  <c r="Q24" i="23" s="1"/>
  <c r="AA24" i="23" s="1"/>
  <c r="O24" i="23"/>
  <c r="Z24" i="23" s="1"/>
  <c r="N24" i="23"/>
  <c r="M24" i="23"/>
  <c r="AC23" i="23"/>
  <c r="R23" i="23"/>
  <c r="S23" i="23" s="1"/>
  <c r="P23" i="23"/>
  <c r="Q23" i="23" s="1"/>
  <c r="AA23" i="23" s="1"/>
  <c r="O23" i="23"/>
  <c r="Z23" i="23" s="1"/>
  <c r="N23" i="23"/>
  <c r="M23" i="23"/>
  <c r="AC22" i="23"/>
  <c r="R22" i="23"/>
  <c r="S22" i="23" s="1"/>
  <c r="P22" i="23"/>
  <c r="Q22" i="23" s="1"/>
  <c r="AA22" i="23" s="1"/>
  <c r="O22" i="23"/>
  <c r="N22" i="23"/>
  <c r="M22" i="23"/>
  <c r="AC21" i="23"/>
  <c r="R21" i="23"/>
  <c r="S21" i="23" s="1"/>
  <c r="P21" i="23"/>
  <c r="Q21" i="23" s="1"/>
  <c r="AA21" i="23" s="1"/>
  <c r="O21" i="23"/>
  <c r="X21" i="23" s="1"/>
  <c r="N21" i="23"/>
  <c r="M21" i="23"/>
  <c r="AC20" i="23"/>
  <c r="R20" i="23"/>
  <c r="S20" i="23" s="1"/>
  <c r="P20" i="23"/>
  <c r="Q20" i="23" s="1"/>
  <c r="AA20" i="23" s="1"/>
  <c r="O20" i="23"/>
  <c r="Y20" i="23" s="1"/>
  <c r="N20" i="23"/>
  <c r="M20" i="23"/>
  <c r="AC19" i="23"/>
  <c r="R19" i="23"/>
  <c r="S19" i="23" s="1"/>
  <c r="P19" i="23"/>
  <c r="Q19" i="23" s="1"/>
  <c r="AA19" i="23" s="1"/>
  <c r="O19" i="23"/>
  <c r="Z19" i="23" s="1"/>
  <c r="N19" i="23"/>
  <c r="M19" i="23"/>
  <c r="AC18" i="23"/>
  <c r="R18" i="23"/>
  <c r="S18" i="23" s="1"/>
  <c r="P18" i="23"/>
  <c r="Q18" i="23" s="1"/>
  <c r="AA18" i="23" s="1"/>
  <c r="O18" i="23"/>
  <c r="Y18" i="23" s="1"/>
  <c r="N18" i="23"/>
  <c r="M18" i="23"/>
  <c r="AC17" i="23"/>
  <c r="R17" i="23"/>
  <c r="S17" i="23" s="1"/>
  <c r="P17" i="23"/>
  <c r="Q17" i="23" s="1"/>
  <c r="AA17" i="23" s="1"/>
  <c r="O17" i="23"/>
  <c r="X17" i="23" s="1"/>
  <c r="N17" i="23"/>
  <c r="M17" i="23"/>
  <c r="AC16" i="23"/>
  <c r="R16" i="23"/>
  <c r="S16" i="23" s="1"/>
  <c r="P16" i="23"/>
  <c r="Q16" i="23" s="1"/>
  <c r="O16" i="23"/>
  <c r="X16" i="23" s="1"/>
  <c r="N16" i="23"/>
  <c r="M16" i="23"/>
  <c r="AC15" i="23"/>
  <c r="R15" i="23"/>
  <c r="S15" i="23" s="1"/>
  <c r="P15" i="23"/>
  <c r="O15" i="23"/>
  <c r="Y15" i="23" s="1"/>
  <c r="N15" i="23"/>
  <c r="M15" i="23"/>
  <c r="AC14" i="23"/>
  <c r="R14" i="23"/>
  <c r="S14" i="23" s="1"/>
  <c r="P14" i="23"/>
  <c r="Q14" i="23" s="1"/>
  <c r="AA14" i="23" s="1"/>
  <c r="O14" i="23"/>
  <c r="X14" i="23" s="1"/>
  <c r="N14" i="23"/>
  <c r="M14" i="23"/>
  <c r="AC13" i="23"/>
  <c r="R13" i="23"/>
  <c r="S13" i="23" s="1"/>
  <c r="P13" i="23"/>
  <c r="Q13" i="23" s="1"/>
  <c r="AA13" i="23" s="1"/>
  <c r="O13" i="23"/>
  <c r="X13" i="23" s="1"/>
  <c r="N13" i="23"/>
  <c r="M13" i="23"/>
  <c r="AC12" i="23"/>
  <c r="R12" i="23"/>
  <c r="S12" i="23" s="1"/>
  <c r="P12" i="23"/>
  <c r="Q12" i="23" s="1"/>
  <c r="O12" i="23"/>
  <c r="X12" i="23" s="1"/>
  <c r="N12" i="23"/>
  <c r="M12" i="23"/>
  <c r="AC11" i="23"/>
  <c r="R11" i="23"/>
  <c r="S11" i="23" s="1"/>
  <c r="P11" i="23"/>
  <c r="Q11" i="23" s="1"/>
  <c r="AA11" i="23" s="1"/>
  <c r="O11" i="23"/>
  <c r="Y11" i="23" s="1"/>
  <c r="N11" i="23"/>
  <c r="M11" i="23"/>
  <c r="AC10" i="23"/>
  <c r="R10" i="23"/>
  <c r="S10" i="23" s="1"/>
  <c r="P10" i="23"/>
  <c r="Q10" i="23" s="1"/>
  <c r="AA10" i="23" s="1"/>
  <c r="O10" i="23"/>
  <c r="Z10" i="23" s="1"/>
  <c r="N10" i="23"/>
  <c r="M10" i="23"/>
  <c r="AC9" i="23"/>
  <c r="O9" i="23"/>
  <c r="X9" i="23" s="1"/>
  <c r="P9" i="23"/>
  <c r="Q9" i="23" s="1"/>
  <c r="AA9" i="23" s="1"/>
  <c r="R9" i="23"/>
  <c r="S9" i="23" s="1"/>
  <c r="N9" i="23"/>
  <c r="M9" i="23"/>
  <c r="AC8" i="23"/>
  <c r="R8" i="23"/>
  <c r="S8" i="23" s="1"/>
  <c r="P8" i="23"/>
  <c r="Q8" i="23" s="1"/>
  <c r="AA8" i="23" s="1"/>
  <c r="O8" i="23"/>
  <c r="Y8" i="23" s="1"/>
  <c r="N8" i="23"/>
  <c r="M8" i="23"/>
  <c r="AC7" i="23"/>
  <c r="R7" i="23"/>
  <c r="S7" i="23" s="1"/>
  <c r="P7" i="23"/>
  <c r="O7" i="23"/>
  <c r="Z7" i="23" s="1"/>
  <c r="N7" i="23"/>
  <c r="M7" i="23"/>
  <c r="AC6" i="23"/>
  <c r="U6" i="23"/>
  <c r="R6" i="23"/>
  <c r="S6" i="23" s="1"/>
  <c r="P6" i="23"/>
  <c r="O6" i="23"/>
  <c r="N6" i="23"/>
  <c r="M6" i="23"/>
  <c r="P83" i="22"/>
  <c r="R83" i="22"/>
  <c r="O83" i="22"/>
  <c r="Q83" i="22" s="1"/>
  <c r="N83" i="22"/>
  <c r="M83" i="22"/>
  <c r="L83" i="22"/>
  <c r="K83" i="22"/>
  <c r="P82" i="22"/>
  <c r="R82" i="22" s="1"/>
  <c r="O82" i="22"/>
  <c r="Q82" i="22" s="1"/>
  <c r="N82" i="22"/>
  <c r="M82" i="22"/>
  <c r="L82" i="22"/>
  <c r="K82" i="22"/>
  <c r="P81" i="22"/>
  <c r="R81" i="22" s="1"/>
  <c r="O81" i="22"/>
  <c r="Q81" i="22" s="1"/>
  <c r="N81" i="22"/>
  <c r="M81" i="22"/>
  <c r="L81" i="22"/>
  <c r="K81" i="22"/>
  <c r="P80" i="22"/>
  <c r="R80" i="22" s="1"/>
  <c r="O80" i="22"/>
  <c r="Q80" i="22" s="1"/>
  <c r="N80" i="22"/>
  <c r="M80" i="22"/>
  <c r="L80" i="22"/>
  <c r="K80" i="22"/>
  <c r="P79" i="22"/>
  <c r="R79" i="22" s="1"/>
  <c r="O79" i="22"/>
  <c r="Q79" i="22" s="1"/>
  <c r="N79" i="22"/>
  <c r="M79" i="22"/>
  <c r="L79" i="22"/>
  <c r="K79" i="22"/>
  <c r="P78" i="22"/>
  <c r="R78" i="22" s="1"/>
  <c r="O78" i="22"/>
  <c r="Q78" i="22" s="1"/>
  <c r="N78" i="22"/>
  <c r="M78" i="22"/>
  <c r="L78" i="22"/>
  <c r="K78" i="22"/>
  <c r="P77" i="22"/>
  <c r="R77" i="22" s="1"/>
  <c r="O77" i="22"/>
  <c r="Q77" i="22" s="1"/>
  <c r="N77" i="22"/>
  <c r="M77" i="22"/>
  <c r="L77" i="22"/>
  <c r="K77" i="22"/>
  <c r="P76" i="22"/>
  <c r="R76" i="22" s="1"/>
  <c r="O76" i="22"/>
  <c r="Q76" i="22" s="1"/>
  <c r="N76" i="22"/>
  <c r="M76" i="22"/>
  <c r="L76" i="22"/>
  <c r="K76" i="22"/>
  <c r="P75" i="22"/>
  <c r="R75" i="22" s="1"/>
  <c r="O75" i="22"/>
  <c r="Q75" i="22" s="1"/>
  <c r="N75" i="22"/>
  <c r="M75" i="22"/>
  <c r="L75" i="22"/>
  <c r="K75" i="22"/>
  <c r="P74" i="22"/>
  <c r="R74" i="22" s="1"/>
  <c r="O74" i="22"/>
  <c r="Q74" i="22" s="1"/>
  <c r="N74" i="22"/>
  <c r="M74" i="22"/>
  <c r="L74" i="22"/>
  <c r="K74" i="22"/>
  <c r="P73" i="22"/>
  <c r="R73" i="22" s="1"/>
  <c r="O73" i="22"/>
  <c r="Q73" i="22" s="1"/>
  <c r="N73" i="22"/>
  <c r="M73" i="22"/>
  <c r="L73" i="22"/>
  <c r="K73" i="22"/>
  <c r="P72" i="22"/>
  <c r="R72" i="22" s="1"/>
  <c r="O72" i="22"/>
  <c r="Q72" i="22" s="1"/>
  <c r="N72" i="22"/>
  <c r="M72" i="22"/>
  <c r="L72" i="22"/>
  <c r="K72" i="22"/>
  <c r="P71" i="22"/>
  <c r="R71" i="22" s="1"/>
  <c r="O71" i="22"/>
  <c r="Q71" i="22" s="1"/>
  <c r="N71" i="22"/>
  <c r="M71" i="22"/>
  <c r="L71" i="22"/>
  <c r="K71" i="22"/>
  <c r="P70" i="22"/>
  <c r="R70" i="22" s="1"/>
  <c r="O70" i="22"/>
  <c r="Q70" i="22" s="1"/>
  <c r="N70" i="22"/>
  <c r="M70" i="22"/>
  <c r="L70" i="22"/>
  <c r="K70" i="22"/>
  <c r="P69" i="22"/>
  <c r="R69" i="22" s="1"/>
  <c r="O69" i="22"/>
  <c r="Q69" i="22" s="1"/>
  <c r="N69" i="22"/>
  <c r="M69" i="22"/>
  <c r="L69" i="22"/>
  <c r="K69" i="22"/>
  <c r="P68" i="22"/>
  <c r="R68" i="22" s="1"/>
  <c r="O68" i="22"/>
  <c r="Q68" i="22" s="1"/>
  <c r="N68" i="22"/>
  <c r="M68" i="22"/>
  <c r="L68" i="22"/>
  <c r="K68" i="22"/>
  <c r="P67" i="22"/>
  <c r="R67" i="22" s="1"/>
  <c r="O67" i="22"/>
  <c r="Q67" i="22" s="1"/>
  <c r="N67" i="22"/>
  <c r="M67" i="22"/>
  <c r="L67" i="22"/>
  <c r="K67" i="22"/>
  <c r="P66" i="22"/>
  <c r="R66" i="22" s="1"/>
  <c r="O66" i="22"/>
  <c r="Q66" i="22" s="1"/>
  <c r="N66" i="22"/>
  <c r="M66" i="22"/>
  <c r="L66" i="22"/>
  <c r="K66" i="22"/>
  <c r="P65" i="22"/>
  <c r="R65" i="22" s="1"/>
  <c r="O65" i="22"/>
  <c r="Q65" i="22" s="1"/>
  <c r="N65" i="22"/>
  <c r="M65" i="22"/>
  <c r="L65" i="22"/>
  <c r="K65" i="22"/>
  <c r="P64" i="22"/>
  <c r="R64" i="22" s="1"/>
  <c r="O64" i="22"/>
  <c r="Q64" i="22" s="1"/>
  <c r="N64" i="22"/>
  <c r="M64" i="22"/>
  <c r="L64" i="22"/>
  <c r="K64" i="22"/>
  <c r="P63" i="22"/>
  <c r="R63" i="22" s="1"/>
  <c r="O63" i="22"/>
  <c r="Q63" i="22" s="1"/>
  <c r="N63" i="22"/>
  <c r="M63" i="22"/>
  <c r="L63" i="22"/>
  <c r="K63" i="22"/>
  <c r="P62" i="22"/>
  <c r="R62" i="22" s="1"/>
  <c r="O62" i="22"/>
  <c r="Q62" i="22" s="1"/>
  <c r="N62" i="22"/>
  <c r="M62" i="22"/>
  <c r="L62" i="22"/>
  <c r="K62" i="22"/>
  <c r="P61" i="22"/>
  <c r="R61" i="22" s="1"/>
  <c r="O61" i="22"/>
  <c r="Q61" i="22" s="1"/>
  <c r="N61" i="22"/>
  <c r="M61" i="22"/>
  <c r="L61" i="22"/>
  <c r="K61" i="22"/>
  <c r="P60" i="22"/>
  <c r="R60" i="22"/>
  <c r="O60" i="22"/>
  <c r="Q60" i="22" s="1"/>
  <c r="N60" i="22"/>
  <c r="M60" i="22"/>
  <c r="L60" i="22"/>
  <c r="K60" i="22"/>
  <c r="P59" i="22"/>
  <c r="R59" i="22" s="1"/>
  <c r="O59" i="22"/>
  <c r="Q59" i="22" s="1"/>
  <c r="N59" i="22"/>
  <c r="M59" i="22"/>
  <c r="L59" i="22"/>
  <c r="K59" i="22"/>
  <c r="P58" i="22"/>
  <c r="R58" i="22" s="1"/>
  <c r="O58" i="22"/>
  <c r="Q58" i="22" s="1"/>
  <c r="N58" i="22"/>
  <c r="M58" i="22"/>
  <c r="L58" i="22"/>
  <c r="K58" i="22"/>
  <c r="P57" i="22"/>
  <c r="R57" i="22" s="1"/>
  <c r="O57" i="22"/>
  <c r="Q57" i="22" s="1"/>
  <c r="N57" i="22"/>
  <c r="M57" i="22"/>
  <c r="L57" i="22"/>
  <c r="K57" i="22"/>
  <c r="P56" i="22"/>
  <c r="R56" i="22" s="1"/>
  <c r="O56" i="22"/>
  <c r="Q56" i="22" s="1"/>
  <c r="N56" i="22"/>
  <c r="M56" i="22"/>
  <c r="L56" i="22"/>
  <c r="K56" i="22"/>
  <c r="P55" i="22"/>
  <c r="R55" i="22" s="1"/>
  <c r="O55" i="22"/>
  <c r="Q55" i="22" s="1"/>
  <c r="N55" i="22"/>
  <c r="M55" i="22"/>
  <c r="L55" i="22"/>
  <c r="K55" i="22"/>
  <c r="P54" i="22"/>
  <c r="R54" i="22" s="1"/>
  <c r="O54" i="22"/>
  <c r="Q54" i="22" s="1"/>
  <c r="N54" i="22"/>
  <c r="M54" i="22"/>
  <c r="L54" i="22"/>
  <c r="K54" i="22"/>
  <c r="P53" i="22"/>
  <c r="R53" i="22" s="1"/>
  <c r="O53" i="22"/>
  <c r="Q53" i="22" s="1"/>
  <c r="N53" i="22"/>
  <c r="M53" i="22"/>
  <c r="L53" i="22"/>
  <c r="K53" i="22"/>
  <c r="P52" i="22"/>
  <c r="R52" i="22" s="1"/>
  <c r="O52" i="22"/>
  <c r="Q52" i="22" s="1"/>
  <c r="N52" i="22"/>
  <c r="M52" i="22"/>
  <c r="L52" i="22"/>
  <c r="K52" i="22"/>
  <c r="P51" i="22"/>
  <c r="R51" i="22" s="1"/>
  <c r="O51" i="22"/>
  <c r="Q51" i="22" s="1"/>
  <c r="N51" i="22"/>
  <c r="M51" i="22"/>
  <c r="L51" i="22"/>
  <c r="K51" i="22"/>
  <c r="P50" i="22"/>
  <c r="R50" i="22" s="1"/>
  <c r="O50" i="22"/>
  <c r="Q50" i="22" s="1"/>
  <c r="N50" i="22"/>
  <c r="M50" i="22"/>
  <c r="L50" i="22"/>
  <c r="K50" i="22"/>
  <c r="P49" i="22"/>
  <c r="R49" i="22" s="1"/>
  <c r="O49" i="22"/>
  <c r="Q49" i="22" s="1"/>
  <c r="N49" i="22"/>
  <c r="M49" i="22"/>
  <c r="L49" i="22"/>
  <c r="K49" i="22"/>
  <c r="P48" i="22"/>
  <c r="R48" i="22" s="1"/>
  <c r="O48" i="22"/>
  <c r="Q48" i="22" s="1"/>
  <c r="N48" i="22"/>
  <c r="M48" i="22"/>
  <c r="L48" i="22"/>
  <c r="K48" i="22"/>
  <c r="P47" i="22"/>
  <c r="R47" i="22" s="1"/>
  <c r="O47" i="22"/>
  <c r="Q47" i="22" s="1"/>
  <c r="N47" i="22"/>
  <c r="M47" i="22"/>
  <c r="L47" i="22"/>
  <c r="K47" i="22"/>
  <c r="P46" i="22"/>
  <c r="R46" i="22" s="1"/>
  <c r="O46" i="22"/>
  <c r="Q46" i="22" s="1"/>
  <c r="N46" i="22"/>
  <c r="M46" i="22"/>
  <c r="L46" i="22"/>
  <c r="K46" i="22"/>
  <c r="P45" i="22"/>
  <c r="R45" i="22" s="1"/>
  <c r="O45" i="22"/>
  <c r="Q45" i="22" s="1"/>
  <c r="N45" i="22"/>
  <c r="M45" i="22"/>
  <c r="L45" i="22"/>
  <c r="K45" i="22"/>
  <c r="P44" i="22"/>
  <c r="R44" i="22" s="1"/>
  <c r="O44" i="22"/>
  <c r="Q44" i="22" s="1"/>
  <c r="N44" i="22"/>
  <c r="M44" i="22"/>
  <c r="L44" i="22"/>
  <c r="K44" i="22"/>
  <c r="P43" i="22"/>
  <c r="R43" i="22" s="1"/>
  <c r="O43" i="22"/>
  <c r="Q43" i="22" s="1"/>
  <c r="N43" i="22"/>
  <c r="M43" i="22"/>
  <c r="L43" i="22"/>
  <c r="K43" i="22"/>
  <c r="P42" i="22"/>
  <c r="R42" i="22" s="1"/>
  <c r="O42" i="22"/>
  <c r="Q42" i="22" s="1"/>
  <c r="N42" i="22"/>
  <c r="M42" i="22"/>
  <c r="L42" i="22"/>
  <c r="K42" i="22"/>
  <c r="P41" i="22"/>
  <c r="R41" i="22" s="1"/>
  <c r="O41" i="22"/>
  <c r="Q41" i="22" s="1"/>
  <c r="N41" i="22"/>
  <c r="M41" i="22"/>
  <c r="L41" i="22"/>
  <c r="K41" i="22"/>
  <c r="P40" i="22"/>
  <c r="R40" i="22" s="1"/>
  <c r="O40" i="22"/>
  <c r="Q40" i="22" s="1"/>
  <c r="N40" i="22"/>
  <c r="M40" i="22"/>
  <c r="L40" i="22"/>
  <c r="K40" i="22"/>
  <c r="P39" i="22"/>
  <c r="R39" i="22" s="1"/>
  <c r="O39" i="22"/>
  <c r="Q39" i="22" s="1"/>
  <c r="N39" i="22"/>
  <c r="M39" i="22"/>
  <c r="L39" i="22"/>
  <c r="K39" i="22"/>
  <c r="P38" i="22"/>
  <c r="R38" i="22" s="1"/>
  <c r="O38" i="22"/>
  <c r="Q38" i="22" s="1"/>
  <c r="N38" i="22"/>
  <c r="M38" i="22"/>
  <c r="L38" i="22"/>
  <c r="K38" i="22"/>
  <c r="P37" i="22"/>
  <c r="R37" i="22" s="1"/>
  <c r="O37" i="22"/>
  <c r="Q37" i="22" s="1"/>
  <c r="N37" i="22"/>
  <c r="M37" i="22"/>
  <c r="L37" i="22"/>
  <c r="K37" i="22"/>
  <c r="P36" i="22"/>
  <c r="R36" i="22" s="1"/>
  <c r="O36" i="22"/>
  <c r="Q36" i="22" s="1"/>
  <c r="N36" i="22"/>
  <c r="M36" i="22"/>
  <c r="L36" i="22"/>
  <c r="K36" i="22"/>
  <c r="P35" i="22"/>
  <c r="R35" i="22" s="1"/>
  <c r="O35" i="22"/>
  <c r="Q35" i="22" s="1"/>
  <c r="N35" i="22"/>
  <c r="M35" i="22"/>
  <c r="L35" i="22"/>
  <c r="K35" i="22"/>
  <c r="P34" i="22"/>
  <c r="O34" i="22"/>
  <c r="N34" i="22"/>
  <c r="M34" i="22"/>
  <c r="L34" i="22"/>
  <c r="K34" i="22"/>
  <c r="P33" i="22"/>
  <c r="R33" i="22" s="1"/>
  <c r="O33" i="22"/>
  <c r="Q33" i="22" s="1"/>
  <c r="N33" i="22"/>
  <c r="M33" i="22"/>
  <c r="L33" i="22"/>
  <c r="K33" i="22"/>
  <c r="P32" i="22"/>
  <c r="R32" i="22" s="1"/>
  <c r="O32" i="22"/>
  <c r="Q32" i="22" s="1"/>
  <c r="N32" i="22"/>
  <c r="M32" i="22"/>
  <c r="L32" i="22"/>
  <c r="K32" i="22"/>
  <c r="P31" i="22"/>
  <c r="R31" i="22" s="1"/>
  <c r="O31" i="22"/>
  <c r="Q31" i="22" s="1"/>
  <c r="N31" i="22"/>
  <c r="M31" i="22"/>
  <c r="L31" i="22"/>
  <c r="K31" i="22"/>
  <c r="P30" i="22"/>
  <c r="R30" i="22" s="1"/>
  <c r="O30" i="22"/>
  <c r="Q30" i="22" s="1"/>
  <c r="N30" i="22"/>
  <c r="M30" i="22"/>
  <c r="L30" i="22"/>
  <c r="K30" i="22"/>
  <c r="P29" i="22"/>
  <c r="R29" i="22" s="1"/>
  <c r="O29" i="22"/>
  <c r="Q29" i="22" s="1"/>
  <c r="N29" i="22"/>
  <c r="M29" i="22"/>
  <c r="L29" i="22"/>
  <c r="K29" i="22"/>
  <c r="P28" i="22"/>
  <c r="R28" i="22" s="1"/>
  <c r="O28" i="22"/>
  <c r="Q28" i="22" s="1"/>
  <c r="N28" i="22"/>
  <c r="M28" i="22"/>
  <c r="L28" i="22"/>
  <c r="K28" i="22"/>
  <c r="P27" i="22"/>
  <c r="R27" i="22" s="1"/>
  <c r="O27" i="22"/>
  <c r="Q27" i="22" s="1"/>
  <c r="N27" i="22"/>
  <c r="M27" i="22"/>
  <c r="L27" i="22"/>
  <c r="K27" i="22"/>
  <c r="P26" i="22"/>
  <c r="R26" i="22" s="1"/>
  <c r="O26" i="22"/>
  <c r="Q26" i="22" s="1"/>
  <c r="N26" i="22"/>
  <c r="M26" i="22"/>
  <c r="L26" i="22"/>
  <c r="K26" i="22"/>
  <c r="P25" i="22"/>
  <c r="R25" i="22" s="1"/>
  <c r="O25" i="22"/>
  <c r="Q25" i="22" s="1"/>
  <c r="N25" i="22"/>
  <c r="M25" i="22"/>
  <c r="L25" i="22"/>
  <c r="K25" i="22"/>
  <c r="P24" i="22"/>
  <c r="R24" i="22" s="1"/>
  <c r="O24" i="22"/>
  <c r="Q24" i="22" s="1"/>
  <c r="N24" i="22"/>
  <c r="M24" i="22"/>
  <c r="L24" i="22"/>
  <c r="K24" i="22"/>
  <c r="P23" i="22"/>
  <c r="R23" i="22" s="1"/>
  <c r="O23" i="22"/>
  <c r="Q23" i="22" s="1"/>
  <c r="N23" i="22"/>
  <c r="M23" i="22"/>
  <c r="L23" i="22"/>
  <c r="K23" i="22"/>
  <c r="P22" i="22"/>
  <c r="R22" i="22" s="1"/>
  <c r="O22" i="22"/>
  <c r="Q22" i="22" s="1"/>
  <c r="N22" i="22"/>
  <c r="M22" i="22"/>
  <c r="L22" i="22"/>
  <c r="K22" i="22"/>
  <c r="P21" i="22"/>
  <c r="R21" i="22" s="1"/>
  <c r="O21" i="22"/>
  <c r="Q21" i="22" s="1"/>
  <c r="N21" i="22"/>
  <c r="M21" i="22"/>
  <c r="L21" i="22"/>
  <c r="K21" i="22"/>
  <c r="P20" i="22"/>
  <c r="R20" i="22" s="1"/>
  <c r="O20" i="22"/>
  <c r="Q20" i="22" s="1"/>
  <c r="N20" i="22"/>
  <c r="M20" i="22"/>
  <c r="L20" i="22"/>
  <c r="K20" i="22"/>
  <c r="P19" i="22"/>
  <c r="R19" i="22" s="1"/>
  <c r="O19" i="22"/>
  <c r="Q19" i="22" s="1"/>
  <c r="N19" i="22"/>
  <c r="M19" i="22"/>
  <c r="L19" i="22"/>
  <c r="K19" i="22"/>
  <c r="P18" i="22"/>
  <c r="R18" i="22" s="1"/>
  <c r="O18" i="22"/>
  <c r="Q18" i="22" s="1"/>
  <c r="N18" i="22"/>
  <c r="M18" i="22"/>
  <c r="L18" i="22"/>
  <c r="K18" i="22"/>
  <c r="P17" i="22"/>
  <c r="R17" i="22" s="1"/>
  <c r="O17" i="22"/>
  <c r="Q17" i="22" s="1"/>
  <c r="N17" i="22"/>
  <c r="M17" i="22"/>
  <c r="L17" i="22"/>
  <c r="K17" i="22"/>
  <c r="P16" i="22"/>
  <c r="R16" i="22" s="1"/>
  <c r="O16" i="22"/>
  <c r="Q16" i="22" s="1"/>
  <c r="N16" i="22"/>
  <c r="M16" i="22"/>
  <c r="L16" i="22"/>
  <c r="K16" i="22"/>
  <c r="P15" i="22"/>
  <c r="R15" i="22" s="1"/>
  <c r="O15" i="22"/>
  <c r="Q15" i="22" s="1"/>
  <c r="N15" i="22"/>
  <c r="M15" i="22"/>
  <c r="L15" i="22"/>
  <c r="K15" i="22"/>
  <c r="P14" i="22"/>
  <c r="R14" i="22" s="1"/>
  <c r="O14" i="22"/>
  <c r="Q14" i="22" s="1"/>
  <c r="N14" i="22"/>
  <c r="M14" i="22"/>
  <c r="L14" i="22"/>
  <c r="K14" i="22"/>
  <c r="P13" i="22"/>
  <c r="R13" i="22" s="1"/>
  <c r="O13" i="22"/>
  <c r="Q13" i="22" s="1"/>
  <c r="N13" i="22"/>
  <c r="M13" i="22"/>
  <c r="L13" i="22"/>
  <c r="K13" i="22"/>
  <c r="P12" i="22"/>
  <c r="R12" i="22" s="1"/>
  <c r="O12" i="22"/>
  <c r="Q12" i="22" s="1"/>
  <c r="N12" i="22"/>
  <c r="M12" i="22"/>
  <c r="L12" i="22"/>
  <c r="K12" i="22"/>
  <c r="P11" i="22"/>
  <c r="R11" i="22" s="1"/>
  <c r="O11" i="22"/>
  <c r="Q11" i="22" s="1"/>
  <c r="N11" i="22"/>
  <c r="M11" i="22"/>
  <c r="L11" i="22"/>
  <c r="K11" i="22"/>
  <c r="P10" i="22"/>
  <c r="R10" i="22" s="1"/>
  <c r="O10" i="22"/>
  <c r="Q10" i="22" s="1"/>
  <c r="N10" i="22"/>
  <c r="M10" i="22"/>
  <c r="L10" i="22"/>
  <c r="K10" i="22"/>
  <c r="P9" i="22"/>
  <c r="R9" i="22" s="1"/>
  <c r="O9" i="22"/>
  <c r="Q9" i="22" s="1"/>
  <c r="N9" i="22"/>
  <c r="M9" i="22"/>
  <c r="L9" i="22"/>
  <c r="K9" i="22"/>
  <c r="P8" i="22"/>
  <c r="R8" i="22" s="1"/>
  <c r="O8" i="22"/>
  <c r="Q8" i="22" s="1"/>
  <c r="N8" i="22"/>
  <c r="M8" i="22"/>
  <c r="L8" i="22"/>
  <c r="K8" i="22"/>
  <c r="P7" i="22"/>
  <c r="R7" i="22" s="1"/>
  <c r="O7" i="22"/>
  <c r="Q7" i="22" s="1"/>
  <c r="N7" i="22"/>
  <c r="K7" i="22"/>
  <c r="R6" i="22"/>
  <c r="P6" i="22"/>
  <c r="O6" i="22"/>
  <c r="Q6" i="22" s="1"/>
  <c r="N6" i="22"/>
  <c r="M6" i="22"/>
  <c r="L6" i="22"/>
  <c r="K6" i="22"/>
  <c r="U35" i="23"/>
  <c r="Y35" i="23"/>
  <c r="Q37" i="23"/>
  <c r="Q35" i="23"/>
  <c r="AA35" i="23" s="1"/>
  <c r="T30" i="23"/>
  <c r="X22" i="23"/>
  <c r="AA37" i="23" l="1"/>
  <c r="Z35" i="23"/>
  <c r="X33" i="23"/>
  <c r="T13" i="23"/>
  <c r="X7" i="23"/>
  <c r="Y7" i="23"/>
  <c r="U16" i="23"/>
  <c r="U13" i="23"/>
  <c r="U31" i="23"/>
  <c r="Z13" i="23"/>
  <c r="T32" i="23"/>
  <c r="U7" i="23"/>
  <c r="T29" i="23"/>
  <c r="Z9" i="23"/>
  <c r="T7" i="23"/>
  <c r="V7" i="23" s="1"/>
  <c r="W7" i="23" s="1"/>
  <c r="Q7" i="23"/>
  <c r="AA7" i="23" s="1"/>
  <c r="X8" i="23"/>
  <c r="T26" i="23"/>
  <c r="T16" i="23"/>
  <c r="V16" i="23" s="1"/>
  <c r="W16" i="23" s="1"/>
  <c r="U29" i="23"/>
  <c r="V6" i="23"/>
  <c r="W6" i="23" s="1"/>
  <c r="Z11" i="23"/>
  <c r="Z31" i="23"/>
  <c r="Y10" i="23"/>
  <c r="U36" i="23"/>
  <c r="Z32" i="23"/>
  <c r="T31" i="23"/>
  <c r="V31" i="23" s="1"/>
  <c r="W31" i="23" s="1"/>
  <c r="Y16" i="23"/>
  <c r="T37" i="23"/>
  <c r="T9" i="23"/>
  <c r="Y31" i="23"/>
  <c r="U10" i="23"/>
  <c r="X31" i="23"/>
  <c r="V30" i="23"/>
  <c r="U26" i="23"/>
  <c r="Y37" i="23"/>
  <c r="U8" i="23"/>
  <c r="T18" i="23"/>
  <c r="Z37" i="23"/>
  <c r="U15" i="23"/>
  <c r="U28" i="23"/>
  <c r="T27" i="23"/>
  <c r="T33" i="23"/>
  <c r="Y34" i="23"/>
  <c r="T24" i="23"/>
  <c r="U18" i="23"/>
  <c r="V13" i="23"/>
  <c r="W13" i="23" s="1"/>
  <c r="Q15" i="23"/>
  <c r="AA15" i="23" s="1"/>
  <c r="X6" i="23"/>
  <c r="T34" i="23"/>
  <c r="Y9" i="23"/>
  <c r="Z16" i="23"/>
  <c r="Y6" i="23"/>
  <c r="U9" i="23"/>
  <c r="T20" i="23"/>
  <c r="T6" i="23"/>
  <c r="Q6" i="23" s="1"/>
  <c r="AA6" i="23" s="1"/>
  <c r="T15" i="23"/>
  <c r="X20" i="23"/>
  <c r="U12" i="23"/>
  <c r="U24" i="23"/>
  <c r="T22" i="23"/>
  <c r="Z6" i="23"/>
  <c r="U22" i="23"/>
  <c r="U21" i="23"/>
  <c r="AA12" i="23"/>
  <c r="AA34" i="23"/>
  <c r="X34" i="23"/>
  <c r="U25" i="23"/>
  <c r="U37" i="23"/>
  <c r="Z22" i="23"/>
  <c r="T28" i="23"/>
  <c r="V28" i="23" s="1"/>
  <c r="W28" i="23" s="1"/>
  <c r="U32" i="23"/>
  <c r="V32" i="23" s="1"/>
  <c r="W32" i="23" s="1"/>
  <c r="U19" i="23"/>
  <c r="T25" i="23"/>
  <c r="Z14" i="23"/>
  <c r="Z33" i="23"/>
  <c r="U33" i="23"/>
  <c r="U11" i="23"/>
  <c r="Q36" i="23"/>
  <c r="AA36" i="23" s="1"/>
  <c r="T8" i="23"/>
  <c r="Y23" i="23"/>
  <c r="T35" i="23"/>
  <c r="V35" i="23" s="1"/>
  <c r="W35" i="23" s="1"/>
  <c r="T10" i="23"/>
  <c r="Z12" i="23"/>
  <c r="X10" i="23"/>
  <c r="T14" i="23"/>
  <c r="Y22" i="23"/>
  <c r="U27" i="23"/>
  <c r="V27" i="23" s="1"/>
  <c r="Z8" i="23"/>
  <c r="T36" i="23"/>
  <c r="Y12" i="23"/>
  <c r="U17" i="23"/>
  <c r="Z21" i="23"/>
  <c r="U14" i="23"/>
  <c r="Q27" i="23"/>
  <c r="T23" i="23"/>
  <c r="U23" i="23"/>
  <c r="T19" i="23"/>
  <c r="T21" i="23"/>
  <c r="T12" i="23"/>
  <c r="T17" i="23"/>
  <c r="X23" i="23"/>
  <c r="Z30" i="23"/>
  <c r="X11" i="23"/>
  <c r="U34" i="23"/>
  <c r="Q30" i="23"/>
  <c r="AA30" i="23" s="1"/>
  <c r="Y14" i="23"/>
  <c r="U20" i="23"/>
  <c r="T11" i="23"/>
  <c r="AA16" i="23"/>
  <c r="Z18" i="23"/>
  <c r="Z20" i="23"/>
  <c r="Y13" i="23"/>
  <c r="Z15" i="23"/>
  <c r="Y17" i="23"/>
  <c r="X36" i="23"/>
  <c r="Y21" i="23"/>
  <c r="X24" i="23"/>
  <c r="Y19" i="23"/>
  <c r="Y32" i="23"/>
  <c r="Z36" i="23"/>
  <c r="X18" i="23"/>
  <c r="X30" i="23"/>
  <c r="X19" i="23"/>
  <c r="X15" i="23"/>
  <c r="Z17" i="23"/>
  <c r="Y24" i="23"/>
  <c r="V29" i="23" l="1"/>
  <c r="W29" i="23" s="1"/>
  <c r="V26" i="23"/>
  <c r="W26" i="23" s="1"/>
  <c r="V37" i="23"/>
  <c r="W37" i="23" s="1"/>
  <c r="V36" i="23"/>
  <c r="V18" i="23"/>
  <c r="W18" i="23" s="1"/>
  <c r="W30" i="23"/>
  <c r="V22" i="23"/>
  <c r="W22" i="23" s="1"/>
  <c r="V20" i="23"/>
  <c r="W20" i="23" s="1"/>
  <c r="V33" i="23"/>
  <c r="W33" i="23" s="1"/>
  <c r="V11" i="23"/>
  <c r="W11" i="23" s="1"/>
  <c r="V10" i="23"/>
  <c r="W10" i="23" s="1"/>
  <c r="V12" i="23"/>
  <c r="W12" i="23" s="1"/>
  <c r="V34" i="23"/>
  <c r="W34" i="23" s="1"/>
  <c r="V15" i="23"/>
  <c r="W15" i="23" s="1"/>
  <c r="V8" i="23"/>
  <c r="W8" i="23" s="1"/>
  <c r="V9" i="23"/>
  <c r="W9" i="23" s="1"/>
  <c r="V24" i="23"/>
  <c r="W24" i="23" s="1"/>
  <c r="V17" i="23"/>
  <c r="W17" i="23" s="1"/>
  <c r="V21" i="23"/>
  <c r="W21" i="23" s="1"/>
  <c r="V19" i="23"/>
  <c r="W19" i="23" s="1"/>
  <c r="W27" i="23"/>
  <c r="V14" i="23"/>
  <c r="W14" i="23" s="1"/>
  <c r="V23" i="23"/>
  <c r="W23" i="23" s="1"/>
  <c r="V25" i="23"/>
  <c r="W25" i="23" s="1"/>
  <c r="W36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4642EC7F-3A4C-3849-BB33-9C8006EEC822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57B8E76B-C3DC-7D41-B24B-23B7813F5C33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A3D45A1A-4880-9C40-8668-B53303130F5F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<sst xmlns="http://schemas.openxmlformats.org/spreadsheetml/2006/main" count="499" uniqueCount="231">
  <si>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</si>
  <si>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</si>
  <si>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</si>
  <si>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</si>
  <si>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</si>
  <si>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</si>
  <si>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</si>
  <si>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</si>
  <si>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</si>
  <si>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</si>
  <si>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</si>
  <si>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</si>
  <si>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</si>
  <si>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</si>
  <si>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</si>
  <si>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</si>
  <si>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</si>
  <si>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</si>
  <si>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</si>
  <si>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</si>
  <si>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</si>
  <si>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</si>
  <si>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9" type="noConversion"/>
  </si>
  <si>
    <t>-</t>
    <phoneticPr fontId="9" type="noConversion"/>
  </si>
  <si>
    <t>Config:</t>
    <phoneticPr fontId="9" type="noConversion"/>
  </si>
  <si>
    <t>FAI Data Sheet  Enclosures MD</t>
  </si>
  <si>
    <t>DRAWING SPECIFICATIONS</t>
    <phoneticPr fontId="9" type="noConversion"/>
  </si>
  <si>
    <t>INSPECTION RESULTS</t>
  </si>
  <si>
    <t>INSPECTION ANALYSIS</t>
  </si>
  <si>
    <t xml:space="preserve"> Supplier Comment</t>
    <phoneticPr fontId="9" type="noConversion"/>
  </si>
  <si>
    <t>FAI#</t>
  </si>
  <si>
    <t>Description</t>
    <phoneticPr fontId="39" type="noConversion"/>
  </si>
  <si>
    <t>Nominal</t>
  </si>
  <si>
    <t>+TOL</t>
    <phoneticPr fontId="9" type="noConversion"/>
  </si>
  <si>
    <t>TOL</t>
    <phoneticPr fontId="9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</si>
  <si>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</si>
  <si>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</si>
  <si>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</si>
  <si>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</si>
  <si>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</si>
  <si>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</si>
  <si>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</si>
  <si>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</si>
  <si>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</si>
  <si>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</si>
  <si>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Flatness</t>
  </si>
  <si>
    <t>Distance</t>
  </si>
  <si>
    <t>Bumper height</t>
  </si>
  <si>
    <t>Angle</t>
  </si>
  <si>
    <t>OMM</t>
  </si>
  <si>
    <t>Thickness</t>
  </si>
  <si>
    <t>Emboss height</t>
  </si>
  <si>
    <t>Enhanced Cpk Data Sheet - Enclosures MD</t>
  </si>
  <si>
    <t xml:space="preserve">  </t>
    <phoneticPr fontId="42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</si>
  <si>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</si>
  <si>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</si>
  <si>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</si>
  <si>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</si>
  <si>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</si>
  <si>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</si>
  <si>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</si>
  <si>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</si>
  <si>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6" type="noConversion"/>
  </si>
  <si>
    <t>Description</t>
    <phoneticPr fontId="47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</si>
  <si>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</si>
  <si>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</si>
  <si>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</si>
  <si>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</si>
  <si>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</si>
  <si>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</si>
  <si>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</si>
  <si>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2" type="noConversion"/>
  </si>
  <si>
    <t>Cp</t>
  </si>
  <si>
    <t>Ca</t>
  </si>
  <si>
    <t>Ca Level</t>
  </si>
  <si>
    <t>UCPK</t>
    <phoneticPr fontId="48" type="noConversion"/>
  </si>
  <si>
    <t>LCPK</t>
    <phoneticPr fontId="48" type="noConversion"/>
  </si>
  <si>
    <t>Cpk</t>
  </si>
  <si>
    <t>Yield</t>
  </si>
  <si>
    <t>+Tol =&gt; Cpk*</t>
  </si>
  <si>
    <t>-Tol =&gt; Cpk*</t>
  </si>
  <si>
    <t>Mean Shift</t>
    <phoneticPr fontId="42" type="noConversion"/>
  </si>
  <si>
    <t>Tol Range
=&gt; Cp*</t>
  </si>
  <si>
    <t>Normality Test</t>
    <phoneticPr fontId="9" type="noConversion"/>
  </si>
  <si>
    <t>Normality Result</t>
  </si>
  <si>
    <t>Notes</t>
  </si>
  <si>
    <t>A</t>
  </si>
  <si>
    <t>No</t>
  </si>
  <si>
    <t>B</t>
  </si>
  <si>
    <t>E</t>
  </si>
  <si>
    <t>F</t>
  </si>
  <si>
    <t>G</t>
  </si>
  <si>
    <t>I</t>
  </si>
  <si>
    <t>J</t>
  </si>
  <si>
    <t>L</t>
  </si>
  <si>
    <t>M</t>
  </si>
  <si>
    <t>O</t>
  </si>
  <si>
    <t>P</t>
  </si>
  <si>
    <t>Memphis-Project</t>
    <phoneticPr fontId="9" type="noConversion"/>
  </si>
  <si>
    <t>MIC</t>
  </si>
  <si>
    <t>817-10714</t>
    <phoneticPr fontId="9" type="noConversion"/>
  </si>
  <si>
    <t>Q</t>
  </si>
  <si>
    <t>R</t>
  </si>
  <si>
    <t>T</t>
  </si>
  <si>
    <t>U</t>
  </si>
  <si>
    <t>V</t>
  </si>
  <si>
    <t>S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</si>
  <si>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</si>
  <si>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</si>
  <si>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</si>
  <si>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</si>
  <si>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</si>
  <si>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</si>
  <si>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</si>
  <si>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</si>
  <si>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</si>
  <si>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1</t>
  </si>
  <si>
    <t>2-1</t>
  </si>
  <si>
    <t>2-2</t>
  </si>
  <si>
    <t>2-3</t>
  </si>
  <si>
    <t>2-4</t>
  </si>
  <si>
    <t>5-1</t>
  </si>
  <si>
    <t>5-2</t>
  </si>
  <si>
    <t>6-1</t>
  </si>
  <si>
    <t>6-2</t>
  </si>
  <si>
    <t>7-1</t>
  </si>
  <si>
    <t>7-2</t>
  </si>
  <si>
    <t>7-3</t>
  </si>
  <si>
    <t>7-4</t>
  </si>
  <si>
    <t>9-1</t>
  </si>
  <si>
    <t>9-2</t>
  </si>
  <si>
    <t>10-1</t>
  </si>
  <si>
    <t>10-2</t>
  </si>
  <si>
    <t>12</t>
  </si>
  <si>
    <t>13</t>
  </si>
  <si>
    <t>14</t>
  </si>
  <si>
    <t>15</t>
  </si>
  <si>
    <t>16</t>
  </si>
  <si>
    <t>17-1</t>
  </si>
  <si>
    <t>17-2</t>
  </si>
  <si>
    <t>19-1</t>
  </si>
  <si>
    <t>19-2</t>
  </si>
  <si>
    <t>20</t>
  </si>
  <si>
    <t>21</t>
  </si>
  <si>
    <t>22</t>
  </si>
  <si>
    <t>23</t>
  </si>
  <si>
    <t>24-1</t>
  </si>
  <si>
    <t>24-2</t>
  </si>
  <si>
    <t>25-1</t>
  </si>
  <si>
    <t>25-2</t>
  </si>
  <si>
    <t>26</t>
  </si>
  <si>
    <t>27-1</t>
  </si>
  <si>
    <t>27-2</t>
  </si>
  <si>
    <t>28</t>
  </si>
  <si>
    <t>29</t>
  </si>
  <si>
    <t>31</t>
  </si>
  <si>
    <t>32</t>
  </si>
  <si>
    <t>33</t>
  </si>
  <si>
    <t>34-1</t>
  </si>
  <si>
    <t>34-2</t>
  </si>
  <si>
    <t>35-1</t>
  </si>
  <si>
    <t>35-2</t>
  </si>
  <si>
    <t>39-1</t>
  </si>
  <si>
    <t>39-2</t>
  </si>
  <si>
    <t>40</t>
  </si>
  <si>
    <t>41</t>
  </si>
  <si>
    <t>42</t>
  </si>
  <si>
    <t>43</t>
  </si>
  <si>
    <t>44-1</t>
  </si>
  <si>
    <t>44-2</t>
  </si>
  <si>
    <t>46</t>
  </si>
  <si>
    <t>47</t>
  </si>
  <si>
    <t>48</t>
  </si>
  <si>
    <t>49</t>
  </si>
  <si>
    <t>50-1</t>
  </si>
  <si>
    <t>50-2</t>
  </si>
  <si>
    <t>51-1</t>
  </si>
  <si>
    <t>51-2</t>
  </si>
  <si>
    <t>52-1</t>
  </si>
  <si>
    <t>52-2</t>
  </si>
  <si>
    <t>53-1</t>
  </si>
  <si>
    <t>53-2</t>
  </si>
  <si>
    <t>54-1</t>
  </si>
  <si>
    <t>54-2</t>
  </si>
  <si>
    <t>54-3</t>
  </si>
  <si>
    <t>54-4</t>
  </si>
  <si>
    <t>55-1</t>
  </si>
  <si>
    <t>55-2</t>
  </si>
  <si>
    <t>56-1</t>
  </si>
  <si>
    <t>56-2</t>
  </si>
  <si>
    <t>59</t>
  </si>
  <si>
    <t>60</t>
  </si>
  <si>
    <t>61</t>
  </si>
  <si>
    <t>62</t>
  </si>
  <si>
    <t xml:space="preserve"> 1</t>
  </si>
  <si>
    <t xml:space="preserve"> 2-1</t>
  </si>
  <si>
    <t xml:space="preserve"> 2-2</t>
  </si>
  <si>
    <t xml:space="preserve"> 2-3</t>
  </si>
  <si>
    <t xml:space="preserve"> 2-4</t>
  </si>
  <si>
    <t xml:space="preserve"> 5-1</t>
  </si>
  <si>
    <t xml:space="preserve"> 5-2</t>
  </si>
  <si>
    <t xml:space="preserve"> 6-1</t>
  </si>
  <si>
    <t xml:space="preserve"> 6-2</t>
  </si>
  <si>
    <t xml:space="preserve"> 7-1</t>
  </si>
  <si>
    <t xml:space="preserve"> 7-2</t>
  </si>
  <si>
    <t xml:space="preserve"> 7-3</t>
  </si>
  <si>
    <t xml:space="preserve"> 7-4</t>
  </si>
  <si>
    <t xml:space="preserve"> 9-1</t>
  </si>
  <si>
    <t xml:space="preserve"> 9-2</t>
  </si>
  <si>
    <t xml:space="preserve"> 10-1</t>
  </si>
  <si>
    <t xml:space="preserve"> 10-2</t>
  </si>
  <si>
    <t xml:space="preserve"> 12</t>
  </si>
  <si>
    <t xml:space="preserve"> 13</t>
  </si>
  <si>
    <t xml:space="preserve"> 14</t>
  </si>
  <si>
    <t xml:space="preserve"> 15</t>
  </si>
  <si>
    <t xml:space="preserve"> 33</t>
  </si>
  <si>
    <t xml:space="preserve"> 51-1</t>
  </si>
  <si>
    <t xml:space="preserve"> 51-2</t>
  </si>
  <si>
    <t xml:space="preserve"> 52-1</t>
  </si>
  <si>
    <t xml:space="preserve"> 52-2</t>
  </si>
  <si>
    <t xml:space="preserve"> 53-1</t>
  </si>
  <si>
    <t xml:space="preserve"> 53-2</t>
  </si>
  <si>
    <t xml:space="preserve"> 55-1</t>
  </si>
  <si>
    <t xml:space="preserve"> 55-2</t>
  </si>
  <si>
    <t xml:space="preserve"> 56-1</t>
  </si>
  <si>
    <t xml:space="preserve"> 56-2</t>
  </si>
  <si>
    <t>MP</t>
    <phoneticPr fontId="9" type="noConversion"/>
  </si>
  <si>
    <t>PCS</t>
  </si>
  <si>
    <t>20250529-20-B</t>
  </si>
  <si>
    <t>MCO Rev.7 / MSoP Rev.1 /
PGM Rev.1</t>
    <phoneticPr fontId="9" type="noConversion"/>
  </si>
  <si>
    <t>4420ZS0040/480/DP255162030F2BSM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</si>
</sst>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.0000_ "/>
    <numFmt numFmtId="184" formatCode="0_);[Red]\(0\)"/>
  </numFmts>
  <fonts count="59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name val="Times New Roman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2"/>
      <color indexed="8"/>
      <name val="맑은 고딕"/>
      <family val="3"/>
      <charset val="129"/>
      <scheme val="major"/>
    </font>
    <font>
      <sz val="10"/>
      <color theme="0"/>
      <name val="Arial"/>
      <family val="2"/>
    </font>
    <font>
      <sz val="9"/>
      <color theme="0"/>
      <name val="Arial"/>
      <family val="2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2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8" fillId="0" borderId="0"/>
    <xf numFmtId="178" fontId="10" fillId="0" borderId="0"/>
    <xf numFmtId="178" fontId="10" fillId="0" borderId="0"/>
    <xf numFmtId="9" fontId="11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2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1" borderId="14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4" fillId="0" borderId="0"/>
    <xf numFmtId="9" fontId="17" fillId="0" borderId="0" applyFont="0" applyFill="0" applyBorder="0" applyAlignment="0" applyProtection="0"/>
    <xf numFmtId="0" fontId="14" fillId="0" borderId="0"/>
    <xf numFmtId="9" fontId="7" fillId="0" borderId="0" applyFont="0" applyFill="0" applyBorder="0" applyAlignment="0" applyProtection="0"/>
    <xf numFmtId="0" fontId="13" fillId="0" borderId="0"/>
    <xf numFmtId="177" fontId="11" fillId="0" borderId="0" applyFill="0" applyBorder="0" applyAlignment="0"/>
    <xf numFmtId="179" fontId="11" fillId="0" borderId="0" applyFill="0" applyBorder="0" applyAlignment="0"/>
    <xf numFmtId="0" fontId="15" fillId="0" borderId="17" applyNumberFormat="0" applyAlignment="0" applyProtection="0">
      <alignment horizontal="left" vertical="center"/>
    </xf>
    <xf numFmtId="0" fontId="15" fillId="0" borderId="7">
      <alignment horizontal="left" vertical="center"/>
    </xf>
    <xf numFmtId="179" fontId="11" fillId="0" borderId="0" applyFill="0" applyBorder="0" applyAlignment="0"/>
    <xf numFmtId="0" fontId="14" fillId="0" borderId="0"/>
    <xf numFmtId="179" fontId="11" fillId="0" borderId="0" applyFill="0" applyBorder="0" applyAlignment="0"/>
    <xf numFmtId="49" fontId="12" fillId="0" borderId="0" applyFill="0" applyBorder="0" applyAlignment="0"/>
    <xf numFmtId="179" fontId="11" fillId="0" borderId="0" applyFill="0" applyBorder="0" applyAlignment="0"/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15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7" fillId="0" borderId="0"/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51" fillId="0" borderId="0"/>
    <xf numFmtId="178" fontId="10" fillId="0" borderId="0"/>
    <xf numFmtId="0" fontId="2" fillId="0" borderId="0">
      <alignment vertical="center"/>
    </xf>
    <xf numFmtId="178" fontId="8" fillId="0" borderId="0"/>
    <xf numFmtId="0" fontId="1" fillId="0" borderId="0">
      <alignment vertical="center"/>
    </xf>
  </cellStyleXfs>
  <cellXfs count="15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shrinkToFit="1"/>
    </xf>
    <xf numFmtId="0" fontId="4" fillId="0" borderId="3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3" fontId="4" fillId="0" borderId="1" xfId="0" applyNumberFormat="1" applyFont="1" applyBorder="1" applyAlignment="1">
      <alignment horizontal="center" vertical="center" shrinkToFit="1"/>
    </xf>
    <xf numFmtId="0" fontId="36" fillId="0" borderId="0" xfId="0" applyFont="1" applyAlignment="1">
      <alignment horizontal="center" vertical="center"/>
    </xf>
    <xf numFmtId="0" fontId="11" fillId="0" borderId="0" xfId="0" applyFont="1" applyAlignment="1" applyProtection="1">
      <alignment horizontal="center" vertical="center"/>
      <protection locked="0"/>
    </xf>
    <xf numFmtId="0" fontId="38" fillId="0" borderId="0" xfId="0" applyFont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81" fontId="11" fillId="0" borderId="0" xfId="0" applyNumberFormat="1" applyFont="1" applyAlignment="1" applyProtection="1">
      <alignment horizontal="center" vertical="center"/>
      <protection locked="0"/>
    </xf>
    <xf numFmtId="181" fontId="11" fillId="0" borderId="20" xfId="0" applyNumberFormat="1" applyFont="1" applyBorder="1" applyAlignment="1">
      <alignment horizontal="center" vertical="center"/>
    </xf>
    <xf numFmtId="181" fontId="11" fillId="0" borderId="21" xfId="0" applyNumberFormat="1" applyFont="1" applyBorder="1" applyAlignment="1">
      <alignment horizontal="center" vertical="center"/>
    </xf>
    <xf numFmtId="9" fontId="12" fillId="0" borderId="21" xfId="0" quotePrefix="1" applyNumberFormat="1" applyFont="1" applyBorder="1" applyAlignment="1">
      <alignment horizontal="center" vertical="center"/>
    </xf>
    <xf numFmtId="9" fontId="12" fillId="0" borderId="21" xfId="0" applyNumberFormat="1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11" fillId="0" borderId="28" xfId="0" applyFont="1" applyBorder="1" applyAlignment="1" applyProtection="1">
      <alignment horizontal="center" vertical="center"/>
      <protection locked="0"/>
    </xf>
    <xf numFmtId="181" fontId="11" fillId="0" borderId="28" xfId="0" applyNumberFormat="1" applyFont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/>
      <protection locked="0"/>
    </xf>
    <xf numFmtId="181" fontId="11" fillId="0" borderId="20" xfId="0" applyNumberFormat="1" applyFont="1" applyBorder="1" applyAlignment="1" applyProtection="1">
      <alignment horizontal="center" vertical="center"/>
      <protection locked="0"/>
    </xf>
    <xf numFmtId="49" fontId="11" fillId="0" borderId="28" xfId="0" applyNumberFormat="1" applyFont="1" applyBorder="1" applyAlignment="1" applyProtection="1">
      <alignment horizontal="center" vertical="center" wrapText="1"/>
      <protection locked="0"/>
    </xf>
    <xf numFmtId="9" fontId="11" fillId="0" borderId="2" xfId="49" applyFont="1" applyFill="1" applyBorder="1" applyAlignment="1">
      <alignment horizontal="center" vertical="center"/>
    </xf>
    <xf numFmtId="181" fontId="11" fillId="0" borderId="2" xfId="49" applyNumberFormat="1" applyFont="1" applyFill="1" applyBorder="1" applyAlignment="1">
      <alignment horizontal="center" vertical="center"/>
    </xf>
    <xf numFmtId="9" fontId="11" fillId="0" borderId="0" xfId="49" applyFont="1" applyFill="1" applyBorder="1" applyAlignment="1">
      <alignment horizontal="center" vertical="center"/>
    </xf>
    <xf numFmtId="181" fontId="11" fillId="0" borderId="0" xfId="49" applyNumberFormat="1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54" fillId="0" borderId="0" xfId="371" applyFont="1" applyAlignment="1">
      <alignment horizontal="center" vertical="center"/>
    </xf>
    <xf numFmtId="184" fontId="54" fillId="0" borderId="0" xfId="371" applyNumberFormat="1" applyFont="1" applyAlignment="1">
      <alignment horizontal="center" vertical="center"/>
    </xf>
    <xf numFmtId="0" fontId="11" fillId="0" borderId="28" xfId="0" quotePrefix="1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7" fillId="0" borderId="22" xfId="0" applyFont="1" applyBorder="1" applyAlignment="1">
      <alignment vertical="center"/>
    </xf>
    <xf numFmtId="0" fontId="37" fillId="0" borderId="18" xfId="0" applyFont="1" applyBorder="1" applyAlignment="1">
      <alignment vertical="center"/>
    </xf>
    <xf numFmtId="0" fontId="11" fillId="0" borderId="19" xfId="0" applyFont="1" applyBorder="1" applyAlignment="1" applyProtection="1">
      <alignment horizontal="center" vertical="center"/>
      <protection locked="0"/>
    </xf>
    <xf numFmtId="0" fontId="37" fillId="0" borderId="0" xfId="0" applyFont="1" applyAlignment="1">
      <alignment vertical="center"/>
    </xf>
    <xf numFmtId="58" fontId="38" fillId="0" borderId="18" xfId="48" applyNumberFormat="1" applyFont="1" applyBorder="1" applyAlignment="1" applyProtection="1">
      <alignment vertical="center" wrapText="1"/>
      <protection locked="0"/>
    </xf>
    <xf numFmtId="2" fontId="38" fillId="0" borderId="18" xfId="48" applyNumberFormat="1" applyFont="1" applyBorder="1" applyAlignment="1" applyProtection="1">
      <alignment vertical="center" wrapText="1"/>
      <protection locked="0"/>
    </xf>
    <xf numFmtId="0" fontId="43" fillId="0" borderId="18" xfId="0" quotePrefix="1" applyFont="1" applyBorder="1" applyAlignment="1">
      <alignment horizontal="center" vertical="center" wrapText="1"/>
    </xf>
    <xf numFmtId="0" fontId="38" fillId="0" borderId="18" xfId="0" applyFont="1" applyBorder="1" applyAlignment="1">
      <alignment vertical="center" wrapText="1"/>
    </xf>
    <xf numFmtId="0" fontId="38" fillId="0" borderId="18" xfId="48" applyFont="1" applyBorder="1" applyAlignment="1">
      <alignment vertical="center" wrapText="1"/>
    </xf>
    <xf numFmtId="0" fontId="38" fillId="0" borderId="18" xfId="48" applyFont="1" applyBorder="1" applyAlignment="1">
      <alignment vertical="center"/>
    </xf>
    <xf numFmtId="2" fontId="38" fillId="0" borderId="18" xfId="48" applyNumberFormat="1" applyFont="1" applyBorder="1" applyAlignment="1">
      <alignment vertical="center"/>
    </xf>
    <xf numFmtId="181" fontId="38" fillId="0" borderId="18" xfId="48" applyNumberFormat="1" applyFont="1" applyBorder="1" applyAlignment="1">
      <alignment vertical="center"/>
    </xf>
    <xf numFmtId="0" fontId="38" fillId="0" borderId="2" xfId="0" applyFont="1" applyBorder="1" applyAlignment="1">
      <alignment horizontal="center" vertical="center" wrapText="1"/>
    </xf>
    <xf numFmtId="2" fontId="11" fillId="0" borderId="27" xfId="0" applyNumberFormat="1" applyFont="1" applyBorder="1" applyAlignment="1">
      <alignment horizontal="center" vertical="center" wrapText="1"/>
    </xf>
    <xf numFmtId="0" fontId="44" fillId="0" borderId="18" xfId="48" applyFont="1" applyBorder="1" applyAlignment="1" applyProtection="1">
      <alignment vertical="center" wrapText="1"/>
      <protection locked="0"/>
    </xf>
    <xf numFmtId="0" fontId="37" fillId="0" borderId="3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45" fillId="0" borderId="22" xfId="0" applyFont="1" applyBorder="1" applyAlignment="1">
      <alignment vertical="center"/>
    </xf>
    <xf numFmtId="58" fontId="38" fillId="0" borderId="21" xfId="48" applyNumberFormat="1" applyFont="1" applyBorder="1" applyAlignment="1" applyProtection="1">
      <alignment horizontal="center" vertical="center" wrapText="1"/>
      <protection locked="0"/>
    </xf>
    <xf numFmtId="2" fontId="38" fillId="0" borderId="21" xfId="48" applyNumberFormat="1" applyFont="1" applyBorder="1" applyAlignment="1" applyProtection="1">
      <alignment horizontal="center" vertical="center" wrapText="1"/>
      <protection locked="0"/>
    </xf>
    <xf numFmtId="49" fontId="38" fillId="0" borderId="21" xfId="0" quotePrefix="1" applyNumberFormat="1" applyFont="1" applyBorder="1" applyAlignment="1">
      <alignment horizontal="center" vertical="center" wrapText="1"/>
    </xf>
    <xf numFmtId="0" fontId="38" fillId="0" borderId="21" xfId="0" applyFont="1" applyBorder="1" applyAlignment="1">
      <alignment horizontal="center" vertical="center" wrapText="1"/>
    </xf>
    <xf numFmtId="0" fontId="38" fillId="0" borderId="21" xfId="48" applyFont="1" applyBorder="1" applyAlignment="1">
      <alignment horizontal="center" vertical="center" wrapText="1"/>
    </xf>
    <xf numFmtId="0" fontId="38" fillId="0" borderId="21" xfId="48" applyFont="1" applyBorder="1" applyAlignment="1">
      <alignment horizontal="center" vertical="center"/>
    </xf>
    <xf numFmtId="2" fontId="38" fillId="0" borderId="21" xfId="48" applyNumberFormat="1" applyFont="1" applyBorder="1" applyAlignment="1">
      <alignment horizontal="center" vertical="center"/>
    </xf>
    <xf numFmtId="181" fontId="38" fillId="0" borderId="21" xfId="48" applyNumberFormat="1" applyFont="1" applyBorder="1" applyAlignment="1">
      <alignment horizontal="center" vertical="center"/>
    </xf>
    <xf numFmtId="181" fontId="38" fillId="0" borderId="21" xfId="48" quotePrefix="1" applyNumberFormat="1" applyFont="1" applyBorder="1" applyAlignment="1">
      <alignment horizontal="center" vertical="center"/>
    </xf>
    <xf numFmtId="181" fontId="38" fillId="0" borderId="21" xfId="48" quotePrefix="1" applyNumberFormat="1" applyFont="1" applyBorder="1" applyAlignment="1">
      <alignment horizontal="center" vertical="center" wrapText="1"/>
    </xf>
    <xf numFmtId="0" fontId="38" fillId="0" borderId="21" xfId="48" applyFont="1" applyBorder="1" applyAlignment="1" applyProtection="1">
      <alignment horizontal="center" vertical="center" wrapText="1"/>
      <protection locked="0"/>
    </xf>
    <xf numFmtId="0" fontId="45" fillId="0" borderId="4" xfId="0" applyFont="1" applyBorder="1" applyAlignment="1">
      <alignment vertical="center"/>
    </xf>
    <xf numFmtId="0" fontId="38" fillId="0" borderId="28" xfId="48" applyFont="1" applyBorder="1" applyAlignment="1" applyProtection="1">
      <alignment horizontal="center" vertical="center"/>
      <protection locked="0"/>
    </xf>
    <xf numFmtId="0" fontId="49" fillId="0" borderId="0" xfId="0" applyFont="1" applyAlignment="1">
      <alignment vertical="center"/>
    </xf>
    <xf numFmtId="0" fontId="11" fillId="0" borderId="18" xfId="368" applyNumberFormat="1" applyFont="1" applyBorder="1" applyAlignment="1" applyProtection="1">
      <alignment horizontal="center" vertical="center"/>
      <protection locked="0"/>
    </xf>
    <xf numFmtId="0" fontId="11" fillId="0" borderId="28" xfId="4" applyNumberFormat="1" applyFont="1" applyBorder="1" applyAlignment="1">
      <alignment horizontal="center" vertical="center"/>
    </xf>
    <xf numFmtId="181" fontId="11" fillId="0" borderId="28" xfId="364" applyNumberFormat="1" applyFont="1" applyBorder="1" applyAlignment="1" applyProtection="1">
      <alignment horizontal="center" vertical="center"/>
      <protection locked="0"/>
    </xf>
    <xf numFmtId="181" fontId="11" fillId="0" borderId="28" xfId="367" applyNumberFormat="1" applyFont="1" applyBorder="1" applyAlignment="1" applyProtection="1">
      <alignment horizontal="center" vertical="center" wrapText="1"/>
      <protection locked="0"/>
    </xf>
    <xf numFmtId="49" fontId="11" fillId="0" borderId="28" xfId="367" applyNumberFormat="1" applyFont="1" applyBorder="1" applyAlignment="1" applyProtection="1">
      <alignment horizontal="center" vertical="center" wrapText="1"/>
      <protection locked="0"/>
    </xf>
    <xf numFmtId="49" fontId="11" fillId="0" borderId="19" xfId="367" applyNumberFormat="1" applyFont="1" applyBorder="1" applyAlignment="1" applyProtection="1">
      <alignment horizontal="center" vertical="center" wrapText="1"/>
      <protection locked="0"/>
    </xf>
    <xf numFmtId="181" fontId="11" fillId="0" borderId="19" xfId="0" applyNumberFormat="1" applyFont="1" applyBorder="1" applyAlignment="1" applyProtection="1">
      <alignment horizontal="center" vertical="center"/>
      <protection locked="0"/>
    </xf>
    <xf numFmtId="0" fontId="50" fillId="0" borderId="22" xfId="0" applyFont="1" applyBorder="1" applyAlignment="1">
      <alignment vertical="center"/>
    </xf>
    <xf numFmtId="182" fontId="11" fillId="0" borderId="28" xfId="367" applyNumberFormat="1" applyFont="1" applyBorder="1" applyAlignment="1">
      <alignment horizontal="center" vertical="center"/>
    </xf>
    <xf numFmtId="182" fontId="11" fillId="0" borderId="28" xfId="48" applyNumberFormat="1" applyFont="1" applyBorder="1" applyAlignment="1">
      <alignment horizontal="center" vertical="center"/>
    </xf>
    <xf numFmtId="181" fontId="11" fillId="0" borderId="28" xfId="48" applyNumberFormat="1" applyFont="1" applyBorder="1" applyAlignment="1">
      <alignment horizontal="center" vertical="center"/>
    </xf>
    <xf numFmtId="10" fontId="11" fillId="0" borderId="28" xfId="48" applyNumberFormat="1" applyFont="1" applyBorder="1" applyAlignment="1">
      <alignment horizontal="center" vertical="center"/>
    </xf>
    <xf numFmtId="181" fontId="11" fillId="0" borderId="28" xfId="367" applyNumberFormat="1" applyFont="1" applyBorder="1" applyAlignment="1" applyProtection="1">
      <alignment horizontal="center" vertical="center"/>
      <protection locked="0"/>
    </xf>
    <xf numFmtId="0" fontId="38" fillId="0" borderId="28" xfId="367" applyFont="1" applyBorder="1" applyAlignment="1" applyProtection="1">
      <alignment horizontal="center" vertical="center"/>
      <protection locked="0"/>
    </xf>
    <xf numFmtId="0" fontId="38" fillId="0" borderId="0" xfId="367" applyFont="1" applyAlignment="1" applyProtection="1">
      <alignment horizontal="center" vertical="center"/>
      <protection locked="0"/>
    </xf>
    <xf numFmtId="0" fontId="38" fillId="0" borderId="3" xfId="367" applyFont="1" applyBorder="1" applyAlignment="1" applyProtection="1">
      <alignment horizontal="center" vertical="center"/>
      <protection locked="0"/>
    </xf>
    <xf numFmtId="0" fontId="11" fillId="0" borderId="28" xfId="368" applyNumberFormat="1" applyFont="1" applyBorder="1" applyAlignment="1" applyProtection="1">
      <alignment horizontal="center" vertical="center"/>
      <protection locked="0"/>
    </xf>
    <xf numFmtId="0" fontId="50" fillId="0" borderId="21" xfId="0" applyFont="1" applyBorder="1" applyAlignment="1">
      <alignment vertical="center"/>
    </xf>
    <xf numFmtId="0" fontId="11" fillId="0" borderId="0" xfId="368" applyNumberFormat="1" applyFont="1" applyAlignment="1" applyProtection="1">
      <alignment horizontal="center" vertical="center"/>
      <protection locked="0"/>
    </xf>
    <xf numFmtId="0" fontId="11" fillId="0" borderId="0" xfId="4" applyNumberFormat="1" applyFont="1" applyAlignment="1">
      <alignment horizontal="center" vertical="center"/>
    </xf>
    <xf numFmtId="181" fontId="11" fillId="0" borderId="0" xfId="364" applyNumberFormat="1" applyFont="1" applyAlignment="1" applyProtection="1">
      <alignment horizontal="center" vertical="center"/>
      <protection locked="0"/>
    </xf>
    <xf numFmtId="181" fontId="11" fillId="0" borderId="0" xfId="367" applyNumberFormat="1" applyFont="1" applyAlignment="1" applyProtection="1">
      <alignment horizontal="center" vertical="center" wrapText="1"/>
      <protection locked="0"/>
    </xf>
    <xf numFmtId="49" fontId="11" fillId="0" borderId="0" xfId="367" applyNumberFormat="1" applyFont="1" applyAlignment="1" applyProtection="1">
      <alignment horizontal="center" vertical="center" wrapText="1"/>
      <protection locked="0"/>
    </xf>
    <xf numFmtId="0" fontId="50" fillId="0" borderId="0" xfId="0" applyFont="1" applyAlignment="1">
      <alignment vertical="center"/>
    </xf>
    <xf numFmtId="182" fontId="11" fillId="0" borderId="0" xfId="367" applyNumberFormat="1" applyFont="1" applyAlignment="1">
      <alignment horizontal="center" vertical="center"/>
    </xf>
    <xf numFmtId="182" fontId="11" fillId="0" borderId="0" xfId="48" applyNumberFormat="1" applyFont="1" applyAlignment="1">
      <alignment horizontal="center" vertical="center"/>
    </xf>
    <xf numFmtId="181" fontId="11" fillId="0" borderId="0" xfId="48" applyNumberFormat="1" applyFont="1" applyAlignment="1">
      <alignment horizontal="center" vertical="center"/>
    </xf>
    <xf numFmtId="10" fontId="11" fillId="0" borderId="0" xfId="48" applyNumberFormat="1" applyFont="1" applyAlignment="1">
      <alignment horizontal="center" vertical="center"/>
    </xf>
    <xf numFmtId="181" fontId="11" fillId="0" borderId="0" xfId="367" applyNumberFormat="1" applyFont="1" applyAlignment="1" applyProtection="1">
      <alignment horizontal="center" vertical="center"/>
      <protection locked="0"/>
    </xf>
    <xf numFmtId="0" fontId="38" fillId="0" borderId="0" xfId="367" applyFont="1" applyAlignment="1" applyProtection="1">
      <alignment horizontal="left" vertical="center"/>
      <protection locked="0"/>
    </xf>
    <xf numFmtId="183" fontId="11" fillId="0" borderId="0" xfId="368" applyNumberFormat="1" applyFont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82" fontId="11" fillId="0" borderId="28" xfId="368" applyNumberFormat="1" applyFont="1" applyBorder="1" applyAlignment="1">
      <alignment horizontal="center" vertical="center"/>
    </xf>
    <xf numFmtId="14" fontId="54" fillId="4" borderId="29" xfId="371" applyNumberFormat="1" applyFont="1" applyFill="1" applyBorder="1" applyAlignment="1">
      <alignment horizontal="center" vertical="center"/>
    </xf>
    <xf numFmtId="49" fontId="54" fillId="4" borderId="29" xfId="371" applyNumberFormat="1" applyFont="1" applyFill="1" applyBorder="1" applyAlignment="1">
      <alignment horizontal="center" vertical="center"/>
    </xf>
    <xf numFmtId="0" fontId="54" fillId="0" borderId="29" xfId="371" applyFont="1" applyBorder="1" applyAlignment="1">
      <alignment horizontal="center" vertical="center"/>
    </xf>
    <xf numFmtId="184" fontId="54" fillId="4" borderId="29" xfId="371" applyNumberFormat="1" applyFont="1" applyFill="1" applyBorder="1" applyAlignment="1">
      <alignment horizontal="center" vertical="center"/>
    </xf>
    <xf numFmtId="0" fontId="54" fillId="4" borderId="29" xfId="371" applyFont="1" applyFill="1" applyBorder="1" applyAlignment="1">
      <alignment horizontal="center" vertical="center"/>
    </xf>
    <xf numFmtId="184" fontId="54" fillId="0" borderId="29" xfId="371" applyNumberFormat="1" applyFont="1" applyBorder="1" applyAlignment="1">
      <alignment horizontal="center" vertical="center"/>
    </xf>
    <xf numFmtId="184" fontId="54" fillId="4" borderId="29" xfId="371" applyNumberFormat="1" applyFont="1" applyFill="1" applyBorder="1">
      <alignment vertical="center"/>
    </xf>
    <xf numFmtId="0" fontId="54" fillId="4" borderId="29" xfId="371" applyFont="1" applyFill="1" applyBorder="1">
      <alignment vertical="center"/>
    </xf>
    <xf numFmtId="0" fontId="55" fillId="0" borderId="0" xfId="0" applyFont="1" applyAlignment="1" applyProtection="1">
      <alignment horizontal="center" vertical="center"/>
      <protection locked="0"/>
    </xf>
    <xf numFmtId="0" fontId="56" fillId="0" borderId="0" xfId="367" applyFont="1" applyAlignment="1" applyProtection="1">
      <alignment horizontal="left" vertical="center"/>
      <protection locked="0"/>
    </xf>
    <xf numFmtId="0" fontId="57" fillId="0" borderId="29" xfId="367" applyFont="1" applyBorder="1" applyAlignment="1" applyProtection="1">
      <alignment horizontal="center" vertical="center"/>
      <protection locked="0"/>
    </xf>
    <xf numFmtId="0" fontId="58" fillId="0" borderId="29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14" fontId="4" fillId="0" borderId="29" xfId="0" applyNumberFormat="1" applyFont="1" applyBorder="1" applyAlignment="1">
      <alignment horizontal="center" vertical="center"/>
    </xf>
    <xf numFmtId="3" fontId="4" fillId="0" borderId="29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180" fontId="38" fillId="0" borderId="28" xfId="0" applyNumberFormat="1" applyFont="1" applyBorder="1" applyAlignment="1">
      <alignment horizontal="center" vertical="center"/>
    </xf>
    <xf numFmtId="0" fontId="38" fillId="0" borderId="28" xfId="0" quotePrefix="1" applyFont="1" applyBorder="1" applyAlignment="1">
      <alignment horizontal="center" vertical="center" wrapText="1"/>
    </xf>
    <xf numFmtId="0" fontId="38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8" fillId="0" borderId="28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7" fillId="0" borderId="23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 wrapText="1"/>
    </xf>
  </cellXfs>
  <cellStyles count="372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1" xfId="246" xr:uid="{A0133E03-4FF6-4773-83EB-E1C71755515E}"/>
    <cellStyle name="20% - 강조색1 12" xfId="266" xr:uid="{69765A4B-5601-441F-932C-239E408BA924}"/>
    <cellStyle name="20% - 강조색1 13" xfId="286" xr:uid="{2D93951E-88EE-4D56-A398-D06CE1F6EA5E}"/>
    <cellStyle name="20% - 강조색1 14" xfId="306" xr:uid="{D2E72044-9889-43C0-AEC5-6EB1830CA591}"/>
    <cellStyle name="20% - 강조색1 15" xfId="326" xr:uid="{F699FD11-AFE7-4F15-B0D0-594A5B59A6DC}"/>
    <cellStyle name="20% - 강조색1 16" xfId="346" xr:uid="{B2D40CCE-D2F7-47F4-A6D2-B2E79757B518}"/>
    <cellStyle name="20% - 강조색1 2" xfId="66" xr:uid="{C000C105-B9B6-4FCD-955D-5C51AE01AD63}"/>
    <cellStyle name="20% - 강조색1 3" xfId="86" xr:uid="{F5A672B4-D06D-4DB2-937D-339516178143}"/>
    <cellStyle name="20% - 강조색1 4" xfId="106" xr:uid="{3C64C37A-44A9-4367-B271-41D2A0E02959}"/>
    <cellStyle name="20% - 강조색1 5" xfId="126" xr:uid="{85AD6993-9104-4803-AB92-CF10796A4D3D}"/>
    <cellStyle name="20% - 강조색1 6" xfId="146" xr:uid="{72C18894-A5F7-4A98-BC89-75E38C4C69E0}"/>
    <cellStyle name="20% - 강조색1 7" xfId="166" xr:uid="{3D432729-A8DE-423D-A1F2-8BB10728B8A7}"/>
    <cellStyle name="20% - 강조색1 8" xfId="186" xr:uid="{EA8B51F4-DF1C-4AD3-B065-82345EB025A5}"/>
    <cellStyle name="20% - 강조색1 9" xfId="206" xr:uid="{3AF2B297-8D3F-4630-89A2-074B4220D709}"/>
    <cellStyle name="20% - 강조색2 10" xfId="229" xr:uid="{626F9513-4C92-4F94-B200-104CF2CD402B}"/>
    <cellStyle name="20% - 강조색2 11" xfId="249" xr:uid="{26249CFF-D7A2-4344-AF21-7004B903DE59}"/>
    <cellStyle name="20% - 강조색2 12" xfId="269" xr:uid="{4C7B131D-BF00-41A3-A47F-EF7251B28828}"/>
    <cellStyle name="20% - 강조색2 13" xfId="289" xr:uid="{DDA91409-2ECB-49B2-9139-3C4AB69E3086}"/>
    <cellStyle name="20% - 강조색2 14" xfId="309" xr:uid="{28A644DC-7FF4-4C83-BFE4-A6C26544894C}"/>
    <cellStyle name="20% - 강조색2 15" xfId="329" xr:uid="{03343EA4-A181-4A6B-9013-D99EAEB9A7B5}"/>
    <cellStyle name="20% - 강조색2 16" xfId="349" xr:uid="{90DF914E-13D3-42B4-90E8-30C7D1A3016E}"/>
    <cellStyle name="20% - 강조색2 2" xfId="69" xr:uid="{D6F77B8E-DA75-4D1F-84E3-B26EE1B4E3DC}"/>
    <cellStyle name="20% - 강조색2 3" xfId="89" xr:uid="{E95C3191-E88A-42C1-9017-12532ABFFD51}"/>
    <cellStyle name="20% - 강조색2 4" xfId="109" xr:uid="{D686A997-3988-4BCE-82AC-AEACBF73748C}"/>
    <cellStyle name="20% - 강조색2 5" xfId="129" xr:uid="{0A64B3A1-8AA3-494D-9AD7-DACAB7C93F5B}"/>
    <cellStyle name="20% - 강조색2 6" xfId="149" xr:uid="{F82DB304-D754-4E19-ACEA-7104782A493D}"/>
    <cellStyle name="20% - 강조색2 7" xfId="169" xr:uid="{3ACEDB0C-3AB5-42A9-8A54-0171BEA68931}"/>
    <cellStyle name="20% - 강조색2 8" xfId="189" xr:uid="{92D06AA7-BD79-4A08-A0AC-19FAAE141A9A}"/>
    <cellStyle name="20% - 강조색2 9" xfId="209" xr:uid="{87FEFB61-F2A8-431E-926D-D0AA74DBDF54}"/>
    <cellStyle name="20% - 강조색3 10" xfId="232" xr:uid="{61651A33-B832-41AE-9EBF-C4749E3E2278}"/>
    <cellStyle name="20% - 강조색3 11" xfId="252" xr:uid="{E949058E-E0C6-4200-8EC6-DBEF142DAD18}"/>
    <cellStyle name="20% - 강조색3 12" xfId="272" xr:uid="{426D12DE-A4BE-4992-808E-7DC40B9718AD}"/>
    <cellStyle name="20% - 강조색3 13" xfId="292" xr:uid="{0768D020-6E83-4F1E-AF32-AE5A782C18B5}"/>
    <cellStyle name="20% - 강조색3 14" xfId="312" xr:uid="{1703ADAA-77C1-42AF-988A-62849F1C5366}"/>
    <cellStyle name="20% - 강조색3 15" xfId="332" xr:uid="{8893DAEB-8166-4103-ADD1-C300EA23E857}"/>
    <cellStyle name="20% - 강조색3 16" xfId="352" xr:uid="{A4F2511B-64D6-493B-AC77-889421CE3F84}"/>
    <cellStyle name="20% - 강조색3 2" xfId="72" xr:uid="{DADA5BBF-655E-4DF7-8AF7-F67FAB006F70}"/>
    <cellStyle name="20% - 강조색3 3" xfId="92" xr:uid="{8A2B4D20-D914-4DED-AD89-24BEA2F842A1}"/>
    <cellStyle name="20% - 강조색3 4" xfId="112" xr:uid="{D02C6126-C8BA-436E-A7C9-F01EB6D42534}"/>
    <cellStyle name="20% - 강조색3 5" xfId="132" xr:uid="{0B27F645-BFC1-4271-97C7-A69C5A0D1187}"/>
    <cellStyle name="20% - 강조색3 6" xfId="152" xr:uid="{BC6E1FF5-9FA1-457C-807E-0DDB42F82165}"/>
    <cellStyle name="20% - 강조색3 7" xfId="172" xr:uid="{FBCAFDFA-76DB-42D8-9AFC-73132063C498}"/>
    <cellStyle name="20% - 강조색3 8" xfId="192" xr:uid="{7B7916C4-7649-4B69-BBA1-586F1F8236AC}"/>
    <cellStyle name="20% - 강조색3 9" xfId="212" xr:uid="{B05A3FC1-2BD3-4D5D-BBD1-AF122FFA97D0}"/>
    <cellStyle name="20% - 강조색4 10" xfId="235" xr:uid="{D7777BE9-BACF-476F-AC89-842F95EB340A}"/>
    <cellStyle name="20% - 강조색4 11" xfId="255" xr:uid="{8CECB8CF-16A3-4C86-9941-19EB25997AC4}"/>
    <cellStyle name="20% - 강조색4 12" xfId="275" xr:uid="{11494E53-DE89-497B-B9CA-0A28AD5C723D}"/>
    <cellStyle name="20% - 강조색4 13" xfId="295" xr:uid="{542C1C52-CA1D-4EBF-A46A-733955597A8B}"/>
    <cellStyle name="20% - 강조색4 14" xfId="315" xr:uid="{9865A804-0170-4131-AACE-8F585E2184FD}"/>
    <cellStyle name="20% - 강조색4 15" xfId="335" xr:uid="{7574BF02-A4A9-44E1-BE7C-980F480A446B}"/>
    <cellStyle name="20% - 강조색4 16" xfId="355" xr:uid="{90B0289A-96D5-4BC4-A0B4-357B6F7EC418}"/>
    <cellStyle name="20% - 강조색4 2" xfId="75" xr:uid="{05A71B88-BCC1-42C7-A0B3-5CF2BDB8026A}"/>
    <cellStyle name="20% - 강조색4 3" xfId="95" xr:uid="{CEEC9913-54C2-470C-AD1F-B0DEF55F5A3D}"/>
    <cellStyle name="20% - 강조색4 4" xfId="115" xr:uid="{9D29B216-1327-471D-A20E-ACED39D6B564}"/>
    <cellStyle name="20% - 강조색4 5" xfId="135" xr:uid="{1F96C247-4CD8-4046-9DC3-CA3F66EB2D71}"/>
    <cellStyle name="20% - 강조색4 6" xfId="155" xr:uid="{45777F64-79FC-4C0E-B98D-EE32497B449E}"/>
    <cellStyle name="20% - 강조색4 7" xfId="175" xr:uid="{D8023C2B-337C-4793-B1D3-453BF274B485}"/>
    <cellStyle name="20% - 강조색4 8" xfId="195" xr:uid="{8113DDBD-D399-448B-B8ED-873D89E0096A}"/>
    <cellStyle name="20% - 강조색4 9" xfId="215" xr:uid="{14FB7DB9-C519-47BE-8EC1-AA255607A88C}"/>
    <cellStyle name="20% - 강조색5 10" xfId="238" xr:uid="{E411D9CE-490D-4DFD-94EE-328AACF8795E}"/>
    <cellStyle name="20% - 강조색5 11" xfId="258" xr:uid="{A182F85F-D434-4461-A92A-139E7B12C467}"/>
    <cellStyle name="20% - 강조색5 12" xfId="278" xr:uid="{EB7F973A-7A61-4F6E-A5B0-410E883B7724}"/>
    <cellStyle name="20% - 강조색5 13" xfId="298" xr:uid="{E467C45C-A85E-4CBD-8151-8F87AEF39C33}"/>
    <cellStyle name="20% - 강조색5 14" xfId="318" xr:uid="{BD4DAB35-D038-4546-91FD-449946C108CB}"/>
    <cellStyle name="20% - 강조색5 15" xfId="338" xr:uid="{C5DB7B8A-2BB1-4DD5-AC2D-C79121582DE1}"/>
    <cellStyle name="20% - 강조색5 16" xfId="358" xr:uid="{1937A4F5-0471-44D0-B2CD-DBF9CC2D59D1}"/>
    <cellStyle name="20% - 강조색5 2" xfId="78" xr:uid="{09E915A1-162C-49F6-8553-DBB874A046DF}"/>
    <cellStyle name="20% - 강조색5 3" xfId="98" xr:uid="{32594ED3-3038-4CDC-9C30-0B355FD9C119}"/>
    <cellStyle name="20% - 강조색5 4" xfId="118" xr:uid="{7C16B7F5-F116-4837-AC93-56230614F5EB}"/>
    <cellStyle name="20% - 강조색5 5" xfId="138" xr:uid="{AD61E653-6D02-4993-BE8B-BC8C624BE249}"/>
    <cellStyle name="20% - 강조색5 6" xfId="158" xr:uid="{79AED299-6773-43D7-859D-1841B1C64F91}"/>
    <cellStyle name="20% - 강조색5 7" xfId="178" xr:uid="{4E271861-0A9C-4BD9-AA4B-8EC2BC60B6CD}"/>
    <cellStyle name="20% - 강조색5 8" xfId="198" xr:uid="{065D2FA9-1C3F-4C00-BAA7-41A137662E55}"/>
    <cellStyle name="20% - 강조색5 9" xfId="218" xr:uid="{772F6110-8CBC-401D-913D-DFF9BBD2E526}"/>
    <cellStyle name="20% - 강조색6 10" xfId="241" xr:uid="{A9D7E7EF-A19E-4C1A-AB1C-96A3CDA2DCD8}"/>
    <cellStyle name="20% - 강조색6 11" xfId="261" xr:uid="{8D2F71CB-6051-471E-94A7-4CAE37718795}"/>
    <cellStyle name="20% - 강조색6 12" xfId="281" xr:uid="{2976DA9E-E40C-4CBB-B753-8F3838D90FF5}"/>
    <cellStyle name="20% - 강조색6 13" xfId="301" xr:uid="{1CF5B089-D809-40CF-978F-C0726662BAD4}"/>
    <cellStyle name="20% - 강조색6 14" xfId="321" xr:uid="{5C69464F-281D-4BAC-8941-618B90636E59}"/>
    <cellStyle name="20% - 강조색6 15" xfId="341" xr:uid="{40F01361-CA31-4499-9DBE-6C6AB30963FF}"/>
    <cellStyle name="20% - 강조색6 16" xfId="361" xr:uid="{F40D55B9-7FFD-4629-BBAC-33FEAF6B353F}"/>
    <cellStyle name="20% - 강조색6 2" xfId="81" xr:uid="{E94A4951-3DCE-4107-A172-07961584A1EC}"/>
    <cellStyle name="20% - 강조색6 3" xfId="101" xr:uid="{F0F6CE67-9038-4292-8AD0-D6B8B02E23D6}"/>
    <cellStyle name="20% - 강조색6 4" xfId="121" xr:uid="{CFE1F780-5DD4-4234-A16D-F6D66B1D0248}"/>
    <cellStyle name="20% - 강조색6 5" xfId="141" xr:uid="{5190C24C-3DB1-4404-98F9-AAA2ABDACE24}"/>
    <cellStyle name="20% - 강조색6 6" xfId="161" xr:uid="{068ACF7A-B94A-4263-9EA3-BAD4356213EE}"/>
    <cellStyle name="20% - 강조색6 7" xfId="181" xr:uid="{7F0E0991-186C-46D1-849C-F961850DAF91}"/>
    <cellStyle name="20% - 강조색6 8" xfId="201" xr:uid="{25052CED-D218-4512-8F9B-138DD7092BA0}"/>
    <cellStyle name="20% - 강조색6 9" xfId="221" xr:uid="{CE3D1595-0958-48A2-B9EE-416DA293B80D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1" xfId="247" xr:uid="{1995D369-4950-4911-8B5B-D6D1B63DABEC}"/>
    <cellStyle name="40% - 강조색1 12" xfId="267" xr:uid="{28FA5F6C-C506-48F5-972A-4BD8254ECA20}"/>
    <cellStyle name="40% - 강조색1 13" xfId="287" xr:uid="{DC801FBA-B5DC-4833-A0E5-0880E2C9FA75}"/>
    <cellStyle name="40% - 강조색1 14" xfId="307" xr:uid="{D86DB530-F8E8-4256-A055-C4DCF24DF42B}"/>
    <cellStyle name="40% - 강조색1 15" xfId="327" xr:uid="{C6DEF322-810C-450F-8439-21E9E59A2120}"/>
    <cellStyle name="40% - 강조색1 16" xfId="347" xr:uid="{7A654AAF-A51C-4D06-AD76-DDD5C11DEE5E}"/>
    <cellStyle name="40% - 강조색1 2" xfId="67" xr:uid="{B3DEA3BC-2994-4847-AB57-CDE22DE2526D}"/>
    <cellStyle name="40% - 강조색1 3" xfId="87" xr:uid="{BC042DC4-BE1F-4C1C-B3E7-DAD07FE4A460}"/>
    <cellStyle name="40% - 강조색1 4" xfId="107" xr:uid="{0657A2DC-39FC-4EAF-86E3-357E212E02A7}"/>
    <cellStyle name="40% - 강조색1 5" xfId="127" xr:uid="{578BAB59-F1C4-40D9-A0B9-4F984791752D}"/>
    <cellStyle name="40% - 강조색1 6" xfId="147" xr:uid="{8FFBF4F8-FB29-4DA6-9794-9A1398CED210}"/>
    <cellStyle name="40% - 강조색1 7" xfId="167" xr:uid="{1927FD0E-4BE2-4492-BB2E-1966527C7123}"/>
    <cellStyle name="40% - 강조색1 8" xfId="187" xr:uid="{534FA0DC-8F7C-49E0-9E23-7705211A8717}"/>
    <cellStyle name="40% - 강조색1 9" xfId="207" xr:uid="{3AE69E2A-7B92-4C93-BFD7-548085599299}"/>
    <cellStyle name="40% - 강조색2 10" xfId="230" xr:uid="{382D258B-D946-495B-BB96-23BC5A2A4906}"/>
    <cellStyle name="40% - 강조색2 11" xfId="250" xr:uid="{BCC6833B-7F37-4366-AB03-A4189D5D1A5C}"/>
    <cellStyle name="40% - 강조색2 12" xfId="270" xr:uid="{403E36EF-A38B-4C19-8BA7-DB8475CFAFF4}"/>
    <cellStyle name="40% - 강조색2 13" xfId="290" xr:uid="{A2F10307-2B51-454B-A85E-4616A0F5935B}"/>
    <cellStyle name="40% - 강조색2 14" xfId="310" xr:uid="{B4141A08-22E1-4CDC-BA81-C732B403F5E0}"/>
    <cellStyle name="40% - 강조색2 15" xfId="330" xr:uid="{33712066-8439-4FAC-8F5C-5F034E7A6D27}"/>
    <cellStyle name="40% - 강조색2 16" xfId="350" xr:uid="{AFC6F076-90EA-4581-8BDE-36F03B53E5FA}"/>
    <cellStyle name="40% - 강조색2 2" xfId="70" xr:uid="{146568DE-76ED-412C-8120-A894E6D0A4B0}"/>
    <cellStyle name="40% - 강조색2 3" xfId="90" xr:uid="{6937B661-ED94-4445-9C14-01D5D09A333C}"/>
    <cellStyle name="40% - 강조색2 4" xfId="110" xr:uid="{EF3AB1E6-F129-4803-A904-8F5D2B56F839}"/>
    <cellStyle name="40% - 강조색2 5" xfId="130" xr:uid="{3B2608EE-CC80-4ED2-A47A-206D0C8833A2}"/>
    <cellStyle name="40% - 강조색2 6" xfId="150" xr:uid="{3036EC20-0BD7-4FB0-9452-B74E026CC1F0}"/>
    <cellStyle name="40% - 강조색2 7" xfId="170" xr:uid="{06D71241-9842-4FB1-92CC-B4734351DE63}"/>
    <cellStyle name="40% - 강조색2 8" xfId="190" xr:uid="{E4CD3BF1-0702-4D79-8779-88F0FB3618AE}"/>
    <cellStyle name="40% - 강조색2 9" xfId="210" xr:uid="{132DE09A-2130-4280-B94F-352BF1679BB9}"/>
    <cellStyle name="40% - 강조색3 10" xfId="233" xr:uid="{5DCA0145-145D-477F-9C69-0E7D0BDAA8CE}"/>
    <cellStyle name="40% - 강조색3 11" xfId="253" xr:uid="{12DE31AC-58EA-478B-B2F8-EC3A4EF8B964}"/>
    <cellStyle name="40% - 강조색3 12" xfId="273" xr:uid="{4D7B6B2B-88B6-4009-9330-B8230883E09C}"/>
    <cellStyle name="40% - 강조색3 13" xfId="293" xr:uid="{9D4232AF-38AE-4270-A53D-2285EF09B933}"/>
    <cellStyle name="40% - 강조색3 14" xfId="313" xr:uid="{4DD5EB19-A054-4F9C-BA8A-F25A1F5CA218}"/>
    <cellStyle name="40% - 강조색3 15" xfId="333" xr:uid="{B100FFB5-33E8-41BF-8CBF-C81607218082}"/>
    <cellStyle name="40% - 강조색3 16" xfId="353" xr:uid="{3A0E85DF-FC63-43E3-BC34-1401B1198215}"/>
    <cellStyle name="40% - 강조색3 2" xfId="73" xr:uid="{C705B1AE-544A-4371-ADBE-70B9BA64B990}"/>
    <cellStyle name="40% - 강조색3 3" xfId="93" xr:uid="{75AFCD94-0305-4697-A3EE-8E26414271F6}"/>
    <cellStyle name="40% - 강조색3 4" xfId="113" xr:uid="{A46A58AF-ADF1-4CD5-8249-50FFE2BB1134}"/>
    <cellStyle name="40% - 강조색3 5" xfId="133" xr:uid="{0800A894-E1D7-40D2-8B77-A8F344BA31E2}"/>
    <cellStyle name="40% - 강조색3 6" xfId="153" xr:uid="{54F5813A-1F40-4B47-825B-478DA88788F1}"/>
    <cellStyle name="40% - 강조색3 7" xfId="173" xr:uid="{31D59DE3-E49F-462A-9662-80189E92696D}"/>
    <cellStyle name="40% - 강조색3 8" xfId="193" xr:uid="{B9B7443B-9F0E-4C88-B960-D2AFA151E97E}"/>
    <cellStyle name="40% - 강조색3 9" xfId="213" xr:uid="{4A23610B-77CE-47A2-B2FB-E8C44A920724}"/>
    <cellStyle name="40% - 강조색4 10" xfId="236" xr:uid="{279AACC2-5F8A-4635-BD30-C38CC99F5BBF}"/>
    <cellStyle name="40% - 강조색4 11" xfId="256" xr:uid="{9192174F-5DD8-40D2-8FBE-748F54596A66}"/>
    <cellStyle name="40% - 강조색4 12" xfId="276" xr:uid="{E7D5EA16-D63E-4C1A-AF42-E59203C3D5BE}"/>
    <cellStyle name="40% - 강조색4 13" xfId="296" xr:uid="{CD315F74-634E-45B3-B400-D1F3A704B954}"/>
    <cellStyle name="40% - 강조색4 14" xfId="316" xr:uid="{AEE24686-1DFF-44DB-AACB-CB3518FE212E}"/>
    <cellStyle name="40% - 강조색4 15" xfId="336" xr:uid="{8AB618DB-58B6-4512-9B5B-DEFD00DF04CB}"/>
    <cellStyle name="40% - 강조색4 16" xfId="356" xr:uid="{E771F947-75DA-4814-9184-2E49D604F767}"/>
    <cellStyle name="40% - 강조색4 2" xfId="76" xr:uid="{EB5178A4-8D44-4DCF-8595-8E58742034D4}"/>
    <cellStyle name="40% - 강조색4 3" xfId="96" xr:uid="{7DDF99F7-62C4-4110-8149-7035429412C4}"/>
    <cellStyle name="40% - 강조색4 4" xfId="116" xr:uid="{1E9F2364-AB0C-4410-BDC1-1AE32AB9EBB0}"/>
    <cellStyle name="40% - 강조색4 5" xfId="136" xr:uid="{E68D7333-2DDE-4C3C-926E-5C42685FBF6F}"/>
    <cellStyle name="40% - 강조색4 6" xfId="156" xr:uid="{4ACE2520-D97A-432B-9F39-F4AEAB87806C}"/>
    <cellStyle name="40% - 강조색4 7" xfId="176" xr:uid="{45C0AF15-E90B-4919-B72B-1328E7C285F5}"/>
    <cellStyle name="40% - 강조색4 8" xfId="196" xr:uid="{42FE4E23-137F-4281-896F-4A37A35DF536}"/>
    <cellStyle name="40% - 강조색4 9" xfId="216" xr:uid="{5FE4A7DD-4F23-4F4B-9A91-26CA02F74E9F}"/>
    <cellStyle name="40% - 강조색5 10" xfId="239" xr:uid="{BA76548E-7B5B-498D-8406-8634949E5754}"/>
    <cellStyle name="40% - 강조색5 11" xfId="259" xr:uid="{424F185F-7460-4E6C-A653-EFCCE0B5C804}"/>
    <cellStyle name="40% - 강조색5 12" xfId="279" xr:uid="{F5BD1F5E-3484-4B88-A4B4-9A38BB4DB575}"/>
    <cellStyle name="40% - 강조색5 13" xfId="299" xr:uid="{A664C5D0-FB12-4A05-B564-030B6E90913C}"/>
    <cellStyle name="40% - 강조색5 14" xfId="319" xr:uid="{BE37C2E4-E4CE-499D-B8C6-1A2D96C594B2}"/>
    <cellStyle name="40% - 강조색5 15" xfId="339" xr:uid="{A60B9A30-D593-48D8-B8B7-DA95F35BD562}"/>
    <cellStyle name="40% - 강조색5 16" xfId="359" xr:uid="{3572AD67-08C0-4CA1-9D33-A662BC77D774}"/>
    <cellStyle name="40% - 강조색5 2" xfId="79" xr:uid="{2FD2444E-57DF-4113-B480-858C6A8D4451}"/>
    <cellStyle name="40% - 강조색5 3" xfId="99" xr:uid="{F226EFB6-2501-4022-91DE-D0995D383E3C}"/>
    <cellStyle name="40% - 강조색5 4" xfId="119" xr:uid="{48F82457-8C9B-4497-BFC6-D40C30AE952B}"/>
    <cellStyle name="40% - 강조색5 5" xfId="139" xr:uid="{5D18B759-CFA1-423A-8896-513E7463EA2D}"/>
    <cellStyle name="40% - 강조색5 6" xfId="159" xr:uid="{92D981D6-A165-4648-B862-13C2C8AF5A2B}"/>
    <cellStyle name="40% - 강조색5 7" xfId="179" xr:uid="{0E855858-D7BA-4E58-A50B-DF778967EFAA}"/>
    <cellStyle name="40% - 강조색5 8" xfId="199" xr:uid="{4D7F1574-D752-49B6-892C-7686097E072D}"/>
    <cellStyle name="40% - 강조색5 9" xfId="219" xr:uid="{C3599F2D-029D-43AC-A322-099F96CB9902}"/>
    <cellStyle name="40% - 강조색6 10" xfId="242" xr:uid="{E82BFB48-84FD-41B7-AB7F-3FC7DAD9B6DF}"/>
    <cellStyle name="40% - 강조색6 11" xfId="262" xr:uid="{7F222311-21F8-4F52-86D3-B6BCB9F92164}"/>
    <cellStyle name="40% - 강조색6 12" xfId="282" xr:uid="{620521F1-AF1F-4213-A635-B81EA35B4D80}"/>
    <cellStyle name="40% - 강조색6 13" xfId="302" xr:uid="{918AA8C0-6591-4A67-A306-A8D34B2778DA}"/>
    <cellStyle name="40% - 강조색6 14" xfId="322" xr:uid="{0F489502-E054-437F-BAD6-962A518FFF7D}"/>
    <cellStyle name="40% - 강조색6 15" xfId="342" xr:uid="{D02158DF-36FE-4148-9949-1B565C11BBDF}"/>
    <cellStyle name="40% - 강조색6 16" xfId="362" xr:uid="{0228A41F-3552-403A-BEB9-13D91F7107B5}"/>
    <cellStyle name="40% - 강조색6 2" xfId="82" xr:uid="{ABAFEDE8-FFD6-42E3-AE21-8DF4E8E999CF}"/>
    <cellStyle name="40% - 강조색6 3" xfId="102" xr:uid="{261FF799-21A4-4DFD-BC41-AD36A40AB6C0}"/>
    <cellStyle name="40% - 강조색6 4" xfId="122" xr:uid="{6D2E5168-6F7B-4B98-A80D-3A36768628F3}"/>
    <cellStyle name="40% - 강조색6 5" xfId="142" xr:uid="{4647BD6D-3215-4C41-8EF3-2645F2D1CA00}"/>
    <cellStyle name="40% - 강조색6 6" xfId="162" xr:uid="{7E3D72B4-30A0-4B08-BDD0-18D2D7826858}"/>
    <cellStyle name="40% - 강조색6 7" xfId="182" xr:uid="{05CFEC58-67B0-46E3-A580-AB3F892F5F02}"/>
    <cellStyle name="40% - 강조색6 8" xfId="202" xr:uid="{3DB6A435-9D18-41C8-A80C-5CA6BC3C8EC3}"/>
    <cellStyle name="40% - 강조색6 9" xfId="222" xr:uid="{437FDFC9-C82F-4230-A465-4560C5905C74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1" xfId="248" xr:uid="{E4397767-24DE-4A4E-8808-6EE3AC7ADD6A}"/>
    <cellStyle name="60% - 강조색1 12" xfId="268" xr:uid="{45163B68-6E14-49BA-BFA4-ECA510354E09}"/>
    <cellStyle name="60% - 강조색1 13" xfId="288" xr:uid="{4ECEC866-C940-4B1D-8E38-55A23D2D0542}"/>
    <cellStyle name="60% - 강조색1 14" xfId="308" xr:uid="{DF8043AD-8773-4D93-B2C8-1B5C7502C135}"/>
    <cellStyle name="60% - 강조색1 15" xfId="328" xr:uid="{AE574A2D-9FB0-4ACE-B888-47AD5434508A}"/>
    <cellStyle name="60% - 강조색1 16" xfId="348" xr:uid="{8CEA539B-6240-42C9-B368-161B9EDC0A45}"/>
    <cellStyle name="60% - 강조색1 2" xfId="68" xr:uid="{D96F520C-0939-4D6D-A16E-E458CF2912C2}"/>
    <cellStyle name="60% - 강조색1 3" xfId="88" xr:uid="{F66CE541-3BD7-4504-AC6D-7AF378A3DEDA}"/>
    <cellStyle name="60% - 강조색1 4" xfId="108" xr:uid="{6FA34F41-E20A-49FA-BFCA-CD52598158FD}"/>
    <cellStyle name="60% - 강조색1 5" xfId="128" xr:uid="{3463E9EE-F8EC-4E54-834C-9B81B7FECD98}"/>
    <cellStyle name="60% - 강조색1 6" xfId="148" xr:uid="{5B333DEA-5B17-48AA-B16F-C66878B0742C}"/>
    <cellStyle name="60% - 강조색1 7" xfId="168" xr:uid="{8212DAC3-9A02-42BE-8CA2-BF85CA1F7FF5}"/>
    <cellStyle name="60% - 강조색1 8" xfId="188" xr:uid="{C4DD9030-1D5F-45AE-A9B8-68EA671C2427}"/>
    <cellStyle name="60% - 강조색1 9" xfId="208" xr:uid="{17F085EB-9BA6-42BC-90C0-6F0174349845}"/>
    <cellStyle name="60% - 강조색2 10" xfId="231" xr:uid="{14C597ED-74A6-41A0-B9C3-84CD44CA0D59}"/>
    <cellStyle name="60% - 강조색2 11" xfId="251" xr:uid="{8C1F64DB-16E4-48E9-A735-71A04F737194}"/>
    <cellStyle name="60% - 강조색2 12" xfId="271" xr:uid="{8AF8D59B-02D0-4311-9B00-197848AD0A13}"/>
    <cellStyle name="60% - 강조색2 13" xfId="291" xr:uid="{092D3EDE-EB8C-4BC8-A3E3-6F8586AFA4F1}"/>
    <cellStyle name="60% - 강조색2 14" xfId="311" xr:uid="{67D6E8F6-6671-4854-A51D-68A4D4178F79}"/>
    <cellStyle name="60% - 강조색2 15" xfId="331" xr:uid="{AFB5EB0C-80FD-4EB2-B8A6-C7F9EA67F76F}"/>
    <cellStyle name="60% - 강조색2 16" xfId="351" xr:uid="{509739BE-ABF1-4169-8BB8-402FA881B622}"/>
    <cellStyle name="60% - 강조색2 2" xfId="71" xr:uid="{644D7E5D-D95D-4561-AA7D-F03E99268569}"/>
    <cellStyle name="60% - 강조색2 3" xfId="91" xr:uid="{6D8DD7CB-BAD5-42BD-8CAA-D865CE7EE7B0}"/>
    <cellStyle name="60% - 강조색2 4" xfId="111" xr:uid="{EB7CA402-BA71-47F3-AA96-0364DD842CDA}"/>
    <cellStyle name="60% - 강조색2 5" xfId="131" xr:uid="{F4E8DAEC-7A51-4F25-AF51-75342EDBB9BF}"/>
    <cellStyle name="60% - 강조색2 6" xfId="151" xr:uid="{232C6D60-F69C-4131-BA00-A2518A57C92F}"/>
    <cellStyle name="60% - 강조색2 7" xfId="171" xr:uid="{54B6E76E-4A23-423C-A58F-0036EF4BD218}"/>
    <cellStyle name="60% - 강조색2 8" xfId="191" xr:uid="{CAB13629-03F9-4D57-B12A-3727FBAF4666}"/>
    <cellStyle name="60% - 강조색2 9" xfId="211" xr:uid="{A63107D2-B5A6-4F95-8B93-DE528608944A}"/>
    <cellStyle name="60% - 강조색3 10" xfId="234" xr:uid="{ED75E9BB-902D-42DB-AF09-843CCDFA3E09}"/>
    <cellStyle name="60% - 강조색3 11" xfId="254" xr:uid="{EA1454C4-3A62-4C0E-9767-7776B2D9DF0C}"/>
    <cellStyle name="60% - 강조색3 12" xfId="274" xr:uid="{758273EF-D7DF-41A3-A017-443AF2472E7F}"/>
    <cellStyle name="60% - 강조색3 13" xfId="294" xr:uid="{9D1FA834-CFEF-4C9E-A7EE-EB66B3C4C5F0}"/>
    <cellStyle name="60% - 강조색3 14" xfId="314" xr:uid="{8A0584AF-AF63-476E-9C0B-405244535428}"/>
    <cellStyle name="60% - 강조색3 15" xfId="334" xr:uid="{814BFB90-17CB-4D6B-A673-DDF213A4D15F}"/>
    <cellStyle name="60% - 강조색3 16" xfId="354" xr:uid="{37125019-D4FC-4E93-9440-04BD06B12DCE}"/>
    <cellStyle name="60% - 강조색3 2" xfId="74" xr:uid="{8A119AEB-6E38-4FDE-B0BF-D55711F2A704}"/>
    <cellStyle name="60% - 강조색3 3" xfId="94" xr:uid="{3C8C73D0-4078-4609-BAB5-8A20ADB91724}"/>
    <cellStyle name="60% - 강조색3 4" xfId="114" xr:uid="{EC9E5DEB-280D-4710-9F22-874497065958}"/>
    <cellStyle name="60% - 강조색3 5" xfId="134" xr:uid="{CBEAA6D1-B501-4E4F-92F6-55490AEBEF24}"/>
    <cellStyle name="60% - 강조색3 6" xfId="154" xr:uid="{BF2604A9-F699-4508-B09F-0FCF998B8E7C}"/>
    <cellStyle name="60% - 강조색3 7" xfId="174" xr:uid="{CC34085C-2DF9-4B63-BC74-48FB0D0B41C0}"/>
    <cellStyle name="60% - 강조색3 8" xfId="194" xr:uid="{92B4DA0C-F19C-4089-8BF9-BBEE225A05A5}"/>
    <cellStyle name="60% - 강조색3 9" xfId="214" xr:uid="{FB8BE683-8343-4BEB-9B06-CDF01B070856}"/>
    <cellStyle name="60% - 강조색4 10" xfId="237" xr:uid="{70E89AC4-5EED-43E7-9ED8-EF9FC159426C}"/>
    <cellStyle name="60% - 강조색4 11" xfId="257" xr:uid="{069866A3-60DC-46EA-9CD7-FBE3CA7D5DA3}"/>
    <cellStyle name="60% - 강조색4 12" xfId="277" xr:uid="{D7C60D16-EB4F-4F13-94C9-22FBC38F668A}"/>
    <cellStyle name="60% - 강조색4 13" xfId="297" xr:uid="{6F27FC83-76D1-46F7-B3AD-56241F0BE553}"/>
    <cellStyle name="60% - 강조색4 14" xfId="317" xr:uid="{E2708639-9E78-49CB-99B9-C5695C11F1AA}"/>
    <cellStyle name="60% - 강조색4 15" xfId="337" xr:uid="{C85AEFAC-1A27-465A-808B-FF9B657C1459}"/>
    <cellStyle name="60% - 강조색4 16" xfId="357" xr:uid="{19EA790D-267E-40B1-9477-DADE12FD25CC}"/>
    <cellStyle name="60% - 강조색4 2" xfId="77" xr:uid="{1792CD84-041D-468B-B354-D747C2D04C1D}"/>
    <cellStyle name="60% - 강조색4 3" xfId="97" xr:uid="{A1937497-621F-41D7-853F-4DF5D3F9421B}"/>
    <cellStyle name="60% - 강조색4 4" xfId="117" xr:uid="{77FD045A-28DE-49C3-9FED-388E253D598A}"/>
    <cellStyle name="60% - 강조색4 5" xfId="137" xr:uid="{990E823D-6CD7-4AD7-A165-238769E1884C}"/>
    <cellStyle name="60% - 강조색4 6" xfId="157" xr:uid="{DEC53E00-AB73-4777-A99B-B832E160D84A}"/>
    <cellStyle name="60% - 강조색4 7" xfId="177" xr:uid="{98FF8F1B-C298-4C4F-8370-A09AC3F2FFB8}"/>
    <cellStyle name="60% - 강조색4 8" xfId="197" xr:uid="{5C8022D0-2716-4511-BCE5-F749E9A7505F}"/>
    <cellStyle name="60% - 강조색4 9" xfId="217" xr:uid="{398F5B73-4152-4111-A6C1-88930B304A8F}"/>
    <cellStyle name="60% - 강조색5 10" xfId="240" xr:uid="{A4732F92-E2E7-47F7-8962-09A53158E49E}"/>
    <cellStyle name="60% - 강조색5 11" xfId="260" xr:uid="{833A5587-5E37-4DDD-A9A7-B9B835D4EEC6}"/>
    <cellStyle name="60% - 강조색5 12" xfId="280" xr:uid="{0CF639C7-E6D7-4838-8BD1-2A7DDFC35C69}"/>
    <cellStyle name="60% - 강조색5 13" xfId="300" xr:uid="{DD9DC0D0-B0AA-4409-BC18-73F74EE6DC64}"/>
    <cellStyle name="60% - 강조색5 14" xfId="320" xr:uid="{509A9514-662E-4223-8C47-3AF46E407071}"/>
    <cellStyle name="60% - 강조색5 15" xfId="340" xr:uid="{9B28C65F-3F16-43C9-9433-48DBF0EA6B76}"/>
    <cellStyle name="60% - 강조색5 16" xfId="360" xr:uid="{77D17A4D-0892-4BC2-B936-5A54501FA2FF}"/>
    <cellStyle name="60% - 강조색5 2" xfId="80" xr:uid="{83C87137-7D9D-4435-8D26-FB3DD7FDD5B2}"/>
    <cellStyle name="60% - 강조색5 3" xfId="100" xr:uid="{8A3FC43A-9273-4EDE-A3D4-12656ACA2B00}"/>
    <cellStyle name="60% - 강조색5 4" xfId="120" xr:uid="{8C64B1C1-5D00-4464-8C70-D32A97402830}"/>
    <cellStyle name="60% - 강조색5 5" xfId="140" xr:uid="{CEEB8C43-7F0B-422B-AD7B-CFAA54FDBE61}"/>
    <cellStyle name="60% - 강조색5 6" xfId="160" xr:uid="{7CAA41A2-41F0-4F2A-852C-9148935AF173}"/>
    <cellStyle name="60% - 강조색5 7" xfId="180" xr:uid="{B8F7E0E2-4C83-4F44-B59F-356F510E044A}"/>
    <cellStyle name="60% - 강조색5 8" xfId="200" xr:uid="{6D2D570D-EC52-4E0C-B1E9-5D2AB26D118B}"/>
    <cellStyle name="60% - 강조색5 9" xfId="220" xr:uid="{922B3494-236E-4C09-974D-F60AAF6C7BE7}"/>
    <cellStyle name="60% - 강조색6 10" xfId="243" xr:uid="{45C2A6A0-CD21-437A-82CA-BC3AD53B6A17}"/>
    <cellStyle name="60% - 강조색6 11" xfId="263" xr:uid="{A320767B-703A-471C-8140-F1287F2FFA6B}"/>
    <cellStyle name="60% - 강조색6 12" xfId="283" xr:uid="{089059AD-EDC4-453B-8BF0-CD3801C452E4}"/>
    <cellStyle name="60% - 강조색6 13" xfId="303" xr:uid="{DF5BB59F-4766-4740-8D6D-9EFC37439CE9}"/>
    <cellStyle name="60% - 강조색6 14" xfId="323" xr:uid="{7F342A78-9A20-4FA7-A393-60C2CB5924F1}"/>
    <cellStyle name="60% - 강조색6 15" xfId="343" xr:uid="{ED88BECD-6E0C-45E7-99FA-A4CDF3CF7ADD}"/>
    <cellStyle name="60% - 강조색6 16" xfId="363" xr:uid="{606700C0-23F4-4BB8-B081-FB2BDB824788}"/>
    <cellStyle name="60% - 강조색6 2" xfId="83" xr:uid="{17B91430-62BE-4134-AC04-1D7C5943D02F}"/>
    <cellStyle name="60% - 강조색6 3" xfId="103" xr:uid="{9331A509-0875-4C0F-8C3D-D5FB52FB4174}"/>
    <cellStyle name="60% - 강조색6 4" xfId="123" xr:uid="{B9658C44-09E3-424D-B22E-7C3FCC9C0806}"/>
    <cellStyle name="60% - 강조색6 5" xfId="143" xr:uid="{C1BAFC03-FA40-4450-840A-F36FB1A6041B}"/>
    <cellStyle name="60% - 강조색6 6" xfId="163" xr:uid="{1089B983-8593-4207-A1CE-09349D3C4605}"/>
    <cellStyle name="60% - 강조색6 7" xfId="183" xr:uid="{FF60C2DA-079A-4EE1-A9B5-1AD3A9A8D643}"/>
    <cellStyle name="60% - 강조색6 8" xfId="203" xr:uid="{1DBB24E1-EC94-4394-B3EB-483F05503DF3}"/>
    <cellStyle name="60% - 강조색6 9" xfId="223" xr:uid="{3EA00A76-CBFA-49F9-B4AE-8BB59E2AEFE3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370" xr:uid="{E58320F3-688C-7145-ABA1-C646ACA11E6E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368" xr:uid="{674831B9-776A-5944-9265-044ADD138EF6}"/>
    <cellStyle name="Normal_Capability Study - IPEG EVT1 0713a.xls" xfId="367" xr:uid="{1C1F9EAE-F890-4B43-8876-807D3502519C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4ED3288D-E3DB-4489-ADE3-90A1AB80120C}"/>
    <cellStyle name="良い" xfId="13" builtinId="26" customBuiltin="1"/>
    <cellStyle name="메모 10" xfId="205" xr:uid="{F1E6B1A6-DFCC-43B5-938B-AC4EA38735C0}"/>
    <cellStyle name="메모 11" xfId="225" xr:uid="{96156C23-3B33-4EC6-904C-30CD9C6AE460}"/>
    <cellStyle name="메모 12" xfId="245" xr:uid="{5CB831BA-C7F1-474B-BA74-58288726F36E}"/>
    <cellStyle name="메모 13" xfId="265" xr:uid="{91BBAD60-6ED6-4715-A410-BA21B2B80F9B}"/>
    <cellStyle name="메모 14" xfId="285" xr:uid="{72C31025-9F67-4651-9FD6-55D175EBD059}"/>
    <cellStyle name="메모 15" xfId="305" xr:uid="{64142A57-8907-4EB8-81F0-21D0FC161584}"/>
    <cellStyle name="메모 16" xfId="325" xr:uid="{429D3280-652F-41CC-BE36-941A19F819E6}"/>
    <cellStyle name="메모 17" xfId="345" xr:uid="{42ECB233-434C-45FD-A02B-764D46565700}"/>
    <cellStyle name="메모 2" xfId="63" xr:uid="{C5E085BA-2B59-45F4-9A7F-16FA145D7B84}"/>
    <cellStyle name="메모 3" xfId="65" xr:uid="{CF354A69-28DB-401C-A63E-3F347A572426}"/>
    <cellStyle name="메모 4" xfId="85" xr:uid="{775D36BA-F6FE-4815-AEDB-99DCD30B3F80}"/>
    <cellStyle name="메모 5" xfId="105" xr:uid="{A16EE7B9-2783-46EF-847B-5843EB9314E0}"/>
    <cellStyle name="메모 6" xfId="125" xr:uid="{99D5518B-558D-4D06-8223-349768351A5B}"/>
    <cellStyle name="메모 7" xfId="145" xr:uid="{46215A0F-5D5F-4A1E-AE77-6F7125E3F5FD}"/>
    <cellStyle name="메모 8" xfId="165" xr:uid="{3F7FA357-98BF-476F-AC6F-5346764332E9}"/>
    <cellStyle name="메모 9" xfId="185" xr:uid="{3BDA0B01-7855-47A6-943B-A22238ECF36D}"/>
    <cellStyle name="百分比 3" xfId="2" xr:uid="{D6C95A67-1C7B-404B-8CDF-2921498D764C}"/>
    <cellStyle name="백분율 2" xfId="49" xr:uid="{E41B836F-9572-4D1C-9D74-1056A2A9CD16}"/>
    <cellStyle name="보통 2" xfId="366" xr:uid="{7EC43471-86A2-400A-A5A9-BBBBF5CACFAD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369" xr:uid="{12101C8C-6F95-6841-852A-5ABD1CC97689}"/>
    <cellStyle name="표준 11" xfId="224" xr:uid="{DCBD210C-C26C-487C-AAFF-E96EFCCBF417}"/>
    <cellStyle name="표준 12" xfId="244" xr:uid="{88A20BFC-BAA2-4A3D-B20F-C81594BE5818}"/>
    <cellStyle name="표준 13" xfId="264" xr:uid="{5A98D856-1E8E-4B48-AB04-D5F9C62DEF9B}"/>
    <cellStyle name="표준 14" xfId="284" xr:uid="{C1185FA1-2FFE-424F-966F-F35568CDFD2A}"/>
    <cellStyle name="표준 15" xfId="304" xr:uid="{34CB0A49-8C75-4926-9182-6D33642A8364}"/>
    <cellStyle name="표준 16" xfId="324" xr:uid="{2AF502FC-B8DF-40F3-8A1B-C5F51B61B3E9}"/>
    <cellStyle name="표준 17" xfId="344" xr:uid="{C24D31C8-5BE4-420F-9B14-38B86A495FDF}"/>
    <cellStyle name="표준 2" xfId="62" xr:uid="{2BCC682B-7B18-403A-8898-3D72D1F92BEA}"/>
    <cellStyle name="표준 2 3" xfId="371" xr:uid="{40383747-D58A-4600-8430-8C73E834EE7B}"/>
    <cellStyle name="표준 3" xfId="64" xr:uid="{8A91C379-9E86-4ECE-8FC9-502778FF8674}"/>
    <cellStyle name="표준 4" xfId="84" xr:uid="{D49317C4-0983-47D2-9FEE-B35901E022C0}"/>
    <cellStyle name="표준 5" xfId="104" xr:uid="{C846E875-D831-4D02-8B7F-240014E6224A}"/>
    <cellStyle name="표준 6" xfId="124" xr:uid="{96BBFF81-0E0D-49A8-8075-BE29211F8FD1}"/>
    <cellStyle name="표준 7" xfId="144" xr:uid="{CCEE4C6D-6860-49F6-BD89-D6BFB3C97F52}"/>
    <cellStyle name="표준 8" xfId="164" xr:uid="{C8006356-40C1-4BB8-AE4A-A787D7EEC51F}"/>
    <cellStyle name="표준 9" xfId="184" xr:uid="{546D25E5-03AC-4E09-9A2E-CEA11BAB5BC9}"/>
  </cellStyles>
  <dxfs count="3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35\&#54408;&#51656;\Users\shin-yoojin\Desktop\&#4361;&#4469;&#4523;&#4363;&#4466;&#4364;&#4469;&#4523;\MEM25\&#4366;&#4462;&#4527;&#4370;&#4449;&#4361;&#4453;&#4540;&#4364;&#4453;&#4520;&#4361;&#4453;\1213(LGIT)\1213%20Z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13 Zs"/>
    </sheetNames>
    <definedNames>
      <definedName name="ㅂㅂㅂ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40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33" t="s">
        <v>20</v>
      </c>
      <c r="C2" s="133"/>
      <c r="D2" s="133"/>
      <c r="E2" s="133"/>
      <c r="F2" s="133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98</v>
      </c>
      <c r="D5" s="2" t="s">
        <v>7</v>
      </c>
      <c r="E5" s="128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28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3" t="s">
        <v>100</v>
      </c>
      <c r="D7" s="2"/>
      <c r="E7" s="127"/>
      <c r="H7" s="4"/>
      <c r="I7" s="4"/>
      <c r="J7" s="4"/>
    </row>
    <row r="8" spans="1:10" ht="30">
      <c r="A8" s="4"/>
      <c r="B8" s="2" t="s">
        <v>21</v>
      </c>
      <c r="C8" s="130" t="s">
        <v>229</v>
      </c>
      <c r="D8" s="2" t="s">
        <v>4</v>
      </c>
      <c r="E8" s="129">
        <f>SUM('Shipping Lot List'!H:H)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13" t="s">
        <v>226</v>
      </c>
      <c r="D9" s="2" t="s">
        <v>3</v>
      </c>
      <c r="E9" s="129">
        <v>0</v>
      </c>
      <c r="F9" s="134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29">
        <f>E8</f>
        <v>480</v>
      </c>
      <c r="F10" s="134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35" t="s">
        <v>17</v>
      </c>
      <c r="C12" s="135"/>
      <c r="D12" s="135"/>
      <c r="E12" s="135"/>
      <c r="F12" s="135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32" t="s">
        <v>11</v>
      </c>
      <c r="C14" s="6"/>
      <c r="D14" s="13"/>
      <c r="E14" s="18"/>
      <c r="F14" s="19"/>
    </row>
    <row r="15" spans="1:10">
      <c r="A15" s="10"/>
      <c r="B15" s="132"/>
      <c r="C15" s="6"/>
      <c r="D15" s="7"/>
      <c r="E15" s="9"/>
      <c r="F15" s="13"/>
    </row>
    <row r="16" spans="1:10">
      <c r="A16" s="10"/>
      <c r="B16" s="132"/>
      <c r="C16" s="6"/>
      <c r="D16" s="7"/>
      <c r="E16" s="9"/>
      <c r="F16" s="13"/>
    </row>
    <row r="17" spans="1:6">
      <c r="A17" s="10"/>
      <c r="B17" s="132"/>
      <c r="C17" s="6"/>
      <c r="D17" s="7"/>
      <c r="E17" s="9"/>
      <c r="F17" s="13"/>
    </row>
    <row r="18" spans="1:6">
      <c r="A18" s="10"/>
      <c r="B18" s="132"/>
      <c r="C18" s="6"/>
      <c r="D18" s="7"/>
      <c r="E18" s="9"/>
      <c r="F18" s="13"/>
    </row>
    <row r="19" spans="1:6">
      <c r="A19" s="10"/>
      <c r="B19" s="132"/>
      <c r="C19" s="6"/>
      <c r="D19" s="7"/>
      <c r="E19" s="9"/>
      <c r="F19" s="13"/>
    </row>
    <row r="20" spans="1:6">
      <c r="A20" s="10"/>
      <c r="B20" s="132"/>
      <c r="C20" s="6"/>
      <c r="D20" s="7"/>
      <c r="E20" s="9"/>
      <c r="F20" s="13"/>
    </row>
    <row r="21" spans="1:6">
      <c r="A21" s="10"/>
      <c r="B21" s="132"/>
      <c r="C21" s="6"/>
      <c r="D21" s="7"/>
      <c r="E21" s="9"/>
      <c r="F21" s="13"/>
    </row>
    <row r="22" spans="1:6">
      <c r="A22" s="10"/>
      <c r="B22" s="132"/>
      <c r="C22" s="6"/>
      <c r="D22" s="7"/>
      <c r="E22" s="9"/>
      <c r="F22" s="13"/>
    </row>
    <row r="23" spans="1:6">
      <c r="A23" s="10"/>
      <c r="B23" s="132"/>
      <c r="C23" s="6"/>
      <c r="D23" s="7"/>
      <c r="E23" s="9"/>
      <c r="F23" s="13"/>
    </row>
    <row r="24" spans="1:6">
      <c r="A24" s="10"/>
      <c r="B24" s="132" t="s">
        <v>12</v>
      </c>
      <c r="C24" s="6"/>
      <c r="D24" s="13"/>
      <c r="E24" s="18"/>
      <c r="F24" s="19"/>
    </row>
    <row r="25" spans="1:6">
      <c r="A25" s="10"/>
      <c r="B25" s="132"/>
      <c r="C25" s="6"/>
      <c r="D25" s="13"/>
      <c r="E25" s="18"/>
      <c r="F25" s="19"/>
    </row>
    <row r="26" spans="1:6">
      <c r="A26" s="10"/>
      <c r="B26" s="132"/>
      <c r="C26" s="6"/>
      <c r="D26" s="13"/>
      <c r="E26" s="18"/>
      <c r="F26" s="13"/>
    </row>
    <row r="27" spans="1:6">
      <c r="A27" s="16"/>
      <c r="B27" s="132"/>
      <c r="C27" s="6"/>
      <c r="D27" s="13"/>
      <c r="E27" s="18"/>
      <c r="F27" s="13"/>
    </row>
    <row r="28" spans="1:6">
      <c r="A28" s="16"/>
      <c r="B28" s="132"/>
      <c r="C28" s="6"/>
      <c r="D28" s="13"/>
      <c r="E28" s="18"/>
      <c r="F28" s="13"/>
    </row>
    <row r="29" spans="1:6">
      <c r="A29" s="16"/>
      <c r="B29" s="132"/>
      <c r="C29" s="6"/>
      <c r="D29" s="13"/>
      <c r="E29" s="18"/>
      <c r="F29" s="13"/>
    </row>
    <row r="30" spans="1:6">
      <c r="A30" s="16"/>
      <c r="B30" s="132"/>
      <c r="C30" s="6"/>
      <c r="D30" s="13"/>
      <c r="E30" s="18"/>
      <c r="F30" s="13"/>
    </row>
    <row r="31" spans="1:6">
      <c r="A31" s="16"/>
      <c r="B31" s="132"/>
      <c r="C31" s="6"/>
      <c r="D31" s="13"/>
      <c r="E31" s="18"/>
      <c r="F31" s="13"/>
    </row>
    <row r="32" spans="1:6">
      <c r="A32" s="16"/>
      <c r="B32" s="132"/>
      <c r="C32" s="6"/>
      <c r="D32" s="13"/>
      <c r="E32" s="18"/>
      <c r="F32" s="13"/>
    </row>
    <row r="33" spans="1:6">
      <c r="A33" s="16"/>
      <c r="B33" s="132"/>
      <c r="C33" s="6"/>
      <c r="D33" s="13"/>
      <c r="E33" s="18"/>
      <c r="F33" s="13"/>
    </row>
    <row r="34" spans="1:6">
      <c r="A34" s="16"/>
      <c r="B34" s="132" t="s">
        <v>13</v>
      </c>
      <c r="C34" s="6"/>
      <c r="D34" s="7"/>
      <c r="E34" s="7"/>
      <c r="F34" s="13"/>
    </row>
    <row r="35" spans="1:6">
      <c r="A35" s="16"/>
      <c r="B35" s="132"/>
      <c r="C35" s="6"/>
      <c r="D35" s="7"/>
      <c r="E35" s="7"/>
      <c r="F35" s="13"/>
    </row>
    <row r="36" spans="1:6">
      <c r="A36" s="16"/>
      <c r="B36" s="132"/>
      <c r="C36" s="6"/>
      <c r="D36" s="7"/>
      <c r="E36" s="7"/>
      <c r="F36" s="13"/>
    </row>
    <row r="37" spans="1:6">
      <c r="A37" s="16"/>
      <c r="B37" s="132"/>
      <c r="C37" s="6"/>
      <c r="D37" s="7"/>
      <c r="E37" s="7"/>
      <c r="F37" s="13"/>
    </row>
    <row r="38" spans="1:6">
      <c r="A38" s="16"/>
      <c r="B38" s="132"/>
      <c r="C38" s="6"/>
      <c r="D38" s="7"/>
      <c r="E38" s="7"/>
      <c r="F38" s="13"/>
    </row>
    <row r="39" spans="1:6">
      <c r="A39" s="16"/>
      <c r="B39" s="132"/>
      <c r="C39" s="6"/>
      <c r="D39" s="7"/>
      <c r="E39" s="7"/>
      <c r="F39" s="13"/>
    </row>
    <row r="40" spans="1:6">
      <c r="A40" s="16"/>
      <c r="B40" s="132"/>
      <c r="C40" s="6"/>
      <c r="D40" s="7"/>
      <c r="E40" s="7"/>
      <c r="F40" s="13"/>
    </row>
    <row r="41" spans="1:6">
      <c r="A41" s="16"/>
      <c r="B41" s="132"/>
      <c r="C41" s="6"/>
      <c r="D41" s="7"/>
      <c r="E41" s="7"/>
      <c r="F41" s="13"/>
    </row>
    <row r="42" spans="1:6">
      <c r="A42" s="16"/>
      <c r="B42" s="132"/>
      <c r="C42" s="6"/>
      <c r="D42" s="7"/>
      <c r="E42" s="7"/>
      <c r="F42" s="13"/>
    </row>
    <row r="43" spans="1:6">
      <c r="A43" s="16"/>
      <c r="B43" s="132"/>
      <c r="C43" s="6"/>
      <c r="D43" s="7"/>
      <c r="E43" s="7"/>
      <c r="F43" s="13"/>
    </row>
    <row r="44" spans="1:6">
      <c r="B44" s="131" t="s">
        <v>19</v>
      </c>
      <c r="C44" s="6"/>
      <c r="D44" s="7"/>
      <c r="E44" s="7"/>
      <c r="F44" s="13"/>
    </row>
    <row r="45" spans="1:6">
      <c r="B45" s="131"/>
      <c r="C45" s="6"/>
      <c r="D45" s="7"/>
      <c r="E45" s="7"/>
      <c r="F45" s="13"/>
    </row>
    <row r="46" spans="1:6">
      <c r="B46" s="131"/>
      <c r="C46" s="6"/>
      <c r="D46" s="7"/>
      <c r="E46" s="7"/>
      <c r="F46" s="13"/>
    </row>
    <row r="47" spans="1:6">
      <c r="B47" s="131"/>
      <c r="C47" s="6"/>
      <c r="D47" s="7"/>
      <c r="E47" s="7"/>
      <c r="F47" s="13"/>
    </row>
    <row r="48" spans="1:6">
      <c r="B48" s="131"/>
      <c r="C48" s="6"/>
      <c r="D48" s="7"/>
      <c r="E48" s="7"/>
      <c r="F48" s="13"/>
    </row>
    <row r="49" spans="2:6">
      <c r="B49" s="131"/>
      <c r="C49" s="6"/>
      <c r="D49" s="7"/>
      <c r="E49" s="7"/>
      <c r="F49" s="13"/>
    </row>
    <row r="50" spans="2:6">
      <c r="B50" s="131"/>
      <c r="C50" s="6"/>
      <c r="D50" s="7"/>
      <c r="E50" s="7"/>
      <c r="F50" s="13"/>
    </row>
    <row r="51" spans="2:6">
      <c r="B51" s="131"/>
      <c r="C51" s="6"/>
      <c r="D51" s="7"/>
      <c r="E51" s="7"/>
      <c r="F51" s="13"/>
    </row>
    <row r="52" spans="2:6">
      <c r="B52" s="131"/>
      <c r="C52" s="6"/>
      <c r="D52" s="7"/>
      <c r="E52" s="7"/>
      <c r="F52" s="13"/>
    </row>
    <row r="53" spans="2:6">
      <c r="B53" s="131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5028-B29C-B64B-87D8-5E0B4DDE55A4}">
  <sheetPr codeName="Sheet1"/>
  <dimension ref="A1:I5"/>
  <sheetViews>
    <sheetView workbookViewId="0"/>
  </sheetViews>
  <sheetFormatPr defaultColWidth="10.88671875" defaultRowHeight="17.25"/>
  <cols>
    <col min="1" max="2" width="17.6640625" style="44" customWidth="1"/>
    <col min="3" max="3" width="12.6640625" style="44" customWidth="1"/>
    <col min="4" max="4" width="35.6640625" style="44" customWidth="1"/>
    <col min="5" max="5" width="17.6640625" style="44" customWidth="1"/>
    <col min="6" max="6" width="12.6640625" style="44" customWidth="1"/>
    <col min="7" max="7" width="12.6640625" style="45" customWidth="1"/>
    <col min="8" max="9" width="12.6640625" style="44" customWidth="1"/>
    <col min="10" max="16384" width="10.88671875" style="44"/>
  </cols>
  <sheetData>
    <row r="1" spans="1:9">
      <c r="A1" s="115" t="s">
        <v>107</v>
      </c>
      <c r="B1" s="115" t="s">
        <v>108</v>
      </c>
      <c r="C1" s="116" t="s">
        <v>109</v>
      </c>
      <c r="D1" s="117" t="s">
        <v>110</v>
      </c>
      <c r="E1" s="117" t="s">
        <v>111</v>
      </c>
      <c r="F1" s="117" t="s">
        <v>112</v>
      </c>
      <c r="G1" s="117" t="s">
        <v>113</v>
      </c>
      <c r="H1" s="117" t="s">
        <v>114</v>
      </c>
      <c r="I1" s="116" t="s">
        <v>115</v>
      </c>
    </row>
    <row r="2" spans="1:9" ht="19.149999999999999" customHeight="1">
      <c r="A2" s="115" t="s">
        <v>100</v>
      </c>
      <c r="B2" s="115">
        <v>45820</v>
      </c>
      <c r="C2" s="116" t="s">
        <v>226</v>
      </c>
      <c r="D2" s="116" t="s">
        <v>230</v>
      </c>
      <c r="E2" s="119" t="s">
        <v>228</v>
      </c>
      <c r="F2" s="121">
        <v>5760</v>
      </c>
      <c r="G2" s="118">
        <v>1</v>
      </c>
      <c r="H2" s="119">
        <v>480</v>
      </c>
      <c r="I2" s="116" t="s">
        <v>227</v>
      </c>
    </row>
    <row r="3" spans="1:9">
      <c r="A3" s="115"/>
      <c r="B3" s="115"/>
      <c r="C3" s="116"/>
      <c r="D3" s="117"/>
      <c r="E3" s="122"/>
      <c r="F3" s="121"/>
      <c r="G3" s="120"/>
      <c r="H3" s="117"/>
      <c r="I3" s="116"/>
    </row>
    <row r="4" spans="1:9">
      <c r="A4" s="115"/>
      <c r="B4" s="115"/>
      <c r="C4" s="116"/>
      <c r="D4" s="117"/>
      <c r="E4" s="122"/>
      <c r="F4" s="121"/>
      <c r="G4" s="120"/>
      <c r="H4" s="117"/>
      <c r="I4" s="116"/>
    </row>
    <row r="5" spans="1:9">
      <c r="A5" s="115"/>
      <c r="B5" s="115"/>
      <c r="C5" s="116"/>
      <c r="D5" s="117"/>
      <c r="E5" s="122"/>
      <c r="F5" s="121"/>
      <c r="G5" s="120"/>
      <c r="H5" s="117"/>
      <c r="I5" s="116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D790-95F8-3D42-B752-B4A6DBB3509E}">
  <sheetPr codeName="Sheet3"/>
  <dimension ref="A1:T83"/>
  <sheetViews>
    <sheetView zoomScaleNormal="100" workbookViewId="0">
      <selection sqref="A1:S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18" width="9" style="21" customWidth="1"/>
    <col min="19" max="19" width="13.77734375" style="21" customWidth="1"/>
    <col min="20" max="20" width="12.44140625" style="123"/>
    <col min="21" max="16384" width="12.44140625" style="21"/>
  </cols>
  <sheetData>
    <row r="1" spans="1:19" ht="20.25">
      <c r="A1" s="136" t="s">
        <v>25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</row>
    <row r="2" spans="1:19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ht="15" customHeight="1">
      <c r="A3" s="43"/>
      <c r="B3" s="137" t="s">
        <v>26</v>
      </c>
      <c r="C3" s="137"/>
      <c r="D3" s="137"/>
      <c r="E3" s="137"/>
      <c r="F3" s="137"/>
      <c r="G3" s="137"/>
      <c r="H3" s="138" t="s">
        <v>27</v>
      </c>
      <c r="I3" s="138"/>
      <c r="J3" s="138"/>
      <c r="K3" s="138"/>
      <c r="L3" s="138"/>
      <c r="M3" s="138"/>
      <c r="N3" s="139" t="s">
        <v>28</v>
      </c>
      <c r="O3" s="138"/>
      <c r="P3" s="138"/>
      <c r="Q3" s="138"/>
      <c r="R3" s="140"/>
      <c r="S3" s="141" t="s">
        <v>29</v>
      </c>
    </row>
    <row r="4" spans="1:19" ht="15" customHeight="1">
      <c r="A4" s="22"/>
      <c r="B4" s="141" t="s">
        <v>30</v>
      </c>
      <c r="C4" s="141" t="s">
        <v>31</v>
      </c>
      <c r="D4" s="142" t="s">
        <v>32</v>
      </c>
      <c r="E4" s="143" t="s">
        <v>33</v>
      </c>
      <c r="F4" s="143" t="s">
        <v>34</v>
      </c>
      <c r="G4" s="146" t="s">
        <v>35</v>
      </c>
      <c r="H4" s="147" t="s">
        <v>36</v>
      </c>
      <c r="I4" s="147"/>
      <c r="J4" s="147"/>
      <c r="K4" s="148" t="s">
        <v>37</v>
      </c>
      <c r="L4" s="147"/>
      <c r="M4" s="147"/>
      <c r="N4" s="144" t="s">
        <v>38</v>
      </c>
      <c r="O4" s="23" t="s">
        <v>39</v>
      </c>
      <c r="P4" s="24"/>
      <c r="Q4" s="25" t="s">
        <v>40</v>
      </c>
      <c r="R4" s="24"/>
      <c r="S4" s="141"/>
    </row>
    <row r="5" spans="1:19" ht="18" customHeight="1">
      <c r="A5" s="26"/>
      <c r="B5" s="141"/>
      <c r="C5" s="141"/>
      <c r="D5" s="142"/>
      <c r="E5" s="143"/>
      <c r="F5" s="143"/>
      <c r="G5" s="146"/>
      <c r="H5" s="42"/>
      <c r="I5" s="42"/>
      <c r="J5" s="42"/>
      <c r="K5" s="42">
        <v>1</v>
      </c>
      <c r="L5" s="42">
        <v>2</v>
      </c>
      <c r="M5" s="42">
        <v>3</v>
      </c>
      <c r="N5" s="145"/>
      <c r="O5" s="32" t="s">
        <v>41</v>
      </c>
      <c r="P5" s="24" t="s">
        <v>42</v>
      </c>
      <c r="Q5" s="32" t="s">
        <v>43</v>
      </c>
      <c r="R5" s="24" t="s">
        <v>44</v>
      </c>
      <c r="S5" s="141"/>
    </row>
    <row r="6" spans="1:19" ht="18" customHeight="1">
      <c r="A6" s="27"/>
      <c r="B6" s="46" t="s">
        <v>116</v>
      </c>
      <c r="C6" s="33" t="s">
        <v>45</v>
      </c>
      <c r="D6" s="34"/>
      <c r="E6" s="34">
        <v>7.0000000000000007E-2</v>
      </c>
      <c r="F6" s="34"/>
      <c r="G6" s="35" t="s">
        <v>49</v>
      </c>
      <c r="H6" s="36"/>
      <c r="I6" s="36"/>
      <c r="J6" s="36"/>
      <c r="K6" s="28" t="str">
        <f t="shared" ref="K6:K37" si="0">IF(ISERR(H6/H6)=TRUE," ",H6-$D6)</f>
        <v xml:space="preserve"> </v>
      </c>
      <c r="L6" s="28" t="str">
        <f t="shared" ref="L6:L37" si="1">IF(ISERR(I6/I6)=TRUE," ",I6-$D6)</f>
        <v xml:space="preserve"> </v>
      </c>
      <c r="M6" s="28" t="str">
        <f t="shared" ref="M6:M37" si="2">IF(ISERR(J6/J6)=TRUE," ",J6-$D6)</f>
        <v xml:space="preserve"> </v>
      </c>
      <c r="N6" s="29" t="str">
        <f t="shared" ref="N6:N37" si="3">IF(ISERR(H6/H6)=TRUE," ",AVERAGE(H6:J6))</f>
        <v xml:space="preserve"> </v>
      </c>
      <c r="O6" s="30" t="str">
        <f t="shared" ref="O6:O37" si="4">IF(ISERR(E6/E6)=TRUE," ",IF(ISERR(H6/H6)=TRUE," ",IF(ISNUMBER($H6)=FALSE," ",IF(MAX($H6:$J6)&lt;$D6,0,(MAX($H6:$J6)-$D6)/$E6))))</f>
        <v xml:space="preserve"> </v>
      </c>
      <c r="P6" s="31" t="str">
        <f t="shared" ref="P6:P37" si="5">IF(ISERR(F6/D6)=TRUE," ",IF(ISERR(F6/F6)=TRUE," ",IF(ISERR(H6/H6)=TRUE," ",IF(ISNUMBER(H6)=FALSE," ",IF(MIN(H6:J6)&gt;$D6,0,($D6-MIN(H6:J6))/-F6)))))</f>
        <v xml:space="preserve"> </v>
      </c>
      <c r="Q6" s="29" t="str">
        <f t="shared" ref="Q6:Q70" si="6">IF(ISNUMBER($O6)=TRUE,IF($O6&gt;0.651,IF($O6&gt;1.001,"Reject","Alert"),""),"")</f>
        <v/>
      </c>
      <c r="R6" s="29" t="str">
        <f t="shared" ref="R6:R33" si="7">IF(H6="","",IF(ISERR(F6/F6)=TRUE,"",IF(ISERR(F6/D6)=TRUE,IF((F6-MIN(H6:J6))&gt;0.001,"Reject",""),IF(ISNUMBER($P6)=TRUE,IF($P6&gt;0.651,IF($P6&gt;1.001,"Reject","Alert"),""),""))))</f>
        <v/>
      </c>
      <c r="S6" s="126"/>
    </row>
    <row r="7" spans="1:19" ht="18" customHeight="1">
      <c r="A7" s="27"/>
      <c r="B7" s="46" t="s">
        <v>117</v>
      </c>
      <c r="C7" s="37" t="s">
        <v>46</v>
      </c>
      <c r="D7" s="34">
        <v>2.0649999999999999</v>
      </c>
      <c r="E7" s="34">
        <v>0.04</v>
      </c>
      <c r="F7" s="34">
        <v>-0.02</v>
      </c>
      <c r="G7" s="35" t="s">
        <v>49</v>
      </c>
      <c r="H7" s="36"/>
      <c r="I7" s="36"/>
      <c r="J7" s="36"/>
      <c r="K7" s="28" t="str">
        <f t="shared" si="0"/>
        <v xml:space="preserve"> </v>
      </c>
      <c r="L7" s="28" t="str">
        <f t="shared" si="1"/>
        <v xml:space="preserve"> </v>
      </c>
      <c r="M7" s="28" t="str">
        <f t="shared" si="2"/>
        <v xml:space="preserve"> </v>
      </c>
      <c r="N7" s="29" t="str">
        <f t="shared" si="3"/>
        <v xml:space="preserve"> </v>
      </c>
      <c r="O7" s="30" t="str">
        <f t="shared" si="4"/>
        <v xml:space="preserve"> </v>
      </c>
      <c r="P7" s="31" t="str">
        <f t="shared" si="5"/>
        <v xml:space="preserve"> </v>
      </c>
      <c r="Q7" s="29" t="str">
        <f t="shared" si="6"/>
        <v/>
      </c>
      <c r="R7" s="29" t="str">
        <f t="shared" si="7"/>
        <v/>
      </c>
      <c r="S7" s="126"/>
    </row>
    <row r="8" spans="1:19" ht="18" customHeight="1">
      <c r="A8" s="27"/>
      <c r="B8" s="46" t="s">
        <v>118</v>
      </c>
      <c r="C8" s="35" t="s">
        <v>46</v>
      </c>
      <c r="D8" s="34">
        <v>2.0649999999999999</v>
      </c>
      <c r="E8" s="34">
        <v>0.04</v>
      </c>
      <c r="F8" s="34">
        <v>-0.02</v>
      </c>
      <c r="G8" s="35" t="s">
        <v>49</v>
      </c>
      <c r="H8" s="36"/>
      <c r="I8" s="36"/>
      <c r="J8" s="36"/>
      <c r="K8" s="28" t="str">
        <f t="shared" si="0"/>
        <v xml:space="preserve"> </v>
      </c>
      <c r="L8" s="28" t="str">
        <f t="shared" si="1"/>
        <v xml:space="preserve"> </v>
      </c>
      <c r="M8" s="28" t="str">
        <f t="shared" si="2"/>
        <v xml:space="preserve"> </v>
      </c>
      <c r="N8" s="29" t="str">
        <f t="shared" si="3"/>
        <v xml:space="preserve"> </v>
      </c>
      <c r="O8" s="30" t="str">
        <f t="shared" si="4"/>
        <v xml:space="preserve"> </v>
      </c>
      <c r="P8" s="31" t="str">
        <f t="shared" si="5"/>
        <v xml:space="preserve"> </v>
      </c>
      <c r="Q8" s="29" t="str">
        <f t="shared" si="6"/>
        <v/>
      </c>
      <c r="R8" s="29" t="str">
        <f t="shared" si="7"/>
        <v/>
      </c>
      <c r="S8" s="126"/>
    </row>
    <row r="9" spans="1:19" ht="18" customHeight="1">
      <c r="A9" s="27"/>
      <c r="B9" s="46" t="s">
        <v>119</v>
      </c>
      <c r="C9" s="35" t="s">
        <v>46</v>
      </c>
      <c r="D9" s="34">
        <v>2.0649999999999999</v>
      </c>
      <c r="E9" s="34">
        <v>0.04</v>
      </c>
      <c r="F9" s="34">
        <v>-0.02</v>
      </c>
      <c r="G9" s="35" t="s">
        <v>49</v>
      </c>
      <c r="H9" s="36"/>
      <c r="I9" s="36"/>
      <c r="J9" s="36"/>
      <c r="K9" s="28" t="str">
        <f t="shared" si="0"/>
        <v xml:space="preserve"> </v>
      </c>
      <c r="L9" s="28" t="str">
        <f t="shared" si="1"/>
        <v xml:space="preserve"> </v>
      </c>
      <c r="M9" s="28" t="str">
        <f t="shared" si="2"/>
        <v xml:space="preserve"> </v>
      </c>
      <c r="N9" s="29" t="str">
        <f t="shared" si="3"/>
        <v xml:space="preserve"> </v>
      </c>
      <c r="O9" s="30" t="str">
        <f t="shared" si="4"/>
        <v xml:space="preserve"> </v>
      </c>
      <c r="P9" s="31" t="str">
        <f t="shared" si="5"/>
        <v xml:space="preserve"> </v>
      </c>
      <c r="Q9" s="29" t="str">
        <f t="shared" si="6"/>
        <v/>
      </c>
      <c r="R9" s="29" t="str">
        <f t="shared" si="7"/>
        <v/>
      </c>
      <c r="S9" s="126"/>
    </row>
    <row r="10" spans="1:19" ht="18" customHeight="1">
      <c r="A10" s="27"/>
      <c r="B10" s="46" t="s">
        <v>120</v>
      </c>
      <c r="C10" s="35" t="s">
        <v>46</v>
      </c>
      <c r="D10" s="34">
        <v>2.0649999999999999</v>
      </c>
      <c r="E10" s="34">
        <v>0.04</v>
      </c>
      <c r="F10" s="34">
        <v>-0.02</v>
      </c>
      <c r="G10" s="35" t="s">
        <v>49</v>
      </c>
      <c r="H10" s="36"/>
      <c r="I10" s="36"/>
      <c r="J10" s="36"/>
      <c r="K10" s="28" t="str">
        <f t="shared" si="0"/>
        <v xml:space="preserve"> </v>
      </c>
      <c r="L10" s="28" t="str">
        <f t="shared" si="1"/>
        <v xml:space="preserve"> </v>
      </c>
      <c r="M10" s="28" t="str">
        <f t="shared" si="2"/>
        <v xml:space="preserve"> </v>
      </c>
      <c r="N10" s="29" t="str">
        <f t="shared" si="3"/>
        <v xml:space="preserve"> </v>
      </c>
      <c r="O10" s="30" t="str">
        <f t="shared" si="4"/>
        <v xml:space="preserve"> </v>
      </c>
      <c r="P10" s="31" t="str">
        <f t="shared" si="5"/>
        <v xml:space="preserve"> </v>
      </c>
      <c r="Q10" s="29" t="str">
        <f t="shared" si="6"/>
        <v/>
      </c>
      <c r="R10" s="29" t="str">
        <f t="shared" si="7"/>
        <v/>
      </c>
      <c r="S10" s="126"/>
    </row>
    <row r="11" spans="1:19" ht="18" customHeight="1">
      <c r="A11" s="27"/>
      <c r="B11" s="46" t="s">
        <v>121</v>
      </c>
      <c r="C11" s="35" t="s">
        <v>47</v>
      </c>
      <c r="D11" s="34">
        <v>0.3</v>
      </c>
      <c r="E11" s="34">
        <v>0.03</v>
      </c>
      <c r="F11" s="34">
        <v>-0.03</v>
      </c>
      <c r="G11" s="35" t="s">
        <v>49</v>
      </c>
      <c r="H11" s="36"/>
      <c r="I11" s="36"/>
      <c r="J11" s="36"/>
      <c r="K11" s="28" t="str">
        <f t="shared" si="0"/>
        <v xml:space="preserve"> </v>
      </c>
      <c r="L11" s="28" t="str">
        <f t="shared" si="1"/>
        <v xml:space="preserve"> </v>
      </c>
      <c r="M11" s="28" t="str">
        <f t="shared" si="2"/>
        <v xml:space="preserve"> </v>
      </c>
      <c r="N11" s="29" t="str">
        <f t="shared" si="3"/>
        <v xml:space="preserve"> </v>
      </c>
      <c r="O11" s="30" t="str">
        <f t="shared" si="4"/>
        <v xml:space="preserve"> </v>
      </c>
      <c r="P11" s="31" t="str">
        <f t="shared" si="5"/>
        <v xml:space="preserve"> </v>
      </c>
      <c r="Q11" s="29" t="str">
        <f t="shared" si="6"/>
        <v/>
      </c>
      <c r="R11" s="29" t="str">
        <f t="shared" si="7"/>
        <v/>
      </c>
      <c r="S11" s="126"/>
    </row>
    <row r="12" spans="1:19" ht="18" customHeight="1">
      <c r="A12" s="27"/>
      <c r="B12" s="46" t="s">
        <v>122</v>
      </c>
      <c r="C12" s="35" t="s">
        <v>47</v>
      </c>
      <c r="D12" s="34">
        <v>0.3</v>
      </c>
      <c r="E12" s="34">
        <v>0.03</v>
      </c>
      <c r="F12" s="34">
        <v>-0.03</v>
      </c>
      <c r="G12" s="35" t="s">
        <v>49</v>
      </c>
      <c r="H12" s="36"/>
      <c r="I12" s="36"/>
      <c r="J12" s="36"/>
      <c r="K12" s="28" t="str">
        <f t="shared" si="0"/>
        <v xml:space="preserve"> </v>
      </c>
      <c r="L12" s="28" t="str">
        <f t="shared" si="1"/>
        <v xml:space="preserve"> </v>
      </c>
      <c r="M12" s="28" t="str">
        <f t="shared" si="2"/>
        <v xml:space="preserve"> </v>
      </c>
      <c r="N12" s="29" t="str">
        <f t="shared" si="3"/>
        <v xml:space="preserve"> </v>
      </c>
      <c r="O12" s="30" t="str">
        <f t="shared" si="4"/>
        <v xml:space="preserve"> </v>
      </c>
      <c r="P12" s="31" t="str">
        <f t="shared" si="5"/>
        <v xml:space="preserve"> </v>
      </c>
      <c r="Q12" s="29" t="str">
        <f t="shared" si="6"/>
        <v/>
      </c>
      <c r="R12" s="29" t="str">
        <f t="shared" si="7"/>
        <v/>
      </c>
      <c r="S12" s="126"/>
    </row>
    <row r="13" spans="1:19" ht="18" customHeight="1">
      <c r="A13" s="27"/>
      <c r="B13" s="46" t="s">
        <v>123</v>
      </c>
      <c r="C13" s="35" t="s">
        <v>47</v>
      </c>
      <c r="D13" s="34">
        <v>0.32</v>
      </c>
      <c r="E13" s="34">
        <v>0.03</v>
      </c>
      <c r="F13" s="34">
        <v>-0.03</v>
      </c>
      <c r="G13" s="35" t="s">
        <v>49</v>
      </c>
      <c r="H13" s="36"/>
      <c r="I13" s="36"/>
      <c r="J13" s="36"/>
      <c r="K13" s="28" t="str">
        <f t="shared" si="0"/>
        <v xml:space="preserve"> </v>
      </c>
      <c r="L13" s="28" t="str">
        <f t="shared" si="1"/>
        <v xml:space="preserve"> </v>
      </c>
      <c r="M13" s="28" t="str">
        <f t="shared" si="2"/>
        <v xml:space="preserve"> </v>
      </c>
      <c r="N13" s="29" t="str">
        <f t="shared" si="3"/>
        <v xml:space="preserve"> </v>
      </c>
      <c r="O13" s="30" t="str">
        <f t="shared" si="4"/>
        <v xml:space="preserve"> </v>
      </c>
      <c r="P13" s="31" t="str">
        <f t="shared" si="5"/>
        <v xml:space="preserve"> </v>
      </c>
      <c r="Q13" s="29" t="str">
        <f t="shared" si="6"/>
        <v/>
      </c>
      <c r="R13" s="29" t="str">
        <f t="shared" si="7"/>
        <v/>
      </c>
      <c r="S13" s="126"/>
    </row>
    <row r="14" spans="1:19" ht="18" customHeight="1">
      <c r="A14" s="27"/>
      <c r="B14" s="46" t="s">
        <v>124</v>
      </c>
      <c r="C14" s="35" t="s">
        <v>47</v>
      </c>
      <c r="D14" s="34">
        <v>0.32</v>
      </c>
      <c r="E14" s="34">
        <v>0.03</v>
      </c>
      <c r="F14" s="34">
        <v>-0.03</v>
      </c>
      <c r="G14" s="35" t="s">
        <v>49</v>
      </c>
      <c r="H14" s="36"/>
      <c r="I14" s="36"/>
      <c r="J14" s="36"/>
      <c r="K14" s="28" t="str">
        <f t="shared" si="0"/>
        <v xml:space="preserve"> </v>
      </c>
      <c r="L14" s="28" t="str">
        <f t="shared" si="1"/>
        <v xml:space="preserve"> </v>
      </c>
      <c r="M14" s="28" t="str">
        <f t="shared" si="2"/>
        <v xml:space="preserve"> </v>
      </c>
      <c r="N14" s="29" t="str">
        <f t="shared" si="3"/>
        <v xml:space="preserve"> </v>
      </c>
      <c r="O14" s="30" t="str">
        <f t="shared" si="4"/>
        <v xml:space="preserve"> </v>
      </c>
      <c r="P14" s="31" t="str">
        <f t="shared" si="5"/>
        <v xml:space="preserve"> </v>
      </c>
      <c r="Q14" s="29" t="str">
        <f t="shared" si="6"/>
        <v/>
      </c>
      <c r="R14" s="29" t="str">
        <f t="shared" si="7"/>
        <v/>
      </c>
      <c r="S14" s="126"/>
    </row>
    <row r="15" spans="1:19" ht="18" customHeight="1">
      <c r="A15" s="27"/>
      <c r="B15" s="46" t="s">
        <v>125</v>
      </c>
      <c r="C15" s="35" t="s">
        <v>47</v>
      </c>
      <c r="D15" s="34">
        <v>0.1</v>
      </c>
      <c r="E15" s="34">
        <v>0.01</v>
      </c>
      <c r="F15" s="34">
        <v>-0.04</v>
      </c>
      <c r="G15" s="35" t="s">
        <v>49</v>
      </c>
      <c r="H15" s="36"/>
      <c r="I15" s="36"/>
      <c r="J15" s="36"/>
      <c r="K15" s="28" t="str">
        <f t="shared" si="0"/>
        <v xml:space="preserve"> </v>
      </c>
      <c r="L15" s="28" t="str">
        <f t="shared" si="1"/>
        <v xml:space="preserve"> </v>
      </c>
      <c r="M15" s="28" t="str">
        <f t="shared" si="2"/>
        <v xml:space="preserve"> </v>
      </c>
      <c r="N15" s="29" t="str">
        <f t="shared" si="3"/>
        <v xml:space="preserve"> </v>
      </c>
      <c r="O15" s="30" t="str">
        <f t="shared" si="4"/>
        <v xml:space="preserve"> </v>
      </c>
      <c r="P15" s="31" t="str">
        <f t="shared" si="5"/>
        <v xml:space="preserve"> </v>
      </c>
      <c r="Q15" s="29" t="str">
        <f t="shared" si="6"/>
        <v/>
      </c>
      <c r="R15" s="29" t="str">
        <f t="shared" si="7"/>
        <v/>
      </c>
      <c r="S15" s="126"/>
    </row>
    <row r="16" spans="1:19" ht="18" customHeight="1">
      <c r="A16" s="27"/>
      <c r="B16" s="46" t="s">
        <v>126</v>
      </c>
      <c r="C16" s="35" t="s">
        <v>47</v>
      </c>
      <c r="D16" s="34">
        <v>0.1</v>
      </c>
      <c r="E16" s="34">
        <v>0.01</v>
      </c>
      <c r="F16" s="34">
        <v>-0.04</v>
      </c>
      <c r="G16" s="35" t="s">
        <v>49</v>
      </c>
      <c r="H16" s="36"/>
      <c r="I16" s="36"/>
      <c r="J16" s="36"/>
      <c r="K16" s="28" t="str">
        <f t="shared" si="0"/>
        <v xml:space="preserve"> </v>
      </c>
      <c r="L16" s="28" t="str">
        <f t="shared" si="1"/>
        <v xml:space="preserve"> </v>
      </c>
      <c r="M16" s="28" t="str">
        <f t="shared" si="2"/>
        <v xml:space="preserve"> </v>
      </c>
      <c r="N16" s="29" t="str">
        <f t="shared" si="3"/>
        <v xml:space="preserve"> </v>
      </c>
      <c r="O16" s="30" t="str">
        <f t="shared" si="4"/>
        <v xml:space="preserve"> </v>
      </c>
      <c r="P16" s="31" t="str">
        <f t="shared" si="5"/>
        <v xml:space="preserve"> </v>
      </c>
      <c r="Q16" s="29" t="str">
        <f t="shared" si="6"/>
        <v/>
      </c>
      <c r="R16" s="29" t="str">
        <f t="shared" si="7"/>
        <v/>
      </c>
      <c r="S16" s="126"/>
    </row>
    <row r="17" spans="1:19" ht="18" customHeight="1">
      <c r="A17" s="27"/>
      <c r="B17" s="46" t="s">
        <v>127</v>
      </c>
      <c r="C17" s="35" t="s">
        <v>47</v>
      </c>
      <c r="D17" s="34">
        <v>0.1</v>
      </c>
      <c r="E17" s="34">
        <v>0.01</v>
      </c>
      <c r="F17" s="34">
        <v>-0.04</v>
      </c>
      <c r="G17" s="35" t="s">
        <v>49</v>
      </c>
      <c r="H17" s="36"/>
      <c r="I17" s="36"/>
      <c r="J17" s="36"/>
      <c r="K17" s="28" t="str">
        <f t="shared" si="0"/>
        <v xml:space="preserve"> </v>
      </c>
      <c r="L17" s="28" t="str">
        <f t="shared" si="1"/>
        <v xml:space="preserve"> </v>
      </c>
      <c r="M17" s="28" t="str">
        <f t="shared" si="2"/>
        <v xml:space="preserve"> </v>
      </c>
      <c r="N17" s="29" t="str">
        <f t="shared" si="3"/>
        <v xml:space="preserve"> </v>
      </c>
      <c r="O17" s="30" t="str">
        <f t="shared" si="4"/>
        <v xml:space="preserve"> </v>
      </c>
      <c r="P17" s="31" t="str">
        <f t="shared" si="5"/>
        <v xml:space="preserve"> </v>
      </c>
      <c r="Q17" s="29" t="str">
        <f t="shared" si="6"/>
        <v/>
      </c>
      <c r="R17" s="29" t="str">
        <f t="shared" si="7"/>
        <v/>
      </c>
      <c r="S17" s="126"/>
    </row>
    <row r="18" spans="1:19" ht="18" customHeight="1">
      <c r="A18" s="27"/>
      <c r="B18" s="46" t="s">
        <v>128</v>
      </c>
      <c r="C18" s="35" t="s">
        <v>47</v>
      </c>
      <c r="D18" s="34">
        <v>0.1</v>
      </c>
      <c r="E18" s="34">
        <v>0.01</v>
      </c>
      <c r="F18" s="34">
        <v>-0.04</v>
      </c>
      <c r="G18" s="35" t="s">
        <v>49</v>
      </c>
      <c r="H18" s="36"/>
      <c r="I18" s="36"/>
      <c r="J18" s="36"/>
      <c r="K18" s="28" t="str">
        <f t="shared" si="0"/>
        <v xml:space="preserve"> </v>
      </c>
      <c r="L18" s="28" t="str">
        <f t="shared" si="1"/>
        <v xml:space="preserve"> </v>
      </c>
      <c r="M18" s="28" t="str">
        <f t="shared" si="2"/>
        <v xml:space="preserve"> </v>
      </c>
      <c r="N18" s="29" t="str">
        <f t="shared" si="3"/>
        <v xml:space="preserve"> </v>
      </c>
      <c r="O18" s="30" t="str">
        <f t="shared" si="4"/>
        <v xml:space="preserve"> </v>
      </c>
      <c r="P18" s="31" t="str">
        <f t="shared" si="5"/>
        <v xml:space="preserve"> </v>
      </c>
      <c r="Q18" s="29" t="str">
        <f t="shared" si="6"/>
        <v/>
      </c>
      <c r="R18" s="29" t="str">
        <f t="shared" si="7"/>
        <v/>
      </c>
      <c r="S18" s="126"/>
    </row>
    <row r="19" spans="1:19" ht="18" customHeight="1">
      <c r="A19" s="27"/>
      <c r="B19" s="46" t="s">
        <v>129</v>
      </c>
      <c r="C19" s="35" t="s">
        <v>48</v>
      </c>
      <c r="D19" s="34">
        <v>90</v>
      </c>
      <c r="E19" s="34">
        <v>1</v>
      </c>
      <c r="F19" s="34">
        <v>-2</v>
      </c>
      <c r="G19" s="35" t="s">
        <v>49</v>
      </c>
      <c r="H19" s="36"/>
      <c r="I19" s="36"/>
      <c r="J19" s="36"/>
      <c r="K19" s="28" t="str">
        <f t="shared" si="0"/>
        <v xml:space="preserve"> </v>
      </c>
      <c r="L19" s="28" t="str">
        <f t="shared" si="1"/>
        <v xml:space="preserve"> </v>
      </c>
      <c r="M19" s="28" t="str">
        <f t="shared" si="2"/>
        <v xml:space="preserve"> </v>
      </c>
      <c r="N19" s="29" t="str">
        <f t="shared" si="3"/>
        <v xml:space="preserve"> </v>
      </c>
      <c r="O19" s="30" t="str">
        <f t="shared" si="4"/>
        <v xml:space="preserve"> </v>
      </c>
      <c r="P19" s="31" t="str">
        <f t="shared" si="5"/>
        <v xml:space="preserve"> </v>
      </c>
      <c r="Q19" s="29" t="str">
        <f t="shared" si="6"/>
        <v/>
      </c>
      <c r="R19" s="29" t="str">
        <f t="shared" si="7"/>
        <v/>
      </c>
      <c r="S19" s="126"/>
    </row>
    <row r="20" spans="1:19" ht="18" customHeight="1">
      <c r="A20" s="27"/>
      <c r="B20" s="46" t="s">
        <v>130</v>
      </c>
      <c r="C20" s="35" t="s">
        <v>48</v>
      </c>
      <c r="D20" s="34">
        <v>90</v>
      </c>
      <c r="E20" s="34">
        <v>1</v>
      </c>
      <c r="F20" s="34">
        <v>-2</v>
      </c>
      <c r="G20" s="35" t="s">
        <v>49</v>
      </c>
      <c r="H20" s="36"/>
      <c r="I20" s="36"/>
      <c r="J20" s="36"/>
      <c r="K20" s="28" t="str">
        <f t="shared" si="0"/>
        <v xml:space="preserve"> </v>
      </c>
      <c r="L20" s="28" t="str">
        <f t="shared" si="1"/>
        <v xml:space="preserve"> </v>
      </c>
      <c r="M20" s="28" t="str">
        <f t="shared" si="2"/>
        <v xml:space="preserve"> </v>
      </c>
      <c r="N20" s="29" t="str">
        <f t="shared" si="3"/>
        <v xml:space="preserve"> </v>
      </c>
      <c r="O20" s="30" t="str">
        <f t="shared" si="4"/>
        <v xml:space="preserve"> </v>
      </c>
      <c r="P20" s="31" t="str">
        <f t="shared" si="5"/>
        <v xml:space="preserve"> </v>
      </c>
      <c r="Q20" s="29" t="str">
        <f t="shared" si="6"/>
        <v/>
      </c>
      <c r="R20" s="29" t="str">
        <f t="shared" si="7"/>
        <v/>
      </c>
      <c r="S20" s="126"/>
    </row>
    <row r="21" spans="1:19" ht="18" customHeight="1">
      <c r="A21" s="27"/>
      <c r="B21" s="46" t="s">
        <v>131</v>
      </c>
      <c r="C21" s="35" t="s">
        <v>48</v>
      </c>
      <c r="D21" s="34">
        <v>90</v>
      </c>
      <c r="E21" s="34">
        <v>1</v>
      </c>
      <c r="F21" s="34">
        <v>-2</v>
      </c>
      <c r="G21" s="35" t="s">
        <v>49</v>
      </c>
      <c r="H21" s="36"/>
      <c r="I21" s="36"/>
      <c r="J21" s="36"/>
      <c r="K21" s="28" t="str">
        <f t="shared" si="0"/>
        <v xml:space="preserve"> </v>
      </c>
      <c r="L21" s="28" t="str">
        <f t="shared" si="1"/>
        <v xml:space="preserve"> </v>
      </c>
      <c r="M21" s="28" t="str">
        <f t="shared" si="2"/>
        <v xml:space="preserve"> </v>
      </c>
      <c r="N21" s="29" t="str">
        <f t="shared" si="3"/>
        <v xml:space="preserve"> </v>
      </c>
      <c r="O21" s="30" t="str">
        <f t="shared" si="4"/>
        <v xml:space="preserve"> </v>
      </c>
      <c r="P21" s="31" t="str">
        <f t="shared" si="5"/>
        <v xml:space="preserve"> </v>
      </c>
      <c r="Q21" s="29" t="str">
        <f t="shared" si="6"/>
        <v/>
      </c>
      <c r="R21" s="29" t="str">
        <f t="shared" si="7"/>
        <v/>
      </c>
      <c r="S21" s="126"/>
    </row>
    <row r="22" spans="1:19" ht="18" customHeight="1">
      <c r="A22" s="27"/>
      <c r="B22" s="46" t="s">
        <v>132</v>
      </c>
      <c r="C22" s="35" t="s">
        <v>48</v>
      </c>
      <c r="D22" s="34">
        <v>90</v>
      </c>
      <c r="E22" s="34">
        <v>1</v>
      </c>
      <c r="F22" s="34">
        <v>-2</v>
      </c>
      <c r="G22" s="35" t="s">
        <v>49</v>
      </c>
      <c r="H22" s="36"/>
      <c r="I22" s="36"/>
      <c r="J22" s="36"/>
      <c r="K22" s="28" t="str">
        <f t="shared" si="0"/>
        <v xml:space="preserve"> </v>
      </c>
      <c r="L22" s="28" t="str">
        <f t="shared" si="1"/>
        <v xml:space="preserve"> </v>
      </c>
      <c r="M22" s="28" t="str">
        <f t="shared" si="2"/>
        <v xml:space="preserve"> </v>
      </c>
      <c r="N22" s="29" t="str">
        <f t="shared" si="3"/>
        <v xml:space="preserve"> </v>
      </c>
      <c r="O22" s="30" t="str">
        <f t="shared" si="4"/>
        <v xml:space="preserve"> </v>
      </c>
      <c r="P22" s="31" t="str">
        <f t="shared" si="5"/>
        <v xml:space="preserve"> </v>
      </c>
      <c r="Q22" s="29" t="str">
        <f t="shared" si="6"/>
        <v/>
      </c>
      <c r="R22" s="29" t="str">
        <f t="shared" si="7"/>
        <v/>
      </c>
      <c r="S22" s="126"/>
    </row>
    <row r="23" spans="1:19" ht="18" customHeight="1">
      <c r="A23" s="27"/>
      <c r="B23" s="46" t="s">
        <v>133</v>
      </c>
      <c r="C23" s="35" t="s">
        <v>47</v>
      </c>
      <c r="D23" s="34">
        <v>0.122</v>
      </c>
      <c r="E23" s="34">
        <v>0.01</v>
      </c>
      <c r="F23" s="34">
        <v>-0.02</v>
      </c>
      <c r="G23" s="35" t="s">
        <v>49</v>
      </c>
      <c r="H23" s="36"/>
      <c r="I23" s="36"/>
      <c r="J23" s="36"/>
      <c r="K23" s="28" t="str">
        <f t="shared" si="0"/>
        <v xml:space="preserve"> </v>
      </c>
      <c r="L23" s="28" t="str">
        <f t="shared" si="1"/>
        <v xml:space="preserve"> </v>
      </c>
      <c r="M23" s="28" t="str">
        <f t="shared" si="2"/>
        <v xml:space="preserve"> </v>
      </c>
      <c r="N23" s="29" t="str">
        <f t="shared" si="3"/>
        <v xml:space="preserve"> </v>
      </c>
      <c r="O23" s="30" t="str">
        <f t="shared" si="4"/>
        <v xml:space="preserve"> </v>
      </c>
      <c r="P23" s="31" t="str">
        <f t="shared" si="5"/>
        <v xml:space="preserve"> </v>
      </c>
      <c r="Q23" s="29" t="str">
        <f t="shared" si="6"/>
        <v/>
      </c>
      <c r="R23" s="29" t="str">
        <f t="shared" si="7"/>
        <v/>
      </c>
      <c r="S23" s="126"/>
    </row>
    <row r="24" spans="1:19" ht="18" customHeight="1">
      <c r="A24" s="27"/>
      <c r="B24" s="46" t="s">
        <v>134</v>
      </c>
      <c r="C24" s="35" t="s">
        <v>47</v>
      </c>
      <c r="D24" s="34">
        <v>0.122</v>
      </c>
      <c r="E24" s="34">
        <v>0.01</v>
      </c>
      <c r="F24" s="34">
        <v>-0.02</v>
      </c>
      <c r="G24" s="35" t="s">
        <v>49</v>
      </c>
      <c r="H24" s="36"/>
      <c r="I24" s="36"/>
      <c r="J24" s="36"/>
      <c r="K24" s="28" t="str">
        <f t="shared" si="0"/>
        <v xml:space="preserve"> </v>
      </c>
      <c r="L24" s="28" t="str">
        <f t="shared" si="1"/>
        <v xml:space="preserve"> </v>
      </c>
      <c r="M24" s="28" t="str">
        <f t="shared" si="2"/>
        <v xml:space="preserve"> </v>
      </c>
      <c r="N24" s="29" t="str">
        <f t="shared" si="3"/>
        <v xml:space="preserve"> </v>
      </c>
      <c r="O24" s="30" t="str">
        <f t="shared" si="4"/>
        <v xml:space="preserve"> </v>
      </c>
      <c r="P24" s="31" t="str">
        <f t="shared" si="5"/>
        <v xml:space="preserve"> </v>
      </c>
      <c r="Q24" s="29" t="str">
        <f t="shared" si="6"/>
        <v/>
      </c>
      <c r="R24" s="29" t="str">
        <f t="shared" si="7"/>
        <v/>
      </c>
      <c r="S24" s="126"/>
    </row>
    <row r="25" spans="1:19" ht="18" customHeight="1">
      <c r="A25" s="27"/>
      <c r="B25" s="46" t="s">
        <v>135</v>
      </c>
      <c r="C25" s="35" t="s">
        <v>47</v>
      </c>
      <c r="D25" s="34">
        <v>7.8E-2</v>
      </c>
      <c r="E25" s="34">
        <v>0.01</v>
      </c>
      <c r="F25" s="34">
        <v>-0.02</v>
      </c>
      <c r="G25" s="35" t="s">
        <v>49</v>
      </c>
      <c r="H25" s="36"/>
      <c r="I25" s="36"/>
      <c r="J25" s="36"/>
      <c r="K25" s="28" t="str">
        <f t="shared" si="0"/>
        <v xml:space="preserve"> </v>
      </c>
      <c r="L25" s="28" t="str">
        <f t="shared" si="1"/>
        <v xml:space="preserve"> </v>
      </c>
      <c r="M25" s="28" t="str">
        <f t="shared" si="2"/>
        <v xml:space="preserve"> </v>
      </c>
      <c r="N25" s="29" t="str">
        <f t="shared" si="3"/>
        <v xml:space="preserve"> </v>
      </c>
      <c r="O25" s="30" t="str">
        <f t="shared" si="4"/>
        <v xml:space="preserve"> </v>
      </c>
      <c r="P25" s="31" t="str">
        <f t="shared" si="5"/>
        <v xml:space="preserve"> </v>
      </c>
      <c r="Q25" s="29" t="str">
        <f t="shared" si="6"/>
        <v/>
      </c>
      <c r="R25" s="29" t="str">
        <f t="shared" si="7"/>
        <v/>
      </c>
      <c r="S25" s="126"/>
    </row>
    <row r="26" spans="1:19" ht="18" customHeight="1">
      <c r="A26" s="27"/>
      <c r="B26" s="46" t="s">
        <v>136</v>
      </c>
      <c r="C26" s="35" t="s">
        <v>47</v>
      </c>
      <c r="D26" s="34">
        <v>7.8E-2</v>
      </c>
      <c r="E26" s="34">
        <v>0.01</v>
      </c>
      <c r="F26" s="34">
        <v>-0.02</v>
      </c>
      <c r="G26" s="35" t="s">
        <v>49</v>
      </c>
      <c r="H26" s="36"/>
      <c r="I26" s="36"/>
      <c r="J26" s="36"/>
      <c r="K26" s="28" t="str">
        <f t="shared" si="0"/>
        <v xml:space="preserve"> </v>
      </c>
      <c r="L26" s="28" t="str">
        <f t="shared" si="1"/>
        <v xml:space="preserve"> </v>
      </c>
      <c r="M26" s="28" t="str">
        <f t="shared" si="2"/>
        <v xml:space="preserve"> </v>
      </c>
      <c r="N26" s="29" t="str">
        <f t="shared" si="3"/>
        <v xml:space="preserve"> </v>
      </c>
      <c r="O26" s="30" t="str">
        <f t="shared" si="4"/>
        <v xml:space="preserve"> </v>
      </c>
      <c r="P26" s="31" t="str">
        <f t="shared" si="5"/>
        <v xml:space="preserve"> </v>
      </c>
      <c r="Q26" s="29" t="str">
        <f t="shared" si="6"/>
        <v/>
      </c>
      <c r="R26" s="29" t="str">
        <f t="shared" si="7"/>
        <v/>
      </c>
      <c r="S26" s="126"/>
    </row>
    <row r="27" spans="1:19" ht="18" customHeight="1">
      <c r="A27" s="27"/>
      <c r="B27" s="46" t="s">
        <v>137</v>
      </c>
      <c r="C27" s="35" t="s">
        <v>46</v>
      </c>
      <c r="D27" s="34">
        <v>12.494</v>
      </c>
      <c r="E27" s="34">
        <v>0.03</v>
      </c>
      <c r="F27" s="34">
        <v>-0.03</v>
      </c>
      <c r="G27" s="35" t="s">
        <v>49</v>
      </c>
      <c r="H27" s="36"/>
      <c r="I27" s="36"/>
      <c r="J27" s="36"/>
      <c r="K27" s="28" t="str">
        <f t="shared" si="0"/>
        <v xml:space="preserve"> </v>
      </c>
      <c r="L27" s="28" t="str">
        <f t="shared" si="1"/>
        <v xml:space="preserve"> </v>
      </c>
      <c r="M27" s="28" t="str">
        <f t="shared" si="2"/>
        <v xml:space="preserve"> </v>
      </c>
      <c r="N27" s="29" t="str">
        <f t="shared" si="3"/>
        <v xml:space="preserve"> </v>
      </c>
      <c r="O27" s="30" t="str">
        <f t="shared" si="4"/>
        <v xml:space="preserve"> </v>
      </c>
      <c r="P27" s="31" t="str">
        <f t="shared" si="5"/>
        <v xml:space="preserve"> </v>
      </c>
      <c r="Q27" s="29" t="str">
        <f t="shared" si="6"/>
        <v/>
      </c>
      <c r="R27" s="29" t="str">
        <f t="shared" si="7"/>
        <v/>
      </c>
      <c r="S27" s="126"/>
    </row>
    <row r="28" spans="1:19" ht="18" customHeight="1">
      <c r="A28" s="27"/>
      <c r="B28" s="46" t="s">
        <v>138</v>
      </c>
      <c r="C28" s="35" t="s">
        <v>46</v>
      </c>
      <c r="D28" s="34">
        <v>0.53300000000000003</v>
      </c>
      <c r="E28" s="34">
        <v>0.03</v>
      </c>
      <c r="F28" s="34">
        <v>-0.03</v>
      </c>
      <c r="G28" s="35" t="s">
        <v>49</v>
      </c>
      <c r="H28" s="36"/>
      <c r="I28" s="36"/>
      <c r="J28" s="36"/>
      <c r="K28" s="28" t="str">
        <f t="shared" si="0"/>
        <v xml:space="preserve"> </v>
      </c>
      <c r="L28" s="28" t="str">
        <f t="shared" si="1"/>
        <v xml:space="preserve"> </v>
      </c>
      <c r="M28" s="28" t="str">
        <f t="shared" si="2"/>
        <v xml:space="preserve"> </v>
      </c>
      <c r="N28" s="29" t="str">
        <f t="shared" si="3"/>
        <v xml:space="preserve"> </v>
      </c>
      <c r="O28" s="30" t="str">
        <f t="shared" si="4"/>
        <v xml:space="preserve"> </v>
      </c>
      <c r="P28" s="31" t="str">
        <f t="shared" si="5"/>
        <v xml:space="preserve"> </v>
      </c>
      <c r="Q28" s="29" t="str">
        <f t="shared" si="6"/>
        <v/>
      </c>
      <c r="R28" s="29" t="str">
        <f t="shared" si="7"/>
        <v/>
      </c>
      <c r="S28" s="126"/>
    </row>
    <row r="29" spans="1:19" ht="18" customHeight="1">
      <c r="A29" s="27"/>
      <c r="B29" s="46" t="s">
        <v>139</v>
      </c>
      <c r="C29" s="35" t="s">
        <v>46</v>
      </c>
      <c r="D29" s="34">
        <v>0.53300000000000003</v>
      </c>
      <c r="E29" s="34">
        <v>0.03</v>
      </c>
      <c r="F29" s="34">
        <v>-0.03</v>
      </c>
      <c r="G29" s="35" t="s">
        <v>49</v>
      </c>
      <c r="H29" s="36"/>
      <c r="I29" s="36"/>
      <c r="J29" s="36"/>
      <c r="K29" s="28" t="str">
        <f t="shared" si="0"/>
        <v xml:space="preserve"> </v>
      </c>
      <c r="L29" s="28" t="str">
        <f t="shared" si="1"/>
        <v xml:space="preserve"> </v>
      </c>
      <c r="M29" s="28" t="str">
        <f t="shared" si="2"/>
        <v xml:space="preserve"> </v>
      </c>
      <c r="N29" s="29" t="str">
        <f t="shared" si="3"/>
        <v xml:space="preserve"> </v>
      </c>
      <c r="O29" s="30" t="str">
        <f t="shared" si="4"/>
        <v xml:space="preserve"> </v>
      </c>
      <c r="P29" s="31" t="str">
        <f t="shared" si="5"/>
        <v xml:space="preserve"> </v>
      </c>
      <c r="Q29" s="29" t="str">
        <f t="shared" si="6"/>
        <v/>
      </c>
      <c r="R29" s="29" t="str">
        <f t="shared" si="7"/>
        <v/>
      </c>
      <c r="S29" s="126"/>
    </row>
    <row r="30" spans="1:19" ht="18" customHeight="1">
      <c r="A30" s="27"/>
      <c r="B30" s="46" t="s">
        <v>140</v>
      </c>
      <c r="C30" s="35" t="s">
        <v>46</v>
      </c>
      <c r="D30" s="34">
        <v>15.518000000000001</v>
      </c>
      <c r="E30" s="34">
        <v>0.03</v>
      </c>
      <c r="F30" s="34">
        <v>-0.03</v>
      </c>
      <c r="G30" s="35" t="s">
        <v>49</v>
      </c>
      <c r="H30" s="36"/>
      <c r="I30" s="36"/>
      <c r="J30" s="36"/>
      <c r="K30" s="28" t="str">
        <f t="shared" si="0"/>
        <v xml:space="preserve"> </v>
      </c>
      <c r="L30" s="28" t="str">
        <f t="shared" si="1"/>
        <v xml:space="preserve"> </v>
      </c>
      <c r="M30" s="28" t="str">
        <f t="shared" si="2"/>
        <v xml:space="preserve"> </v>
      </c>
      <c r="N30" s="29" t="str">
        <f t="shared" si="3"/>
        <v xml:space="preserve"> </v>
      </c>
      <c r="O30" s="30" t="str">
        <f t="shared" si="4"/>
        <v xml:space="preserve"> </v>
      </c>
      <c r="P30" s="31" t="str">
        <f t="shared" si="5"/>
        <v xml:space="preserve"> </v>
      </c>
      <c r="Q30" s="29" t="str">
        <f t="shared" si="6"/>
        <v/>
      </c>
      <c r="R30" s="29" t="str">
        <f t="shared" si="7"/>
        <v/>
      </c>
      <c r="S30" s="126"/>
    </row>
    <row r="31" spans="1:19" ht="18" customHeight="1">
      <c r="A31" s="27"/>
      <c r="B31" s="46" t="s">
        <v>141</v>
      </c>
      <c r="C31" s="35" t="s">
        <v>46</v>
      </c>
      <c r="D31" s="34">
        <v>15.518000000000001</v>
      </c>
      <c r="E31" s="34">
        <v>0.03</v>
      </c>
      <c r="F31" s="34">
        <v>-0.03</v>
      </c>
      <c r="G31" s="35" t="s">
        <v>49</v>
      </c>
      <c r="H31" s="36"/>
      <c r="I31" s="36"/>
      <c r="J31" s="36"/>
      <c r="K31" s="28" t="str">
        <f t="shared" si="0"/>
        <v xml:space="preserve"> </v>
      </c>
      <c r="L31" s="28" t="str">
        <f t="shared" si="1"/>
        <v xml:space="preserve"> </v>
      </c>
      <c r="M31" s="28" t="str">
        <f t="shared" si="2"/>
        <v xml:space="preserve"> </v>
      </c>
      <c r="N31" s="29" t="str">
        <f t="shared" si="3"/>
        <v xml:space="preserve"> </v>
      </c>
      <c r="O31" s="30" t="str">
        <f t="shared" si="4"/>
        <v xml:space="preserve"> </v>
      </c>
      <c r="P31" s="31" t="str">
        <f t="shared" si="5"/>
        <v xml:space="preserve"> </v>
      </c>
      <c r="Q31" s="29" t="str">
        <f t="shared" si="6"/>
        <v/>
      </c>
      <c r="R31" s="29" t="str">
        <f t="shared" si="7"/>
        <v/>
      </c>
      <c r="S31" s="126"/>
    </row>
    <row r="32" spans="1:19" ht="18" customHeight="1">
      <c r="A32" s="27"/>
      <c r="B32" s="46" t="s">
        <v>142</v>
      </c>
      <c r="C32" s="35" t="s">
        <v>46</v>
      </c>
      <c r="D32" s="34">
        <v>1.0149999999999999</v>
      </c>
      <c r="E32" s="34">
        <v>0.03</v>
      </c>
      <c r="F32" s="34">
        <v>-0.03</v>
      </c>
      <c r="G32" s="35" t="s">
        <v>49</v>
      </c>
      <c r="H32" s="36"/>
      <c r="I32" s="36"/>
      <c r="J32" s="36"/>
      <c r="K32" s="28" t="str">
        <f t="shared" si="0"/>
        <v xml:space="preserve"> </v>
      </c>
      <c r="L32" s="28" t="str">
        <f t="shared" si="1"/>
        <v xml:space="preserve"> </v>
      </c>
      <c r="M32" s="28" t="str">
        <f t="shared" si="2"/>
        <v xml:space="preserve"> </v>
      </c>
      <c r="N32" s="29" t="str">
        <f t="shared" si="3"/>
        <v xml:space="preserve"> </v>
      </c>
      <c r="O32" s="30" t="str">
        <f t="shared" si="4"/>
        <v xml:space="preserve"> </v>
      </c>
      <c r="P32" s="31" t="str">
        <f t="shared" si="5"/>
        <v xml:space="preserve"> </v>
      </c>
      <c r="Q32" s="29" t="str">
        <f t="shared" si="6"/>
        <v/>
      </c>
      <c r="R32" s="29" t="str">
        <f t="shared" si="7"/>
        <v/>
      </c>
      <c r="S32" s="126"/>
    </row>
    <row r="33" spans="1:19" ht="18" customHeight="1">
      <c r="A33" s="27"/>
      <c r="B33" s="46" t="s">
        <v>143</v>
      </c>
      <c r="C33" s="35" t="s">
        <v>46</v>
      </c>
      <c r="D33" s="34">
        <v>14.803000000000001</v>
      </c>
      <c r="E33" s="34">
        <v>0.03</v>
      </c>
      <c r="F33" s="34">
        <v>-0.04</v>
      </c>
      <c r="G33" s="35" t="s">
        <v>49</v>
      </c>
      <c r="H33" s="36"/>
      <c r="I33" s="36"/>
      <c r="J33" s="36"/>
      <c r="K33" s="28" t="str">
        <f t="shared" si="0"/>
        <v xml:space="preserve"> </v>
      </c>
      <c r="L33" s="28" t="str">
        <f t="shared" si="1"/>
        <v xml:space="preserve"> </v>
      </c>
      <c r="M33" s="28" t="str">
        <f t="shared" si="2"/>
        <v xml:space="preserve"> </v>
      </c>
      <c r="N33" s="29" t="str">
        <f t="shared" si="3"/>
        <v xml:space="preserve"> </v>
      </c>
      <c r="O33" s="30" t="str">
        <f t="shared" si="4"/>
        <v xml:space="preserve"> </v>
      </c>
      <c r="P33" s="31" t="str">
        <f t="shared" si="5"/>
        <v xml:space="preserve"> </v>
      </c>
      <c r="Q33" s="29" t="str">
        <f t="shared" si="6"/>
        <v/>
      </c>
      <c r="R33" s="29" t="str">
        <f t="shared" si="7"/>
        <v/>
      </c>
      <c r="S33" s="126"/>
    </row>
    <row r="34" spans="1:19" ht="18" customHeight="1">
      <c r="A34" s="27"/>
      <c r="B34" s="46" t="s">
        <v>144</v>
      </c>
      <c r="C34" s="35" t="s">
        <v>46</v>
      </c>
      <c r="D34" s="34">
        <v>11.644</v>
      </c>
      <c r="E34" s="34">
        <v>0.03</v>
      </c>
      <c r="F34" s="34">
        <v>-0.03</v>
      </c>
      <c r="G34" s="35" t="s">
        <v>49</v>
      </c>
      <c r="H34" s="36"/>
      <c r="I34" s="36"/>
      <c r="J34" s="36"/>
      <c r="K34" s="28" t="str">
        <f t="shared" si="0"/>
        <v xml:space="preserve"> </v>
      </c>
      <c r="L34" s="28" t="str">
        <f t="shared" si="1"/>
        <v xml:space="preserve"> </v>
      </c>
      <c r="M34" s="28" t="str">
        <f t="shared" si="2"/>
        <v xml:space="preserve"> </v>
      </c>
      <c r="N34" s="29" t="str">
        <f t="shared" si="3"/>
        <v xml:space="preserve"> </v>
      </c>
      <c r="O34" s="30" t="str">
        <f t="shared" si="4"/>
        <v xml:space="preserve"> </v>
      </c>
      <c r="P34" s="31" t="str">
        <f t="shared" si="5"/>
        <v xml:space="preserve"> </v>
      </c>
      <c r="Q34" s="29"/>
      <c r="R34" s="29"/>
      <c r="S34" s="126"/>
    </row>
    <row r="35" spans="1:19" ht="18" customHeight="1">
      <c r="A35" s="27"/>
      <c r="B35" s="46" t="s">
        <v>145</v>
      </c>
      <c r="C35" s="35" t="s">
        <v>46</v>
      </c>
      <c r="D35" s="34">
        <v>0.86</v>
      </c>
      <c r="E35" s="34">
        <v>0.03</v>
      </c>
      <c r="F35" s="34">
        <v>-0.03</v>
      </c>
      <c r="G35" s="35" t="s">
        <v>49</v>
      </c>
      <c r="H35" s="36"/>
      <c r="I35" s="36"/>
      <c r="J35" s="36"/>
      <c r="K35" s="28" t="str">
        <f t="shared" si="0"/>
        <v xml:space="preserve"> </v>
      </c>
      <c r="L35" s="28" t="str">
        <f t="shared" si="1"/>
        <v xml:space="preserve"> </v>
      </c>
      <c r="M35" s="28" t="str">
        <f t="shared" si="2"/>
        <v xml:space="preserve"> </v>
      </c>
      <c r="N35" s="29" t="str">
        <f t="shared" si="3"/>
        <v xml:space="preserve"> </v>
      </c>
      <c r="O35" s="30" t="str">
        <f t="shared" si="4"/>
        <v xml:space="preserve"> </v>
      </c>
      <c r="P35" s="31" t="str">
        <f t="shared" si="5"/>
        <v xml:space="preserve"> </v>
      </c>
      <c r="Q35" s="29" t="str">
        <f t="shared" si="6"/>
        <v/>
      </c>
      <c r="R35" s="29" t="str">
        <f t="shared" ref="R35:R66" si="8">IF(H35="","",IF(ISERR(F35/F35)=TRUE,"",IF(ISERR(F35/D35)=TRUE,IF((F35-MIN(H35:J35))&gt;0.001,"Reject",""),IF(ISNUMBER($P35)=TRUE,IF($P35&gt;0.651,IF($P35&gt;1.001,"Reject","Alert"),""),""))))</f>
        <v/>
      </c>
      <c r="S35" s="126"/>
    </row>
    <row r="36" spans="1:19" ht="18" customHeight="1">
      <c r="A36" s="27"/>
      <c r="B36" s="46" t="s">
        <v>146</v>
      </c>
      <c r="C36" s="35" t="s">
        <v>46</v>
      </c>
      <c r="D36" s="34">
        <v>9.9390000000000001</v>
      </c>
      <c r="E36" s="34">
        <v>0.03</v>
      </c>
      <c r="F36" s="34">
        <v>-0.03</v>
      </c>
      <c r="G36" s="35" t="s">
        <v>49</v>
      </c>
      <c r="H36" s="36"/>
      <c r="I36" s="36"/>
      <c r="J36" s="36"/>
      <c r="K36" s="28" t="str">
        <f t="shared" si="0"/>
        <v xml:space="preserve"> </v>
      </c>
      <c r="L36" s="28" t="str">
        <f t="shared" si="1"/>
        <v xml:space="preserve"> </v>
      </c>
      <c r="M36" s="28" t="str">
        <f t="shared" si="2"/>
        <v xml:space="preserve"> </v>
      </c>
      <c r="N36" s="29" t="str">
        <f t="shared" si="3"/>
        <v xml:space="preserve"> </v>
      </c>
      <c r="O36" s="30" t="str">
        <f t="shared" si="4"/>
        <v xml:space="preserve"> </v>
      </c>
      <c r="P36" s="31" t="str">
        <f t="shared" si="5"/>
        <v xml:space="preserve"> </v>
      </c>
      <c r="Q36" s="29" t="str">
        <f t="shared" si="6"/>
        <v/>
      </c>
      <c r="R36" s="29" t="str">
        <f t="shared" si="8"/>
        <v/>
      </c>
      <c r="S36" s="126"/>
    </row>
    <row r="37" spans="1:19" ht="18" customHeight="1">
      <c r="A37" s="27"/>
      <c r="B37" s="46" t="s">
        <v>147</v>
      </c>
      <c r="C37" s="35" t="s">
        <v>46</v>
      </c>
      <c r="D37" s="34">
        <v>9.9390000000000001</v>
      </c>
      <c r="E37" s="34">
        <v>0.03</v>
      </c>
      <c r="F37" s="34">
        <v>-0.03</v>
      </c>
      <c r="G37" s="35" t="s">
        <v>49</v>
      </c>
      <c r="H37" s="36"/>
      <c r="I37" s="36"/>
      <c r="J37" s="36"/>
      <c r="K37" s="28" t="str">
        <f t="shared" si="0"/>
        <v xml:space="preserve"> </v>
      </c>
      <c r="L37" s="28" t="str">
        <f t="shared" si="1"/>
        <v xml:space="preserve"> </v>
      </c>
      <c r="M37" s="28" t="str">
        <f t="shared" si="2"/>
        <v xml:space="preserve"> </v>
      </c>
      <c r="N37" s="29" t="str">
        <f t="shared" si="3"/>
        <v xml:space="preserve"> </v>
      </c>
      <c r="O37" s="30" t="str">
        <f t="shared" si="4"/>
        <v xml:space="preserve"> </v>
      </c>
      <c r="P37" s="31" t="str">
        <f t="shared" si="5"/>
        <v xml:space="preserve"> </v>
      </c>
      <c r="Q37" s="29" t="str">
        <f t="shared" si="6"/>
        <v/>
      </c>
      <c r="R37" s="29" t="str">
        <f t="shared" si="8"/>
        <v/>
      </c>
      <c r="S37" s="126"/>
    </row>
    <row r="38" spans="1:19" ht="18" customHeight="1">
      <c r="A38" s="27"/>
      <c r="B38" s="46" t="s">
        <v>148</v>
      </c>
      <c r="C38" s="35" t="s">
        <v>46</v>
      </c>
      <c r="D38" s="34">
        <v>0.57499999999999996</v>
      </c>
      <c r="E38" s="34">
        <v>0.03</v>
      </c>
      <c r="F38" s="34">
        <v>-0.03</v>
      </c>
      <c r="G38" s="35" t="s">
        <v>49</v>
      </c>
      <c r="H38" s="36"/>
      <c r="I38" s="36"/>
      <c r="J38" s="36"/>
      <c r="K38" s="28" t="str">
        <f t="shared" ref="K38:K69" si="9">IF(ISERR(H38/H38)=TRUE," ",H38-$D38)</f>
        <v xml:space="preserve"> </v>
      </c>
      <c r="L38" s="28" t="str">
        <f t="shared" ref="L38:L69" si="10">IF(ISERR(I38/I38)=TRUE," ",I38-$D38)</f>
        <v xml:space="preserve"> </v>
      </c>
      <c r="M38" s="28" t="str">
        <f t="shared" ref="M38:M69" si="11">IF(ISERR(J38/J38)=TRUE," ",J38-$D38)</f>
        <v xml:space="preserve"> </v>
      </c>
      <c r="N38" s="29" t="str">
        <f t="shared" ref="N38:N69" si="12">IF(ISERR(H38/H38)=TRUE," ",AVERAGE(H38:J38))</f>
        <v xml:space="preserve"> </v>
      </c>
      <c r="O38" s="30" t="str">
        <f t="shared" ref="O38:O69" si="13">IF(ISERR(E38/E38)=TRUE," ",IF(ISERR(H38/H38)=TRUE," ",IF(ISNUMBER($H38)=FALSE," ",IF(MAX($H38:$J38)&lt;$D38,0,(MAX($H38:$J38)-$D38)/$E38))))</f>
        <v xml:space="preserve"> </v>
      </c>
      <c r="P38" s="31" t="str">
        <f t="shared" ref="P38:P69" si="14">IF(ISERR(F38/D38)=TRUE," ",IF(ISERR(F38/F38)=TRUE," ",IF(ISERR(H38/H38)=TRUE," ",IF(ISNUMBER(H38)=FALSE," ",IF(MIN(H38:J38)&gt;$D38,0,($D38-MIN(H38:J38))/-F38)))))</f>
        <v xml:space="preserve"> </v>
      </c>
      <c r="Q38" s="29" t="str">
        <f t="shared" si="6"/>
        <v/>
      </c>
      <c r="R38" s="29" t="str">
        <f t="shared" si="8"/>
        <v/>
      </c>
      <c r="S38" s="126"/>
    </row>
    <row r="39" spans="1:19" ht="18" customHeight="1">
      <c r="A39" s="27"/>
      <c r="B39" s="46" t="s">
        <v>149</v>
      </c>
      <c r="C39" s="35" t="s">
        <v>46</v>
      </c>
      <c r="D39" s="34">
        <v>0.57499999999999996</v>
      </c>
      <c r="E39" s="34">
        <v>0.03</v>
      </c>
      <c r="F39" s="34">
        <v>-0.03</v>
      </c>
      <c r="G39" s="35" t="s">
        <v>49</v>
      </c>
      <c r="H39" s="36"/>
      <c r="I39" s="36"/>
      <c r="J39" s="36"/>
      <c r="K39" s="28" t="str">
        <f t="shared" si="9"/>
        <v xml:space="preserve"> </v>
      </c>
      <c r="L39" s="28" t="str">
        <f t="shared" si="10"/>
        <v xml:space="preserve"> </v>
      </c>
      <c r="M39" s="28" t="str">
        <f t="shared" si="11"/>
        <v xml:space="preserve"> </v>
      </c>
      <c r="N39" s="29" t="str">
        <f t="shared" si="12"/>
        <v xml:space="preserve"> </v>
      </c>
      <c r="O39" s="30" t="str">
        <f t="shared" si="13"/>
        <v xml:space="preserve"> </v>
      </c>
      <c r="P39" s="31" t="str">
        <f t="shared" si="14"/>
        <v xml:space="preserve"> </v>
      </c>
      <c r="Q39" s="29" t="str">
        <f t="shared" si="6"/>
        <v/>
      </c>
      <c r="R39" s="29" t="str">
        <f t="shared" si="8"/>
        <v/>
      </c>
      <c r="S39" s="126"/>
    </row>
    <row r="40" spans="1:19" ht="18" customHeight="1">
      <c r="A40" s="27"/>
      <c r="B40" s="46" t="s">
        <v>150</v>
      </c>
      <c r="C40" s="35" t="s">
        <v>46</v>
      </c>
      <c r="D40" s="34">
        <v>1.125</v>
      </c>
      <c r="E40" s="34">
        <v>0.03</v>
      </c>
      <c r="F40" s="34">
        <v>-0.03</v>
      </c>
      <c r="G40" s="35" t="s">
        <v>49</v>
      </c>
      <c r="H40" s="36"/>
      <c r="I40" s="36"/>
      <c r="J40" s="36"/>
      <c r="K40" s="28" t="str">
        <f t="shared" si="9"/>
        <v xml:space="preserve"> </v>
      </c>
      <c r="L40" s="28" t="str">
        <f t="shared" si="10"/>
        <v xml:space="preserve"> </v>
      </c>
      <c r="M40" s="28" t="str">
        <f t="shared" si="11"/>
        <v xml:space="preserve"> </v>
      </c>
      <c r="N40" s="29" t="str">
        <f t="shared" si="12"/>
        <v xml:space="preserve"> </v>
      </c>
      <c r="O40" s="30" t="str">
        <f t="shared" si="13"/>
        <v xml:space="preserve"> </v>
      </c>
      <c r="P40" s="31" t="str">
        <f t="shared" si="14"/>
        <v xml:space="preserve"> </v>
      </c>
      <c r="Q40" s="29" t="str">
        <f t="shared" si="6"/>
        <v/>
      </c>
      <c r="R40" s="29" t="str">
        <f t="shared" si="8"/>
        <v/>
      </c>
      <c r="S40" s="126"/>
    </row>
    <row r="41" spans="1:19" ht="18" customHeight="1">
      <c r="A41" s="27"/>
      <c r="B41" s="46" t="s">
        <v>151</v>
      </c>
      <c r="C41" s="35" t="s">
        <v>46</v>
      </c>
      <c r="D41" s="34">
        <v>3.899</v>
      </c>
      <c r="E41" s="34">
        <v>0.03</v>
      </c>
      <c r="F41" s="34">
        <v>-0.03</v>
      </c>
      <c r="G41" s="35" t="s">
        <v>49</v>
      </c>
      <c r="H41" s="36"/>
      <c r="I41" s="36"/>
      <c r="J41" s="36"/>
      <c r="K41" s="28" t="str">
        <f t="shared" si="9"/>
        <v xml:space="preserve"> </v>
      </c>
      <c r="L41" s="28" t="str">
        <f t="shared" si="10"/>
        <v xml:space="preserve"> </v>
      </c>
      <c r="M41" s="28" t="str">
        <f t="shared" si="11"/>
        <v xml:space="preserve"> </v>
      </c>
      <c r="N41" s="29" t="str">
        <f t="shared" si="12"/>
        <v xml:space="preserve"> </v>
      </c>
      <c r="O41" s="30" t="str">
        <f t="shared" si="13"/>
        <v xml:space="preserve"> </v>
      </c>
      <c r="P41" s="31" t="str">
        <f t="shared" si="14"/>
        <v xml:space="preserve"> </v>
      </c>
      <c r="Q41" s="29" t="str">
        <f t="shared" si="6"/>
        <v/>
      </c>
      <c r="R41" s="29" t="str">
        <f t="shared" si="8"/>
        <v/>
      </c>
      <c r="S41" s="126"/>
    </row>
    <row r="42" spans="1:19" ht="18" customHeight="1">
      <c r="A42" s="27"/>
      <c r="B42" s="46" t="s">
        <v>152</v>
      </c>
      <c r="C42" s="35" t="s">
        <v>46</v>
      </c>
      <c r="D42" s="34">
        <v>3.899</v>
      </c>
      <c r="E42" s="34">
        <v>0.03</v>
      </c>
      <c r="F42" s="34">
        <v>-0.03</v>
      </c>
      <c r="G42" s="35" t="s">
        <v>49</v>
      </c>
      <c r="H42" s="36"/>
      <c r="I42" s="36"/>
      <c r="J42" s="36"/>
      <c r="K42" s="28" t="str">
        <f t="shared" si="9"/>
        <v xml:space="preserve"> </v>
      </c>
      <c r="L42" s="28" t="str">
        <f t="shared" si="10"/>
        <v xml:space="preserve"> </v>
      </c>
      <c r="M42" s="28" t="str">
        <f t="shared" si="11"/>
        <v xml:space="preserve"> </v>
      </c>
      <c r="N42" s="29" t="str">
        <f t="shared" si="12"/>
        <v xml:space="preserve"> </v>
      </c>
      <c r="O42" s="30" t="str">
        <f t="shared" si="13"/>
        <v xml:space="preserve"> </v>
      </c>
      <c r="P42" s="31" t="str">
        <f t="shared" si="14"/>
        <v xml:space="preserve"> </v>
      </c>
      <c r="Q42" s="29" t="str">
        <f t="shared" si="6"/>
        <v/>
      </c>
      <c r="R42" s="29" t="str">
        <f t="shared" si="8"/>
        <v/>
      </c>
      <c r="S42" s="126"/>
    </row>
    <row r="43" spans="1:19" ht="18" customHeight="1">
      <c r="A43" s="27"/>
      <c r="B43" s="46" t="s">
        <v>153</v>
      </c>
      <c r="C43" s="35" t="s">
        <v>46</v>
      </c>
      <c r="D43" s="34">
        <v>4.6340000000000003</v>
      </c>
      <c r="E43" s="34">
        <v>0.03</v>
      </c>
      <c r="F43" s="34">
        <v>-0.03</v>
      </c>
      <c r="G43" s="35" t="s">
        <v>49</v>
      </c>
      <c r="H43" s="36"/>
      <c r="I43" s="36"/>
      <c r="J43" s="36"/>
      <c r="K43" s="28" t="str">
        <f t="shared" si="9"/>
        <v xml:space="preserve"> </v>
      </c>
      <c r="L43" s="28" t="str">
        <f t="shared" si="10"/>
        <v xml:space="preserve"> </v>
      </c>
      <c r="M43" s="28" t="str">
        <f t="shared" si="11"/>
        <v xml:space="preserve"> </v>
      </c>
      <c r="N43" s="29" t="str">
        <f t="shared" si="12"/>
        <v xml:space="preserve"> </v>
      </c>
      <c r="O43" s="30" t="str">
        <f t="shared" si="13"/>
        <v xml:space="preserve"> </v>
      </c>
      <c r="P43" s="31" t="str">
        <f t="shared" si="14"/>
        <v xml:space="preserve"> </v>
      </c>
      <c r="Q43" s="29" t="str">
        <f t="shared" si="6"/>
        <v/>
      </c>
      <c r="R43" s="29" t="str">
        <f t="shared" si="8"/>
        <v/>
      </c>
      <c r="S43" s="126"/>
    </row>
    <row r="44" spans="1:19" ht="18" customHeight="1">
      <c r="A44" s="27"/>
      <c r="B44" s="46" t="s">
        <v>154</v>
      </c>
      <c r="C44" s="35" t="s">
        <v>46</v>
      </c>
      <c r="D44" s="34">
        <v>1.01</v>
      </c>
      <c r="E44" s="34">
        <v>0.03</v>
      </c>
      <c r="F44" s="34">
        <v>-0.03</v>
      </c>
      <c r="G44" s="35" t="s">
        <v>49</v>
      </c>
      <c r="H44" s="36"/>
      <c r="I44" s="36"/>
      <c r="J44" s="36"/>
      <c r="K44" s="28" t="str">
        <f t="shared" si="9"/>
        <v xml:space="preserve"> </v>
      </c>
      <c r="L44" s="28" t="str">
        <f t="shared" si="10"/>
        <v xml:space="preserve"> </v>
      </c>
      <c r="M44" s="28" t="str">
        <f t="shared" si="11"/>
        <v xml:space="preserve"> </v>
      </c>
      <c r="N44" s="29" t="str">
        <f t="shared" si="12"/>
        <v xml:space="preserve"> </v>
      </c>
      <c r="O44" s="30" t="str">
        <f t="shared" si="13"/>
        <v xml:space="preserve"> </v>
      </c>
      <c r="P44" s="31" t="str">
        <f t="shared" si="14"/>
        <v xml:space="preserve"> </v>
      </c>
      <c r="Q44" s="29" t="str">
        <f t="shared" si="6"/>
        <v/>
      </c>
      <c r="R44" s="29" t="str">
        <f t="shared" si="8"/>
        <v/>
      </c>
      <c r="S44" s="126"/>
    </row>
    <row r="45" spans="1:19" ht="18" customHeight="1">
      <c r="A45" s="27"/>
      <c r="B45" s="46" t="s">
        <v>155</v>
      </c>
      <c r="C45" s="35" t="s">
        <v>46</v>
      </c>
      <c r="D45" s="34">
        <v>11.074</v>
      </c>
      <c r="E45" s="34">
        <v>0.03</v>
      </c>
      <c r="F45" s="34">
        <v>-0.03</v>
      </c>
      <c r="G45" s="35" t="s">
        <v>49</v>
      </c>
      <c r="H45" s="36"/>
      <c r="I45" s="36"/>
      <c r="J45" s="36"/>
      <c r="K45" s="28" t="str">
        <f t="shared" si="9"/>
        <v xml:space="preserve"> </v>
      </c>
      <c r="L45" s="28" t="str">
        <f t="shared" si="10"/>
        <v xml:space="preserve"> </v>
      </c>
      <c r="M45" s="28" t="str">
        <f t="shared" si="11"/>
        <v xml:space="preserve"> </v>
      </c>
      <c r="N45" s="29" t="str">
        <f t="shared" si="12"/>
        <v xml:space="preserve"> </v>
      </c>
      <c r="O45" s="30" t="str">
        <f t="shared" si="13"/>
        <v xml:space="preserve"> </v>
      </c>
      <c r="P45" s="31" t="str">
        <f t="shared" si="14"/>
        <v xml:space="preserve"> </v>
      </c>
      <c r="Q45" s="29" t="str">
        <f t="shared" si="6"/>
        <v/>
      </c>
      <c r="R45" s="29" t="str">
        <f t="shared" si="8"/>
        <v/>
      </c>
      <c r="S45" s="126"/>
    </row>
    <row r="46" spans="1:19" ht="18" customHeight="1">
      <c r="A46" s="27"/>
      <c r="B46" s="46" t="s">
        <v>156</v>
      </c>
      <c r="C46" s="35" t="s">
        <v>46</v>
      </c>
      <c r="D46" s="34">
        <v>14.792999999999999</v>
      </c>
      <c r="E46" s="34">
        <v>0.03</v>
      </c>
      <c r="F46" s="34">
        <v>-0.03</v>
      </c>
      <c r="G46" s="35" t="s">
        <v>49</v>
      </c>
      <c r="H46" s="36"/>
      <c r="I46" s="36"/>
      <c r="J46" s="36"/>
      <c r="K46" s="28" t="str">
        <f t="shared" si="9"/>
        <v xml:space="preserve"> </v>
      </c>
      <c r="L46" s="28" t="str">
        <f t="shared" si="10"/>
        <v xml:space="preserve"> </v>
      </c>
      <c r="M46" s="28" t="str">
        <f t="shared" si="11"/>
        <v xml:space="preserve"> </v>
      </c>
      <c r="N46" s="29" t="str">
        <f t="shared" si="12"/>
        <v xml:space="preserve"> </v>
      </c>
      <c r="O46" s="30" t="str">
        <f t="shared" si="13"/>
        <v xml:space="preserve"> </v>
      </c>
      <c r="P46" s="31" t="str">
        <f t="shared" si="14"/>
        <v xml:space="preserve"> </v>
      </c>
      <c r="Q46" s="29" t="str">
        <f t="shared" si="6"/>
        <v/>
      </c>
      <c r="R46" s="29" t="str">
        <f t="shared" si="8"/>
        <v/>
      </c>
      <c r="S46" s="126"/>
    </row>
    <row r="47" spans="1:19" ht="17.25" customHeight="1">
      <c r="A47" s="27"/>
      <c r="B47" s="46" t="s">
        <v>157</v>
      </c>
      <c r="C47" s="35" t="s">
        <v>50</v>
      </c>
      <c r="D47" s="34">
        <v>0.13500000000000001</v>
      </c>
      <c r="E47" s="34">
        <v>5.0000000000000001E-3</v>
      </c>
      <c r="F47" s="34">
        <v>-5.0000000000000001E-3</v>
      </c>
      <c r="G47" s="35" t="s">
        <v>99</v>
      </c>
      <c r="H47" s="36"/>
      <c r="I47" s="36"/>
      <c r="J47" s="36"/>
      <c r="K47" s="28" t="str">
        <f t="shared" si="9"/>
        <v xml:space="preserve"> </v>
      </c>
      <c r="L47" s="28" t="str">
        <f t="shared" si="10"/>
        <v xml:space="preserve"> </v>
      </c>
      <c r="M47" s="28" t="str">
        <f t="shared" si="11"/>
        <v xml:space="preserve"> </v>
      </c>
      <c r="N47" s="29" t="str">
        <f t="shared" si="12"/>
        <v xml:space="preserve"> </v>
      </c>
      <c r="O47" s="30" t="str">
        <f t="shared" si="13"/>
        <v xml:space="preserve"> </v>
      </c>
      <c r="P47" s="31" t="str">
        <f t="shared" si="14"/>
        <v xml:space="preserve"> </v>
      </c>
      <c r="Q47" s="29" t="str">
        <f t="shared" si="6"/>
        <v/>
      </c>
      <c r="R47" s="29" t="str">
        <f t="shared" si="8"/>
        <v/>
      </c>
      <c r="S47" s="126"/>
    </row>
    <row r="48" spans="1:19" ht="18" customHeight="1">
      <c r="A48" s="27"/>
      <c r="B48" s="46" t="s">
        <v>158</v>
      </c>
      <c r="C48" s="35" t="s">
        <v>46</v>
      </c>
      <c r="D48" s="34">
        <v>2.17</v>
      </c>
      <c r="E48" s="34">
        <v>0.03</v>
      </c>
      <c r="F48" s="34">
        <v>-0.03</v>
      </c>
      <c r="G48" s="35" t="s">
        <v>49</v>
      </c>
      <c r="H48" s="36"/>
      <c r="I48" s="36"/>
      <c r="J48" s="36"/>
      <c r="K48" s="28" t="str">
        <f t="shared" si="9"/>
        <v xml:space="preserve"> </v>
      </c>
      <c r="L48" s="28" t="str">
        <f t="shared" si="10"/>
        <v xml:space="preserve"> </v>
      </c>
      <c r="M48" s="28" t="str">
        <f t="shared" si="11"/>
        <v xml:space="preserve"> </v>
      </c>
      <c r="N48" s="29" t="str">
        <f t="shared" si="12"/>
        <v xml:space="preserve"> </v>
      </c>
      <c r="O48" s="30" t="str">
        <f t="shared" si="13"/>
        <v xml:space="preserve"> </v>
      </c>
      <c r="P48" s="31" t="str">
        <f t="shared" si="14"/>
        <v xml:space="preserve"> </v>
      </c>
      <c r="Q48" s="29" t="str">
        <f t="shared" si="6"/>
        <v/>
      </c>
      <c r="R48" s="29" t="str">
        <f t="shared" si="8"/>
        <v/>
      </c>
      <c r="S48" s="126"/>
    </row>
    <row r="49" spans="1:19" ht="18" customHeight="1">
      <c r="A49" s="27"/>
      <c r="B49" s="46" t="s">
        <v>159</v>
      </c>
      <c r="C49" s="35" t="s">
        <v>46</v>
      </c>
      <c r="D49" s="34">
        <v>2.17</v>
      </c>
      <c r="E49" s="34">
        <v>0.03</v>
      </c>
      <c r="F49" s="34">
        <v>-0.03</v>
      </c>
      <c r="G49" s="35" t="s">
        <v>49</v>
      </c>
      <c r="H49" s="36"/>
      <c r="I49" s="36"/>
      <c r="J49" s="36"/>
      <c r="K49" s="28" t="str">
        <f t="shared" si="9"/>
        <v xml:space="preserve"> </v>
      </c>
      <c r="L49" s="28" t="str">
        <f t="shared" si="10"/>
        <v xml:space="preserve"> </v>
      </c>
      <c r="M49" s="28" t="str">
        <f t="shared" si="11"/>
        <v xml:space="preserve"> </v>
      </c>
      <c r="N49" s="29" t="str">
        <f t="shared" si="12"/>
        <v xml:space="preserve"> </v>
      </c>
      <c r="O49" s="30" t="str">
        <f t="shared" si="13"/>
        <v xml:space="preserve"> </v>
      </c>
      <c r="P49" s="31" t="str">
        <f t="shared" si="14"/>
        <v xml:space="preserve"> </v>
      </c>
      <c r="Q49" s="29" t="str">
        <f t="shared" si="6"/>
        <v/>
      </c>
      <c r="R49" s="29" t="str">
        <f t="shared" si="8"/>
        <v/>
      </c>
      <c r="S49" s="126"/>
    </row>
    <row r="50" spans="1:19" ht="18" customHeight="1">
      <c r="A50" s="27"/>
      <c r="B50" s="46" t="s">
        <v>160</v>
      </c>
      <c r="C50" s="35" t="s">
        <v>46</v>
      </c>
      <c r="D50" s="34">
        <v>14.343999999999999</v>
      </c>
      <c r="E50" s="34">
        <v>0.03</v>
      </c>
      <c r="F50" s="34">
        <v>-0.03</v>
      </c>
      <c r="G50" s="35" t="s">
        <v>49</v>
      </c>
      <c r="H50" s="36"/>
      <c r="I50" s="36"/>
      <c r="J50" s="36"/>
      <c r="K50" s="28" t="str">
        <f t="shared" si="9"/>
        <v xml:space="preserve"> </v>
      </c>
      <c r="L50" s="28" t="str">
        <f t="shared" si="10"/>
        <v xml:space="preserve"> </v>
      </c>
      <c r="M50" s="28" t="str">
        <f t="shared" si="11"/>
        <v xml:space="preserve"> </v>
      </c>
      <c r="N50" s="29" t="str">
        <f t="shared" si="12"/>
        <v xml:space="preserve"> </v>
      </c>
      <c r="O50" s="30" t="str">
        <f t="shared" si="13"/>
        <v xml:space="preserve"> </v>
      </c>
      <c r="P50" s="31" t="str">
        <f t="shared" si="14"/>
        <v xml:space="preserve"> </v>
      </c>
      <c r="Q50" s="29" t="str">
        <f t="shared" si="6"/>
        <v/>
      </c>
      <c r="R50" s="29" t="str">
        <f t="shared" si="8"/>
        <v/>
      </c>
      <c r="S50" s="126"/>
    </row>
    <row r="51" spans="1:19" ht="18" customHeight="1">
      <c r="A51" s="27"/>
      <c r="B51" s="46" t="s">
        <v>161</v>
      </c>
      <c r="C51" s="35" t="s">
        <v>46</v>
      </c>
      <c r="D51" s="34">
        <v>14.343999999999999</v>
      </c>
      <c r="E51" s="34">
        <v>0.03</v>
      </c>
      <c r="F51" s="34">
        <v>-0.03</v>
      </c>
      <c r="G51" s="35" t="s">
        <v>49</v>
      </c>
      <c r="H51" s="36"/>
      <c r="I51" s="36"/>
      <c r="J51" s="36"/>
      <c r="K51" s="28" t="str">
        <f t="shared" si="9"/>
        <v xml:space="preserve"> </v>
      </c>
      <c r="L51" s="28" t="str">
        <f t="shared" si="10"/>
        <v xml:space="preserve"> </v>
      </c>
      <c r="M51" s="28" t="str">
        <f t="shared" si="11"/>
        <v xml:space="preserve"> </v>
      </c>
      <c r="N51" s="29" t="str">
        <f t="shared" si="12"/>
        <v xml:space="preserve"> </v>
      </c>
      <c r="O51" s="30" t="str">
        <f t="shared" si="13"/>
        <v xml:space="preserve"> </v>
      </c>
      <c r="P51" s="31" t="str">
        <f t="shared" si="14"/>
        <v xml:space="preserve"> </v>
      </c>
      <c r="Q51" s="29" t="str">
        <f t="shared" si="6"/>
        <v/>
      </c>
      <c r="R51" s="29" t="str">
        <f t="shared" si="8"/>
        <v/>
      </c>
      <c r="S51" s="126"/>
    </row>
    <row r="52" spans="1:19" ht="18" customHeight="1">
      <c r="A52" s="27"/>
      <c r="B52" s="46" t="s">
        <v>162</v>
      </c>
      <c r="C52" s="35" t="s">
        <v>46</v>
      </c>
      <c r="D52" s="34">
        <v>0.2</v>
      </c>
      <c r="E52" s="34">
        <v>0.04</v>
      </c>
      <c r="F52" s="34">
        <v>-7.0000000000000007E-2</v>
      </c>
      <c r="G52" s="35" t="s">
        <v>49</v>
      </c>
      <c r="H52" s="36"/>
      <c r="I52" s="36"/>
      <c r="J52" s="36"/>
      <c r="K52" s="28" t="str">
        <f t="shared" si="9"/>
        <v xml:space="preserve"> </v>
      </c>
      <c r="L52" s="28" t="str">
        <f t="shared" si="10"/>
        <v xml:space="preserve"> </v>
      </c>
      <c r="M52" s="28" t="str">
        <f t="shared" si="11"/>
        <v xml:space="preserve"> </v>
      </c>
      <c r="N52" s="29" t="str">
        <f t="shared" si="12"/>
        <v xml:space="preserve"> </v>
      </c>
      <c r="O52" s="30" t="str">
        <f t="shared" si="13"/>
        <v xml:space="preserve"> </v>
      </c>
      <c r="P52" s="31" t="str">
        <f t="shared" si="14"/>
        <v xml:space="preserve"> </v>
      </c>
      <c r="Q52" s="29" t="str">
        <f t="shared" si="6"/>
        <v/>
      </c>
      <c r="R52" s="29" t="str">
        <f t="shared" si="8"/>
        <v/>
      </c>
      <c r="S52" s="126"/>
    </row>
    <row r="53" spans="1:19" ht="18" customHeight="1">
      <c r="A53" s="27"/>
      <c r="B53" s="46" t="s">
        <v>163</v>
      </c>
      <c r="C53" s="35" t="s">
        <v>46</v>
      </c>
      <c r="D53" s="34">
        <v>0.2</v>
      </c>
      <c r="E53" s="34">
        <v>0.04</v>
      </c>
      <c r="F53" s="34">
        <v>-7.0000000000000007E-2</v>
      </c>
      <c r="G53" s="35" t="s">
        <v>49</v>
      </c>
      <c r="H53" s="36"/>
      <c r="I53" s="36"/>
      <c r="J53" s="36"/>
      <c r="K53" s="28" t="str">
        <f t="shared" si="9"/>
        <v xml:space="preserve"> </v>
      </c>
      <c r="L53" s="28" t="str">
        <f t="shared" si="10"/>
        <v xml:space="preserve"> </v>
      </c>
      <c r="M53" s="28" t="str">
        <f t="shared" si="11"/>
        <v xml:space="preserve"> </v>
      </c>
      <c r="N53" s="29" t="str">
        <f t="shared" si="12"/>
        <v xml:space="preserve"> </v>
      </c>
      <c r="O53" s="30" t="str">
        <f t="shared" si="13"/>
        <v xml:space="preserve"> </v>
      </c>
      <c r="P53" s="31" t="str">
        <f t="shared" si="14"/>
        <v xml:space="preserve"> </v>
      </c>
      <c r="Q53" s="29" t="str">
        <f t="shared" si="6"/>
        <v/>
      </c>
      <c r="R53" s="29" t="str">
        <f t="shared" si="8"/>
        <v/>
      </c>
      <c r="S53" s="126"/>
    </row>
    <row r="54" spans="1:19" ht="18" customHeight="1">
      <c r="A54" s="27"/>
      <c r="B54" s="46" t="s">
        <v>164</v>
      </c>
      <c r="C54" s="35" t="s">
        <v>46</v>
      </c>
      <c r="D54" s="34">
        <v>1.0900000000000001</v>
      </c>
      <c r="E54" s="34">
        <v>0.03</v>
      </c>
      <c r="F54" s="34">
        <v>-0.03</v>
      </c>
      <c r="G54" s="35" t="s">
        <v>49</v>
      </c>
      <c r="H54" s="36"/>
      <c r="I54" s="36"/>
      <c r="J54" s="36"/>
      <c r="K54" s="28" t="str">
        <f t="shared" si="9"/>
        <v xml:space="preserve"> </v>
      </c>
      <c r="L54" s="28" t="str">
        <f t="shared" si="10"/>
        <v xml:space="preserve"> </v>
      </c>
      <c r="M54" s="28" t="str">
        <f t="shared" si="11"/>
        <v xml:space="preserve"> </v>
      </c>
      <c r="N54" s="29" t="str">
        <f t="shared" si="12"/>
        <v xml:space="preserve"> </v>
      </c>
      <c r="O54" s="30" t="str">
        <f t="shared" si="13"/>
        <v xml:space="preserve"> </v>
      </c>
      <c r="P54" s="31" t="str">
        <f t="shared" si="14"/>
        <v xml:space="preserve"> </v>
      </c>
      <c r="Q54" s="29" t="str">
        <f t="shared" si="6"/>
        <v/>
      </c>
      <c r="R54" s="29" t="str">
        <f t="shared" si="8"/>
        <v/>
      </c>
      <c r="S54" s="126"/>
    </row>
    <row r="55" spans="1:19" ht="18" customHeight="1">
      <c r="A55" s="27"/>
      <c r="B55" s="46" t="s">
        <v>165</v>
      </c>
      <c r="C55" s="35" t="s">
        <v>46</v>
      </c>
      <c r="D55" s="34">
        <v>14.917999999999999</v>
      </c>
      <c r="E55" s="34">
        <v>0.03</v>
      </c>
      <c r="F55" s="34">
        <v>-0.03</v>
      </c>
      <c r="G55" s="35" t="s">
        <v>49</v>
      </c>
      <c r="H55" s="36"/>
      <c r="I55" s="36"/>
      <c r="J55" s="36"/>
      <c r="K55" s="28" t="str">
        <f t="shared" si="9"/>
        <v xml:space="preserve"> </v>
      </c>
      <c r="L55" s="28" t="str">
        <f t="shared" si="10"/>
        <v xml:space="preserve"> </v>
      </c>
      <c r="M55" s="28" t="str">
        <f t="shared" si="11"/>
        <v xml:space="preserve"> </v>
      </c>
      <c r="N55" s="29" t="str">
        <f t="shared" si="12"/>
        <v xml:space="preserve"> </v>
      </c>
      <c r="O55" s="30" t="str">
        <f t="shared" si="13"/>
        <v xml:space="preserve"> </v>
      </c>
      <c r="P55" s="31" t="str">
        <f t="shared" si="14"/>
        <v xml:space="preserve"> </v>
      </c>
      <c r="Q55" s="29" t="str">
        <f t="shared" si="6"/>
        <v/>
      </c>
      <c r="R55" s="29" t="str">
        <f t="shared" si="8"/>
        <v/>
      </c>
      <c r="S55" s="126"/>
    </row>
    <row r="56" spans="1:19" ht="18" customHeight="1">
      <c r="A56" s="27"/>
      <c r="B56" s="46" t="s">
        <v>166</v>
      </c>
      <c r="C56" s="35" t="s">
        <v>46</v>
      </c>
      <c r="D56" s="34">
        <v>1</v>
      </c>
      <c r="E56" s="34">
        <v>0.03</v>
      </c>
      <c r="F56" s="34">
        <v>-0.03</v>
      </c>
      <c r="G56" s="35" t="s">
        <v>49</v>
      </c>
      <c r="H56" s="36"/>
      <c r="I56" s="36"/>
      <c r="J56" s="36"/>
      <c r="K56" s="28" t="str">
        <f t="shared" si="9"/>
        <v xml:space="preserve"> </v>
      </c>
      <c r="L56" s="28" t="str">
        <f t="shared" si="10"/>
        <v xml:space="preserve"> </v>
      </c>
      <c r="M56" s="28" t="str">
        <f t="shared" si="11"/>
        <v xml:space="preserve"> </v>
      </c>
      <c r="N56" s="29" t="str">
        <f t="shared" si="12"/>
        <v xml:space="preserve"> </v>
      </c>
      <c r="O56" s="30" t="str">
        <f t="shared" si="13"/>
        <v xml:space="preserve"> </v>
      </c>
      <c r="P56" s="31" t="str">
        <f t="shared" si="14"/>
        <v xml:space="preserve"> </v>
      </c>
      <c r="Q56" s="29" t="str">
        <f t="shared" si="6"/>
        <v/>
      </c>
      <c r="R56" s="29" t="str">
        <f t="shared" si="8"/>
        <v/>
      </c>
      <c r="S56" s="126"/>
    </row>
    <row r="57" spans="1:19" ht="18" customHeight="1">
      <c r="A57" s="27"/>
      <c r="B57" s="46" t="s">
        <v>167</v>
      </c>
      <c r="C57" s="35" t="s">
        <v>46</v>
      </c>
      <c r="D57" s="34">
        <v>0.95</v>
      </c>
      <c r="E57" s="34">
        <v>0.03</v>
      </c>
      <c r="F57" s="34">
        <v>-0.03</v>
      </c>
      <c r="G57" s="35" t="s">
        <v>49</v>
      </c>
      <c r="H57" s="36"/>
      <c r="I57" s="36"/>
      <c r="J57" s="36"/>
      <c r="K57" s="28" t="str">
        <f t="shared" si="9"/>
        <v xml:space="preserve"> </v>
      </c>
      <c r="L57" s="28" t="str">
        <f t="shared" si="10"/>
        <v xml:space="preserve"> </v>
      </c>
      <c r="M57" s="28" t="str">
        <f t="shared" si="11"/>
        <v xml:space="preserve"> </v>
      </c>
      <c r="N57" s="29" t="str">
        <f t="shared" si="12"/>
        <v xml:space="preserve"> </v>
      </c>
      <c r="O57" s="30" t="str">
        <f t="shared" si="13"/>
        <v xml:space="preserve"> </v>
      </c>
      <c r="P57" s="31" t="str">
        <f t="shared" si="14"/>
        <v xml:space="preserve"> </v>
      </c>
      <c r="Q57" s="29" t="str">
        <f t="shared" si="6"/>
        <v/>
      </c>
      <c r="R57" s="29" t="str">
        <f t="shared" si="8"/>
        <v/>
      </c>
      <c r="S57" s="126"/>
    </row>
    <row r="58" spans="1:19" ht="18" customHeight="1">
      <c r="A58" s="27"/>
      <c r="B58" s="46" t="s">
        <v>168</v>
      </c>
      <c r="C58" s="35" t="s">
        <v>46</v>
      </c>
      <c r="D58" s="34">
        <v>2.17</v>
      </c>
      <c r="E58" s="34">
        <v>0.03</v>
      </c>
      <c r="F58" s="34">
        <v>-0.03</v>
      </c>
      <c r="G58" s="35" t="s">
        <v>49</v>
      </c>
      <c r="H58" s="36"/>
      <c r="I58" s="36"/>
      <c r="J58" s="36"/>
      <c r="K58" s="28" t="str">
        <f t="shared" si="9"/>
        <v xml:space="preserve"> </v>
      </c>
      <c r="L58" s="28" t="str">
        <f t="shared" si="10"/>
        <v xml:space="preserve"> </v>
      </c>
      <c r="M58" s="28" t="str">
        <f t="shared" si="11"/>
        <v xml:space="preserve"> </v>
      </c>
      <c r="N58" s="29" t="str">
        <f t="shared" si="12"/>
        <v xml:space="preserve"> </v>
      </c>
      <c r="O58" s="30" t="str">
        <f t="shared" si="13"/>
        <v xml:space="preserve"> </v>
      </c>
      <c r="P58" s="31" t="str">
        <f t="shared" si="14"/>
        <v xml:space="preserve"> </v>
      </c>
      <c r="Q58" s="29" t="str">
        <f t="shared" si="6"/>
        <v/>
      </c>
      <c r="R58" s="29" t="str">
        <f t="shared" si="8"/>
        <v/>
      </c>
      <c r="S58" s="126"/>
    </row>
    <row r="59" spans="1:19" ht="18" customHeight="1">
      <c r="A59" s="27"/>
      <c r="B59" s="46" t="s">
        <v>169</v>
      </c>
      <c r="C59" s="35" t="s">
        <v>46</v>
      </c>
      <c r="D59" s="34">
        <v>2.17</v>
      </c>
      <c r="E59" s="34">
        <v>0.03</v>
      </c>
      <c r="F59" s="34">
        <v>-0.03</v>
      </c>
      <c r="G59" s="35" t="s">
        <v>49</v>
      </c>
      <c r="H59" s="36"/>
      <c r="I59" s="36"/>
      <c r="J59" s="36"/>
      <c r="K59" s="28" t="str">
        <f t="shared" si="9"/>
        <v xml:space="preserve"> </v>
      </c>
      <c r="L59" s="28" t="str">
        <f t="shared" si="10"/>
        <v xml:space="preserve"> </v>
      </c>
      <c r="M59" s="28" t="str">
        <f t="shared" si="11"/>
        <v xml:space="preserve"> </v>
      </c>
      <c r="N59" s="29" t="str">
        <f t="shared" si="12"/>
        <v xml:space="preserve"> </v>
      </c>
      <c r="O59" s="30" t="str">
        <f t="shared" si="13"/>
        <v xml:space="preserve"> </v>
      </c>
      <c r="P59" s="31" t="str">
        <f t="shared" si="14"/>
        <v xml:space="preserve"> </v>
      </c>
      <c r="Q59" s="29" t="str">
        <f t="shared" si="6"/>
        <v/>
      </c>
      <c r="R59" s="29" t="str">
        <f t="shared" si="8"/>
        <v/>
      </c>
      <c r="S59" s="126"/>
    </row>
    <row r="60" spans="1:19" ht="18" customHeight="1">
      <c r="A60" s="27"/>
      <c r="B60" s="46" t="s">
        <v>170</v>
      </c>
      <c r="C60" s="35" t="s">
        <v>46</v>
      </c>
      <c r="D60" s="34">
        <v>12.545999999999999</v>
      </c>
      <c r="E60" s="34">
        <v>0.03</v>
      </c>
      <c r="F60" s="34">
        <v>-0.03</v>
      </c>
      <c r="G60" s="35" t="s">
        <v>49</v>
      </c>
      <c r="H60" s="36"/>
      <c r="I60" s="36"/>
      <c r="J60" s="36"/>
      <c r="K60" s="28" t="str">
        <f t="shared" si="9"/>
        <v xml:space="preserve"> </v>
      </c>
      <c r="L60" s="28" t="str">
        <f t="shared" si="10"/>
        <v xml:space="preserve"> </v>
      </c>
      <c r="M60" s="28" t="str">
        <f t="shared" si="11"/>
        <v xml:space="preserve"> </v>
      </c>
      <c r="N60" s="29" t="str">
        <f t="shared" si="12"/>
        <v xml:space="preserve"> </v>
      </c>
      <c r="O60" s="30" t="str">
        <f t="shared" si="13"/>
        <v xml:space="preserve"> </v>
      </c>
      <c r="P60" s="31" t="str">
        <f t="shared" si="14"/>
        <v xml:space="preserve"> </v>
      </c>
      <c r="Q60" s="29" t="str">
        <f t="shared" si="6"/>
        <v/>
      </c>
      <c r="R60" s="29" t="str">
        <f t="shared" si="8"/>
        <v/>
      </c>
      <c r="S60" s="126"/>
    </row>
    <row r="61" spans="1:19" ht="18" customHeight="1">
      <c r="A61" s="27"/>
      <c r="B61" s="46" t="s">
        <v>171</v>
      </c>
      <c r="C61" s="35" t="s">
        <v>46</v>
      </c>
      <c r="D61" s="34">
        <v>1.2</v>
      </c>
      <c r="E61" s="34">
        <v>0.03</v>
      </c>
      <c r="F61" s="34">
        <v>-0.03</v>
      </c>
      <c r="G61" s="35" t="s">
        <v>49</v>
      </c>
      <c r="H61" s="36"/>
      <c r="I61" s="36"/>
      <c r="J61" s="36"/>
      <c r="K61" s="28" t="str">
        <f t="shared" si="9"/>
        <v xml:space="preserve"> </v>
      </c>
      <c r="L61" s="28" t="str">
        <f t="shared" si="10"/>
        <v xml:space="preserve"> </v>
      </c>
      <c r="M61" s="28" t="str">
        <f t="shared" si="11"/>
        <v xml:space="preserve"> </v>
      </c>
      <c r="N61" s="29" t="str">
        <f t="shared" si="12"/>
        <v xml:space="preserve"> </v>
      </c>
      <c r="O61" s="30" t="str">
        <f t="shared" si="13"/>
        <v xml:space="preserve"> </v>
      </c>
      <c r="P61" s="31" t="str">
        <f t="shared" si="14"/>
        <v xml:space="preserve"> </v>
      </c>
      <c r="Q61" s="29" t="str">
        <f t="shared" si="6"/>
        <v/>
      </c>
      <c r="R61" s="29" t="str">
        <f t="shared" si="8"/>
        <v/>
      </c>
      <c r="S61" s="126"/>
    </row>
    <row r="62" spans="1:19" ht="18" customHeight="1">
      <c r="A62" s="27"/>
      <c r="B62" s="46" t="s">
        <v>172</v>
      </c>
      <c r="C62" s="35" t="s">
        <v>46</v>
      </c>
      <c r="D62" s="34">
        <v>0.99</v>
      </c>
      <c r="E62" s="34">
        <v>0.03</v>
      </c>
      <c r="F62" s="34">
        <v>-0.03</v>
      </c>
      <c r="G62" s="35" t="s">
        <v>49</v>
      </c>
      <c r="H62" s="36"/>
      <c r="I62" s="36"/>
      <c r="J62" s="36"/>
      <c r="K62" s="28" t="str">
        <f t="shared" si="9"/>
        <v xml:space="preserve"> </v>
      </c>
      <c r="L62" s="28" t="str">
        <f t="shared" si="10"/>
        <v xml:space="preserve"> </v>
      </c>
      <c r="M62" s="28" t="str">
        <f t="shared" si="11"/>
        <v xml:space="preserve"> </v>
      </c>
      <c r="N62" s="29" t="str">
        <f t="shared" si="12"/>
        <v xml:space="preserve"> </v>
      </c>
      <c r="O62" s="30" t="str">
        <f t="shared" si="13"/>
        <v xml:space="preserve"> </v>
      </c>
      <c r="P62" s="31" t="str">
        <f t="shared" si="14"/>
        <v xml:space="preserve"> </v>
      </c>
      <c r="Q62" s="29" t="str">
        <f t="shared" si="6"/>
        <v/>
      </c>
      <c r="R62" s="29" t="str">
        <f t="shared" si="8"/>
        <v/>
      </c>
      <c r="S62" s="126"/>
    </row>
    <row r="63" spans="1:19" ht="18" customHeight="1">
      <c r="A63" s="27"/>
      <c r="B63" s="46" t="s">
        <v>173</v>
      </c>
      <c r="C63" s="35" t="s">
        <v>46</v>
      </c>
      <c r="D63" s="34">
        <v>15.042999999999999</v>
      </c>
      <c r="E63" s="34">
        <v>0.03</v>
      </c>
      <c r="F63" s="34">
        <v>-0.04</v>
      </c>
      <c r="G63" s="35" t="s">
        <v>49</v>
      </c>
      <c r="H63" s="36"/>
      <c r="I63" s="36"/>
      <c r="J63" s="36"/>
      <c r="K63" s="28" t="str">
        <f t="shared" si="9"/>
        <v xml:space="preserve"> </v>
      </c>
      <c r="L63" s="28" t="str">
        <f t="shared" si="10"/>
        <v xml:space="preserve"> </v>
      </c>
      <c r="M63" s="28" t="str">
        <f t="shared" si="11"/>
        <v xml:space="preserve"> </v>
      </c>
      <c r="N63" s="29" t="str">
        <f t="shared" si="12"/>
        <v xml:space="preserve"> </v>
      </c>
      <c r="O63" s="30" t="str">
        <f t="shared" si="13"/>
        <v xml:space="preserve"> </v>
      </c>
      <c r="P63" s="31" t="str">
        <f t="shared" si="14"/>
        <v xml:space="preserve"> </v>
      </c>
      <c r="Q63" s="29" t="str">
        <f t="shared" si="6"/>
        <v/>
      </c>
      <c r="R63" s="29" t="str">
        <f t="shared" si="8"/>
        <v/>
      </c>
      <c r="S63" s="126"/>
    </row>
    <row r="64" spans="1:19" ht="18" customHeight="1">
      <c r="A64" s="27"/>
      <c r="B64" s="46" t="s">
        <v>174</v>
      </c>
      <c r="C64" s="35" t="s">
        <v>46</v>
      </c>
      <c r="D64" s="34">
        <v>16.117999999999999</v>
      </c>
      <c r="E64" s="34">
        <v>0.03</v>
      </c>
      <c r="F64" s="34">
        <v>-0.03</v>
      </c>
      <c r="G64" s="35" t="s">
        <v>49</v>
      </c>
      <c r="H64" s="36"/>
      <c r="I64" s="36"/>
      <c r="J64" s="36"/>
      <c r="K64" s="28" t="str">
        <f t="shared" si="9"/>
        <v xml:space="preserve"> </v>
      </c>
      <c r="L64" s="28" t="str">
        <f t="shared" si="10"/>
        <v xml:space="preserve"> </v>
      </c>
      <c r="M64" s="28" t="str">
        <f t="shared" si="11"/>
        <v xml:space="preserve"> </v>
      </c>
      <c r="N64" s="29" t="str">
        <f t="shared" si="12"/>
        <v xml:space="preserve"> </v>
      </c>
      <c r="O64" s="30" t="str">
        <f t="shared" si="13"/>
        <v xml:space="preserve"> </v>
      </c>
      <c r="P64" s="31" t="str">
        <f t="shared" si="14"/>
        <v xml:space="preserve"> </v>
      </c>
      <c r="Q64" s="29" t="str">
        <f t="shared" si="6"/>
        <v/>
      </c>
      <c r="R64" s="29" t="str">
        <f t="shared" si="8"/>
        <v/>
      </c>
      <c r="S64" s="126"/>
    </row>
    <row r="65" spans="1:19" ht="18" customHeight="1">
      <c r="A65" s="27"/>
      <c r="B65" s="46" t="s">
        <v>175</v>
      </c>
      <c r="C65" s="35" t="s">
        <v>46</v>
      </c>
      <c r="D65" s="34">
        <v>16.117999999999999</v>
      </c>
      <c r="E65" s="34">
        <v>0.03</v>
      </c>
      <c r="F65" s="34">
        <v>-0.03</v>
      </c>
      <c r="G65" s="35" t="s">
        <v>49</v>
      </c>
      <c r="H65" s="36"/>
      <c r="I65" s="36"/>
      <c r="J65" s="36"/>
      <c r="K65" s="28" t="str">
        <f t="shared" si="9"/>
        <v xml:space="preserve"> </v>
      </c>
      <c r="L65" s="28" t="str">
        <f t="shared" si="10"/>
        <v xml:space="preserve"> </v>
      </c>
      <c r="M65" s="28" t="str">
        <f t="shared" si="11"/>
        <v xml:space="preserve"> </v>
      </c>
      <c r="N65" s="29" t="str">
        <f t="shared" si="12"/>
        <v xml:space="preserve"> </v>
      </c>
      <c r="O65" s="30" t="str">
        <f t="shared" si="13"/>
        <v xml:space="preserve"> </v>
      </c>
      <c r="P65" s="31" t="str">
        <f t="shared" si="14"/>
        <v xml:space="preserve"> </v>
      </c>
      <c r="Q65" s="29" t="str">
        <f t="shared" si="6"/>
        <v/>
      </c>
      <c r="R65" s="29" t="str">
        <f t="shared" si="8"/>
        <v/>
      </c>
      <c r="S65" s="126"/>
    </row>
    <row r="66" spans="1:19" ht="18" customHeight="1">
      <c r="A66" s="27"/>
      <c r="B66" s="46" t="s">
        <v>176</v>
      </c>
      <c r="C66" s="35" t="s">
        <v>51</v>
      </c>
      <c r="D66" s="34">
        <v>7.0000000000000007E-2</v>
      </c>
      <c r="E66" s="34">
        <v>0.03</v>
      </c>
      <c r="F66" s="34">
        <v>-0.03</v>
      </c>
      <c r="G66" s="35" t="s">
        <v>49</v>
      </c>
      <c r="H66" s="36"/>
      <c r="I66" s="36"/>
      <c r="J66" s="36"/>
      <c r="K66" s="28" t="str">
        <f t="shared" si="9"/>
        <v xml:space="preserve"> </v>
      </c>
      <c r="L66" s="28" t="str">
        <f t="shared" si="10"/>
        <v xml:space="preserve"> </v>
      </c>
      <c r="M66" s="28" t="str">
        <f t="shared" si="11"/>
        <v xml:space="preserve"> </v>
      </c>
      <c r="N66" s="29" t="str">
        <f t="shared" si="12"/>
        <v xml:space="preserve"> </v>
      </c>
      <c r="O66" s="30" t="str">
        <f t="shared" si="13"/>
        <v xml:space="preserve"> </v>
      </c>
      <c r="P66" s="31" t="str">
        <f t="shared" si="14"/>
        <v xml:space="preserve"> </v>
      </c>
      <c r="Q66" s="29" t="str">
        <f t="shared" si="6"/>
        <v/>
      </c>
      <c r="R66" s="29" t="str">
        <f t="shared" si="8"/>
        <v/>
      </c>
      <c r="S66" s="126"/>
    </row>
    <row r="67" spans="1:19" ht="18" customHeight="1">
      <c r="A67" s="27"/>
      <c r="B67" s="46" t="s">
        <v>177</v>
      </c>
      <c r="C67" s="35" t="s">
        <v>51</v>
      </c>
      <c r="D67" s="34">
        <v>7.0000000000000007E-2</v>
      </c>
      <c r="E67" s="34">
        <v>0.03</v>
      </c>
      <c r="F67" s="34">
        <v>-0.03</v>
      </c>
      <c r="G67" s="35" t="s">
        <v>49</v>
      </c>
      <c r="H67" s="36"/>
      <c r="I67" s="36"/>
      <c r="J67" s="36"/>
      <c r="K67" s="28" t="str">
        <f t="shared" si="9"/>
        <v xml:space="preserve"> </v>
      </c>
      <c r="L67" s="28" t="str">
        <f t="shared" si="10"/>
        <v xml:space="preserve"> </v>
      </c>
      <c r="M67" s="28" t="str">
        <f t="shared" si="11"/>
        <v xml:space="preserve"> </v>
      </c>
      <c r="N67" s="29" t="str">
        <f t="shared" si="12"/>
        <v xml:space="preserve"> </v>
      </c>
      <c r="O67" s="30" t="str">
        <f t="shared" si="13"/>
        <v xml:space="preserve"> </v>
      </c>
      <c r="P67" s="31" t="str">
        <f t="shared" si="14"/>
        <v xml:space="preserve"> </v>
      </c>
      <c r="Q67" s="29" t="str">
        <f t="shared" si="6"/>
        <v/>
      </c>
      <c r="R67" s="29" t="str">
        <f t="shared" ref="R67:R83" si="15">IF(H67="","",IF(ISERR(F67/F67)=TRUE,"",IF(ISERR(F67/D67)=TRUE,IF((F67-MIN(H67:J67))&gt;0.001,"Reject",""),IF(ISNUMBER($P67)=TRUE,IF($P67&gt;0.651,IF($P67&gt;1.001,"Reject","Alert"),""),""))))</f>
        <v/>
      </c>
      <c r="S67" s="126"/>
    </row>
    <row r="68" spans="1:19" ht="18" customHeight="1">
      <c r="A68" s="27"/>
      <c r="B68" s="46" t="s">
        <v>178</v>
      </c>
      <c r="C68" s="35" t="s">
        <v>51</v>
      </c>
      <c r="D68" s="34">
        <v>7.0000000000000007E-2</v>
      </c>
      <c r="E68" s="34">
        <v>0.03</v>
      </c>
      <c r="F68" s="34">
        <v>-0.03</v>
      </c>
      <c r="G68" s="35" t="s">
        <v>49</v>
      </c>
      <c r="H68" s="36"/>
      <c r="I68" s="36"/>
      <c r="J68" s="36"/>
      <c r="K68" s="28" t="str">
        <f t="shared" si="9"/>
        <v xml:space="preserve"> </v>
      </c>
      <c r="L68" s="28" t="str">
        <f t="shared" si="10"/>
        <v xml:space="preserve"> </v>
      </c>
      <c r="M68" s="28" t="str">
        <f t="shared" si="11"/>
        <v xml:space="preserve"> </v>
      </c>
      <c r="N68" s="29" t="str">
        <f t="shared" si="12"/>
        <v xml:space="preserve"> </v>
      </c>
      <c r="O68" s="30" t="str">
        <f t="shared" si="13"/>
        <v xml:space="preserve"> </v>
      </c>
      <c r="P68" s="31" t="str">
        <f t="shared" si="14"/>
        <v xml:space="preserve"> </v>
      </c>
      <c r="Q68" s="29" t="str">
        <f t="shared" si="6"/>
        <v/>
      </c>
      <c r="R68" s="29" t="str">
        <f t="shared" si="15"/>
        <v/>
      </c>
      <c r="S68" s="126"/>
    </row>
    <row r="69" spans="1:19" ht="18" customHeight="1">
      <c r="A69" s="27"/>
      <c r="B69" s="46" t="s">
        <v>179</v>
      </c>
      <c r="C69" s="35" t="s">
        <v>51</v>
      </c>
      <c r="D69" s="34">
        <v>7.0000000000000007E-2</v>
      </c>
      <c r="E69" s="34">
        <v>0.03</v>
      </c>
      <c r="F69" s="34">
        <v>-0.03</v>
      </c>
      <c r="G69" s="35" t="s">
        <v>49</v>
      </c>
      <c r="H69" s="36"/>
      <c r="I69" s="36"/>
      <c r="J69" s="36"/>
      <c r="K69" s="28" t="str">
        <f t="shared" si="9"/>
        <v xml:space="preserve"> </v>
      </c>
      <c r="L69" s="28" t="str">
        <f t="shared" si="10"/>
        <v xml:space="preserve"> </v>
      </c>
      <c r="M69" s="28" t="str">
        <f t="shared" si="11"/>
        <v xml:space="preserve"> </v>
      </c>
      <c r="N69" s="29" t="str">
        <f t="shared" si="12"/>
        <v xml:space="preserve"> </v>
      </c>
      <c r="O69" s="30" t="str">
        <f t="shared" si="13"/>
        <v xml:space="preserve"> </v>
      </c>
      <c r="P69" s="31" t="str">
        <f t="shared" si="14"/>
        <v xml:space="preserve"> </v>
      </c>
      <c r="Q69" s="29" t="str">
        <f t="shared" si="6"/>
        <v/>
      </c>
      <c r="R69" s="29" t="str">
        <f t="shared" si="15"/>
        <v/>
      </c>
      <c r="S69" s="126"/>
    </row>
    <row r="70" spans="1:19" ht="18" customHeight="1">
      <c r="A70" s="27"/>
      <c r="B70" s="46" t="s">
        <v>180</v>
      </c>
      <c r="C70" s="35" t="s">
        <v>51</v>
      </c>
      <c r="D70" s="34">
        <v>7.0000000000000007E-2</v>
      </c>
      <c r="E70" s="34">
        <v>0.03</v>
      </c>
      <c r="F70" s="34">
        <v>-0.03</v>
      </c>
      <c r="G70" s="35" t="s">
        <v>49</v>
      </c>
      <c r="H70" s="36"/>
      <c r="I70" s="36"/>
      <c r="J70" s="36"/>
      <c r="K70" s="28" t="str">
        <f t="shared" ref="K70:K83" si="16">IF(ISERR(H70/H70)=TRUE," ",H70-$D70)</f>
        <v xml:space="preserve"> </v>
      </c>
      <c r="L70" s="28" t="str">
        <f t="shared" ref="L70:L83" si="17">IF(ISERR(I70/I70)=TRUE," ",I70-$D70)</f>
        <v xml:space="preserve"> </v>
      </c>
      <c r="M70" s="28" t="str">
        <f t="shared" ref="M70:M83" si="18">IF(ISERR(J70/J70)=TRUE," ",J70-$D70)</f>
        <v xml:space="preserve"> </v>
      </c>
      <c r="N70" s="29" t="str">
        <f t="shared" ref="N70:N83" si="19">IF(ISERR(H70/H70)=TRUE," ",AVERAGE(H70:J70))</f>
        <v xml:space="preserve"> </v>
      </c>
      <c r="O70" s="30" t="str">
        <f t="shared" ref="O70:O83" si="20">IF(ISERR(E70/E70)=TRUE," ",IF(ISERR(H70/H70)=TRUE," ",IF(ISNUMBER($H70)=FALSE," ",IF(MAX($H70:$J70)&lt;$D70,0,(MAX($H70:$J70)-$D70)/$E70))))</f>
        <v xml:space="preserve"> </v>
      </c>
      <c r="P70" s="31" t="str">
        <f t="shared" ref="P70:P83" si="21">IF(ISERR(F70/D70)=TRUE," ",IF(ISERR(F70/F70)=TRUE," ",IF(ISERR(H70/H70)=TRUE," ",IF(ISNUMBER(H70)=FALSE," ",IF(MIN(H70:J70)&gt;$D70,0,($D70-MIN(H70:J70))/-F70)))))</f>
        <v xml:space="preserve"> </v>
      </c>
      <c r="Q70" s="29" t="str">
        <f t="shared" si="6"/>
        <v/>
      </c>
      <c r="R70" s="29" t="str">
        <f t="shared" si="15"/>
        <v/>
      </c>
      <c r="S70" s="126"/>
    </row>
    <row r="71" spans="1:19" ht="18" customHeight="1">
      <c r="A71" s="27"/>
      <c r="B71" s="46" t="s">
        <v>181</v>
      </c>
      <c r="C71" s="35" t="s">
        <v>51</v>
      </c>
      <c r="D71" s="34">
        <v>7.0000000000000007E-2</v>
      </c>
      <c r="E71" s="34">
        <v>0.03</v>
      </c>
      <c r="F71" s="34">
        <v>-0.03</v>
      </c>
      <c r="G71" s="35" t="s">
        <v>49</v>
      </c>
      <c r="H71" s="36"/>
      <c r="I71" s="36"/>
      <c r="J71" s="36"/>
      <c r="K71" s="28" t="str">
        <f t="shared" si="16"/>
        <v xml:space="preserve"> </v>
      </c>
      <c r="L71" s="28" t="str">
        <f t="shared" si="17"/>
        <v xml:space="preserve"> </v>
      </c>
      <c r="M71" s="28" t="str">
        <f t="shared" si="18"/>
        <v xml:space="preserve"> </v>
      </c>
      <c r="N71" s="29" t="str">
        <f t="shared" si="19"/>
        <v xml:space="preserve"> </v>
      </c>
      <c r="O71" s="30" t="str">
        <f t="shared" si="20"/>
        <v xml:space="preserve"> </v>
      </c>
      <c r="P71" s="31" t="str">
        <f t="shared" si="21"/>
        <v xml:space="preserve"> </v>
      </c>
      <c r="Q71" s="29" t="str">
        <f t="shared" ref="Q71:Q83" si="22">IF(ISNUMBER($O71)=TRUE,IF($O71&gt;0.651,IF($O71&gt;1.001,"Reject","Alert"),""),"")</f>
        <v/>
      </c>
      <c r="R71" s="29" t="str">
        <f t="shared" si="15"/>
        <v/>
      </c>
      <c r="S71" s="126"/>
    </row>
    <row r="72" spans="1:19" ht="18" customHeight="1">
      <c r="A72" s="27"/>
      <c r="B72" s="46" t="s">
        <v>182</v>
      </c>
      <c r="C72" s="35" t="s">
        <v>47</v>
      </c>
      <c r="D72" s="34">
        <v>0.1</v>
      </c>
      <c r="E72" s="34">
        <v>0.01</v>
      </c>
      <c r="F72" s="34">
        <v>-0.04</v>
      </c>
      <c r="G72" s="35" t="s">
        <v>49</v>
      </c>
      <c r="H72" s="36"/>
      <c r="I72" s="36"/>
      <c r="J72" s="36"/>
      <c r="K72" s="28" t="str">
        <f t="shared" si="16"/>
        <v xml:space="preserve"> </v>
      </c>
      <c r="L72" s="28" t="str">
        <f t="shared" si="17"/>
        <v xml:space="preserve"> </v>
      </c>
      <c r="M72" s="28" t="str">
        <f t="shared" si="18"/>
        <v xml:space="preserve"> </v>
      </c>
      <c r="N72" s="29" t="str">
        <f t="shared" si="19"/>
        <v xml:space="preserve"> </v>
      </c>
      <c r="O72" s="30" t="str">
        <f t="shared" si="20"/>
        <v xml:space="preserve"> </v>
      </c>
      <c r="P72" s="31" t="str">
        <f t="shared" si="21"/>
        <v xml:space="preserve"> </v>
      </c>
      <c r="Q72" s="29" t="str">
        <f t="shared" si="22"/>
        <v/>
      </c>
      <c r="R72" s="29" t="str">
        <f t="shared" si="15"/>
        <v/>
      </c>
      <c r="S72" s="126"/>
    </row>
    <row r="73" spans="1:19" ht="18" customHeight="1">
      <c r="A73" s="27"/>
      <c r="B73" s="46" t="s">
        <v>183</v>
      </c>
      <c r="C73" s="35" t="s">
        <v>47</v>
      </c>
      <c r="D73" s="34">
        <v>0.1</v>
      </c>
      <c r="E73" s="34">
        <v>0.01</v>
      </c>
      <c r="F73" s="34">
        <v>-0.04</v>
      </c>
      <c r="G73" s="35" t="s">
        <v>49</v>
      </c>
      <c r="H73" s="36"/>
      <c r="I73" s="36"/>
      <c r="J73" s="36"/>
      <c r="K73" s="28" t="str">
        <f t="shared" si="16"/>
        <v xml:space="preserve"> </v>
      </c>
      <c r="L73" s="28" t="str">
        <f t="shared" si="17"/>
        <v xml:space="preserve"> </v>
      </c>
      <c r="M73" s="28" t="str">
        <f t="shared" si="18"/>
        <v xml:space="preserve"> </v>
      </c>
      <c r="N73" s="29" t="str">
        <f t="shared" si="19"/>
        <v xml:space="preserve"> </v>
      </c>
      <c r="O73" s="30" t="str">
        <f t="shared" si="20"/>
        <v xml:space="preserve"> </v>
      </c>
      <c r="P73" s="31" t="str">
        <f t="shared" si="21"/>
        <v xml:space="preserve"> </v>
      </c>
      <c r="Q73" s="29" t="str">
        <f t="shared" si="22"/>
        <v/>
      </c>
      <c r="R73" s="29" t="str">
        <f t="shared" si="15"/>
        <v/>
      </c>
      <c r="S73" s="126"/>
    </row>
    <row r="74" spans="1:19" ht="18" customHeight="1">
      <c r="A74" s="27"/>
      <c r="B74" s="46" t="s">
        <v>184</v>
      </c>
      <c r="C74" s="35" t="s">
        <v>47</v>
      </c>
      <c r="D74" s="34">
        <v>0.1</v>
      </c>
      <c r="E74" s="34">
        <v>0.01</v>
      </c>
      <c r="F74" s="34">
        <v>-0.04</v>
      </c>
      <c r="G74" s="35" t="s">
        <v>49</v>
      </c>
      <c r="H74" s="36"/>
      <c r="I74" s="36"/>
      <c r="J74" s="36"/>
      <c r="K74" s="28" t="str">
        <f t="shared" si="16"/>
        <v xml:space="preserve"> </v>
      </c>
      <c r="L74" s="28" t="str">
        <f t="shared" si="17"/>
        <v xml:space="preserve"> </v>
      </c>
      <c r="M74" s="28" t="str">
        <f t="shared" si="18"/>
        <v xml:space="preserve"> </v>
      </c>
      <c r="N74" s="29" t="str">
        <f t="shared" si="19"/>
        <v xml:space="preserve"> </v>
      </c>
      <c r="O74" s="30" t="str">
        <f t="shared" si="20"/>
        <v xml:space="preserve"> </v>
      </c>
      <c r="P74" s="31" t="str">
        <f t="shared" si="21"/>
        <v xml:space="preserve"> </v>
      </c>
      <c r="Q74" s="29" t="str">
        <f t="shared" si="22"/>
        <v/>
      </c>
      <c r="R74" s="29" t="str">
        <f t="shared" si="15"/>
        <v/>
      </c>
      <c r="S74" s="126"/>
    </row>
    <row r="75" spans="1:19" ht="18" customHeight="1">
      <c r="A75" s="27"/>
      <c r="B75" s="46" t="s">
        <v>185</v>
      </c>
      <c r="C75" s="35" t="s">
        <v>47</v>
      </c>
      <c r="D75" s="34">
        <v>0.1</v>
      </c>
      <c r="E75" s="34">
        <v>0.01</v>
      </c>
      <c r="F75" s="34">
        <v>-0.04</v>
      </c>
      <c r="G75" s="35" t="s">
        <v>49</v>
      </c>
      <c r="H75" s="36"/>
      <c r="I75" s="36"/>
      <c r="J75" s="36"/>
      <c r="K75" s="28" t="str">
        <f t="shared" si="16"/>
        <v xml:space="preserve"> </v>
      </c>
      <c r="L75" s="28" t="str">
        <f t="shared" si="17"/>
        <v xml:space="preserve"> </v>
      </c>
      <c r="M75" s="28" t="str">
        <f t="shared" si="18"/>
        <v xml:space="preserve"> </v>
      </c>
      <c r="N75" s="29" t="str">
        <f t="shared" si="19"/>
        <v xml:space="preserve"> </v>
      </c>
      <c r="O75" s="30" t="str">
        <f t="shared" si="20"/>
        <v xml:space="preserve"> </v>
      </c>
      <c r="P75" s="31" t="str">
        <f t="shared" si="21"/>
        <v xml:space="preserve"> </v>
      </c>
      <c r="Q75" s="29" t="str">
        <f t="shared" si="22"/>
        <v/>
      </c>
      <c r="R75" s="29" t="str">
        <f t="shared" si="15"/>
        <v/>
      </c>
      <c r="S75" s="126"/>
    </row>
    <row r="76" spans="1:19" ht="18" customHeight="1">
      <c r="A76" s="27"/>
      <c r="B76" s="46" t="s">
        <v>186</v>
      </c>
      <c r="C76" s="35" t="s">
        <v>46</v>
      </c>
      <c r="D76" s="34">
        <v>0.13500000000000001</v>
      </c>
      <c r="E76" s="34">
        <v>5.0000000000000001E-3</v>
      </c>
      <c r="F76" s="34">
        <v>-5.0000000000000001E-3</v>
      </c>
      <c r="G76" s="35" t="s">
        <v>99</v>
      </c>
      <c r="H76" s="36"/>
      <c r="I76" s="36"/>
      <c r="J76" s="36"/>
      <c r="K76" s="28" t="str">
        <f t="shared" si="16"/>
        <v xml:space="preserve"> </v>
      </c>
      <c r="L76" s="28" t="str">
        <f t="shared" si="17"/>
        <v xml:space="preserve"> </v>
      </c>
      <c r="M76" s="28" t="str">
        <f t="shared" si="18"/>
        <v xml:space="preserve"> </v>
      </c>
      <c r="N76" s="29" t="str">
        <f t="shared" si="19"/>
        <v xml:space="preserve"> </v>
      </c>
      <c r="O76" s="30" t="str">
        <f t="shared" si="20"/>
        <v xml:space="preserve"> </v>
      </c>
      <c r="P76" s="31" t="str">
        <f t="shared" si="21"/>
        <v xml:space="preserve"> </v>
      </c>
      <c r="Q76" s="29" t="str">
        <f t="shared" si="22"/>
        <v/>
      </c>
      <c r="R76" s="29" t="str">
        <f t="shared" si="15"/>
        <v/>
      </c>
      <c r="S76" s="126"/>
    </row>
    <row r="77" spans="1:19" ht="18" customHeight="1">
      <c r="A77" s="27"/>
      <c r="B77" s="46" t="s">
        <v>187</v>
      </c>
      <c r="C77" s="35" t="s">
        <v>46</v>
      </c>
      <c r="D77" s="34">
        <v>0.13500000000000001</v>
      </c>
      <c r="E77" s="34">
        <v>5.0000000000000001E-3</v>
      </c>
      <c r="F77" s="34">
        <v>-5.0000000000000001E-3</v>
      </c>
      <c r="G77" s="35" t="s">
        <v>99</v>
      </c>
      <c r="H77" s="36"/>
      <c r="I77" s="36"/>
      <c r="J77" s="36"/>
      <c r="K77" s="28" t="str">
        <f t="shared" si="16"/>
        <v xml:space="preserve"> </v>
      </c>
      <c r="L77" s="28" t="str">
        <f t="shared" si="17"/>
        <v xml:space="preserve"> </v>
      </c>
      <c r="M77" s="28" t="str">
        <f t="shared" si="18"/>
        <v xml:space="preserve"> </v>
      </c>
      <c r="N77" s="29" t="str">
        <f t="shared" si="19"/>
        <v xml:space="preserve"> </v>
      </c>
      <c r="O77" s="30" t="str">
        <f t="shared" si="20"/>
        <v xml:space="preserve"> </v>
      </c>
      <c r="P77" s="31" t="str">
        <f t="shared" si="21"/>
        <v xml:space="preserve"> </v>
      </c>
      <c r="Q77" s="29" t="str">
        <f t="shared" si="22"/>
        <v/>
      </c>
      <c r="R77" s="29" t="str">
        <f t="shared" si="15"/>
        <v/>
      </c>
      <c r="S77" s="126"/>
    </row>
    <row r="78" spans="1:19" ht="18" customHeight="1">
      <c r="A78" s="27"/>
      <c r="B78" s="46" t="s">
        <v>188</v>
      </c>
      <c r="C78" s="35" t="s">
        <v>46</v>
      </c>
      <c r="D78" s="34">
        <v>0.13500000000000001</v>
      </c>
      <c r="E78" s="34">
        <v>5.0000000000000001E-3</v>
      </c>
      <c r="F78" s="34">
        <v>-5.0000000000000001E-3</v>
      </c>
      <c r="G78" s="35" t="s">
        <v>99</v>
      </c>
      <c r="H78" s="36"/>
      <c r="I78" s="36"/>
      <c r="J78" s="36"/>
      <c r="K78" s="28" t="str">
        <f t="shared" si="16"/>
        <v xml:space="preserve"> </v>
      </c>
      <c r="L78" s="28" t="str">
        <f t="shared" si="17"/>
        <v xml:space="preserve"> </v>
      </c>
      <c r="M78" s="28" t="str">
        <f t="shared" si="18"/>
        <v xml:space="preserve"> </v>
      </c>
      <c r="N78" s="29" t="str">
        <f t="shared" si="19"/>
        <v xml:space="preserve"> </v>
      </c>
      <c r="O78" s="30" t="str">
        <f t="shared" si="20"/>
        <v xml:space="preserve"> </v>
      </c>
      <c r="P78" s="31" t="str">
        <f t="shared" si="21"/>
        <v xml:space="preserve"> </v>
      </c>
      <c r="Q78" s="29" t="str">
        <f t="shared" si="22"/>
        <v/>
      </c>
      <c r="R78" s="29" t="str">
        <f t="shared" si="15"/>
        <v/>
      </c>
      <c r="S78" s="126"/>
    </row>
    <row r="79" spans="1:19" ht="18" customHeight="1">
      <c r="A79" s="27"/>
      <c r="B79" s="46" t="s">
        <v>189</v>
      </c>
      <c r="C79" s="35" t="s">
        <v>46</v>
      </c>
      <c r="D79" s="34">
        <v>0.13500000000000001</v>
      </c>
      <c r="E79" s="34">
        <v>5.0000000000000001E-3</v>
      </c>
      <c r="F79" s="34">
        <v>-5.0000000000000001E-3</v>
      </c>
      <c r="G79" s="35" t="s">
        <v>99</v>
      </c>
      <c r="H79" s="36"/>
      <c r="I79" s="36"/>
      <c r="J79" s="36"/>
      <c r="K79" s="28" t="str">
        <f t="shared" si="16"/>
        <v xml:space="preserve"> </v>
      </c>
      <c r="L79" s="28" t="str">
        <f t="shared" si="17"/>
        <v xml:space="preserve"> </v>
      </c>
      <c r="M79" s="28" t="str">
        <f t="shared" si="18"/>
        <v xml:space="preserve"> </v>
      </c>
      <c r="N79" s="29" t="str">
        <f t="shared" si="19"/>
        <v xml:space="preserve"> </v>
      </c>
      <c r="O79" s="30" t="str">
        <f t="shared" si="20"/>
        <v xml:space="preserve"> </v>
      </c>
      <c r="P79" s="31" t="str">
        <f t="shared" si="21"/>
        <v xml:space="preserve"> </v>
      </c>
      <c r="Q79" s="29" t="str">
        <f t="shared" si="22"/>
        <v/>
      </c>
      <c r="R79" s="29" t="str">
        <f t="shared" si="15"/>
        <v/>
      </c>
      <c r="S79" s="126"/>
    </row>
    <row r="80" spans="1:19" ht="18" customHeight="1">
      <c r="A80" s="27"/>
      <c r="B80" s="46" t="s">
        <v>190</v>
      </c>
      <c r="C80" s="35" t="s">
        <v>46</v>
      </c>
      <c r="D80" s="34">
        <v>1.2</v>
      </c>
      <c r="E80" s="34">
        <v>0.03</v>
      </c>
      <c r="F80" s="34">
        <v>-0.03</v>
      </c>
      <c r="G80" s="35" t="s">
        <v>49</v>
      </c>
      <c r="H80" s="36"/>
      <c r="I80" s="36"/>
      <c r="J80" s="36"/>
      <c r="K80" s="28" t="str">
        <f t="shared" si="16"/>
        <v xml:space="preserve"> </v>
      </c>
      <c r="L80" s="28" t="str">
        <f t="shared" si="17"/>
        <v xml:space="preserve"> </v>
      </c>
      <c r="M80" s="28" t="str">
        <f t="shared" si="18"/>
        <v xml:space="preserve"> </v>
      </c>
      <c r="N80" s="29" t="str">
        <f t="shared" si="19"/>
        <v xml:space="preserve"> </v>
      </c>
      <c r="O80" s="30" t="str">
        <f t="shared" si="20"/>
        <v xml:space="preserve"> </v>
      </c>
      <c r="P80" s="31" t="str">
        <f t="shared" si="21"/>
        <v xml:space="preserve"> </v>
      </c>
      <c r="Q80" s="29" t="str">
        <f t="shared" si="22"/>
        <v/>
      </c>
      <c r="R80" s="29" t="str">
        <f t="shared" si="15"/>
        <v/>
      </c>
      <c r="S80" s="126"/>
    </row>
    <row r="81" spans="1:19" ht="18" customHeight="1">
      <c r="A81" s="27"/>
      <c r="B81" s="46" t="s">
        <v>191</v>
      </c>
      <c r="C81" s="35" t="s">
        <v>46</v>
      </c>
      <c r="D81" s="34">
        <v>15.414</v>
      </c>
      <c r="E81" s="34">
        <v>0.24399999999999999</v>
      </c>
      <c r="F81" s="34">
        <v>-0.24399999999999999</v>
      </c>
      <c r="G81" s="35" t="s">
        <v>99</v>
      </c>
      <c r="H81" s="36"/>
      <c r="I81" s="36"/>
      <c r="J81" s="36"/>
      <c r="K81" s="28" t="str">
        <f t="shared" si="16"/>
        <v xml:space="preserve"> </v>
      </c>
      <c r="L81" s="28" t="str">
        <f t="shared" si="17"/>
        <v xml:space="preserve"> </v>
      </c>
      <c r="M81" s="28" t="str">
        <f t="shared" si="18"/>
        <v xml:space="preserve"> </v>
      </c>
      <c r="N81" s="29" t="str">
        <f t="shared" si="19"/>
        <v xml:space="preserve"> </v>
      </c>
      <c r="O81" s="30" t="str">
        <f t="shared" si="20"/>
        <v xml:space="preserve"> </v>
      </c>
      <c r="P81" s="31" t="str">
        <f t="shared" si="21"/>
        <v xml:space="preserve"> </v>
      </c>
      <c r="Q81" s="29" t="str">
        <f t="shared" si="22"/>
        <v/>
      </c>
      <c r="R81" s="29" t="str">
        <f t="shared" si="15"/>
        <v/>
      </c>
      <c r="S81" s="126"/>
    </row>
    <row r="82" spans="1:19" ht="18" customHeight="1">
      <c r="A82" s="27"/>
      <c r="B82" s="46" t="s">
        <v>192</v>
      </c>
      <c r="C82" s="35" t="s">
        <v>46</v>
      </c>
      <c r="D82" s="34">
        <v>6.9189999999999996</v>
      </c>
      <c r="E82" s="34">
        <v>0.3</v>
      </c>
      <c r="F82" s="34">
        <v>-0.3</v>
      </c>
      <c r="G82" s="35" t="s">
        <v>99</v>
      </c>
      <c r="H82" s="36"/>
      <c r="I82" s="36"/>
      <c r="J82" s="36"/>
      <c r="K82" s="28" t="str">
        <f t="shared" si="16"/>
        <v xml:space="preserve"> </v>
      </c>
      <c r="L82" s="28" t="str">
        <f t="shared" si="17"/>
        <v xml:space="preserve"> </v>
      </c>
      <c r="M82" s="28" t="str">
        <f t="shared" si="18"/>
        <v xml:space="preserve"> </v>
      </c>
      <c r="N82" s="29" t="str">
        <f t="shared" si="19"/>
        <v xml:space="preserve"> </v>
      </c>
      <c r="O82" s="30" t="str">
        <f t="shared" si="20"/>
        <v xml:space="preserve"> </v>
      </c>
      <c r="P82" s="31" t="str">
        <f t="shared" si="21"/>
        <v xml:space="preserve"> </v>
      </c>
      <c r="Q82" s="29" t="str">
        <f t="shared" si="22"/>
        <v/>
      </c>
      <c r="R82" s="29" t="str">
        <f t="shared" si="15"/>
        <v/>
      </c>
      <c r="S82" s="126"/>
    </row>
    <row r="83" spans="1:19" ht="18" customHeight="1">
      <c r="A83" s="27"/>
      <c r="B83" s="46" t="s">
        <v>193</v>
      </c>
      <c r="C83" s="35" t="s">
        <v>48</v>
      </c>
      <c r="D83" s="34">
        <v>0</v>
      </c>
      <c r="E83" s="34">
        <v>3</v>
      </c>
      <c r="F83" s="34">
        <v>-3</v>
      </c>
      <c r="G83" s="35" t="s">
        <v>49</v>
      </c>
      <c r="H83" s="36"/>
      <c r="I83" s="36"/>
      <c r="J83" s="36"/>
      <c r="K83" s="28" t="str">
        <f t="shared" si="16"/>
        <v xml:space="preserve"> </v>
      </c>
      <c r="L83" s="28" t="str">
        <f t="shared" si="17"/>
        <v xml:space="preserve"> </v>
      </c>
      <c r="M83" s="28" t="str">
        <f t="shared" si="18"/>
        <v xml:space="preserve"> </v>
      </c>
      <c r="N83" s="29" t="str">
        <f t="shared" si="19"/>
        <v xml:space="preserve"> </v>
      </c>
      <c r="O83" s="30" t="str">
        <f t="shared" si="20"/>
        <v xml:space="preserve"> </v>
      </c>
      <c r="P83" s="31" t="str">
        <f t="shared" si="21"/>
        <v xml:space="preserve"> </v>
      </c>
      <c r="Q83" s="29" t="str">
        <f t="shared" si="22"/>
        <v/>
      </c>
      <c r="R83" s="29" t="str">
        <f t="shared" si="15"/>
        <v/>
      </c>
      <c r="S83" s="126"/>
    </row>
  </sheetData>
  <mergeCells count="14"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  <mergeCell ref="N4:N5"/>
    <mergeCell ref="G4:G5"/>
    <mergeCell ref="H4:J4"/>
    <mergeCell ref="K4:M4"/>
  </mergeCells>
  <phoneticPr fontId="9" type="noConversion"/>
  <conditionalFormatting sqref="H6:J83">
    <cfRule type="expression" dxfId="2" priority="1" stopIfTrue="1">
      <formula>AND(($D6+$E6)&lt;&gt;"",H6&lt;&gt;"",H6&gt;($D6+$E6))</formula>
    </cfRule>
    <cfRule type="expression" dxfId="1" priority="2" stopIfTrue="1">
      <formula>AND(($D6+$F6)&lt;&gt;"",H6&lt;&gt;"",H6&lt;($D6+$F6))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A5CA-E251-C049-A2A7-08038324BBE3}">
  <sheetPr codeName="Sheet4"/>
  <dimension ref="A1:BN145"/>
  <sheetViews>
    <sheetView showGridLines="0" zoomScale="85" zoomScaleNormal="85" zoomScalePageLayoutView="125" workbookViewId="0">
      <pane xSplit="12" ySplit="1" topLeftCell="M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C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2" width="0.77734375" style="15" customWidth="1"/>
    <col min="13" max="16" width="7.77734375" style="15" customWidth="1"/>
    <col min="17" max="22" width="7.77734375" style="15" hidden="1" customWidth="1"/>
    <col min="23" max="23" width="7.77734375" style="15" customWidth="1"/>
    <col min="24" max="24" width="10" style="15" hidden="1" customWidth="1"/>
    <col min="25" max="27" width="9.44140625" style="15" hidden="1" customWidth="1"/>
    <col min="28" max="28" width="7.77734375" style="15" customWidth="1"/>
    <col min="29" max="29" width="9" style="15" customWidth="1"/>
    <col min="30" max="30" width="8.6640625" style="15" customWidth="1"/>
    <col min="31" max="32" width="9" style="15" hidden="1" customWidth="1"/>
    <col min="33" max="33" width="7.5546875" style="15" hidden="1" customWidth="1"/>
    <col min="34" max="34" width="0.77734375" style="15" customWidth="1"/>
    <col min="35" max="66" width="7.77734375" style="15" customWidth="1"/>
    <col min="67" max="16384" width="8.77734375" style="15"/>
  </cols>
  <sheetData>
    <row r="1" spans="1:66" s="47" customFormat="1" ht="22.15" customHeight="1">
      <c r="A1" s="136" t="s">
        <v>52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20"/>
      <c r="AE1" s="20"/>
      <c r="AF1" s="20"/>
      <c r="AG1" s="20"/>
      <c r="AH1" s="20"/>
    </row>
    <row r="2" spans="1:66" s="47" customFormat="1" ht="9" customHeight="1">
      <c r="B2" s="48"/>
      <c r="C2" s="48"/>
      <c r="D2" s="48"/>
      <c r="E2" s="48"/>
      <c r="F2" s="48"/>
      <c r="G2" s="48"/>
      <c r="H2" s="48"/>
      <c r="I2" s="48"/>
      <c r="J2" s="48"/>
      <c r="K2" s="48"/>
      <c r="M2" s="48"/>
      <c r="N2" s="48"/>
      <c r="O2" s="48"/>
      <c r="P2" s="48"/>
      <c r="Q2" s="48" t="s">
        <v>53</v>
      </c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I2" s="49"/>
    </row>
    <row r="3" spans="1:66" s="21" customFormat="1" ht="15" customHeight="1">
      <c r="A3" s="50"/>
      <c r="B3" s="139" t="s">
        <v>54</v>
      </c>
      <c r="C3" s="138"/>
      <c r="D3" s="138"/>
      <c r="E3" s="138"/>
      <c r="F3" s="138"/>
      <c r="G3" s="138"/>
      <c r="H3" s="138"/>
      <c r="I3" s="138"/>
      <c r="J3" s="138"/>
      <c r="K3" s="140"/>
      <c r="L3" s="51"/>
      <c r="M3" s="139" t="s">
        <v>55</v>
      </c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40"/>
      <c r="AD3" s="52"/>
      <c r="AE3" s="155" t="s">
        <v>56</v>
      </c>
      <c r="AF3" s="155"/>
      <c r="AG3" s="155"/>
      <c r="AH3" s="53"/>
      <c r="AI3" s="149" t="s">
        <v>57</v>
      </c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1"/>
    </row>
    <row r="4" spans="1:66" s="21" customFormat="1" ht="25.15" customHeight="1">
      <c r="A4" s="50"/>
      <c r="B4" s="54"/>
      <c r="C4" s="54"/>
      <c r="D4" s="54"/>
      <c r="E4" s="55"/>
      <c r="F4" s="56" t="s">
        <v>58</v>
      </c>
      <c r="G4" s="56" t="s">
        <v>59</v>
      </c>
      <c r="H4" s="57"/>
      <c r="I4" s="57"/>
      <c r="J4" s="58"/>
      <c r="K4" s="58"/>
      <c r="L4" s="50"/>
      <c r="M4" s="59"/>
      <c r="N4" s="59"/>
      <c r="O4" s="60"/>
      <c r="P4" s="59"/>
      <c r="Q4" s="61"/>
      <c r="R4" s="61"/>
      <c r="S4" s="61"/>
      <c r="T4" s="61"/>
      <c r="U4" s="61"/>
      <c r="V4" s="61"/>
      <c r="W4" s="61"/>
      <c r="X4" s="156" t="s">
        <v>60</v>
      </c>
      <c r="Y4" s="157"/>
      <c r="Z4" s="62" t="s">
        <v>61</v>
      </c>
      <c r="AA4" s="63">
        <v>1.5</v>
      </c>
      <c r="AB4" s="64"/>
      <c r="AC4" s="64"/>
      <c r="AD4" s="51"/>
      <c r="AE4" s="53"/>
      <c r="AF4" s="53"/>
      <c r="AG4" s="65"/>
      <c r="AH4" s="66"/>
      <c r="AI4" s="152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4"/>
    </row>
    <row r="5" spans="1:66" s="81" customFormat="1" ht="24">
      <c r="A5" s="67"/>
      <c r="B5" s="68" t="s">
        <v>62</v>
      </c>
      <c r="C5" s="68" t="s">
        <v>30</v>
      </c>
      <c r="D5" s="68" t="s">
        <v>63</v>
      </c>
      <c r="E5" s="69" t="s">
        <v>32</v>
      </c>
      <c r="F5" s="70" t="s">
        <v>64</v>
      </c>
      <c r="G5" s="70" t="s">
        <v>65</v>
      </c>
      <c r="H5" s="71" t="s">
        <v>35</v>
      </c>
      <c r="I5" s="71" t="s">
        <v>66</v>
      </c>
      <c r="J5" s="72" t="s">
        <v>67</v>
      </c>
      <c r="K5" s="72" t="s">
        <v>68</v>
      </c>
      <c r="L5" s="67"/>
      <c r="M5" s="73" t="s">
        <v>69</v>
      </c>
      <c r="N5" s="73" t="s">
        <v>70</v>
      </c>
      <c r="O5" s="74" t="s">
        <v>38</v>
      </c>
      <c r="P5" s="73" t="s">
        <v>71</v>
      </c>
      <c r="Q5" s="75" t="s">
        <v>72</v>
      </c>
      <c r="R5" s="75" t="s">
        <v>73</v>
      </c>
      <c r="S5" s="75" t="s">
        <v>74</v>
      </c>
      <c r="T5" s="75" t="s">
        <v>75</v>
      </c>
      <c r="U5" s="75" t="s">
        <v>76</v>
      </c>
      <c r="V5" s="75" t="s">
        <v>77</v>
      </c>
      <c r="W5" s="75" t="s">
        <v>78</v>
      </c>
      <c r="X5" s="76" t="s">
        <v>79</v>
      </c>
      <c r="Y5" s="76" t="s">
        <v>80</v>
      </c>
      <c r="Z5" s="76" t="s">
        <v>81</v>
      </c>
      <c r="AA5" s="77" t="s">
        <v>82</v>
      </c>
      <c r="AB5" s="78" t="s">
        <v>83</v>
      </c>
      <c r="AC5" s="78" t="s">
        <v>84</v>
      </c>
      <c r="AD5" s="78" t="s">
        <v>85</v>
      </c>
      <c r="AE5" s="53"/>
      <c r="AF5" s="53"/>
      <c r="AG5" s="65"/>
      <c r="AH5" s="79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</row>
    <row r="6" spans="1:66" ht="19.149999999999999" customHeight="1">
      <c r="B6" s="82" t="s">
        <v>86</v>
      </c>
      <c r="C6" s="46" t="s">
        <v>194</v>
      </c>
      <c r="D6" s="83" t="s">
        <v>45</v>
      </c>
      <c r="E6" s="84"/>
      <c r="F6" s="85">
        <v>7.0000000000000007E-2</v>
      </c>
      <c r="G6" s="85"/>
      <c r="H6" s="86" t="s">
        <v>49</v>
      </c>
      <c r="I6" s="87" t="s">
        <v>87</v>
      </c>
      <c r="J6" s="88">
        <v>7.0000000000000007E-2</v>
      </c>
      <c r="K6" s="88">
        <v>0</v>
      </c>
      <c r="L6" s="89"/>
      <c r="M6" s="90">
        <f t="shared" ref="M6:M37" si="0">IF(OR($AI6=ISBLANK(TRUE),ISNUMBER($AI6)=FALSE),,MAX(AI6:BN6))</f>
        <v>0</v>
      </c>
      <c r="N6" s="90">
        <f t="shared" ref="N6:N37" si="1">IF(OR($AI6=ISBLANK(TRUE),ISNUMBER($AI6)=FALSE),,MIN(AI6:BN6))</f>
        <v>0</v>
      </c>
      <c r="O6" s="90">
        <f t="shared" ref="O6:O37" si="2">IF(OR($AI6=ISBLANK(TRUE),ISNUMBER($AI6)=FALSE),,AVERAGE(AI6:BN6))</f>
        <v>0</v>
      </c>
      <c r="P6" s="91">
        <f t="shared" ref="P6:P37" si="3">IF(OR($AI6=ISBLANK(TRUE),ISNUMBER($AI6)=FALSE),,STDEV(AI6:BN6))</f>
        <v>0</v>
      </c>
      <c r="Q6" s="92" t="str">
        <f t="shared" ref="Q6:Q37" si="4">IF(OR($AI6="",ISNUMBER($AI6)=FALSE),"",IF(AND(E6=0,G6=0),T6,IF(AND(E6="",F6=""),U6,(F6+ABS(G6))/(6*P6))))</f>
        <v/>
      </c>
      <c r="R6" s="93" t="str">
        <f>IF(OR($AI6="",ISNUMBER($AI6)=FALSE),"",IF(AND(#REF!="Tolerance",$E6&lt;&gt;""),($O6-$E6)/(($J6-$K6)/2),IF(AND(#REF!="GD&amp;T",$F6&lt;&gt;""),$O6/$F6,"")))</f>
        <v/>
      </c>
      <c r="S6" s="93" t="str">
        <f>IF($R6="","",IF(ABS($R6)&lt;=0.125, "Level A",IF(AND(ABS($R6)&gt;0.125,ABS($R6)&lt;=0.25), "Level B",IF(AND(ABS($R6)&gt;0.25,ABS($R6)&lt;=0.5), "Level C", IF(ABS($R6)&gt;0.5, "Level D")))))</f>
        <v/>
      </c>
      <c r="T6" s="92" t="str">
        <f t="shared" ref="T6:T37" si="5">IF(OR($AI6="",ISNUMBER($AI6)=FALSE),"",IF(F6="","",(J6-O6)/(3*P6)))</f>
        <v/>
      </c>
      <c r="U6" s="92" t="str">
        <f t="shared" ref="U6:U37" si="6">IF(OR($AI6="",ISNUMBER($AI6)=FALSE),"",IF(G6="","",(O6-K6)/(3*P6)))</f>
        <v/>
      </c>
      <c r="V6" s="92" t="str">
        <f t="shared" ref="V6:V37" si="7">IF(OR($AI6="",ISNUMBER($AI6)=FALSE),"",IF(AND(E6=0,G6=0),((F6)-(O6))/(3*P6),MIN(T6:U6)))</f>
        <v/>
      </c>
      <c r="W6" s="38" t="str">
        <f t="shared" ref="W6:W37" si="8">IF(OR($AI6="",ISNUMBER($AI6)=FALSE),"",IF(AND(E6=0,G6=0),NORMSDIST(3*V6),NORMSDIST(3*V6)+NORMSDIST(6*Q6-3*V6)-1))</f>
        <v/>
      </c>
      <c r="X6" s="39" t="e">
        <f>IF($O6="","",IF(#REF!="Tolerance",IF((#REF!*3*P6+O6)-E6&lt;F6,"",(#REF!*3*P6+O6)-E6),IF(OR(#REF!="GD&amp;T",#REF!="MAX"),IF((#REF!*3*P6+O6)&lt;F6,"",(#REF!*3*P6+O6)),"")))</f>
        <v>#REF!</v>
      </c>
      <c r="Y6" s="39" t="e">
        <f>IF(O6="","",IF(#REF!="Tolerance",IF(-((#REF!*3*P6)-O6)-E6&gt;G6,"",-((#REF!*3*P6)-O6)-E6),IF(#REF!="MIN",IF(-((#REF!*3*P6)-O6)&gt;G6,"",-((#REF!*3*P6)-O6)),"")))</f>
        <v>#REF!</v>
      </c>
      <c r="Z6" s="39" t="str">
        <f t="shared" ref="Z6:Z24" si="9">IF(OR(E6="",O6=""),"",(J6+K6)/2-O6)</f>
        <v/>
      </c>
      <c r="AA6" s="39" t="str">
        <f t="shared" ref="AA6:AA37" si="10">IF(OR($Q6&gt;$AA$4,$P6=""),"",$AA$4*6*$P6)</f>
        <v/>
      </c>
      <c r="AB6" s="94"/>
      <c r="AC6" s="95" t="str">
        <f>IF(AB6="","",IF(AB6&gt;=0.966,"Normal","Not Normal"))</f>
        <v/>
      </c>
      <c r="AD6" s="125"/>
      <c r="AE6" s="96"/>
      <c r="AF6" s="96"/>
      <c r="AG6" s="97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4"/>
      <c r="BK6" s="114"/>
      <c r="BL6" s="114"/>
      <c r="BM6" s="114"/>
      <c r="BN6" s="114"/>
    </row>
    <row r="7" spans="1:66" ht="19.149999999999999" customHeight="1">
      <c r="B7" s="82" t="s">
        <v>88</v>
      </c>
      <c r="C7" s="46" t="s">
        <v>195</v>
      </c>
      <c r="D7" s="83" t="s">
        <v>46</v>
      </c>
      <c r="E7" s="84">
        <v>2.0649999999999999</v>
      </c>
      <c r="F7" s="85">
        <v>0.04</v>
      </c>
      <c r="G7" s="85">
        <v>-0.02</v>
      </c>
      <c r="H7" s="86" t="s">
        <v>49</v>
      </c>
      <c r="I7" s="87" t="s">
        <v>87</v>
      </c>
      <c r="J7" s="88">
        <v>2.105</v>
      </c>
      <c r="K7" s="88">
        <v>2.0449999999999999</v>
      </c>
      <c r="L7" s="89"/>
      <c r="M7" s="90">
        <f t="shared" si="0"/>
        <v>0</v>
      </c>
      <c r="N7" s="90">
        <f t="shared" si="1"/>
        <v>0</v>
      </c>
      <c r="O7" s="90">
        <f t="shared" si="2"/>
        <v>0</v>
      </c>
      <c r="P7" s="91">
        <f t="shared" si="3"/>
        <v>0</v>
      </c>
      <c r="Q7" s="92" t="str">
        <f t="shared" si="4"/>
        <v/>
      </c>
      <c r="R7" s="93" t="str">
        <f>IF(OR($AI7="",ISNUMBER($AI7)=FALSE),"",IF(AND(#REF!="Tolerance",$E7&lt;&gt;""),($O7-$E7)/(($J7-$K7)/2),IF(AND(#REF!="GD&amp;T",$F7&lt;&gt;""),$O7/$F7,"")))</f>
        <v/>
      </c>
      <c r="S7" s="93" t="str">
        <f t="shared" ref="S7:S37" si="11">IF($R7="","",IF(ABS($R7)&lt;=0.125, "Level A",IF(AND(ABS($R7)&gt;0.125,ABS($R7)&lt;=0.25), "Level B",IF(AND(ABS($R7)&gt;0.25,ABS($R7)&lt;=0.5), "Level C", IF(ABS($R7)&gt;0.5, "Level D")))))</f>
        <v/>
      </c>
      <c r="T7" s="92" t="str">
        <f t="shared" si="5"/>
        <v/>
      </c>
      <c r="U7" s="92" t="str">
        <f t="shared" si="6"/>
        <v/>
      </c>
      <c r="V7" s="92" t="str">
        <f t="shared" si="7"/>
        <v/>
      </c>
      <c r="W7" s="38" t="str">
        <f t="shared" si="8"/>
        <v/>
      </c>
      <c r="X7" s="39" t="e">
        <f>IF($O7="","",IF(#REF!="Tolerance",IF((#REF!*3*P7+O7)-E7&lt;F7,"",(#REF!*3*P7+O7)-E7),IF(OR(#REF!="GD&amp;T",#REF!="MAX"),IF((#REF!*3*P7+O7)&lt;F7,"",(#REF!*3*P7+O7)),"")))</f>
        <v>#REF!</v>
      </c>
      <c r="Y7" s="39" t="e">
        <f>IF(O7="","",IF(#REF!="Tolerance",IF(-((#REF!*3*P7)-O7)-E7&gt;G7,"",-((#REF!*3*P7)-O7)-E7),IF(#REF!="MIN",IF(-((#REF!*3*P7)-O7)&gt;G7,"",-((#REF!*3*P7)-O7)),"")))</f>
        <v>#REF!</v>
      </c>
      <c r="Z7" s="39">
        <f t="shared" si="9"/>
        <v>2.0750000000000002</v>
      </c>
      <c r="AA7" s="39" t="str">
        <f t="shared" si="10"/>
        <v/>
      </c>
      <c r="AB7" s="94"/>
      <c r="AC7" s="95" t="str">
        <f t="shared" ref="AC7:AC37" si="12">IF(AB7="","",IF(AB7&gt;=0.966,"Normal","Not Normal"))</f>
        <v/>
      </c>
      <c r="AD7" s="125"/>
      <c r="AE7" s="96"/>
      <c r="AF7" s="96"/>
      <c r="AG7" s="97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4"/>
      <c r="BM7" s="114"/>
      <c r="BN7" s="114"/>
    </row>
    <row r="8" spans="1:66" ht="19.149999999999999" customHeight="1">
      <c r="B8" s="82" t="s">
        <v>88</v>
      </c>
      <c r="C8" s="46" t="s">
        <v>196</v>
      </c>
      <c r="D8" s="83" t="s">
        <v>46</v>
      </c>
      <c r="E8" s="84">
        <v>2.0649999999999999</v>
      </c>
      <c r="F8" s="85">
        <v>0.04</v>
      </c>
      <c r="G8" s="85">
        <v>-0.02</v>
      </c>
      <c r="H8" s="86" t="s">
        <v>49</v>
      </c>
      <c r="I8" s="87" t="s">
        <v>87</v>
      </c>
      <c r="J8" s="88">
        <v>2.105</v>
      </c>
      <c r="K8" s="88">
        <v>2.0449999999999999</v>
      </c>
      <c r="L8" s="89"/>
      <c r="M8" s="90">
        <f t="shared" si="0"/>
        <v>0</v>
      </c>
      <c r="N8" s="90">
        <f t="shared" si="1"/>
        <v>0</v>
      </c>
      <c r="O8" s="90">
        <f t="shared" si="2"/>
        <v>0</v>
      </c>
      <c r="P8" s="91">
        <f t="shared" si="3"/>
        <v>0</v>
      </c>
      <c r="Q8" s="92" t="str">
        <f t="shared" si="4"/>
        <v/>
      </c>
      <c r="R8" s="93" t="str">
        <f>IF(OR($AI8="",ISNUMBER($AI8)=FALSE),"",IF(AND(#REF!="Tolerance",$E8&lt;&gt;""),($O8-$E8)/(($J8-$K8)/2),IF(AND(#REF!="GD&amp;T",$F8&lt;&gt;""),$O8/$F8,"")))</f>
        <v/>
      </c>
      <c r="S8" s="93" t="str">
        <f t="shared" si="11"/>
        <v/>
      </c>
      <c r="T8" s="92" t="str">
        <f t="shared" si="5"/>
        <v/>
      </c>
      <c r="U8" s="92" t="str">
        <f t="shared" si="6"/>
        <v/>
      </c>
      <c r="V8" s="92" t="str">
        <f t="shared" si="7"/>
        <v/>
      </c>
      <c r="W8" s="38" t="str">
        <f t="shared" si="8"/>
        <v/>
      </c>
      <c r="X8" s="39" t="e">
        <f>IF($O8="","",IF(#REF!="Tolerance",IF((#REF!*3*P8+O8)-E8&lt;F8,"",(#REF!*3*P8+O8)-E8),IF(OR(#REF!="GD&amp;T",#REF!="MAX"),IF((#REF!*3*P8+O8)&lt;F8,"",(#REF!*3*P8+O8)),"")))</f>
        <v>#REF!</v>
      </c>
      <c r="Y8" s="39" t="e">
        <f>IF(O8="","",IF(#REF!="Tolerance",IF(-((#REF!*3*P8)-O8)-E8&gt;G8,"",-((#REF!*3*P8)-O8)-E8),IF(#REF!="MIN",IF(-((#REF!*3*P8)-O8)&gt;G8,"",-((#REF!*3*P8)-O8)),"")))</f>
        <v>#REF!</v>
      </c>
      <c r="Z8" s="39">
        <f t="shared" si="9"/>
        <v>2.0750000000000002</v>
      </c>
      <c r="AA8" s="39" t="str">
        <f t="shared" si="10"/>
        <v/>
      </c>
      <c r="AB8" s="94"/>
      <c r="AC8" s="95" t="str">
        <f t="shared" si="12"/>
        <v/>
      </c>
      <c r="AD8" s="125"/>
      <c r="AE8" s="96"/>
      <c r="AF8" s="96"/>
      <c r="AG8" s="97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114"/>
      <c r="BN8" s="114"/>
    </row>
    <row r="9" spans="1:66" ht="19.149999999999999" customHeight="1">
      <c r="B9" s="82" t="s">
        <v>88</v>
      </c>
      <c r="C9" s="46" t="s">
        <v>197</v>
      </c>
      <c r="D9" s="83" t="s">
        <v>46</v>
      </c>
      <c r="E9" s="84">
        <v>2.0649999999999999</v>
      </c>
      <c r="F9" s="85">
        <v>0.04</v>
      </c>
      <c r="G9" s="85">
        <v>-0.02</v>
      </c>
      <c r="H9" s="86" t="s">
        <v>49</v>
      </c>
      <c r="I9" s="87" t="s">
        <v>87</v>
      </c>
      <c r="J9" s="88">
        <v>2.105</v>
      </c>
      <c r="K9" s="88">
        <v>2.0449999999999999</v>
      </c>
      <c r="L9" s="89"/>
      <c r="M9" s="90">
        <f t="shared" si="0"/>
        <v>0</v>
      </c>
      <c r="N9" s="90">
        <f t="shared" si="1"/>
        <v>0</v>
      </c>
      <c r="O9" s="90">
        <f t="shared" si="2"/>
        <v>0</v>
      </c>
      <c r="P9" s="91">
        <f t="shared" si="3"/>
        <v>0</v>
      </c>
      <c r="Q9" s="92" t="str">
        <f t="shared" si="4"/>
        <v/>
      </c>
      <c r="R9" s="93" t="str">
        <f>IF(OR($AI9="",ISNUMBER($AI9)=FALSE),"",IF(AND(#REF!="Tolerance",$E9&lt;&gt;""),($O9-$E9)/(($J9-$K9)/2),IF(AND(#REF!="GD&amp;T",$F9&lt;&gt;""),$O9/$F9,"")))</f>
        <v/>
      </c>
      <c r="S9" s="93" t="str">
        <f t="shared" si="11"/>
        <v/>
      </c>
      <c r="T9" s="92" t="str">
        <f t="shared" si="5"/>
        <v/>
      </c>
      <c r="U9" s="92" t="str">
        <f t="shared" si="6"/>
        <v/>
      </c>
      <c r="V9" s="92" t="str">
        <f t="shared" si="7"/>
        <v/>
      </c>
      <c r="W9" s="38" t="str">
        <f t="shared" si="8"/>
        <v/>
      </c>
      <c r="X9" s="39" t="e">
        <f>IF($O9="","",IF(#REF!="Tolerance",IF((#REF!*3*P9+O9)-E9&lt;F9,"",(#REF!*3*P9+O9)-E9),IF(OR(#REF!="GD&amp;T",#REF!="MAX"),IF((#REF!*3*P9+O9)&lt;F9,"",(#REF!*3*P9+O9)),"")))</f>
        <v>#REF!</v>
      </c>
      <c r="Y9" s="39" t="e">
        <f>IF(O9="","",IF(#REF!="Tolerance",IF(-((#REF!*3*P9)-O9)-E9&gt;G9,"",-((#REF!*3*P9)-O9)-E9),IF(#REF!="MIN",IF(-((#REF!*3*P9)-O9)&gt;G9,"",-((#REF!*3*P9)-O9)),"")))</f>
        <v>#REF!</v>
      </c>
      <c r="Z9" s="39">
        <f t="shared" si="9"/>
        <v>2.0750000000000002</v>
      </c>
      <c r="AA9" s="39" t="str">
        <f t="shared" si="10"/>
        <v/>
      </c>
      <c r="AB9" s="94"/>
      <c r="AC9" s="95" t="str">
        <f t="shared" si="12"/>
        <v/>
      </c>
      <c r="AD9" s="125"/>
      <c r="AE9" s="96"/>
      <c r="AF9" s="96"/>
      <c r="AG9" s="97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4"/>
      <c r="BM9" s="114"/>
      <c r="BN9" s="114"/>
    </row>
    <row r="10" spans="1:66" ht="19.149999999999999" customHeight="1">
      <c r="B10" s="82" t="s">
        <v>88</v>
      </c>
      <c r="C10" s="46" t="s">
        <v>198</v>
      </c>
      <c r="D10" s="83" t="s">
        <v>46</v>
      </c>
      <c r="E10" s="84">
        <v>2.0649999999999999</v>
      </c>
      <c r="F10" s="85">
        <v>0.04</v>
      </c>
      <c r="G10" s="85">
        <v>-0.02</v>
      </c>
      <c r="H10" s="86" t="s">
        <v>49</v>
      </c>
      <c r="I10" s="87" t="s">
        <v>87</v>
      </c>
      <c r="J10" s="88">
        <v>2.105</v>
      </c>
      <c r="K10" s="88">
        <v>2.0449999999999999</v>
      </c>
      <c r="L10" s="89"/>
      <c r="M10" s="90">
        <f t="shared" si="0"/>
        <v>0</v>
      </c>
      <c r="N10" s="90">
        <f t="shared" si="1"/>
        <v>0</v>
      </c>
      <c r="O10" s="90">
        <f t="shared" si="2"/>
        <v>0</v>
      </c>
      <c r="P10" s="91">
        <f t="shared" si="3"/>
        <v>0</v>
      </c>
      <c r="Q10" s="92" t="str">
        <f t="shared" si="4"/>
        <v/>
      </c>
      <c r="R10" s="93" t="str">
        <f>IF(OR($AI10="",ISNUMBER($AI10)=FALSE),"",IF(AND(#REF!="Tolerance",$E10&lt;&gt;""),($O10-$E10)/(($J10-$K10)/2),IF(AND(#REF!="GD&amp;T",$F10&lt;&gt;""),$O10/$F10,"")))</f>
        <v/>
      </c>
      <c r="S10" s="93" t="str">
        <f t="shared" si="11"/>
        <v/>
      </c>
      <c r="T10" s="92" t="str">
        <f t="shared" si="5"/>
        <v/>
      </c>
      <c r="U10" s="92" t="str">
        <f t="shared" si="6"/>
        <v/>
      </c>
      <c r="V10" s="92" t="str">
        <f t="shared" si="7"/>
        <v/>
      </c>
      <c r="W10" s="38" t="str">
        <f t="shared" si="8"/>
        <v/>
      </c>
      <c r="X10" s="39" t="e">
        <f>IF($O10="","",IF(#REF!="Tolerance",IF((#REF!*3*P10+O10)-E10&lt;F10,"",(#REF!*3*P10+O10)-E10),IF(OR(#REF!="GD&amp;T",#REF!="MAX"),IF((#REF!*3*P10+O10)&lt;F10,"",(#REF!*3*P10+O10)),"")))</f>
        <v>#REF!</v>
      </c>
      <c r="Y10" s="39" t="e">
        <f>IF(O10="","",IF(#REF!="Tolerance",IF(-((#REF!*3*P10)-O10)-E10&gt;G10,"",-((#REF!*3*P10)-O10)-E10),IF(#REF!="MIN",IF(-((#REF!*3*P10)-O10)&gt;G10,"",-((#REF!*3*P10)-O10)),"")))</f>
        <v>#REF!</v>
      </c>
      <c r="Z10" s="39">
        <f t="shared" si="9"/>
        <v>2.0750000000000002</v>
      </c>
      <c r="AA10" s="39" t="str">
        <f t="shared" si="10"/>
        <v/>
      </c>
      <c r="AB10" s="94"/>
      <c r="AC10" s="95" t="str">
        <f t="shared" si="12"/>
        <v/>
      </c>
      <c r="AD10" s="125"/>
      <c r="AE10" s="96"/>
      <c r="AF10" s="96"/>
      <c r="AG10" s="97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</row>
    <row r="11" spans="1:66" ht="19.149999999999999" customHeight="1">
      <c r="B11" s="82" t="s">
        <v>89</v>
      </c>
      <c r="C11" s="46" t="s">
        <v>199</v>
      </c>
      <c r="D11" s="83" t="s">
        <v>47</v>
      </c>
      <c r="E11" s="84">
        <v>0.3</v>
      </c>
      <c r="F11" s="85">
        <v>0.03</v>
      </c>
      <c r="G11" s="85">
        <v>-0.03</v>
      </c>
      <c r="H11" s="86" t="s">
        <v>49</v>
      </c>
      <c r="I11" s="87" t="s">
        <v>87</v>
      </c>
      <c r="J11" s="88">
        <v>0.32999999999999996</v>
      </c>
      <c r="K11" s="88">
        <v>0.27</v>
      </c>
      <c r="L11" s="89"/>
      <c r="M11" s="90">
        <f t="shared" si="0"/>
        <v>0</v>
      </c>
      <c r="N11" s="90">
        <f t="shared" si="1"/>
        <v>0</v>
      </c>
      <c r="O11" s="90">
        <f t="shared" si="2"/>
        <v>0</v>
      </c>
      <c r="P11" s="91">
        <f t="shared" si="3"/>
        <v>0</v>
      </c>
      <c r="Q11" s="92" t="str">
        <f t="shared" si="4"/>
        <v/>
      </c>
      <c r="R11" s="93" t="str">
        <f>IF(OR($AI11="",ISNUMBER($AI11)=FALSE),"",IF(AND(#REF!="Tolerance",$E11&lt;&gt;""),($O11-$E11)/(($J11-$K11)/2),IF(AND(#REF!="GD&amp;T",$F11&lt;&gt;""),$O11/$F11,"")))</f>
        <v/>
      </c>
      <c r="S11" s="93" t="str">
        <f t="shared" si="11"/>
        <v/>
      </c>
      <c r="T11" s="92" t="str">
        <f t="shared" si="5"/>
        <v/>
      </c>
      <c r="U11" s="92" t="str">
        <f t="shared" si="6"/>
        <v/>
      </c>
      <c r="V11" s="92" t="str">
        <f t="shared" si="7"/>
        <v/>
      </c>
      <c r="W11" s="38" t="str">
        <f t="shared" si="8"/>
        <v/>
      </c>
      <c r="X11" s="39" t="e">
        <f>IF($O11="","",IF(#REF!="Tolerance",IF((#REF!*3*P11+O11)-E11&lt;F11,"",(#REF!*3*P11+O11)-E11),IF(OR(#REF!="GD&amp;T",#REF!="MAX"),IF((#REF!*3*P11+O11)&lt;F11,"",(#REF!*3*P11+O11)),"")))</f>
        <v>#REF!</v>
      </c>
      <c r="Y11" s="39" t="e">
        <f>IF(O11="","",IF(#REF!="Tolerance",IF(-((#REF!*3*P11)-O11)-E11&gt;G11,"",-((#REF!*3*P11)-O11)-E11),IF(#REF!="MIN",IF(-((#REF!*3*P11)-O11)&gt;G11,"",-((#REF!*3*P11)-O11)),"")))</f>
        <v>#REF!</v>
      </c>
      <c r="Z11" s="39">
        <f t="shared" si="9"/>
        <v>0.3</v>
      </c>
      <c r="AA11" s="39" t="str">
        <f t="shared" si="10"/>
        <v/>
      </c>
      <c r="AB11" s="94"/>
      <c r="AC11" s="95" t="str">
        <f t="shared" si="12"/>
        <v/>
      </c>
      <c r="AD11" s="125"/>
      <c r="AE11" s="96"/>
      <c r="AF11" s="96"/>
      <c r="AG11" s="97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</row>
    <row r="12" spans="1:66" ht="19.149999999999999" customHeight="1">
      <c r="B12" s="82" t="s">
        <v>89</v>
      </c>
      <c r="C12" s="46" t="s">
        <v>200</v>
      </c>
      <c r="D12" s="83" t="s">
        <v>47</v>
      </c>
      <c r="E12" s="84">
        <v>0.3</v>
      </c>
      <c r="F12" s="85">
        <v>0.03</v>
      </c>
      <c r="G12" s="85">
        <v>-0.03</v>
      </c>
      <c r="H12" s="86" t="s">
        <v>49</v>
      </c>
      <c r="I12" s="87" t="s">
        <v>87</v>
      </c>
      <c r="J12" s="88">
        <v>0.32999999999999996</v>
      </c>
      <c r="K12" s="88">
        <v>0.27</v>
      </c>
      <c r="L12" s="89"/>
      <c r="M12" s="90">
        <f t="shared" si="0"/>
        <v>0</v>
      </c>
      <c r="N12" s="90">
        <f t="shared" si="1"/>
        <v>0</v>
      </c>
      <c r="O12" s="90">
        <f t="shared" si="2"/>
        <v>0</v>
      </c>
      <c r="P12" s="91">
        <f t="shared" si="3"/>
        <v>0</v>
      </c>
      <c r="Q12" s="92" t="str">
        <f t="shared" si="4"/>
        <v/>
      </c>
      <c r="R12" s="93" t="str">
        <f>IF(OR($AI12="",ISNUMBER($AI12)=FALSE),"",IF(AND(#REF!="Tolerance",$E12&lt;&gt;""),($O12-$E12)/(($J12-$K12)/2),IF(AND(#REF!="GD&amp;T",$F12&lt;&gt;""),$O12/$F12,"")))</f>
        <v/>
      </c>
      <c r="S12" s="93" t="str">
        <f t="shared" si="11"/>
        <v/>
      </c>
      <c r="T12" s="92" t="str">
        <f t="shared" si="5"/>
        <v/>
      </c>
      <c r="U12" s="92" t="str">
        <f t="shared" si="6"/>
        <v/>
      </c>
      <c r="V12" s="92" t="str">
        <f t="shared" si="7"/>
        <v/>
      </c>
      <c r="W12" s="38" t="str">
        <f t="shared" si="8"/>
        <v/>
      </c>
      <c r="X12" s="39" t="e">
        <f>IF($O12="","",IF(#REF!="Tolerance",IF((#REF!*3*P12+O12)-E12&lt;F12,"",(#REF!*3*P12+O12)-E12),IF(OR(#REF!="GD&amp;T",#REF!="MAX"),IF((#REF!*3*P12+O12)&lt;F12,"",(#REF!*3*P12+O12)),"")))</f>
        <v>#REF!</v>
      </c>
      <c r="Y12" s="39" t="e">
        <f>IF(O12="","",IF(#REF!="Tolerance",IF(-((#REF!*3*P12)-O12)-E12&gt;G12,"",-((#REF!*3*P12)-O12)-E12),IF(#REF!="MIN",IF(-((#REF!*3*P12)-O12)&gt;G12,"",-((#REF!*3*P12)-O12)),"")))</f>
        <v>#REF!</v>
      </c>
      <c r="Z12" s="39">
        <f t="shared" si="9"/>
        <v>0.3</v>
      </c>
      <c r="AA12" s="39" t="str">
        <f t="shared" si="10"/>
        <v/>
      </c>
      <c r="AB12" s="94"/>
      <c r="AC12" s="95" t="str">
        <f t="shared" si="12"/>
        <v/>
      </c>
      <c r="AD12" s="125"/>
      <c r="AE12" s="96"/>
      <c r="AF12" s="96"/>
      <c r="AG12" s="97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</row>
    <row r="13" spans="1:66" ht="19.149999999999999" customHeight="1">
      <c r="B13" s="82" t="s">
        <v>90</v>
      </c>
      <c r="C13" s="46" t="s">
        <v>201</v>
      </c>
      <c r="D13" s="83" t="s">
        <v>47</v>
      </c>
      <c r="E13" s="84">
        <v>0.32</v>
      </c>
      <c r="F13" s="85">
        <v>0.03</v>
      </c>
      <c r="G13" s="85">
        <v>-0.03</v>
      </c>
      <c r="H13" s="86" t="s">
        <v>49</v>
      </c>
      <c r="I13" s="87" t="s">
        <v>87</v>
      </c>
      <c r="J13" s="88">
        <v>0.35</v>
      </c>
      <c r="K13" s="88">
        <v>0.29000000000000004</v>
      </c>
      <c r="L13" s="89"/>
      <c r="M13" s="90">
        <f t="shared" si="0"/>
        <v>0</v>
      </c>
      <c r="N13" s="90">
        <f t="shared" si="1"/>
        <v>0</v>
      </c>
      <c r="O13" s="90">
        <f t="shared" si="2"/>
        <v>0</v>
      </c>
      <c r="P13" s="91">
        <f t="shared" si="3"/>
        <v>0</v>
      </c>
      <c r="Q13" s="92" t="str">
        <f t="shared" si="4"/>
        <v/>
      </c>
      <c r="R13" s="93" t="str">
        <f>IF(OR($AI13="",ISNUMBER($AI13)=FALSE),"",IF(AND(#REF!="Tolerance",$E13&lt;&gt;""),($O13-$E13)/(($J13-$K13)/2),IF(AND(#REF!="GD&amp;T",$F13&lt;&gt;""),$O13/$F13,"")))</f>
        <v/>
      </c>
      <c r="S13" s="93" t="str">
        <f t="shared" si="11"/>
        <v/>
      </c>
      <c r="T13" s="92" t="str">
        <f t="shared" si="5"/>
        <v/>
      </c>
      <c r="U13" s="92" t="str">
        <f t="shared" si="6"/>
        <v/>
      </c>
      <c r="V13" s="92" t="str">
        <f t="shared" si="7"/>
        <v/>
      </c>
      <c r="W13" s="38" t="str">
        <f t="shared" si="8"/>
        <v/>
      </c>
      <c r="X13" s="39" t="e">
        <f>IF($O13="","",IF(#REF!="Tolerance",IF((#REF!*3*P13+O13)-E13&lt;F13,"",(#REF!*3*P13+O13)-E13),IF(OR(#REF!="GD&amp;T",#REF!="MAX"),IF((#REF!*3*P13+O13)&lt;F13,"",(#REF!*3*P13+O13)),"")))</f>
        <v>#REF!</v>
      </c>
      <c r="Y13" s="39" t="e">
        <f>IF(O13="","",IF(#REF!="Tolerance",IF(-((#REF!*3*P13)-O13)-E13&gt;G13,"",-((#REF!*3*P13)-O13)-E13),IF(#REF!="MIN",IF(-((#REF!*3*P13)-O13)&gt;G13,"",-((#REF!*3*P13)-O13)),"")))</f>
        <v>#REF!</v>
      </c>
      <c r="Z13" s="39">
        <f t="shared" si="9"/>
        <v>0.32</v>
      </c>
      <c r="AA13" s="39" t="str">
        <f t="shared" si="10"/>
        <v/>
      </c>
      <c r="AB13" s="94"/>
      <c r="AC13" s="95" t="str">
        <f t="shared" si="12"/>
        <v/>
      </c>
      <c r="AD13" s="125"/>
      <c r="AE13" s="96"/>
      <c r="AF13" s="96"/>
      <c r="AG13" s="97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</row>
    <row r="14" spans="1:66" ht="19.149999999999999" customHeight="1">
      <c r="B14" s="82" t="s">
        <v>90</v>
      </c>
      <c r="C14" s="46" t="s">
        <v>202</v>
      </c>
      <c r="D14" s="83" t="s">
        <v>47</v>
      </c>
      <c r="E14" s="84">
        <v>0.32</v>
      </c>
      <c r="F14" s="85">
        <v>0.03</v>
      </c>
      <c r="G14" s="85">
        <v>-0.03</v>
      </c>
      <c r="H14" s="86" t="s">
        <v>49</v>
      </c>
      <c r="I14" s="87" t="s">
        <v>87</v>
      </c>
      <c r="J14" s="88">
        <v>0.35</v>
      </c>
      <c r="K14" s="88">
        <v>0.29000000000000004</v>
      </c>
      <c r="L14" s="89"/>
      <c r="M14" s="90">
        <f t="shared" si="0"/>
        <v>0</v>
      </c>
      <c r="N14" s="90">
        <f t="shared" si="1"/>
        <v>0</v>
      </c>
      <c r="O14" s="90">
        <f t="shared" si="2"/>
        <v>0</v>
      </c>
      <c r="P14" s="91">
        <f t="shared" si="3"/>
        <v>0</v>
      </c>
      <c r="Q14" s="92" t="str">
        <f t="shared" si="4"/>
        <v/>
      </c>
      <c r="R14" s="93" t="str">
        <f>IF(OR($AI14="",ISNUMBER($AI14)=FALSE),"",IF(AND(#REF!="Tolerance",$E14&lt;&gt;""),($O14-$E14)/(($J14-$K14)/2),IF(AND(#REF!="GD&amp;T",$F14&lt;&gt;""),$O14/$F14,"")))</f>
        <v/>
      </c>
      <c r="S14" s="93" t="str">
        <f t="shared" si="11"/>
        <v/>
      </c>
      <c r="T14" s="92" t="str">
        <f t="shared" si="5"/>
        <v/>
      </c>
      <c r="U14" s="92" t="str">
        <f t="shared" si="6"/>
        <v/>
      </c>
      <c r="V14" s="92" t="str">
        <f t="shared" si="7"/>
        <v/>
      </c>
      <c r="W14" s="38" t="str">
        <f t="shared" si="8"/>
        <v/>
      </c>
      <c r="X14" s="39" t="e">
        <f>IF($O14="","",IF(#REF!="Tolerance",IF((#REF!*3*P14+O14)-E14&lt;F14,"",(#REF!*3*P14+O14)-E14),IF(OR(#REF!="GD&amp;T",#REF!="MAX"),IF((#REF!*3*P14+O14)&lt;F14,"",(#REF!*3*P14+O14)),"")))</f>
        <v>#REF!</v>
      </c>
      <c r="Y14" s="39" t="e">
        <f>IF(O14="","",IF(#REF!="Tolerance",IF(-((#REF!*3*P14)-O14)-E14&gt;G14,"",-((#REF!*3*P14)-O14)-E14),IF(#REF!="MIN",IF(-((#REF!*3*P14)-O14)&gt;G14,"",-((#REF!*3*P14)-O14)),"")))</f>
        <v>#REF!</v>
      </c>
      <c r="Z14" s="39">
        <f t="shared" si="9"/>
        <v>0.32</v>
      </c>
      <c r="AA14" s="39" t="str">
        <f t="shared" si="10"/>
        <v/>
      </c>
      <c r="AB14" s="94"/>
      <c r="AC14" s="95" t="str">
        <f t="shared" si="12"/>
        <v/>
      </c>
      <c r="AD14" s="125"/>
      <c r="AE14" s="96"/>
      <c r="AF14" s="96"/>
      <c r="AG14" s="97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</row>
    <row r="15" spans="1:66" ht="19.149999999999999" customHeight="1">
      <c r="B15" s="82" t="s">
        <v>91</v>
      </c>
      <c r="C15" s="46" t="s">
        <v>203</v>
      </c>
      <c r="D15" s="83" t="s">
        <v>47</v>
      </c>
      <c r="E15" s="84">
        <v>0.1</v>
      </c>
      <c r="F15" s="85">
        <v>0.01</v>
      </c>
      <c r="G15" s="85">
        <v>-0.04</v>
      </c>
      <c r="H15" s="86" t="s">
        <v>49</v>
      </c>
      <c r="I15" s="87" t="s">
        <v>87</v>
      </c>
      <c r="J15" s="88">
        <v>0.11</v>
      </c>
      <c r="K15" s="88">
        <v>6.0000000000000005E-2</v>
      </c>
      <c r="L15" s="89"/>
      <c r="M15" s="90">
        <f t="shared" si="0"/>
        <v>0</v>
      </c>
      <c r="N15" s="90">
        <f t="shared" si="1"/>
        <v>0</v>
      </c>
      <c r="O15" s="90">
        <f t="shared" si="2"/>
        <v>0</v>
      </c>
      <c r="P15" s="91">
        <f t="shared" si="3"/>
        <v>0</v>
      </c>
      <c r="Q15" s="92" t="str">
        <f t="shared" si="4"/>
        <v/>
      </c>
      <c r="R15" s="93" t="str">
        <f>IF(OR($AI15="",ISNUMBER($AI15)=FALSE),"",IF(AND(#REF!="Tolerance",$E15&lt;&gt;""),($O15-$E15)/(($J15-$K15)/2),IF(AND(#REF!="GD&amp;T",$F15&lt;&gt;""),$O15/$F15,"")))</f>
        <v/>
      </c>
      <c r="S15" s="93" t="str">
        <f t="shared" si="11"/>
        <v/>
      </c>
      <c r="T15" s="92" t="str">
        <f t="shared" si="5"/>
        <v/>
      </c>
      <c r="U15" s="92" t="str">
        <f t="shared" si="6"/>
        <v/>
      </c>
      <c r="V15" s="92" t="str">
        <f t="shared" si="7"/>
        <v/>
      </c>
      <c r="W15" s="38" t="str">
        <f t="shared" si="8"/>
        <v/>
      </c>
      <c r="X15" s="39" t="e">
        <f>IF($O15="","",IF(#REF!="Tolerance",IF((#REF!*3*P15+O15)-E15&lt;F15,"",(#REF!*3*P15+O15)-E15),IF(OR(#REF!="GD&amp;T",#REF!="MAX"),IF((#REF!*3*P15+O15)&lt;F15,"",(#REF!*3*P15+O15)),"")))</f>
        <v>#REF!</v>
      </c>
      <c r="Y15" s="39" t="e">
        <f>IF(O15="","",IF(#REF!="Tolerance",IF(-((#REF!*3*P15)-O15)-E15&gt;G15,"",-((#REF!*3*P15)-O15)-E15),IF(#REF!="MIN",IF(-((#REF!*3*P15)-O15)&gt;G15,"",-((#REF!*3*P15)-O15)),"")))</f>
        <v>#REF!</v>
      </c>
      <c r="Z15" s="39">
        <f t="shared" si="9"/>
        <v>8.5000000000000006E-2</v>
      </c>
      <c r="AA15" s="39" t="str">
        <f t="shared" si="10"/>
        <v/>
      </c>
      <c r="AB15" s="94"/>
      <c r="AC15" s="95" t="str">
        <f t="shared" si="12"/>
        <v/>
      </c>
      <c r="AD15" s="125"/>
      <c r="AE15" s="96"/>
      <c r="AF15" s="96"/>
      <c r="AG15" s="97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</row>
    <row r="16" spans="1:66" ht="19.149999999999999" customHeight="1">
      <c r="B16" s="82" t="s">
        <v>91</v>
      </c>
      <c r="C16" s="46" t="s">
        <v>204</v>
      </c>
      <c r="D16" s="83" t="s">
        <v>47</v>
      </c>
      <c r="E16" s="84">
        <v>0.1</v>
      </c>
      <c r="F16" s="85">
        <v>0.01</v>
      </c>
      <c r="G16" s="85">
        <v>-0.04</v>
      </c>
      <c r="H16" s="86" t="s">
        <v>49</v>
      </c>
      <c r="I16" s="87" t="s">
        <v>87</v>
      </c>
      <c r="J16" s="88">
        <v>0.11</v>
      </c>
      <c r="K16" s="88">
        <v>6.0000000000000005E-2</v>
      </c>
      <c r="L16" s="89"/>
      <c r="M16" s="90">
        <f t="shared" si="0"/>
        <v>0</v>
      </c>
      <c r="N16" s="90">
        <f t="shared" si="1"/>
        <v>0</v>
      </c>
      <c r="O16" s="90">
        <f t="shared" si="2"/>
        <v>0</v>
      </c>
      <c r="P16" s="91">
        <f t="shared" si="3"/>
        <v>0</v>
      </c>
      <c r="Q16" s="92" t="str">
        <f t="shared" si="4"/>
        <v/>
      </c>
      <c r="R16" s="93" t="str">
        <f>IF(OR($AI16="",ISNUMBER($AI16)=FALSE),"",IF(AND(#REF!="Tolerance",$E16&lt;&gt;""),($O16-$E16)/(($J16-$K16)/2),IF(AND(#REF!="GD&amp;T",$F16&lt;&gt;""),$O16/$F16,"")))</f>
        <v/>
      </c>
      <c r="S16" s="93" t="str">
        <f t="shared" si="11"/>
        <v/>
      </c>
      <c r="T16" s="92" t="str">
        <f t="shared" si="5"/>
        <v/>
      </c>
      <c r="U16" s="92" t="str">
        <f t="shared" si="6"/>
        <v/>
      </c>
      <c r="V16" s="92" t="str">
        <f t="shared" si="7"/>
        <v/>
      </c>
      <c r="W16" s="38" t="str">
        <f t="shared" si="8"/>
        <v/>
      </c>
      <c r="X16" s="39" t="e">
        <f>IF($O16="","",IF(#REF!="Tolerance",IF((#REF!*3*P16+O16)-E16&lt;F16,"",(#REF!*3*P16+O16)-E16),IF(OR(#REF!="GD&amp;T",#REF!="MAX"),IF((#REF!*3*P16+O16)&lt;F16,"",(#REF!*3*P16+O16)),"")))</f>
        <v>#REF!</v>
      </c>
      <c r="Y16" s="39" t="e">
        <f>IF(O16="","",IF(#REF!="Tolerance",IF(-((#REF!*3*P16)-O16)-E16&gt;G16,"",-((#REF!*3*P16)-O16)-E16),IF(#REF!="MIN",IF(-((#REF!*3*P16)-O16)&gt;G16,"",-((#REF!*3*P16)-O16)),"")))</f>
        <v>#REF!</v>
      </c>
      <c r="Z16" s="39">
        <f t="shared" si="9"/>
        <v>8.5000000000000006E-2</v>
      </c>
      <c r="AA16" s="39" t="str">
        <f t="shared" si="10"/>
        <v/>
      </c>
      <c r="AB16" s="94"/>
      <c r="AC16" s="95" t="str">
        <f t="shared" si="12"/>
        <v/>
      </c>
      <c r="AD16" s="125"/>
      <c r="AE16" s="96"/>
      <c r="AF16" s="96"/>
      <c r="AG16" s="97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4"/>
      <c r="BM16" s="114"/>
      <c r="BN16" s="114"/>
    </row>
    <row r="17" spans="2:66" ht="19.149999999999999" customHeight="1">
      <c r="B17" s="82" t="s">
        <v>91</v>
      </c>
      <c r="C17" s="46" t="s">
        <v>205</v>
      </c>
      <c r="D17" s="83" t="s">
        <v>47</v>
      </c>
      <c r="E17" s="84">
        <v>0.1</v>
      </c>
      <c r="F17" s="85">
        <v>0.01</v>
      </c>
      <c r="G17" s="85">
        <v>-0.04</v>
      </c>
      <c r="H17" s="86" t="s">
        <v>49</v>
      </c>
      <c r="I17" s="87" t="s">
        <v>87</v>
      </c>
      <c r="J17" s="88">
        <v>0.11</v>
      </c>
      <c r="K17" s="88">
        <v>6.0000000000000005E-2</v>
      </c>
      <c r="L17" s="89"/>
      <c r="M17" s="90">
        <f t="shared" si="0"/>
        <v>0</v>
      </c>
      <c r="N17" s="90">
        <f t="shared" si="1"/>
        <v>0</v>
      </c>
      <c r="O17" s="90">
        <f t="shared" si="2"/>
        <v>0</v>
      </c>
      <c r="P17" s="91">
        <f t="shared" si="3"/>
        <v>0</v>
      </c>
      <c r="Q17" s="92" t="str">
        <f t="shared" si="4"/>
        <v/>
      </c>
      <c r="R17" s="93" t="str">
        <f>IF(OR($AI17="",ISNUMBER($AI17)=FALSE),"",IF(AND(#REF!="Tolerance",$E17&lt;&gt;""),($O17-$E17)/(($J17-$K17)/2),IF(AND(#REF!="GD&amp;T",$F17&lt;&gt;""),$O17/$F17,"")))</f>
        <v/>
      </c>
      <c r="S17" s="93" t="str">
        <f t="shared" si="11"/>
        <v/>
      </c>
      <c r="T17" s="92" t="str">
        <f t="shared" si="5"/>
        <v/>
      </c>
      <c r="U17" s="92" t="str">
        <f t="shared" si="6"/>
        <v/>
      </c>
      <c r="V17" s="92" t="str">
        <f t="shared" si="7"/>
        <v/>
      </c>
      <c r="W17" s="38" t="str">
        <f t="shared" si="8"/>
        <v/>
      </c>
      <c r="X17" s="39" t="e">
        <f>IF($O17="","",IF(#REF!="Tolerance",IF((#REF!*3*P17+O17)-E17&lt;F17,"",(#REF!*3*P17+O17)-E17),IF(OR(#REF!="GD&amp;T",#REF!="MAX"),IF((#REF!*3*P17+O17)&lt;F17,"",(#REF!*3*P17+O17)),"")))</f>
        <v>#REF!</v>
      </c>
      <c r="Y17" s="39" t="e">
        <f>IF(O17="","",IF(#REF!="Tolerance",IF(-((#REF!*3*P17)-O17)-E17&gt;G17,"",-((#REF!*3*P17)-O17)-E17),IF(#REF!="MIN",IF(-((#REF!*3*P17)-O17)&gt;G17,"",-((#REF!*3*P17)-O17)),"")))</f>
        <v>#REF!</v>
      </c>
      <c r="Z17" s="39">
        <f t="shared" si="9"/>
        <v>8.5000000000000006E-2</v>
      </c>
      <c r="AA17" s="39" t="str">
        <f t="shared" si="10"/>
        <v/>
      </c>
      <c r="AB17" s="94"/>
      <c r="AC17" s="95" t="str">
        <f t="shared" si="12"/>
        <v/>
      </c>
      <c r="AD17" s="125"/>
      <c r="AE17" s="96"/>
      <c r="AF17" s="96"/>
      <c r="AG17" s="97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</row>
    <row r="18" spans="2:66" ht="19.149999999999999" customHeight="1">
      <c r="B18" s="82" t="s">
        <v>91</v>
      </c>
      <c r="C18" s="46" t="s">
        <v>206</v>
      </c>
      <c r="D18" s="83" t="s">
        <v>47</v>
      </c>
      <c r="E18" s="84">
        <v>0.1</v>
      </c>
      <c r="F18" s="85">
        <v>0.01</v>
      </c>
      <c r="G18" s="85">
        <v>-0.04</v>
      </c>
      <c r="H18" s="86" t="s">
        <v>49</v>
      </c>
      <c r="I18" s="87" t="s">
        <v>87</v>
      </c>
      <c r="J18" s="88">
        <v>0.11</v>
      </c>
      <c r="K18" s="88">
        <v>6.0000000000000005E-2</v>
      </c>
      <c r="L18" s="89"/>
      <c r="M18" s="90">
        <f t="shared" si="0"/>
        <v>0</v>
      </c>
      <c r="N18" s="90">
        <f t="shared" si="1"/>
        <v>0</v>
      </c>
      <c r="O18" s="90">
        <f t="shared" si="2"/>
        <v>0</v>
      </c>
      <c r="P18" s="91">
        <f t="shared" si="3"/>
        <v>0</v>
      </c>
      <c r="Q18" s="92" t="str">
        <f t="shared" si="4"/>
        <v/>
      </c>
      <c r="R18" s="93" t="str">
        <f>IF(OR($AI18="",ISNUMBER($AI18)=FALSE),"",IF(AND(#REF!="Tolerance",$E18&lt;&gt;""),($O18-$E18)/(($J18-$K18)/2),IF(AND(#REF!="GD&amp;T",$F18&lt;&gt;""),$O18/$F18,"")))</f>
        <v/>
      </c>
      <c r="S18" s="93" t="str">
        <f t="shared" si="11"/>
        <v/>
      </c>
      <c r="T18" s="92" t="str">
        <f t="shared" si="5"/>
        <v/>
      </c>
      <c r="U18" s="92" t="str">
        <f t="shared" si="6"/>
        <v/>
      </c>
      <c r="V18" s="92" t="str">
        <f t="shared" si="7"/>
        <v/>
      </c>
      <c r="W18" s="38" t="str">
        <f t="shared" si="8"/>
        <v/>
      </c>
      <c r="X18" s="39" t="e">
        <f>IF($O18="","",IF(#REF!="Tolerance",IF((#REF!*3*P18+O18)-E18&lt;F18,"",(#REF!*3*P18+O18)-E18),IF(OR(#REF!="GD&amp;T",#REF!="MAX"),IF((#REF!*3*P18+O18)&lt;F18,"",(#REF!*3*P18+O18)),"")))</f>
        <v>#REF!</v>
      </c>
      <c r="Y18" s="39" t="e">
        <f>IF(O18="","",IF(#REF!="Tolerance",IF(-((#REF!*3*P18)-O18)-E18&gt;G18,"",-((#REF!*3*P18)-O18)-E18),IF(#REF!="MIN",IF(-((#REF!*3*P18)-O18)&gt;G18,"",-((#REF!*3*P18)-O18)),"")))</f>
        <v>#REF!</v>
      </c>
      <c r="Z18" s="39">
        <f t="shared" si="9"/>
        <v>8.5000000000000006E-2</v>
      </c>
      <c r="AA18" s="39" t="str">
        <f t="shared" si="10"/>
        <v/>
      </c>
      <c r="AB18" s="94"/>
      <c r="AC18" s="95" t="str">
        <f t="shared" si="12"/>
        <v/>
      </c>
      <c r="AD18" s="125"/>
      <c r="AE18" s="96"/>
      <c r="AF18" s="96"/>
      <c r="AG18" s="97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</row>
    <row r="19" spans="2:66" ht="19.149999999999999" customHeight="1">
      <c r="B19" s="82" t="s">
        <v>92</v>
      </c>
      <c r="C19" s="46" t="s">
        <v>207</v>
      </c>
      <c r="D19" s="83" t="s">
        <v>48</v>
      </c>
      <c r="E19" s="84">
        <v>90</v>
      </c>
      <c r="F19" s="85">
        <v>1</v>
      </c>
      <c r="G19" s="85">
        <v>-2</v>
      </c>
      <c r="H19" s="86" t="s">
        <v>49</v>
      </c>
      <c r="I19" s="87" t="s">
        <v>87</v>
      </c>
      <c r="J19" s="88">
        <v>91</v>
      </c>
      <c r="K19" s="88">
        <v>88</v>
      </c>
      <c r="L19" s="89"/>
      <c r="M19" s="90">
        <f t="shared" si="0"/>
        <v>0</v>
      </c>
      <c r="N19" s="90">
        <f t="shared" si="1"/>
        <v>0</v>
      </c>
      <c r="O19" s="90">
        <f t="shared" si="2"/>
        <v>0</v>
      </c>
      <c r="P19" s="91">
        <f t="shared" si="3"/>
        <v>0</v>
      </c>
      <c r="Q19" s="92" t="str">
        <f t="shared" si="4"/>
        <v/>
      </c>
      <c r="R19" s="93" t="str">
        <f>IF(OR($AI19="",ISNUMBER($AI19)=FALSE),"",IF(AND(#REF!="Tolerance",$E19&lt;&gt;""),($O19-$E19)/(($J19-$K19)/2),IF(AND(#REF!="GD&amp;T",$F19&lt;&gt;""),$O19/$F19,"")))</f>
        <v/>
      </c>
      <c r="S19" s="93" t="str">
        <f t="shared" si="11"/>
        <v/>
      </c>
      <c r="T19" s="92" t="str">
        <f t="shared" si="5"/>
        <v/>
      </c>
      <c r="U19" s="92" t="str">
        <f t="shared" si="6"/>
        <v/>
      </c>
      <c r="V19" s="92" t="str">
        <f t="shared" si="7"/>
        <v/>
      </c>
      <c r="W19" s="38" t="str">
        <f t="shared" si="8"/>
        <v/>
      </c>
      <c r="X19" s="39" t="e">
        <f>IF($O19="","",IF(#REF!="Tolerance",IF((#REF!*3*P19+O19)-E19&lt;F19,"",(#REF!*3*P19+O19)-E19),IF(OR(#REF!="GD&amp;T",#REF!="MAX"),IF((#REF!*3*P19+O19)&lt;F19,"",(#REF!*3*P19+O19)),"")))</f>
        <v>#REF!</v>
      </c>
      <c r="Y19" s="39" t="e">
        <f>IF(O19="","",IF(#REF!="Tolerance",IF(-((#REF!*3*P19)-O19)-E19&gt;G19,"",-((#REF!*3*P19)-O19)-E19),IF(#REF!="MIN",IF(-((#REF!*3*P19)-O19)&gt;G19,"",-((#REF!*3*P19)-O19)),"")))</f>
        <v>#REF!</v>
      </c>
      <c r="Z19" s="39">
        <f t="shared" si="9"/>
        <v>89.5</v>
      </c>
      <c r="AA19" s="39" t="str">
        <f t="shared" si="10"/>
        <v/>
      </c>
      <c r="AB19" s="94"/>
      <c r="AC19" s="95" t="str">
        <f t="shared" si="12"/>
        <v/>
      </c>
      <c r="AD19" s="125"/>
      <c r="AE19" s="96"/>
      <c r="AF19" s="96"/>
      <c r="AG19" s="97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14"/>
    </row>
    <row r="20" spans="2:66" ht="19.149999999999999" customHeight="1">
      <c r="B20" s="82" t="s">
        <v>92</v>
      </c>
      <c r="C20" s="46" t="s">
        <v>208</v>
      </c>
      <c r="D20" s="83" t="s">
        <v>48</v>
      </c>
      <c r="E20" s="84">
        <v>90</v>
      </c>
      <c r="F20" s="85">
        <v>1</v>
      </c>
      <c r="G20" s="85">
        <v>-2</v>
      </c>
      <c r="H20" s="86" t="s">
        <v>49</v>
      </c>
      <c r="I20" s="87" t="s">
        <v>87</v>
      </c>
      <c r="J20" s="88">
        <v>91</v>
      </c>
      <c r="K20" s="88">
        <v>88</v>
      </c>
      <c r="L20" s="89"/>
      <c r="M20" s="90">
        <f t="shared" si="0"/>
        <v>0</v>
      </c>
      <c r="N20" s="90">
        <f t="shared" si="1"/>
        <v>0</v>
      </c>
      <c r="O20" s="90">
        <f t="shared" si="2"/>
        <v>0</v>
      </c>
      <c r="P20" s="91">
        <f t="shared" si="3"/>
        <v>0</v>
      </c>
      <c r="Q20" s="92" t="str">
        <f t="shared" si="4"/>
        <v/>
      </c>
      <c r="R20" s="93" t="str">
        <f>IF(OR($AI20="",ISNUMBER($AI20)=FALSE),"",IF(AND(#REF!="Tolerance",$E20&lt;&gt;""),($O20-$E20)/(($J20-$K20)/2),IF(AND(#REF!="GD&amp;T",$F20&lt;&gt;""),$O20/$F20,"")))</f>
        <v/>
      </c>
      <c r="S20" s="93" t="str">
        <f t="shared" si="11"/>
        <v/>
      </c>
      <c r="T20" s="92" t="str">
        <f t="shared" si="5"/>
        <v/>
      </c>
      <c r="U20" s="92" t="str">
        <f t="shared" si="6"/>
        <v/>
      </c>
      <c r="V20" s="92" t="str">
        <f t="shared" si="7"/>
        <v/>
      </c>
      <c r="W20" s="38" t="str">
        <f t="shared" si="8"/>
        <v/>
      </c>
      <c r="X20" s="39" t="e">
        <f>IF($O20="","",IF(#REF!="Tolerance",IF((#REF!*3*P20+O20)-E20&lt;F20,"",(#REF!*3*P20+O20)-E20),IF(OR(#REF!="GD&amp;T",#REF!="MAX"),IF((#REF!*3*P20+O20)&lt;F20,"",(#REF!*3*P20+O20)),"")))</f>
        <v>#REF!</v>
      </c>
      <c r="Y20" s="39" t="e">
        <f>IF(O20="","",IF(#REF!="Tolerance",IF(-((#REF!*3*P20)-O20)-E20&gt;G20,"",-((#REF!*3*P20)-O20)-E20),IF(#REF!="MIN",IF(-((#REF!*3*P20)-O20)&gt;G20,"",-((#REF!*3*P20)-O20)),"")))</f>
        <v>#REF!</v>
      </c>
      <c r="Z20" s="39">
        <f t="shared" si="9"/>
        <v>89.5</v>
      </c>
      <c r="AA20" s="39" t="str">
        <f t="shared" si="10"/>
        <v/>
      </c>
      <c r="AB20" s="94"/>
      <c r="AC20" s="95" t="str">
        <f t="shared" si="12"/>
        <v/>
      </c>
      <c r="AD20" s="125"/>
      <c r="AE20" s="96"/>
      <c r="AF20" s="96"/>
      <c r="AG20" s="97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</row>
    <row r="21" spans="2:66" ht="19.149999999999999" customHeight="1">
      <c r="B21" s="82" t="s">
        <v>93</v>
      </c>
      <c r="C21" s="46" t="s">
        <v>209</v>
      </c>
      <c r="D21" s="83" t="s">
        <v>48</v>
      </c>
      <c r="E21" s="84">
        <v>90</v>
      </c>
      <c r="F21" s="85">
        <v>1</v>
      </c>
      <c r="G21" s="85">
        <v>-2</v>
      </c>
      <c r="H21" s="86" t="s">
        <v>49</v>
      </c>
      <c r="I21" s="87" t="s">
        <v>87</v>
      </c>
      <c r="J21" s="88">
        <v>91</v>
      </c>
      <c r="K21" s="88">
        <v>88</v>
      </c>
      <c r="L21" s="89"/>
      <c r="M21" s="90">
        <f t="shared" si="0"/>
        <v>0</v>
      </c>
      <c r="N21" s="90">
        <f t="shared" si="1"/>
        <v>0</v>
      </c>
      <c r="O21" s="90">
        <f t="shared" si="2"/>
        <v>0</v>
      </c>
      <c r="P21" s="91">
        <f t="shared" si="3"/>
        <v>0</v>
      </c>
      <c r="Q21" s="92" t="str">
        <f t="shared" si="4"/>
        <v/>
      </c>
      <c r="R21" s="93" t="str">
        <f>IF(OR($AI21="",ISNUMBER($AI21)=FALSE),"",IF(AND(#REF!="Tolerance",$E21&lt;&gt;""),($O21-$E21)/(($J21-$K21)/2),IF(AND(#REF!="GD&amp;T",$F21&lt;&gt;""),$O21/$F21,"")))</f>
        <v/>
      </c>
      <c r="S21" s="93" t="str">
        <f t="shared" si="11"/>
        <v/>
      </c>
      <c r="T21" s="92" t="str">
        <f t="shared" si="5"/>
        <v/>
      </c>
      <c r="U21" s="92" t="str">
        <f t="shared" si="6"/>
        <v/>
      </c>
      <c r="V21" s="92" t="str">
        <f t="shared" si="7"/>
        <v/>
      </c>
      <c r="W21" s="38" t="str">
        <f t="shared" si="8"/>
        <v/>
      </c>
      <c r="X21" s="39" t="e">
        <f>IF($O21="","",IF(#REF!="Tolerance",IF((#REF!*3*P21+O21)-E21&lt;F21,"",(#REF!*3*P21+O21)-E21),IF(OR(#REF!="GD&amp;T",#REF!="MAX"),IF((#REF!*3*P21+O21)&lt;F21,"",(#REF!*3*P21+O21)),"")))</f>
        <v>#REF!</v>
      </c>
      <c r="Y21" s="39" t="e">
        <f>IF(O21="","",IF(#REF!="Tolerance",IF(-((#REF!*3*P21)-O21)-E21&gt;G21,"",-((#REF!*3*P21)-O21)-E21),IF(#REF!="MIN",IF(-((#REF!*3*P21)-O21)&gt;G21,"",-((#REF!*3*P21)-O21)),"")))</f>
        <v>#REF!</v>
      </c>
      <c r="Z21" s="39">
        <f t="shared" si="9"/>
        <v>89.5</v>
      </c>
      <c r="AA21" s="39" t="str">
        <f t="shared" si="10"/>
        <v/>
      </c>
      <c r="AB21" s="94"/>
      <c r="AC21" s="95" t="str">
        <f t="shared" si="12"/>
        <v/>
      </c>
      <c r="AD21" s="125"/>
      <c r="AE21" s="96"/>
      <c r="AF21" s="96"/>
      <c r="AG21" s="97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</row>
    <row r="22" spans="2:66" ht="19.149999999999999" customHeight="1">
      <c r="B22" s="82" t="s">
        <v>93</v>
      </c>
      <c r="C22" s="46" t="s">
        <v>210</v>
      </c>
      <c r="D22" s="83" t="s">
        <v>48</v>
      </c>
      <c r="E22" s="84">
        <v>90</v>
      </c>
      <c r="F22" s="85">
        <v>1</v>
      </c>
      <c r="G22" s="85">
        <v>-2</v>
      </c>
      <c r="H22" s="86" t="s">
        <v>49</v>
      </c>
      <c r="I22" s="87" t="s">
        <v>87</v>
      </c>
      <c r="J22" s="88">
        <v>91</v>
      </c>
      <c r="K22" s="88">
        <v>88</v>
      </c>
      <c r="L22" s="89"/>
      <c r="M22" s="90">
        <f t="shared" si="0"/>
        <v>0</v>
      </c>
      <c r="N22" s="90">
        <f t="shared" si="1"/>
        <v>0</v>
      </c>
      <c r="O22" s="90">
        <f t="shared" si="2"/>
        <v>0</v>
      </c>
      <c r="P22" s="91">
        <f t="shared" si="3"/>
        <v>0</v>
      </c>
      <c r="Q22" s="92" t="str">
        <f t="shared" si="4"/>
        <v/>
      </c>
      <c r="R22" s="93" t="str">
        <f>IF(OR($AI22="",ISNUMBER($AI22)=FALSE),"",IF(AND(#REF!="Tolerance",$E22&lt;&gt;""),($O22-$E22)/(($J22-$K22)/2),IF(AND(#REF!="GD&amp;T",$F22&lt;&gt;""),$O22/$F22,"")))</f>
        <v/>
      </c>
      <c r="S22" s="93" t="str">
        <f t="shared" si="11"/>
        <v/>
      </c>
      <c r="T22" s="92" t="str">
        <f t="shared" si="5"/>
        <v/>
      </c>
      <c r="U22" s="92" t="str">
        <f t="shared" si="6"/>
        <v/>
      </c>
      <c r="V22" s="92" t="str">
        <f t="shared" si="7"/>
        <v/>
      </c>
      <c r="W22" s="38" t="str">
        <f t="shared" si="8"/>
        <v/>
      </c>
      <c r="X22" s="39" t="e">
        <f>IF($O22="","",IF(#REF!="Tolerance",IF((#REF!*3*P22+O22)-E22&lt;F22,"",(#REF!*3*P22+O22)-E22),IF(OR(#REF!="GD&amp;T",#REF!="MAX"),IF((#REF!*3*P22+O22)&lt;F22,"",(#REF!*3*P22+O22)),"")))</f>
        <v>#REF!</v>
      </c>
      <c r="Y22" s="39" t="e">
        <f>IF(O22="","",IF(#REF!="Tolerance",IF(-((#REF!*3*P22)-O22)-E22&gt;G22,"",-((#REF!*3*P22)-O22)-E22),IF(#REF!="MIN",IF(-((#REF!*3*P22)-O22)&gt;G22,"",-((#REF!*3*P22)-O22)),"")))</f>
        <v>#REF!</v>
      </c>
      <c r="Z22" s="39">
        <f t="shared" si="9"/>
        <v>89.5</v>
      </c>
      <c r="AA22" s="39" t="str">
        <f t="shared" si="10"/>
        <v/>
      </c>
      <c r="AB22" s="94"/>
      <c r="AC22" s="95" t="str">
        <f t="shared" si="12"/>
        <v/>
      </c>
      <c r="AD22" s="125"/>
      <c r="AE22" s="96"/>
      <c r="AF22" s="96"/>
      <c r="AG22" s="97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</row>
    <row r="23" spans="2:66" ht="19.149999999999999" customHeight="1">
      <c r="B23" s="82" t="s">
        <v>94</v>
      </c>
      <c r="C23" s="46" t="s">
        <v>211</v>
      </c>
      <c r="D23" s="83" t="s">
        <v>47</v>
      </c>
      <c r="E23" s="84">
        <v>0.122</v>
      </c>
      <c r="F23" s="85">
        <v>0.01</v>
      </c>
      <c r="G23" s="85">
        <v>-0.02</v>
      </c>
      <c r="H23" s="86" t="s">
        <v>49</v>
      </c>
      <c r="I23" s="87" t="s">
        <v>87</v>
      </c>
      <c r="J23" s="88">
        <v>0.13200000000000001</v>
      </c>
      <c r="K23" s="88">
        <v>0.10199999999999999</v>
      </c>
      <c r="L23" s="89"/>
      <c r="M23" s="90">
        <f t="shared" si="0"/>
        <v>0</v>
      </c>
      <c r="N23" s="90">
        <f t="shared" si="1"/>
        <v>0</v>
      </c>
      <c r="O23" s="90">
        <f t="shared" si="2"/>
        <v>0</v>
      </c>
      <c r="P23" s="91">
        <f t="shared" si="3"/>
        <v>0</v>
      </c>
      <c r="Q23" s="92" t="str">
        <f t="shared" si="4"/>
        <v/>
      </c>
      <c r="R23" s="93" t="str">
        <f>IF(OR($AI23="",ISNUMBER($AI23)=FALSE),"",IF(AND(#REF!="Tolerance",$E23&lt;&gt;""),($O23-$E23)/(($J23-$K23)/2),IF(AND(#REF!="GD&amp;T",$F23&lt;&gt;""),$O23/$F23,"")))</f>
        <v/>
      </c>
      <c r="S23" s="93" t="str">
        <f t="shared" si="11"/>
        <v/>
      </c>
      <c r="T23" s="92" t="str">
        <f t="shared" si="5"/>
        <v/>
      </c>
      <c r="U23" s="92" t="str">
        <f t="shared" si="6"/>
        <v/>
      </c>
      <c r="V23" s="92" t="str">
        <f t="shared" si="7"/>
        <v/>
      </c>
      <c r="W23" s="38" t="str">
        <f t="shared" si="8"/>
        <v/>
      </c>
      <c r="X23" s="39" t="e">
        <f>IF($O23="","",IF(#REF!="Tolerance",IF((#REF!*3*P23+O23)-E23&lt;F23,"",(#REF!*3*P23+O23)-E23),IF(OR(#REF!="GD&amp;T",#REF!="MAX"),IF((#REF!*3*P23+O23)&lt;F23,"",(#REF!*3*P23+O23)),"")))</f>
        <v>#REF!</v>
      </c>
      <c r="Y23" s="39" t="e">
        <f>IF(O23="","",IF(#REF!="Tolerance",IF(-((#REF!*3*P23)-O23)-E23&gt;G23,"",-((#REF!*3*P23)-O23)-E23),IF(#REF!="MIN",IF(-((#REF!*3*P23)-O23)&gt;G23,"",-((#REF!*3*P23)-O23)),"")))</f>
        <v>#REF!</v>
      </c>
      <c r="Z23" s="39">
        <f t="shared" si="9"/>
        <v>0.11699999999999999</v>
      </c>
      <c r="AA23" s="39" t="str">
        <f t="shared" si="10"/>
        <v/>
      </c>
      <c r="AB23" s="94"/>
      <c r="AC23" s="95" t="str">
        <f t="shared" si="12"/>
        <v/>
      </c>
      <c r="AD23" s="125"/>
      <c r="AE23" s="96"/>
      <c r="AF23" s="96"/>
      <c r="AG23" s="97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</row>
    <row r="24" spans="2:66" ht="19.149999999999999" customHeight="1">
      <c r="B24" s="82" t="s">
        <v>95</v>
      </c>
      <c r="C24" s="46" t="s">
        <v>212</v>
      </c>
      <c r="D24" s="83" t="s">
        <v>47</v>
      </c>
      <c r="E24" s="84">
        <v>0.122</v>
      </c>
      <c r="F24" s="85">
        <v>0.01</v>
      </c>
      <c r="G24" s="85">
        <v>-0.02</v>
      </c>
      <c r="H24" s="86" t="s">
        <v>49</v>
      </c>
      <c r="I24" s="87" t="s">
        <v>87</v>
      </c>
      <c r="J24" s="88">
        <v>0.13200000000000001</v>
      </c>
      <c r="K24" s="88">
        <v>0.10199999999999999</v>
      </c>
      <c r="L24" s="89"/>
      <c r="M24" s="90">
        <f t="shared" si="0"/>
        <v>0</v>
      </c>
      <c r="N24" s="90">
        <f t="shared" si="1"/>
        <v>0</v>
      </c>
      <c r="O24" s="90">
        <f t="shared" si="2"/>
        <v>0</v>
      </c>
      <c r="P24" s="91">
        <f t="shared" si="3"/>
        <v>0</v>
      </c>
      <c r="Q24" s="92" t="str">
        <f t="shared" si="4"/>
        <v/>
      </c>
      <c r="R24" s="93" t="str">
        <f>IF(OR($AI24="",ISNUMBER($AI24)=FALSE),"",IF(AND(#REF!="Tolerance",$E24&lt;&gt;""),($O24-$E24)/(($J24-$K24)/2),IF(AND(#REF!="GD&amp;T",$F24&lt;&gt;""),$O24/$F24,"")))</f>
        <v/>
      </c>
      <c r="S24" s="93" t="str">
        <f t="shared" si="11"/>
        <v/>
      </c>
      <c r="T24" s="92" t="str">
        <f t="shared" si="5"/>
        <v/>
      </c>
      <c r="U24" s="92" t="str">
        <f t="shared" si="6"/>
        <v/>
      </c>
      <c r="V24" s="92" t="str">
        <f t="shared" si="7"/>
        <v/>
      </c>
      <c r="W24" s="38" t="str">
        <f t="shared" si="8"/>
        <v/>
      </c>
      <c r="X24" s="39" t="e">
        <f>IF($O24="","",IF(#REF!="Tolerance",IF((#REF!*3*P24+O24)-E24&lt;F24,"",(#REF!*3*P24+O24)-E24),IF(OR(#REF!="GD&amp;T",#REF!="MAX"),IF((#REF!*3*P24+O24)&lt;F24,"",(#REF!*3*P24+O24)),"")))</f>
        <v>#REF!</v>
      </c>
      <c r="Y24" s="39" t="e">
        <f>IF(O24="","",IF(#REF!="Tolerance",IF(-((#REF!*3*P24)-O24)-E24&gt;G24,"",-((#REF!*3*P24)-O24)-E24),IF(#REF!="MIN",IF(-((#REF!*3*P24)-O24)&gt;G24,"",-((#REF!*3*P24)-O24)),"")))</f>
        <v>#REF!</v>
      </c>
      <c r="Z24" s="39">
        <f t="shared" si="9"/>
        <v>0.11699999999999999</v>
      </c>
      <c r="AA24" s="39" t="str">
        <f t="shared" si="10"/>
        <v/>
      </c>
      <c r="AB24" s="94"/>
      <c r="AC24" s="95" t="str">
        <f t="shared" si="12"/>
        <v/>
      </c>
      <c r="AD24" s="125"/>
      <c r="AE24" s="96"/>
      <c r="AF24" s="96"/>
      <c r="AG24" s="97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</row>
    <row r="25" spans="2:66" ht="19.149999999999999" customHeight="1">
      <c r="B25" s="82" t="s">
        <v>101</v>
      </c>
      <c r="C25" s="46" t="s">
        <v>213</v>
      </c>
      <c r="D25" s="83" t="s">
        <v>47</v>
      </c>
      <c r="E25" s="84">
        <v>7.8E-2</v>
      </c>
      <c r="F25" s="85">
        <v>0.01</v>
      </c>
      <c r="G25" s="85">
        <v>-0.02</v>
      </c>
      <c r="H25" s="86" t="s">
        <v>49</v>
      </c>
      <c r="I25" s="87" t="s">
        <v>87</v>
      </c>
      <c r="J25" s="88">
        <v>8.7999999999999995E-2</v>
      </c>
      <c r="K25" s="88">
        <v>5.7999999999999996E-2</v>
      </c>
      <c r="L25" s="89"/>
      <c r="M25" s="90">
        <f t="shared" si="0"/>
        <v>0</v>
      </c>
      <c r="N25" s="90">
        <f t="shared" si="1"/>
        <v>0</v>
      </c>
      <c r="O25" s="90">
        <f t="shared" si="2"/>
        <v>0</v>
      </c>
      <c r="P25" s="91">
        <f t="shared" si="3"/>
        <v>0</v>
      </c>
      <c r="Q25" s="92" t="str">
        <f t="shared" si="4"/>
        <v/>
      </c>
      <c r="R25" s="93" t="str">
        <f>IF(OR($AI25="",ISNUMBER($AI25)=FALSE),"",IF(AND(#REF!="Tolerance",$E25&lt;&gt;""),($O25-$E25)/(($J25-$K25)/2),IF(AND(#REF!="GD&amp;T",$F25&lt;&gt;""),$O25/$F25,"")))</f>
        <v/>
      </c>
      <c r="S25" s="93" t="str">
        <f t="shared" si="11"/>
        <v/>
      </c>
      <c r="T25" s="92" t="str">
        <f t="shared" si="5"/>
        <v/>
      </c>
      <c r="U25" s="92" t="str">
        <f t="shared" si="6"/>
        <v/>
      </c>
      <c r="V25" s="92" t="str">
        <f t="shared" si="7"/>
        <v/>
      </c>
      <c r="W25" s="38" t="str">
        <f t="shared" si="8"/>
        <v/>
      </c>
      <c r="X25" s="39"/>
      <c r="Y25" s="39"/>
      <c r="Z25" s="39"/>
      <c r="AA25" s="39"/>
      <c r="AB25" s="94"/>
      <c r="AC25" s="95" t="str">
        <f t="shared" si="12"/>
        <v/>
      </c>
      <c r="AD25" s="125"/>
      <c r="AE25" s="96"/>
      <c r="AF25" s="96"/>
      <c r="AG25" s="97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</row>
    <row r="26" spans="2:66" ht="19.149999999999999" customHeight="1">
      <c r="B26" s="82" t="s">
        <v>102</v>
      </c>
      <c r="C26" s="46" t="s">
        <v>214</v>
      </c>
      <c r="D26" s="83" t="s">
        <v>47</v>
      </c>
      <c r="E26" s="84">
        <v>7.8E-2</v>
      </c>
      <c r="F26" s="85">
        <v>0.01</v>
      </c>
      <c r="G26" s="85">
        <v>-0.02</v>
      </c>
      <c r="H26" s="86" t="s">
        <v>49</v>
      </c>
      <c r="I26" s="87" t="s">
        <v>87</v>
      </c>
      <c r="J26" s="88">
        <v>8.7999999999999995E-2</v>
      </c>
      <c r="K26" s="88">
        <v>5.7999999999999996E-2</v>
      </c>
      <c r="L26" s="89"/>
      <c r="M26" s="90">
        <f t="shared" si="0"/>
        <v>0</v>
      </c>
      <c r="N26" s="90">
        <f t="shared" si="1"/>
        <v>0</v>
      </c>
      <c r="O26" s="90">
        <f t="shared" si="2"/>
        <v>0</v>
      </c>
      <c r="P26" s="91">
        <f t="shared" si="3"/>
        <v>0</v>
      </c>
      <c r="Q26" s="92" t="str">
        <f t="shared" si="4"/>
        <v/>
      </c>
      <c r="R26" s="93" t="str">
        <f>IF(OR($AI26="",ISNUMBER($AI26)=FALSE),"",IF(AND(#REF!="Tolerance",$E26&lt;&gt;""),($O26-$E26)/(($J26-$K26)/2),IF(AND(#REF!="GD&amp;T",$F26&lt;&gt;""),$O26/$F26,"")))</f>
        <v/>
      </c>
      <c r="S26" s="93" t="str">
        <f t="shared" si="11"/>
        <v/>
      </c>
      <c r="T26" s="92" t="str">
        <f t="shared" si="5"/>
        <v/>
      </c>
      <c r="U26" s="92" t="str">
        <f t="shared" si="6"/>
        <v/>
      </c>
      <c r="V26" s="92" t="str">
        <f t="shared" si="7"/>
        <v/>
      </c>
      <c r="W26" s="38" t="str">
        <f t="shared" si="8"/>
        <v/>
      </c>
      <c r="X26" s="39"/>
      <c r="Y26" s="39"/>
      <c r="Z26" s="39"/>
      <c r="AA26" s="39"/>
      <c r="AB26" s="94"/>
      <c r="AC26" s="95" t="str">
        <f t="shared" si="12"/>
        <v/>
      </c>
      <c r="AD26" s="125"/>
      <c r="AE26" s="96"/>
      <c r="AF26" s="96"/>
      <c r="AG26" s="97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  <c r="BM26" s="114"/>
      <c r="BN26" s="114"/>
    </row>
    <row r="27" spans="2:66" ht="19.149999999999999" customHeight="1">
      <c r="B27" s="82" t="s">
        <v>106</v>
      </c>
      <c r="C27" s="46" t="s">
        <v>215</v>
      </c>
      <c r="D27" s="83" t="s">
        <v>50</v>
      </c>
      <c r="E27" s="84">
        <v>0.13500000000000001</v>
      </c>
      <c r="F27" s="85">
        <v>5.0000000000000001E-3</v>
      </c>
      <c r="G27" s="85">
        <v>-5.0000000000000001E-3</v>
      </c>
      <c r="H27" s="86" t="s">
        <v>99</v>
      </c>
      <c r="I27" s="87" t="s">
        <v>87</v>
      </c>
      <c r="J27" s="88">
        <v>0.14000000000000001</v>
      </c>
      <c r="K27" s="88">
        <v>0.13</v>
      </c>
      <c r="L27" s="89"/>
      <c r="M27" s="90">
        <f t="shared" si="0"/>
        <v>0</v>
      </c>
      <c r="N27" s="90">
        <f t="shared" si="1"/>
        <v>0</v>
      </c>
      <c r="O27" s="90">
        <f t="shared" si="2"/>
        <v>0</v>
      </c>
      <c r="P27" s="91">
        <f t="shared" si="3"/>
        <v>0</v>
      </c>
      <c r="Q27" s="92" t="str">
        <f t="shared" si="4"/>
        <v/>
      </c>
      <c r="R27" s="93" t="str">
        <f>IF(OR($AI27="",ISNUMBER($AI27)=FALSE),"",IF(AND(#REF!="Tolerance",$E27&lt;&gt;""),($O27-$E27)/(($J27-$K27)/2),IF(AND(#REF!="GD&amp;T",$F27&lt;&gt;""),$O27/$F27,"")))</f>
        <v/>
      </c>
      <c r="S27" s="93" t="str">
        <f t="shared" si="11"/>
        <v/>
      </c>
      <c r="T27" s="92" t="str">
        <f t="shared" si="5"/>
        <v/>
      </c>
      <c r="U27" s="92" t="str">
        <f t="shared" si="6"/>
        <v/>
      </c>
      <c r="V27" s="92" t="str">
        <f t="shared" si="7"/>
        <v/>
      </c>
      <c r="W27" s="38" t="str">
        <f t="shared" si="8"/>
        <v/>
      </c>
      <c r="X27" s="39"/>
      <c r="Y27" s="39"/>
      <c r="Z27" s="39"/>
      <c r="AA27" s="39"/>
      <c r="AB27" s="94"/>
      <c r="AC27" s="95" t="str">
        <f t="shared" si="12"/>
        <v/>
      </c>
      <c r="AD27" s="125"/>
      <c r="AE27" s="96"/>
      <c r="AF27" s="96"/>
      <c r="AG27" s="97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</row>
    <row r="28" spans="2:66" ht="19.149999999999999" customHeight="1">
      <c r="B28" s="82" t="s">
        <v>103</v>
      </c>
      <c r="C28" s="46" t="s">
        <v>216</v>
      </c>
      <c r="D28" s="83" t="s">
        <v>46</v>
      </c>
      <c r="E28" s="84">
        <v>7.0000000000000007E-2</v>
      </c>
      <c r="F28" s="85">
        <v>0.03</v>
      </c>
      <c r="G28" s="85">
        <v>-0.03</v>
      </c>
      <c r="H28" s="86" t="s">
        <v>49</v>
      </c>
      <c r="I28" s="87" t="s">
        <v>87</v>
      </c>
      <c r="J28" s="88">
        <v>0.1</v>
      </c>
      <c r="K28" s="88">
        <v>4.0000000000000008E-2</v>
      </c>
      <c r="L28" s="89"/>
      <c r="M28" s="90">
        <f t="shared" si="0"/>
        <v>0</v>
      </c>
      <c r="N28" s="90">
        <f t="shared" si="1"/>
        <v>0</v>
      </c>
      <c r="O28" s="90">
        <f t="shared" si="2"/>
        <v>0</v>
      </c>
      <c r="P28" s="91">
        <f t="shared" si="3"/>
        <v>0</v>
      </c>
      <c r="Q28" s="92" t="str">
        <f t="shared" si="4"/>
        <v/>
      </c>
      <c r="R28" s="93" t="str">
        <f>IF(OR($AI28="",ISNUMBER($AI28)=FALSE),"",IF(AND(#REF!="Tolerance",$E28&lt;&gt;""),($O28-$E28)/(($J28-$K28)/2),IF(AND(#REF!="GD&amp;T",$F28&lt;&gt;""),$O28/$F28,"")))</f>
        <v/>
      </c>
      <c r="S28" s="93" t="str">
        <f t="shared" si="11"/>
        <v/>
      </c>
      <c r="T28" s="92" t="str">
        <f t="shared" si="5"/>
        <v/>
      </c>
      <c r="U28" s="92" t="str">
        <f t="shared" si="6"/>
        <v/>
      </c>
      <c r="V28" s="92" t="str">
        <f t="shared" si="7"/>
        <v/>
      </c>
      <c r="W28" s="38" t="str">
        <f t="shared" si="8"/>
        <v/>
      </c>
      <c r="X28" s="39"/>
      <c r="Y28" s="39"/>
      <c r="Z28" s="39"/>
      <c r="AA28" s="39"/>
      <c r="AB28" s="94"/>
      <c r="AC28" s="95" t="str">
        <f t="shared" si="12"/>
        <v/>
      </c>
      <c r="AD28" s="125"/>
      <c r="AE28" s="96"/>
      <c r="AF28" s="96"/>
      <c r="AG28" s="97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  <c r="BM28" s="114"/>
      <c r="BN28" s="114"/>
    </row>
    <row r="29" spans="2:66" ht="19.149999999999999" customHeight="1">
      <c r="B29" s="82" t="s">
        <v>103</v>
      </c>
      <c r="C29" s="46" t="s">
        <v>217</v>
      </c>
      <c r="D29" s="83" t="s">
        <v>46</v>
      </c>
      <c r="E29" s="84">
        <v>7.0000000000000007E-2</v>
      </c>
      <c r="F29" s="85">
        <v>0.03</v>
      </c>
      <c r="G29" s="85">
        <v>-0.03</v>
      </c>
      <c r="H29" s="86" t="s">
        <v>49</v>
      </c>
      <c r="I29" s="87" t="s">
        <v>87</v>
      </c>
      <c r="J29" s="88">
        <v>0.1</v>
      </c>
      <c r="K29" s="88">
        <v>4.0000000000000008E-2</v>
      </c>
      <c r="L29" s="89"/>
      <c r="M29" s="90">
        <f t="shared" si="0"/>
        <v>0</v>
      </c>
      <c r="N29" s="90">
        <f t="shared" si="1"/>
        <v>0</v>
      </c>
      <c r="O29" s="90">
        <f t="shared" si="2"/>
        <v>0</v>
      </c>
      <c r="P29" s="91">
        <f t="shared" si="3"/>
        <v>0</v>
      </c>
      <c r="Q29" s="92" t="str">
        <f t="shared" si="4"/>
        <v/>
      </c>
      <c r="R29" s="93" t="str">
        <f>IF(OR($AI29="",ISNUMBER($AI29)=FALSE),"",IF(AND(#REF!="Tolerance",$E29&lt;&gt;""),($O29-$E29)/(($J29-$K29)/2),IF(AND(#REF!="GD&amp;T",$F29&lt;&gt;""),$O29/$F29,"")))</f>
        <v/>
      </c>
      <c r="S29" s="93" t="str">
        <f t="shared" si="11"/>
        <v/>
      </c>
      <c r="T29" s="92" t="str">
        <f t="shared" si="5"/>
        <v/>
      </c>
      <c r="U29" s="92" t="str">
        <f t="shared" si="6"/>
        <v/>
      </c>
      <c r="V29" s="92" t="str">
        <f t="shared" si="7"/>
        <v/>
      </c>
      <c r="W29" s="38" t="str">
        <f t="shared" si="8"/>
        <v/>
      </c>
      <c r="X29" s="39"/>
      <c r="Y29" s="39"/>
      <c r="Z29" s="39"/>
      <c r="AA29" s="39"/>
      <c r="AB29" s="94"/>
      <c r="AC29" s="95" t="str">
        <f t="shared" si="12"/>
        <v/>
      </c>
      <c r="AD29" s="125"/>
      <c r="AE29" s="96"/>
      <c r="AF29" s="96"/>
      <c r="AG29" s="97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4"/>
    </row>
    <row r="30" spans="2:66" ht="19.149999999999999" customHeight="1">
      <c r="B30" s="82" t="s">
        <v>104</v>
      </c>
      <c r="C30" s="46" t="s">
        <v>218</v>
      </c>
      <c r="D30" s="83" t="s">
        <v>46</v>
      </c>
      <c r="E30" s="84">
        <v>7.0000000000000007E-2</v>
      </c>
      <c r="F30" s="85">
        <v>0.03</v>
      </c>
      <c r="G30" s="85">
        <v>-0.03</v>
      </c>
      <c r="H30" s="86" t="s">
        <v>49</v>
      </c>
      <c r="I30" s="87" t="s">
        <v>87</v>
      </c>
      <c r="J30" s="88">
        <v>0.1</v>
      </c>
      <c r="K30" s="88">
        <v>4.0000000000000008E-2</v>
      </c>
      <c r="L30" s="89"/>
      <c r="M30" s="90">
        <f t="shared" si="0"/>
        <v>0</v>
      </c>
      <c r="N30" s="90">
        <f t="shared" si="1"/>
        <v>0</v>
      </c>
      <c r="O30" s="90">
        <f t="shared" si="2"/>
        <v>0</v>
      </c>
      <c r="P30" s="91">
        <f t="shared" si="3"/>
        <v>0</v>
      </c>
      <c r="Q30" s="92" t="str">
        <f t="shared" si="4"/>
        <v/>
      </c>
      <c r="R30" s="93" t="str">
        <f>IF(OR($AI30="",ISNUMBER($AI30)=FALSE),"",IF(AND(#REF!="Tolerance",$E30&lt;&gt;""),($O30-$E30)/(($J30-$K30)/2),IF(AND(#REF!="GD&amp;T",$F30&lt;&gt;""),$O30/$F30,"")))</f>
        <v/>
      </c>
      <c r="S30" s="93" t="str">
        <f t="shared" si="11"/>
        <v/>
      </c>
      <c r="T30" s="92" t="str">
        <f t="shared" si="5"/>
        <v/>
      </c>
      <c r="U30" s="92" t="str">
        <f t="shared" si="6"/>
        <v/>
      </c>
      <c r="V30" s="92" t="str">
        <f t="shared" si="7"/>
        <v/>
      </c>
      <c r="W30" s="38" t="str">
        <f t="shared" si="8"/>
        <v/>
      </c>
      <c r="X30" s="39" t="e">
        <f>IF($O30="","",IF(#REF!="Tolerance",IF((#REF!*3*P30+O30)-E30&lt;F30,"",(#REF!*3*P30+O30)-E30),IF(OR(#REF!="GD&amp;T",#REF!="MAX"),IF((#REF!*3*P30+O30)&lt;F30,"",(#REF!*3*P30+O30)),"")))</f>
        <v>#REF!</v>
      </c>
      <c r="Y30" s="39" t="e">
        <f>IF(O30="","",IF(#REF!="Tolerance",IF(-((#REF!*3*P30)-O30)-E30&gt;G30,"",-((#REF!*3*P30)-O30)-E30),IF(#REF!="MIN",IF(-((#REF!*3*P30)-O30)&gt;G30,"",-((#REF!*3*P30)-O30)),"")))</f>
        <v>#REF!</v>
      </c>
      <c r="Z30" s="39">
        <f t="shared" ref="Z30:Z37" si="13">IF(OR(E30="",O30=""),"",(J30+K30)/2-O30)</f>
        <v>7.0000000000000007E-2</v>
      </c>
      <c r="AA30" s="39" t="str">
        <f t="shared" si="10"/>
        <v/>
      </c>
      <c r="AB30" s="94"/>
      <c r="AC30" s="95" t="str">
        <f t="shared" si="12"/>
        <v/>
      </c>
      <c r="AD30" s="125"/>
      <c r="AE30" s="96"/>
      <c r="AF30" s="96"/>
      <c r="AG30" s="97"/>
      <c r="AI30" s="114"/>
      <c r="AJ30" s="114"/>
      <c r="AK30" s="114"/>
      <c r="AL30" s="114"/>
      <c r="AM30" s="114"/>
      <c r="AN30" s="114"/>
      <c r="AO30" s="114"/>
      <c r="AP30" s="114"/>
      <c r="AQ30" s="114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4"/>
      <c r="BK30" s="114"/>
      <c r="BL30" s="114"/>
      <c r="BM30" s="114"/>
      <c r="BN30" s="114"/>
    </row>
    <row r="31" spans="2:66" ht="19.149999999999999" customHeight="1">
      <c r="B31" s="82" t="s">
        <v>104</v>
      </c>
      <c r="C31" s="46" t="s">
        <v>219</v>
      </c>
      <c r="D31" s="83" t="s">
        <v>46</v>
      </c>
      <c r="E31" s="84">
        <v>7.0000000000000007E-2</v>
      </c>
      <c r="F31" s="85">
        <v>0.03</v>
      </c>
      <c r="G31" s="85">
        <v>-0.03</v>
      </c>
      <c r="H31" s="86" t="s">
        <v>49</v>
      </c>
      <c r="I31" s="87" t="s">
        <v>87</v>
      </c>
      <c r="J31" s="88">
        <v>0.1</v>
      </c>
      <c r="K31" s="88">
        <v>4.0000000000000008E-2</v>
      </c>
      <c r="L31" s="89"/>
      <c r="M31" s="90">
        <f t="shared" si="0"/>
        <v>0</v>
      </c>
      <c r="N31" s="90">
        <f t="shared" si="1"/>
        <v>0</v>
      </c>
      <c r="O31" s="90">
        <f t="shared" si="2"/>
        <v>0</v>
      </c>
      <c r="P31" s="91">
        <f t="shared" si="3"/>
        <v>0</v>
      </c>
      <c r="Q31" s="92" t="str">
        <f t="shared" si="4"/>
        <v/>
      </c>
      <c r="R31" s="93" t="str">
        <f>IF(OR($AI31="",ISNUMBER($AI31)=FALSE),"",IF(AND(#REF!="Tolerance",$E31&lt;&gt;""),($O31-$E31)/(($J31-$K31)/2),IF(AND(#REF!="GD&amp;T",$F31&lt;&gt;""),$O31/$F31,"")))</f>
        <v/>
      </c>
      <c r="S31" s="93" t="str">
        <f t="shared" si="11"/>
        <v/>
      </c>
      <c r="T31" s="92" t="str">
        <f t="shared" si="5"/>
        <v/>
      </c>
      <c r="U31" s="92" t="str">
        <f t="shared" si="6"/>
        <v/>
      </c>
      <c r="V31" s="92" t="str">
        <f t="shared" si="7"/>
        <v/>
      </c>
      <c r="W31" s="38" t="str">
        <f t="shared" si="8"/>
        <v/>
      </c>
      <c r="X31" s="39" t="e">
        <f>IF($O31="","",IF(#REF!="Tolerance",IF((#REF!*3*P31+O31)-E31&lt;F31,"",(#REF!*3*P31+O31)-E31),IF(OR(#REF!="GD&amp;T",#REF!="MAX"),IF((#REF!*3*P31+O31)&lt;F31,"",(#REF!*3*P31+O31)),"")))</f>
        <v>#REF!</v>
      </c>
      <c r="Y31" s="39" t="e">
        <f>IF(O31="","",IF(#REF!="Tolerance",IF(-((#REF!*3*P31)-O31)-E31&gt;G31,"",-((#REF!*3*P31)-O31)-E31),IF(#REF!="MIN",IF(-((#REF!*3*P31)-O31)&gt;G31,"",-((#REF!*3*P31)-O31)),"")))</f>
        <v>#REF!</v>
      </c>
      <c r="Z31" s="39">
        <f t="shared" si="13"/>
        <v>7.0000000000000007E-2</v>
      </c>
      <c r="AA31" s="39" t="str">
        <f t="shared" si="10"/>
        <v/>
      </c>
      <c r="AB31" s="94"/>
      <c r="AC31" s="95" t="str">
        <f t="shared" si="12"/>
        <v/>
      </c>
      <c r="AD31" s="125"/>
      <c r="AE31" s="96"/>
      <c r="AF31" s="96"/>
      <c r="AG31" s="97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</row>
    <row r="32" spans="2:66" ht="19.149999999999999" customHeight="1">
      <c r="B32" s="82" t="s">
        <v>105</v>
      </c>
      <c r="C32" s="46" t="s">
        <v>220</v>
      </c>
      <c r="D32" s="83" t="s">
        <v>46</v>
      </c>
      <c r="E32" s="84">
        <v>7.0000000000000007E-2</v>
      </c>
      <c r="F32" s="85">
        <v>0.03</v>
      </c>
      <c r="G32" s="85">
        <v>-0.03</v>
      </c>
      <c r="H32" s="86" t="s">
        <v>49</v>
      </c>
      <c r="I32" s="87" t="s">
        <v>87</v>
      </c>
      <c r="J32" s="88">
        <v>0.1</v>
      </c>
      <c r="K32" s="88">
        <v>4.0000000000000008E-2</v>
      </c>
      <c r="L32" s="89"/>
      <c r="M32" s="90">
        <f t="shared" si="0"/>
        <v>0</v>
      </c>
      <c r="N32" s="90">
        <f t="shared" si="1"/>
        <v>0</v>
      </c>
      <c r="O32" s="90">
        <f t="shared" si="2"/>
        <v>0</v>
      </c>
      <c r="P32" s="91">
        <f t="shared" si="3"/>
        <v>0</v>
      </c>
      <c r="Q32" s="92" t="str">
        <f t="shared" si="4"/>
        <v/>
      </c>
      <c r="R32" s="93" t="str">
        <f>IF(OR($AI32="",ISNUMBER($AI32)=FALSE),"",IF(AND(#REF!="Tolerance",$E32&lt;&gt;""),($O32-$E32)/(($J32-$K32)/2),IF(AND(#REF!="GD&amp;T",$F32&lt;&gt;""),$O32/$F32,"")))</f>
        <v/>
      </c>
      <c r="S32" s="93" t="str">
        <f t="shared" si="11"/>
        <v/>
      </c>
      <c r="T32" s="92" t="str">
        <f t="shared" si="5"/>
        <v/>
      </c>
      <c r="U32" s="92" t="str">
        <f t="shared" si="6"/>
        <v/>
      </c>
      <c r="V32" s="92" t="str">
        <f t="shared" si="7"/>
        <v/>
      </c>
      <c r="W32" s="38" t="str">
        <f t="shared" si="8"/>
        <v/>
      </c>
      <c r="X32" s="39" t="e">
        <f>IF($O32="","",IF(#REF!="Tolerance",IF((#REF!*3*P32+O32)-E32&lt;F32,"",(#REF!*3*P32+O32)-E32),IF(OR(#REF!="GD&amp;T",#REF!="MAX"),IF((#REF!*3*P32+O32)&lt;F32,"",(#REF!*3*P32+O32)),"")))</f>
        <v>#REF!</v>
      </c>
      <c r="Y32" s="39" t="e">
        <f>IF(O32="","",IF(#REF!="Tolerance",IF(-((#REF!*3*P32)-O32)-E32&gt;G32,"",-((#REF!*3*P32)-O32)-E32),IF(#REF!="MIN",IF(-((#REF!*3*P32)-O32)&gt;G32,"",-((#REF!*3*P32)-O32)),"")))</f>
        <v>#REF!</v>
      </c>
      <c r="Z32" s="39">
        <f t="shared" si="13"/>
        <v>7.0000000000000007E-2</v>
      </c>
      <c r="AA32" s="39" t="str">
        <f t="shared" si="10"/>
        <v/>
      </c>
      <c r="AB32" s="94"/>
      <c r="AC32" s="95" t="str">
        <f t="shared" si="12"/>
        <v/>
      </c>
      <c r="AD32" s="125"/>
      <c r="AE32" s="96"/>
      <c r="AF32" s="96"/>
      <c r="AG32" s="97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</row>
    <row r="33" spans="2:66" ht="19.149999999999999" customHeight="1">
      <c r="B33" s="82" t="s">
        <v>105</v>
      </c>
      <c r="C33" s="46" t="s">
        <v>221</v>
      </c>
      <c r="D33" s="83" t="s">
        <v>46</v>
      </c>
      <c r="E33" s="84">
        <v>7.0000000000000007E-2</v>
      </c>
      <c r="F33" s="85">
        <v>0.03</v>
      </c>
      <c r="G33" s="85">
        <v>-0.03</v>
      </c>
      <c r="H33" s="86" t="s">
        <v>49</v>
      </c>
      <c r="I33" s="87" t="s">
        <v>87</v>
      </c>
      <c r="J33" s="88">
        <v>0.1</v>
      </c>
      <c r="K33" s="88">
        <v>4.0000000000000008E-2</v>
      </c>
      <c r="L33" s="89"/>
      <c r="M33" s="90">
        <f t="shared" si="0"/>
        <v>0</v>
      </c>
      <c r="N33" s="90">
        <f t="shared" si="1"/>
        <v>0</v>
      </c>
      <c r="O33" s="90">
        <f t="shared" si="2"/>
        <v>0</v>
      </c>
      <c r="P33" s="91">
        <f t="shared" si="3"/>
        <v>0</v>
      </c>
      <c r="Q33" s="92" t="str">
        <f t="shared" si="4"/>
        <v/>
      </c>
      <c r="R33" s="93" t="str">
        <f>IF(OR($AI33="",ISNUMBER($AI33)=FALSE),"",IF(AND(#REF!="Tolerance",$E33&lt;&gt;""),($O33-$E33)/(($J33-$K33)/2),IF(AND(#REF!="GD&amp;T",$F33&lt;&gt;""),$O33/$F33,"")))</f>
        <v/>
      </c>
      <c r="S33" s="93" t="str">
        <f t="shared" si="11"/>
        <v/>
      </c>
      <c r="T33" s="92" t="str">
        <f t="shared" si="5"/>
        <v/>
      </c>
      <c r="U33" s="92" t="str">
        <f t="shared" si="6"/>
        <v/>
      </c>
      <c r="V33" s="92" t="str">
        <f t="shared" si="7"/>
        <v/>
      </c>
      <c r="W33" s="38" t="str">
        <f t="shared" si="8"/>
        <v/>
      </c>
      <c r="X33" s="39" t="e">
        <f>IF($O33="","",IF(#REF!="Tolerance",IF((#REF!*3*P33+O33)-E33&lt;F33,"",(#REF!*3*P33+O33)-E33),IF(OR(#REF!="GD&amp;T",#REF!="MAX"),IF((#REF!*3*P33+O33)&lt;F33,"",(#REF!*3*P33+O33)),"")))</f>
        <v>#REF!</v>
      </c>
      <c r="Y33" s="39" t="e">
        <f>IF(O33="","",IF(#REF!="Tolerance",IF(-((#REF!*3*P33)-O33)-E33&gt;G33,"",-((#REF!*3*P33)-O33)-E33),IF(#REF!="MIN",IF(-((#REF!*3*P33)-O33)&gt;G33,"",-((#REF!*3*P33)-O33)),"")))</f>
        <v>#REF!</v>
      </c>
      <c r="Z33" s="39">
        <f t="shared" si="13"/>
        <v>7.0000000000000007E-2</v>
      </c>
      <c r="AA33" s="39" t="str">
        <f t="shared" si="10"/>
        <v/>
      </c>
      <c r="AB33" s="94"/>
      <c r="AC33" s="95" t="str">
        <f t="shared" si="12"/>
        <v/>
      </c>
      <c r="AD33" s="125"/>
      <c r="AE33" s="96"/>
      <c r="AF33" s="96"/>
      <c r="AG33" s="97"/>
      <c r="AI33" s="114"/>
      <c r="AJ33" s="114"/>
      <c r="AK33" s="114"/>
      <c r="AL33" s="114"/>
      <c r="AM33" s="114"/>
      <c r="AN33" s="114"/>
      <c r="AO33" s="114"/>
      <c r="AP33" s="114"/>
      <c r="AQ33" s="114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4"/>
      <c r="BM33" s="114"/>
      <c r="BN33" s="114"/>
    </row>
    <row r="34" spans="2:66" ht="19.149999999999999" customHeight="1">
      <c r="B34" s="82" t="s">
        <v>96</v>
      </c>
      <c r="C34" s="46" t="s">
        <v>222</v>
      </c>
      <c r="D34" s="83" t="s">
        <v>50</v>
      </c>
      <c r="E34" s="84">
        <v>0.13500000000000001</v>
      </c>
      <c r="F34" s="85">
        <v>5.0000000000000001E-3</v>
      </c>
      <c r="G34" s="85">
        <v>-5.0000000000000001E-3</v>
      </c>
      <c r="H34" s="86" t="s">
        <v>99</v>
      </c>
      <c r="I34" s="87" t="s">
        <v>87</v>
      </c>
      <c r="J34" s="88">
        <v>0.14000000000000001</v>
      </c>
      <c r="K34" s="88">
        <v>0.13</v>
      </c>
      <c r="L34" s="89"/>
      <c r="M34" s="90">
        <f t="shared" si="0"/>
        <v>0</v>
      </c>
      <c r="N34" s="90">
        <f t="shared" si="1"/>
        <v>0</v>
      </c>
      <c r="O34" s="90">
        <f t="shared" si="2"/>
        <v>0</v>
      </c>
      <c r="P34" s="91">
        <f t="shared" si="3"/>
        <v>0</v>
      </c>
      <c r="Q34" s="92" t="str">
        <f t="shared" si="4"/>
        <v/>
      </c>
      <c r="R34" s="93" t="str">
        <f>IF(OR($AI34="",ISNUMBER($AI34)=FALSE),"",IF(AND(#REF!="Tolerance",$E34&lt;&gt;""),($O34-$E34)/(($J34-$K34)/2),IF(AND(#REF!="GD&amp;T",$F34&lt;&gt;""),$O34/$F34,"")))</f>
        <v/>
      </c>
      <c r="S34" s="93" t="str">
        <f t="shared" si="11"/>
        <v/>
      </c>
      <c r="T34" s="92" t="str">
        <f t="shared" si="5"/>
        <v/>
      </c>
      <c r="U34" s="92" t="str">
        <f t="shared" si="6"/>
        <v/>
      </c>
      <c r="V34" s="92" t="str">
        <f t="shared" si="7"/>
        <v/>
      </c>
      <c r="W34" s="38" t="str">
        <f t="shared" si="8"/>
        <v/>
      </c>
      <c r="X34" s="39" t="e">
        <f>IF($O34="","",IF(#REF!="Tolerance",IF((#REF!*3*P34+O34)-E34&lt;F34,"",(#REF!*3*P34+O34)-E34),IF(OR(#REF!="GD&amp;T",#REF!="MAX"),IF((#REF!*3*P34+O34)&lt;F34,"",(#REF!*3*P34+O34)),"")))</f>
        <v>#REF!</v>
      </c>
      <c r="Y34" s="39" t="e">
        <f>IF(O34="","",IF(#REF!="Tolerance",IF(-((#REF!*3*P34)-O34)-E34&gt;G34,"",-((#REF!*3*P34)-O34)-E34),IF(#REF!="MIN",IF(-((#REF!*3*P34)-O34)&gt;G34,"",-((#REF!*3*P34)-O34)),"")))</f>
        <v>#REF!</v>
      </c>
      <c r="Z34" s="39">
        <f t="shared" si="13"/>
        <v>0.13500000000000001</v>
      </c>
      <c r="AA34" s="39" t="str">
        <f t="shared" si="10"/>
        <v/>
      </c>
      <c r="AB34" s="94"/>
      <c r="AC34" s="95" t="str">
        <f t="shared" si="12"/>
        <v/>
      </c>
      <c r="AD34" s="125"/>
      <c r="AE34" s="96"/>
      <c r="AF34" s="96"/>
      <c r="AG34" s="97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114"/>
      <c r="BL34" s="114"/>
      <c r="BM34" s="114"/>
      <c r="BN34" s="114"/>
    </row>
    <row r="35" spans="2:66" ht="19.149999999999999" customHeight="1">
      <c r="B35" s="82" t="s">
        <v>96</v>
      </c>
      <c r="C35" s="46" t="s">
        <v>223</v>
      </c>
      <c r="D35" s="83" t="s">
        <v>50</v>
      </c>
      <c r="E35" s="84">
        <v>0.13500000000000001</v>
      </c>
      <c r="F35" s="85">
        <v>5.0000000000000001E-3</v>
      </c>
      <c r="G35" s="85">
        <v>-5.0000000000000001E-3</v>
      </c>
      <c r="H35" s="86" t="s">
        <v>99</v>
      </c>
      <c r="I35" s="87" t="s">
        <v>87</v>
      </c>
      <c r="J35" s="88">
        <v>0.14000000000000001</v>
      </c>
      <c r="K35" s="88">
        <v>0.13</v>
      </c>
      <c r="L35" s="89"/>
      <c r="M35" s="90">
        <f t="shared" si="0"/>
        <v>0</v>
      </c>
      <c r="N35" s="90">
        <f t="shared" si="1"/>
        <v>0</v>
      </c>
      <c r="O35" s="90">
        <f t="shared" si="2"/>
        <v>0</v>
      </c>
      <c r="P35" s="91">
        <f t="shared" si="3"/>
        <v>0</v>
      </c>
      <c r="Q35" s="92" t="str">
        <f t="shared" si="4"/>
        <v/>
      </c>
      <c r="R35" s="93" t="str">
        <f>IF(OR($AI35="",ISNUMBER($AI35)=FALSE),"",IF(AND(#REF!="Tolerance",$E35&lt;&gt;""),($O35-$E35)/(($J35-$K35)/2),IF(AND(#REF!="GD&amp;T",$F35&lt;&gt;""),$O35/$F35,"")))</f>
        <v/>
      </c>
      <c r="S35" s="93" t="str">
        <f t="shared" si="11"/>
        <v/>
      </c>
      <c r="T35" s="92" t="str">
        <f t="shared" si="5"/>
        <v/>
      </c>
      <c r="U35" s="92" t="str">
        <f t="shared" si="6"/>
        <v/>
      </c>
      <c r="V35" s="92" t="str">
        <f t="shared" si="7"/>
        <v/>
      </c>
      <c r="W35" s="38" t="str">
        <f t="shared" si="8"/>
        <v/>
      </c>
      <c r="X35" s="39" t="e">
        <f>IF($O35="","",IF(#REF!="Tolerance",IF((#REF!*3*P35+O35)-E35&lt;F35,"",(#REF!*3*P35+O35)-E35),IF(OR(#REF!="GD&amp;T",#REF!="MAX"),IF((#REF!*3*P35+O35)&lt;F35,"",(#REF!*3*P35+O35)),"")))</f>
        <v>#REF!</v>
      </c>
      <c r="Y35" s="39" t="e">
        <f>IF(O35="","",IF(#REF!="Tolerance",IF(-((#REF!*3*P35)-O35)-E35&gt;G35,"",-((#REF!*3*P35)-O35)-E35),IF(#REF!="MIN",IF(-((#REF!*3*P35)-O35)&gt;G35,"",-((#REF!*3*P35)-O35)),"")))</f>
        <v>#REF!</v>
      </c>
      <c r="Z35" s="39">
        <f t="shared" si="13"/>
        <v>0.13500000000000001</v>
      </c>
      <c r="AA35" s="39" t="str">
        <f t="shared" si="10"/>
        <v/>
      </c>
      <c r="AB35" s="94"/>
      <c r="AC35" s="95" t="str">
        <f t="shared" si="12"/>
        <v/>
      </c>
      <c r="AD35" s="125"/>
      <c r="AE35" s="96"/>
      <c r="AF35" s="96"/>
      <c r="AG35" s="97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4"/>
      <c r="BF35" s="114"/>
      <c r="BG35" s="114"/>
      <c r="BH35" s="114"/>
      <c r="BI35" s="114"/>
      <c r="BJ35" s="114"/>
      <c r="BK35" s="114"/>
      <c r="BL35" s="114"/>
      <c r="BM35" s="114"/>
      <c r="BN35" s="114"/>
    </row>
    <row r="36" spans="2:66" ht="19.149999999999999" customHeight="1">
      <c r="B36" s="82" t="s">
        <v>97</v>
      </c>
      <c r="C36" s="46" t="s">
        <v>224</v>
      </c>
      <c r="D36" s="83" t="s">
        <v>50</v>
      </c>
      <c r="E36" s="84">
        <v>0.13500000000000001</v>
      </c>
      <c r="F36" s="85">
        <v>5.0000000000000001E-3</v>
      </c>
      <c r="G36" s="85">
        <v>-5.0000000000000001E-3</v>
      </c>
      <c r="H36" s="86" t="s">
        <v>99</v>
      </c>
      <c r="I36" s="87" t="s">
        <v>87</v>
      </c>
      <c r="J36" s="88">
        <v>0.14000000000000001</v>
      </c>
      <c r="K36" s="88">
        <v>0.13</v>
      </c>
      <c r="L36" s="89"/>
      <c r="M36" s="90">
        <f t="shared" si="0"/>
        <v>0</v>
      </c>
      <c r="N36" s="90">
        <f t="shared" si="1"/>
        <v>0</v>
      </c>
      <c r="O36" s="90">
        <f t="shared" si="2"/>
        <v>0</v>
      </c>
      <c r="P36" s="91">
        <f t="shared" si="3"/>
        <v>0</v>
      </c>
      <c r="Q36" s="92" t="str">
        <f t="shared" si="4"/>
        <v/>
      </c>
      <c r="R36" s="93" t="str">
        <f>IF(OR($AI36="",ISNUMBER($AI36)=FALSE),"",IF(AND(#REF!="Tolerance",$E36&lt;&gt;""),($O36-$E36)/(($J36-$K36)/2),IF(AND(#REF!="GD&amp;T",$F36&lt;&gt;""),$O36/$F36,"")))</f>
        <v/>
      </c>
      <c r="S36" s="93" t="str">
        <f t="shared" si="11"/>
        <v/>
      </c>
      <c r="T36" s="92" t="str">
        <f t="shared" si="5"/>
        <v/>
      </c>
      <c r="U36" s="92" t="str">
        <f t="shared" si="6"/>
        <v/>
      </c>
      <c r="V36" s="92" t="str">
        <f t="shared" si="7"/>
        <v/>
      </c>
      <c r="W36" s="38" t="str">
        <f t="shared" si="8"/>
        <v/>
      </c>
      <c r="X36" s="39" t="e">
        <f>IF($O36="","",IF(#REF!="Tolerance",IF((#REF!*3*P36+O36)-E36&lt;F36,"",(#REF!*3*P36+O36)-E36),IF(OR(#REF!="GD&amp;T",#REF!="MAX"),IF((#REF!*3*P36+O36)&lt;F36,"",(#REF!*3*P36+O36)),"")))</f>
        <v>#REF!</v>
      </c>
      <c r="Y36" s="39" t="e">
        <f>IF(O36="","",IF(#REF!="Tolerance",IF(-((#REF!*3*P36)-O36)-E36&gt;G36,"",-((#REF!*3*P36)-O36)-E36),IF(#REF!="MIN",IF(-((#REF!*3*P36)-O36)&gt;G36,"",-((#REF!*3*P36)-O36)),"")))</f>
        <v>#REF!</v>
      </c>
      <c r="Z36" s="39">
        <f t="shared" si="13"/>
        <v>0.13500000000000001</v>
      </c>
      <c r="AA36" s="39" t="str">
        <f t="shared" si="10"/>
        <v/>
      </c>
      <c r="AB36" s="94"/>
      <c r="AC36" s="95" t="str">
        <f t="shared" si="12"/>
        <v/>
      </c>
      <c r="AD36" s="125"/>
      <c r="AE36" s="96"/>
      <c r="AF36" s="96"/>
      <c r="AG36" s="97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  <c r="AX36" s="114"/>
      <c r="AY36" s="114"/>
      <c r="AZ36" s="114"/>
      <c r="BA36" s="114"/>
      <c r="BB36" s="114"/>
      <c r="BC36" s="114"/>
      <c r="BD36" s="114"/>
      <c r="BE36" s="114"/>
      <c r="BF36" s="114"/>
      <c r="BG36" s="114"/>
      <c r="BH36" s="114"/>
      <c r="BI36" s="114"/>
      <c r="BJ36" s="114"/>
      <c r="BK36" s="114"/>
      <c r="BL36" s="114"/>
      <c r="BM36" s="114"/>
      <c r="BN36" s="114"/>
    </row>
    <row r="37" spans="2:66" ht="19.149999999999999" customHeight="1">
      <c r="B37" s="98" t="s">
        <v>97</v>
      </c>
      <c r="C37" s="46" t="s">
        <v>225</v>
      </c>
      <c r="D37" s="83" t="s">
        <v>50</v>
      </c>
      <c r="E37" s="84">
        <v>0.13500000000000001</v>
      </c>
      <c r="F37" s="85">
        <v>5.0000000000000001E-3</v>
      </c>
      <c r="G37" s="85">
        <v>-5.0000000000000001E-3</v>
      </c>
      <c r="H37" s="86" t="s">
        <v>99</v>
      </c>
      <c r="I37" s="87" t="s">
        <v>87</v>
      </c>
      <c r="J37" s="88">
        <v>0.14000000000000001</v>
      </c>
      <c r="K37" s="88">
        <v>0.13</v>
      </c>
      <c r="L37" s="99"/>
      <c r="M37" s="90">
        <f t="shared" si="0"/>
        <v>0</v>
      </c>
      <c r="N37" s="90">
        <f t="shared" si="1"/>
        <v>0</v>
      </c>
      <c r="O37" s="90">
        <f t="shared" si="2"/>
        <v>0</v>
      </c>
      <c r="P37" s="91">
        <f t="shared" si="3"/>
        <v>0</v>
      </c>
      <c r="Q37" s="92" t="str">
        <f t="shared" si="4"/>
        <v/>
      </c>
      <c r="R37" s="93" t="str">
        <f>IF(OR($AI37="",ISNUMBER($AI37)=FALSE),"",IF(AND(#REF!="Tolerance",$E37&lt;&gt;""),($O37-$E37)/(($J37-$K37)/2),IF(AND(#REF!="GD&amp;T",$F37&lt;&gt;""),$O37/$F37,"")))</f>
        <v/>
      </c>
      <c r="S37" s="93" t="str">
        <f t="shared" si="11"/>
        <v/>
      </c>
      <c r="T37" s="92" t="str">
        <f t="shared" si="5"/>
        <v/>
      </c>
      <c r="U37" s="92" t="str">
        <f t="shared" si="6"/>
        <v/>
      </c>
      <c r="V37" s="92" t="str">
        <f t="shared" si="7"/>
        <v/>
      </c>
      <c r="W37" s="38" t="str">
        <f t="shared" si="8"/>
        <v/>
      </c>
      <c r="X37" s="39" t="e">
        <f>IF($O37="","",IF(#REF!="Tolerance",IF((#REF!*3*P37+O37)-E37&lt;F37,"",(#REF!*3*P37+O37)-E37),IF(OR(#REF!="GD&amp;T",#REF!="MAX"),IF((#REF!*3*P37+O37)&lt;F37,"",(#REF!*3*P37+O37)),"")))</f>
        <v>#REF!</v>
      </c>
      <c r="Y37" s="39" t="e">
        <f>IF(O37="","",IF(#REF!="Tolerance",IF(-((#REF!*3*P37)-O37)-E37&gt;G37,"",-((#REF!*3*P37)-O37)-E37),IF(#REF!="MIN",IF(-((#REF!*3*P37)-O37)&gt;G37,"",-((#REF!*3*P37)-O37)),"")))</f>
        <v>#REF!</v>
      </c>
      <c r="Z37" s="39">
        <f t="shared" si="13"/>
        <v>0.13500000000000001</v>
      </c>
      <c r="AA37" s="39" t="str">
        <f t="shared" si="10"/>
        <v/>
      </c>
      <c r="AB37" s="94"/>
      <c r="AC37" s="95" t="str">
        <f t="shared" si="12"/>
        <v/>
      </c>
      <c r="AD37" s="125"/>
      <c r="AE37" s="96"/>
      <c r="AF37" s="96"/>
      <c r="AG37" s="97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</row>
    <row r="38" spans="2:66" ht="19.149999999999999" customHeight="1">
      <c r="B38" s="100"/>
      <c r="C38" s="21"/>
      <c r="D38" s="101"/>
      <c r="E38" s="102"/>
      <c r="F38" s="103"/>
      <c r="G38" s="103"/>
      <c r="H38" s="104"/>
      <c r="I38" s="104"/>
      <c r="J38" s="27"/>
      <c r="K38" s="27"/>
      <c r="L38" s="105"/>
      <c r="M38" s="106"/>
      <c r="N38" s="106"/>
      <c r="O38" s="106"/>
      <c r="P38" s="107"/>
      <c r="Q38" s="108"/>
      <c r="R38" s="109"/>
      <c r="S38" s="109"/>
      <c r="T38" s="108"/>
      <c r="U38" s="108"/>
      <c r="V38" s="108"/>
      <c r="W38" s="40"/>
      <c r="X38" s="41"/>
      <c r="Y38" s="41"/>
      <c r="Z38" s="41"/>
      <c r="AA38" s="41"/>
      <c r="AB38" s="110"/>
      <c r="AC38" s="96"/>
      <c r="AD38" s="124"/>
      <c r="AE38" s="96"/>
      <c r="AF38" s="96"/>
      <c r="AG38" s="96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  <c r="BL38" s="112"/>
      <c r="BM38" s="112"/>
      <c r="BN38" s="112"/>
    </row>
    <row r="39" spans="2:66" ht="19.149999999999999" customHeight="1">
      <c r="B39" s="100"/>
      <c r="C39" s="21"/>
      <c r="D39" s="101"/>
      <c r="E39" s="102"/>
      <c r="F39" s="103"/>
      <c r="G39" s="103"/>
      <c r="H39" s="104"/>
      <c r="I39" s="104"/>
      <c r="J39" s="27"/>
      <c r="K39" s="27"/>
      <c r="L39" s="105"/>
      <c r="M39" s="106"/>
      <c r="N39" s="106"/>
      <c r="O39" s="106"/>
      <c r="P39" s="107"/>
      <c r="Q39" s="108"/>
      <c r="R39" s="109"/>
      <c r="S39" s="109"/>
      <c r="T39" s="108"/>
      <c r="U39" s="108"/>
      <c r="V39" s="108"/>
      <c r="W39" s="40"/>
      <c r="X39" s="41"/>
      <c r="Y39" s="41"/>
      <c r="Z39" s="41"/>
      <c r="AA39" s="41"/>
      <c r="AB39" s="110"/>
      <c r="AC39" s="96"/>
      <c r="AD39" s="111"/>
      <c r="AE39" s="96"/>
      <c r="AF39" s="96"/>
      <c r="AG39" s="96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2"/>
    </row>
    <row r="40" spans="2:66" ht="19.149999999999999" customHeight="1">
      <c r="B40" s="100"/>
      <c r="C40" s="21"/>
      <c r="D40" s="101"/>
      <c r="E40" s="102"/>
      <c r="F40" s="103"/>
      <c r="G40" s="103"/>
      <c r="H40" s="104"/>
      <c r="I40" s="104"/>
      <c r="J40" s="27"/>
      <c r="K40" s="27"/>
      <c r="L40" s="105"/>
      <c r="M40" s="106"/>
      <c r="N40" s="106"/>
      <c r="O40" s="106"/>
      <c r="P40" s="107"/>
      <c r="Q40" s="108"/>
      <c r="R40" s="109"/>
      <c r="S40" s="109"/>
      <c r="T40" s="108"/>
      <c r="U40" s="108"/>
      <c r="V40" s="108"/>
      <c r="W40" s="40"/>
      <c r="X40" s="41"/>
      <c r="Y40" s="41"/>
      <c r="Z40" s="41"/>
      <c r="AA40" s="41"/>
      <c r="AB40" s="110"/>
      <c r="AC40" s="96"/>
      <c r="AD40" s="111"/>
      <c r="AE40" s="96"/>
      <c r="AF40" s="96"/>
      <c r="AG40" s="96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  <c r="BM40" s="112"/>
      <c r="BN40" s="112"/>
    </row>
    <row r="41" spans="2:66" ht="19.149999999999999" customHeight="1">
      <c r="B41" s="100"/>
      <c r="C41" s="21"/>
      <c r="D41" s="101"/>
      <c r="E41" s="102"/>
      <c r="F41" s="103"/>
      <c r="G41" s="103"/>
      <c r="H41" s="104"/>
      <c r="I41" s="104"/>
      <c r="J41" s="27"/>
      <c r="K41" s="27"/>
      <c r="L41" s="105"/>
      <c r="M41" s="106"/>
      <c r="N41" s="106"/>
      <c r="O41" s="106"/>
      <c r="P41" s="107"/>
      <c r="Q41" s="108"/>
      <c r="R41" s="109"/>
      <c r="S41" s="109"/>
      <c r="T41" s="108"/>
      <c r="U41" s="108"/>
      <c r="V41" s="108"/>
      <c r="W41" s="40"/>
      <c r="X41" s="41"/>
      <c r="Y41" s="41"/>
      <c r="Z41" s="41"/>
      <c r="AA41" s="41"/>
      <c r="AB41" s="110"/>
      <c r="AC41" s="96"/>
      <c r="AD41" s="111"/>
      <c r="AE41" s="96"/>
      <c r="AF41" s="96"/>
      <c r="AG41" s="96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</row>
    <row r="42" spans="2:66" ht="19.149999999999999" customHeight="1">
      <c r="B42" s="100"/>
      <c r="C42" s="21"/>
      <c r="D42" s="101"/>
      <c r="E42" s="102"/>
      <c r="F42" s="103"/>
      <c r="G42" s="103"/>
      <c r="H42" s="104"/>
      <c r="I42" s="104"/>
      <c r="J42" s="27"/>
      <c r="K42" s="27"/>
      <c r="L42" s="105"/>
      <c r="M42" s="106"/>
      <c r="N42" s="106"/>
      <c r="O42" s="106"/>
      <c r="P42" s="107"/>
      <c r="Q42" s="108"/>
      <c r="R42" s="109"/>
      <c r="S42" s="109"/>
      <c r="T42" s="108"/>
      <c r="U42" s="108"/>
      <c r="V42" s="108"/>
      <c r="W42" s="40"/>
      <c r="X42" s="41"/>
      <c r="Y42" s="41"/>
      <c r="Z42" s="41"/>
      <c r="AA42" s="41"/>
      <c r="AB42" s="110"/>
      <c r="AC42" s="96"/>
      <c r="AD42" s="111"/>
      <c r="AE42" s="96"/>
      <c r="AF42" s="96"/>
      <c r="AG42" s="96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</row>
    <row r="43" spans="2:66" ht="19.149999999999999" customHeight="1">
      <c r="B43" s="100"/>
      <c r="C43" s="21"/>
      <c r="D43" s="101"/>
      <c r="E43" s="102"/>
      <c r="F43" s="103"/>
      <c r="G43" s="103"/>
      <c r="H43" s="104"/>
      <c r="I43" s="104"/>
      <c r="J43" s="27"/>
      <c r="K43" s="27"/>
      <c r="L43" s="105"/>
      <c r="M43" s="106"/>
      <c r="N43" s="106"/>
      <c r="O43" s="106"/>
      <c r="P43" s="107"/>
      <c r="Q43" s="108"/>
      <c r="R43" s="109"/>
      <c r="S43" s="109"/>
      <c r="T43" s="108"/>
      <c r="U43" s="108"/>
      <c r="V43" s="108"/>
      <c r="W43" s="40"/>
      <c r="X43" s="41"/>
      <c r="Y43" s="41"/>
      <c r="Z43" s="41"/>
      <c r="AA43" s="41"/>
      <c r="AB43" s="110"/>
      <c r="AC43" s="96"/>
      <c r="AD43" s="111"/>
      <c r="AE43" s="96"/>
      <c r="AF43" s="96"/>
      <c r="AG43" s="96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  <c r="BM43" s="112"/>
      <c r="BN43" s="112"/>
    </row>
    <row r="44" spans="2:66" ht="19.149999999999999" customHeight="1">
      <c r="B44" s="100"/>
      <c r="C44" s="21"/>
      <c r="D44" s="101"/>
      <c r="E44" s="102"/>
      <c r="F44" s="103"/>
      <c r="G44" s="103"/>
      <c r="H44" s="104"/>
      <c r="I44" s="104"/>
      <c r="J44" s="27"/>
      <c r="K44" s="27"/>
      <c r="L44" s="105"/>
      <c r="M44" s="106"/>
      <c r="N44" s="106"/>
      <c r="O44" s="106"/>
      <c r="P44" s="107"/>
      <c r="Q44" s="108"/>
      <c r="R44" s="109"/>
      <c r="S44" s="109"/>
      <c r="T44" s="108"/>
      <c r="U44" s="108"/>
      <c r="V44" s="108"/>
      <c r="W44" s="40"/>
      <c r="X44" s="41"/>
      <c r="Y44" s="41"/>
      <c r="Z44" s="41"/>
      <c r="AA44" s="41"/>
      <c r="AB44" s="110"/>
      <c r="AC44" s="96"/>
      <c r="AD44" s="111"/>
      <c r="AE44" s="96"/>
      <c r="AF44" s="96"/>
      <c r="AG44" s="96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</row>
    <row r="45" spans="2:66" ht="19.149999999999999" customHeight="1">
      <c r="B45" s="100"/>
      <c r="C45" s="21"/>
      <c r="D45" s="101"/>
      <c r="E45" s="102"/>
      <c r="F45" s="103"/>
      <c r="G45" s="103"/>
      <c r="H45" s="104"/>
      <c r="I45" s="104"/>
      <c r="J45" s="27"/>
      <c r="K45" s="27"/>
      <c r="L45" s="105"/>
      <c r="M45" s="106"/>
      <c r="N45" s="106"/>
      <c r="O45" s="106"/>
      <c r="P45" s="107"/>
      <c r="Q45" s="108"/>
      <c r="R45" s="109"/>
      <c r="S45" s="109"/>
      <c r="T45" s="108"/>
      <c r="U45" s="108"/>
      <c r="V45" s="108"/>
      <c r="W45" s="40"/>
      <c r="X45" s="41"/>
      <c r="Y45" s="41"/>
      <c r="Z45" s="41"/>
      <c r="AA45" s="41"/>
      <c r="AB45" s="110"/>
      <c r="AC45" s="96"/>
      <c r="AD45" s="111"/>
      <c r="AE45" s="96"/>
      <c r="AF45" s="96"/>
      <c r="AG45" s="96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</row>
    <row r="46" spans="2:66" ht="19.149999999999999" customHeight="1">
      <c r="B46" s="100"/>
      <c r="C46" s="21"/>
      <c r="D46" s="101"/>
      <c r="E46" s="102"/>
      <c r="F46" s="103"/>
      <c r="G46" s="103"/>
      <c r="H46" s="104"/>
      <c r="I46" s="104"/>
      <c r="J46" s="27"/>
      <c r="K46" s="27"/>
      <c r="L46" s="105"/>
      <c r="M46" s="106"/>
      <c r="N46" s="106"/>
      <c r="O46" s="106"/>
      <c r="P46" s="107"/>
      <c r="Q46" s="108"/>
      <c r="R46" s="109"/>
      <c r="S46" s="109"/>
      <c r="T46" s="108"/>
      <c r="U46" s="108"/>
      <c r="V46" s="108"/>
      <c r="W46" s="40"/>
      <c r="X46" s="41"/>
      <c r="Y46" s="41"/>
      <c r="Z46" s="41"/>
      <c r="AA46" s="41"/>
      <c r="AB46" s="110"/>
      <c r="AC46" s="96"/>
      <c r="AD46" s="111"/>
      <c r="AE46" s="96"/>
      <c r="AF46" s="96"/>
      <c r="AG46" s="96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</row>
    <row r="47" spans="2:66" ht="19.149999999999999" customHeight="1">
      <c r="B47" s="100"/>
      <c r="C47" s="21"/>
      <c r="D47" s="101"/>
      <c r="E47" s="102"/>
      <c r="F47" s="103"/>
      <c r="G47" s="103"/>
      <c r="H47" s="104"/>
      <c r="I47" s="104"/>
      <c r="J47" s="27"/>
      <c r="K47" s="27"/>
      <c r="L47" s="105"/>
      <c r="M47" s="106"/>
      <c r="N47" s="106"/>
      <c r="O47" s="106"/>
      <c r="P47" s="107"/>
      <c r="Q47" s="108"/>
      <c r="R47" s="109"/>
      <c r="S47" s="109"/>
      <c r="T47" s="108"/>
      <c r="U47" s="108"/>
      <c r="V47" s="108"/>
      <c r="W47" s="40"/>
      <c r="X47" s="41"/>
      <c r="Y47" s="41"/>
      <c r="Z47" s="41"/>
      <c r="AA47" s="41"/>
      <c r="AB47" s="110"/>
      <c r="AC47" s="96"/>
      <c r="AD47" s="111"/>
      <c r="AE47" s="96"/>
      <c r="AF47" s="96"/>
      <c r="AG47" s="96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</row>
    <row r="48" spans="2:66" ht="19.149999999999999" customHeight="1">
      <c r="B48" s="100"/>
      <c r="C48" s="21"/>
      <c r="D48" s="101"/>
      <c r="E48" s="102"/>
      <c r="F48" s="103"/>
      <c r="G48" s="103"/>
      <c r="H48" s="104"/>
      <c r="I48" s="104"/>
      <c r="J48" s="27"/>
      <c r="K48" s="27"/>
      <c r="L48" s="105"/>
      <c r="M48" s="106"/>
      <c r="N48" s="106"/>
      <c r="O48" s="106"/>
      <c r="P48" s="107"/>
      <c r="Q48" s="108"/>
      <c r="R48" s="109"/>
      <c r="S48" s="109"/>
      <c r="T48" s="108"/>
      <c r="U48" s="108"/>
      <c r="V48" s="108"/>
      <c r="W48" s="40"/>
      <c r="X48" s="41"/>
      <c r="Y48" s="41"/>
      <c r="Z48" s="41"/>
      <c r="AA48" s="41"/>
      <c r="AB48" s="110"/>
      <c r="AC48" s="96"/>
      <c r="AD48" s="111"/>
      <c r="AE48" s="96"/>
      <c r="AF48" s="96"/>
      <c r="AG48" s="96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/>
      <c r="BG48" s="112"/>
      <c r="BH48" s="112"/>
      <c r="BI48" s="112"/>
      <c r="BJ48" s="112"/>
      <c r="BK48" s="112"/>
      <c r="BL48" s="112"/>
      <c r="BM48" s="112"/>
      <c r="BN48" s="112"/>
    </row>
    <row r="49" spans="2:66" ht="19.149999999999999" customHeight="1">
      <c r="B49" s="100"/>
      <c r="C49" s="21"/>
      <c r="D49" s="101"/>
      <c r="E49" s="102"/>
      <c r="F49" s="103"/>
      <c r="G49" s="103"/>
      <c r="H49" s="104"/>
      <c r="I49" s="104"/>
      <c r="J49" s="27"/>
      <c r="K49" s="27"/>
      <c r="L49" s="105"/>
      <c r="M49" s="106"/>
      <c r="N49" s="106"/>
      <c r="O49" s="106"/>
      <c r="P49" s="107"/>
      <c r="Q49" s="108"/>
      <c r="R49" s="109"/>
      <c r="S49" s="109"/>
      <c r="T49" s="108"/>
      <c r="U49" s="108"/>
      <c r="V49" s="108"/>
      <c r="W49" s="40"/>
      <c r="X49" s="41"/>
      <c r="Y49" s="41"/>
      <c r="Z49" s="41"/>
      <c r="AA49" s="41"/>
      <c r="AB49" s="110"/>
      <c r="AC49" s="96"/>
      <c r="AD49" s="111"/>
      <c r="AE49" s="96"/>
      <c r="AF49" s="96"/>
      <c r="AG49" s="96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  <c r="BK49" s="112"/>
      <c r="BL49" s="112"/>
      <c r="BM49" s="112"/>
      <c r="BN49" s="112"/>
    </row>
    <row r="50" spans="2:66" ht="19.149999999999999" customHeight="1">
      <c r="B50" s="100"/>
      <c r="C50" s="21"/>
      <c r="D50" s="101"/>
      <c r="E50" s="102"/>
      <c r="F50" s="103"/>
      <c r="G50" s="103"/>
      <c r="H50" s="104"/>
      <c r="I50" s="104"/>
      <c r="J50" s="27"/>
      <c r="K50" s="27"/>
      <c r="L50" s="105"/>
      <c r="M50" s="106"/>
      <c r="N50" s="106"/>
      <c r="O50" s="106"/>
      <c r="P50" s="107"/>
      <c r="Q50" s="108"/>
      <c r="R50" s="109"/>
      <c r="S50" s="109"/>
      <c r="T50" s="108"/>
      <c r="U50" s="108"/>
      <c r="V50" s="108"/>
      <c r="W50" s="40"/>
      <c r="X50" s="41"/>
      <c r="Y50" s="41"/>
      <c r="Z50" s="41"/>
      <c r="AA50" s="41"/>
      <c r="AB50" s="110"/>
      <c r="AC50" s="96"/>
      <c r="AD50" s="111"/>
      <c r="AE50" s="96"/>
      <c r="AF50" s="96"/>
      <c r="AG50" s="96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</row>
    <row r="51" spans="2:66" ht="19.149999999999999" customHeight="1">
      <c r="B51" s="100"/>
      <c r="C51" s="21"/>
      <c r="D51" s="101"/>
      <c r="E51" s="102"/>
      <c r="F51" s="103"/>
      <c r="G51" s="103"/>
      <c r="H51" s="104"/>
      <c r="I51" s="104"/>
      <c r="J51" s="27"/>
      <c r="K51" s="27"/>
      <c r="L51" s="105"/>
      <c r="M51" s="106"/>
      <c r="N51" s="106"/>
      <c r="O51" s="106"/>
      <c r="P51" s="107"/>
      <c r="Q51" s="108"/>
      <c r="R51" s="109"/>
      <c r="S51" s="109"/>
      <c r="T51" s="108"/>
      <c r="U51" s="108"/>
      <c r="V51" s="108"/>
      <c r="W51" s="40"/>
      <c r="X51" s="41"/>
      <c r="Y51" s="41"/>
      <c r="Z51" s="41"/>
      <c r="AA51" s="41"/>
      <c r="AB51" s="110"/>
      <c r="AC51" s="96"/>
      <c r="AD51" s="111"/>
      <c r="AE51" s="96"/>
      <c r="AF51" s="96"/>
      <c r="AG51" s="96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</row>
    <row r="52" spans="2:66" ht="19.149999999999999" customHeight="1">
      <c r="B52" s="100"/>
      <c r="C52" s="21"/>
      <c r="D52" s="101"/>
      <c r="E52" s="102"/>
      <c r="F52" s="103"/>
      <c r="G52" s="103"/>
      <c r="H52" s="104"/>
      <c r="I52" s="104"/>
      <c r="J52" s="27"/>
      <c r="K52" s="27"/>
      <c r="L52" s="105"/>
      <c r="M52" s="106"/>
      <c r="N52" s="106"/>
      <c r="O52" s="106"/>
      <c r="P52" s="107"/>
      <c r="Q52" s="108"/>
      <c r="R52" s="109"/>
      <c r="S52" s="109"/>
      <c r="T52" s="108"/>
      <c r="U52" s="108"/>
      <c r="V52" s="108"/>
      <c r="W52" s="40"/>
      <c r="X52" s="41"/>
      <c r="Y52" s="41"/>
      <c r="Z52" s="41"/>
      <c r="AA52" s="41"/>
      <c r="AB52" s="110"/>
      <c r="AC52" s="96"/>
      <c r="AD52" s="111"/>
      <c r="AE52" s="96"/>
      <c r="AF52" s="96"/>
      <c r="AG52" s="96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/>
      <c r="BG52" s="112"/>
      <c r="BH52" s="112"/>
      <c r="BI52" s="112"/>
      <c r="BJ52" s="112"/>
      <c r="BK52" s="112"/>
      <c r="BL52" s="112"/>
      <c r="BM52" s="112"/>
      <c r="BN52" s="112"/>
    </row>
    <row r="53" spans="2:66" ht="19.149999999999999" customHeight="1">
      <c r="B53" s="100"/>
      <c r="C53" s="21"/>
      <c r="D53" s="101"/>
      <c r="E53" s="102"/>
      <c r="F53" s="103"/>
      <c r="G53" s="103"/>
      <c r="H53" s="104"/>
      <c r="I53" s="104"/>
      <c r="J53" s="27"/>
      <c r="K53" s="27"/>
      <c r="L53" s="105"/>
      <c r="M53" s="106"/>
      <c r="N53" s="106"/>
      <c r="O53" s="106"/>
      <c r="P53" s="107"/>
      <c r="Q53" s="108"/>
      <c r="R53" s="109"/>
      <c r="S53" s="109"/>
      <c r="T53" s="108"/>
      <c r="U53" s="108"/>
      <c r="V53" s="108"/>
      <c r="W53" s="40"/>
      <c r="X53" s="41"/>
      <c r="Y53" s="41"/>
      <c r="Z53" s="41"/>
      <c r="AA53" s="41"/>
      <c r="AB53" s="110"/>
      <c r="AC53" s="96"/>
      <c r="AD53" s="111"/>
      <c r="AE53" s="96"/>
      <c r="AF53" s="96"/>
      <c r="AG53" s="96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/>
      <c r="BG53" s="112"/>
      <c r="BH53" s="112"/>
      <c r="BI53" s="112"/>
      <c r="BJ53" s="112"/>
      <c r="BK53" s="112"/>
      <c r="BL53" s="112"/>
      <c r="BM53" s="112"/>
      <c r="BN53" s="112"/>
    </row>
    <row r="54" spans="2:66" ht="19.149999999999999" customHeight="1">
      <c r="B54" s="100"/>
      <c r="C54" s="21"/>
      <c r="D54" s="101"/>
      <c r="E54" s="102"/>
      <c r="F54" s="103"/>
      <c r="G54" s="103"/>
      <c r="H54" s="104"/>
      <c r="I54" s="104"/>
      <c r="J54" s="27"/>
      <c r="K54" s="27"/>
      <c r="L54" s="105"/>
      <c r="M54" s="106"/>
      <c r="N54" s="106"/>
      <c r="O54" s="106"/>
      <c r="P54" s="107"/>
      <c r="Q54" s="108"/>
      <c r="R54" s="109"/>
      <c r="S54" s="109"/>
      <c r="T54" s="108"/>
      <c r="U54" s="108"/>
      <c r="V54" s="108"/>
      <c r="W54" s="40"/>
      <c r="X54" s="41"/>
      <c r="Y54" s="41"/>
      <c r="Z54" s="41"/>
      <c r="AA54" s="41"/>
      <c r="AB54" s="110"/>
      <c r="AC54" s="96"/>
      <c r="AD54" s="111"/>
      <c r="AE54" s="96"/>
      <c r="AF54" s="96"/>
      <c r="AG54" s="96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/>
      <c r="BG54" s="112"/>
      <c r="BH54" s="112"/>
      <c r="BI54" s="112"/>
      <c r="BJ54" s="112"/>
      <c r="BK54" s="112"/>
      <c r="BL54" s="112"/>
      <c r="BM54" s="112"/>
      <c r="BN54" s="112"/>
    </row>
    <row r="55" spans="2:66" ht="19.149999999999999" customHeight="1">
      <c r="B55" s="100"/>
      <c r="C55" s="21"/>
      <c r="D55" s="101"/>
      <c r="E55" s="102"/>
      <c r="F55" s="103"/>
      <c r="G55" s="103"/>
      <c r="H55" s="104"/>
      <c r="I55" s="104"/>
      <c r="J55" s="27"/>
      <c r="K55" s="27"/>
      <c r="L55" s="105"/>
      <c r="M55" s="106"/>
      <c r="N55" s="106"/>
      <c r="O55" s="106"/>
      <c r="P55" s="107"/>
      <c r="Q55" s="108"/>
      <c r="R55" s="109"/>
      <c r="S55" s="109"/>
      <c r="T55" s="108"/>
      <c r="U55" s="108"/>
      <c r="V55" s="108"/>
      <c r="W55" s="40"/>
      <c r="X55" s="41"/>
      <c r="Y55" s="41"/>
      <c r="Z55" s="41"/>
      <c r="AA55" s="41"/>
      <c r="AB55" s="110"/>
      <c r="AC55" s="96"/>
      <c r="AD55" s="111"/>
      <c r="AE55" s="96"/>
      <c r="AF55" s="96"/>
      <c r="AG55" s="96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</row>
    <row r="56" spans="2:66" ht="19.149999999999999" customHeight="1">
      <c r="B56" s="100"/>
      <c r="C56" s="21"/>
      <c r="D56" s="101"/>
      <c r="E56" s="102"/>
      <c r="F56" s="103"/>
      <c r="G56" s="103"/>
      <c r="H56" s="104"/>
      <c r="I56" s="104"/>
      <c r="J56" s="27"/>
      <c r="K56" s="27"/>
      <c r="L56" s="105"/>
      <c r="M56" s="106"/>
      <c r="N56" s="106"/>
      <c r="O56" s="106"/>
      <c r="P56" s="107"/>
      <c r="Q56" s="108"/>
      <c r="R56" s="109"/>
      <c r="S56" s="109"/>
      <c r="T56" s="108"/>
      <c r="U56" s="108"/>
      <c r="V56" s="108"/>
      <c r="W56" s="40"/>
      <c r="X56" s="41"/>
      <c r="Y56" s="41"/>
      <c r="Z56" s="41"/>
      <c r="AA56" s="41"/>
      <c r="AB56" s="110"/>
      <c r="AC56" s="96"/>
      <c r="AD56" s="111"/>
      <c r="AE56" s="96"/>
      <c r="AF56" s="96"/>
      <c r="AG56" s="96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2"/>
      <c r="BM56" s="112"/>
      <c r="BN56" s="112"/>
    </row>
    <row r="57" spans="2:66" ht="19.149999999999999" customHeight="1">
      <c r="B57" s="100"/>
      <c r="C57" s="21"/>
      <c r="D57" s="101"/>
      <c r="E57" s="102"/>
      <c r="F57" s="103"/>
      <c r="G57" s="103"/>
      <c r="H57" s="104"/>
      <c r="I57" s="104"/>
      <c r="J57" s="27"/>
      <c r="K57" s="27"/>
      <c r="L57" s="105"/>
      <c r="M57" s="106"/>
      <c r="N57" s="106"/>
      <c r="O57" s="106"/>
      <c r="P57" s="107"/>
      <c r="Q57" s="108"/>
      <c r="R57" s="109"/>
      <c r="S57" s="109"/>
      <c r="T57" s="108"/>
      <c r="U57" s="108"/>
      <c r="V57" s="108"/>
      <c r="W57" s="40"/>
      <c r="X57" s="41"/>
      <c r="Y57" s="41"/>
      <c r="Z57" s="41"/>
      <c r="AA57" s="41"/>
      <c r="AB57" s="110"/>
      <c r="AC57" s="96"/>
      <c r="AD57" s="111"/>
      <c r="AE57" s="96"/>
      <c r="AF57" s="96"/>
      <c r="AG57" s="96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2"/>
      <c r="BN57" s="112"/>
    </row>
    <row r="58" spans="2:66" ht="19.149999999999999" customHeight="1">
      <c r="B58" s="100"/>
      <c r="C58" s="21"/>
      <c r="D58" s="101"/>
      <c r="E58" s="102"/>
      <c r="F58" s="103"/>
      <c r="G58" s="103"/>
      <c r="H58" s="104"/>
      <c r="I58" s="104"/>
      <c r="J58" s="27"/>
      <c r="K58" s="27"/>
      <c r="L58" s="105"/>
      <c r="M58" s="106"/>
      <c r="N58" s="106"/>
      <c r="O58" s="106"/>
      <c r="P58" s="107"/>
      <c r="Q58" s="108"/>
      <c r="R58" s="109"/>
      <c r="S58" s="109"/>
      <c r="T58" s="108"/>
      <c r="U58" s="108"/>
      <c r="V58" s="108"/>
      <c r="W58" s="40"/>
      <c r="X58" s="41"/>
      <c r="Y58" s="41"/>
      <c r="Z58" s="41"/>
      <c r="AA58" s="41"/>
      <c r="AB58" s="110"/>
      <c r="AC58" s="96"/>
      <c r="AD58" s="111"/>
      <c r="AE58" s="96"/>
      <c r="AF58" s="96"/>
      <c r="AG58" s="96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2"/>
      <c r="BN58" s="112"/>
    </row>
    <row r="59" spans="2:66" ht="19.149999999999999" customHeight="1">
      <c r="B59" s="100"/>
      <c r="C59" s="21"/>
      <c r="D59" s="101"/>
      <c r="E59" s="102"/>
      <c r="F59" s="103"/>
      <c r="G59" s="103"/>
      <c r="H59" s="104"/>
      <c r="I59" s="104"/>
      <c r="J59" s="27"/>
      <c r="K59" s="27"/>
      <c r="L59" s="105"/>
      <c r="M59" s="106"/>
      <c r="N59" s="106"/>
      <c r="O59" s="106"/>
      <c r="P59" s="107"/>
      <c r="Q59" s="108"/>
      <c r="R59" s="109"/>
      <c r="S59" s="109"/>
      <c r="T59" s="108"/>
      <c r="U59" s="108"/>
      <c r="V59" s="108"/>
      <c r="W59" s="40"/>
      <c r="X59" s="41"/>
      <c r="Y59" s="41"/>
      <c r="Z59" s="41"/>
      <c r="AA59" s="41"/>
      <c r="AB59" s="110"/>
      <c r="AC59" s="96"/>
      <c r="AD59" s="111"/>
      <c r="AE59" s="96"/>
      <c r="AF59" s="96"/>
      <c r="AG59" s="96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112"/>
      <c r="BK59" s="112"/>
      <c r="BL59" s="112"/>
      <c r="BM59" s="112"/>
      <c r="BN59" s="112"/>
    </row>
    <row r="60" spans="2:66" ht="19.149999999999999" customHeight="1">
      <c r="B60" s="100"/>
      <c r="C60" s="21"/>
      <c r="D60" s="101"/>
      <c r="E60" s="102"/>
      <c r="F60" s="103"/>
      <c r="G60" s="103"/>
      <c r="H60" s="104"/>
      <c r="I60" s="104"/>
      <c r="J60" s="27"/>
      <c r="K60" s="27"/>
      <c r="L60" s="105"/>
      <c r="M60" s="106"/>
      <c r="N60" s="106"/>
      <c r="O60" s="106"/>
      <c r="P60" s="107"/>
      <c r="Q60" s="108"/>
      <c r="R60" s="109"/>
      <c r="S60" s="109"/>
      <c r="T60" s="108"/>
      <c r="U60" s="108"/>
      <c r="V60" s="108"/>
      <c r="W60" s="40"/>
      <c r="X60" s="41"/>
      <c r="Y60" s="41"/>
      <c r="Z60" s="41"/>
      <c r="AA60" s="41"/>
      <c r="AB60" s="110"/>
      <c r="AC60" s="96"/>
      <c r="AD60" s="111"/>
      <c r="AE60" s="96"/>
      <c r="AF60" s="96"/>
      <c r="AG60" s="96"/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2"/>
      <c r="BE60" s="112"/>
      <c r="BF60" s="112"/>
      <c r="BG60" s="112"/>
      <c r="BH60" s="112"/>
      <c r="BI60" s="112"/>
      <c r="BJ60" s="112"/>
      <c r="BK60" s="112"/>
      <c r="BL60" s="112"/>
      <c r="BM60" s="112"/>
      <c r="BN60" s="112"/>
    </row>
    <row r="61" spans="2:66" ht="19.149999999999999" customHeight="1">
      <c r="B61" s="100"/>
      <c r="C61" s="21"/>
      <c r="D61" s="101"/>
      <c r="E61" s="102"/>
      <c r="F61" s="103"/>
      <c r="G61" s="103"/>
      <c r="H61" s="104"/>
      <c r="I61" s="104"/>
      <c r="J61" s="27"/>
      <c r="K61" s="27"/>
      <c r="L61" s="105"/>
      <c r="M61" s="106"/>
      <c r="N61" s="106"/>
      <c r="O61" s="106"/>
      <c r="P61" s="107"/>
      <c r="Q61" s="108"/>
      <c r="R61" s="109"/>
      <c r="S61" s="109"/>
      <c r="T61" s="108"/>
      <c r="U61" s="108"/>
      <c r="V61" s="108"/>
      <c r="W61" s="40"/>
      <c r="X61" s="41"/>
      <c r="Y61" s="41"/>
      <c r="Z61" s="41"/>
      <c r="AA61" s="41"/>
      <c r="AB61" s="110"/>
      <c r="AC61" s="96"/>
      <c r="AD61" s="111"/>
      <c r="AE61" s="96"/>
      <c r="AF61" s="96"/>
      <c r="AG61" s="96"/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  <c r="BK61" s="112"/>
      <c r="BL61" s="112"/>
      <c r="BM61" s="112"/>
      <c r="BN61" s="112"/>
    </row>
    <row r="62" spans="2:66" ht="19.149999999999999" customHeight="1">
      <c r="B62" s="100"/>
      <c r="C62" s="21"/>
      <c r="D62" s="101"/>
      <c r="E62" s="102"/>
      <c r="F62" s="103"/>
      <c r="G62" s="103"/>
      <c r="H62" s="104"/>
      <c r="I62" s="104"/>
      <c r="J62" s="27"/>
      <c r="K62" s="27"/>
      <c r="L62" s="105"/>
      <c r="M62" s="106"/>
      <c r="N62" s="106"/>
      <c r="O62" s="106"/>
      <c r="P62" s="107"/>
      <c r="Q62" s="108"/>
      <c r="R62" s="109"/>
      <c r="S62" s="109"/>
      <c r="T62" s="108"/>
      <c r="U62" s="108"/>
      <c r="V62" s="108"/>
      <c r="W62" s="40"/>
      <c r="X62" s="41"/>
      <c r="Y62" s="41"/>
      <c r="Z62" s="41"/>
      <c r="AA62" s="41"/>
      <c r="AB62" s="110"/>
      <c r="AC62" s="96"/>
      <c r="AD62" s="111"/>
      <c r="AE62" s="96"/>
      <c r="AF62" s="96"/>
      <c r="AG62" s="96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2"/>
      <c r="BM62" s="112"/>
      <c r="BN62" s="112"/>
    </row>
    <row r="63" spans="2:66" ht="19.149999999999999" customHeight="1">
      <c r="B63" s="100"/>
      <c r="C63" s="21"/>
      <c r="D63" s="101"/>
      <c r="E63" s="102"/>
      <c r="F63" s="103"/>
      <c r="G63" s="103"/>
      <c r="H63" s="104"/>
      <c r="I63" s="104"/>
      <c r="J63" s="27"/>
      <c r="K63" s="27"/>
      <c r="L63" s="105"/>
      <c r="M63" s="106"/>
      <c r="N63" s="106"/>
      <c r="O63" s="106"/>
      <c r="P63" s="107"/>
      <c r="Q63" s="108"/>
      <c r="R63" s="109"/>
      <c r="S63" s="109"/>
      <c r="T63" s="108"/>
      <c r="U63" s="108"/>
      <c r="V63" s="108"/>
      <c r="W63" s="40"/>
      <c r="X63" s="41"/>
      <c r="Y63" s="41"/>
      <c r="Z63" s="41"/>
      <c r="AA63" s="41"/>
      <c r="AB63" s="110"/>
      <c r="AC63" s="96"/>
      <c r="AD63" s="111"/>
      <c r="AE63" s="96"/>
      <c r="AF63" s="96"/>
      <c r="AG63" s="96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  <c r="BM63" s="112"/>
      <c r="BN63" s="112"/>
    </row>
    <row r="64" spans="2:66" ht="19.149999999999999" customHeight="1">
      <c r="B64" s="100"/>
      <c r="C64" s="21"/>
      <c r="D64" s="101"/>
      <c r="E64" s="102"/>
      <c r="F64" s="103"/>
      <c r="G64" s="103"/>
      <c r="H64" s="104"/>
      <c r="I64" s="104"/>
      <c r="J64" s="27"/>
      <c r="K64" s="27"/>
      <c r="L64" s="105"/>
      <c r="M64" s="106"/>
      <c r="N64" s="106"/>
      <c r="O64" s="106"/>
      <c r="P64" s="107"/>
      <c r="Q64" s="108"/>
      <c r="R64" s="109"/>
      <c r="S64" s="109"/>
      <c r="T64" s="108"/>
      <c r="U64" s="108"/>
      <c r="V64" s="108"/>
      <c r="W64" s="40"/>
      <c r="X64" s="41"/>
      <c r="Y64" s="41"/>
      <c r="Z64" s="41"/>
      <c r="AA64" s="41"/>
      <c r="AB64" s="110"/>
      <c r="AC64" s="96"/>
      <c r="AD64" s="111"/>
      <c r="AE64" s="96"/>
      <c r="AF64" s="96"/>
      <c r="AG64" s="96"/>
      <c r="AI64" s="112"/>
      <c r="AJ64" s="112"/>
      <c r="AK64" s="112"/>
      <c r="AL64" s="112"/>
      <c r="AM64" s="112"/>
      <c r="AN64" s="112"/>
      <c r="AO64" s="112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2"/>
      <c r="BE64" s="112"/>
      <c r="BF64" s="112"/>
      <c r="BG64" s="112"/>
      <c r="BH64" s="112"/>
      <c r="BI64" s="112"/>
      <c r="BJ64" s="112"/>
      <c r="BK64" s="112"/>
      <c r="BL64" s="112"/>
      <c r="BM64" s="112"/>
      <c r="BN64" s="112"/>
    </row>
    <row r="65" spans="2:66" ht="19.149999999999999" customHeight="1">
      <c r="B65" s="100"/>
      <c r="C65" s="21"/>
      <c r="D65" s="101"/>
      <c r="E65" s="102"/>
      <c r="F65" s="103"/>
      <c r="G65" s="103"/>
      <c r="H65" s="104"/>
      <c r="I65" s="104"/>
      <c r="J65" s="27"/>
      <c r="K65" s="27"/>
      <c r="L65" s="105"/>
      <c r="M65" s="106"/>
      <c r="N65" s="106"/>
      <c r="O65" s="106"/>
      <c r="P65" s="107"/>
      <c r="Q65" s="108"/>
      <c r="R65" s="109"/>
      <c r="S65" s="109"/>
      <c r="T65" s="108"/>
      <c r="U65" s="108"/>
      <c r="V65" s="108"/>
      <c r="W65" s="40"/>
      <c r="X65" s="41"/>
      <c r="Y65" s="41"/>
      <c r="Z65" s="41"/>
      <c r="AA65" s="41"/>
      <c r="AB65" s="110"/>
      <c r="AC65" s="96"/>
      <c r="AD65" s="111"/>
      <c r="AE65" s="96"/>
      <c r="AF65" s="96"/>
      <c r="AG65" s="96"/>
      <c r="AI65" s="112"/>
      <c r="AJ65" s="112"/>
      <c r="AK65" s="112"/>
      <c r="AL65" s="112"/>
      <c r="AM65" s="112"/>
      <c r="AN65" s="112"/>
      <c r="AO65" s="112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</row>
    <row r="66" spans="2:66" ht="19.149999999999999" customHeight="1">
      <c r="B66" s="100"/>
      <c r="C66" s="21"/>
      <c r="D66" s="101"/>
      <c r="E66" s="102"/>
      <c r="F66" s="103"/>
      <c r="G66" s="103"/>
      <c r="H66" s="104"/>
      <c r="I66" s="104"/>
      <c r="J66" s="27"/>
      <c r="K66" s="27"/>
      <c r="L66" s="105"/>
      <c r="M66" s="106"/>
      <c r="N66" s="106"/>
      <c r="O66" s="106"/>
      <c r="P66" s="107"/>
      <c r="Q66" s="108"/>
      <c r="R66" s="109"/>
      <c r="S66" s="109"/>
      <c r="T66" s="108"/>
      <c r="U66" s="108"/>
      <c r="V66" s="108"/>
      <c r="W66" s="40"/>
      <c r="X66" s="41"/>
      <c r="Y66" s="41"/>
      <c r="Z66" s="41"/>
      <c r="AA66" s="41"/>
      <c r="AB66" s="110"/>
      <c r="AC66" s="96"/>
      <c r="AD66" s="111"/>
      <c r="AE66" s="96"/>
      <c r="AF66" s="96"/>
      <c r="AG66" s="96"/>
      <c r="AI66" s="112"/>
      <c r="AJ66" s="112"/>
      <c r="AK66" s="112"/>
      <c r="AL66" s="112"/>
      <c r="AM66" s="112"/>
      <c r="AN66" s="112"/>
      <c r="AO66" s="112"/>
      <c r="AP66" s="112"/>
      <c r="AQ66" s="112"/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2"/>
      <c r="BE66" s="112"/>
      <c r="BF66" s="112"/>
      <c r="BG66" s="112"/>
      <c r="BH66" s="112"/>
      <c r="BI66" s="112"/>
      <c r="BJ66" s="112"/>
      <c r="BK66" s="112"/>
      <c r="BL66" s="112"/>
      <c r="BM66" s="112"/>
      <c r="BN66" s="112"/>
    </row>
    <row r="67" spans="2:66" ht="19.149999999999999" customHeight="1">
      <c r="B67" s="100"/>
      <c r="C67" s="21"/>
      <c r="D67" s="101"/>
      <c r="E67" s="102"/>
      <c r="F67" s="103"/>
      <c r="G67" s="103"/>
      <c r="H67" s="104"/>
      <c r="I67" s="104"/>
      <c r="J67" s="27"/>
      <c r="K67" s="27"/>
      <c r="L67" s="105"/>
      <c r="M67" s="106"/>
      <c r="N67" s="106"/>
      <c r="O67" s="106"/>
      <c r="P67" s="107"/>
      <c r="Q67" s="108"/>
      <c r="R67" s="109"/>
      <c r="S67" s="109"/>
      <c r="T67" s="108"/>
      <c r="U67" s="108"/>
      <c r="V67" s="108"/>
      <c r="W67" s="40"/>
      <c r="X67" s="41"/>
      <c r="Y67" s="41"/>
      <c r="Z67" s="41"/>
      <c r="AA67" s="41"/>
      <c r="AB67" s="110"/>
      <c r="AC67" s="96"/>
      <c r="AD67" s="111"/>
      <c r="AE67" s="96"/>
      <c r="AF67" s="96"/>
      <c r="AG67" s="96"/>
      <c r="AI67" s="112"/>
      <c r="AJ67" s="112"/>
      <c r="AK67" s="112"/>
      <c r="AL67" s="112"/>
      <c r="AM67" s="112"/>
      <c r="AN67" s="112"/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  <c r="BK67" s="112"/>
      <c r="BL67" s="112"/>
      <c r="BM67" s="112"/>
      <c r="BN67" s="112"/>
    </row>
    <row r="68" spans="2:66" ht="19.149999999999999" customHeight="1">
      <c r="B68" s="100"/>
      <c r="C68" s="21"/>
      <c r="D68" s="101"/>
      <c r="E68" s="102"/>
      <c r="F68" s="103"/>
      <c r="G68" s="103"/>
      <c r="H68" s="104"/>
      <c r="I68" s="104"/>
      <c r="J68" s="27"/>
      <c r="K68" s="27"/>
      <c r="L68" s="105"/>
      <c r="M68" s="106"/>
      <c r="N68" s="106"/>
      <c r="O68" s="106"/>
      <c r="P68" s="107"/>
      <c r="Q68" s="108"/>
      <c r="R68" s="109"/>
      <c r="S68" s="109"/>
      <c r="T68" s="108"/>
      <c r="U68" s="108"/>
      <c r="V68" s="108"/>
      <c r="W68" s="40"/>
      <c r="X68" s="41"/>
      <c r="Y68" s="41"/>
      <c r="Z68" s="41"/>
      <c r="AA68" s="41"/>
      <c r="AB68" s="110"/>
      <c r="AC68" s="96"/>
      <c r="AD68" s="111"/>
      <c r="AE68" s="96"/>
      <c r="AF68" s="96"/>
      <c r="AG68" s="96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2"/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</row>
    <row r="69" spans="2:66" ht="19.149999999999999" customHeight="1">
      <c r="B69" s="100"/>
      <c r="C69" s="21"/>
      <c r="D69" s="101"/>
      <c r="E69" s="102"/>
      <c r="F69" s="103"/>
      <c r="G69" s="103"/>
      <c r="H69" s="104"/>
      <c r="I69" s="104"/>
      <c r="J69" s="27"/>
      <c r="K69" s="27"/>
      <c r="L69" s="105"/>
      <c r="M69" s="106"/>
      <c r="N69" s="106"/>
      <c r="O69" s="106"/>
      <c r="P69" s="107"/>
      <c r="Q69" s="108"/>
      <c r="R69" s="109"/>
      <c r="S69" s="109"/>
      <c r="T69" s="108"/>
      <c r="U69" s="108"/>
      <c r="V69" s="108"/>
      <c r="W69" s="40"/>
      <c r="X69" s="41"/>
      <c r="Y69" s="41"/>
      <c r="Z69" s="41"/>
      <c r="AA69" s="41"/>
      <c r="AB69" s="110"/>
      <c r="AC69" s="96"/>
      <c r="AD69" s="111"/>
      <c r="AE69" s="96"/>
      <c r="AF69" s="96"/>
      <c r="AG69" s="96"/>
      <c r="AI69" s="112"/>
      <c r="AJ69" s="112"/>
      <c r="AK69" s="112"/>
      <c r="AL69" s="112"/>
      <c r="AM69" s="112"/>
      <c r="AN69" s="112"/>
      <c r="AO69" s="112"/>
      <c r="AP69" s="112"/>
      <c r="AQ69" s="112"/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/>
      <c r="BG69" s="112"/>
      <c r="BH69" s="112"/>
      <c r="BI69" s="112"/>
      <c r="BJ69" s="112"/>
      <c r="BK69" s="112"/>
      <c r="BL69" s="112"/>
      <c r="BM69" s="112"/>
      <c r="BN69" s="112"/>
    </row>
    <row r="70" spans="2:66" ht="19.149999999999999" customHeight="1">
      <c r="B70" s="100"/>
      <c r="C70" s="21"/>
      <c r="D70" s="101"/>
      <c r="E70" s="102"/>
      <c r="F70" s="103"/>
      <c r="G70" s="103"/>
      <c r="H70" s="104"/>
      <c r="I70" s="104"/>
      <c r="J70" s="27"/>
      <c r="K70" s="27"/>
      <c r="L70" s="105"/>
      <c r="M70" s="106"/>
      <c r="N70" s="106"/>
      <c r="O70" s="106"/>
      <c r="P70" s="107"/>
      <c r="Q70" s="108"/>
      <c r="R70" s="109"/>
      <c r="S70" s="109"/>
      <c r="T70" s="108"/>
      <c r="U70" s="108"/>
      <c r="V70" s="108"/>
      <c r="W70" s="40"/>
      <c r="X70" s="41"/>
      <c r="Y70" s="41"/>
      <c r="Z70" s="41"/>
      <c r="AA70" s="41"/>
      <c r="AB70" s="110"/>
      <c r="AC70" s="96"/>
      <c r="AD70" s="111"/>
      <c r="AE70" s="96"/>
      <c r="AF70" s="96"/>
      <c r="AG70" s="96"/>
      <c r="AI70" s="112"/>
      <c r="AJ70" s="112"/>
      <c r="AK70" s="112"/>
      <c r="AL70" s="112"/>
      <c r="AM70" s="112"/>
      <c r="AN70" s="112"/>
      <c r="AO70" s="112"/>
      <c r="AP70" s="112"/>
      <c r="AQ70" s="112"/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2"/>
      <c r="BE70" s="112"/>
      <c r="BF70" s="112"/>
      <c r="BG70" s="112"/>
      <c r="BH70" s="112"/>
      <c r="BI70" s="112"/>
      <c r="BJ70" s="112"/>
      <c r="BK70" s="112"/>
      <c r="BL70" s="112"/>
      <c r="BM70" s="112"/>
      <c r="BN70" s="112"/>
    </row>
    <row r="71" spans="2:66" ht="19.149999999999999" customHeight="1">
      <c r="B71" s="100"/>
      <c r="C71" s="21"/>
      <c r="D71" s="101"/>
      <c r="E71" s="102"/>
      <c r="F71" s="103"/>
      <c r="G71" s="103"/>
      <c r="H71" s="104"/>
      <c r="I71" s="104"/>
      <c r="J71" s="27"/>
      <c r="K71" s="27"/>
      <c r="L71" s="105"/>
      <c r="M71" s="106"/>
      <c r="N71" s="106"/>
      <c r="O71" s="106"/>
      <c r="P71" s="107"/>
      <c r="Q71" s="108"/>
      <c r="R71" s="109"/>
      <c r="S71" s="109"/>
      <c r="T71" s="108"/>
      <c r="U71" s="108"/>
      <c r="V71" s="108"/>
      <c r="W71" s="40"/>
      <c r="X71" s="41"/>
      <c r="Y71" s="41"/>
      <c r="Z71" s="41"/>
      <c r="AA71" s="41"/>
      <c r="AB71" s="110"/>
      <c r="AC71" s="96"/>
      <c r="AD71" s="111"/>
      <c r="AE71" s="96"/>
      <c r="AF71" s="96"/>
      <c r="AG71" s="96"/>
      <c r="AI71" s="112"/>
      <c r="AJ71" s="112"/>
      <c r="AK71" s="112"/>
      <c r="AL71" s="112"/>
      <c r="AM71" s="112"/>
      <c r="AN71" s="112"/>
      <c r="AO71" s="112"/>
      <c r="AP71" s="112"/>
      <c r="AQ71" s="112"/>
      <c r="AR71" s="112"/>
      <c r="AS71" s="112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2"/>
      <c r="BE71" s="112"/>
      <c r="BF71" s="112"/>
      <c r="BG71" s="112"/>
      <c r="BH71" s="112"/>
      <c r="BI71" s="112"/>
      <c r="BJ71" s="112"/>
      <c r="BK71" s="112"/>
      <c r="BL71" s="112"/>
      <c r="BM71" s="112"/>
      <c r="BN71" s="112"/>
    </row>
    <row r="72" spans="2:66" ht="19.149999999999999" customHeight="1">
      <c r="B72" s="100"/>
      <c r="C72" s="21"/>
      <c r="D72" s="101"/>
      <c r="E72" s="102"/>
      <c r="F72" s="103"/>
      <c r="G72" s="103"/>
      <c r="H72" s="104"/>
      <c r="I72" s="104"/>
      <c r="J72" s="27"/>
      <c r="K72" s="27"/>
      <c r="L72" s="105"/>
      <c r="M72" s="106"/>
      <c r="N72" s="106"/>
      <c r="O72" s="106"/>
      <c r="P72" s="107"/>
      <c r="Q72" s="108"/>
      <c r="R72" s="109"/>
      <c r="S72" s="109"/>
      <c r="T72" s="108"/>
      <c r="U72" s="108"/>
      <c r="V72" s="108"/>
      <c r="W72" s="40"/>
      <c r="X72" s="41"/>
      <c r="Y72" s="41"/>
      <c r="Z72" s="41"/>
      <c r="AA72" s="41"/>
      <c r="AB72" s="110"/>
      <c r="AC72" s="96"/>
      <c r="AD72" s="111"/>
      <c r="AE72" s="96"/>
      <c r="AF72" s="96"/>
      <c r="AG72" s="96"/>
      <c r="AI72" s="112"/>
      <c r="AJ72" s="112"/>
      <c r="AK72" s="112"/>
      <c r="AL72" s="112"/>
      <c r="AM72" s="112"/>
      <c r="AN72" s="112"/>
      <c r="AO72" s="112"/>
      <c r="AP72" s="112"/>
      <c r="AQ72" s="112"/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/>
      <c r="BG72" s="112"/>
      <c r="BH72" s="112"/>
      <c r="BI72" s="112"/>
      <c r="BJ72" s="112"/>
      <c r="BK72" s="112"/>
      <c r="BL72" s="112"/>
      <c r="BM72" s="112"/>
      <c r="BN72" s="112"/>
    </row>
    <row r="73" spans="2:66" ht="19.149999999999999" customHeight="1">
      <c r="B73" s="100"/>
      <c r="C73" s="21"/>
      <c r="D73" s="101"/>
      <c r="E73" s="102"/>
      <c r="F73" s="103"/>
      <c r="G73" s="103"/>
      <c r="H73" s="104"/>
      <c r="I73" s="104"/>
      <c r="J73" s="27"/>
      <c r="K73" s="27"/>
      <c r="L73" s="105"/>
      <c r="M73" s="106"/>
      <c r="N73" s="106"/>
      <c r="O73" s="106"/>
      <c r="P73" s="107"/>
      <c r="Q73" s="108"/>
      <c r="R73" s="109"/>
      <c r="S73" s="109"/>
      <c r="T73" s="108"/>
      <c r="U73" s="108"/>
      <c r="V73" s="108"/>
      <c r="W73" s="40"/>
      <c r="X73" s="41"/>
      <c r="Y73" s="41"/>
      <c r="Z73" s="41"/>
      <c r="AA73" s="41"/>
      <c r="AB73" s="110"/>
      <c r="AC73" s="96"/>
      <c r="AD73" s="111"/>
      <c r="AE73" s="96"/>
      <c r="AF73" s="96"/>
      <c r="AG73" s="96"/>
      <c r="AI73" s="112"/>
      <c r="AJ73" s="112"/>
      <c r="AK73" s="112"/>
      <c r="AL73" s="112"/>
      <c r="AM73" s="112"/>
      <c r="AN73" s="112"/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2"/>
      <c r="BE73" s="112"/>
      <c r="BF73" s="112"/>
      <c r="BG73" s="112"/>
      <c r="BH73" s="112"/>
      <c r="BI73" s="112"/>
      <c r="BJ73" s="112"/>
      <c r="BK73" s="112"/>
      <c r="BL73" s="112"/>
      <c r="BM73" s="112"/>
      <c r="BN73" s="112"/>
    </row>
    <row r="74" spans="2:66" ht="19.149999999999999" customHeight="1">
      <c r="B74" s="100"/>
      <c r="C74" s="21"/>
      <c r="D74" s="101"/>
      <c r="E74" s="102"/>
      <c r="F74" s="103"/>
      <c r="G74" s="103"/>
      <c r="H74" s="104"/>
      <c r="I74" s="104"/>
      <c r="J74" s="27"/>
      <c r="K74" s="27"/>
      <c r="L74" s="105"/>
      <c r="M74" s="106"/>
      <c r="N74" s="106"/>
      <c r="O74" s="106"/>
      <c r="P74" s="107"/>
      <c r="Q74" s="108"/>
      <c r="R74" s="109"/>
      <c r="S74" s="109"/>
      <c r="T74" s="108"/>
      <c r="U74" s="108"/>
      <c r="V74" s="108"/>
      <c r="W74" s="40"/>
      <c r="X74" s="41"/>
      <c r="Y74" s="41"/>
      <c r="Z74" s="41"/>
      <c r="AA74" s="41"/>
      <c r="AB74" s="110"/>
      <c r="AC74" s="96"/>
      <c r="AD74" s="111"/>
      <c r="AE74" s="96"/>
      <c r="AF74" s="96"/>
      <c r="AG74" s="96"/>
      <c r="AI74" s="112"/>
      <c r="AJ74" s="112"/>
      <c r="AK74" s="112"/>
      <c r="AL74" s="112"/>
      <c r="AM74" s="112"/>
      <c r="AN74" s="112"/>
      <c r="AO74" s="112"/>
      <c r="AP74" s="112"/>
      <c r="AQ74" s="112"/>
      <c r="AR74" s="112"/>
      <c r="AS74" s="112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2"/>
      <c r="BE74" s="112"/>
      <c r="BF74" s="112"/>
      <c r="BG74" s="112"/>
      <c r="BH74" s="112"/>
      <c r="BI74" s="112"/>
      <c r="BJ74" s="112"/>
      <c r="BK74" s="112"/>
      <c r="BL74" s="112"/>
      <c r="BM74" s="112"/>
      <c r="BN74" s="112"/>
    </row>
    <row r="75" spans="2:66" ht="19.149999999999999" customHeight="1">
      <c r="B75" s="100"/>
      <c r="C75" s="21"/>
      <c r="D75" s="101"/>
      <c r="E75" s="102"/>
      <c r="F75" s="103"/>
      <c r="G75" s="103"/>
      <c r="H75" s="104"/>
      <c r="I75" s="104"/>
      <c r="J75" s="27"/>
      <c r="K75" s="27"/>
      <c r="L75" s="105"/>
      <c r="M75" s="106"/>
      <c r="N75" s="106"/>
      <c r="O75" s="106"/>
      <c r="P75" s="107"/>
      <c r="Q75" s="108"/>
      <c r="R75" s="109"/>
      <c r="S75" s="109"/>
      <c r="T75" s="108"/>
      <c r="U75" s="108"/>
      <c r="V75" s="108"/>
      <c r="W75" s="40"/>
      <c r="X75" s="41"/>
      <c r="Y75" s="41"/>
      <c r="Z75" s="41"/>
      <c r="AA75" s="41"/>
      <c r="AB75" s="110"/>
      <c r="AC75" s="96"/>
      <c r="AD75" s="111"/>
      <c r="AE75" s="96"/>
      <c r="AF75" s="96"/>
      <c r="AG75" s="96"/>
      <c r="AI75" s="112"/>
      <c r="AJ75" s="112"/>
      <c r="AK75" s="112"/>
      <c r="AL75" s="112"/>
      <c r="AM75" s="112"/>
      <c r="AN75" s="112"/>
      <c r="AO75" s="112"/>
      <c r="AP75" s="112"/>
      <c r="AQ75" s="112"/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2"/>
      <c r="BE75" s="112"/>
      <c r="BF75" s="112"/>
      <c r="BG75" s="112"/>
      <c r="BH75" s="112"/>
      <c r="BI75" s="112"/>
      <c r="BJ75" s="112"/>
      <c r="BK75" s="112"/>
      <c r="BL75" s="112"/>
      <c r="BM75" s="112"/>
      <c r="BN75" s="112"/>
    </row>
    <row r="76" spans="2:66" ht="19.149999999999999" customHeight="1">
      <c r="B76" s="100"/>
      <c r="C76" s="21"/>
      <c r="D76" s="101"/>
      <c r="E76" s="102"/>
      <c r="F76" s="103"/>
      <c r="G76" s="103"/>
      <c r="H76" s="104"/>
      <c r="I76" s="104"/>
      <c r="J76" s="27"/>
      <c r="K76" s="27"/>
      <c r="L76" s="105"/>
      <c r="M76" s="106"/>
      <c r="N76" s="106"/>
      <c r="O76" s="106"/>
      <c r="P76" s="107"/>
      <c r="Q76" s="108"/>
      <c r="R76" s="109"/>
      <c r="S76" s="109"/>
      <c r="T76" s="108"/>
      <c r="U76" s="108"/>
      <c r="V76" s="108"/>
      <c r="W76" s="40"/>
      <c r="X76" s="41"/>
      <c r="Y76" s="41"/>
      <c r="Z76" s="41"/>
      <c r="AA76" s="41"/>
      <c r="AB76" s="110"/>
      <c r="AC76" s="96"/>
      <c r="AD76" s="111"/>
      <c r="AE76" s="96"/>
      <c r="AF76" s="96"/>
      <c r="AG76" s="96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2"/>
      <c r="BE76" s="112"/>
      <c r="BF76" s="112"/>
      <c r="BG76" s="112"/>
      <c r="BH76" s="112"/>
      <c r="BI76" s="112"/>
      <c r="BJ76" s="112"/>
      <c r="BK76" s="112"/>
      <c r="BL76" s="112"/>
      <c r="BM76" s="112"/>
      <c r="BN76" s="112"/>
    </row>
    <row r="77" spans="2:66" ht="19.149999999999999" customHeight="1">
      <c r="B77" s="100"/>
      <c r="C77" s="21"/>
      <c r="D77" s="101"/>
      <c r="E77" s="102"/>
      <c r="F77" s="103"/>
      <c r="G77" s="103"/>
      <c r="H77" s="104"/>
      <c r="I77" s="104"/>
      <c r="J77" s="27"/>
      <c r="K77" s="27"/>
      <c r="L77" s="105"/>
      <c r="M77" s="106"/>
      <c r="N77" s="106"/>
      <c r="O77" s="106"/>
      <c r="P77" s="107"/>
      <c r="Q77" s="108"/>
      <c r="R77" s="109"/>
      <c r="S77" s="109"/>
      <c r="T77" s="108"/>
      <c r="U77" s="108"/>
      <c r="V77" s="108"/>
      <c r="W77" s="40"/>
      <c r="X77" s="41"/>
      <c r="Y77" s="41"/>
      <c r="Z77" s="41"/>
      <c r="AA77" s="41"/>
      <c r="AB77" s="110"/>
      <c r="AC77" s="96"/>
      <c r="AD77" s="111"/>
      <c r="AE77" s="96"/>
      <c r="AF77" s="96"/>
      <c r="AG77" s="96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2"/>
      <c r="BE77" s="112"/>
      <c r="BF77" s="112"/>
      <c r="BG77" s="112"/>
      <c r="BH77" s="112"/>
      <c r="BI77" s="112"/>
      <c r="BJ77" s="112"/>
      <c r="BK77" s="112"/>
      <c r="BL77" s="112"/>
      <c r="BM77" s="112"/>
      <c r="BN77" s="112"/>
    </row>
    <row r="78" spans="2:66" ht="19.149999999999999" customHeight="1">
      <c r="B78" s="100"/>
      <c r="C78" s="21"/>
      <c r="D78" s="101"/>
      <c r="E78" s="102"/>
      <c r="F78" s="103"/>
      <c r="G78" s="103"/>
      <c r="H78" s="104"/>
      <c r="I78" s="104"/>
      <c r="J78" s="27"/>
      <c r="K78" s="27"/>
      <c r="L78" s="105"/>
      <c r="M78" s="106"/>
      <c r="N78" s="106"/>
      <c r="O78" s="106"/>
      <c r="P78" s="107"/>
      <c r="Q78" s="108"/>
      <c r="R78" s="109"/>
      <c r="S78" s="109"/>
      <c r="T78" s="108"/>
      <c r="U78" s="108"/>
      <c r="V78" s="108"/>
      <c r="W78" s="40"/>
      <c r="X78" s="41"/>
      <c r="Y78" s="41"/>
      <c r="Z78" s="41"/>
      <c r="AA78" s="41"/>
      <c r="AB78" s="110"/>
      <c r="AC78" s="96"/>
      <c r="AD78" s="111"/>
      <c r="AE78" s="96"/>
      <c r="AF78" s="96"/>
      <c r="AG78" s="96"/>
      <c r="AI78" s="112"/>
      <c r="AJ78" s="112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2"/>
      <c r="BE78" s="112"/>
      <c r="BF78" s="112"/>
      <c r="BG78" s="112"/>
      <c r="BH78" s="112"/>
      <c r="BI78" s="112"/>
      <c r="BJ78" s="112"/>
      <c r="BK78" s="112"/>
      <c r="BL78" s="112"/>
      <c r="BM78" s="112"/>
      <c r="BN78" s="112"/>
    </row>
    <row r="79" spans="2:66" ht="19.149999999999999" customHeight="1">
      <c r="B79" s="100"/>
      <c r="C79" s="21"/>
      <c r="D79" s="101"/>
      <c r="E79" s="102"/>
      <c r="F79" s="103"/>
      <c r="G79" s="103"/>
      <c r="H79" s="104"/>
      <c r="I79" s="104"/>
      <c r="J79" s="27"/>
      <c r="K79" s="27"/>
      <c r="L79" s="105"/>
      <c r="M79" s="106"/>
      <c r="N79" s="106"/>
      <c r="O79" s="106"/>
      <c r="P79" s="107"/>
      <c r="Q79" s="108"/>
      <c r="R79" s="109"/>
      <c r="S79" s="109"/>
      <c r="T79" s="108"/>
      <c r="U79" s="108"/>
      <c r="V79" s="108"/>
      <c r="W79" s="40"/>
      <c r="X79" s="41"/>
      <c r="Y79" s="41"/>
      <c r="Z79" s="41"/>
      <c r="AA79" s="41"/>
      <c r="AB79" s="110"/>
      <c r="AC79" s="96"/>
      <c r="AD79" s="111"/>
      <c r="AE79" s="96"/>
      <c r="AF79" s="96"/>
      <c r="AG79" s="96"/>
      <c r="AI79" s="112"/>
      <c r="AJ79" s="112"/>
      <c r="AK79" s="112"/>
      <c r="AL79" s="112"/>
      <c r="AM79" s="112"/>
      <c r="AN79" s="112"/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2"/>
      <c r="BE79" s="112"/>
      <c r="BF79" s="112"/>
      <c r="BG79" s="112"/>
      <c r="BH79" s="112"/>
      <c r="BI79" s="112"/>
      <c r="BJ79" s="112"/>
      <c r="BK79" s="112"/>
      <c r="BL79" s="112"/>
      <c r="BM79" s="112"/>
      <c r="BN79" s="112"/>
    </row>
    <row r="80" spans="2:66" ht="19.149999999999999" customHeight="1">
      <c r="B80" s="100"/>
      <c r="C80" s="21"/>
      <c r="D80" s="101"/>
      <c r="E80" s="102"/>
      <c r="F80" s="103"/>
      <c r="G80" s="103"/>
      <c r="H80" s="104"/>
      <c r="I80" s="104"/>
      <c r="J80" s="27"/>
      <c r="K80" s="27"/>
      <c r="L80" s="105"/>
      <c r="M80" s="106"/>
      <c r="N80" s="106"/>
      <c r="O80" s="106"/>
      <c r="P80" s="107"/>
      <c r="Q80" s="108"/>
      <c r="R80" s="109"/>
      <c r="S80" s="109"/>
      <c r="T80" s="108"/>
      <c r="U80" s="108"/>
      <c r="V80" s="108"/>
      <c r="W80" s="40"/>
      <c r="X80" s="41"/>
      <c r="Y80" s="41"/>
      <c r="Z80" s="41"/>
      <c r="AA80" s="41"/>
      <c r="AB80" s="110"/>
      <c r="AC80" s="96"/>
      <c r="AD80" s="111"/>
      <c r="AE80" s="96"/>
      <c r="AF80" s="96"/>
      <c r="AG80" s="96"/>
      <c r="AI80" s="112"/>
      <c r="AJ80" s="112"/>
      <c r="AK80" s="112"/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2"/>
      <c r="BE80" s="112"/>
      <c r="BF80" s="112"/>
      <c r="BG80" s="112"/>
      <c r="BH80" s="112"/>
      <c r="BI80" s="112"/>
      <c r="BJ80" s="112"/>
      <c r="BK80" s="112"/>
      <c r="BL80" s="112"/>
      <c r="BM80" s="112"/>
      <c r="BN80" s="112"/>
    </row>
    <row r="81" spans="2:66" ht="19.149999999999999" customHeight="1">
      <c r="B81" s="100"/>
      <c r="C81" s="21"/>
      <c r="D81" s="101"/>
      <c r="E81" s="102"/>
      <c r="F81" s="103"/>
      <c r="G81" s="103"/>
      <c r="H81" s="104"/>
      <c r="I81" s="104"/>
      <c r="J81" s="27"/>
      <c r="K81" s="27"/>
      <c r="L81" s="105"/>
      <c r="M81" s="106"/>
      <c r="N81" s="106"/>
      <c r="O81" s="106"/>
      <c r="P81" s="107"/>
      <c r="Q81" s="108"/>
      <c r="R81" s="109"/>
      <c r="S81" s="109"/>
      <c r="T81" s="108"/>
      <c r="U81" s="108"/>
      <c r="V81" s="108"/>
      <c r="W81" s="40"/>
      <c r="X81" s="41"/>
      <c r="Y81" s="41"/>
      <c r="Z81" s="41"/>
      <c r="AA81" s="41"/>
      <c r="AB81" s="110"/>
      <c r="AC81" s="96"/>
      <c r="AD81" s="111"/>
      <c r="AE81" s="96"/>
      <c r="AF81" s="96"/>
      <c r="AG81" s="96"/>
      <c r="AI81" s="112"/>
      <c r="AJ81" s="112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2"/>
      <c r="BE81" s="112"/>
      <c r="BF81" s="112"/>
      <c r="BG81" s="112"/>
      <c r="BH81" s="112"/>
      <c r="BI81" s="112"/>
      <c r="BJ81" s="112"/>
      <c r="BK81" s="112"/>
      <c r="BL81" s="112"/>
      <c r="BM81" s="112"/>
      <c r="BN81" s="112"/>
    </row>
    <row r="82" spans="2:66" ht="19.149999999999999" customHeight="1">
      <c r="B82" s="100"/>
      <c r="C82" s="21"/>
      <c r="D82" s="101"/>
      <c r="E82" s="102"/>
      <c r="F82" s="103"/>
      <c r="G82" s="103"/>
      <c r="H82" s="104"/>
      <c r="I82" s="104"/>
      <c r="J82" s="27"/>
      <c r="K82" s="27"/>
      <c r="L82" s="105"/>
      <c r="M82" s="106"/>
      <c r="N82" s="106"/>
      <c r="O82" s="106"/>
      <c r="P82" s="107"/>
      <c r="Q82" s="108"/>
      <c r="R82" s="109"/>
      <c r="S82" s="109"/>
      <c r="T82" s="108"/>
      <c r="U82" s="108"/>
      <c r="V82" s="108"/>
      <c r="W82" s="40"/>
      <c r="X82" s="41"/>
      <c r="Y82" s="41"/>
      <c r="Z82" s="41"/>
      <c r="AA82" s="41"/>
      <c r="AB82" s="110"/>
      <c r="AC82" s="96"/>
      <c r="AD82" s="111"/>
      <c r="AE82" s="96"/>
      <c r="AF82" s="96"/>
      <c r="AG82" s="96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2"/>
      <c r="BE82" s="112"/>
      <c r="BF82" s="112"/>
      <c r="BG82" s="112"/>
      <c r="BH82" s="112"/>
      <c r="BI82" s="112"/>
      <c r="BJ82" s="112"/>
      <c r="BK82" s="112"/>
      <c r="BL82" s="112"/>
      <c r="BM82" s="112"/>
      <c r="BN82" s="112"/>
    </row>
    <row r="83" spans="2:66" ht="19.149999999999999" customHeight="1">
      <c r="B83" s="100"/>
      <c r="C83" s="21"/>
      <c r="D83" s="101"/>
      <c r="E83" s="102"/>
      <c r="F83" s="103"/>
      <c r="G83" s="103"/>
      <c r="H83" s="104"/>
      <c r="I83" s="104"/>
      <c r="J83" s="27"/>
      <c r="K83" s="27"/>
      <c r="L83" s="105"/>
      <c r="M83" s="106"/>
      <c r="N83" s="106"/>
      <c r="O83" s="106"/>
      <c r="P83" s="107"/>
      <c r="Q83" s="108"/>
      <c r="R83" s="109"/>
      <c r="S83" s="109"/>
      <c r="T83" s="108"/>
      <c r="U83" s="108"/>
      <c r="V83" s="108"/>
      <c r="W83" s="40"/>
      <c r="X83" s="41"/>
      <c r="Y83" s="41"/>
      <c r="Z83" s="41"/>
      <c r="AA83" s="41"/>
      <c r="AB83" s="110"/>
      <c r="AC83" s="96"/>
      <c r="AD83" s="111"/>
      <c r="AE83" s="96"/>
      <c r="AF83" s="96"/>
      <c r="AG83" s="96"/>
      <c r="AI83" s="112"/>
      <c r="AJ83" s="112"/>
      <c r="AK83" s="112"/>
      <c r="AL83" s="112"/>
      <c r="AM83" s="112"/>
      <c r="AN83" s="112"/>
      <c r="AO83" s="112"/>
      <c r="AP83" s="112"/>
      <c r="AQ83" s="112"/>
      <c r="AR83" s="112"/>
      <c r="AS83" s="112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2"/>
      <c r="BE83" s="112"/>
      <c r="BF83" s="112"/>
      <c r="BG83" s="112"/>
      <c r="BH83" s="112"/>
      <c r="BI83" s="112"/>
      <c r="BJ83" s="112"/>
      <c r="BK83" s="112"/>
      <c r="BL83" s="112"/>
      <c r="BM83" s="112"/>
      <c r="BN83" s="112"/>
    </row>
    <row r="84" spans="2:66" ht="19.149999999999999" customHeight="1">
      <c r="B84" s="100"/>
      <c r="C84" s="21"/>
      <c r="D84" s="101"/>
      <c r="E84" s="102"/>
      <c r="F84" s="103"/>
      <c r="G84" s="103"/>
      <c r="H84" s="104"/>
      <c r="I84" s="104"/>
      <c r="J84" s="27"/>
      <c r="K84" s="27"/>
      <c r="L84" s="105"/>
      <c r="M84" s="106"/>
      <c r="N84" s="106"/>
      <c r="O84" s="106"/>
      <c r="P84" s="107"/>
      <c r="Q84" s="108"/>
      <c r="R84" s="109"/>
      <c r="S84" s="109"/>
      <c r="T84" s="108"/>
      <c r="U84" s="108"/>
      <c r="V84" s="108"/>
      <c r="W84" s="40"/>
      <c r="X84" s="41"/>
      <c r="Y84" s="41"/>
      <c r="Z84" s="41"/>
      <c r="AA84" s="41"/>
      <c r="AB84" s="110"/>
      <c r="AC84" s="96"/>
      <c r="AD84" s="111"/>
      <c r="AE84" s="96"/>
      <c r="AF84" s="96"/>
      <c r="AG84" s="96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2"/>
      <c r="BE84" s="112"/>
      <c r="BF84" s="112"/>
      <c r="BG84" s="112"/>
      <c r="BH84" s="112"/>
      <c r="BI84" s="112"/>
      <c r="BJ84" s="112"/>
      <c r="BK84" s="112"/>
      <c r="BL84" s="112"/>
      <c r="BM84" s="112"/>
      <c r="BN84" s="112"/>
    </row>
    <row r="85" spans="2:66" ht="19.149999999999999" customHeight="1">
      <c r="B85" s="100"/>
      <c r="C85" s="21"/>
      <c r="D85" s="101"/>
      <c r="E85" s="102"/>
      <c r="F85" s="103"/>
      <c r="G85" s="103"/>
      <c r="H85" s="104"/>
      <c r="I85" s="104"/>
      <c r="J85" s="27"/>
      <c r="K85" s="27"/>
      <c r="L85" s="105"/>
      <c r="M85" s="106"/>
      <c r="N85" s="106"/>
      <c r="O85" s="106"/>
      <c r="P85" s="107"/>
      <c r="Q85" s="108"/>
      <c r="R85" s="109"/>
      <c r="S85" s="109"/>
      <c r="T85" s="108"/>
      <c r="U85" s="108"/>
      <c r="V85" s="108"/>
      <c r="W85" s="40"/>
      <c r="X85" s="41"/>
      <c r="Y85" s="41"/>
      <c r="Z85" s="41"/>
      <c r="AA85" s="41"/>
      <c r="AB85" s="110"/>
      <c r="AC85" s="96"/>
      <c r="AD85" s="111"/>
      <c r="AE85" s="96"/>
      <c r="AF85" s="96"/>
      <c r="AG85" s="96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2"/>
      <c r="BE85" s="112"/>
      <c r="BF85" s="112"/>
      <c r="BG85" s="112"/>
      <c r="BH85" s="112"/>
      <c r="BI85" s="112"/>
      <c r="BJ85" s="112"/>
      <c r="BK85" s="112"/>
      <c r="BL85" s="112"/>
      <c r="BM85" s="112"/>
      <c r="BN85" s="112"/>
    </row>
    <row r="86" spans="2:66" ht="19.149999999999999" customHeight="1">
      <c r="B86" s="100"/>
      <c r="C86" s="21"/>
      <c r="D86" s="101"/>
      <c r="E86" s="102"/>
      <c r="F86" s="103"/>
      <c r="G86" s="103"/>
      <c r="H86" s="104"/>
      <c r="I86" s="104"/>
      <c r="J86" s="27"/>
      <c r="K86" s="27"/>
      <c r="L86" s="105"/>
      <c r="M86" s="106"/>
      <c r="N86" s="106"/>
      <c r="O86" s="106"/>
      <c r="P86" s="107"/>
      <c r="Q86" s="108"/>
      <c r="R86" s="109"/>
      <c r="S86" s="109"/>
      <c r="T86" s="108"/>
      <c r="U86" s="108"/>
      <c r="V86" s="108"/>
      <c r="W86" s="40"/>
      <c r="X86" s="41"/>
      <c r="Y86" s="41"/>
      <c r="Z86" s="41"/>
      <c r="AA86" s="41"/>
      <c r="AB86" s="110"/>
      <c r="AC86" s="96"/>
      <c r="AD86" s="111"/>
      <c r="AE86" s="96"/>
      <c r="AF86" s="96"/>
      <c r="AG86" s="96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2"/>
      <c r="BE86" s="112"/>
      <c r="BF86" s="112"/>
      <c r="BG86" s="112"/>
      <c r="BH86" s="112"/>
      <c r="BI86" s="112"/>
      <c r="BJ86" s="112"/>
      <c r="BK86" s="112"/>
      <c r="BL86" s="112"/>
      <c r="BM86" s="112"/>
      <c r="BN86" s="112"/>
    </row>
    <row r="87" spans="2:66" ht="19.149999999999999" customHeight="1">
      <c r="B87" s="100"/>
      <c r="C87" s="21"/>
      <c r="D87" s="101"/>
      <c r="E87" s="102"/>
      <c r="F87" s="103"/>
      <c r="G87" s="103"/>
      <c r="H87" s="104"/>
      <c r="I87" s="104"/>
      <c r="J87" s="27"/>
      <c r="K87" s="27"/>
      <c r="L87" s="105"/>
      <c r="M87" s="106"/>
      <c r="N87" s="106"/>
      <c r="O87" s="106"/>
      <c r="P87" s="107"/>
      <c r="Q87" s="108"/>
      <c r="R87" s="109"/>
      <c r="S87" s="109"/>
      <c r="T87" s="108"/>
      <c r="U87" s="108"/>
      <c r="V87" s="108"/>
      <c r="W87" s="40"/>
      <c r="X87" s="41"/>
      <c r="Y87" s="41"/>
      <c r="Z87" s="41"/>
      <c r="AA87" s="41"/>
      <c r="AB87" s="110"/>
      <c r="AC87" s="96"/>
      <c r="AD87" s="111"/>
      <c r="AE87" s="96"/>
      <c r="AF87" s="96"/>
      <c r="AG87" s="96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2"/>
      <c r="BE87" s="112"/>
      <c r="BF87" s="112"/>
      <c r="BG87" s="112"/>
      <c r="BH87" s="112"/>
      <c r="BI87" s="112"/>
      <c r="BJ87" s="112"/>
      <c r="BK87" s="112"/>
      <c r="BL87" s="112"/>
      <c r="BM87" s="112"/>
      <c r="BN87" s="112"/>
    </row>
    <row r="88" spans="2:66" ht="19.149999999999999" customHeight="1">
      <c r="B88" s="100"/>
      <c r="C88" s="21"/>
      <c r="D88" s="101"/>
      <c r="E88" s="102"/>
      <c r="F88" s="103"/>
      <c r="G88" s="103"/>
      <c r="H88" s="104"/>
      <c r="I88" s="104"/>
      <c r="J88" s="27"/>
      <c r="K88" s="27"/>
      <c r="L88" s="105"/>
      <c r="M88" s="106"/>
      <c r="N88" s="106"/>
      <c r="O88" s="106"/>
      <c r="P88" s="107"/>
      <c r="Q88" s="108"/>
      <c r="R88" s="109"/>
      <c r="S88" s="109"/>
      <c r="T88" s="108"/>
      <c r="U88" s="108"/>
      <c r="V88" s="108"/>
      <c r="W88" s="40"/>
      <c r="X88" s="41"/>
      <c r="Y88" s="41"/>
      <c r="Z88" s="41"/>
      <c r="AA88" s="41"/>
      <c r="AB88" s="110"/>
      <c r="AC88" s="96"/>
      <c r="AD88" s="111"/>
      <c r="AE88" s="96"/>
      <c r="AF88" s="96"/>
      <c r="AG88" s="96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2"/>
      <c r="BE88" s="112"/>
      <c r="BF88" s="112"/>
      <c r="BG88" s="112"/>
      <c r="BH88" s="112"/>
      <c r="BI88" s="112"/>
      <c r="BJ88" s="112"/>
      <c r="BK88" s="112"/>
      <c r="BL88" s="112"/>
      <c r="BM88" s="112"/>
      <c r="BN88" s="112"/>
    </row>
    <row r="89" spans="2:66" ht="19.149999999999999" customHeight="1">
      <c r="B89" s="100"/>
      <c r="C89" s="21"/>
      <c r="D89" s="101"/>
      <c r="E89" s="102"/>
      <c r="F89" s="103"/>
      <c r="G89" s="103"/>
      <c r="H89" s="104"/>
      <c r="I89" s="104"/>
      <c r="J89" s="27"/>
      <c r="K89" s="27"/>
      <c r="L89" s="105"/>
      <c r="M89" s="106"/>
      <c r="N89" s="106"/>
      <c r="O89" s="106"/>
      <c r="P89" s="107"/>
      <c r="Q89" s="108"/>
      <c r="R89" s="109"/>
      <c r="S89" s="109"/>
      <c r="T89" s="108"/>
      <c r="U89" s="108"/>
      <c r="V89" s="108"/>
      <c r="W89" s="40"/>
      <c r="X89" s="41"/>
      <c r="Y89" s="41"/>
      <c r="Z89" s="41"/>
      <c r="AA89" s="41"/>
      <c r="AB89" s="110"/>
      <c r="AC89" s="96"/>
      <c r="AD89" s="111"/>
      <c r="AE89" s="96"/>
      <c r="AF89" s="96"/>
      <c r="AG89" s="96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2"/>
      <c r="BE89" s="112"/>
      <c r="BF89" s="112"/>
      <c r="BG89" s="112"/>
      <c r="BH89" s="112"/>
      <c r="BI89" s="112"/>
      <c r="BJ89" s="112"/>
      <c r="BK89" s="112"/>
      <c r="BL89" s="112"/>
      <c r="BM89" s="112"/>
      <c r="BN89" s="112"/>
    </row>
    <row r="90" spans="2:66" ht="19.149999999999999" customHeight="1">
      <c r="B90" s="100"/>
      <c r="C90" s="21"/>
      <c r="D90" s="101"/>
      <c r="E90" s="102"/>
      <c r="F90" s="103"/>
      <c r="G90" s="103"/>
      <c r="H90" s="104"/>
      <c r="I90" s="104"/>
      <c r="J90" s="27"/>
      <c r="K90" s="27"/>
      <c r="L90" s="105"/>
      <c r="M90" s="106"/>
      <c r="N90" s="106"/>
      <c r="O90" s="106"/>
      <c r="P90" s="107"/>
      <c r="Q90" s="108"/>
      <c r="R90" s="109"/>
      <c r="S90" s="109"/>
      <c r="T90" s="108"/>
      <c r="U90" s="108"/>
      <c r="V90" s="108"/>
      <c r="W90" s="40"/>
      <c r="X90" s="41"/>
      <c r="Y90" s="41"/>
      <c r="Z90" s="41"/>
      <c r="AA90" s="41"/>
      <c r="AB90" s="110"/>
      <c r="AC90" s="96"/>
      <c r="AD90" s="111"/>
      <c r="AE90" s="96"/>
      <c r="AF90" s="96"/>
      <c r="AG90" s="96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  <c r="BH90" s="112"/>
      <c r="BI90" s="112"/>
      <c r="BJ90" s="112"/>
      <c r="BK90" s="112"/>
      <c r="BL90" s="112"/>
      <c r="BM90" s="112"/>
      <c r="BN90" s="112"/>
    </row>
    <row r="91" spans="2:66" ht="19.149999999999999" customHeight="1">
      <c r="B91" s="100"/>
      <c r="C91" s="21"/>
      <c r="D91" s="101"/>
      <c r="E91" s="102"/>
      <c r="F91" s="103"/>
      <c r="G91" s="103"/>
      <c r="H91" s="104"/>
      <c r="I91" s="104"/>
      <c r="J91" s="27"/>
      <c r="K91" s="27"/>
      <c r="L91" s="105"/>
      <c r="M91" s="106"/>
      <c r="N91" s="106"/>
      <c r="O91" s="106"/>
      <c r="P91" s="107"/>
      <c r="Q91" s="108"/>
      <c r="R91" s="109"/>
      <c r="S91" s="109"/>
      <c r="T91" s="108"/>
      <c r="U91" s="108"/>
      <c r="V91" s="108"/>
      <c r="W91" s="40"/>
      <c r="X91" s="41"/>
      <c r="Y91" s="41"/>
      <c r="Z91" s="41"/>
      <c r="AA91" s="41"/>
      <c r="AB91" s="110"/>
      <c r="AC91" s="96"/>
      <c r="AD91" s="111"/>
      <c r="AE91" s="96"/>
      <c r="AF91" s="96"/>
      <c r="AG91" s="96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2"/>
      <c r="BE91" s="112"/>
      <c r="BF91" s="112"/>
      <c r="BG91" s="112"/>
      <c r="BH91" s="112"/>
      <c r="BI91" s="112"/>
      <c r="BJ91" s="112"/>
      <c r="BK91" s="112"/>
      <c r="BL91" s="112"/>
      <c r="BM91" s="112"/>
      <c r="BN91" s="112"/>
    </row>
    <row r="92" spans="2:66" ht="19.149999999999999" customHeight="1">
      <c r="B92" s="100"/>
      <c r="C92" s="21"/>
      <c r="D92" s="101"/>
      <c r="E92" s="102"/>
      <c r="F92" s="103"/>
      <c r="G92" s="103"/>
      <c r="H92" s="104"/>
      <c r="I92" s="104"/>
      <c r="J92" s="27"/>
      <c r="K92" s="27"/>
      <c r="L92" s="105"/>
      <c r="M92" s="106"/>
      <c r="N92" s="106"/>
      <c r="O92" s="106"/>
      <c r="P92" s="107"/>
      <c r="Q92" s="108"/>
      <c r="R92" s="109"/>
      <c r="S92" s="109"/>
      <c r="T92" s="108"/>
      <c r="U92" s="108"/>
      <c r="V92" s="108"/>
      <c r="W92" s="40"/>
      <c r="X92" s="41"/>
      <c r="Y92" s="41"/>
      <c r="Z92" s="41"/>
      <c r="AA92" s="41"/>
      <c r="AB92" s="110"/>
      <c r="AC92" s="96"/>
      <c r="AD92" s="111"/>
      <c r="AE92" s="96"/>
      <c r="AF92" s="96"/>
      <c r="AG92" s="96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  <c r="BH92" s="112"/>
      <c r="BI92" s="112"/>
      <c r="BJ92" s="112"/>
      <c r="BK92" s="112"/>
      <c r="BL92" s="112"/>
      <c r="BM92" s="112"/>
      <c r="BN92" s="112"/>
    </row>
    <row r="93" spans="2:66" ht="19.149999999999999" customHeight="1">
      <c r="B93" s="100"/>
      <c r="C93" s="21"/>
      <c r="D93" s="101"/>
      <c r="E93" s="102"/>
      <c r="F93" s="103"/>
      <c r="G93" s="103"/>
      <c r="H93" s="104"/>
      <c r="I93" s="104"/>
      <c r="J93" s="27"/>
      <c r="K93" s="27"/>
      <c r="L93" s="105"/>
      <c r="M93" s="106"/>
      <c r="N93" s="106"/>
      <c r="O93" s="106"/>
      <c r="P93" s="107"/>
      <c r="Q93" s="108"/>
      <c r="R93" s="109"/>
      <c r="S93" s="109"/>
      <c r="T93" s="108"/>
      <c r="U93" s="108"/>
      <c r="V93" s="108"/>
      <c r="W93" s="40"/>
      <c r="X93" s="41"/>
      <c r="Y93" s="41"/>
      <c r="Z93" s="41"/>
      <c r="AA93" s="41"/>
      <c r="AB93" s="110"/>
      <c r="AC93" s="96"/>
      <c r="AD93" s="111"/>
      <c r="AE93" s="96"/>
      <c r="AF93" s="96"/>
      <c r="AG93" s="96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  <c r="BH93" s="112"/>
      <c r="BI93" s="112"/>
      <c r="BJ93" s="112"/>
      <c r="BK93" s="112"/>
      <c r="BL93" s="112"/>
      <c r="BM93" s="112"/>
      <c r="BN93" s="112"/>
    </row>
    <row r="94" spans="2:66" ht="19.149999999999999" customHeight="1">
      <c r="B94" s="100"/>
      <c r="C94" s="21"/>
      <c r="D94" s="101"/>
      <c r="E94" s="102"/>
      <c r="F94" s="103"/>
      <c r="G94" s="103"/>
      <c r="H94" s="104"/>
      <c r="I94" s="104"/>
      <c r="J94" s="27"/>
      <c r="K94" s="27"/>
      <c r="L94" s="105"/>
      <c r="M94" s="106"/>
      <c r="N94" s="106"/>
      <c r="O94" s="106"/>
      <c r="P94" s="107"/>
      <c r="Q94" s="108"/>
      <c r="R94" s="109"/>
      <c r="S94" s="109"/>
      <c r="T94" s="108"/>
      <c r="U94" s="108"/>
      <c r="V94" s="108"/>
      <c r="W94" s="40"/>
      <c r="X94" s="41"/>
      <c r="Y94" s="41"/>
      <c r="Z94" s="41"/>
      <c r="AA94" s="41"/>
      <c r="AB94" s="110"/>
      <c r="AC94" s="96"/>
      <c r="AD94" s="111"/>
      <c r="AE94" s="96"/>
      <c r="AF94" s="96"/>
      <c r="AG94" s="96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  <c r="BH94" s="112"/>
      <c r="BI94" s="112"/>
      <c r="BJ94" s="112"/>
      <c r="BK94" s="112"/>
      <c r="BL94" s="112"/>
      <c r="BM94" s="112"/>
      <c r="BN94" s="112"/>
    </row>
    <row r="95" spans="2:66" ht="19.149999999999999" customHeight="1">
      <c r="B95" s="100"/>
      <c r="C95" s="21"/>
      <c r="D95" s="101"/>
      <c r="E95" s="102"/>
      <c r="F95" s="103"/>
      <c r="G95" s="103"/>
      <c r="H95" s="104"/>
      <c r="I95" s="104"/>
      <c r="J95" s="27"/>
      <c r="K95" s="27"/>
      <c r="L95" s="105"/>
      <c r="M95" s="106"/>
      <c r="N95" s="106"/>
      <c r="O95" s="106"/>
      <c r="P95" s="107"/>
      <c r="Q95" s="108"/>
      <c r="R95" s="109"/>
      <c r="S95" s="109"/>
      <c r="T95" s="108"/>
      <c r="U95" s="108"/>
      <c r="V95" s="108"/>
      <c r="W95" s="40"/>
      <c r="X95" s="41"/>
      <c r="Y95" s="41"/>
      <c r="Z95" s="41"/>
      <c r="AA95" s="41"/>
      <c r="AB95" s="110"/>
      <c r="AC95" s="96"/>
      <c r="AD95" s="111"/>
      <c r="AE95" s="96"/>
      <c r="AF95" s="96"/>
      <c r="AG95" s="96"/>
      <c r="AI95" s="112"/>
      <c r="AJ95" s="112"/>
      <c r="AK95" s="112"/>
      <c r="AL95" s="112"/>
      <c r="AM95" s="112"/>
      <c r="AN95" s="112"/>
      <c r="AO95" s="112"/>
      <c r="AP95" s="112"/>
      <c r="AQ95" s="112"/>
      <c r="AR95" s="112"/>
      <c r="AS95" s="112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2"/>
      <c r="BE95" s="112"/>
      <c r="BF95" s="112"/>
      <c r="BG95" s="112"/>
      <c r="BH95" s="112"/>
      <c r="BI95" s="112"/>
      <c r="BJ95" s="112"/>
      <c r="BK95" s="112"/>
      <c r="BL95" s="112"/>
      <c r="BM95" s="112"/>
      <c r="BN95" s="112"/>
    </row>
    <row r="96" spans="2:66" ht="19.149999999999999" customHeight="1">
      <c r="B96" s="100"/>
      <c r="C96" s="21"/>
      <c r="D96" s="101"/>
      <c r="E96" s="102"/>
      <c r="F96" s="103"/>
      <c r="G96" s="103"/>
      <c r="H96" s="104"/>
      <c r="I96" s="104"/>
      <c r="J96" s="27"/>
      <c r="K96" s="27"/>
      <c r="L96" s="105"/>
      <c r="M96" s="106"/>
      <c r="N96" s="106"/>
      <c r="O96" s="106"/>
      <c r="P96" s="107"/>
      <c r="Q96" s="108"/>
      <c r="R96" s="109"/>
      <c r="S96" s="109"/>
      <c r="T96" s="108"/>
      <c r="U96" s="108"/>
      <c r="V96" s="108"/>
      <c r="W96" s="40"/>
      <c r="X96" s="41"/>
      <c r="Y96" s="41"/>
      <c r="Z96" s="41"/>
      <c r="AA96" s="41"/>
      <c r="AB96" s="110"/>
      <c r="AC96" s="96"/>
      <c r="AD96" s="111"/>
      <c r="AE96" s="96"/>
      <c r="AF96" s="96"/>
      <c r="AG96" s="96"/>
      <c r="AI96" s="112"/>
      <c r="AJ96" s="112"/>
      <c r="AK96" s="112"/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  <c r="BE96" s="112"/>
      <c r="BF96" s="112"/>
      <c r="BG96" s="112"/>
      <c r="BH96" s="112"/>
      <c r="BI96" s="112"/>
      <c r="BJ96" s="112"/>
      <c r="BK96" s="112"/>
      <c r="BL96" s="112"/>
      <c r="BM96" s="112"/>
      <c r="BN96" s="112"/>
    </row>
    <row r="97" spans="2:66" ht="19.149999999999999" customHeight="1">
      <c r="B97" s="100"/>
      <c r="C97" s="21"/>
      <c r="D97" s="101"/>
      <c r="E97" s="102"/>
      <c r="F97" s="103"/>
      <c r="G97" s="103"/>
      <c r="H97" s="104"/>
      <c r="I97" s="104"/>
      <c r="J97" s="27"/>
      <c r="K97" s="27"/>
      <c r="L97" s="105"/>
      <c r="M97" s="106"/>
      <c r="N97" s="106"/>
      <c r="O97" s="106"/>
      <c r="P97" s="107"/>
      <c r="Q97" s="108"/>
      <c r="R97" s="109"/>
      <c r="S97" s="109"/>
      <c r="T97" s="108"/>
      <c r="U97" s="108"/>
      <c r="V97" s="108"/>
      <c r="W97" s="40"/>
      <c r="X97" s="41"/>
      <c r="Y97" s="41"/>
      <c r="Z97" s="41"/>
      <c r="AA97" s="41"/>
      <c r="AB97" s="110"/>
      <c r="AC97" s="96"/>
      <c r="AD97" s="111"/>
      <c r="AE97" s="96"/>
      <c r="AF97" s="96"/>
      <c r="AG97" s="96"/>
      <c r="AI97" s="112"/>
      <c r="AJ97" s="112"/>
      <c r="AK97" s="112"/>
      <c r="AL97" s="112"/>
      <c r="AM97" s="112"/>
      <c r="AN97" s="112"/>
      <c r="AO97" s="112"/>
      <c r="AP97" s="112"/>
      <c r="AQ97" s="112"/>
      <c r="AR97" s="112"/>
      <c r="AS97" s="112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2"/>
      <c r="BE97" s="112"/>
      <c r="BF97" s="112"/>
      <c r="BG97" s="112"/>
      <c r="BH97" s="112"/>
      <c r="BI97" s="112"/>
      <c r="BJ97" s="112"/>
      <c r="BK97" s="112"/>
      <c r="BL97" s="112"/>
      <c r="BM97" s="112"/>
      <c r="BN97" s="112"/>
    </row>
    <row r="98" spans="2:66" ht="19.149999999999999" customHeight="1">
      <c r="B98" s="100"/>
      <c r="C98" s="21"/>
      <c r="D98" s="101"/>
      <c r="E98" s="102"/>
      <c r="F98" s="103"/>
      <c r="G98" s="103"/>
      <c r="H98" s="104"/>
      <c r="I98" s="104"/>
      <c r="J98" s="27"/>
      <c r="K98" s="27"/>
      <c r="L98" s="105"/>
      <c r="M98" s="106"/>
      <c r="N98" s="106"/>
      <c r="O98" s="106"/>
      <c r="P98" s="107"/>
      <c r="Q98" s="108"/>
      <c r="R98" s="109"/>
      <c r="S98" s="109"/>
      <c r="T98" s="108"/>
      <c r="U98" s="108"/>
      <c r="V98" s="108"/>
      <c r="W98" s="40"/>
      <c r="X98" s="41"/>
      <c r="Y98" s="41"/>
      <c r="Z98" s="41"/>
      <c r="AA98" s="41"/>
      <c r="AB98" s="110"/>
      <c r="AC98" s="96"/>
      <c r="AD98" s="111"/>
      <c r="AE98" s="96"/>
      <c r="AF98" s="96"/>
      <c r="AG98" s="96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2"/>
      <c r="BG98" s="112"/>
      <c r="BH98" s="112"/>
      <c r="BI98" s="112"/>
      <c r="BJ98" s="112"/>
      <c r="BK98" s="112"/>
      <c r="BL98" s="112"/>
      <c r="BM98" s="112"/>
      <c r="BN98" s="112"/>
    </row>
    <row r="99" spans="2:66" ht="19.149999999999999" customHeight="1">
      <c r="B99" s="100"/>
      <c r="C99" s="21"/>
      <c r="D99" s="101"/>
      <c r="E99" s="102"/>
      <c r="F99" s="103"/>
      <c r="G99" s="103"/>
      <c r="H99" s="104"/>
      <c r="I99" s="104"/>
      <c r="J99" s="27"/>
      <c r="K99" s="27"/>
      <c r="L99" s="105"/>
      <c r="M99" s="106"/>
      <c r="N99" s="106"/>
      <c r="O99" s="106"/>
      <c r="P99" s="107"/>
      <c r="Q99" s="108"/>
      <c r="R99" s="109"/>
      <c r="S99" s="109"/>
      <c r="T99" s="108"/>
      <c r="U99" s="108"/>
      <c r="V99" s="108"/>
      <c r="W99" s="40"/>
      <c r="X99" s="41"/>
      <c r="Y99" s="41"/>
      <c r="Z99" s="41"/>
      <c r="AA99" s="41"/>
      <c r="AB99" s="110"/>
      <c r="AC99" s="96"/>
      <c r="AD99" s="111"/>
      <c r="AE99" s="96"/>
      <c r="AF99" s="96"/>
      <c r="AG99" s="96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</row>
    <row r="100" spans="2:66" ht="19.149999999999999" customHeight="1">
      <c r="B100" s="100"/>
      <c r="C100" s="21"/>
      <c r="D100" s="101"/>
      <c r="E100" s="102"/>
      <c r="F100" s="103"/>
      <c r="G100" s="103"/>
      <c r="H100" s="104"/>
      <c r="I100" s="104"/>
      <c r="J100" s="27"/>
      <c r="K100" s="27"/>
      <c r="L100" s="105"/>
      <c r="M100" s="106"/>
      <c r="N100" s="106"/>
      <c r="O100" s="106"/>
      <c r="P100" s="107"/>
      <c r="Q100" s="108"/>
      <c r="R100" s="109"/>
      <c r="S100" s="109"/>
      <c r="T100" s="108"/>
      <c r="U100" s="108"/>
      <c r="V100" s="108"/>
      <c r="W100" s="40"/>
      <c r="X100" s="41"/>
      <c r="Y100" s="41"/>
      <c r="Z100" s="41"/>
      <c r="AA100" s="41"/>
      <c r="AB100" s="110"/>
      <c r="AC100" s="96"/>
      <c r="AD100" s="111"/>
      <c r="AE100" s="96"/>
      <c r="AF100" s="96"/>
      <c r="AG100" s="96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</row>
    <row r="101" spans="2:66" ht="19.149999999999999" customHeight="1">
      <c r="B101" s="100"/>
      <c r="C101" s="21"/>
      <c r="D101" s="101"/>
      <c r="E101" s="102"/>
      <c r="F101" s="103"/>
      <c r="G101" s="103"/>
      <c r="H101" s="104"/>
      <c r="I101" s="104"/>
      <c r="J101" s="27"/>
      <c r="K101" s="27"/>
      <c r="L101" s="105"/>
      <c r="M101" s="106"/>
      <c r="N101" s="106"/>
      <c r="O101" s="106"/>
      <c r="P101" s="107"/>
      <c r="Q101" s="108"/>
      <c r="R101" s="109"/>
      <c r="S101" s="109"/>
      <c r="T101" s="108"/>
      <c r="U101" s="108"/>
      <c r="V101" s="108"/>
      <c r="W101" s="40"/>
      <c r="X101" s="41"/>
      <c r="Y101" s="41"/>
      <c r="Z101" s="41"/>
      <c r="AA101" s="41"/>
      <c r="AB101" s="110"/>
      <c r="AC101" s="96"/>
      <c r="AD101" s="111"/>
      <c r="AE101" s="96"/>
      <c r="AF101" s="96"/>
      <c r="AG101" s="96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</row>
    <row r="102" spans="2:66" ht="19.149999999999999" customHeight="1">
      <c r="B102" s="100"/>
      <c r="C102" s="21"/>
      <c r="D102" s="101"/>
      <c r="E102" s="102"/>
      <c r="F102" s="103"/>
      <c r="G102" s="103"/>
      <c r="H102" s="104"/>
      <c r="I102" s="104"/>
      <c r="J102" s="27"/>
      <c r="K102" s="27"/>
      <c r="L102" s="105"/>
      <c r="M102" s="106"/>
      <c r="N102" s="106"/>
      <c r="O102" s="106"/>
      <c r="P102" s="107"/>
      <c r="Q102" s="108"/>
      <c r="R102" s="109"/>
      <c r="S102" s="109"/>
      <c r="T102" s="108"/>
      <c r="U102" s="108"/>
      <c r="V102" s="108"/>
      <c r="W102" s="40"/>
      <c r="X102" s="41"/>
      <c r="Y102" s="41"/>
      <c r="Z102" s="41"/>
      <c r="AA102" s="41"/>
      <c r="AB102" s="110"/>
      <c r="AC102" s="96"/>
      <c r="AD102" s="111"/>
      <c r="AE102" s="96"/>
      <c r="AF102" s="96"/>
      <c r="AG102" s="96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</row>
    <row r="103" spans="2:66" ht="19.149999999999999" customHeight="1">
      <c r="B103" s="100"/>
      <c r="C103" s="21"/>
      <c r="D103" s="101"/>
      <c r="E103" s="102"/>
      <c r="F103" s="103"/>
      <c r="G103" s="103"/>
      <c r="H103" s="104"/>
      <c r="I103" s="104"/>
      <c r="J103" s="27"/>
      <c r="K103" s="27"/>
      <c r="L103" s="105"/>
      <c r="M103" s="106"/>
      <c r="N103" s="106"/>
      <c r="O103" s="106"/>
      <c r="P103" s="107"/>
      <c r="Q103" s="108"/>
      <c r="R103" s="109"/>
      <c r="S103" s="109"/>
      <c r="T103" s="108"/>
      <c r="U103" s="108"/>
      <c r="V103" s="108"/>
      <c r="W103" s="40"/>
      <c r="X103" s="41"/>
      <c r="Y103" s="41"/>
      <c r="Z103" s="41"/>
      <c r="AA103" s="41"/>
      <c r="AB103" s="110"/>
      <c r="AC103" s="96"/>
      <c r="AD103" s="111"/>
      <c r="AE103" s="96"/>
      <c r="AF103" s="96"/>
      <c r="AG103" s="96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</row>
    <row r="104" spans="2:66" ht="19.149999999999999" customHeight="1">
      <c r="B104" s="100"/>
      <c r="C104" s="21"/>
      <c r="D104" s="101"/>
      <c r="E104" s="102"/>
      <c r="F104" s="103"/>
      <c r="G104" s="103"/>
      <c r="H104" s="104"/>
      <c r="I104" s="104"/>
      <c r="J104" s="27"/>
      <c r="K104" s="27"/>
      <c r="L104" s="105"/>
      <c r="M104" s="106"/>
      <c r="N104" s="106"/>
      <c r="O104" s="106"/>
      <c r="P104" s="107"/>
      <c r="Q104" s="108"/>
      <c r="R104" s="109"/>
      <c r="S104" s="109"/>
      <c r="T104" s="108"/>
      <c r="U104" s="108"/>
      <c r="V104" s="108"/>
      <c r="W104" s="40"/>
      <c r="X104" s="41"/>
      <c r="Y104" s="41"/>
      <c r="Z104" s="41"/>
      <c r="AA104" s="41"/>
      <c r="AB104" s="110"/>
      <c r="AC104" s="96"/>
      <c r="AD104" s="111"/>
      <c r="AE104" s="96"/>
      <c r="AF104" s="96"/>
      <c r="AG104" s="96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</row>
    <row r="105" spans="2:66" ht="19.149999999999999" customHeight="1">
      <c r="B105" s="100"/>
      <c r="C105" s="21"/>
      <c r="D105" s="101"/>
      <c r="E105" s="102"/>
      <c r="F105" s="103"/>
      <c r="G105" s="103"/>
      <c r="H105" s="104"/>
      <c r="I105" s="104"/>
      <c r="J105" s="27"/>
      <c r="K105" s="27"/>
      <c r="L105" s="105"/>
      <c r="M105" s="106"/>
      <c r="N105" s="106"/>
      <c r="O105" s="106"/>
      <c r="P105" s="107"/>
      <c r="Q105" s="108"/>
      <c r="R105" s="109"/>
      <c r="S105" s="109"/>
      <c r="T105" s="108"/>
      <c r="U105" s="108"/>
      <c r="V105" s="108"/>
      <c r="W105" s="40"/>
      <c r="X105" s="41"/>
      <c r="Y105" s="41"/>
      <c r="Z105" s="41"/>
      <c r="AA105" s="41"/>
      <c r="AB105" s="110"/>
      <c r="AC105" s="96"/>
      <c r="AD105" s="111"/>
      <c r="AE105" s="96"/>
      <c r="AF105" s="96"/>
      <c r="AG105" s="96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</row>
    <row r="106" spans="2:66" ht="19.149999999999999" customHeight="1">
      <c r="B106" s="100"/>
      <c r="C106" s="21"/>
      <c r="D106" s="101"/>
      <c r="E106" s="102"/>
      <c r="F106" s="103"/>
      <c r="G106" s="103"/>
      <c r="H106" s="104"/>
      <c r="I106" s="104"/>
      <c r="J106" s="27"/>
      <c r="K106" s="27"/>
      <c r="L106" s="105"/>
      <c r="M106" s="106"/>
      <c r="N106" s="106"/>
      <c r="O106" s="106"/>
      <c r="P106" s="107"/>
      <c r="Q106" s="108"/>
      <c r="R106" s="109"/>
      <c r="S106" s="109"/>
      <c r="T106" s="108"/>
      <c r="U106" s="108"/>
      <c r="V106" s="108"/>
      <c r="W106" s="40"/>
      <c r="X106" s="41"/>
      <c r="Y106" s="41"/>
      <c r="Z106" s="41"/>
      <c r="AA106" s="41"/>
      <c r="AB106" s="110"/>
      <c r="AC106" s="96"/>
      <c r="AD106" s="111"/>
      <c r="AE106" s="96"/>
      <c r="AF106" s="96"/>
      <c r="AG106" s="96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</row>
    <row r="107" spans="2:66" ht="19.149999999999999" customHeight="1">
      <c r="B107" s="100"/>
      <c r="C107" s="21"/>
      <c r="D107" s="101"/>
      <c r="E107" s="102"/>
      <c r="F107" s="103"/>
      <c r="G107" s="103"/>
      <c r="H107" s="104"/>
      <c r="I107" s="104"/>
      <c r="J107" s="27"/>
      <c r="K107" s="27"/>
      <c r="L107" s="105"/>
      <c r="M107" s="106"/>
      <c r="N107" s="106"/>
      <c r="O107" s="106"/>
      <c r="P107" s="107"/>
      <c r="Q107" s="108"/>
      <c r="R107" s="109"/>
      <c r="S107" s="109"/>
      <c r="T107" s="108"/>
      <c r="U107" s="108"/>
      <c r="V107" s="108"/>
      <c r="W107" s="40"/>
      <c r="X107" s="41"/>
      <c r="Y107" s="41"/>
      <c r="Z107" s="41"/>
      <c r="AA107" s="41"/>
      <c r="AB107" s="110"/>
      <c r="AC107" s="96"/>
      <c r="AD107" s="111"/>
      <c r="AE107" s="96"/>
      <c r="AF107" s="96"/>
      <c r="AG107" s="96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</row>
    <row r="108" spans="2:66" ht="19.149999999999999" customHeight="1">
      <c r="B108" s="100"/>
      <c r="C108" s="21"/>
      <c r="D108" s="101"/>
      <c r="E108" s="102"/>
      <c r="F108" s="103"/>
      <c r="G108" s="103"/>
      <c r="H108" s="104"/>
      <c r="I108" s="104"/>
      <c r="J108" s="27"/>
      <c r="K108" s="27"/>
      <c r="L108" s="105"/>
      <c r="M108" s="106"/>
      <c r="N108" s="106"/>
      <c r="O108" s="106"/>
      <c r="P108" s="107"/>
      <c r="Q108" s="108"/>
      <c r="R108" s="109"/>
      <c r="S108" s="109"/>
      <c r="T108" s="108"/>
      <c r="U108" s="108"/>
      <c r="V108" s="108"/>
      <c r="W108" s="40"/>
      <c r="X108" s="41"/>
      <c r="Y108" s="41"/>
      <c r="Z108" s="41"/>
      <c r="AA108" s="41"/>
      <c r="AB108" s="110"/>
      <c r="AC108" s="96"/>
      <c r="AD108" s="111"/>
      <c r="AE108" s="96"/>
      <c r="AF108" s="96"/>
      <c r="AG108" s="96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</row>
    <row r="109" spans="2:66" ht="19.149999999999999" customHeight="1">
      <c r="B109" s="100"/>
      <c r="C109" s="21"/>
      <c r="D109" s="101"/>
      <c r="E109" s="102"/>
      <c r="F109" s="103"/>
      <c r="G109" s="103"/>
      <c r="H109" s="104"/>
      <c r="I109" s="104"/>
      <c r="J109" s="27"/>
      <c r="K109" s="27"/>
      <c r="L109" s="105"/>
      <c r="M109" s="106"/>
      <c r="N109" s="106"/>
      <c r="O109" s="106"/>
      <c r="P109" s="107"/>
      <c r="Q109" s="108"/>
      <c r="R109" s="109"/>
      <c r="S109" s="109"/>
      <c r="T109" s="108"/>
      <c r="U109" s="108"/>
      <c r="V109" s="108"/>
      <c r="W109" s="40"/>
      <c r="X109" s="41"/>
      <c r="Y109" s="41"/>
      <c r="Z109" s="41"/>
      <c r="AA109" s="41"/>
      <c r="AB109" s="110"/>
      <c r="AC109" s="96"/>
      <c r="AD109" s="111"/>
      <c r="AE109" s="96"/>
      <c r="AF109" s="96"/>
      <c r="AG109" s="96"/>
      <c r="AI109" s="112"/>
      <c r="AJ109" s="112"/>
      <c r="AK109" s="112"/>
      <c r="AL109" s="112"/>
      <c r="AM109" s="112"/>
      <c r="AN109" s="112"/>
      <c r="AO109" s="112"/>
      <c r="AP109" s="112"/>
      <c r="AQ109" s="112"/>
      <c r="AR109" s="112"/>
      <c r="AS109" s="112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2"/>
      <c r="BE109" s="112"/>
      <c r="BF109" s="112"/>
      <c r="BG109" s="112"/>
      <c r="BH109" s="112"/>
      <c r="BI109" s="112"/>
      <c r="BJ109" s="112"/>
      <c r="BK109" s="112"/>
      <c r="BL109" s="112"/>
      <c r="BM109" s="112"/>
      <c r="BN109" s="112"/>
    </row>
    <row r="110" spans="2:66" ht="19.149999999999999" customHeight="1">
      <c r="B110" s="100"/>
      <c r="C110" s="21"/>
      <c r="D110" s="101"/>
      <c r="E110" s="102"/>
      <c r="F110" s="103"/>
      <c r="G110" s="103"/>
      <c r="H110" s="104"/>
      <c r="I110" s="104"/>
      <c r="J110" s="27"/>
      <c r="K110" s="27"/>
      <c r="L110" s="105"/>
      <c r="M110" s="106"/>
      <c r="N110" s="106"/>
      <c r="O110" s="106"/>
      <c r="P110" s="107"/>
      <c r="Q110" s="108"/>
      <c r="R110" s="109"/>
      <c r="S110" s="109"/>
      <c r="T110" s="108"/>
      <c r="U110" s="108"/>
      <c r="V110" s="108"/>
      <c r="W110" s="40"/>
      <c r="X110" s="41"/>
      <c r="Y110" s="41"/>
      <c r="Z110" s="41"/>
      <c r="AA110" s="41"/>
      <c r="AB110" s="110"/>
      <c r="AC110" s="96"/>
      <c r="AD110" s="111"/>
      <c r="AE110" s="96"/>
      <c r="AF110" s="96"/>
      <c r="AG110" s="96"/>
      <c r="AI110" s="112"/>
      <c r="AJ110" s="112"/>
      <c r="AK110" s="112"/>
      <c r="AL110" s="112"/>
      <c r="AM110" s="112"/>
      <c r="AN110" s="112"/>
      <c r="AO110" s="112"/>
      <c r="AP110" s="112"/>
      <c r="AQ110" s="112"/>
      <c r="AR110" s="112"/>
      <c r="AS110" s="112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2"/>
      <c r="BE110" s="112"/>
      <c r="BF110" s="112"/>
      <c r="BG110" s="112"/>
      <c r="BH110" s="112"/>
      <c r="BI110" s="112"/>
      <c r="BJ110" s="112"/>
      <c r="BK110" s="112"/>
      <c r="BL110" s="112"/>
      <c r="BM110" s="112"/>
      <c r="BN110" s="112"/>
    </row>
    <row r="111" spans="2:66" ht="19.149999999999999" customHeight="1">
      <c r="B111" s="100"/>
      <c r="C111" s="21"/>
      <c r="D111" s="101"/>
      <c r="E111" s="102"/>
      <c r="F111" s="103"/>
      <c r="G111" s="103"/>
      <c r="H111" s="104"/>
      <c r="I111" s="104"/>
      <c r="J111" s="27"/>
      <c r="K111" s="27"/>
      <c r="L111" s="105"/>
      <c r="M111" s="106"/>
      <c r="N111" s="106"/>
      <c r="O111" s="106"/>
      <c r="P111" s="107"/>
      <c r="Q111" s="108"/>
      <c r="R111" s="109"/>
      <c r="S111" s="109"/>
      <c r="T111" s="108"/>
      <c r="U111" s="108"/>
      <c r="V111" s="108"/>
      <c r="W111" s="40"/>
      <c r="X111" s="41"/>
      <c r="Y111" s="41"/>
      <c r="Z111" s="41"/>
      <c r="AA111" s="41"/>
      <c r="AB111" s="110"/>
      <c r="AC111" s="96"/>
      <c r="AD111" s="111"/>
      <c r="AE111" s="96"/>
      <c r="AF111" s="96"/>
      <c r="AG111" s="96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</row>
    <row r="112" spans="2:66" ht="19.149999999999999" customHeight="1">
      <c r="B112" s="100"/>
      <c r="C112" s="21"/>
      <c r="D112" s="101"/>
      <c r="E112" s="102"/>
      <c r="F112" s="103"/>
      <c r="G112" s="103"/>
      <c r="H112" s="104"/>
      <c r="I112" s="104"/>
      <c r="J112" s="27"/>
      <c r="K112" s="27"/>
      <c r="L112" s="105"/>
      <c r="M112" s="106"/>
      <c r="N112" s="106"/>
      <c r="O112" s="106"/>
      <c r="P112" s="107"/>
      <c r="Q112" s="108"/>
      <c r="R112" s="109"/>
      <c r="S112" s="109"/>
      <c r="T112" s="108"/>
      <c r="U112" s="108"/>
      <c r="V112" s="108"/>
      <c r="W112" s="40"/>
      <c r="X112" s="41"/>
      <c r="Y112" s="41"/>
      <c r="Z112" s="41"/>
      <c r="AA112" s="41"/>
      <c r="AB112" s="110"/>
      <c r="AC112" s="96"/>
      <c r="AD112" s="111"/>
      <c r="AE112" s="96"/>
      <c r="AF112" s="96"/>
      <c r="AG112" s="96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</row>
    <row r="113" spans="2:66" ht="19.149999999999999" customHeight="1">
      <c r="B113" s="100"/>
      <c r="C113" s="21"/>
      <c r="D113" s="101"/>
      <c r="E113" s="102"/>
      <c r="F113" s="103"/>
      <c r="G113" s="103"/>
      <c r="H113" s="104"/>
      <c r="I113" s="104"/>
      <c r="J113" s="27"/>
      <c r="K113" s="27"/>
      <c r="L113" s="105"/>
      <c r="M113" s="106"/>
      <c r="N113" s="106"/>
      <c r="O113" s="106"/>
      <c r="P113" s="107"/>
      <c r="Q113" s="108"/>
      <c r="R113" s="109"/>
      <c r="S113" s="109"/>
      <c r="T113" s="108"/>
      <c r="U113" s="108"/>
      <c r="V113" s="108"/>
      <c r="W113" s="40"/>
      <c r="X113" s="41"/>
      <c r="Y113" s="41"/>
      <c r="Z113" s="41"/>
      <c r="AA113" s="41"/>
      <c r="AB113" s="110"/>
      <c r="AC113" s="96"/>
      <c r="AD113" s="111"/>
      <c r="AE113" s="96"/>
      <c r="AF113" s="96"/>
      <c r="AG113" s="96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</row>
    <row r="114" spans="2:66" ht="19.149999999999999" customHeight="1">
      <c r="B114" s="100"/>
      <c r="C114" s="21"/>
      <c r="D114" s="101"/>
      <c r="E114" s="102"/>
      <c r="F114" s="103"/>
      <c r="G114" s="103"/>
      <c r="H114" s="104"/>
      <c r="I114" s="104"/>
      <c r="J114" s="27"/>
      <c r="K114" s="27"/>
      <c r="L114" s="105"/>
      <c r="M114" s="106"/>
      <c r="N114" s="106"/>
      <c r="O114" s="106"/>
      <c r="P114" s="107"/>
      <c r="Q114" s="108"/>
      <c r="R114" s="109"/>
      <c r="S114" s="109"/>
      <c r="T114" s="108"/>
      <c r="U114" s="108"/>
      <c r="V114" s="108"/>
      <c r="W114" s="40"/>
      <c r="X114" s="41"/>
      <c r="Y114" s="41"/>
      <c r="Z114" s="41"/>
      <c r="AA114" s="41"/>
      <c r="AB114" s="110"/>
      <c r="AC114" s="96"/>
      <c r="AD114" s="111"/>
      <c r="AE114" s="96"/>
      <c r="AF114" s="96"/>
      <c r="AG114" s="96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</row>
    <row r="115" spans="2:66" ht="19.149999999999999" customHeight="1">
      <c r="B115" s="100"/>
      <c r="C115" s="21"/>
      <c r="D115" s="101"/>
      <c r="E115" s="102"/>
      <c r="F115" s="103"/>
      <c r="G115" s="103"/>
      <c r="H115" s="104"/>
      <c r="I115" s="104"/>
      <c r="J115" s="27"/>
      <c r="K115" s="27"/>
      <c r="L115" s="105"/>
      <c r="M115" s="106"/>
      <c r="N115" s="106"/>
      <c r="O115" s="106"/>
      <c r="P115" s="107"/>
      <c r="Q115" s="108"/>
      <c r="R115" s="109"/>
      <c r="S115" s="109"/>
      <c r="T115" s="108"/>
      <c r="U115" s="108"/>
      <c r="V115" s="108"/>
      <c r="W115" s="40"/>
      <c r="X115" s="41"/>
      <c r="Y115" s="41"/>
      <c r="Z115" s="41"/>
      <c r="AA115" s="41"/>
      <c r="AB115" s="110"/>
      <c r="AC115" s="96"/>
      <c r="AD115" s="111"/>
      <c r="AE115" s="96"/>
      <c r="AF115" s="96"/>
      <c r="AG115" s="96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</row>
    <row r="116" spans="2:66" ht="19.149999999999999" customHeight="1">
      <c r="B116" s="100"/>
      <c r="C116" s="21"/>
      <c r="D116" s="101"/>
      <c r="E116" s="102"/>
      <c r="F116" s="103"/>
      <c r="G116" s="103"/>
      <c r="H116" s="104"/>
      <c r="I116" s="104"/>
      <c r="J116" s="27"/>
      <c r="K116" s="27"/>
      <c r="L116" s="105"/>
      <c r="M116" s="106"/>
      <c r="N116" s="106"/>
      <c r="O116" s="106"/>
      <c r="P116" s="107"/>
      <c r="Q116" s="108"/>
      <c r="R116" s="109"/>
      <c r="S116" s="109"/>
      <c r="T116" s="108"/>
      <c r="U116" s="108"/>
      <c r="V116" s="108"/>
      <c r="W116" s="40"/>
      <c r="X116" s="41"/>
      <c r="Y116" s="41"/>
      <c r="Z116" s="41"/>
      <c r="AA116" s="41"/>
      <c r="AB116" s="110"/>
      <c r="AC116" s="96"/>
      <c r="AD116" s="111"/>
      <c r="AE116" s="96"/>
      <c r="AF116" s="96"/>
      <c r="AG116" s="96"/>
      <c r="AI116" s="112"/>
      <c r="AJ116" s="112"/>
      <c r="AK116" s="112"/>
      <c r="AL116" s="112"/>
      <c r="AM116" s="112"/>
      <c r="AN116" s="112"/>
      <c r="AO116" s="112"/>
      <c r="AP116" s="112"/>
      <c r="AQ116" s="112"/>
      <c r="AR116" s="112"/>
      <c r="AS116" s="112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2"/>
      <c r="BE116" s="112"/>
      <c r="BF116" s="112"/>
      <c r="BG116" s="112"/>
      <c r="BH116" s="112"/>
      <c r="BI116" s="112"/>
      <c r="BJ116" s="112"/>
      <c r="BK116" s="112"/>
      <c r="BL116" s="112"/>
      <c r="BM116" s="112"/>
      <c r="BN116" s="112"/>
    </row>
    <row r="117" spans="2:66" ht="19.149999999999999" customHeight="1">
      <c r="B117" s="100"/>
      <c r="C117" s="21"/>
      <c r="D117" s="101"/>
      <c r="E117" s="102"/>
      <c r="F117" s="103"/>
      <c r="G117" s="103"/>
      <c r="H117" s="104"/>
      <c r="I117" s="104"/>
      <c r="J117" s="27"/>
      <c r="K117" s="27"/>
      <c r="L117" s="105"/>
      <c r="M117" s="106"/>
      <c r="N117" s="106"/>
      <c r="O117" s="106"/>
      <c r="P117" s="107"/>
      <c r="Q117" s="108"/>
      <c r="R117" s="109"/>
      <c r="S117" s="109"/>
      <c r="T117" s="108"/>
      <c r="U117" s="108"/>
      <c r="V117" s="108"/>
      <c r="W117" s="40"/>
      <c r="X117" s="41"/>
      <c r="Y117" s="41"/>
      <c r="Z117" s="41"/>
      <c r="AA117" s="41"/>
      <c r="AB117" s="110"/>
      <c r="AC117" s="96"/>
      <c r="AD117" s="111"/>
      <c r="AE117" s="96"/>
      <c r="AF117" s="96"/>
      <c r="AG117" s="96"/>
      <c r="AI117" s="112"/>
      <c r="AJ117" s="112"/>
      <c r="AK117" s="112"/>
      <c r="AL117" s="112"/>
      <c r="AM117" s="112"/>
      <c r="AN117" s="112"/>
      <c r="AO117" s="112"/>
      <c r="AP117" s="112"/>
      <c r="AQ117" s="112"/>
      <c r="AR117" s="112"/>
      <c r="AS117" s="112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2"/>
      <c r="BE117" s="112"/>
      <c r="BF117" s="112"/>
      <c r="BG117" s="112"/>
      <c r="BH117" s="112"/>
      <c r="BI117" s="112"/>
      <c r="BJ117" s="112"/>
      <c r="BK117" s="112"/>
      <c r="BL117" s="112"/>
      <c r="BM117" s="112"/>
      <c r="BN117" s="112"/>
    </row>
    <row r="118" spans="2:66" ht="19.149999999999999" customHeight="1">
      <c r="B118" s="100"/>
      <c r="C118" s="21"/>
      <c r="D118" s="101"/>
      <c r="E118" s="102"/>
      <c r="F118" s="103"/>
      <c r="G118" s="103"/>
      <c r="H118" s="104"/>
      <c r="I118" s="104"/>
      <c r="J118" s="27"/>
      <c r="K118" s="27"/>
      <c r="L118" s="105"/>
      <c r="M118" s="106"/>
      <c r="N118" s="106"/>
      <c r="O118" s="106"/>
      <c r="P118" s="107"/>
      <c r="Q118" s="108"/>
      <c r="R118" s="109"/>
      <c r="S118" s="109"/>
      <c r="T118" s="108"/>
      <c r="U118" s="108"/>
      <c r="V118" s="108"/>
      <c r="W118" s="40"/>
      <c r="X118" s="41"/>
      <c r="Y118" s="41"/>
      <c r="Z118" s="41"/>
      <c r="AA118" s="41"/>
      <c r="AB118" s="110"/>
      <c r="AC118" s="96"/>
      <c r="AD118" s="111"/>
      <c r="AE118" s="96"/>
      <c r="AF118" s="96"/>
      <c r="AG118" s="96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</row>
    <row r="119" spans="2:66" ht="19.149999999999999" customHeight="1">
      <c r="B119" s="100"/>
      <c r="C119" s="21"/>
      <c r="D119" s="101"/>
      <c r="E119" s="102"/>
      <c r="F119" s="103"/>
      <c r="G119" s="103"/>
      <c r="H119" s="104"/>
      <c r="I119" s="104"/>
      <c r="J119" s="27"/>
      <c r="K119" s="27"/>
      <c r="L119" s="105"/>
      <c r="M119" s="106"/>
      <c r="N119" s="106"/>
      <c r="O119" s="106"/>
      <c r="P119" s="107"/>
      <c r="Q119" s="108"/>
      <c r="R119" s="109"/>
      <c r="S119" s="109"/>
      <c r="T119" s="108"/>
      <c r="U119" s="108"/>
      <c r="V119" s="108"/>
      <c r="W119" s="40"/>
      <c r="X119" s="41"/>
      <c r="Y119" s="41"/>
      <c r="Z119" s="41"/>
      <c r="AA119" s="41"/>
      <c r="AB119" s="110"/>
      <c r="AC119" s="96"/>
      <c r="AD119" s="111"/>
      <c r="AE119" s="96"/>
      <c r="AF119" s="96"/>
      <c r="AG119" s="96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</row>
    <row r="120" spans="2:66" ht="19.149999999999999" customHeight="1">
      <c r="B120" s="100"/>
      <c r="C120" s="21"/>
      <c r="D120" s="101"/>
      <c r="E120" s="102"/>
      <c r="F120" s="103"/>
      <c r="G120" s="103"/>
      <c r="H120" s="104"/>
      <c r="I120" s="104"/>
      <c r="J120" s="27"/>
      <c r="K120" s="27"/>
      <c r="L120" s="105"/>
      <c r="M120" s="106"/>
      <c r="N120" s="106"/>
      <c r="O120" s="106"/>
      <c r="P120" s="107"/>
      <c r="Q120" s="108"/>
      <c r="R120" s="109"/>
      <c r="S120" s="109"/>
      <c r="T120" s="108"/>
      <c r="U120" s="108"/>
      <c r="V120" s="108"/>
      <c r="W120" s="40"/>
      <c r="X120" s="41"/>
      <c r="Y120" s="41"/>
      <c r="Z120" s="41"/>
      <c r="AA120" s="41"/>
      <c r="AB120" s="110"/>
      <c r="AC120" s="96"/>
      <c r="AD120" s="111"/>
      <c r="AE120" s="96"/>
      <c r="AF120" s="96"/>
      <c r="AG120" s="96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</row>
    <row r="121" spans="2:66" ht="19.149999999999999" customHeight="1">
      <c r="B121" s="100"/>
      <c r="C121" s="21"/>
      <c r="D121" s="101"/>
      <c r="E121" s="102"/>
      <c r="F121" s="103"/>
      <c r="G121" s="103"/>
      <c r="H121" s="104"/>
      <c r="I121" s="104"/>
      <c r="J121" s="27"/>
      <c r="K121" s="27"/>
      <c r="L121" s="105"/>
      <c r="M121" s="106"/>
      <c r="N121" s="106"/>
      <c r="O121" s="106"/>
      <c r="P121" s="107"/>
      <c r="Q121" s="108"/>
      <c r="R121" s="109"/>
      <c r="S121" s="109"/>
      <c r="T121" s="108"/>
      <c r="U121" s="108"/>
      <c r="V121" s="108"/>
      <c r="W121" s="40"/>
      <c r="X121" s="41"/>
      <c r="Y121" s="41"/>
      <c r="Z121" s="41"/>
      <c r="AA121" s="41"/>
      <c r="AB121" s="110"/>
      <c r="AC121" s="96"/>
      <c r="AD121" s="111"/>
      <c r="AE121" s="96"/>
      <c r="AF121" s="96"/>
      <c r="AG121" s="96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</row>
    <row r="122" spans="2:66" ht="19.149999999999999" customHeight="1">
      <c r="B122" s="100"/>
      <c r="C122" s="21"/>
      <c r="D122" s="101"/>
      <c r="E122" s="102"/>
      <c r="F122" s="103"/>
      <c r="G122" s="103"/>
      <c r="H122" s="104"/>
      <c r="I122" s="104"/>
      <c r="J122" s="27"/>
      <c r="K122" s="27"/>
      <c r="L122" s="105"/>
      <c r="M122" s="106"/>
      <c r="N122" s="106"/>
      <c r="O122" s="106"/>
      <c r="P122" s="107"/>
      <c r="Q122" s="108"/>
      <c r="R122" s="109"/>
      <c r="S122" s="109"/>
      <c r="T122" s="108"/>
      <c r="U122" s="108"/>
      <c r="V122" s="108"/>
      <c r="W122" s="40"/>
      <c r="X122" s="41"/>
      <c r="Y122" s="41"/>
      <c r="Z122" s="41"/>
      <c r="AA122" s="41"/>
      <c r="AB122" s="110"/>
      <c r="AC122" s="96"/>
      <c r="AD122" s="111"/>
      <c r="AE122" s="96"/>
      <c r="AF122" s="96"/>
      <c r="AG122" s="96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</row>
    <row r="123" spans="2:66" ht="19.149999999999999" customHeight="1">
      <c r="B123" s="100"/>
      <c r="C123" s="21"/>
      <c r="D123" s="101"/>
      <c r="E123" s="102"/>
      <c r="F123" s="103"/>
      <c r="G123" s="103"/>
      <c r="H123" s="104"/>
      <c r="I123" s="104"/>
      <c r="J123" s="27"/>
      <c r="K123" s="27"/>
      <c r="L123" s="105"/>
      <c r="M123" s="106"/>
      <c r="N123" s="106"/>
      <c r="O123" s="106"/>
      <c r="P123" s="107"/>
      <c r="Q123" s="108"/>
      <c r="R123" s="109"/>
      <c r="S123" s="109"/>
      <c r="T123" s="108"/>
      <c r="U123" s="108"/>
      <c r="V123" s="108"/>
      <c r="W123" s="40"/>
      <c r="X123" s="41"/>
      <c r="Y123" s="41"/>
      <c r="Z123" s="41"/>
      <c r="AA123" s="41"/>
      <c r="AB123" s="110"/>
      <c r="AC123" s="96"/>
      <c r="AD123" s="111"/>
      <c r="AE123" s="96"/>
      <c r="AF123" s="96"/>
      <c r="AG123" s="96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</row>
    <row r="124" spans="2:66" ht="19.149999999999999" customHeight="1">
      <c r="B124" s="100"/>
      <c r="C124" s="21"/>
      <c r="D124" s="101"/>
      <c r="E124" s="102"/>
      <c r="F124" s="103"/>
      <c r="G124" s="103"/>
      <c r="H124" s="104"/>
      <c r="I124" s="104"/>
      <c r="J124" s="27"/>
      <c r="K124" s="27"/>
      <c r="L124" s="105"/>
      <c r="M124" s="106"/>
      <c r="N124" s="106"/>
      <c r="O124" s="106"/>
      <c r="P124" s="107"/>
      <c r="Q124" s="108"/>
      <c r="R124" s="109"/>
      <c r="S124" s="109"/>
      <c r="T124" s="108"/>
      <c r="U124" s="108"/>
      <c r="V124" s="108"/>
      <c r="W124" s="40"/>
      <c r="X124" s="41"/>
      <c r="Y124" s="41"/>
      <c r="Z124" s="41"/>
      <c r="AA124" s="41"/>
      <c r="AB124" s="110"/>
      <c r="AC124" s="96"/>
      <c r="AD124" s="111"/>
      <c r="AE124" s="96"/>
      <c r="AF124" s="96"/>
      <c r="AG124" s="96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</row>
    <row r="125" spans="2:66" ht="19.149999999999999" customHeight="1">
      <c r="B125" s="100"/>
      <c r="C125" s="21"/>
      <c r="D125" s="101"/>
      <c r="E125" s="102"/>
      <c r="F125" s="103"/>
      <c r="G125" s="103"/>
      <c r="H125" s="104"/>
      <c r="I125" s="104"/>
      <c r="J125" s="27"/>
      <c r="K125" s="27"/>
      <c r="L125" s="105"/>
      <c r="M125" s="106"/>
      <c r="N125" s="106"/>
      <c r="O125" s="106"/>
      <c r="P125" s="107"/>
      <c r="Q125" s="108"/>
      <c r="R125" s="109"/>
      <c r="S125" s="109"/>
      <c r="T125" s="108"/>
      <c r="U125" s="108"/>
      <c r="V125" s="108"/>
      <c r="W125" s="40"/>
      <c r="X125" s="41"/>
      <c r="Y125" s="41"/>
      <c r="Z125" s="41"/>
      <c r="AA125" s="41"/>
      <c r="AB125" s="110"/>
      <c r="AC125" s="96"/>
      <c r="AD125" s="111"/>
      <c r="AE125" s="96"/>
      <c r="AF125" s="96"/>
      <c r="AG125" s="96"/>
      <c r="AI125" s="112"/>
      <c r="AJ125" s="112"/>
      <c r="AK125" s="112"/>
      <c r="AL125" s="112"/>
      <c r="AM125" s="112"/>
      <c r="AN125" s="112"/>
      <c r="AO125" s="112"/>
      <c r="AP125" s="112"/>
      <c r="AQ125" s="112"/>
      <c r="AR125" s="112"/>
      <c r="AS125" s="112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2"/>
      <c r="BE125" s="112"/>
      <c r="BF125" s="112"/>
      <c r="BG125" s="112"/>
      <c r="BH125" s="112"/>
      <c r="BI125" s="112"/>
      <c r="BJ125" s="112"/>
      <c r="BK125" s="112"/>
      <c r="BL125" s="112"/>
      <c r="BM125" s="112"/>
      <c r="BN125" s="112"/>
    </row>
    <row r="126" spans="2:66" ht="19.149999999999999" customHeight="1">
      <c r="B126" s="100"/>
      <c r="C126" s="21"/>
      <c r="D126" s="101"/>
      <c r="E126" s="102"/>
      <c r="F126" s="103"/>
      <c r="G126" s="103"/>
      <c r="H126" s="104"/>
      <c r="I126" s="104"/>
      <c r="J126" s="27"/>
      <c r="K126" s="27"/>
      <c r="L126" s="105"/>
      <c r="M126" s="106"/>
      <c r="N126" s="106"/>
      <c r="O126" s="106"/>
      <c r="P126" s="107"/>
      <c r="Q126" s="108"/>
      <c r="R126" s="109"/>
      <c r="S126" s="109"/>
      <c r="T126" s="108"/>
      <c r="U126" s="108"/>
      <c r="V126" s="108"/>
      <c r="W126" s="40"/>
      <c r="X126" s="41"/>
      <c r="Y126" s="41"/>
      <c r="Z126" s="41"/>
      <c r="AA126" s="41"/>
      <c r="AB126" s="110"/>
      <c r="AC126" s="96"/>
      <c r="AD126" s="111"/>
      <c r="AE126" s="96"/>
      <c r="AF126" s="96"/>
      <c r="AG126" s="96"/>
      <c r="AI126" s="112"/>
      <c r="AJ126" s="112"/>
      <c r="AK126" s="112"/>
      <c r="AL126" s="112"/>
      <c r="AM126" s="112"/>
      <c r="AN126" s="112"/>
      <c r="AO126" s="112"/>
      <c r="AP126" s="112"/>
      <c r="AQ126" s="112"/>
      <c r="AR126" s="112"/>
      <c r="AS126" s="112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2"/>
      <c r="BE126" s="112"/>
      <c r="BF126" s="112"/>
      <c r="BG126" s="112"/>
      <c r="BH126" s="112"/>
      <c r="BI126" s="112"/>
      <c r="BJ126" s="112"/>
      <c r="BK126" s="112"/>
      <c r="BL126" s="112"/>
      <c r="BM126" s="112"/>
      <c r="BN126" s="112"/>
    </row>
    <row r="127" spans="2:66" ht="19.149999999999999" customHeight="1">
      <c r="B127" s="100"/>
      <c r="C127" s="21"/>
      <c r="D127" s="101"/>
      <c r="E127" s="102"/>
      <c r="F127" s="103"/>
      <c r="G127" s="103"/>
      <c r="H127" s="104"/>
      <c r="I127" s="104"/>
      <c r="J127" s="27"/>
      <c r="K127" s="27"/>
      <c r="L127" s="105"/>
      <c r="M127" s="106"/>
      <c r="N127" s="106"/>
      <c r="O127" s="106"/>
      <c r="P127" s="107"/>
      <c r="Q127" s="108"/>
      <c r="R127" s="109"/>
      <c r="S127" s="109"/>
      <c r="T127" s="108"/>
      <c r="U127" s="108"/>
      <c r="V127" s="108"/>
      <c r="W127" s="40"/>
      <c r="X127" s="41"/>
      <c r="Y127" s="41"/>
      <c r="Z127" s="41"/>
      <c r="AA127" s="41"/>
      <c r="AB127" s="110"/>
      <c r="AC127" s="96"/>
      <c r="AD127" s="111"/>
      <c r="AE127" s="96"/>
      <c r="AF127" s="96"/>
      <c r="AG127" s="96"/>
      <c r="AI127" s="112"/>
      <c r="AJ127" s="112"/>
      <c r="AK127" s="112"/>
      <c r="AL127" s="112"/>
      <c r="AM127" s="112"/>
      <c r="AN127" s="112"/>
      <c r="AO127" s="112"/>
      <c r="AP127" s="112"/>
      <c r="AQ127" s="112"/>
      <c r="AR127" s="112"/>
      <c r="AS127" s="112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2"/>
      <c r="BE127" s="112"/>
      <c r="BF127" s="112"/>
      <c r="BG127" s="112"/>
      <c r="BH127" s="112"/>
      <c r="BI127" s="112"/>
      <c r="BJ127" s="112"/>
      <c r="BK127" s="112"/>
      <c r="BL127" s="112"/>
      <c r="BM127" s="112"/>
      <c r="BN127" s="112"/>
    </row>
    <row r="128" spans="2:66" ht="19.149999999999999" customHeight="1">
      <c r="B128" s="100"/>
      <c r="C128" s="21"/>
      <c r="D128" s="101"/>
      <c r="E128" s="102"/>
      <c r="F128" s="103"/>
      <c r="G128" s="103"/>
      <c r="H128" s="104"/>
      <c r="I128" s="104"/>
      <c r="J128" s="27"/>
      <c r="K128" s="27"/>
      <c r="L128" s="105"/>
      <c r="M128" s="106"/>
      <c r="N128" s="106"/>
      <c r="O128" s="106"/>
      <c r="P128" s="107"/>
      <c r="Q128" s="108"/>
      <c r="R128" s="109"/>
      <c r="S128" s="109"/>
      <c r="T128" s="108"/>
      <c r="U128" s="108"/>
      <c r="V128" s="108"/>
      <c r="W128" s="40"/>
      <c r="X128" s="41"/>
      <c r="Y128" s="41"/>
      <c r="Z128" s="41"/>
      <c r="AA128" s="41"/>
      <c r="AB128" s="110"/>
      <c r="AC128" s="96"/>
      <c r="AD128" s="111"/>
      <c r="AE128" s="96"/>
      <c r="AF128" s="96"/>
      <c r="AG128" s="96"/>
      <c r="AI128" s="112"/>
      <c r="AJ128" s="112"/>
      <c r="AK128" s="112"/>
      <c r="AL128" s="112"/>
      <c r="AM128" s="112"/>
      <c r="AN128" s="112"/>
      <c r="AO128" s="112"/>
      <c r="AP128" s="112"/>
      <c r="AQ128" s="112"/>
      <c r="AR128" s="112"/>
      <c r="AS128" s="112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2"/>
      <c r="BE128" s="112"/>
      <c r="BF128" s="112"/>
      <c r="BG128" s="112"/>
      <c r="BH128" s="112"/>
      <c r="BI128" s="112"/>
      <c r="BJ128" s="112"/>
      <c r="BK128" s="112"/>
      <c r="BL128" s="112"/>
      <c r="BM128" s="112"/>
      <c r="BN128" s="112"/>
    </row>
    <row r="129" spans="2:66" ht="19.149999999999999" customHeight="1">
      <c r="B129" s="100"/>
      <c r="C129" s="21"/>
      <c r="D129" s="101"/>
      <c r="E129" s="102"/>
      <c r="F129" s="103"/>
      <c r="G129" s="103"/>
      <c r="H129" s="104"/>
      <c r="I129" s="104"/>
      <c r="J129" s="27"/>
      <c r="K129" s="27"/>
      <c r="L129" s="105"/>
      <c r="M129" s="106"/>
      <c r="N129" s="106"/>
      <c r="O129" s="106"/>
      <c r="P129" s="107"/>
      <c r="Q129" s="108"/>
      <c r="R129" s="109"/>
      <c r="S129" s="109"/>
      <c r="T129" s="108"/>
      <c r="U129" s="108"/>
      <c r="V129" s="108"/>
      <c r="W129" s="40"/>
      <c r="X129" s="41"/>
      <c r="Y129" s="41"/>
      <c r="Z129" s="41"/>
      <c r="AA129" s="41"/>
      <c r="AB129" s="110"/>
      <c r="AC129" s="96"/>
      <c r="AD129" s="111"/>
      <c r="AE129" s="96"/>
      <c r="AF129" s="96"/>
      <c r="AG129" s="96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2"/>
      <c r="BJ129" s="112"/>
      <c r="BK129" s="112"/>
      <c r="BL129" s="112"/>
      <c r="BM129" s="112"/>
      <c r="BN129" s="112"/>
    </row>
    <row r="130" spans="2:66" ht="19.149999999999999" customHeight="1">
      <c r="B130" s="100"/>
      <c r="C130" s="21"/>
      <c r="D130" s="101"/>
      <c r="E130" s="102"/>
      <c r="F130" s="103"/>
      <c r="G130" s="103"/>
      <c r="H130" s="104"/>
      <c r="I130" s="104"/>
      <c r="J130" s="27"/>
      <c r="K130" s="27"/>
      <c r="L130" s="105"/>
      <c r="M130" s="106"/>
      <c r="N130" s="106"/>
      <c r="O130" s="106"/>
      <c r="P130" s="107"/>
      <c r="Q130" s="108"/>
      <c r="R130" s="109"/>
      <c r="S130" s="109"/>
      <c r="T130" s="108"/>
      <c r="U130" s="108"/>
      <c r="V130" s="108"/>
      <c r="W130" s="40"/>
      <c r="X130" s="41"/>
      <c r="Y130" s="41"/>
      <c r="Z130" s="41"/>
      <c r="AA130" s="41"/>
      <c r="AB130" s="110"/>
      <c r="AC130" s="96"/>
      <c r="AD130" s="111"/>
      <c r="AE130" s="96"/>
      <c r="AF130" s="96"/>
      <c r="AG130" s="96"/>
      <c r="AI130" s="112"/>
      <c r="AJ130" s="112"/>
      <c r="AK130" s="112"/>
      <c r="AL130" s="112"/>
      <c r="AM130" s="112"/>
      <c r="AN130" s="112"/>
      <c r="AO130" s="112"/>
      <c r="AP130" s="112"/>
      <c r="AQ130" s="112"/>
      <c r="AR130" s="112"/>
      <c r="AS130" s="112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2"/>
      <c r="BE130" s="112"/>
      <c r="BF130" s="112"/>
      <c r="BG130" s="112"/>
      <c r="BH130" s="112"/>
      <c r="BI130" s="112"/>
      <c r="BJ130" s="112"/>
      <c r="BK130" s="112"/>
      <c r="BL130" s="112"/>
      <c r="BM130" s="112"/>
      <c r="BN130" s="112"/>
    </row>
    <row r="131" spans="2:66" ht="19.149999999999999" customHeight="1">
      <c r="B131" s="100"/>
      <c r="C131" s="21"/>
      <c r="D131" s="101"/>
      <c r="E131" s="102"/>
      <c r="F131" s="103"/>
      <c r="G131" s="103"/>
      <c r="H131" s="104"/>
      <c r="I131" s="104"/>
      <c r="J131" s="27"/>
      <c r="K131" s="27"/>
      <c r="L131" s="105"/>
      <c r="M131" s="106"/>
      <c r="N131" s="106"/>
      <c r="O131" s="106"/>
      <c r="P131" s="107"/>
      <c r="Q131" s="108"/>
      <c r="R131" s="109"/>
      <c r="S131" s="109"/>
      <c r="T131" s="108"/>
      <c r="U131" s="108"/>
      <c r="V131" s="108"/>
      <c r="W131" s="40"/>
      <c r="X131" s="41"/>
      <c r="Y131" s="41"/>
      <c r="Z131" s="41"/>
      <c r="AA131" s="41"/>
      <c r="AB131" s="110"/>
      <c r="AC131" s="96"/>
      <c r="AD131" s="111"/>
      <c r="AE131" s="96"/>
      <c r="AF131" s="96"/>
      <c r="AG131" s="96"/>
      <c r="AI131" s="112"/>
      <c r="AJ131" s="112"/>
      <c r="AK131" s="112"/>
      <c r="AL131" s="112"/>
      <c r="AM131" s="112"/>
      <c r="AN131" s="112"/>
      <c r="AO131" s="112"/>
      <c r="AP131" s="112"/>
      <c r="AQ131" s="112"/>
      <c r="AR131" s="112"/>
      <c r="AS131" s="112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2"/>
      <c r="BE131" s="112"/>
      <c r="BF131" s="112"/>
      <c r="BG131" s="112"/>
      <c r="BH131" s="112"/>
      <c r="BI131" s="112"/>
      <c r="BJ131" s="112"/>
      <c r="BK131" s="112"/>
      <c r="BL131" s="112"/>
      <c r="BM131" s="112"/>
      <c r="BN131" s="112"/>
    </row>
    <row r="132" spans="2:66" ht="19.149999999999999" customHeight="1">
      <c r="B132" s="100"/>
      <c r="C132" s="21"/>
      <c r="D132" s="101"/>
      <c r="E132" s="102"/>
      <c r="F132" s="103"/>
      <c r="G132" s="103"/>
      <c r="H132" s="104"/>
      <c r="I132" s="104"/>
      <c r="J132" s="27"/>
      <c r="K132" s="27"/>
      <c r="L132" s="105"/>
      <c r="M132" s="106"/>
      <c r="N132" s="106"/>
      <c r="O132" s="106"/>
      <c r="P132" s="107"/>
      <c r="Q132" s="108"/>
      <c r="R132" s="109"/>
      <c r="S132" s="109"/>
      <c r="T132" s="108"/>
      <c r="U132" s="108"/>
      <c r="V132" s="108"/>
      <c r="W132" s="40"/>
      <c r="X132" s="41"/>
      <c r="Y132" s="41"/>
      <c r="Z132" s="41"/>
      <c r="AA132" s="41"/>
      <c r="AB132" s="110"/>
      <c r="AC132" s="96"/>
      <c r="AD132" s="111"/>
      <c r="AE132" s="96"/>
      <c r="AF132" s="96"/>
      <c r="AG132" s="96"/>
      <c r="AI132" s="112"/>
      <c r="AJ132" s="112"/>
      <c r="AK132" s="112"/>
      <c r="AL132" s="112"/>
      <c r="AM132" s="112"/>
      <c r="AN132" s="112"/>
      <c r="AO132" s="112"/>
      <c r="AP132" s="112"/>
      <c r="AQ132" s="112"/>
      <c r="AR132" s="112"/>
      <c r="AS132" s="112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2"/>
      <c r="BE132" s="112"/>
      <c r="BF132" s="112"/>
      <c r="BG132" s="112"/>
      <c r="BH132" s="112"/>
      <c r="BI132" s="112"/>
      <c r="BJ132" s="112"/>
      <c r="BK132" s="112"/>
      <c r="BL132" s="112"/>
      <c r="BM132" s="112"/>
      <c r="BN132" s="112"/>
    </row>
    <row r="133" spans="2:66" ht="19.149999999999999" customHeight="1">
      <c r="B133" s="100"/>
      <c r="C133" s="21"/>
      <c r="D133" s="101"/>
      <c r="E133" s="102"/>
      <c r="F133" s="103"/>
      <c r="G133" s="103"/>
      <c r="H133" s="104"/>
      <c r="I133" s="104"/>
      <c r="J133" s="27"/>
      <c r="K133" s="27"/>
      <c r="L133" s="105"/>
      <c r="M133" s="106"/>
      <c r="N133" s="106"/>
      <c r="O133" s="106"/>
      <c r="P133" s="107"/>
      <c r="Q133" s="108"/>
      <c r="R133" s="109"/>
      <c r="S133" s="109"/>
      <c r="T133" s="108"/>
      <c r="U133" s="108"/>
      <c r="V133" s="108"/>
      <c r="W133" s="40"/>
      <c r="X133" s="41"/>
      <c r="Y133" s="41"/>
      <c r="Z133" s="41"/>
      <c r="AA133" s="41"/>
      <c r="AB133" s="110"/>
      <c r="AC133" s="96"/>
      <c r="AD133" s="111"/>
      <c r="AE133" s="96"/>
      <c r="AF133" s="96"/>
      <c r="AG133" s="96"/>
      <c r="AI133" s="112"/>
      <c r="AJ133" s="112"/>
      <c r="AK133" s="112"/>
      <c r="AL133" s="112"/>
      <c r="AM133" s="112"/>
      <c r="AN133" s="112"/>
      <c r="AO133" s="112"/>
      <c r="AP133" s="112"/>
      <c r="AQ133" s="112"/>
      <c r="AR133" s="112"/>
      <c r="AS133" s="112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2"/>
      <c r="BE133" s="112"/>
      <c r="BF133" s="112"/>
      <c r="BG133" s="112"/>
      <c r="BH133" s="112"/>
      <c r="BI133" s="112"/>
      <c r="BJ133" s="112"/>
      <c r="BK133" s="112"/>
      <c r="BL133" s="112"/>
      <c r="BM133" s="112"/>
      <c r="BN133" s="112"/>
    </row>
    <row r="134" spans="2:66" ht="19.149999999999999" customHeight="1">
      <c r="B134" s="100"/>
      <c r="C134" s="21"/>
      <c r="D134" s="101"/>
      <c r="E134" s="102"/>
      <c r="F134" s="103"/>
      <c r="G134" s="103"/>
      <c r="H134" s="104"/>
      <c r="I134" s="104"/>
      <c r="J134" s="27"/>
      <c r="K134" s="27"/>
      <c r="L134" s="105"/>
      <c r="M134" s="106"/>
      <c r="N134" s="106"/>
      <c r="O134" s="106"/>
      <c r="P134" s="107"/>
      <c r="Q134" s="108"/>
      <c r="R134" s="109"/>
      <c r="S134" s="109"/>
      <c r="T134" s="108"/>
      <c r="U134" s="108"/>
      <c r="V134" s="108"/>
      <c r="W134" s="40"/>
      <c r="X134" s="41"/>
      <c r="Y134" s="41"/>
      <c r="Z134" s="41"/>
      <c r="AA134" s="41"/>
      <c r="AB134" s="110"/>
      <c r="AC134" s="96"/>
      <c r="AD134" s="111"/>
      <c r="AE134" s="96"/>
      <c r="AF134" s="96"/>
      <c r="AG134" s="96"/>
      <c r="AI134" s="112"/>
      <c r="AJ134" s="112"/>
      <c r="AK134" s="112"/>
      <c r="AL134" s="112"/>
      <c r="AM134" s="112"/>
      <c r="AN134" s="112"/>
      <c r="AO134" s="112"/>
      <c r="AP134" s="112"/>
      <c r="AQ134" s="112"/>
      <c r="AR134" s="112"/>
      <c r="AS134" s="112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2"/>
      <c r="BE134" s="112"/>
      <c r="BF134" s="112"/>
      <c r="BG134" s="112"/>
      <c r="BH134" s="112"/>
      <c r="BI134" s="112"/>
      <c r="BJ134" s="112"/>
      <c r="BK134" s="112"/>
      <c r="BL134" s="112"/>
      <c r="BM134" s="112"/>
      <c r="BN134" s="112"/>
    </row>
    <row r="135" spans="2:66" ht="19.149999999999999" customHeight="1">
      <c r="B135" s="100"/>
      <c r="C135" s="21"/>
      <c r="D135" s="101"/>
      <c r="E135" s="102"/>
      <c r="F135" s="103"/>
      <c r="G135" s="103"/>
      <c r="H135" s="104"/>
      <c r="I135" s="104"/>
      <c r="J135" s="27"/>
      <c r="K135" s="27"/>
      <c r="L135" s="105"/>
      <c r="M135" s="106"/>
      <c r="N135" s="106"/>
      <c r="O135" s="106"/>
      <c r="P135" s="107"/>
      <c r="Q135" s="108"/>
      <c r="R135" s="109"/>
      <c r="S135" s="109"/>
      <c r="T135" s="108"/>
      <c r="U135" s="108"/>
      <c r="V135" s="108"/>
      <c r="W135" s="40"/>
      <c r="X135" s="41"/>
      <c r="Y135" s="41"/>
      <c r="Z135" s="41"/>
      <c r="AA135" s="41"/>
      <c r="AB135" s="110"/>
      <c r="AC135" s="96"/>
      <c r="AD135" s="111"/>
      <c r="AE135" s="96"/>
      <c r="AF135" s="96"/>
      <c r="AG135" s="96"/>
      <c r="AI135" s="112"/>
      <c r="AJ135" s="112"/>
      <c r="AK135" s="112"/>
      <c r="AL135" s="112"/>
      <c r="AM135" s="112"/>
      <c r="AN135" s="112"/>
      <c r="AO135" s="112"/>
      <c r="AP135" s="112"/>
      <c r="AQ135" s="112"/>
      <c r="AR135" s="112"/>
      <c r="AS135" s="112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2"/>
      <c r="BE135" s="112"/>
      <c r="BF135" s="112"/>
      <c r="BG135" s="112"/>
      <c r="BH135" s="112"/>
      <c r="BI135" s="112"/>
      <c r="BJ135" s="112"/>
      <c r="BK135" s="112"/>
      <c r="BL135" s="112"/>
      <c r="BM135" s="112"/>
      <c r="BN135" s="112"/>
    </row>
    <row r="136" spans="2:66" ht="19.149999999999999" customHeight="1">
      <c r="B136" s="100"/>
      <c r="C136" s="21"/>
      <c r="D136" s="101"/>
      <c r="E136" s="102"/>
      <c r="F136" s="103"/>
      <c r="G136" s="103"/>
      <c r="H136" s="104"/>
      <c r="I136" s="104"/>
      <c r="J136" s="27"/>
      <c r="K136" s="27"/>
      <c r="L136" s="105"/>
      <c r="M136" s="106"/>
      <c r="N136" s="106"/>
      <c r="O136" s="106"/>
      <c r="P136" s="107"/>
      <c r="Q136" s="108"/>
      <c r="R136" s="109"/>
      <c r="S136" s="109"/>
      <c r="T136" s="108"/>
      <c r="U136" s="108"/>
      <c r="V136" s="108"/>
      <c r="W136" s="40"/>
      <c r="X136" s="41"/>
      <c r="Y136" s="41"/>
      <c r="Z136" s="41"/>
      <c r="AA136" s="41"/>
      <c r="AB136" s="110"/>
      <c r="AC136" s="96"/>
      <c r="AD136" s="111"/>
      <c r="AE136" s="96"/>
      <c r="AF136" s="96"/>
      <c r="AG136" s="96"/>
      <c r="AI136" s="112"/>
      <c r="AJ136" s="112"/>
      <c r="AK136" s="112"/>
      <c r="AL136" s="112"/>
      <c r="AM136" s="112"/>
      <c r="AN136" s="112"/>
      <c r="AO136" s="112"/>
      <c r="AP136" s="112"/>
      <c r="AQ136" s="112"/>
      <c r="AR136" s="112"/>
      <c r="AS136" s="112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2"/>
      <c r="BE136" s="112"/>
      <c r="BF136" s="112"/>
      <c r="BG136" s="112"/>
      <c r="BH136" s="112"/>
      <c r="BI136" s="112"/>
      <c r="BJ136" s="112"/>
      <c r="BK136" s="112"/>
      <c r="BL136" s="112"/>
      <c r="BM136" s="112"/>
      <c r="BN136" s="112"/>
    </row>
    <row r="137" spans="2:66" ht="19.149999999999999" customHeight="1">
      <c r="B137" s="100"/>
      <c r="C137" s="21"/>
      <c r="D137" s="101"/>
      <c r="E137" s="102"/>
      <c r="F137" s="103"/>
      <c r="G137" s="103"/>
      <c r="H137" s="104"/>
      <c r="I137" s="104"/>
      <c r="J137" s="27"/>
      <c r="K137" s="27"/>
      <c r="L137" s="105"/>
      <c r="M137" s="106"/>
      <c r="N137" s="106"/>
      <c r="O137" s="106"/>
      <c r="P137" s="107"/>
      <c r="Q137" s="108"/>
      <c r="R137" s="109"/>
      <c r="S137" s="109"/>
      <c r="T137" s="108"/>
      <c r="U137" s="108"/>
      <c r="V137" s="108"/>
      <c r="W137" s="40"/>
      <c r="X137" s="41"/>
      <c r="Y137" s="41"/>
      <c r="Z137" s="41"/>
      <c r="AA137" s="41"/>
      <c r="AB137" s="110"/>
      <c r="AC137" s="96"/>
      <c r="AD137" s="111"/>
      <c r="AE137" s="96"/>
      <c r="AF137" s="96"/>
      <c r="AG137" s="96"/>
      <c r="AI137" s="112"/>
      <c r="AJ137" s="112"/>
      <c r="AK137" s="112"/>
      <c r="AL137" s="112"/>
      <c r="AM137" s="112"/>
      <c r="AN137" s="112"/>
      <c r="AO137" s="112"/>
      <c r="AP137" s="112"/>
      <c r="AQ137" s="112"/>
      <c r="AR137" s="112"/>
      <c r="AS137" s="112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2"/>
      <c r="BE137" s="112"/>
      <c r="BF137" s="112"/>
      <c r="BG137" s="112"/>
      <c r="BH137" s="112"/>
      <c r="BI137" s="112"/>
      <c r="BJ137" s="112"/>
      <c r="BK137" s="112"/>
      <c r="BL137" s="112"/>
      <c r="BM137" s="112"/>
      <c r="BN137" s="112"/>
    </row>
    <row r="138" spans="2:66" ht="19.149999999999999" customHeight="1">
      <c r="B138" s="100"/>
      <c r="C138" s="21"/>
      <c r="D138" s="101"/>
      <c r="E138" s="102"/>
      <c r="F138" s="103"/>
      <c r="G138" s="103"/>
      <c r="H138" s="104"/>
      <c r="I138" s="104"/>
      <c r="J138" s="27"/>
      <c r="K138" s="27"/>
      <c r="L138" s="105"/>
      <c r="M138" s="106"/>
      <c r="N138" s="106"/>
      <c r="O138" s="106"/>
      <c r="P138" s="107"/>
      <c r="Q138" s="108"/>
      <c r="R138" s="109"/>
      <c r="S138" s="109"/>
      <c r="T138" s="108"/>
      <c r="U138" s="108"/>
      <c r="V138" s="108"/>
      <c r="W138" s="40"/>
      <c r="X138" s="41"/>
      <c r="Y138" s="41"/>
      <c r="Z138" s="41"/>
      <c r="AA138" s="41"/>
      <c r="AB138" s="110"/>
      <c r="AC138" s="96"/>
      <c r="AD138" s="111"/>
      <c r="AE138" s="96"/>
      <c r="AF138" s="96"/>
      <c r="AG138" s="96"/>
      <c r="AI138" s="112"/>
      <c r="AJ138" s="112"/>
      <c r="AK138" s="112"/>
      <c r="AL138" s="112"/>
      <c r="AM138" s="112"/>
      <c r="AN138" s="112"/>
      <c r="AO138" s="112"/>
      <c r="AP138" s="112"/>
      <c r="AQ138" s="112"/>
      <c r="AR138" s="112"/>
      <c r="AS138" s="112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2"/>
      <c r="BE138" s="112"/>
      <c r="BF138" s="112"/>
      <c r="BG138" s="112"/>
      <c r="BH138" s="112"/>
      <c r="BI138" s="112"/>
      <c r="BJ138" s="112"/>
      <c r="BK138" s="112"/>
      <c r="BL138" s="112"/>
      <c r="BM138" s="112"/>
      <c r="BN138" s="112"/>
    </row>
    <row r="139" spans="2:66" ht="19.149999999999999" customHeight="1">
      <c r="B139" s="100"/>
      <c r="C139" s="21"/>
      <c r="D139" s="101"/>
      <c r="E139" s="102"/>
      <c r="F139" s="103"/>
      <c r="G139" s="103"/>
      <c r="H139" s="104"/>
      <c r="I139" s="104"/>
      <c r="J139" s="27"/>
      <c r="K139" s="27"/>
      <c r="L139" s="105"/>
      <c r="M139" s="106"/>
      <c r="N139" s="106"/>
      <c r="O139" s="106"/>
      <c r="P139" s="107"/>
      <c r="Q139" s="108"/>
      <c r="R139" s="109"/>
      <c r="S139" s="109"/>
      <c r="T139" s="108"/>
      <c r="U139" s="108"/>
      <c r="V139" s="108"/>
      <c r="W139" s="40"/>
      <c r="X139" s="41"/>
      <c r="Y139" s="41"/>
      <c r="Z139" s="41"/>
      <c r="AA139" s="41"/>
      <c r="AB139" s="110"/>
      <c r="AC139" s="96"/>
      <c r="AD139" s="111"/>
      <c r="AE139" s="96"/>
      <c r="AF139" s="96"/>
      <c r="AG139" s="96"/>
      <c r="AI139" s="112"/>
      <c r="AJ139" s="112"/>
      <c r="AK139" s="112"/>
      <c r="AL139" s="112"/>
      <c r="AM139" s="112"/>
      <c r="AN139" s="112"/>
      <c r="AO139" s="112"/>
      <c r="AP139" s="112"/>
      <c r="AQ139" s="112"/>
      <c r="AR139" s="112"/>
      <c r="AS139" s="112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2"/>
      <c r="BE139" s="112"/>
      <c r="BF139" s="112"/>
      <c r="BG139" s="112"/>
      <c r="BH139" s="112"/>
      <c r="BI139" s="112"/>
      <c r="BJ139" s="112"/>
      <c r="BK139" s="112"/>
      <c r="BL139" s="112"/>
      <c r="BM139" s="112"/>
      <c r="BN139" s="112"/>
    </row>
    <row r="140" spans="2:66" ht="19.149999999999999" customHeight="1">
      <c r="B140" s="100"/>
      <c r="C140" s="21"/>
      <c r="D140" s="101"/>
      <c r="E140" s="102"/>
      <c r="F140" s="103"/>
      <c r="G140" s="103"/>
      <c r="H140" s="104"/>
      <c r="I140" s="104"/>
      <c r="J140" s="27"/>
      <c r="K140" s="27"/>
      <c r="L140" s="105"/>
      <c r="M140" s="106"/>
      <c r="N140" s="106"/>
      <c r="O140" s="106"/>
      <c r="P140" s="107"/>
      <c r="Q140" s="108"/>
      <c r="R140" s="109"/>
      <c r="S140" s="109"/>
      <c r="T140" s="108"/>
      <c r="U140" s="108"/>
      <c r="V140" s="108"/>
      <c r="W140" s="40"/>
      <c r="X140" s="41"/>
      <c r="Y140" s="41"/>
      <c r="Z140" s="41"/>
      <c r="AA140" s="41"/>
      <c r="AB140" s="110"/>
      <c r="AC140" s="96"/>
      <c r="AD140" s="111"/>
      <c r="AE140" s="96"/>
      <c r="AF140" s="96"/>
      <c r="AG140" s="96"/>
      <c r="AI140" s="112"/>
      <c r="AJ140" s="112"/>
      <c r="AK140" s="112"/>
      <c r="AL140" s="112"/>
      <c r="AM140" s="112"/>
      <c r="AN140" s="112"/>
      <c r="AO140" s="112"/>
      <c r="AP140" s="112"/>
      <c r="AQ140" s="112"/>
      <c r="AR140" s="112"/>
      <c r="AS140" s="112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2"/>
      <c r="BE140" s="112"/>
      <c r="BF140" s="112"/>
      <c r="BG140" s="112"/>
      <c r="BH140" s="112"/>
      <c r="BI140" s="112"/>
      <c r="BJ140" s="112"/>
      <c r="BK140" s="112"/>
      <c r="BL140" s="112"/>
      <c r="BM140" s="112"/>
      <c r="BN140" s="112"/>
    </row>
    <row r="141" spans="2:66" ht="19.149999999999999" customHeight="1">
      <c r="B141" s="100"/>
      <c r="C141" s="21"/>
      <c r="D141" s="101"/>
      <c r="E141" s="102"/>
      <c r="F141" s="103"/>
      <c r="G141" s="103"/>
      <c r="H141" s="104"/>
      <c r="I141" s="104"/>
      <c r="J141" s="27"/>
      <c r="K141" s="27"/>
      <c r="L141" s="105"/>
      <c r="M141" s="106"/>
      <c r="N141" s="106"/>
      <c r="O141" s="106"/>
      <c r="P141" s="107"/>
      <c r="Q141" s="108"/>
      <c r="R141" s="109"/>
      <c r="S141" s="109"/>
      <c r="T141" s="108"/>
      <c r="U141" s="108"/>
      <c r="V141" s="108"/>
      <c r="W141" s="40"/>
      <c r="X141" s="41"/>
      <c r="Y141" s="41"/>
      <c r="Z141" s="41"/>
      <c r="AA141" s="41"/>
      <c r="AB141" s="110"/>
      <c r="AC141" s="96"/>
      <c r="AD141" s="111"/>
      <c r="AE141" s="96"/>
      <c r="AF141" s="96"/>
      <c r="AG141" s="96"/>
      <c r="AI141" s="112"/>
      <c r="AJ141" s="112"/>
      <c r="AK141" s="112"/>
      <c r="AL141" s="112"/>
      <c r="AM141" s="112"/>
      <c r="AN141" s="112"/>
      <c r="AO141" s="112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2"/>
      <c r="BE141" s="112"/>
      <c r="BF141" s="112"/>
      <c r="BG141" s="112"/>
      <c r="BH141" s="112"/>
      <c r="BI141" s="112"/>
      <c r="BJ141" s="112"/>
      <c r="BK141" s="112"/>
      <c r="BL141" s="112"/>
      <c r="BM141" s="112"/>
      <c r="BN141" s="112"/>
    </row>
    <row r="142" spans="2:66" ht="19.149999999999999" customHeight="1">
      <c r="B142" s="100"/>
      <c r="C142" s="21"/>
      <c r="D142" s="101"/>
      <c r="E142" s="102"/>
      <c r="F142" s="103"/>
      <c r="G142" s="103"/>
      <c r="H142" s="104"/>
      <c r="I142" s="104"/>
      <c r="J142" s="27"/>
      <c r="K142" s="27"/>
      <c r="L142" s="105"/>
      <c r="M142" s="106"/>
      <c r="N142" s="106"/>
      <c r="O142" s="106"/>
      <c r="P142" s="107"/>
      <c r="Q142" s="108"/>
      <c r="R142" s="109"/>
      <c r="S142" s="109"/>
      <c r="T142" s="108"/>
      <c r="U142" s="108"/>
      <c r="V142" s="108"/>
      <c r="W142" s="40"/>
      <c r="X142" s="41"/>
      <c r="Y142" s="41"/>
      <c r="Z142" s="41"/>
      <c r="AA142" s="41"/>
      <c r="AB142" s="110"/>
      <c r="AC142" s="96"/>
      <c r="AD142" s="111"/>
      <c r="AE142" s="96"/>
      <c r="AF142" s="96"/>
      <c r="AG142" s="96"/>
      <c r="AI142" s="112"/>
      <c r="AJ142" s="112"/>
      <c r="AK142" s="112"/>
      <c r="AL142" s="112"/>
      <c r="AM142" s="112"/>
      <c r="AN142" s="112"/>
      <c r="AO142" s="112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2"/>
      <c r="BE142" s="112"/>
      <c r="BF142" s="112"/>
      <c r="BG142" s="112"/>
      <c r="BH142" s="112"/>
      <c r="BI142" s="112"/>
      <c r="BJ142" s="112"/>
      <c r="BK142" s="112"/>
      <c r="BL142" s="112"/>
      <c r="BM142" s="112"/>
      <c r="BN142" s="112"/>
    </row>
    <row r="143" spans="2:66" ht="19.149999999999999" customHeight="1">
      <c r="B143" s="100"/>
      <c r="C143" s="21"/>
      <c r="D143" s="101"/>
      <c r="E143" s="102"/>
      <c r="F143" s="103"/>
      <c r="G143" s="103"/>
      <c r="H143" s="104"/>
      <c r="I143" s="104"/>
      <c r="J143" s="27"/>
      <c r="K143" s="27"/>
      <c r="L143" s="105"/>
      <c r="M143" s="106"/>
      <c r="N143" s="106"/>
      <c r="O143" s="106"/>
      <c r="P143" s="107"/>
      <c r="Q143" s="108"/>
      <c r="R143" s="109"/>
      <c r="S143" s="109"/>
      <c r="T143" s="108"/>
      <c r="U143" s="108"/>
      <c r="V143" s="108"/>
      <c r="W143" s="40"/>
      <c r="X143" s="41"/>
      <c r="Y143" s="41"/>
      <c r="Z143" s="41"/>
      <c r="AA143" s="41"/>
      <c r="AB143" s="110"/>
      <c r="AC143" s="96"/>
      <c r="AD143" s="111"/>
      <c r="AE143" s="96"/>
      <c r="AF143" s="96"/>
      <c r="AG143" s="96"/>
      <c r="AI143" s="112"/>
      <c r="AJ143" s="112"/>
      <c r="AK143" s="112"/>
      <c r="AL143" s="112"/>
      <c r="AM143" s="112"/>
      <c r="AN143" s="112"/>
      <c r="AO143" s="112"/>
      <c r="AP143" s="112"/>
      <c r="AQ143" s="112"/>
      <c r="AR143" s="112"/>
      <c r="AS143" s="112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2"/>
      <c r="BE143" s="112"/>
      <c r="BF143" s="112"/>
      <c r="BG143" s="112"/>
      <c r="BH143" s="112"/>
      <c r="BI143" s="112"/>
      <c r="BJ143" s="112"/>
      <c r="BK143" s="112"/>
      <c r="BL143" s="112"/>
      <c r="BM143" s="112"/>
      <c r="BN143" s="112"/>
    </row>
    <row r="144" spans="2:66" ht="19.149999999999999" customHeight="1">
      <c r="B144" s="100"/>
      <c r="C144" s="21"/>
      <c r="D144" s="101"/>
      <c r="E144" s="102"/>
      <c r="F144" s="103"/>
      <c r="G144" s="103"/>
      <c r="H144" s="104"/>
      <c r="I144" s="104"/>
      <c r="J144" s="27"/>
      <c r="K144" s="27"/>
      <c r="L144" s="105"/>
      <c r="M144" s="106"/>
      <c r="N144" s="106"/>
      <c r="O144" s="106"/>
      <c r="P144" s="107"/>
      <c r="Q144" s="108"/>
      <c r="R144" s="109"/>
      <c r="S144" s="109"/>
      <c r="T144" s="108"/>
      <c r="U144" s="108"/>
      <c r="V144" s="108"/>
      <c r="W144" s="40"/>
      <c r="X144" s="41"/>
      <c r="Y144" s="41"/>
      <c r="Z144" s="41"/>
      <c r="AA144" s="41"/>
      <c r="AB144" s="110"/>
      <c r="AC144" s="96"/>
      <c r="AD144" s="111"/>
      <c r="AE144" s="96"/>
      <c r="AF144" s="96"/>
      <c r="AG144" s="96"/>
      <c r="AI144" s="112"/>
      <c r="AJ144" s="112"/>
      <c r="AK144" s="112"/>
      <c r="AL144" s="112"/>
      <c r="AM144" s="112"/>
      <c r="AN144" s="112"/>
      <c r="AO144" s="112"/>
      <c r="AP144" s="112"/>
      <c r="AQ144" s="112"/>
      <c r="AR144" s="112"/>
      <c r="AS144" s="112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2"/>
      <c r="BE144" s="112"/>
      <c r="BF144" s="112"/>
      <c r="BG144" s="112"/>
      <c r="BH144" s="112"/>
      <c r="BI144" s="112"/>
      <c r="BJ144" s="112"/>
      <c r="BK144" s="112"/>
      <c r="BL144" s="112"/>
      <c r="BM144" s="112"/>
      <c r="BN144" s="112"/>
    </row>
    <row r="145" spans="2:66" ht="19.149999999999999" customHeight="1">
      <c r="B145" s="100"/>
      <c r="C145" s="21"/>
      <c r="D145" s="101"/>
      <c r="E145" s="102"/>
      <c r="F145" s="103"/>
      <c r="G145" s="103"/>
      <c r="H145" s="104"/>
      <c r="I145" s="104"/>
      <c r="J145" s="27"/>
      <c r="K145" s="27"/>
      <c r="L145" s="105"/>
      <c r="M145" s="106"/>
      <c r="N145" s="106"/>
      <c r="O145" s="106"/>
      <c r="P145" s="107"/>
      <c r="Q145" s="108"/>
      <c r="R145" s="109"/>
      <c r="S145" s="109"/>
      <c r="T145" s="108"/>
      <c r="U145" s="108"/>
      <c r="V145" s="108"/>
      <c r="W145" s="40"/>
      <c r="X145" s="41"/>
      <c r="Y145" s="41"/>
      <c r="Z145" s="41"/>
      <c r="AA145" s="41"/>
      <c r="AB145" s="110"/>
      <c r="AC145" s="96"/>
      <c r="AD145" s="111"/>
      <c r="AE145" s="96"/>
      <c r="AF145" s="96"/>
      <c r="AG145" s="96"/>
      <c r="AI145" s="112"/>
      <c r="AJ145" s="112"/>
      <c r="AK145" s="112"/>
      <c r="AL145" s="112"/>
      <c r="AM145" s="112"/>
      <c r="AN145" s="112"/>
      <c r="AO145" s="112"/>
      <c r="AP145" s="112"/>
      <c r="AQ145" s="112"/>
      <c r="AR145" s="112"/>
      <c r="AS145" s="112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2"/>
      <c r="BE145" s="112"/>
      <c r="BF145" s="112"/>
      <c r="BG145" s="112"/>
      <c r="BH145" s="112"/>
      <c r="BI145" s="112"/>
      <c r="BJ145" s="112"/>
      <c r="BK145" s="112"/>
      <c r="BL145" s="112"/>
      <c r="BM145" s="112"/>
      <c r="BN145" s="112"/>
    </row>
  </sheetData>
  <mergeCells count="6">
    <mergeCell ref="AI3:BN4"/>
    <mergeCell ref="A1:AC1"/>
    <mergeCell ref="B3:K3"/>
    <mergeCell ref="M3:AC3"/>
    <mergeCell ref="AE3:AG3"/>
    <mergeCell ref="X4:Y4"/>
  </mergeCells>
  <phoneticPr fontId="9" type="noConversion"/>
  <conditionalFormatting sqref="AI6:BN145">
    <cfRule type="cellIs" dxfId="0" priority="1" stopIfTrue="1" operator="notBetween">
      <formula>$E6+$F6</formula>
      <formula>$E6+$G6</formula>
    </cfRule>
  </conditionalFormatting>
  <dataValidations count="2">
    <dataValidation type="list" allowBlank="1" showInputMessage="1" showErrorMessage="1" sqref="I6:I15" xr:uid="{BA6620B8-4B4C-8149-8AD0-7DFBF005298E}">
      <formula1>gauging</formula1>
    </dataValidation>
    <dataValidation type="list" allowBlank="1" showInputMessage="1" showErrorMessage="1" sqref="H6:H15" xr:uid="{10012C47-2953-A740-B785-7234A8BE99EA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2026-01-21T05:11:26Z</dcterms:modified>
</cp:coreProperties>
</file>