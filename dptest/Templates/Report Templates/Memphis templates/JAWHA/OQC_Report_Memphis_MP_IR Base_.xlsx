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01\Desktop\Memphis templates (2)\Memphis templates\JAWHA\"/>
    </mc:Choice>
  </mc:AlternateContent>
  <xr:revisionPtr revIDLastSave="0" documentId="13_ncr:1_{62DAA244-A0A6-492F-85E4-C46D331042D2}" xr6:coauthVersionLast="47" xr6:coauthVersionMax="47" xr10:uidLastSave="{00000000-0000-0000-0000-000000000000}"/>
  <bookViews>
    <workbookView xWindow="28680" yWindow="-120" windowWidth="29040" windowHeight="15720" tabRatio="845" xr2:uid="{558B7DC1-779D-BB42-B43A-ED7A08375808}"/>
  </bookViews>
  <sheets>
    <sheet name="Waiver Summary" sheetId="5" r:id="rId1"/>
    <sheet name="Shipping Lot List" sheetId="22" r:id="rId2"/>
    <sheet name="FAI" sheetId="13" r:id="rId3"/>
    <sheet name="SPC" sheetId="23" r:id="rId4"/>
  </sheets>
  <definedNames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3" hidden="1">{#N/A,#N/A,TRUE,"일정"}</definedName>
    <definedName name="____PU7" hidden="1">{#N/A,#N/A,TRUE,"일정"}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3" hidden="1">{#N/A,#N/A,FALSE,"Cst of Sales (2)"}</definedName>
    <definedName name="___k2" hidden="1">{#N/A,#N/A,FALSE,"Cst of Sales (2)"}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3" hidden="1">{#N/A,#N/A,FALSE,"Cst of Sales (2)"}</definedName>
    <definedName name="__k2" hidden="1">{#N/A,#N/A,FALSE,"Cst of Sales (2)"}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3" hidden="1">{#N/A,#N/A,TRUE,"일정"}</definedName>
    <definedName name="__PU7" hidden="1">{#N/A,#N/A,TRUE,"일정"}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3" hidden="1">{#N/A,#N/A,FALSE,"Cst of Sales (2)"}</definedName>
    <definedName name="_58k2_" hidden="1">{#N/A,#N/A,FALSE,"Cst of Sales (2)"}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3" hidden="1">{#N/A,#N/A,FALSE,"Cst of Sales (2)"}</definedName>
    <definedName name="_60k2_" hidden="1">{#N/A,#N/A,FALSE,"Cst of Sales (2)"}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1" hidden="1">'Shipping Lot List'!$B$1:$I$5</definedName>
    <definedName name="_xlnm._FilterDatabase" hidden="1">#REF!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3" hidden="1">{#N/A,#N/A,FALSE,"원가검토서"}</definedName>
    <definedName name="AERGA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3" hidden="1">{#N/A,#N/A,TRUE,"일정"}</definedName>
    <definedName name="cdhbkjbkjnkjnlmmn" hidden="1">{#N/A,#N/A,TRUE,"일정"}</definedName>
    <definedName name="CFVGYTU" localSheetId="3" hidden="1">{#N/A,#N/A,FALSE,"원가검토서"}</definedName>
    <definedName name="CFVGYTU" hidden="1">{#N/A,#N/A,FALSE,"원가검토서"}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3" hidden="1">{#N/A,#N/A,FALSE,"원가검토서"}</definedName>
    <definedName name="ddfg" hidden="1">{#N/A,#N/A,FALSE,"원가검토서"}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3" hidden="1">{#N/A,#N/A,FALSE,"원가검토서"}</definedName>
    <definedName name="DFAGF" hidden="1">{#N/A,#N/A,FALSE,"원가검토서"}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3" hidden="1">{#N/A,#N/A,FALSE,"원가검토서"}</definedName>
    <definedName name="DFG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3" hidden="1">{#N/A,#N/A,FALSE,"원가검토서"}</definedName>
    <definedName name="dfsf" hidden="1">{#N/A,#N/A,FALSE,"원가검토서"}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3" hidden="1">{#N/A,#N/A,TRUE,"일정"}</definedName>
    <definedName name="DLF" hidden="1">{#N/A,#N/A,TRUE,"일정"}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3" hidden="1">{#N/A,#N/A,FALSE,"원가검토서"}</definedName>
    <definedName name="DS" hidden="1">{#N/A,#N/A,FALSE,"원가검토서"}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3" hidden="1">{"Wire Charts",#N/A,TRUE,"Wires"}</definedName>
    <definedName name="ERG" hidden="1">{"Wire Charts",#N/A,TRUE,"Wires"}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3" hidden="1">{"'KET'!$A$1:$E$2423"}</definedName>
    <definedName name="FDGS" hidden="1">{"'KET'!$A$1:$E$2423"}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3" hidden="1">{"'OPEN'G압출'!$A$4:$P$34"}</definedName>
    <definedName name="FGF" hidden="1">{"'OPEN'G압출'!$A$4:$P$34"}</definedName>
    <definedName name="FGGHNMK" localSheetId="3" hidden="1">{#N/A,#N/A,FALSE,"원가검토서"}</definedName>
    <definedName name="FGGHNMK" hidden="1">{#N/A,#N/A,FALSE,"원가검토서"}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3" hidden="1">{#N/A,#N/A,FALSE,"원가검토서"}</definedName>
    <definedName name="FGHJ" hidden="1">{#N/A,#N/A,FALSE,"원가검토서"}</definedName>
    <definedName name="FGS" localSheetId="3" hidden="1">{"Wire Charts",#N/A,TRUE,"Wires"}</definedName>
    <definedName name="FGS" hidden="1">{"Wire Charts",#N/A,TRUE,"Wires"}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3" hidden="1">{#N/A,#N/A,TRUE,"일정"}</definedName>
    <definedName name="gdmhgdmhg" hidden="1">{#N/A,#N/A,TRUE,"일정"}</definedName>
    <definedName name="GFD" localSheetId="3" hidden="1">{#N/A,#N/A,TRUE,"일정"}</definedName>
    <definedName name="GFD" hidden="1">{#N/A,#N/A,TRUE,"일정"}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3" hidden="1">{#N/A,#N/A,TRUE,"일정"}</definedName>
    <definedName name="gvdasskv" hidden="1">{#N/A,#N/A,TRUE,"일정"}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3" hidden="1">{"'OPEN'G압출'!$A$4:$P$34"}</definedName>
    <definedName name="HFGJFGJJ" hidden="1">{"'OPEN'G압출'!$A$4:$P$34"}</definedName>
    <definedName name="hgfshg" localSheetId="3" hidden="1">{#N/A,#N/A,TRUE,"일정"}</definedName>
    <definedName name="hgfshg" hidden="1">{#N/A,#N/A,TRUE,"일정"}</definedName>
    <definedName name="hgfxd" localSheetId="3" hidden="1">{#N/A,#N/A,TRUE,"일정"}</definedName>
    <definedName name="hgfxd" hidden="1">{#N/A,#N/A,TRUE,"일정"}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3" hidden="1">{#N/A,#N/A,FALSE,"원가검토서"}</definedName>
    <definedName name="HJGFJHFJH" hidden="1">{#N/A,#N/A,FALSE,"원가검토서"}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3" hidden="1">{#N/A,#N/A,TRUE,"일정"}</definedName>
    <definedName name="jgfsjhgfsjhgfsdjhgfds" hidden="1">{#N/A,#N/A,TRUE,"일정"}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3" hidden="1">{#N/A,#N/A,FALSE,"원가검토서"}</definedName>
    <definedName name="JJUHG" hidden="1">{#N/A,#N/A,FALSE,"원가검토서"}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3" hidden="1">{"'OPEN'G압출'!$A$4:$P$34"}</definedName>
    <definedName name="KJHDFKS" hidden="1">{"'OPEN'G압출'!$A$4:$P$34"}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3" hidden="1">{#N/A,#N/A,TRUE,"일정"}</definedName>
    <definedName name="LHSDHSD" hidden="1">{#N/A,#N/A,TRUE,"일정"}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3" hidden="1">{#N/A,#N/A,FALSE,"Cst of Sales (2)"}</definedName>
    <definedName name="link_ds_be" hidden="1">{#N/A,#N/A,FALSE,"Cst of Sales (2)"}</definedName>
    <definedName name="LKGFLDKGF" localSheetId="3" hidden="1">{"'OPEN'G압출'!$A$4:$P$34"}</definedName>
    <definedName name="LKGFLDKGF" hidden="1">{"'OPEN'G압출'!$A$4:$P$34"}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3" hidden="1">{"'OPEN'G압출'!$A$4:$P$34"}</definedName>
    <definedName name="LKLKLK" hidden="1">{"'OPEN'G압출'!$A$4:$P$34"}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3" hidden="1">{#N/A,#N/A,TRUE,"일정"}</definedName>
    <definedName name="MASTER" hidden="1">{#N/A,#N/A,TRUE,"일정"}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3" hidden="1">{#N/A,#N/A,TRUE,"일정"}</definedName>
    <definedName name="PH단계별" hidden="1">{#N/A,#N/A,TRUE,"일정"}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3" hidden="1">{#N/A,#N/A,TRUE,"일정"}</definedName>
    <definedName name="PPPP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3" hidden="1">{#N/A,#N/A,FALSE,"Cst of Sales (2)"}</definedName>
    <definedName name="qc" hidden="1">{#N/A,#N/A,FALSE,"Cst of Sales (2)"}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3" hidden="1">{#N/A,#N/A,FALSE,"Cst of Sales (2)"}</definedName>
    <definedName name="RUB_HOU" hidden="1">{#N/A,#N/A,FALSE,"Cst of Sales (2)"}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3" hidden="1">{#N/A,#N/A,TRUE,"일정"}</definedName>
    <definedName name="SFSF" hidden="1">{#N/A,#N/A,TRUE,"일정"}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3" hidden="1">{#N/A,#N/A,TRUE,"일정"}</definedName>
    <definedName name="VDSAG" hidden="1">{#N/A,#N/A,TRUE,"일정"}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3" hidden="1">{#N/A,#N/A,FALSE,"원가검토서"}</definedName>
    <definedName name="WET" hidden="1">{#N/A,#N/A,FALSE,"원가검토서"}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3" hidden="1">{#N/A,#N/A,FALSE,"원가검토서"}</definedName>
    <definedName name="WGEG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3" hidden="1">{"Wire Charts",#N/A,TRUE,"Wires"}</definedName>
    <definedName name="Wire_Chart" hidden="1">{"Wire Charts",#N/A,TRUE,"Wires"}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3" hidden="1">{#N/A,#N/A,TRUE,"일정"}</definedName>
    <definedName name="ㄱㄷㄱㄱ" hidden="1">{#N/A,#N/A,TRUE,"일정"}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3" hidden="1">{#N/A,#N/A,FALSE,"원가검토서"}</definedName>
    <definedName name="ㄱ쇼" hidden="1">{#N/A,#N/A,FALSE,"원가검토서"}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3" hidden="1">{"Wire Charts",#N/A,TRUE,"Wires"}</definedName>
    <definedName name="계획서" hidden="1">{"Wire Charts",#N/A,TRUE,"Wires"}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3" hidden="1">{#N/A,#N/A,FALSE,"원가검토서"}</definedName>
    <definedName name="공정도" hidden="1">{#N/A,#N/A,FALSE,"원가검토서"}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3" hidden="1">{#N/A,#N/A,FALSE,"원가검토서"}</definedName>
    <definedName name="금" hidden="1">{#N/A,#N/A,FALSE,"원가검토서"}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3" hidden="1">{#N/A,#N/A,FALSE,"원가검토서"}</definedName>
    <definedName name="금형" hidden="1">{#N/A,#N/A,FALSE,"원가검토서"}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3" hidden="1">{#N/A,#N/A,TRUE,"일정"}</definedName>
    <definedName name="담당1" hidden="1">{#N/A,#N/A,TRUE,"일정"}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3" hidden="1">SPC!ㅂㅂㅂ</definedName>
    <definedName name="ㅂㅂㅂ" hidden="1">[0]!ㅂㅂㅂ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3" hidden="1">{#N/A,#N/A,FALSE,"정공"}</definedName>
    <definedName name="삼성" hidden="1">{#N/A,#N/A,FALSE,"정공"}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3" hidden="1">{"'KET'!$A$1:$E$2423"}</definedName>
    <definedName name="시동성" hidden="1">{"'KET'!$A$1:$E$2423"}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3" hidden="1">{#N/A,#N/A,FALSE,"원가검토서"}</definedName>
    <definedName name="ㅇㄹ호" hidden="1">{#N/A,#N/A,FALSE,"원가검토서"}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3" hidden="1">{"'KET'!$A$1:$E$2423"}</definedName>
    <definedName name="종합3" hidden="1">{"'KET'!$A$1:$E$2423"}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3" hidden="1">{#N/A,#N/A,TRUE,"일정"}</definedName>
    <definedName name="주정관" hidden="1">{#N/A,#N/A,TRUE,"일정"}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3" hidden="1">{#N/A,#N/A,FALSE,"정공"}</definedName>
    <definedName name="최영" hidden="1">{#N/A,#N/A,FALSE,"정공"}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3" hidden="1">{#N/A,#N/A,FALSE,"Cst of Sales (2)"}</definedName>
    <definedName name="캄코11" hidden="1">{#N/A,#N/A,FALSE,"Cst of Sales (2)"}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3" hidden="1">{#N/A,#N/A,TRUE,"일정"}</definedName>
    <definedName name="ㅌㅌ" hidden="1">{#N/A,#N/A,TRUE,"일정"}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3" hidden="1">{#N/A,#N/A,FALSE,"정공"}</definedName>
    <definedName name="현대" hidden="1">{#N/A,#N/A,FALSE,"정공"}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3" hidden="1">{#N/A,#N/A,FALSE,"Cst of Sales (2)"}</definedName>
    <definedName name="회의록" hidden="1">{#N/A,#N/A,FALSE,"Cst of Sales (2)"}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40" i="23" l="1"/>
  <c r="AC139" i="23"/>
  <c r="AC138" i="23"/>
  <c r="AC137" i="23"/>
  <c r="AC136" i="23"/>
  <c r="AC135" i="23"/>
  <c r="AC134" i="23"/>
  <c r="AC133" i="23"/>
  <c r="AC132" i="23"/>
  <c r="AC131" i="23"/>
  <c r="AC130" i="23"/>
  <c r="AC129" i="23"/>
  <c r="AC128" i="23"/>
  <c r="AC127" i="23"/>
  <c r="AC126" i="23"/>
  <c r="AC125" i="23"/>
  <c r="AC124" i="23"/>
  <c r="AC123" i="23"/>
  <c r="AC122" i="23"/>
  <c r="AC121" i="23"/>
  <c r="AC120" i="23"/>
  <c r="AC119" i="23"/>
  <c r="AC118" i="23"/>
  <c r="AC117" i="23"/>
  <c r="AC116" i="23"/>
  <c r="AC115" i="23"/>
  <c r="AC114" i="23"/>
  <c r="AC113" i="23"/>
  <c r="AC112" i="23"/>
  <c r="AC111" i="23"/>
  <c r="AC110" i="23"/>
  <c r="AC109" i="23"/>
  <c r="AC108" i="23"/>
  <c r="AC107" i="23"/>
  <c r="AC106" i="23"/>
  <c r="AC105" i="23"/>
  <c r="AC104" i="23"/>
  <c r="AC103" i="23"/>
  <c r="AC102" i="23"/>
  <c r="AC101" i="23"/>
  <c r="AC100" i="23"/>
  <c r="AC99" i="23"/>
  <c r="AC98" i="23"/>
  <c r="AC97" i="23"/>
  <c r="AC96" i="23"/>
  <c r="AC95" i="23"/>
  <c r="AC94" i="23"/>
  <c r="AC93" i="23"/>
  <c r="AC92" i="23"/>
  <c r="AC91" i="23"/>
  <c r="AC90" i="23"/>
  <c r="AC89" i="23"/>
  <c r="AC88" i="23"/>
  <c r="AC87" i="23"/>
  <c r="AC86" i="23"/>
  <c r="AC85" i="23"/>
  <c r="AC84" i="23"/>
  <c r="AC83" i="23"/>
  <c r="AC82" i="23"/>
  <c r="AC81" i="23"/>
  <c r="AC80" i="23"/>
  <c r="AC79" i="23"/>
  <c r="AC78" i="23"/>
  <c r="AC77" i="23"/>
  <c r="AC76" i="23"/>
  <c r="AC75" i="23"/>
  <c r="AC74" i="23"/>
  <c r="AC73" i="23"/>
  <c r="AC72" i="23"/>
  <c r="AC71" i="23"/>
  <c r="AC70" i="23"/>
  <c r="AC69" i="23"/>
  <c r="AC68" i="23"/>
  <c r="AC67" i="23"/>
  <c r="AC66" i="23"/>
  <c r="AC65" i="23"/>
  <c r="AC64" i="23"/>
  <c r="AC63" i="23"/>
  <c r="AC62" i="23"/>
  <c r="AC61" i="23"/>
  <c r="AC60" i="23"/>
  <c r="AC59" i="23"/>
  <c r="AC58" i="23"/>
  <c r="AC57" i="23"/>
  <c r="AC56" i="23"/>
  <c r="AC55" i="23"/>
  <c r="AC54" i="23"/>
  <c r="AC53" i="23"/>
  <c r="AC52" i="23"/>
  <c r="AC51" i="23"/>
  <c r="AC50" i="23"/>
  <c r="AC49" i="23"/>
  <c r="AC48" i="23"/>
  <c r="AC47" i="23"/>
  <c r="AC46" i="23"/>
  <c r="AC45" i="23"/>
  <c r="AC44" i="23"/>
  <c r="AC43" i="23"/>
  <c r="AC42" i="23"/>
  <c r="AC41" i="23"/>
  <c r="AC40" i="23"/>
  <c r="AC39" i="23"/>
  <c r="AC38" i="23"/>
  <c r="AC37" i="23"/>
  <c r="AC36" i="23"/>
  <c r="AC35" i="23"/>
  <c r="AC34" i="23"/>
  <c r="AC33" i="23"/>
  <c r="AC32" i="23"/>
  <c r="AC31" i="23"/>
  <c r="AC30" i="23"/>
  <c r="AC29" i="23"/>
  <c r="AC28" i="23"/>
  <c r="AC27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2" i="23"/>
  <c r="AC11" i="23"/>
  <c r="AC10" i="23"/>
  <c r="AC9" i="23"/>
  <c r="AC8" i="23"/>
  <c r="AC7" i="23"/>
  <c r="K140" i="23"/>
  <c r="J140" i="23"/>
  <c r="K139" i="23"/>
  <c r="J139" i="23"/>
  <c r="K138" i="23"/>
  <c r="J138" i="23"/>
  <c r="K137" i="23"/>
  <c r="J137" i="23"/>
  <c r="K136" i="23"/>
  <c r="J136" i="23"/>
  <c r="K135" i="23"/>
  <c r="J135" i="23"/>
  <c r="K134" i="23"/>
  <c r="J134" i="23"/>
  <c r="K133" i="23"/>
  <c r="J133" i="23"/>
  <c r="K132" i="23"/>
  <c r="J132" i="23"/>
  <c r="K131" i="23"/>
  <c r="J131" i="23"/>
  <c r="K130" i="23"/>
  <c r="J130" i="23"/>
  <c r="K129" i="23"/>
  <c r="J129" i="23"/>
  <c r="K128" i="23"/>
  <c r="J128" i="23"/>
  <c r="K127" i="23"/>
  <c r="J127" i="23"/>
  <c r="K126" i="23"/>
  <c r="J126" i="23"/>
  <c r="K125" i="23"/>
  <c r="J125" i="23"/>
  <c r="K124" i="23"/>
  <c r="J124" i="23"/>
  <c r="K123" i="23"/>
  <c r="J123" i="23"/>
  <c r="K122" i="23"/>
  <c r="J122" i="23"/>
  <c r="K121" i="23"/>
  <c r="J121" i="23"/>
  <c r="K120" i="23"/>
  <c r="J120" i="23"/>
  <c r="K119" i="23"/>
  <c r="J119" i="23"/>
  <c r="K118" i="23"/>
  <c r="J118" i="23"/>
  <c r="K117" i="23"/>
  <c r="J117" i="23"/>
  <c r="K116" i="23"/>
  <c r="J116" i="23"/>
  <c r="K115" i="23"/>
  <c r="J115" i="23"/>
  <c r="K114" i="23"/>
  <c r="J114" i="23"/>
  <c r="K113" i="23"/>
  <c r="J113" i="23"/>
  <c r="K112" i="23"/>
  <c r="J112" i="23"/>
  <c r="K111" i="23"/>
  <c r="J111" i="23"/>
  <c r="K110" i="23"/>
  <c r="J110" i="23"/>
  <c r="K109" i="23"/>
  <c r="J109" i="23"/>
  <c r="K108" i="23"/>
  <c r="J108" i="23"/>
  <c r="K107" i="23"/>
  <c r="J107" i="23"/>
  <c r="K106" i="23"/>
  <c r="J106" i="23"/>
  <c r="K105" i="23"/>
  <c r="J105" i="23"/>
  <c r="K104" i="23"/>
  <c r="J104" i="23"/>
  <c r="K103" i="23"/>
  <c r="J103" i="23"/>
  <c r="K102" i="23"/>
  <c r="J102" i="23"/>
  <c r="K101" i="23"/>
  <c r="J101" i="23"/>
  <c r="K100" i="23"/>
  <c r="J100" i="23"/>
  <c r="K99" i="23"/>
  <c r="J99" i="23"/>
  <c r="K98" i="23"/>
  <c r="J98" i="23"/>
  <c r="K97" i="23"/>
  <c r="J97" i="23"/>
  <c r="K96" i="23"/>
  <c r="J96" i="23"/>
  <c r="K95" i="23"/>
  <c r="J95" i="23"/>
  <c r="K94" i="23"/>
  <c r="J94" i="23"/>
  <c r="K93" i="23"/>
  <c r="J93" i="23"/>
  <c r="K92" i="23"/>
  <c r="J92" i="23"/>
  <c r="K91" i="23"/>
  <c r="J91" i="23"/>
  <c r="K90" i="23"/>
  <c r="J90" i="23"/>
  <c r="K89" i="23"/>
  <c r="J89" i="23"/>
  <c r="K88" i="23"/>
  <c r="J88" i="23"/>
  <c r="K87" i="23"/>
  <c r="J87" i="23"/>
  <c r="K86" i="23"/>
  <c r="J86" i="23"/>
  <c r="K85" i="23"/>
  <c r="J85" i="23"/>
  <c r="K84" i="23"/>
  <c r="J84" i="23"/>
  <c r="K83" i="23"/>
  <c r="J83" i="23"/>
  <c r="K82" i="23"/>
  <c r="J82" i="23"/>
  <c r="K81" i="23"/>
  <c r="J81" i="23"/>
  <c r="K80" i="23"/>
  <c r="J80" i="23"/>
  <c r="K79" i="23"/>
  <c r="J79" i="23"/>
  <c r="K78" i="23"/>
  <c r="J78" i="23"/>
  <c r="K77" i="23"/>
  <c r="J77" i="23"/>
  <c r="K76" i="23"/>
  <c r="J76" i="23"/>
  <c r="K75" i="23"/>
  <c r="J75" i="23"/>
  <c r="K74" i="23"/>
  <c r="J74" i="23"/>
  <c r="K73" i="23"/>
  <c r="J73" i="23"/>
  <c r="K72" i="23"/>
  <c r="J72" i="23"/>
  <c r="K71" i="23"/>
  <c r="J71" i="23"/>
  <c r="K70" i="23"/>
  <c r="J70" i="23"/>
  <c r="K69" i="23"/>
  <c r="J69" i="23"/>
  <c r="K68" i="23"/>
  <c r="J68" i="23"/>
  <c r="K67" i="23"/>
  <c r="J67" i="23"/>
  <c r="K66" i="23"/>
  <c r="J66" i="23"/>
  <c r="K65" i="23"/>
  <c r="J65" i="23"/>
  <c r="K64" i="23"/>
  <c r="J64" i="23"/>
  <c r="K63" i="23"/>
  <c r="J63" i="23"/>
  <c r="K62" i="23"/>
  <c r="J62" i="23"/>
  <c r="K61" i="23"/>
  <c r="J61" i="23"/>
  <c r="K60" i="23"/>
  <c r="J60" i="23"/>
  <c r="K59" i="23"/>
  <c r="J59" i="23"/>
  <c r="K58" i="23"/>
  <c r="J58" i="23"/>
  <c r="K57" i="23"/>
  <c r="J57" i="23"/>
  <c r="K56" i="23"/>
  <c r="J56" i="23"/>
  <c r="K55" i="23"/>
  <c r="J55" i="23"/>
  <c r="K54" i="23"/>
  <c r="J54" i="23"/>
  <c r="K53" i="23"/>
  <c r="J53" i="23"/>
  <c r="K52" i="23"/>
  <c r="J52" i="23"/>
  <c r="K51" i="23"/>
  <c r="J51" i="23"/>
  <c r="K50" i="23"/>
  <c r="J50" i="23"/>
  <c r="K49" i="23"/>
  <c r="J49" i="23"/>
  <c r="K48" i="23"/>
  <c r="J48" i="23"/>
  <c r="K47" i="23"/>
  <c r="J47" i="23"/>
  <c r="K46" i="23"/>
  <c r="J46" i="23"/>
  <c r="K45" i="23"/>
  <c r="J45" i="23"/>
  <c r="K44" i="23"/>
  <c r="J44" i="23"/>
  <c r="K43" i="23"/>
  <c r="J43" i="23"/>
  <c r="K42" i="23"/>
  <c r="J42" i="23"/>
  <c r="K41" i="23"/>
  <c r="J41" i="23"/>
  <c r="K40" i="23"/>
  <c r="J40" i="23"/>
  <c r="K39" i="23"/>
  <c r="J39" i="23"/>
  <c r="K38" i="23"/>
  <c r="J38" i="23"/>
  <c r="K37" i="23"/>
  <c r="J37" i="23"/>
  <c r="K36" i="23"/>
  <c r="J36" i="23"/>
  <c r="K35" i="23"/>
  <c r="J35" i="23"/>
  <c r="K34" i="23"/>
  <c r="J34" i="23"/>
  <c r="K33" i="23"/>
  <c r="J33" i="23"/>
  <c r="K32" i="23"/>
  <c r="J32" i="23"/>
  <c r="K31" i="23"/>
  <c r="J31" i="23"/>
  <c r="K30" i="23"/>
  <c r="J30" i="23"/>
  <c r="K29" i="23"/>
  <c r="J29" i="23"/>
  <c r="K28" i="23"/>
  <c r="J28" i="23"/>
  <c r="K27" i="23"/>
  <c r="J27" i="23"/>
  <c r="K26" i="23"/>
  <c r="J26" i="23"/>
  <c r="K25" i="23"/>
  <c r="J25" i="23"/>
  <c r="K24" i="23"/>
  <c r="J24" i="23"/>
  <c r="K23" i="23"/>
  <c r="J23" i="23"/>
  <c r="K22" i="23"/>
  <c r="J22" i="23"/>
  <c r="K21" i="23"/>
  <c r="J21" i="23"/>
  <c r="K20" i="23"/>
  <c r="J20" i="23"/>
  <c r="K19" i="23"/>
  <c r="J19" i="23"/>
  <c r="K18" i="23"/>
  <c r="J18" i="23"/>
  <c r="K17" i="23"/>
  <c r="J17" i="23"/>
  <c r="K16" i="23"/>
  <c r="J16" i="23"/>
  <c r="K15" i="23"/>
  <c r="J15" i="23"/>
  <c r="K14" i="23"/>
  <c r="J14" i="23"/>
  <c r="K13" i="23"/>
  <c r="J13" i="23"/>
  <c r="K12" i="23"/>
  <c r="J12" i="23"/>
  <c r="K11" i="23"/>
  <c r="J11" i="23"/>
  <c r="K10" i="23"/>
  <c r="J10" i="23"/>
  <c r="K9" i="23"/>
  <c r="J9" i="23"/>
  <c r="K8" i="23"/>
  <c r="J8" i="23"/>
  <c r="K7" i="23"/>
  <c r="J7" i="23"/>
  <c r="K6" i="23"/>
  <c r="J6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P109" i="23"/>
  <c r="O109" i="23"/>
  <c r="N109" i="23"/>
  <c r="W108" i="23"/>
  <c r="V108" i="23"/>
  <c r="U108" i="23"/>
  <c r="T108" i="23"/>
  <c r="R108" i="23"/>
  <c r="S108" i="23" s="1"/>
  <c r="Q108" i="23"/>
  <c r="P108" i="23"/>
  <c r="O108" i="23"/>
  <c r="Z108" i="23" s="1"/>
  <c r="N108" i="23"/>
  <c r="N112" i="23"/>
  <c r="O112" i="23"/>
  <c r="P112" i="23"/>
  <c r="N110" i="23"/>
  <c r="O110" i="23"/>
  <c r="P110" i="23"/>
  <c r="N111" i="23"/>
  <c r="O111" i="23"/>
  <c r="P111" i="23"/>
  <c r="AA108" i="23" l="1"/>
  <c r="X108" i="23"/>
  <c r="Y108" i="23"/>
  <c r="N37" i="23"/>
  <c r="O37" i="23"/>
  <c r="Y37" i="23" s="1"/>
  <c r="P37" i="23"/>
  <c r="Q37" i="23" s="1"/>
  <c r="AA37" i="23" s="1"/>
  <c r="R37" i="23"/>
  <c r="S37" i="23" s="1"/>
  <c r="N31" i="23"/>
  <c r="O31" i="23"/>
  <c r="P31" i="23"/>
  <c r="Q31" i="23" s="1"/>
  <c r="R31" i="23"/>
  <c r="S31" i="23" s="1"/>
  <c r="N32" i="23"/>
  <c r="O32" i="23"/>
  <c r="P32" i="23"/>
  <c r="Q32" i="23" s="1"/>
  <c r="AA32" i="23" s="1"/>
  <c r="R32" i="23"/>
  <c r="S32" i="23" s="1"/>
  <c r="N33" i="23"/>
  <c r="O33" i="23"/>
  <c r="P33" i="23"/>
  <c r="Q33" i="23"/>
  <c r="R33" i="23"/>
  <c r="S33" i="23" s="1"/>
  <c r="N34" i="23"/>
  <c r="O34" i="23"/>
  <c r="P34" i="23"/>
  <c r="Q34" i="23" s="1"/>
  <c r="AA34" i="23" s="1"/>
  <c r="R34" i="23"/>
  <c r="S34" i="23" s="1"/>
  <c r="N35" i="23"/>
  <c r="O35" i="23"/>
  <c r="P35" i="23"/>
  <c r="Q35" i="23" s="1"/>
  <c r="R35" i="23"/>
  <c r="S35" i="23" s="1"/>
  <c r="N36" i="23"/>
  <c r="O36" i="23"/>
  <c r="P36" i="23"/>
  <c r="Q36" i="23" s="1"/>
  <c r="AA36" i="23" s="1"/>
  <c r="R36" i="23"/>
  <c r="S36" i="23" s="1"/>
  <c r="E8" i="5"/>
  <c r="E6" i="5"/>
  <c r="R140" i="23"/>
  <c r="S140" i="23" s="1"/>
  <c r="P140" i="23"/>
  <c r="Q140" i="23" s="1"/>
  <c r="AA140" i="23" s="1"/>
  <c r="O140" i="23"/>
  <c r="Y140" i="23" s="1"/>
  <c r="N140" i="23"/>
  <c r="R139" i="23"/>
  <c r="S139" i="23" s="1"/>
  <c r="P139" i="23"/>
  <c r="Q139" i="23" s="1"/>
  <c r="AA139" i="23" s="1"/>
  <c r="O139" i="23"/>
  <c r="N139" i="23"/>
  <c r="U138" i="23"/>
  <c r="R138" i="23"/>
  <c r="S138" i="23" s="1"/>
  <c r="P138" i="23"/>
  <c r="O138" i="23"/>
  <c r="Z138" i="23" s="1"/>
  <c r="N138" i="23"/>
  <c r="U137" i="23"/>
  <c r="R137" i="23"/>
  <c r="S137" i="23" s="1"/>
  <c r="P137" i="23"/>
  <c r="O137" i="23"/>
  <c r="X137" i="23" s="1"/>
  <c r="N137" i="23"/>
  <c r="U136" i="23"/>
  <c r="R136" i="23"/>
  <c r="S136" i="23" s="1"/>
  <c r="P136" i="23"/>
  <c r="O136" i="23"/>
  <c r="Z136" i="23" s="1"/>
  <c r="N136" i="23"/>
  <c r="U135" i="23"/>
  <c r="R135" i="23"/>
  <c r="S135" i="23" s="1"/>
  <c r="P135" i="23"/>
  <c r="O135" i="23"/>
  <c r="Z135" i="23" s="1"/>
  <c r="N135" i="23"/>
  <c r="U134" i="23"/>
  <c r="R134" i="23"/>
  <c r="S134" i="23" s="1"/>
  <c r="P134" i="23"/>
  <c r="O134" i="23"/>
  <c r="Y134" i="23" s="1"/>
  <c r="N134" i="23"/>
  <c r="U133" i="23"/>
  <c r="R133" i="23"/>
  <c r="S133" i="23" s="1"/>
  <c r="P133" i="23"/>
  <c r="O133" i="23"/>
  <c r="Y133" i="23" s="1"/>
  <c r="N133" i="23"/>
  <c r="U132" i="23"/>
  <c r="R132" i="23"/>
  <c r="S132" i="23" s="1"/>
  <c r="P132" i="23"/>
  <c r="O132" i="23"/>
  <c r="Y132" i="23" s="1"/>
  <c r="N132" i="23"/>
  <c r="U131" i="23"/>
  <c r="R131" i="23"/>
  <c r="S131" i="23" s="1"/>
  <c r="P131" i="23"/>
  <c r="O131" i="23"/>
  <c r="Z131" i="23" s="1"/>
  <c r="N131" i="23"/>
  <c r="U130" i="23"/>
  <c r="R130" i="23"/>
  <c r="S130" i="23" s="1"/>
  <c r="P130" i="23"/>
  <c r="O130" i="23"/>
  <c r="N130" i="23"/>
  <c r="U129" i="23"/>
  <c r="R129" i="23"/>
  <c r="S129" i="23" s="1"/>
  <c r="P129" i="23"/>
  <c r="O129" i="23"/>
  <c r="Z129" i="23" s="1"/>
  <c r="N129" i="23"/>
  <c r="U128" i="23"/>
  <c r="R128" i="23"/>
  <c r="S128" i="23" s="1"/>
  <c r="P128" i="23"/>
  <c r="O128" i="23"/>
  <c r="N128" i="23"/>
  <c r="U127" i="23"/>
  <c r="R127" i="23"/>
  <c r="S127" i="23" s="1"/>
  <c r="P127" i="23"/>
  <c r="O127" i="23"/>
  <c r="N127" i="23"/>
  <c r="U126" i="23"/>
  <c r="R126" i="23"/>
  <c r="S126" i="23" s="1"/>
  <c r="P126" i="23"/>
  <c r="O126" i="23"/>
  <c r="N126" i="23"/>
  <c r="R125" i="23"/>
  <c r="S125" i="23" s="1"/>
  <c r="P125" i="23"/>
  <c r="Q125" i="23" s="1"/>
  <c r="AA125" i="23" s="1"/>
  <c r="O125" i="23"/>
  <c r="N125" i="23"/>
  <c r="R124" i="23"/>
  <c r="S124" i="23" s="1"/>
  <c r="P124" i="23"/>
  <c r="Q124" i="23" s="1"/>
  <c r="AA124" i="23" s="1"/>
  <c r="O124" i="23"/>
  <c r="Y124" i="23" s="1"/>
  <c r="N124" i="23"/>
  <c r="U123" i="23"/>
  <c r="R123" i="23"/>
  <c r="S123" i="23" s="1"/>
  <c r="P123" i="23"/>
  <c r="O123" i="23"/>
  <c r="N123" i="23"/>
  <c r="R122" i="23"/>
  <c r="S122" i="23" s="1"/>
  <c r="P122" i="23"/>
  <c r="Q122" i="23" s="1"/>
  <c r="AA122" i="23" s="1"/>
  <c r="O122" i="23"/>
  <c r="N122" i="23"/>
  <c r="R121" i="23"/>
  <c r="S121" i="23" s="1"/>
  <c r="P121" i="23"/>
  <c r="Q121" i="23" s="1"/>
  <c r="AA121" i="23" s="1"/>
  <c r="O121" i="23"/>
  <c r="X121" i="23" s="1"/>
  <c r="N121" i="23"/>
  <c r="R120" i="23"/>
  <c r="S120" i="23" s="1"/>
  <c r="P120" i="23"/>
  <c r="Q120" i="23" s="1"/>
  <c r="AA120" i="23" s="1"/>
  <c r="O120" i="23"/>
  <c r="Y120" i="23" s="1"/>
  <c r="N120" i="23"/>
  <c r="R119" i="23"/>
  <c r="S119" i="23" s="1"/>
  <c r="P119" i="23"/>
  <c r="O119" i="23"/>
  <c r="N119" i="23"/>
  <c r="R118" i="23"/>
  <c r="S118" i="23" s="1"/>
  <c r="P118" i="23"/>
  <c r="Q118" i="23" s="1"/>
  <c r="AA118" i="23" s="1"/>
  <c r="O118" i="23"/>
  <c r="Y118" i="23" s="1"/>
  <c r="N118" i="23"/>
  <c r="R117" i="23"/>
  <c r="S117" i="23" s="1"/>
  <c r="P117" i="23"/>
  <c r="Q117" i="23" s="1"/>
  <c r="AA117" i="23" s="1"/>
  <c r="O117" i="23"/>
  <c r="N117" i="23"/>
  <c r="R116" i="23"/>
  <c r="S116" i="23" s="1"/>
  <c r="P116" i="23"/>
  <c r="Q116" i="23" s="1"/>
  <c r="O116" i="23"/>
  <c r="N116" i="23"/>
  <c r="R115" i="23"/>
  <c r="S115" i="23" s="1"/>
  <c r="P115" i="23"/>
  <c r="Q115" i="23" s="1"/>
  <c r="AA115" i="23" s="1"/>
  <c r="O115" i="23"/>
  <c r="N115" i="23"/>
  <c r="R114" i="23"/>
  <c r="S114" i="23" s="1"/>
  <c r="P114" i="23"/>
  <c r="Q114" i="23" s="1"/>
  <c r="AA114" i="23" s="1"/>
  <c r="O114" i="23"/>
  <c r="Y114" i="23" s="1"/>
  <c r="N114" i="23"/>
  <c r="R113" i="23"/>
  <c r="S113" i="23" s="1"/>
  <c r="P113" i="23"/>
  <c r="O113" i="23"/>
  <c r="N113" i="23"/>
  <c r="R111" i="23"/>
  <c r="S111" i="23" s="1"/>
  <c r="Q111" i="23"/>
  <c r="AA111" i="23" s="1"/>
  <c r="X111" i="23"/>
  <c r="R107" i="23"/>
  <c r="S107" i="23" s="1"/>
  <c r="P107" i="23"/>
  <c r="Q107" i="23" s="1"/>
  <c r="AA107" i="23" s="1"/>
  <c r="O107" i="23"/>
  <c r="X107" i="23" s="1"/>
  <c r="N107" i="23"/>
  <c r="R106" i="23"/>
  <c r="S106" i="23" s="1"/>
  <c r="P106" i="23"/>
  <c r="Q106" i="23" s="1"/>
  <c r="AA106" i="23" s="1"/>
  <c r="O106" i="23"/>
  <c r="N106" i="23"/>
  <c r="R105" i="23"/>
  <c r="S105" i="23" s="1"/>
  <c r="P105" i="23"/>
  <c r="Q105" i="23" s="1"/>
  <c r="AA105" i="23" s="1"/>
  <c r="O105" i="23"/>
  <c r="Y105" i="23" s="1"/>
  <c r="N105" i="23"/>
  <c r="R104" i="23"/>
  <c r="S104" i="23" s="1"/>
  <c r="P104" i="23"/>
  <c r="Q104" i="23" s="1"/>
  <c r="AA104" i="23" s="1"/>
  <c r="O104" i="23"/>
  <c r="Z104" i="23" s="1"/>
  <c r="N104" i="23"/>
  <c r="R103" i="23"/>
  <c r="S103" i="23" s="1"/>
  <c r="P103" i="23"/>
  <c r="Q103" i="23" s="1"/>
  <c r="AA103" i="23" s="1"/>
  <c r="O103" i="23"/>
  <c r="N103" i="23"/>
  <c r="R102" i="23"/>
  <c r="S102" i="23" s="1"/>
  <c r="P102" i="23"/>
  <c r="O102" i="23"/>
  <c r="N102" i="23"/>
  <c r="R101" i="23"/>
  <c r="S101" i="23" s="1"/>
  <c r="P101" i="23"/>
  <c r="Q101" i="23" s="1"/>
  <c r="AA101" i="23" s="1"/>
  <c r="O101" i="23"/>
  <c r="Y101" i="23" s="1"/>
  <c r="N101" i="23"/>
  <c r="R100" i="23"/>
  <c r="S100" i="23" s="1"/>
  <c r="P100" i="23"/>
  <c r="Q100" i="23" s="1"/>
  <c r="AA100" i="23" s="1"/>
  <c r="O100" i="23"/>
  <c r="X100" i="23" s="1"/>
  <c r="N100" i="23"/>
  <c r="R99" i="23"/>
  <c r="S99" i="23" s="1"/>
  <c r="P99" i="23"/>
  <c r="Q99" i="23" s="1"/>
  <c r="O99" i="23"/>
  <c r="Y99" i="23" s="1"/>
  <c r="N99" i="23"/>
  <c r="R98" i="23"/>
  <c r="S98" i="23" s="1"/>
  <c r="P98" i="23"/>
  <c r="O98" i="23"/>
  <c r="Y98" i="23" s="1"/>
  <c r="N98" i="23"/>
  <c r="R97" i="23"/>
  <c r="S97" i="23" s="1"/>
  <c r="P97" i="23"/>
  <c r="Q97" i="23" s="1"/>
  <c r="AA97" i="23" s="1"/>
  <c r="O97" i="23"/>
  <c r="Y97" i="23" s="1"/>
  <c r="N97" i="23"/>
  <c r="R96" i="23"/>
  <c r="S96" i="23" s="1"/>
  <c r="P96" i="23"/>
  <c r="Q96" i="23" s="1"/>
  <c r="AA96" i="23" s="1"/>
  <c r="O96" i="23"/>
  <c r="Y96" i="23" s="1"/>
  <c r="N96" i="23"/>
  <c r="R95" i="23"/>
  <c r="S95" i="23" s="1"/>
  <c r="P95" i="23"/>
  <c r="Q95" i="23" s="1"/>
  <c r="AA95" i="23" s="1"/>
  <c r="O95" i="23"/>
  <c r="Y95" i="23" s="1"/>
  <c r="N95" i="23"/>
  <c r="R94" i="23"/>
  <c r="S94" i="23" s="1"/>
  <c r="P94" i="23"/>
  <c r="O94" i="23"/>
  <c r="X94" i="23" s="1"/>
  <c r="N94" i="23"/>
  <c r="R93" i="23"/>
  <c r="S93" i="23" s="1"/>
  <c r="P93" i="23"/>
  <c r="Q93" i="23" s="1"/>
  <c r="AA93" i="23" s="1"/>
  <c r="O93" i="23"/>
  <c r="N93" i="23"/>
  <c r="R92" i="23"/>
  <c r="S92" i="23" s="1"/>
  <c r="P92" i="23"/>
  <c r="Q92" i="23" s="1"/>
  <c r="AA92" i="23" s="1"/>
  <c r="O92" i="23"/>
  <c r="Z92" i="23" s="1"/>
  <c r="N92" i="23"/>
  <c r="R91" i="23"/>
  <c r="S91" i="23" s="1"/>
  <c r="P91" i="23"/>
  <c r="Q91" i="23" s="1"/>
  <c r="AA91" i="23" s="1"/>
  <c r="O91" i="23"/>
  <c r="Y91" i="23" s="1"/>
  <c r="N91" i="23"/>
  <c r="R90" i="23"/>
  <c r="S90" i="23" s="1"/>
  <c r="P90" i="23"/>
  <c r="Q90" i="23" s="1"/>
  <c r="AA90" i="23" s="1"/>
  <c r="O90" i="23"/>
  <c r="Y90" i="23" s="1"/>
  <c r="N90" i="23"/>
  <c r="R89" i="23"/>
  <c r="S89" i="23" s="1"/>
  <c r="P89" i="23"/>
  <c r="Q89" i="23" s="1"/>
  <c r="AA89" i="23" s="1"/>
  <c r="O89" i="23"/>
  <c r="N89" i="23"/>
  <c r="R88" i="23"/>
  <c r="S88" i="23" s="1"/>
  <c r="P88" i="23"/>
  <c r="Q88" i="23" s="1"/>
  <c r="AA88" i="23" s="1"/>
  <c r="O88" i="23"/>
  <c r="N88" i="23"/>
  <c r="R87" i="23"/>
  <c r="S87" i="23" s="1"/>
  <c r="P87" i="23"/>
  <c r="Q87" i="23" s="1"/>
  <c r="AA87" i="23" s="1"/>
  <c r="O87" i="23"/>
  <c r="X87" i="23" s="1"/>
  <c r="N87" i="23"/>
  <c r="R86" i="23"/>
  <c r="S86" i="23" s="1"/>
  <c r="P86" i="23"/>
  <c r="Q86" i="23" s="1"/>
  <c r="AA86" i="23" s="1"/>
  <c r="O86" i="23"/>
  <c r="Y86" i="23" s="1"/>
  <c r="N86" i="23"/>
  <c r="R85" i="23"/>
  <c r="S85" i="23" s="1"/>
  <c r="P85" i="23"/>
  <c r="Q85" i="23" s="1"/>
  <c r="AA85" i="23" s="1"/>
  <c r="O85" i="23"/>
  <c r="N85" i="23"/>
  <c r="R84" i="23"/>
  <c r="S84" i="23" s="1"/>
  <c r="P84" i="23"/>
  <c r="Q84" i="23" s="1"/>
  <c r="AA84" i="23" s="1"/>
  <c r="O84" i="23"/>
  <c r="N84" i="23"/>
  <c r="R83" i="23"/>
  <c r="S83" i="23" s="1"/>
  <c r="P83" i="23"/>
  <c r="Q83" i="23" s="1"/>
  <c r="AA83" i="23" s="1"/>
  <c r="O83" i="23"/>
  <c r="Z83" i="23" s="1"/>
  <c r="N83" i="23"/>
  <c r="R82" i="23"/>
  <c r="S82" i="23" s="1"/>
  <c r="P82" i="23"/>
  <c r="Q82" i="23" s="1"/>
  <c r="AA82" i="23" s="1"/>
  <c r="O82" i="23"/>
  <c r="N82" i="23"/>
  <c r="R81" i="23"/>
  <c r="S81" i="23" s="1"/>
  <c r="P81" i="23"/>
  <c r="Q81" i="23" s="1"/>
  <c r="AA81" i="23" s="1"/>
  <c r="O81" i="23"/>
  <c r="N81" i="23"/>
  <c r="R80" i="23"/>
  <c r="S80" i="23" s="1"/>
  <c r="P80" i="23"/>
  <c r="Q80" i="23" s="1"/>
  <c r="AA80" i="23" s="1"/>
  <c r="O80" i="23"/>
  <c r="Y80" i="23" s="1"/>
  <c r="N80" i="23"/>
  <c r="R79" i="23"/>
  <c r="S79" i="23" s="1"/>
  <c r="P79" i="23"/>
  <c r="O79" i="23"/>
  <c r="N79" i="23"/>
  <c r="R78" i="23"/>
  <c r="S78" i="23" s="1"/>
  <c r="P78" i="23"/>
  <c r="Q78" i="23" s="1"/>
  <c r="AA78" i="23" s="1"/>
  <c r="O78" i="23"/>
  <c r="Y78" i="23" s="1"/>
  <c r="N78" i="23"/>
  <c r="R77" i="23"/>
  <c r="S77" i="23" s="1"/>
  <c r="P77" i="23"/>
  <c r="Q77" i="23" s="1"/>
  <c r="AA77" i="23" s="1"/>
  <c r="O77" i="23"/>
  <c r="Y77" i="23" s="1"/>
  <c r="N77" i="23"/>
  <c r="R76" i="23"/>
  <c r="S76" i="23" s="1"/>
  <c r="P76" i="23"/>
  <c r="Q76" i="23" s="1"/>
  <c r="AA76" i="23" s="1"/>
  <c r="O76" i="23"/>
  <c r="X76" i="23" s="1"/>
  <c r="N76" i="23"/>
  <c r="R75" i="23"/>
  <c r="S75" i="23" s="1"/>
  <c r="P75" i="23"/>
  <c r="Q75" i="23" s="1"/>
  <c r="AA75" i="23" s="1"/>
  <c r="O75" i="23"/>
  <c r="N75" i="23"/>
  <c r="R74" i="23"/>
  <c r="S74" i="23" s="1"/>
  <c r="P74" i="23"/>
  <c r="Q74" i="23" s="1"/>
  <c r="AA74" i="23" s="1"/>
  <c r="O74" i="23"/>
  <c r="X74" i="23" s="1"/>
  <c r="N74" i="23"/>
  <c r="R73" i="23"/>
  <c r="S73" i="23" s="1"/>
  <c r="P73" i="23"/>
  <c r="Q73" i="23" s="1"/>
  <c r="AA73" i="23" s="1"/>
  <c r="O73" i="23"/>
  <c r="Y73" i="23" s="1"/>
  <c r="N73" i="23"/>
  <c r="R72" i="23"/>
  <c r="S72" i="23" s="1"/>
  <c r="P72" i="23"/>
  <c r="Q72" i="23" s="1"/>
  <c r="AA72" i="23" s="1"/>
  <c r="O72" i="23"/>
  <c r="X72" i="23" s="1"/>
  <c r="N72" i="23"/>
  <c r="R71" i="23"/>
  <c r="S71" i="23" s="1"/>
  <c r="P71" i="23"/>
  <c r="Q71" i="23" s="1"/>
  <c r="AA71" i="23" s="1"/>
  <c r="O71" i="23"/>
  <c r="N71" i="23"/>
  <c r="R70" i="23"/>
  <c r="S70" i="23" s="1"/>
  <c r="P70" i="23"/>
  <c r="O70" i="23"/>
  <c r="X70" i="23" s="1"/>
  <c r="N70" i="23"/>
  <c r="R69" i="23"/>
  <c r="S69" i="23" s="1"/>
  <c r="P69" i="23"/>
  <c r="Q69" i="23" s="1"/>
  <c r="AA69" i="23" s="1"/>
  <c r="O69" i="23"/>
  <c r="Y69" i="23" s="1"/>
  <c r="N69" i="23"/>
  <c r="R68" i="23"/>
  <c r="S68" i="23" s="1"/>
  <c r="P68" i="23"/>
  <c r="Q68" i="23" s="1"/>
  <c r="AA68" i="23" s="1"/>
  <c r="O68" i="23"/>
  <c r="X68" i="23" s="1"/>
  <c r="N68" i="23"/>
  <c r="R67" i="23"/>
  <c r="S67" i="23" s="1"/>
  <c r="P67" i="23"/>
  <c r="Q67" i="23" s="1"/>
  <c r="AA67" i="23" s="1"/>
  <c r="O67" i="23"/>
  <c r="X67" i="23" s="1"/>
  <c r="N67" i="23"/>
  <c r="R66" i="23"/>
  <c r="S66" i="23" s="1"/>
  <c r="P66" i="23"/>
  <c r="Q66" i="23" s="1"/>
  <c r="AA66" i="23" s="1"/>
  <c r="O66" i="23"/>
  <c r="N66" i="23"/>
  <c r="R65" i="23"/>
  <c r="S65" i="23" s="1"/>
  <c r="P65" i="23"/>
  <c r="Q65" i="23" s="1"/>
  <c r="AA65" i="23" s="1"/>
  <c r="O65" i="23"/>
  <c r="N65" i="23"/>
  <c r="R64" i="23"/>
  <c r="S64" i="23" s="1"/>
  <c r="P64" i="23"/>
  <c r="Q64" i="23" s="1"/>
  <c r="AA64" i="23" s="1"/>
  <c r="O64" i="23"/>
  <c r="X64" i="23" s="1"/>
  <c r="N64" i="23"/>
  <c r="R63" i="23"/>
  <c r="S63" i="23" s="1"/>
  <c r="P63" i="23"/>
  <c r="Q63" i="23" s="1"/>
  <c r="AA63" i="23" s="1"/>
  <c r="O63" i="23"/>
  <c r="N63" i="23"/>
  <c r="R62" i="23"/>
  <c r="S62" i="23" s="1"/>
  <c r="P62" i="23"/>
  <c r="Q62" i="23" s="1"/>
  <c r="AA62" i="23" s="1"/>
  <c r="O62" i="23"/>
  <c r="N62" i="23"/>
  <c r="R61" i="23"/>
  <c r="S61" i="23" s="1"/>
  <c r="P61" i="23"/>
  <c r="Q61" i="23" s="1"/>
  <c r="AA61" i="23" s="1"/>
  <c r="O61" i="23"/>
  <c r="N61" i="23"/>
  <c r="R60" i="23"/>
  <c r="S60" i="23" s="1"/>
  <c r="P60" i="23"/>
  <c r="Q60" i="23" s="1"/>
  <c r="O60" i="23"/>
  <c r="N60" i="23"/>
  <c r="R59" i="23"/>
  <c r="S59" i="23" s="1"/>
  <c r="P59" i="23"/>
  <c r="Q59" i="23" s="1"/>
  <c r="O59" i="23"/>
  <c r="X59" i="23" s="1"/>
  <c r="N59" i="23"/>
  <c r="R58" i="23"/>
  <c r="S58" i="23" s="1"/>
  <c r="P58" i="23"/>
  <c r="Q58" i="23" s="1"/>
  <c r="AA58" i="23" s="1"/>
  <c r="O58" i="23"/>
  <c r="X58" i="23" s="1"/>
  <c r="N58" i="23"/>
  <c r="R57" i="23"/>
  <c r="S57" i="23" s="1"/>
  <c r="P57" i="23"/>
  <c r="Q57" i="23" s="1"/>
  <c r="AA57" i="23" s="1"/>
  <c r="O57" i="23"/>
  <c r="Y57" i="23" s="1"/>
  <c r="N57" i="23"/>
  <c r="R56" i="23"/>
  <c r="S56" i="23" s="1"/>
  <c r="P56" i="23"/>
  <c r="Q56" i="23" s="1"/>
  <c r="AA56" i="23" s="1"/>
  <c r="O56" i="23"/>
  <c r="X56" i="23" s="1"/>
  <c r="N56" i="23"/>
  <c r="R55" i="23"/>
  <c r="S55" i="23" s="1"/>
  <c r="P55" i="23"/>
  <c r="Q55" i="23" s="1"/>
  <c r="AA55" i="23" s="1"/>
  <c r="O55" i="23"/>
  <c r="Y55" i="23" s="1"/>
  <c r="N55" i="23"/>
  <c r="R54" i="23"/>
  <c r="S54" i="23" s="1"/>
  <c r="P54" i="23"/>
  <c r="Q54" i="23" s="1"/>
  <c r="O54" i="23"/>
  <c r="X54" i="23" s="1"/>
  <c r="N54" i="23"/>
  <c r="R53" i="23"/>
  <c r="S53" i="23" s="1"/>
  <c r="P53" i="23"/>
  <c r="Q53" i="23" s="1"/>
  <c r="AA53" i="23" s="1"/>
  <c r="O53" i="23"/>
  <c r="Z53" i="23" s="1"/>
  <c r="N53" i="23"/>
  <c r="R52" i="23"/>
  <c r="S52" i="23" s="1"/>
  <c r="P52" i="23"/>
  <c r="Q52" i="23" s="1"/>
  <c r="AA52" i="23" s="1"/>
  <c r="O52" i="23"/>
  <c r="N52" i="23"/>
  <c r="R51" i="23"/>
  <c r="S51" i="23" s="1"/>
  <c r="P51" i="23"/>
  <c r="Q51" i="23" s="1"/>
  <c r="AA51" i="23" s="1"/>
  <c r="O51" i="23"/>
  <c r="Y51" i="23" s="1"/>
  <c r="N51" i="23"/>
  <c r="R50" i="23"/>
  <c r="S50" i="23" s="1"/>
  <c r="P50" i="23"/>
  <c r="Q50" i="23" s="1"/>
  <c r="AA50" i="23" s="1"/>
  <c r="O50" i="23"/>
  <c r="N50" i="23"/>
  <c r="R49" i="23"/>
  <c r="S49" i="23" s="1"/>
  <c r="P49" i="23"/>
  <c r="Q49" i="23" s="1"/>
  <c r="AA49" i="23" s="1"/>
  <c r="O49" i="23"/>
  <c r="N49" i="23"/>
  <c r="R48" i="23"/>
  <c r="S48" i="23" s="1"/>
  <c r="P48" i="23"/>
  <c r="Q48" i="23" s="1"/>
  <c r="AA48" i="23" s="1"/>
  <c r="O48" i="23"/>
  <c r="N48" i="23"/>
  <c r="R47" i="23"/>
  <c r="S47" i="23" s="1"/>
  <c r="P47" i="23"/>
  <c r="Q47" i="23" s="1"/>
  <c r="AA47" i="23" s="1"/>
  <c r="O47" i="23"/>
  <c r="N47" i="23"/>
  <c r="R46" i="23"/>
  <c r="S46" i="23" s="1"/>
  <c r="P46" i="23"/>
  <c r="Q46" i="23" s="1"/>
  <c r="AA46" i="23" s="1"/>
  <c r="O46" i="23"/>
  <c r="Y46" i="23" s="1"/>
  <c r="N46" i="23"/>
  <c r="R45" i="23"/>
  <c r="S45" i="23" s="1"/>
  <c r="P45" i="23"/>
  <c r="Q45" i="23" s="1"/>
  <c r="AA45" i="23" s="1"/>
  <c r="O45" i="23"/>
  <c r="N45" i="23"/>
  <c r="R44" i="23"/>
  <c r="S44" i="23" s="1"/>
  <c r="P44" i="23"/>
  <c r="Q44" i="23" s="1"/>
  <c r="AA44" i="23" s="1"/>
  <c r="O44" i="23"/>
  <c r="N44" i="23"/>
  <c r="R43" i="23"/>
  <c r="S43" i="23" s="1"/>
  <c r="P43" i="23"/>
  <c r="Q43" i="23" s="1"/>
  <c r="AA43" i="23" s="1"/>
  <c r="O43" i="23"/>
  <c r="Y43" i="23" s="1"/>
  <c r="N43" i="23"/>
  <c r="R42" i="23"/>
  <c r="S42" i="23" s="1"/>
  <c r="P42" i="23"/>
  <c r="Q42" i="23" s="1"/>
  <c r="AA42" i="23" s="1"/>
  <c r="O42" i="23"/>
  <c r="Z42" i="23" s="1"/>
  <c r="N42" i="23"/>
  <c r="R41" i="23"/>
  <c r="S41" i="23" s="1"/>
  <c r="P41" i="23"/>
  <c r="Q41" i="23" s="1"/>
  <c r="O41" i="23"/>
  <c r="N41" i="23"/>
  <c r="R40" i="23"/>
  <c r="S40" i="23" s="1"/>
  <c r="P40" i="23"/>
  <c r="Q40" i="23" s="1"/>
  <c r="AA40" i="23" s="1"/>
  <c r="O40" i="23"/>
  <c r="N40" i="23"/>
  <c r="R39" i="23"/>
  <c r="S39" i="23" s="1"/>
  <c r="P39" i="23"/>
  <c r="Q39" i="23" s="1"/>
  <c r="AA39" i="23" s="1"/>
  <c r="O39" i="23"/>
  <c r="N39" i="23"/>
  <c r="R38" i="23"/>
  <c r="S38" i="23" s="1"/>
  <c r="P38" i="23"/>
  <c r="Q38" i="23" s="1"/>
  <c r="AA38" i="23" s="1"/>
  <c r="O38" i="23"/>
  <c r="N38" i="23"/>
  <c r="R30" i="23"/>
  <c r="S30" i="23" s="1"/>
  <c r="P30" i="23"/>
  <c r="Q30" i="23" s="1"/>
  <c r="AA30" i="23" s="1"/>
  <c r="O30" i="23"/>
  <c r="N30" i="23"/>
  <c r="R29" i="23"/>
  <c r="S29" i="23" s="1"/>
  <c r="P29" i="23"/>
  <c r="Q29" i="23" s="1"/>
  <c r="O29" i="23"/>
  <c r="N29" i="23"/>
  <c r="R28" i="23"/>
  <c r="S28" i="23" s="1"/>
  <c r="P28" i="23"/>
  <c r="Q28" i="23" s="1"/>
  <c r="O28" i="23"/>
  <c r="N28" i="23"/>
  <c r="R27" i="23"/>
  <c r="S27" i="23" s="1"/>
  <c r="P27" i="23"/>
  <c r="Q27" i="23" s="1"/>
  <c r="O27" i="23"/>
  <c r="N27" i="23"/>
  <c r="R26" i="23"/>
  <c r="S26" i="23" s="1"/>
  <c r="P26" i="23"/>
  <c r="Q26" i="23" s="1"/>
  <c r="O26" i="23"/>
  <c r="N26" i="23"/>
  <c r="R25" i="23"/>
  <c r="S25" i="23" s="1"/>
  <c r="P25" i="23"/>
  <c r="Q25" i="23" s="1"/>
  <c r="O25" i="23"/>
  <c r="N25" i="23"/>
  <c r="R24" i="23"/>
  <c r="S24" i="23" s="1"/>
  <c r="P24" i="23"/>
  <c r="Q24" i="23" s="1"/>
  <c r="AA24" i="23" s="1"/>
  <c r="O24" i="23"/>
  <c r="N24" i="23"/>
  <c r="R23" i="23"/>
  <c r="S23" i="23" s="1"/>
  <c r="P23" i="23"/>
  <c r="Q23" i="23" s="1"/>
  <c r="AA23" i="23" s="1"/>
  <c r="O23" i="23"/>
  <c r="N23" i="23"/>
  <c r="R22" i="23"/>
  <c r="S22" i="23" s="1"/>
  <c r="P22" i="23"/>
  <c r="Q22" i="23" s="1"/>
  <c r="AA22" i="23" s="1"/>
  <c r="O22" i="23"/>
  <c r="N22" i="23"/>
  <c r="R21" i="23"/>
  <c r="S21" i="23" s="1"/>
  <c r="P21" i="23"/>
  <c r="Q21" i="23" s="1"/>
  <c r="AA21" i="23" s="1"/>
  <c r="O21" i="23"/>
  <c r="Y21" i="23" s="1"/>
  <c r="N21" i="23"/>
  <c r="R20" i="23"/>
  <c r="S20" i="23" s="1"/>
  <c r="P20" i="23"/>
  <c r="Q20" i="23" s="1"/>
  <c r="AA20" i="23" s="1"/>
  <c r="O20" i="23"/>
  <c r="N20" i="23"/>
  <c r="R19" i="23"/>
  <c r="S19" i="23" s="1"/>
  <c r="P19" i="23"/>
  <c r="Q19" i="23" s="1"/>
  <c r="AA19" i="23" s="1"/>
  <c r="O19" i="23"/>
  <c r="N19" i="23"/>
  <c r="R18" i="23"/>
  <c r="S18" i="23" s="1"/>
  <c r="P18" i="23"/>
  <c r="Q18" i="23" s="1"/>
  <c r="AA18" i="23" s="1"/>
  <c r="O18" i="23"/>
  <c r="Z18" i="23" s="1"/>
  <c r="N18" i="23"/>
  <c r="R17" i="23"/>
  <c r="S17" i="23" s="1"/>
  <c r="P17" i="23"/>
  <c r="Q17" i="23" s="1"/>
  <c r="O17" i="23"/>
  <c r="X17" i="23" s="1"/>
  <c r="N17" i="23"/>
  <c r="U16" i="23"/>
  <c r="R16" i="23"/>
  <c r="S16" i="23" s="1"/>
  <c r="P16" i="23"/>
  <c r="O16" i="23"/>
  <c r="Z16" i="23" s="1"/>
  <c r="N16" i="23"/>
  <c r="U15" i="23"/>
  <c r="R15" i="23"/>
  <c r="S15" i="23" s="1"/>
  <c r="P15" i="23"/>
  <c r="O15" i="23"/>
  <c r="Z15" i="23" s="1"/>
  <c r="N15" i="23"/>
  <c r="U14" i="23"/>
  <c r="R14" i="23"/>
  <c r="S14" i="23" s="1"/>
  <c r="P14" i="23"/>
  <c r="O14" i="23"/>
  <c r="Z14" i="23" s="1"/>
  <c r="N14" i="23"/>
  <c r="U13" i="23"/>
  <c r="R13" i="23"/>
  <c r="S13" i="23" s="1"/>
  <c r="P13" i="23"/>
  <c r="O13" i="23"/>
  <c r="Z13" i="23" s="1"/>
  <c r="N13" i="23"/>
  <c r="U12" i="23"/>
  <c r="R12" i="23"/>
  <c r="S12" i="23" s="1"/>
  <c r="P12" i="23"/>
  <c r="O12" i="23"/>
  <c r="N12" i="23"/>
  <c r="R11" i="23"/>
  <c r="S11" i="23" s="1"/>
  <c r="P11" i="23"/>
  <c r="Q11" i="23" s="1"/>
  <c r="AA11" i="23" s="1"/>
  <c r="O11" i="23"/>
  <c r="Y11" i="23" s="1"/>
  <c r="N11" i="23"/>
  <c r="R10" i="23"/>
  <c r="S10" i="23" s="1"/>
  <c r="P10" i="23"/>
  <c r="Q10" i="23" s="1"/>
  <c r="AA10" i="23" s="1"/>
  <c r="O10" i="23"/>
  <c r="Y10" i="23" s="1"/>
  <c r="N10" i="23"/>
  <c r="U9" i="23"/>
  <c r="R9" i="23"/>
  <c r="S9" i="23" s="1"/>
  <c r="P9" i="23"/>
  <c r="O9" i="23"/>
  <c r="N9" i="23"/>
  <c r="R8" i="23"/>
  <c r="S8" i="23" s="1"/>
  <c r="P8" i="23"/>
  <c r="Q8" i="23" s="1"/>
  <c r="AA8" i="23" s="1"/>
  <c r="O8" i="23"/>
  <c r="N8" i="23"/>
  <c r="R7" i="23"/>
  <c r="S7" i="23" s="1"/>
  <c r="P7" i="23"/>
  <c r="Q7" i="23" s="1"/>
  <c r="AA7" i="23" s="1"/>
  <c r="O7" i="23"/>
  <c r="X7" i="23" s="1"/>
  <c r="N7" i="23"/>
  <c r="AC6" i="23"/>
  <c r="U6" i="23"/>
  <c r="R6" i="23"/>
  <c r="S6" i="23" s="1"/>
  <c r="P6" i="23"/>
  <c r="O6" i="23"/>
  <c r="X6" i="23" s="1"/>
  <c r="N6" i="23"/>
  <c r="L7" i="13"/>
  <c r="M7" i="13"/>
  <c r="L8" i="13"/>
  <c r="M8" i="13"/>
  <c r="L9" i="13"/>
  <c r="M9" i="13"/>
  <c r="L10" i="13"/>
  <c r="M10" i="13"/>
  <c r="L11" i="13"/>
  <c r="M11" i="13"/>
  <c r="L12" i="13"/>
  <c r="M12" i="13"/>
  <c r="L13" i="13"/>
  <c r="M13" i="13"/>
  <c r="L14" i="13"/>
  <c r="M14" i="13"/>
  <c r="L15" i="13"/>
  <c r="M15" i="13"/>
  <c r="L16" i="13"/>
  <c r="M16" i="13"/>
  <c r="L17" i="13"/>
  <c r="M17" i="13"/>
  <c r="L18" i="13"/>
  <c r="M18" i="13"/>
  <c r="L19" i="13"/>
  <c r="M19" i="13"/>
  <c r="L20" i="13"/>
  <c r="M20" i="13"/>
  <c r="L21" i="13"/>
  <c r="M21" i="13"/>
  <c r="L22" i="13"/>
  <c r="M22" i="13"/>
  <c r="L23" i="13"/>
  <c r="M23" i="13"/>
  <c r="L24" i="13"/>
  <c r="M24" i="13"/>
  <c r="L25" i="13"/>
  <c r="M25" i="13"/>
  <c r="L26" i="13"/>
  <c r="M26" i="13"/>
  <c r="L27" i="13"/>
  <c r="M27" i="13"/>
  <c r="L28" i="13"/>
  <c r="M28" i="13"/>
  <c r="L29" i="13"/>
  <c r="M29" i="13"/>
  <c r="L30" i="13"/>
  <c r="M30" i="13"/>
  <c r="L31" i="13"/>
  <c r="M31" i="13"/>
  <c r="L32" i="13"/>
  <c r="M32" i="13"/>
  <c r="L33" i="13"/>
  <c r="M33" i="13"/>
  <c r="L34" i="13"/>
  <c r="M34" i="13"/>
  <c r="L35" i="13"/>
  <c r="M35" i="13"/>
  <c r="L36" i="13"/>
  <c r="M36" i="13"/>
  <c r="L37" i="13"/>
  <c r="M37" i="13"/>
  <c r="L38" i="13"/>
  <c r="M38" i="13"/>
  <c r="L39" i="13"/>
  <c r="M39" i="13"/>
  <c r="L40" i="13"/>
  <c r="M40" i="13"/>
  <c r="L41" i="13"/>
  <c r="M41" i="13"/>
  <c r="L42" i="13"/>
  <c r="M42" i="13"/>
  <c r="L43" i="13"/>
  <c r="M43" i="13"/>
  <c r="L44" i="13"/>
  <c r="M44" i="13"/>
  <c r="L45" i="13"/>
  <c r="M45" i="13"/>
  <c r="L46" i="13"/>
  <c r="M46" i="13"/>
  <c r="L47" i="13"/>
  <c r="M47" i="13"/>
  <c r="L48" i="13"/>
  <c r="M48" i="13"/>
  <c r="L49" i="13"/>
  <c r="M49" i="13"/>
  <c r="L50" i="13"/>
  <c r="M50" i="13"/>
  <c r="L51" i="13"/>
  <c r="M51" i="13"/>
  <c r="L52" i="13"/>
  <c r="M52" i="13"/>
  <c r="L53" i="13"/>
  <c r="M53" i="13"/>
  <c r="L54" i="13"/>
  <c r="M54" i="13"/>
  <c r="L55" i="13"/>
  <c r="M55" i="13"/>
  <c r="L56" i="13"/>
  <c r="M56" i="13"/>
  <c r="L57" i="13"/>
  <c r="M57" i="13"/>
  <c r="L58" i="13"/>
  <c r="M58" i="13"/>
  <c r="L59" i="13"/>
  <c r="M59" i="13"/>
  <c r="L60" i="13"/>
  <c r="M60" i="13"/>
  <c r="L61" i="13"/>
  <c r="M61" i="13"/>
  <c r="L62" i="13"/>
  <c r="M62" i="13"/>
  <c r="L63" i="13"/>
  <c r="M63" i="13"/>
  <c r="L64" i="13"/>
  <c r="M64" i="13"/>
  <c r="L65" i="13"/>
  <c r="M65" i="13"/>
  <c r="L66" i="13"/>
  <c r="M66" i="13"/>
  <c r="L67" i="13"/>
  <c r="M67" i="13"/>
  <c r="L68" i="13"/>
  <c r="M68" i="13"/>
  <c r="L69" i="13"/>
  <c r="M69" i="13"/>
  <c r="L70" i="13"/>
  <c r="M70" i="13"/>
  <c r="L71" i="13"/>
  <c r="M71" i="13"/>
  <c r="L72" i="13"/>
  <c r="M72" i="13"/>
  <c r="L73" i="13"/>
  <c r="M73" i="13"/>
  <c r="L74" i="13"/>
  <c r="M74" i="13"/>
  <c r="L75" i="13"/>
  <c r="M75" i="13"/>
  <c r="L76" i="13"/>
  <c r="M76" i="13"/>
  <c r="L77" i="13"/>
  <c r="M77" i="13"/>
  <c r="L78" i="13"/>
  <c r="M78" i="13"/>
  <c r="L79" i="13"/>
  <c r="M79" i="13"/>
  <c r="L80" i="13"/>
  <c r="M80" i="13"/>
  <c r="L81" i="13"/>
  <c r="M81" i="13"/>
  <c r="L82" i="13"/>
  <c r="M82" i="13"/>
  <c r="L83" i="13"/>
  <c r="M83" i="13"/>
  <c r="L84" i="13"/>
  <c r="M84" i="13"/>
  <c r="L85" i="13"/>
  <c r="M85" i="13"/>
  <c r="L86" i="13"/>
  <c r="M86" i="13"/>
  <c r="L87" i="13"/>
  <c r="M87" i="13"/>
  <c r="L88" i="13"/>
  <c r="M88" i="13"/>
  <c r="L89" i="13"/>
  <c r="M89" i="13"/>
  <c r="L90" i="13"/>
  <c r="M90" i="13"/>
  <c r="L91" i="13"/>
  <c r="M91" i="13"/>
  <c r="L92" i="13"/>
  <c r="M92" i="13"/>
  <c r="L93" i="13"/>
  <c r="M93" i="13"/>
  <c r="L94" i="13"/>
  <c r="M94" i="13"/>
  <c r="L95" i="13"/>
  <c r="M95" i="13"/>
  <c r="L96" i="13"/>
  <c r="M96" i="13"/>
  <c r="L97" i="13"/>
  <c r="M97" i="13"/>
  <c r="L98" i="13"/>
  <c r="M98" i="13"/>
  <c r="L99" i="13"/>
  <c r="M99" i="13"/>
  <c r="L100" i="13"/>
  <c r="M100" i="13"/>
  <c r="L101" i="13"/>
  <c r="M101" i="13"/>
  <c r="L102" i="13"/>
  <c r="M102" i="13"/>
  <c r="L103" i="13"/>
  <c r="M103" i="13"/>
  <c r="L104" i="13"/>
  <c r="M104" i="13"/>
  <c r="L105" i="13"/>
  <c r="M105" i="13"/>
  <c r="L106" i="13"/>
  <c r="M106" i="13"/>
  <c r="L107" i="13"/>
  <c r="M107" i="13"/>
  <c r="L108" i="13"/>
  <c r="M108" i="13"/>
  <c r="L109" i="13"/>
  <c r="M109" i="13"/>
  <c r="L110" i="13"/>
  <c r="M110" i="13"/>
  <c r="L111" i="13"/>
  <c r="M111" i="13"/>
  <c r="L112" i="13"/>
  <c r="M112" i="13"/>
  <c r="L113" i="13"/>
  <c r="M113" i="13"/>
  <c r="L114" i="13"/>
  <c r="M114" i="13"/>
  <c r="L115" i="13"/>
  <c r="M115" i="13"/>
  <c r="L116" i="13"/>
  <c r="M116" i="13"/>
  <c r="L117" i="13"/>
  <c r="M117" i="13"/>
  <c r="L118" i="13"/>
  <c r="M118" i="13"/>
  <c r="L119" i="13"/>
  <c r="M119" i="13"/>
  <c r="L120" i="13"/>
  <c r="M120" i="13"/>
  <c r="L121" i="13"/>
  <c r="M121" i="13"/>
  <c r="L122" i="13"/>
  <c r="M122" i="13"/>
  <c r="L123" i="13"/>
  <c r="M123" i="13"/>
  <c r="L124" i="13"/>
  <c r="M124" i="13"/>
  <c r="L125" i="13"/>
  <c r="M125" i="13"/>
  <c r="L126" i="13"/>
  <c r="M126" i="13"/>
  <c r="L127" i="13"/>
  <c r="M127" i="13"/>
  <c r="L128" i="13"/>
  <c r="M128" i="13"/>
  <c r="L129" i="13"/>
  <c r="M129" i="13"/>
  <c r="L130" i="13"/>
  <c r="M130" i="13"/>
  <c r="L131" i="13"/>
  <c r="M131" i="13"/>
  <c r="L132" i="13"/>
  <c r="M132" i="13"/>
  <c r="L133" i="13"/>
  <c r="M133" i="13"/>
  <c r="L134" i="13"/>
  <c r="M134" i="13"/>
  <c r="L135" i="13"/>
  <c r="M135" i="13"/>
  <c r="L136" i="13"/>
  <c r="M136" i="13"/>
  <c r="L137" i="13"/>
  <c r="M137" i="13"/>
  <c r="L138" i="13"/>
  <c r="M138" i="13"/>
  <c r="L139" i="13"/>
  <c r="M139" i="13"/>
  <c r="L140" i="13"/>
  <c r="M140" i="13"/>
  <c r="L141" i="13"/>
  <c r="M141" i="13"/>
  <c r="L142" i="13"/>
  <c r="M142" i="13"/>
  <c r="L143" i="13"/>
  <c r="M143" i="13"/>
  <c r="L144" i="13"/>
  <c r="M144" i="13"/>
  <c r="L145" i="13"/>
  <c r="M145" i="13"/>
  <c r="L146" i="13"/>
  <c r="M146" i="13"/>
  <c r="L147" i="13"/>
  <c r="M147" i="13"/>
  <c r="L148" i="13"/>
  <c r="M148" i="13"/>
  <c r="L149" i="13"/>
  <c r="M149" i="13"/>
  <c r="L150" i="13"/>
  <c r="M150" i="13"/>
  <c r="L151" i="13"/>
  <c r="M151" i="13"/>
  <c r="L152" i="13"/>
  <c r="M152" i="13"/>
  <c r="L153" i="13"/>
  <c r="M153" i="13"/>
  <c r="L154" i="13"/>
  <c r="M154" i="13"/>
  <c r="L155" i="13"/>
  <c r="M155" i="13"/>
  <c r="L156" i="13"/>
  <c r="M156" i="13"/>
  <c r="L157" i="13"/>
  <c r="M157" i="13"/>
  <c r="L158" i="13"/>
  <c r="M158" i="13"/>
  <c r="L159" i="13"/>
  <c r="M159" i="13"/>
  <c r="L160" i="13"/>
  <c r="M160" i="13"/>
  <c r="L161" i="13"/>
  <c r="M161" i="13"/>
  <c r="L162" i="13"/>
  <c r="M162" i="13"/>
  <c r="L163" i="13"/>
  <c r="M163" i="13"/>
  <c r="L164" i="13"/>
  <c r="M164" i="13"/>
  <c r="L165" i="13"/>
  <c r="M165" i="13"/>
  <c r="L166" i="13"/>
  <c r="M166" i="13"/>
  <c r="L167" i="13"/>
  <c r="M167" i="13"/>
  <c r="L168" i="13"/>
  <c r="M168" i="13"/>
  <c r="L169" i="13"/>
  <c r="M169" i="13"/>
  <c r="L170" i="13"/>
  <c r="M170" i="13"/>
  <c r="L171" i="13"/>
  <c r="M171" i="13"/>
  <c r="L172" i="13"/>
  <c r="M172" i="13"/>
  <c r="L173" i="13"/>
  <c r="M173" i="13"/>
  <c r="L174" i="13"/>
  <c r="M174" i="13"/>
  <c r="L175" i="13"/>
  <c r="M175" i="13"/>
  <c r="L176" i="13"/>
  <c r="M176" i="13"/>
  <c r="L177" i="13"/>
  <c r="M177" i="13"/>
  <c r="L178" i="13"/>
  <c r="M178" i="13"/>
  <c r="L179" i="13"/>
  <c r="M179" i="13"/>
  <c r="L180" i="13"/>
  <c r="M180" i="13"/>
  <c r="L181" i="13"/>
  <c r="M181" i="13"/>
  <c r="L182" i="13"/>
  <c r="M182" i="13"/>
  <c r="L183" i="13"/>
  <c r="M183" i="13"/>
  <c r="L184" i="13"/>
  <c r="M184" i="13"/>
  <c r="L185" i="13"/>
  <c r="M185" i="13"/>
  <c r="L186" i="13"/>
  <c r="M186" i="13"/>
  <c r="L187" i="13"/>
  <c r="M187" i="13"/>
  <c r="L188" i="13"/>
  <c r="M188" i="13"/>
  <c r="L189" i="13"/>
  <c r="M189" i="13"/>
  <c r="L190" i="13"/>
  <c r="M190" i="13"/>
  <c r="L191" i="13"/>
  <c r="M191" i="13"/>
  <c r="L192" i="13"/>
  <c r="M192" i="13"/>
  <c r="L193" i="13"/>
  <c r="M193" i="13"/>
  <c r="L194" i="13"/>
  <c r="M194" i="13"/>
  <c r="L195" i="13"/>
  <c r="M195" i="13"/>
  <c r="L196" i="13"/>
  <c r="M196" i="13"/>
  <c r="L197" i="13"/>
  <c r="M197" i="13"/>
  <c r="L198" i="13"/>
  <c r="M198" i="13"/>
  <c r="L199" i="13"/>
  <c r="M199" i="13"/>
  <c r="L200" i="13"/>
  <c r="M200" i="13"/>
  <c r="L201" i="13"/>
  <c r="M201" i="13"/>
  <c r="L202" i="13"/>
  <c r="M202" i="13"/>
  <c r="L203" i="13"/>
  <c r="M203" i="13"/>
  <c r="L204" i="13"/>
  <c r="M204" i="13"/>
  <c r="L205" i="13"/>
  <c r="M205" i="13"/>
  <c r="L206" i="13"/>
  <c r="M206" i="13"/>
  <c r="L207" i="13"/>
  <c r="M207" i="13"/>
  <c r="L208" i="13"/>
  <c r="M208" i="13"/>
  <c r="L209" i="13"/>
  <c r="M209" i="13"/>
  <c r="L210" i="13"/>
  <c r="M210" i="13"/>
  <c r="L211" i="13"/>
  <c r="M211" i="13"/>
  <c r="L212" i="13"/>
  <c r="M212" i="13"/>
  <c r="L213" i="13"/>
  <c r="M213" i="13"/>
  <c r="L214" i="13"/>
  <c r="M214" i="13"/>
  <c r="L215" i="13"/>
  <c r="M215" i="13"/>
  <c r="L216" i="13"/>
  <c r="M216" i="13"/>
  <c r="L217" i="13"/>
  <c r="M217" i="13"/>
  <c r="L218" i="13"/>
  <c r="M218" i="13"/>
  <c r="L219" i="13"/>
  <c r="M219" i="13"/>
  <c r="L220" i="13"/>
  <c r="M220" i="13"/>
  <c r="L221" i="13"/>
  <c r="M221" i="13"/>
  <c r="L222" i="13"/>
  <c r="M222" i="13"/>
  <c r="L223" i="13"/>
  <c r="M223" i="13"/>
  <c r="L224" i="13"/>
  <c r="M224" i="13"/>
  <c r="L225" i="13"/>
  <c r="M225" i="13"/>
  <c r="L226" i="13"/>
  <c r="M226" i="13"/>
  <c r="L227" i="13"/>
  <c r="M227" i="13"/>
  <c r="L228" i="13"/>
  <c r="M228" i="13"/>
  <c r="L229" i="13"/>
  <c r="M229" i="13"/>
  <c r="L230" i="13"/>
  <c r="M230" i="13"/>
  <c r="L231" i="13"/>
  <c r="M231" i="13"/>
  <c r="L232" i="13"/>
  <c r="M232" i="13"/>
  <c r="L233" i="13"/>
  <c r="M233" i="13"/>
  <c r="L234" i="13"/>
  <c r="M234" i="13"/>
  <c r="L235" i="13"/>
  <c r="M235" i="13"/>
  <c r="L236" i="13"/>
  <c r="M236" i="13"/>
  <c r="L237" i="13"/>
  <c r="M237" i="13"/>
  <c r="L238" i="13"/>
  <c r="M238" i="13"/>
  <c r="L239" i="13"/>
  <c r="M239" i="13"/>
  <c r="L240" i="13"/>
  <c r="M240" i="13"/>
  <c r="L241" i="13"/>
  <c r="M241" i="13"/>
  <c r="L242" i="13"/>
  <c r="M242" i="13"/>
  <c r="L243" i="13"/>
  <c r="M243" i="13"/>
  <c r="T62" i="23" l="1"/>
  <c r="T81" i="23"/>
  <c r="Z37" i="23"/>
  <c r="T14" i="23"/>
  <c r="Q14" i="23" s="1"/>
  <c r="AA14" i="23" s="1"/>
  <c r="U19" i="23"/>
  <c r="T35" i="23"/>
  <c r="T33" i="23"/>
  <c r="T31" i="23"/>
  <c r="V132" i="23"/>
  <c r="W132" i="23" s="1"/>
  <c r="U139" i="23"/>
  <c r="U37" i="23"/>
  <c r="T36" i="23"/>
  <c r="T34" i="23"/>
  <c r="T32" i="23"/>
  <c r="V128" i="23"/>
  <c r="W128" i="23" s="1"/>
  <c r="T139" i="23"/>
  <c r="V135" i="23"/>
  <c r="W135" i="23" s="1"/>
  <c r="T37" i="23"/>
  <c r="T133" i="23"/>
  <c r="Q133" i="23" s="1"/>
  <c r="AA133" i="23" s="1"/>
  <c r="X37" i="23"/>
  <c r="AA35" i="23"/>
  <c r="AA33" i="23"/>
  <c r="AA31" i="23"/>
  <c r="Z36" i="23"/>
  <c r="Z35" i="23"/>
  <c r="Z34" i="23"/>
  <c r="Z33" i="23"/>
  <c r="Z32" i="23"/>
  <c r="Z31" i="23"/>
  <c r="Y36" i="23"/>
  <c r="Y35" i="23"/>
  <c r="Y34" i="23"/>
  <c r="Y33" i="23"/>
  <c r="Y32" i="23"/>
  <c r="Y31" i="23"/>
  <c r="X36" i="23"/>
  <c r="X35" i="23"/>
  <c r="X34" i="23"/>
  <c r="X33" i="23"/>
  <c r="X32" i="23"/>
  <c r="X31" i="23"/>
  <c r="U36" i="23"/>
  <c r="U35" i="23"/>
  <c r="U34" i="23"/>
  <c r="U33" i="23"/>
  <c r="U32" i="23"/>
  <c r="V32" i="23" s="1"/>
  <c r="W32" i="23" s="1"/>
  <c r="U31" i="23"/>
  <c r="V31" i="23" s="1"/>
  <c r="W31" i="23" s="1"/>
  <c r="T115" i="23"/>
  <c r="V126" i="23"/>
  <c r="W126" i="23" s="1"/>
  <c r="T70" i="23"/>
  <c r="T41" i="23"/>
  <c r="T44" i="23"/>
  <c r="V131" i="23"/>
  <c r="W131" i="23" s="1"/>
  <c r="T64" i="23"/>
  <c r="T126" i="23"/>
  <c r="Q126" i="23" s="1"/>
  <c r="AA126" i="23" s="1"/>
  <c r="T116" i="23"/>
  <c r="T129" i="23"/>
  <c r="Q129" i="23" s="1"/>
  <c r="AA129" i="23" s="1"/>
  <c r="T12" i="23"/>
  <c r="Q12" i="23" s="1"/>
  <c r="AA12" i="23" s="1"/>
  <c r="T22" i="23"/>
  <c r="V129" i="23"/>
  <c r="W129" i="23" s="1"/>
  <c r="T58" i="23"/>
  <c r="T87" i="23"/>
  <c r="X55" i="23"/>
  <c r="Y19" i="23"/>
  <c r="X139" i="23"/>
  <c r="Y137" i="23"/>
  <c r="Y139" i="23"/>
  <c r="X129" i="23"/>
  <c r="Q70" i="23"/>
  <c r="AA70" i="23" s="1"/>
  <c r="X83" i="23"/>
  <c r="U68" i="23"/>
  <c r="Y83" i="23"/>
  <c r="X12" i="23"/>
  <c r="U104" i="23"/>
  <c r="U98" i="23"/>
  <c r="T6" i="23"/>
  <c r="Q6" i="23" s="1"/>
  <c r="AA6" i="23" s="1"/>
  <c r="Y12" i="23"/>
  <c r="T91" i="23"/>
  <c r="Z12" i="23"/>
  <c r="U22" i="23"/>
  <c r="Z62" i="23"/>
  <c r="X104" i="23"/>
  <c r="Y111" i="23"/>
  <c r="Y17" i="23"/>
  <c r="Z98" i="23"/>
  <c r="Y6" i="23"/>
  <c r="Y62" i="23"/>
  <c r="Z61" i="23"/>
  <c r="Y94" i="23"/>
  <c r="Z94" i="23"/>
  <c r="Y42" i="23"/>
  <c r="X61" i="23"/>
  <c r="Z96" i="23"/>
  <c r="X42" i="23"/>
  <c r="Y87" i="23"/>
  <c r="Z22" i="23"/>
  <c r="AA54" i="23"/>
  <c r="X98" i="23"/>
  <c r="AA99" i="23"/>
  <c r="Z9" i="23"/>
  <c r="X132" i="23"/>
  <c r="Z84" i="23"/>
  <c r="X91" i="23"/>
  <c r="Y22" i="23"/>
  <c r="AA41" i="23"/>
  <c r="Z122" i="23"/>
  <c r="X10" i="23"/>
  <c r="Z46" i="23"/>
  <c r="Y54" i="23"/>
  <c r="Y58" i="23"/>
  <c r="Y70" i="23"/>
  <c r="Y107" i="23"/>
  <c r="Y135" i="23"/>
  <c r="Z54" i="23"/>
  <c r="X62" i="23"/>
  <c r="Z107" i="23"/>
  <c r="AA59" i="23"/>
  <c r="Z19" i="23"/>
  <c r="Y92" i="23"/>
  <c r="Y129" i="23"/>
  <c r="Z132" i="23"/>
  <c r="X46" i="23"/>
  <c r="X51" i="23"/>
  <c r="X138" i="23"/>
  <c r="AA17" i="23"/>
  <c r="AA60" i="23"/>
  <c r="X90" i="23"/>
  <c r="AA116" i="23"/>
  <c r="X135" i="23"/>
  <c r="Y7" i="23"/>
  <c r="T13" i="23"/>
  <c r="Q13" i="23" s="1"/>
  <c r="AA13" i="23" s="1"/>
  <c r="X41" i="23"/>
  <c r="Z7" i="23"/>
  <c r="V16" i="23"/>
  <c r="W16" i="23" s="1"/>
  <c r="Z17" i="23"/>
  <c r="U18" i="23"/>
  <c r="Y18" i="23"/>
  <c r="X18" i="23"/>
  <c r="U26" i="23"/>
  <c r="Y41" i="23"/>
  <c r="Z41" i="23"/>
  <c r="X49" i="23"/>
  <c r="Y49" i="23"/>
  <c r="Y82" i="23"/>
  <c r="X82" i="23"/>
  <c r="U11" i="23"/>
  <c r="Y24" i="23"/>
  <c r="X24" i="23"/>
  <c r="T24" i="23"/>
  <c r="X39" i="23"/>
  <c r="Y39" i="23"/>
  <c r="T40" i="23"/>
  <c r="Y65" i="23"/>
  <c r="U65" i="23"/>
  <c r="Y20" i="23"/>
  <c r="X20" i="23"/>
  <c r="U20" i="23"/>
  <c r="Y30" i="23"/>
  <c r="X30" i="23"/>
  <c r="T30" i="23"/>
  <c r="Z30" i="23"/>
  <c r="Z38" i="23"/>
  <c r="Y38" i="23"/>
  <c r="X53" i="23"/>
  <c r="T53" i="23"/>
  <c r="Y53" i="23"/>
  <c r="Y71" i="23"/>
  <c r="X71" i="23"/>
  <c r="Z71" i="23"/>
  <c r="U10" i="23"/>
  <c r="Z49" i="23"/>
  <c r="Y66" i="23"/>
  <c r="X66" i="23"/>
  <c r="Z66" i="23"/>
  <c r="U75" i="23"/>
  <c r="Y75" i="23"/>
  <c r="X75" i="23"/>
  <c r="Z75" i="23"/>
  <c r="X79" i="23"/>
  <c r="Y79" i="23"/>
  <c r="U79" i="23"/>
  <c r="T17" i="23"/>
  <c r="T28" i="23"/>
  <c r="U28" i="23"/>
  <c r="X60" i="23"/>
  <c r="Y60" i="23"/>
  <c r="T60" i="23"/>
  <c r="X11" i="23"/>
  <c r="V12" i="23"/>
  <c r="W12" i="23" s="1"/>
  <c r="U17" i="23"/>
  <c r="T20" i="23"/>
  <c r="X38" i="23"/>
  <c r="X45" i="23"/>
  <c r="T45" i="23"/>
  <c r="Y45" i="23"/>
  <c r="Y50" i="23"/>
  <c r="X50" i="23"/>
  <c r="T52" i="23"/>
  <c r="U59" i="23"/>
  <c r="Z102" i="23"/>
  <c r="Y102" i="23"/>
  <c r="X102" i="23"/>
  <c r="Z88" i="23"/>
  <c r="Y88" i="23"/>
  <c r="X88" i="23"/>
  <c r="T102" i="23"/>
  <c r="Y103" i="23"/>
  <c r="X103" i="23"/>
  <c r="T103" i="23"/>
  <c r="T106" i="23"/>
  <c r="Y106" i="23"/>
  <c r="X113" i="23"/>
  <c r="Z113" i="23"/>
  <c r="Y119" i="23"/>
  <c r="X119" i="23"/>
  <c r="U113" i="23"/>
  <c r="Q113" i="23"/>
  <c r="AA113" i="23" s="1"/>
  <c r="U114" i="23"/>
  <c r="Z114" i="23"/>
  <c r="U23" i="23"/>
  <c r="Y59" i="23"/>
  <c r="Y74" i="23"/>
  <c r="X101" i="23"/>
  <c r="T134" i="23"/>
  <c r="Q134" i="23" s="1"/>
  <c r="AA134" i="23" s="1"/>
  <c r="Z20" i="23"/>
  <c r="U30" i="23"/>
  <c r="Z59" i="23"/>
  <c r="Z101" i="23"/>
  <c r="X106" i="23"/>
  <c r="Y113" i="23"/>
  <c r="U53" i="23"/>
  <c r="V53" i="23" s="1"/>
  <c r="W53" i="23" s="1"/>
  <c r="U66" i="23"/>
  <c r="Z81" i="23"/>
  <c r="U81" i="23"/>
  <c r="X114" i="23"/>
  <c r="T123" i="23"/>
  <c r="Q123" i="23" s="1"/>
  <c r="AA123" i="23" s="1"/>
  <c r="Z128" i="23"/>
  <c r="X128" i="23"/>
  <c r="T132" i="23"/>
  <c r="Q132" i="23" s="1"/>
  <c r="AA132" i="23" s="1"/>
  <c r="V137" i="23"/>
  <c r="W137" i="23" s="1"/>
  <c r="Y138" i="23"/>
  <c r="T135" i="23"/>
  <c r="Q135" i="23" s="1"/>
  <c r="AA135" i="23" s="1"/>
  <c r="T136" i="23"/>
  <c r="Q136" i="23" s="1"/>
  <c r="AA136" i="23" s="1"/>
  <c r="V138" i="23"/>
  <c r="W138" i="23" s="1"/>
  <c r="X86" i="23"/>
  <c r="U101" i="23"/>
  <c r="X105" i="23"/>
  <c r="T128" i="23"/>
  <c r="Q128" i="23" s="1"/>
  <c r="AA128" i="23" s="1"/>
  <c r="X133" i="23"/>
  <c r="T140" i="23"/>
  <c r="U74" i="23"/>
  <c r="U94" i="23"/>
  <c r="Z133" i="23"/>
  <c r="T137" i="23"/>
  <c r="Q137" i="23" s="1"/>
  <c r="AA137" i="23" s="1"/>
  <c r="U7" i="23"/>
  <c r="Z8" i="23"/>
  <c r="Y8" i="23"/>
  <c r="U8" i="23"/>
  <c r="T8" i="23"/>
  <c r="Z6" i="23"/>
  <c r="X8" i="23"/>
  <c r="T9" i="23"/>
  <c r="Q9" i="23" s="1"/>
  <c r="AA9" i="23" s="1"/>
  <c r="Z10" i="23"/>
  <c r="V13" i="23"/>
  <c r="W13" i="23" s="1"/>
  <c r="T15" i="23"/>
  <c r="Q15" i="23" s="1"/>
  <c r="AA15" i="23" s="1"/>
  <c r="T27" i="23"/>
  <c r="U42" i="23"/>
  <c r="Z44" i="23"/>
  <c r="Y44" i="23"/>
  <c r="X44" i="23"/>
  <c r="U44" i="23"/>
  <c r="Z52" i="23"/>
  <c r="Y52" i="23"/>
  <c r="X52" i="23"/>
  <c r="U52" i="23"/>
  <c r="V14" i="23"/>
  <c r="W14" i="23" s="1"/>
  <c r="T16" i="23"/>
  <c r="Q16" i="23" s="1"/>
  <c r="AA16" i="23" s="1"/>
  <c r="U27" i="23"/>
  <c r="T29" i="23"/>
  <c r="U56" i="23"/>
  <c r="V9" i="23"/>
  <c r="W9" i="23" s="1"/>
  <c r="T10" i="23"/>
  <c r="Z11" i="23"/>
  <c r="X13" i="23"/>
  <c r="V15" i="23"/>
  <c r="W15" i="23" s="1"/>
  <c r="X19" i="23"/>
  <c r="T23" i="23"/>
  <c r="Y13" i="23"/>
  <c r="X14" i="23"/>
  <c r="T21" i="23"/>
  <c r="U24" i="23"/>
  <c r="V24" i="23" s="1"/>
  <c r="W24" i="23" s="1"/>
  <c r="U40" i="23"/>
  <c r="U45" i="23"/>
  <c r="T47" i="23"/>
  <c r="Z47" i="23"/>
  <c r="U47" i="23"/>
  <c r="X47" i="23"/>
  <c r="U63" i="23"/>
  <c r="Z63" i="23"/>
  <c r="Y63" i="23"/>
  <c r="X63" i="23"/>
  <c r="X9" i="23"/>
  <c r="T11" i="23"/>
  <c r="Y14" i="23"/>
  <c r="X15" i="23"/>
  <c r="T50" i="23"/>
  <c r="Z50" i="23"/>
  <c r="V6" i="23"/>
  <c r="W6" i="23" s="1"/>
  <c r="T7" i="23"/>
  <c r="Y9" i="23"/>
  <c r="Y15" i="23"/>
  <c r="X16" i="23"/>
  <c r="T18" i="23"/>
  <c r="V18" i="23" s="1"/>
  <c r="W18" i="23" s="1"/>
  <c r="X21" i="23"/>
  <c r="Z48" i="23"/>
  <c r="Y48" i="23"/>
  <c r="X48" i="23"/>
  <c r="U48" i="23"/>
  <c r="T48" i="23"/>
  <c r="Y16" i="23"/>
  <c r="T19" i="23"/>
  <c r="T25" i="23"/>
  <c r="U49" i="23"/>
  <c r="T49" i="23"/>
  <c r="T57" i="23"/>
  <c r="U64" i="23"/>
  <c r="U21" i="23"/>
  <c r="Z21" i="23"/>
  <c r="V28" i="23"/>
  <c r="W28" i="23" s="1"/>
  <c r="U41" i="23"/>
  <c r="Y47" i="23"/>
  <c r="U57" i="23"/>
  <c r="Z57" i="23"/>
  <c r="U70" i="23"/>
  <c r="U38" i="23"/>
  <c r="T43" i="23"/>
  <c r="Z43" i="23"/>
  <c r="U43" i="23"/>
  <c r="T46" i="23"/>
  <c r="U54" i="23"/>
  <c r="Z70" i="23"/>
  <c r="Z74" i="23"/>
  <c r="T74" i="23"/>
  <c r="Y61" i="23"/>
  <c r="U61" i="23"/>
  <c r="U62" i="23"/>
  <c r="X22" i="23"/>
  <c r="T38" i="23"/>
  <c r="U46" i="23"/>
  <c r="T51" i="23"/>
  <c r="Z51" i="23"/>
  <c r="U51" i="23"/>
  <c r="T54" i="23"/>
  <c r="Z60" i="23"/>
  <c r="U60" i="23"/>
  <c r="Z23" i="23"/>
  <c r="Y23" i="23"/>
  <c r="X23" i="23"/>
  <c r="U25" i="23"/>
  <c r="Z40" i="23"/>
  <c r="Y40" i="23"/>
  <c r="X40" i="23"/>
  <c r="Z45" i="23"/>
  <c r="Z56" i="23"/>
  <c r="Y56" i="23"/>
  <c r="Z24" i="23"/>
  <c r="T26" i="23"/>
  <c r="U29" i="23"/>
  <c r="T39" i="23"/>
  <c r="Z39" i="23"/>
  <c r="U39" i="23"/>
  <c r="T42" i="23"/>
  <c r="X43" i="23"/>
  <c r="U50" i="23"/>
  <c r="T55" i="23"/>
  <c r="Z55" i="23"/>
  <c r="U55" i="23"/>
  <c r="U58" i="23"/>
  <c r="T56" i="23"/>
  <c r="X57" i="23"/>
  <c r="T63" i="23"/>
  <c r="Z65" i="23"/>
  <c r="T65" i="23"/>
  <c r="U67" i="23"/>
  <c r="U78" i="23"/>
  <c r="Y84" i="23"/>
  <c r="Z87" i="23"/>
  <c r="Z90" i="23"/>
  <c r="T90" i="23"/>
  <c r="U87" i="23"/>
  <c r="Z89" i="23"/>
  <c r="Y89" i="23"/>
  <c r="T89" i="23"/>
  <c r="U89" i="23"/>
  <c r="X89" i="23"/>
  <c r="U90" i="23"/>
  <c r="T95" i="23"/>
  <c r="Z76" i="23"/>
  <c r="Y76" i="23"/>
  <c r="T76" i="23"/>
  <c r="Z77" i="23"/>
  <c r="T77" i="23"/>
  <c r="T80" i="23"/>
  <c r="Y93" i="23"/>
  <c r="Z93" i="23"/>
  <c r="T93" i="23"/>
  <c r="X93" i="23"/>
  <c r="Z99" i="23"/>
  <c r="T99" i="23"/>
  <c r="U77" i="23"/>
  <c r="U84" i="23"/>
  <c r="T84" i="23"/>
  <c r="U91" i="23"/>
  <c r="Q94" i="23"/>
  <c r="AA94" i="23" s="1"/>
  <c r="Z72" i="23"/>
  <c r="Y72" i="23"/>
  <c r="T72" i="23"/>
  <c r="Z73" i="23"/>
  <c r="T73" i="23"/>
  <c r="Z80" i="23"/>
  <c r="Z85" i="23"/>
  <c r="Y85" i="23"/>
  <c r="T85" i="23"/>
  <c r="U85" i="23"/>
  <c r="Z86" i="23"/>
  <c r="T86" i="23"/>
  <c r="T97" i="23"/>
  <c r="U73" i="23"/>
  <c r="U76" i="23"/>
  <c r="Z82" i="23"/>
  <c r="T82" i="23"/>
  <c r="U86" i="23"/>
  <c r="U93" i="23"/>
  <c r="Z58" i="23"/>
  <c r="T59" i="23"/>
  <c r="T61" i="23"/>
  <c r="Z64" i="23"/>
  <c r="Y64" i="23"/>
  <c r="T66" i="23"/>
  <c r="V66" i="23" s="1"/>
  <c r="W66" i="23" s="1"/>
  <c r="Y67" i="23"/>
  <c r="Z68" i="23"/>
  <c r="Y68" i="23"/>
  <c r="T68" i="23"/>
  <c r="V68" i="23" s="1"/>
  <c r="W68" i="23" s="1"/>
  <c r="Z69" i="23"/>
  <c r="T69" i="23"/>
  <c r="U71" i="23"/>
  <c r="Q79" i="23"/>
  <c r="AA79" i="23" s="1"/>
  <c r="T79" i="23"/>
  <c r="U82" i="23"/>
  <c r="U88" i="23"/>
  <c r="T88" i="23"/>
  <c r="Z91" i="23"/>
  <c r="U96" i="23"/>
  <c r="T96" i="23"/>
  <c r="X96" i="23"/>
  <c r="Z67" i="23"/>
  <c r="U69" i="23"/>
  <c r="U72" i="23"/>
  <c r="Z78" i="23"/>
  <c r="T78" i="23"/>
  <c r="X84" i="23"/>
  <c r="X85" i="23"/>
  <c r="U92" i="23"/>
  <c r="T92" i="23"/>
  <c r="X92" i="23"/>
  <c r="Z100" i="23"/>
  <c r="U80" i="23"/>
  <c r="X80" i="23"/>
  <c r="Z111" i="23"/>
  <c r="Z106" i="23"/>
  <c r="U111" i="23"/>
  <c r="T111" i="23"/>
  <c r="Z105" i="23"/>
  <c r="T105" i="23"/>
  <c r="U106" i="23"/>
  <c r="Z79" i="23"/>
  <c r="X81" i="23"/>
  <c r="U97" i="23"/>
  <c r="Y100" i="23"/>
  <c r="T100" i="23"/>
  <c r="U100" i="23"/>
  <c r="U105" i="23"/>
  <c r="X65" i="23"/>
  <c r="T67" i="23"/>
  <c r="X69" i="23"/>
  <c r="T71" i="23"/>
  <c r="X73" i="23"/>
  <c r="T75" i="23"/>
  <c r="X77" i="23"/>
  <c r="Y81" i="23"/>
  <c r="U83" i="23"/>
  <c r="T83" i="23"/>
  <c r="T94" i="23"/>
  <c r="Q98" i="23"/>
  <c r="AA98" i="23" s="1"/>
  <c r="X78" i="23"/>
  <c r="Q102" i="23"/>
  <c r="AA102" i="23" s="1"/>
  <c r="Q119" i="23"/>
  <c r="AA119" i="23" s="1"/>
  <c r="U119" i="23"/>
  <c r="U95" i="23"/>
  <c r="X95" i="23"/>
  <c r="U103" i="23"/>
  <c r="Z103" i="23"/>
  <c r="U107" i="23"/>
  <c r="T107" i="23"/>
  <c r="T117" i="23"/>
  <c r="Z117" i="23"/>
  <c r="U117" i="23"/>
  <c r="Y117" i="23"/>
  <c r="X117" i="23"/>
  <c r="X97" i="23"/>
  <c r="T101" i="23"/>
  <c r="U102" i="23"/>
  <c r="U124" i="23"/>
  <c r="T124" i="23"/>
  <c r="Z95" i="23"/>
  <c r="Z97" i="23"/>
  <c r="T98" i="23"/>
  <c r="U99" i="23"/>
  <c r="X99" i="23"/>
  <c r="Y104" i="23"/>
  <c r="T104" i="23"/>
  <c r="U118" i="23"/>
  <c r="V127" i="23"/>
  <c r="W127" i="23" s="1"/>
  <c r="Y127" i="23"/>
  <c r="X127" i="23"/>
  <c r="Z127" i="23"/>
  <c r="U120" i="23"/>
  <c r="Z120" i="23"/>
  <c r="X120" i="23"/>
  <c r="T118" i="23"/>
  <c r="Z121" i="23"/>
  <c r="Y121" i="23"/>
  <c r="T121" i="23"/>
  <c r="U121" i="23"/>
  <c r="Z116" i="23"/>
  <c r="Y116" i="23"/>
  <c r="X116" i="23"/>
  <c r="U125" i="23"/>
  <c r="X125" i="23"/>
  <c r="Z115" i="23"/>
  <c r="U115" i="23"/>
  <c r="X115" i="23"/>
  <c r="U116" i="23"/>
  <c r="Y122" i="23"/>
  <c r="X122" i="23"/>
  <c r="U122" i="23"/>
  <c r="Y125" i="23"/>
  <c r="T131" i="23"/>
  <c r="Q131" i="23" s="1"/>
  <c r="AA131" i="23" s="1"/>
  <c r="T114" i="23"/>
  <c r="Y115" i="23"/>
  <c r="Z125" i="23"/>
  <c r="T113" i="23"/>
  <c r="V130" i="23"/>
  <c r="W130" i="23" s="1"/>
  <c r="Z130" i="23"/>
  <c r="Y130" i="23"/>
  <c r="X130" i="23"/>
  <c r="Z118" i="23"/>
  <c r="T119" i="23"/>
  <c r="T120" i="23"/>
  <c r="Z123" i="23"/>
  <c r="Y123" i="23"/>
  <c r="X123" i="23"/>
  <c r="Z134" i="23"/>
  <c r="X134" i="23"/>
  <c r="V134" i="23"/>
  <c r="W134" i="23" s="1"/>
  <c r="Z119" i="23"/>
  <c r="Y126" i="23"/>
  <c r="X126" i="23"/>
  <c r="Z126" i="23"/>
  <c r="Y128" i="23"/>
  <c r="V123" i="23"/>
  <c r="W123" i="23" s="1"/>
  <c r="X124" i="23"/>
  <c r="Z124" i="23"/>
  <c r="T125" i="23"/>
  <c r="T130" i="23"/>
  <c r="Q130" i="23" s="1"/>
  <c r="AA130" i="23" s="1"/>
  <c r="Y131" i="23"/>
  <c r="X131" i="23"/>
  <c r="X118" i="23"/>
  <c r="T122" i="23"/>
  <c r="Y136" i="23"/>
  <c r="X136" i="23"/>
  <c r="V136" i="23"/>
  <c r="W136" i="23" s="1"/>
  <c r="T127" i="23"/>
  <c r="Q127" i="23" s="1"/>
  <c r="AA127" i="23" s="1"/>
  <c r="Z140" i="23"/>
  <c r="V133" i="23"/>
  <c r="W133" i="23" s="1"/>
  <c r="Z137" i="23"/>
  <c r="U140" i="23"/>
  <c r="T138" i="23"/>
  <c r="Q138" i="23" s="1"/>
  <c r="AA138" i="23" s="1"/>
  <c r="Z139" i="23"/>
  <c r="X140" i="23"/>
  <c r="L6" i="13"/>
  <c r="M6" i="13"/>
  <c r="E10" i="5"/>
  <c r="V98" i="23" l="1"/>
  <c r="V104" i="23"/>
  <c r="W104" i="23" s="1"/>
  <c r="V59" i="23"/>
  <c r="W59" i="23" s="1"/>
  <c r="V49" i="23"/>
  <c r="W49" i="23" s="1"/>
  <c r="V101" i="23"/>
  <c r="W101" i="23" s="1"/>
  <c r="V44" i="23"/>
  <c r="W44" i="23" s="1"/>
  <c r="V37" i="23"/>
  <c r="W37" i="23" s="1"/>
  <c r="V22" i="23"/>
  <c r="W22" i="23" s="1"/>
  <c r="V114" i="23"/>
  <c r="W114" i="23" s="1"/>
  <c r="V19" i="23"/>
  <c r="W19" i="23" s="1"/>
  <c r="V115" i="23"/>
  <c r="W115" i="23" s="1"/>
  <c r="V139" i="23"/>
  <c r="W139" i="23" s="1"/>
  <c r="V33" i="23"/>
  <c r="W33" i="23" s="1"/>
  <c r="V75" i="23"/>
  <c r="W75" i="23" s="1"/>
  <c r="V35" i="23"/>
  <c r="W35" i="23" s="1"/>
  <c r="V11" i="23"/>
  <c r="W11" i="23" s="1"/>
  <c r="V94" i="23"/>
  <c r="W94" i="23" s="1"/>
  <c r="V91" i="23"/>
  <c r="W91" i="23" s="1"/>
  <c r="V106" i="23"/>
  <c r="W106" i="23" s="1"/>
  <c r="V34" i="23"/>
  <c r="W34" i="23" s="1"/>
  <c r="V74" i="23"/>
  <c r="W74" i="23" s="1"/>
  <c r="V36" i="23"/>
  <c r="W36" i="23" s="1"/>
  <c r="W98" i="23"/>
  <c r="V140" i="23"/>
  <c r="W140" i="23" s="1"/>
  <c r="V102" i="23"/>
  <c r="W102" i="23" s="1"/>
  <c r="V79" i="23"/>
  <c r="W79" i="23" s="1"/>
  <c r="V61" i="23"/>
  <c r="W61" i="23" s="1"/>
  <c r="V65" i="23"/>
  <c r="W65" i="23" s="1"/>
  <c r="V26" i="23"/>
  <c r="W26" i="23" s="1"/>
  <c r="V30" i="23"/>
  <c r="W30" i="23" s="1"/>
  <c r="V56" i="23"/>
  <c r="W56" i="23" s="1"/>
  <c r="V17" i="23"/>
  <c r="W17" i="23" s="1"/>
  <c r="V113" i="23"/>
  <c r="W113" i="23" s="1"/>
  <c r="V10" i="23"/>
  <c r="W10" i="23" s="1"/>
  <c r="V29" i="23"/>
  <c r="W29" i="23" s="1"/>
  <c r="V7" i="23"/>
  <c r="W7" i="23" s="1"/>
  <c r="V72" i="23"/>
  <c r="W72" i="23" s="1"/>
  <c r="V92" i="23"/>
  <c r="W92" i="23" s="1"/>
  <c r="V63" i="23"/>
  <c r="W63" i="23" s="1"/>
  <c r="V23" i="23"/>
  <c r="W23" i="23" s="1"/>
  <c r="V78" i="23"/>
  <c r="W78" i="23" s="1"/>
  <c r="V39" i="23"/>
  <c r="W39" i="23" s="1"/>
  <c r="V118" i="23"/>
  <c r="W118" i="23" s="1"/>
  <c r="V71" i="23"/>
  <c r="W71" i="23" s="1"/>
  <c r="V90" i="23"/>
  <c r="W90" i="23" s="1"/>
  <c r="V81" i="23"/>
  <c r="W81" i="23" s="1"/>
  <c r="V89" i="23"/>
  <c r="W89" i="23" s="1"/>
  <c r="V43" i="23"/>
  <c r="W43" i="23" s="1"/>
  <c r="V25" i="23"/>
  <c r="W25" i="23" s="1"/>
  <c r="V99" i="23"/>
  <c r="W99" i="23" s="1"/>
  <c r="V70" i="23"/>
  <c r="W70" i="23" s="1"/>
  <c r="V125" i="23"/>
  <c r="W125" i="23" s="1"/>
  <c r="V107" i="23"/>
  <c r="W107" i="23" s="1"/>
  <c r="V67" i="23"/>
  <c r="W67" i="23" s="1"/>
  <c r="V80" i="23"/>
  <c r="W80" i="23" s="1"/>
  <c r="V42" i="23"/>
  <c r="W42" i="23" s="1"/>
  <c r="V38" i="23"/>
  <c r="W38" i="23" s="1"/>
  <c r="V119" i="23"/>
  <c r="W119" i="23" s="1"/>
  <c r="V124" i="23"/>
  <c r="W124" i="23" s="1"/>
  <c r="V117" i="23"/>
  <c r="W117" i="23" s="1"/>
  <c r="V103" i="23"/>
  <c r="W103" i="23" s="1"/>
  <c r="V77" i="23"/>
  <c r="W77" i="23" s="1"/>
  <c r="V8" i="23"/>
  <c r="W8" i="23" s="1"/>
  <c r="V120" i="23"/>
  <c r="W120" i="23" s="1"/>
  <c r="V111" i="23"/>
  <c r="W111" i="23" s="1"/>
  <c r="V69" i="23"/>
  <c r="W69" i="23" s="1"/>
  <c r="V55" i="23"/>
  <c r="W55" i="23" s="1"/>
  <c r="V51" i="23"/>
  <c r="W51" i="23" s="1"/>
  <c r="V20" i="23"/>
  <c r="W20" i="23" s="1"/>
  <c r="V122" i="23"/>
  <c r="W122" i="23" s="1"/>
  <c r="V83" i="23"/>
  <c r="W83" i="23" s="1"/>
  <c r="V105" i="23"/>
  <c r="W105" i="23" s="1"/>
  <c r="V64" i="23"/>
  <c r="W64" i="23" s="1"/>
  <c r="V46" i="23"/>
  <c r="W46" i="23" s="1"/>
  <c r="V73" i="23"/>
  <c r="W73" i="23" s="1"/>
  <c r="V57" i="23"/>
  <c r="W57" i="23" s="1"/>
  <c r="V52" i="23"/>
  <c r="W52" i="23" s="1"/>
  <c r="V76" i="23"/>
  <c r="W76" i="23" s="1"/>
  <c r="V95" i="23"/>
  <c r="W95" i="23" s="1"/>
  <c r="V48" i="23"/>
  <c r="W48" i="23" s="1"/>
  <c r="V100" i="23"/>
  <c r="W100" i="23" s="1"/>
  <c r="V86" i="23"/>
  <c r="W86" i="23" s="1"/>
  <c r="V88" i="23"/>
  <c r="W88" i="23" s="1"/>
  <c r="V82" i="23"/>
  <c r="W82" i="23" s="1"/>
  <c r="V97" i="23"/>
  <c r="W97" i="23" s="1"/>
  <c r="V85" i="23"/>
  <c r="W85" i="23" s="1"/>
  <c r="V84" i="23"/>
  <c r="W84" i="23" s="1"/>
  <c r="V58" i="23"/>
  <c r="W58" i="23" s="1"/>
  <c r="V54" i="23"/>
  <c r="W54" i="23" s="1"/>
  <c r="V62" i="23"/>
  <c r="W62" i="23" s="1"/>
  <c r="V45" i="23"/>
  <c r="W45" i="23" s="1"/>
  <c r="V121" i="23"/>
  <c r="W121" i="23" s="1"/>
  <c r="V93" i="23"/>
  <c r="W93" i="23" s="1"/>
  <c r="V47" i="23"/>
  <c r="W47" i="23" s="1"/>
  <c r="V40" i="23"/>
  <c r="W40" i="23" s="1"/>
  <c r="V60" i="23"/>
  <c r="W60" i="23" s="1"/>
  <c r="V116" i="23"/>
  <c r="W116" i="23" s="1"/>
  <c r="V96" i="23"/>
  <c r="W96" i="23" s="1"/>
  <c r="V87" i="23"/>
  <c r="W87" i="23" s="1"/>
  <c r="V41" i="23"/>
  <c r="W41" i="23" s="1"/>
  <c r="V50" i="23"/>
  <c r="W50" i="23" s="1"/>
  <c r="V21" i="23"/>
  <c r="W21" i="23" s="1"/>
  <c r="V27" i="23"/>
  <c r="W27" i="23" s="1"/>
  <c r="P243" i="13"/>
  <c r="R243" i="13" s="1"/>
  <c r="O243" i="13"/>
  <c r="Q243" i="13" s="1"/>
  <c r="N243" i="13"/>
  <c r="K243" i="13"/>
  <c r="P242" i="13"/>
  <c r="R242" i="13" s="1"/>
  <c r="O242" i="13"/>
  <c r="Q242" i="13" s="1"/>
  <c r="N242" i="13"/>
  <c r="K242" i="13"/>
  <c r="R241" i="13"/>
  <c r="P241" i="13"/>
  <c r="O241" i="13"/>
  <c r="Q241" i="13" s="1"/>
  <c r="N241" i="13"/>
  <c r="K241" i="13"/>
  <c r="R240" i="13"/>
  <c r="P240" i="13"/>
  <c r="O240" i="13"/>
  <c r="Q240" i="13" s="1"/>
  <c r="N240" i="13"/>
  <c r="K240" i="13"/>
  <c r="R239" i="13"/>
  <c r="P239" i="13"/>
  <c r="O239" i="13"/>
  <c r="Q239" i="13" s="1"/>
  <c r="N239" i="13"/>
  <c r="K239" i="13"/>
  <c r="R238" i="13"/>
  <c r="P238" i="13"/>
  <c r="O238" i="13"/>
  <c r="Q238" i="13" s="1"/>
  <c r="N238" i="13"/>
  <c r="K238" i="13"/>
  <c r="R237" i="13"/>
  <c r="P237" i="13"/>
  <c r="O237" i="13"/>
  <c r="Q237" i="13" s="1"/>
  <c r="N237" i="13"/>
  <c r="K237" i="13"/>
  <c r="R236" i="13"/>
  <c r="P236" i="13"/>
  <c r="O236" i="13"/>
  <c r="Q236" i="13" s="1"/>
  <c r="N236" i="13"/>
  <c r="K236" i="13"/>
  <c r="P235" i="13"/>
  <c r="R235" i="13" s="1"/>
  <c r="O235" i="13"/>
  <c r="Q235" i="13" s="1"/>
  <c r="N235" i="13"/>
  <c r="K235" i="13"/>
  <c r="P234" i="13"/>
  <c r="R234" i="13" s="1"/>
  <c r="O234" i="13"/>
  <c r="Q234" i="13" s="1"/>
  <c r="N234" i="13"/>
  <c r="K234" i="13"/>
  <c r="R233" i="13"/>
  <c r="P233" i="13"/>
  <c r="O233" i="13"/>
  <c r="Q233" i="13" s="1"/>
  <c r="N233" i="13"/>
  <c r="K233" i="13"/>
  <c r="R232" i="13"/>
  <c r="P232" i="13"/>
  <c r="O232" i="13"/>
  <c r="Q232" i="13" s="1"/>
  <c r="N232" i="13"/>
  <c r="K232" i="13"/>
  <c r="R231" i="13"/>
  <c r="P231" i="13"/>
  <c r="O231" i="13"/>
  <c r="Q231" i="13" s="1"/>
  <c r="N231" i="13"/>
  <c r="K231" i="13"/>
  <c r="R230" i="13"/>
  <c r="P230" i="13"/>
  <c r="O230" i="13"/>
  <c r="Q230" i="13" s="1"/>
  <c r="N230" i="13"/>
  <c r="K230" i="13"/>
  <c r="R229" i="13"/>
  <c r="P229" i="13"/>
  <c r="O229" i="13"/>
  <c r="Q229" i="13" s="1"/>
  <c r="N229" i="13"/>
  <c r="K229" i="13"/>
  <c r="R228" i="13"/>
  <c r="P228" i="13"/>
  <c r="O228" i="13"/>
  <c r="Q228" i="13" s="1"/>
  <c r="N228" i="13"/>
  <c r="K228" i="13"/>
  <c r="R227" i="13"/>
  <c r="P227" i="13"/>
  <c r="O227" i="13"/>
  <c r="Q227" i="13" s="1"/>
  <c r="N227" i="13"/>
  <c r="K227" i="13"/>
  <c r="R226" i="13"/>
  <c r="P226" i="13"/>
  <c r="O226" i="13"/>
  <c r="Q226" i="13" s="1"/>
  <c r="N226" i="13"/>
  <c r="K226" i="13"/>
  <c r="R225" i="13"/>
  <c r="P225" i="13"/>
  <c r="O225" i="13"/>
  <c r="Q225" i="13" s="1"/>
  <c r="N225" i="13"/>
  <c r="K225" i="13"/>
  <c r="R224" i="13"/>
  <c r="P224" i="13"/>
  <c r="O224" i="13"/>
  <c r="Q224" i="13" s="1"/>
  <c r="N224" i="13"/>
  <c r="K224" i="13"/>
  <c r="P223" i="13"/>
  <c r="R223" i="13" s="1"/>
  <c r="O223" i="13"/>
  <c r="Q223" i="13" s="1"/>
  <c r="N223" i="13"/>
  <c r="K223" i="13"/>
  <c r="P222" i="13"/>
  <c r="R222" i="13" s="1"/>
  <c r="O222" i="13"/>
  <c r="Q222" i="13" s="1"/>
  <c r="N222" i="13"/>
  <c r="K222" i="13"/>
  <c r="R221" i="13"/>
  <c r="P221" i="13"/>
  <c r="O221" i="13"/>
  <c r="Q221" i="13" s="1"/>
  <c r="N221" i="13"/>
  <c r="K221" i="13"/>
  <c r="P220" i="13"/>
  <c r="R220" i="13" s="1"/>
  <c r="O220" i="13"/>
  <c r="Q220" i="13" s="1"/>
  <c r="N220" i="13"/>
  <c r="K220" i="13"/>
  <c r="P219" i="13"/>
  <c r="R219" i="13" s="1"/>
  <c r="O219" i="13"/>
  <c r="Q219" i="13" s="1"/>
  <c r="N219" i="13"/>
  <c r="K219" i="13"/>
  <c r="P218" i="13"/>
  <c r="R218" i="13" s="1"/>
  <c r="O218" i="13"/>
  <c r="Q218" i="13" s="1"/>
  <c r="N218" i="13"/>
  <c r="K218" i="13"/>
  <c r="R217" i="13"/>
  <c r="P217" i="13"/>
  <c r="O217" i="13"/>
  <c r="Q217" i="13" s="1"/>
  <c r="N217" i="13"/>
  <c r="K217" i="13"/>
  <c r="P216" i="13"/>
  <c r="R216" i="13" s="1"/>
  <c r="O216" i="13"/>
  <c r="Q216" i="13" s="1"/>
  <c r="N216" i="13"/>
  <c r="K216" i="13"/>
  <c r="P215" i="13"/>
  <c r="R215" i="13" s="1"/>
  <c r="O215" i="13"/>
  <c r="Q215" i="13" s="1"/>
  <c r="N215" i="13"/>
  <c r="K215" i="13"/>
  <c r="P214" i="13"/>
  <c r="R214" i="13" s="1"/>
  <c r="O214" i="13"/>
  <c r="Q214" i="13" s="1"/>
  <c r="N214" i="13"/>
  <c r="K214" i="13"/>
  <c r="R213" i="13"/>
  <c r="P213" i="13"/>
  <c r="O213" i="13"/>
  <c r="Q213" i="13" s="1"/>
  <c r="N213" i="13"/>
  <c r="K213" i="13"/>
  <c r="R212" i="13"/>
  <c r="P212" i="13"/>
  <c r="O212" i="13"/>
  <c r="Q212" i="13" s="1"/>
  <c r="N212" i="13"/>
  <c r="K212" i="13"/>
  <c r="R211" i="13"/>
  <c r="P211" i="13"/>
  <c r="O211" i="13"/>
  <c r="Q211" i="13" s="1"/>
  <c r="N211" i="13"/>
  <c r="K211" i="13"/>
  <c r="P210" i="13"/>
  <c r="R210" i="13" s="1"/>
  <c r="O210" i="13"/>
  <c r="Q210" i="13" s="1"/>
  <c r="N210" i="13"/>
  <c r="K210" i="13"/>
  <c r="P209" i="13"/>
  <c r="R209" i="13" s="1"/>
  <c r="O209" i="13"/>
  <c r="Q209" i="13" s="1"/>
  <c r="N209" i="13"/>
  <c r="K209" i="13"/>
  <c r="P208" i="13"/>
  <c r="R208" i="13" s="1"/>
  <c r="O208" i="13"/>
  <c r="Q208" i="13" s="1"/>
  <c r="N208" i="13"/>
  <c r="K208" i="13"/>
  <c r="P207" i="13"/>
  <c r="R207" i="13" s="1"/>
  <c r="O207" i="13"/>
  <c r="Q207" i="13" s="1"/>
  <c r="N207" i="13"/>
  <c r="K207" i="13"/>
  <c r="P206" i="13"/>
  <c r="R206" i="13" s="1"/>
  <c r="O206" i="13"/>
  <c r="Q206" i="13" s="1"/>
  <c r="N206" i="13"/>
  <c r="K206" i="13"/>
  <c r="P205" i="13"/>
  <c r="R205" i="13" s="1"/>
  <c r="O205" i="13"/>
  <c r="Q205" i="13" s="1"/>
  <c r="N205" i="13"/>
  <c r="K205" i="13"/>
  <c r="P204" i="13"/>
  <c r="R204" i="13" s="1"/>
  <c r="O204" i="13"/>
  <c r="Q204" i="13" s="1"/>
  <c r="N204" i="13"/>
  <c r="K204" i="13"/>
  <c r="P203" i="13"/>
  <c r="R203" i="13" s="1"/>
  <c r="O203" i="13"/>
  <c r="Q203" i="13" s="1"/>
  <c r="N203" i="13"/>
  <c r="K203" i="13"/>
  <c r="P202" i="13"/>
  <c r="R202" i="13" s="1"/>
  <c r="O202" i="13"/>
  <c r="Q202" i="13" s="1"/>
  <c r="N202" i="13"/>
  <c r="K202" i="13"/>
  <c r="P201" i="13"/>
  <c r="R201" i="13" s="1"/>
  <c r="O201" i="13"/>
  <c r="Q201" i="13" s="1"/>
  <c r="N201" i="13"/>
  <c r="K201" i="13"/>
  <c r="P200" i="13"/>
  <c r="R200" i="13" s="1"/>
  <c r="O200" i="13"/>
  <c r="Q200" i="13" s="1"/>
  <c r="N200" i="13"/>
  <c r="K200" i="13"/>
  <c r="P199" i="13"/>
  <c r="R199" i="13" s="1"/>
  <c r="O199" i="13"/>
  <c r="Q199" i="13" s="1"/>
  <c r="N199" i="13"/>
  <c r="K199" i="13"/>
  <c r="R198" i="13"/>
  <c r="P198" i="13"/>
  <c r="O198" i="13"/>
  <c r="Q198" i="13" s="1"/>
  <c r="N198" i="13"/>
  <c r="K198" i="13"/>
  <c r="R197" i="13"/>
  <c r="P197" i="13"/>
  <c r="O197" i="13"/>
  <c r="Q197" i="13" s="1"/>
  <c r="N197" i="13"/>
  <c r="K197" i="13"/>
  <c r="R196" i="13"/>
  <c r="P196" i="13"/>
  <c r="O196" i="13"/>
  <c r="Q196" i="13" s="1"/>
  <c r="N196" i="13"/>
  <c r="K196" i="13"/>
  <c r="R195" i="13"/>
  <c r="P195" i="13"/>
  <c r="O195" i="13"/>
  <c r="Q195" i="13" s="1"/>
  <c r="N195" i="13"/>
  <c r="K195" i="13"/>
  <c r="R194" i="13"/>
  <c r="P194" i="13"/>
  <c r="O194" i="13"/>
  <c r="Q194" i="13" s="1"/>
  <c r="N194" i="13"/>
  <c r="K194" i="13"/>
  <c r="P193" i="13"/>
  <c r="R193" i="13" s="1"/>
  <c r="O193" i="13"/>
  <c r="Q193" i="13" s="1"/>
  <c r="N193" i="13"/>
  <c r="K193" i="13"/>
  <c r="R192" i="13"/>
  <c r="P192" i="13"/>
  <c r="O192" i="13"/>
  <c r="Q192" i="13" s="1"/>
  <c r="N192" i="13"/>
  <c r="K192" i="13"/>
  <c r="R191" i="13"/>
  <c r="P191" i="13"/>
  <c r="O191" i="13"/>
  <c r="Q191" i="13" s="1"/>
  <c r="N191" i="13"/>
  <c r="K191" i="13"/>
  <c r="R190" i="13"/>
  <c r="P190" i="13"/>
  <c r="O190" i="13"/>
  <c r="Q190" i="13" s="1"/>
  <c r="N190" i="13"/>
  <c r="K190" i="13"/>
  <c r="R189" i="13"/>
  <c r="P189" i="13"/>
  <c r="O189" i="13"/>
  <c r="Q189" i="13" s="1"/>
  <c r="N189" i="13"/>
  <c r="K189" i="13"/>
  <c r="R188" i="13"/>
  <c r="P188" i="13"/>
  <c r="O188" i="13"/>
  <c r="Q188" i="13" s="1"/>
  <c r="N188" i="13"/>
  <c r="K188" i="13"/>
  <c r="P187" i="13"/>
  <c r="R187" i="13" s="1"/>
  <c r="O187" i="13"/>
  <c r="Q187" i="13" s="1"/>
  <c r="N187" i="13"/>
  <c r="K187" i="13"/>
  <c r="R186" i="13"/>
  <c r="P186" i="13"/>
  <c r="O186" i="13"/>
  <c r="Q186" i="13" s="1"/>
  <c r="N186" i="13"/>
  <c r="K186" i="13"/>
  <c r="R185" i="13"/>
  <c r="P185" i="13"/>
  <c r="O185" i="13"/>
  <c r="Q185" i="13" s="1"/>
  <c r="N185" i="13"/>
  <c r="K185" i="13"/>
  <c r="R184" i="13"/>
  <c r="P184" i="13"/>
  <c r="O184" i="13"/>
  <c r="Q184" i="13" s="1"/>
  <c r="N184" i="13"/>
  <c r="K184" i="13"/>
  <c r="R183" i="13"/>
  <c r="P183" i="13"/>
  <c r="O183" i="13"/>
  <c r="Q183" i="13" s="1"/>
  <c r="N183" i="13"/>
  <c r="K183" i="13"/>
  <c r="P182" i="13"/>
  <c r="R182" i="13" s="1"/>
  <c r="O182" i="13"/>
  <c r="Q182" i="13" s="1"/>
  <c r="N182" i="13"/>
  <c r="K182" i="13"/>
  <c r="P181" i="13"/>
  <c r="R181" i="13" s="1"/>
  <c r="O181" i="13"/>
  <c r="Q181" i="13" s="1"/>
  <c r="N181" i="13"/>
  <c r="K181" i="13"/>
  <c r="P180" i="13"/>
  <c r="R180" i="13" s="1"/>
  <c r="O180" i="13"/>
  <c r="Q180" i="13" s="1"/>
  <c r="N180" i="13"/>
  <c r="K180" i="13"/>
  <c r="P179" i="13"/>
  <c r="R179" i="13" s="1"/>
  <c r="O179" i="13"/>
  <c r="Q179" i="13" s="1"/>
  <c r="N179" i="13"/>
  <c r="K179" i="13"/>
  <c r="P178" i="13"/>
  <c r="R178" i="13" s="1"/>
  <c r="O178" i="13"/>
  <c r="Q178" i="13" s="1"/>
  <c r="N178" i="13"/>
  <c r="K178" i="13"/>
  <c r="P177" i="13"/>
  <c r="R177" i="13" s="1"/>
  <c r="O177" i="13"/>
  <c r="Q177" i="13" s="1"/>
  <c r="N177" i="13"/>
  <c r="K177" i="13"/>
  <c r="P176" i="13"/>
  <c r="R176" i="13" s="1"/>
  <c r="O176" i="13"/>
  <c r="Q176" i="13" s="1"/>
  <c r="N176" i="13"/>
  <c r="K176" i="13"/>
  <c r="P175" i="13"/>
  <c r="R175" i="13" s="1"/>
  <c r="O175" i="13"/>
  <c r="Q175" i="13" s="1"/>
  <c r="N175" i="13"/>
  <c r="K175" i="13"/>
  <c r="P174" i="13"/>
  <c r="R174" i="13" s="1"/>
  <c r="O174" i="13"/>
  <c r="Q174" i="13" s="1"/>
  <c r="N174" i="13"/>
  <c r="K174" i="13"/>
  <c r="P173" i="13"/>
  <c r="R173" i="13" s="1"/>
  <c r="O173" i="13"/>
  <c r="Q173" i="13" s="1"/>
  <c r="N173" i="13"/>
  <c r="K173" i="13"/>
  <c r="P172" i="13"/>
  <c r="R172" i="13" s="1"/>
  <c r="O172" i="13"/>
  <c r="Q172" i="13" s="1"/>
  <c r="N172" i="13"/>
  <c r="K172" i="13"/>
  <c r="P171" i="13"/>
  <c r="R171" i="13" s="1"/>
  <c r="O171" i="13"/>
  <c r="Q171" i="13" s="1"/>
  <c r="N171" i="13"/>
  <c r="K171" i="13"/>
  <c r="R170" i="13"/>
  <c r="P170" i="13"/>
  <c r="O170" i="13"/>
  <c r="Q170" i="13" s="1"/>
  <c r="N170" i="13"/>
  <c r="K170" i="13"/>
  <c r="R169" i="13"/>
  <c r="P169" i="13"/>
  <c r="O169" i="13"/>
  <c r="Q169" i="13" s="1"/>
  <c r="N169" i="13"/>
  <c r="K169" i="13"/>
  <c r="R168" i="13"/>
  <c r="P168" i="13"/>
  <c r="O168" i="13"/>
  <c r="Q168" i="13" s="1"/>
  <c r="N168" i="13"/>
  <c r="K168" i="13"/>
  <c r="R167" i="13"/>
  <c r="P167" i="13"/>
  <c r="O167" i="13"/>
  <c r="Q167" i="13" s="1"/>
  <c r="N167" i="13"/>
  <c r="K167" i="13"/>
  <c r="R166" i="13"/>
  <c r="P166" i="13"/>
  <c r="O166" i="13"/>
  <c r="Q166" i="13" s="1"/>
  <c r="N166" i="13"/>
  <c r="K166" i="13"/>
  <c r="R165" i="13"/>
  <c r="P165" i="13"/>
  <c r="O165" i="13"/>
  <c r="Q165" i="13" s="1"/>
  <c r="N165" i="13"/>
  <c r="K165" i="13"/>
  <c r="P164" i="13"/>
  <c r="R164" i="13" s="1"/>
  <c r="O164" i="13"/>
  <c r="Q164" i="13" s="1"/>
  <c r="N164" i="13"/>
  <c r="K164" i="13"/>
  <c r="P163" i="13"/>
  <c r="R163" i="13" s="1"/>
  <c r="O163" i="13"/>
  <c r="Q163" i="13" s="1"/>
  <c r="N163" i="13"/>
  <c r="K163" i="13"/>
  <c r="P162" i="13"/>
  <c r="R162" i="13" s="1"/>
  <c r="O162" i="13"/>
  <c r="Q162" i="13" s="1"/>
  <c r="N162" i="13"/>
  <c r="K162" i="13"/>
  <c r="P161" i="13"/>
  <c r="R161" i="13" s="1"/>
  <c r="O161" i="13"/>
  <c r="Q161" i="13" s="1"/>
  <c r="N161" i="13"/>
  <c r="K161" i="13"/>
  <c r="P160" i="13"/>
  <c r="R160" i="13" s="1"/>
  <c r="O160" i="13"/>
  <c r="Q160" i="13" s="1"/>
  <c r="N160" i="13"/>
  <c r="K160" i="13"/>
  <c r="P159" i="13"/>
  <c r="R159" i="13" s="1"/>
  <c r="O159" i="13"/>
  <c r="Q159" i="13" s="1"/>
  <c r="N159" i="13"/>
  <c r="K159" i="13"/>
  <c r="R158" i="13"/>
  <c r="P158" i="13"/>
  <c r="O158" i="13"/>
  <c r="Q158" i="13" s="1"/>
  <c r="N158" i="13"/>
  <c r="K158" i="13"/>
  <c r="P157" i="13"/>
  <c r="R157" i="13" s="1"/>
  <c r="O157" i="13"/>
  <c r="Q157" i="13" s="1"/>
  <c r="N157" i="13"/>
  <c r="K157" i="13"/>
  <c r="P156" i="13"/>
  <c r="R156" i="13" s="1"/>
  <c r="O156" i="13"/>
  <c r="Q156" i="13" s="1"/>
  <c r="N156" i="13"/>
  <c r="K156" i="13"/>
  <c r="P155" i="13"/>
  <c r="R155" i="13" s="1"/>
  <c r="O155" i="13"/>
  <c r="Q155" i="13" s="1"/>
  <c r="N155" i="13"/>
  <c r="K155" i="13"/>
  <c r="P154" i="13"/>
  <c r="R154" i="13" s="1"/>
  <c r="O154" i="13"/>
  <c r="Q154" i="13" s="1"/>
  <c r="N154" i="13"/>
  <c r="K154" i="13"/>
  <c r="P153" i="13"/>
  <c r="R153" i="13" s="1"/>
  <c r="O153" i="13"/>
  <c r="Q153" i="13" s="1"/>
  <c r="N153" i="13"/>
  <c r="K153" i="13"/>
  <c r="P152" i="13"/>
  <c r="R152" i="13" s="1"/>
  <c r="O152" i="13"/>
  <c r="Q152" i="13" s="1"/>
  <c r="N152" i="13"/>
  <c r="K152" i="13"/>
  <c r="P151" i="13"/>
  <c r="R151" i="13" s="1"/>
  <c r="O151" i="13"/>
  <c r="Q151" i="13" s="1"/>
  <c r="N151" i="13"/>
  <c r="K151" i="13"/>
  <c r="P150" i="13"/>
  <c r="R150" i="13" s="1"/>
  <c r="O150" i="13"/>
  <c r="Q150" i="13" s="1"/>
  <c r="N150" i="13"/>
  <c r="K150" i="13"/>
  <c r="P149" i="13"/>
  <c r="R149" i="13" s="1"/>
  <c r="O149" i="13"/>
  <c r="Q149" i="13" s="1"/>
  <c r="N149" i="13"/>
  <c r="K149" i="13"/>
  <c r="P148" i="13"/>
  <c r="R148" i="13" s="1"/>
  <c r="O148" i="13"/>
  <c r="Q148" i="13" s="1"/>
  <c r="N148" i="13"/>
  <c r="K148" i="13"/>
  <c r="P147" i="13"/>
  <c r="R147" i="13" s="1"/>
  <c r="O147" i="13"/>
  <c r="Q147" i="13" s="1"/>
  <c r="N147" i="13"/>
  <c r="K147" i="13"/>
  <c r="P146" i="13"/>
  <c r="R146" i="13" s="1"/>
  <c r="O146" i="13"/>
  <c r="Q146" i="13" s="1"/>
  <c r="N146" i="13"/>
  <c r="K146" i="13"/>
  <c r="P145" i="13"/>
  <c r="R145" i="13" s="1"/>
  <c r="O145" i="13"/>
  <c r="Q145" i="13" s="1"/>
  <c r="N145" i="13"/>
  <c r="K145" i="13"/>
  <c r="P144" i="13"/>
  <c r="R144" i="13" s="1"/>
  <c r="O144" i="13"/>
  <c r="Q144" i="13" s="1"/>
  <c r="N144" i="13"/>
  <c r="K144" i="13"/>
  <c r="P143" i="13"/>
  <c r="R143" i="13" s="1"/>
  <c r="O143" i="13"/>
  <c r="Q143" i="13" s="1"/>
  <c r="N143" i="13"/>
  <c r="K143" i="13"/>
  <c r="P142" i="13"/>
  <c r="R142" i="13" s="1"/>
  <c r="O142" i="13"/>
  <c r="Q142" i="13" s="1"/>
  <c r="N142" i="13"/>
  <c r="K142" i="13"/>
  <c r="P141" i="13"/>
  <c r="R141" i="13" s="1"/>
  <c r="O141" i="13"/>
  <c r="Q141" i="13" s="1"/>
  <c r="N141" i="13"/>
  <c r="K141" i="13"/>
  <c r="P140" i="13"/>
  <c r="R140" i="13" s="1"/>
  <c r="O140" i="13"/>
  <c r="Q140" i="13" s="1"/>
  <c r="N140" i="13"/>
  <c r="K140" i="13"/>
  <c r="P139" i="13"/>
  <c r="R139" i="13" s="1"/>
  <c r="O139" i="13"/>
  <c r="Q139" i="13" s="1"/>
  <c r="N139" i="13"/>
  <c r="K139" i="13"/>
  <c r="P138" i="13"/>
  <c r="R138" i="13" s="1"/>
  <c r="O138" i="13"/>
  <c r="Q138" i="13" s="1"/>
  <c r="N138" i="13"/>
  <c r="K138" i="13"/>
  <c r="P137" i="13"/>
  <c r="R137" i="13" s="1"/>
  <c r="O137" i="13"/>
  <c r="Q137" i="13" s="1"/>
  <c r="N137" i="13"/>
  <c r="K137" i="13"/>
  <c r="P136" i="13"/>
  <c r="R136" i="13" s="1"/>
  <c r="O136" i="13"/>
  <c r="Q136" i="13" s="1"/>
  <c r="N136" i="13"/>
  <c r="K136" i="13"/>
  <c r="P135" i="13"/>
  <c r="R135" i="13" s="1"/>
  <c r="O135" i="13"/>
  <c r="Q135" i="13" s="1"/>
  <c r="N135" i="13"/>
  <c r="K135" i="13"/>
  <c r="P134" i="13"/>
  <c r="R134" i="13" s="1"/>
  <c r="O134" i="13"/>
  <c r="Q134" i="13" s="1"/>
  <c r="N134" i="13"/>
  <c r="K134" i="13"/>
  <c r="P133" i="13"/>
  <c r="R133" i="13" s="1"/>
  <c r="O133" i="13"/>
  <c r="Q133" i="13" s="1"/>
  <c r="N133" i="13"/>
  <c r="K133" i="13"/>
  <c r="P132" i="13"/>
  <c r="R132" i="13" s="1"/>
  <c r="O132" i="13"/>
  <c r="Q132" i="13" s="1"/>
  <c r="N132" i="13"/>
  <c r="K132" i="13"/>
  <c r="P131" i="13"/>
  <c r="R131" i="13" s="1"/>
  <c r="O131" i="13"/>
  <c r="Q131" i="13" s="1"/>
  <c r="N131" i="13"/>
  <c r="K131" i="13"/>
  <c r="P130" i="13"/>
  <c r="R130" i="13" s="1"/>
  <c r="O130" i="13"/>
  <c r="Q130" i="13" s="1"/>
  <c r="N130" i="13"/>
  <c r="K130" i="13"/>
  <c r="P129" i="13"/>
  <c r="R129" i="13" s="1"/>
  <c r="O129" i="13"/>
  <c r="Q129" i="13" s="1"/>
  <c r="N129" i="13"/>
  <c r="K129" i="13"/>
  <c r="P128" i="13"/>
  <c r="R128" i="13" s="1"/>
  <c r="O128" i="13"/>
  <c r="Q128" i="13" s="1"/>
  <c r="N128" i="13"/>
  <c r="K128" i="13"/>
  <c r="P127" i="13"/>
  <c r="R127" i="13" s="1"/>
  <c r="O127" i="13"/>
  <c r="Q127" i="13" s="1"/>
  <c r="N127" i="13"/>
  <c r="K127" i="13"/>
  <c r="R126" i="13"/>
  <c r="P126" i="13"/>
  <c r="O126" i="13"/>
  <c r="Q126" i="13" s="1"/>
  <c r="N126" i="13"/>
  <c r="K126" i="13"/>
  <c r="P125" i="13"/>
  <c r="R125" i="13" s="1"/>
  <c r="O125" i="13"/>
  <c r="Q125" i="13" s="1"/>
  <c r="N125" i="13"/>
  <c r="K125" i="13"/>
  <c r="P124" i="13"/>
  <c r="R124" i="13" s="1"/>
  <c r="O124" i="13"/>
  <c r="Q124" i="13" s="1"/>
  <c r="N124" i="13"/>
  <c r="K124" i="13"/>
  <c r="P123" i="13"/>
  <c r="R123" i="13" s="1"/>
  <c r="O123" i="13"/>
  <c r="Q123" i="13" s="1"/>
  <c r="N123" i="13"/>
  <c r="K123" i="13"/>
  <c r="P122" i="13"/>
  <c r="R122" i="13" s="1"/>
  <c r="O122" i="13"/>
  <c r="Q122" i="13" s="1"/>
  <c r="N122" i="13"/>
  <c r="K122" i="13"/>
  <c r="P121" i="13"/>
  <c r="R121" i="13" s="1"/>
  <c r="O121" i="13"/>
  <c r="Q121" i="13" s="1"/>
  <c r="N121" i="13"/>
  <c r="K121" i="13"/>
  <c r="P120" i="13"/>
  <c r="R120" i="13" s="1"/>
  <c r="O120" i="13"/>
  <c r="Q120" i="13" s="1"/>
  <c r="N120" i="13"/>
  <c r="K120" i="13"/>
  <c r="P119" i="13"/>
  <c r="R119" i="13" s="1"/>
  <c r="O119" i="13"/>
  <c r="Q119" i="13" s="1"/>
  <c r="N119" i="13"/>
  <c r="K119" i="13"/>
  <c r="P118" i="13"/>
  <c r="R118" i="13" s="1"/>
  <c r="O118" i="13"/>
  <c r="Q118" i="13" s="1"/>
  <c r="N118" i="13"/>
  <c r="K118" i="13"/>
  <c r="P117" i="13"/>
  <c r="R117" i="13" s="1"/>
  <c r="O117" i="13"/>
  <c r="Q117" i="13" s="1"/>
  <c r="N117" i="13"/>
  <c r="K117" i="13"/>
  <c r="P116" i="13"/>
  <c r="R116" i="13" s="1"/>
  <c r="O116" i="13"/>
  <c r="Q116" i="13" s="1"/>
  <c r="N116" i="13"/>
  <c r="K116" i="13"/>
  <c r="P115" i="13"/>
  <c r="R115" i="13" s="1"/>
  <c r="O115" i="13"/>
  <c r="Q115" i="13" s="1"/>
  <c r="N115" i="13"/>
  <c r="K115" i="13"/>
  <c r="P114" i="13"/>
  <c r="R114" i="13" s="1"/>
  <c r="O114" i="13"/>
  <c r="Q114" i="13" s="1"/>
  <c r="N114" i="13"/>
  <c r="K114" i="13"/>
  <c r="P113" i="13"/>
  <c r="R113" i="13" s="1"/>
  <c r="O113" i="13"/>
  <c r="Q113" i="13" s="1"/>
  <c r="N113" i="13"/>
  <c r="K113" i="13"/>
  <c r="P112" i="13"/>
  <c r="R112" i="13" s="1"/>
  <c r="O112" i="13"/>
  <c r="Q112" i="13" s="1"/>
  <c r="N112" i="13"/>
  <c r="K112" i="13"/>
  <c r="P111" i="13"/>
  <c r="R111" i="13" s="1"/>
  <c r="O111" i="13"/>
  <c r="Q111" i="13" s="1"/>
  <c r="N111" i="13"/>
  <c r="K111" i="13"/>
  <c r="P110" i="13"/>
  <c r="R110" i="13" s="1"/>
  <c r="O110" i="13"/>
  <c r="Q110" i="13" s="1"/>
  <c r="N110" i="13"/>
  <c r="K110" i="13"/>
  <c r="P109" i="13"/>
  <c r="R109" i="13" s="1"/>
  <c r="O109" i="13"/>
  <c r="Q109" i="13" s="1"/>
  <c r="N109" i="13"/>
  <c r="K109" i="13"/>
  <c r="P108" i="13"/>
  <c r="R108" i="13" s="1"/>
  <c r="O108" i="13"/>
  <c r="Q108" i="13" s="1"/>
  <c r="N108" i="13"/>
  <c r="K108" i="13"/>
  <c r="P107" i="13"/>
  <c r="R107" i="13" s="1"/>
  <c r="O107" i="13"/>
  <c r="Q107" i="13" s="1"/>
  <c r="N107" i="13"/>
  <c r="K107" i="13"/>
  <c r="P106" i="13"/>
  <c r="R106" i="13" s="1"/>
  <c r="O106" i="13"/>
  <c r="Q106" i="13" s="1"/>
  <c r="N106" i="13"/>
  <c r="K106" i="13"/>
  <c r="R105" i="13"/>
  <c r="P105" i="13"/>
  <c r="O105" i="13"/>
  <c r="Q105" i="13" s="1"/>
  <c r="N105" i="13"/>
  <c r="K105" i="13"/>
  <c r="P104" i="13"/>
  <c r="R104" i="13" s="1"/>
  <c r="O104" i="13"/>
  <c r="Q104" i="13" s="1"/>
  <c r="N104" i="13"/>
  <c r="K104" i="13"/>
  <c r="P103" i="13"/>
  <c r="R103" i="13" s="1"/>
  <c r="O103" i="13"/>
  <c r="Q103" i="13" s="1"/>
  <c r="N103" i="13"/>
  <c r="K103" i="13"/>
  <c r="P102" i="13"/>
  <c r="R102" i="13" s="1"/>
  <c r="O102" i="13"/>
  <c r="Q102" i="13" s="1"/>
  <c r="N102" i="13"/>
  <c r="K102" i="13"/>
  <c r="P101" i="13"/>
  <c r="R101" i="13" s="1"/>
  <c r="O101" i="13"/>
  <c r="Q101" i="13" s="1"/>
  <c r="N101" i="13"/>
  <c r="K101" i="13"/>
  <c r="P100" i="13"/>
  <c r="R100" i="13" s="1"/>
  <c r="O100" i="13"/>
  <c r="Q100" i="13" s="1"/>
  <c r="N100" i="13"/>
  <c r="K100" i="13"/>
  <c r="P99" i="13"/>
  <c r="R99" i="13" s="1"/>
  <c r="O99" i="13"/>
  <c r="Q99" i="13" s="1"/>
  <c r="N99" i="13"/>
  <c r="K99" i="13"/>
  <c r="R98" i="13"/>
  <c r="P98" i="13"/>
  <c r="O98" i="13"/>
  <c r="Q98" i="13" s="1"/>
  <c r="N98" i="13"/>
  <c r="K98" i="13"/>
  <c r="R97" i="13"/>
  <c r="P97" i="13"/>
  <c r="O97" i="13"/>
  <c r="Q97" i="13" s="1"/>
  <c r="N97" i="13"/>
  <c r="K97" i="13"/>
  <c r="P96" i="13"/>
  <c r="R96" i="13" s="1"/>
  <c r="O96" i="13"/>
  <c r="Q96" i="13" s="1"/>
  <c r="N96" i="13"/>
  <c r="K96" i="13"/>
  <c r="P95" i="13"/>
  <c r="R95" i="13" s="1"/>
  <c r="O95" i="13"/>
  <c r="Q95" i="13" s="1"/>
  <c r="N95" i="13"/>
  <c r="K95" i="13"/>
  <c r="P94" i="13"/>
  <c r="R94" i="13" s="1"/>
  <c r="O94" i="13"/>
  <c r="Q94" i="13" s="1"/>
  <c r="N94" i="13"/>
  <c r="K94" i="13"/>
  <c r="P93" i="13"/>
  <c r="R93" i="13" s="1"/>
  <c r="O93" i="13"/>
  <c r="Q93" i="13" s="1"/>
  <c r="N93" i="13"/>
  <c r="K93" i="13"/>
  <c r="P92" i="13"/>
  <c r="R92" i="13" s="1"/>
  <c r="O92" i="13"/>
  <c r="Q92" i="13" s="1"/>
  <c r="N92" i="13"/>
  <c r="K92" i="13"/>
  <c r="P91" i="13"/>
  <c r="R91" i="13" s="1"/>
  <c r="O91" i="13"/>
  <c r="Q91" i="13" s="1"/>
  <c r="N91" i="13"/>
  <c r="K91" i="13"/>
  <c r="R90" i="13"/>
  <c r="P90" i="13"/>
  <c r="O90" i="13"/>
  <c r="Q90" i="13" s="1"/>
  <c r="N90" i="13"/>
  <c r="K90" i="13"/>
  <c r="P89" i="13"/>
  <c r="R89" i="13" s="1"/>
  <c r="O89" i="13"/>
  <c r="Q89" i="13" s="1"/>
  <c r="N89" i="13"/>
  <c r="K89" i="13"/>
  <c r="P88" i="13"/>
  <c r="R88" i="13" s="1"/>
  <c r="O88" i="13"/>
  <c r="Q88" i="13" s="1"/>
  <c r="N88" i="13"/>
  <c r="K88" i="13"/>
  <c r="P87" i="13"/>
  <c r="R87" i="13" s="1"/>
  <c r="O87" i="13"/>
  <c r="Q87" i="13" s="1"/>
  <c r="N87" i="13"/>
  <c r="K87" i="13"/>
  <c r="R86" i="13"/>
  <c r="P86" i="13"/>
  <c r="O86" i="13"/>
  <c r="Q86" i="13" s="1"/>
  <c r="N86" i="13"/>
  <c r="K86" i="13"/>
  <c r="P85" i="13"/>
  <c r="R85" i="13" s="1"/>
  <c r="O85" i="13"/>
  <c r="Q85" i="13" s="1"/>
  <c r="N85" i="13"/>
  <c r="K85" i="13"/>
  <c r="P84" i="13"/>
  <c r="R84" i="13" s="1"/>
  <c r="O84" i="13"/>
  <c r="Q84" i="13" s="1"/>
  <c r="N84" i="13"/>
  <c r="K84" i="13"/>
  <c r="P83" i="13"/>
  <c r="R83" i="13" s="1"/>
  <c r="O83" i="13"/>
  <c r="Q83" i="13" s="1"/>
  <c r="N83" i="13"/>
  <c r="K83" i="13"/>
  <c r="P82" i="13"/>
  <c r="R82" i="13" s="1"/>
  <c r="O82" i="13"/>
  <c r="Q82" i="13" s="1"/>
  <c r="N82" i="13"/>
  <c r="K82" i="13"/>
  <c r="P81" i="13"/>
  <c r="R81" i="13" s="1"/>
  <c r="O81" i="13"/>
  <c r="Q81" i="13" s="1"/>
  <c r="N81" i="13"/>
  <c r="K81" i="13"/>
  <c r="P80" i="13"/>
  <c r="R80" i="13" s="1"/>
  <c r="O80" i="13"/>
  <c r="Q80" i="13" s="1"/>
  <c r="N80" i="13"/>
  <c r="K80" i="13"/>
  <c r="P79" i="13"/>
  <c r="R79" i="13" s="1"/>
  <c r="O79" i="13"/>
  <c r="Q79" i="13" s="1"/>
  <c r="N79" i="13"/>
  <c r="K79" i="13"/>
  <c r="P78" i="13"/>
  <c r="R78" i="13" s="1"/>
  <c r="O78" i="13"/>
  <c r="Q78" i="13" s="1"/>
  <c r="N78" i="13"/>
  <c r="K78" i="13"/>
  <c r="P77" i="13"/>
  <c r="R77" i="13" s="1"/>
  <c r="O77" i="13"/>
  <c r="Q77" i="13" s="1"/>
  <c r="N77" i="13"/>
  <c r="K77" i="13"/>
  <c r="P76" i="13"/>
  <c r="R76" i="13" s="1"/>
  <c r="O76" i="13"/>
  <c r="Q76" i="13" s="1"/>
  <c r="N76" i="13"/>
  <c r="K76" i="13"/>
  <c r="P75" i="13"/>
  <c r="R75" i="13" s="1"/>
  <c r="O75" i="13"/>
  <c r="Q75" i="13" s="1"/>
  <c r="N75" i="13"/>
  <c r="K75" i="13"/>
  <c r="P74" i="13"/>
  <c r="R74" i="13" s="1"/>
  <c r="O74" i="13"/>
  <c r="Q74" i="13" s="1"/>
  <c r="N74" i="13"/>
  <c r="K74" i="13"/>
  <c r="P73" i="13"/>
  <c r="R73" i="13" s="1"/>
  <c r="O73" i="13"/>
  <c r="Q73" i="13" s="1"/>
  <c r="N73" i="13"/>
  <c r="K73" i="13"/>
  <c r="P72" i="13"/>
  <c r="R72" i="13" s="1"/>
  <c r="O72" i="13"/>
  <c r="Q72" i="13" s="1"/>
  <c r="N72" i="13"/>
  <c r="K72" i="13"/>
  <c r="P71" i="13"/>
  <c r="R71" i="13" s="1"/>
  <c r="O71" i="13"/>
  <c r="Q71" i="13" s="1"/>
  <c r="N71" i="13"/>
  <c r="K71" i="13"/>
  <c r="P70" i="13"/>
  <c r="R70" i="13" s="1"/>
  <c r="O70" i="13"/>
  <c r="Q70" i="13" s="1"/>
  <c r="N70" i="13"/>
  <c r="K70" i="13"/>
  <c r="P69" i="13"/>
  <c r="R69" i="13" s="1"/>
  <c r="O69" i="13"/>
  <c r="Q69" i="13" s="1"/>
  <c r="N69" i="13"/>
  <c r="K69" i="13"/>
  <c r="P68" i="13"/>
  <c r="R68" i="13" s="1"/>
  <c r="O68" i="13"/>
  <c r="Q68" i="13" s="1"/>
  <c r="N68" i="13"/>
  <c r="K68" i="13"/>
  <c r="P67" i="13"/>
  <c r="R67" i="13" s="1"/>
  <c r="O67" i="13"/>
  <c r="Q67" i="13" s="1"/>
  <c r="N67" i="13"/>
  <c r="K67" i="13"/>
  <c r="P66" i="13"/>
  <c r="R66" i="13" s="1"/>
  <c r="O66" i="13"/>
  <c r="Q66" i="13" s="1"/>
  <c r="N66" i="13"/>
  <c r="K66" i="13"/>
  <c r="P65" i="13"/>
  <c r="R65" i="13" s="1"/>
  <c r="O65" i="13"/>
  <c r="Q65" i="13" s="1"/>
  <c r="N65" i="13"/>
  <c r="K65" i="13"/>
  <c r="P64" i="13"/>
  <c r="R64" i="13" s="1"/>
  <c r="O64" i="13"/>
  <c r="Q64" i="13" s="1"/>
  <c r="N64" i="13"/>
  <c r="K64" i="13"/>
  <c r="P63" i="13"/>
  <c r="R63" i="13" s="1"/>
  <c r="O63" i="13"/>
  <c r="Q63" i="13" s="1"/>
  <c r="N63" i="13"/>
  <c r="K63" i="13"/>
  <c r="P62" i="13"/>
  <c r="R62" i="13" s="1"/>
  <c r="O62" i="13"/>
  <c r="Q62" i="13" s="1"/>
  <c r="N62" i="13"/>
  <c r="K62" i="13"/>
  <c r="P61" i="13"/>
  <c r="R61" i="13" s="1"/>
  <c r="O61" i="13"/>
  <c r="Q61" i="13" s="1"/>
  <c r="N61" i="13"/>
  <c r="K61" i="13"/>
  <c r="P60" i="13"/>
  <c r="R60" i="13" s="1"/>
  <c r="O60" i="13"/>
  <c r="Q60" i="13" s="1"/>
  <c r="N60" i="13"/>
  <c r="K60" i="13"/>
  <c r="P59" i="13"/>
  <c r="R59" i="13" s="1"/>
  <c r="O59" i="13"/>
  <c r="Q59" i="13" s="1"/>
  <c r="N59" i="13"/>
  <c r="K59" i="13"/>
  <c r="P58" i="13"/>
  <c r="R58" i="13" s="1"/>
  <c r="O58" i="13"/>
  <c r="Q58" i="13" s="1"/>
  <c r="N58" i="13"/>
  <c r="K58" i="13"/>
  <c r="P57" i="13"/>
  <c r="R57" i="13" s="1"/>
  <c r="O57" i="13"/>
  <c r="Q57" i="13" s="1"/>
  <c r="N57" i="13"/>
  <c r="K57" i="13"/>
  <c r="P56" i="13"/>
  <c r="R56" i="13" s="1"/>
  <c r="O56" i="13"/>
  <c r="Q56" i="13" s="1"/>
  <c r="N56" i="13"/>
  <c r="K56" i="13"/>
  <c r="P55" i="13"/>
  <c r="R55" i="13" s="1"/>
  <c r="O55" i="13"/>
  <c r="Q55" i="13" s="1"/>
  <c r="N55" i="13"/>
  <c r="K55" i="13"/>
  <c r="P54" i="13"/>
  <c r="R54" i="13" s="1"/>
  <c r="O54" i="13"/>
  <c r="Q54" i="13" s="1"/>
  <c r="N54" i="13"/>
  <c r="K54" i="13"/>
  <c r="P53" i="13"/>
  <c r="R53" i="13" s="1"/>
  <c r="O53" i="13"/>
  <c r="Q53" i="13" s="1"/>
  <c r="N53" i="13"/>
  <c r="K53" i="13"/>
  <c r="P52" i="13"/>
  <c r="R52" i="13" s="1"/>
  <c r="O52" i="13"/>
  <c r="Q52" i="13" s="1"/>
  <c r="N52" i="13"/>
  <c r="K52" i="13"/>
  <c r="P51" i="13"/>
  <c r="R51" i="13" s="1"/>
  <c r="O51" i="13"/>
  <c r="Q51" i="13" s="1"/>
  <c r="N51" i="13"/>
  <c r="K51" i="13"/>
  <c r="P50" i="13"/>
  <c r="R50" i="13" s="1"/>
  <c r="O50" i="13"/>
  <c r="Q50" i="13" s="1"/>
  <c r="N50" i="13"/>
  <c r="K50" i="13"/>
  <c r="P49" i="13"/>
  <c r="R49" i="13" s="1"/>
  <c r="O49" i="13"/>
  <c r="Q49" i="13" s="1"/>
  <c r="N49" i="13"/>
  <c r="K49" i="13"/>
  <c r="P48" i="13"/>
  <c r="R48" i="13" s="1"/>
  <c r="O48" i="13"/>
  <c r="Q48" i="13" s="1"/>
  <c r="N48" i="13"/>
  <c r="K48" i="13"/>
  <c r="P47" i="13"/>
  <c r="R47" i="13" s="1"/>
  <c r="O47" i="13"/>
  <c r="Q47" i="13" s="1"/>
  <c r="N47" i="13"/>
  <c r="K47" i="13"/>
  <c r="P46" i="13"/>
  <c r="R46" i="13" s="1"/>
  <c r="O46" i="13"/>
  <c r="Q46" i="13" s="1"/>
  <c r="N46" i="13"/>
  <c r="K46" i="13"/>
  <c r="P45" i="13"/>
  <c r="R45" i="13" s="1"/>
  <c r="O45" i="13"/>
  <c r="Q45" i="13" s="1"/>
  <c r="N45" i="13"/>
  <c r="K45" i="13"/>
  <c r="P44" i="13"/>
  <c r="R44" i="13" s="1"/>
  <c r="O44" i="13"/>
  <c r="Q44" i="13" s="1"/>
  <c r="N44" i="13"/>
  <c r="K44" i="13"/>
  <c r="P43" i="13"/>
  <c r="R43" i="13" s="1"/>
  <c r="O43" i="13"/>
  <c r="Q43" i="13" s="1"/>
  <c r="N43" i="13"/>
  <c r="K43" i="13"/>
  <c r="P42" i="13"/>
  <c r="R42" i="13" s="1"/>
  <c r="O42" i="13"/>
  <c r="Q42" i="13" s="1"/>
  <c r="N42" i="13"/>
  <c r="K42" i="13"/>
  <c r="P41" i="13"/>
  <c r="R41" i="13" s="1"/>
  <c r="O41" i="13"/>
  <c r="Q41" i="13" s="1"/>
  <c r="N41" i="13"/>
  <c r="K41" i="13"/>
  <c r="P40" i="13"/>
  <c r="R40" i="13" s="1"/>
  <c r="O40" i="13"/>
  <c r="Q40" i="13" s="1"/>
  <c r="N40" i="13"/>
  <c r="K40" i="13"/>
  <c r="P39" i="13"/>
  <c r="R39" i="13" s="1"/>
  <c r="O39" i="13"/>
  <c r="Q39" i="13" s="1"/>
  <c r="N39" i="13"/>
  <c r="K39" i="13"/>
  <c r="P38" i="13"/>
  <c r="R38" i="13" s="1"/>
  <c r="O38" i="13"/>
  <c r="Q38" i="13" s="1"/>
  <c r="N38" i="13"/>
  <c r="K38" i="13"/>
  <c r="P37" i="13"/>
  <c r="R37" i="13" s="1"/>
  <c r="O37" i="13"/>
  <c r="Q37" i="13" s="1"/>
  <c r="N37" i="13"/>
  <c r="K37" i="13"/>
  <c r="P36" i="13"/>
  <c r="R36" i="13" s="1"/>
  <c r="O36" i="13"/>
  <c r="Q36" i="13" s="1"/>
  <c r="N36" i="13"/>
  <c r="K36" i="13"/>
  <c r="P35" i="13"/>
  <c r="R35" i="13" s="1"/>
  <c r="O35" i="13"/>
  <c r="Q35" i="13" s="1"/>
  <c r="N35" i="13"/>
  <c r="K35" i="13"/>
  <c r="P34" i="13"/>
  <c r="O34" i="13"/>
  <c r="N34" i="13"/>
  <c r="K34" i="13"/>
  <c r="P33" i="13"/>
  <c r="R33" i="13" s="1"/>
  <c r="O33" i="13"/>
  <c r="Q33" i="13" s="1"/>
  <c r="N33" i="13"/>
  <c r="K33" i="13"/>
  <c r="P32" i="13"/>
  <c r="R32" i="13" s="1"/>
  <c r="O32" i="13"/>
  <c r="Q32" i="13" s="1"/>
  <c r="N32" i="13"/>
  <c r="K32" i="13"/>
  <c r="P31" i="13"/>
  <c r="R31" i="13" s="1"/>
  <c r="O31" i="13"/>
  <c r="Q31" i="13" s="1"/>
  <c r="N31" i="13"/>
  <c r="K31" i="13"/>
  <c r="P30" i="13"/>
  <c r="R30" i="13" s="1"/>
  <c r="O30" i="13"/>
  <c r="Q30" i="13" s="1"/>
  <c r="N30" i="13"/>
  <c r="K30" i="13"/>
  <c r="P29" i="13"/>
  <c r="R29" i="13" s="1"/>
  <c r="O29" i="13"/>
  <c r="Q29" i="13" s="1"/>
  <c r="N29" i="13"/>
  <c r="K29" i="13"/>
  <c r="P28" i="13"/>
  <c r="R28" i="13" s="1"/>
  <c r="O28" i="13"/>
  <c r="Q28" i="13" s="1"/>
  <c r="N28" i="13"/>
  <c r="K28" i="13"/>
  <c r="P27" i="13"/>
  <c r="R27" i="13" s="1"/>
  <c r="O27" i="13"/>
  <c r="Q27" i="13" s="1"/>
  <c r="N27" i="13"/>
  <c r="K27" i="13"/>
  <c r="P26" i="13"/>
  <c r="R26" i="13" s="1"/>
  <c r="O26" i="13"/>
  <c r="Q26" i="13" s="1"/>
  <c r="N26" i="13"/>
  <c r="K26" i="13"/>
  <c r="P25" i="13"/>
  <c r="R25" i="13" s="1"/>
  <c r="O25" i="13"/>
  <c r="Q25" i="13" s="1"/>
  <c r="N25" i="13"/>
  <c r="K25" i="13"/>
  <c r="P24" i="13"/>
  <c r="R24" i="13" s="1"/>
  <c r="O24" i="13"/>
  <c r="Q24" i="13" s="1"/>
  <c r="N24" i="13"/>
  <c r="K24" i="13"/>
  <c r="P23" i="13"/>
  <c r="R23" i="13" s="1"/>
  <c r="O23" i="13"/>
  <c r="Q23" i="13" s="1"/>
  <c r="N23" i="13"/>
  <c r="K23" i="13"/>
  <c r="P22" i="13"/>
  <c r="R22" i="13" s="1"/>
  <c r="O22" i="13"/>
  <c r="Q22" i="13" s="1"/>
  <c r="N22" i="13"/>
  <c r="K22" i="13"/>
  <c r="P21" i="13"/>
  <c r="R21" i="13" s="1"/>
  <c r="O21" i="13"/>
  <c r="Q21" i="13" s="1"/>
  <c r="N21" i="13"/>
  <c r="K21" i="13"/>
  <c r="P20" i="13"/>
  <c r="R20" i="13" s="1"/>
  <c r="O20" i="13"/>
  <c r="Q20" i="13" s="1"/>
  <c r="N20" i="13"/>
  <c r="K20" i="13"/>
  <c r="P19" i="13"/>
  <c r="R19" i="13" s="1"/>
  <c r="O19" i="13"/>
  <c r="Q19" i="13" s="1"/>
  <c r="N19" i="13"/>
  <c r="K19" i="13"/>
  <c r="P18" i="13"/>
  <c r="R18" i="13" s="1"/>
  <c r="O18" i="13"/>
  <c r="Q18" i="13" s="1"/>
  <c r="N18" i="13"/>
  <c r="K18" i="13"/>
  <c r="R17" i="13"/>
  <c r="P17" i="13"/>
  <c r="O17" i="13"/>
  <c r="Q17" i="13" s="1"/>
  <c r="N17" i="13"/>
  <c r="K17" i="13"/>
  <c r="R16" i="13"/>
  <c r="P16" i="13"/>
  <c r="O16" i="13"/>
  <c r="Q16" i="13" s="1"/>
  <c r="N16" i="13"/>
  <c r="K16" i="13"/>
  <c r="R15" i="13"/>
  <c r="P15" i="13"/>
  <c r="O15" i="13"/>
  <c r="Q15" i="13" s="1"/>
  <c r="N15" i="13"/>
  <c r="K15" i="13"/>
  <c r="R14" i="13"/>
  <c r="P14" i="13"/>
  <c r="O14" i="13"/>
  <c r="Q14" i="13" s="1"/>
  <c r="N14" i="13"/>
  <c r="K14" i="13"/>
  <c r="R13" i="13"/>
  <c r="P13" i="13"/>
  <c r="O13" i="13"/>
  <c r="Q13" i="13" s="1"/>
  <c r="N13" i="13"/>
  <c r="K13" i="13"/>
  <c r="P12" i="13"/>
  <c r="R12" i="13" s="1"/>
  <c r="O12" i="13"/>
  <c r="Q12" i="13" s="1"/>
  <c r="N12" i="13"/>
  <c r="K12" i="13"/>
  <c r="P11" i="13"/>
  <c r="R11" i="13" s="1"/>
  <c r="O11" i="13"/>
  <c r="Q11" i="13" s="1"/>
  <c r="N11" i="13"/>
  <c r="K11" i="13"/>
  <c r="R10" i="13"/>
  <c r="P10" i="13"/>
  <c r="O10" i="13"/>
  <c r="Q10" i="13" s="1"/>
  <c r="N10" i="13"/>
  <c r="K10" i="13"/>
  <c r="R9" i="13"/>
  <c r="P9" i="13"/>
  <c r="O9" i="13"/>
  <c r="Q9" i="13" s="1"/>
  <c r="N9" i="13"/>
  <c r="K9" i="13"/>
  <c r="P8" i="13"/>
  <c r="R8" i="13" s="1"/>
  <c r="O8" i="13"/>
  <c r="Q8" i="13" s="1"/>
  <c r="N8" i="13"/>
  <c r="K8" i="13"/>
  <c r="P7" i="13"/>
  <c r="R7" i="13" s="1"/>
  <c r="O7" i="13"/>
  <c r="Q7" i="13" s="1"/>
  <c r="N7" i="13"/>
  <c r="K7" i="13"/>
  <c r="R6" i="13"/>
  <c r="P6" i="13"/>
  <c r="O6" i="13"/>
  <c r="Q6" i="13" s="1"/>
  <c r="N6" i="13"/>
  <c r="K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F3FDA5C5-BE57-224B-84AF-AB6F6E5927E7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B9AB529-7325-E840-AB0B-D63273E4F2E6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EC658ED5-35A9-CC40-9927-E9E3755DFBE1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<sst xmlns="http://schemas.openxmlformats.org/spreadsheetml/2006/main" count="1295" uniqueCount="371">
  <si>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</si>
  <si>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</si>
  <si>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</si>
  <si>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</si>
  <si>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</si>
  <si>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</si>
  <si>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</si>
  <si>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</si>
  <si>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</si>
  <si>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</si>
  <si>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</si>
  <si>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</si>
  <si>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</si>
  <si>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</si>
  <si>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</si>
  <si>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</si>
  <si>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</si>
  <si>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</si>
  <si>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</si>
  <si>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</si>
  <si>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</si>
  <si>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</si>
  <si>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</si>
  <si>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</si>
  <si>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</si>
  <si>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</si>
  <si>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</si>
  <si>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</si>
  <si>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</si>
  <si>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</si>
  <si>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</si>
  <si>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</si>
  <si>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</si>
  <si>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</si>
  <si>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</si>
  <si>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</si>
  <si>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</si>
  <si>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</si>
  <si>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</si>
  <si>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</si>
  <si>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</si>
  <si>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</si>
  <si>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</si>
  <si>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</si>
  <si>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</si>
  <si>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</si>
  <si>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</si>
  <si>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</si>
  <si>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</si>
  <si>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</si>
  <si>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</si>
  <si>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</si>
  <si>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</si>
  <si>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</si>
  <si>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</si>
  <si>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</si>
  <si>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</si>
  <si>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</si>
  <si>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</si>
  <si>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</si>
  <si>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</si>
  <si>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</si>
  <si>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</si>
  <si>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</si>
  <si>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</si>
  <si>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</si>
  <si>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</si>
  <si>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</si>
  <si>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</si>
  <si>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</si>
  <si>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</si>
  <si>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</si>
  <si>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</si>
  <si>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</si>
  <si>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</si>
  <si>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</si>
  <si>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</si>
  <si>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</si>
  <si>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</si>
  <si>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</si>
  <si>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</si>
  <si>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</si>
  <si>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</si>
  <si>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</si>
  <si>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</si>
  <si>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</si>
  <si>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X</t>
  </si>
  <si>
    <t>Y</t>
  </si>
  <si>
    <t>Z</t>
  </si>
  <si>
    <t>AC</t>
  </si>
  <si>
    <t>AN</t>
  </si>
  <si>
    <t>AE</t>
  </si>
  <si>
    <t>AD</t>
  </si>
  <si>
    <t>AG</t>
  </si>
  <si>
    <t>AH</t>
  </si>
  <si>
    <t>AI</t>
  </si>
  <si>
    <t>AL</t>
  </si>
  <si>
    <t>AM</t>
  </si>
  <si>
    <t>Memphis-Project</t>
    <phoneticPr fontId="10" type="noConversion"/>
  </si>
  <si>
    <t>3-1</t>
  </si>
  <si>
    <t>3-2</t>
  </si>
  <si>
    <t>8-1</t>
  </si>
  <si>
    <t>8-2</t>
  </si>
  <si>
    <t>27-1</t>
  </si>
  <si>
    <t>27-2</t>
  </si>
  <si>
    <t>32-1</t>
  </si>
  <si>
    <t>32-2</t>
  </si>
  <si>
    <t>37-1</t>
  </si>
  <si>
    <t>37-2</t>
  </si>
  <si>
    <t>65-1</t>
  </si>
  <si>
    <t>65-2</t>
  </si>
  <si>
    <t>72-1</t>
  </si>
  <si>
    <t>72-2</t>
  </si>
  <si>
    <t>73-1</t>
  </si>
  <si>
    <t>73-2</t>
  </si>
  <si>
    <t>6-1</t>
  </si>
  <si>
    <t>6-2</t>
  </si>
  <si>
    <t>8-3</t>
  </si>
  <si>
    <t>14_1</t>
  </si>
  <si>
    <t>14_2</t>
  </si>
  <si>
    <t>17-1</t>
  </si>
  <si>
    <t>17-2</t>
  </si>
  <si>
    <t>17-3</t>
  </si>
  <si>
    <t>20-1</t>
  </si>
  <si>
    <t>20-2</t>
  </si>
  <si>
    <t>20-3</t>
  </si>
  <si>
    <t>22-1</t>
  </si>
  <si>
    <t>22-2</t>
  </si>
  <si>
    <t>23-1</t>
  </si>
  <si>
    <t>23-2</t>
  </si>
  <si>
    <t>28-1</t>
  </si>
  <si>
    <t>28-2</t>
  </si>
  <si>
    <t>33-1</t>
  </si>
  <si>
    <t>33-2</t>
  </si>
  <si>
    <t>35-1</t>
  </si>
  <si>
    <t>35-2</t>
  </si>
  <si>
    <t>37-3</t>
  </si>
  <si>
    <t>38-1</t>
  </si>
  <si>
    <t>38-2</t>
  </si>
  <si>
    <t>39-1</t>
  </si>
  <si>
    <t>39-2</t>
  </si>
  <si>
    <t>40-1</t>
  </si>
  <si>
    <t>40-2</t>
  </si>
  <si>
    <t>40-3</t>
  </si>
  <si>
    <t>41-1</t>
  </si>
  <si>
    <t>41-2</t>
  </si>
  <si>
    <t>41-3</t>
  </si>
  <si>
    <t>41-4</t>
  </si>
  <si>
    <t>42-1</t>
  </si>
  <si>
    <t>42-2</t>
  </si>
  <si>
    <t>42-3</t>
  </si>
  <si>
    <t>44-1</t>
  </si>
  <si>
    <t>44-2</t>
  </si>
  <si>
    <t>44-3</t>
  </si>
  <si>
    <t>44-4</t>
  </si>
  <si>
    <t>45-1</t>
  </si>
  <si>
    <t>45-2</t>
  </si>
  <si>
    <t>45-3</t>
  </si>
  <si>
    <t>46-1</t>
  </si>
  <si>
    <t>46-2</t>
  </si>
  <si>
    <t>61-1</t>
  </si>
  <si>
    <t>61-2</t>
  </si>
  <si>
    <t>61-3</t>
  </si>
  <si>
    <t>64-1</t>
  </si>
  <si>
    <t>64-2</t>
  </si>
  <si>
    <t>64-3</t>
  </si>
  <si>
    <t>65-3</t>
  </si>
  <si>
    <t>66</t>
  </si>
  <si>
    <t>67</t>
  </si>
  <si>
    <t>68-1</t>
  </si>
  <si>
    <t>68-2</t>
  </si>
  <si>
    <t>68-3</t>
  </si>
  <si>
    <t>69-1</t>
  </si>
  <si>
    <t>69-2</t>
  </si>
  <si>
    <t>69-3</t>
  </si>
  <si>
    <t>70</t>
  </si>
  <si>
    <t>71-1</t>
  </si>
  <si>
    <t>71-2</t>
  </si>
  <si>
    <t>74-1</t>
  </si>
  <si>
    <t>74-2</t>
  </si>
  <si>
    <t>75-1</t>
  </si>
  <si>
    <t>75-2</t>
  </si>
  <si>
    <t>77</t>
  </si>
  <si>
    <t>82-1</t>
  </si>
  <si>
    <t>82-2</t>
  </si>
  <si>
    <t>82-3</t>
  </si>
  <si>
    <t>82-4</t>
  </si>
  <si>
    <t>82-5</t>
  </si>
  <si>
    <t>82-6</t>
  </si>
  <si>
    <t>86</t>
  </si>
  <si>
    <t>87-1</t>
  </si>
  <si>
    <t>87-2</t>
  </si>
  <si>
    <t>87-3</t>
  </si>
  <si>
    <t>88-1</t>
  </si>
  <si>
    <t>88-2</t>
  </si>
  <si>
    <t>94-1</t>
  </si>
  <si>
    <t>94-2</t>
  </si>
  <si>
    <t>94-3</t>
  </si>
  <si>
    <t>94-4</t>
  </si>
  <si>
    <t>94-5</t>
  </si>
  <si>
    <t>94-6</t>
  </si>
  <si>
    <t>101-1</t>
  </si>
  <si>
    <t>101-2</t>
  </si>
  <si>
    <t>101-3</t>
  </si>
  <si>
    <t>107-1</t>
  </si>
  <si>
    <t>107-2</t>
  </si>
  <si>
    <t>107-3</t>
  </si>
  <si>
    <t>108-1</t>
  </si>
  <si>
    <t>108-2</t>
  </si>
  <si>
    <t>109-1</t>
  </si>
  <si>
    <t>109-2</t>
  </si>
  <si>
    <t>110-1</t>
  </si>
  <si>
    <t>110-2</t>
  </si>
  <si>
    <t>112-1</t>
  </si>
  <si>
    <t>112-2</t>
  </si>
  <si>
    <t>118</t>
  </si>
  <si>
    <t>127-1</t>
  </si>
  <si>
    <t>127-2</t>
  </si>
  <si>
    <t>128-1</t>
  </si>
  <si>
    <t>128-2</t>
  </si>
  <si>
    <t>129-1</t>
  </si>
  <si>
    <t>129-2</t>
  </si>
  <si>
    <t>130-1</t>
  </si>
  <si>
    <t>130-2</t>
  </si>
  <si>
    <t>145-1</t>
  </si>
  <si>
    <t>145-2</t>
  </si>
  <si>
    <t>145-3</t>
  </si>
  <si>
    <t>Straightness</t>
  </si>
  <si>
    <t>Diameter</t>
  </si>
  <si>
    <t>True position</t>
  </si>
  <si>
    <t>Line profile</t>
  </si>
  <si>
    <t>CMM</t>
  </si>
  <si>
    <t>A</t>
  </si>
  <si>
    <t>U</t>
  </si>
  <si>
    <t>T</t>
  </si>
  <si>
    <t>W</t>
  </si>
  <si>
    <t>AK</t>
  </si>
  <si>
    <t>AJ</t>
  </si>
  <si>
    <t>AS</t>
  </si>
  <si>
    <t>AT</t>
  </si>
  <si>
    <t>AU</t>
  </si>
  <si>
    <t>V</t>
  </si>
  <si>
    <t>AP</t>
  </si>
  <si>
    <t>AQ</t>
  </si>
  <si>
    <t>AV</t>
  </si>
  <si>
    <t>AW</t>
  </si>
  <si>
    <t>AZ</t>
  </si>
  <si>
    <t>BA</t>
  </si>
  <si>
    <t>BB</t>
  </si>
  <si>
    <t>BC</t>
  </si>
  <si>
    <t>BE</t>
  </si>
  <si>
    <t>BF</t>
  </si>
  <si>
    <t>BG</t>
  </si>
  <si>
    <t>BH</t>
  </si>
  <si>
    <t>BI</t>
  </si>
  <si>
    <t>BK</t>
  </si>
  <si>
    <t>BL</t>
  </si>
  <si>
    <t>BS</t>
  </si>
  <si>
    <t>BT</t>
  </si>
  <si>
    <t>22-3</t>
  </si>
  <si>
    <t>22-4</t>
  </si>
  <si>
    <t>22-5</t>
  </si>
  <si>
    <t>78-2</t>
    <phoneticPr fontId="10" type="noConversion"/>
  </si>
  <si>
    <t>78-1</t>
    <phoneticPr fontId="10" type="noConversion"/>
  </si>
  <si>
    <t>89-1</t>
    <phoneticPr fontId="10" type="noConversion"/>
  </si>
  <si>
    <t>89-2</t>
    <phoneticPr fontId="10" type="noConversion"/>
  </si>
  <si>
    <t>94-7</t>
  </si>
  <si>
    <t>94-8</t>
  </si>
  <si>
    <t>94-9</t>
  </si>
  <si>
    <t>94-10</t>
  </si>
  <si>
    <t>94-11</t>
  </si>
  <si>
    <t>94-12</t>
  </si>
  <si>
    <t>94-13</t>
  </si>
  <si>
    <t>94-14</t>
  </si>
  <si>
    <t>94-15</t>
  </si>
  <si>
    <t>94-16</t>
  </si>
  <si>
    <t>94-17</t>
  </si>
  <si>
    <t>94-18</t>
  </si>
  <si>
    <t>94-19</t>
  </si>
  <si>
    <t>94-20</t>
  </si>
  <si>
    <t>94-21</t>
  </si>
  <si>
    <t>101-4</t>
    <phoneticPr fontId="10" type="noConversion"/>
  </si>
  <si>
    <t>105-1</t>
    <phoneticPr fontId="10" type="noConversion"/>
  </si>
  <si>
    <t>105-2</t>
  </si>
  <si>
    <t>105-3</t>
  </si>
  <si>
    <t>106-1</t>
    <phoneticPr fontId="10" type="noConversion"/>
  </si>
  <si>
    <t>106-2</t>
  </si>
  <si>
    <t>106-3</t>
  </si>
  <si>
    <t>138-1</t>
    <phoneticPr fontId="10" type="noConversion"/>
  </si>
  <si>
    <t>138-2</t>
  </si>
  <si>
    <t>138-3</t>
  </si>
  <si>
    <t>146-1</t>
    <phoneticPr fontId="10" type="noConversion"/>
  </si>
  <si>
    <t>146-2</t>
  </si>
  <si>
    <t>146-3</t>
  </si>
  <si>
    <t>Profile of a Surface</t>
  </si>
  <si>
    <t>149-1</t>
    <phoneticPr fontId="10" type="noConversion"/>
  </si>
  <si>
    <t>149-2</t>
  </si>
  <si>
    <t>Verticality</t>
  </si>
  <si>
    <t>136-1(l1)</t>
    <phoneticPr fontId="10" type="noConversion"/>
  </si>
  <si>
    <t>136-2(l1)</t>
    <phoneticPr fontId="10" type="noConversion"/>
  </si>
  <si>
    <t>136-3(l1)</t>
    <phoneticPr fontId="10" type="noConversion"/>
  </si>
  <si>
    <t>F</t>
  </si>
  <si>
    <t>AF</t>
  </si>
  <si>
    <t>BD</t>
  </si>
  <si>
    <t>E-1</t>
  </si>
  <si>
    <t>E-2</t>
  </si>
  <si>
    <t>E-3</t>
  </si>
  <si>
    <t>44-5</t>
  </si>
  <si>
    <t>146-1</t>
  </si>
  <si>
    <t>BU</t>
  </si>
  <si>
    <t>BV</t>
  </si>
  <si>
    <t>BW</t>
  </si>
  <si>
    <t>BX</t>
  </si>
  <si>
    <t>BY</t>
  </si>
  <si>
    <t>CA</t>
  </si>
  <si>
    <t>CB</t>
  </si>
  <si>
    <t>BZ</t>
  </si>
  <si>
    <t>21-1 (P73)</t>
  </si>
  <si>
    <t>21-2 (P52)</t>
    <phoneticPr fontId="10" type="noConversion"/>
  </si>
  <si>
    <t>21-3 (P36)</t>
    <phoneticPr fontId="10" type="noConversion"/>
  </si>
  <si>
    <t>21-4 (P21)</t>
    <phoneticPr fontId="10" type="noConversion"/>
  </si>
  <si>
    <t>21-5 (P2)</t>
    <phoneticPr fontId="10" type="noConversion"/>
  </si>
  <si>
    <t>21-6 (P1)</t>
    <phoneticPr fontId="10" type="noConversion"/>
  </si>
  <si>
    <t>44-6</t>
  </si>
  <si>
    <t>25-A</t>
    <phoneticPr fontId="10" type="noConversion"/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</si>
  <si>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</si>
  <si>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</si>
  <si>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</si>
  <si>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</si>
  <si>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</si>
  <si>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</si>
  <si>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</si>
  <si>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</si>
  <si>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</si>
  <si>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817-11868</t>
    <phoneticPr fontId="10" type="noConversion"/>
  </si>
  <si>
    <t>817-11868</t>
  </si>
  <si>
    <t>PCS</t>
    <phoneticPr fontId="57" type="noConversion"/>
  </si>
  <si>
    <t>MP</t>
    <phoneticPr fontId="10" type="noConversion"/>
  </si>
  <si>
    <t>AB</t>
    <phoneticPr fontId="10" type="noConversion"/>
  </si>
  <si>
    <t>21-P73</t>
  </si>
  <si>
    <t>21-P52</t>
  </si>
  <si>
    <t>21-P36</t>
  </si>
  <si>
    <t>21-P21</t>
  </si>
  <si>
    <t>21-P2</t>
  </si>
  <si>
    <t>21-P1</t>
  </si>
  <si>
    <t>22-S1</t>
  </si>
  <si>
    <t>22-S2</t>
  </si>
  <si>
    <t>22-S3</t>
  </si>
  <si>
    <t>22-S4</t>
  </si>
  <si>
    <t>22-S5</t>
  </si>
  <si>
    <t>23-S6</t>
  </si>
  <si>
    <t>23-S7</t>
  </si>
  <si>
    <t>CC</t>
  </si>
  <si>
    <t>CD</t>
  </si>
  <si>
    <t>20250603-50-B</t>
  </si>
  <si>
    <t>111</t>
  </si>
  <si>
    <t>112-V1</t>
  </si>
  <si>
    <t>113-V1</t>
  </si>
  <si>
    <t>114-V1</t>
  </si>
  <si>
    <t>115-V1</t>
  </si>
  <si>
    <t>116-V1</t>
  </si>
  <si>
    <t>117-V1</t>
  </si>
  <si>
    <t>112-V2</t>
  </si>
  <si>
    <t>113-V2</t>
  </si>
  <si>
    <t xml:space="preserve"> 114-V2</t>
  </si>
  <si>
    <t>115-V2</t>
  </si>
  <si>
    <t>116-V2</t>
  </si>
  <si>
    <t>117-V2</t>
  </si>
  <si>
    <t>Annealing Date</t>
    <phoneticPr fontId="10" type="noConversion"/>
  </si>
  <si>
    <t>4420IB0040/320/DP260252090D3BBM</t>
  </si>
  <si>
    <t>MCO Rev.7 / MSoP Rev.1 /
PGM Rev.1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</si>
</sst>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51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39" fillId="0" borderId="1" xfId="0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39" fillId="0" borderId="28" xfId="48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0" fontId="55" fillId="0" borderId="21" xfId="0" applyFont="1" applyBorder="1" applyAlignment="1" applyProtection="1">
      <alignment horizontal="center"/>
      <protection locked="0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2" fontId="12" fillId="0" borderId="27" xfId="0" applyNumberFormat="1" applyFont="1" applyBorder="1" applyAlignment="1">
      <alignment horizontal="center" vertical="center" wrapText="1"/>
    </xf>
    <xf numFmtId="0" fontId="12" fillId="0" borderId="28" xfId="4" applyNumberFormat="1" applyFont="1" applyBorder="1" applyAlignment="1">
      <alignment horizontal="center" vertical="center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4" fontId="56" fillId="4" borderId="29" xfId="388" applyNumberFormat="1" applyFont="1" applyFill="1" applyBorder="1" applyAlignment="1">
      <alignment horizontal="center" vertical="center"/>
    </xf>
    <xf numFmtId="49" fontId="56" fillId="4" borderId="29" xfId="388" applyNumberFormat="1" applyFont="1" applyFill="1" applyBorder="1" applyAlignment="1">
      <alignment horizontal="center" vertical="center"/>
    </xf>
    <xf numFmtId="0" fontId="56" fillId="0" borderId="29" xfId="388" applyFont="1" applyBorder="1" applyAlignment="1">
      <alignment horizontal="center" vertical="center"/>
    </xf>
    <xf numFmtId="183" fontId="56" fillId="4" borderId="29" xfId="388" applyNumberFormat="1" applyFont="1" applyFill="1" applyBorder="1" applyAlignment="1">
      <alignment horizontal="center" vertical="center"/>
    </xf>
    <xf numFmtId="0" fontId="56" fillId="4" borderId="29" xfId="388" applyFont="1" applyFill="1" applyBorder="1" applyAlignment="1">
      <alignment horizontal="center" vertical="center"/>
    </xf>
    <xf numFmtId="183" fontId="56" fillId="0" borderId="29" xfId="388" applyNumberFormat="1" applyFont="1" applyBorder="1" applyAlignment="1">
      <alignment horizontal="center" vertical="center"/>
    </xf>
    <xf numFmtId="0" fontId="12" fillId="0" borderId="29" xfId="0" applyFont="1" applyBorder="1" applyAlignment="1" applyProtection="1">
      <alignment horizontal="center" vertical="center"/>
      <protection locked="0"/>
    </xf>
    <xf numFmtId="181" fontId="12" fillId="0" borderId="29" xfId="364" applyNumberFormat="1" applyFont="1" applyBorder="1" applyAlignment="1" applyProtection="1">
      <alignment horizontal="center" vertical="center"/>
      <protection locked="0"/>
    </xf>
    <xf numFmtId="181" fontId="12" fillId="0" borderId="29" xfId="692" applyNumberFormat="1" applyFont="1" applyBorder="1" applyAlignment="1" applyProtection="1">
      <alignment horizontal="center" vertical="center" wrapText="1"/>
      <protection locked="0"/>
    </xf>
    <xf numFmtId="49" fontId="12" fillId="0" borderId="29" xfId="692" applyNumberFormat="1" applyFont="1" applyBorder="1" applyAlignment="1" applyProtection="1">
      <alignment horizontal="center" vertical="center" wrapText="1"/>
      <protection locked="0"/>
    </xf>
    <xf numFmtId="182" fontId="12" fillId="0" borderId="28" xfId="691" applyNumberFormat="1" applyFont="1" applyBorder="1" applyAlignment="1">
      <alignment horizontal="center" vertical="center"/>
    </xf>
    <xf numFmtId="49" fontId="56" fillId="4" borderId="29" xfId="388" applyNumberFormat="1" applyFont="1" applyFill="1" applyBorder="1">
      <alignment vertical="center"/>
    </xf>
    <xf numFmtId="183" fontId="56" fillId="4" borderId="29" xfId="388" applyNumberFormat="1" applyFont="1" applyFill="1" applyBorder="1">
      <alignment vertical="center"/>
    </xf>
    <xf numFmtId="181" fontId="12" fillId="0" borderId="29" xfId="48" applyNumberFormat="1" applyFont="1" applyBorder="1" applyAlignment="1">
      <alignment horizontal="center" vertical="center"/>
    </xf>
    <xf numFmtId="10" fontId="12" fillId="0" borderId="29" xfId="48" applyNumberFormat="1" applyFont="1" applyBorder="1" applyAlignment="1">
      <alignment horizontal="center" vertical="center"/>
    </xf>
    <xf numFmtId="181" fontId="12" fillId="0" borderId="29" xfId="692" applyNumberFormat="1" applyFont="1" applyBorder="1" applyAlignment="1" applyProtection="1">
      <alignment horizontal="center" vertical="center"/>
      <protection locked="0"/>
    </xf>
    <xf numFmtId="182" fontId="12" fillId="0" borderId="29" xfId="691" applyNumberFormat="1" applyFont="1" applyBorder="1" applyAlignment="1">
      <alignment horizontal="center" vertical="center"/>
    </xf>
    <xf numFmtId="0" fontId="58" fillId="0" borderId="0" xfId="0" applyFont="1" applyAlignment="1" applyProtection="1">
      <alignment vertical="center"/>
      <protection locked="0"/>
    </xf>
    <xf numFmtId="0" fontId="58" fillId="0" borderId="0" xfId="0" applyFont="1" applyAlignment="1" applyProtection="1">
      <alignment horizontal="center" vertical="center"/>
      <protection locked="0"/>
    </xf>
    <xf numFmtId="0" fontId="59" fillId="0" borderId="0" xfId="0" applyFont="1" applyAlignment="1">
      <alignment vertical="center"/>
    </xf>
    <xf numFmtId="0" fontId="60" fillId="0" borderId="29" xfId="692" applyFont="1" applyBorder="1" applyAlignment="1" applyProtection="1">
      <alignment horizontal="center" vertical="center"/>
      <protection locked="0"/>
    </xf>
    <xf numFmtId="0" fontId="61" fillId="0" borderId="29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9" fillId="0" borderId="1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80" fontId="39" fillId="0" borderId="1" xfId="0" applyNumberFormat="1" applyFont="1" applyBorder="1" applyAlignment="1">
      <alignment horizontal="center" vertical="center"/>
    </xf>
    <xf numFmtId="0" fontId="39" fillId="0" borderId="1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181" fontId="12" fillId="0" borderId="29" xfId="0" applyNumberFormat="1" applyFont="1" applyBorder="1" applyAlignment="1" applyProtection="1">
      <alignment horizontal="center" vertical="center"/>
      <protection locked="0"/>
    </xf>
  </cellXfs>
  <cellStyles count="694">
    <cellStyle name="___CPK__" xfId="52" xr:uid="{66B5D527-70B2-400F-8B63-DFBD3372561C}"/>
    <cellStyle name="20% - 강조색1" xfId="25" builtinId="3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" xfId="29" builtinId="34" customBuiltin="1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" xfId="33" builtinId="38" customBuiltin="1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" xfId="37" builtinId="42" customBuiltin="1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" xfId="41" builtinId="46" customBuiltin="1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" xfId="45" builtinId="50" customBuiltin="1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강조색1" xfId="26" builtinId="3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" xfId="30" builtinId="35" customBuiltin="1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" xfId="34" builtinId="39" customBuiltin="1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" xfId="38" builtinId="43" customBuiltin="1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" xfId="42" builtinId="47" customBuiltin="1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" xfId="46" builtinId="51" customBuiltin="1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강조색1" xfId="27" builtinId="3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" xfId="31" builtinId="36" customBuiltin="1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" xfId="35" builtinId="40" customBuiltin="1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" xfId="39" builtinId="44" customBuiltin="1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" xfId="43" builtinId="48" customBuiltin="1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" xfId="47" builtinId="52" customBuiltin="1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CBA6508B-077C-D642-90AC-C703833CB265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강조색1" xfId="24" builtinId="29" customBuiltin="1"/>
    <cellStyle name="강조색2" xfId="28" builtinId="33" customBuiltin="1"/>
    <cellStyle name="강조색3" xfId="32" builtinId="37" customBuiltin="1"/>
    <cellStyle name="강조색4" xfId="36" builtinId="41" customBuiltin="1"/>
    <cellStyle name="강조색5" xfId="40" builtinId="45" customBuiltin="1"/>
    <cellStyle name="강조색6" xfId="44" builtinId="49" customBuiltin="1"/>
    <cellStyle name="경고문" xfId="21" builtinId="11" customBuiltin="1"/>
    <cellStyle name="계산" xfId="18" builtinId="22" customBuiltin="1"/>
    <cellStyle name="나쁨" xfId="14" builtinId="27" customBuiltin="1"/>
    <cellStyle name="나쁨 2" xfId="365" xr:uid="{5D9ED5E1-C801-406D-93E0-2B3591175749}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" xfId="15" builtinId="28" customBuiltin="1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설명 텍스트" xfId="22" builtinId="53" customBuiltin="1"/>
    <cellStyle name="셀 확인" xfId="20" builtinId="23" customBuiltin="1"/>
    <cellStyle name="쉼표 [0] 2" xfId="7" xr:uid="{404A706B-A3F0-6D4E-AC76-48F566C7C22E}"/>
    <cellStyle name="쉼표 [0] 2 2" xfId="369" xr:uid="{ADB4494C-2724-4892-8B8C-AFA06F9C5571}"/>
    <cellStyle name="연결된 셀" xfId="19" builtinId="24" customBuiltin="1"/>
    <cellStyle name="요약" xfId="23" builtinId="25" customBuiltin="1"/>
    <cellStyle name="一般 3" xfId="1" xr:uid="{CBDF56BD-CEEB-C64C-84C9-24C904CBE56D}"/>
    <cellStyle name="입력" xfId="16" builtinId="20" customBuiltin="1"/>
    <cellStyle name="제목" xfId="8" builtinId="15" customBuiltin="1"/>
    <cellStyle name="제목 1" xfId="9" builtinId="16" customBuiltin="1"/>
    <cellStyle name="제목 2" xfId="10" builtinId="17" customBuiltin="1"/>
    <cellStyle name="제목 3" xfId="11" builtinId="18" customBuiltin="1"/>
    <cellStyle name="제목 4" xfId="12" builtinId="19" customBuiltin="1"/>
    <cellStyle name="좋음" xfId="13" builtinId="26" customBuiltin="1"/>
    <cellStyle name="출력" xfId="17" builtinId="21" customBuiltin="1"/>
    <cellStyle name="표준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25" workbookViewId="0">
      <selection activeCell="C16" sqref="C16"/>
    </sheetView>
  </sheetViews>
  <sheetFormatPr defaultColWidth="10.81640625" defaultRowHeight="19.2"/>
  <cols>
    <col min="1" max="1" width="10.81640625" style="15"/>
    <col min="2" max="2" width="13.81640625" style="15" customWidth="1"/>
    <col min="3" max="3" width="30.81640625" style="15" customWidth="1"/>
    <col min="4" max="5" width="25.81640625" style="15" customWidth="1"/>
    <col min="6" max="6" width="13.81640625" style="14" customWidth="1"/>
    <col min="7" max="7" width="10.81640625" style="15"/>
    <col min="8" max="9" width="10.81640625" style="15" customWidth="1"/>
    <col min="10" max="16384" width="10.81640625" style="15"/>
  </cols>
  <sheetData>
    <row r="2" spans="1:10" ht="40.200000000000003" customHeight="1">
      <c r="A2" s="8"/>
      <c r="B2" s="123" t="s">
        <v>20</v>
      </c>
      <c r="C2" s="123"/>
      <c r="D2" s="123"/>
      <c r="E2" s="123"/>
      <c r="F2" s="123"/>
      <c r="G2" s="8"/>
      <c r="H2" s="8"/>
      <c r="I2" s="8"/>
      <c r="J2" s="8"/>
    </row>
    <row r="3" spans="1:10" ht="16.2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2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2" customHeight="1">
      <c r="A5" s="8"/>
      <c r="B5" s="2" t="s">
        <v>6</v>
      </c>
      <c r="C5" s="3" t="s">
        <v>98</v>
      </c>
      <c r="D5" s="2" t="s">
        <v>7</v>
      </c>
      <c r="E5" s="118" t="s">
        <v>23</v>
      </c>
      <c r="H5" s="8"/>
      <c r="I5" s="8"/>
      <c r="J5" s="8"/>
    </row>
    <row r="6" spans="1:10" ht="16.2" customHeight="1">
      <c r="A6" s="1"/>
      <c r="B6" s="2" t="s">
        <v>0</v>
      </c>
      <c r="C6" s="3" t="s">
        <v>22</v>
      </c>
      <c r="D6" s="2" t="s">
        <v>8</v>
      </c>
      <c r="E6" s="118">
        <f>'Shipping Lot List'!B2</f>
        <v>46080</v>
      </c>
      <c r="H6" s="1"/>
      <c r="I6" s="1"/>
      <c r="J6" s="1"/>
    </row>
    <row r="7" spans="1:10">
      <c r="A7" s="4"/>
      <c r="B7" s="2" t="s">
        <v>5</v>
      </c>
      <c r="C7" s="94" t="s">
        <v>334</v>
      </c>
      <c r="D7" s="2"/>
      <c r="E7" s="117"/>
      <c r="H7" s="4"/>
      <c r="I7" s="4"/>
      <c r="J7" s="4"/>
    </row>
    <row r="8" spans="1:10" ht="30">
      <c r="A8" s="4"/>
      <c r="B8" s="2" t="s">
        <v>21</v>
      </c>
      <c r="C8" s="120" t="s">
        <v>370</v>
      </c>
      <c r="D8" s="2" t="s">
        <v>4</v>
      </c>
      <c r="E8" s="119">
        <f>SUM('Shipping Lot List'!I:I)</f>
        <v>320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94" t="s">
        <v>337</v>
      </c>
      <c r="D9" s="2" t="s">
        <v>3</v>
      </c>
      <c r="E9" s="119"/>
      <c r="F9" s="124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19">
        <f>E8</f>
        <v>320</v>
      </c>
      <c r="F10" s="124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25" t="s">
        <v>17</v>
      </c>
      <c r="C12" s="125"/>
      <c r="D12" s="125"/>
      <c r="E12" s="125"/>
      <c r="F12" s="125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2" t="s">
        <v>11</v>
      </c>
      <c r="C14" s="6"/>
      <c r="D14" s="13"/>
      <c r="E14" s="18"/>
      <c r="F14" s="19"/>
    </row>
    <row r="15" spans="1:10">
      <c r="A15" s="10"/>
      <c r="B15" s="122"/>
      <c r="C15" s="6"/>
      <c r="D15" s="7"/>
      <c r="E15" s="9"/>
      <c r="F15" s="13"/>
    </row>
    <row r="16" spans="1:10">
      <c r="A16" s="10"/>
      <c r="B16" s="122"/>
      <c r="C16" s="6"/>
      <c r="D16" s="7"/>
      <c r="E16" s="9"/>
      <c r="F16" s="13"/>
    </row>
    <row r="17" spans="1:6">
      <c r="A17" s="10"/>
      <c r="B17" s="122"/>
      <c r="C17" s="6"/>
      <c r="D17" s="7"/>
      <c r="E17" s="9"/>
      <c r="F17" s="13"/>
    </row>
    <row r="18" spans="1:6">
      <c r="A18" s="10"/>
      <c r="B18" s="122"/>
      <c r="C18" s="6"/>
      <c r="D18" s="7"/>
      <c r="E18" s="9"/>
      <c r="F18" s="13"/>
    </row>
    <row r="19" spans="1:6">
      <c r="A19" s="10"/>
      <c r="B19" s="122"/>
      <c r="C19" s="6"/>
      <c r="D19" s="7"/>
      <c r="E19" s="9"/>
      <c r="F19" s="13"/>
    </row>
    <row r="20" spans="1:6">
      <c r="A20" s="10"/>
      <c r="B20" s="122"/>
      <c r="C20" s="6"/>
      <c r="D20" s="7"/>
      <c r="E20" s="9"/>
      <c r="F20" s="13"/>
    </row>
    <row r="21" spans="1:6">
      <c r="A21" s="10"/>
      <c r="B21" s="122"/>
      <c r="C21" s="6"/>
      <c r="D21" s="7"/>
      <c r="E21" s="9"/>
      <c r="F21" s="13"/>
    </row>
    <row r="22" spans="1:6">
      <c r="A22" s="10"/>
      <c r="B22" s="122"/>
      <c r="C22" s="6"/>
      <c r="D22" s="7"/>
      <c r="E22" s="9"/>
      <c r="F22" s="13"/>
    </row>
    <row r="23" spans="1:6">
      <c r="A23" s="10"/>
      <c r="B23" s="122"/>
      <c r="C23" s="6"/>
      <c r="D23" s="7"/>
      <c r="E23" s="9"/>
      <c r="F23" s="13"/>
    </row>
    <row r="24" spans="1:6">
      <c r="A24" s="10"/>
      <c r="B24" s="122" t="s">
        <v>12</v>
      </c>
      <c r="C24" s="6"/>
      <c r="D24" s="13"/>
      <c r="E24" s="18"/>
      <c r="F24" s="19"/>
    </row>
    <row r="25" spans="1:6">
      <c r="A25" s="10"/>
      <c r="B25" s="122"/>
      <c r="C25" s="6"/>
      <c r="D25" s="13"/>
      <c r="E25" s="18"/>
      <c r="F25" s="19"/>
    </row>
    <row r="26" spans="1:6">
      <c r="A26" s="10"/>
      <c r="B26" s="122"/>
      <c r="C26" s="6"/>
      <c r="D26" s="13"/>
      <c r="E26" s="18"/>
      <c r="F26" s="13"/>
    </row>
    <row r="27" spans="1:6">
      <c r="A27" s="16"/>
      <c r="B27" s="122"/>
      <c r="C27" s="6"/>
      <c r="D27" s="13"/>
      <c r="E27" s="18"/>
      <c r="F27" s="13"/>
    </row>
    <row r="28" spans="1:6">
      <c r="A28" s="16"/>
      <c r="B28" s="122"/>
      <c r="C28" s="6"/>
      <c r="D28" s="13"/>
      <c r="E28" s="18"/>
      <c r="F28" s="13"/>
    </row>
    <row r="29" spans="1:6">
      <c r="A29" s="16"/>
      <c r="B29" s="122"/>
      <c r="C29" s="6"/>
      <c r="D29" s="13"/>
      <c r="E29" s="18"/>
      <c r="F29" s="13"/>
    </row>
    <row r="30" spans="1:6">
      <c r="A30" s="16"/>
      <c r="B30" s="122"/>
      <c r="C30" s="6"/>
      <c r="D30" s="13"/>
      <c r="E30" s="18"/>
      <c r="F30" s="13"/>
    </row>
    <row r="31" spans="1:6">
      <c r="A31" s="16"/>
      <c r="B31" s="122"/>
      <c r="C31" s="6"/>
      <c r="D31" s="13"/>
      <c r="E31" s="18"/>
      <c r="F31" s="13"/>
    </row>
    <row r="32" spans="1:6">
      <c r="A32" s="16"/>
      <c r="B32" s="122"/>
      <c r="C32" s="6"/>
      <c r="D32" s="13"/>
      <c r="E32" s="18"/>
      <c r="F32" s="13"/>
    </row>
    <row r="33" spans="1:6">
      <c r="A33" s="16"/>
      <c r="B33" s="122"/>
      <c r="C33" s="6"/>
      <c r="D33" s="13"/>
      <c r="E33" s="18"/>
      <c r="F33" s="13"/>
    </row>
    <row r="34" spans="1:6">
      <c r="A34" s="16"/>
      <c r="B34" s="122" t="s">
        <v>13</v>
      </c>
      <c r="C34" s="6"/>
      <c r="D34" s="7"/>
      <c r="E34" s="7"/>
      <c r="F34" s="13"/>
    </row>
    <row r="35" spans="1:6">
      <c r="A35" s="16"/>
      <c r="B35" s="122"/>
      <c r="C35" s="6"/>
      <c r="D35" s="7"/>
      <c r="E35" s="7"/>
      <c r="F35" s="13"/>
    </row>
    <row r="36" spans="1:6">
      <c r="A36" s="16"/>
      <c r="B36" s="122"/>
      <c r="C36" s="6"/>
      <c r="D36" s="7"/>
      <c r="E36" s="7"/>
      <c r="F36" s="13"/>
    </row>
    <row r="37" spans="1:6">
      <c r="A37" s="16"/>
      <c r="B37" s="122"/>
      <c r="C37" s="6"/>
      <c r="D37" s="7"/>
      <c r="E37" s="7"/>
      <c r="F37" s="13"/>
    </row>
    <row r="38" spans="1:6">
      <c r="A38" s="16"/>
      <c r="B38" s="122"/>
      <c r="C38" s="6"/>
      <c r="D38" s="7"/>
      <c r="E38" s="7"/>
      <c r="F38" s="13"/>
    </row>
    <row r="39" spans="1:6">
      <c r="A39" s="16"/>
      <c r="B39" s="122"/>
      <c r="C39" s="6"/>
      <c r="D39" s="7"/>
      <c r="E39" s="7"/>
      <c r="F39" s="13"/>
    </row>
    <row r="40" spans="1:6">
      <c r="A40" s="16"/>
      <c r="B40" s="122"/>
      <c r="C40" s="6"/>
      <c r="D40" s="7"/>
      <c r="E40" s="7"/>
      <c r="F40" s="13"/>
    </row>
    <row r="41" spans="1:6">
      <c r="A41" s="16"/>
      <c r="B41" s="122"/>
      <c r="C41" s="6"/>
      <c r="D41" s="7"/>
      <c r="E41" s="7"/>
      <c r="F41" s="13"/>
    </row>
    <row r="42" spans="1:6">
      <c r="A42" s="16"/>
      <c r="B42" s="122"/>
      <c r="C42" s="6"/>
      <c r="D42" s="7"/>
      <c r="E42" s="7"/>
      <c r="F42" s="13"/>
    </row>
    <row r="43" spans="1:6">
      <c r="A43" s="16"/>
      <c r="B43" s="122"/>
      <c r="C43" s="6"/>
      <c r="D43" s="7"/>
      <c r="E43" s="7"/>
      <c r="F43" s="13"/>
    </row>
    <row r="44" spans="1:6">
      <c r="B44" s="121" t="s">
        <v>19</v>
      </c>
      <c r="C44" s="6"/>
      <c r="D44" s="7"/>
      <c r="E44" s="7"/>
      <c r="F44" s="13"/>
    </row>
    <row r="45" spans="1:6">
      <c r="B45" s="121"/>
      <c r="C45" s="6"/>
      <c r="D45" s="7"/>
      <c r="E45" s="7"/>
      <c r="F45" s="13"/>
    </row>
    <row r="46" spans="1:6">
      <c r="B46" s="121"/>
      <c r="C46" s="6"/>
      <c r="D46" s="7"/>
      <c r="E46" s="7"/>
      <c r="F46" s="13"/>
    </row>
    <row r="47" spans="1:6">
      <c r="B47" s="121"/>
      <c r="C47" s="6"/>
      <c r="D47" s="7"/>
      <c r="E47" s="7"/>
      <c r="F47" s="13"/>
    </row>
    <row r="48" spans="1:6">
      <c r="B48" s="121"/>
      <c r="C48" s="6"/>
      <c r="D48" s="7"/>
      <c r="E48" s="7"/>
      <c r="F48" s="13"/>
    </row>
    <row r="49" spans="2:6">
      <c r="B49" s="121"/>
      <c r="C49" s="6"/>
      <c r="D49" s="7"/>
      <c r="E49" s="7"/>
      <c r="F49" s="13"/>
    </row>
    <row r="50" spans="2:6">
      <c r="B50" s="121"/>
      <c r="C50" s="6"/>
      <c r="D50" s="7"/>
      <c r="E50" s="7"/>
      <c r="F50" s="13"/>
    </row>
    <row r="51" spans="2:6">
      <c r="B51" s="121"/>
      <c r="C51" s="6"/>
      <c r="D51" s="7"/>
      <c r="E51" s="7"/>
      <c r="F51" s="13"/>
    </row>
    <row r="52" spans="2:6">
      <c r="B52" s="121"/>
      <c r="C52" s="6"/>
      <c r="D52" s="7"/>
      <c r="E52" s="7"/>
      <c r="F52" s="13"/>
    </row>
    <row r="53" spans="2:6">
      <c r="B53" s="121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03D5-F6C3-E746-AFEF-FBAA63547D3A}">
  <sheetPr codeName="Sheet1"/>
  <dimension ref="A1:L5"/>
  <sheetViews>
    <sheetView workbookViewId="0">
      <selection activeCell="D16" sqref="D16"/>
    </sheetView>
  </sheetViews>
  <sheetFormatPr defaultColWidth="10.90625" defaultRowHeight="19.2"/>
  <cols>
    <col min="1" max="2" width="17.6328125" style="92" customWidth="1"/>
    <col min="3" max="3" width="12.6328125" style="92" customWidth="1"/>
    <col min="4" max="4" width="17.6328125" style="92" customWidth="1"/>
    <col min="5" max="5" width="40.6328125" style="92" customWidth="1"/>
    <col min="6" max="6" width="17.6328125" style="92" customWidth="1"/>
    <col min="7" max="7" width="12.6328125" style="92" customWidth="1"/>
    <col min="8" max="8" width="12.6328125" style="93" customWidth="1"/>
    <col min="9" max="10" width="12.6328125" style="92" customWidth="1"/>
    <col min="11" max="11" width="10.90625" style="92"/>
    <col min="13" max="16384" width="10.90625" style="92"/>
  </cols>
  <sheetData>
    <row r="1" spans="1:10">
      <c r="A1" s="95" t="s">
        <v>325</v>
      </c>
      <c r="B1" s="95" t="s">
        <v>326</v>
      </c>
      <c r="C1" s="96" t="s">
        <v>327</v>
      </c>
      <c r="D1" s="95" t="s">
        <v>368</v>
      </c>
      <c r="E1" s="97" t="s">
        <v>328</v>
      </c>
      <c r="F1" s="97" t="s">
        <v>329</v>
      </c>
      <c r="G1" s="97" t="s">
        <v>330</v>
      </c>
      <c r="H1" s="97" t="s">
        <v>331</v>
      </c>
      <c r="I1" s="97" t="s">
        <v>332</v>
      </c>
      <c r="J1" s="96" t="s">
        <v>333</v>
      </c>
    </row>
    <row r="2" spans="1:10" ht="19.2" customHeight="1">
      <c r="A2" s="95" t="s">
        <v>335</v>
      </c>
      <c r="B2" s="95">
        <v>46080</v>
      </c>
      <c r="C2" s="96" t="s">
        <v>337</v>
      </c>
      <c r="D2" s="95">
        <v>46080</v>
      </c>
      <c r="E2" s="96" t="s">
        <v>369</v>
      </c>
      <c r="F2" s="99" t="s">
        <v>354</v>
      </c>
      <c r="G2" s="107">
        <v>2880</v>
      </c>
      <c r="H2" s="98">
        <v>1</v>
      </c>
      <c r="I2" s="99">
        <v>320</v>
      </c>
      <c r="J2" s="97" t="s">
        <v>336</v>
      </c>
    </row>
    <row r="3" spans="1:10">
      <c r="A3" s="95"/>
      <c r="B3" s="95"/>
      <c r="C3" s="96"/>
      <c r="D3" s="95"/>
      <c r="E3" s="97"/>
      <c r="F3" s="106"/>
      <c r="G3" s="107"/>
      <c r="H3" s="100"/>
      <c r="I3" s="97"/>
      <c r="J3" s="97"/>
    </row>
    <row r="4" spans="1:10">
      <c r="A4" s="95"/>
      <c r="B4" s="95"/>
      <c r="C4" s="96"/>
      <c r="D4" s="95"/>
      <c r="E4" s="97"/>
      <c r="F4" s="106"/>
      <c r="G4" s="107"/>
      <c r="H4" s="100"/>
      <c r="I4" s="97"/>
      <c r="J4" s="97"/>
    </row>
    <row r="5" spans="1:10">
      <c r="A5" s="95"/>
      <c r="B5" s="95"/>
      <c r="C5" s="96"/>
      <c r="D5" s="95"/>
      <c r="E5" s="97"/>
      <c r="F5" s="106"/>
      <c r="G5" s="107"/>
      <c r="H5" s="100"/>
      <c r="I5" s="97"/>
      <c r="J5" s="97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F4D5-D5EA-634C-A614-D0BA044AC34A}">
  <sheetPr codeName="Sheet3"/>
  <dimension ref="A1:T243"/>
  <sheetViews>
    <sheetView zoomScale="85" zoomScaleNormal="85" workbookViewId="0">
      <selection activeCell="F26" sqref="F26"/>
    </sheetView>
  </sheetViews>
  <sheetFormatPr defaultColWidth="12.453125" defaultRowHeight="13.2"/>
  <cols>
    <col min="1" max="1" width="0.81640625" style="21" customWidth="1"/>
    <col min="2" max="2" width="9" style="21" customWidth="1"/>
    <col min="3" max="3" width="13" style="21" customWidth="1"/>
    <col min="4" max="18" width="9" style="21" customWidth="1"/>
    <col min="19" max="19" width="14.1796875" style="21" customWidth="1"/>
    <col min="20" max="20" width="12.453125" style="112"/>
    <col min="21" max="16384" width="12.453125" style="21"/>
  </cols>
  <sheetData>
    <row r="1" spans="1:20" ht="21">
      <c r="A1" s="131" t="s">
        <v>25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</row>
    <row r="2" spans="1:20" ht="10.199999999999999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0" s="24" customFormat="1" ht="15" customHeight="1">
      <c r="A3" s="22"/>
      <c r="B3" s="132" t="s">
        <v>26</v>
      </c>
      <c r="C3" s="132"/>
      <c r="D3" s="132"/>
      <c r="E3" s="132"/>
      <c r="F3" s="132"/>
      <c r="G3" s="132"/>
      <c r="H3" s="133" t="s">
        <v>27</v>
      </c>
      <c r="I3" s="134"/>
      <c r="J3" s="134"/>
      <c r="K3" s="133"/>
      <c r="L3" s="134"/>
      <c r="M3" s="134"/>
      <c r="N3" s="135" t="s">
        <v>28</v>
      </c>
      <c r="O3" s="133"/>
      <c r="P3" s="133"/>
      <c r="Q3" s="133"/>
      <c r="R3" s="136"/>
      <c r="S3" s="137" t="s">
        <v>29</v>
      </c>
      <c r="T3" s="113"/>
    </row>
    <row r="4" spans="1:20" ht="15" customHeight="1">
      <c r="A4" s="25"/>
      <c r="B4" s="137" t="s">
        <v>30</v>
      </c>
      <c r="C4" s="137" t="s">
        <v>31</v>
      </c>
      <c r="D4" s="138" t="s">
        <v>32</v>
      </c>
      <c r="E4" s="139" t="s">
        <v>33</v>
      </c>
      <c r="F4" s="139" t="s">
        <v>34</v>
      </c>
      <c r="G4" s="126" t="s">
        <v>35</v>
      </c>
      <c r="H4" s="127" t="s">
        <v>36</v>
      </c>
      <c r="I4" s="128"/>
      <c r="J4" s="128"/>
      <c r="K4" s="127" t="s">
        <v>37</v>
      </c>
      <c r="L4" s="128"/>
      <c r="M4" s="128"/>
      <c r="N4" s="129" t="s">
        <v>38</v>
      </c>
      <c r="O4" s="26" t="s">
        <v>39</v>
      </c>
      <c r="P4" s="27"/>
      <c r="Q4" s="28" t="s">
        <v>40</v>
      </c>
      <c r="R4" s="27"/>
      <c r="S4" s="137"/>
    </row>
    <row r="5" spans="1:20" ht="18" customHeight="1">
      <c r="A5" s="29"/>
      <c r="B5" s="137"/>
      <c r="C5" s="137"/>
      <c r="D5" s="138"/>
      <c r="E5" s="139"/>
      <c r="F5" s="139"/>
      <c r="G5" s="126"/>
      <c r="H5" s="91"/>
      <c r="I5" s="91"/>
      <c r="J5" s="91"/>
      <c r="K5" s="91">
        <v>1</v>
      </c>
      <c r="L5" s="91">
        <v>2</v>
      </c>
      <c r="M5" s="91">
        <v>3</v>
      </c>
      <c r="N5" s="130"/>
      <c r="O5" s="23" t="s">
        <v>41</v>
      </c>
      <c r="P5" s="27" t="s">
        <v>42</v>
      </c>
      <c r="Q5" s="23" t="s">
        <v>43</v>
      </c>
      <c r="R5" s="27" t="s">
        <v>44</v>
      </c>
      <c r="S5" s="137"/>
    </row>
    <row r="6" spans="1:20" ht="18" customHeight="1">
      <c r="A6" s="30"/>
      <c r="B6" s="75">
        <v>1</v>
      </c>
      <c r="C6" s="75" t="s">
        <v>47</v>
      </c>
      <c r="D6" s="150">
        <v>0</v>
      </c>
      <c r="E6" s="150">
        <v>0.04</v>
      </c>
      <c r="F6" s="150">
        <v>0</v>
      </c>
      <c r="G6" s="76" t="s">
        <v>46</v>
      </c>
      <c r="H6" s="87"/>
      <c r="I6" s="87"/>
      <c r="J6" s="87"/>
      <c r="K6" s="31" t="str">
        <f t="shared" ref="K6:K69" si="0">IF(ISERR(H6/H6)=TRUE," ",H6-$D6)</f>
        <v xml:space="preserve"> </v>
      </c>
      <c r="L6" s="31" t="str">
        <f t="shared" ref="L6:L69" si="1">IF(ISERR(I6/I6)=TRUE," ",I6-$D6)</f>
        <v xml:space="preserve"> </v>
      </c>
      <c r="M6" s="31" t="str">
        <f t="shared" ref="M6:M69" si="2">IF(ISERR(J6/J6)=TRUE," ",J6-$D6)</f>
        <v xml:space="preserve"> </v>
      </c>
      <c r="N6" s="32" t="str">
        <f t="shared" ref="N6:N69" si="3">IF(ISERR(H6/H6)=TRUE," ",AVERAGE(H6:J6))</f>
        <v xml:space="preserve"> </v>
      </c>
      <c r="O6" s="33" t="str">
        <f t="shared" ref="O6:O69" si="4">IF(ISERR(E6/E6)=TRUE," ",IF(ISERR(H6/H6)=TRUE," ",IF(ISNUMBER($H6)=FALSE," ",IF(MAX($H6:$J6)&lt;$D6,0,(MAX($H6:$J6)-$D6)/$E6))))</f>
        <v xml:space="preserve"> </v>
      </c>
      <c r="P6" s="34" t="str">
        <f t="shared" ref="P6:P69" si="5">IF(ISERR(F6/D6)=TRUE," ",IF(ISERR(F6/F6)=TRUE," ",IF(ISERR(H6/H6)=TRUE," ",IF(ISNUMBER(H6)=FALSE," ",IF(MIN(H6:J6)&gt;$D6,0,($D6-MIN(H6:J6))/-F6)))))</f>
        <v xml:space="preserve"> </v>
      </c>
      <c r="Q6" s="32" t="str">
        <f t="shared" ref="Q6:Q70" si="6">IF(ISNUMBER($O6)=TRUE,IF($O6&gt;0.651,IF($O6&gt;1.001,"Reject","Alert"),""),"")</f>
        <v/>
      </c>
      <c r="R6" s="32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16"/>
    </row>
    <row r="7" spans="1:20" ht="18" customHeight="1">
      <c r="A7" s="30"/>
      <c r="B7" s="75" t="s">
        <v>99</v>
      </c>
      <c r="C7" s="88" t="s">
        <v>45</v>
      </c>
      <c r="D7" s="150">
        <v>3.984</v>
      </c>
      <c r="E7" s="150">
        <v>2.5000000000000001E-2</v>
      </c>
      <c r="F7" s="150">
        <v>-0.02</v>
      </c>
      <c r="G7" s="76" t="s">
        <v>46</v>
      </c>
      <c r="H7" s="87"/>
      <c r="I7" s="87"/>
      <c r="J7" s="87"/>
      <c r="K7" s="31" t="str">
        <f t="shared" si="0"/>
        <v xml:space="preserve"> </v>
      </c>
      <c r="L7" s="31" t="str">
        <f t="shared" si="1"/>
        <v xml:space="preserve"> </v>
      </c>
      <c r="M7" s="31" t="str">
        <f t="shared" si="2"/>
        <v xml:space="preserve"> </v>
      </c>
      <c r="N7" s="32" t="str">
        <f t="shared" si="3"/>
        <v xml:space="preserve"> </v>
      </c>
      <c r="O7" s="33" t="str">
        <f t="shared" si="4"/>
        <v xml:space="preserve"> </v>
      </c>
      <c r="P7" s="34" t="str">
        <f t="shared" si="5"/>
        <v xml:space="preserve"> </v>
      </c>
      <c r="Q7" s="32" t="str">
        <f t="shared" si="6"/>
        <v/>
      </c>
      <c r="R7" s="32" t="str">
        <f t="shared" si="7"/>
        <v/>
      </c>
      <c r="S7" s="116"/>
    </row>
    <row r="8" spans="1:20" ht="18" customHeight="1">
      <c r="A8" s="30"/>
      <c r="B8" s="75" t="s">
        <v>100</v>
      </c>
      <c r="C8" s="76" t="s">
        <v>45</v>
      </c>
      <c r="D8" s="150">
        <v>3.984</v>
      </c>
      <c r="E8" s="150">
        <v>2.5000000000000001E-2</v>
      </c>
      <c r="F8" s="150">
        <v>-0.02</v>
      </c>
      <c r="G8" s="76" t="s">
        <v>46</v>
      </c>
      <c r="H8" s="87"/>
      <c r="I8" s="87"/>
      <c r="J8" s="87"/>
      <c r="K8" s="31" t="str">
        <f t="shared" si="0"/>
        <v xml:space="preserve"> </v>
      </c>
      <c r="L8" s="31" t="str">
        <f t="shared" si="1"/>
        <v xml:space="preserve"> </v>
      </c>
      <c r="M8" s="31" t="str">
        <f t="shared" si="2"/>
        <v xml:space="preserve"> </v>
      </c>
      <c r="N8" s="32" t="str">
        <f t="shared" si="3"/>
        <v xml:space="preserve"> </v>
      </c>
      <c r="O8" s="33" t="str">
        <f t="shared" si="4"/>
        <v xml:space="preserve"> </v>
      </c>
      <c r="P8" s="34" t="str">
        <f t="shared" si="5"/>
        <v xml:space="preserve"> </v>
      </c>
      <c r="Q8" s="32" t="str">
        <f t="shared" si="6"/>
        <v/>
      </c>
      <c r="R8" s="32" t="str">
        <f t="shared" si="7"/>
        <v/>
      </c>
      <c r="S8" s="116"/>
    </row>
    <row r="9" spans="1:20" ht="18" customHeight="1">
      <c r="A9" s="30"/>
      <c r="B9" s="75">
        <v>4</v>
      </c>
      <c r="C9" s="76" t="s">
        <v>48</v>
      </c>
      <c r="D9" s="150">
        <v>0</v>
      </c>
      <c r="E9" s="150">
        <v>1.4999999999999999E-2</v>
      </c>
      <c r="F9" s="150">
        <v>0</v>
      </c>
      <c r="G9" s="76" t="s">
        <v>46</v>
      </c>
      <c r="H9" s="87"/>
      <c r="I9" s="87"/>
      <c r="J9" s="87"/>
      <c r="K9" s="31" t="str">
        <f t="shared" si="0"/>
        <v xml:space="preserve"> </v>
      </c>
      <c r="L9" s="31" t="str">
        <f t="shared" si="1"/>
        <v xml:space="preserve"> </v>
      </c>
      <c r="M9" s="31" t="str">
        <f t="shared" si="2"/>
        <v xml:space="preserve"> </v>
      </c>
      <c r="N9" s="32" t="str">
        <f t="shared" si="3"/>
        <v xml:space="preserve"> </v>
      </c>
      <c r="O9" s="33" t="str">
        <f t="shared" si="4"/>
        <v xml:space="preserve"> </v>
      </c>
      <c r="P9" s="34" t="str">
        <f t="shared" si="5"/>
        <v xml:space="preserve"> </v>
      </c>
      <c r="Q9" s="32" t="str">
        <f t="shared" si="6"/>
        <v/>
      </c>
      <c r="R9" s="32" t="str">
        <f t="shared" si="7"/>
        <v/>
      </c>
      <c r="S9" s="116"/>
    </row>
    <row r="10" spans="1:20" ht="18" customHeight="1">
      <c r="A10" s="30"/>
      <c r="B10" s="75">
        <v>5</v>
      </c>
      <c r="C10" s="76" t="s">
        <v>48</v>
      </c>
      <c r="D10" s="150">
        <v>0</v>
      </c>
      <c r="E10" s="150">
        <v>1.4999999999999999E-2</v>
      </c>
      <c r="F10" s="150">
        <v>0</v>
      </c>
      <c r="G10" s="76" t="s">
        <v>46</v>
      </c>
      <c r="H10" s="87"/>
      <c r="I10" s="87"/>
      <c r="J10" s="87"/>
      <c r="K10" s="31" t="str">
        <f t="shared" si="0"/>
        <v xml:space="preserve"> </v>
      </c>
      <c r="L10" s="31" t="str">
        <f t="shared" si="1"/>
        <v xml:space="preserve"> </v>
      </c>
      <c r="M10" s="31" t="str">
        <f t="shared" si="2"/>
        <v xml:space="preserve"> </v>
      </c>
      <c r="N10" s="32" t="str">
        <f t="shared" si="3"/>
        <v xml:space="preserve"> </v>
      </c>
      <c r="O10" s="33" t="str">
        <f t="shared" si="4"/>
        <v xml:space="preserve"> </v>
      </c>
      <c r="P10" s="34" t="str">
        <f t="shared" si="5"/>
        <v xml:space="preserve"> </v>
      </c>
      <c r="Q10" s="32" t="str">
        <f t="shared" si="6"/>
        <v/>
      </c>
      <c r="R10" s="32" t="str">
        <f t="shared" si="7"/>
        <v/>
      </c>
      <c r="S10" s="116"/>
    </row>
    <row r="11" spans="1:20" ht="18" customHeight="1">
      <c r="A11" s="30"/>
      <c r="B11" s="75" t="s">
        <v>115</v>
      </c>
      <c r="C11" s="76" t="s">
        <v>45</v>
      </c>
      <c r="D11" s="150">
        <v>4.0090000000000003</v>
      </c>
      <c r="E11" s="150">
        <v>0.02</v>
      </c>
      <c r="F11" s="150">
        <v>-0.02</v>
      </c>
      <c r="G11" s="76" t="s">
        <v>46</v>
      </c>
      <c r="H11" s="87"/>
      <c r="I11" s="87"/>
      <c r="J11" s="87"/>
      <c r="K11" s="31" t="str">
        <f t="shared" si="0"/>
        <v xml:space="preserve"> </v>
      </c>
      <c r="L11" s="31" t="str">
        <f t="shared" si="1"/>
        <v xml:space="preserve"> </v>
      </c>
      <c r="M11" s="31" t="str">
        <f t="shared" si="2"/>
        <v xml:space="preserve"> </v>
      </c>
      <c r="N11" s="32" t="str">
        <f t="shared" si="3"/>
        <v xml:space="preserve"> </v>
      </c>
      <c r="O11" s="33" t="str">
        <f t="shared" si="4"/>
        <v xml:space="preserve"> </v>
      </c>
      <c r="P11" s="34" t="str">
        <f t="shared" si="5"/>
        <v xml:space="preserve"> </v>
      </c>
      <c r="Q11" s="32" t="str">
        <f t="shared" si="6"/>
        <v/>
      </c>
      <c r="R11" s="32" t="str">
        <f t="shared" si="7"/>
        <v/>
      </c>
      <c r="S11" s="116"/>
    </row>
    <row r="12" spans="1:20" ht="18" customHeight="1">
      <c r="A12" s="30"/>
      <c r="B12" s="75" t="s">
        <v>116</v>
      </c>
      <c r="C12" s="76" t="s">
        <v>45</v>
      </c>
      <c r="D12" s="150">
        <v>4.0090000000000003</v>
      </c>
      <c r="E12" s="150">
        <v>0.02</v>
      </c>
      <c r="F12" s="150">
        <v>-0.02</v>
      </c>
      <c r="G12" s="76" t="s">
        <v>46</v>
      </c>
      <c r="H12" s="87"/>
      <c r="I12" s="87"/>
      <c r="J12" s="87"/>
      <c r="K12" s="31" t="str">
        <f t="shared" si="0"/>
        <v xml:space="preserve"> </v>
      </c>
      <c r="L12" s="31" t="str">
        <f t="shared" si="1"/>
        <v xml:space="preserve"> </v>
      </c>
      <c r="M12" s="31" t="str">
        <f t="shared" si="2"/>
        <v xml:space="preserve"> </v>
      </c>
      <c r="N12" s="32" t="str">
        <f t="shared" si="3"/>
        <v xml:space="preserve"> </v>
      </c>
      <c r="O12" s="33" t="str">
        <f t="shared" si="4"/>
        <v xml:space="preserve"> </v>
      </c>
      <c r="P12" s="34" t="str">
        <f t="shared" si="5"/>
        <v xml:space="preserve"> </v>
      </c>
      <c r="Q12" s="32" t="str">
        <f t="shared" si="6"/>
        <v/>
      </c>
      <c r="R12" s="32" t="str">
        <f t="shared" si="7"/>
        <v/>
      </c>
      <c r="S12" s="116"/>
    </row>
    <row r="13" spans="1:20" ht="18" customHeight="1">
      <c r="A13" s="30"/>
      <c r="B13" s="75" t="s">
        <v>101</v>
      </c>
      <c r="C13" s="76" t="s">
        <v>227</v>
      </c>
      <c r="D13" s="150">
        <v>0</v>
      </c>
      <c r="E13" s="150">
        <v>8.0000000000000002E-3</v>
      </c>
      <c r="F13" s="150">
        <v>0</v>
      </c>
      <c r="G13" s="76" t="s">
        <v>231</v>
      </c>
      <c r="H13" s="87"/>
      <c r="I13" s="87"/>
      <c r="J13" s="87"/>
      <c r="K13" s="31" t="str">
        <f t="shared" si="0"/>
        <v xml:space="preserve"> </v>
      </c>
      <c r="L13" s="31" t="str">
        <f t="shared" si="1"/>
        <v xml:space="preserve"> </v>
      </c>
      <c r="M13" s="31" t="str">
        <f t="shared" si="2"/>
        <v xml:space="preserve"> </v>
      </c>
      <c r="N13" s="32" t="str">
        <f t="shared" si="3"/>
        <v xml:space="preserve"> </v>
      </c>
      <c r="O13" s="33" t="str">
        <f t="shared" si="4"/>
        <v xml:space="preserve"> </v>
      </c>
      <c r="P13" s="34" t="str">
        <f t="shared" si="5"/>
        <v xml:space="preserve"> </v>
      </c>
      <c r="Q13" s="32" t="str">
        <f t="shared" si="6"/>
        <v/>
      </c>
      <c r="R13" s="32" t="str">
        <f t="shared" si="7"/>
        <v/>
      </c>
      <c r="S13" s="116"/>
    </row>
    <row r="14" spans="1:20" ht="18" customHeight="1">
      <c r="A14" s="30"/>
      <c r="B14" s="75" t="s">
        <v>102</v>
      </c>
      <c r="C14" s="76" t="s">
        <v>227</v>
      </c>
      <c r="D14" s="150">
        <v>0</v>
      </c>
      <c r="E14" s="150">
        <v>8.0000000000000002E-3</v>
      </c>
      <c r="F14" s="150">
        <v>0</v>
      </c>
      <c r="G14" s="76" t="s">
        <v>231</v>
      </c>
      <c r="H14" s="87"/>
      <c r="I14" s="87"/>
      <c r="J14" s="87"/>
      <c r="K14" s="31" t="str">
        <f t="shared" si="0"/>
        <v xml:space="preserve"> </v>
      </c>
      <c r="L14" s="31" t="str">
        <f t="shared" si="1"/>
        <v xml:space="preserve"> </v>
      </c>
      <c r="M14" s="31" t="str">
        <f t="shared" si="2"/>
        <v xml:space="preserve"> </v>
      </c>
      <c r="N14" s="32" t="str">
        <f t="shared" si="3"/>
        <v xml:space="preserve"> </v>
      </c>
      <c r="O14" s="33" t="str">
        <f t="shared" si="4"/>
        <v xml:space="preserve"> </v>
      </c>
      <c r="P14" s="34" t="str">
        <f t="shared" si="5"/>
        <v xml:space="preserve"> </v>
      </c>
      <c r="Q14" s="32" t="str">
        <f t="shared" si="6"/>
        <v/>
      </c>
      <c r="R14" s="32" t="str">
        <f t="shared" si="7"/>
        <v/>
      </c>
      <c r="S14" s="116"/>
    </row>
    <row r="15" spans="1:20" ht="18" customHeight="1">
      <c r="A15" s="30"/>
      <c r="B15" s="75" t="s">
        <v>117</v>
      </c>
      <c r="C15" s="76" t="s">
        <v>227</v>
      </c>
      <c r="D15" s="150">
        <v>0</v>
      </c>
      <c r="E15" s="150">
        <v>8.0000000000000002E-3</v>
      </c>
      <c r="F15" s="150">
        <v>0</v>
      </c>
      <c r="G15" s="76" t="s">
        <v>231</v>
      </c>
      <c r="H15" s="87"/>
      <c r="I15" s="87"/>
      <c r="J15" s="87"/>
      <c r="K15" s="31" t="str">
        <f t="shared" si="0"/>
        <v xml:space="preserve"> </v>
      </c>
      <c r="L15" s="31" t="str">
        <f t="shared" si="1"/>
        <v xml:space="preserve"> </v>
      </c>
      <c r="M15" s="31" t="str">
        <f t="shared" si="2"/>
        <v xml:space="preserve"> </v>
      </c>
      <c r="N15" s="32" t="str">
        <f t="shared" si="3"/>
        <v xml:space="preserve"> </v>
      </c>
      <c r="O15" s="33" t="str">
        <f t="shared" si="4"/>
        <v xml:space="preserve"> </v>
      </c>
      <c r="P15" s="34" t="str">
        <f t="shared" si="5"/>
        <v xml:space="preserve"> </v>
      </c>
      <c r="Q15" s="32" t="str">
        <f t="shared" si="6"/>
        <v/>
      </c>
      <c r="R15" s="32" t="str">
        <f t="shared" si="7"/>
        <v/>
      </c>
      <c r="S15" s="116"/>
    </row>
    <row r="16" spans="1:20" ht="18" customHeight="1">
      <c r="A16" s="30"/>
      <c r="B16" s="75">
        <v>9</v>
      </c>
      <c r="C16" s="76" t="s">
        <v>48</v>
      </c>
      <c r="D16" s="150">
        <v>0</v>
      </c>
      <c r="E16" s="150">
        <v>0.06</v>
      </c>
      <c r="F16" s="150">
        <v>0</v>
      </c>
      <c r="G16" s="76" t="s">
        <v>46</v>
      </c>
      <c r="H16" s="87"/>
      <c r="I16" s="87"/>
      <c r="J16" s="87"/>
      <c r="K16" s="31" t="str">
        <f t="shared" si="0"/>
        <v xml:space="preserve"> </v>
      </c>
      <c r="L16" s="31" t="str">
        <f t="shared" si="1"/>
        <v xml:space="preserve"> </v>
      </c>
      <c r="M16" s="31" t="str">
        <f t="shared" si="2"/>
        <v xml:space="preserve"> </v>
      </c>
      <c r="N16" s="32" t="str">
        <f t="shared" si="3"/>
        <v xml:space="preserve"> </v>
      </c>
      <c r="O16" s="33" t="str">
        <f t="shared" si="4"/>
        <v xml:space="preserve"> </v>
      </c>
      <c r="P16" s="34" t="str">
        <f t="shared" si="5"/>
        <v xml:space="preserve"> </v>
      </c>
      <c r="Q16" s="32" t="str">
        <f t="shared" si="6"/>
        <v/>
      </c>
      <c r="R16" s="32" t="str">
        <f t="shared" si="7"/>
        <v/>
      </c>
      <c r="S16" s="116"/>
    </row>
    <row r="17" spans="1:19" ht="18" customHeight="1">
      <c r="A17" s="30"/>
      <c r="B17" s="75">
        <v>10</v>
      </c>
      <c r="C17" s="76" t="s">
        <v>48</v>
      </c>
      <c r="D17" s="150">
        <v>0</v>
      </c>
      <c r="E17" s="150">
        <v>0.06</v>
      </c>
      <c r="F17" s="150">
        <v>0</v>
      </c>
      <c r="G17" s="76" t="s">
        <v>46</v>
      </c>
      <c r="H17" s="87"/>
      <c r="I17" s="87"/>
      <c r="J17" s="87"/>
      <c r="K17" s="31" t="str">
        <f t="shared" si="0"/>
        <v xml:space="preserve"> </v>
      </c>
      <c r="L17" s="31" t="str">
        <f t="shared" si="1"/>
        <v xml:space="preserve"> </v>
      </c>
      <c r="M17" s="31" t="str">
        <f t="shared" si="2"/>
        <v xml:space="preserve"> </v>
      </c>
      <c r="N17" s="32" t="str">
        <f t="shared" si="3"/>
        <v xml:space="preserve"> </v>
      </c>
      <c r="O17" s="33" t="str">
        <f t="shared" si="4"/>
        <v xml:space="preserve"> </v>
      </c>
      <c r="P17" s="34" t="str">
        <f t="shared" si="5"/>
        <v xml:space="preserve"> </v>
      </c>
      <c r="Q17" s="32" t="str">
        <f t="shared" si="6"/>
        <v/>
      </c>
      <c r="R17" s="32" t="str">
        <f t="shared" si="7"/>
        <v/>
      </c>
      <c r="S17" s="116"/>
    </row>
    <row r="18" spans="1:19" ht="18" customHeight="1">
      <c r="A18" s="30"/>
      <c r="B18" s="75">
        <v>13</v>
      </c>
      <c r="C18" s="76" t="s">
        <v>45</v>
      </c>
      <c r="D18" s="150">
        <v>0.53500000000000003</v>
      </c>
      <c r="E18" s="150">
        <v>0.03</v>
      </c>
      <c r="F18" s="150">
        <v>-0.03</v>
      </c>
      <c r="G18" s="76" t="s">
        <v>46</v>
      </c>
      <c r="H18" s="87"/>
      <c r="I18" s="87"/>
      <c r="J18" s="87"/>
      <c r="K18" s="31" t="str">
        <f t="shared" si="0"/>
        <v xml:space="preserve"> </v>
      </c>
      <c r="L18" s="31" t="str">
        <f t="shared" si="1"/>
        <v xml:space="preserve"> </v>
      </c>
      <c r="M18" s="31" t="str">
        <f t="shared" si="2"/>
        <v xml:space="preserve"> </v>
      </c>
      <c r="N18" s="32" t="str">
        <f t="shared" si="3"/>
        <v xml:space="preserve"> </v>
      </c>
      <c r="O18" s="33" t="str">
        <f t="shared" si="4"/>
        <v xml:space="preserve"> </v>
      </c>
      <c r="P18" s="34" t="str">
        <f t="shared" si="5"/>
        <v xml:space="preserve"> </v>
      </c>
      <c r="Q18" s="32" t="str">
        <f t="shared" si="6"/>
        <v/>
      </c>
      <c r="R18" s="32" t="str">
        <f t="shared" si="7"/>
        <v/>
      </c>
      <c r="S18" s="116"/>
    </row>
    <row r="19" spans="1:19" ht="18" customHeight="1">
      <c r="A19" s="30"/>
      <c r="B19" s="75" t="s">
        <v>118</v>
      </c>
      <c r="C19" s="76" t="s">
        <v>45</v>
      </c>
      <c r="D19" s="150">
        <v>4.09</v>
      </c>
      <c r="E19" s="150">
        <v>0.05</v>
      </c>
      <c r="F19" s="150">
        <v>-0.03</v>
      </c>
      <c r="G19" s="76" t="s">
        <v>46</v>
      </c>
      <c r="H19" s="87"/>
      <c r="I19" s="87"/>
      <c r="J19" s="87"/>
      <c r="K19" s="31" t="str">
        <f t="shared" si="0"/>
        <v xml:space="preserve"> </v>
      </c>
      <c r="L19" s="31" t="str">
        <f t="shared" si="1"/>
        <v xml:space="preserve"> </v>
      </c>
      <c r="M19" s="31" t="str">
        <f t="shared" si="2"/>
        <v xml:space="preserve"> </v>
      </c>
      <c r="N19" s="32" t="str">
        <f t="shared" si="3"/>
        <v xml:space="preserve"> </v>
      </c>
      <c r="O19" s="33" t="str">
        <f t="shared" si="4"/>
        <v xml:space="preserve"> </v>
      </c>
      <c r="P19" s="34" t="str">
        <f t="shared" si="5"/>
        <v xml:space="preserve"> </v>
      </c>
      <c r="Q19" s="32" t="str">
        <f t="shared" si="6"/>
        <v/>
      </c>
      <c r="R19" s="32" t="str">
        <f t="shared" si="7"/>
        <v/>
      </c>
      <c r="S19" s="116"/>
    </row>
    <row r="20" spans="1:19" ht="18" customHeight="1">
      <c r="A20" s="30"/>
      <c r="B20" s="75" t="s">
        <v>119</v>
      </c>
      <c r="C20" s="76" t="s">
        <v>45</v>
      </c>
      <c r="D20" s="150">
        <v>4.09</v>
      </c>
      <c r="E20" s="150">
        <v>0.05</v>
      </c>
      <c r="F20" s="150">
        <v>-0.03</v>
      </c>
      <c r="G20" s="76" t="s">
        <v>46</v>
      </c>
      <c r="H20" s="87"/>
      <c r="I20" s="87"/>
      <c r="J20" s="87"/>
      <c r="K20" s="31" t="str">
        <f t="shared" si="0"/>
        <v xml:space="preserve"> </v>
      </c>
      <c r="L20" s="31" t="str">
        <f t="shared" si="1"/>
        <v xml:space="preserve"> </v>
      </c>
      <c r="M20" s="31" t="str">
        <f t="shared" si="2"/>
        <v xml:space="preserve"> </v>
      </c>
      <c r="N20" s="32" t="str">
        <f t="shared" si="3"/>
        <v xml:space="preserve"> </v>
      </c>
      <c r="O20" s="33" t="str">
        <f t="shared" si="4"/>
        <v xml:space="preserve"> </v>
      </c>
      <c r="P20" s="34" t="str">
        <f t="shared" si="5"/>
        <v xml:space="preserve"> </v>
      </c>
      <c r="Q20" s="32" t="str">
        <f t="shared" si="6"/>
        <v/>
      </c>
      <c r="R20" s="32" t="str">
        <f t="shared" si="7"/>
        <v/>
      </c>
      <c r="S20" s="116"/>
    </row>
    <row r="21" spans="1:19" ht="18" customHeight="1">
      <c r="A21" s="30"/>
      <c r="B21" s="75" t="s">
        <v>120</v>
      </c>
      <c r="C21" s="76" t="s">
        <v>45</v>
      </c>
      <c r="D21" s="150">
        <v>19.794</v>
      </c>
      <c r="E21" s="150">
        <v>0.03</v>
      </c>
      <c r="F21" s="150">
        <v>-0.03</v>
      </c>
      <c r="G21" s="76" t="s">
        <v>46</v>
      </c>
      <c r="H21" s="87"/>
      <c r="I21" s="87"/>
      <c r="J21" s="87"/>
      <c r="K21" s="31" t="str">
        <f t="shared" si="0"/>
        <v xml:space="preserve"> </v>
      </c>
      <c r="L21" s="31" t="str">
        <f t="shared" si="1"/>
        <v xml:space="preserve"> </v>
      </c>
      <c r="M21" s="31" t="str">
        <f t="shared" si="2"/>
        <v xml:space="preserve"> </v>
      </c>
      <c r="N21" s="32" t="str">
        <f t="shared" si="3"/>
        <v xml:space="preserve"> </v>
      </c>
      <c r="O21" s="33" t="str">
        <f t="shared" si="4"/>
        <v xml:space="preserve"> </v>
      </c>
      <c r="P21" s="34" t="str">
        <f t="shared" si="5"/>
        <v xml:space="preserve"> </v>
      </c>
      <c r="Q21" s="32" t="str">
        <f t="shared" si="6"/>
        <v/>
      </c>
      <c r="R21" s="32" t="str">
        <f t="shared" si="7"/>
        <v/>
      </c>
      <c r="S21" s="116"/>
    </row>
    <row r="22" spans="1:19" ht="18" customHeight="1">
      <c r="A22" s="30"/>
      <c r="B22" s="75" t="s">
        <v>121</v>
      </c>
      <c r="C22" s="76" t="s">
        <v>45</v>
      </c>
      <c r="D22" s="150">
        <v>19.794</v>
      </c>
      <c r="E22" s="150">
        <v>0.03</v>
      </c>
      <c r="F22" s="150">
        <v>-0.03</v>
      </c>
      <c r="G22" s="76" t="s">
        <v>46</v>
      </c>
      <c r="H22" s="87"/>
      <c r="I22" s="87"/>
      <c r="J22" s="87"/>
      <c r="K22" s="31" t="str">
        <f t="shared" si="0"/>
        <v xml:space="preserve"> </v>
      </c>
      <c r="L22" s="31" t="str">
        <f t="shared" si="1"/>
        <v xml:space="preserve"> </v>
      </c>
      <c r="M22" s="31" t="str">
        <f t="shared" si="2"/>
        <v xml:space="preserve"> </v>
      </c>
      <c r="N22" s="32" t="str">
        <f t="shared" si="3"/>
        <v xml:space="preserve"> </v>
      </c>
      <c r="O22" s="33" t="str">
        <f t="shared" si="4"/>
        <v xml:space="preserve"> </v>
      </c>
      <c r="P22" s="34" t="str">
        <f t="shared" si="5"/>
        <v xml:space="preserve"> </v>
      </c>
      <c r="Q22" s="32" t="str">
        <f t="shared" si="6"/>
        <v/>
      </c>
      <c r="R22" s="32" t="str">
        <f t="shared" si="7"/>
        <v/>
      </c>
      <c r="S22" s="116"/>
    </row>
    <row r="23" spans="1:19" ht="18" customHeight="1">
      <c r="A23" s="30"/>
      <c r="B23" s="75" t="s">
        <v>122</v>
      </c>
      <c r="C23" s="76" t="s">
        <v>45</v>
      </c>
      <c r="D23" s="150">
        <v>19.794</v>
      </c>
      <c r="E23" s="150">
        <v>0.03</v>
      </c>
      <c r="F23" s="150">
        <v>-0.03</v>
      </c>
      <c r="G23" s="76" t="s">
        <v>46</v>
      </c>
      <c r="H23" s="87"/>
      <c r="I23" s="87"/>
      <c r="J23" s="87"/>
      <c r="K23" s="31" t="str">
        <f t="shared" si="0"/>
        <v xml:space="preserve"> </v>
      </c>
      <c r="L23" s="31" t="str">
        <f t="shared" si="1"/>
        <v xml:space="preserve"> </v>
      </c>
      <c r="M23" s="31" t="str">
        <f t="shared" si="2"/>
        <v xml:space="preserve"> </v>
      </c>
      <c r="N23" s="32" t="str">
        <f t="shared" si="3"/>
        <v xml:space="preserve"> </v>
      </c>
      <c r="O23" s="33" t="str">
        <f t="shared" si="4"/>
        <v xml:space="preserve"> </v>
      </c>
      <c r="P23" s="34" t="str">
        <f t="shared" si="5"/>
        <v xml:space="preserve"> </v>
      </c>
      <c r="Q23" s="32" t="str">
        <f t="shared" si="6"/>
        <v/>
      </c>
      <c r="R23" s="32" t="str">
        <f t="shared" si="7"/>
        <v/>
      </c>
      <c r="S23" s="116"/>
    </row>
    <row r="24" spans="1:19" ht="18" customHeight="1">
      <c r="A24" s="30"/>
      <c r="B24" s="75">
        <v>18</v>
      </c>
      <c r="C24" s="76" t="s">
        <v>45</v>
      </c>
      <c r="D24" s="150">
        <v>18.643000000000001</v>
      </c>
      <c r="E24" s="150">
        <v>0.03</v>
      </c>
      <c r="F24" s="150">
        <v>-0.03</v>
      </c>
      <c r="G24" s="76" t="s">
        <v>46</v>
      </c>
      <c r="H24" s="87"/>
      <c r="I24" s="87"/>
      <c r="J24" s="87"/>
      <c r="K24" s="31" t="str">
        <f t="shared" si="0"/>
        <v xml:space="preserve"> </v>
      </c>
      <c r="L24" s="31" t="str">
        <f t="shared" si="1"/>
        <v xml:space="preserve"> </v>
      </c>
      <c r="M24" s="31" t="str">
        <f t="shared" si="2"/>
        <v xml:space="preserve"> </v>
      </c>
      <c r="N24" s="32" t="str">
        <f t="shared" si="3"/>
        <v xml:space="preserve"> </v>
      </c>
      <c r="O24" s="33" t="str">
        <f t="shared" si="4"/>
        <v xml:space="preserve"> </v>
      </c>
      <c r="P24" s="34" t="str">
        <f t="shared" si="5"/>
        <v xml:space="preserve"> </v>
      </c>
      <c r="Q24" s="32" t="str">
        <f t="shared" si="6"/>
        <v/>
      </c>
      <c r="R24" s="32" t="str">
        <f t="shared" si="7"/>
        <v/>
      </c>
      <c r="S24" s="116"/>
    </row>
    <row r="25" spans="1:19" ht="18" customHeight="1">
      <c r="A25" s="30"/>
      <c r="B25" s="75">
        <v>19</v>
      </c>
      <c r="C25" s="76" t="s">
        <v>45</v>
      </c>
      <c r="D25" s="150">
        <v>15.882999999999999</v>
      </c>
      <c r="E25" s="150">
        <v>0.03</v>
      </c>
      <c r="F25" s="150">
        <v>-0.03</v>
      </c>
      <c r="G25" s="76" t="s">
        <v>46</v>
      </c>
      <c r="H25" s="87"/>
      <c r="I25" s="87"/>
      <c r="J25" s="87"/>
      <c r="K25" s="31" t="str">
        <f t="shared" si="0"/>
        <v xml:space="preserve"> </v>
      </c>
      <c r="L25" s="31" t="str">
        <f t="shared" si="1"/>
        <v xml:space="preserve"> </v>
      </c>
      <c r="M25" s="31" t="str">
        <f t="shared" si="2"/>
        <v xml:space="preserve"> </v>
      </c>
      <c r="N25" s="32" t="str">
        <f t="shared" si="3"/>
        <v xml:space="preserve"> </v>
      </c>
      <c r="O25" s="33" t="str">
        <f t="shared" si="4"/>
        <v xml:space="preserve"> </v>
      </c>
      <c r="P25" s="34" t="str">
        <f t="shared" si="5"/>
        <v xml:space="preserve"> </v>
      </c>
      <c r="Q25" s="32" t="str">
        <f t="shared" si="6"/>
        <v/>
      </c>
      <c r="R25" s="32" t="str">
        <f t="shared" si="7"/>
        <v/>
      </c>
      <c r="S25" s="116"/>
    </row>
    <row r="26" spans="1:19" ht="18" customHeight="1">
      <c r="A26" s="30"/>
      <c r="B26" s="75" t="s">
        <v>123</v>
      </c>
      <c r="C26" s="76" t="s">
        <v>45</v>
      </c>
      <c r="D26" s="150">
        <v>3.9380000000000002</v>
      </c>
      <c r="E26" s="150">
        <v>0.03</v>
      </c>
      <c r="F26" s="150">
        <v>-0.03</v>
      </c>
      <c r="G26" s="76" t="s">
        <v>46</v>
      </c>
      <c r="H26" s="87"/>
      <c r="I26" s="87"/>
      <c r="J26" s="87"/>
      <c r="K26" s="31" t="str">
        <f t="shared" si="0"/>
        <v xml:space="preserve"> </v>
      </c>
      <c r="L26" s="31" t="str">
        <f t="shared" si="1"/>
        <v xml:space="preserve"> </v>
      </c>
      <c r="M26" s="31" t="str">
        <f t="shared" si="2"/>
        <v xml:space="preserve"> </v>
      </c>
      <c r="N26" s="32" t="str">
        <f t="shared" si="3"/>
        <v xml:space="preserve"> </v>
      </c>
      <c r="O26" s="33" t="str">
        <f t="shared" si="4"/>
        <v xml:space="preserve"> </v>
      </c>
      <c r="P26" s="34" t="str">
        <f t="shared" si="5"/>
        <v xml:space="preserve"> </v>
      </c>
      <c r="Q26" s="32" t="str">
        <f t="shared" si="6"/>
        <v/>
      </c>
      <c r="R26" s="32" t="str">
        <f t="shared" si="7"/>
        <v/>
      </c>
      <c r="S26" s="116"/>
    </row>
    <row r="27" spans="1:19" ht="18" customHeight="1">
      <c r="A27" s="30"/>
      <c r="B27" s="75" t="s">
        <v>124</v>
      </c>
      <c r="C27" s="76" t="s">
        <v>45</v>
      </c>
      <c r="D27" s="150">
        <v>3.9380000000000002</v>
      </c>
      <c r="E27" s="150">
        <v>0.03</v>
      </c>
      <c r="F27" s="150">
        <v>-0.03</v>
      </c>
      <c r="G27" s="76" t="s">
        <v>46</v>
      </c>
      <c r="H27" s="87"/>
      <c r="I27" s="87"/>
      <c r="J27" s="87"/>
      <c r="K27" s="31" t="str">
        <f t="shared" si="0"/>
        <v xml:space="preserve"> </v>
      </c>
      <c r="L27" s="31" t="str">
        <f t="shared" si="1"/>
        <v xml:space="preserve"> </v>
      </c>
      <c r="M27" s="31" t="str">
        <f t="shared" si="2"/>
        <v xml:space="preserve"> </v>
      </c>
      <c r="N27" s="32" t="str">
        <f t="shared" si="3"/>
        <v xml:space="preserve"> </v>
      </c>
      <c r="O27" s="33" t="str">
        <f t="shared" si="4"/>
        <v xml:space="preserve"> </v>
      </c>
      <c r="P27" s="34" t="str">
        <f t="shared" si="5"/>
        <v xml:space="preserve"> </v>
      </c>
      <c r="Q27" s="32" t="str">
        <f t="shared" si="6"/>
        <v/>
      </c>
      <c r="R27" s="32" t="str">
        <f t="shared" si="7"/>
        <v/>
      </c>
      <c r="S27" s="116"/>
    </row>
    <row r="28" spans="1:19" ht="18" customHeight="1">
      <c r="A28" s="30"/>
      <c r="B28" s="75" t="s">
        <v>125</v>
      </c>
      <c r="C28" s="76" t="s">
        <v>45</v>
      </c>
      <c r="D28" s="150">
        <v>3.9380000000000002</v>
      </c>
      <c r="E28" s="150">
        <v>0.03</v>
      </c>
      <c r="F28" s="150">
        <v>-0.03</v>
      </c>
      <c r="G28" s="76" t="s">
        <v>46</v>
      </c>
      <c r="H28" s="87"/>
      <c r="I28" s="87"/>
      <c r="J28" s="87"/>
      <c r="K28" s="31" t="str">
        <f t="shared" si="0"/>
        <v xml:space="preserve"> </v>
      </c>
      <c r="L28" s="31" t="str">
        <f t="shared" si="1"/>
        <v xml:space="preserve"> </v>
      </c>
      <c r="M28" s="31" t="str">
        <f t="shared" si="2"/>
        <v xml:space="preserve"> </v>
      </c>
      <c r="N28" s="32" t="str">
        <f t="shared" si="3"/>
        <v xml:space="preserve"> </v>
      </c>
      <c r="O28" s="33" t="str">
        <f t="shared" si="4"/>
        <v xml:space="preserve"> </v>
      </c>
      <c r="P28" s="34" t="str">
        <f t="shared" si="5"/>
        <v xml:space="preserve"> </v>
      </c>
      <c r="Q28" s="32" t="str">
        <f t="shared" si="6"/>
        <v/>
      </c>
      <c r="R28" s="32" t="str">
        <f t="shared" si="7"/>
        <v/>
      </c>
      <c r="S28" s="116"/>
    </row>
    <row r="29" spans="1:19" ht="18" customHeight="1">
      <c r="A29" s="30"/>
      <c r="B29" s="75" t="s">
        <v>317</v>
      </c>
      <c r="C29" s="76" t="s">
        <v>45</v>
      </c>
      <c r="D29" s="150">
        <v>1.125</v>
      </c>
      <c r="E29" s="150">
        <v>0.03</v>
      </c>
      <c r="F29" s="150">
        <v>-0.02</v>
      </c>
      <c r="G29" s="76" t="s">
        <v>231</v>
      </c>
      <c r="H29" s="87"/>
      <c r="I29" s="87"/>
      <c r="J29" s="87"/>
      <c r="K29" s="31" t="str">
        <f t="shared" si="0"/>
        <v xml:space="preserve"> </v>
      </c>
      <c r="L29" s="31" t="str">
        <f t="shared" si="1"/>
        <v xml:space="preserve"> </v>
      </c>
      <c r="M29" s="31" t="str">
        <f t="shared" si="2"/>
        <v xml:space="preserve"> </v>
      </c>
      <c r="N29" s="32" t="str">
        <f t="shared" si="3"/>
        <v xml:space="preserve"> </v>
      </c>
      <c r="O29" s="33" t="str">
        <f t="shared" si="4"/>
        <v xml:space="preserve"> </v>
      </c>
      <c r="P29" s="34" t="str">
        <f t="shared" si="5"/>
        <v xml:space="preserve"> </v>
      </c>
      <c r="Q29" s="32" t="str">
        <f t="shared" si="6"/>
        <v/>
      </c>
      <c r="R29" s="32" t="str">
        <f t="shared" si="7"/>
        <v/>
      </c>
      <c r="S29" s="116"/>
    </row>
    <row r="30" spans="1:19" ht="18" customHeight="1">
      <c r="A30" s="30"/>
      <c r="B30" s="75" t="s">
        <v>318</v>
      </c>
      <c r="C30" s="76" t="s">
        <v>45</v>
      </c>
      <c r="D30" s="150">
        <v>1.125</v>
      </c>
      <c r="E30" s="150">
        <v>0.03</v>
      </c>
      <c r="F30" s="150">
        <v>-0.02</v>
      </c>
      <c r="G30" s="76" t="s">
        <v>231</v>
      </c>
      <c r="H30" s="87"/>
      <c r="I30" s="87"/>
      <c r="J30" s="87"/>
      <c r="K30" s="31" t="str">
        <f t="shared" si="0"/>
        <v xml:space="preserve"> </v>
      </c>
      <c r="L30" s="31" t="str">
        <f t="shared" si="1"/>
        <v xml:space="preserve"> </v>
      </c>
      <c r="M30" s="31" t="str">
        <f t="shared" si="2"/>
        <v xml:space="preserve"> </v>
      </c>
      <c r="N30" s="32" t="str">
        <f t="shared" si="3"/>
        <v xml:space="preserve"> </v>
      </c>
      <c r="O30" s="33" t="str">
        <f t="shared" si="4"/>
        <v xml:space="preserve"> </v>
      </c>
      <c r="P30" s="34" t="str">
        <f t="shared" si="5"/>
        <v xml:space="preserve"> </v>
      </c>
      <c r="Q30" s="32" t="str">
        <f t="shared" si="6"/>
        <v/>
      </c>
      <c r="R30" s="32" t="str">
        <f t="shared" si="7"/>
        <v/>
      </c>
      <c r="S30" s="116"/>
    </row>
    <row r="31" spans="1:19" ht="18" customHeight="1">
      <c r="A31" s="30"/>
      <c r="B31" s="75" t="s">
        <v>319</v>
      </c>
      <c r="C31" s="76" t="s">
        <v>45</v>
      </c>
      <c r="D31" s="150">
        <v>1.125</v>
      </c>
      <c r="E31" s="150">
        <v>0.03</v>
      </c>
      <c r="F31" s="150">
        <v>-0.02</v>
      </c>
      <c r="G31" s="76" t="s">
        <v>231</v>
      </c>
      <c r="H31" s="87"/>
      <c r="I31" s="87"/>
      <c r="J31" s="87"/>
      <c r="K31" s="31" t="str">
        <f t="shared" si="0"/>
        <v xml:space="preserve"> </v>
      </c>
      <c r="L31" s="31" t="str">
        <f t="shared" si="1"/>
        <v xml:space="preserve"> </v>
      </c>
      <c r="M31" s="31" t="str">
        <f t="shared" si="2"/>
        <v xml:space="preserve"> </v>
      </c>
      <c r="N31" s="32" t="str">
        <f t="shared" si="3"/>
        <v xml:space="preserve"> </v>
      </c>
      <c r="O31" s="33" t="str">
        <f t="shared" si="4"/>
        <v xml:space="preserve"> </v>
      </c>
      <c r="P31" s="34" t="str">
        <f t="shared" si="5"/>
        <v xml:space="preserve"> </v>
      </c>
      <c r="Q31" s="32" t="str">
        <f t="shared" si="6"/>
        <v/>
      </c>
      <c r="R31" s="32" t="str">
        <f t="shared" si="7"/>
        <v/>
      </c>
      <c r="S31" s="116"/>
    </row>
    <row r="32" spans="1:19" ht="18" customHeight="1">
      <c r="A32" s="30"/>
      <c r="B32" s="75" t="s">
        <v>320</v>
      </c>
      <c r="C32" s="76" t="s">
        <v>45</v>
      </c>
      <c r="D32" s="150">
        <v>1.125</v>
      </c>
      <c r="E32" s="150">
        <v>0.03</v>
      </c>
      <c r="F32" s="150">
        <v>-0.02</v>
      </c>
      <c r="G32" s="76" t="s">
        <v>231</v>
      </c>
      <c r="H32" s="87"/>
      <c r="I32" s="87"/>
      <c r="J32" s="87"/>
      <c r="K32" s="31" t="str">
        <f t="shared" si="0"/>
        <v xml:space="preserve"> </v>
      </c>
      <c r="L32" s="31" t="str">
        <f t="shared" si="1"/>
        <v xml:space="preserve"> </v>
      </c>
      <c r="M32" s="31" t="str">
        <f t="shared" si="2"/>
        <v xml:space="preserve"> </v>
      </c>
      <c r="N32" s="32" t="str">
        <f t="shared" si="3"/>
        <v xml:space="preserve"> </v>
      </c>
      <c r="O32" s="33" t="str">
        <f t="shared" si="4"/>
        <v xml:space="preserve"> </v>
      </c>
      <c r="P32" s="34" t="str">
        <f t="shared" si="5"/>
        <v xml:space="preserve"> </v>
      </c>
      <c r="Q32" s="32" t="str">
        <f t="shared" si="6"/>
        <v/>
      </c>
      <c r="R32" s="32" t="str">
        <f t="shared" si="7"/>
        <v/>
      </c>
      <c r="S32" s="116"/>
    </row>
    <row r="33" spans="1:19" ht="18" customHeight="1">
      <c r="A33" s="30"/>
      <c r="B33" s="75" t="s">
        <v>321</v>
      </c>
      <c r="C33" s="76" t="s">
        <v>45</v>
      </c>
      <c r="D33" s="150">
        <v>1.125</v>
      </c>
      <c r="E33" s="150">
        <v>0.03</v>
      </c>
      <c r="F33" s="150">
        <v>-0.02</v>
      </c>
      <c r="G33" s="76" t="s">
        <v>231</v>
      </c>
      <c r="H33" s="87"/>
      <c r="I33" s="87"/>
      <c r="J33" s="87"/>
      <c r="K33" s="31" t="str">
        <f t="shared" si="0"/>
        <v xml:space="preserve"> </v>
      </c>
      <c r="L33" s="31" t="str">
        <f t="shared" si="1"/>
        <v xml:space="preserve"> </v>
      </c>
      <c r="M33" s="31" t="str">
        <f t="shared" si="2"/>
        <v xml:space="preserve"> </v>
      </c>
      <c r="N33" s="32" t="str">
        <f t="shared" si="3"/>
        <v xml:space="preserve"> </v>
      </c>
      <c r="O33" s="33" t="str">
        <f t="shared" si="4"/>
        <v xml:space="preserve"> </v>
      </c>
      <c r="P33" s="34" t="str">
        <f t="shared" si="5"/>
        <v xml:space="preserve"> </v>
      </c>
      <c r="Q33" s="32" t="str">
        <f t="shared" si="6"/>
        <v/>
      </c>
      <c r="R33" s="32" t="str">
        <f t="shared" si="7"/>
        <v/>
      </c>
      <c r="S33" s="116"/>
    </row>
    <row r="34" spans="1:19" ht="18" customHeight="1">
      <c r="A34" s="30"/>
      <c r="B34" s="75" t="s">
        <v>322</v>
      </c>
      <c r="C34" s="76" t="s">
        <v>45</v>
      </c>
      <c r="D34" s="150">
        <v>1.125</v>
      </c>
      <c r="E34" s="150">
        <v>0.03</v>
      </c>
      <c r="F34" s="150">
        <v>-0.02</v>
      </c>
      <c r="G34" s="76" t="s">
        <v>231</v>
      </c>
      <c r="H34" s="87"/>
      <c r="I34" s="87"/>
      <c r="J34" s="87"/>
      <c r="K34" s="31" t="str">
        <f t="shared" si="0"/>
        <v xml:space="preserve"> </v>
      </c>
      <c r="L34" s="31" t="str">
        <f t="shared" si="1"/>
        <v xml:space="preserve"> </v>
      </c>
      <c r="M34" s="31" t="str">
        <f t="shared" si="2"/>
        <v xml:space="preserve"> </v>
      </c>
      <c r="N34" s="32" t="str">
        <f t="shared" si="3"/>
        <v xml:space="preserve"> </v>
      </c>
      <c r="O34" s="33" t="str">
        <f t="shared" si="4"/>
        <v xml:space="preserve"> </v>
      </c>
      <c r="P34" s="34" t="str">
        <f t="shared" si="5"/>
        <v xml:space="preserve"> </v>
      </c>
      <c r="Q34" s="32"/>
      <c r="R34" s="32"/>
      <c r="S34" s="116"/>
    </row>
    <row r="35" spans="1:19" ht="18" customHeight="1">
      <c r="A35" s="30"/>
      <c r="B35" s="75" t="s">
        <v>126</v>
      </c>
      <c r="C35" s="76" t="s">
        <v>45</v>
      </c>
      <c r="D35" s="150">
        <v>0.27500000000000002</v>
      </c>
      <c r="E35" s="150">
        <v>0.03</v>
      </c>
      <c r="F35" s="150">
        <v>-0.03</v>
      </c>
      <c r="G35" s="76" t="s">
        <v>46</v>
      </c>
      <c r="H35" s="87"/>
      <c r="I35" s="87"/>
      <c r="J35" s="87"/>
      <c r="K35" s="31" t="str">
        <f t="shared" si="0"/>
        <v xml:space="preserve"> </v>
      </c>
      <c r="L35" s="31" t="str">
        <f t="shared" si="1"/>
        <v xml:space="preserve"> </v>
      </c>
      <c r="M35" s="31" t="str">
        <f t="shared" si="2"/>
        <v xml:space="preserve"> </v>
      </c>
      <c r="N35" s="32" t="str">
        <f t="shared" si="3"/>
        <v xml:space="preserve"> </v>
      </c>
      <c r="O35" s="33" t="str">
        <f t="shared" si="4"/>
        <v xml:space="preserve"> </v>
      </c>
      <c r="P35" s="34" t="str">
        <f t="shared" si="5"/>
        <v xml:space="preserve"> </v>
      </c>
      <c r="Q35" s="32" t="str">
        <f t="shared" si="6"/>
        <v/>
      </c>
      <c r="R35" s="32" t="str">
        <f t="shared" ref="R35:R98" si="8">IF(H35="","",IF(ISERR(F35/F35)=TRUE,"",IF(ISERR(F35/D35)=TRUE,IF((F35-MIN(H35:J35))&gt;0.001,"Reject",""),IF(ISNUMBER($P35)=TRUE,IF($P35&gt;0.651,IF($P35&gt;1.001,"Reject","Alert"),""),""))))</f>
        <v/>
      </c>
      <c r="S35" s="116"/>
    </row>
    <row r="36" spans="1:19" ht="18" customHeight="1">
      <c r="A36" s="30"/>
      <c r="B36" s="75" t="s">
        <v>127</v>
      </c>
      <c r="C36" s="76" t="s">
        <v>45</v>
      </c>
      <c r="D36" s="150">
        <v>0.27500000000000002</v>
      </c>
      <c r="E36" s="150">
        <v>0.03</v>
      </c>
      <c r="F36" s="150">
        <v>-0.03</v>
      </c>
      <c r="G36" s="76" t="s">
        <v>46</v>
      </c>
      <c r="H36" s="87"/>
      <c r="I36" s="87"/>
      <c r="J36" s="87"/>
      <c r="K36" s="31" t="str">
        <f t="shared" si="0"/>
        <v xml:space="preserve"> </v>
      </c>
      <c r="L36" s="31" t="str">
        <f t="shared" si="1"/>
        <v xml:space="preserve"> </v>
      </c>
      <c r="M36" s="31" t="str">
        <f t="shared" si="2"/>
        <v xml:space="preserve"> </v>
      </c>
      <c r="N36" s="32" t="str">
        <f t="shared" si="3"/>
        <v xml:space="preserve"> </v>
      </c>
      <c r="O36" s="33" t="str">
        <f t="shared" si="4"/>
        <v xml:space="preserve"> </v>
      </c>
      <c r="P36" s="34" t="str">
        <f t="shared" si="5"/>
        <v xml:space="preserve"> </v>
      </c>
      <c r="Q36" s="32" t="str">
        <f t="shared" si="6"/>
        <v/>
      </c>
      <c r="R36" s="32" t="str">
        <f t="shared" si="8"/>
        <v/>
      </c>
      <c r="S36" s="116"/>
    </row>
    <row r="37" spans="1:19" ht="18" customHeight="1">
      <c r="A37" s="30"/>
      <c r="B37" s="75" t="s">
        <v>259</v>
      </c>
      <c r="C37" s="76" t="s">
        <v>45</v>
      </c>
      <c r="D37" s="150">
        <v>0.27500000000000002</v>
      </c>
      <c r="E37" s="150">
        <v>0.03</v>
      </c>
      <c r="F37" s="150">
        <v>-0.03</v>
      </c>
      <c r="G37" s="76" t="s">
        <v>46</v>
      </c>
      <c r="H37" s="87"/>
      <c r="I37" s="87"/>
      <c r="J37" s="87"/>
      <c r="K37" s="31" t="str">
        <f t="shared" si="0"/>
        <v xml:space="preserve"> </v>
      </c>
      <c r="L37" s="31" t="str">
        <f t="shared" si="1"/>
        <v xml:space="preserve"> </v>
      </c>
      <c r="M37" s="31" t="str">
        <f t="shared" si="2"/>
        <v xml:space="preserve"> </v>
      </c>
      <c r="N37" s="32" t="str">
        <f t="shared" si="3"/>
        <v xml:space="preserve"> </v>
      </c>
      <c r="O37" s="33" t="str">
        <f t="shared" si="4"/>
        <v xml:space="preserve"> </v>
      </c>
      <c r="P37" s="34" t="str">
        <f t="shared" si="5"/>
        <v xml:space="preserve"> </v>
      </c>
      <c r="Q37" s="32" t="str">
        <f t="shared" si="6"/>
        <v/>
      </c>
      <c r="R37" s="32" t="str">
        <f t="shared" si="8"/>
        <v/>
      </c>
      <c r="S37" s="116"/>
    </row>
    <row r="38" spans="1:19" ht="18" customHeight="1">
      <c r="A38" s="30"/>
      <c r="B38" s="75" t="s">
        <v>260</v>
      </c>
      <c r="C38" s="76" t="s">
        <v>45</v>
      </c>
      <c r="D38" s="150">
        <v>0.27500000000000002</v>
      </c>
      <c r="E38" s="150">
        <v>0.03</v>
      </c>
      <c r="F38" s="150">
        <v>-0.03</v>
      </c>
      <c r="G38" s="76" t="s">
        <v>46</v>
      </c>
      <c r="H38" s="87"/>
      <c r="I38" s="87"/>
      <c r="J38" s="87"/>
      <c r="K38" s="31" t="str">
        <f t="shared" si="0"/>
        <v xml:space="preserve"> </v>
      </c>
      <c r="L38" s="31" t="str">
        <f t="shared" si="1"/>
        <v xml:space="preserve"> </v>
      </c>
      <c r="M38" s="31" t="str">
        <f t="shared" si="2"/>
        <v xml:space="preserve"> </v>
      </c>
      <c r="N38" s="32" t="str">
        <f t="shared" si="3"/>
        <v xml:space="preserve"> </v>
      </c>
      <c r="O38" s="33" t="str">
        <f t="shared" si="4"/>
        <v xml:space="preserve"> </v>
      </c>
      <c r="P38" s="34" t="str">
        <f t="shared" si="5"/>
        <v xml:space="preserve"> </v>
      </c>
      <c r="Q38" s="32" t="str">
        <f t="shared" si="6"/>
        <v/>
      </c>
      <c r="R38" s="32" t="str">
        <f t="shared" si="8"/>
        <v/>
      </c>
      <c r="S38" s="116"/>
    </row>
    <row r="39" spans="1:19" ht="18" customHeight="1">
      <c r="A39" s="30"/>
      <c r="B39" s="75" t="s">
        <v>261</v>
      </c>
      <c r="C39" s="76" t="s">
        <v>45</v>
      </c>
      <c r="D39" s="150">
        <v>0.27500000000000002</v>
      </c>
      <c r="E39" s="150">
        <v>0.03</v>
      </c>
      <c r="F39" s="150">
        <v>-0.03</v>
      </c>
      <c r="G39" s="76" t="s">
        <v>46</v>
      </c>
      <c r="H39" s="87"/>
      <c r="I39" s="87"/>
      <c r="J39" s="87"/>
      <c r="K39" s="31" t="str">
        <f t="shared" si="0"/>
        <v xml:space="preserve"> </v>
      </c>
      <c r="L39" s="31" t="str">
        <f t="shared" si="1"/>
        <v xml:space="preserve"> </v>
      </c>
      <c r="M39" s="31" t="str">
        <f t="shared" si="2"/>
        <v xml:space="preserve"> </v>
      </c>
      <c r="N39" s="32" t="str">
        <f t="shared" si="3"/>
        <v xml:space="preserve"> </v>
      </c>
      <c r="O39" s="33" t="str">
        <f t="shared" si="4"/>
        <v xml:space="preserve"> </v>
      </c>
      <c r="P39" s="34" t="str">
        <f t="shared" si="5"/>
        <v xml:space="preserve"> </v>
      </c>
      <c r="Q39" s="32" t="str">
        <f t="shared" si="6"/>
        <v/>
      </c>
      <c r="R39" s="32" t="str">
        <f t="shared" si="8"/>
        <v/>
      </c>
      <c r="S39" s="116"/>
    </row>
    <row r="40" spans="1:19" ht="18" customHeight="1">
      <c r="A40" s="30"/>
      <c r="B40" s="75" t="s">
        <v>128</v>
      </c>
      <c r="C40" s="76" t="s">
        <v>45</v>
      </c>
      <c r="D40" s="150">
        <v>0.27500000000000002</v>
      </c>
      <c r="E40" s="150">
        <v>1.4999999999999999E-2</v>
      </c>
      <c r="F40" s="150">
        <v>-1.4999999999999999E-2</v>
      </c>
      <c r="G40" s="76" t="s">
        <v>46</v>
      </c>
      <c r="H40" s="87"/>
      <c r="I40" s="87"/>
      <c r="J40" s="87"/>
      <c r="K40" s="31" t="str">
        <f t="shared" si="0"/>
        <v xml:space="preserve"> </v>
      </c>
      <c r="L40" s="31" t="str">
        <f t="shared" si="1"/>
        <v xml:space="preserve"> </v>
      </c>
      <c r="M40" s="31" t="str">
        <f t="shared" si="2"/>
        <v xml:space="preserve"> </v>
      </c>
      <c r="N40" s="32" t="str">
        <f t="shared" si="3"/>
        <v xml:space="preserve"> </v>
      </c>
      <c r="O40" s="33" t="str">
        <f t="shared" si="4"/>
        <v xml:space="preserve"> </v>
      </c>
      <c r="P40" s="34" t="str">
        <f t="shared" si="5"/>
        <v xml:space="preserve"> </v>
      </c>
      <c r="Q40" s="32" t="str">
        <f t="shared" si="6"/>
        <v/>
      </c>
      <c r="R40" s="32" t="str">
        <f t="shared" si="8"/>
        <v/>
      </c>
      <c r="S40" s="116"/>
    </row>
    <row r="41" spans="1:19" ht="18" customHeight="1">
      <c r="A41" s="30"/>
      <c r="B41" s="75" t="s">
        <v>129</v>
      </c>
      <c r="C41" s="76" t="s">
        <v>45</v>
      </c>
      <c r="D41" s="150">
        <v>0.27500000000000002</v>
      </c>
      <c r="E41" s="150">
        <v>1.4999999999999999E-2</v>
      </c>
      <c r="F41" s="150">
        <v>-1.4999999999999999E-2</v>
      </c>
      <c r="G41" s="76" t="s">
        <v>46</v>
      </c>
      <c r="H41" s="87"/>
      <c r="I41" s="87"/>
      <c r="J41" s="87"/>
      <c r="K41" s="31" t="str">
        <f t="shared" si="0"/>
        <v xml:space="preserve"> </v>
      </c>
      <c r="L41" s="31" t="str">
        <f t="shared" si="1"/>
        <v xml:space="preserve"> </v>
      </c>
      <c r="M41" s="31" t="str">
        <f t="shared" si="2"/>
        <v xml:space="preserve"> </v>
      </c>
      <c r="N41" s="32" t="str">
        <f t="shared" si="3"/>
        <v xml:space="preserve"> </v>
      </c>
      <c r="O41" s="33" t="str">
        <f t="shared" si="4"/>
        <v xml:space="preserve"> </v>
      </c>
      <c r="P41" s="34" t="str">
        <f t="shared" si="5"/>
        <v xml:space="preserve"> </v>
      </c>
      <c r="Q41" s="32" t="str">
        <f t="shared" si="6"/>
        <v/>
      </c>
      <c r="R41" s="32" t="str">
        <f t="shared" si="8"/>
        <v/>
      </c>
      <c r="S41" s="116"/>
    </row>
    <row r="42" spans="1:19" ht="18" customHeight="1">
      <c r="A42" s="30"/>
      <c r="B42" s="75" t="s">
        <v>324</v>
      </c>
      <c r="C42" s="76" t="s">
        <v>45</v>
      </c>
      <c r="D42" s="150">
        <v>1.8180000000000001</v>
      </c>
      <c r="E42" s="150">
        <v>0.03</v>
      </c>
      <c r="F42" s="150">
        <v>-0.03</v>
      </c>
      <c r="G42" s="76" t="s">
        <v>46</v>
      </c>
      <c r="H42" s="87"/>
      <c r="I42" s="87"/>
      <c r="J42" s="87"/>
      <c r="K42" s="31" t="str">
        <f t="shared" si="0"/>
        <v xml:space="preserve"> </v>
      </c>
      <c r="L42" s="31" t="str">
        <f t="shared" si="1"/>
        <v xml:space="preserve"> </v>
      </c>
      <c r="M42" s="31" t="str">
        <f t="shared" si="2"/>
        <v xml:space="preserve"> </v>
      </c>
      <c r="N42" s="32" t="str">
        <f t="shared" si="3"/>
        <v xml:space="preserve"> </v>
      </c>
      <c r="O42" s="33" t="str">
        <f t="shared" si="4"/>
        <v xml:space="preserve"> </v>
      </c>
      <c r="P42" s="34" t="str">
        <f t="shared" si="5"/>
        <v xml:space="preserve"> </v>
      </c>
      <c r="Q42" s="32" t="str">
        <f t="shared" si="6"/>
        <v/>
      </c>
      <c r="R42" s="32" t="str">
        <f t="shared" si="8"/>
        <v/>
      </c>
      <c r="S42" s="116"/>
    </row>
    <row r="43" spans="1:19" ht="18" customHeight="1">
      <c r="A43" s="30"/>
      <c r="B43" s="75">
        <v>26</v>
      </c>
      <c r="C43" s="76" t="s">
        <v>45</v>
      </c>
      <c r="D43" s="150">
        <v>5.9269999999999996</v>
      </c>
      <c r="E43" s="150">
        <v>0.03</v>
      </c>
      <c r="F43" s="150">
        <v>-0.03</v>
      </c>
      <c r="G43" s="76" t="s">
        <v>46</v>
      </c>
      <c r="H43" s="87"/>
      <c r="I43" s="87"/>
      <c r="J43" s="87"/>
      <c r="K43" s="31" t="str">
        <f t="shared" si="0"/>
        <v xml:space="preserve"> </v>
      </c>
      <c r="L43" s="31" t="str">
        <f t="shared" si="1"/>
        <v xml:space="preserve"> </v>
      </c>
      <c r="M43" s="31" t="str">
        <f t="shared" si="2"/>
        <v xml:space="preserve"> </v>
      </c>
      <c r="N43" s="32" t="str">
        <f t="shared" si="3"/>
        <v xml:space="preserve"> </v>
      </c>
      <c r="O43" s="33" t="str">
        <f t="shared" si="4"/>
        <v xml:space="preserve"> </v>
      </c>
      <c r="P43" s="34" t="str">
        <f t="shared" si="5"/>
        <v xml:space="preserve"> </v>
      </c>
      <c r="Q43" s="32" t="str">
        <f t="shared" si="6"/>
        <v/>
      </c>
      <c r="R43" s="32" t="str">
        <f t="shared" si="8"/>
        <v/>
      </c>
      <c r="S43" s="116"/>
    </row>
    <row r="44" spans="1:19" ht="18" customHeight="1">
      <c r="A44" s="30"/>
      <c r="B44" s="75" t="s">
        <v>103</v>
      </c>
      <c r="C44" s="76" t="s">
        <v>45</v>
      </c>
      <c r="D44" s="150">
        <v>8.3719999999999999</v>
      </c>
      <c r="E44" s="150">
        <v>0.03</v>
      </c>
      <c r="F44" s="150">
        <v>-0.03</v>
      </c>
      <c r="G44" s="76" t="s">
        <v>46</v>
      </c>
      <c r="H44" s="87"/>
      <c r="I44" s="87"/>
      <c r="J44" s="87"/>
      <c r="K44" s="31" t="str">
        <f t="shared" si="0"/>
        <v xml:space="preserve"> </v>
      </c>
      <c r="L44" s="31" t="str">
        <f t="shared" si="1"/>
        <v xml:space="preserve"> </v>
      </c>
      <c r="M44" s="31" t="str">
        <f t="shared" si="2"/>
        <v xml:space="preserve"> </v>
      </c>
      <c r="N44" s="32" t="str">
        <f t="shared" si="3"/>
        <v xml:space="preserve"> </v>
      </c>
      <c r="O44" s="33" t="str">
        <f t="shared" si="4"/>
        <v xml:space="preserve"> </v>
      </c>
      <c r="P44" s="34" t="str">
        <f t="shared" si="5"/>
        <v xml:space="preserve"> </v>
      </c>
      <c r="Q44" s="32" t="str">
        <f t="shared" si="6"/>
        <v/>
      </c>
      <c r="R44" s="32" t="str">
        <f t="shared" si="8"/>
        <v/>
      </c>
      <c r="S44" s="116"/>
    </row>
    <row r="45" spans="1:19" ht="18" customHeight="1">
      <c r="A45" s="30"/>
      <c r="B45" s="75" t="s">
        <v>104</v>
      </c>
      <c r="C45" s="76" t="s">
        <v>45</v>
      </c>
      <c r="D45" s="150">
        <v>8.3719999999999999</v>
      </c>
      <c r="E45" s="150">
        <v>0.03</v>
      </c>
      <c r="F45" s="150">
        <v>-0.03</v>
      </c>
      <c r="G45" s="76" t="s">
        <v>46</v>
      </c>
      <c r="H45" s="87"/>
      <c r="I45" s="87"/>
      <c r="J45" s="87"/>
      <c r="K45" s="31" t="str">
        <f t="shared" si="0"/>
        <v xml:space="preserve"> </v>
      </c>
      <c r="L45" s="31" t="str">
        <f t="shared" si="1"/>
        <v xml:space="preserve"> </v>
      </c>
      <c r="M45" s="31" t="str">
        <f t="shared" si="2"/>
        <v xml:space="preserve"> </v>
      </c>
      <c r="N45" s="32" t="str">
        <f t="shared" si="3"/>
        <v xml:space="preserve"> </v>
      </c>
      <c r="O45" s="33" t="str">
        <f t="shared" si="4"/>
        <v xml:space="preserve"> </v>
      </c>
      <c r="P45" s="34" t="str">
        <f t="shared" si="5"/>
        <v xml:space="preserve"> </v>
      </c>
      <c r="Q45" s="32" t="str">
        <f t="shared" si="6"/>
        <v/>
      </c>
      <c r="R45" s="32" t="str">
        <f t="shared" si="8"/>
        <v/>
      </c>
      <c r="S45" s="116"/>
    </row>
    <row r="46" spans="1:19" ht="18" customHeight="1">
      <c r="A46" s="30"/>
      <c r="B46" s="75" t="s">
        <v>130</v>
      </c>
      <c r="C46" s="76" t="s">
        <v>45</v>
      </c>
      <c r="D46" s="150">
        <v>20.184999999999999</v>
      </c>
      <c r="E46" s="150">
        <v>0.03</v>
      </c>
      <c r="F46" s="150">
        <v>-0.03</v>
      </c>
      <c r="G46" s="76" t="s">
        <v>46</v>
      </c>
      <c r="H46" s="87"/>
      <c r="I46" s="87"/>
      <c r="J46" s="87"/>
      <c r="K46" s="31" t="str">
        <f t="shared" si="0"/>
        <v xml:space="preserve"> </v>
      </c>
      <c r="L46" s="31" t="str">
        <f t="shared" si="1"/>
        <v xml:space="preserve"> </v>
      </c>
      <c r="M46" s="31" t="str">
        <f t="shared" si="2"/>
        <v xml:space="preserve"> </v>
      </c>
      <c r="N46" s="32" t="str">
        <f t="shared" si="3"/>
        <v xml:space="preserve"> </v>
      </c>
      <c r="O46" s="33" t="str">
        <f t="shared" si="4"/>
        <v xml:space="preserve"> </v>
      </c>
      <c r="P46" s="34" t="str">
        <f t="shared" si="5"/>
        <v xml:space="preserve"> </v>
      </c>
      <c r="Q46" s="32" t="str">
        <f t="shared" si="6"/>
        <v/>
      </c>
      <c r="R46" s="32" t="str">
        <f t="shared" si="8"/>
        <v/>
      </c>
      <c r="S46" s="116"/>
    </row>
    <row r="47" spans="1:19" ht="17.25" customHeight="1">
      <c r="A47" s="30"/>
      <c r="B47" s="75" t="s">
        <v>131</v>
      </c>
      <c r="C47" s="76" t="s">
        <v>45</v>
      </c>
      <c r="D47" s="150">
        <v>20.184999999999999</v>
      </c>
      <c r="E47" s="150">
        <v>0.03</v>
      </c>
      <c r="F47" s="150">
        <v>-0.03</v>
      </c>
      <c r="G47" s="76" t="s">
        <v>46</v>
      </c>
      <c r="H47" s="87"/>
      <c r="I47" s="87"/>
      <c r="J47" s="87"/>
      <c r="K47" s="31" t="str">
        <f t="shared" si="0"/>
        <v xml:space="preserve"> </v>
      </c>
      <c r="L47" s="31" t="str">
        <f t="shared" si="1"/>
        <v xml:space="preserve"> </v>
      </c>
      <c r="M47" s="31" t="str">
        <f t="shared" si="2"/>
        <v xml:space="preserve"> </v>
      </c>
      <c r="N47" s="32" t="str">
        <f t="shared" si="3"/>
        <v xml:space="preserve"> </v>
      </c>
      <c r="O47" s="33" t="str">
        <f t="shared" si="4"/>
        <v xml:space="preserve"> </v>
      </c>
      <c r="P47" s="34" t="str">
        <f t="shared" si="5"/>
        <v xml:space="preserve"> </v>
      </c>
      <c r="Q47" s="32" t="str">
        <f t="shared" si="6"/>
        <v/>
      </c>
      <c r="R47" s="32" t="str">
        <f t="shared" si="8"/>
        <v/>
      </c>
      <c r="S47" s="116"/>
    </row>
    <row r="48" spans="1:19" ht="18" customHeight="1">
      <c r="A48" s="30"/>
      <c r="B48" s="75">
        <v>29</v>
      </c>
      <c r="C48" s="76" t="s">
        <v>45</v>
      </c>
      <c r="D48" s="150">
        <v>9.6820000000000004</v>
      </c>
      <c r="E48" s="150">
        <v>0.03</v>
      </c>
      <c r="F48" s="150">
        <v>-0.03</v>
      </c>
      <c r="G48" s="76" t="s">
        <v>46</v>
      </c>
      <c r="H48" s="87"/>
      <c r="I48" s="87"/>
      <c r="J48" s="87"/>
      <c r="K48" s="31" t="str">
        <f t="shared" si="0"/>
        <v xml:space="preserve"> </v>
      </c>
      <c r="L48" s="31" t="str">
        <f t="shared" si="1"/>
        <v xml:space="preserve"> </v>
      </c>
      <c r="M48" s="31" t="str">
        <f t="shared" si="2"/>
        <v xml:space="preserve"> </v>
      </c>
      <c r="N48" s="32" t="str">
        <f t="shared" si="3"/>
        <v xml:space="preserve"> </v>
      </c>
      <c r="O48" s="33" t="str">
        <f t="shared" si="4"/>
        <v xml:space="preserve"> </v>
      </c>
      <c r="P48" s="34" t="str">
        <f t="shared" si="5"/>
        <v xml:space="preserve"> </v>
      </c>
      <c r="Q48" s="32" t="str">
        <f t="shared" si="6"/>
        <v/>
      </c>
      <c r="R48" s="32" t="str">
        <f t="shared" si="8"/>
        <v/>
      </c>
      <c r="S48" s="116"/>
    </row>
    <row r="49" spans="1:19" ht="18" customHeight="1">
      <c r="A49" s="30"/>
      <c r="B49" s="75">
        <v>30</v>
      </c>
      <c r="C49" s="76" t="s">
        <v>45</v>
      </c>
      <c r="D49" s="150">
        <v>24.37</v>
      </c>
      <c r="E49" s="150">
        <v>0.03</v>
      </c>
      <c r="F49" s="150">
        <v>-0.03</v>
      </c>
      <c r="G49" s="76" t="s">
        <v>46</v>
      </c>
      <c r="H49" s="87"/>
      <c r="I49" s="87"/>
      <c r="J49" s="87"/>
      <c r="K49" s="31" t="str">
        <f t="shared" si="0"/>
        <v xml:space="preserve"> </v>
      </c>
      <c r="L49" s="31" t="str">
        <f t="shared" si="1"/>
        <v xml:space="preserve"> </v>
      </c>
      <c r="M49" s="31" t="str">
        <f t="shared" si="2"/>
        <v xml:space="preserve"> </v>
      </c>
      <c r="N49" s="32" t="str">
        <f t="shared" si="3"/>
        <v xml:space="preserve"> </v>
      </c>
      <c r="O49" s="33" t="str">
        <f t="shared" si="4"/>
        <v xml:space="preserve"> </v>
      </c>
      <c r="P49" s="34" t="str">
        <f t="shared" si="5"/>
        <v xml:space="preserve"> </v>
      </c>
      <c r="Q49" s="32" t="str">
        <f t="shared" si="6"/>
        <v/>
      </c>
      <c r="R49" s="32" t="str">
        <f t="shared" si="8"/>
        <v/>
      </c>
      <c r="S49" s="116"/>
    </row>
    <row r="50" spans="1:19" ht="18" customHeight="1">
      <c r="A50" s="30"/>
      <c r="B50" s="75">
        <v>31</v>
      </c>
      <c r="C50" s="76" t="s">
        <v>45</v>
      </c>
      <c r="D50" s="150">
        <v>22.236000000000001</v>
      </c>
      <c r="E50" s="150">
        <v>0.03</v>
      </c>
      <c r="F50" s="150">
        <v>-0.03</v>
      </c>
      <c r="G50" s="76" t="s">
        <v>46</v>
      </c>
      <c r="H50" s="87"/>
      <c r="I50" s="87"/>
      <c r="J50" s="87"/>
      <c r="K50" s="31" t="str">
        <f t="shared" si="0"/>
        <v xml:space="preserve"> </v>
      </c>
      <c r="L50" s="31" t="str">
        <f t="shared" si="1"/>
        <v xml:space="preserve"> </v>
      </c>
      <c r="M50" s="31" t="str">
        <f t="shared" si="2"/>
        <v xml:space="preserve"> </v>
      </c>
      <c r="N50" s="32" t="str">
        <f t="shared" si="3"/>
        <v xml:space="preserve"> </v>
      </c>
      <c r="O50" s="33" t="str">
        <f t="shared" si="4"/>
        <v xml:space="preserve"> </v>
      </c>
      <c r="P50" s="34" t="str">
        <f t="shared" si="5"/>
        <v xml:space="preserve"> </v>
      </c>
      <c r="Q50" s="32" t="str">
        <f t="shared" si="6"/>
        <v/>
      </c>
      <c r="R50" s="32" t="str">
        <f t="shared" si="8"/>
        <v/>
      </c>
      <c r="S50" s="116"/>
    </row>
    <row r="51" spans="1:19" ht="18" customHeight="1">
      <c r="A51" s="30"/>
      <c r="B51" s="75" t="s">
        <v>105</v>
      </c>
      <c r="C51" s="76" t="s">
        <v>45</v>
      </c>
      <c r="D51" s="150">
        <v>23.802</v>
      </c>
      <c r="E51" s="150">
        <v>0.03</v>
      </c>
      <c r="F51" s="150">
        <v>-0.03</v>
      </c>
      <c r="G51" s="76" t="s">
        <v>46</v>
      </c>
      <c r="H51" s="87"/>
      <c r="I51" s="87"/>
      <c r="J51" s="87"/>
      <c r="K51" s="31" t="str">
        <f t="shared" si="0"/>
        <v xml:space="preserve"> </v>
      </c>
      <c r="L51" s="31" t="str">
        <f t="shared" si="1"/>
        <v xml:space="preserve"> </v>
      </c>
      <c r="M51" s="31" t="str">
        <f t="shared" si="2"/>
        <v xml:space="preserve"> </v>
      </c>
      <c r="N51" s="32" t="str">
        <f t="shared" si="3"/>
        <v xml:space="preserve"> </v>
      </c>
      <c r="O51" s="33" t="str">
        <f t="shared" si="4"/>
        <v xml:space="preserve"> </v>
      </c>
      <c r="P51" s="34" t="str">
        <f t="shared" si="5"/>
        <v xml:space="preserve"> </v>
      </c>
      <c r="Q51" s="32" t="str">
        <f t="shared" si="6"/>
        <v/>
      </c>
      <c r="R51" s="32" t="str">
        <f t="shared" si="8"/>
        <v/>
      </c>
      <c r="S51" s="116"/>
    </row>
    <row r="52" spans="1:19" ht="18" customHeight="1">
      <c r="A52" s="30"/>
      <c r="B52" s="75" t="s">
        <v>106</v>
      </c>
      <c r="C52" s="76" t="s">
        <v>45</v>
      </c>
      <c r="D52" s="150">
        <v>23.802</v>
      </c>
      <c r="E52" s="150">
        <v>0.03</v>
      </c>
      <c r="F52" s="150">
        <v>-0.03</v>
      </c>
      <c r="G52" s="76" t="s">
        <v>46</v>
      </c>
      <c r="H52" s="87"/>
      <c r="I52" s="87"/>
      <c r="J52" s="87"/>
      <c r="K52" s="31" t="str">
        <f t="shared" si="0"/>
        <v xml:space="preserve"> </v>
      </c>
      <c r="L52" s="31" t="str">
        <f t="shared" si="1"/>
        <v xml:space="preserve"> </v>
      </c>
      <c r="M52" s="31" t="str">
        <f t="shared" si="2"/>
        <v xml:space="preserve"> </v>
      </c>
      <c r="N52" s="32" t="str">
        <f t="shared" si="3"/>
        <v xml:space="preserve"> </v>
      </c>
      <c r="O52" s="33" t="str">
        <f t="shared" si="4"/>
        <v xml:space="preserve"> </v>
      </c>
      <c r="P52" s="34" t="str">
        <f t="shared" si="5"/>
        <v xml:space="preserve"> </v>
      </c>
      <c r="Q52" s="32" t="str">
        <f t="shared" si="6"/>
        <v/>
      </c>
      <c r="R52" s="32" t="str">
        <f t="shared" si="8"/>
        <v/>
      </c>
      <c r="S52" s="116"/>
    </row>
    <row r="53" spans="1:19" ht="18" customHeight="1">
      <c r="A53" s="30"/>
      <c r="B53" s="75" t="s">
        <v>132</v>
      </c>
      <c r="C53" s="76" t="s">
        <v>45</v>
      </c>
      <c r="D53" s="150">
        <v>24.17</v>
      </c>
      <c r="E53" s="150">
        <v>0.03</v>
      </c>
      <c r="F53" s="150">
        <v>-0.03</v>
      </c>
      <c r="G53" s="76" t="s">
        <v>46</v>
      </c>
      <c r="H53" s="87"/>
      <c r="I53" s="87"/>
      <c r="J53" s="87"/>
      <c r="K53" s="31" t="str">
        <f t="shared" si="0"/>
        <v xml:space="preserve"> </v>
      </c>
      <c r="L53" s="31" t="str">
        <f t="shared" si="1"/>
        <v xml:space="preserve"> </v>
      </c>
      <c r="M53" s="31" t="str">
        <f t="shared" si="2"/>
        <v xml:space="preserve"> </v>
      </c>
      <c r="N53" s="32" t="str">
        <f t="shared" si="3"/>
        <v xml:space="preserve"> </v>
      </c>
      <c r="O53" s="33" t="str">
        <f t="shared" si="4"/>
        <v xml:space="preserve"> </v>
      </c>
      <c r="P53" s="34" t="str">
        <f t="shared" si="5"/>
        <v xml:space="preserve"> </v>
      </c>
      <c r="Q53" s="32" t="str">
        <f t="shared" si="6"/>
        <v/>
      </c>
      <c r="R53" s="32" t="str">
        <f t="shared" si="8"/>
        <v/>
      </c>
      <c r="S53" s="116"/>
    </row>
    <row r="54" spans="1:19" ht="18" customHeight="1">
      <c r="A54" s="30"/>
      <c r="B54" s="75" t="s">
        <v>133</v>
      </c>
      <c r="C54" s="76" t="s">
        <v>45</v>
      </c>
      <c r="D54" s="150">
        <v>24.17</v>
      </c>
      <c r="E54" s="150">
        <v>0.03</v>
      </c>
      <c r="F54" s="150">
        <v>-0.03</v>
      </c>
      <c r="G54" s="76" t="s">
        <v>46</v>
      </c>
      <c r="H54" s="87"/>
      <c r="I54" s="87"/>
      <c r="J54" s="87"/>
      <c r="K54" s="31" t="str">
        <f t="shared" si="0"/>
        <v xml:space="preserve"> </v>
      </c>
      <c r="L54" s="31" t="str">
        <f t="shared" si="1"/>
        <v xml:space="preserve"> </v>
      </c>
      <c r="M54" s="31" t="str">
        <f t="shared" si="2"/>
        <v xml:space="preserve"> </v>
      </c>
      <c r="N54" s="32" t="str">
        <f t="shared" si="3"/>
        <v xml:space="preserve"> </v>
      </c>
      <c r="O54" s="33" t="str">
        <f t="shared" si="4"/>
        <v xml:space="preserve"> </v>
      </c>
      <c r="P54" s="34" t="str">
        <f t="shared" si="5"/>
        <v xml:space="preserve"> </v>
      </c>
      <c r="Q54" s="32" t="str">
        <f t="shared" si="6"/>
        <v/>
      </c>
      <c r="R54" s="32" t="str">
        <f t="shared" si="8"/>
        <v/>
      </c>
      <c r="S54" s="116"/>
    </row>
    <row r="55" spans="1:19" ht="18" customHeight="1">
      <c r="A55" s="30"/>
      <c r="B55" s="75" t="s">
        <v>134</v>
      </c>
      <c r="C55" s="76" t="s">
        <v>45</v>
      </c>
      <c r="D55" s="150">
        <v>8.4719999999999995</v>
      </c>
      <c r="E55" s="150">
        <v>0.03</v>
      </c>
      <c r="F55" s="150">
        <v>-0.03</v>
      </c>
      <c r="G55" s="76" t="s">
        <v>46</v>
      </c>
      <c r="H55" s="87"/>
      <c r="I55" s="87"/>
      <c r="J55" s="87"/>
      <c r="K55" s="31" t="str">
        <f t="shared" si="0"/>
        <v xml:space="preserve"> </v>
      </c>
      <c r="L55" s="31" t="str">
        <f t="shared" si="1"/>
        <v xml:space="preserve"> </v>
      </c>
      <c r="M55" s="31" t="str">
        <f t="shared" si="2"/>
        <v xml:space="preserve"> </v>
      </c>
      <c r="N55" s="32" t="str">
        <f t="shared" si="3"/>
        <v xml:space="preserve"> </v>
      </c>
      <c r="O55" s="33" t="str">
        <f t="shared" si="4"/>
        <v xml:space="preserve"> </v>
      </c>
      <c r="P55" s="34" t="str">
        <f t="shared" si="5"/>
        <v xml:space="preserve"> </v>
      </c>
      <c r="Q55" s="32" t="str">
        <f t="shared" si="6"/>
        <v/>
      </c>
      <c r="R55" s="32" t="str">
        <f t="shared" si="8"/>
        <v/>
      </c>
      <c r="S55" s="116"/>
    </row>
    <row r="56" spans="1:19" ht="18" customHeight="1">
      <c r="A56" s="30"/>
      <c r="B56" s="75" t="s">
        <v>135</v>
      </c>
      <c r="C56" s="76" t="s">
        <v>45</v>
      </c>
      <c r="D56" s="150">
        <v>8.4719999999999995</v>
      </c>
      <c r="E56" s="150">
        <v>0.03</v>
      </c>
      <c r="F56" s="150">
        <v>-0.03</v>
      </c>
      <c r="G56" s="76" t="s">
        <v>46</v>
      </c>
      <c r="H56" s="87"/>
      <c r="I56" s="87"/>
      <c r="J56" s="87"/>
      <c r="K56" s="31" t="str">
        <f t="shared" si="0"/>
        <v xml:space="preserve"> </v>
      </c>
      <c r="L56" s="31" t="str">
        <f t="shared" si="1"/>
        <v xml:space="preserve"> </v>
      </c>
      <c r="M56" s="31" t="str">
        <f t="shared" si="2"/>
        <v xml:space="preserve"> </v>
      </c>
      <c r="N56" s="32" t="str">
        <f t="shared" si="3"/>
        <v xml:space="preserve"> </v>
      </c>
      <c r="O56" s="33" t="str">
        <f t="shared" si="4"/>
        <v xml:space="preserve"> </v>
      </c>
      <c r="P56" s="34" t="str">
        <f t="shared" si="5"/>
        <v xml:space="preserve"> </v>
      </c>
      <c r="Q56" s="32" t="str">
        <f t="shared" si="6"/>
        <v/>
      </c>
      <c r="R56" s="32" t="str">
        <f t="shared" si="8"/>
        <v/>
      </c>
      <c r="S56" s="116"/>
    </row>
    <row r="57" spans="1:19" ht="18" customHeight="1">
      <c r="A57" s="30"/>
      <c r="B57" s="75" t="s">
        <v>107</v>
      </c>
      <c r="C57" s="76" t="s">
        <v>45</v>
      </c>
      <c r="D57" s="150">
        <v>23.006</v>
      </c>
      <c r="E57" s="150">
        <v>0.03</v>
      </c>
      <c r="F57" s="150">
        <v>-0.03</v>
      </c>
      <c r="G57" s="76" t="s">
        <v>46</v>
      </c>
      <c r="H57" s="87"/>
      <c r="I57" s="87"/>
      <c r="J57" s="87"/>
      <c r="K57" s="31" t="str">
        <f t="shared" si="0"/>
        <v xml:space="preserve"> </v>
      </c>
      <c r="L57" s="31" t="str">
        <f t="shared" si="1"/>
        <v xml:space="preserve"> </v>
      </c>
      <c r="M57" s="31" t="str">
        <f t="shared" si="2"/>
        <v xml:space="preserve"> </v>
      </c>
      <c r="N57" s="32" t="str">
        <f t="shared" si="3"/>
        <v xml:space="preserve"> </v>
      </c>
      <c r="O57" s="33" t="str">
        <f t="shared" si="4"/>
        <v xml:space="preserve"> </v>
      </c>
      <c r="P57" s="34" t="str">
        <f t="shared" si="5"/>
        <v xml:space="preserve"> </v>
      </c>
      <c r="Q57" s="32" t="str">
        <f t="shared" si="6"/>
        <v/>
      </c>
      <c r="R57" s="32" t="str">
        <f t="shared" si="8"/>
        <v/>
      </c>
      <c r="S57" s="116"/>
    </row>
    <row r="58" spans="1:19" ht="18" customHeight="1">
      <c r="A58" s="30"/>
      <c r="B58" s="75" t="s">
        <v>108</v>
      </c>
      <c r="C58" s="76" t="s">
        <v>45</v>
      </c>
      <c r="D58" s="150">
        <v>23.006</v>
      </c>
      <c r="E58" s="150">
        <v>0.03</v>
      </c>
      <c r="F58" s="150">
        <v>-0.03</v>
      </c>
      <c r="G58" s="76" t="s">
        <v>46</v>
      </c>
      <c r="H58" s="87"/>
      <c r="I58" s="87"/>
      <c r="J58" s="87"/>
      <c r="K58" s="31" t="str">
        <f t="shared" si="0"/>
        <v xml:space="preserve"> </v>
      </c>
      <c r="L58" s="31" t="str">
        <f t="shared" si="1"/>
        <v xml:space="preserve"> </v>
      </c>
      <c r="M58" s="31" t="str">
        <f t="shared" si="2"/>
        <v xml:space="preserve"> </v>
      </c>
      <c r="N58" s="32" t="str">
        <f t="shared" si="3"/>
        <v xml:space="preserve"> </v>
      </c>
      <c r="O58" s="33" t="str">
        <f t="shared" si="4"/>
        <v xml:space="preserve"> </v>
      </c>
      <c r="P58" s="34" t="str">
        <f t="shared" si="5"/>
        <v xml:space="preserve"> </v>
      </c>
      <c r="Q58" s="32" t="str">
        <f t="shared" si="6"/>
        <v/>
      </c>
      <c r="R58" s="32" t="str">
        <f t="shared" si="8"/>
        <v/>
      </c>
      <c r="S58" s="116"/>
    </row>
    <row r="59" spans="1:19" ht="18" customHeight="1">
      <c r="A59" s="30"/>
      <c r="B59" s="75" t="s">
        <v>136</v>
      </c>
      <c r="C59" s="76" t="s">
        <v>45</v>
      </c>
      <c r="D59" s="150">
        <v>23.006</v>
      </c>
      <c r="E59" s="150">
        <v>0.03</v>
      </c>
      <c r="F59" s="150">
        <v>-0.03</v>
      </c>
      <c r="G59" s="76" t="s">
        <v>46</v>
      </c>
      <c r="H59" s="87"/>
      <c r="I59" s="87"/>
      <c r="J59" s="87"/>
      <c r="K59" s="31" t="str">
        <f t="shared" si="0"/>
        <v xml:space="preserve"> </v>
      </c>
      <c r="L59" s="31" t="str">
        <f t="shared" si="1"/>
        <v xml:space="preserve"> </v>
      </c>
      <c r="M59" s="31" t="str">
        <f t="shared" si="2"/>
        <v xml:space="preserve"> </v>
      </c>
      <c r="N59" s="32" t="str">
        <f t="shared" si="3"/>
        <v xml:space="preserve"> </v>
      </c>
      <c r="O59" s="33" t="str">
        <f t="shared" si="4"/>
        <v xml:space="preserve"> </v>
      </c>
      <c r="P59" s="34" t="str">
        <f t="shared" si="5"/>
        <v xml:space="preserve"> </v>
      </c>
      <c r="Q59" s="32" t="str">
        <f t="shared" si="6"/>
        <v/>
      </c>
      <c r="R59" s="32" t="str">
        <f t="shared" si="8"/>
        <v/>
      </c>
      <c r="S59" s="116"/>
    </row>
    <row r="60" spans="1:19" ht="18" customHeight="1">
      <c r="A60" s="30"/>
      <c r="B60" s="75" t="s">
        <v>137</v>
      </c>
      <c r="C60" s="76" t="s">
        <v>45</v>
      </c>
      <c r="D60" s="150">
        <v>23.385999999999999</v>
      </c>
      <c r="E60" s="150">
        <v>3.5000000000000003E-2</v>
      </c>
      <c r="F60" s="150">
        <v>-3.5000000000000003E-2</v>
      </c>
      <c r="G60" s="76" t="s">
        <v>46</v>
      </c>
      <c r="H60" s="87"/>
      <c r="I60" s="87"/>
      <c r="J60" s="87"/>
      <c r="K60" s="31" t="str">
        <f t="shared" si="0"/>
        <v xml:space="preserve"> </v>
      </c>
      <c r="L60" s="31" t="str">
        <f t="shared" si="1"/>
        <v xml:space="preserve"> </v>
      </c>
      <c r="M60" s="31" t="str">
        <f t="shared" si="2"/>
        <v xml:space="preserve"> </v>
      </c>
      <c r="N60" s="32" t="str">
        <f t="shared" si="3"/>
        <v xml:space="preserve"> </v>
      </c>
      <c r="O60" s="33" t="str">
        <f t="shared" si="4"/>
        <v xml:space="preserve"> </v>
      </c>
      <c r="P60" s="34" t="str">
        <f t="shared" si="5"/>
        <v xml:space="preserve"> </v>
      </c>
      <c r="Q60" s="32" t="str">
        <f t="shared" si="6"/>
        <v/>
      </c>
      <c r="R60" s="32" t="str">
        <f t="shared" si="8"/>
        <v/>
      </c>
      <c r="S60" s="116"/>
    </row>
    <row r="61" spans="1:19" ht="18" customHeight="1">
      <c r="A61" s="30"/>
      <c r="B61" s="75" t="s">
        <v>138</v>
      </c>
      <c r="C61" s="76" t="s">
        <v>45</v>
      </c>
      <c r="D61" s="150">
        <v>23.385999999999999</v>
      </c>
      <c r="E61" s="150">
        <v>3.5000000000000003E-2</v>
      </c>
      <c r="F61" s="150">
        <v>-3.5000000000000003E-2</v>
      </c>
      <c r="G61" s="76" t="s">
        <v>46</v>
      </c>
      <c r="H61" s="87"/>
      <c r="I61" s="87"/>
      <c r="J61" s="87"/>
      <c r="K61" s="31" t="str">
        <f t="shared" si="0"/>
        <v xml:space="preserve"> </v>
      </c>
      <c r="L61" s="31" t="str">
        <f t="shared" si="1"/>
        <v xml:space="preserve"> </v>
      </c>
      <c r="M61" s="31" t="str">
        <f t="shared" si="2"/>
        <v xml:space="preserve"> </v>
      </c>
      <c r="N61" s="32" t="str">
        <f t="shared" si="3"/>
        <v xml:space="preserve"> </v>
      </c>
      <c r="O61" s="33" t="str">
        <f t="shared" si="4"/>
        <v xml:space="preserve"> </v>
      </c>
      <c r="P61" s="34" t="str">
        <f t="shared" si="5"/>
        <v xml:space="preserve"> </v>
      </c>
      <c r="Q61" s="32" t="str">
        <f t="shared" si="6"/>
        <v/>
      </c>
      <c r="R61" s="32" t="str">
        <f t="shared" si="8"/>
        <v/>
      </c>
      <c r="S61" s="116"/>
    </row>
    <row r="62" spans="1:19" ht="18" customHeight="1">
      <c r="A62" s="30"/>
      <c r="B62" s="75" t="s">
        <v>139</v>
      </c>
      <c r="C62" s="76" t="s">
        <v>45</v>
      </c>
      <c r="D62" s="150">
        <v>15.667</v>
      </c>
      <c r="E62" s="150">
        <v>0.03</v>
      </c>
      <c r="F62" s="150">
        <v>-0.03</v>
      </c>
      <c r="G62" s="76" t="s">
        <v>46</v>
      </c>
      <c r="H62" s="87"/>
      <c r="I62" s="87"/>
      <c r="J62" s="87"/>
      <c r="K62" s="31" t="str">
        <f t="shared" si="0"/>
        <v xml:space="preserve"> </v>
      </c>
      <c r="L62" s="31" t="str">
        <f t="shared" si="1"/>
        <v xml:space="preserve"> </v>
      </c>
      <c r="M62" s="31" t="str">
        <f t="shared" si="2"/>
        <v xml:space="preserve"> </v>
      </c>
      <c r="N62" s="32" t="str">
        <f t="shared" si="3"/>
        <v xml:space="preserve"> </v>
      </c>
      <c r="O62" s="33" t="str">
        <f t="shared" si="4"/>
        <v xml:space="preserve"> </v>
      </c>
      <c r="P62" s="34" t="str">
        <f t="shared" si="5"/>
        <v xml:space="preserve"> </v>
      </c>
      <c r="Q62" s="32" t="str">
        <f t="shared" si="6"/>
        <v/>
      </c>
      <c r="R62" s="32" t="str">
        <f t="shared" si="8"/>
        <v/>
      </c>
      <c r="S62" s="116"/>
    </row>
    <row r="63" spans="1:19" ht="18" customHeight="1">
      <c r="A63" s="30"/>
      <c r="B63" s="75" t="s">
        <v>140</v>
      </c>
      <c r="C63" s="76" t="s">
        <v>45</v>
      </c>
      <c r="D63" s="150">
        <v>15.667</v>
      </c>
      <c r="E63" s="150">
        <v>0.03</v>
      </c>
      <c r="F63" s="150">
        <v>-0.03</v>
      </c>
      <c r="G63" s="76" t="s">
        <v>46</v>
      </c>
      <c r="H63" s="87"/>
      <c r="I63" s="87"/>
      <c r="J63" s="87"/>
      <c r="K63" s="31" t="str">
        <f t="shared" si="0"/>
        <v xml:space="preserve"> </v>
      </c>
      <c r="L63" s="31" t="str">
        <f t="shared" si="1"/>
        <v xml:space="preserve"> </v>
      </c>
      <c r="M63" s="31" t="str">
        <f t="shared" si="2"/>
        <v xml:space="preserve"> </v>
      </c>
      <c r="N63" s="32" t="str">
        <f t="shared" si="3"/>
        <v xml:space="preserve"> </v>
      </c>
      <c r="O63" s="33" t="str">
        <f t="shared" si="4"/>
        <v xml:space="preserve"> </v>
      </c>
      <c r="P63" s="34" t="str">
        <f t="shared" si="5"/>
        <v xml:space="preserve"> </v>
      </c>
      <c r="Q63" s="32" t="str">
        <f t="shared" si="6"/>
        <v/>
      </c>
      <c r="R63" s="32" t="str">
        <f t="shared" si="8"/>
        <v/>
      </c>
      <c r="S63" s="116"/>
    </row>
    <row r="64" spans="1:19" ht="18" customHeight="1">
      <c r="A64" s="30"/>
      <c r="B64" s="75" t="s">
        <v>141</v>
      </c>
      <c r="C64" s="76" t="s">
        <v>45</v>
      </c>
      <c r="D64" s="150">
        <v>18.323</v>
      </c>
      <c r="E64" s="150">
        <v>3.5000000000000003E-2</v>
      </c>
      <c r="F64" s="150">
        <v>-3.5000000000000003E-2</v>
      </c>
      <c r="G64" s="76" t="s">
        <v>46</v>
      </c>
      <c r="H64" s="87"/>
      <c r="I64" s="87"/>
      <c r="J64" s="87"/>
      <c r="K64" s="31" t="str">
        <f t="shared" si="0"/>
        <v xml:space="preserve"> </v>
      </c>
      <c r="L64" s="31" t="str">
        <f t="shared" si="1"/>
        <v xml:space="preserve"> </v>
      </c>
      <c r="M64" s="31" t="str">
        <f t="shared" si="2"/>
        <v xml:space="preserve"> </v>
      </c>
      <c r="N64" s="32" t="str">
        <f t="shared" si="3"/>
        <v xml:space="preserve"> </v>
      </c>
      <c r="O64" s="33" t="str">
        <f t="shared" si="4"/>
        <v xml:space="preserve"> </v>
      </c>
      <c r="P64" s="34" t="str">
        <f t="shared" si="5"/>
        <v xml:space="preserve"> </v>
      </c>
      <c r="Q64" s="32" t="str">
        <f t="shared" si="6"/>
        <v/>
      </c>
      <c r="R64" s="32" t="str">
        <f t="shared" si="8"/>
        <v/>
      </c>
      <c r="S64" s="116"/>
    </row>
    <row r="65" spans="1:19" ht="18" customHeight="1">
      <c r="A65" s="30"/>
      <c r="B65" s="75" t="s">
        <v>142</v>
      </c>
      <c r="C65" s="76" t="s">
        <v>45</v>
      </c>
      <c r="D65" s="150">
        <v>18.323</v>
      </c>
      <c r="E65" s="150">
        <v>3.5000000000000003E-2</v>
      </c>
      <c r="F65" s="150">
        <v>-3.5000000000000003E-2</v>
      </c>
      <c r="G65" s="76" t="s">
        <v>46</v>
      </c>
      <c r="H65" s="87"/>
      <c r="I65" s="87"/>
      <c r="J65" s="87"/>
      <c r="K65" s="31" t="str">
        <f t="shared" si="0"/>
        <v xml:space="preserve"> </v>
      </c>
      <c r="L65" s="31" t="str">
        <f t="shared" si="1"/>
        <v xml:space="preserve"> </v>
      </c>
      <c r="M65" s="31" t="str">
        <f t="shared" si="2"/>
        <v xml:space="preserve"> </v>
      </c>
      <c r="N65" s="32" t="str">
        <f t="shared" si="3"/>
        <v xml:space="preserve"> </v>
      </c>
      <c r="O65" s="33" t="str">
        <f t="shared" si="4"/>
        <v xml:space="preserve"> </v>
      </c>
      <c r="P65" s="34" t="str">
        <f t="shared" si="5"/>
        <v xml:space="preserve"> </v>
      </c>
      <c r="Q65" s="32" t="str">
        <f t="shared" si="6"/>
        <v/>
      </c>
      <c r="R65" s="32" t="str">
        <f t="shared" si="8"/>
        <v/>
      </c>
      <c r="S65" s="116"/>
    </row>
    <row r="66" spans="1:19" ht="18" customHeight="1">
      <c r="A66" s="30"/>
      <c r="B66" s="75" t="s">
        <v>143</v>
      </c>
      <c r="C66" s="76" t="s">
        <v>45</v>
      </c>
      <c r="D66" s="150">
        <v>18.323</v>
      </c>
      <c r="E66" s="150">
        <v>3.5000000000000003E-2</v>
      </c>
      <c r="F66" s="150">
        <v>-3.5000000000000003E-2</v>
      </c>
      <c r="G66" s="76" t="s">
        <v>46</v>
      </c>
      <c r="H66" s="87"/>
      <c r="I66" s="87"/>
      <c r="J66" s="87"/>
      <c r="K66" s="31" t="str">
        <f t="shared" si="0"/>
        <v xml:space="preserve"> </v>
      </c>
      <c r="L66" s="31" t="str">
        <f t="shared" si="1"/>
        <v xml:space="preserve"> </v>
      </c>
      <c r="M66" s="31" t="str">
        <f t="shared" si="2"/>
        <v xml:space="preserve"> </v>
      </c>
      <c r="N66" s="32" t="str">
        <f t="shared" si="3"/>
        <v xml:space="preserve"> </v>
      </c>
      <c r="O66" s="33" t="str">
        <f t="shared" si="4"/>
        <v xml:space="preserve"> </v>
      </c>
      <c r="P66" s="34" t="str">
        <f t="shared" si="5"/>
        <v xml:space="preserve"> </v>
      </c>
      <c r="Q66" s="32" t="str">
        <f t="shared" si="6"/>
        <v/>
      </c>
      <c r="R66" s="32" t="str">
        <f t="shared" si="8"/>
        <v/>
      </c>
      <c r="S66" s="116"/>
    </row>
    <row r="67" spans="1:19" ht="18" customHeight="1">
      <c r="A67" s="30"/>
      <c r="B67" s="75" t="s">
        <v>144</v>
      </c>
      <c r="C67" s="76" t="s">
        <v>45</v>
      </c>
      <c r="D67" s="150">
        <v>1.5249999999999999</v>
      </c>
      <c r="E67" s="150">
        <v>0.03</v>
      </c>
      <c r="F67" s="150">
        <v>-0.03</v>
      </c>
      <c r="G67" s="76" t="s">
        <v>46</v>
      </c>
      <c r="H67" s="87"/>
      <c r="I67" s="87"/>
      <c r="J67" s="87"/>
      <c r="K67" s="31" t="str">
        <f t="shared" si="0"/>
        <v xml:space="preserve"> </v>
      </c>
      <c r="L67" s="31" t="str">
        <f t="shared" si="1"/>
        <v xml:space="preserve"> </v>
      </c>
      <c r="M67" s="31" t="str">
        <f t="shared" si="2"/>
        <v xml:space="preserve"> </v>
      </c>
      <c r="N67" s="32" t="str">
        <f t="shared" si="3"/>
        <v xml:space="preserve"> </v>
      </c>
      <c r="O67" s="33" t="str">
        <f t="shared" si="4"/>
        <v xml:space="preserve"> </v>
      </c>
      <c r="P67" s="34" t="str">
        <f t="shared" si="5"/>
        <v xml:space="preserve"> </v>
      </c>
      <c r="Q67" s="32" t="str">
        <f t="shared" si="6"/>
        <v/>
      </c>
      <c r="R67" s="32" t="str">
        <f t="shared" si="8"/>
        <v/>
      </c>
      <c r="S67" s="116"/>
    </row>
    <row r="68" spans="1:19" ht="18" customHeight="1">
      <c r="A68" s="30"/>
      <c r="B68" s="75" t="s">
        <v>145</v>
      </c>
      <c r="C68" s="76" t="s">
        <v>45</v>
      </c>
      <c r="D68" s="150">
        <v>1.5249999999999999</v>
      </c>
      <c r="E68" s="150">
        <v>0.03</v>
      </c>
      <c r="F68" s="150">
        <v>-0.03</v>
      </c>
      <c r="G68" s="76" t="s">
        <v>46</v>
      </c>
      <c r="H68" s="87"/>
      <c r="I68" s="87"/>
      <c r="J68" s="87"/>
      <c r="K68" s="31" t="str">
        <f t="shared" si="0"/>
        <v xml:space="preserve"> </v>
      </c>
      <c r="L68" s="31" t="str">
        <f t="shared" si="1"/>
        <v xml:space="preserve"> </v>
      </c>
      <c r="M68" s="31" t="str">
        <f t="shared" si="2"/>
        <v xml:space="preserve"> </v>
      </c>
      <c r="N68" s="32" t="str">
        <f t="shared" si="3"/>
        <v xml:space="preserve"> </v>
      </c>
      <c r="O68" s="33" t="str">
        <f t="shared" si="4"/>
        <v xml:space="preserve"> </v>
      </c>
      <c r="P68" s="34" t="str">
        <f t="shared" si="5"/>
        <v xml:space="preserve"> </v>
      </c>
      <c r="Q68" s="32" t="str">
        <f t="shared" si="6"/>
        <v/>
      </c>
      <c r="R68" s="32" t="str">
        <f t="shared" si="8"/>
        <v/>
      </c>
      <c r="S68" s="116"/>
    </row>
    <row r="69" spans="1:19" ht="18" customHeight="1">
      <c r="A69" s="30"/>
      <c r="B69" s="75" t="s">
        <v>146</v>
      </c>
      <c r="C69" s="76" t="s">
        <v>45</v>
      </c>
      <c r="D69" s="150">
        <v>1.5249999999999999</v>
      </c>
      <c r="E69" s="150">
        <v>0.03</v>
      </c>
      <c r="F69" s="150">
        <v>-0.03</v>
      </c>
      <c r="G69" s="76" t="s">
        <v>46</v>
      </c>
      <c r="H69" s="87"/>
      <c r="I69" s="87"/>
      <c r="J69" s="87"/>
      <c r="K69" s="31" t="str">
        <f t="shared" si="0"/>
        <v xml:space="preserve"> </v>
      </c>
      <c r="L69" s="31" t="str">
        <f t="shared" si="1"/>
        <v xml:space="preserve"> </v>
      </c>
      <c r="M69" s="31" t="str">
        <f t="shared" si="2"/>
        <v xml:space="preserve"> </v>
      </c>
      <c r="N69" s="32" t="str">
        <f t="shared" si="3"/>
        <v xml:space="preserve"> </v>
      </c>
      <c r="O69" s="33" t="str">
        <f t="shared" si="4"/>
        <v xml:space="preserve"> </v>
      </c>
      <c r="P69" s="34" t="str">
        <f t="shared" si="5"/>
        <v xml:space="preserve"> </v>
      </c>
      <c r="Q69" s="32" t="str">
        <f t="shared" si="6"/>
        <v/>
      </c>
      <c r="R69" s="32" t="str">
        <f t="shared" si="8"/>
        <v/>
      </c>
      <c r="S69" s="116"/>
    </row>
    <row r="70" spans="1:19" ht="18" customHeight="1">
      <c r="A70" s="30"/>
      <c r="B70" s="75" t="s">
        <v>147</v>
      </c>
      <c r="C70" s="76" t="s">
        <v>45</v>
      </c>
      <c r="D70" s="150">
        <v>1.5249999999999999</v>
      </c>
      <c r="E70" s="150">
        <v>0.03</v>
      </c>
      <c r="F70" s="150">
        <v>-0.03</v>
      </c>
      <c r="G70" s="76" t="s">
        <v>46</v>
      </c>
      <c r="H70" s="87"/>
      <c r="I70" s="87"/>
      <c r="J70" s="87"/>
      <c r="K70" s="31" t="str">
        <f t="shared" ref="K70:K133" si="9">IF(ISERR(H70/H70)=TRUE," ",H70-$D70)</f>
        <v xml:space="preserve"> </v>
      </c>
      <c r="L70" s="31" t="str">
        <f t="shared" ref="L70:L133" si="10">IF(ISERR(I70/I70)=TRUE," ",I70-$D70)</f>
        <v xml:space="preserve"> </v>
      </c>
      <c r="M70" s="31" t="str">
        <f t="shared" ref="M70:M133" si="11">IF(ISERR(J70/J70)=TRUE," ",J70-$D70)</f>
        <v xml:space="preserve"> </v>
      </c>
      <c r="N70" s="32" t="str">
        <f t="shared" ref="N70:N133" si="12">IF(ISERR(H70/H70)=TRUE," ",AVERAGE(H70:J70))</f>
        <v xml:space="preserve"> </v>
      </c>
      <c r="O70" s="33" t="str">
        <f t="shared" ref="O70:O133" si="13">IF(ISERR(E70/E70)=TRUE," ",IF(ISERR(H70/H70)=TRUE," ",IF(ISNUMBER($H70)=FALSE," ",IF(MAX($H70:$J70)&lt;$D70,0,(MAX($H70:$J70)-$D70)/$E70))))</f>
        <v xml:space="preserve"> </v>
      </c>
      <c r="P70" s="34" t="str">
        <f t="shared" ref="P70:P133" si="14">IF(ISERR(F70/D70)=TRUE," ",IF(ISERR(F70/F70)=TRUE," ",IF(ISERR(H70/H70)=TRUE," ",IF(ISNUMBER(H70)=FALSE," ",IF(MIN(H70:J70)&gt;$D70,0,($D70-MIN(H70:J70))/-F70)))))</f>
        <v xml:space="preserve"> </v>
      </c>
      <c r="Q70" s="32" t="str">
        <f t="shared" si="6"/>
        <v/>
      </c>
      <c r="R70" s="32" t="str">
        <f t="shared" si="8"/>
        <v/>
      </c>
      <c r="S70" s="116"/>
    </row>
    <row r="71" spans="1:19" ht="18" customHeight="1">
      <c r="A71" s="30"/>
      <c r="B71" s="75" t="s">
        <v>148</v>
      </c>
      <c r="C71" s="76" t="s">
        <v>45</v>
      </c>
      <c r="D71" s="150">
        <v>0.72499999999999998</v>
      </c>
      <c r="E71" s="150">
        <v>0.03</v>
      </c>
      <c r="F71" s="150">
        <v>-0.03</v>
      </c>
      <c r="G71" s="76" t="s">
        <v>46</v>
      </c>
      <c r="H71" s="87"/>
      <c r="I71" s="87"/>
      <c r="J71" s="87"/>
      <c r="K71" s="31" t="str">
        <f t="shared" si="9"/>
        <v xml:space="preserve"> </v>
      </c>
      <c r="L71" s="31" t="str">
        <f t="shared" si="10"/>
        <v xml:space="preserve"> </v>
      </c>
      <c r="M71" s="31" t="str">
        <f t="shared" si="11"/>
        <v xml:space="preserve"> </v>
      </c>
      <c r="N71" s="32" t="str">
        <f t="shared" si="12"/>
        <v xml:space="preserve"> </v>
      </c>
      <c r="O71" s="33" t="str">
        <f t="shared" si="13"/>
        <v xml:space="preserve"> </v>
      </c>
      <c r="P71" s="34" t="str">
        <f t="shared" si="14"/>
        <v xml:space="preserve"> </v>
      </c>
      <c r="Q71" s="32" t="str">
        <f t="shared" ref="Q71:Q135" si="15">IF(ISNUMBER($O71)=TRUE,IF($O71&gt;0.651,IF($O71&gt;1.001,"Reject","Alert"),""),"")</f>
        <v/>
      </c>
      <c r="R71" s="32" t="str">
        <f t="shared" si="8"/>
        <v/>
      </c>
      <c r="S71" s="116"/>
    </row>
    <row r="72" spans="1:19" ht="18" customHeight="1">
      <c r="A72" s="30"/>
      <c r="B72" s="75" t="s">
        <v>149</v>
      </c>
      <c r="C72" s="76" t="s">
        <v>45</v>
      </c>
      <c r="D72" s="150">
        <v>0.72499999999999998</v>
      </c>
      <c r="E72" s="150">
        <v>0.03</v>
      </c>
      <c r="F72" s="150">
        <v>-0.03</v>
      </c>
      <c r="G72" s="76" t="s">
        <v>46</v>
      </c>
      <c r="H72" s="87"/>
      <c r="I72" s="87"/>
      <c r="J72" s="87"/>
      <c r="K72" s="31" t="str">
        <f t="shared" si="9"/>
        <v xml:space="preserve"> </v>
      </c>
      <c r="L72" s="31" t="str">
        <f t="shared" si="10"/>
        <v xml:space="preserve"> </v>
      </c>
      <c r="M72" s="31" t="str">
        <f t="shared" si="11"/>
        <v xml:space="preserve"> </v>
      </c>
      <c r="N72" s="32" t="str">
        <f t="shared" si="12"/>
        <v xml:space="preserve"> </v>
      </c>
      <c r="O72" s="33" t="str">
        <f t="shared" si="13"/>
        <v xml:space="preserve"> </v>
      </c>
      <c r="P72" s="34" t="str">
        <f t="shared" si="14"/>
        <v xml:space="preserve"> </v>
      </c>
      <c r="Q72" s="32" t="str">
        <f t="shared" si="15"/>
        <v/>
      </c>
      <c r="R72" s="32" t="str">
        <f t="shared" si="8"/>
        <v/>
      </c>
      <c r="S72" s="116"/>
    </row>
    <row r="73" spans="1:19" ht="18" customHeight="1">
      <c r="A73" s="30"/>
      <c r="B73" s="75" t="s">
        <v>150</v>
      </c>
      <c r="C73" s="76" t="s">
        <v>45</v>
      </c>
      <c r="D73" s="150">
        <v>0.72499999999999998</v>
      </c>
      <c r="E73" s="150">
        <v>0.03</v>
      </c>
      <c r="F73" s="150">
        <v>-0.03</v>
      </c>
      <c r="G73" s="76" t="s">
        <v>46</v>
      </c>
      <c r="H73" s="87"/>
      <c r="I73" s="87"/>
      <c r="J73" s="87"/>
      <c r="K73" s="31" t="str">
        <f t="shared" si="9"/>
        <v xml:space="preserve"> </v>
      </c>
      <c r="L73" s="31" t="str">
        <f t="shared" si="10"/>
        <v xml:space="preserve"> </v>
      </c>
      <c r="M73" s="31" t="str">
        <f t="shared" si="11"/>
        <v xml:space="preserve"> </v>
      </c>
      <c r="N73" s="32" t="str">
        <f t="shared" si="12"/>
        <v xml:space="preserve"> </v>
      </c>
      <c r="O73" s="33" t="str">
        <f t="shared" si="13"/>
        <v xml:space="preserve"> </v>
      </c>
      <c r="P73" s="34" t="str">
        <f t="shared" si="14"/>
        <v xml:space="preserve"> </v>
      </c>
      <c r="Q73" s="32" t="str">
        <f t="shared" si="15"/>
        <v/>
      </c>
      <c r="R73" s="32" t="str">
        <f t="shared" si="8"/>
        <v/>
      </c>
      <c r="S73" s="116"/>
    </row>
    <row r="74" spans="1:19" ht="18" customHeight="1">
      <c r="A74" s="30"/>
      <c r="B74" s="75">
        <v>43</v>
      </c>
      <c r="C74" s="76" t="s">
        <v>45</v>
      </c>
      <c r="D74" s="150">
        <v>18.573</v>
      </c>
      <c r="E74" s="150">
        <v>0.03</v>
      </c>
      <c r="F74" s="150">
        <v>-0.03</v>
      </c>
      <c r="G74" s="76" t="s">
        <v>46</v>
      </c>
      <c r="H74" s="87"/>
      <c r="I74" s="87"/>
      <c r="J74" s="87"/>
      <c r="K74" s="31" t="str">
        <f t="shared" si="9"/>
        <v xml:space="preserve"> </v>
      </c>
      <c r="L74" s="31" t="str">
        <f t="shared" si="10"/>
        <v xml:space="preserve"> </v>
      </c>
      <c r="M74" s="31" t="str">
        <f t="shared" si="11"/>
        <v xml:space="preserve"> </v>
      </c>
      <c r="N74" s="32" t="str">
        <f t="shared" si="12"/>
        <v xml:space="preserve"> </v>
      </c>
      <c r="O74" s="33" t="str">
        <f t="shared" si="13"/>
        <v xml:space="preserve"> </v>
      </c>
      <c r="P74" s="34" t="str">
        <f t="shared" si="14"/>
        <v xml:space="preserve"> </v>
      </c>
      <c r="Q74" s="32" t="str">
        <f t="shared" si="15"/>
        <v/>
      </c>
      <c r="R74" s="32" t="str">
        <f t="shared" si="8"/>
        <v/>
      </c>
      <c r="S74" s="116"/>
    </row>
    <row r="75" spans="1:19" ht="18" customHeight="1">
      <c r="A75" s="30"/>
      <c r="B75" s="75" t="s">
        <v>151</v>
      </c>
      <c r="C75" s="76" t="s">
        <v>45</v>
      </c>
      <c r="D75" s="150">
        <v>0.93899999999999995</v>
      </c>
      <c r="E75" s="150">
        <v>0.03</v>
      </c>
      <c r="F75" s="150">
        <v>-0.02</v>
      </c>
      <c r="G75" s="76" t="s">
        <v>231</v>
      </c>
      <c r="H75" s="87"/>
      <c r="I75" s="87"/>
      <c r="J75" s="87"/>
      <c r="K75" s="31" t="str">
        <f t="shared" si="9"/>
        <v xml:space="preserve"> </v>
      </c>
      <c r="L75" s="31" t="str">
        <f t="shared" si="10"/>
        <v xml:space="preserve"> </v>
      </c>
      <c r="M75" s="31" t="str">
        <f t="shared" si="11"/>
        <v xml:space="preserve"> </v>
      </c>
      <c r="N75" s="32" t="str">
        <f t="shared" si="12"/>
        <v xml:space="preserve"> </v>
      </c>
      <c r="O75" s="33" t="str">
        <f t="shared" si="13"/>
        <v xml:space="preserve"> </v>
      </c>
      <c r="P75" s="34" t="str">
        <f t="shared" si="14"/>
        <v xml:space="preserve"> </v>
      </c>
      <c r="Q75" s="32" t="str">
        <f t="shared" si="15"/>
        <v/>
      </c>
      <c r="R75" s="32" t="str">
        <f t="shared" si="8"/>
        <v/>
      </c>
      <c r="S75" s="116"/>
    </row>
    <row r="76" spans="1:19" ht="18" customHeight="1">
      <c r="A76" s="30"/>
      <c r="B76" s="75" t="s">
        <v>152</v>
      </c>
      <c r="C76" s="76" t="s">
        <v>45</v>
      </c>
      <c r="D76" s="150">
        <v>0.93899999999999995</v>
      </c>
      <c r="E76" s="150">
        <v>0.03</v>
      </c>
      <c r="F76" s="150">
        <v>-0.02</v>
      </c>
      <c r="G76" s="76" t="s">
        <v>231</v>
      </c>
      <c r="H76" s="87"/>
      <c r="I76" s="87"/>
      <c r="J76" s="87"/>
      <c r="K76" s="31" t="str">
        <f t="shared" si="9"/>
        <v xml:space="preserve"> </v>
      </c>
      <c r="L76" s="31" t="str">
        <f t="shared" si="10"/>
        <v xml:space="preserve"> </v>
      </c>
      <c r="M76" s="31" t="str">
        <f t="shared" si="11"/>
        <v xml:space="preserve"> </v>
      </c>
      <c r="N76" s="32" t="str">
        <f t="shared" si="12"/>
        <v xml:space="preserve"> </v>
      </c>
      <c r="O76" s="33" t="str">
        <f t="shared" si="13"/>
        <v xml:space="preserve"> </v>
      </c>
      <c r="P76" s="34" t="str">
        <f t="shared" si="14"/>
        <v xml:space="preserve"> </v>
      </c>
      <c r="Q76" s="32" t="str">
        <f t="shared" si="15"/>
        <v/>
      </c>
      <c r="R76" s="32" t="str">
        <f t="shared" si="8"/>
        <v/>
      </c>
      <c r="S76" s="116"/>
    </row>
    <row r="77" spans="1:19" ht="18" customHeight="1">
      <c r="A77" s="30"/>
      <c r="B77" s="75" t="s">
        <v>153</v>
      </c>
      <c r="C77" s="76" t="s">
        <v>45</v>
      </c>
      <c r="D77" s="150">
        <v>0.93899999999999995</v>
      </c>
      <c r="E77" s="150">
        <v>0.03</v>
      </c>
      <c r="F77" s="150">
        <v>-0.02</v>
      </c>
      <c r="G77" s="76" t="s">
        <v>231</v>
      </c>
      <c r="H77" s="87"/>
      <c r="I77" s="87"/>
      <c r="J77" s="87"/>
      <c r="K77" s="31" t="str">
        <f t="shared" si="9"/>
        <v xml:space="preserve"> </v>
      </c>
      <c r="L77" s="31" t="str">
        <f t="shared" si="10"/>
        <v xml:space="preserve"> </v>
      </c>
      <c r="M77" s="31" t="str">
        <f t="shared" si="11"/>
        <v xml:space="preserve"> </v>
      </c>
      <c r="N77" s="32" t="str">
        <f t="shared" si="12"/>
        <v xml:space="preserve"> </v>
      </c>
      <c r="O77" s="33" t="str">
        <f t="shared" si="13"/>
        <v xml:space="preserve"> </v>
      </c>
      <c r="P77" s="34" t="str">
        <f t="shared" si="14"/>
        <v xml:space="preserve"> </v>
      </c>
      <c r="Q77" s="32" t="str">
        <f t="shared" si="15"/>
        <v/>
      </c>
      <c r="R77" s="32" t="str">
        <f t="shared" si="8"/>
        <v/>
      </c>
      <c r="S77" s="116"/>
    </row>
    <row r="78" spans="1:19" ht="18" customHeight="1">
      <c r="A78" s="30"/>
      <c r="B78" s="75" t="s">
        <v>154</v>
      </c>
      <c r="C78" s="76" t="s">
        <v>45</v>
      </c>
      <c r="D78" s="150">
        <v>0.93899999999999995</v>
      </c>
      <c r="E78" s="150">
        <v>0.03</v>
      </c>
      <c r="F78" s="150">
        <v>-0.02</v>
      </c>
      <c r="G78" s="76" t="s">
        <v>231</v>
      </c>
      <c r="H78" s="87"/>
      <c r="I78" s="87"/>
      <c r="J78" s="87"/>
      <c r="K78" s="31" t="str">
        <f t="shared" si="9"/>
        <v xml:space="preserve"> </v>
      </c>
      <c r="L78" s="31" t="str">
        <f t="shared" si="10"/>
        <v xml:space="preserve"> </v>
      </c>
      <c r="M78" s="31" t="str">
        <f t="shared" si="11"/>
        <v xml:space="preserve"> </v>
      </c>
      <c r="N78" s="32" t="str">
        <f t="shared" si="12"/>
        <v xml:space="preserve"> </v>
      </c>
      <c r="O78" s="33" t="str">
        <f t="shared" si="13"/>
        <v xml:space="preserve"> </v>
      </c>
      <c r="P78" s="34" t="str">
        <f t="shared" si="14"/>
        <v xml:space="preserve"> </v>
      </c>
      <c r="Q78" s="32" t="str">
        <f t="shared" si="15"/>
        <v/>
      </c>
      <c r="R78" s="32" t="str">
        <f t="shared" si="8"/>
        <v/>
      </c>
      <c r="S78" s="116"/>
    </row>
    <row r="79" spans="1:19" ht="18" customHeight="1">
      <c r="A79" s="30"/>
      <c r="B79" s="75" t="s">
        <v>307</v>
      </c>
      <c r="C79" s="76" t="s">
        <v>45</v>
      </c>
      <c r="D79" s="150">
        <v>0.93899999999999995</v>
      </c>
      <c r="E79" s="150">
        <v>0.03</v>
      </c>
      <c r="F79" s="150">
        <v>-0.02</v>
      </c>
      <c r="G79" s="76" t="s">
        <v>231</v>
      </c>
      <c r="H79" s="87"/>
      <c r="I79" s="87"/>
      <c r="J79" s="87"/>
      <c r="K79" s="31" t="str">
        <f t="shared" si="9"/>
        <v xml:space="preserve"> </v>
      </c>
      <c r="L79" s="31" t="str">
        <f t="shared" si="10"/>
        <v xml:space="preserve"> </v>
      </c>
      <c r="M79" s="31" t="str">
        <f t="shared" si="11"/>
        <v xml:space="preserve"> </v>
      </c>
      <c r="N79" s="32" t="str">
        <f t="shared" si="12"/>
        <v xml:space="preserve"> </v>
      </c>
      <c r="O79" s="33" t="str">
        <f t="shared" si="13"/>
        <v xml:space="preserve"> </v>
      </c>
      <c r="P79" s="34" t="str">
        <f t="shared" si="14"/>
        <v xml:space="preserve"> </v>
      </c>
      <c r="Q79" s="32" t="str">
        <f t="shared" si="15"/>
        <v/>
      </c>
      <c r="R79" s="32" t="str">
        <f t="shared" si="8"/>
        <v/>
      </c>
      <c r="S79" s="116"/>
    </row>
    <row r="80" spans="1:19" ht="18" customHeight="1">
      <c r="A80" s="30"/>
      <c r="B80" s="75" t="s">
        <v>323</v>
      </c>
      <c r="C80" s="76" t="s">
        <v>45</v>
      </c>
      <c r="D80" s="150">
        <v>0.93899999999999995</v>
      </c>
      <c r="E80" s="150">
        <v>0.03</v>
      </c>
      <c r="F80" s="150">
        <v>-0.02</v>
      </c>
      <c r="G80" s="76" t="s">
        <v>231</v>
      </c>
      <c r="H80" s="87"/>
      <c r="I80" s="87"/>
      <c r="J80" s="87"/>
      <c r="K80" s="31" t="str">
        <f t="shared" si="9"/>
        <v xml:space="preserve"> </v>
      </c>
      <c r="L80" s="31" t="str">
        <f t="shared" si="10"/>
        <v xml:space="preserve"> </v>
      </c>
      <c r="M80" s="31" t="str">
        <f t="shared" si="11"/>
        <v xml:space="preserve"> </v>
      </c>
      <c r="N80" s="32" t="str">
        <f t="shared" si="12"/>
        <v xml:space="preserve"> </v>
      </c>
      <c r="O80" s="33" t="str">
        <f t="shared" si="13"/>
        <v xml:space="preserve"> </v>
      </c>
      <c r="P80" s="34" t="str">
        <f t="shared" si="14"/>
        <v xml:space="preserve"> </v>
      </c>
      <c r="Q80" s="32" t="str">
        <f t="shared" si="15"/>
        <v/>
      </c>
      <c r="R80" s="32" t="str">
        <f t="shared" si="8"/>
        <v/>
      </c>
      <c r="S80" s="116"/>
    </row>
    <row r="81" spans="1:19" ht="18" customHeight="1">
      <c r="A81" s="30"/>
      <c r="B81" s="75" t="s">
        <v>155</v>
      </c>
      <c r="C81" s="76" t="s">
        <v>45</v>
      </c>
      <c r="D81" s="150">
        <v>18.419</v>
      </c>
      <c r="E81" s="150">
        <v>0.03</v>
      </c>
      <c r="F81" s="150">
        <v>-0.03</v>
      </c>
      <c r="G81" s="76" t="s">
        <v>46</v>
      </c>
      <c r="H81" s="87"/>
      <c r="I81" s="87"/>
      <c r="J81" s="87"/>
      <c r="K81" s="31" t="str">
        <f t="shared" si="9"/>
        <v xml:space="preserve"> </v>
      </c>
      <c r="L81" s="31" t="str">
        <f t="shared" si="10"/>
        <v xml:space="preserve"> </v>
      </c>
      <c r="M81" s="31" t="str">
        <f t="shared" si="11"/>
        <v xml:space="preserve"> </v>
      </c>
      <c r="N81" s="32" t="str">
        <f t="shared" si="12"/>
        <v xml:space="preserve"> </v>
      </c>
      <c r="O81" s="33" t="str">
        <f t="shared" si="13"/>
        <v xml:space="preserve"> </v>
      </c>
      <c r="P81" s="34" t="str">
        <f t="shared" si="14"/>
        <v xml:space="preserve"> </v>
      </c>
      <c r="Q81" s="32" t="str">
        <f t="shared" si="15"/>
        <v/>
      </c>
      <c r="R81" s="32" t="str">
        <f t="shared" si="8"/>
        <v/>
      </c>
      <c r="S81" s="116"/>
    </row>
    <row r="82" spans="1:19" ht="18" customHeight="1">
      <c r="A82" s="30"/>
      <c r="B82" s="75" t="s">
        <v>156</v>
      </c>
      <c r="C82" s="76" t="s">
        <v>45</v>
      </c>
      <c r="D82" s="150">
        <v>18.419</v>
      </c>
      <c r="E82" s="150">
        <v>0.03</v>
      </c>
      <c r="F82" s="150">
        <v>-0.03</v>
      </c>
      <c r="G82" s="76" t="s">
        <v>46</v>
      </c>
      <c r="H82" s="87"/>
      <c r="I82" s="87"/>
      <c r="J82" s="87"/>
      <c r="K82" s="31" t="str">
        <f t="shared" si="9"/>
        <v xml:space="preserve"> </v>
      </c>
      <c r="L82" s="31" t="str">
        <f t="shared" si="10"/>
        <v xml:space="preserve"> </v>
      </c>
      <c r="M82" s="31" t="str">
        <f t="shared" si="11"/>
        <v xml:space="preserve"> </v>
      </c>
      <c r="N82" s="32" t="str">
        <f t="shared" si="12"/>
        <v xml:space="preserve"> </v>
      </c>
      <c r="O82" s="33" t="str">
        <f t="shared" si="13"/>
        <v xml:space="preserve"> </v>
      </c>
      <c r="P82" s="34" t="str">
        <f t="shared" si="14"/>
        <v xml:space="preserve"> </v>
      </c>
      <c r="Q82" s="32" t="str">
        <f t="shared" si="15"/>
        <v/>
      </c>
      <c r="R82" s="32" t="str">
        <f t="shared" si="8"/>
        <v/>
      </c>
      <c r="S82" s="116"/>
    </row>
    <row r="83" spans="1:19" ht="18" customHeight="1">
      <c r="A83" s="30"/>
      <c r="B83" s="75" t="s">
        <v>157</v>
      </c>
      <c r="C83" s="76" t="s">
        <v>45</v>
      </c>
      <c r="D83" s="150">
        <v>18.419</v>
      </c>
      <c r="E83" s="150">
        <v>0.03</v>
      </c>
      <c r="F83" s="150">
        <v>-0.03</v>
      </c>
      <c r="G83" s="76" t="s">
        <v>46</v>
      </c>
      <c r="H83" s="87"/>
      <c r="I83" s="87"/>
      <c r="J83" s="87"/>
      <c r="K83" s="31" t="str">
        <f t="shared" si="9"/>
        <v xml:space="preserve"> </v>
      </c>
      <c r="L83" s="31" t="str">
        <f t="shared" si="10"/>
        <v xml:space="preserve"> </v>
      </c>
      <c r="M83" s="31" t="str">
        <f t="shared" si="11"/>
        <v xml:space="preserve"> </v>
      </c>
      <c r="N83" s="32" t="str">
        <f t="shared" si="12"/>
        <v xml:space="preserve"> </v>
      </c>
      <c r="O83" s="33" t="str">
        <f t="shared" si="13"/>
        <v xml:space="preserve"> </v>
      </c>
      <c r="P83" s="34" t="str">
        <f t="shared" si="14"/>
        <v xml:space="preserve"> </v>
      </c>
      <c r="Q83" s="32" t="str">
        <f t="shared" si="15"/>
        <v/>
      </c>
      <c r="R83" s="32" t="str">
        <f t="shared" si="8"/>
        <v/>
      </c>
      <c r="S83" s="116"/>
    </row>
    <row r="84" spans="1:19" ht="18" customHeight="1">
      <c r="A84" s="30"/>
      <c r="B84" s="75" t="s">
        <v>158</v>
      </c>
      <c r="C84" s="76" t="s">
        <v>45</v>
      </c>
      <c r="D84" s="150">
        <v>4.3440000000000003</v>
      </c>
      <c r="E84" s="150">
        <v>0.03</v>
      </c>
      <c r="F84" s="150">
        <v>-0.03</v>
      </c>
      <c r="G84" s="76" t="s">
        <v>46</v>
      </c>
      <c r="H84" s="87"/>
      <c r="I84" s="87"/>
      <c r="J84" s="87"/>
      <c r="K84" s="31" t="str">
        <f t="shared" si="9"/>
        <v xml:space="preserve"> </v>
      </c>
      <c r="L84" s="31" t="str">
        <f t="shared" si="10"/>
        <v xml:space="preserve"> </v>
      </c>
      <c r="M84" s="31" t="str">
        <f t="shared" si="11"/>
        <v xml:space="preserve"> </v>
      </c>
      <c r="N84" s="32" t="str">
        <f t="shared" si="12"/>
        <v xml:space="preserve"> </v>
      </c>
      <c r="O84" s="33" t="str">
        <f t="shared" si="13"/>
        <v xml:space="preserve"> </v>
      </c>
      <c r="P84" s="34" t="str">
        <f t="shared" si="14"/>
        <v xml:space="preserve"> </v>
      </c>
      <c r="Q84" s="32" t="str">
        <f t="shared" si="15"/>
        <v/>
      </c>
      <c r="R84" s="32" t="str">
        <f t="shared" si="8"/>
        <v/>
      </c>
      <c r="S84" s="116"/>
    </row>
    <row r="85" spans="1:19" ht="18" customHeight="1">
      <c r="A85" s="30"/>
      <c r="B85" s="75" t="s">
        <v>159</v>
      </c>
      <c r="C85" s="76" t="s">
        <v>45</v>
      </c>
      <c r="D85" s="150">
        <v>4.3440000000000003</v>
      </c>
      <c r="E85" s="150">
        <v>0.03</v>
      </c>
      <c r="F85" s="150">
        <v>-0.03</v>
      </c>
      <c r="G85" s="76" t="s">
        <v>46</v>
      </c>
      <c r="H85" s="87"/>
      <c r="I85" s="87"/>
      <c r="J85" s="87"/>
      <c r="K85" s="31" t="str">
        <f t="shared" si="9"/>
        <v xml:space="preserve"> </v>
      </c>
      <c r="L85" s="31" t="str">
        <f t="shared" si="10"/>
        <v xml:space="preserve"> </v>
      </c>
      <c r="M85" s="31" t="str">
        <f t="shared" si="11"/>
        <v xml:space="preserve"> </v>
      </c>
      <c r="N85" s="32" t="str">
        <f t="shared" si="12"/>
        <v xml:space="preserve"> </v>
      </c>
      <c r="O85" s="33" t="str">
        <f t="shared" si="13"/>
        <v xml:space="preserve"> </v>
      </c>
      <c r="P85" s="34" t="str">
        <f t="shared" si="14"/>
        <v xml:space="preserve"> </v>
      </c>
      <c r="Q85" s="32" t="str">
        <f t="shared" si="15"/>
        <v/>
      </c>
      <c r="R85" s="32" t="str">
        <f t="shared" si="8"/>
        <v/>
      </c>
      <c r="S85" s="116"/>
    </row>
    <row r="86" spans="1:19" ht="18" customHeight="1">
      <c r="A86" s="30"/>
      <c r="B86" s="75">
        <v>60</v>
      </c>
      <c r="C86" s="76" t="s">
        <v>229</v>
      </c>
      <c r="D86" s="150">
        <v>0</v>
      </c>
      <c r="E86" s="150">
        <v>0.05</v>
      </c>
      <c r="F86" s="150">
        <v>0</v>
      </c>
      <c r="G86" s="76" t="s">
        <v>46</v>
      </c>
      <c r="H86" s="87"/>
      <c r="I86" s="87"/>
      <c r="J86" s="87"/>
      <c r="K86" s="31" t="str">
        <f t="shared" si="9"/>
        <v xml:space="preserve"> </v>
      </c>
      <c r="L86" s="31" t="str">
        <f t="shared" si="10"/>
        <v xml:space="preserve"> </v>
      </c>
      <c r="M86" s="31" t="str">
        <f t="shared" si="11"/>
        <v xml:space="preserve"> </v>
      </c>
      <c r="N86" s="32" t="str">
        <f t="shared" si="12"/>
        <v xml:space="preserve"> </v>
      </c>
      <c r="O86" s="33" t="str">
        <f t="shared" si="13"/>
        <v xml:space="preserve"> </v>
      </c>
      <c r="P86" s="34" t="str">
        <f t="shared" si="14"/>
        <v xml:space="preserve"> </v>
      </c>
      <c r="Q86" s="32" t="str">
        <f t="shared" si="15"/>
        <v/>
      </c>
      <c r="R86" s="32" t="str">
        <f t="shared" si="8"/>
        <v/>
      </c>
      <c r="S86" s="116"/>
    </row>
    <row r="87" spans="1:19" ht="18" customHeight="1">
      <c r="A87" s="30"/>
      <c r="B87" s="75" t="s">
        <v>160</v>
      </c>
      <c r="C87" s="76" t="s">
        <v>45</v>
      </c>
      <c r="D87" s="150">
        <v>8.9339999999999993</v>
      </c>
      <c r="E87" s="150">
        <v>0.02</v>
      </c>
      <c r="F87" s="150">
        <v>-0.02</v>
      </c>
      <c r="G87" s="76" t="s">
        <v>46</v>
      </c>
      <c r="H87" s="87"/>
      <c r="I87" s="87"/>
      <c r="J87" s="87"/>
      <c r="K87" s="31" t="str">
        <f t="shared" si="9"/>
        <v xml:space="preserve"> </v>
      </c>
      <c r="L87" s="31" t="str">
        <f t="shared" si="10"/>
        <v xml:space="preserve"> </v>
      </c>
      <c r="M87" s="31" t="str">
        <f t="shared" si="11"/>
        <v xml:space="preserve"> </v>
      </c>
      <c r="N87" s="32" t="str">
        <f t="shared" si="12"/>
        <v xml:space="preserve"> </v>
      </c>
      <c r="O87" s="33" t="str">
        <f t="shared" si="13"/>
        <v xml:space="preserve"> </v>
      </c>
      <c r="P87" s="34" t="str">
        <f t="shared" si="14"/>
        <v xml:space="preserve"> </v>
      </c>
      <c r="Q87" s="32" t="str">
        <f t="shared" si="15"/>
        <v/>
      </c>
      <c r="R87" s="32" t="str">
        <f t="shared" si="8"/>
        <v/>
      </c>
      <c r="S87" s="116"/>
    </row>
    <row r="88" spans="1:19" ht="18" customHeight="1">
      <c r="A88" s="30"/>
      <c r="B88" s="75" t="s">
        <v>161</v>
      </c>
      <c r="C88" s="76" t="s">
        <v>45</v>
      </c>
      <c r="D88" s="150">
        <v>8.9339999999999993</v>
      </c>
      <c r="E88" s="150">
        <v>0.02</v>
      </c>
      <c r="F88" s="150">
        <v>-0.02</v>
      </c>
      <c r="G88" s="76" t="s">
        <v>46</v>
      </c>
      <c r="H88" s="87"/>
      <c r="I88" s="87"/>
      <c r="J88" s="87"/>
      <c r="K88" s="31" t="str">
        <f t="shared" si="9"/>
        <v xml:space="preserve"> </v>
      </c>
      <c r="L88" s="31" t="str">
        <f t="shared" si="10"/>
        <v xml:space="preserve"> </v>
      </c>
      <c r="M88" s="31" t="str">
        <f t="shared" si="11"/>
        <v xml:space="preserve"> </v>
      </c>
      <c r="N88" s="32" t="str">
        <f t="shared" si="12"/>
        <v xml:space="preserve"> </v>
      </c>
      <c r="O88" s="33" t="str">
        <f t="shared" si="13"/>
        <v xml:space="preserve"> </v>
      </c>
      <c r="P88" s="34" t="str">
        <f t="shared" si="14"/>
        <v xml:space="preserve"> </v>
      </c>
      <c r="Q88" s="32" t="str">
        <f t="shared" si="15"/>
        <v/>
      </c>
      <c r="R88" s="32" t="str">
        <f t="shared" si="8"/>
        <v/>
      </c>
      <c r="S88" s="116"/>
    </row>
    <row r="89" spans="1:19" ht="18" customHeight="1">
      <c r="A89" s="30"/>
      <c r="B89" s="75" t="s">
        <v>162</v>
      </c>
      <c r="C89" s="76" t="s">
        <v>45</v>
      </c>
      <c r="D89" s="150">
        <v>8.9339999999999993</v>
      </c>
      <c r="E89" s="150">
        <v>0.02</v>
      </c>
      <c r="F89" s="150">
        <v>-0.02</v>
      </c>
      <c r="G89" s="76" t="s">
        <v>46</v>
      </c>
      <c r="H89" s="87"/>
      <c r="I89" s="87"/>
      <c r="J89" s="87"/>
      <c r="K89" s="31" t="str">
        <f t="shared" si="9"/>
        <v xml:space="preserve"> </v>
      </c>
      <c r="L89" s="31" t="str">
        <f t="shared" si="10"/>
        <v xml:space="preserve"> </v>
      </c>
      <c r="M89" s="31" t="str">
        <f t="shared" si="11"/>
        <v xml:space="preserve"> </v>
      </c>
      <c r="N89" s="32" t="str">
        <f t="shared" si="12"/>
        <v xml:space="preserve"> </v>
      </c>
      <c r="O89" s="33" t="str">
        <f t="shared" si="13"/>
        <v xml:space="preserve"> </v>
      </c>
      <c r="P89" s="34" t="str">
        <f t="shared" si="14"/>
        <v xml:space="preserve"> </v>
      </c>
      <c r="Q89" s="32" t="str">
        <f t="shared" si="15"/>
        <v/>
      </c>
      <c r="R89" s="32" t="str">
        <f t="shared" si="8"/>
        <v/>
      </c>
      <c r="S89" s="116"/>
    </row>
    <row r="90" spans="1:19" ht="18" customHeight="1">
      <c r="A90" s="30"/>
      <c r="B90" s="75">
        <v>63</v>
      </c>
      <c r="C90" s="76" t="s">
        <v>229</v>
      </c>
      <c r="D90" s="150">
        <v>0</v>
      </c>
      <c r="E90" s="150">
        <v>0.05</v>
      </c>
      <c r="F90" s="150">
        <v>0</v>
      </c>
      <c r="G90" s="76" t="s">
        <v>46</v>
      </c>
      <c r="H90" s="87"/>
      <c r="I90" s="87"/>
      <c r="J90" s="87"/>
      <c r="K90" s="31" t="str">
        <f t="shared" si="9"/>
        <v xml:space="preserve"> </v>
      </c>
      <c r="L90" s="31" t="str">
        <f t="shared" si="10"/>
        <v xml:space="preserve"> </v>
      </c>
      <c r="M90" s="31" t="str">
        <f t="shared" si="11"/>
        <v xml:space="preserve"> </v>
      </c>
      <c r="N90" s="32" t="str">
        <f t="shared" si="12"/>
        <v xml:space="preserve"> </v>
      </c>
      <c r="O90" s="33" t="str">
        <f t="shared" si="13"/>
        <v xml:space="preserve"> </v>
      </c>
      <c r="P90" s="34" t="str">
        <f t="shared" si="14"/>
        <v xml:space="preserve"> </v>
      </c>
      <c r="Q90" s="32" t="str">
        <f t="shared" si="15"/>
        <v/>
      </c>
      <c r="R90" s="32" t="str">
        <f t="shared" si="8"/>
        <v/>
      </c>
      <c r="S90" s="116"/>
    </row>
    <row r="91" spans="1:19" ht="18" customHeight="1">
      <c r="A91" s="30"/>
      <c r="B91" s="75" t="s">
        <v>163</v>
      </c>
      <c r="C91" s="76" t="s">
        <v>45</v>
      </c>
      <c r="D91" s="150">
        <v>8.5380000000000003</v>
      </c>
      <c r="E91" s="150">
        <v>0.02</v>
      </c>
      <c r="F91" s="150">
        <v>-0.02</v>
      </c>
      <c r="G91" s="76" t="s">
        <v>46</v>
      </c>
      <c r="H91" s="87"/>
      <c r="I91" s="87"/>
      <c r="J91" s="87"/>
      <c r="K91" s="31" t="str">
        <f t="shared" si="9"/>
        <v xml:space="preserve"> </v>
      </c>
      <c r="L91" s="31" t="str">
        <f t="shared" si="10"/>
        <v xml:space="preserve"> </v>
      </c>
      <c r="M91" s="31" t="str">
        <f t="shared" si="11"/>
        <v xml:space="preserve"> </v>
      </c>
      <c r="N91" s="32" t="str">
        <f t="shared" si="12"/>
        <v xml:space="preserve"> </v>
      </c>
      <c r="O91" s="33" t="str">
        <f t="shared" si="13"/>
        <v xml:space="preserve"> </v>
      </c>
      <c r="P91" s="34" t="str">
        <f t="shared" si="14"/>
        <v xml:space="preserve"> </v>
      </c>
      <c r="Q91" s="32" t="str">
        <f t="shared" si="15"/>
        <v/>
      </c>
      <c r="R91" s="32" t="str">
        <f t="shared" si="8"/>
        <v/>
      </c>
      <c r="S91" s="116"/>
    </row>
    <row r="92" spans="1:19" ht="18" customHeight="1">
      <c r="A92" s="30"/>
      <c r="B92" s="75" t="s">
        <v>164</v>
      </c>
      <c r="C92" s="76" t="s">
        <v>45</v>
      </c>
      <c r="D92" s="150">
        <v>8.5380000000000003</v>
      </c>
      <c r="E92" s="150">
        <v>0.02</v>
      </c>
      <c r="F92" s="150">
        <v>-0.02</v>
      </c>
      <c r="G92" s="76" t="s">
        <v>46</v>
      </c>
      <c r="H92" s="87"/>
      <c r="I92" s="87"/>
      <c r="J92" s="87"/>
      <c r="K92" s="31" t="str">
        <f t="shared" si="9"/>
        <v xml:space="preserve"> </v>
      </c>
      <c r="L92" s="31" t="str">
        <f t="shared" si="10"/>
        <v xml:space="preserve"> </v>
      </c>
      <c r="M92" s="31" t="str">
        <f t="shared" si="11"/>
        <v xml:space="preserve"> </v>
      </c>
      <c r="N92" s="32" t="str">
        <f t="shared" si="12"/>
        <v xml:space="preserve"> </v>
      </c>
      <c r="O92" s="33" t="str">
        <f t="shared" si="13"/>
        <v xml:space="preserve"> </v>
      </c>
      <c r="P92" s="34" t="str">
        <f t="shared" si="14"/>
        <v xml:space="preserve"> </v>
      </c>
      <c r="Q92" s="32" t="str">
        <f t="shared" si="15"/>
        <v/>
      </c>
      <c r="R92" s="32" t="str">
        <f t="shared" si="8"/>
        <v/>
      </c>
      <c r="S92" s="116"/>
    </row>
    <row r="93" spans="1:19" ht="18" customHeight="1">
      <c r="A93" s="30"/>
      <c r="B93" s="75" t="s">
        <v>165</v>
      </c>
      <c r="C93" s="76" t="s">
        <v>45</v>
      </c>
      <c r="D93" s="150">
        <v>8.5380000000000003</v>
      </c>
      <c r="E93" s="150">
        <v>0.02</v>
      </c>
      <c r="F93" s="150">
        <v>-0.02</v>
      </c>
      <c r="G93" s="76" t="s">
        <v>46</v>
      </c>
      <c r="H93" s="87"/>
      <c r="I93" s="87"/>
      <c r="J93" s="87"/>
      <c r="K93" s="31" t="str">
        <f t="shared" si="9"/>
        <v xml:space="preserve"> </v>
      </c>
      <c r="L93" s="31" t="str">
        <f t="shared" si="10"/>
        <v xml:space="preserve"> </v>
      </c>
      <c r="M93" s="31" t="str">
        <f t="shared" si="11"/>
        <v xml:space="preserve"> </v>
      </c>
      <c r="N93" s="32" t="str">
        <f t="shared" si="12"/>
        <v xml:space="preserve"> </v>
      </c>
      <c r="O93" s="33" t="str">
        <f t="shared" si="13"/>
        <v xml:space="preserve"> </v>
      </c>
      <c r="P93" s="34" t="str">
        <f t="shared" si="14"/>
        <v xml:space="preserve"> </v>
      </c>
      <c r="Q93" s="32" t="str">
        <f t="shared" si="15"/>
        <v/>
      </c>
      <c r="R93" s="32" t="str">
        <f t="shared" si="8"/>
        <v/>
      </c>
      <c r="S93" s="116"/>
    </row>
    <row r="94" spans="1:19" ht="18" customHeight="1">
      <c r="A94" s="30"/>
      <c r="B94" s="75" t="s">
        <v>109</v>
      </c>
      <c r="C94" s="76" t="s">
        <v>45</v>
      </c>
      <c r="D94" s="150">
        <v>8.827</v>
      </c>
      <c r="E94" s="150">
        <v>0.02</v>
      </c>
      <c r="F94" s="150">
        <v>-0.02</v>
      </c>
      <c r="G94" s="76" t="s">
        <v>46</v>
      </c>
      <c r="H94" s="87"/>
      <c r="I94" s="87"/>
      <c r="J94" s="87"/>
      <c r="K94" s="31" t="str">
        <f t="shared" si="9"/>
        <v xml:space="preserve"> </v>
      </c>
      <c r="L94" s="31" t="str">
        <f t="shared" si="10"/>
        <v xml:space="preserve"> </v>
      </c>
      <c r="M94" s="31" t="str">
        <f t="shared" si="11"/>
        <v xml:space="preserve"> </v>
      </c>
      <c r="N94" s="32" t="str">
        <f t="shared" si="12"/>
        <v xml:space="preserve"> </v>
      </c>
      <c r="O94" s="33" t="str">
        <f t="shared" si="13"/>
        <v xml:space="preserve"> </v>
      </c>
      <c r="P94" s="34" t="str">
        <f t="shared" si="14"/>
        <v xml:space="preserve"> </v>
      </c>
      <c r="Q94" s="32" t="str">
        <f t="shared" si="15"/>
        <v/>
      </c>
      <c r="R94" s="32" t="str">
        <f t="shared" si="8"/>
        <v/>
      </c>
      <c r="S94" s="116"/>
    </row>
    <row r="95" spans="1:19" ht="18" customHeight="1">
      <c r="A95" s="30"/>
      <c r="B95" s="75" t="s">
        <v>110</v>
      </c>
      <c r="C95" s="76" t="s">
        <v>45</v>
      </c>
      <c r="D95" s="150">
        <v>8.827</v>
      </c>
      <c r="E95" s="150">
        <v>0.02</v>
      </c>
      <c r="F95" s="150">
        <v>-0.02</v>
      </c>
      <c r="G95" s="76" t="s">
        <v>46</v>
      </c>
      <c r="H95" s="87"/>
      <c r="I95" s="87"/>
      <c r="J95" s="87"/>
      <c r="K95" s="31" t="str">
        <f t="shared" si="9"/>
        <v xml:space="preserve"> </v>
      </c>
      <c r="L95" s="31" t="str">
        <f t="shared" si="10"/>
        <v xml:space="preserve"> </v>
      </c>
      <c r="M95" s="31" t="str">
        <f t="shared" si="11"/>
        <v xml:space="preserve"> </v>
      </c>
      <c r="N95" s="32" t="str">
        <f t="shared" si="12"/>
        <v xml:space="preserve"> </v>
      </c>
      <c r="O95" s="33" t="str">
        <f t="shared" si="13"/>
        <v xml:space="preserve"> </v>
      </c>
      <c r="P95" s="34" t="str">
        <f t="shared" si="14"/>
        <v xml:space="preserve"> </v>
      </c>
      <c r="Q95" s="32" t="str">
        <f t="shared" si="15"/>
        <v/>
      </c>
      <c r="R95" s="32" t="str">
        <f t="shared" si="8"/>
        <v/>
      </c>
      <c r="S95" s="116"/>
    </row>
    <row r="96" spans="1:19" ht="18" customHeight="1">
      <c r="A96" s="30"/>
      <c r="B96" s="75" t="s">
        <v>166</v>
      </c>
      <c r="C96" s="76" t="s">
        <v>45</v>
      </c>
      <c r="D96" s="150">
        <v>8.827</v>
      </c>
      <c r="E96" s="150">
        <v>0.02</v>
      </c>
      <c r="F96" s="150">
        <v>-0.02</v>
      </c>
      <c r="G96" s="76" t="s">
        <v>46</v>
      </c>
      <c r="H96" s="87"/>
      <c r="I96" s="87"/>
      <c r="J96" s="87"/>
      <c r="K96" s="31" t="str">
        <f t="shared" si="9"/>
        <v xml:space="preserve"> </v>
      </c>
      <c r="L96" s="31" t="str">
        <f t="shared" si="10"/>
        <v xml:space="preserve"> </v>
      </c>
      <c r="M96" s="31" t="str">
        <f t="shared" si="11"/>
        <v xml:space="preserve"> </v>
      </c>
      <c r="N96" s="32" t="str">
        <f t="shared" si="12"/>
        <v xml:space="preserve"> </v>
      </c>
      <c r="O96" s="33" t="str">
        <f t="shared" si="13"/>
        <v xml:space="preserve"> </v>
      </c>
      <c r="P96" s="34" t="str">
        <f t="shared" si="14"/>
        <v xml:space="preserve"> </v>
      </c>
      <c r="Q96" s="32" t="str">
        <f t="shared" si="15"/>
        <v/>
      </c>
      <c r="R96" s="32" t="str">
        <f t="shared" si="8"/>
        <v/>
      </c>
      <c r="S96" s="116"/>
    </row>
    <row r="97" spans="1:19" ht="18" customHeight="1">
      <c r="A97" s="30"/>
      <c r="B97" s="75" t="s">
        <v>167</v>
      </c>
      <c r="C97" s="76" t="s">
        <v>229</v>
      </c>
      <c r="D97" s="150">
        <v>0</v>
      </c>
      <c r="E97" s="150">
        <v>0.05</v>
      </c>
      <c r="F97" s="150">
        <v>0</v>
      </c>
      <c r="G97" s="76" t="s">
        <v>46</v>
      </c>
      <c r="H97" s="87"/>
      <c r="I97" s="87"/>
      <c r="J97" s="87"/>
      <c r="K97" s="31" t="str">
        <f t="shared" si="9"/>
        <v xml:space="preserve"> </v>
      </c>
      <c r="L97" s="31" t="str">
        <f t="shared" si="10"/>
        <v xml:space="preserve"> </v>
      </c>
      <c r="M97" s="31" t="str">
        <f t="shared" si="11"/>
        <v xml:space="preserve"> </v>
      </c>
      <c r="N97" s="32" t="str">
        <f t="shared" si="12"/>
        <v xml:space="preserve"> </v>
      </c>
      <c r="O97" s="33" t="str">
        <f t="shared" si="13"/>
        <v xml:space="preserve"> </v>
      </c>
      <c r="P97" s="34" t="str">
        <f t="shared" si="14"/>
        <v xml:space="preserve"> </v>
      </c>
      <c r="Q97" s="32" t="str">
        <f t="shared" si="15"/>
        <v/>
      </c>
      <c r="R97" s="32" t="str">
        <f t="shared" si="8"/>
        <v/>
      </c>
      <c r="S97" s="116"/>
    </row>
    <row r="98" spans="1:19" ht="18" customHeight="1">
      <c r="A98" s="30"/>
      <c r="B98" s="75" t="s">
        <v>168</v>
      </c>
      <c r="C98" s="76" t="s">
        <v>229</v>
      </c>
      <c r="D98" s="150">
        <v>0</v>
      </c>
      <c r="E98" s="150">
        <v>0.05</v>
      </c>
      <c r="F98" s="150">
        <v>0</v>
      </c>
      <c r="G98" s="76" t="s">
        <v>46</v>
      </c>
      <c r="H98" s="87"/>
      <c r="I98" s="87"/>
      <c r="J98" s="87"/>
      <c r="K98" s="31" t="str">
        <f t="shared" si="9"/>
        <v xml:space="preserve"> </v>
      </c>
      <c r="L98" s="31" t="str">
        <f t="shared" si="10"/>
        <v xml:space="preserve"> </v>
      </c>
      <c r="M98" s="31" t="str">
        <f t="shared" si="11"/>
        <v xml:space="preserve"> </v>
      </c>
      <c r="N98" s="32" t="str">
        <f t="shared" si="12"/>
        <v xml:space="preserve"> </v>
      </c>
      <c r="O98" s="33" t="str">
        <f t="shared" si="13"/>
        <v xml:space="preserve"> </v>
      </c>
      <c r="P98" s="34" t="str">
        <f t="shared" si="14"/>
        <v xml:space="preserve"> </v>
      </c>
      <c r="Q98" s="32" t="str">
        <f t="shared" si="15"/>
        <v/>
      </c>
      <c r="R98" s="32" t="str">
        <f t="shared" si="8"/>
        <v/>
      </c>
      <c r="S98" s="116"/>
    </row>
    <row r="99" spans="1:19" ht="18" customHeight="1">
      <c r="A99" s="30"/>
      <c r="B99" s="75" t="s">
        <v>169</v>
      </c>
      <c r="C99" s="76" t="s">
        <v>45</v>
      </c>
      <c r="D99" s="150">
        <v>2.927</v>
      </c>
      <c r="E99" s="150">
        <v>0.02</v>
      </c>
      <c r="F99" s="150">
        <v>-0.02</v>
      </c>
      <c r="G99" s="76" t="s">
        <v>46</v>
      </c>
      <c r="H99" s="87"/>
      <c r="I99" s="87"/>
      <c r="J99" s="87"/>
      <c r="K99" s="31" t="str">
        <f t="shared" si="9"/>
        <v xml:space="preserve"> </v>
      </c>
      <c r="L99" s="31" t="str">
        <f t="shared" si="10"/>
        <v xml:space="preserve"> </v>
      </c>
      <c r="M99" s="31" t="str">
        <f t="shared" si="11"/>
        <v xml:space="preserve"> </v>
      </c>
      <c r="N99" s="32" t="str">
        <f t="shared" si="12"/>
        <v xml:space="preserve"> </v>
      </c>
      <c r="O99" s="33" t="str">
        <f t="shared" si="13"/>
        <v xml:space="preserve"> </v>
      </c>
      <c r="P99" s="34" t="str">
        <f t="shared" si="14"/>
        <v xml:space="preserve"> </v>
      </c>
      <c r="Q99" s="32" t="str">
        <f t="shared" si="15"/>
        <v/>
      </c>
      <c r="R99" s="32" t="str">
        <f t="shared" ref="R99:R162" si="16">IF(H99="","",IF(ISERR(F99/F99)=TRUE,"",IF(ISERR(F99/D99)=TRUE,IF((F99-MIN(H99:J99))&gt;0.001,"Reject",""),IF(ISNUMBER($P99)=TRUE,IF($P99&gt;0.651,IF($P99&gt;1.001,"Reject","Alert"),""),""))))</f>
        <v/>
      </c>
      <c r="S99" s="116"/>
    </row>
    <row r="100" spans="1:19" ht="18" customHeight="1">
      <c r="A100" s="30"/>
      <c r="B100" s="75" t="s">
        <v>170</v>
      </c>
      <c r="C100" s="76" t="s">
        <v>45</v>
      </c>
      <c r="D100" s="150">
        <v>2.927</v>
      </c>
      <c r="E100" s="150">
        <v>0.02</v>
      </c>
      <c r="F100" s="150">
        <v>-0.02</v>
      </c>
      <c r="G100" s="76" t="s">
        <v>46</v>
      </c>
      <c r="H100" s="87"/>
      <c r="I100" s="87"/>
      <c r="J100" s="87"/>
      <c r="K100" s="31" t="str">
        <f t="shared" si="9"/>
        <v xml:space="preserve"> </v>
      </c>
      <c r="L100" s="31" t="str">
        <f t="shared" si="10"/>
        <v xml:space="preserve"> </v>
      </c>
      <c r="M100" s="31" t="str">
        <f t="shared" si="11"/>
        <v xml:space="preserve"> </v>
      </c>
      <c r="N100" s="32" t="str">
        <f t="shared" si="12"/>
        <v xml:space="preserve"> </v>
      </c>
      <c r="O100" s="33" t="str">
        <f t="shared" si="13"/>
        <v xml:space="preserve"> </v>
      </c>
      <c r="P100" s="34" t="str">
        <f t="shared" si="14"/>
        <v xml:space="preserve"> </v>
      </c>
      <c r="Q100" s="32" t="str">
        <f t="shared" si="15"/>
        <v/>
      </c>
      <c r="R100" s="32" t="str">
        <f t="shared" si="16"/>
        <v/>
      </c>
      <c r="S100" s="116"/>
    </row>
    <row r="101" spans="1:19" ht="18" customHeight="1">
      <c r="A101" s="30"/>
      <c r="B101" s="75" t="s">
        <v>171</v>
      </c>
      <c r="C101" s="76" t="s">
        <v>45</v>
      </c>
      <c r="D101" s="150">
        <v>2.927</v>
      </c>
      <c r="E101" s="150">
        <v>0.02</v>
      </c>
      <c r="F101" s="150">
        <v>-0.02</v>
      </c>
      <c r="G101" s="76" t="s">
        <v>46</v>
      </c>
      <c r="H101" s="87"/>
      <c r="I101" s="87"/>
      <c r="J101" s="87"/>
      <c r="K101" s="31" t="str">
        <f t="shared" si="9"/>
        <v xml:space="preserve"> </v>
      </c>
      <c r="L101" s="31" t="str">
        <f t="shared" si="10"/>
        <v xml:space="preserve"> </v>
      </c>
      <c r="M101" s="31" t="str">
        <f t="shared" si="11"/>
        <v xml:space="preserve"> </v>
      </c>
      <c r="N101" s="32" t="str">
        <f t="shared" si="12"/>
        <v xml:space="preserve"> </v>
      </c>
      <c r="O101" s="33" t="str">
        <f t="shared" si="13"/>
        <v xml:space="preserve"> </v>
      </c>
      <c r="P101" s="34" t="str">
        <f t="shared" si="14"/>
        <v xml:space="preserve"> </v>
      </c>
      <c r="Q101" s="32" t="str">
        <f t="shared" si="15"/>
        <v/>
      </c>
      <c r="R101" s="32" t="str">
        <f t="shared" si="16"/>
        <v/>
      </c>
      <c r="S101" s="116"/>
    </row>
    <row r="102" spans="1:19" ht="18" customHeight="1">
      <c r="A102" s="30"/>
      <c r="B102" s="75" t="s">
        <v>172</v>
      </c>
      <c r="C102" s="76" t="s">
        <v>45</v>
      </c>
      <c r="D102" s="150">
        <v>3.2679999999999998</v>
      </c>
      <c r="E102" s="150">
        <v>0.02</v>
      </c>
      <c r="F102" s="150">
        <v>-0.02</v>
      </c>
      <c r="G102" s="76" t="s">
        <v>46</v>
      </c>
      <c r="H102" s="87"/>
      <c r="I102" s="87"/>
      <c r="J102" s="87"/>
      <c r="K102" s="31" t="str">
        <f t="shared" si="9"/>
        <v xml:space="preserve"> </v>
      </c>
      <c r="L102" s="31" t="str">
        <f t="shared" si="10"/>
        <v xml:space="preserve"> </v>
      </c>
      <c r="M102" s="31" t="str">
        <f t="shared" si="11"/>
        <v xml:space="preserve"> </v>
      </c>
      <c r="N102" s="32" t="str">
        <f t="shared" si="12"/>
        <v xml:space="preserve"> </v>
      </c>
      <c r="O102" s="33" t="str">
        <f t="shared" si="13"/>
        <v xml:space="preserve"> </v>
      </c>
      <c r="P102" s="34" t="str">
        <f t="shared" si="14"/>
        <v xml:space="preserve"> </v>
      </c>
      <c r="Q102" s="32" t="str">
        <f t="shared" si="15"/>
        <v/>
      </c>
      <c r="R102" s="32" t="str">
        <f t="shared" si="16"/>
        <v/>
      </c>
      <c r="S102" s="116"/>
    </row>
    <row r="103" spans="1:19" ht="18" customHeight="1">
      <c r="A103" s="30"/>
      <c r="B103" s="75" t="s">
        <v>173</v>
      </c>
      <c r="C103" s="76" t="s">
        <v>45</v>
      </c>
      <c r="D103" s="150">
        <v>3.2679999999999998</v>
      </c>
      <c r="E103" s="150">
        <v>0.02</v>
      </c>
      <c r="F103" s="150">
        <v>-0.02</v>
      </c>
      <c r="G103" s="76" t="s">
        <v>46</v>
      </c>
      <c r="H103" s="87"/>
      <c r="I103" s="87"/>
      <c r="J103" s="87"/>
      <c r="K103" s="31" t="str">
        <f t="shared" si="9"/>
        <v xml:space="preserve"> </v>
      </c>
      <c r="L103" s="31" t="str">
        <f t="shared" si="10"/>
        <v xml:space="preserve"> </v>
      </c>
      <c r="M103" s="31" t="str">
        <f t="shared" si="11"/>
        <v xml:space="preserve"> </v>
      </c>
      <c r="N103" s="32" t="str">
        <f t="shared" si="12"/>
        <v xml:space="preserve"> </v>
      </c>
      <c r="O103" s="33" t="str">
        <f t="shared" si="13"/>
        <v xml:space="preserve"> </v>
      </c>
      <c r="P103" s="34" t="str">
        <f t="shared" si="14"/>
        <v xml:space="preserve"> </v>
      </c>
      <c r="Q103" s="32" t="str">
        <f t="shared" si="15"/>
        <v/>
      </c>
      <c r="R103" s="32" t="str">
        <f t="shared" si="16"/>
        <v/>
      </c>
      <c r="S103" s="116"/>
    </row>
    <row r="104" spans="1:19" ht="18" customHeight="1">
      <c r="A104" s="30"/>
      <c r="B104" s="75" t="s">
        <v>174</v>
      </c>
      <c r="C104" s="76" t="s">
        <v>45</v>
      </c>
      <c r="D104" s="150">
        <v>3.2679999999999998</v>
      </c>
      <c r="E104" s="150">
        <v>0.02</v>
      </c>
      <c r="F104" s="150">
        <v>-0.02</v>
      </c>
      <c r="G104" s="76" t="s">
        <v>46</v>
      </c>
      <c r="H104" s="87"/>
      <c r="I104" s="87"/>
      <c r="J104" s="87"/>
      <c r="K104" s="31" t="str">
        <f t="shared" si="9"/>
        <v xml:space="preserve"> </v>
      </c>
      <c r="L104" s="31" t="str">
        <f t="shared" si="10"/>
        <v xml:space="preserve"> </v>
      </c>
      <c r="M104" s="31" t="str">
        <f t="shared" si="11"/>
        <v xml:space="preserve"> </v>
      </c>
      <c r="N104" s="32" t="str">
        <f t="shared" si="12"/>
        <v xml:space="preserve"> </v>
      </c>
      <c r="O104" s="33" t="str">
        <f t="shared" si="13"/>
        <v xml:space="preserve"> </v>
      </c>
      <c r="P104" s="34" t="str">
        <f t="shared" si="14"/>
        <v xml:space="preserve"> </v>
      </c>
      <c r="Q104" s="32" t="str">
        <f t="shared" si="15"/>
        <v/>
      </c>
      <c r="R104" s="32" t="str">
        <f t="shared" si="16"/>
        <v/>
      </c>
      <c r="S104" s="116"/>
    </row>
    <row r="105" spans="1:19" ht="18" customHeight="1">
      <c r="A105" s="30"/>
      <c r="B105" s="75" t="s">
        <v>175</v>
      </c>
      <c r="C105" s="76" t="s">
        <v>229</v>
      </c>
      <c r="D105" s="150">
        <v>0</v>
      </c>
      <c r="E105" s="150">
        <v>0.05</v>
      </c>
      <c r="F105" s="150">
        <v>0</v>
      </c>
      <c r="G105" s="76" t="s">
        <v>46</v>
      </c>
      <c r="H105" s="87"/>
      <c r="I105" s="87"/>
      <c r="J105" s="87"/>
      <c r="K105" s="31" t="str">
        <f t="shared" si="9"/>
        <v xml:space="preserve"> </v>
      </c>
      <c r="L105" s="31" t="str">
        <f t="shared" si="10"/>
        <v xml:space="preserve"> </v>
      </c>
      <c r="M105" s="31" t="str">
        <f t="shared" si="11"/>
        <v xml:space="preserve"> </v>
      </c>
      <c r="N105" s="32" t="str">
        <f t="shared" si="12"/>
        <v xml:space="preserve"> </v>
      </c>
      <c r="O105" s="33" t="str">
        <f t="shared" si="13"/>
        <v xml:space="preserve"> </v>
      </c>
      <c r="P105" s="34" t="str">
        <f t="shared" si="14"/>
        <v xml:space="preserve"> </v>
      </c>
      <c r="Q105" s="32" t="str">
        <f t="shared" si="15"/>
        <v/>
      </c>
      <c r="R105" s="32" t="str">
        <f t="shared" si="16"/>
        <v/>
      </c>
      <c r="S105" s="116"/>
    </row>
    <row r="106" spans="1:19" ht="18" customHeight="1">
      <c r="A106" s="30"/>
      <c r="B106" s="75" t="s">
        <v>176</v>
      </c>
      <c r="C106" s="76" t="s">
        <v>45</v>
      </c>
      <c r="D106" s="150">
        <v>15.433999999999999</v>
      </c>
      <c r="E106" s="150">
        <v>0.03</v>
      </c>
      <c r="F106" s="150">
        <v>-0.03</v>
      </c>
      <c r="G106" s="76" t="s">
        <v>46</v>
      </c>
      <c r="H106" s="87"/>
      <c r="I106" s="87"/>
      <c r="J106" s="87"/>
      <c r="K106" s="31" t="str">
        <f t="shared" si="9"/>
        <v xml:space="preserve"> </v>
      </c>
      <c r="L106" s="31" t="str">
        <f t="shared" si="10"/>
        <v xml:space="preserve"> </v>
      </c>
      <c r="M106" s="31" t="str">
        <f t="shared" si="11"/>
        <v xml:space="preserve"> </v>
      </c>
      <c r="N106" s="32" t="str">
        <f t="shared" si="12"/>
        <v xml:space="preserve"> </v>
      </c>
      <c r="O106" s="33" t="str">
        <f t="shared" si="13"/>
        <v xml:space="preserve"> </v>
      </c>
      <c r="P106" s="34" t="str">
        <f t="shared" si="14"/>
        <v xml:space="preserve"> </v>
      </c>
      <c r="Q106" s="32" t="str">
        <f t="shared" si="15"/>
        <v/>
      </c>
      <c r="R106" s="32" t="str">
        <f t="shared" si="16"/>
        <v/>
      </c>
      <c r="S106" s="116"/>
    </row>
    <row r="107" spans="1:19" ht="18" customHeight="1">
      <c r="A107" s="30"/>
      <c r="B107" s="75" t="s">
        <v>177</v>
      </c>
      <c r="C107" s="76" t="s">
        <v>45</v>
      </c>
      <c r="D107" s="150">
        <v>15.433999999999999</v>
      </c>
      <c r="E107" s="150">
        <v>0.03</v>
      </c>
      <c r="F107" s="150">
        <v>-0.03</v>
      </c>
      <c r="G107" s="76" t="s">
        <v>46</v>
      </c>
      <c r="H107" s="87"/>
      <c r="I107" s="87"/>
      <c r="J107" s="87"/>
      <c r="K107" s="31" t="str">
        <f t="shared" si="9"/>
        <v xml:space="preserve"> </v>
      </c>
      <c r="L107" s="31" t="str">
        <f t="shared" si="10"/>
        <v xml:space="preserve"> </v>
      </c>
      <c r="M107" s="31" t="str">
        <f t="shared" si="11"/>
        <v xml:space="preserve"> </v>
      </c>
      <c r="N107" s="32" t="str">
        <f t="shared" si="12"/>
        <v xml:space="preserve"> </v>
      </c>
      <c r="O107" s="33" t="str">
        <f t="shared" si="13"/>
        <v xml:space="preserve"> </v>
      </c>
      <c r="P107" s="34" t="str">
        <f t="shared" si="14"/>
        <v xml:space="preserve"> </v>
      </c>
      <c r="Q107" s="32" t="str">
        <f t="shared" si="15"/>
        <v/>
      </c>
      <c r="R107" s="32" t="str">
        <f t="shared" si="16"/>
        <v/>
      </c>
      <c r="S107" s="116"/>
    </row>
    <row r="108" spans="1:19" ht="18" customHeight="1">
      <c r="A108" s="30"/>
      <c r="B108" s="75" t="s">
        <v>111</v>
      </c>
      <c r="C108" s="76" t="s">
        <v>45</v>
      </c>
      <c r="D108" s="150">
        <v>4.5739999999999998</v>
      </c>
      <c r="E108" s="150">
        <v>0.04</v>
      </c>
      <c r="F108" s="150">
        <v>-0.04</v>
      </c>
      <c r="G108" s="76" t="s">
        <v>46</v>
      </c>
      <c r="H108" s="87"/>
      <c r="I108" s="87"/>
      <c r="J108" s="87"/>
      <c r="K108" s="31" t="str">
        <f t="shared" si="9"/>
        <v xml:space="preserve"> </v>
      </c>
      <c r="L108" s="31" t="str">
        <f t="shared" si="10"/>
        <v xml:space="preserve"> </v>
      </c>
      <c r="M108" s="31" t="str">
        <f t="shared" si="11"/>
        <v xml:space="preserve"> </v>
      </c>
      <c r="N108" s="32" t="str">
        <f t="shared" si="12"/>
        <v xml:space="preserve"> </v>
      </c>
      <c r="O108" s="33" t="str">
        <f t="shared" si="13"/>
        <v xml:space="preserve"> </v>
      </c>
      <c r="P108" s="34" t="str">
        <f t="shared" si="14"/>
        <v xml:space="preserve"> </v>
      </c>
      <c r="Q108" s="32" t="str">
        <f t="shared" si="15"/>
        <v/>
      </c>
      <c r="R108" s="32" t="str">
        <f t="shared" si="16"/>
        <v/>
      </c>
      <c r="S108" s="116"/>
    </row>
    <row r="109" spans="1:19" ht="18" customHeight="1">
      <c r="A109" s="30"/>
      <c r="B109" s="75" t="s">
        <v>112</v>
      </c>
      <c r="C109" s="76" t="s">
        <v>45</v>
      </c>
      <c r="D109" s="150">
        <v>4.5739999999999998</v>
      </c>
      <c r="E109" s="150">
        <v>0.04</v>
      </c>
      <c r="F109" s="150">
        <v>-0.04</v>
      </c>
      <c r="G109" s="76" t="s">
        <v>46</v>
      </c>
      <c r="H109" s="87"/>
      <c r="I109" s="87"/>
      <c r="J109" s="87"/>
      <c r="K109" s="31" t="str">
        <f t="shared" si="9"/>
        <v xml:space="preserve"> </v>
      </c>
      <c r="L109" s="31" t="str">
        <f t="shared" si="10"/>
        <v xml:space="preserve"> </v>
      </c>
      <c r="M109" s="31" t="str">
        <f t="shared" si="11"/>
        <v xml:space="preserve"> </v>
      </c>
      <c r="N109" s="32" t="str">
        <f t="shared" si="12"/>
        <v xml:space="preserve"> </v>
      </c>
      <c r="O109" s="33" t="str">
        <f t="shared" si="13"/>
        <v xml:space="preserve"> </v>
      </c>
      <c r="P109" s="34" t="str">
        <f t="shared" si="14"/>
        <v xml:space="preserve"> </v>
      </c>
      <c r="Q109" s="32" t="str">
        <f t="shared" si="15"/>
        <v/>
      </c>
      <c r="R109" s="32" t="str">
        <f t="shared" si="16"/>
        <v/>
      </c>
      <c r="S109" s="116"/>
    </row>
    <row r="110" spans="1:19" ht="18" customHeight="1">
      <c r="A110" s="30"/>
      <c r="B110" s="75" t="s">
        <v>113</v>
      </c>
      <c r="C110" s="76" t="s">
        <v>45</v>
      </c>
      <c r="D110" s="150">
        <v>19.952000000000002</v>
      </c>
      <c r="E110" s="150">
        <v>0.03</v>
      </c>
      <c r="F110" s="150">
        <v>-0.03</v>
      </c>
      <c r="G110" s="76" t="s">
        <v>46</v>
      </c>
      <c r="H110" s="87"/>
      <c r="I110" s="87"/>
      <c r="J110" s="87"/>
      <c r="K110" s="31" t="str">
        <f t="shared" si="9"/>
        <v xml:space="preserve"> </v>
      </c>
      <c r="L110" s="31" t="str">
        <f t="shared" si="10"/>
        <v xml:space="preserve"> </v>
      </c>
      <c r="M110" s="31" t="str">
        <f t="shared" si="11"/>
        <v xml:space="preserve"> </v>
      </c>
      <c r="N110" s="32" t="str">
        <f t="shared" si="12"/>
        <v xml:space="preserve"> </v>
      </c>
      <c r="O110" s="33" t="str">
        <f t="shared" si="13"/>
        <v xml:space="preserve"> </v>
      </c>
      <c r="P110" s="34" t="str">
        <f t="shared" si="14"/>
        <v xml:space="preserve"> </v>
      </c>
      <c r="Q110" s="32" t="str">
        <f t="shared" si="15"/>
        <v/>
      </c>
      <c r="R110" s="32" t="str">
        <f t="shared" si="16"/>
        <v/>
      </c>
      <c r="S110" s="116"/>
    </row>
    <row r="111" spans="1:19" ht="18" customHeight="1">
      <c r="A111" s="30"/>
      <c r="B111" s="75" t="s">
        <v>114</v>
      </c>
      <c r="C111" s="76" t="s">
        <v>45</v>
      </c>
      <c r="D111" s="150">
        <v>19.952000000000002</v>
      </c>
      <c r="E111" s="150">
        <v>0.03</v>
      </c>
      <c r="F111" s="150">
        <v>-0.03</v>
      </c>
      <c r="G111" s="76" t="s">
        <v>46</v>
      </c>
      <c r="H111" s="87"/>
      <c r="I111" s="87"/>
      <c r="J111" s="87"/>
      <c r="K111" s="31" t="str">
        <f t="shared" si="9"/>
        <v xml:space="preserve"> </v>
      </c>
      <c r="L111" s="31" t="str">
        <f t="shared" si="10"/>
        <v xml:space="preserve"> </v>
      </c>
      <c r="M111" s="31" t="str">
        <f t="shared" si="11"/>
        <v xml:space="preserve"> </v>
      </c>
      <c r="N111" s="32" t="str">
        <f t="shared" si="12"/>
        <v xml:space="preserve"> </v>
      </c>
      <c r="O111" s="33" t="str">
        <f t="shared" si="13"/>
        <v xml:space="preserve"> </v>
      </c>
      <c r="P111" s="34" t="str">
        <f t="shared" si="14"/>
        <v xml:space="preserve"> </v>
      </c>
      <c r="Q111" s="32" t="str">
        <f t="shared" si="15"/>
        <v/>
      </c>
      <c r="R111" s="32" t="str">
        <f t="shared" si="16"/>
        <v/>
      </c>
      <c r="S111" s="116"/>
    </row>
    <row r="112" spans="1:19" ht="18" customHeight="1">
      <c r="A112" s="30"/>
      <c r="B112" s="75" t="s">
        <v>178</v>
      </c>
      <c r="C112" s="76" t="s">
        <v>45</v>
      </c>
      <c r="D112" s="150">
        <v>8.1219999999999999</v>
      </c>
      <c r="E112" s="150">
        <v>0.03</v>
      </c>
      <c r="F112" s="150">
        <v>-0.03</v>
      </c>
      <c r="G112" s="76" t="s">
        <v>46</v>
      </c>
      <c r="H112" s="87"/>
      <c r="I112" s="87"/>
      <c r="J112" s="87"/>
      <c r="K112" s="31" t="str">
        <f t="shared" si="9"/>
        <v xml:space="preserve"> </v>
      </c>
      <c r="L112" s="31" t="str">
        <f t="shared" si="10"/>
        <v xml:space="preserve"> </v>
      </c>
      <c r="M112" s="31" t="str">
        <f t="shared" si="11"/>
        <v xml:space="preserve"> </v>
      </c>
      <c r="N112" s="32" t="str">
        <f t="shared" si="12"/>
        <v xml:space="preserve"> </v>
      </c>
      <c r="O112" s="33" t="str">
        <f t="shared" si="13"/>
        <v xml:space="preserve"> </v>
      </c>
      <c r="P112" s="34" t="str">
        <f t="shared" si="14"/>
        <v xml:space="preserve"> </v>
      </c>
      <c r="Q112" s="32" t="str">
        <f t="shared" si="15"/>
        <v/>
      </c>
      <c r="R112" s="32" t="str">
        <f t="shared" si="16"/>
        <v/>
      </c>
      <c r="S112" s="116"/>
    </row>
    <row r="113" spans="1:19" ht="18" customHeight="1">
      <c r="A113" s="30"/>
      <c r="B113" s="75" t="s">
        <v>179</v>
      </c>
      <c r="C113" s="76" t="s">
        <v>45</v>
      </c>
      <c r="D113" s="150">
        <v>8.1219999999999999</v>
      </c>
      <c r="E113" s="150">
        <v>0.03</v>
      </c>
      <c r="F113" s="150">
        <v>-0.03</v>
      </c>
      <c r="G113" s="76" t="s">
        <v>46</v>
      </c>
      <c r="H113" s="87"/>
      <c r="I113" s="87"/>
      <c r="J113" s="87"/>
      <c r="K113" s="31" t="str">
        <f t="shared" si="9"/>
        <v xml:space="preserve"> </v>
      </c>
      <c r="L113" s="31" t="str">
        <f t="shared" si="10"/>
        <v xml:space="preserve"> </v>
      </c>
      <c r="M113" s="31" t="str">
        <f t="shared" si="11"/>
        <v xml:space="preserve"> </v>
      </c>
      <c r="N113" s="32" t="str">
        <f t="shared" si="12"/>
        <v xml:space="preserve"> </v>
      </c>
      <c r="O113" s="33" t="str">
        <f t="shared" si="13"/>
        <v xml:space="preserve"> </v>
      </c>
      <c r="P113" s="34" t="str">
        <f t="shared" si="14"/>
        <v xml:space="preserve"> </v>
      </c>
      <c r="Q113" s="32" t="str">
        <f t="shared" si="15"/>
        <v/>
      </c>
      <c r="R113" s="32" t="str">
        <f t="shared" si="16"/>
        <v/>
      </c>
      <c r="S113" s="116"/>
    </row>
    <row r="114" spans="1:19" ht="18" customHeight="1">
      <c r="A114" s="30"/>
      <c r="B114" s="75" t="s">
        <v>180</v>
      </c>
      <c r="C114" s="76" t="s">
        <v>45</v>
      </c>
      <c r="D114" s="150">
        <v>2.2429999999999999</v>
      </c>
      <c r="E114" s="150">
        <v>0.03</v>
      </c>
      <c r="F114" s="150">
        <v>-0.03</v>
      </c>
      <c r="G114" s="76" t="s">
        <v>46</v>
      </c>
      <c r="H114" s="87"/>
      <c r="I114" s="87"/>
      <c r="J114" s="87"/>
      <c r="K114" s="31" t="str">
        <f t="shared" si="9"/>
        <v xml:space="preserve"> </v>
      </c>
      <c r="L114" s="31" t="str">
        <f t="shared" si="10"/>
        <v xml:space="preserve"> </v>
      </c>
      <c r="M114" s="31" t="str">
        <f t="shared" si="11"/>
        <v xml:space="preserve"> </v>
      </c>
      <c r="N114" s="32" t="str">
        <f t="shared" si="12"/>
        <v xml:space="preserve"> </v>
      </c>
      <c r="O114" s="33" t="str">
        <f t="shared" si="13"/>
        <v xml:space="preserve"> </v>
      </c>
      <c r="P114" s="34" t="str">
        <f t="shared" si="14"/>
        <v xml:space="preserve"> </v>
      </c>
      <c r="Q114" s="32" t="str">
        <f t="shared" si="15"/>
        <v/>
      </c>
      <c r="R114" s="32" t="str">
        <f t="shared" si="16"/>
        <v/>
      </c>
      <c r="S114" s="116"/>
    </row>
    <row r="115" spans="1:19" ht="18" customHeight="1">
      <c r="A115" s="30"/>
      <c r="B115" s="75" t="s">
        <v>181</v>
      </c>
      <c r="C115" s="76" t="s">
        <v>45</v>
      </c>
      <c r="D115" s="150">
        <v>2.2429999999999999</v>
      </c>
      <c r="E115" s="150">
        <v>0.03</v>
      </c>
      <c r="F115" s="150">
        <v>-0.03</v>
      </c>
      <c r="G115" s="76" t="s">
        <v>46</v>
      </c>
      <c r="H115" s="87"/>
      <c r="I115" s="87"/>
      <c r="J115" s="87"/>
      <c r="K115" s="31" t="str">
        <f t="shared" si="9"/>
        <v xml:space="preserve"> </v>
      </c>
      <c r="L115" s="31" t="str">
        <f t="shared" si="10"/>
        <v xml:space="preserve"> </v>
      </c>
      <c r="M115" s="31" t="str">
        <f t="shared" si="11"/>
        <v xml:space="preserve"> </v>
      </c>
      <c r="N115" s="32" t="str">
        <f t="shared" si="12"/>
        <v xml:space="preserve"> </v>
      </c>
      <c r="O115" s="33" t="str">
        <f t="shared" si="13"/>
        <v xml:space="preserve"> </v>
      </c>
      <c r="P115" s="34" t="str">
        <f t="shared" si="14"/>
        <v xml:space="preserve"> </v>
      </c>
      <c r="Q115" s="32" t="str">
        <f t="shared" si="15"/>
        <v/>
      </c>
      <c r="R115" s="32" t="str">
        <f t="shared" si="16"/>
        <v/>
      </c>
      <c r="S115" s="116"/>
    </row>
    <row r="116" spans="1:19" ht="18" customHeight="1">
      <c r="A116" s="30"/>
      <c r="B116" s="75">
        <v>76</v>
      </c>
      <c r="C116" s="76" t="s">
        <v>45</v>
      </c>
      <c r="D116" s="150">
        <v>3.5779999999999998</v>
      </c>
      <c r="E116" s="150">
        <v>0.03</v>
      </c>
      <c r="F116" s="150">
        <v>-0.03</v>
      </c>
      <c r="G116" s="76" t="s">
        <v>46</v>
      </c>
      <c r="H116" s="87"/>
      <c r="I116" s="87"/>
      <c r="J116" s="87"/>
      <c r="K116" s="31" t="str">
        <f t="shared" si="9"/>
        <v xml:space="preserve"> </v>
      </c>
      <c r="L116" s="31" t="str">
        <f t="shared" si="10"/>
        <v xml:space="preserve"> </v>
      </c>
      <c r="M116" s="31" t="str">
        <f t="shared" si="11"/>
        <v xml:space="preserve"> </v>
      </c>
      <c r="N116" s="32" t="str">
        <f t="shared" si="12"/>
        <v xml:space="preserve"> </v>
      </c>
      <c r="O116" s="33" t="str">
        <f t="shared" si="13"/>
        <v xml:space="preserve"> </v>
      </c>
      <c r="P116" s="34" t="str">
        <f t="shared" si="14"/>
        <v xml:space="preserve"> </v>
      </c>
      <c r="Q116" s="32" t="str">
        <f t="shared" si="15"/>
        <v/>
      </c>
      <c r="R116" s="32" t="str">
        <f t="shared" si="16"/>
        <v/>
      </c>
      <c r="S116" s="116"/>
    </row>
    <row r="117" spans="1:19" ht="18" customHeight="1">
      <c r="A117" s="30"/>
      <c r="B117" s="75" t="s">
        <v>182</v>
      </c>
      <c r="C117" s="76" t="s">
        <v>45</v>
      </c>
      <c r="D117" s="150">
        <v>16.434000000000001</v>
      </c>
      <c r="E117" s="150">
        <v>0.03</v>
      </c>
      <c r="F117" s="150">
        <v>-0.03</v>
      </c>
      <c r="G117" s="76" t="s">
        <v>46</v>
      </c>
      <c r="H117" s="87"/>
      <c r="I117" s="87"/>
      <c r="J117" s="87"/>
      <c r="K117" s="31" t="str">
        <f t="shared" si="9"/>
        <v xml:space="preserve"> </v>
      </c>
      <c r="L117" s="31" t="str">
        <f t="shared" si="10"/>
        <v xml:space="preserve"> </v>
      </c>
      <c r="M117" s="31" t="str">
        <f t="shared" si="11"/>
        <v xml:space="preserve"> </v>
      </c>
      <c r="N117" s="32" t="str">
        <f t="shared" si="12"/>
        <v xml:space="preserve"> </v>
      </c>
      <c r="O117" s="33" t="str">
        <f t="shared" si="13"/>
        <v xml:space="preserve"> </v>
      </c>
      <c r="P117" s="34" t="str">
        <f t="shared" si="14"/>
        <v xml:space="preserve"> </v>
      </c>
      <c r="Q117" s="32" t="str">
        <f t="shared" si="15"/>
        <v/>
      </c>
      <c r="R117" s="32" t="str">
        <f t="shared" si="16"/>
        <v/>
      </c>
      <c r="S117" s="116"/>
    </row>
    <row r="118" spans="1:19" ht="18" customHeight="1">
      <c r="A118" s="30"/>
      <c r="B118" s="89" t="s">
        <v>263</v>
      </c>
      <c r="C118" s="76" t="s">
        <v>45</v>
      </c>
      <c r="D118" s="150">
        <v>24.367000000000001</v>
      </c>
      <c r="E118" s="150">
        <v>0.03</v>
      </c>
      <c r="F118" s="150">
        <v>-0.05</v>
      </c>
      <c r="G118" s="76" t="s">
        <v>46</v>
      </c>
      <c r="H118" s="87"/>
      <c r="I118" s="87"/>
      <c r="J118" s="87"/>
      <c r="K118" s="31" t="str">
        <f t="shared" si="9"/>
        <v xml:space="preserve"> </v>
      </c>
      <c r="L118" s="31" t="str">
        <f t="shared" si="10"/>
        <v xml:space="preserve"> </v>
      </c>
      <c r="M118" s="31" t="str">
        <f t="shared" si="11"/>
        <v xml:space="preserve"> </v>
      </c>
      <c r="N118" s="32" t="str">
        <f t="shared" si="12"/>
        <v xml:space="preserve"> </v>
      </c>
      <c r="O118" s="33" t="str">
        <f t="shared" si="13"/>
        <v xml:space="preserve"> </v>
      </c>
      <c r="P118" s="34" t="str">
        <f t="shared" si="14"/>
        <v xml:space="preserve"> </v>
      </c>
      <c r="Q118" s="32" t="str">
        <f t="shared" si="15"/>
        <v/>
      </c>
      <c r="R118" s="32" t="str">
        <f t="shared" si="16"/>
        <v/>
      </c>
      <c r="S118" s="116"/>
    </row>
    <row r="119" spans="1:19" ht="18" customHeight="1">
      <c r="A119" s="30"/>
      <c r="B119" s="89" t="s">
        <v>262</v>
      </c>
      <c r="C119" s="76" t="s">
        <v>45</v>
      </c>
      <c r="D119" s="150">
        <v>24.367000000000001</v>
      </c>
      <c r="E119" s="150">
        <v>0.03</v>
      </c>
      <c r="F119" s="150">
        <v>-0.05</v>
      </c>
      <c r="G119" s="76" t="s">
        <v>46</v>
      </c>
      <c r="H119" s="87"/>
      <c r="I119" s="87"/>
      <c r="J119" s="87"/>
      <c r="K119" s="31" t="str">
        <f t="shared" si="9"/>
        <v xml:space="preserve"> </v>
      </c>
      <c r="L119" s="31" t="str">
        <f t="shared" si="10"/>
        <v xml:space="preserve"> </v>
      </c>
      <c r="M119" s="31" t="str">
        <f t="shared" si="11"/>
        <v xml:space="preserve"> </v>
      </c>
      <c r="N119" s="32" t="str">
        <f t="shared" si="12"/>
        <v xml:space="preserve"> </v>
      </c>
      <c r="O119" s="33" t="str">
        <f t="shared" si="13"/>
        <v xml:space="preserve"> </v>
      </c>
      <c r="P119" s="34" t="str">
        <f t="shared" si="14"/>
        <v xml:space="preserve"> </v>
      </c>
      <c r="Q119" s="32" t="str">
        <f t="shared" si="15"/>
        <v/>
      </c>
      <c r="R119" s="32" t="str">
        <f t="shared" si="16"/>
        <v/>
      </c>
      <c r="S119" s="116"/>
    </row>
    <row r="120" spans="1:19" ht="18" customHeight="1">
      <c r="A120" s="30"/>
      <c r="B120" s="75" t="s">
        <v>183</v>
      </c>
      <c r="C120" s="76" t="s">
        <v>45</v>
      </c>
      <c r="D120" s="150">
        <v>4.5609999999999999</v>
      </c>
      <c r="E120" s="150">
        <v>0.03</v>
      </c>
      <c r="F120" s="150">
        <v>-0.03</v>
      </c>
      <c r="G120" s="76" t="s">
        <v>46</v>
      </c>
      <c r="H120" s="87"/>
      <c r="I120" s="87"/>
      <c r="J120" s="87"/>
      <c r="K120" s="31" t="str">
        <f t="shared" si="9"/>
        <v xml:space="preserve"> </v>
      </c>
      <c r="L120" s="31" t="str">
        <f t="shared" si="10"/>
        <v xml:space="preserve"> </v>
      </c>
      <c r="M120" s="31" t="str">
        <f t="shared" si="11"/>
        <v xml:space="preserve"> </v>
      </c>
      <c r="N120" s="32" t="str">
        <f t="shared" si="12"/>
        <v xml:space="preserve"> </v>
      </c>
      <c r="O120" s="33" t="str">
        <f t="shared" si="13"/>
        <v xml:space="preserve"> </v>
      </c>
      <c r="P120" s="34" t="str">
        <f t="shared" si="14"/>
        <v xml:space="preserve"> </v>
      </c>
      <c r="Q120" s="32" t="str">
        <f t="shared" si="15"/>
        <v/>
      </c>
      <c r="R120" s="32" t="str">
        <f t="shared" si="16"/>
        <v/>
      </c>
      <c r="S120" s="116"/>
    </row>
    <row r="121" spans="1:19" ht="18" customHeight="1">
      <c r="A121" s="30"/>
      <c r="B121" s="75" t="s">
        <v>184</v>
      </c>
      <c r="C121" s="76" t="s">
        <v>45</v>
      </c>
      <c r="D121" s="150">
        <v>4.5609999999999999</v>
      </c>
      <c r="E121" s="150">
        <v>0.03</v>
      </c>
      <c r="F121" s="150">
        <v>-0.03</v>
      </c>
      <c r="G121" s="76" t="s">
        <v>46</v>
      </c>
      <c r="H121" s="87"/>
      <c r="I121" s="87"/>
      <c r="J121" s="87"/>
      <c r="K121" s="31" t="str">
        <f t="shared" si="9"/>
        <v xml:space="preserve"> </v>
      </c>
      <c r="L121" s="31" t="str">
        <f t="shared" si="10"/>
        <v xml:space="preserve"> </v>
      </c>
      <c r="M121" s="31" t="str">
        <f t="shared" si="11"/>
        <v xml:space="preserve"> </v>
      </c>
      <c r="N121" s="32" t="str">
        <f t="shared" si="12"/>
        <v xml:space="preserve"> </v>
      </c>
      <c r="O121" s="33" t="str">
        <f t="shared" si="13"/>
        <v xml:space="preserve"> </v>
      </c>
      <c r="P121" s="34" t="str">
        <f t="shared" si="14"/>
        <v xml:space="preserve"> </v>
      </c>
      <c r="Q121" s="32" t="str">
        <f t="shared" si="15"/>
        <v/>
      </c>
      <c r="R121" s="32" t="str">
        <f t="shared" si="16"/>
        <v/>
      </c>
      <c r="S121" s="116"/>
    </row>
    <row r="122" spans="1:19" ht="18" customHeight="1">
      <c r="A122" s="30"/>
      <c r="B122" s="75" t="s">
        <v>185</v>
      </c>
      <c r="C122" s="76" t="s">
        <v>45</v>
      </c>
      <c r="D122" s="150">
        <v>4.5609999999999999</v>
      </c>
      <c r="E122" s="150">
        <v>0.03</v>
      </c>
      <c r="F122" s="150">
        <v>-0.03</v>
      </c>
      <c r="G122" s="76" t="s">
        <v>46</v>
      </c>
      <c r="H122" s="87"/>
      <c r="I122" s="87"/>
      <c r="J122" s="87"/>
      <c r="K122" s="31" t="str">
        <f t="shared" si="9"/>
        <v xml:space="preserve"> </v>
      </c>
      <c r="L122" s="31" t="str">
        <f t="shared" si="10"/>
        <v xml:space="preserve"> </v>
      </c>
      <c r="M122" s="31" t="str">
        <f t="shared" si="11"/>
        <v xml:space="preserve"> </v>
      </c>
      <c r="N122" s="32" t="str">
        <f t="shared" si="12"/>
        <v xml:space="preserve"> </v>
      </c>
      <c r="O122" s="33" t="str">
        <f t="shared" si="13"/>
        <v xml:space="preserve"> </v>
      </c>
      <c r="P122" s="34" t="str">
        <f t="shared" si="14"/>
        <v xml:space="preserve"> </v>
      </c>
      <c r="Q122" s="32" t="str">
        <f t="shared" si="15"/>
        <v/>
      </c>
      <c r="R122" s="32" t="str">
        <f t="shared" si="16"/>
        <v/>
      </c>
      <c r="S122" s="116"/>
    </row>
    <row r="123" spans="1:19" ht="18" customHeight="1">
      <c r="A123" s="30"/>
      <c r="B123" s="75" t="s">
        <v>186</v>
      </c>
      <c r="C123" s="76" t="s">
        <v>45</v>
      </c>
      <c r="D123" s="150">
        <v>4.5609999999999999</v>
      </c>
      <c r="E123" s="150">
        <v>0.03</v>
      </c>
      <c r="F123" s="150">
        <v>-0.03</v>
      </c>
      <c r="G123" s="76" t="s">
        <v>46</v>
      </c>
      <c r="H123" s="87"/>
      <c r="I123" s="87"/>
      <c r="J123" s="87"/>
      <c r="K123" s="31" t="str">
        <f t="shared" si="9"/>
        <v xml:space="preserve"> </v>
      </c>
      <c r="L123" s="31" t="str">
        <f t="shared" si="10"/>
        <v xml:space="preserve"> </v>
      </c>
      <c r="M123" s="31" t="str">
        <f t="shared" si="11"/>
        <v xml:space="preserve"> </v>
      </c>
      <c r="N123" s="32" t="str">
        <f t="shared" si="12"/>
        <v xml:space="preserve"> </v>
      </c>
      <c r="O123" s="33" t="str">
        <f t="shared" si="13"/>
        <v xml:space="preserve"> </v>
      </c>
      <c r="P123" s="34" t="str">
        <f t="shared" si="14"/>
        <v xml:space="preserve"> </v>
      </c>
      <c r="Q123" s="32" t="str">
        <f t="shared" si="15"/>
        <v/>
      </c>
      <c r="R123" s="32" t="str">
        <f t="shared" si="16"/>
        <v/>
      </c>
      <c r="S123" s="116"/>
    </row>
    <row r="124" spans="1:19" ht="18" customHeight="1">
      <c r="A124" s="30"/>
      <c r="B124" s="75" t="s">
        <v>187</v>
      </c>
      <c r="C124" s="76" t="s">
        <v>45</v>
      </c>
      <c r="D124" s="150">
        <v>4.5609999999999999</v>
      </c>
      <c r="E124" s="150">
        <v>0.03</v>
      </c>
      <c r="F124" s="150">
        <v>-0.03</v>
      </c>
      <c r="G124" s="76" t="s">
        <v>46</v>
      </c>
      <c r="H124" s="87"/>
      <c r="I124" s="87"/>
      <c r="J124" s="87"/>
      <c r="K124" s="31" t="str">
        <f t="shared" si="9"/>
        <v xml:space="preserve"> </v>
      </c>
      <c r="L124" s="31" t="str">
        <f t="shared" si="10"/>
        <v xml:space="preserve"> </v>
      </c>
      <c r="M124" s="31" t="str">
        <f t="shared" si="11"/>
        <v xml:space="preserve"> </v>
      </c>
      <c r="N124" s="32" t="str">
        <f t="shared" si="12"/>
        <v xml:space="preserve"> </v>
      </c>
      <c r="O124" s="33" t="str">
        <f t="shared" si="13"/>
        <v xml:space="preserve"> </v>
      </c>
      <c r="P124" s="34" t="str">
        <f t="shared" si="14"/>
        <v xml:space="preserve"> </v>
      </c>
      <c r="Q124" s="32" t="str">
        <f t="shared" si="15"/>
        <v/>
      </c>
      <c r="R124" s="32" t="str">
        <f t="shared" si="16"/>
        <v/>
      </c>
      <c r="S124" s="116"/>
    </row>
    <row r="125" spans="1:19" ht="18" customHeight="1">
      <c r="A125" s="30"/>
      <c r="B125" s="75" t="s">
        <v>188</v>
      </c>
      <c r="C125" s="76" t="s">
        <v>45</v>
      </c>
      <c r="D125" s="150">
        <v>4.5609999999999999</v>
      </c>
      <c r="E125" s="150">
        <v>0.03</v>
      </c>
      <c r="F125" s="150">
        <v>-0.03</v>
      </c>
      <c r="G125" s="76" t="s">
        <v>46</v>
      </c>
      <c r="H125" s="87"/>
      <c r="I125" s="87"/>
      <c r="J125" s="87"/>
      <c r="K125" s="31" t="str">
        <f t="shared" si="9"/>
        <v xml:space="preserve"> </v>
      </c>
      <c r="L125" s="31" t="str">
        <f t="shared" si="10"/>
        <v xml:space="preserve"> </v>
      </c>
      <c r="M125" s="31" t="str">
        <f t="shared" si="11"/>
        <v xml:space="preserve"> </v>
      </c>
      <c r="N125" s="32" t="str">
        <f t="shared" si="12"/>
        <v xml:space="preserve"> </v>
      </c>
      <c r="O125" s="33" t="str">
        <f t="shared" si="13"/>
        <v xml:space="preserve"> </v>
      </c>
      <c r="P125" s="34" t="str">
        <f t="shared" si="14"/>
        <v xml:space="preserve"> </v>
      </c>
      <c r="Q125" s="32" t="str">
        <f t="shared" si="15"/>
        <v/>
      </c>
      <c r="R125" s="32" t="str">
        <f t="shared" si="16"/>
        <v/>
      </c>
      <c r="S125" s="116"/>
    </row>
    <row r="126" spans="1:19" ht="18" customHeight="1">
      <c r="A126" s="30"/>
      <c r="B126" s="75" t="s">
        <v>189</v>
      </c>
      <c r="C126" s="76" t="s">
        <v>229</v>
      </c>
      <c r="D126" s="150">
        <v>0</v>
      </c>
      <c r="E126" s="150">
        <v>0.05</v>
      </c>
      <c r="F126" s="150">
        <v>0</v>
      </c>
      <c r="G126" s="76" t="s">
        <v>46</v>
      </c>
      <c r="H126" s="87"/>
      <c r="I126" s="87"/>
      <c r="J126" s="87"/>
      <c r="K126" s="31" t="str">
        <f t="shared" si="9"/>
        <v xml:space="preserve"> </v>
      </c>
      <c r="L126" s="31" t="str">
        <f t="shared" si="10"/>
        <v xml:space="preserve"> </v>
      </c>
      <c r="M126" s="31" t="str">
        <f t="shared" si="11"/>
        <v xml:space="preserve"> </v>
      </c>
      <c r="N126" s="32" t="str">
        <f t="shared" si="12"/>
        <v xml:space="preserve"> </v>
      </c>
      <c r="O126" s="33" t="str">
        <f t="shared" si="13"/>
        <v xml:space="preserve"> </v>
      </c>
      <c r="P126" s="34" t="str">
        <f t="shared" si="14"/>
        <v xml:space="preserve"> </v>
      </c>
      <c r="Q126" s="32" t="str">
        <f t="shared" si="15"/>
        <v/>
      </c>
      <c r="R126" s="32" t="str">
        <f t="shared" si="16"/>
        <v/>
      </c>
      <c r="S126" s="116"/>
    </row>
    <row r="127" spans="1:19" ht="18" customHeight="1">
      <c r="A127" s="30"/>
      <c r="B127" s="75" t="s">
        <v>190</v>
      </c>
      <c r="C127" s="76" t="s">
        <v>45</v>
      </c>
      <c r="D127" s="150">
        <v>2.9279999999999999</v>
      </c>
      <c r="E127" s="150">
        <v>0.02</v>
      </c>
      <c r="F127" s="150">
        <v>-0.02</v>
      </c>
      <c r="G127" s="76" t="s">
        <v>46</v>
      </c>
      <c r="H127" s="87"/>
      <c r="I127" s="87"/>
      <c r="J127" s="87"/>
      <c r="K127" s="31" t="str">
        <f t="shared" si="9"/>
        <v xml:space="preserve"> </v>
      </c>
      <c r="L127" s="31" t="str">
        <f t="shared" si="10"/>
        <v xml:space="preserve"> </v>
      </c>
      <c r="M127" s="31" t="str">
        <f t="shared" si="11"/>
        <v xml:space="preserve"> </v>
      </c>
      <c r="N127" s="32" t="str">
        <f t="shared" si="12"/>
        <v xml:space="preserve"> </v>
      </c>
      <c r="O127" s="33" t="str">
        <f t="shared" si="13"/>
        <v xml:space="preserve"> </v>
      </c>
      <c r="P127" s="34" t="str">
        <f t="shared" si="14"/>
        <v xml:space="preserve"> </v>
      </c>
      <c r="Q127" s="32" t="str">
        <f t="shared" si="15"/>
        <v/>
      </c>
      <c r="R127" s="32" t="str">
        <f t="shared" si="16"/>
        <v/>
      </c>
      <c r="S127" s="116"/>
    </row>
    <row r="128" spans="1:19" ht="18" customHeight="1">
      <c r="A128" s="30"/>
      <c r="B128" s="75" t="s">
        <v>191</v>
      </c>
      <c r="C128" s="76" t="s">
        <v>45</v>
      </c>
      <c r="D128" s="150">
        <v>2.9279999999999999</v>
      </c>
      <c r="E128" s="150">
        <v>0.02</v>
      </c>
      <c r="F128" s="150">
        <v>-0.02</v>
      </c>
      <c r="G128" s="76" t="s">
        <v>46</v>
      </c>
      <c r="H128" s="87"/>
      <c r="I128" s="87"/>
      <c r="J128" s="87"/>
      <c r="K128" s="31" t="str">
        <f t="shared" si="9"/>
        <v xml:space="preserve"> </v>
      </c>
      <c r="L128" s="31" t="str">
        <f t="shared" si="10"/>
        <v xml:space="preserve"> </v>
      </c>
      <c r="M128" s="31" t="str">
        <f t="shared" si="11"/>
        <v xml:space="preserve"> </v>
      </c>
      <c r="N128" s="32" t="str">
        <f t="shared" si="12"/>
        <v xml:space="preserve"> </v>
      </c>
      <c r="O128" s="33" t="str">
        <f t="shared" si="13"/>
        <v xml:space="preserve"> </v>
      </c>
      <c r="P128" s="34" t="str">
        <f t="shared" si="14"/>
        <v xml:space="preserve"> </v>
      </c>
      <c r="Q128" s="32" t="str">
        <f t="shared" si="15"/>
        <v/>
      </c>
      <c r="R128" s="32" t="str">
        <f t="shared" si="16"/>
        <v/>
      </c>
      <c r="S128" s="116"/>
    </row>
    <row r="129" spans="1:19" ht="18" customHeight="1">
      <c r="A129" s="30"/>
      <c r="B129" s="75" t="s">
        <v>192</v>
      </c>
      <c r="C129" s="76" t="s">
        <v>45</v>
      </c>
      <c r="D129" s="150">
        <v>2.9279999999999999</v>
      </c>
      <c r="E129" s="150">
        <v>0.02</v>
      </c>
      <c r="F129" s="150">
        <v>-0.02</v>
      </c>
      <c r="G129" s="76" t="s">
        <v>46</v>
      </c>
      <c r="H129" s="87"/>
      <c r="I129" s="87"/>
      <c r="J129" s="87"/>
      <c r="K129" s="31" t="str">
        <f t="shared" si="9"/>
        <v xml:space="preserve"> </v>
      </c>
      <c r="L129" s="31" t="str">
        <f t="shared" si="10"/>
        <v xml:space="preserve"> </v>
      </c>
      <c r="M129" s="31" t="str">
        <f t="shared" si="11"/>
        <v xml:space="preserve"> </v>
      </c>
      <c r="N129" s="32" t="str">
        <f t="shared" si="12"/>
        <v xml:space="preserve"> </v>
      </c>
      <c r="O129" s="33" t="str">
        <f t="shared" si="13"/>
        <v xml:space="preserve"> </v>
      </c>
      <c r="P129" s="34" t="str">
        <f t="shared" si="14"/>
        <v xml:space="preserve"> </v>
      </c>
      <c r="Q129" s="32" t="str">
        <f t="shared" si="15"/>
        <v/>
      </c>
      <c r="R129" s="32" t="str">
        <f t="shared" si="16"/>
        <v/>
      </c>
      <c r="S129" s="116"/>
    </row>
    <row r="130" spans="1:19" ht="18" customHeight="1">
      <c r="A130" s="30"/>
      <c r="B130" s="75" t="s">
        <v>193</v>
      </c>
      <c r="C130" s="76" t="s">
        <v>45</v>
      </c>
      <c r="D130" s="150">
        <v>23.286000000000001</v>
      </c>
      <c r="E130" s="150">
        <v>0.03</v>
      </c>
      <c r="F130" s="150">
        <v>-0.03</v>
      </c>
      <c r="G130" s="76" t="s">
        <v>46</v>
      </c>
      <c r="H130" s="87"/>
      <c r="I130" s="87"/>
      <c r="J130" s="87"/>
      <c r="K130" s="31" t="str">
        <f t="shared" si="9"/>
        <v xml:space="preserve"> </v>
      </c>
      <c r="L130" s="31" t="str">
        <f t="shared" si="10"/>
        <v xml:space="preserve"> </v>
      </c>
      <c r="M130" s="31" t="str">
        <f t="shared" si="11"/>
        <v xml:space="preserve"> </v>
      </c>
      <c r="N130" s="32" t="str">
        <f t="shared" si="12"/>
        <v xml:space="preserve"> </v>
      </c>
      <c r="O130" s="33" t="str">
        <f t="shared" si="13"/>
        <v xml:space="preserve"> </v>
      </c>
      <c r="P130" s="34" t="str">
        <f t="shared" si="14"/>
        <v xml:space="preserve"> </v>
      </c>
      <c r="Q130" s="32" t="str">
        <f t="shared" si="15"/>
        <v/>
      </c>
      <c r="R130" s="32" t="str">
        <f t="shared" si="16"/>
        <v/>
      </c>
      <c r="S130" s="116"/>
    </row>
    <row r="131" spans="1:19" ht="18" customHeight="1">
      <c r="A131" s="30"/>
      <c r="B131" s="75" t="s">
        <v>194</v>
      </c>
      <c r="C131" s="76" t="s">
        <v>45</v>
      </c>
      <c r="D131" s="150">
        <v>23.286000000000001</v>
      </c>
      <c r="E131" s="150">
        <v>0.03</v>
      </c>
      <c r="F131" s="150">
        <v>-0.03</v>
      </c>
      <c r="G131" s="76" t="s">
        <v>46</v>
      </c>
      <c r="H131" s="87"/>
      <c r="I131" s="87"/>
      <c r="J131" s="87"/>
      <c r="K131" s="31" t="str">
        <f t="shared" si="9"/>
        <v xml:space="preserve"> </v>
      </c>
      <c r="L131" s="31" t="str">
        <f t="shared" si="10"/>
        <v xml:space="preserve"> </v>
      </c>
      <c r="M131" s="31" t="str">
        <f t="shared" si="11"/>
        <v xml:space="preserve"> </v>
      </c>
      <c r="N131" s="32" t="str">
        <f t="shared" si="12"/>
        <v xml:space="preserve"> </v>
      </c>
      <c r="O131" s="33" t="str">
        <f t="shared" si="13"/>
        <v xml:space="preserve"> </v>
      </c>
      <c r="P131" s="34" t="str">
        <f t="shared" si="14"/>
        <v xml:space="preserve"> </v>
      </c>
      <c r="Q131" s="32" t="str">
        <f t="shared" si="15"/>
        <v/>
      </c>
      <c r="R131" s="32" t="str">
        <f t="shared" si="16"/>
        <v/>
      </c>
      <c r="S131" s="116"/>
    </row>
    <row r="132" spans="1:19" ht="18" customHeight="1">
      <c r="A132" s="30"/>
      <c r="B132" s="90" t="s">
        <v>264</v>
      </c>
      <c r="C132" s="76" t="s">
        <v>45</v>
      </c>
      <c r="D132" s="150">
        <v>19.318999999999999</v>
      </c>
      <c r="E132" s="150">
        <v>0.03</v>
      </c>
      <c r="F132" s="150">
        <v>-0.03</v>
      </c>
      <c r="G132" s="76" t="s">
        <v>46</v>
      </c>
      <c r="H132" s="87"/>
      <c r="I132" s="87"/>
      <c r="J132" s="87"/>
      <c r="K132" s="31" t="str">
        <f t="shared" si="9"/>
        <v xml:space="preserve"> </v>
      </c>
      <c r="L132" s="31" t="str">
        <f t="shared" si="10"/>
        <v xml:space="preserve"> </v>
      </c>
      <c r="M132" s="31" t="str">
        <f t="shared" si="11"/>
        <v xml:space="preserve"> </v>
      </c>
      <c r="N132" s="32" t="str">
        <f t="shared" si="12"/>
        <v xml:space="preserve"> </v>
      </c>
      <c r="O132" s="33" t="str">
        <f t="shared" si="13"/>
        <v xml:space="preserve"> </v>
      </c>
      <c r="P132" s="34" t="str">
        <f t="shared" si="14"/>
        <v xml:space="preserve"> </v>
      </c>
      <c r="Q132" s="32" t="str">
        <f t="shared" si="15"/>
        <v/>
      </c>
      <c r="R132" s="32" t="str">
        <f t="shared" si="16"/>
        <v/>
      </c>
      <c r="S132" s="116"/>
    </row>
    <row r="133" spans="1:19" ht="18" customHeight="1">
      <c r="A133" s="30"/>
      <c r="B133" s="89" t="s">
        <v>265</v>
      </c>
      <c r="C133" s="76" t="s">
        <v>45</v>
      </c>
      <c r="D133" s="150">
        <v>19.318999999999999</v>
      </c>
      <c r="E133" s="150">
        <v>0.03</v>
      </c>
      <c r="F133" s="150">
        <v>-0.03</v>
      </c>
      <c r="G133" s="76" t="s">
        <v>46</v>
      </c>
      <c r="H133" s="87"/>
      <c r="I133" s="87"/>
      <c r="J133" s="87"/>
      <c r="K133" s="31" t="str">
        <f t="shared" si="9"/>
        <v xml:space="preserve"> </v>
      </c>
      <c r="L133" s="31" t="str">
        <f t="shared" si="10"/>
        <v xml:space="preserve"> </v>
      </c>
      <c r="M133" s="31" t="str">
        <f t="shared" si="11"/>
        <v xml:space="preserve"> </v>
      </c>
      <c r="N133" s="32" t="str">
        <f t="shared" si="12"/>
        <v xml:space="preserve"> </v>
      </c>
      <c r="O133" s="33" t="str">
        <f t="shared" si="13"/>
        <v xml:space="preserve"> </v>
      </c>
      <c r="P133" s="34" t="str">
        <f t="shared" si="14"/>
        <v xml:space="preserve"> </v>
      </c>
      <c r="Q133" s="32" t="str">
        <f t="shared" si="15"/>
        <v/>
      </c>
      <c r="R133" s="32" t="str">
        <f t="shared" si="16"/>
        <v/>
      </c>
      <c r="S133" s="116"/>
    </row>
    <row r="134" spans="1:19" ht="18" customHeight="1">
      <c r="A134" s="30"/>
      <c r="B134" s="75" t="s">
        <v>195</v>
      </c>
      <c r="C134" s="76" t="s">
        <v>45</v>
      </c>
      <c r="D134" s="150">
        <v>0.04</v>
      </c>
      <c r="E134" s="150">
        <v>0.04</v>
      </c>
      <c r="F134" s="150">
        <v>-0.04</v>
      </c>
      <c r="G134" s="76" t="s">
        <v>46</v>
      </c>
      <c r="H134" s="87"/>
      <c r="I134" s="87"/>
      <c r="J134" s="87"/>
      <c r="K134" s="31" t="str">
        <f t="shared" ref="K134:K197" si="17">IF(ISERR(H134/H134)=TRUE," ",H134-$D134)</f>
        <v xml:space="preserve"> </v>
      </c>
      <c r="L134" s="31" t="str">
        <f t="shared" ref="L134:L197" si="18">IF(ISERR(I134/I134)=TRUE," ",I134-$D134)</f>
        <v xml:space="preserve"> </v>
      </c>
      <c r="M134" s="31" t="str">
        <f t="shared" ref="M134:M197" si="19">IF(ISERR(J134/J134)=TRUE," ",J134-$D134)</f>
        <v xml:space="preserve"> </v>
      </c>
      <c r="N134" s="32" t="str">
        <f t="shared" ref="N134:N197" si="20">IF(ISERR(H134/H134)=TRUE," ",AVERAGE(H134:J134))</f>
        <v xml:space="preserve"> </v>
      </c>
      <c r="O134" s="33" t="str">
        <f t="shared" ref="O134:O197" si="21">IF(ISERR(E134/E134)=TRUE," ",IF(ISERR(H134/H134)=TRUE," ",IF(ISNUMBER($H134)=FALSE," ",IF(MAX($H134:$J134)&lt;$D134,0,(MAX($H134:$J134)-$D134)/$E134))))</f>
        <v xml:space="preserve"> </v>
      </c>
      <c r="P134" s="34" t="str">
        <f t="shared" ref="P134:P197" si="22">IF(ISERR(F134/D134)=TRUE," ",IF(ISERR(F134/F134)=TRUE," ",IF(ISERR(H134/H134)=TRUE," ",IF(ISNUMBER(H134)=FALSE," ",IF(MIN(H134:J134)&gt;$D134,0,($D134-MIN(H134:J134))/-F134)))))</f>
        <v xml:space="preserve"> </v>
      </c>
      <c r="Q134" s="32" t="str">
        <f t="shared" si="15"/>
        <v/>
      </c>
      <c r="R134" s="32" t="str">
        <f t="shared" si="16"/>
        <v/>
      </c>
      <c r="S134" s="116"/>
    </row>
    <row r="135" spans="1:19" ht="18" customHeight="1">
      <c r="A135" s="30"/>
      <c r="B135" s="75" t="s">
        <v>196</v>
      </c>
      <c r="C135" s="76" t="s">
        <v>45</v>
      </c>
      <c r="D135" s="150">
        <v>0.04</v>
      </c>
      <c r="E135" s="150">
        <v>0.04</v>
      </c>
      <c r="F135" s="150">
        <v>-0.04</v>
      </c>
      <c r="G135" s="76" t="s">
        <v>46</v>
      </c>
      <c r="H135" s="87"/>
      <c r="I135" s="87"/>
      <c r="J135" s="87"/>
      <c r="K135" s="31" t="str">
        <f t="shared" si="17"/>
        <v xml:space="preserve"> </v>
      </c>
      <c r="L135" s="31" t="str">
        <f t="shared" si="18"/>
        <v xml:space="preserve"> </v>
      </c>
      <c r="M135" s="31" t="str">
        <f t="shared" si="19"/>
        <v xml:space="preserve"> </v>
      </c>
      <c r="N135" s="32" t="str">
        <f t="shared" si="20"/>
        <v xml:space="preserve"> </v>
      </c>
      <c r="O135" s="33" t="str">
        <f t="shared" si="21"/>
        <v xml:space="preserve"> </v>
      </c>
      <c r="P135" s="34" t="str">
        <f t="shared" si="22"/>
        <v xml:space="preserve"> </v>
      </c>
      <c r="Q135" s="32" t="str">
        <f t="shared" si="15"/>
        <v/>
      </c>
      <c r="R135" s="32" t="str">
        <f t="shared" si="16"/>
        <v/>
      </c>
      <c r="S135" s="116"/>
    </row>
    <row r="136" spans="1:19" ht="18" customHeight="1">
      <c r="A136" s="30"/>
      <c r="B136" s="75" t="s">
        <v>197</v>
      </c>
      <c r="C136" s="76" t="s">
        <v>45</v>
      </c>
      <c r="D136" s="150">
        <v>0.04</v>
      </c>
      <c r="E136" s="150">
        <v>0.04</v>
      </c>
      <c r="F136" s="150">
        <v>-0.04</v>
      </c>
      <c r="G136" s="76" t="s">
        <v>46</v>
      </c>
      <c r="H136" s="87"/>
      <c r="I136" s="87"/>
      <c r="J136" s="87"/>
      <c r="K136" s="31" t="str">
        <f t="shared" si="17"/>
        <v xml:space="preserve"> </v>
      </c>
      <c r="L136" s="31" t="str">
        <f t="shared" si="18"/>
        <v xml:space="preserve"> </v>
      </c>
      <c r="M136" s="31" t="str">
        <f t="shared" si="19"/>
        <v xml:space="preserve"> </v>
      </c>
      <c r="N136" s="32" t="str">
        <f t="shared" si="20"/>
        <v xml:space="preserve"> </v>
      </c>
      <c r="O136" s="33" t="str">
        <f t="shared" si="21"/>
        <v xml:space="preserve"> </v>
      </c>
      <c r="P136" s="34" t="str">
        <f t="shared" si="22"/>
        <v xml:space="preserve"> </v>
      </c>
      <c r="Q136" s="32" t="str">
        <f t="shared" ref="Q136:Q211" si="23">IF(ISNUMBER($O136)=TRUE,IF($O136&gt;0.651,IF($O136&gt;1.001,"Reject","Alert"),""),"")</f>
        <v/>
      </c>
      <c r="R136" s="32" t="str">
        <f t="shared" si="16"/>
        <v/>
      </c>
      <c r="S136" s="116"/>
    </row>
    <row r="137" spans="1:19" ht="18" customHeight="1">
      <c r="A137" s="30"/>
      <c r="B137" s="75" t="s">
        <v>198</v>
      </c>
      <c r="C137" s="76" t="s">
        <v>45</v>
      </c>
      <c r="D137" s="150">
        <v>0.04</v>
      </c>
      <c r="E137" s="150">
        <v>0.04</v>
      </c>
      <c r="F137" s="150">
        <v>-0.04</v>
      </c>
      <c r="G137" s="76" t="s">
        <v>46</v>
      </c>
      <c r="H137" s="87"/>
      <c r="I137" s="87"/>
      <c r="J137" s="87"/>
      <c r="K137" s="31" t="str">
        <f t="shared" si="17"/>
        <v xml:space="preserve"> </v>
      </c>
      <c r="L137" s="31" t="str">
        <f t="shared" si="18"/>
        <v xml:space="preserve"> </v>
      </c>
      <c r="M137" s="31" t="str">
        <f t="shared" si="19"/>
        <v xml:space="preserve"> </v>
      </c>
      <c r="N137" s="32" t="str">
        <f t="shared" si="20"/>
        <v xml:space="preserve"> </v>
      </c>
      <c r="O137" s="33" t="str">
        <f t="shared" si="21"/>
        <v xml:space="preserve"> </v>
      </c>
      <c r="P137" s="34" t="str">
        <f t="shared" si="22"/>
        <v xml:space="preserve"> </v>
      </c>
      <c r="Q137" s="32" t="str">
        <f t="shared" si="23"/>
        <v/>
      </c>
      <c r="R137" s="32" t="str">
        <f t="shared" si="16"/>
        <v/>
      </c>
      <c r="S137" s="116"/>
    </row>
    <row r="138" spans="1:19" ht="18" customHeight="1">
      <c r="A138" s="30"/>
      <c r="B138" s="75" t="s">
        <v>199</v>
      </c>
      <c r="C138" s="76" t="s">
        <v>45</v>
      </c>
      <c r="D138" s="150">
        <v>0.04</v>
      </c>
      <c r="E138" s="150">
        <v>0.04</v>
      </c>
      <c r="F138" s="150">
        <v>-0.04</v>
      </c>
      <c r="G138" s="76" t="s">
        <v>46</v>
      </c>
      <c r="H138" s="87"/>
      <c r="I138" s="87"/>
      <c r="J138" s="87"/>
      <c r="K138" s="31" t="str">
        <f t="shared" si="17"/>
        <v xml:space="preserve"> </v>
      </c>
      <c r="L138" s="31" t="str">
        <f t="shared" si="18"/>
        <v xml:space="preserve"> </v>
      </c>
      <c r="M138" s="31" t="str">
        <f t="shared" si="19"/>
        <v xml:space="preserve"> </v>
      </c>
      <c r="N138" s="32" t="str">
        <f t="shared" si="20"/>
        <v xml:space="preserve"> </v>
      </c>
      <c r="O138" s="33" t="str">
        <f t="shared" si="21"/>
        <v xml:space="preserve"> </v>
      </c>
      <c r="P138" s="34" t="str">
        <f t="shared" si="22"/>
        <v xml:space="preserve"> </v>
      </c>
      <c r="Q138" s="32" t="str">
        <f t="shared" si="23"/>
        <v/>
      </c>
      <c r="R138" s="32" t="str">
        <f t="shared" si="16"/>
        <v/>
      </c>
      <c r="S138" s="116"/>
    </row>
    <row r="139" spans="1:19" ht="18" customHeight="1">
      <c r="A139" s="30"/>
      <c r="B139" s="75" t="s">
        <v>200</v>
      </c>
      <c r="C139" s="76" t="s">
        <v>45</v>
      </c>
      <c r="D139" s="150">
        <v>0.04</v>
      </c>
      <c r="E139" s="150">
        <v>0.04</v>
      </c>
      <c r="F139" s="150">
        <v>-0.04</v>
      </c>
      <c r="G139" s="76" t="s">
        <v>46</v>
      </c>
      <c r="H139" s="87"/>
      <c r="I139" s="87"/>
      <c r="J139" s="87"/>
      <c r="K139" s="31" t="str">
        <f t="shared" si="17"/>
        <v xml:space="preserve"> </v>
      </c>
      <c r="L139" s="31" t="str">
        <f t="shared" si="18"/>
        <v xml:space="preserve"> </v>
      </c>
      <c r="M139" s="31" t="str">
        <f t="shared" si="19"/>
        <v xml:space="preserve"> </v>
      </c>
      <c r="N139" s="32" t="str">
        <f t="shared" si="20"/>
        <v xml:space="preserve"> </v>
      </c>
      <c r="O139" s="33" t="str">
        <f t="shared" si="21"/>
        <v xml:space="preserve"> </v>
      </c>
      <c r="P139" s="34" t="str">
        <f t="shared" si="22"/>
        <v xml:space="preserve"> </v>
      </c>
      <c r="Q139" s="32" t="str">
        <f t="shared" si="23"/>
        <v/>
      </c>
      <c r="R139" s="32" t="str">
        <f t="shared" si="16"/>
        <v/>
      </c>
      <c r="S139" s="116"/>
    </row>
    <row r="140" spans="1:19" ht="18" customHeight="1">
      <c r="A140" s="30"/>
      <c r="B140" s="75" t="s">
        <v>266</v>
      </c>
      <c r="C140" s="76" t="s">
        <v>45</v>
      </c>
      <c r="D140" s="150">
        <v>0.04</v>
      </c>
      <c r="E140" s="150">
        <v>0.04</v>
      </c>
      <c r="F140" s="150">
        <v>-0.04</v>
      </c>
      <c r="G140" s="76" t="s">
        <v>46</v>
      </c>
      <c r="H140" s="87"/>
      <c r="I140" s="87"/>
      <c r="J140" s="87"/>
      <c r="K140" s="31" t="str">
        <f t="shared" si="17"/>
        <v xml:space="preserve"> </v>
      </c>
      <c r="L140" s="31" t="str">
        <f t="shared" si="18"/>
        <v xml:space="preserve"> </v>
      </c>
      <c r="M140" s="31" t="str">
        <f t="shared" si="19"/>
        <v xml:space="preserve"> </v>
      </c>
      <c r="N140" s="32" t="str">
        <f t="shared" si="20"/>
        <v xml:space="preserve"> </v>
      </c>
      <c r="O140" s="33" t="str">
        <f t="shared" si="21"/>
        <v xml:space="preserve"> </v>
      </c>
      <c r="P140" s="34" t="str">
        <f t="shared" si="22"/>
        <v xml:space="preserve"> </v>
      </c>
      <c r="Q140" s="32" t="str">
        <f t="shared" si="23"/>
        <v/>
      </c>
      <c r="R140" s="32" t="str">
        <f t="shared" si="16"/>
        <v/>
      </c>
      <c r="S140" s="116"/>
    </row>
    <row r="141" spans="1:19" ht="18" customHeight="1">
      <c r="A141" s="30"/>
      <c r="B141" s="75" t="s">
        <v>267</v>
      </c>
      <c r="C141" s="76" t="s">
        <v>45</v>
      </c>
      <c r="D141" s="150">
        <v>0.04</v>
      </c>
      <c r="E141" s="150">
        <v>0.04</v>
      </c>
      <c r="F141" s="150">
        <v>-0.04</v>
      </c>
      <c r="G141" s="76" t="s">
        <v>46</v>
      </c>
      <c r="H141" s="87"/>
      <c r="I141" s="87"/>
      <c r="J141" s="87"/>
      <c r="K141" s="31" t="str">
        <f t="shared" si="17"/>
        <v xml:space="preserve"> </v>
      </c>
      <c r="L141" s="31" t="str">
        <f t="shared" si="18"/>
        <v xml:space="preserve"> </v>
      </c>
      <c r="M141" s="31" t="str">
        <f t="shared" si="19"/>
        <v xml:space="preserve"> </v>
      </c>
      <c r="N141" s="32" t="str">
        <f t="shared" si="20"/>
        <v xml:space="preserve"> </v>
      </c>
      <c r="O141" s="33" t="str">
        <f t="shared" si="21"/>
        <v xml:space="preserve"> </v>
      </c>
      <c r="P141" s="34" t="str">
        <f t="shared" si="22"/>
        <v xml:space="preserve"> </v>
      </c>
      <c r="Q141" s="32" t="str">
        <f t="shared" si="23"/>
        <v/>
      </c>
      <c r="R141" s="32" t="str">
        <f t="shared" si="16"/>
        <v/>
      </c>
      <c r="S141" s="116"/>
    </row>
    <row r="142" spans="1:19" ht="18" customHeight="1">
      <c r="A142" s="30"/>
      <c r="B142" s="75" t="s">
        <v>268</v>
      </c>
      <c r="C142" s="76" t="s">
        <v>45</v>
      </c>
      <c r="D142" s="150">
        <v>0.04</v>
      </c>
      <c r="E142" s="150">
        <v>0.04</v>
      </c>
      <c r="F142" s="150">
        <v>-0.04</v>
      </c>
      <c r="G142" s="76" t="s">
        <v>46</v>
      </c>
      <c r="H142" s="87"/>
      <c r="I142" s="87"/>
      <c r="J142" s="87"/>
      <c r="K142" s="31" t="str">
        <f t="shared" si="17"/>
        <v xml:space="preserve"> </v>
      </c>
      <c r="L142" s="31" t="str">
        <f t="shared" si="18"/>
        <v xml:space="preserve"> </v>
      </c>
      <c r="M142" s="31" t="str">
        <f t="shared" si="19"/>
        <v xml:space="preserve"> </v>
      </c>
      <c r="N142" s="32" t="str">
        <f t="shared" si="20"/>
        <v xml:space="preserve"> </v>
      </c>
      <c r="O142" s="33" t="str">
        <f t="shared" si="21"/>
        <v xml:space="preserve"> </v>
      </c>
      <c r="P142" s="34" t="str">
        <f t="shared" si="22"/>
        <v xml:space="preserve"> </v>
      </c>
      <c r="Q142" s="32" t="str">
        <f t="shared" si="23"/>
        <v/>
      </c>
      <c r="R142" s="32" t="str">
        <f t="shared" si="16"/>
        <v/>
      </c>
      <c r="S142" s="116"/>
    </row>
    <row r="143" spans="1:19" ht="18" customHeight="1">
      <c r="A143" s="30"/>
      <c r="B143" s="75" t="s">
        <v>269</v>
      </c>
      <c r="C143" s="76" t="s">
        <v>45</v>
      </c>
      <c r="D143" s="150">
        <v>0.04</v>
      </c>
      <c r="E143" s="150">
        <v>0.04</v>
      </c>
      <c r="F143" s="150">
        <v>-0.04</v>
      </c>
      <c r="G143" s="76" t="s">
        <v>46</v>
      </c>
      <c r="H143" s="87"/>
      <c r="I143" s="87"/>
      <c r="J143" s="87"/>
      <c r="K143" s="31" t="str">
        <f t="shared" si="17"/>
        <v xml:space="preserve"> </v>
      </c>
      <c r="L143" s="31" t="str">
        <f t="shared" si="18"/>
        <v xml:space="preserve"> </v>
      </c>
      <c r="M143" s="31" t="str">
        <f t="shared" si="19"/>
        <v xml:space="preserve"> </v>
      </c>
      <c r="N143" s="32" t="str">
        <f t="shared" si="20"/>
        <v xml:space="preserve"> </v>
      </c>
      <c r="O143" s="33" t="str">
        <f t="shared" si="21"/>
        <v xml:space="preserve"> </v>
      </c>
      <c r="P143" s="34" t="str">
        <f t="shared" si="22"/>
        <v xml:space="preserve"> </v>
      </c>
      <c r="Q143" s="32" t="str">
        <f t="shared" si="23"/>
        <v/>
      </c>
      <c r="R143" s="32" t="str">
        <f t="shared" si="16"/>
        <v/>
      </c>
      <c r="S143" s="116"/>
    </row>
    <row r="144" spans="1:19" ht="18" customHeight="1">
      <c r="A144" s="30"/>
      <c r="B144" s="75" t="s">
        <v>270</v>
      </c>
      <c r="C144" s="76" t="s">
        <v>45</v>
      </c>
      <c r="D144" s="150">
        <v>0.04</v>
      </c>
      <c r="E144" s="150">
        <v>0.04</v>
      </c>
      <c r="F144" s="150">
        <v>-0.04</v>
      </c>
      <c r="G144" s="76" t="s">
        <v>46</v>
      </c>
      <c r="H144" s="87"/>
      <c r="I144" s="87"/>
      <c r="J144" s="87"/>
      <c r="K144" s="31" t="str">
        <f t="shared" si="17"/>
        <v xml:space="preserve"> </v>
      </c>
      <c r="L144" s="31" t="str">
        <f t="shared" si="18"/>
        <v xml:space="preserve"> </v>
      </c>
      <c r="M144" s="31" t="str">
        <f t="shared" si="19"/>
        <v xml:space="preserve"> </v>
      </c>
      <c r="N144" s="32" t="str">
        <f t="shared" si="20"/>
        <v xml:space="preserve"> </v>
      </c>
      <c r="O144" s="33" t="str">
        <f t="shared" si="21"/>
        <v xml:space="preserve"> </v>
      </c>
      <c r="P144" s="34" t="str">
        <f t="shared" si="22"/>
        <v xml:space="preserve"> </v>
      </c>
      <c r="Q144" s="32" t="str">
        <f t="shared" si="23"/>
        <v/>
      </c>
      <c r="R144" s="32" t="str">
        <f t="shared" si="16"/>
        <v/>
      </c>
      <c r="S144" s="116"/>
    </row>
    <row r="145" spans="1:19" ht="18" customHeight="1">
      <c r="A145" s="30"/>
      <c r="B145" s="75" t="s">
        <v>271</v>
      </c>
      <c r="C145" s="76" t="s">
        <v>45</v>
      </c>
      <c r="D145" s="150">
        <v>0.04</v>
      </c>
      <c r="E145" s="150">
        <v>0.04</v>
      </c>
      <c r="F145" s="150">
        <v>-0.04</v>
      </c>
      <c r="G145" s="76" t="s">
        <v>46</v>
      </c>
      <c r="H145" s="87"/>
      <c r="I145" s="87"/>
      <c r="J145" s="87"/>
      <c r="K145" s="31" t="str">
        <f t="shared" si="17"/>
        <v xml:space="preserve"> </v>
      </c>
      <c r="L145" s="31" t="str">
        <f t="shared" si="18"/>
        <v xml:space="preserve"> </v>
      </c>
      <c r="M145" s="31" t="str">
        <f t="shared" si="19"/>
        <v xml:space="preserve"> </v>
      </c>
      <c r="N145" s="32" t="str">
        <f t="shared" si="20"/>
        <v xml:space="preserve"> </v>
      </c>
      <c r="O145" s="33" t="str">
        <f t="shared" si="21"/>
        <v xml:space="preserve"> </v>
      </c>
      <c r="P145" s="34" t="str">
        <f t="shared" si="22"/>
        <v xml:space="preserve"> </v>
      </c>
      <c r="Q145" s="32" t="str">
        <f t="shared" si="23"/>
        <v/>
      </c>
      <c r="R145" s="32" t="str">
        <f t="shared" si="16"/>
        <v/>
      </c>
      <c r="S145" s="116"/>
    </row>
    <row r="146" spans="1:19" ht="18" customHeight="1">
      <c r="A146" s="30"/>
      <c r="B146" s="75" t="s">
        <v>272</v>
      </c>
      <c r="C146" s="76" t="s">
        <v>45</v>
      </c>
      <c r="D146" s="150">
        <v>0.04</v>
      </c>
      <c r="E146" s="150">
        <v>0.04</v>
      </c>
      <c r="F146" s="150">
        <v>-0.04</v>
      </c>
      <c r="G146" s="76" t="s">
        <v>46</v>
      </c>
      <c r="H146" s="87"/>
      <c r="I146" s="87"/>
      <c r="J146" s="87"/>
      <c r="K146" s="31" t="str">
        <f t="shared" si="17"/>
        <v xml:space="preserve"> </v>
      </c>
      <c r="L146" s="31" t="str">
        <f t="shared" si="18"/>
        <v xml:space="preserve"> </v>
      </c>
      <c r="M146" s="31" t="str">
        <f t="shared" si="19"/>
        <v xml:space="preserve"> </v>
      </c>
      <c r="N146" s="32" t="str">
        <f t="shared" si="20"/>
        <v xml:space="preserve"> </v>
      </c>
      <c r="O146" s="33" t="str">
        <f t="shared" si="21"/>
        <v xml:space="preserve"> </v>
      </c>
      <c r="P146" s="34" t="str">
        <f t="shared" si="22"/>
        <v xml:space="preserve"> </v>
      </c>
      <c r="Q146" s="32" t="str">
        <f t="shared" si="23"/>
        <v/>
      </c>
      <c r="R146" s="32" t="str">
        <f t="shared" si="16"/>
        <v/>
      </c>
      <c r="S146" s="116"/>
    </row>
    <row r="147" spans="1:19" ht="18" customHeight="1">
      <c r="A147" s="30"/>
      <c r="B147" s="75" t="s">
        <v>273</v>
      </c>
      <c r="C147" s="76" t="s">
        <v>45</v>
      </c>
      <c r="D147" s="150">
        <v>0.04</v>
      </c>
      <c r="E147" s="150">
        <v>0.04</v>
      </c>
      <c r="F147" s="150">
        <v>-0.04</v>
      </c>
      <c r="G147" s="76" t="s">
        <v>46</v>
      </c>
      <c r="H147" s="87"/>
      <c r="I147" s="87"/>
      <c r="J147" s="87"/>
      <c r="K147" s="31" t="str">
        <f t="shared" si="17"/>
        <v xml:space="preserve"> </v>
      </c>
      <c r="L147" s="31" t="str">
        <f t="shared" si="18"/>
        <v xml:space="preserve"> </v>
      </c>
      <c r="M147" s="31" t="str">
        <f t="shared" si="19"/>
        <v xml:space="preserve"> </v>
      </c>
      <c r="N147" s="32" t="str">
        <f t="shared" si="20"/>
        <v xml:space="preserve"> </v>
      </c>
      <c r="O147" s="33" t="str">
        <f t="shared" si="21"/>
        <v xml:space="preserve"> </v>
      </c>
      <c r="P147" s="34" t="str">
        <f t="shared" si="22"/>
        <v xml:space="preserve"> </v>
      </c>
      <c r="Q147" s="32" t="str">
        <f t="shared" si="23"/>
        <v/>
      </c>
      <c r="R147" s="32" t="str">
        <f t="shared" si="16"/>
        <v/>
      </c>
      <c r="S147" s="116"/>
    </row>
    <row r="148" spans="1:19" ht="18" customHeight="1">
      <c r="A148" s="30"/>
      <c r="B148" s="75" t="s">
        <v>274</v>
      </c>
      <c r="C148" s="76" t="s">
        <v>45</v>
      </c>
      <c r="D148" s="150">
        <v>0.04</v>
      </c>
      <c r="E148" s="150">
        <v>0.04</v>
      </c>
      <c r="F148" s="150">
        <v>-0.04</v>
      </c>
      <c r="G148" s="76" t="s">
        <v>46</v>
      </c>
      <c r="H148" s="87"/>
      <c r="I148" s="87"/>
      <c r="J148" s="87"/>
      <c r="K148" s="31" t="str">
        <f t="shared" si="17"/>
        <v xml:space="preserve"> </v>
      </c>
      <c r="L148" s="31" t="str">
        <f t="shared" si="18"/>
        <v xml:space="preserve"> </v>
      </c>
      <c r="M148" s="31" t="str">
        <f t="shared" si="19"/>
        <v xml:space="preserve"> </v>
      </c>
      <c r="N148" s="32" t="str">
        <f t="shared" si="20"/>
        <v xml:space="preserve"> </v>
      </c>
      <c r="O148" s="33" t="str">
        <f t="shared" si="21"/>
        <v xml:space="preserve"> </v>
      </c>
      <c r="P148" s="34" t="str">
        <f t="shared" si="22"/>
        <v xml:space="preserve"> </v>
      </c>
      <c r="Q148" s="32" t="str">
        <f t="shared" si="23"/>
        <v/>
      </c>
      <c r="R148" s="32" t="str">
        <f t="shared" si="16"/>
        <v/>
      </c>
      <c r="S148" s="116"/>
    </row>
    <row r="149" spans="1:19" ht="18" customHeight="1">
      <c r="A149" s="30"/>
      <c r="B149" s="75" t="s">
        <v>275</v>
      </c>
      <c r="C149" s="76" t="s">
        <v>45</v>
      </c>
      <c r="D149" s="150">
        <v>0.04</v>
      </c>
      <c r="E149" s="150">
        <v>0.04</v>
      </c>
      <c r="F149" s="150">
        <v>-0.04</v>
      </c>
      <c r="G149" s="76" t="s">
        <v>46</v>
      </c>
      <c r="H149" s="87"/>
      <c r="I149" s="87"/>
      <c r="J149" s="87"/>
      <c r="K149" s="31" t="str">
        <f t="shared" si="17"/>
        <v xml:space="preserve"> </v>
      </c>
      <c r="L149" s="31" t="str">
        <f t="shared" si="18"/>
        <v xml:space="preserve"> </v>
      </c>
      <c r="M149" s="31" t="str">
        <f t="shared" si="19"/>
        <v xml:space="preserve"> </v>
      </c>
      <c r="N149" s="32" t="str">
        <f t="shared" si="20"/>
        <v xml:space="preserve"> </v>
      </c>
      <c r="O149" s="33" t="str">
        <f t="shared" si="21"/>
        <v xml:space="preserve"> </v>
      </c>
      <c r="P149" s="34" t="str">
        <f t="shared" si="22"/>
        <v xml:space="preserve"> </v>
      </c>
      <c r="Q149" s="32" t="str">
        <f t="shared" si="23"/>
        <v/>
      </c>
      <c r="R149" s="32" t="str">
        <f t="shared" si="16"/>
        <v/>
      </c>
      <c r="S149" s="116"/>
    </row>
    <row r="150" spans="1:19" ht="18" customHeight="1">
      <c r="A150" s="30"/>
      <c r="B150" s="75" t="s">
        <v>276</v>
      </c>
      <c r="C150" s="76" t="s">
        <v>45</v>
      </c>
      <c r="D150" s="150">
        <v>0.04</v>
      </c>
      <c r="E150" s="150">
        <v>0.04</v>
      </c>
      <c r="F150" s="150">
        <v>-0.04</v>
      </c>
      <c r="G150" s="76" t="s">
        <v>46</v>
      </c>
      <c r="H150" s="87"/>
      <c r="I150" s="87"/>
      <c r="J150" s="87"/>
      <c r="K150" s="31" t="str">
        <f t="shared" si="17"/>
        <v xml:space="preserve"> </v>
      </c>
      <c r="L150" s="31" t="str">
        <f t="shared" si="18"/>
        <v xml:space="preserve"> </v>
      </c>
      <c r="M150" s="31" t="str">
        <f t="shared" si="19"/>
        <v xml:space="preserve"> </v>
      </c>
      <c r="N150" s="32" t="str">
        <f t="shared" si="20"/>
        <v xml:space="preserve"> </v>
      </c>
      <c r="O150" s="33" t="str">
        <f t="shared" si="21"/>
        <v xml:space="preserve"> </v>
      </c>
      <c r="P150" s="34" t="str">
        <f t="shared" si="22"/>
        <v xml:space="preserve"> </v>
      </c>
      <c r="Q150" s="32" t="str">
        <f t="shared" si="23"/>
        <v/>
      </c>
      <c r="R150" s="32" t="str">
        <f t="shared" si="16"/>
        <v/>
      </c>
      <c r="S150" s="116"/>
    </row>
    <row r="151" spans="1:19" ht="18" customHeight="1">
      <c r="A151" s="30"/>
      <c r="B151" s="75" t="s">
        <v>277</v>
      </c>
      <c r="C151" s="76" t="s">
        <v>45</v>
      </c>
      <c r="D151" s="150">
        <v>0.04</v>
      </c>
      <c r="E151" s="150">
        <v>0.04</v>
      </c>
      <c r="F151" s="150">
        <v>-0.04</v>
      </c>
      <c r="G151" s="76" t="s">
        <v>46</v>
      </c>
      <c r="H151" s="87"/>
      <c r="I151" s="87"/>
      <c r="J151" s="87"/>
      <c r="K151" s="31" t="str">
        <f t="shared" si="17"/>
        <v xml:space="preserve"> </v>
      </c>
      <c r="L151" s="31" t="str">
        <f t="shared" si="18"/>
        <v xml:space="preserve"> </v>
      </c>
      <c r="M151" s="31" t="str">
        <f t="shared" si="19"/>
        <v xml:space="preserve"> </v>
      </c>
      <c r="N151" s="32" t="str">
        <f t="shared" si="20"/>
        <v xml:space="preserve"> </v>
      </c>
      <c r="O151" s="33" t="str">
        <f t="shared" si="21"/>
        <v xml:space="preserve"> </v>
      </c>
      <c r="P151" s="34" t="str">
        <f t="shared" si="22"/>
        <v xml:space="preserve"> </v>
      </c>
      <c r="Q151" s="32" t="str">
        <f t="shared" si="23"/>
        <v/>
      </c>
      <c r="R151" s="32" t="str">
        <f t="shared" si="16"/>
        <v/>
      </c>
      <c r="S151" s="116"/>
    </row>
    <row r="152" spans="1:19" ht="18" customHeight="1">
      <c r="A152" s="30"/>
      <c r="B152" s="75" t="s">
        <v>278</v>
      </c>
      <c r="C152" s="76" t="s">
        <v>45</v>
      </c>
      <c r="D152" s="150">
        <v>0.04</v>
      </c>
      <c r="E152" s="150">
        <v>0.04</v>
      </c>
      <c r="F152" s="150">
        <v>-0.04</v>
      </c>
      <c r="G152" s="76" t="s">
        <v>46</v>
      </c>
      <c r="H152" s="87"/>
      <c r="I152" s="87"/>
      <c r="J152" s="87"/>
      <c r="K152" s="31" t="str">
        <f t="shared" si="17"/>
        <v xml:space="preserve"> </v>
      </c>
      <c r="L152" s="31" t="str">
        <f t="shared" si="18"/>
        <v xml:space="preserve"> </v>
      </c>
      <c r="M152" s="31" t="str">
        <f t="shared" si="19"/>
        <v xml:space="preserve"> </v>
      </c>
      <c r="N152" s="32" t="str">
        <f t="shared" si="20"/>
        <v xml:space="preserve"> </v>
      </c>
      <c r="O152" s="33" t="str">
        <f t="shared" si="21"/>
        <v xml:space="preserve"> </v>
      </c>
      <c r="P152" s="34" t="str">
        <f t="shared" si="22"/>
        <v xml:space="preserve"> </v>
      </c>
      <c r="Q152" s="32" t="str">
        <f t="shared" si="23"/>
        <v/>
      </c>
      <c r="R152" s="32" t="str">
        <f t="shared" si="16"/>
        <v/>
      </c>
      <c r="S152" s="116"/>
    </row>
    <row r="153" spans="1:19" ht="18" customHeight="1">
      <c r="A153" s="30"/>
      <c r="B153" s="75" t="s">
        <v>279</v>
      </c>
      <c r="C153" s="76" t="s">
        <v>45</v>
      </c>
      <c r="D153" s="150">
        <v>0.04</v>
      </c>
      <c r="E153" s="150">
        <v>0.04</v>
      </c>
      <c r="F153" s="150">
        <v>-0.04</v>
      </c>
      <c r="G153" s="76" t="s">
        <v>46</v>
      </c>
      <c r="H153" s="87"/>
      <c r="I153" s="87"/>
      <c r="J153" s="87"/>
      <c r="K153" s="31" t="str">
        <f t="shared" si="17"/>
        <v xml:space="preserve"> </v>
      </c>
      <c r="L153" s="31" t="str">
        <f t="shared" si="18"/>
        <v xml:space="preserve"> </v>
      </c>
      <c r="M153" s="31" t="str">
        <f t="shared" si="19"/>
        <v xml:space="preserve"> </v>
      </c>
      <c r="N153" s="32" t="str">
        <f t="shared" si="20"/>
        <v xml:space="preserve"> </v>
      </c>
      <c r="O153" s="33" t="str">
        <f t="shared" si="21"/>
        <v xml:space="preserve"> </v>
      </c>
      <c r="P153" s="34" t="str">
        <f t="shared" si="22"/>
        <v xml:space="preserve"> </v>
      </c>
      <c r="Q153" s="32" t="str">
        <f t="shared" si="23"/>
        <v/>
      </c>
      <c r="R153" s="32" t="str">
        <f t="shared" si="16"/>
        <v/>
      </c>
      <c r="S153" s="116"/>
    </row>
    <row r="154" spans="1:19" ht="18" customHeight="1">
      <c r="A154" s="30"/>
      <c r="B154" s="75" t="s">
        <v>280</v>
      </c>
      <c r="C154" s="76" t="s">
        <v>45</v>
      </c>
      <c r="D154" s="150">
        <v>0.04</v>
      </c>
      <c r="E154" s="150">
        <v>0.04</v>
      </c>
      <c r="F154" s="150">
        <v>-0.04</v>
      </c>
      <c r="G154" s="76" t="s">
        <v>46</v>
      </c>
      <c r="H154" s="87"/>
      <c r="I154" s="87"/>
      <c r="J154" s="87"/>
      <c r="K154" s="31" t="str">
        <f t="shared" si="17"/>
        <v xml:space="preserve"> </v>
      </c>
      <c r="L154" s="31" t="str">
        <f t="shared" si="18"/>
        <v xml:space="preserve"> </v>
      </c>
      <c r="M154" s="31" t="str">
        <f t="shared" si="19"/>
        <v xml:space="preserve"> </v>
      </c>
      <c r="N154" s="32" t="str">
        <f t="shared" si="20"/>
        <v xml:space="preserve"> </v>
      </c>
      <c r="O154" s="33" t="str">
        <f t="shared" si="21"/>
        <v xml:space="preserve"> </v>
      </c>
      <c r="P154" s="34" t="str">
        <f t="shared" si="22"/>
        <v xml:space="preserve"> </v>
      </c>
      <c r="Q154" s="32" t="str">
        <f t="shared" si="23"/>
        <v/>
      </c>
      <c r="R154" s="32" t="str">
        <f t="shared" si="16"/>
        <v/>
      </c>
      <c r="S154" s="116"/>
    </row>
    <row r="155" spans="1:19" ht="18" customHeight="1">
      <c r="A155" s="30"/>
      <c r="B155" s="75">
        <v>97</v>
      </c>
      <c r="C155" s="76" t="s">
        <v>45</v>
      </c>
      <c r="D155" s="150">
        <v>1.966</v>
      </c>
      <c r="E155" s="150">
        <v>2.5000000000000001E-2</v>
      </c>
      <c r="F155" s="150">
        <v>-2.5000000000000001E-2</v>
      </c>
      <c r="G155" s="76" t="s">
        <v>46</v>
      </c>
      <c r="H155" s="87"/>
      <c r="I155" s="87"/>
      <c r="J155" s="87"/>
      <c r="K155" s="31" t="str">
        <f t="shared" si="17"/>
        <v xml:space="preserve"> </v>
      </c>
      <c r="L155" s="31" t="str">
        <f t="shared" si="18"/>
        <v xml:space="preserve"> </v>
      </c>
      <c r="M155" s="31" t="str">
        <f t="shared" si="19"/>
        <v xml:space="preserve"> </v>
      </c>
      <c r="N155" s="32" t="str">
        <f t="shared" si="20"/>
        <v xml:space="preserve"> </v>
      </c>
      <c r="O155" s="33" t="str">
        <f t="shared" si="21"/>
        <v xml:space="preserve"> </v>
      </c>
      <c r="P155" s="34" t="str">
        <f t="shared" si="22"/>
        <v xml:space="preserve"> </v>
      </c>
      <c r="Q155" s="32" t="str">
        <f t="shared" si="23"/>
        <v/>
      </c>
      <c r="R155" s="32" t="str">
        <f t="shared" si="16"/>
        <v/>
      </c>
      <c r="S155" s="116"/>
    </row>
    <row r="156" spans="1:19" ht="18" customHeight="1">
      <c r="A156" s="30"/>
      <c r="B156" s="75">
        <v>98</v>
      </c>
      <c r="C156" s="76" t="s">
        <v>45</v>
      </c>
      <c r="D156" s="150">
        <v>5.3949999999999996</v>
      </c>
      <c r="E156" s="150">
        <v>0.3</v>
      </c>
      <c r="F156" s="150">
        <v>-0.3</v>
      </c>
      <c r="G156" s="76" t="s">
        <v>46</v>
      </c>
      <c r="H156" s="87"/>
      <c r="I156" s="87"/>
      <c r="J156" s="87"/>
      <c r="K156" s="31" t="str">
        <f t="shared" si="17"/>
        <v xml:space="preserve"> </v>
      </c>
      <c r="L156" s="31" t="str">
        <f t="shared" si="18"/>
        <v xml:space="preserve"> </v>
      </c>
      <c r="M156" s="31" t="str">
        <f t="shared" si="19"/>
        <v xml:space="preserve"> </v>
      </c>
      <c r="N156" s="32" t="str">
        <f t="shared" si="20"/>
        <v xml:space="preserve"> </v>
      </c>
      <c r="O156" s="33" t="str">
        <f t="shared" si="21"/>
        <v xml:space="preserve"> </v>
      </c>
      <c r="P156" s="34" t="str">
        <f t="shared" si="22"/>
        <v xml:space="preserve"> </v>
      </c>
      <c r="Q156" s="32" t="str">
        <f t="shared" si="23"/>
        <v/>
      </c>
      <c r="R156" s="32" t="str">
        <f t="shared" si="16"/>
        <v/>
      </c>
      <c r="S156" s="116"/>
    </row>
    <row r="157" spans="1:19" ht="18" customHeight="1">
      <c r="A157" s="30"/>
      <c r="B157" s="75">
        <v>99</v>
      </c>
      <c r="C157" s="76" t="s">
        <v>45</v>
      </c>
      <c r="D157" s="150">
        <v>10.004</v>
      </c>
      <c r="E157" s="150">
        <v>0.6</v>
      </c>
      <c r="F157" s="150">
        <v>-0.6</v>
      </c>
      <c r="G157" s="76" t="s">
        <v>46</v>
      </c>
      <c r="H157" s="87"/>
      <c r="I157" s="87"/>
      <c r="J157" s="87"/>
      <c r="K157" s="31" t="str">
        <f t="shared" si="17"/>
        <v xml:space="preserve"> </v>
      </c>
      <c r="L157" s="31" t="str">
        <f t="shared" si="18"/>
        <v xml:space="preserve"> </v>
      </c>
      <c r="M157" s="31" t="str">
        <f t="shared" si="19"/>
        <v xml:space="preserve"> </v>
      </c>
      <c r="N157" s="32" t="str">
        <f t="shared" si="20"/>
        <v xml:space="preserve"> </v>
      </c>
      <c r="O157" s="33" t="str">
        <f t="shared" si="21"/>
        <v xml:space="preserve"> </v>
      </c>
      <c r="P157" s="34" t="str">
        <f t="shared" si="22"/>
        <v xml:space="preserve"> </v>
      </c>
      <c r="Q157" s="32" t="str">
        <f t="shared" si="23"/>
        <v/>
      </c>
      <c r="R157" s="32" t="str">
        <f t="shared" si="16"/>
        <v/>
      </c>
      <c r="S157" s="116"/>
    </row>
    <row r="158" spans="1:19" ht="18" customHeight="1">
      <c r="A158" s="30"/>
      <c r="B158" s="75">
        <v>100</v>
      </c>
      <c r="C158" s="76" t="s">
        <v>45</v>
      </c>
      <c r="D158" s="150">
        <v>0</v>
      </c>
      <c r="E158" s="150">
        <v>3</v>
      </c>
      <c r="F158" s="150">
        <v>-3</v>
      </c>
      <c r="G158" s="76" t="s">
        <v>46</v>
      </c>
      <c r="H158" s="87"/>
      <c r="I158" s="87"/>
      <c r="J158" s="87"/>
      <c r="K158" s="31" t="str">
        <f t="shared" si="17"/>
        <v xml:space="preserve"> </v>
      </c>
      <c r="L158" s="31" t="str">
        <f t="shared" si="18"/>
        <v xml:space="preserve"> </v>
      </c>
      <c r="M158" s="31" t="str">
        <f t="shared" si="19"/>
        <v xml:space="preserve"> </v>
      </c>
      <c r="N158" s="32" t="str">
        <f t="shared" si="20"/>
        <v xml:space="preserve"> </v>
      </c>
      <c r="O158" s="33" t="str">
        <f t="shared" si="21"/>
        <v xml:space="preserve"> </v>
      </c>
      <c r="P158" s="34" t="str">
        <f t="shared" si="22"/>
        <v xml:space="preserve"> </v>
      </c>
      <c r="Q158" s="32" t="str">
        <f t="shared" si="23"/>
        <v/>
      </c>
      <c r="R158" s="32" t="str">
        <f t="shared" si="16"/>
        <v/>
      </c>
      <c r="S158" s="116"/>
    </row>
    <row r="159" spans="1:19" ht="18" customHeight="1">
      <c r="A159" s="30"/>
      <c r="B159" s="75" t="s">
        <v>201</v>
      </c>
      <c r="C159" s="76" t="s">
        <v>45</v>
      </c>
      <c r="D159" s="150">
        <v>0.05</v>
      </c>
      <c r="E159" s="150">
        <v>2.5000000000000001E-2</v>
      </c>
      <c r="F159" s="150">
        <v>-0.02</v>
      </c>
      <c r="G159" s="76" t="s">
        <v>46</v>
      </c>
      <c r="H159" s="87"/>
      <c r="I159" s="87"/>
      <c r="J159" s="87"/>
      <c r="K159" s="31" t="str">
        <f t="shared" si="17"/>
        <v xml:space="preserve"> </v>
      </c>
      <c r="L159" s="31" t="str">
        <f t="shared" si="18"/>
        <v xml:space="preserve"> </v>
      </c>
      <c r="M159" s="31" t="str">
        <f t="shared" si="19"/>
        <v xml:space="preserve"> </v>
      </c>
      <c r="N159" s="32" t="str">
        <f t="shared" si="20"/>
        <v xml:space="preserve"> </v>
      </c>
      <c r="O159" s="33" t="str">
        <f t="shared" si="21"/>
        <v xml:space="preserve"> </v>
      </c>
      <c r="P159" s="34" t="str">
        <f t="shared" si="22"/>
        <v xml:space="preserve"> </v>
      </c>
      <c r="Q159" s="32" t="str">
        <f t="shared" si="23"/>
        <v/>
      </c>
      <c r="R159" s="32" t="str">
        <f t="shared" si="16"/>
        <v/>
      </c>
      <c r="S159" s="116"/>
    </row>
    <row r="160" spans="1:19" ht="18" customHeight="1">
      <c r="A160" s="30"/>
      <c r="B160" s="75" t="s">
        <v>202</v>
      </c>
      <c r="C160" s="76" t="s">
        <v>45</v>
      </c>
      <c r="D160" s="150">
        <v>0.05</v>
      </c>
      <c r="E160" s="150">
        <v>2.5000000000000001E-2</v>
      </c>
      <c r="F160" s="150">
        <v>-0.02</v>
      </c>
      <c r="G160" s="76" t="s">
        <v>46</v>
      </c>
      <c r="H160" s="87"/>
      <c r="I160" s="87"/>
      <c r="J160" s="87"/>
      <c r="K160" s="31" t="str">
        <f t="shared" si="17"/>
        <v xml:space="preserve"> </v>
      </c>
      <c r="L160" s="31" t="str">
        <f t="shared" si="18"/>
        <v xml:space="preserve"> </v>
      </c>
      <c r="M160" s="31" t="str">
        <f t="shared" si="19"/>
        <v xml:space="preserve"> </v>
      </c>
      <c r="N160" s="32" t="str">
        <f t="shared" si="20"/>
        <v xml:space="preserve"> </v>
      </c>
      <c r="O160" s="33" t="str">
        <f t="shared" si="21"/>
        <v xml:space="preserve"> </v>
      </c>
      <c r="P160" s="34" t="str">
        <f t="shared" si="22"/>
        <v xml:space="preserve"> </v>
      </c>
      <c r="Q160" s="32" t="str">
        <f t="shared" si="23"/>
        <v/>
      </c>
      <c r="R160" s="32" t="str">
        <f t="shared" si="16"/>
        <v/>
      </c>
      <c r="S160" s="116"/>
    </row>
    <row r="161" spans="1:19" ht="18" customHeight="1">
      <c r="A161" s="30"/>
      <c r="B161" s="75" t="s">
        <v>203</v>
      </c>
      <c r="C161" s="76" t="s">
        <v>45</v>
      </c>
      <c r="D161" s="150">
        <v>0.05</v>
      </c>
      <c r="E161" s="150">
        <v>2.5000000000000001E-2</v>
      </c>
      <c r="F161" s="150">
        <v>-0.02</v>
      </c>
      <c r="G161" s="76" t="s">
        <v>46</v>
      </c>
      <c r="H161" s="87"/>
      <c r="I161" s="87"/>
      <c r="J161" s="87"/>
      <c r="K161" s="31" t="str">
        <f t="shared" si="17"/>
        <v xml:space="preserve"> </v>
      </c>
      <c r="L161" s="31" t="str">
        <f t="shared" si="18"/>
        <v xml:space="preserve"> </v>
      </c>
      <c r="M161" s="31" t="str">
        <f t="shared" si="19"/>
        <v xml:space="preserve"> </v>
      </c>
      <c r="N161" s="32" t="str">
        <f t="shared" si="20"/>
        <v xml:space="preserve"> </v>
      </c>
      <c r="O161" s="33" t="str">
        <f t="shared" si="21"/>
        <v xml:space="preserve"> </v>
      </c>
      <c r="P161" s="34" t="str">
        <f t="shared" si="22"/>
        <v xml:space="preserve"> </v>
      </c>
      <c r="Q161" s="32" t="str">
        <f t="shared" si="23"/>
        <v/>
      </c>
      <c r="R161" s="32" t="str">
        <f t="shared" si="16"/>
        <v/>
      </c>
      <c r="S161" s="116"/>
    </row>
    <row r="162" spans="1:19" ht="18" customHeight="1">
      <c r="A162" s="30"/>
      <c r="B162" s="75" t="s">
        <v>281</v>
      </c>
      <c r="C162" s="76" t="s">
        <v>45</v>
      </c>
      <c r="D162" s="150">
        <v>0.05</v>
      </c>
      <c r="E162" s="150">
        <v>2.5000000000000001E-2</v>
      </c>
      <c r="F162" s="150">
        <v>-0.02</v>
      </c>
      <c r="G162" s="76" t="s">
        <v>46</v>
      </c>
      <c r="H162" s="87"/>
      <c r="I162" s="87"/>
      <c r="J162" s="87"/>
      <c r="K162" s="31" t="str">
        <f t="shared" si="17"/>
        <v xml:space="preserve"> </v>
      </c>
      <c r="L162" s="31" t="str">
        <f t="shared" si="18"/>
        <v xml:space="preserve"> </v>
      </c>
      <c r="M162" s="31" t="str">
        <f t="shared" si="19"/>
        <v xml:space="preserve"> </v>
      </c>
      <c r="N162" s="32" t="str">
        <f t="shared" si="20"/>
        <v xml:space="preserve"> </v>
      </c>
      <c r="O162" s="33" t="str">
        <f t="shared" si="21"/>
        <v xml:space="preserve"> </v>
      </c>
      <c r="P162" s="34" t="str">
        <f t="shared" si="22"/>
        <v xml:space="preserve"> </v>
      </c>
      <c r="Q162" s="32" t="str">
        <f t="shared" si="23"/>
        <v/>
      </c>
      <c r="R162" s="32" t="str">
        <f t="shared" si="16"/>
        <v/>
      </c>
      <c r="S162" s="116"/>
    </row>
    <row r="163" spans="1:19" ht="18" customHeight="1">
      <c r="A163" s="30"/>
      <c r="B163" s="75">
        <v>102</v>
      </c>
      <c r="C163" s="76" t="s">
        <v>45</v>
      </c>
      <c r="D163" s="150">
        <v>8.5640000000000001</v>
      </c>
      <c r="E163" s="150">
        <v>0.03</v>
      </c>
      <c r="F163" s="150">
        <v>-0.03</v>
      </c>
      <c r="G163" s="76" t="s">
        <v>46</v>
      </c>
      <c r="H163" s="87"/>
      <c r="I163" s="87"/>
      <c r="J163" s="87"/>
      <c r="K163" s="31" t="str">
        <f t="shared" si="17"/>
        <v xml:space="preserve"> </v>
      </c>
      <c r="L163" s="31" t="str">
        <f t="shared" si="18"/>
        <v xml:space="preserve"> </v>
      </c>
      <c r="M163" s="31" t="str">
        <f t="shared" si="19"/>
        <v xml:space="preserve"> </v>
      </c>
      <c r="N163" s="32" t="str">
        <f t="shared" si="20"/>
        <v xml:space="preserve"> </v>
      </c>
      <c r="O163" s="33" t="str">
        <f t="shared" si="21"/>
        <v xml:space="preserve"> </v>
      </c>
      <c r="P163" s="34" t="str">
        <f t="shared" si="22"/>
        <v xml:space="preserve"> </v>
      </c>
      <c r="Q163" s="32" t="str">
        <f t="shared" si="23"/>
        <v/>
      </c>
      <c r="R163" s="32" t="str">
        <f t="shared" ref="R163:R226" si="24">IF(H163="","",IF(ISERR(F163/F163)=TRUE,"",IF(ISERR(F163/D163)=TRUE,IF((F163-MIN(H163:J163))&gt;0.001,"Reject",""),IF(ISNUMBER($P163)=TRUE,IF($P163&gt;0.651,IF($P163&gt;1.001,"Reject","Alert"),""),""))))</f>
        <v/>
      </c>
      <c r="S163" s="116"/>
    </row>
    <row r="164" spans="1:19" ht="18" customHeight="1">
      <c r="A164" s="30"/>
      <c r="B164" s="75">
        <v>103</v>
      </c>
      <c r="C164" s="76" t="s">
        <v>45</v>
      </c>
      <c r="D164" s="150">
        <v>11.237</v>
      </c>
      <c r="E164" s="150">
        <v>0.03</v>
      </c>
      <c r="F164" s="150">
        <v>-0.03</v>
      </c>
      <c r="G164" s="76" t="s">
        <v>46</v>
      </c>
      <c r="H164" s="87"/>
      <c r="I164" s="87"/>
      <c r="J164" s="87"/>
      <c r="K164" s="31" t="str">
        <f t="shared" si="17"/>
        <v xml:space="preserve"> </v>
      </c>
      <c r="L164" s="31" t="str">
        <f t="shared" si="18"/>
        <v xml:space="preserve"> </v>
      </c>
      <c r="M164" s="31" t="str">
        <f t="shared" si="19"/>
        <v xml:space="preserve"> </v>
      </c>
      <c r="N164" s="32" t="str">
        <f t="shared" si="20"/>
        <v xml:space="preserve"> </v>
      </c>
      <c r="O164" s="33" t="str">
        <f t="shared" si="21"/>
        <v xml:space="preserve"> </v>
      </c>
      <c r="P164" s="34" t="str">
        <f t="shared" si="22"/>
        <v xml:space="preserve"> </v>
      </c>
      <c r="Q164" s="32" t="str">
        <f t="shared" si="23"/>
        <v/>
      </c>
      <c r="R164" s="32" t="str">
        <f t="shared" si="24"/>
        <v/>
      </c>
      <c r="S164" s="116"/>
    </row>
    <row r="165" spans="1:19" ht="18" customHeight="1">
      <c r="A165" s="30"/>
      <c r="B165" s="90" t="s">
        <v>282</v>
      </c>
      <c r="C165" s="76" t="s">
        <v>230</v>
      </c>
      <c r="D165" s="150">
        <v>0</v>
      </c>
      <c r="E165" s="150">
        <v>0.03</v>
      </c>
      <c r="F165" s="150">
        <v>-7.0000000000000007E-2</v>
      </c>
      <c r="G165" s="76" t="s">
        <v>231</v>
      </c>
      <c r="H165" s="87"/>
      <c r="I165" s="87"/>
      <c r="J165" s="87"/>
      <c r="K165" s="31" t="str">
        <f t="shared" si="17"/>
        <v xml:space="preserve"> </v>
      </c>
      <c r="L165" s="31" t="str">
        <f t="shared" si="18"/>
        <v xml:space="preserve"> </v>
      </c>
      <c r="M165" s="31" t="str">
        <f t="shared" si="19"/>
        <v xml:space="preserve"> </v>
      </c>
      <c r="N165" s="32" t="str">
        <f t="shared" si="20"/>
        <v xml:space="preserve"> </v>
      </c>
      <c r="O165" s="33" t="str">
        <f t="shared" si="21"/>
        <v xml:space="preserve"> </v>
      </c>
      <c r="P165" s="34" t="str">
        <f t="shared" si="22"/>
        <v xml:space="preserve"> </v>
      </c>
      <c r="Q165" s="32" t="str">
        <f t="shared" si="23"/>
        <v/>
      </c>
      <c r="R165" s="32" t="str">
        <f t="shared" si="24"/>
        <v/>
      </c>
      <c r="S165" s="116"/>
    </row>
    <row r="166" spans="1:19" ht="18" customHeight="1">
      <c r="A166" s="30"/>
      <c r="B166" s="90" t="s">
        <v>283</v>
      </c>
      <c r="C166" s="76" t="s">
        <v>230</v>
      </c>
      <c r="D166" s="150">
        <v>0</v>
      </c>
      <c r="E166" s="150">
        <v>0.03</v>
      </c>
      <c r="F166" s="150">
        <v>-7.0000000000000007E-2</v>
      </c>
      <c r="G166" s="76" t="s">
        <v>231</v>
      </c>
      <c r="H166" s="87"/>
      <c r="I166" s="87"/>
      <c r="J166" s="87"/>
      <c r="K166" s="31" t="str">
        <f t="shared" si="17"/>
        <v xml:space="preserve"> </v>
      </c>
      <c r="L166" s="31" t="str">
        <f t="shared" si="18"/>
        <v xml:space="preserve"> </v>
      </c>
      <c r="M166" s="31" t="str">
        <f t="shared" si="19"/>
        <v xml:space="preserve"> </v>
      </c>
      <c r="N166" s="32" t="str">
        <f t="shared" si="20"/>
        <v xml:space="preserve"> </v>
      </c>
      <c r="O166" s="33" t="str">
        <f t="shared" si="21"/>
        <v xml:space="preserve"> </v>
      </c>
      <c r="P166" s="34" t="str">
        <f t="shared" si="22"/>
        <v xml:space="preserve"> </v>
      </c>
      <c r="Q166" s="32" t="str">
        <f t="shared" si="23"/>
        <v/>
      </c>
      <c r="R166" s="32" t="str">
        <f t="shared" si="24"/>
        <v/>
      </c>
      <c r="S166" s="116"/>
    </row>
    <row r="167" spans="1:19" ht="18" customHeight="1">
      <c r="A167" s="30"/>
      <c r="B167" s="90" t="s">
        <v>284</v>
      </c>
      <c r="C167" s="76" t="s">
        <v>230</v>
      </c>
      <c r="D167" s="150">
        <v>0</v>
      </c>
      <c r="E167" s="150">
        <v>0.03</v>
      </c>
      <c r="F167" s="150">
        <v>-7.0000000000000007E-2</v>
      </c>
      <c r="G167" s="76" t="s">
        <v>231</v>
      </c>
      <c r="H167" s="87"/>
      <c r="I167" s="87"/>
      <c r="J167" s="87"/>
      <c r="K167" s="31" t="str">
        <f t="shared" si="17"/>
        <v xml:space="preserve"> </v>
      </c>
      <c r="L167" s="31" t="str">
        <f t="shared" si="18"/>
        <v xml:space="preserve"> </v>
      </c>
      <c r="M167" s="31" t="str">
        <f t="shared" si="19"/>
        <v xml:space="preserve"> </v>
      </c>
      <c r="N167" s="32" t="str">
        <f t="shared" si="20"/>
        <v xml:space="preserve"> </v>
      </c>
      <c r="O167" s="33" t="str">
        <f t="shared" si="21"/>
        <v xml:space="preserve"> </v>
      </c>
      <c r="P167" s="34" t="str">
        <f t="shared" si="22"/>
        <v xml:space="preserve"> </v>
      </c>
      <c r="Q167" s="32" t="str">
        <f t="shared" si="23"/>
        <v/>
      </c>
      <c r="R167" s="32" t="str">
        <f t="shared" si="24"/>
        <v/>
      </c>
      <c r="S167" s="116"/>
    </row>
    <row r="168" spans="1:19" ht="18" customHeight="1">
      <c r="A168" s="30"/>
      <c r="B168" s="90" t="s">
        <v>285</v>
      </c>
      <c r="C168" s="76" t="s">
        <v>230</v>
      </c>
      <c r="D168" s="150">
        <v>0</v>
      </c>
      <c r="E168" s="150">
        <v>0.03</v>
      </c>
      <c r="F168" s="150">
        <v>-7.0000000000000007E-2</v>
      </c>
      <c r="G168" s="76" t="s">
        <v>231</v>
      </c>
      <c r="H168" s="87"/>
      <c r="I168" s="87"/>
      <c r="J168" s="87"/>
      <c r="K168" s="31" t="str">
        <f t="shared" si="17"/>
        <v xml:space="preserve"> </v>
      </c>
      <c r="L168" s="31" t="str">
        <f t="shared" si="18"/>
        <v xml:space="preserve"> </v>
      </c>
      <c r="M168" s="31" t="str">
        <f t="shared" si="19"/>
        <v xml:space="preserve"> </v>
      </c>
      <c r="N168" s="32" t="str">
        <f t="shared" si="20"/>
        <v xml:space="preserve"> </v>
      </c>
      <c r="O168" s="33" t="str">
        <f t="shared" si="21"/>
        <v xml:space="preserve"> </v>
      </c>
      <c r="P168" s="34" t="str">
        <f t="shared" si="22"/>
        <v xml:space="preserve"> </v>
      </c>
      <c r="Q168" s="32" t="str">
        <f t="shared" si="23"/>
        <v/>
      </c>
      <c r="R168" s="32" t="str">
        <f t="shared" si="24"/>
        <v/>
      </c>
      <c r="S168" s="116"/>
    </row>
    <row r="169" spans="1:19" ht="18" customHeight="1">
      <c r="A169" s="30"/>
      <c r="B169" s="90" t="s">
        <v>286</v>
      </c>
      <c r="C169" s="76" t="s">
        <v>230</v>
      </c>
      <c r="D169" s="150">
        <v>0</v>
      </c>
      <c r="E169" s="150">
        <v>0.03</v>
      </c>
      <c r="F169" s="150">
        <v>-7.0000000000000007E-2</v>
      </c>
      <c r="G169" s="76" t="s">
        <v>231</v>
      </c>
      <c r="H169" s="87"/>
      <c r="I169" s="87"/>
      <c r="J169" s="87"/>
      <c r="K169" s="31" t="str">
        <f t="shared" si="17"/>
        <v xml:space="preserve"> </v>
      </c>
      <c r="L169" s="31" t="str">
        <f t="shared" si="18"/>
        <v xml:space="preserve"> </v>
      </c>
      <c r="M169" s="31" t="str">
        <f t="shared" si="19"/>
        <v xml:space="preserve"> </v>
      </c>
      <c r="N169" s="32" t="str">
        <f t="shared" si="20"/>
        <v xml:space="preserve"> </v>
      </c>
      <c r="O169" s="33" t="str">
        <f t="shared" si="21"/>
        <v xml:space="preserve"> </v>
      </c>
      <c r="P169" s="34" t="str">
        <f t="shared" si="22"/>
        <v xml:space="preserve"> </v>
      </c>
      <c r="Q169" s="32" t="str">
        <f t="shared" si="23"/>
        <v/>
      </c>
      <c r="R169" s="32" t="str">
        <f t="shared" si="24"/>
        <v/>
      </c>
      <c r="S169" s="116"/>
    </row>
    <row r="170" spans="1:19" ht="18" customHeight="1">
      <c r="A170" s="30"/>
      <c r="B170" s="90" t="s">
        <v>287</v>
      </c>
      <c r="C170" s="76" t="s">
        <v>230</v>
      </c>
      <c r="D170" s="150">
        <v>0</v>
      </c>
      <c r="E170" s="150">
        <v>0.03</v>
      </c>
      <c r="F170" s="150">
        <v>-7.0000000000000007E-2</v>
      </c>
      <c r="G170" s="76" t="s">
        <v>231</v>
      </c>
      <c r="H170" s="87"/>
      <c r="I170" s="87"/>
      <c r="J170" s="87"/>
      <c r="K170" s="31" t="str">
        <f t="shared" si="17"/>
        <v xml:space="preserve"> </v>
      </c>
      <c r="L170" s="31" t="str">
        <f t="shared" si="18"/>
        <v xml:space="preserve"> </v>
      </c>
      <c r="M170" s="31" t="str">
        <f t="shared" si="19"/>
        <v xml:space="preserve"> </v>
      </c>
      <c r="N170" s="32" t="str">
        <f t="shared" si="20"/>
        <v xml:space="preserve"> </v>
      </c>
      <c r="O170" s="33" t="str">
        <f t="shared" si="21"/>
        <v xml:space="preserve"> </v>
      </c>
      <c r="P170" s="34" t="str">
        <f t="shared" si="22"/>
        <v xml:space="preserve"> </v>
      </c>
      <c r="Q170" s="32" t="str">
        <f t="shared" si="23"/>
        <v/>
      </c>
      <c r="R170" s="32" t="str">
        <f t="shared" si="24"/>
        <v/>
      </c>
      <c r="S170" s="116"/>
    </row>
    <row r="171" spans="1:19" ht="18" customHeight="1">
      <c r="A171" s="30"/>
      <c r="B171" s="75" t="s">
        <v>204</v>
      </c>
      <c r="C171" s="76" t="s">
        <v>45</v>
      </c>
      <c r="D171" s="150">
        <v>1.125</v>
      </c>
      <c r="E171" s="150">
        <v>0.05</v>
      </c>
      <c r="F171" s="150">
        <v>-0.05</v>
      </c>
      <c r="G171" s="76" t="s">
        <v>46</v>
      </c>
      <c r="H171" s="87"/>
      <c r="I171" s="87"/>
      <c r="J171" s="87"/>
      <c r="K171" s="31" t="str">
        <f t="shared" si="17"/>
        <v xml:space="preserve"> </v>
      </c>
      <c r="L171" s="31" t="str">
        <f t="shared" si="18"/>
        <v xml:space="preserve"> </v>
      </c>
      <c r="M171" s="31" t="str">
        <f t="shared" si="19"/>
        <v xml:space="preserve"> </v>
      </c>
      <c r="N171" s="32" t="str">
        <f t="shared" si="20"/>
        <v xml:space="preserve"> </v>
      </c>
      <c r="O171" s="33" t="str">
        <f t="shared" si="21"/>
        <v xml:space="preserve"> </v>
      </c>
      <c r="P171" s="34" t="str">
        <f t="shared" si="22"/>
        <v xml:space="preserve"> </v>
      </c>
      <c r="Q171" s="32" t="str">
        <f t="shared" si="23"/>
        <v/>
      </c>
      <c r="R171" s="32" t="str">
        <f t="shared" si="24"/>
        <v/>
      </c>
      <c r="S171" s="116"/>
    </row>
    <row r="172" spans="1:19" ht="18" customHeight="1">
      <c r="A172" s="30"/>
      <c r="B172" s="75" t="s">
        <v>205</v>
      </c>
      <c r="C172" s="76" t="s">
        <v>45</v>
      </c>
      <c r="D172" s="150">
        <v>1.125</v>
      </c>
      <c r="E172" s="150">
        <v>0.05</v>
      </c>
      <c r="F172" s="150">
        <v>-0.05</v>
      </c>
      <c r="G172" s="76" t="s">
        <v>46</v>
      </c>
      <c r="H172" s="87"/>
      <c r="I172" s="87"/>
      <c r="J172" s="87"/>
      <c r="K172" s="31" t="str">
        <f t="shared" si="17"/>
        <v xml:space="preserve"> </v>
      </c>
      <c r="L172" s="31" t="str">
        <f t="shared" si="18"/>
        <v xml:space="preserve"> </v>
      </c>
      <c r="M172" s="31" t="str">
        <f t="shared" si="19"/>
        <v xml:space="preserve"> </v>
      </c>
      <c r="N172" s="32" t="str">
        <f t="shared" si="20"/>
        <v xml:space="preserve"> </v>
      </c>
      <c r="O172" s="33" t="str">
        <f t="shared" si="21"/>
        <v xml:space="preserve"> </v>
      </c>
      <c r="P172" s="34" t="str">
        <f t="shared" si="22"/>
        <v xml:space="preserve"> </v>
      </c>
      <c r="Q172" s="32" t="str">
        <f t="shared" si="23"/>
        <v/>
      </c>
      <c r="R172" s="32" t="str">
        <f t="shared" si="24"/>
        <v/>
      </c>
      <c r="S172" s="116"/>
    </row>
    <row r="173" spans="1:19" ht="18" customHeight="1">
      <c r="A173" s="30"/>
      <c r="B173" s="75" t="s">
        <v>206</v>
      </c>
      <c r="C173" s="76" t="s">
        <v>45</v>
      </c>
      <c r="D173" s="150">
        <v>1.125</v>
      </c>
      <c r="E173" s="150">
        <v>0.05</v>
      </c>
      <c r="F173" s="150">
        <v>-0.05</v>
      </c>
      <c r="G173" s="76" t="s">
        <v>46</v>
      </c>
      <c r="H173" s="87"/>
      <c r="I173" s="87"/>
      <c r="J173" s="87"/>
      <c r="K173" s="31" t="str">
        <f t="shared" si="17"/>
        <v xml:space="preserve"> </v>
      </c>
      <c r="L173" s="31" t="str">
        <f t="shared" si="18"/>
        <v xml:space="preserve"> </v>
      </c>
      <c r="M173" s="31" t="str">
        <f t="shared" si="19"/>
        <v xml:space="preserve"> </v>
      </c>
      <c r="N173" s="32" t="str">
        <f t="shared" si="20"/>
        <v xml:space="preserve"> </v>
      </c>
      <c r="O173" s="33" t="str">
        <f t="shared" si="21"/>
        <v xml:space="preserve"> </v>
      </c>
      <c r="P173" s="34" t="str">
        <f t="shared" si="22"/>
        <v xml:space="preserve"> </v>
      </c>
      <c r="Q173" s="32" t="str">
        <f t="shared" si="23"/>
        <v/>
      </c>
      <c r="R173" s="32" t="str">
        <f t="shared" si="24"/>
        <v/>
      </c>
      <c r="S173" s="116"/>
    </row>
    <row r="174" spans="1:19" ht="18" customHeight="1">
      <c r="A174" s="30"/>
      <c r="B174" s="75" t="s">
        <v>207</v>
      </c>
      <c r="C174" s="76" t="s">
        <v>45</v>
      </c>
      <c r="D174" s="150">
        <v>0.35</v>
      </c>
      <c r="E174" s="150">
        <v>0.03</v>
      </c>
      <c r="F174" s="150">
        <v>-0.03</v>
      </c>
      <c r="G174" s="76" t="s">
        <v>46</v>
      </c>
      <c r="H174" s="87"/>
      <c r="I174" s="87"/>
      <c r="J174" s="87"/>
      <c r="K174" s="31" t="str">
        <f t="shared" si="17"/>
        <v xml:space="preserve"> </v>
      </c>
      <c r="L174" s="31" t="str">
        <f t="shared" si="18"/>
        <v xml:space="preserve"> </v>
      </c>
      <c r="M174" s="31" t="str">
        <f t="shared" si="19"/>
        <v xml:space="preserve"> </v>
      </c>
      <c r="N174" s="32" t="str">
        <f t="shared" si="20"/>
        <v xml:space="preserve"> </v>
      </c>
      <c r="O174" s="33" t="str">
        <f t="shared" si="21"/>
        <v xml:space="preserve"> </v>
      </c>
      <c r="P174" s="34" t="str">
        <f t="shared" si="22"/>
        <v xml:space="preserve"> </v>
      </c>
      <c r="Q174" s="32" t="str">
        <f t="shared" si="23"/>
        <v/>
      </c>
      <c r="R174" s="32" t="str">
        <f t="shared" si="24"/>
        <v/>
      </c>
      <c r="S174" s="116"/>
    </row>
    <row r="175" spans="1:19" ht="18" customHeight="1">
      <c r="A175" s="30"/>
      <c r="B175" s="75" t="s">
        <v>208</v>
      </c>
      <c r="C175" s="76" t="s">
        <v>45</v>
      </c>
      <c r="D175" s="150">
        <v>0.35</v>
      </c>
      <c r="E175" s="150">
        <v>0.03</v>
      </c>
      <c r="F175" s="150">
        <v>-0.03</v>
      </c>
      <c r="G175" s="76" t="s">
        <v>46</v>
      </c>
      <c r="H175" s="87"/>
      <c r="I175" s="87"/>
      <c r="J175" s="87"/>
      <c r="K175" s="31" t="str">
        <f t="shared" si="17"/>
        <v xml:space="preserve"> </v>
      </c>
      <c r="L175" s="31" t="str">
        <f t="shared" si="18"/>
        <v xml:space="preserve"> </v>
      </c>
      <c r="M175" s="31" t="str">
        <f t="shared" si="19"/>
        <v xml:space="preserve"> </v>
      </c>
      <c r="N175" s="32" t="str">
        <f t="shared" si="20"/>
        <v xml:space="preserve"> </v>
      </c>
      <c r="O175" s="33" t="str">
        <f t="shared" si="21"/>
        <v xml:space="preserve"> </v>
      </c>
      <c r="P175" s="34" t="str">
        <f t="shared" si="22"/>
        <v xml:space="preserve"> </v>
      </c>
      <c r="Q175" s="32" t="str">
        <f t="shared" si="23"/>
        <v/>
      </c>
      <c r="R175" s="32" t="str">
        <f t="shared" si="24"/>
        <v/>
      </c>
      <c r="S175" s="116"/>
    </row>
    <row r="176" spans="1:19" ht="18" customHeight="1">
      <c r="A176" s="30"/>
      <c r="B176" s="75" t="s">
        <v>209</v>
      </c>
      <c r="C176" s="76" t="s">
        <v>45</v>
      </c>
      <c r="D176" s="150">
        <v>0.35</v>
      </c>
      <c r="E176" s="150">
        <v>0.03</v>
      </c>
      <c r="F176" s="150">
        <v>-0.03</v>
      </c>
      <c r="G176" s="76" t="s">
        <v>46</v>
      </c>
      <c r="H176" s="87"/>
      <c r="I176" s="87"/>
      <c r="J176" s="87"/>
      <c r="K176" s="31" t="str">
        <f t="shared" si="17"/>
        <v xml:space="preserve"> </v>
      </c>
      <c r="L176" s="31" t="str">
        <f t="shared" si="18"/>
        <v xml:space="preserve"> </v>
      </c>
      <c r="M176" s="31" t="str">
        <f t="shared" si="19"/>
        <v xml:space="preserve"> </v>
      </c>
      <c r="N176" s="32" t="str">
        <f t="shared" si="20"/>
        <v xml:space="preserve"> </v>
      </c>
      <c r="O176" s="33" t="str">
        <f t="shared" si="21"/>
        <v xml:space="preserve"> </v>
      </c>
      <c r="P176" s="34" t="str">
        <f t="shared" si="22"/>
        <v xml:space="preserve"> </v>
      </c>
      <c r="Q176" s="32" t="str">
        <f t="shared" si="23"/>
        <v/>
      </c>
      <c r="R176" s="32" t="str">
        <f t="shared" si="24"/>
        <v/>
      </c>
      <c r="S176" s="116"/>
    </row>
    <row r="177" spans="1:19" ht="18" customHeight="1">
      <c r="A177" s="30"/>
      <c r="B177" s="75" t="s">
        <v>210</v>
      </c>
      <c r="C177" s="76" t="s">
        <v>45</v>
      </c>
      <c r="D177" s="150">
        <v>0.35</v>
      </c>
      <c r="E177" s="150">
        <v>0.03</v>
      </c>
      <c r="F177" s="150">
        <v>-0.03</v>
      </c>
      <c r="G177" s="76" t="s">
        <v>46</v>
      </c>
      <c r="H177" s="87"/>
      <c r="I177" s="87"/>
      <c r="J177" s="87"/>
      <c r="K177" s="31" t="str">
        <f t="shared" si="17"/>
        <v xml:space="preserve"> </v>
      </c>
      <c r="L177" s="31" t="str">
        <f t="shared" si="18"/>
        <v xml:space="preserve"> </v>
      </c>
      <c r="M177" s="31" t="str">
        <f t="shared" si="19"/>
        <v xml:space="preserve"> </v>
      </c>
      <c r="N177" s="32" t="str">
        <f t="shared" si="20"/>
        <v xml:space="preserve"> </v>
      </c>
      <c r="O177" s="33" t="str">
        <f t="shared" si="21"/>
        <v xml:space="preserve"> </v>
      </c>
      <c r="P177" s="34" t="str">
        <f t="shared" si="22"/>
        <v xml:space="preserve"> </v>
      </c>
      <c r="Q177" s="32" t="str">
        <f t="shared" si="23"/>
        <v/>
      </c>
      <c r="R177" s="32" t="str">
        <f t="shared" si="24"/>
        <v/>
      </c>
      <c r="S177" s="116"/>
    </row>
    <row r="178" spans="1:19" ht="18" customHeight="1">
      <c r="A178" s="30"/>
      <c r="B178" s="75" t="s">
        <v>211</v>
      </c>
      <c r="C178" s="76" t="s">
        <v>45</v>
      </c>
      <c r="D178" s="150">
        <v>0.25</v>
      </c>
      <c r="E178" s="150">
        <v>0.03</v>
      </c>
      <c r="F178" s="150">
        <v>-0.03</v>
      </c>
      <c r="G178" s="76" t="s">
        <v>46</v>
      </c>
      <c r="H178" s="87"/>
      <c r="I178" s="87"/>
      <c r="J178" s="87"/>
      <c r="K178" s="31" t="str">
        <f t="shared" si="17"/>
        <v xml:space="preserve"> </v>
      </c>
      <c r="L178" s="31" t="str">
        <f t="shared" si="18"/>
        <v xml:space="preserve"> </v>
      </c>
      <c r="M178" s="31" t="str">
        <f t="shared" si="19"/>
        <v xml:space="preserve"> </v>
      </c>
      <c r="N178" s="32" t="str">
        <f t="shared" si="20"/>
        <v xml:space="preserve"> </v>
      </c>
      <c r="O178" s="33" t="str">
        <f t="shared" si="21"/>
        <v xml:space="preserve"> </v>
      </c>
      <c r="P178" s="34" t="str">
        <f t="shared" si="22"/>
        <v xml:space="preserve"> </v>
      </c>
      <c r="Q178" s="32" t="str">
        <f t="shared" si="23"/>
        <v/>
      </c>
      <c r="R178" s="32" t="str">
        <f t="shared" si="24"/>
        <v/>
      </c>
      <c r="S178" s="116"/>
    </row>
    <row r="179" spans="1:19" ht="18" customHeight="1">
      <c r="A179" s="30"/>
      <c r="B179" s="75" t="s">
        <v>212</v>
      </c>
      <c r="C179" s="76" t="s">
        <v>45</v>
      </c>
      <c r="D179" s="150">
        <v>0.25</v>
      </c>
      <c r="E179" s="150">
        <v>0.03</v>
      </c>
      <c r="F179" s="150">
        <v>-0.03</v>
      </c>
      <c r="G179" s="76" t="s">
        <v>46</v>
      </c>
      <c r="H179" s="87"/>
      <c r="I179" s="87"/>
      <c r="J179" s="87"/>
      <c r="K179" s="31" t="str">
        <f t="shared" si="17"/>
        <v xml:space="preserve"> </v>
      </c>
      <c r="L179" s="31" t="str">
        <f t="shared" si="18"/>
        <v xml:space="preserve"> </v>
      </c>
      <c r="M179" s="31" t="str">
        <f t="shared" si="19"/>
        <v xml:space="preserve"> </v>
      </c>
      <c r="N179" s="32" t="str">
        <f t="shared" si="20"/>
        <v xml:space="preserve"> </v>
      </c>
      <c r="O179" s="33" t="str">
        <f t="shared" si="21"/>
        <v xml:space="preserve"> </v>
      </c>
      <c r="P179" s="34" t="str">
        <f t="shared" si="22"/>
        <v xml:space="preserve"> </v>
      </c>
      <c r="Q179" s="32" t="str">
        <f t="shared" si="23"/>
        <v/>
      </c>
      <c r="R179" s="32" t="str">
        <f t="shared" si="24"/>
        <v/>
      </c>
      <c r="S179" s="116"/>
    </row>
    <row r="180" spans="1:19" ht="18" customHeight="1">
      <c r="A180" s="30"/>
      <c r="B180" s="75" t="s">
        <v>355</v>
      </c>
      <c r="C180" s="76" t="s">
        <v>45</v>
      </c>
      <c r="D180" s="150">
        <v>3.4249999999999998</v>
      </c>
      <c r="E180" s="150">
        <v>0.03</v>
      </c>
      <c r="F180" s="150">
        <v>-4.4999999999999998E-2</v>
      </c>
      <c r="G180" s="76" t="s">
        <v>46</v>
      </c>
      <c r="H180" s="87"/>
      <c r="I180" s="87"/>
      <c r="J180" s="87"/>
      <c r="K180" s="31" t="str">
        <f t="shared" si="17"/>
        <v xml:space="preserve"> </v>
      </c>
      <c r="L180" s="31" t="str">
        <f t="shared" si="18"/>
        <v xml:space="preserve"> </v>
      </c>
      <c r="M180" s="31" t="str">
        <f t="shared" si="19"/>
        <v xml:space="preserve"> </v>
      </c>
      <c r="N180" s="32" t="str">
        <f t="shared" si="20"/>
        <v xml:space="preserve"> </v>
      </c>
      <c r="O180" s="33" t="str">
        <f t="shared" si="21"/>
        <v xml:space="preserve"> </v>
      </c>
      <c r="P180" s="34" t="str">
        <f t="shared" si="22"/>
        <v xml:space="preserve"> </v>
      </c>
      <c r="Q180" s="32" t="str">
        <f t="shared" si="23"/>
        <v/>
      </c>
      <c r="R180" s="32" t="str">
        <f t="shared" si="24"/>
        <v/>
      </c>
      <c r="S180" s="116"/>
    </row>
    <row r="181" spans="1:19" ht="18" customHeight="1">
      <c r="A181" s="30"/>
      <c r="B181" s="75" t="s">
        <v>356</v>
      </c>
      <c r="C181" s="76" t="s">
        <v>45</v>
      </c>
      <c r="D181" s="150">
        <v>-0.45</v>
      </c>
      <c r="E181" s="150">
        <v>1.4999999999999999E-2</v>
      </c>
      <c r="F181" s="150">
        <v>-1.4999999999999999E-2</v>
      </c>
      <c r="G181" s="76" t="s">
        <v>231</v>
      </c>
      <c r="H181" s="87"/>
      <c r="I181" s="87"/>
      <c r="J181" s="87"/>
      <c r="K181" s="31" t="str">
        <f t="shared" si="17"/>
        <v xml:space="preserve"> </v>
      </c>
      <c r="L181" s="31" t="str">
        <f t="shared" si="18"/>
        <v xml:space="preserve"> </v>
      </c>
      <c r="M181" s="31" t="str">
        <f t="shared" si="19"/>
        <v xml:space="preserve"> </v>
      </c>
      <c r="N181" s="32" t="str">
        <f t="shared" si="20"/>
        <v xml:space="preserve"> </v>
      </c>
      <c r="O181" s="33" t="str">
        <f t="shared" si="21"/>
        <v xml:space="preserve"> </v>
      </c>
      <c r="P181" s="34" t="str">
        <f t="shared" si="22"/>
        <v xml:space="preserve"> </v>
      </c>
      <c r="Q181" s="32" t="str">
        <f t="shared" si="23"/>
        <v/>
      </c>
      <c r="R181" s="32" t="str">
        <f t="shared" si="24"/>
        <v/>
      </c>
      <c r="S181" s="116"/>
    </row>
    <row r="182" spans="1:19" ht="18" customHeight="1">
      <c r="A182" s="30"/>
      <c r="B182" s="75" t="s">
        <v>357</v>
      </c>
      <c r="C182" s="76" t="s">
        <v>45</v>
      </c>
      <c r="D182" s="150">
        <v>0</v>
      </c>
      <c r="E182" s="150">
        <v>3.0000000000000001E-3</v>
      </c>
      <c r="F182" s="150">
        <v>-3.0000000000000001E-3</v>
      </c>
      <c r="G182" s="76" t="s">
        <v>231</v>
      </c>
      <c r="H182" s="87"/>
      <c r="I182" s="87"/>
      <c r="J182" s="87"/>
      <c r="K182" s="31" t="str">
        <f t="shared" si="17"/>
        <v xml:space="preserve"> </v>
      </c>
      <c r="L182" s="31" t="str">
        <f t="shared" si="18"/>
        <v xml:space="preserve"> </v>
      </c>
      <c r="M182" s="31" t="str">
        <f t="shared" si="19"/>
        <v xml:space="preserve"> </v>
      </c>
      <c r="N182" s="32" t="str">
        <f t="shared" si="20"/>
        <v xml:space="preserve"> </v>
      </c>
      <c r="O182" s="33" t="str">
        <f t="shared" si="21"/>
        <v xml:space="preserve"> </v>
      </c>
      <c r="P182" s="34" t="str">
        <f t="shared" si="22"/>
        <v xml:space="preserve"> </v>
      </c>
      <c r="Q182" s="32" t="str">
        <f t="shared" si="23"/>
        <v/>
      </c>
      <c r="R182" s="32" t="str">
        <f t="shared" si="24"/>
        <v/>
      </c>
      <c r="S182" s="116"/>
    </row>
    <row r="183" spans="1:19" ht="18" customHeight="1">
      <c r="A183" s="30"/>
      <c r="B183" s="75" t="s">
        <v>358</v>
      </c>
      <c r="C183" s="76" t="s">
        <v>45</v>
      </c>
      <c r="D183" s="150">
        <v>0</v>
      </c>
      <c r="E183" s="150">
        <v>3.0000000000000001E-3</v>
      </c>
      <c r="F183" s="150">
        <v>-3.0000000000000001E-3</v>
      </c>
      <c r="G183" s="76" t="s">
        <v>231</v>
      </c>
      <c r="H183" s="87"/>
      <c r="I183" s="87"/>
      <c r="J183" s="87"/>
      <c r="K183" s="31" t="str">
        <f t="shared" si="17"/>
        <v xml:space="preserve"> </v>
      </c>
      <c r="L183" s="31" t="str">
        <f t="shared" si="18"/>
        <v xml:space="preserve"> </v>
      </c>
      <c r="M183" s="31" t="str">
        <f t="shared" si="19"/>
        <v xml:space="preserve"> </v>
      </c>
      <c r="N183" s="32" t="str">
        <f t="shared" si="20"/>
        <v xml:space="preserve"> </v>
      </c>
      <c r="O183" s="33" t="str">
        <f t="shared" si="21"/>
        <v xml:space="preserve"> </v>
      </c>
      <c r="P183" s="34" t="str">
        <f t="shared" si="22"/>
        <v xml:space="preserve"> </v>
      </c>
      <c r="Q183" s="32" t="str">
        <f t="shared" si="23"/>
        <v/>
      </c>
      <c r="R183" s="32" t="str">
        <f t="shared" si="24"/>
        <v/>
      </c>
      <c r="S183" s="116"/>
    </row>
    <row r="184" spans="1:19" ht="18" customHeight="1">
      <c r="A184" s="30"/>
      <c r="B184" s="75" t="s">
        <v>359</v>
      </c>
      <c r="C184" s="76" t="s">
        <v>45</v>
      </c>
      <c r="D184" s="150">
        <v>0</v>
      </c>
      <c r="E184" s="150">
        <v>5.0000000000000001E-3</v>
      </c>
      <c r="F184" s="150">
        <v>-8.0000000000000002E-3</v>
      </c>
      <c r="G184" s="76" t="s">
        <v>231</v>
      </c>
      <c r="H184" s="87"/>
      <c r="I184" s="87"/>
      <c r="J184" s="87"/>
      <c r="K184" s="31" t="str">
        <f t="shared" si="17"/>
        <v xml:space="preserve"> </v>
      </c>
      <c r="L184" s="31" t="str">
        <f t="shared" si="18"/>
        <v xml:space="preserve"> </v>
      </c>
      <c r="M184" s="31" t="str">
        <f t="shared" si="19"/>
        <v xml:space="preserve"> </v>
      </c>
      <c r="N184" s="32" t="str">
        <f t="shared" si="20"/>
        <v xml:space="preserve"> </v>
      </c>
      <c r="O184" s="33" t="str">
        <f t="shared" si="21"/>
        <v xml:space="preserve"> </v>
      </c>
      <c r="P184" s="34" t="str">
        <f t="shared" si="22"/>
        <v xml:space="preserve"> </v>
      </c>
      <c r="Q184" s="32" t="str">
        <f t="shared" si="23"/>
        <v/>
      </c>
      <c r="R184" s="32" t="str">
        <f t="shared" si="24"/>
        <v/>
      </c>
      <c r="S184" s="116"/>
    </row>
    <row r="185" spans="1:19" ht="18" customHeight="1">
      <c r="A185" s="30"/>
      <c r="B185" s="75" t="s">
        <v>360</v>
      </c>
      <c r="C185" s="76" t="s">
        <v>45</v>
      </c>
      <c r="D185" s="150">
        <v>0</v>
      </c>
      <c r="E185" s="150">
        <v>7.0000000000000001E-3</v>
      </c>
      <c r="F185" s="150">
        <v>-7.0000000000000001E-3</v>
      </c>
      <c r="G185" s="76" t="s">
        <v>231</v>
      </c>
      <c r="H185" s="87"/>
      <c r="I185" s="87"/>
      <c r="J185" s="87"/>
      <c r="K185" s="31" t="str">
        <f t="shared" si="17"/>
        <v xml:space="preserve"> </v>
      </c>
      <c r="L185" s="31" t="str">
        <f t="shared" si="18"/>
        <v xml:space="preserve"> </v>
      </c>
      <c r="M185" s="31" t="str">
        <f t="shared" si="19"/>
        <v xml:space="preserve"> </v>
      </c>
      <c r="N185" s="32" t="str">
        <f t="shared" si="20"/>
        <v xml:space="preserve"> </v>
      </c>
      <c r="O185" s="33" t="str">
        <f t="shared" si="21"/>
        <v xml:space="preserve"> </v>
      </c>
      <c r="P185" s="34" t="str">
        <f t="shared" si="22"/>
        <v xml:space="preserve"> </v>
      </c>
      <c r="Q185" s="32" t="str">
        <f t="shared" si="23"/>
        <v/>
      </c>
      <c r="R185" s="32" t="str">
        <f t="shared" si="24"/>
        <v/>
      </c>
      <c r="S185" s="116"/>
    </row>
    <row r="186" spans="1:19" ht="18" customHeight="1">
      <c r="A186" s="30"/>
      <c r="B186" s="75" t="s">
        <v>361</v>
      </c>
      <c r="C186" s="76" t="s">
        <v>45</v>
      </c>
      <c r="D186" s="150">
        <v>0</v>
      </c>
      <c r="E186" s="150">
        <v>8.0000000000000002E-3</v>
      </c>
      <c r="F186" s="150">
        <v>-8.0000000000000002E-3</v>
      </c>
      <c r="G186" s="76" t="s">
        <v>231</v>
      </c>
      <c r="H186" s="87"/>
      <c r="I186" s="87"/>
      <c r="J186" s="87"/>
      <c r="K186" s="31" t="str">
        <f t="shared" si="17"/>
        <v xml:space="preserve"> </v>
      </c>
      <c r="L186" s="31" t="str">
        <f t="shared" si="18"/>
        <v xml:space="preserve"> </v>
      </c>
      <c r="M186" s="31" t="str">
        <f t="shared" si="19"/>
        <v xml:space="preserve"> </v>
      </c>
      <c r="N186" s="32" t="str">
        <f t="shared" si="20"/>
        <v xml:space="preserve"> </v>
      </c>
      <c r="O186" s="33" t="str">
        <f t="shared" si="21"/>
        <v xml:space="preserve"> </v>
      </c>
      <c r="P186" s="34" t="str">
        <f t="shared" si="22"/>
        <v xml:space="preserve"> </v>
      </c>
      <c r="Q186" s="32" t="str">
        <f t="shared" si="23"/>
        <v/>
      </c>
      <c r="R186" s="32" t="str">
        <f t="shared" si="24"/>
        <v/>
      </c>
      <c r="S186" s="116"/>
    </row>
    <row r="187" spans="1:19" ht="18" customHeight="1">
      <c r="A187" s="30"/>
      <c r="B187" s="75" t="s">
        <v>362</v>
      </c>
      <c r="C187" s="76" t="s">
        <v>45</v>
      </c>
      <c r="D187" s="150">
        <v>-0.45</v>
      </c>
      <c r="E187" s="150">
        <v>1.4999999999999999E-2</v>
      </c>
      <c r="F187" s="150">
        <v>-1.4999999999999999E-2</v>
      </c>
      <c r="G187" s="76" t="s">
        <v>231</v>
      </c>
      <c r="H187" s="87"/>
      <c r="I187" s="87"/>
      <c r="J187" s="87"/>
      <c r="K187" s="31" t="str">
        <f t="shared" si="17"/>
        <v xml:space="preserve"> </v>
      </c>
      <c r="L187" s="31" t="str">
        <f t="shared" si="18"/>
        <v xml:space="preserve"> </v>
      </c>
      <c r="M187" s="31" t="str">
        <f t="shared" si="19"/>
        <v xml:space="preserve"> </v>
      </c>
      <c r="N187" s="32" t="str">
        <f t="shared" si="20"/>
        <v xml:space="preserve"> </v>
      </c>
      <c r="O187" s="33" t="str">
        <f t="shared" si="21"/>
        <v xml:space="preserve"> </v>
      </c>
      <c r="P187" s="34" t="str">
        <f t="shared" si="22"/>
        <v xml:space="preserve"> </v>
      </c>
      <c r="Q187" s="32" t="str">
        <f t="shared" si="23"/>
        <v/>
      </c>
      <c r="R187" s="32" t="str">
        <f t="shared" si="24"/>
        <v/>
      </c>
      <c r="S187" s="116"/>
    </row>
    <row r="188" spans="1:19" ht="18" customHeight="1">
      <c r="A188" s="30"/>
      <c r="B188" s="75" t="s">
        <v>363</v>
      </c>
      <c r="C188" s="76" t="s">
        <v>45</v>
      </c>
      <c r="D188" s="150">
        <v>0</v>
      </c>
      <c r="E188" s="150">
        <v>3.0000000000000001E-3</v>
      </c>
      <c r="F188" s="150">
        <v>-3.0000000000000001E-3</v>
      </c>
      <c r="G188" s="76" t="s">
        <v>231</v>
      </c>
      <c r="H188" s="87"/>
      <c r="I188" s="87"/>
      <c r="J188" s="87"/>
      <c r="K188" s="31" t="str">
        <f t="shared" si="17"/>
        <v xml:space="preserve"> </v>
      </c>
      <c r="L188" s="31" t="str">
        <f t="shared" si="18"/>
        <v xml:space="preserve"> </v>
      </c>
      <c r="M188" s="31" t="str">
        <f t="shared" si="19"/>
        <v xml:space="preserve"> </v>
      </c>
      <c r="N188" s="32" t="str">
        <f t="shared" si="20"/>
        <v xml:space="preserve"> </v>
      </c>
      <c r="O188" s="33" t="str">
        <f t="shared" si="21"/>
        <v xml:space="preserve"> </v>
      </c>
      <c r="P188" s="34" t="str">
        <f t="shared" si="22"/>
        <v xml:space="preserve"> </v>
      </c>
      <c r="Q188" s="32" t="str">
        <f t="shared" si="23"/>
        <v/>
      </c>
      <c r="R188" s="32" t="str">
        <f t="shared" si="24"/>
        <v/>
      </c>
      <c r="S188" s="116"/>
    </row>
    <row r="189" spans="1:19" ht="18" customHeight="1">
      <c r="A189" s="30"/>
      <c r="B189" s="75" t="s">
        <v>364</v>
      </c>
      <c r="C189" s="76" t="s">
        <v>45</v>
      </c>
      <c r="D189" s="150">
        <v>0</v>
      </c>
      <c r="E189" s="150">
        <v>3.0000000000000001E-3</v>
      </c>
      <c r="F189" s="150">
        <v>-3.0000000000000001E-3</v>
      </c>
      <c r="G189" s="76" t="s">
        <v>231</v>
      </c>
      <c r="H189" s="87"/>
      <c r="I189" s="87"/>
      <c r="J189" s="87"/>
      <c r="K189" s="31" t="str">
        <f t="shared" si="17"/>
        <v xml:space="preserve"> </v>
      </c>
      <c r="L189" s="31" t="str">
        <f t="shared" si="18"/>
        <v xml:space="preserve"> </v>
      </c>
      <c r="M189" s="31" t="str">
        <f t="shared" si="19"/>
        <v xml:space="preserve"> </v>
      </c>
      <c r="N189" s="32" t="str">
        <f t="shared" si="20"/>
        <v xml:space="preserve"> </v>
      </c>
      <c r="O189" s="33" t="str">
        <f t="shared" si="21"/>
        <v xml:space="preserve"> </v>
      </c>
      <c r="P189" s="34" t="str">
        <f t="shared" si="22"/>
        <v xml:space="preserve"> </v>
      </c>
      <c r="Q189" s="32" t="str">
        <f t="shared" si="23"/>
        <v/>
      </c>
      <c r="R189" s="32" t="str">
        <f t="shared" si="24"/>
        <v/>
      </c>
      <c r="S189" s="116"/>
    </row>
    <row r="190" spans="1:19" ht="18" customHeight="1">
      <c r="A190" s="30"/>
      <c r="B190" s="75" t="s">
        <v>365</v>
      </c>
      <c r="C190" s="76" t="s">
        <v>45</v>
      </c>
      <c r="D190" s="150">
        <v>0</v>
      </c>
      <c r="E190" s="150">
        <v>5.0000000000000001E-3</v>
      </c>
      <c r="F190" s="150">
        <v>-8.0000000000000002E-3</v>
      </c>
      <c r="G190" s="76" t="s">
        <v>231</v>
      </c>
      <c r="H190" s="87"/>
      <c r="I190" s="87"/>
      <c r="J190" s="87"/>
      <c r="K190" s="31" t="str">
        <f t="shared" si="17"/>
        <v xml:space="preserve"> </v>
      </c>
      <c r="L190" s="31" t="str">
        <f t="shared" si="18"/>
        <v xml:space="preserve"> </v>
      </c>
      <c r="M190" s="31" t="str">
        <f t="shared" si="19"/>
        <v xml:space="preserve"> </v>
      </c>
      <c r="N190" s="32" t="str">
        <f t="shared" si="20"/>
        <v xml:space="preserve"> </v>
      </c>
      <c r="O190" s="33" t="str">
        <f t="shared" si="21"/>
        <v xml:space="preserve"> </v>
      </c>
      <c r="P190" s="34" t="str">
        <f t="shared" si="22"/>
        <v xml:space="preserve"> </v>
      </c>
      <c r="Q190" s="32" t="str">
        <f t="shared" si="23"/>
        <v/>
      </c>
      <c r="R190" s="32" t="str">
        <f t="shared" si="24"/>
        <v/>
      </c>
      <c r="S190" s="116"/>
    </row>
    <row r="191" spans="1:19" ht="18" customHeight="1">
      <c r="A191" s="30"/>
      <c r="B191" s="75" t="s">
        <v>366</v>
      </c>
      <c r="C191" s="76" t="s">
        <v>45</v>
      </c>
      <c r="D191" s="150">
        <v>0</v>
      </c>
      <c r="E191" s="150">
        <v>7.0000000000000001E-3</v>
      </c>
      <c r="F191" s="150">
        <v>-7.0000000000000001E-3</v>
      </c>
      <c r="G191" s="76" t="s">
        <v>231</v>
      </c>
      <c r="H191" s="87"/>
      <c r="I191" s="87"/>
      <c r="J191" s="87"/>
      <c r="K191" s="31" t="str">
        <f t="shared" si="17"/>
        <v xml:space="preserve"> </v>
      </c>
      <c r="L191" s="31" t="str">
        <f t="shared" si="18"/>
        <v xml:space="preserve"> </v>
      </c>
      <c r="M191" s="31" t="str">
        <f t="shared" si="19"/>
        <v xml:space="preserve"> </v>
      </c>
      <c r="N191" s="32" t="str">
        <f t="shared" si="20"/>
        <v xml:space="preserve"> </v>
      </c>
      <c r="O191" s="33" t="str">
        <f t="shared" si="21"/>
        <v xml:space="preserve"> </v>
      </c>
      <c r="P191" s="34" t="str">
        <f t="shared" si="22"/>
        <v xml:space="preserve"> </v>
      </c>
      <c r="Q191" s="32" t="str">
        <f t="shared" si="23"/>
        <v/>
      </c>
      <c r="R191" s="32" t="str">
        <f t="shared" si="24"/>
        <v/>
      </c>
      <c r="S191" s="116"/>
    </row>
    <row r="192" spans="1:19" ht="18" customHeight="1">
      <c r="A192" s="30"/>
      <c r="B192" s="75" t="s">
        <v>367</v>
      </c>
      <c r="C192" s="76" t="s">
        <v>45</v>
      </c>
      <c r="D192" s="150">
        <v>0</v>
      </c>
      <c r="E192" s="150">
        <v>8.0000000000000002E-3</v>
      </c>
      <c r="F192" s="150">
        <v>-8.0000000000000002E-3</v>
      </c>
      <c r="G192" s="76" t="s">
        <v>231</v>
      </c>
      <c r="H192" s="87"/>
      <c r="I192" s="87"/>
      <c r="J192" s="87"/>
      <c r="K192" s="31" t="str">
        <f t="shared" si="17"/>
        <v xml:space="preserve"> </v>
      </c>
      <c r="L192" s="31" t="str">
        <f t="shared" si="18"/>
        <v xml:space="preserve"> </v>
      </c>
      <c r="M192" s="31" t="str">
        <f t="shared" si="19"/>
        <v xml:space="preserve"> </v>
      </c>
      <c r="N192" s="32" t="str">
        <f t="shared" si="20"/>
        <v xml:space="preserve"> </v>
      </c>
      <c r="O192" s="33" t="str">
        <f t="shared" si="21"/>
        <v xml:space="preserve"> </v>
      </c>
      <c r="P192" s="34" t="str">
        <f t="shared" si="22"/>
        <v xml:space="preserve"> </v>
      </c>
      <c r="Q192" s="32" t="str">
        <f t="shared" si="23"/>
        <v/>
      </c>
      <c r="R192" s="32" t="str">
        <f t="shared" si="24"/>
        <v/>
      </c>
      <c r="S192" s="116"/>
    </row>
    <row r="193" spans="1:19" ht="18" customHeight="1">
      <c r="A193" s="30"/>
      <c r="B193" s="75" t="s">
        <v>215</v>
      </c>
      <c r="C193" s="76" t="s">
        <v>45</v>
      </c>
      <c r="D193" s="150">
        <v>-0.45</v>
      </c>
      <c r="E193" s="150">
        <v>1.4999999999999999E-2</v>
      </c>
      <c r="F193" s="150">
        <v>-1.4999999999999999E-2</v>
      </c>
      <c r="G193" s="76" t="s">
        <v>231</v>
      </c>
      <c r="H193" s="87"/>
      <c r="I193" s="87"/>
      <c r="J193" s="87"/>
      <c r="K193" s="31" t="str">
        <f t="shared" si="17"/>
        <v xml:space="preserve"> </v>
      </c>
      <c r="L193" s="31" t="str">
        <f t="shared" si="18"/>
        <v xml:space="preserve"> </v>
      </c>
      <c r="M193" s="31" t="str">
        <f t="shared" si="19"/>
        <v xml:space="preserve"> </v>
      </c>
      <c r="N193" s="32" t="str">
        <f t="shared" si="20"/>
        <v xml:space="preserve"> </v>
      </c>
      <c r="O193" s="33" t="str">
        <f t="shared" si="21"/>
        <v xml:space="preserve"> </v>
      </c>
      <c r="P193" s="34" t="str">
        <f t="shared" si="22"/>
        <v xml:space="preserve"> </v>
      </c>
      <c r="Q193" s="32" t="str">
        <f t="shared" si="23"/>
        <v/>
      </c>
      <c r="R193" s="32" t="str">
        <f t="shared" si="24"/>
        <v/>
      </c>
      <c r="S193" s="116"/>
    </row>
    <row r="194" spans="1:19" ht="18" customHeight="1">
      <c r="A194" s="30"/>
      <c r="B194" s="75">
        <v>119</v>
      </c>
      <c r="C194" s="76" t="s">
        <v>45</v>
      </c>
      <c r="D194" s="150">
        <v>0</v>
      </c>
      <c r="E194" s="150">
        <v>3.0000000000000001E-3</v>
      </c>
      <c r="F194" s="150">
        <v>-3.0000000000000001E-3</v>
      </c>
      <c r="G194" s="76" t="s">
        <v>231</v>
      </c>
      <c r="H194" s="87"/>
      <c r="I194" s="87"/>
      <c r="J194" s="87"/>
      <c r="K194" s="31" t="str">
        <f t="shared" si="17"/>
        <v xml:space="preserve"> </v>
      </c>
      <c r="L194" s="31" t="str">
        <f t="shared" si="18"/>
        <v xml:space="preserve"> </v>
      </c>
      <c r="M194" s="31" t="str">
        <f t="shared" si="19"/>
        <v xml:space="preserve"> </v>
      </c>
      <c r="N194" s="32" t="str">
        <f t="shared" si="20"/>
        <v xml:space="preserve"> </v>
      </c>
      <c r="O194" s="33" t="str">
        <f t="shared" si="21"/>
        <v xml:space="preserve"> </v>
      </c>
      <c r="P194" s="34" t="str">
        <f t="shared" si="22"/>
        <v xml:space="preserve"> </v>
      </c>
      <c r="Q194" s="32" t="str">
        <f t="shared" si="23"/>
        <v/>
      </c>
      <c r="R194" s="32" t="str">
        <f t="shared" si="24"/>
        <v/>
      </c>
      <c r="S194" s="116"/>
    </row>
    <row r="195" spans="1:19" ht="18" customHeight="1">
      <c r="A195" s="30"/>
      <c r="B195" s="75">
        <v>120</v>
      </c>
      <c r="C195" s="76" t="s">
        <v>45</v>
      </c>
      <c r="D195" s="150">
        <v>0</v>
      </c>
      <c r="E195" s="150">
        <v>3.0000000000000001E-3</v>
      </c>
      <c r="F195" s="150">
        <v>-4.0000000000000001E-3</v>
      </c>
      <c r="G195" s="76" t="s">
        <v>231</v>
      </c>
      <c r="H195" s="87"/>
      <c r="I195" s="87"/>
      <c r="J195" s="87"/>
      <c r="K195" s="31" t="str">
        <f t="shared" si="17"/>
        <v xml:space="preserve"> </v>
      </c>
      <c r="L195" s="31" t="str">
        <f t="shared" si="18"/>
        <v xml:space="preserve"> </v>
      </c>
      <c r="M195" s="31" t="str">
        <f t="shared" si="19"/>
        <v xml:space="preserve"> </v>
      </c>
      <c r="N195" s="32" t="str">
        <f t="shared" si="20"/>
        <v xml:space="preserve"> </v>
      </c>
      <c r="O195" s="33" t="str">
        <f t="shared" si="21"/>
        <v xml:space="preserve"> </v>
      </c>
      <c r="P195" s="34" t="str">
        <f t="shared" si="22"/>
        <v xml:space="preserve"> </v>
      </c>
      <c r="Q195" s="32" t="str">
        <f t="shared" si="23"/>
        <v/>
      </c>
      <c r="R195" s="32" t="str">
        <f t="shared" si="24"/>
        <v/>
      </c>
      <c r="S195" s="116"/>
    </row>
    <row r="196" spans="1:19" ht="18" customHeight="1">
      <c r="A196" s="30"/>
      <c r="B196" s="75">
        <v>121</v>
      </c>
      <c r="C196" s="76" t="s">
        <v>45</v>
      </c>
      <c r="D196" s="150">
        <v>0</v>
      </c>
      <c r="E196" s="150">
        <v>4.0000000000000001E-3</v>
      </c>
      <c r="F196" s="150">
        <v>-6.0000000000000001E-3</v>
      </c>
      <c r="G196" s="76" t="s">
        <v>231</v>
      </c>
      <c r="H196" s="87"/>
      <c r="I196" s="87"/>
      <c r="J196" s="87"/>
      <c r="K196" s="31" t="str">
        <f t="shared" si="17"/>
        <v xml:space="preserve"> </v>
      </c>
      <c r="L196" s="31" t="str">
        <f t="shared" si="18"/>
        <v xml:space="preserve"> </v>
      </c>
      <c r="M196" s="31" t="str">
        <f t="shared" si="19"/>
        <v xml:space="preserve"> </v>
      </c>
      <c r="N196" s="32" t="str">
        <f t="shared" si="20"/>
        <v xml:space="preserve"> </v>
      </c>
      <c r="O196" s="33" t="str">
        <f t="shared" si="21"/>
        <v xml:space="preserve"> </v>
      </c>
      <c r="P196" s="34" t="str">
        <f t="shared" si="22"/>
        <v xml:space="preserve"> </v>
      </c>
      <c r="Q196" s="32" t="str">
        <f t="shared" si="23"/>
        <v/>
      </c>
      <c r="R196" s="32" t="str">
        <f t="shared" si="24"/>
        <v/>
      </c>
      <c r="S196" s="116"/>
    </row>
    <row r="197" spans="1:19" ht="18" customHeight="1">
      <c r="A197" s="30"/>
      <c r="B197" s="75">
        <v>122</v>
      </c>
      <c r="C197" s="76" t="s">
        <v>45</v>
      </c>
      <c r="D197" s="150">
        <v>0</v>
      </c>
      <c r="E197" s="150">
        <v>5.0000000000000001E-3</v>
      </c>
      <c r="F197" s="150">
        <v>-8.9999999999999993E-3</v>
      </c>
      <c r="G197" s="76" t="s">
        <v>231</v>
      </c>
      <c r="H197" s="87"/>
      <c r="I197" s="87"/>
      <c r="J197" s="87"/>
      <c r="K197" s="31" t="str">
        <f t="shared" si="17"/>
        <v xml:space="preserve"> </v>
      </c>
      <c r="L197" s="31" t="str">
        <f t="shared" si="18"/>
        <v xml:space="preserve"> </v>
      </c>
      <c r="M197" s="31" t="str">
        <f t="shared" si="19"/>
        <v xml:space="preserve"> </v>
      </c>
      <c r="N197" s="32" t="str">
        <f t="shared" si="20"/>
        <v xml:space="preserve"> </v>
      </c>
      <c r="O197" s="33" t="str">
        <f t="shared" si="21"/>
        <v xml:space="preserve"> </v>
      </c>
      <c r="P197" s="34" t="str">
        <f t="shared" si="22"/>
        <v xml:space="preserve"> </v>
      </c>
      <c r="Q197" s="32" t="str">
        <f t="shared" si="23"/>
        <v/>
      </c>
      <c r="R197" s="32" t="str">
        <f t="shared" si="24"/>
        <v/>
      </c>
      <c r="S197" s="116"/>
    </row>
    <row r="198" spans="1:19" ht="18" customHeight="1">
      <c r="A198" s="30"/>
      <c r="B198" s="75">
        <v>123</v>
      </c>
      <c r="C198" s="76" t="s">
        <v>45</v>
      </c>
      <c r="D198" s="150">
        <v>0</v>
      </c>
      <c r="E198" s="150">
        <v>6.0000000000000001E-3</v>
      </c>
      <c r="F198" s="150">
        <v>-0.01</v>
      </c>
      <c r="G198" s="76" t="s">
        <v>231</v>
      </c>
      <c r="H198" s="87"/>
      <c r="I198" s="87"/>
      <c r="J198" s="87"/>
      <c r="K198" s="31" t="str">
        <f t="shared" ref="K198:K243" si="25">IF(ISERR(H198/H198)=TRUE," ",H198-$D198)</f>
        <v xml:space="preserve"> </v>
      </c>
      <c r="L198" s="31" t="str">
        <f t="shared" ref="L198:L243" si="26">IF(ISERR(I198/I198)=TRUE," ",I198-$D198)</f>
        <v xml:space="preserve"> </v>
      </c>
      <c r="M198" s="31" t="str">
        <f t="shared" ref="M198:M243" si="27">IF(ISERR(J198/J198)=TRUE," ",J198-$D198)</f>
        <v xml:space="preserve"> </v>
      </c>
      <c r="N198" s="32" t="str">
        <f t="shared" ref="N198:N243" si="28">IF(ISERR(H198/H198)=TRUE," ",AVERAGE(H198:J198))</f>
        <v xml:space="preserve"> </v>
      </c>
      <c r="O198" s="33" t="str">
        <f t="shared" ref="O198:O243" si="29">IF(ISERR(E198/E198)=TRUE," ",IF(ISERR(H198/H198)=TRUE," ",IF(ISNUMBER($H198)=FALSE," ",IF(MAX($H198:$J198)&lt;$D198,0,(MAX($H198:$J198)-$D198)/$E198))))</f>
        <v xml:space="preserve"> </v>
      </c>
      <c r="P198" s="34" t="str">
        <f t="shared" ref="P198:P243" si="30">IF(ISERR(F198/D198)=TRUE," ",IF(ISERR(F198/F198)=TRUE," ",IF(ISERR(H198/H198)=TRUE," ",IF(ISNUMBER(H198)=FALSE," ",IF(MIN(H198:J198)&gt;$D198,0,($D198-MIN(H198:J198))/-F198)))))</f>
        <v xml:space="preserve"> </v>
      </c>
      <c r="Q198" s="32" t="str">
        <f t="shared" si="23"/>
        <v/>
      </c>
      <c r="R198" s="32" t="str">
        <f t="shared" si="24"/>
        <v/>
      </c>
      <c r="S198" s="116"/>
    </row>
    <row r="199" spans="1:19" ht="18" customHeight="1">
      <c r="A199" s="30"/>
      <c r="B199" s="75">
        <v>124</v>
      </c>
      <c r="C199" s="76" t="s">
        <v>45</v>
      </c>
      <c r="D199" s="150">
        <v>92.1</v>
      </c>
      <c r="E199" s="150">
        <v>3</v>
      </c>
      <c r="F199" s="150">
        <v>-3</v>
      </c>
      <c r="G199" s="76" t="s">
        <v>46</v>
      </c>
      <c r="H199" s="87"/>
      <c r="I199" s="87"/>
      <c r="J199" s="87"/>
      <c r="K199" s="31" t="str">
        <f t="shared" si="25"/>
        <v xml:space="preserve"> </v>
      </c>
      <c r="L199" s="31" t="str">
        <f t="shared" si="26"/>
        <v xml:space="preserve"> </v>
      </c>
      <c r="M199" s="31" t="str">
        <f t="shared" si="27"/>
        <v xml:space="preserve"> </v>
      </c>
      <c r="N199" s="32" t="str">
        <f t="shared" si="28"/>
        <v xml:space="preserve"> </v>
      </c>
      <c r="O199" s="33" t="str">
        <f t="shared" si="29"/>
        <v xml:space="preserve"> </v>
      </c>
      <c r="P199" s="34" t="str">
        <f t="shared" si="30"/>
        <v xml:space="preserve"> </v>
      </c>
      <c r="Q199" s="32" t="str">
        <f t="shared" si="23"/>
        <v/>
      </c>
      <c r="R199" s="32" t="str">
        <f t="shared" si="24"/>
        <v/>
      </c>
      <c r="S199" s="116"/>
    </row>
    <row r="200" spans="1:19" ht="18" customHeight="1">
      <c r="A200" s="30"/>
      <c r="B200" s="75">
        <v>125</v>
      </c>
      <c r="C200" s="76" t="s">
        <v>45</v>
      </c>
      <c r="D200" s="150">
        <v>91.9</v>
      </c>
      <c r="E200" s="150">
        <v>3</v>
      </c>
      <c r="F200" s="150">
        <v>-3</v>
      </c>
      <c r="G200" s="76" t="s">
        <v>46</v>
      </c>
      <c r="H200" s="87"/>
      <c r="I200" s="87"/>
      <c r="J200" s="87"/>
      <c r="K200" s="31" t="str">
        <f t="shared" si="25"/>
        <v xml:space="preserve"> </v>
      </c>
      <c r="L200" s="31" t="str">
        <f t="shared" si="26"/>
        <v xml:space="preserve"> </v>
      </c>
      <c r="M200" s="31" t="str">
        <f t="shared" si="27"/>
        <v xml:space="preserve"> </v>
      </c>
      <c r="N200" s="32" t="str">
        <f t="shared" si="28"/>
        <v xml:space="preserve"> </v>
      </c>
      <c r="O200" s="33" t="str">
        <f t="shared" si="29"/>
        <v xml:space="preserve"> </v>
      </c>
      <c r="P200" s="34" t="str">
        <f t="shared" si="30"/>
        <v xml:space="preserve"> </v>
      </c>
      <c r="Q200" s="32" t="str">
        <f t="shared" si="23"/>
        <v/>
      </c>
      <c r="R200" s="32" t="str">
        <f t="shared" si="24"/>
        <v/>
      </c>
      <c r="S200" s="116"/>
    </row>
    <row r="201" spans="1:19" ht="18" customHeight="1">
      <c r="A201" s="30"/>
      <c r="B201" s="75">
        <v>126</v>
      </c>
      <c r="C201" s="76" t="s">
        <v>45</v>
      </c>
      <c r="D201" s="150">
        <v>0.26100000000000001</v>
      </c>
      <c r="E201" s="150">
        <v>0.03</v>
      </c>
      <c r="F201" s="150">
        <v>-0.03</v>
      </c>
      <c r="G201" s="76" t="s">
        <v>46</v>
      </c>
      <c r="H201" s="87"/>
      <c r="I201" s="87"/>
      <c r="J201" s="87"/>
      <c r="K201" s="31" t="str">
        <f t="shared" si="25"/>
        <v xml:space="preserve"> </v>
      </c>
      <c r="L201" s="31" t="str">
        <f t="shared" si="26"/>
        <v xml:space="preserve"> </v>
      </c>
      <c r="M201" s="31" t="str">
        <f t="shared" si="27"/>
        <v xml:space="preserve"> </v>
      </c>
      <c r="N201" s="32" t="str">
        <f t="shared" si="28"/>
        <v xml:space="preserve"> </v>
      </c>
      <c r="O201" s="33" t="str">
        <f t="shared" si="29"/>
        <v xml:space="preserve"> </v>
      </c>
      <c r="P201" s="34" t="str">
        <f t="shared" si="30"/>
        <v xml:space="preserve"> </v>
      </c>
      <c r="Q201" s="32" t="str">
        <f t="shared" si="23"/>
        <v/>
      </c>
      <c r="R201" s="32" t="str">
        <f t="shared" si="24"/>
        <v/>
      </c>
      <c r="S201" s="116"/>
    </row>
    <row r="202" spans="1:19" ht="18" customHeight="1">
      <c r="A202" s="30"/>
      <c r="B202" s="75" t="s">
        <v>216</v>
      </c>
      <c r="C202" s="76" t="s">
        <v>45</v>
      </c>
      <c r="D202" s="150">
        <v>21.385999999999999</v>
      </c>
      <c r="E202" s="150">
        <v>0.03</v>
      </c>
      <c r="F202" s="150">
        <v>-0.03</v>
      </c>
      <c r="G202" s="76" t="s">
        <v>46</v>
      </c>
      <c r="H202" s="87"/>
      <c r="I202" s="87"/>
      <c r="J202" s="87"/>
      <c r="K202" s="31" t="str">
        <f t="shared" si="25"/>
        <v xml:space="preserve"> </v>
      </c>
      <c r="L202" s="31" t="str">
        <f t="shared" si="26"/>
        <v xml:space="preserve"> </v>
      </c>
      <c r="M202" s="31" t="str">
        <f t="shared" si="27"/>
        <v xml:space="preserve"> </v>
      </c>
      <c r="N202" s="32" t="str">
        <f t="shared" si="28"/>
        <v xml:space="preserve"> </v>
      </c>
      <c r="O202" s="33" t="str">
        <f t="shared" si="29"/>
        <v xml:space="preserve"> </v>
      </c>
      <c r="P202" s="34" t="str">
        <f t="shared" si="30"/>
        <v xml:space="preserve"> </v>
      </c>
      <c r="Q202" s="32" t="str">
        <f t="shared" si="23"/>
        <v/>
      </c>
      <c r="R202" s="32" t="str">
        <f t="shared" si="24"/>
        <v/>
      </c>
      <c r="S202" s="116"/>
    </row>
    <row r="203" spans="1:19" ht="18" customHeight="1">
      <c r="A203" s="30"/>
      <c r="B203" s="75" t="s">
        <v>217</v>
      </c>
      <c r="C203" s="76" t="s">
        <v>45</v>
      </c>
      <c r="D203" s="150">
        <v>21.385999999999999</v>
      </c>
      <c r="E203" s="150">
        <v>0.03</v>
      </c>
      <c r="F203" s="150">
        <v>-0.03</v>
      </c>
      <c r="G203" s="76" t="s">
        <v>46</v>
      </c>
      <c r="H203" s="87"/>
      <c r="I203" s="87"/>
      <c r="J203" s="87"/>
      <c r="K203" s="31" t="str">
        <f t="shared" si="25"/>
        <v xml:space="preserve"> </v>
      </c>
      <c r="L203" s="31" t="str">
        <f t="shared" si="26"/>
        <v xml:space="preserve"> </v>
      </c>
      <c r="M203" s="31" t="str">
        <f t="shared" si="27"/>
        <v xml:space="preserve"> </v>
      </c>
      <c r="N203" s="32" t="str">
        <f t="shared" si="28"/>
        <v xml:space="preserve"> </v>
      </c>
      <c r="O203" s="33" t="str">
        <f t="shared" si="29"/>
        <v xml:space="preserve"> </v>
      </c>
      <c r="P203" s="34" t="str">
        <f t="shared" si="30"/>
        <v xml:space="preserve"> </v>
      </c>
      <c r="Q203" s="32" t="str">
        <f t="shared" si="23"/>
        <v/>
      </c>
      <c r="R203" s="32" t="str">
        <f t="shared" si="24"/>
        <v/>
      </c>
      <c r="S203" s="116"/>
    </row>
    <row r="204" spans="1:19" ht="18" customHeight="1">
      <c r="A204" s="30"/>
      <c r="B204" s="75" t="s">
        <v>218</v>
      </c>
      <c r="C204" s="76" t="s">
        <v>45</v>
      </c>
      <c r="D204" s="150">
        <v>1.1240000000000001</v>
      </c>
      <c r="E204" s="150">
        <v>0.03</v>
      </c>
      <c r="F204" s="150">
        <v>-0.03</v>
      </c>
      <c r="G204" s="76" t="s">
        <v>46</v>
      </c>
      <c r="H204" s="87"/>
      <c r="I204" s="87"/>
      <c r="J204" s="87"/>
      <c r="K204" s="31" t="str">
        <f t="shared" si="25"/>
        <v xml:space="preserve"> </v>
      </c>
      <c r="L204" s="31" t="str">
        <f t="shared" si="26"/>
        <v xml:space="preserve"> </v>
      </c>
      <c r="M204" s="31" t="str">
        <f t="shared" si="27"/>
        <v xml:space="preserve"> </v>
      </c>
      <c r="N204" s="32" t="str">
        <f t="shared" si="28"/>
        <v xml:space="preserve"> </v>
      </c>
      <c r="O204" s="33" t="str">
        <f t="shared" si="29"/>
        <v xml:space="preserve"> </v>
      </c>
      <c r="P204" s="34" t="str">
        <f t="shared" si="30"/>
        <v xml:space="preserve"> </v>
      </c>
      <c r="Q204" s="32" t="str">
        <f t="shared" si="23"/>
        <v/>
      </c>
      <c r="R204" s="32" t="str">
        <f t="shared" si="24"/>
        <v/>
      </c>
      <c r="S204" s="116"/>
    </row>
    <row r="205" spans="1:19" ht="18" customHeight="1">
      <c r="A205" s="30"/>
      <c r="B205" s="75" t="s">
        <v>219</v>
      </c>
      <c r="C205" s="76" t="s">
        <v>45</v>
      </c>
      <c r="D205" s="150">
        <v>1.1240000000000001</v>
      </c>
      <c r="E205" s="150">
        <v>0.03</v>
      </c>
      <c r="F205" s="150">
        <v>-0.03</v>
      </c>
      <c r="G205" s="76" t="s">
        <v>46</v>
      </c>
      <c r="H205" s="87"/>
      <c r="I205" s="87"/>
      <c r="J205" s="87"/>
      <c r="K205" s="31" t="str">
        <f t="shared" si="25"/>
        <v xml:space="preserve"> </v>
      </c>
      <c r="L205" s="31" t="str">
        <f t="shared" si="26"/>
        <v xml:space="preserve"> </v>
      </c>
      <c r="M205" s="31" t="str">
        <f t="shared" si="27"/>
        <v xml:space="preserve"> </v>
      </c>
      <c r="N205" s="32" t="str">
        <f t="shared" si="28"/>
        <v xml:space="preserve"> </v>
      </c>
      <c r="O205" s="33" t="str">
        <f t="shared" si="29"/>
        <v xml:space="preserve"> </v>
      </c>
      <c r="P205" s="34" t="str">
        <f t="shared" si="30"/>
        <v xml:space="preserve"> </v>
      </c>
      <c r="Q205" s="32" t="str">
        <f t="shared" si="23"/>
        <v/>
      </c>
      <c r="R205" s="32" t="str">
        <f t="shared" si="24"/>
        <v/>
      </c>
      <c r="S205" s="116"/>
    </row>
    <row r="206" spans="1:19" ht="18" customHeight="1">
      <c r="A206" s="30"/>
      <c r="B206" s="75" t="s">
        <v>220</v>
      </c>
      <c r="C206" s="76" t="s">
        <v>45</v>
      </c>
      <c r="D206" s="150">
        <v>3.1509999999999998</v>
      </c>
      <c r="E206" s="150">
        <v>0.03</v>
      </c>
      <c r="F206" s="150">
        <v>-0.03</v>
      </c>
      <c r="G206" s="76" t="s">
        <v>46</v>
      </c>
      <c r="H206" s="87"/>
      <c r="I206" s="87"/>
      <c r="J206" s="87"/>
      <c r="K206" s="31" t="str">
        <f t="shared" si="25"/>
        <v xml:space="preserve"> </v>
      </c>
      <c r="L206" s="31" t="str">
        <f t="shared" si="26"/>
        <v xml:space="preserve"> </v>
      </c>
      <c r="M206" s="31" t="str">
        <f t="shared" si="27"/>
        <v xml:space="preserve"> </v>
      </c>
      <c r="N206" s="32" t="str">
        <f t="shared" si="28"/>
        <v xml:space="preserve"> </v>
      </c>
      <c r="O206" s="33" t="str">
        <f t="shared" si="29"/>
        <v xml:space="preserve"> </v>
      </c>
      <c r="P206" s="34" t="str">
        <f t="shared" si="30"/>
        <v xml:space="preserve"> </v>
      </c>
      <c r="Q206" s="32" t="str">
        <f t="shared" si="23"/>
        <v/>
      </c>
      <c r="R206" s="32" t="str">
        <f t="shared" si="24"/>
        <v/>
      </c>
      <c r="S206" s="116"/>
    </row>
    <row r="207" spans="1:19" ht="18" customHeight="1">
      <c r="A207" s="30"/>
      <c r="B207" s="75" t="s">
        <v>221</v>
      </c>
      <c r="C207" s="76" t="s">
        <v>45</v>
      </c>
      <c r="D207" s="150">
        <v>3.1509999999999998</v>
      </c>
      <c r="E207" s="150">
        <v>0.03</v>
      </c>
      <c r="F207" s="150">
        <v>-0.03</v>
      </c>
      <c r="G207" s="76" t="s">
        <v>46</v>
      </c>
      <c r="H207" s="87"/>
      <c r="I207" s="87"/>
      <c r="J207" s="87"/>
      <c r="K207" s="31" t="str">
        <f t="shared" si="25"/>
        <v xml:space="preserve"> </v>
      </c>
      <c r="L207" s="31" t="str">
        <f t="shared" si="26"/>
        <v xml:space="preserve"> </v>
      </c>
      <c r="M207" s="31" t="str">
        <f t="shared" si="27"/>
        <v xml:space="preserve"> </v>
      </c>
      <c r="N207" s="32" t="str">
        <f t="shared" si="28"/>
        <v xml:space="preserve"> </v>
      </c>
      <c r="O207" s="33" t="str">
        <f t="shared" si="29"/>
        <v xml:space="preserve"> </v>
      </c>
      <c r="P207" s="34" t="str">
        <f t="shared" si="30"/>
        <v xml:space="preserve"> </v>
      </c>
      <c r="Q207" s="32" t="str">
        <f t="shared" si="23"/>
        <v/>
      </c>
      <c r="R207" s="32" t="str">
        <f t="shared" si="24"/>
        <v/>
      </c>
      <c r="S207" s="116"/>
    </row>
    <row r="208" spans="1:19" ht="18" customHeight="1">
      <c r="A208" s="30"/>
      <c r="B208" s="75" t="s">
        <v>222</v>
      </c>
      <c r="C208" s="76" t="s">
        <v>45</v>
      </c>
      <c r="D208" s="150">
        <v>16.852</v>
      </c>
      <c r="E208" s="150">
        <v>0.03</v>
      </c>
      <c r="F208" s="150">
        <v>-0.03</v>
      </c>
      <c r="G208" s="76" t="s">
        <v>46</v>
      </c>
      <c r="H208" s="87"/>
      <c r="I208" s="87"/>
      <c r="J208" s="87"/>
      <c r="K208" s="31" t="str">
        <f t="shared" si="25"/>
        <v xml:space="preserve"> </v>
      </c>
      <c r="L208" s="31" t="str">
        <f t="shared" si="26"/>
        <v xml:space="preserve"> </v>
      </c>
      <c r="M208" s="31" t="str">
        <f t="shared" si="27"/>
        <v xml:space="preserve"> </v>
      </c>
      <c r="N208" s="32" t="str">
        <f t="shared" si="28"/>
        <v xml:space="preserve"> </v>
      </c>
      <c r="O208" s="33" t="str">
        <f t="shared" si="29"/>
        <v xml:space="preserve"> </v>
      </c>
      <c r="P208" s="34" t="str">
        <f t="shared" si="30"/>
        <v xml:space="preserve"> </v>
      </c>
      <c r="Q208" s="32" t="str">
        <f t="shared" si="23"/>
        <v/>
      </c>
      <c r="R208" s="32" t="str">
        <f t="shared" si="24"/>
        <v/>
      </c>
      <c r="S208" s="116"/>
    </row>
    <row r="209" spans="1:19" ht="18" customHeight="1">
      <c r="A209" s="30"/>
      <c r="B209" s="75" t="s">
        <v>223</v>
      </c>
      <c r="C209" s="76" t="s">
        <v>45</v>
      </c>
      <c r="D209" s="150">
        <v>16.852</v>
      </c>
      <c r="E209" s="150">
        <v>0.03</v>
      </c>
      <c r="F209" s="150">
        <v>-0.03</v>
      </c>
      <c r="G209" s="76" t="s">
        <v>46</v>
      </c>
      <c r="H209" s="87"/>
      <c r="I209" s="87"/>
      <c r="J209" s="87"/>
      <c r="K209" s="31" t="str">
        <f t="shared" si="25"/>
        <v xml:space="preserve"> </v>
      </c>
      <c r="L209" s="31" t="str">
        <f t="shared" si="26"/>
        <v xml:space="preserve"> </v>
      </c>
      <c r="M209" s="31" t="str">
        <f t="shared" si="27"/>
        <v xml:space="preserve"> </v>
      </c>
      <c r="N209" s="32" t="str">
        <f t="shared" si="28"/>
        <v xml:space="preserve"> </v>
      </c>
      <c r="O209" s="33" t="str">
        <f t="shared" si="29"/>
        <v xml:space="preserve"> </v>
      </c>
      <c r="P209" s="34" t="str">
        <f t="shared" si="30"/>
        <v xml:space="preserve"> </v>
      </c>
      <c r="Q209" s="32" t="str">
        <f t="shared" si="23"/>
        <v/>
      </c>
      <c r="R209" s="32" t="str">
        <f t="shared" si="24"/>
        <v/>
      </c>
      <c r="S209" s="116"/>
    </row>
    <row r="210" spans="1:19" ht="18" customHeight="1">
      <c r="A210" s="30"/>
      <c r="B210" s="75">
        <v>131</v>
      </c>
      <c r="C210" s="76" t="s">
        <v>228</v>
      </c>
      <c r="D210" s="150">
        <v>0.4</v>
      </c>
      <c r="E210" s="150">
        <v>0.03</v>
      </c>
      <c r="F210" s="150">
        <v>-0.03</v>
      </c>
      <c r="G210" s="76" t="s">
        <v>46</v>
      </c>
      <c r="H210" s="87"/>
      <c r="I210" s="87"/>
      <c r="J210" s="87"/>
      <c r="K210" s="31" t="str">
        <f t="shared" si="25"/>
        <v xml:space="preserve"> </v>
      </c>
      <c r="L210" s="31" t="str">
        <f t="shared" si="26"/>
        <v xml:space="preserve"> </v>
      </c>
      <c r="M210" s="31" t="str">
        <f t="shared" si="27"/>
        <v xml:space="preserve"> </v>
      </c>
      <c r="N210" s="32" t="str">
        <f t="shared" si="28"/>
        <v xml:space="preserve"> </v>
      </c>
      <c r="O210" s="33" t="str">
        <f t="shared" si="29"/>
        <v xml:space="preserve"> </v>
      </c>
      <c r="P210" s="34" t="str">
        <f t="shared" si="30"/>
        <v xml:space="preserve"> </v>
      </c>
      <c r="Q210" s="32" t="str">
        <f t="shared" si="23"/>
        <v/>
      </c>
      <c r="R210" s="32" t="str">
        <f t="shared" si="24"/>
        <v/>
      </c>
      <c r="S210" s="116"/>
    </row>
    <row r="211" spans="1:19" ht="18" customHeight="1">
      <c r="A211" s="30"/>
      <c r="B211" s="75">
        <v>132</v>
      </c>
      <c r="C211" s="76" t="s">
        <v>229</v>
      </c>
      <c r="D211" s="150">
        <v>0</v>
      </c>
      <c r="E211" s="150">
        <v>0.08</v>
      </c>
      <c r="F211" s="150">
        <v>0</v>
      </c>
      <c r="G211" s="76" t="s">
        <v>46</v>
      </c>
      <c r="H211" s="87"/>
      <c r="I211" s="87"/>
      <c r="J211" s="87"/>
      <c r="K211" s="31" t="str">
        <f t="shared" si="25"/>
        <v xml:space="preserve"> </v>
      </c>
      <c r="L211" s="31" t="str">
        <f t="shared" si="26"/>
        <v xml:space="preserve"> </v>
      </c>
      <c r="M211" s="31" t="str">
        <f t="shared" si="27"/>
        <v xml:space="preserve"> </v>
      </c>
      <c r="N211" s="32" t="str">
        <f t="shared" si="28"/>
        <v xml:space="preserve"> </v>
      </c>
      <c r="O211" s="33" t="str">
        <f t="shared" si="29"/>
        <v xml:space="preserve"> </v>
      </c>
      <c r="P211" s="34" t="str">
        <f t="shared" si="30"/>
        <v xml:space="preserve"> </v>
      </c>
      <c r="Q211" s="32" t="str">
        <f t="shared" si="23"/>
        <v/>
      </c>
      <c r="R211" s="32" t="str">
        <f t="shared" si="24"/>
        <v/>
      </c>
      <c r="S211" s="116"/>
    </row>
    <row r="212" spans="1:19" ht="18" customHeight="1">
      <c r="A212" s="30"/>
      <c r="B212" s="75">
        <v>133</v>
      </c>
      <c r="C212" s="76" t="s">
        <v>230</v>
      </c>
      <c r="D212" s="150">
        <v>0</v>
      </c>
      <c r="E212" s="150">
        <v>0.05</v>
      </c>
      <c r="F212" s="150">
        <v>0</v>
      </c>
      <c r="G212" s="76" t="s">
        <v>46</v>
      </c>
      <c r="H212" s="87"/>
      <c r="I212" s="87"/>
      <c r="J212" s="87"/>
      <c r="K212" s="31" t="str">
        <f t="shared" si="25"/>
        <v xml:space="preserve"> </v>
      </c>
      <c r="L212" s="31" t="str">
        <f t="shared" si="26"/>
        <v xml:space="preserve"> </v>
      </c>
      <c r="M212" s="31" t="str">
        <f t="shared" si="27"/>
        <v xml:space="preserve"> </v>
      </c>
      <c r="N212" s="32" t="str">
        <f t="shared" si="28"/>
        <v xml:space="preserve"> </v>
      </c>
      <c r="O212" s="33" t="str">
        <f t="shared" si="29"/>
        <v xml:space="preserve"> </v>
      </c>
      <c r="P212" s="34" t="str">
        <f t="shared" si="30"/>
        <v xml:space="preserve"> </v>
      </c>
      <c r="Q212" s="32" t="str">
        <f t="shared" ref="Q212:Q243" si="31">IF(ISNUMBER($O212)=TRUE,IF($O212&gt;0.651,IF($O212&gt;1.001,"Reject","Alert"),""),"")</f>
        <v/>
      </c>
      <c r="R212" s="32" t="str">
        <f t="shared" si="24"/>
        <v/>
      </c>
      <c r="S212" s="116"/>
    </row>
    <row r="213" spans="1:19" ht="18" customHeight="1">
      <c r="A213" s="30"/>
      <c r="B213" s="75">
        <v>135</v>
      </c>
      <c r="C213" s="76" t="s">
        <v>230</v>
      </c>
      <c r="D213" s="150">
        <v>0</v>
      </c>
      <c r="E213" s="150">
        <v>0.05</v>
      </c>
      <c r="F213" s="150">
        <v>0</v>
      </c>
      <c r="G213" s="76" t="s">
        <v>46</v>
      </c>
      <c r="H213" s="87"/>
      <c r="I213" s="87"/>
      <c r="J213" s="87"/>
      <c r="K213" s="31" t="str">
        <f t="shared" si="25"/>
        <v xml:space="preserve"> </v>
      </c>
      <c r="L213" s="31" t="str">
        <f t="shared" si="26"/>
        <v xml:space="preserve"> </v>
      </c>
      <c r="M213" s="31" t="str">
        <f t="shared" si="27"/>
        <v xml:space="preserve"> </v>
      </c>
      <c r="N213" s="32" t="str">
        <f t="shared" si="28"/>
        <v xml:space="preserve"> </v>
      </c>
      <c r="O213" s="33" t="str">
        <f t="shared" si="29"/>
        <v xml:space="preserve"> </v>
      </c>
      <c r="P213" s="34" t="str">
        <f t="shared" si="30"/>
        <v xml:space="preserve"> </v>
      </c>
      <c r="Q213" s="32" t="str">
        <f t="shared" si="31"/>
        <v/>
      </c>
      <c r="R213" s="32" t="str">
        <f t="shared" si="24"/>
        <v/>
      </c>
      <c r="S213" s="116"/>
    </row>
    <row r="214" spans="1:19" ht="18" customHeight="1">
      <c r="A214" s="30"/>
      <c r="B214" s="90" t="s">
        <v>298</v>
      </c>
      <c r="C214" s="76" t="s">
        <v>230</v>
      </c>
      <c r="D214" s="150">
        <v>22.312999999999999</v>
      </c>
      <c r="E214" s="150">
        <v>2.5000000000000001E-2</v>
      </c>
      <c r="F214" s="150">
        <v>-2.5000000000000001E-2</v>
      </c>
      <c r="G214" s="76" t="s">
        <v>46</v>
      </c>
      <c r="H214" s="87"/>
      <c r="I214" s="87"/>
      <c r="J214" s="87"/>
      <c r="K214" s="31" t="str">
        <f t="shared" si="25"/>
        <v xml:space="preserve"> </v>
      </c>
      <c r="L214" s="31" t="str">
        <f t="shared" si="26"/>
        <v xml:space="preserve"> </v>
      </c>
      <c r="M214" s="31" t="str">
        <f t="shared" si="27"/>
        <v xml:space="preserve"> </v>
      </c>
      <c r="N214" s="32" t="str">
        <f t="shared" si="28"/>
        <v xml:space="preserve"> </v>
      </c>
      <c r="O214" s="33" t="str">
        <f t="shared" si="29"/>
        <v xml:space="preserve"> </v>
      </c>
      <c r="P214" s="34" t="str">
        <f t="shared" si="30"/>
        <v xml:space="preserve"> </v>
      </c>
      <c r="Q214" s="32" t="str">
        <f t="shared" si="31"/>
        <v/>
      </c>
      <c r="R214" s="32" t="str">
        <f t="shared" si="24"/>
        <v/>
      </c>
      <c r="S214" s="116"/>
    </row>
    <row r="215" spans="1:19" ht="18" customHeight="1">
      <c r="A215" s="30"/>
      <c r="B215" s="90" t="s">
        <v>299</v>
      </c>
      <c r="C215" s="76" t="s">
        <v>230</v>
      </c>
      <c r="D215" s="150">
        <v>22.312999999999999</v>
      </c>
      <c r="E215" s="150">
        <v>2.5000000000000001E-2</v>
      </c>
      <c r="F215" s="150">
        <v>-2.5000000000000001E-2</v>
      </c>
      <c r="G215" s="76" t="s">
        <v>46</v>
      </c>
      <c r="H215" s="87"/>
      <c r="I215" s="87"/>
      <c r="J215" s="87"/>
      <c r="K215" s="31" t="str">
        <f t="shared" si="25"/>
        <v xml:space="preserve"> </v>
      </c>
      <c r="L215" s="31" t="str">
        <f t="shared" si="26"/>
        <v xml:space="preserve"> </v>
      </c>
      <c r="M215" s="31" t="str">
        <f t="shared" si="27"/>
        <v xml:space="preserve"> </v>
      </c>
      <c r="N215" s="32" t="str">
        <f t="shared" si="28"/>
        <v xml:space="preserve"> </v>
      </c>
      <c r="O215" s="33" t="str">
        <f t="shared" si="29"/>
        <v xml:space="preserve"> </v>
      </c>
      <c r="P215" s="34" t="str">
        <f t="shared" si="30"/>
        <v xml:space="preserve"> </v>
      </c>
      <c r="Q215" s="32" t="str">
        <f t="shared" si="31"/>
        <v/>
      </c>
      <c r="R215" s="32" t="str">
        <f t="shared" si="24"/>
        <v/>
      </c>
      <c r="S215" s="116"/>
    </row>
    <row r="216" spans="1:19" ht="18" customHeight="1">
      <c r="A216" s="30"/>
      <c r="B216" s="90" t="s">
        <v>300</v>
      </c>
      <c r="C216" s="76" t="s">
        <v>230</v>
      </c>
      <c r="D216" s="150">
        <v>22.312999999999999</v>
      </c>
      <c r="E216" s="150">
        <v>2.5000000000000001E-2</v>
      </c>
      <c r="F216" s="150">
        <v>-2.5000000000000001E-2</v>
      </c>
      <c r="G216" s="76" t="s">
        <v>46</v>
      </c>
      <c r="H216" s="87"/>
      <c r="I216" s="87"/>
      <c r="J216" s="87"/>
      <c r="K216" s="31" t="str">
        <f t="shared" si="25"/>
        <v xml:space="preserve"> </v>
      </c>
      <c r="L216" s="31" t="str">
        <f t="shared" si="26"/>
        <v xml:space="preserve"> </v>
      </c>
      <c r="M216" s="31" t="str">
        <f t="shared" si="27"/>
        <v xml:space="preserve"> </v>
      </c>
      <c r="N216" s="32" t="str">
        <f t="shared" si="28"/>
        <v xml:space="preserve"> </v>
      </c>
      <c r="O216" s="33" t="str">
        <f t="shared" si="29"/>
        <v xml:space="preserve"> </v>
      </c>
      <c r="P216" s="34" t="str">
        <f t="shared" si="30"/>
        <v xml:space="preserve"> </v>
      </c>
      <c r="Q216" s="32" t="str">
        <f t="shared" si="31"/>
        <v/>
      </c>
      <c r="R216" s="32" t="str">
        <f t="shared" si="24"/>
        <v/>
      </c>
      <c r="S216" s="116"/>
    </row>
    <row r="217" spans="1:19" ht="18" customHeight="1">
      <c r="A217" s="30"/>
      <c r="B217" s="75">
        <v>137</v>
      </c>
      <c r="C217" s="76" t="s">
        <v>230</v>
      </c>
      <c r="D217" s="150">
        <v>0</v>
      </c>
      <c r="E217" s="150">
        <v>0.05</v>
      </c>
      <c r="F217" s="150">
        <v>0</v>
      </c>
      <c r="G217" s="76" t="s">
        <v>46</v>
      </c>
      <c r="H217" s="87"/>
      <c r="I217" s="87"/>
      <c r="J217" s="87"/>
      <c r="K217" s="31" t="str">
        <f t="shared" si="25"/>
        <v xml:space="preserve"> </v>
      </c>
      <c r="L217" s="31" t="str">
        <f t="shared" si="26"/>
        <v xml:space="preserve"> </v>
      </c>
      <c r="M217" s="31" t="str">
        <f t="shared" si="27"/>
        <v xml:space="preserve"> </v>
      </c>
      <c r="N217" s="32" t="str">
        <f t="shared" si="28"/>
        <v xml:space="preserve"> </v>
      </c>
      <c r="O217" s="33" t="str">
        <f t="shared" si="29"/>
        <v xml:space="preserve"> </v>
      </c>
      <c r="P217" s="34" t="str">
        <f t="shared" si="30"/>
        <v xml:space="preserve"> </v>
      </c>
      <c r="Q217" s="32" t="str">
        <f t="shared" si="31"/>
        <v/>
      </c>
      <c r="R217" s="32" t="str">
        <f t="shared" si="24"/>
        <v/>
      </c>
      <c r="S217" s="116"/>
    </row>
    <row r="218" spans="1:19" ht="18" customHeight="1">
      <c r="A218" s="30"/>
      <c r="B218" s="90" t="s">
        <v>288</v>
      </c>
      <c r="C218" s="76" t="s">
        <v>230</v>
      </c>
      <c r="D218" s="150">
        <v>2.5449999999999999</v>
      </c>
      <c r="E218" s="150">
        <v>0.03</v>
      </c>
      <c r="F218" s="150">
        <v>-0.03</v>
      </c>
      <c r="G218" s="76" t="s">
        <v>46</v>
      </c>
      <c r="H218" s="87"/>
      <c r="I218" s="87"/>
      <c r="J218" s="87"/>
      <c r="K218" s="31" t="str">
        <f t="shared" si="25"/>
        <v xml:space="preserve"> </v>
      </c>
      <c r="L218" s="31" t="str">
        <f t="shared" si="26"/>
        <v xml:space="preserve"> </v>
      </c>
      <c r="M218" s="31" t="str">
        <f t="shared" si="27"/>
        <v xml:space="preserve"> </v>
      </c>
      <c r="N218" s="32" t="str">
        <f t="shared" si="28"/>
        <v xml:space="preserve"> </v>
      </c>
      <c r="O218" s="33" t="str">
        <f t="shared" si="29"/>
        <v xml:space="preserve"> </v>
      </c>
      <c r="P218" s="34" t="str">
        <f t="shared" si="30"/>
        <v xml:space="preserve"> </v>
      </c>
      <c r="Q218" s="32" t="str">
        <f t="shared" si="31"/>
        <v/>
      </c>
      <c r="R218" s="32" t="str">
        <f t="shared" si="24"/>
        <v/>
      </c>
      <c r="S218" s="116"/>
    </row>
    <row r="219" spans="1:19" ht="18" customHeight="1">
      <c r="A219" s="30"/>
      <c r="B219" s="90" t="s">
        <v>289</v>
      </c>
      <c r="C219" s="76" t="s">
        <v>230</v>
      </c>
      <c r="D219" s="150">
        <v>2.5449999999999999</v>
      </c>
      <c r="E219" s="150">
        <v>0.03</v>
      </c>
      <c r="F219" s="150">
        <v>-0.03</v>
      </c>
      <c r="G219" s="76" t="s">
        <v>46</v>
      </c>
      <c r="H219" s="87"/>
      <c r="I219" s="87"/>
      <c r="J219" s="87"/>
      <c r="K219" s="31" t="str">
        <f t="shared" si="25"/>
        <v xml:space="preserve"> </v>
      </c>
      <c r="L219" s="31" t="str">
        <f t="shared" si="26"/>
        <v xml:space="preserve"> </v>
      </c>
      <c r="M219" s="31" t="str">
        <f t="shared" si="27"/>
        <v xml:space="preserve"> </v>
      </c>
      <c r="N219" s="32" t="str">
        <f t="shared" si="28"/>
        <v xml:space="preserve"> </v>
      </c>
      <c r="O219" s="33" t="str">
        <f t="shared" si="29"/>
        <v xml:space="preserve"> </v>
      </c>
      <c r="P219" s="34" t="str">
        <f t="shared" si="30"/>
        <v xml:space="preserve"> </v>
      </c>
      <c r="Q219" s="32" t="str">
        <f t="shared" si="31"/>
        <v/>
      </c>
      <c r="R219" s="32" t="str">
        <f t="shared" si="24"/>
        <v/>
      </c>
      <c r="S219" s="116"/>
    </row>
    <row r="220" spans="1:19" ht="18" customHeight="1">
      <c r="A220" s="30"/>
      <c r="B220" s="90" t="s">
        <v>290</v>
      </c>
      <c r="C220" s="76" t="s">
        <v>230</v>
      </c>
      <c r="D220" s="150">
        <v>2.5449999999999999</v>
      </c>
      <c r="E220" s="150">
        <v>0.03</v>
      </c>
      <c r="F220" s="150">
        <v>-0.03</v>
      </c>
      <c r="G220" s="76" t="s">
        <v>46</v>
      </c>
      <c r="H220" s="87"/>
      <c r="I220" s="87"/>
      <c r="J220" s="87"/>
      <c r="K220" s="31" t="str">
        <f t="shared" si="25"/>
        <v xml:space="preserve"> </v>
      </c>
      <c r="L220" s="31" t="str">
        <f t="shared" si="26"/>
        <v xml:space="preserve"> </v>
      </c>
      <c r="M220" s="31" t="str">
        <f t="shared" si="27"/>
        <v xml:space="preserve"> </v>
      </c>
      <c r="N220" s="32" t="str">
        <f t="shared" si="28"/>
        <v xml:space="preserve"> </v>
      </c>
      <c r="O220" s="33" t="str">
        <f t="shared" si="29"/>
        <v xml:space="preserve"> </v>
      </c>
      <c r="P220" s="34" t="str">
        <f t="shared" si="30"/>
        <v xml:space="preserve"> </v>
      </c>
      <c r="Q220" s="32" t="str">
        <f t="shared" si="31"/>
        <v/>
      </c>
      <c r="R220" s="32" t="str">
        <f t="shared" si="24"/>
        <v/>
      </c>
      <c r="S220" s="116"/>
    </row>
    <row r="221" spans="1:19" ht="18" customHeight="1">
      <c r="A221" s="30"/>
      <c r="B221" s="75">
        <v>139</v>
      </c>
      <c r="C221" s="76" t="s">
        <v>230</v>
      </c>
      <c r="D221" s="150">
        <v>0</v>
      </c>
      <c r="E221" s="150">
        <v>0.05</v>
      </c>
      <c r="F221" s="150">
        <v>0</v>
      </c>
      <c r="G221" s="76" t="s">
        <v>46</v>
      </c>
      <c r="H221" s="87"/>
      <c r="I221" s="87"/>
      <c r="J221" s="87"/>
      <c r="K221" s="31" t="str">
        <f t="shared" si="25"/>
        <v xml:space="preserve"> </v>
      </c>
      <c r="L221" s="31" t="str">
        <f t="shared" si="26"/>
        <v xml:space="preserve"> </v>
      </c>
      <c r="M221" s="31" t="str">
        <f t="shared" si="27"/>
        <v xml:space="preserve"> </v>
      </c>
      <c r="N221" s="32" t="str">
        <f t="shared" si="28"/>
        <v xml:space="preserve"> </v>
      </c>
      <c r="O221" s="33" t="str">
        <f t="shared" si="29"/>
        <v xml:space="preserve"> </v>
      </c>
      <c r="P221" s="34" t="str">
        <f t="shared" si="30"/>
        <v xml:space="preserve"> </v>
      </c>
      <c r="Q221" s="32" t="str">
        <f t="shared" si="31"/>
        <v/>
      </c>
      <c r="R221" s="32" t="str">
        <f t="shared" si="24"/>
        <v/>
      </c>
      <c r="S221" s="116"/>
    </row>
    <row r="222" spans="1:19" ht="18" customHeight="1">
      <c r="A222" s="30"/>
      <c r="B222" s="75">
        <v>140</v>
      </c>
      <c r="C222" s="76" t="s">
        <v>45</v>
      </c>
      <c r="D222" s="150">
        <v>6.0999999999999999E-2</v>
      </c>
      <c r="E222" s="150">
        <v>0.03</v>
      </c>
      <c r="F222" s="150">
        <v>-0.03</v>
      </c>
      <c r="G222" s="76" t="s">
        <v>46</v>
      </c>
      <c r="H222" s="87"/>
      <c r="I222" s="87"/>
      <c r="J222" s="87"/>
      <c r="K222" s="31" t="str">
        <f t="shared" si="25"/>
        <v xml:space="preserve"> </v>
      </c>
      <c r="L222" s="31" t="str">
        <f t="shared" si="26"/>
        <v xml:space="preserve"> </v>
      </c>
      <c r="M222" s="31" t="str">
        <f t="shared" si="27"/>
        <v xml:space="preserve"> </v>
      </c>
      <c r="N222" s="32" t="str">
        <f t="shared" si="28"/>
        <v xml:space="preserve"> </v>
      </c>
      <c r="O222" s="33" t="str">
        <f t="shared" si="29"/>
        <v xml:space="preserve"> </v>
      </c>
      <c r="P222" s="34" t="str">
        <f t="shared" si="30"/>
        <v xml:space="preserve"> </v>
      </c>
      <c r="Q222" s="32" t="str">
        <f t="shared" si="31"/>
        <v/>
      </c>
      <c r="R222" s="32" t="str">
        <f t="shared" si="24"/>
        <v/>
      </c>
      <c r="S222" s="116"/>
    </row>
    <row r="223" spans="1:19" ht="18" customHeight="1">
      <c r="A223" s="30"/>
      <c r="B223" s="75">
        <v>141</v>
      </c>
      <c r="C223" s="76" t="s">
        <v>45</v>
      </c>
      <c r="D223" s="150">
        <v>0.28000000000000003</v>
      </c>
      <c r="E223" s="150">
        <v>0.03</v>
      </c>
      <c r="F223" s="150">
        <v>-0.03</v>
      </c>
      <c r="G223" s="76" t="s">
        <v>46</v>
      </c>
      <c r="H223" s="87"/>
      <c r="I223" s="87"/>
      <c r="J223" s="87"/>
      <c r="K223" s="31" t="str">
        <f t="shared" si="25"/>
        <v xml:space="preserve"> </v>
      </c>
      <c r="L223" s="31" t="str">
        <f t="shared" si="26"/>
        <v xml:space="preserve"> </v>
      </c>
      <c r="M223" s="31" t="str">
        <f t="shared" si="27"/>
        <v xml:space="preserve"> </v>
      </c>
      <c r="N223" s="32" t="str">
        <f t="shared" si="28"/>
        <v xml:space="preserve"> </v>
      </c>
      <c r="O223" s="33" t="str">
        <f t="shared" si="29"/>
        <v xml:space="preserve"> </v>
      </c>
      <c r="P223" s="34" t="str">
        <f t="shared" si="30"/>
        <v xml:space="preserve"> </v>
      </c>
      <c r="Q223" s="32" t="str">
        <f t="shared" si="31"/>
        <v/>
      </c>
      <c r="R223" s="32" t="str">
        <f t="shared" si="24"/>
        <v/>
      </c>
      <c r="S223" s="116"/>
    </row>
    <row r="224" spans="1:19" ht="18" customHeight="1">
      <c r="A224" s="30"/>
      <c r="B224" s="75">
        <v>143</v>
      </c>
      <c r="C224" s="76" t="s">
        <v>230</v>
      </c>
      <c r="D224" s="150">
        <v>0</v>
      </c>
      <c r="E224" s="150">
        <v>0.17</v>
      </c>
      <c r="F224" s="150">
        <v>0</v>
      </c>
      <c r="G224" s="76" t="s">
        <v>46</v>
      </c>
      <c r="H224" s="87"/>
      <c r="I224" s="87"/>
      <c r="J224" s="87"/>
      <c r="K224" s="31" t="str">
        <f t="shared" si="25"/>
        <v xml:space="preserve"> </v>
      </c>
      <c r="L224" s="31" t="str">
        <f t="shared" si="26"/>
        <v xml:space="preserve"> </v>
      </c>
      <c r="M224" s="31" t="str">
        <f t="shared" si="27"/>
        <v xml:space="preserve"> </v>
      </c>
      <c r="N224" s="32" t="str">
        <f t="shared" si="28"/>
        <v xml:space="preserve"> </v>
      </c>
      <c r="O224" s="33" t="str">
        <f t="shared" si="29"/>
        <v xml:space="preserve"> </v>
      </c>
      <c r="P224" s="34" t="str">
        <f t="shared" si="30"/>
        <v xml:space="preserve"> </v>
      </c>
      <c r="Q224" s="32" t="str">
        <f t="shared" si="31"/>
        <v/>
      </c>
      <c r="R224" s="32" t="str">
        <f t="shared" si="24"/>
        <v/>
      </c>
      <c r="S224" s="116"/>
    </row>
    <row r="225" spans="1:19" ht="18" customHeight="1">
      <c r="A225" s="30"/>
      <c r="B225" s="75">
        <v>144</v>
      </c>
      <c r="C225" s="76" t="s">
        <v>230</v>
      </c>
      <c r="D225" s="150">
        <v>0</v>
      </c>
      <c r="E225" s="150">
        <v>0.14000000000000001</v>
      </c>
      <c r="F225" s="150">
        <v>0</v>
      </c>
      <c r="G225" s="76" t="s">
        <v>46</v>
      </c>
      <c r="H225" s="87"/>
      <c r="I225" s="87"/>
      <c r="J225" s="87"/>
      <c r="K225" s="31" t="str">
        <f t="shared" si="25"/>
        <v xml:space="preserve"> </v>
      </c>
      <c r="L225" s="31" t="str">
        <f t="shared" si="26"/>
        <v xml:space="preserve"> </v>
      </c>
      <c r="M225" s="31" t="str">
        <f t="shared" si="27"/>
        <v xml:space="preserve"> </v>
      </c>
      <c r="N225" s="32" t="str">
        <f t="shared" si="28"/>
        <v xml:space="preserve"> </v>
      </c>
      <c r="O225" s="33" t="str">
        <f t="shared" si="29"/>
        <v xml:space="preserve"> </v>
      </c>
      <c r="P225" s="34" t="str">
        <f t="shared" si="30"/>
        <v xml:space="preserve"> </v>
      </c>
      <c r="Q225" s="32" t="str">
        <f t="shared" si="31"/>
        <v/>
      </c>
      <c r="R225" s="32" t="str">
        <f t="shared" si="24"/>
        <v/>
      </c>
      <c r="S225" s="116"/>
    </row>
    <row r="226" spans="1:19" ht="18" customHeight="1">
      <c r="A226" s="30"/>
      <c r="B226" s="75" t="s">
        <v>224</v>
      </c>
      <c r="C226" s="77" t="s">
        <v>294</v>
      </c>
      <c r="D226" s="150">
        <v>0</v>
      </c>
      <c r="E226" s="150">
        <v>0.05</v>
      </c>
      <c r="F226" s="150">
        <v>0</v>
      </c>
      <c r="G226" s="76" t="s">
        <v>46</v>
      </c>
      <c r="H226" s="87"/>
      <c r="I226" s="87"/>
      <c r="J226" s="87"/>
      <c r="K226" s="31" t="str">
        <f t="shared" si="25"/>
        <v xml:space="preserve"> </v>
      </c>
      <c r="L226" s="31" t="str">
        <f t="shared" si="26"/>
        <v xml:space="preserve"> </v>
      </c>
      <c r="M226" s="31" t="str">
        <f t="shared" si="27"/>
        <v xml:space="preserve"> </v>
      </c>
      <c r="N226" s="32" t="str">
        <f t="shared" si="28"/>
        <v xml:space="preserve"> </v>
      </c>
      <c r="O226" s="33" t="str">
        <f t="shared" si="29"/>
        <v xml:space="preserve"> </v>
      </c>
      <c r="P226" s="34" t="str">
        <f t="shared" si="30"/>
        <v xml:space="preserve"> </v>
      </c>
      <c r="Q226" s="32" t="str">
        <f t="shared" si="31"/>
        <v/>
      </c>
      <c r="R226" s="32" t="str">
        <f t="shared" si="24"/>
        <v/>
      </c>
      <c r="S226" s="116"/>
    </row>
    <row r="227" spans="1:19" ht="18" customHeight="1">
      <c r="A227" s="30"/>
      <c r="B227" s="75" t="s">
        <v>225</v>
      </c>
      <c r="C227" s="77" t="s">
        <v>294</v>
      </c>
      <c r="D227" s="150">
        <v>0</v>
      </c>
      <c r="E227" s="150">
        <v>0.05</v>
      </c>
      <c r="F227" s="150">
        <v>0</v>
      </c>
      <c r="G227" s="76" t="s">
        <v>46</v>
      </c>
      <c r="H227" s="87"/>
      <c r="I227" s="87"/>
      <c r="J227" s="87"/>
      <c r="K227" s="31" t="str">
        <f t="shared" si="25"/>
        <v xml:space="preserve"> </v>
      </c>
      <c r="L227" s="31" t="str">
        <f t="shared" si="26"/>
        <v xml:space="preserve"> </v>
      </c>
      <c r="M227" s="31" t="str">
        <f t="shared" si="27"/>
        <v xml:space="preserve"> </v>
      </c>
      <c r="N227" s="32" t="str">
        <f t="shared" si="28"/>
        <v xml:space="preserve"> </v>
      </c>
      <c r="O227" s="33" t="str">
        <f t="shared" si="29"/>
        <v xml:space="preserve"> </v>
      </c>
      <c r="P227" s="34" t="str">
        <f t="shared" si="30"/>
        <v xml:space="preserve"> </v>
      </c>
      <c r="Q227" s="32" t="str">
        <f t="shared" si="31"/>
        <v/>
      </c>
      <c r="R227" s="32" t="str">
        <f t="shared" ref="R227:R243" si="32">IF(H227="","",IF(ISERR(F227/F227)=TRUE,"",IF(ISERR(F227/D227)=TRUE,IF((F227-MIN(H227:J227))&gt;0.001,"Reject",""),IF(ISNUMBER($P227)=TRUE,IF($P227&gt;0.651,IF($P227&gt;1.001,"Reject","Alert"),""),""))))</f>
        <v/>
      </c>
      <c r="S227" s="116"/>
    </row>
    <row r="228" spans="1:19" ht="18" customHeight="1">
      <c r="A228" s="30"/>
      <c r="B228" s="75" t="s">
        <v>226</v>
      </c>
      <c r="C228" s="77" t="s">
        <v>294</v>
      </c>
      <c r="D228" s="150">
        <v>0</v>
      </c>
      <c r="E228" s="150">
        <v>0.05</v>
      </c>
      <c r="F228" s="150">
        <v>0</v>
      </c>
      <c r="G228" s="76" t="s">
        <v>46</v>
      </c>
      <c r="H228" s="87"/>
      <c r="I228" s="87"/>
      <c r="J228" s="87"/>
      <c r="K228" s="31" t="str">
        <f t="shared" si="25"/>
        <v xml:space="preserve"> </v>
      </c>
      <c r="L228" s="31" t="str">
        <f t="shared" si="26"/>
        <v xml:space="preserve"> </v>
      </c>
      <c r="M228" s="31" t="str">
        <f t="shared" si="27"/>
        <v xml:space="preserve"> </v>
      </c>
      <c r="N228" s="32" t="str">
        <f t="shared" si="28"/>
        <v xml:space="preserve"> </v>
      </c>
      <c r="O228" s="33" t="str">
        <f t="shared" si="29"/>
        <v xml:space="preserve"> </v>
      </c>
      <c r="P228" s="34" t="str">
        <f t="shared" si="30"/>
        <v xml:space="preserve"> </v>
      </c>
      <c r="Q228" s="32" t="str">
        <f t="shared" si="31"/>
        <v/>
      </c>
      <c r="R228" s="32" t="str">
        <f t="shared" si="32"/>
        <v/>
      </c>
      <c r="S228" s="116"/>
    </row>
    <row r="229" spans="1:19" ht="18" customHeight="1">
      <c r="A229" s="30"/>
      <c r="B229" s="75" t="s">
        <v>291</v>
      </c>
      <c r="C229" s="77" t="s">
        <v>294</v>
      </c>
      <c r="D229" s="150">
        <v>0</v>
      </c>
      <c r="E229" s="150">
        <v>0.05</v>
      </c>
      <c r="F229" s="150">
        <v>0</v>
      </c>
      <c r="G229" s="76" t="s">
        <v>46</v>
      </c>
      <c r="H229" s="87"/>
      <c r="I229" s="87"/>
      <c r="J229" s="87"/>
      <c r="K229" s="31" t="str">
        <f t="shared" si="25"/>
        <v xml:space="preserve"> </v>
      </c>
      <c r="L229" s="31" t="str">
        <f t="shared" si="26"/>
        <v xml:space="preserve"> </v>
      </c>
      <c r="M229" s="31" t="str">
        <f t="shared" si="27"/>
        <v xml:space="preserve"> </v>
      </c>
      <c r="N229" s="32" t="str">
        <f t="shared" si="28"/>
        <v xml:space="preserve"> </v>
      </c>
      <c r="O229" s="33" t="str">
        <f t="shared" si="29"/>
        <v xml:space="preserve"> </v>
      </c>
      <c r="P229" s="34" t="str">
        <f t="shared" si="30"/>
        <v xml:space="preserve"> </v>
      </c>
      <c r="Q229" s="32" t="str">
        <f t="shared" si="31"/>
        <v/>
      </c>
      <c r="R229" s="32" t="str">
        <f t="shared" si="32"/>
        <v/>
      </c>
      <c r="S229" s="116"/>
    </row>
    <row r="230" spans="1:19" ht="18" customHeight="1">
      <c r="A230" s="30"/>
      <c r="B230" s="75" t="s">
        <v>292</v>
      </c>
      <c r="C230" s="77" t="s">
        <v>294</v>
      </c>
      <c r="D230" s="150">
        <v>0</v>
      </c>
      <c r="E230" s="150">
        <v>0.05</v>
      </c>
      <c r="F230" s="150">
        <v>0</v>
      </c>
      <c r="G230" s="76" t="s">
        <v>46</v>
      </c>
      <c r="H230" s="87"/>
      <c r="I230" s="87"/>
      <c r="J230" s="87"/>
      <c r="K230" s="31" t="str">
        <f t="shared" si="25"/>
        <v xml:space="preserve"> </v>
      </c>
      <c r="L230" s="31" t="str">
        <f t="shared" si="26"/>
        <v xml:space="preserve"> </v>
      </c>
      <c r="M230" s="31" t="str">
        <f t="shared" si="27"/>
        <v xml:space="preserve"> </v>
      </c>
      <c r="N230" s="32" t="str">
        <f t="shared" si="28"/>
        <v xml:space="preserve"> </v>
      </c>
      <c r="O230" s="33" t="str">
        <f t="shared" si="29"/>
        <v xml:space="preserve"> </v>
      </c>
      <c r="P230" s="34" t="str">
        <f t="shared" si="30"/>
        <v xml:space="preserve"> </v>
      </c>
      <c r="Q230" s="32" t="str">
        <f t="shared" si="31"/>
        <v/>
      </c>
      <c r="R230" s="32" t="str">
        <f t="shared" si="32"/>
        <v/>
      </c>
      <c r="S230" s="116"/>
    </row>
    <row r="231" spans="1:19" ht="18" customHeight="1">
      <c r="A231" s="30"/>
      <c r="B231" s="75" t="s">
        <v>293</v>
      </c>
      <c r="C231" s="77" t="s">
        <v>294</v>
      </c>
      <c r="D231" s="150">
        <v>0</v>
      </c>
      <c r="E231" s="150">
        <v>0.05</v>
      </c>
      <c r="F231" s="150">
        <v>0</v>
      </c>
      <c r="G231" s="76" t="s">
        <v>46</v>
      </c>
      <c r="H231" s="87"/>
      <c r="I231" s="87"/>
      <c r="J231" s="87"/>
      <c r="K231" s="31" t="str">
        <f t="shared" si="25"/>
        <v xml:space="preserve"> </v>
      </c>
      <c r="L231" s="31" t="str">
        <f t="shared" si="26"/>
        <v xml:space="preserve"> </v>
      </c>
      <c r="M231" s="31" t="str">
        <f t="shared" si="27"/>
        <v xml:space="preserve"> </v>
      </c>
      <c r="N231" s="32" t="str">
        <f t="shared" si="28"/>
        <v xml:space="preserve"> </v>
      </c>
      <c r="O231" s="33" t="str">
        <f t="shared" si="29"/>
        <v xml:space="preserve"> </v>
      </c>
      <c r="P231" s="34" t="str">
        <f t="shared" si="30"/>
        <v xml:space="preserve"> </v>
      </c>
      <c r="Q231" s="32" t="str">
        <f t="shared" si="31"/>
        <v/>
      </c>
      <c r="R231" s="32" t="str">
        <f t="shared" si="32"/>
        <v/>
      </c>
      <c r="S231" s="116"/>
    </row>
    <row r="232" spans="1:19" ht="18" customHeight="1">
      <c r="A232" s="30"/>
      <c r="B232" s="75">
        <v>147</v>
      </c>
      <c r="C232" s="76" t="s">
        <v>294</v>
      </c>
      <c r="D232" s="150">
        <v>0</v>
      </c>
      <c r="E232" s="150">
        <v>0.02</v>
      </c>
      <c r="F232" s="150">
        <v>0</v>
      </c>
      <c r="G232" s="76" t="s">
        <v>46</v>
      </c>
      <c r="H232" s="87"/>
      <c r="I232" s="87"/>
      <c r="J232" s="87"/>
      <c r="K232" s="31" t="str">
        <f t="shared" si="25"/>
        <v xml:space="preserve"> </v>
      </c>
      <c r="L232" s="31" t="str">
        <f t="shared" si="26"/>
        <v xml:space="preserve"> </v>
      </c>
      <c r="M232" s="31" t="str">
        <f t="shared" si="27"/>
        <v xml:space="preserve"> </v>
      </c>
      <c r="N232" s="32" t="str">
        <f t="shared" si="28"/>
        <v xml:space="preserve"> </v>
      </c>
      <c r="O232" s="33" t="str">
        <f t="shared" si="29"/>
        <v xml:space="preserve"> </v>
      </c>
      <c r="P232" s="34" t="str">
        <f t="shared" si="30"/>
        <v xml:space="preserve"> </v>
      </c>
      <c r="Q232" s="32" t="str">
        <f t="shared" si="31"/>
        <v/>
      </c>
      <c r="R232" s="32" t="str">
        <f t="shared" si="32"/>
        <v/>
      </c>
      <c r="S232" s="116"/>
    </row>
    <row r="233" spans="1:19" ht="18" customHeight="1">
      <c r="A233" s="30"/>
      <c r="B233" s="75">
        <v>148</v>
      </c>
      <c r="C233" s="76" t="s">
        <v>297</v>
      </c>
      <c r="D233" s="150">
        <v>0</v>
      </c>
      <c r="E233" s="150">
        <v>0.02</v>
      </c>
      <c r="F233" s="150">
        <v>0</v>
      </c>
      <c r="G233" s="76" t="s">
        <v>46</v>
      </c>
      <c r="H233" s="87"/>
      <c r="I233" s="87"/>
      <c r="J233" s="87"/>
      <c r="K233" s="31" t="str">
        <f t="shared" si="25"/>
        <v xml:space="preserve"> </v>
      </c>
      <c r="L233" s="31" t="str">
        <f t="shared" si="26"/>
        <v xml:space="preserve"> </v>
      </c>
      <c r="M233" s="31" t="str">
        <f t="shared" si="27"/>
        <v xml:space="preserve"> </v>
      </c>
      <c r="N233" s="32" t="str">
        <f t="shared" si="28"/>
        <v xml:space="preserve"> </v>
      </c>
      <c r="O233" s="33" t="str">
        <f t="shared" si="29"/>
        <v xml:space="preserve"> </v>
      </c>
      <c r="P233" s="34" t="str">
        <f t="shared" si="30"/>
        <v xml:space="preserve"> </v>
      </c>
      <c r="Q233" s="32" t="str">
        <f t="shared" si="31"/>
        <v/>
      </c>
      <c r="R233" s="32" t="str">
        <f t="shared" si="32"/>
        <v/>
      </c>
      <c r="S233" s="116"/>
    </row>
    <row r="234" spans="1:19" ht="18" customHeight="1">
      <c r="A234" s="30"/>
      <c r="B234" s="75" t="s">
        <v>295</v>
      </c>
      <c r="C234" s="76" t="s">
        <v>45</v>
      </c>
      <c r="D234" s="150">
        <v>0.2</v>
      </c>
      <c r="E234" s="150">
        <v>0.03</v>
      </c>
      <c r="F234" s="150">
        <v>-0.03</v>
      </c>
      <c r="G234" s="76" t="s">
        <v>46</v>
      </c>
      <c r="H234" s="87"/>
      <c r="I234" s="87"/>
      <c r="J234" s="87"/>
      <c r="K234" s="31" t="str">
        <f t="shared" si="25"/>
        <v xml:space="preserve"> </v>
      </c>
      <c r="L234" s="31" t="str">
        <f t="shared" si="26"/>
        <v xml:space="preserve"> </v>
      </c>
      <c r="M234" s="31" t="str">
        <f t="shared" si="27"/>
        <v xml:space="preserve"> </v>
      </c>
      <c r="N234" s="32" t="str">
        <f t="shared" si="28"/>
        <v xml:space="preserve"> </v>
      </c>
      <c r="O234" s="33" t="str">
        <f t="shared" si="29"/>
        <v xml:space="preserve"> </v>
      </c>
      <c r="P234" s="34" t="str">
        <f t="shared" si="30"/>
        <v xml:space="preserve"> </v>
      </c>
      <c r="Q234" s="32" t="str">
        <f t="shared" si="31"/>
        <v/>
      </c>
      <c r="R234" s="32" t="str">
        <f t="shared" si="32"/>
        <v/>
      </c>
      <c r="S234" s="116"/>
    </row>
    <row r="235" spans="1:19" ht="18" customHeight="1">
      <c r="A235" s="30"/>
      <c r="B235" s="75" t="s">
        <v>296</v>
      </c>
      <c r="C235" s="76" t="s">
        <v>45</v>
      </c>
      <c r="D235" s="150">
        <v>0.2</v>
      </c>
      <c r="E235" s="150">
        <v>0.03</v>
      </c>
      <c r="F235" s="150">
        <v>-0.03</v>
      </c>
      <c r="G235" s="76" t="s">
        <v>46</v>
      </c>
      <c r="H235" s="87"/>
      <c r="I235" s="87"/>
      <c r="J235" s="87"/>
      <c r="K235" s="31" t="str">
        <f t="shared" si="25"/>
        <v xml:space="preserve"> </v>
      </c>
      <c r="L235" s="31" t="str">
        <f t="shared" si="26"/>
        <v xml:space="preserve"> </v>
      </c>
      <c r="M235" s="31" t="str">
        <f t="shared" si="27"/>
        <v xml:space="preserve"> </v>
      </c>
      <c r="N235" s="32" t="str">
        <f t="shared" si="28"/>
        <v xml:space="preserve"> </v>
      </c>
      <c r="O235" s="33" t="str">
        <f t="shared" si="29"/>
        <v xml:space="preserve"> </v>
      </c>
      <c r="P235" s="34" t="str">
        <f t="shared" si="30"/>
        <v xml:space="preserve"> </v>
      </c>
      <c r="Q235" s="32" t="str">
        <f t="shared" si="31"/>
        <v/>
      </c>
      <c r="R235" s="32" t="str">
        <f t="shared" si="32"/>
        <v/>
      </c>
      <c r="S235" s="116"/>
    </row>
    <row r="236" spans="1:19" ht="18" customHeight="1">
      <c r="A236" s="30"/>
      <c r="B236" s="75">
        <v>150</v>
      </c>
      <c r="C236" s="76" t="s">
        <v>47</v>
      </c>
      <c r="D236" s="150">
        <v>0</v>
      </c>
      <c r="E236" s="150">
        <v>0.04</v>
      </c>
      <c r="F236" s="150">
        <v>0</v>
      </c>
      <c r="G236" s="76" t="s">
        <v>46</v>
      </c>
      <c r="H236" s="87"/>
      <c r="I236" s="87"/>
      <c r="J236" s="87"/>
      <c r="K236" s="31" t="str">
        <f t="shared" si="25"/>
        <v xml:space="preserve"> </v>
      </c>
      <c r="L236" s="31" t="str">
        <f t="shared" si="26"/>
        <v xml:space="preserve"> </v>
      </c>
      <c r="M236" s="31" t="str">
        <f t="shared" si="27"/>
        <v xml:space="preserve"> </v>
      </c>
      <c r="N236" s="32" t="str">
        <f t="shared" si="28"/>
        <v xml:space="preserve"> </v>
      </c>
      <c r="O236" s="33" t="str">
        <f t="shared" si="29"/>
        <v xml:space="preserve"> </v>
      </c>
      <c r="P236" s="34" t="str">
        <f t="shared" si="30"/>
        <v xml:space="preserve"> </v>
      </c>
      <c r="Q236" s="32" t="str">
        <f t="shared" si="31"/>
        <v/>
      </c>
      <c r="R236" s="32" t="str">
        <f t="shared" si="32"/>
        <v/>
      </c>
      <c r="S236" s="116"/>
    </row>
    <row r="237" spans="1:19" ht="18" customHeight="1">
      <c r="A237" s="30"/>
      <c r="B237" s="75">
        <v>151</v>
      </c>
      <c r="C237" s="76" t="s">
        <v>47</v>
      </c>
      <c r="D237" s="150">
        <v>0</v>
      </c>
      <c r="E237" s="150">
        <v>0.03</v>
      </c>
      <c r="F237" s="150">
        <v>0</v>
      </c>
      <c r="G237" s="76" t="s">
        <v>46</v>
      </c>
      <c r="H237" s="87"/>
      <c r="I237" s="87"/>
      <c r="J237" s="87"/>
      <c r="K237" s="31" t="str">
        <f t="shared" si="25"/>
        <v xml:space="preserve"> </v>
      </c>
      <c r="L237" s="31" t="str">
        <f t="shared" si="26"/>
        <v xml:space="preserve"> </v>
      </c>
      <c r="M237" s="31" t="str">
        <f t="shared" si="27"/>
        <v xml:space="preserve"> </v>
      </c>
      <c r="N237" s="32" t="str">
        <f t="shared" si="28"/>
        <v xml:space="preserve"> </v>
      </c>
      <c r="O237" s="33" t="str">
        <f t="shared" si="29"/>
        <v xml:space="preserve"> </v>
      </c>
      <c r="P237" s="34" t="str">
        <f t="shared" si="30"/>
        <v xml:space="preserve"> </v>
      </c>
      <c r="Q237" s="32" t="str">
        <f t="shared" si="31"/>
        <v/>
      </c>
      <c r="R237" s="32" t="str">
        <f t="shared" si="32"/>
        <v/>
      </c>
      <c r="S237" s="116"/>
    </row>
    <row r="238" spans="1:19" ht="18" customHeight="1">
      <c r="A238" s="30"/>
      <c r="B238" s="75">
        <v>152</v>
      </c>
      <c r="C238" s="76" t="s">
        <v>47</v>
      </c>
      <c r="D238" s="150">
        <v>0</v>
      </c>
      <c r="E238" s="150">
        <v>0.05</v>
      </c>
      <c r="F238" s="150">
        <v>0</v>
      </c>
      <c r="G238" s="76" t="s">
        <v>46</v>
      </c>
      <c r="H238" s="87"/>
      <c r="I238" s="87"/>
      <c r="J238" s="87"/>
      <c r="K238" s="31" t="str">
        <f t="shared" si="25"/>
        <v xml:space="preserve"> </v>
      </c>
      <c r="L238" s="31" t="str">
        <f t="shared" si="26"/>
        <v xml:space="preserve"> </v>
      </c>
      <c r="M238" s="31" t="str">
        <f t="shared" si="27"/>
        <v xml:space="preserve"> </v>
      </c>
      <c r="N238" s="32" t="str">
        <f t="shared" si="28"/>
        <v xml:space="preserve"> </v>
      </c>
      <c r="O238" s="33" t="str">
        <f t="shared" si="29"/>
        <v xml:space="preserve"> </v>
      </c>
      <c r="P238" s="34" t="str">
        <f t="shared" si="30"/>
        <v xml:space="preserve"> </v>
      </c>
      <c r="Q238" s="32" t="str">
        <f t="shared" si="31"/>
        <v/>
      </c>
      <c r="R238" s="32" t="str">
        <f t="shared" si="32"/>
        <v/>
      </c>
      <c r="S238" s="116"/>
    </row>
    <row r="239" spans="1:19" ht="18" customHeight="1">
      <c r="A239" s="30"/>
      <c r="B239" s="75">
        <v>153</v>
      </c>
      <c r="C239" s="76" t="s">
        <v>47</v>
      </c>
      <c r="D239" s="150">
        <v>0</v>
      </c>
      <c r="E239" s="150">
        <v>0.06</v>
      </c>
      <c r="F239" s="150">
        <v>0</v>
      </c>
      <c r="G239" s="76" t="s">
        <v>46</v>
      </c>
      <c r="H239" s="87"/>
      <c r="I239" s="87"/>
      <c r="J239" s="87"/>
      <c r="K239" s="31" t="str">
        <f t="shared" si="25"/>
        <v xml:space="preserve"> </v>
      </c>
      <c r="L239" s="31" t="str">
        <f t="shared" si="26"/>
        <v xml:space="preserve"> </v>
      </c>
      <c r="M239" s="31" t="str">
        <f t="shared" si="27"/>
        <v xml:space="preserve"> </v>
      </c>
      <c r="N239" s="32" t="str">
        <f t="shared" si="28"/>
        <v xml:space="preserve"> </v>
      </c>
      <c r="O239" s="33" t="str">
        <f t="shared" si="29"/>
        <v xml:space="preserve"> </v>
      </c>
      <c r="P239" s="34" t="str">
        <f t="shared" si="30"/>
        <v xml:space="preserve"> </v>
      </c>
      <c r="Q239" s="32" t="str">
        <f t="shared" si="31"/>
        <v/>
      </c>
      <c r="R239" s="32" t="str">
        <f t="shared" si="32"/>
        <v/>
      </c>
      <c r="S239" s="116"/>
    </row>
    <row r="240" spans="1:19" ht="18" customHeight="1">
      <c r="A240" s="30"/>
      <c r="B240" s="75">
        <v>154</v>
      </c>
      <c r="C240" s="76" t="s">
        <v>47</v>
      </c>
      <c r="D240" s="150">
        <v>0</v>
      </c>
      <c r="E240" s="150">
        <v>0.06</v>
      </c>
      <c r="F240" s="150">
        <v>0</v>
      </c>
      <c r="G240" s="76" t="s">
        <v>46</v>
      </c>
      <c r="H240" s="87"/>
      <c r="I240" s="87"/>
      <c r="J240" s="87"/>
      <c r="K240" s="31" t="str">
        <f t="shared" si="25"/>
        <v xml:space="preserve"> </v>
      </c>
      <c r="L240" s="31" t="str">
        <f t="shared" si="26"/>
        <v xml:space="preserve"> </v>
      </c>
      <c r="M240" s="31" t="str">
        <f t="shared" si="27"/>
        <v xml:space="preserve"> </v>
      </c>
      <c r="N240" s="32" t="str">
        <f t="shared" si="28"/>
        <v xml:space="preserve"> </v>
      </c>
      <c r="O240" s="33" t="str">
        <f t="shared" si="29"/>
        <v xml:space="preserve"> </v>
      </c>
      <c r="P240" s="34" t="str">
        <f t="shared" si="30"/>
        <v xml:space="preserve"> </v>
      </c>
      <c r="Q240" s="32" t="str">
        <f t="shared" si="31"/>
        <v/>
      </c>
      <c r="R240" s="32" t="str">
        <f t="shared" si="32"/>
        <v/>
      </c>
      <c r="S240" s="116"/>
    </row>
    <row r="241" spans="1:19" ht="18" customHeight="1">
      <c r="A241" s="30"/>
      <c r="B241" s="75">
        <v>155</v>
      </c>
      <c r="C241" s="76" t="s">
        <v>47</v>
      </c>
      <c r="D241" s="150">
        <v>0</v>
      </c>
      <c r="E241" s="150">
        <v>0.06</v>
      </c>
      <c r="F241" s="150">
        <v>0</v>
      </c>
      <c r="G241" s="76" t="s">
        <v>46</v>
      </c>
      <c r="H241" s="87"/>
      <c r="I241" s="87"/>
      <c r="J241" s="87"/>
      <c r="K241" s="31" t="str">
        <f t="shared" si="25"/>
        <v xml:space="preserve"> </v>
      </c>
      <c r="L241" s="31" t="str">
        <f t="shared" si="26"/>
        <v xml:space="preserve"> </v>
      </c>
      <c r="M241" s="31" t="str">
        <f t="shared" si="27"/>
        <v xml:space="preserve"> </v>
      </c>
      <c r="N241" s="32" t="str">
        <f t="shared" si="28"/>
        <v xml:space="preserve"> </v>
      </c>
      <c r="O241" s="33" t="str">
        <f t="shared" si="29"/>
        <v xml:space="preserve"> </v>
      </c>
      <c r="P241" s="34" t="str">
        <f t="shared" si="30"/>
        <v xml:space="preserve"> </v>
      </c>
      <c r="Q241" s="32" t="str">
        <f t="shared" si="31"/>
        <v/>
      </c>
      <c r="R241" s="32" t="str">
        <f t="shared" si="32"/>
        <v/>
      </c>
      <c r="S241" s="116"/>
    </row>
    <row r="242" spans="1:19" ht="18" customHeight="1">
      <c r="A242" s="30"/>
      <c r="B242" s="75">
        <v>157</v>
      </c>
      <c r="C242" s="76" t="s">
        <v>45</v>
      </c>
      <c r="D242" s="150">
        <v>18.472999999999999</v>
      </c>
      <c r="E242" s="150">
        <v>0.02</v>
      </c>
      <c r="F242" s="150">
        <v>-0.02</v>
      </c>
      <c r="G242" s="76" t="s">
        <v>46</v>
      </c>
      <c r="H242" s="87"/>
      <c r="I242" s="87"/>
      <c r="J242" s="87"/>
      <c r="K242" s="31" t="str">
        <f t="shared" si="25"/>
        <v xml:space="preserve"> </v>
      </c>
      <c r="L242" s="31" t="str">
        <f t="shared" si="26"/>
        <v xml:space="preserve"> </v>
      </c>
      <c r="M242" s="31" t="str">
        <f t="shared" si="27"/>
        <v xml:space="preserve"> </v>
      </c>
      <c r="N242" s="32" t="str">
        <f t="shared" si="28"/>
        <v xml:space="preserve"> </v>
      </c>
      <c r="O242" s="33" t="str">
        <f t="shared" si="29"/>
        <v xml:space="preserve"> </v>
      </c>
      <c r="P242" s="34" t="str">
        <f t="shared" si="30"/>
        <v xml:space="preserve"> </v>
      </c>
      <c r="Q242" s="32" t="str">
        <f t="shared" si="31"/>
        <v/>
      </c>
      <c r="R242" s="32" t="str">
        <f t="shared" si="32"/>
        <v/>
      </c>
      <c r="S242" s="116"/>
    </row>
    <row r="243" spans="1:19" ht="18" customHeight="1">
      <c r="A243" s="30"/>
      <c r="B243" s="75">
        <v>158</v>
      </c>
      <c r="C243" s="76" t="s">
        <v>45</v>
      </c>
      <c r="D243" s="150">
        <v>18.593</v>
      </c>
      <c r="E243" s="150">
        <v>0.02</v>
      </c>
      <c r="F243" s="150">
        <v>-0.02</v>
      </c>
      <c r="G243" s="76" t="s">
        <v>46</v>
      </c>
      <c r="H243" s="87"/>
      <c r="I243" s="87"/>
      <c r="J243" s="87"/>
      <c r="K243" s="31" t="str">
        <f t="shared" si="25"/>
        <v xml:space="preserve"> </v>
      </c>
      <c r="L243" s="31" t="str">
        <f t="shared" si="26"/>
        <v xml:space="preserve"> </v>
      </c>
      <c r="M243" s="31" t="str">
        <f t="shared" si="27"/>
        <v xml:space="preserve"> </v>
      </c>
      <c r="N243" s="32" t="str">
        <f t="shared" si="28"/>
        <v xml:space="preserve"> </v>
      </c>
      <c r="O243" s="33" t="str">
        <f t="shared" si="29"/>
        <v xml:space="preserve"> </v>
      </c>
      <c r="P243" s="34" t="str">
        <f t="shared" si="30"/>
        <v xml:space="preserve"> </v>
      </c>
      <c r="Q243" s="32" t="str">
        <f t="shared" si="31"/>
        <v/>
      </c>
      <c r="R243" s="32" t="str">
        <f t="shared" si="32"/>
        <v/>
      </c>
      <c r="S243" s="116"/>
    </row>
  </sheetData>
  <mergeCells count="14">
    <mergeCell ref="G4:G5"/>
    <mergeCell ref="H4:J4"/>
    <mergeCell ref="K4:M4"/>
    <mergeCell ref="N4:N5"/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</mergeCells>
  <phoneticPr fontId="10" type="noConversion"/>
  <conditionalFormatting sqref="H6:J243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BC6D-6869-9541-80AE-A21083A54525}">
  <sheetPr codeName="Sheet4"/>
  <dimension ref="A1:BN141"/>
  <sheetViews>
    <sheetView showGridLines="0" zoomScale="70" zoomScaleNormal="70" zoomScalePageLayoutView="125" workbookViewId="0">
      <pane xSplit="12" ySplit="1" topLeftCell="M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activeCell="G37" sqref="G37"/>
    </sheetView>
  </sheetViews>
  <sheetFormatPr defaultColWidth="8.81640625" defaultRowHeight="19.2"/>
  <cols>
    <col min="1" max="1" width="0.81640625" style="15" customWidth="1"/>
    <col min="2" max="2" width="7.81640625" style="15" customWidth="1"/>
    <col min="3" max="3" width="11.1796875" style="15" bestFit="1" customWidth="1"/>
    <col min="4" max="4" width="24" style="15" customWidth="1"/>
    <col min="5" max="5" width="7.81640625" style="15" customWidth="1"/>
    <col min="6" max="7" width="8.1796875" style="15" customWidth="1"/>
    <col min="8" max="8" width="7.81640625" style="15" customWidth="1"/>
    <col min="9" max="9" width="7.81640625" style="15" hidden="1" customWidth="1"/>
    <col min="10" max="11" width="7.81640625" style="15" customWidth="1"/>
    <col min="12" max="12" width="0.81640625" style="15" customWidth="1"/>
    <col min="13" max="16" width="7.81640625" style="15" customWidth="1"/>
    <col min="17" max="22" width="7.81640625" style="15" hidden="1" customWidth="1"/>
    <col min="23" max="23" width="7.81640625" style="15" customWidth="1"/>
    <col min="24" max="24" width="10" style="15" hidden="1" customWidth="1"/>
    <col min="25" max="27" width="9.453125" style="15" hidden="1" customWidth="1"/>
    <col min="28" max="28" width="7.81640625" style="15" customWidth="1"/>
    <col min="29" max="29" width="9" style="15" customWidth="1"/>
    <col min="30" max="30" width="8.6328125" style="15" customWidth="1"/>
    <col min="31" max="32" width="9" style="15" hidden="1" customWidth="1"/>
    <col min="33" max="33" width="7.54296875" style="15" hidden="1" customWidth="1"/>
    <col min="34" max="34" width="0.81640625" style="15" customWidth="1"/>
    <col min="35" max="66" width="7.81640625" style="15" customWidth="1"/>
    <col min="67" max="16384" width="8.81640625" style="15"/>
  </cols>
  <sheetData>
    <row r="1" spans="1:66" s="21" customFormat="1" ht="22.2" customHeight="1">
      <c r="A1" s="131" t="s">
        <v>49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20"/>
      <c r="AE1" s="20"/>
      <c r="AF1" s="20"/>
      <c r="AG1" s="20"/>
      <c r="AH1" s="20"/>
    </row>
    <row r="2" spans="1:66" s="21" customFormat="1" ht="9" customHeight="1">
      <c r="B2" s="35"/>
      <c r="C2" s="35"/>
      <c r="D2" s="35"/>
      <c r="E2" s="35"/>
      <c r="F2" s="35"/>
      <c r="G2" s="35"/>
      <c r="H2" s="35"/>
      <c r="I2" s="35"/>
      <c r="J2" s="35"/>
      <c r="K2" s="35"/>
      <c r="M2" s="35"/>
      <c r="N2" s="35"/>
      <c r="O2" s="35"/>
      <c r="P2" s="35"/>
      <c r="Q2" s="35" t="s">
        <v>50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I2" s="36"/>
    </row>
    <row r="3" spans="1:66" s="24" customFormat="1" ht="15" customHeight="1">
      <c r="A3" s="37"/>
      <c r="B3" s="135" t="s">
        <v>51</v>
      </c>
      <c r="C3" s="134"/>
      <c r="D3" s="134"/>
      <c r="E3" s="134"/>
      <c r="F3" s="134"/>
      <c r="G3" s="134"/>
      <c r="H3" s="134"/>
      <c r="I3" s="134"/>
      <c r="J3" s="134"/>
      <c r="K3" s="146"/>
      <c r="L3" s="38"/>
      <c r="M3" s="135" t="s">
        <v>52</v>
      </c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46"/>
      <c r="AD3" s="39"/>
      <c r="AE3" s="147" t="s">
        <v>53</v>
      </c>
      <c r="AF3" s="147"/>
      <c r="AG3" s="147"/>
      <c r="AH3" s="22"/>
      <c r="AI3" s="140" t="s">
        <v>54</v>
      </c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2"/>
    </row>
    <row r="4" spans="1:66" s="24" customFormat="1" ht="25.2" customHeight="1">
      <c r="A4" s="37"/>
      <c r="B4" s="40"/>
      <c r="C4" s="40"/>
      <c r="D4" s="40"/>
      <c r="E4" s="41"/>
      <c r="F4" s="42" t="s">
        <v>55</v>
      </c>
      <c r="G4" s="42" t="s">
        <v>56</v>
      </c>
      <c r="H4" s="43"/>
      <c r="I4" s="43"/>
      <c r="J4" s="44"/>
      <c r="K4" s="44"/>
      <c r="L4" s="37"/>
      <c r="M4" s="45"/>
      <c r="N4" s="45"/>
      <c r="O4" s="46"/>
      <c r="P4" s="45"/>
      <c r="Q4" s="47"/>
      <c r="R4" s="47"/>
      <c r="S4" s="47"/>
      <c r="T4" s="47"/>
      <c r="U4" s="47"/>
      <c r="V4" s="47"/>
      <c r="W4" s="47"/>
      <c r="X4" s="148" t="s">
        <v>57</v>
      </c>
      <c r="Y4" s="149"/>
      <c r="Z4" s="48" t="s">
        <v>58</v>
      </c>
      <c r="AA4" s="82">
        <v>1.5</v>
      </c>
      <c r="AB4" s="49"/>
      <c r="AC4" s="49"/>
      <c r="AD4" s="38"/>
      <c r="AE4" s="22"/>
      <c r="AF4" s="22"/>
      <c r="AG4" s="50"/>
      <c r="AH4" s="51"/>
      <c r="AI4" s="143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5"/>
    </row>
    <row r="5" spans="1:66" s="65" customFormat="1" ht="22.8">
      <c r="A5" s="52"/>
      <c r="B5" s="53" t="s">
        <v>59</v>
      </c>
      <c r="C5" s="53" t="s">
        <v>30</v>
      </c>
      <c r="D5" s="53" t="s">
        <v>60</v>
      </c>
      <c r="E5" s="54" t="s">
        <v>32</v>
      </c>
      <c r="F5" s="55" t="s">
        <v>61</v>
      </c>
      <c r="G5" s="55" t="s">
        <v>62</v>
      </c>
      <c r="H5" s="56" t="s">
        <v>35</v>
      </c>
      <c r="I5" s="56" t="s">
        <v>63</v>
      </c>
      <c r="J5" s="57" t="s">
        <v>64</v>
      </c>
      <c r="K5" s="57" t="s">
        <v>65</v>
      </c>
      <c r="L5" s="52"/>
      <c r="M5" s="58" t="s">
        <v>66</v>
      </c>
      <c r="N5" s="58" t="s">
        <v>67</v>
      </c>
      <c r="O5" s="59" t="s">
        <v>38</v>
      </c>
      <c r="P5" s="58" t="s">
        <v>68</v>
      </c>
      <c r="Q5" s="60" t="s">
        <v>69</v>
      </c>
      <c r="R5" s="60" t="s">
        <v>70</v>
      </c>
      <c r="S5" s="60" t="s">
        <v>71</v>
      </c>
      <c r="T5" s="60" t="s">
        <v>72</v>
      </c>
      <c r="U5" s="60" t="s">
        <v>73</v>
      </c>
      <c r="V5" s="60" t="s">
        <v>74</v>
      </c>
      <c r="W5" s="60" t="s">
        <v>75</v>
      </c>
      <c r="X5" s="61" t="s">
        <v>76</v>
      </c>
      <c r="Y5" s="61" t="s">
        <v>77</v>
      </c>
      <c r="Z5" s="61" t="s">
        <v>78</v>
      </c>
      <c r="AA5" s="62" t="s">
        <v>79</v>
      </c>
      <c r="AB5" s="63" t="s">
        <v>80</v>
      </c>
      <c r="AC5" s="63" t="s">
        <v>81</v>
      </c>
      <c r="AD5" s="63" t="s">
        <v>82</v>
      </c>
      <c r="AE5" s="22"/>
      <c r="AF5" s="22"/>
      <c r="AG5" s="50"/>
      <c r="AH5" s="6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</row>
    <row r="6" spans="1:66" ht="19.2" customHeight="1">
      <c r="B6" s="66" t="s">
        <v>232</v>
      </c>
      <c r="C6" s="75">
        <v>1</v>
      </c>
      <c r="D6" s="83" t="s">
        <v>47</v>
      </c>
      <c r="E6" s="102">
        <v>0</v>
      </c>
      <c r="F6" s="103">
        <v>0.04</v>
      </c>
      <c r="G6" s="103">
        <v>0</v>
      </c>
      <c r="H6" s="104" t="s">
        <v>46</v>
      </c>
      <c r="I6" s="67" t="s">
        <v>84</v>
      </c>
      <c r="J6" s="68">
        <f>E6+F6</f>
        <v>0.04</v>
      </c>
      <c r="K6" s="68">
        <f>E6+G6</f>
        <v>0</v>
      </c>
      <c r="L6" s="69"/>
      <c r="M6" s="84">
        <f t="shared" ref="M6:M80" si="0">IF(OR($AI6=ISBLANK(TRUE),ISNUMBER($AI6)=FALSE),,MAX(AI6:BN6))</f>
        <v>0</v>
      </c>
      <c r="N6" s="84">
        <f t="shared" ref="N6:N80" si="1">IF(OR($AI6=ISBLANK(TRUE),ISNUMBER($AI6)=FALSE),,MIN(AI6:BN6))</f>
        <v>0</v>
      </c>
      <c r="O6" s="84">
        <f t="shared" ref="O6:O80" si="2">IF(OR($AI6=ISBLANK(TRUE),ISNUMBER($AI6)=FALSE),,AVERAGE(AI6:BN6))</f>
        <v>0</v>
      </c>
      <c r="P6" s="85">
        <f t="shared" ref="P6:P58" si="3">IF(OR($AI6=ISBLANK(TRUE),ISNUMBER($AI6)=FALSE),,STDEV(AI6:BN6))</f>
        <v>0</v>
      </c>
      <c r="Q6" s="78" t="str">
        <f t="shared" ref="Q6:Q37" si="4">IF(OR($AI6="",ISNUMBER($AI6)=FALSE),"",IF(AND(E6=0,G6=0),T6,IF(AND(E6="",F6=""),U6,(F6+ABS(G6))/(6*P6))))</f>
        <v/>
      </c>
      <c r="R6" s="79" t="str">
        <f>IF(OR($AI6="",ISNUMBER($AI6)=FALSE),"",IF(AND(#REF!="Tolerance",$E6&lt;&gt;""),($O6-$E6)/(($J6-$K6)/2),IF(AND(#REF!="GD&amp;T",$F6&lt;&gt;""),$O6/$F6,"")))</f>
        <v/>
      </c>
      <c r="S6" s="79" t="str">
        <f>IF($R6="","",IF(ABS($R6)&lt;=0.125, "Level A",IF(AND(ABS($R6)&gt;0.125,ABS($R6)&lt;=0.25), "Level B",IF(AND(ABS($R6)&gt;0.25,ABS($R6)&lt;=0.5), "Level C", IF(ABS($R6)&gt;0.5, "Level D")))))</f>
        <v/>
      </c>
      <c r="T6" s="78" t="str">
        <f t="shared" ref="T6:T37" si="5">IF(OR($AI6="",ISNUMBER($AI6)=FALSE),"",IF(F6="","",(J6-O6)/(3*P6)))</f>
        <v/>
      </c>
      <c r="U6" s="78" t="str">
        <f t="shared" ref="U6:U37" si="6">IF(OR($AI6="",ISNUMBER($AI6)=FALSE),"",IF(G6="","",(O6-K6)/(3*P6)))</f>
        <v/>
      </c>
      <c r="V6" s="78" t="str">
        <f t="shared" ref="V6:V37" si="7">IF(OR($AI6="",ISNUMBER($AI6)=FALSE),"",IF(AND(E6=0,G6=0),((F6)-(O6))/(3*P6),MIN(T6:U6)))</f>
        <v/>
      </c>
      <c r="W6" s="70" t="str">
        <f t="shared" ref="W6:W37" si="8">IF(OR($AI6="",ISNUMBER($AI6)=FALSE),"",IF(AND(E6=0,G6=0),NORMSDIST(3*V6),NORMSDIST(3*V6)+NORMSDIST(6*Q6-3*V6)-1))</f>
        <v/>
      </c>
      <c r="X6" s="71" t="e">
        <f>IF($O6="","",IF(#REF!="Tolerance",IF((#REF!*3*P6+O6)-E6&lt;F6,"",(#REF!*3*P6+O6)-E6),IF(OR(#REF!="GD&amp;T",#REF!="MAX"),IF((#REF!*3*P6+O6)&lt;F6,"",(#REF!*3*P6+O6)),"")))</f>
        <v>#REF!</v>
      </c>
      <c r="Y6" s="71" t="e">
        <f>IF(O6="","",IF(#REF!="Tolerance",IF(-((#REF!*3*P6)-O6)-E6&gt;G6,"",-((#REF!*3*P6)-O6)-E6),IF(#REF!="MIN",IF(-((#REF!*3*P6)-O6)&gt;G6,"",-((#REF!*3*P6)-O6)),"")))</f>
        <v>#REF!</v>
      </c>
      <c r="Z6" s="71">
        <f t="shared" ref="Z6:Z24" si="9">IF(OR(E6="",O6=""),"",(J6+K6)/2-O6)</f>
        <v>0.02</v>
      </c>
      <c r="AA6" s="71" t="str">
        <f t="shared" ref="AA6:AA80" si="10">IF(OR($Q6&gt;$AA$4,$P6=""),"",$AA$4*6*$P6)</f>
        <v/>
      </c>
      <c r="AB6" s="80"/>
      <c r="AC6" s="81" t="str">
        <f>IF(AB6="","",IF(AB6&gt;=0.966,"Normal","Not Normal"))</f>
        <v/>
      </c>
      <c r="AD6" s="115"/>
      <c r="AE6" s="72"/>
      <c r="AF6" s="72"/>
      <c r="AG6" s="73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</row>
    <row r="7" spans="1:66" ht="19.2" customHeight="1">
      <c r="B7" s="66" t="s">
        <v>96</v>
      </c>
      <c r="C7" s="75" t="s">
        <v>99</v>
      </c>
      <c r="D7" s="83" t="s">
        <v>45</v>
      </c>
      <c r="E7" s="102">
        <v>3.984</v>
      </c>
      <c r="F7" s="103">
        <v>2.5000000000000001E-2</v>
      </c>
      <c r="G7" s="103">
        <v>-0.02</v>
      </c>
      <c r="H7" s="104" t="s">
        <v>46</v>
      </c>
      <c r="I7" s="67" t="s">
        <v>84</v>
      </c>
      <c r="J7" s="68">
        <f t="shared" ref="J7:J70" si="11">E7+F7</f>
        <v>4.0090000000000003</v>
      </c>
      <c r="K7" s="68">
        <f t="shared" ref="K7:K70" si="12">E7+G7</f>
        <v>3.964</v>
      </c>
      <c r="L7" s="69"/>
      <c r="M7" s="84">
        <f t="shared" si="0"/>
        <v>0</v>
      </c>
      <c r="N7" s="84">
        <f t="shared" si="1"/>
        <v>0</v>
      </c>
      <c r="O7" s="84">
        <f t="shared" si="2"/>
        <v>0</v>
      </c>
      <c r="P7" s="85">
        <f t="shared" si="3"/>
        <v>0</v>
      </c>
      <c r="Q7" s="78" t="str">
        <f t="shared" si="4"/>
        <v/>
      </c>
      <c r="R7" s="79" t="str">
        <f>IF(OR($AI7="",ISNUMBER($AI7)=FALSE),"",IF(AND(#REF!="Tolerance",$E7&lt;&gt;""),($O7-$E7)/(($J7-$K7)/2),IF(AND(#REF!="GD&amp;T",$F7&lt;&gt;""),$O7/$F7,"")))</f>
        <v/>
      </c>
      <c r="S7" s="79" t="str">
        <f t="shared" ref="S7:S81" si="13">IF($R7="","",IF(ABS($R7)&lt;=0.125, "Level A",IF(AND(ABS($R7)&gt;0.125,ABS($R7)&lt;=0.25), "Level B",IF(AND(ABS($R7)&gt;0.25,ABS($R7)&lt;=0.5), "Level C", IF(ABS($R7)&gt;0.5, "Level D")))))</f>
        <v/>
      </c>
      <c r="T7" s="78" t="str">
        <f t="shared" si="5"/>
        <v/>
      </c>
      <c r="U7" s="78" t="str">
        <f t="shared" si="6"/>
        <v/>
      </c>
      <c r="V7" s="78" t="str">
        <f t="shared" si="7"/>
        <v/>
      </c>
      <c r="W7" s="70" t="str">
        <f t="shared" si="8"/>
        <v/>
      </c>
      <c r="X7" s="71" t="e">
        <f>IF($O7="","",IF(#REF!="Tolerance",IF((#REF!*3*P7+O7)-E7&lt;F7,"",(#REF!*3*P7+O7)-E7),IF(OR(#REF!="GD&amp;T",#REF!="MAX"),IF((#REF!*3*P7+O7)&lt;F7,"",(#REF!*3*P7+O7)),"")))</f>
        <v>#REF!</v>
      </c>
      <c r="Y7" s="71" t="e">
        <f>IF(O7="","",IF(#REF!="Tolerance",IF(-((#REF!*3*P7)-O7)-E7&gt;G7,"",-((#REF!*3*P7)-O7)-E7),IF(#REF!="MIN",IF(-((#REF!*3*P7)-O7)&gt;G7,"",-((#REF!*3*P7)-O7)),"")))</f>
        <v>#REF!</v>
      </c>
      <c r="Z7" s="71">
        <f t="shared" si="9"/>
        <v>3.9865000000000004</v>
      </c>
      <c r="AA7" s="71" t="str">
        <f t="shared" si="10"/>
        <v/>
      </c>
      <c r="AB7" s="80"/>
      <c r="AC7" s="81" t="str">
        <f t="shared" ref="AC7:AC70" si="14">IF(AB7="","",IF(AB7&gt;=0.966,"Normal","Not Normal"))</f>
        <v/>
      </c>
      <c r="AD7" s="115"/>
      <c r="AE7" s="72"/>
      <c r="AF7" s="72"/>
      <c r="AG7" s="73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  <c r="BG7" s="105"/>
      <c r="BH7" s="105"/>
      <c r="BI7" s="105"/>
      <c r="BJ7" s="105"/>
      <c r="BK7" s="105"/>
      <c r="BL7" s="105"/>
      <c r="BM7" s="105"/>
      <c r="BN7" s="105"/>
    </row>
    <row r="8" spans="1:66" ht="19.2" customHeight="1">
      <c r="B8" s="66" t="s">
        <v>96</v>
      </c>
      <c r="C8" s="75" t="s">
        <v>100</v>
      </c>
      <c r="D8" s="83" t="s">
        <v>45</v>
      </c>
      <c r="E8" s="102">
        <v>3.984</v>
      </c>
      <c r="F8" s="103">
        <v>2.5000000000000001E-2</v>
      </c>
      <c r="G8" s="103">
        <v>-0.02</v>
      </c>
      <c r="H8" s="104" t="s">
        <v>46</v>
      </c>
      <c r="I8" s="67" t="s">
        <v>84</v>
      </c>
      <c r="J8" s="68">
        <f t="shared" si="11"/>
        <v>4.0090000000000003</v>
      </c>
      <c r="K8" s="68">
        <f t="shared" si="12"/>
        <v>3.964</v>
      </c>
      <c r="L8" s="69"/>
      <c r="M8" s="84">
        <f t="shared" si="0"/>
        <v>0</v>
      </c>
      <c r="N8" s="84">
        <f t="shared" si="1"/>
        <v>0</v>
      </c>
      <c r="O8" s="84">
        <f t="shared" si="2"/>
        <v>0</v>
      </c>
      <c r="P8" s="85">
        <f t="shared" si="3"/>
        <v>0</v>
      </c>
      <c r="Q8" s="78" t="str">
        <f t="shared" si="4"/>
        <v/>
      </c>
      <c r="R8" s="79" t="str">
        <f>IF(OR($AI8="",ISNUMBER($AI8)=FALSE),"",IF(AND(#REF!="Tolerance",$E8&lt;&gt;""),($O8-$E8)/(($J8-$K8)/2),IF(AND(#REF!="GD&amp;T",$F8&lt;&gt;""),$O8/$F8,"")))</f>
        <v/>
      </c>
      <c r="S8" s="79" t="str">
        <f t="shared" si="13"/>
        <v/>
      </c>
      <c r="T8" s="78" t="str">
        <f t="shared" si="5"/>
        <v/>
      </c>
      <c r="U8" s="78" t="str">
        <f t="shared" si="6"/>
        <v/>
      </c>
      <c r="V8" s="78" t="str">
        <f t="shared" si="7"/>
        <v/>
      </c>
      <c r="W8" s="70" t="str">
        <f t="shared" si="8"/>
        <v/>
      </c>
      <c r="X8" s="71" t="e">
        <f>IF($O8="","",IF(#REF!="Tolerance",IF((#REF!*3*P8+O8)-E8&lt;F8,"",(#REF!*3*P8+O8)-E8),IF(OR(#REF!="GD&amp;T",#REF!="MAX"),IF((#REF!*3*P8+O8)&lt;F8,"",(#REF!*3*P8+O8)),"")))</f>
        <v>#REF!</v>
      </c>
      <c r="Y8" s="71" t="e">
        <f>IF(O8="","",IF(#REF!="Tolerance",IF(-((#REF!*3*P8)-O8)-E8&gt;G8,"",-((#REF!*3*P8)-O8)-E8),IF(#REF!="MIN",IF(-((#REF!*3*P8)-O8)&gt;G8,"",-((#REF!*3*P8)-O8)),"")))</f>
        <v>#REF!</v>
      </c>
      <c r="Z8" s="71">
        <f t="shared" si="9"/>
        <v>3.9865000000000004</v>
      </c>
      <c r="AA8" s="71" t="str">
        <f t="shared" si="10"/>
        <v/>
      </c>
      <c r="AB8" s="80"/>
      <c r="AC8" s="81" t="str">
        <f t="shared" si="14"/>
        <v/>
      </c>
      <c r="AD8" s="115"/>
      <c r="AE8" s="72"/>
      <c r="AF8" s="72"/>
      <c r="AG8" s="73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</row>
    <row r="9" spans="1:66" ht="19.2" customHeight="1">
      <c r="B9" s="66" t="s">
        <v>83</v>
      </c>
      <c r="C9" s="75">
        <v>4</v>
      </c>
      <c r="D9" s="83" t="s">
        <v>48</v>
      </c>
      <c r="E9" s="102">
        <v>0</v>
      </c>
      <c r="F9" s="103">
        <v>1.4999999999999999E-2</v>
      </c>
      <c r="G9" s="103">
        <v>0</v>
      </c>
      <c r="H9" s="104" t="s">
        <v>46</v>
      </c>
      <c r="I9" s="67" t="s">
        <v>84</v>
      </c>
      <c r="J9" s="68">
        <f t="shared" si="11"/>
        <v>1.4999999999999999E-2</v>
      </c>
      <c r="K9" s="68">
        <f t="shared" si="12"/>
        <v>0</v>
      </c>
      <c r="L9" s="69"/>
      <c r="M9" s="84">
        <f t="shared" si="0"/>
        <v>0</v>
      </c>
      <c r="N9" s="84">
        <f t="shared" si="1"/>
        <v>0</v>
      </c>
      <c r="O9" s="84">
        <f t="shared" si="2"/>
        <v>0</v>
      </c>
      <c r="P9" s="85">
        <f t="shared" si="3"/>
        <v>0</v>
      </c>
      <c r="Q9" s="78" t="str">
        <f t="shared" si="4"/>
        <v/>
      </c>
      <c r="R9" s="79" t="str">
        <f>IF(OR($AI9="",ISNUMBER($AI9)=FALSE),"",IF(AND(#REF!="Tolerance",$E9&lt;&gt;""),($O9-$E9)/(($J9-$K9)/2),IF(AND(#REF!="GD&amp;T",$F9&lt;&gt;""),$O9/$F9,"")))</f>
        <v/>
      </c>
      <c r="S9" s="79" t="str">
        <f t="shared" si="13"/>
        <v/>
      </c>
      <c r="T9" s="78" t="str">
        <f t="shared" si="5"/>
        <v/>
      </c>
      <c r="U9" s="78" t="str">
        <f t="shared" si="6"/>
        <v/>
      </c>
      <c r="V9" s="78" t="str">
        <f t="shared" si="7"/>
        <v/>
      </c>
      <c r="W9" s="70" t="str">
        <f t="shared" si="8"/>
        <v/>
      </c>
      <c r="X9" s="71" t="e">
        <f>IF($O9="","",IF(#REF!="Tolerance",IF((#REF!*3*P9+O9)-E9&lt;F9,"",(#REF!*3*P9+O9)-E9),IF(OR(#REF!="GD&amp;T",#REF!="MAX"),IF((#REF!*3*P9+O9)&lt;F9,"",(#REF!*3*P9+O9)),"")))</f>
        <v>#REF!</v>
      </c>
      <c r="Y9" s="71" t="e">
        <f>IF(O9="","",IF(#REF!="Tolerance",IF(-((#REF!*3*P9)-O9)-E9&gt;G9,"",-((#REF!*3*P9)-O9)-E9),IF(#REF!="MIN",IF(-((#REF!*3*P9)-O9)&gt;G9,"",-((#REF!*3*P9)-O9)),"")))</f>
        <v>#REF!</v>
      </c>
      <c r="Z9" s="71">
        <f t="shared" si="9"/>
        <v>7.4999999999999997E-3</v>
      </c>
      <c r="AA9" s="71" t="str">
        <f t="shared" si="10"/>
        <v/>
      </c>
      <c r="AB9" s="80"/>
      <c r="AC9" s="81" t="str">
        <f t="shared" si="14"/>
        <v/>
      </c>
      <c r="AD9" s="115"/>
      <c r="AE9" s="72"/>
      <c r="AF9" s="72"/>
      <c r="AG9" s="73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5"/>
      <c r="BM9" s="105"/>
      <c r="BN9" s="105"/>
    </row>
    <row r="10" spans="1:66" ht="19.2" customHeight="1">
      <c r="B10" s="66" t="s">
        <v>97</v>
      </c>
      <c r="C10" s="75" t="s">
        <v>115</v>
      </c>
      <c r="D10" s="83" t="s">
        <v>45</v>
      </c>
      <c r="E10" s="102">
        <v>4.0090000000000003</v>
      </c>
      <c r="F10" s="103">
        <v>0.02</v>
      </c>
      <c r="G10" s="103">
        <v>-0.02</v>
      </c>
      <c r="H10" s="104" t="s">
        <v>46</v>
      </c>
      <c r="I10" s="67" t="s">
        <v>84</v>
      </c>
      <c r="J10" s="68">
        <f t="shared" si="11"/>
        <v>4.0289999999999999</v>
      </c>
      <c r="K10" s="68">
        <f t="shared" si="12"/>
        <v>3.9890000000000003</v>
      </c>
      <c r="L10" s="69"/>
      <c r="M10" s="84">
        <f t="shared" si="0"/>
        <v>0</v>
      </c>
      <c r="N10" s="84">
        <f t="shared" si="1"/>
        <v>0</v>
      </c>
      <c r="O10" s="84">
        <f t="shared" si="2"/>
        <v>0</v>
      </c>
      <c r="P10" s="85">
        <f t="shared" si="3"/>
        <v>0</v>
      </c>
      <c r="Q10" s="78" t="str">
        <f t="shared" si="4"/>
        <v/>
      </c>
      <c r="R10" s="79" t="str">
        <f>IF(OR($AI10="",ISNUMBER($AI10)=FALSE),"",IF(AND(#REF!="Tolerance",$E10&lt;&gt;""),($O10-$E10)/(($J10-$K10)/2),IF(AND(#REF!="GD&amp;T",$F10&lt;&gt;""),$O10/$F10,"")))</f>
        <v/>
      </c>
      <c r="S10" s="79" t="str">
        <f t="shared" si="13"/>
        <v/>
      </c>
      <c r="T10" s="78" t="str">
        <f t="shared" si="5"/>
        <v/>
      </c>
      <c r="U10" s="78" t="str">
        <f t="shared" si="6"/>
        <v/>
      </c>
      <c r="V10" s="78" t="str">
        <f t="shared" si="7"/>
        <v/>
      </c>
      <c r="W10" s="70" t="str">
        <f t="shared" si="8"/>
        <v/>
      </c>
      <c r="X10" s="71" t="e">
        <f>IF($O10="","",IF(#REF!="Tolerance",IF((#REF!*3*P10+O10)-E10&lt;F10,"",(#REF!*3*P10+O10)-E10),IF(OR(#REF!="GD&amp;T",#REF!="MAX"),IF((#REF!*3*P10+O10)&lt;F10,"",(#REF!*3*P10+O10)),"")))</f>
        <v>#REF!</v>
      </c>
      <c r="Y10" s="71" t="e">
        <f>IF(O10="","",IF(#REF!="Tolerance",IF(-((#REF!*3*P10)-O10)-E10&gt;G10,"",-((#REF!*3*P10)-O10)-E10),IF(#REF!="MIN",IF(-((#REF!*3*P10)-O10)&gt;G10,"",-((#REF!*3*P10)-O10)),"")))</f>
        <v>#REF!</v>
      </c>
      <c r="Z10" s="71">
        <f t="shared" si="9"/>
        <v>4.0090000000000003</v>
      </c>
      <c r="AA10" s="71" t="str">
        <f t="shared" si="10"/>
        <v/>
      </c>
      <c r="AB10" s="80"/>
      <c r="AC10" s="81" t="str">
        <f t="shared" si="14"/>
        <v/>
      </c>
      <c r="AD10" s="115"/>
      <c r="AE10" s="72"/>
      <c r="AF10" s="72"/>
      <c r="AG10" s="73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  <c r="BM10" s="105"/>
      <c r="BN10" s="105"/>
    </row>
    <row r="11" spans="1:66" ht="19.2" customHeight="1">
      <c r="B11" s="66" t="s">
        <v>97</v>
      </c>
      <c r="C11" s="75" t="s">
        <v>116</v>
      </c>
      <c r="D11" s="83" t="s">
        <v>45</v>
      </c>
      <c r="E11" s="102">
        <v>4.0090000000000003</v>
      </c>
      <c r="F11" s="103">
        <v>0.02</v>
      </c>
      <c r="G11" s="103">
        <v>-0.02</v>
      </c>
      <c r="H11" s="104" t="s">
        <v>46</v>
      </c>
      <c r="I11" s="67" t="s">
        <v>84</v>
      </c>
      <c r="J11" s="68">
        <f t="shared" si="11"/>
        <v>4.0289999999999999</v>
      </c>
      <c r="K11" s="68">
        <f t="shared" si="12"/>
        <v>3.9890000000000003</v>
      </c>
      <c r="L11" s="69"/>
      <c r="M11" s="84">
        <f t="shared" si="0"/>
        <v>0</v>
      </c>
      <c r="N11" s="84">
        <f t="shared" si="1"/>
        <v>0</v>
      </c>
      <c r="O11" s="84">
        <f t="shared" si="2"/>
        <v>0</v>
      </c>
      <c r="P11" s="85">
        <f t="shared" si="3"/>
        <v>0</v>
      </c>
      <c r="Q11" s="78" t="str">
        <f t="shared" si="4"/>
        <v/>
      </c>
      <c r="R11" s="79" t="str">
        <f>IF(OR($AI11="",ISNUMBER($AI11)=FALSE),"",IF(AND(#REF!="Tolerance",$E11&lt;&gt;""),($O11-$E11)/(($J11-$K11)/2),IF(AND(#REF!="GD&amp;T",$F11&lt;&gt;""),$O11/$F11,"")))</f>
        <v/>
      </c>
      <c r="S11" s="79" t="str">
        <f t="shared" si="13"/>
        <v/>
      </c>
      <c r="T11" s="78" t="str">
        <f t="shared" si="5"/>
        <v/>
      </c>
      <c r="U11" s="78" t="str">
        <f t="shared" si="6"/>
        <v/>
      </c>
      <c r="V11" s="78" t="str">
        <f t="shared" si="7"/>
        <v/>
      </c>
      <c r="W11" s="70" t="str">
        <f t="shared" si="8"/>
        <v/>
      </c>
      <c r="X11" s="71" t="e">
        <f>IF($O11="","",IF(#REF!="Tolerance",IF((#REF!*3*P11+O11)-E11&lt;F11,"",(#REF!*3*P11+O11)-E11),IF(OR(#REF!="GD&amp;T",#REF!="MAX"),IF((#REF!*3*P11+O11)&lt;F11,"",(#REF!*3*P11+O11)),"")))</f>
        <v>#REF!</v>
      </c>
      <c r="Y11" s="71" t="e">
        <f>IF(O11="","",IF(#REF!="Tolerance",IF(-((#REF!*3*P11)-O11)-E11&gt;G11,"",-((#REF!*3*P11)-O11)-E11),IF(#REF!="MIN",IF(-((#REF!*3*P11)-O11)&gt;G11,"",-((#REF!*3*P11)-O11)),"")))</f>
        <v>#REF!</v>
      </c>
      <c r="Z11" s="71">
        <f t="shared" si="9"/>
        <v>4.0090000000000003</v>
      </c>
      <c r="AA11" s="71" t="str">
        <f t="shared" si="10"/>
        <v/>
      </c>
      <c r="AB11" s="80"/>
      <c r="AC11" s="81" t="str">
        <f t="shared" si="14"/>
        <v/>
      </c>
      <c r="AD11" s="115"/>
      <c r="AE11" s="72"/>
      <c r="AF11" s="72"/>
      <c r="AG11" s="73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</row>
    <row r="12" spans="1:66" ht="19.2" customHeight="1">
      <c r="B12" s="66" t="s">
        <v>304</v>
      </c>
      <c r="C12" s="75" t="s">
        <v>101</v>
      </c>
      <c r="D12" s="83" t="s">
        <v>227</v>
      </c>
      <c r="E12" s="102">
        <v>0</v>
      </c>
      <c r="F12" s="103">
        <v>8.0000000000000002E-3</v>
      </c>
      <c r="G12" s="103">
        <v>0</v>
      </c>
      <c r="H12" s="104" t="s">
        <v>231</v>
      </c>
      <c r="I12" s="67" t="s">
        <v>84</v>
      </c>
      <c r="J12" s="68">
        <f t="shared" si="11"/>
        <v>8.0000000000000002E-3</v>
      </c>
      <c r="K12" s="68">
        <f t="shared" si="12"/>
        <v>0</v>
      </c>
      <c r="L12" s="69"/>
      <c r="M12" s="84">
        <f t="shared" si="0"/>
        <v>0</v>
      </c>
      <c r="N12" s="84">
        <f t="shared" si="1"/>
        <v>0</v>
      </c>
      <c r="O12" s="84">
        <f t="shared" si="2"/>
        <v>0</v>
      </c>
      <c r="P12" s="85">
        <f t="shared" si="3"/>
        <v>0</v>
      </c>
      <c r="Q12" s="78" t="str">
        <f t="shared" si="4"/>
        <v/>
      </c>
      <c r="R12" s="79" t="str">
        <f>IF(OR($AI12="",ISNUMBER($AI12)=FALSE),"",IF(AND(#REF!="Tolerance",$E12&lt;&gt;""),($O12-$E12)/(($J12-$K12)/2),IF(AND(#REF!="GD&amp;T",$F12&lt;&gt;""),$O12/$F12,"")))</f>
        <v/>
      </c>
      <c r="S12" s="79" t="str">
        <f t="shared" si="13"/>
        <v/>
      </c>
      <c r="T12" s="78" t="str">
        <f t="shared" si="5"/>
        <v/>
      </c>
      <c r="U12" s="78" t="str">
        <f t="shared" si="6"/>
        <v/>
      </c>
      <c r="V12" s="78" t="str">
        <f t="shared" si="7"/>
        <v/>
      </c>
      <c r="W12" s="70" t="str">
        <f t="shared" si="8"/>
        <v/>
      </c>
      <c r="X12" s="71" t="e">
        <f>IF($O12="","",IF(#REF!="Tolerance",IF((#REF!*3*P12+O12)-E12&lt;F12,"",(#REF!*3*P12+O12)-E12),IF(OR(#REF!="GD&amp;T",#REF!="MAX"),IF((#REF!*3*P12+O12)&lt;F12,"",(#REF!*3*P12+O12)),"")))</f>
        <v>#REF!</v>
      </c>
      <c r="Y12" s="71" t="e">
        <f>IF(O12="","",IF(#REF!="Tolerance",IF(-((#REF!*3*P12)-O12)-E12&gt;G12,"",-((#REF!*3*P12)-O12)-E12),IF(#REF!="MIN",IF(-((#REF!*3*P12)-O12)&gt;G12,"",-((#REF!*3*P12)-O12)),"")))</f>
        <v>#REF!</v>
      </c>
      <c r="Z12" s="71">
        <f t="shared" si="9"/>
        <v>4.0000000000000001E-3</v>
      </c>
      <c r="AA12" s="71" t="str">
        <f t="shared" si="10"/>
        <v/>
      </c>
      <c r="AB12" s="80"/>
      <c r="AC12" s="81" t="str">
        <f t="shared" si="14"/>
        <v/>
      </c>
      <c r="AD12" s="115"/>
      <c r="AE12" s="72"/>
      <c r="AF12" s="72"/>
      <c r="AG12" s="73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5"/>
      <c r="BM12" s="105"/>
      <c r="BN12" s="105"/>
    </row>
    <row r="13" spans="1:66" ht="19.2" customHeight="1">
      <c r="B13" s="66" t="s">
        <v>305</v>
      </c>
      <c r="C13" s="75" t="s">
        <v>102</v>
      </c>
      <c r="D13" s="83" t="s">
        <v>227</v>
      </c>
      <c r="E13" s="102">
        <v>0</v>
      </c>
      <c r="F13" s="103">
        <v>8.0000000000000002E-3</v>
      </c>
      <c r="G13" s="103">
        <v>0</v>
      </c>
      <c r="H13" s="104" t="s">
        <v>231</v>
      </c>
      <c r="I13" s="67" t="s">
        <v>84</v>
      </c>
      <c r="J13" s="68">
        <f t="shared" si="11"/>
        <v>8.0000000000000002E-3</v>
      </c>
      <c r="K13" s="68">
        <f t="shared" si="12"/>
        <v>0</v>
      </c>
      <c r="L13" s="69"/>
      <c r="M13" s="84">
        <f t="shared" si="0"/>
        <v>0</v>
      </c>
      <c r="N13" s="84">
        <f t="shared" si="1"/>
        <v>0</v>
      </c>
      <c r="O13" s="84">
        <f t="shared" si="2"/>
        <v>0</v>
      </c>
      <c r="P13" s="85">
        <f t="shared" si="3"/>
        <v>0</v>
      </c>
      <c r="Q13" s="78" t="str">
        <f t="shared" si="4"/>
        <v/>
      </c>
      <c r="R13" s="79" t="str">
        <f>IF(OR($AI13="",ISNUMBER($AI13)=FALSE),"",IF(AND(#REF!="Tolerance",$E13&lt;&gt;""),($O13-$E13)/(($J13-$K13)/2),IF(AND(#REF!="GD&amp;T",$F13&lt;&gt;""),$O13/$F13,"")))</f>
        <v/>
      </c>
      <c r="S13" s="79" t="str">
        <f t="shared" si="13"/>
        <v/>
      </c>
      <c r="T13" s="78" t="str">
        <f t="shared" si="5"/>
        <v/>
      </c>
      <c r="U13" s="78" t="str">
        <f t="shared" si="6"/>
        <v/>
      </c>
      <c r="V13" s="78" t="str">
        <f t="shared" si="7"/>
        <v/>
      </c>
      <c r="W13" s="70" t="str">
        <f t="shared" si="8"/>
        <v/>
      </c>
      <c r="X13" s="71" t="e">
        <f>IF($O13="","",IF(#REF!="Tolerance",IF((#REF!*3*P13+O13)-E13&lt;F13,"",(#REF!*3*P13+O13)-E13),IF(OR(#REF!="GD&amp;T",#REF!="MAX"),IF((#REF!*3*P13+O13)&lt;F13,"",(#REF!*3*P13+O13)),"")))</f>
        <v>#REF!</v>
      </c>
      <c r="Y13" s="71" t="e">
        <f>IF(O13="","",IF(#REF!="Tolerance",IF(-((#REF!*3*P13)-O13)-E13&gt;G13,"",-((#REF!*3*P13)-O13)-E13),IF(#REF!="MIN",IF(-((#REF!*3*P13)-O13)&gt;G13,"",-((#REF!*3*P13)-O13)),"")))</f>
        <v>#REF!</v>
      </c>
      <c r="Z13" s="71">
        <f t="shared" si="9"/>
        <v>4.0000000000000001E-3</v>
      </c>
      <c r="AA13" s="71" t="str">
        <f t="shared" si="10"/>
        <v/>
      </c>
      <c r="AB13" s="80"/>
      <c r="AC13" s="81" t="str">
        <f t="shared" si="14"/>
        <v/>
      </c>
      <c r="AD13" s="115"/>
      <c r="AE13" s="72"/>
      <c r="AF13" s="72"/>
      <c r="AG13" s="73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05"/>
      <c r="BN13" s="105"/>
    </row>
    <row r="14" spans="1:66" ht="19.2" customHeight="1">
      <c r="B14" s="66" t="s">
        <v>306</v>
      </c>
      <c r="C14" s="75" t="s">
        <v>117</v>
      </c>
      <c r="D14" s="83" t="s">
        <v>227</v>
      </c>
      <c r="E14" s="102">
        <v>0</v>
      </c>
      <c r="F14" s="103">
        <v>8.0000000000000002E-3</v>
      </c>
      <c r="G14" s="103">
        <v>0</v>
      </c>
      <c r="H14" s="104" t="s">
        <v>231</v>
      </c>
      <c r="I14" s="67" t="s">
        <v>84</v>
      </c>
      <c r="J14" s="68">
        <f t="shared" si="11"/>
        <v>8.0000000000000002E-3</v>
      </c>
      <c r="K14" s="68">
        <f t="shared" si="12"/>
        <v>0</v>
      </c>
      <c r="L14" s="69"/>
      <c r="M14" s="84">
        <f t="shared" si="0"/>
        <v>0</v>
      </c>
      <c r="N14" s="84">
        <f t="shared" si="1"/>
        <v>0</v>
      </c>
      <c r="O14" s="84">
        <f t="shared" si="2"/>
        <v>0</v>
      </c>
      <c r="P14" s="85">
        <f t="shared" si="3"/>
        <v>0</v>
      </c>
      <c r="Q14" s="78" t="str">
        <f t="shared" si="4"/>
        <v/>
      </c>
      <c r="R14" s="79" t="str">
        <f>IF(OR($AI14="",ISNUMBER($AI14)=FALSE),"",IF(AND(#REF!="Tolerance",$E14&lt;&gt;""),($O14-$E14)/(($J14-$K14)/2),IF(AND(#REF!="GD&amp;T",$F14&lt;&gt;""),$O14/$F14,"")))</f>
        <v/>
      </c>
      <c r="S14" s="79" t="str">
        <f t="shared" si="13"/>
        <v/>
      </c>
      <c r="T14" s="78" t="str">
        <f t="shared" si="5"/>
        <v/>
      </c>
      <c r="U14" s="78" t="str">
        <f t="shared" si="6"/>
        <v/>
      </c>
      <c r="V14" s="78" t="str">
        <f t="shared" si="7"/>
        <v/>
      </c>
      <c r="W14" s="70" t="str">
        <f t="shared" si="8"/>
        <v/>
      </c>
      <c r="X14" s="71" t="e">
        <f>IF($O14="","",IF(#REF!="Tolerance",IF((#REF!*3*P14+O14)-E14&lt;F14,"",(#REF!*3*P14+O14)-E14),IF(OR(#REF!="GD&amp;T",#REF!="MAX"),IF((#REF!*3*P14+O14)&lt;F14,"",(#REF!*3*P14+O14)),"")))</f>
        <v>#REF!</v>
      </c>
      <c r="Y14" s="71" t="e">
        <f>IF(O14="","",IF(#REF!="Tolerance",IF(-((#REF!*3*P14)-O14)-E14&gt;G14,"",-((#REF!*3*P14)-O14)-E14),IF(#REF!="MIN",IF(-((#REF!*3*P14)-O14)&gt;G14,"",-((#REF!*3*P14)-O14)),"")))</f>
        <v>#REF!</v>
      </c>
      <c r="Z14" s="71">
        <f t="shared" si="9"/>
        <v>4.0000000000000001E-3</v>
      </c>
      <c r="AA14" s="71" t="str">
        <f t="shared" si="10"/>
        <v/>
      </c>
      <c r="AB14" s="80"/>
      <c r="AC14" s="81" t="str">
        <f t="shared" si="14"/>
        <v/>
      </c>
      <c r="AD14" s="115"/>
      <c r="AE14" s="72"/>
      <c r="AF14" s="72"/>
      <c r="AG14" s="73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</row>
    <row r="15" spans="1:66" ht="19.2" customHeight="1">
      <c r="B15" s="66" t="s">
        <v>301</v>
      </c>
      <c r="C15" s="75">
        <v>9</v>
      </c>
      <c r="D15" s="83" t="s">
        <v>48</v>
      </c>
      <c r="E15" s="102">
        <v>0</v>
      </c>
      <c r="F15" s="103">
        <v>0.06</v>
      </c>
      <c r="G15" s="103">
        <v>0</v>
      </c>
      <c r="H15" s="104" t="s">
        <v>46</v>
      </c>
      <c r="I15" s="67" t="s">
        <v>84</v>
      </c>
      <c r="J15" s="68">
        <f t="shared" si="11"/>
        <v>0.06</v>
      </c>
      <c r="K15" s="68">
        <f t="shared" si="12"/>
        <v>0</v>
      </c>
      <c r="L15" s="69"/>
      <c r="M15" s="84">
        <f t="shared" si="0"/>
        <v>0</v>
      </c>
      <c r="N15" s="84">
        <f t="shared" si="1"/>
        <v>0</v>
      </c>
      <c r="O15" s="84">
        <f t="shared" si="2"/>
        <v>0</v>
      </c>
      <c r="P15" s="85">
        <f t="shared" si="3"/>
        <v>0</v>
      </c>
      <c r="Q15" s="78" t="str">
        <f t="shared" si="4"/>
        <v/>
      </c>
      <c r="R15" s="79" t="str">
        <f>IF(OR($AI15="",ISNUMBER($AI15)=FALSE),"",IF(AND(#REF!="Tolerance",$E15&lt;&gt;""),($O15-$E15)/(($J15-$K15)/2),IF(AND(#REF!="GD&amp;T",$F15&lt;&gt;""),$O15/$F15,"")))</f>
        <v/>
      </c>
      <c r="S15" s="79" t="str">
        <f t="shared" si="13"/>
        <v/>
      </c>
      <c r="T15" s="78" t="str">
        <f t="shared" si="5"/>
        <v/>
      </c>
      <c r="U15" s="78" t="str">
        <f t="shared" si="6"/>
        <v/>
      </c>
      <c r="V15" s="78" t="str">
        <f t="shared" si="7"/>
        <v/>
      </c>
      <c r="W15" s="70" t="str">
        <f t="shared" si="8"/>
        <v/>
      </c>
      <c r="X15" s="71" t="e">
        <f>IF($O15="","",IF(#REF!="Tolerance",IF((#REF!*3*P15+O15)-E15&lt;F15,"",(#REF!*3*P15+O15)-E15),IF(OR(#REF!="GD&amp;T",#REF!="MAX"),IF((#REF!*3*P15+O15)&lt;F15,"",(#REF!*3*P15+O15)),"")))</f>
        <v>#REF!</v>
      </c>
      <c r="Y15" s="71" t="e">
        <f>IF(O15="","",IF(#REF!="Tolerance",IF(-((#REF!*3*P15)-O15)-E15&gt;G15,"",-((#REF!*3*P15)-O15)-E15),IF(#REF!="MIN",IF(-((#REF!*3*P15)-O15)&gt;G15,"",-((#REF!*3*P15)-O15)),"")))</f>
        <v>#REF!</v>
      </c>
      <c r="Z15" s="71">
        <f t="shared" si="9"/>
        <v>0.03</v>
      </c>
      <c r="AA15" s="71" t="str">
        <f t="shared" si="10"/>
        <v/>
      </c>
      <c r="AB15" s="80"/>
      <c r="AC15" s="81" t="str">
        <f t="shared" si="14"/>
        <v/>
      </c>
      <c r="AD15" s="115"/>
      <c r="AE15" s="72"/>
      <c r="AF15" s="72"/>
      <c r="AG15" s="73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</row>
    <row r="16" spans="1:66" ht="19.2" customHeight="1">
      <c r="B16" s="66" t="s">
        <v>85</v>
      </c>
      <c r="C16" s="75">
        <v>10</v>
      </c>
      <c r="D16" s="83" t="s">
        <v>48</v>
      </c>
      <c r="E16" s="102">
        <v>0</v>
      </c>
      <c r="F16" s="103">
        <v>0.06</v>
      </c>
      <c r="G16" s="103">
        <v>0</v>
      </c>
      <c r="H16" s="104" t="s">
        <v>46</v>
      </c>
      <c r="I16" s="67"/>
      <c r="J16" s="68">
        <f t="shared" si="11"/>
        <v>0.06</v>
      </c>
      <c r="K16" s="68">
        <f t="shared" si="12"/>
        <v>0</v>
      </c>
      <c r="L16" s="69"/>
      <c r="M16" s="84">
        <f t="shared" si="0"/>
        <v>0</v>
      </c>
      <c r="N16" s="84">
        <f t="shared" si="1"/>
        <v>0</v>
      </c>
      <c r="O16" s="84">
        <f t="shared" si="2"/>
        <v>0</v>
      </c>
      <c r="P16" s="85">
        <f t="shared" si="3"/>
        <v>0</v>
      </c>
      <c r="Q16" s="78" t="str">
        <f t="shared" si="4"/>
        <v/>
      </c>
      <c r="R16" s="79" t="str">
        <f>IF(OR($AI16="",ISNUMBER($AI16)=FALSE),"",IF(AND(#REF!="Tolerance",$E16&lt;&gt;""),($O16-$E16)/(($J16-$K16)/2),IF(AND(#REF!="GD&amp;T",$F16&lt;&gt;""),$O16/$F16,"")))</f>
        <v/>
      </c>
      <c r="S16" s="79" t="str">
        <f t="shared" si="13"/>
        <v/>
      </c>
      <c r="T16" s="78" t="str">
        <f t="shared" si="5"/>
        <v/>
      </c>
      <c r="U16" s="78" t="str">
        <f t="shared" si="6"/>
        <v/>
      </c>
      <c r="V16" s="78" t="str">
        <f t="shared" si="7"/>
        <v/>
      </c>
      <c r="W16" s="70" t="str">
        <f t="shared" si="8"/>
        <v/>
      </c>
      <c r="X16" s="71" t="e">
        <f>IF($O16="","",IF(#REF!="Tolerance",IF((#REF!*3*P16+O16)-E16&lt;F16,"",(#REF!*3*P16+O16)-E16),IF(OR(#REF!="GD&amp;T",#REF!="MAX"),IF((#REF!*3*P16+O16)&lt;F16,"",(#REF!*3*P16+O16)),"")))</f>
        <v>#REF!</v>
      </c>
      <c r="Y16" s="71" t="e">
        <f>IF(O16="","",IF(#REF!="Tolerance",IF(-((#REF!*3*P16)-O16)-E16&gt;G16,"",-((#REF!*3*P16)-O16)-E16),IF(#REF!="MIN",IF(-((#REF!*3*P16)-O16)&gt;G16,"",-((#REF!*3*P16)-O16)),"")))</f>
        <v>#REF!</v>
      </c>
      <c r="Z16" s="71">
        <f t="shared" si="9"/>
        <v>0.03</v>
      </c>
      <c r="AA16" s="71" t="str">
        <f t="shared" si="10"/>
        <v/>
      </c>
      <c r="AB16" s="80"/>
      <c r="AC16" s="81" t="str">
        <f t="shared" si="14"/>
        <v/>
      </c>
      <c r="AD16" s="115"/>
      <c r="AE16" s="72"/>
      <c r="AF16" s="72"/>
      <c r="AG16" s="73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</row>
    <row r="17" spans="2:66" ht="19.2" customHeight="1">
      <c r="B17" s="66" t="s">
        <v>233</v>
      </c>
      <c r="C17" s="75" t="s">
        <v>120</v>
      </c>
      <c r="D17" s="83" t="s">
        <v>45</v>
      </c>
      <c r="E17" s="102">
        <v>19.794</v>
      </c>
      <c r="F17" s="103">
        <v>0.03</v>
      </c>
      <c r="G17" s="103">
        <v>-0.03</v>
      </c>
      <c r="H17" s="104" t="s">
        <v>46</v>
      </c>
      <c r="I17" s="67"/>
      <c r="J17" s="68">
        <f t="shared" si="11"/>
        <v>19.824000000000002</v>
      </c>
      <c r="K17" s="68">
        <f t="shared" si="12"/>
        <v>19.763999999999999</v>
      </c>
      <c r="L17" s="69"/>
      <c r="M17" s="84">
        <f t="shared" si="0"/>
        <v>0</v>
      </c>
      <c r="N17" s="84">
        <f t="shared" si="1"/>
        <v>0</v>
      </c>
      <c r="O17" s="84">
        <f t="shared" si="2"/>
        <v>0</v>
      </c>
      <c r="P17" s="85">
        <f t="shared" si="3"/>
        <v>0</v>
      </c>
      <c r="Q17" s="78" t="str">
        <f t="shared" si="4"/>
        <v/>
      </c>
      <c r="R17" s="79" t="str">
        <f>IF(OR($AI17="",ISNUMBER($AI17)=FALSE),"",IF(AND(#REF!="Tolerance",$E17&lt;&gt;""),($O17-$E17)/(($J17-$K17)/2),IF(AND(#REF!="GD&amp;T",$F17&lt;&gt;""),$O17/$F17,"")))</f>
        <v/>
      </c>
      <c r="S17" s="79" t="str">
        <f t="shared" si="13"/>
        <v/>
      </c>
      <c r="T17" s="78" t="str">
        <f t="shared" si="5"/>
        <v/>
      </c>
      <c r="U17" s="78" t="str">
        <f t="shared" si="6"/>
        <v/>
      </c>
      <c r="V17" s="78" t="str">
        <f t="shared" si="7"/>
        <v/>
      </c>
      <c r="W17" s="70" t="str">
        <f t="shared" si="8"/>
        <v/>
      </c>
      <c r="X17" s="71" t="e">
        <f>IF($O17="","",IF(#REF!="Tolerance",IF((#REF!*3*P17+O17)-E17&lt;F17,"",(#REF!*3*P17+O17)-E17),IF(OR(#REF!="GD&amp;T",#REF!="MAX"),IF((#REF!*3*P17+O17)&lt;F17,"",(#REF!*3*P17+O17)),"")))</f>
        <v>#REF!</v>
      </c>
      <c r="Y17" s="71" t="e">
        <f>IF(O17="","",IF(#REF!="Tolerance",IF(-((#REF!*3*P17)-O17)-E17&gt;G17,"",-((#REF!*3*P17)-O17)-E17),IF(#REF!="MIN",IF(-((#REF!*3*P17)-O17)&gt;G17,"",-((#REF!*3*P17)-O17)),"")))</f>
        <v>#REF!</v>
      </c>
      <c r="Z17" s="71">
        <f t="shared" si="9"/>
        <v>19.794</v>
      </c>
      <c r="AA17" s="71" t="str">
        <f t="shared" si="10"/>
        <v/>
      </c>
      <c r="AB17" s="80"/>
      <c r="AC17" s="81" t="str">
        <f t="shared" si="14"/>
        <v/>
      </c>
      <c r="AD17" s="115"/>
      <c r="AE17" s="72"/>
      <c r="AF17" s="72"/>
      <c r="AG17" s="73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</row>
    <row r="18" spans="2:66" ht="19.2" customHeight="1">
      <c r="B18" s="66" t="s">
        <v>233</v>
      </c>
      <c r="C18" s="75" t="s">
        <v>121</v>
      </c>
      <c r="D18" s="83" t="s">
        <v>45</v>
      </c>
      <c r="E18" s="102">
        <v>19.794</v>
      </c>
      <c r="F18" s="103">
        <v>0.03</v>
      </c>
      <c r="G18" s="103">
        <v>-0.03</v>
      </c>
      <c r="H18" s="104" t="s">
        <v>46</v>
      </c>
      <c r="I18" s="67"/>
      <c r="J18" s="68">
        <f t="shared" si="11"/>
        <v>19.824000000000002</v>
      </c>
      <c r="K18" s="68">
        <f t="shared" si="12"/>
        <v>19.763999999999999</v>
      </c>
      <c r="L18" s="69"/>
      <c r="M18" s="84">
        <f t="shared" si="0"/>
        <v>0</v>
      </c>
      <c r="N18" s="84">
        <f t="shared" si="1"/>
        <v>0</v>
      </c>
      <c r="O18" s="84">
        <f t="shared" si="2"/>
        <v>0</v>
      </c>
      <c r="P18" s="85">
        <f t="shared" si="3"/>
        <v>0</v>
      </c>
      <c r="Q18" s="78" t="str">
        <f t="shared" si="4"/>
        <v/>
      </c>
      <c r="R18" s="79" t="str">
        <f>IF(OR($AI18="",ISNUMBER($AI18)=FALSE),"",IF(AND(#REF!="Tolerance",$E18&lt;&gt;""),($O18-$E18)/(($J18-$K18)/2),IF(AND(#REF!="GD&amp;T",$F18&lt;&gt;""),$O18/$F18,"")))</f>
        <v/>
      </c>
      <c r="S18" s="79" t="str">
        <f t="shared" si="13"/>
        <v/>
      </c>
      <c r="T18" s="78" t="str">
        <f t="shared" si="5"/>
        <v/>
      </c>
      <c r="U18" s="78" t="str">
        <f t="shared" si="6"/>
        <v/>
      </c>
      <c r="V18" s="78" t="str">
        <f t="shared" si="7"/>
        <v/>
      </c>
      <c r="W18" s="70" t="str">
        <f t="shared" si="8"/>
        <v/>
      </c>
      <c r="X18" s="71" t="e">
        <f>IF($O18="","",IF(#REF!="Tolerance",IF((#REF!*3*P18+O18)-E18&lt;F18,"",(#REF!*3*P18+O18)-E18),IF(OR(#REF!="GD&amp;T",#REF!="MAX"),IF((#REF!*3*P18+O18)&lt;F18,"",(#REF!*3*P18+O18)),"")))</f>
        <v>#REF!</v>
      </c>
      <c r="Y18" s="71" t="e">
        <f>IF(O18="","",IF(#REF!="Tolerance",IF(-((#REF!*3*P18)-O18)-E18&gt;G18,"",-((#REF!*3*P18)-O18)-E18),IF(#REF!="MIN",IF(-((#REF!*3*P18)-O18)&gt;G18,"",-((#REF!*3*P18)-O18)),"")))</f>
        <v>#REF!</v>
      </c>
      <c r="Z18" s="71">
        <f t="shared" si="9"/>
        <v>19.794</v>
      </c>
      <c r="AA18" s="71" t="str">
        <f t="shared" si="10"/>
        <v/>
      </c>
      <c r="AB18" s="80"/>
      <c r="AC18" s="81" t="str">
        <f t="shared" si="14"/>
        <v/>
      </c>
      <c r="AD18" s="115"/>
      <c r="AE18" s="72"/>
      <c r="AF18" s="72"/>
      <c r="AG18" s="73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</row>
    <row r="19" spans="2:66" ht="19.2" customHeight="1">
      <c r="B19" s="66" t="s">
        <v>233</v>
      </c>
      <c r="C19" s="75" t="s">
        <v>122</v>
      </c>
      <c r="D19" s="83" t="s">
        <v>45</v>
      </c>
      <c r="E19" s="102">
        <v>19.794</v>
      </c>
      <c r="F19" s="103">
        <v>0.03</v>
      </c>
      <c r="G19" s="103">
        <v>-0.03</v>
      </c>
      <c r="H19" s="104" t="s">
        <v>46</v>
      </c>
      <c r="I19" s="67"/>
      <c r="J19" s="68">
        <f t="shared" si="11"/>
        <v>19.824000000000002</v>
      </c>
      <c r="K19" s="68">
        <f t="shared" si="12"/>
        <v>19.763999999999999</v>
      </c>
      <c r="L19" s="69"/>
      <c r="M19" s="84">
        <f t="shared" si="0"/>
        <v>0</v>
      </c>
      <c r="N19" s="84">
        <f t="shared" si="1"/>
        <v>0</v>
      </c>
      <c r="O19" s="84">
        <f t="shared" si="2"/>
        <v>0</v>
      </c>
      <c r="P19" s="85">
        <f t="shared" si="3"/>
        <v>0</v>
      </c>
      <c r="Q19" s="78" t="str">
        <f t="shared" si="4"/>
        <v/>
      </c>
      <c r="R19" s="79" t="str">
        <f>IF(OR($AI19="",ISNUMBER($AI19)=FALSE),"",IF(AND(#REF!="Tolerance",$E19&lt;&gt;""),($O19-$E19)/(($J19-$K19)/2),IF(AND(#REF!="GD&amp;T",$F19&lt;&gt;""),$O19/$F19,"")))</f>
        <v/>
      </c>
      <c r="S19" s="79" t="str">
        <f t="shared" si="13"/>
        <v/>
      </c>
      <c r="T19" s="78" t="str">
        <f t="shared" si="5"/>
        <v/>
      </c>
      <c r="U19" s="78" t="str">
        <f t="shared" si="6"/>
        <v/>
      </c>
      <c r="V19" s="78" t="str">
        <f t="shared" si="7"/>
        <v/>
      </c>
      <c r="W19" s="70" t="str">
        <f t="shared" si="8"/>
        <v/>
      </c>
      <c r="X19" s="71" t="e">
        <f>IF($O19="","",IF(#REF!="Tolerance",IF((#REF!*3*P19+O19)-E19&lt;F19,"",(#REF!*3*P19+O19)-E19),IF(OR(#REF!="GD&amp;T",#REF!="MAX"),IF((#REF!*3*P19+O19)&lt;F19,"",(#REF!*3*P19+O19)),"")))</f>
        <v>#REF!</v>
      </c>
      <c r="Y19" s="71" t="e">
        <f>IF(O19="","",IF(#REF!="Tolerance",IF(-((#REF!*3*P19)-O19)-E19&gt;G19,"",-((#REF!*3*P19)-O19)-E19),IF(#REF!="MIN",IF(-((#REF!*3*P19)-O19)&gt;G19,"",-((#REF!*3*P19)-O19)),"")))</f>
        <v>#REF!</v>
      </c>
      <c r="Z19" s="71">
        <f t="shared" si="9"/>
        <v>19.794</v>
      </c>
      <c r="AA19" s="71" t="str">
        <f t="shared" si="10"/>
        <v/>
      </c>
      <c r="AB19" s="80"/>
      <c r="AC19" s="81" t="str">
        <f t="shared" si="14"/>
        <v/>
      </c>
      <c r="AD19" s="115"/>
      <c r="AE19" s="72"/>
      <c r="AF19" s="72"/>
      <c r="AG19" s="73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</row>
    <row r="20" spans="2:66" ht="19.2" customHeight="1">
      <c r="B20" s="66" t="s">
        <v>338</v>
      </c>
      <c r="C20" s="75">
        <v>18</v>
      </c>
      <c r="D20" s="83" t="s">
        <v>45</v>
      </c>
      <c r="E20" s="102">
        <v>18.643000000000001</v>
      </c>
      <c r="F20" s="103">
        <v>0.03</v>
      </c>
      <c r="G20" s="103">
        <v>-0.03</v>
      </c>
      <c r="H20" s="104" t="s">
        <v>46</v>
      </c>
      <c r="I20" s="67"/>
      <c r="J20" s="68">
        <f t="shared" si="11"/>
        <v>18.673000000000002</v>
      </c>
      <c r="K20" s="68">
        <f t="shared" si="12"/>
        <v>18.613</v>
      </c>
      <c r="L20" s="69"/>
      <c r="M20" s="84">
        <f t="shared" si="0"/>
        <v>0</v>
      </c>
      <c r="N20" s="84">
        <f t="shared" si="1"/>
        <v>0</v>
      </c>
      <c r="O20" s="84">
        <f t="shared" si="2"/>
        <v>0</v>
      </c>
      <c r="P20" s="85">
        <f t="shared" si="3"/>
        <v>0</v>
      </c>
      <c r="Q20" s="78" t="str">
        <f t="shared" si="4"/>
        <v/>
      </c>
      <c r="R20" s="79" t="str">
        <f>IF(OR($AI20="",ISNUMBER($AI20)=FALSE),"",IF(AND(#REF!="Tolerance",$E20&lt;&gt;""),($O20-$E20)/(($J20-$K20)/2),IF(AND(#REF!="GD&amp;T",$F20&lt;&gt;""),$O20/$F20,"")))</f>
        <v/>
      </c>
      <c r="S20" s="79" t="str">
        <f t="shared" si="13"/>
        <v/>
      </c>
      <c r="T20" s="78" t="str">
        <f t="shared" si="5"/>
        <v/>
      </c>
      <c r="U20" s="78" t="str">
        <f t="shared" si="6"/>
        <v/>
      </c>
      <c r="V20" s="78" t="str">
        <f t="shared" si="7"/>
        <v/>
      </c>
      <c r="W20" s="70" t="str">
        <f t="shared" si="8"/>
        <v/>
      </c>
      <c r="X20" s="71" t="e">
        <f>IF($O20="","",IF(#REF!="Tolerance",IF((#REF!*3*P20+O20)-E20&lt;F20,"",(#REF!*3*P20+O20)-E20),IF(OR(#REF!="GD&amp;T",#REF!="MAX"),IF((#REF!*3*P20+O20)&lt;F20,"",(#REF!*3*P20+O20)),"")))</f>
        <v>#REF!</v>
      </c>
      <c r="Y20" s="71" t="e">
        <f>IF(O20="","",IF(#REF!="Tolerance",IF(-((#REF!*3*P20)-O20)-E20&gt;G20,"",-((#REF!*3*P20)-O20)-E20),IF(#REF!="MIN",IF(-((#REF!*3*P20)-O20)&gt;G20,"",-((#REF!*3*P20)-O20)),"")))</f>
        <v>#REF!</v>
      </c>
      <c r="Z20" s="71">
        <f t="shared" si="9"/>
        <v>18.643000000000001</v>
      </c>
      <c r="AA20" s="71" t="str">
        <f t="shared" si="10"/>
        <v/>
      </c>
      <c r="AB20" s="80"/>
      <c r="AC20" s="81" t="str">
        <f t="shared" si="14"/>
        <v/>
      </c>
      <c r="AD20" s="115"/>
      <c r="AE20" s="72"/>
      <c r="AF20" s="72"/>
      <c r="AG20" s="73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</row>
    <row r="21" spans="2:66" ht="19.2" customHeight="1">
      <c r="B21" s="66" t="s">
        <v>89</v>
      </c>
      <c r="C21" s="75">
        <v>19</v>
      </c>
      <c r="D21" s="83" t="s">
        <v>45</v>
      </c>
      <c r="E21" s="102">
        <v>15.882999999999999</v>
      </c>
      <c r="F21" s="103">
        <v>0.03</v>
      </c>
      <c r="G21" s="103">
        <v>-0.03</v>
      </c>
      <c r="H21" s="104" t="s">
        <v>46</v>
      </c>
      <c r="I21" s="67"/>
      <c r="J21" s="68">
        <f t="shared" si="11"/>
        <v>15.912999999999998</v>
      </c>
      <c r="K21" s="68">
        <f t="shared" si="12"/>
        <v>15.853</v>
      </c>
      <c r="L21" s="69"/>
      <c r="M21" s="84">
        <f t="shared" si="0"/>
        <v>0</v>
      </c>
      <c r="N21" s="84">
        <f t="shared" si="1"/>
        <v>0</v>
      </c>
      <c r="O21" s="84">
        <f t="shared" si="2"/>
        <v>0</v>
      </c>
      <c r="P21" s="85">
        <f t="shared" si="3"/>
        <v>0</v>
      </c>
      <c r="Q21" s="78" t="str">
        <f t="shared" si="4"/>
        <v/>
      </c>
      <c r="R21" s="79" t="str">
        <f>IF(OR($AI21="",ISNUMBER($AI21)=FALSE),"",IF(AND(#REF!="Tolerance",$E21&lt;&gt;""),($O21-$E21)/(($J21-$K21)/2),IF(AND(#REF!="GD&amp;T",$F21&lt;&gt;""),$O21/$F21,"")))</f>
        <v/>
      </c>
      <c r="S21" s="79" t="str">
        <f t="shared" si="13"/>
        <v/>
      </c>
      <c r="T21" s="78" t="str">
        <f t="shared" si="5"/>
        <v/>
      </c>
      <c r="U21" s="78" t="str">
        <f t="shared" si="6"/>
        <v/>
      </c>
      <c r="V21" s="78" t="str">
        <f t="shared" si="7"/>
        <v/>
      </c>
      <c r="W21" s="70" t="str">
        <f t="shared" si="8"/>
        <v/>
      </c>
      <c r="X21" s="71" t="e">
        <f>IF($O21="","",IF(#REF!="Tolerance",IF((#REF!*3*P21+O21)-E21&lt;F21,"",(#REF!*3*P21+O21)-E21),IF(OR(#REF!="GD&amp;T",#REF!="MAX"),IF((#REF!*3*P21+O21)&lt;F21,"",(#REF!*3*P21+O21)),"")))</f>
        <v>#REF!</v>
      </c>
      <c r="Y21" s="71" t="e">
        <f>IF(O21="","",IF(#REF!="Tolerance",IF(-((#REF!*3*P21)-O21)-E21&gt;G21,"",-((#REF!*3*P21)-O21)-E21),IF(#REF!="MIN",IF(-((#REF!*3*P21)-O21)&gt;G21,"",-((#REF!*3*P21)-O21)),"")))</f>
        <v>#REF!</v>
      </c>
      <c r="Z21" s="71">
        <f t="shared" si="9"/>
        <v>15.882999999999999</v>
      </c>
      <c r="AA21" s="71" t="str">
        <f t="shared" si="10"/>
        <v/>
      </c>
      <c r="AB21" s="80"/>
      <c r="AC21" s="81" t="str">
        <f t="shared" si="14"/>
        <v/>
      </c>
      <c r="AD21" s="115"/>
      <c r="AE21" s="72"/>
      <c r="AF21" s="72"/>
      <c r="AG21" s="73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</row>
    <row r="22" spans="2:66" ht="19.2" customHeight="1">
      <c r="B22" s="66" t="s">
        <v>92</v>
      </c>
      <c r="C22" s="75" t="s">
        <v>123</v>
      </c>
      <c r="D22" s="83" t="s">
        <v>45</v>
      </c>
      <c r="E22" s="102">
        <v>3.9380000000000002</v>
      </c>
      <c r="F22" s="103">
        <v>0.03</v>
      </c>
      <c r="G22" s="103">
        <v>-0.03</v>
      </c>
      <c r="H22" s="104" t="s">
        <v>46</v>
      </c>
      <c r="I22" s="67"/>
      <c r="J22" s="68">
        <f t="shared" si="11"/>
        <v>3.968</v>
      </c>
      <c r="K22" s="68">
        <f t="shared" si="12"/>
        <v>3.9080000000000004</v>
      </c>
      <c r="L22" s="69"/>
      <c r="M22" s="84">
        <f t="shared" si="0"/>
        <v>0</v>
      </c>
      <c r="N22" s="84">
        <f t="shared" si="1"/>
        <v>0</v>
      </c>
      <c r="O22" s="84">
        <f t="shared" si="2"/>
        <v>0</v>
      </c>
      <c r="P22" s="85">
        <f t="shared" si="3"/>
        <v>0</v>
      </c>
      <c r="Q22" s="78" t="str">
        <f t="shared" si="4"/>
        <v/>
      </c>
      <c r="R22" s="79" t="str">
        <f>IF(OR($AI22="",ISNUMBER($AI22)=FALSE),"",IF(AND(#REF!="Tolerance",$E22&lt;&gt;""),($O22-$E22)/(($J22-$K22)/2),IF(AND(#REF!="GD&amp;T",$F22&lt;&gt;""),$O22/$F22,"")))</f>
        <v/>
      </c>
      <c r="S22" s="79" t="str">
        <f t="shared" si="13"/>
        <v/>
      </c>
      <c r="T22" s="78" t="str">
        <f t="shared" si="5"/>
        <v/>
      </c>
      <c r="U22" s="78" t="str">
        <f t="shared" si="6"/>
        <v/>
      </c>
      <c r="V22" s="78" t="str">
        <f t="shared" si="7"/>
        <v/>
      </c>
      <c r="W22" s="70" t="str">
        <f t="shared" si="8"/>
        <v/>
      </c>
      <c r="X22" s="71" t="e">
        <f>IF($O22="","",IF(#REF!="Tolerance",IF((#REF!*3*P22+O22)-E22&lt;F22,"",(#REF!*3*P22+O22)-E22),IF(OR(#REF!="GD&amp;T",#REF!="MAX"),IF((#REF!*3*P22+O22)&lt;F22,"",(#REF!*3*P22+O22)),"")))</f>
        <v>#REF!</v>
      </c>
      <c r="Y22" s="71" t="e">
        <f>IF(O22="","",IF(#REF!="Tolerance",IF(-((#REF!*3*P22)-O22)-E22&gt;G22,"",-((#REF!*3*P22)-O22)-E22),IF(#REF!="MIN",IF(-((#REF!*3*P22)-O22)&gt;G22,"",-((#REF!*3*P22)-O22)),"")))</f>
        <v>#REF!</v>
      </c>
      <c r="Z22" s="71">
        <f t="shared" si="9"/>
        <v>3.9380000000000002</v>
      </c>
      <c r="AA22" s="71" t="str">
        <f t="shared" si="10"/>
        <v/>
      </c>
      <c r="AB22" s="80"/>
      <c r="AC22" s="81" t="str">
        <f t="shared" si="14"/>
        <v/>
      </c>
      <c r="AD22" s="115"/>
      <c r="AE22" s="72"/>
      <c r="AF22" s="72"/>
      <c r="AG22" s="73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</row>
    <row r="23" spans="2:66" ht="19.2" customHeight="1">
      <c r="B23" s="66" t="s">
        <v>92</v>
      </c>
      <c r="C23" s="75" t="s">
        <v>124</v>
      </c>
      <c r="D23" s="83" t="s">
        <v>45</v>
      </c>
      <c r="E23" s="102">
        <v>3.9380000000000002</v>
      </c>
      <c r="F23" s="103">
        <v>0.03</v>
      </c>
      <c r="G23" s="103">
        <v>-0.03</v>
      </c>
      <c r="H23" s="104" t="s">
        <v>46</v>
      </c>
      <c r="I23" s="67"/>
      <c r="J23" s="68">
        <f t="shared" si="11"/>
        <v>3.968</v>
      </c>
      <c r="K23" s="68">
        <f t="shared" si="12"/>
        <v>3.9080000000000004</v>
      </c>
      <c r="L23" s="69"/>
      <c r="M23" s="84">
        <f t="shared" si="0"/>
        <v>0</v>
      </c>
      <c r="N23" s="84">
        <f t="shared" si="1"/>
        <v>0</v>
      </c>
      <c r="O23" s="84">
        <f t="shared" si="2"/>
        <v>0</v>
      </c>
      <c r="P23" s="85">
        <f t="shared" si="3"/>
        <v>0</v>
      </c>
      <c r="Q23" s="78" t="str">
        <f t="shared" si="4"/>
        <v/>
      </c>
      <c r="R23" s="79" t="str">
        <f>IF(OR($AI23="",ISNUMBER($AI23)=FALSE),"",IF(AND(#REF!="Tolerance",$E23&lt;&gt;""),($O23-$E23)/(($J23-$K23)/2),IF(AND(#REF!="GD&amp;T",$F23&lt;&gt;""),$O23/$F23,"")))</f>
        <v/>
      </c>
      <c r="S23" s="79" t="str">
        <f t="shared" si="13"/>
        <v/>
      </c>
      <c r="T23" s="78" t="str">
        <f t="shared" si="5"/>
        <v/>
      </c>
      <c r="U23" s="78" t="str">
        <f t="shared" si="6"/>
        <v/>
      </c>
      <c r="V23" s="78" t="str">
        <f t="shared" si="7"/>
        <v/>
      </c>
      <c r="W23" s="70" t="str">
        <f t="shared" si="8"/>
        <v/>
      </c>
      <c r="X23" s="71" t="e">
        <f>IF($O23="","",IF(#REF!="Tolerance",IF((#REF!*3*P23+O23)-E23&lt;F23,"",(#REF!*3*P23+O23)-E23),IF(OR(#REF!="GD&amp;T",#REF!="MAX"),IF((#REF!*3*P23+O23)&lt;F23,"",(#REF!*3*P23+O23)),"")))</f>
        <v>#REF!</v>
      </c>
      <c r="Y23" s="71" t="e">
        <f>IF(O23="","",IF(#REF!="Tolerance",IF(-((#REF!*3*P23)-O23)-E23&gt;G23,"",-((#REF!*3*P23)-O23)-E23),IF(#REF!="MIN",IF(-((#REF!*3*P23)-O23)&gt;G23,"",-((#REF!*3*P23)-O23)),"")))</f>
        <v>#REF!</v>
      </c>
      <c r="Z23" s="71">
        <f t="shared" si="9"/>
        <v>3.9380000000000002</v>
      </c>
      <c r="AA23" s="71" t="str">
        <f t="shared" si="10"/>
        <v/>
      </c>
      <c r="AB23" s="80"/>
      <c r="AC23" s="81" t="str">
        <f t="shared" si="14"/>
        <v/>
      </c>
      <c r="AD23" s="115"/>
      <c r="AE23" s="72"/>
      <c r="AF23" s="72"/>
      <c r="AG23" s="73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</row>
    <row r="24" spans="2:66" ht="19.2" customHeight="1">
      <c r="B24" s="66" t="s">
        <v>92</v>
      </c>
      <c r="C24" s="75" t="s">
        <v>125</v>
      </c>
      <c r="D24" s="83" t="s">
        <v>45</v>
      </c>
      <c r="E24" s="102">
        <v>3.9380000000000002</v>
      </c>
      <c r="F24" s="103">
        <v>0.03</v>
      </c>
      <c r="G24" s="103">
        <v>-0.03</v>
      </c>
      <c r="H24" s="104" t="s">
        <v>46</v>
      </c>
      <c r="I24" s="67"/>
      <c r="J24" s="68">
        <f t="shared" si="11"/>
        <v>3.968</v>
      </c>
      <c r="K24" s="68">
        <f t="shared" si="12"/>
        <v>3.9080000000000004</v>
      </c>
      <c r="L24" s="69"/>
      <c r="M24" s="84">
        <f t="shared" si="0"/>
        <v>0</v>
      </c>
      <c r="N24" s="84">
        <f t="shared" si="1"/>
        <v>0</v>
      </c>
      <c r="O24" s="84">
        <f t="shared" si="2"/>
        <v>0</v>
      </c>
      <c r="P24" s="85">
        <f t="shared" si="3"/>
        <v>0</v>
      </c>
      <c r="Q24" s="78" t="str">
        <f t="shared" si="4"/>
        <v/>
      </c>
      <c r="R24" s="79" t="str">
        <f>IF(OR($AI24="",ISNUMBER($AI24)=FALSE),"",IF(AND(#REF!="Tolerance",$E24&lt;&gt;""),($O24-$E24)/(($J24-$K24)/2),IF(AND(#REF!="GD&amp;T",$F24&lt;&gt;""),$O24/$F24,"")))</f>
        <v/>
      </c>
      <c r="S24" s="79" t="str">
        <f t="shared" si="13"/>
        <v/>
      </c>
      <c r="T24" s="78" t="str">
        <f t="shared" si="5"/>
        <v/>
      </c>
      <c r="U24" s="78" t="str">
        <f t="shared" si="6"/>
        <v/>
      </c>
      <c r="V24" s="78" t="str">
        <f t="shared" si="7"/>
        <v/>
      </c>
      <c r="W24" s="70" t="str">
        <f t="shared" si="8"/>
        <v/>
      </c>
      <c r="X24" s="71" t="e">
        <f>IF($O24="","",IF(#REF!="Tolerance",IF((#REF!*3*P24+O24)-E24&lt;F24,"",(#REF!*3*P24+O24)-E24),IF(OR(#REF!="GD&amp;T",#REF!="MAX"),IF((#REF!*3*P24+O24)&lt;F24,"",(#REF!*3*P24+O24)),"")))</f>
        <v>#REF!</v>
      </c>
      <c r="Y24" s="71" t="e">
        <f>IF(O24="","",IF(#REF!="Tolerance",IF(-((#REF!*3*P24)-O24)-E24&gt;G24,"",-((#REF!*3*P24)-O24)-E24),IF(#REF!="MIN",IF(-((#REF!*3*P24)-O24)&gt;G24,"",-((#REF!*3*P24)-O24)),"")))</f>
        <v>#REF!</v>
      </c>
      <c r="Z24" s="71">
        <f t="shared" si="9"/>
        <v>3.9380000000000002</v>
      </c>
      <c r="AA24" s="71" t="str">
        <f t="shared" si="10"/>
        <v/>
      </c>
      <c r="AB24" s="80"/>
      <c r="AC24" s="81" t="str">
        <f t="shared" si="14"/>
        <v/>
      </c>
      <c r="AD24" s="115"/>
      <c r="AE24" s="72"/>
      <c r="AF24" s="72"/>
      <c r="AG24" s="73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</row>
    <row r="25" spans="2:66" ht="19.2" customHeight="1">
      <c r="B25" s="66" t="s">
        <v>316</v>
      </c>
      <c r="C25" s="75" t="s">
        <v>339</v>
      </c>
      <c r="D25" s="83" t="s">
        <v>45</v>
      </c>
      <c r="E25" s="102">
        <v>1.125</v>
      </c>
      <c r="F25" s="103">
        <v>0.03</v>
      </c>
      <c r="G25" s="103">
        <v>-0.02</v>
      </c>
      <c r="H25" s="104" t="s">
        <v>231</v>
      </c>
      <c r="I25" s="67"/>
      <c r="J25" s="68">
        <f t="shared" si="11"/>
        <v>1.155</v>
      </c>
      <c r="K25" s="68">
        <f t="shared" si="12"/>
        <v>1.105</v>
      </c>
      <c r="L25" s="69"/>
      <c r="M25" s="84">
        <f t="shared" si="0"/>
        <v>0</v>
      </c>
      <c r="N25" s="84">
        <f t="shared" si="1"/>
        <v>0</v>
      </c>
      <c r="O25" s="84">
        <f t="shared" si="2"/>
        <v>0</v>
      </c>
      <c r="P25" s="85">
        <f t="shared" si="3"/>
        <v>0</v>
      </c>
      <c r="Q25" s="78" t="str">
        <f t="shared" si="4"/>
        <v/>
      </c>
      <c r="R25" s="79" t="str">
        <f>IF(OR($AI25="",ISNUMBER($AI25)=FALSE),"",IF(AND(#REF!="Tolerance",$E25&lt;&gt;""),($O25-$E25)/(($J25-$K25)/2),IF(AND(#REF!="GD&amp;T",$F25&lt;&gt;""),$O25/$F25,"")))</f>
        <v/>
      </c>
      <c r="S25" s="79" t="str">
        <f t="shared" si="13"/>
        <v/>
      </c>
      <c r="T25" s="78" t="str">
        <f t="shared" si="5"/>
        <v/>
      </c>
      <c r="U25" s="78" t="str">
        <f t="shared" si="6"/>
        <v/>
      </c>
      <c r="V25" s="78" t="str">
        <f t="shared" si="7"/>
        <v/>
      </c>
      <c r="W25" s="70" t="str">
        <f t="shared" si="8"/>
        <v/>
      </c>
      <c r="X25" s="71"/>
      <c r="Y25" s="71"/>
      <c r="Z25" s="71"/>
      <c r="AA25" s="71"/>
      <c r="AB25" s="80"/>
      <c r="AC25" s="81" t="str">
        <f t="shared" si="14"/>
        <v/>
      </c>
      <c r="AD25" s="115"/>
      <c r="AE25" s="72"/>
      <c r="AF25" s="72"/>
      <c r="AG25" s="73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</row>
    <row r="26" spans="2:66" ht="19.2" customHeight="1">
      <c r="B26" s="66" t="s">
        <v>316</v>
      </c>
      <c r="C26" s="75" t="s">
        <v>340</v>
      </c>
      <c r="D26" s="83" t="s">
        <v>45</v>
      </c>
      <c r="E26" s="102">
        <v>1.125</v>
      </c>
      <c r="F26" s="103">
        <v>0.03</v>
      </c>
      <c r="G26" s="103">
        <v>-0.02</v>
      </c>
      <c r="H26" s="104" t="s">
        <v>231</v>
      </c>
      <c r="I26" s="67"/>
      <c r="J26" s="68">
        <f t="shared" si="11"/>
        <v>1.155</v>
      </c>
      <c r="K26" s="68">
        <f t="shared" si="12"/>
        <v>1.105</v>
      </c>
      <c r="L26" s="69"/>
      <c r="M26" s="84">
        <f t="shared" si="0"/>
        <v>0</v>
      </c>
      <c r="N26" s="84">
        <f t="shared" si="1"/>
        <v>0</v>
      </c>
      <c r="O26" s="84">
        <f t="shared" si="2"/>
        <v>0</v>
      </c>
      <c r="P26" s="85">
        <f t="shared" si="3"/>
        <v>0</v>
      </c>
      <c r="Q26" s="78" t="str">
        <f t="shared" si="4"/>
        <v/>
      </c>
      <c r="R26" s="79" t="str">
        <f>IF(OR($AI26="",ISNUMBER($AI26)=FALSE),"",IF(AND(#REF!="Tolerance",$E26&lt;&gt;""),($O26-$E26)/(($J26-$K26)/2),IF(AND(#REF!="GD&amp;T",$F26&lt;&gt;""),$O26/$F26,"")))</f>
        <v/>
      </c>
      <c r="S26" s="79" t="str">
        <f t="shared" si="13"/>
        <v/>
      </c>
      <c r="T26" s="78" t="str">
        <f t="shared" si="5"/>
        <v/>
      </c>
      <c r="U26" s="78" t="str">
        <f t="shared" si="6"/>
        <v/>
      </c>
      <c r="V26" s="78" t="str">
        <f t="shared" si="7"/>
        <v/>
      </c>
      <c r="W26" s="70" t="str">
        <f t="shared" si="8"/>
        <v/>
      </c>
      <c r="X26" s="71"/>
      <c r="Y26" s="71"/>
      <c r="Z26" s="71"/>
      <c r="AA26" s="71"/>
      <c r="AB26" s="80"/>
      <c r="AC26" s="81" t="str">
        <f t="shared" si="14"/>
        <v/>
      </c>
      <c r="AD26" s="115"/>
      <c r="AE26" s="72"/>
      <c r="AF26" s="72"/>
      <c r="AG26" s="73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</row>
    <row r="27" spans="2:66" ht="19.2" customHeight="1">
      <c r="B27" s="66" t="s">
        <v>316</v>
      </c>
      <c r="C27" s="75" t="s">
        <v>341</v>
      </c>
      <c r="D27" s="83" t="s">
        <v>45</v>
      </c>
      <c r="E27" s="102">
        <v>1.125</v>
      </c>
      <c r="F27" s="103">
        <v>0.03</v>
      </c>
      <c r="G27" s="103">
        <v>-0.02</v>
      </c>
      <c r="H27" s="104" t="s">
        <v>231</v>
      </c>
      <c r="I27" s="67"/>
      <c r="J27" s="68">
        <f t="shared" si="11"/>
        <v>1.155</v>
      </c>
      <c r="K27" s="68">
        <f t="shared" si="12"/>
        <v>1.105</v>
      </c>
      <c r="L27" s="69"/>
      <c r="M27" s="84">
        <f t="shared" si="0"/>
        <v>0</v>
      </c>
      <c r="N27" s="84">
        <f t="shared" si="1"/>
        <v>0</v>
      </c>
      <c r="O27" s="84">
        <f t="shared" si="2"/>
        <v>0</v>
      </c>
      <c r="P27" s="85">
        <f t="shared" si="3"/>
        <v>0</v>
      </c>
      <c r="Q27" s="78" t="str">
        <f t="shared" si="4"/>
        <v/>
      </c>
      <c r="R27" s="79" t="str">
        <f>IF(OR($AI27="",ISNUMBER($AI27)=FALSE),"",IF(AND(#REF!="Tolerance",$E27&lt;&gt;""),($O27-$E27)/(($J27-$K27)/2),IF(AND(#REF!="GD&amp;T",$F27&lt;&gt;""),$O27/$F27,"")))</f>
        <v/>
      </c>
      <c r="S27" s="79" t="str">
        <f t="shared" si="13"/>
        <v/>
      </c>
      <c r="T27" s="78" t="str">
        <f t="shared" si="5"/>
        <v/>
      </c>
      <c r="U27" s="78" t="str">
        <f t="shared" si="6"/>
        <v/>
      </c>
      <c r="V27" s="78" t="str">
        <f t="shared" si="7"/>
        <v/>
      </c>
      <c r="W27" s="70" t="str">
        <f t="shared" si="8"/>
        <v/>
      </c>
      <c r="X27" s="71"/>
      <c r="Y27" s="71"/>
      <c r="Z27" s="71"/>
      <c r="AA27" s="71"/>
      <c r="AB27" s="80"/>
      <c r="AC27" s="81" t="str">
        <f t="shared" si="14"/>
        <v/>
      </c>
      <c r="AD27" s="115"/>
      <c r="AE27" s="72"/>
      <c r="AF27" s="72"/>
      <c r="AG27" s="73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</row>
    <row r="28" spans="2:66" ht="19.2" customHeight="1">
      <c r="B28" s="66" t="s">
        <v>316</v>
      </c>
      <c r="C28" s="75" t="s">
        <v>342</v>
      </c>
      <c r="D28" s="83" t="s">
        <v>45</v>
      </c>
      <c r="E28" s="102">
        <v>1.125</v>
      </c>
      <c r="F28" s="103">
        <v>0.03</v>
      </c>
      <c r="G28" s="103">
        <v>-0.02</v>
      </c>
      <c r="H28" s="104" t="s">
        <v>231</v>
      </c>
      <c r="I28" s="67"/>
      <c r="J28" s="68">
        <f t="shared" si="11"/>
        <v>1.155</v>
      </c>
      <c r="K28" s="68">
        <f t="shared" si="12"/>
        <v>1.105</v>
      </c>
      <c r="L28" s="69"/>
      <c r="M28" s="84">
        <f t="shared" si="0"/>
        <v>0</v>
      </c>
      <c r="N28" s="84">
        <f t="shared" si="1"/>
        <v>0</v>
      </c>
      <c r="O28" s="84">
        <f t="shared" si="2"/>
        <v>0</v>
      </c>
      <c r="P28" s="85">
        <f t="shared" si="3"/>
        <v>0</v>
      </c>
      <c r="Q28" s="78" t="str">
        <f t="shared" si="4"/>
        <v/>
      </c>
      <c r="R28" s="79" t="str">
        <f>IF(OR($AI28="",ISNUMBER($AI28)=FALSE),"",IF(AND(#REF!="Tolerance",$E28&lt;&gt;""),($O28-$E28)/(($J28-$K28)/2),IF(AND(#REF!="GD&amp;T",$F28&lt;&gt;""),$O28/$F28,"")))</f>
        <v/>
      </c>
      <c r="S28" s="79" t="str">
        <f t="shared" si="13"/>
        <v/>
      </c>
      <c r="T28" s="78" t="str">
        <f t="shared" si="5"/>
        <v/>
      </c>
      <c r="U28" s="78" t="str">
        <f t="shared" si="6"/>
        <v/>
      </c>
      <c r="V28" s="78" t="str">
        <f t="shared" si="7"/>
        <v/>
      </c>
      <c r="W28" s="70" t="str">
        <f t="shared" si="8"/>
        <v/>
      </c>
      <c r="X28" s="71"/>
      <c r="Y28" s="71"/>
      <c r="Z28" s="71"/>
      <c r="AA28" s="71"/>
      <c r="AB28" s="80"/>
      <c r="AC28" s="81" t="str">
        <f t="shared" si="14"/>
        <v/>
      </c>
      <c r="AD28" s="115"/>
      <c r="AE28" s="72"/>
      <c r="AF28" s="72"/>
      <c r="AG28" s="73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</row>
    <row r="29" spans="2:66" ht="19.2" customHeight="1">
      <c r="B29" s="66" t="s">
        <v>316</v>
      </c>
      <c r="C29" s="75" t="s">
        <v>343</v>
      </c>
      <c r="D29" s="83" t="s">
        <v>45</v>
      </c>
      <c r="E29" s="102">
        <v>1.125</v>
      </c>
      <c r="F29" s="103">
        <v>0.03</v>
      </c>
      <c r="G29" s="103">
        <v>-0.02</v>
      </c>
      <c r="H29" s="104" t="s">
        <v>231</v>
      </c>
      <c r="I29" s="67"/>
      <c r="J29" s="68">
        <f t="shared" si="11"/>
        <v>1.155</v>
      </c>
      <c r="K29" s="68">
        <f t="shared" si="12"/>
        <v>1.105</v>
      </c>
      <c r="L29" s="69"/>
      <c r="M29" s="84">
        <f t="shared" si="0"/>
        <v>0</v>
      </c>
      <c r="N29" s="84">
        <f t="shared" si="1"/>
        <v>0</v>
      </c>
      <c r="O29" s="84">
        <f t="shared" si="2"/>
        <v>0</v>
      </c>
      <c r="P29" s="85">
        <f t="shared" si="3"/>
        <v>0</v>
      </c>
      <c r="Q29" s="78" t="str">
        <f t="shared" si="4"/>
        <v/>
      </c>
      <c r="R29" s="79" t="str">
        <f>IF(OR($AI29="",ISNUMBER($AI29)=FALSE),"",IF(AND(#REF!="Tolerance",$E29&lt;&gt;""),($O29-$E29)/(($J29-$K29)/2),IF(AND(#REF!="GD&amp;T",$F29&lt;&gt;""),$O29/$F29,"")))</f>
        <v/>
      </c>
      <c r="S29" s="79" t="str">
        <f t="shared" si="13"/>
        <v/>
      </c>
      <c r="T29" s="78" t="str">
        <f t="shared" si="5"/>
        <v/>
      </c>
      <c r="U29" s="78" t="str">
        <f t="shared" si="6"/>
        <v/>
      </c>
      <c r="V29" s="78" t="str">
        <f t="shared" si="7"/>
        <v/>
      </c>
      <c r="W29" s="70" t="str">
        <f t="shared" si="8"/>
        <v/>
      </c>
      <c r="X29" s="71"/>
      <c r="Y29" s="71"/>
      <c r="Z29" s="71"/>
      <c r="AA29" s="71"/>
      <c r="AB29" s="80"/>
      <c r="AC29" s="81" t="str">
        <f t="shared" si="14"/>
        <v/>
      </c>
      <c r="AD29" s="115"/>
      <c r="AE29" s="72"/>
      <c r="AF29" s="72"/>
      <c r="AG29" s="73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</row>
    <row r="30" spans="2:66" ht="19.2" customHeight="1">
      <c r="B30" s="66" t="s">
        <v>316</v>
      </c>
      <c r="C30" s="75" t="s">
        <v>344</v>
      </c>
      <c r="D30" s="83" t="s">
        <v>45</v>
      </c>
      <c r="E30" s="102">
        <v>1.125</v>
      </c>
      <c r="F30" s="103">
        <v>0.03</v>
      </c>
      <c r="G30" s="103">
        <v>-0.02</v>
      </c>
      <c r="H30" s="104" t="s">
        <v>231</v>
      </c>
      <c r="I30" s="67"/>
      <c r="J30" s="68">
        <f t="shared" si="11"/>
        <v>1.155</v>
      </c>
      <c r="K30" s="68">
        <f t="shared" si="12"/>
        <v>1.105</v>
      </c>
      <c r="L30" s="69"/>
      <c r="M30" s="84">
        <f t="shared" si="0"/>
        <v>0</v>
      </c>
      <c r="N30" s="84">
        <f t="shared" si="1"/>
        <v>0</v>
      </c>
      <c r="O30" s="84">
        <f t="shared" si="2"/>
        <v>0</v>
      </c>
      <c r="P30" s="85">
        <f t="shared" si="3"/>
        <v>0</v>
      </c>
      <c r="Q30" s="78" t="str">
        <f t="shared" si="4"/>
        <v/>
      </c>
      <c r="R30" s="79" t="str">
        <f>IF(OR($AI30="",ISNUMBER($AI30)=FALSE),"",IF(AND(#REF!="Tolerance",$E30&lt;&gt;""),($O30-$E30)/(($J30-$K30)/2),IF(AND(#REF!="GD&amp;T",$F30&lt;&gt;""),$O30/$F30,"")))</f>
        <v/>
      </c>
      <c r="S30" s="79" t="str">
        <f t="shared" si="13"/>
        <v/>
      </c>
      <c r="T30" s="78" t="str">
        <f t="shared" si="5"/>
        <v/>
      </c>
      <c r="U30" s="78" t="str">
        <f t="shared" si="6"/>
        <v/>
      </c>
      <c r="V30" s="78" t="str">
        <f t="shared" si="7"/>
        <v/>
      </c>
      <c r="W30" s="70" t="str">
        <f t="shared" si="8"/>
        <v/>
      </c>
      <c r="X30" s="71" t="e">
        <f>IF($O30="","",IF(#REF!="Tolerance",IF((#REF!*3*P30+O30)-E30&lt;F30,"",(#REF!*3*P30+O30)-E30),IF(OR(#REF!="GD&amp;T",#REF!="MAX"),IF((#REF!*3*P30+O30)&lt;F30,"",(#REF!*3*P30+O30)),"")))</f>
        <v>#REF!</v>
      </c>
      <c r="Y30" s="71" t="e">
        <f>IF(O30="","",IF(#REF!="Tolerance",IF(-((#REF!*3*P30)-O30)-E30&gt;G30,"",-((#REF!*3*P30)-O30)-E30),IF(#REF!="MIN",IF(-((#REF!*3*P30)-O30)&gt;G30,"",-((#REF!*3*P30)-O30)),"")))</f>
        <v>#REF!</v>
      </c>
      <c r="Z30" s="71">
        <f t="shared" ref="Z30:Z61" si="15">IF(OR(E30="",O30=""),"",(J30+K30)/2-O30)</f>
        <v>1.1299999999999999</v>
      </c>
      <c r="AA30" s="71" t="str">
        <f t="shared" si="10"/>
        <v/>
      </c>
      <c r="AB30" s="80"/>
      <c r="AC30" s="81" t="str">
        <f t="shared" si="14"/>
        <v/>
      </c>
      <c r="AD30" s="115"/>
      <c r="AE30" s="72"/>
      <c r="AF30" s="72"/>
      <c r="AG30" s="73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</row>
    <row r="31" spans="2:66" ht="19.2" customHeight="1">
      <c r="B31" s="66" t="s">
        <v>352</v>
      </c>
      <c r="C31" s="101" t="s">
        <v>345</v>
      </c>
      <c r="D31" s="83" t="s">
        <v>45</v>
      </c>
      <c r="E31" s="102">
        <v>0.27500000000000002</v>
      </c>
      <c r="F31" s="103">
        <v>0.03</v>
      </c>
      <c r="G31" s="103">
        <v>-0.03</v>
      </c>
      <c r="H31" s="104" t="s">
        <v>46</v>
      </c>
      <c r="I31" s="67"/>
      <c r="J31" s="68">
        <f t="shared" si="11"/>
        <v>0.30500000000000005</v>
      </c>
      <c r="K31" s="68">
        <f t="shared" si="12"/>
        <v>0.24500000000000002</v>
      </c>
      <c r="L31" s="69"/>
      <c r="M31" s="84">
        <f t="shared" ref="M31:M37" si="16">IF(OR($AI31=ISBLANK(TRUE),ISNUMBER($AI31)=FALSE),,MAX(AI31:BN31))</f>
        <v>0</v>
      </c>
      <c r="N31" s="84">
        <f t="shared" ref="N31:N37" si="17">IF(OR($AI31=ISBLANK(TRUE),ISNUMBER($AI31)=FALSE),,MIN(AI31:BN31))</f>
        <v>0</v>
      </c>
      <c r="O31" s="84">
        <f t="shared" ref="O31:O37" si="18">IF(OR($AI31=ISBLANK(TRUE),ISNUMBER($AI31)=FALSE),,AVERAGE(AI31:BN31))</f>
        <v>0</v>
      </c>
      <c r="P31" s="85">
        <f t="shared" ref="P31:P37" si="19">IF(OR($AI31=ISBLANK(TRUE),ISNUMBER($AI31)=FALSE),,STDEV(AI31:BN31))</f>
        <v>0</v>
      </c>
      <c r="Q31" s="78" t="str">
        <f t="shared" si="4"/>
        <v/>
      </c>
      <c r="R31" s="79" t="str">
        <f>IF(OR($AI31="",ISNUMBER($AI31)=FALSE),"",IF(AND(#REF!="Tolerance",$E31&lt;&gt;""),($O31-$E31)/(($J31-$K31)/2),IF(AND(#REF!="GD&amp;T",$F31&lt;&gt;""),$O31/$F31,"")))</f>
        <v/>
      </c>
      <c r="S31" s="79" t="str">
        <f t="shared" si="13"/>
        <v/>
      </c>
      <c r="T31" s="78" t="str">
        <f t="shared" si="5"/>
        <v/>
      </c>
      <c r="U31" s="78" t="str">
        <f t="shared" si="6"/>
        <v/>
      </c>
      <c r="V31" s="78" t="str">
        <f t="shared" si="7"/>
        <v/>
      </c>
      <c r="W31" s="70" t="str">
        <f t="shared" si="8"/>
        <v/>
      </c>
      <c r="X31" s="71" t="e">
        <f>IF($O31="","",IF(#REF!="Tolerance",IF((#REF!*3*P31+O31)-E31&lt;F31,"",(#REF!*3*P31+O31)-E31),IF(OR(#REF!="GD&amp;T",#REF!="MAX"),IF((#REF!*3*P31+O31)&lt;F31,"",(#REF!*3*P31+O31)),"")))</f>
        <v>#REF!</v>
      </c>
      <c r="Y31" s="71" t="e">
        <f>IF(O31="","",IF(#REF!="Tolerance",IF(-((#REF!*3*P31)-O31)-E31&gt;G31,"",-((#REF!*3*P31)-O31)-E31),IF(#REF!="MIN",IF(-((#REF!*3*P31)-O31)&gt;G31,"",-((#REF!*3*P31)-O31)),"")))</f>
        <v>#REF!</v>
      </c>
      <c r="Z31" s="71">
        <f t="shared" si="15"/>
        <v>0.27500000000000002</v>
      </c>
      <c r="AA31" s="71" t="str">
        <f t="shared" si="10"/>
        <v/>
      </c>
      <c r="AB31" s="80"/>
      <c r="AC31" s="81" t="str">
        <f t="shared" si="14"/>
        <v/>
      </c>
      <c r="AD31" s="115"/>
      <c r="AE31" s="72"/>
      <c r="AF31" s="72"/>
      <c r="AG31" s="73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</row>
    <row r="32" spans="2:66" ht="19.2" customHeight="1">
      <c r="B32" s="66" t="s">
        <v>352</v>
      </c>
      <c r="C32" s="101" t="s">
        <v>346</v>
      </c>
      <c r="D32" s="83" t="s">
        <v>45</v>
      </c>
      <c r="E32" s="102">
        <v>0.27500000000000002</v>
      </c>
      <c r="F32" s="103">
        <v>0.03</v>
      </c>
      <c r="G32" s="103">
        <v>-0.03</v>
      </c>
      <c r="H32" s="104" t="s">
        <v>46</v>
      </c>
      <c r="I32" s="67"/>
      <c r="J32" s="68">
        <f t="shared" si="11"/>
        <v>0.30500000000000005</v>
      </c>
      <c r="K32" s="68">
        <f t="shared" si="12"/>
        <v>0.24500000000000002</v>
      </c>
      <c r="L32" s="69"/>
      <c r="M32" s="84">
        <f t="shared" si="16"/>
        <v>0</v>
      </c>
      <c r="N32" s="84">
        <f t="shared" si="17"/>
        <v>0</v>
      </c>
      <c r="O32" s="84">
        <f t="shared" si="18"/>
        <v>0</v>
      </c>
      <c r="P32" s="85">
        <f t="shared" si="19"/>
        <v>0</v>
      </c>
      <c r="Q32" s="78" t="str">
        <f t="shared" si="4"/>
        <v/>
      </c>
      <c r="R32" s="79" t="str">
        <f>IF(OR($AI32="",ISNUMBER($AI32)=FALSE),"",IF(AND(#REF!="Tolerance",$E32&lt;&gt;""),($O32-$E32)/(($J32-$K32)/2),IF(AND(#REF!="GD&amp;T",$F32&lt;&gt;""),$O32/$F32,"")))</f>
        <v/>
      </c>
      <c r="S32" s="79" t="str">
        <f t="shared" si="13"/>
        <v/>
      </c>
      <c r="T32" s="78" t="str">
        <f t="shared" si="5"/>
        <v/>
      </c>
      <c r="U32" s="78" t="str">
        <f t="shared" si="6"/>
        <v/>
      </c>
      <c r="V32" s="78" t="str">
        <f t="shared" si="7"/>
        <v/>
      </c>
      <c r="W32" s="70" t="str">
        <f t="shared" si="8"/>
        <v/>
      </c>
      <c r="X32" s="71" t="e">
        <f>IF($O32="","",IF(#REF!="Tolerance",IF((#REF!*3*P32+O32)-E32&lt;F32,"",(#REF!*3*P32+O32)-E32),IF(OR(#REF!="GD&amp;T",#REF!="MAX"),IF((#REF!*3*P32+O32)&lt;F32,"",(#REF!*3*P32+O32)),"")))</f>
        <v>#REF!</v>
      </c>
      <c r="Y32" s="71" t="e">
        <f>IF(O32="","",IF(#REF!="Tolerance",IF(-((#REF!*3*P32)-O32)-E32&gt;G32,"",-((#REF!*3*P32)-O32)-E32),IF(#REF!="MIN",IF(-((#REF!*3*P32)-O32)&gt;G32,"",-((#REF!*3*P32)-O32)),"")))</f>
        <v>#REF!</v>
      </c>
      <c r="Z32" s="71">
        <f t="shared" si="15"/>
        <v>0.27500000000000002</v>
      </c>
      <c r="AA32" s="71" t="str">
        <f t="shared" si="10"/>
        <v/>
      </c>
      <c r="AB32" s="80"/>
      <c r="AC32" s="81" t="str">
        <f t="shared" si="14"/>
        <v/>
      </c>
      <c r="AD32" s="115"/>
      <c r="AE32" s="72"/>
      <c r="AF32" s="72"/>
      <c r="AG32" s="73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</row>
    <row r="33" spans="2:66" ht="19.2" customHeight="1">
      <c r="B33" s="66" t="s">
        <v>352</v>
      </c>
      <c r="C33" s="101" t="s">
        <v>347</v>
      </c>
      <c r="D33" s="83" t="s">
        <v>45</v>
      </c>
      <c r="E33" s="102">
        <v>0.27500000000000002</v>
      </c>
      <c r="F33" s="103">
        <v>0.03</v>
      </c>
      <c r="G33" s="103">
        <v>-0.03</v>
      </c>
      <c r="H33" s="104" t="s">
        <v>46</v>
      </c>
      <c r="I33" s="67"/>
      <c r="J33" s="68">
        <f t="shared" si="11"/>
        <v>0.30500000000000005</v>
      </c>
      <c r="K33" s="68">
        <f t="shared" si="12"/>
        <v>0.24500000000000002</v>
      </c>
      <c r="L33" s="69"/>
      <c r="M33" s="84">
        <f t="shared" si="16"/>
        <v>0</v>
      </c>
      <c r="N33" s="84">
        <f t="shared" si="17"/>
        <v>0</v>
      </c>
      <c r="O33" s="84">
        <f t="shared" si="18"/>
        <v>0</v>
      </c>
      <c r="P33" s="85">
        <f t="shared" si="19"/>
        <v>0</v>
      </c>
      <c r="Q33" s="78" t="str">
        <f t="shared" si="4"/>
        <v/>
      </c>
      <c r="R33" s="79" t="str">
        <f>IF(OR($AI33="",ISNUMBER($AI33)=FALSE),"",IF(AND(#REF!="Tolerance",$E33&lt;&gt;""),($O33-$E33)/(($J33-$K33)/2),IF(AND(#REF!="GD&amp;T",$F33&lt;&gt;""),$O33/$F33,"")))</f>
        <v/>
      </c>
      <c r="S33" s="79" t="str">
        <f t="shared" si="13"/>
        <v/>
      </c>
      <c r="T33" s="78" t="str">
        <f t="shared" si="5"/>
        <v/>
      </c>
      <c r="U33" s="78" t="str">
        <f t="shared" si="6"/>
        <v/>
      </c>
      <c r="V33" s="78" t="str">
        <f t="shared" si="7"/>
        <v/>
      </c>
      <c r="W33" s="70" t="str">
        <f t="shared" si="8"/>
        <v/>
      </c>
      <c r="X33" s="71" t="e">
        <f>IF($O33="","",IF(#REF!="Tolerance",IF((#REF!*3*P33+O33)-E33&lt;F33,"",(#REF!*3*P33+O33)-E33),IF(OR(#REF!="GD&amp;T",#REF!="MAX"),IF((#REF!*3*P33+O33)&lt;F33,"",(#REF!*3*P33+O33)),"")))</f>
        <v>#REF!</v>
      </c>
      <c r="Y33" s="71" t="e">
        <f>IF(O33="","",IF(#REF!="Tolerance",IF(-((#REF!*3*P33)-O33)-E33&gt;G33,"",-((#REF!*3*P33)-O33)-E33),IF(#REF!="MIN",IF(-((#REF!*3*P33)-O33)&gt;G33,"",-((#REF!*3*P33)-O33)),"")))</f>
        <v>#REF!</v>
      </c>
      <c r="Z33" s="71">
        <f t="shared" si="15"/>
        <v>0.27500000000000002</v>
      </c>
      <c r="AA33" s="71" t="str">
        <f t="shared" si="10"/>
        <v/>
      </c>
      <c r="AB33" s="80"/>
      <c r="AC33" s="81" t="str">
        <f t="shared" si="14"/>
        <v/>
      </c>
      <c r="AD33" s="115"/>
      <c r="AE33" s="72"/>
      <c r="AF33" s="72"/>
      <c r="AG33" s="73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</row>
    <row r="34" spans="2:66" ht="19.2" customHeight="1">
      <c r="B34" s="66" t="s">
        <v>352</v>
      </c>
      <c r="C34" s="101" t="s">
        <v>348</v>
      </c>
      <c r="D34" s="83" t="s">
        <v>45</v>
      </c>
      <c r="E34" s="102">
        <v>0.27500000000000002</v>
      </c>
      <c r="F34" s="103">
        <v>0.03</v>
      </c>
      <c r="G34" s="103">
        <v>-0.03</v>
      </c>
      <c r="H34" s="104" t="s">
        <v>46</v>
      </c>
      <c r="I34" s="67"/>
      <c r="J34" s="68">
        <f t="shared" si="11"/>
        <v>0.30500000000000005</v>
      </c>
      <c r="K34" s="68">
        <f t="shared" si="12"/>
        <v>0.24500000000000002</v>
      </c>
      <c r="L34" s="69"/>
      <c r="M34" s="84">
        <f t="shared" si="16"/>
        <v>0</v>
      </c>
      <c r="N34" s="84">
        <f t="shared" si="17"/>
        <v>0</v>
      </c>
      <c r="O34" s="84">
        <f t="shared" si="18"/>
        <v>0</v>
      </c>
      <c r="P34" s="85">
        <f t="shared" si="19"/>
        <v>0</v>
      </c>
      <c r="Q34" s="78" t="str">
        <f t="shared" si="4"/>
        <v/>
      </c>
      <c r="R34" s="79" t="str">
        <f>IF(OR($AI34="",ISNUMBER($AI34)=FALSE),"",IF(AND(#REF!="Tolerance",$E34&lt;&gt;""),($O34-$E34)/(($J34-$K34)/2),IF(AND(#REF!="GD&amp;T",$F34&lt;&gt;""),$O34/$F34,"")))</f>
        <v/>
      </c>
      <c r="S34" s="79" t="str">
        <f t="shared" si="13"/>
        <v/>
      </c>
      <c r="T34" s="78" t="str">
        <f t="shared" si="5"/>
        <v/>
      </c>
      <c r="U34" s="78" t="str">
        <f t="shared" si="6"/>
        <v/>
      </c>
      <c r="V34" s="78" t="str">
        <f t="shared" si="7"/>
        <v/>
      </c>
      <c r="W34" s="70" t="str">
        <f t="shared" si="8"/>
        <v/>
      </c>
      <c r="X34" s="71" t="e">
        <f>IF($O34="","",IF(#REF!="Tolerance",IF((#REF!*3*P34+O34)-E34&lt;F34,"",(#REF!*3*P34+O34)-E34),IF(OR(#REF!="GD&amp;T",#REF!="MAX"),IF((#REF!*3*P34+O34)&lt;F34,"",(#REF!*3*P34+O34)),"")))</f>
        <v>#REF!</v>
      </c>
      <c r="Y34" s="71" t="e">
        <f>IF(O34="","",IF(#REF!="Tolerance",IF(-((#REF!*3*P34)-O34)-E34&gt;G34,"",-((#REF!*3*P34)-O34)-E34),IF(#REF!="MIN",IF(-((#REF!*3*P34)-O34)&gt;G34,"",-((#REF!*3*P34)-O34)),"")))</f>
        <v>#REF!</v>
      </c>
      <c r="Z34" s="71">
        <f t="shared" si="15"/>
        <v>0.27500000000000002</v>
      </c>
      <c r="AA34" s="71" t="str">
        <f t="shared" si="10"/>
        <v/>
      </c>
      <c r="AB34" s="80"/>
      <c r="AC34" s="81" t="str">
        <f t="shared" si="14"/>
        <v/>
      </c>
      <c r="AD34" s="115"/>
      <c r="AE34" s="72"/>
      <c r="AF34" s="72"/>
      <c r="AG34" s="73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</row>
    <row r="35" spans="2:66" ht="19.2" customHeight="1">
      <c r="B35" s="66" t="s">
        <v>352</v>
      </c>
      <c r="C35" s="101" t="s">
        <v>349</v>
      </c>
      <c r="D35" s="83" t="s">
        <v>45</v>
      </c>
      <c r="E35" s="102">
        <v>0.27500000000000002</v>
      </c>
      <c r="F35" s="103">
        <v>0.03</v>
      </c>
      <c r="G35" s="103">
        <v>-0.03</v>
      </c>
      <c r="H35" s="104" t="s">
        <v>46</v>
      </c>
      <c r="I35" s="67"/>
      <c r="J35" s="68">
        <f t="shared" si="11"/>
        <v>0.30500000000000005</v>
      </c>
      <c r="K35" s="68">
        <f t="shared" si="12"/>
        <v>0.24500000000000002</v>
      </c>
      <c r="L35" s="69"/>
      <c r="M35" s="84">
        <f t="shared" si="16"/>
        <v>0</v>
      </c>
      <c r="N35" s="84">
        <f t="shared" si="17"/>
        <v>0</v>
      </c>
      <c r="O35" s="84">
        <f t="shared" si="18"/>
        <v>0</v>
      </c>
      <c r="P35" s="85">
        <f t="shared" si="19"/>
        <v>0</v>
      </c>
      <c r="Q35" s="78" t="str">
        <f t="shared" si="4"/>
        <v/>
      </c>
      <c r="R35" s="79" t="str">
        <f>IF(OR($AI35="",ISNUMBER($AI35)=FALSE),"",IF(AND(#REF!="Tolerance",$E35&lt;&gt;""),($O35-$E35)/(($J35-$K35)/2),IF(AND(#REF!="GD&amp;T",$F35&lt;&gt;""),$O35/$F35,"")))</f>
        <v/>
      </c>
      <c r="S35" s="79" t="str">
        <f t="shared" si="13"/>
        <v/>
      </c>
      <c r="T35" s="78" t="str">
        <f t="shared" si="5"/>
        <v/>
      </c>
      <c r="U35" s="78" t="str">
        <f t="shared" si="6"/>
        <v/>
      </c>
      <c r="V35" s="78" t="str">
        <f t="shared" si="7"/>
        <v/>
      </c>
      <c r="W35" s="70" t="str">
        <f t="shared" si="8"/>
        <v/>
      </c>
      <c r="X35" s="71" t="e">
        <f>IF($O35="","",IF(#REF!="Tolerance",IF((#REF!*3*P35+O35)-E35&lt;F35,"",(#REF!*3*P35+O35)-E35),IF(OR(#REF!="GD&amp;T",#REF!="MAX"),IF((#REF!*3*P35+O35)&lt;F35,"",(#REF!*3*P35+O35)),"")))</f>
        <v>#REF!</v>
      </c>
      <c r="Y35" s="71" t="e">
        <f>IF(O35="","",IF(#REF!="Tolerance",IF(-((#REF!*3*P35)-O35)-E35&gt;G35,"",-((#REF!*3*P35)-O35)-E35),IF(#REF!="MIN",IF(-((#REF!*3*P35)-O35)&gt;G35,"",-((#REF!*3*P35)-O35)),"")))</f>
        <v>#REF!</v>
      </c>
      <c r="Z35" s="71">
        <f t="shared" si="15"/>
        <v>0.27500000000000002</v>
      </c>
      <c r="AA35" s="71" t="str">
        <f t="shared" si="10"/>
        <v/>
      </c>
      <c r="AB35" s="80"/>
      <c r="AC35" s="81" t="str">
        <f t="shared" si="14"/>
        <v/>
      </c>
      <c r="AD35" s="115"/>
      <c r="AE35" s="72"/>
      <c r="AF35" s="72"/>
      <c r="AG35" s="73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</row>
    <row r="36" spans="2:66" ht="19.2" customHeight="1">
      <c r="B36" s="66" t="s">
        <v>353</v>
      </c>
      <c r="C36" s="101" t="s">
        <v>350</v>
      </c>
      <c r="D36" s="83" t="s">
        <v>45</v>
      </c>
      <c r="E36" s="102">
        <v>0.27500000000000002</v>
      </c>
      <c r="F36" s="103">
        <v>1.4999999999999999E-2</v>
      </c>
      <c r="G36" s="103">
        <v>-1.4999999999999999E-2</v>
      </c>
      <c r="H36" s="104" t="s">
        <v>46</v>
      </c>
      <c r="I36" s="67"/>
      <c r="J36" s="68">
        <f t="shared" si="11"/>
        <v>0.29000000000000004</v>
      </c>
      <c r="K36" s="68">
        <f t="shared" si="12"/>
        <v>0.26</v>
      </c>
      <c r="L36" s="69"/>
      <c r="M36" s="84">
        <f t="shared" si="16"/>
        <v>0</v>
      </c>
      <c r="N36" s="84">
        <f t="shared" si="17"/>
        <v>0</v>
      </c>
      <c r="O36" s="84">
        <f t="shared" si="18"/>
        <v>0</v>
      </c>
      <c r="P36" s="85">
        <f t="shared" si="19"/>
        <v>0</v>
      </c>
      <c r="Q36" s="78" t="str">
        <f t="shared" si="4"/>
        <v/>
      </c>
      <c r="R36" s="79" t="str">
        <f>IF(OR($AI36="",ISNUMBER($AI36)=FALSE),"",IF(AND(#REF!="Tolerance",$E36&lt;&gt;""),($O36-$E36)/(($J36-$K36)/2),IF(AND(#REF!="GD&amp;T",$F36&lt;&gt;""),$O36/$F36,"")))</f>
        <v/>
      </c>
      <c r="S36" s="79" t="str">
        <f t="shared" si="13"/>
        <v/>
      </c>
      <c r="T36" s="78" t="str">
        <f t="shared" si="5"/>
        <v/>
      </c>
      <c r="U36" s="78" t="str">
        <f t="shared" si="6"/>
        <v/>
      </c>
      <c r="V36" s="78" t="str">
        <f t="shared" si="7"/>
        <v/>
      </c>
      <c r="W36" s="70" t="str">
        <f t="shared" si="8"/>
        <v/>
      </c>
      <c r="X36" s="71" t="e">
        <f>IF($O36="","",IF(#REF!="Tolerance",IF((#REF!*3*P36+O36)-E36&lt;F36,"",(#REF!*3*P36+O36)-E36),IF(OR(#REF!="GD&amp;T",#REF!="MAX"),IF((#REF!*3*P36+O36)&lt;F36,"",(#REF!*3*P36+O36)),"")))</f>
        <v>#REF!</v>
      </c>
      <c r="Y36" s="71" t="e">
        <f>IF(O36="","",IF(#REF!="Tolerance",IF(-((#REF!*3*P36)-O36)-E36&gt;G36,"",-((#REF!*3*P36)-O36)-E36),IF(#REF!="MIN",IF(-((#REF!*3*P36)-O36)&gt;G36,"",-((#REF!*3*P36)-O36)),"")))</f>
        <v>#REF!</v>
      </c>
      <c r="Z36" s="71">
        <f t="shared" si="15"/>
        <v>0.27500000000000002</v>
      </c>
      <c r="AA36" s="71" t="str">
        <f t="shared" si="10"/>
        <v/>
      </c>
      <c r="AB36" s="80"/>
      <c r="AC36" s="81" t="str">
        <f t="shared" si="14"/>
        <v/>
      </c>
      <c r="AD36" s="115"/>
      <c r="AE36" s="72"/>
      <c r="AF36" s="72"/>
      <c r="AG36" s="73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</row>
    <row r="37" spans="2:66" ht="19.2" customHeight="1">
      <c r="B37" s="66" t="s">
        <v>353</v>
      </c>
      <c r="C37" s="101" t="s">
        <v>351</v>
      </c>
      <c r="D37" s="83" t="s">
        <v>45</v>
      </c>
      <c r="E37" s="102">
        <v>0.27500000000000002</v>
      </c>
      <c r="F37" s="103">
        <v>1.4999999999999999E-2</v>
      </c>
      <c r="G37" s="103">
        <v>-1.4999999999999999E-2</v>
      </c>
      <c r="H37" s="104" t="s">
        <v>46</v>
      </c>
      <c r="I37" s="67"/>
      <c r="J37" s="68">
        <f t="shared" si="11"/>
        <v>0.29000000000000004</v>
      </c>
      <c r="K37" s="68">
        <f t="shared" si="12"/>
        <v>0.26</v>
      </c>
      <c r="L37" s="69"/>
      <c r="M37" s="84">
        <f t="shared" si="16"/>
        <v>0</v>
      </c>
      <c r="N37" s="84">
        <f t="shared" si="17"/>
        <v>0</v>
      </c>
      <c r="O37" s="84">
        <f t="shared" si="18"/>
        <v>0</v>
      </c>
      <c r="P37" s="85">
        <f t="shared" si="19"/>
        <v>0</v>
      </c>
      <c r="Q37" s="78" t="str">
        <f t="shared" si="4"/>
        <v/>
      </c>
      <c r="R37" s="79" t="str">
        <f>IF(OR($AI37="",ISNUMBER($AI37)=FALSE),"",IF(AND(#REF!="Tolerance",$E37&lt;&gt;""),($O37-$E37)/(($J37-$K37)/2),IF(AND(#REF!="GD&amp;T",$F37&lt;&gt;""),$O37/$F37,"")))</f>
        <v/>
      </c>
      <c r="S37" s="79" t="str">
        <f t="shared" si="13"/>
        <v/>
      </c>
      <c r="T37" s="78" t="str">
        <f t="shared" si="5"/>
        <v/>
      </c>
      <c r="U37" s="78" t="str">
        <f t="shared" si="6"/>
        <v/>
      </c>
      <c r="V37" s="78" t="str">
        <f t="shared" si="7"/>
        <v/>
      </c>
      <c r="W37" s="70" t="str">
        <f t="shared" si="8"/>
        <v/>
      </c>
      <c r="X37" s="71" t="e">
        <f>IF($O37="","",IF(#REF!="Tolerance",IF((#REF!*3*P37+O37)-E37&lt;F37,"",(#REF!*3*P37+O37)-E37),IF(OR(#REF!="GD&amp;T",#REF!="MAX"),IF((#REF!*3*P37+O37)&lt;F37,"",(#REF!*3*P37+O37)),"")))</f>
        <v>#REF!</v>
      </c>
      <c r="Y37" s="71" t="e">
        <f>IF(O37="","",IF(#REF!="Tolerance",IF(-((#REF!*3*P37)-O37)-E37&gt;G37,"",-((#REF!*3*P37)-O37)-E37),IF(#REF!="MIN",IF(-((#REF!*3*P37)-O37)&gt;G37,"",-((#REF!*3*P37)-O37)),"")))</f>
        <v>#REF!</v>
      </c>
      <c r="Z37" s="71">
        <f t="shared" si="15"/>
        <v>0.27500000000000002</v>
      </c>
      <c r="AA37" s="71" t="str">
        <f t="shared" si="10"/>
        <v/>
      </c>
      <c r="AB37" s="80"/>
      <c r="AC37" s="81" t="str">
        <f t="shared" si="14"/>
        <v/>
      </c>
      <c r="AD37" s="115"/>
      <c r="AE37" s="72"/>
      <c r="AF37" s="72"/>
      <c r="AG37" s="73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</row>
    <row r="38" spans="2:66" ht="19.2" customHeight="1">
      <c r="B38" s="66" t="s">
        <v>88</v>
      </c>
      <c r="C38" s="75" t="s">
        <v>103</v>
      </c>
      <c r="D38" s="83" t="s">
        <v>45</v>
      </c>
      <c r="E38" s="102">
        <v>8.3719999999999999</v>
      </c>
      <c r="F38" s="103">
        <v>0.03</v>
      </c>
      <c r="G38" s="103">
        <v>-0.03</v>
      </c>
      <c r="H38" s="104" t="s">
        <v>46</v>
      </c>
      <c r="I38" s="67"/>
      <c r="J38" s="68">
        <f t="shared" si="11"/>
        <v>8.4019999999999992</v>
      </c>
      <c r="K38" s="68">
        <f t="shared" si="12"/>
        <v>8.3420000000000005</v>
      </c>
      <c r="L38" s="69"/>
      <c r="M38" s="84">
        <f t="shared" si="0"/>
        <v>0</v>
      </c>
      <c r="N38" s="84">
        <f t="shared" si="1"/>
        <v>0</v>
      </c>
      <c r="O38" s="84">
        <f t="shared" si="2"/>
        <v>0</v>
      </c>
      <c r="P38" s="85">
        <f t="shared" si="3"/>
        <v>0</v>
      </c>
      <c r="Q38" s="78" t="str">
        <f t="shared" ref="Q38:Q69" si="20">IF(OR($AI38="",ISNUMBER($AI38)=FALSE),"",IF(AND(E38=0,G38=0),T38,IF(AND(E38="",F38=""),U38,(F38+ABS(G38))/(6*P38))))</f>
        <v/>
      </c>
      <c r="R38" s="79" t="str">
        <f>IF(OR($AI38="",ISNUMBER($AI38)=FALSE),"",IF(AND(#REF!="Tolerance",$E38&lt;&gt;""),($O38-$E38)/(($J38-$K38)/2),IF(AND(#REF!="GD&amp;T",$F38&lt;&gt;""),$O38/$F38,"")))</f>
        <v/>
      </c>
      <c r="S38" s="79" t="str">
        <f t="shared" si="13"/>
        <v/>
      </c>
      <c r="T38" s="78" t="str">
        <f t="shared" ref="T38:T69" si="21">IF(OR($AI38="",ISNUMBER($AI38)=FALSE),"",IF(F38="","",(J38-O38)/(3*P38)))</f>
        <v/>
      </c>
      <c r="U38" s="78" t="str">
        <f t="shared" ref="U38:U69" si="22">IF(OR($AI38="",ISNUMBER($AI38)=FALSE),"",IF(G38="","",(O38-K38)/(3*P38)))</f>
        <v/>
      </c>
      <c r="V38" s="78" t="str">
        <f t="shared" ref="V38:V69" si="23">IF(OR($AI38="",ISNUMBER($AI38)=FALSE),"",IF(AND(E38=0,G38=0),((F38)-(O38))/(3*P38),MIN(T38:U38)))</f>
        <v/>
      </c>
      <c r="W38" s="70" t="str">
        <f t="shared" ref="W38:W69" si="24">IF(OR($AI38="",ISNUMBER($AI38)=FALSE),"",IF(AND(E38=0,G38=0),NORMSDIST(3*V38),NORMSDIST(3*V38)+NORMSDIST(6*Q38-3*V38)-1))</f>
        <v/>
      </c>
      <c r="X38" s="71" t="e">
        <f>IF($O38="","",IF(#REF!="Tolerance",IF((#REF!*3*P38+O38)-E38&lt;F38,"",(#REF!*3*P38+O38)-E38),IF(OR(#REF!="GD&amp;T",#REF!="MAX"),IF((#REF!*3*P38+O38)&lt;F38,"",(#REF!*3*P38+O38)),"")))</f>
        <v>#REF!</v>
      </c>
      <c r="Y38" s="71" t="e">
        <f>IF(O38="","",IF(#REF!="Tolerance",IF(-((#REF!*3*P38)-O38)-E38&gt;G38,"",-((#REF!*3*P38)-O38)-E38),IF(#REF!="MIN",IF(-((#REF!*3*P38)-O38)&gt;G38,"",-((#REF!*3*P38)-O38)),"")))</f>
        <v>#REF!</v>
      </c>
      <c r="Z38" s="71">
        <f t="shared" si="15"/>
        <v>8.3719999999999999</v>
      </c>
      <c r="AA38" s="71" t="str">
        <f t="shared" si="10"/>
        <v/>
      </c>
      <c r="AB38" s="80"/>
      <c r="AC38" s="81" t="str">
        <f t="shared" si="14"/>
        <v/>
      </c>
      <c r="AD38" s="115"/>
      <c r="AE38" s="72"/>
      <c r="AF38" s="72"/>
      <c r="AG38" s="73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</row>
    <row r="39" spans="2:66" ht="19.2" customHeight="1">
      <c r="B39" s="66" t="s">
        <v>88</v>
      </c>
      <c r="C39" s="75" t="s">
        <v>104</v>
      </c>
      <c r="D39" s="83" t="s">
        <v>45</v>
      </c>
      <c r="E39" s="102">
        <v>8.3719999999999999</v>
      </c>
      <c r="F39" s="103">
        <v>0.03</v>
      </c>
      <c r="G39" s="103">
        <v>-0.03</v>
      </c>
      <c r="H39" s="104" t="s">
        <v>46</v>
      </c>
      <c r="I39" s="67"/>
      <c r="J39" s="68">
        <f t="shared" si="11"/>
        <v>8.4019999999999992</v>
      </c>
      <c r="K39" s="68">
        <f t="shared" si="12"/>
        <v>8.3420000000000005</v>
      </c>
      <c r="L39" s="69"/>
      <c r="M39" s="84">
        <f t="shared" si="0"/>
        <v>0</v>
      </c>
      <c r="N39" s="84">
        <f t="shared" si="1"/>
        <v>0</v>
      </c>
      <c r="O39" s="84">
        <f t="shared" si="2"/>
        <v>0</v>
      </c>
      <c r="P39" s="85">
        <f t="shared" si="3"/>
        <v>0</v>
      </c>
      <c r="Q39" s="78" t="str">
        <f t="shared" si="20"/>
        <v/>
      </c>
      <c r="R39" s="79" t="str">
        <f>IF(OR($AI39="",ISNUMBER($AI39)=FALSE),"",IF(AND(#REF!="Tolerance",$E39&lt;&gt;""),($O39-$E39)/(($J39-$K39)/2),IF(AND(#REF!="GD&amp;T",$F39&lt;&gt;""),$O39/$F39,"")))</f>
        <v/>
      </c>
      <c r="S39" s="79" t="str">
        <f t="shared" si="13"/>
        <v/>
      </c>
      <c r="T39" s="78" t="str">
        <f t="shared" si="21"/>
        <v/>
      </c>
      <c r="U39" s="78" t="str">
        <f t="shared" si="22"/>
        <v/>
      </c>
      <c r="V39" s="78" t="str">
        <f t="shared" si="23"/>
        <v/>
      </c>
      <c r="W39" s="70" t="str">
        <f t="shared" si="24"/>
        <v/>
      </c>
      <c r="X39" s="71" t="e">
        <f>IF($O39="","",IF(#REF!="Tolerance",IF((#REF!*3*P39+O39)-E39&lt;F39,"",(#REF!*3*P39+O39)-E39),IF(OR(#REF!="GD&amp;T",#REF!="MAX"),IF((#REF!*3*P39+O39)&lt;F39,"",(#REF!*3*P39+O39)),"")))</f>
        <v>#REF!</v>
      </c>
      <c r="Y39" s="71" t="e">
        <f>IF(O39="","",IF(#REF!="Tolerance",IF(-((#REF!*3*P39)-O39)-E39&gt;G39,"",-((#REF!*3*P39)-O39)-E39),IF(#REF!="MIN",IF(-((#REF!*3*P39)-O39)&gt;G39,"",-((#REF!*3*P39)-O39)),"")))</f>
        <v>#REF!</v>
      </c>
      <c r="Z39" s="71">
        <f t="shared" si="15"/>
        <v>8.3719999999999999</v>
      </c>
      <c r="AA39" s="71" t="str">
        <f t="shared" si="10"/>
        <v/>
      </c>
      <c r="AB39" s="80"/>
      <c r="AC39" s="81" t="str">
        <f t="shared" si="14"/>
        <v/>
      </c>
      <c r="AD39" s="115"/>
      <c r="AE39" s="72"/>
      <c r="AF39" s="72"/>
      <c r="AG39" s="73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</row>
    <row r="40" spans="2:66" ht="19.2" customHeight="1">
      <c r="B40" s="66" t="s">
        <v>302</v>
      </c>
      <c r="C40" s="75">
        <v>29</v>
      </c>
      <c r="D40" s="83" t="s">
        <v>45</v>
      </c>
      <c r="E40" s="102">
        <v>9.6820000000000004</v>
      </c>
      <c r="F40" s="103">
        <v>0.03</v>
      </c>
      <c r="G40" s="103">
        <v>-0.03</v>
      </c>
      <c r="H40" s="104" t="s">
        <v>46</v>
      </c>
      <c r="I40" s="67"/>
      <c r="J40" s="68">
        <f t="shared" si="11"/>
        <v>9.7119999999999997</v>
      </c>
      <c r="K40" s="68">
        <f t="shared" si="12"/>
        <v>9.652000000000001</v>
      </c>
      <c r="L40" s="69"/>
      <c r="M40" s="84">
        <f t="shared" si="0"/>
        <v>0</v>
      </c>
      <c r="N40" s="84">
        <f t="shared" si="1"/>
        <v>0</v>
      </c>
      <c r="O40" s="84">
        <f t="shared" si="2"/>
        <v>0</v>
      </c>
      <c r="P40" s="85">
        <f t="shared" si="3"/>
        <v>0</v>
      </c>
      <c r="Q40" s="78" t="str">
        <f t="shared" si="20"/>
        <v/>
      </c>
      <c r="R40" s="79" t="str">
        <f>IF(OR($AI40="",ISNUMBER($AI40)=FALSE),"",IF(AND(#REF!="Tolerance",$E40&lt;&gt;""),($O40-$E40)/(($J40-$K40)/2),IF(AND(#REF!="GD&amp;T",$F40&lt;&gt;""),$O40/$F40,"")))</f>
        <v/>
      </c>
      <c r="S40" s="79" t="str">
        <f t="shared" si="13"/>
        <v/>
      </c>
      <c r="T40" s="78" t="str">
        <f t="shared" si="21"/>
        <v/>
      </c>
      <c r="U40" s="78" t="str">
        <f t="shared" si="22"/>
        <v/>
      </c>
      <c r="V40" s="78" t="str">
        <f t="shared" si="23"/>
        <v/>
      </c>
      <c r="W40" s="70" t="str">
        <f t="shared" si="24"/>
        <v/>
      </c>
      <c r="X40" s="71" t="e">
        <f>IF($O40="","",IF(#REF!="Tolerance",IF((#REF!*3*P40+O40)-E40&lt;F40,"",(#REF!*3*P40+O40)-E40),IF(OR(#REF!="GD&amp;T",#REF!="MAX"),IF((#REF!*3*P40+O40)&lt;F40,"",(#REF!*3*P40+O40)),"")))</f>
        <v>#REF!</v>
      </c>
      <c r="Y40" s="71" t="e">
        <f>IF(O40="","",IF(#REF!="Tolerance",IF(-((#REF!*3*P40)-O40)-E40&gt;G40,"",-((#REF!*3*P40)-O40)-E40),IF(#REF!="MIN",IF(-((#REF!*3*P40)-O40)&gt;G40,"",-((#REF!*3*P40)-O40)),"")))</f>
        <v>#REF!</v>
      </c>
      <c r="Z40" s="71">
        <f t="shared" si="15"/>
        <v>9.6820000000000004</v>
      </c>
      <c r="AA40" s="71" t="str">
        <f t="shared" si="10"/>
        <v/>
      </c>
      <c r="AB40" s="80"/>
      <c r="AC40" s="81" t="str">
        <f t="shared" si="14"/>
        <v/>
      </c>
      <c r="AD40" s="115"/>
      <c r="AE40" s="72"/>
      <c r="AF40" s="72"/>
      <c r="AG40" s="73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</row>
    <row r="41" spans="2:66" ht="19.2" customHeight="1">
      <c r="B41" s="66" t="s">
        <v>234</v>
      </c>
      <c r="C41" s="75">
        <v>30</v>
      </c>
      <c r="D41" s="83" t="s">
        <v>45</v>
      </c>
      <c r="E41" s="102">
        <v>24.37</v>
      </c>
      <c r="F41" s="103">
        <v>0.03</v>
      </c>
      <c r="G41" s="103">
        <v>-0.03</v>
      </c>
      <c r="H41" s="104" t="s">
        <v>46</v>
      </c>
      <c r="I41" s="67"/>
      <c r="J41" s="68">
        <f t="shared" si="11"/>
        <v>24.400000000000002</v>
      </c>
      <c r="K41" s="68">
        <f t="shared" si="12"/>
        <v>24.34</v>
      </c>
      <c r="L41" s="69"/>
      <c r="M41" s="84">
        <f t="shared" si="0"/>
        <v>0</v>
      </c>
      <c r="N41" s="84">
        <f t="shared" si="1"/>
        <v>0</v>
      </c>
      <c r="O41" s="84">
        <f t="shared" si="2"/>
        <v>0</v>
      </c>
      <c r="P41" s="85">
        <f t="shared" si="3"/>
        <v>0</v>
      </c>
      <c r="Q41" s="78" t="str">
        <f t="shared" si="20"/>
        <v/>
      </c>
      <c r="R41" s="79" t="str">
        <f>IF(OR($AI41="",ISNUMBER($AI41)=FALSE),"",IF(AND(#REF!="Tolerance",$E41&lt;&gt;""),($O41-$E41)/(($J41-$K41)/2),IF(AND(#REF!="GD&amp;T",$F41&lt;&gt;""),$O41/$F41,"")))</f>
        <v/>
      </c>
      <c r="S41" s="79" t="str">
        <f t="shared" si="13"/>
        <v/>
      </c>
      <c r="T41" s="78" t="str">
        <f t="shared" si="21"/>
        <v/>
      </c>
      <c r="U41" s="78" t="str">
        <f t="shared" si="22"/>
        <v/>
      </c>
      <c r="V41" s="78" t="str">
        <f t="shared" si="23"/>
        <v/>
      </c>
      <c r="W41" s="70" t="str">
        <f t="shared" si="24"/>
        <v/>
      </c>
      <c r="X41" s="71" t="e">
        <f>IF($O41="","",IF(#REF!="Tolerance",IF((#REF!*3*P41+O41)-E41&lt;F41,"",(#REF!*3*P41+O41)-E41),IF(OR(#REF!="GD&amp;T",#REF!="MAX"),IF((#REF!*3*P41+O41)&lt;F41,"",(#REF!*3*P41+O41)),"")))</f>
        <v>#REF!</v>
      </c>
      <c r="Y41" s="71" t="e">
        <f>IF(O41="","",IF(#REF!="Tolerance",IF(-((#REF!*3*P41)-O41)-E41&gt;G41,"",-((#REF!*3*P41)-O41)-E41),IF(#REF!="MIN",IF(-((#REF!*3*P41)-O41)&gt;G41,"",-((#REF!*3*P41)-O41)),"")))</f>
        <v>#REF!</v>
      </c>
      <c r="Z41" s="71">
        <f t="shared" si="15"/>
        <v>24.37</v>
      </c>
      <c r="AA41" s="71" t="str">
        <f t="shared" si="10"/>
        <v/>
      </c>
      <c r="AB41" s="80"/>
      <c r="AC41" s="81" t="str">
        <f t="shared" si="14"/>
        <v/>
      </c>
      <c r="AD41" s="115"/>
      <c r="AE41" s="72"/>
      <c r="AF41" s="72"/>
      <c r="AG41" s="73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</row>
    <row r="42" spans="2:66" ht="19.2" customHeight="1">
      <c r="B42" s="66" t="s">
        <v>91</v>
      </c>
      <c r="C42" s="75">
        <v>31</v>
      </c>
      <c r="D42" s="83" t="s">
        <v>45</v>
      </c>
      <c r="E42" s="102">
        <v>22.236000000000001</v>
      </c>
      <c r="F42" s="103">
        <v>0.03</v>
      </c>
      <c r="G42" s="103">
        <v>-0.03</v>
      </c>
      <c r="H42" s="104" t="s">
        <v>46</v>
      </c>
      <c r="I42" s="67"/>
      <c r="J42" s="68">
        <f t="shared" si="11"/>
        <v>22.266000000000002</v>
      </c>
      <c r="K42" s="68">
        <f t="shared" si="12"/>
        <v>22.206</v>
      </c>
      <c r="L42" s="69"/>
      <c r="M42" s="84">
        <f t="shared" si="0"/>
        <v>0</v>
      </c>
      <c r="N42" s="84">
        <f t="shared" si="1"/>
        <v>0</v>
      </c>
      <c r="O42" s="84">
        <f t="shared" si="2"/>
        <v>0</v>
      </c>
      <c r="P42" s="85">
        <f t="shared" si="3"/>
        <v>0</v>
      </c>
      <c r="Q42" s="78" t="str">
        <f t="shared" si="20"/>
        <v/>
      </c>
      <c r="R42" s="79" t="str">
        <f>IF(OR($AI42="",ISNUMBER($AI42)=FALSE),"",IF(AND(#REF!="Tolerance",$E42&lt;&gt;""),($O42-$E42)/(($J42-$K42)/2),IF(AND(#REF!="GD&amp;T",$F42&lt;&gt;""),$O42/$F42,"")))</f>
        <v/>
      </c>
      <c r="S42" s="79" t="str">
        <f t="shared" si="13"/>
        <v/>
      </c>
      <c r="T42" s="78" t="str">
        <f t="shared" si="21"/>
        <v/>
      </c>
      <c r="U42" s="78" t="str">
        <f t="shared" si="22"/>
        <v/>
      </c>
      <c r="V42" s="78" t="str">
        <f t="shared" si="23"/>
        <v/>
      </c>
      <c r="W42" s="70" t="str">
        <f t="shared" si="24"/>
        <v/>
      </c>
      <c r="X42" s="71" t="e">
        <f>IF($O42="","",IF(#REF!="Tolerance",IF((#REF!*3*P42+O42)-E42&lt;F42,"",(#REF!*3*P42+O42)-E42),IF(OR(#REF!="GD&amp;T",#REF!="MAX"),IF((#REF!*3*P42+O42)&lt;F42,"",(#REF!*3*P42+O42)),"")))</f>
        <v>#REF!</v>
      </c>
      <c r="Y42" s="71" t="e">
        <f>IF(O42="","",IF(#REF!="Tolerance",IF(-((#REF!*3*P42)-O42)-E42&gt;G42,"",-((#REF!*3*P42)-O42)-E42),IF(#REF!="MIN",IF(-((#REF!*3*P42)-O42)&gt;G42,"",-((#REF!*3*P42)-O42)),"")))</f>
        <v>#REF!</v>
      </c>
      <c r="Z42" s="71">
        <f t="shared" si="15"/>
        <v>22.236000000000001</v>
      </c>
      <c r="AA42" s="71" t="str">
        <f t="shared" si="10"/>
        <v/>
      </c>
      <c r="AB42" s="80"/>
      <c r="AC42" s="81" t="str">
        <f t="shared" si="14"/>
        <v/>
      </c>
      <c r="AD42" s="115"/>
      <c r="AE42" s="72"/>
      <c r="AF42" s="72"/>
      <c r="AG42" s="73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</row>
    <row r="43" spans="2:66" ht="19.2" customHeight="1">
      <c r="B43" s="66" t="s">
        <v>235</v>
      </c>
      <c r="C43" s="75" t="s">
        <v>105</v>
      </c>
      <c r="D43" s="83" t="s">
        <v>45</v>
      </c>
      <c r="E43" s="102">
        <v>23.802</v>
      </c>
      <c r="F43" s="103">
        <v>0.03</v>
      </c>
      <c r="G43" s="103">
        <v>-0.03</v>
      </c>
      <c r="H43" s="104" t="s">
        <v>46</v>
      </c>
      <c r="I43" s="67"/>
      <c r="J43" s="68">
        <f t="shared" si="11"/>
        <v>23.832000000000001</v>
      </c>
      <c r="K43" s="68">
        <f t="shared" si="12"/>
        <v>23.771999999999998</v>
      </c>
      <c r="L43" s="69"/>
      <c r="M43" s="84">
        <f t="shared" si="0"/>
        <v>0</v>
      </c>
      <c r="N43" s="84">
        <f t="shared" si="1"/>
        <v>0</v>
      </c>
      <c r="O43" s="84">
        <f t="shared" si="2"/>
        <v>0</v>
      </c>
      <c r="P43" s="85">
        <f t="shared" si="3"/>
        <v>0</v>
      </c>
      <c r="Q43" s="78" t="str">
        <f t="shared" si="20"/>
        <v/>
      </c>
      <c r="R43" s="79" t="str">
        <f>IF(OR($AI43="",ISNUMBER($AI43)=FALSE),"",IF(AND(#REF!="Tolerance",$E43&lt;&gt;""),($O43-$E43)/(($J43-$K43)/2),IF(AND(#REF!="GD&amp;T",$F43&lt;&gt;""),$O43/$F43,"")))</f>
        <v/>
      </c>
      <c r="S43" s="79" t="str">
        <f t="shared" si="13"/>
        <v/>
      </c>
      <c r="T43" s="78" t="str">
        <f t="shared" si="21"/>
        <v/>
      </c>
      <c r="U43" s="78" t="str">
        <f t="shared" si="22"/>
        <v/>
      </c>
      <c r="V43" s="78" t="str">
        <f t="shared" si="23"/>
        <v/>
      </c>
      <c r="W43" s="70" t="str">
        <f t="shared" si="24"/>
        <v/>
      </c>
      <c r="X43" s="71" t="e">
        <f>IF($O43="","",IF(#REF!="Tolerance",IF((#REF!*3*P43+O43)-E43&lt;F43,"",(#REF!*3*P43+O43)-E43),IF(OR(#REF!="GD&amp;T",#REF!="MAX"),IF((#REF!*3*P43+O43)&lt;F43,"",(#REF!*3*P43+O43)),"")))</f>
        <v>#REF!</v>
      </c>
      <c r="Y43" s="71" t="e">
        <f>IF(O43="","",IF(#REF!="Tolerance",IF(-((#REF!*3*P43)-O43)-E43&gt;G43,"",-((#REF!*3*P43)-O43)-E43),IF(#REF!="MIN",IF(-((#REF!*3*P43)-O43)&gt;G43,"",-((#REF!*3*P43)-O43)),"")))</f>
        <v>#REF!</v>
      </c>
      <c r="Z43" s="71">
        <f t="shared" si="15"/>
        <v>23.802</v>
      </c>
      <c r="AA43" s="71" t="str">
        <f t="shared" si="10"/>
        <v/>
      </c>
      <c r="AB43" s="80"/>
      <c r="AC43" s="81" t="str">
        <f t="shared" si="14"/>
        <v/>
      </c>
      <c r="AD43" s="115"/>
      <c r="AE43" s="72"/>
      <c r="AF43" s="72"/>
      <c r="AG43" s="73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</row>
    <row r="44" spans="2:66" ht="19.2" customHeight="1">
      <c r="B44" s="66" t="s">
        <v>235</v>
      </c>
      <c r="C44" s="75" t="s">
        <v>106</v>
      </c>
      <c r="D44" s="83" t="s">
        <v>45</v>
      </c>
      <c r="E44" s="102">
        <v>23.802</v>
      </c>
      <c r="F44" s="103">
        <v>0.03</v>
      </c>
      <c r="G44" s="103">
        <v>-0.03</v>
      </c>
      <c r="H44" s="104" t="s">
        <v>46</v>
      </c>
      <c r="I44" s="67"/>
      <c r="J44" s="68">
        <f t="shared" si="11"/>
        <v>23.832000000000001</v>
      </c>
      <c r="K44" s="68">
        <f t="shared" si="12"/>
        <v>23.771999999999998</v>
      </c>
      <c r="L44" s="69"/>
      <c r="M44" s="84">
        <f t="shared" si="0"/>
        <v>0</v>
      </c>
      <c r="N44" s="84">
        <f t="shared" si="1"/>
        <v>0</v>
      </c>
      <c r="O44" s="84">
        <f t="shared" si="2"/>
        <v>0</v>
      </c>
      <c r="P44" s="85">
        <f t="shared" si="3"/>
        <v>0</v>
      </c>
      <c r="Q44" s="78" t="str">
        <f t="shared" si="20"/>
        <v/>
      </c>
      <c r="R44" s="79" t="str">
        <f>IF(OR($AI44="",ISNUMBER($AI44)=FALSE),"",IF(AND(#REF!="Tolerance",$E44&lt;&gt;""),($O44-$E44)/(($J44-$K44)/2),IF(AND(#REF!="GD&amp;T",$F44&lt;&gt;""),$O44/$F44,"")))</f>
        <v/>
      </c>
      <c r="S44" s="79" t="str">
        <f t="shared" si="13"/>
        <v/>
      </c>
      <c r="T44" s="78" t="str">
        <f t="shared" si="21"/>
        <v/>
      </c>
      <c r="U44" s="78" t="str">
        <f t="shared" si="22"/>
        <v/>
      </c>
      <c r="V44" s="78" t="str">
        <f t="shared" si="23"/>
        <v/>
      </c>
      <c r="W44" s="70" t="str">
        <f t="shared" si="24"/>
        <v/>
      </c>
      <c r="X44" s="71" t="e">
        <f>IF($O44="","",IF(#REF!="Tolerance",IF((#REF!*3*P44+O44)-E44&lt;F44,"",(#REF!*3*P44+O44)-E44),IF(OR(#REF!="GD&amp;T",#REF!="MAX"),IF((#REF!*3*P44+O44)&lt;F44,"",(#REF!*3*P44+O44)),"")))</f>
        <v>#REF!</v>
      </c>
      <c r="Y44" s="71" t="e">
        <f>IF(O44="","",IF(#REF!="Tolerance",IF(-((#REF!*3*P44)-O44)-E44&gt;G44,"",-((#REF!*3*P44)-O44)-E44),IF(#REF!="MIN",IF(-((#REF!*3*P44)-O44)&gt;G44,"",-((#REF!*3*P44)-O44)),"")))</f>
        <v>#REF!</v>
      </c>
      <c r="Z44" s="71">
        <f t="shared" si="15"/>
        <v>23.802</v>
      </c>
      <c r="AA44" s="71" t="str">
        <f t="shared" si="10"/>
        <v/>
      </c>
      <c r="AB44" s="80"/>
      <c r="AC44" s="81" t="str">
        <f t="shared" si="14"/>
        <v/>
      </c>
      <c r="AD44" s="115"/>
      <c r="AE44" s="72"/>
      <c r="AF44" s="72"/>
      <c r="AG44" s="73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</row>
    <row r="45" spans="2:66" ht="19.2" customHeight="1">
      <c r="B45" s="66" t="s">
        <v>87</v>
      </c>
      <c r="C45" s="75" t="s">
        <v>134</v>
      </c>
      <c r="D45" s="83" t="s">
        <v>45</v>
      </c>
      <c r="E45" s="102">
        <v>8.4719999999999995</v>
      </c>
      <c r="F45" s="103">
        <v>0.03</v>
      </c>
      <c r="G45" s="103">
        <v>-0.03</v>
      </c>
      <c r="H45" s="104" t="s">
        <v>46</v>
      </c>
      <c r="I45" s="67"/>
      <c r="J45" s="68">
        <f t="shared" si="11"/>
        <v>8.5019999999999989</v>
      </c>
      <c r="K45" s="68">
        <f t="shared" si="12"/>
        <v>8.4420000000000002</v>
      </c>
      <c r="L45" s="69"/>
      <c r="M45" s="84">
        <f t="shared" si="0"/>
        <v>0</v>
      </c>
      <c r="N45" s="84">
        <f t="shared" si="1"/>
        <v>0</v>
      </c>
      <c r="O45" s="84">
        <f t="shared" si="2"/>
        <v>0</v>
      </c>
      <c r="P45" s="85">
        <f t="shared" si="3"/>
        <v>0</v>
      </c>
      <c r="Q45" s="78" t="str">
        <f t="shared" si="20"/>
        <v/>
      </c>
      <c r="R45" s="79" t="str">
        <f>IF(OR($AI45="",ISNUMBER($AI45)=FALSE),"",IF(AND(#REF!="Tolerance",$E45&lt;&gt;""),($O45-$E45)/(($J45-$K45)/2),IF(AND(#REF!="GD&amp;T",$F45&lt;&gt;""),$O45/$F45,"")))</f>
        <v/>
      </c>
      <c r="S45" s="79" t="str">
        <f t="shared" si="13"/>
        <v/>
      </c>
      <c r="T45" s="78" t="str">
        <f t="shared" si="21"/>
        <v/>
      </c>
      <c r="U45" s="78" t="str">
        <f t="shared" si="22"/>
        <v/>
      </c>
      <c r="V45" s="78" t="str">
        <f t="shared" si="23"/>
        <v/>
      </c>
      <c r="W45" s="70" t="str">
        <f t="shared" si="24"/>
        <v/>
      </c>
      <c r="X45" s="71" t="e">
        <f>IF($O45="","",IF(#REF!="Tolerance",IF((#REF!*3*P45+O45)-E45&lt;F45,"",(#REF!*3*P45+O45)-E45),IF(OR(#REF!="GD&amp;T",#REF!="MAX"),IF((#REF!*3*P45+O45)&lt;F45,"",(#REF!*3*P45+O45)),"")))</f>
        <v>#REF!</v>
      </c>
      <c r="Y45" s="71" t="e">
        <f>IF(O45="","",IF(#REF!="Tolerance",IF(-((#REF!*3*P45)-O45)-E45&gt;G45,"",-((#REF!*3*P45)-O45)-E45),IF(#REF!="MIN",IF(-((#REF!*3*P45)-O45)&gt;G45,"",-((#REF!*3*P45)-O45)),"")))</f>
        <v>#REF!</v>
      </c>
      <c r="Z45" s="71">
        <f t="shared" si="15"/>
        <v>8.4719999999999995</v>
      </c>
      <c r="AA45" s="71" t="str">
        <f t="shared" si="10"/>
        <v/>
      </c>
      <c r="AB45" s="80"/>
      <c r="AC45" s="81" t="str">
        <f t="shared" si="14"/>
        <v/>
      </c>
      <c r="AD45" s="115"/>
      <c r="AE45" s="72"/>
      <c r="AF45" s="72"/>
      <c r="AG45" s="73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</row>
    <row r="46" spans="2:66" ht="19.2" customHeight="1">
      <c r="B46" s="66" t="s">
        <v>87</v>
      </c>
      <c r="C46" s="75" t="s">
        <v>135</v>
      </c>
      <c r="D46" s="83" t="s">
        <v>45</v>
      </c>
      <c r="E46" s="102">
        <v>8.4719999999999995</v>
      </c>
      <c r="F46" s="103">
        <v>0.03</v>
      </c>
      <c r="G46" s="103">
        <v>-0.03</v>
      </c>
      <c r="H46" s="104" t="s">
        <v>46</v>
      </c>
      <c r="I46" s="67"/>
      <c r="J46" s="68">
        <f t="shared" si="11"/>
        <v>8.5019999999999989</v>
      </c>
      <c r="K46" s="68">
        <f t="shared" si="12"/>
        <v>8.4420000000000002</v>
      </c>
      <c r="L46" s="69"/>
      <c r="M46" s="84">
        <f t="shared" si="0"/>
        <v>0</v>
      </c>
      <c r="N46" s="84">
        <f t="shared" si="1"/>
        <v>0</v>
      </c>
      <c r="O46" s="84">
        <f t="shared" si="2"/>
        <v>0</v>
      </c>
      <c r="P46" s="85">
        <f t="shared" si="3"/>
        <v>0</v>
      </c>
      <c r="Q46" s="78" t="str">
        <f t="shared" si="20"/>
        <v/>
      </c>
      <c r="R46" s="79" t="str">
        <f>IF(OR($AI46="",ISNUMBER($AI46)=FALSE),"",IF(AND(#REF!="Tolerance",$E46&lt;&gt;""),($O46-$E46)/(($J46-$K46)/2),IF(AND(#REF!="GD&amp;T",$F46&lt;&gt;""),$O46/$F46,"")))</f>
        <v/>
      </c>
      <c r="S46" s="79" t="str">
        <f t="shared" si="13"/>
        <v/>
      </c>
      <c r="T46" s="78" t="str">
        <f t="shared" si="21"/>
        <v/>
      </c>
      <c r="U46" s="78" t="str">
        <f t="shared" si="22"/>
        <v/>
      </c>
      <c r="V46" s="78" t="str">
        <f t="shared" si="23"/>
        <v/>
      </c>
      <c r="W46" s="70" t="str">
        <f t="shared" si="24"/>
        <v/>
      </c>
      <c r="X46" s="71" t="e">
        <f>IF($O46="","",IF(#REF!="Tolerance",IF((#REF!*3*P46+O46)-E46&lt;F46,"",(#REF!*3*P46+O46)-E46),IF(OR(#REF!="GD&amp;T",#REF!="MAX"),IF((#REF!*3*P46+O46)&lt;F46,"",(#REF!*3*P46+O46)),"")))</f>
        <v>#REF!</v>
      </c>
      <c r="Y46" s="71" t="e">
        <f>IF(O46="","",IF(#REF!="Tolerance",IF(-((#REF!*3*P46)-O46)-E46&gt;G46,"",-((#REF!*3*P46)-O46)-E46),IF(#REF!="MIN",IF(-((#REF!*3*P46)-O46)&gt;G46,"",-((#REF!*3*P46)-O46)),"")))</f>
        <v>#REF!</v>
      </c>
      <c r="Z46" s="71">
        <f t="shared" si="15"/>
        <v>8.4719999999999995</v>
      </c>
      <c r="AA46" s="71" t="str">
        <f t="shared" si="10"/>
        <v/>
      </c>
      <c r="AB46" s="80"/>
      <c r="AC46" s="81" t="str">
        <f t="shared" si="14"/>
        <v/>
      </c>
      <c r="AD46" s="115"/>
      <c r="AE46" s="72"/>
      <c r="AF46" s="72"/>
      <c r="AG46" s="73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</row>
    <row r="47" spans="2:66" ht="19.2" customHeight="1">
      <c r="B47" s="66" t="s">
        <v>86</v>
      </c>
      <c r="C47" s="75" t="s">
        <v>107</v>
      </c>
      <c r="D47" s="83" t="s">
        <v>45</v>
      </c>
      <c r="E47" s="102">
        <v>23.006</v>
      </c>
      <c r="F47" s="103">
        <v>0.03</v>
      </c>
      <c r="G47" s="103">
        <v>-0.03</v>
      </c>
      <c r="H47" s="104" t="s">
        <v>46</v>
      </c>
      <c r="I47" s="67"/>
      <c r="J47" s="68">
        <f t="shared" si="11"/>
        <v>23.036000000000001</v>
      </c>
      <c r="K47" s="68">
        <f t="shared" si="12"/>
        <v>22.975999999999999</v>
      </c>
      <c r="L47" s="69"/>
      <c r="M47" s="84">
        <f t="shared" si="0"/>
        <v>0</v>
      </c>
      <c r="N47" s="84">
        <f t="shared" si="1"/>
        <v>0</v>
      </c>
      <c r="O47" s="84">
        <f t="shared" si="2"/>
        <v>0</v>
      </c>
      <c r="P47" s="85">
        <f t="shared" si="3"/>
        <v>0</v>
      </c>
      <c r="Q47" s="78" t="str">
        <f t="shared" si="20"/>
        <v/>
      </c>
      <c r="R47" s="79" t="str">
        <f>IF(OR($AI47="",ISNUMBER($AI47)=FALSE),"",IF(AND(#REF!="Tolerance",$E47&lt;&gt;""),($O47-$E47)/(($J47-$K47)/2),IF(AND(#REF!="GD&amp;T",$F47&lt;&gt;""),$O47/$F47,"")))</f>
        <v/>
      </c>
      <c r="S47" s="79" t="str">
        <f t="shared" si="13"/>
        <v/>
      </c>
      <c r="T47" s="78" t="str">
        <f t="shared" si="21"/>
        <v/>
      </c>
      <c r="U47" s="78" t="str">
        <f t="shared" si="22"/>
        <v/>
      </c>
      <c r="V47" s="78" t="str">
        <f t="shared" si="23"/>
        <v/>
      </c>
      <c r="W47" s="70" t="str">
        <f t="shared" si="24"/>
        <v/>
      </c>
      <c r="X47" s="71" t="e">
        <f>IF($O47="","",IF(#REF!="Tolerance",IF((#REF!*3*P47+O47)-E47&lt;F47,"",(#REF!*3*P47+O47)-E47),IF(OR(#REF!="GD&amp;T",#REF!="MAX"),IF((#REF!*3*P47+O47)&lt;F47,"",(#REF!*3*P47+O47)),"")))</f>
        <v>#REF!</v>
      </c>
      <c r="Y47" s="71" t="e">
        <f>IF(O47="","",IF(#REF!="Tolerance",IF(-((#REF!*3*P47)-O47)-E47&gt;G47,"",-((#REF!*3*P47)-O47)-E47),IF(#REF!="MIN",IF(-((#REF!*3*P47)-O47)&gt;G47,"",-((#REF!*3*P47)-O47)),"")))</f>
        <v>#REF!</v>
      </c>
      <c r="Z47" s="71">
        <f t="shared" si="15"/>
        <v>23.006</v>
      </c>
      <c r="AA47" s="71" t="str">
        <f t="shared" si="10"/>
        <v/>
      </c>
      <c r="AB47" s="80"/>
      <c r="AC47" s="81" t="str">
        <f t="shared" si="14"/>
        <v/>
      </c>
      <c r="AD47" s="115"/>
      <c r="AE47" s="72"/>
      <c r="AF47" s="72"/>
      <c r="AG47" s="73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</row>
    <row r="48" spans="2:66" ht="19.2" customHeight="1">
      <c r="B48" s="66" t="s">
        <v>86</v>
      </c>
      <c r="C48" s="75" t="s">
        <v>108</v>
      </c>
      <c r="D48" s="83" t="s">
        <v>45</v>
      </c>
      <c r="E48" s="102">
        <v>23.006</v>
      </c>
      <c r="F48" s="103">
        <v>0.03</v>
      </c>
      <c r="G48" s="103">
        <v>-0.03</v>
      </c>
      <c r="H48" s="104" t="s">
        <v>46</v>
      </c>
      <c r="I48" s="67"/>
      <c r="J48" s="68">
        <f t="shared" si="11"/>
        <v>23.036000000000001</v>
      </c>
      <c r="K48" s="68">
        <f t="shared" si="12"/>
        <v>22.975999999999999</v>
      </c>
      <c r="L48" s="69"/>
      <c r="M48" s="84">
        <f t="shared" si="0"/>
        <v>0</v>
      </c>
      <c r="N48" s="84">
        <f t="shared" si="1"/>
        <v>0</v>
      </c>
      <c r="O48" s="84">
        <f t="shared" si="2"/>
        <v>0</v>
      </c>
      <c r="P48" s="85">
        <f t="shared" si="3"/>
        <v>0</v>
      </c>
      <c r="Q48" s="78" t="str">
        <f t="shared" si="20"/>
        <v/>
      </c>
      <c r="R48" s="79" t="str">
        <f>IF(OR($AI48="",ISNUMBER($AI48)=FALSE),"",IF(AND(#REF!="Tolerance",$E48&lt;&gt;""),($O48-$E48)/(($J48-$K48)/2),IF(AND(#REF!="GD&amp;T",$F48&lt;&gt;""),$O48/$F48,"")))</f>
        <v/>
      </c>
      <c r="S48" s="79" t="str">
        <f t="shared" si="13"/>
        <v/>
      </c>
      <c r="T48" s="78" t="str">
        <f t="shared" si="21"/>
        <v/>
      </c>
      <c r="U48" s="78" t="str">
        <f t="shared" si="22"/>
        <v/>
      </c>
      <c r="V48" s="78" t="str">
        <f t="shared" si="23"/>
        <v/>
      </c>
      <c r="W48" s="70" t="str">
        <f t="shared" si="24"/>
        <v/>
      </c>
      <c r="X48" s="71" t="e">
        <f>IF($O48="","",IF(#REF!="Tolerance",IF((#REF!*3*P48+O48)-E48&lt;F48,"",(#REF!*3*P48+O48)-E48),IF(OR(#REF!="GD&amp;T",#REF!="MAX"),IF((#REF!*3*P48+O48)&lt;F48,"",(#REF!*3*P48+O48)),"")))</f>
        <v>#REF!</v>
      </c>
      <c r="Y48" s="71" t="e">
        <f>IF(O48="","",IF(#REF!="Tolerance",IF(-((#REF!*3*P48)-O48)-E48&gt;G48,"",-((#REF!*3*P48)-O48)-E48),IF(#REF!="MIN",IF(-((#REF!*3*P48)-O48)&gt;G48,"",-((#REF!*3*P48)-O48)),"")))</f>
        <v>#REF!</v>
      </c>
      <c r="Z48" s="71">
        <f t="shared" si="15"/>
        <v>23.006</v>
      </c>
      <c r="AA48" s="71" t="str">
        <f t="shared" si="10"/>
        <v/>
      </c>
      <c r="AB48" s="80"/>
      <c r="AC48" s="81" t="str">
        <f t="shared" si="14"/>
        <v/>
      </c>
      <c r="AD48" s="115"/>
      <c r="AE48" s="72"/>
      <c r="AF48" s="72"/>
      <c r="AG48" s="73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</row>
    <row r="49" spans="2:66" ht="19.2" customHeight="1">
      <c r="B49" s="66" t="s">
        <v>86</v>
      </c>
      <c r="C49" s="75" t="s">
        <v>136</v>
      </c>
      <c r="D49" s="83" t="s">
        <v>45</v>
      </c>
      <c r="E49" s="102">
        <v>23.006</v>
      </c>
      <c r="F49" s="103">
        <v>0.03</v>
      </c>
      <c r="G49" s="103">
        <v>-0.03</v>
      </c>
      <c r="H49" s="104" t="s">
        <v>46</v>
      </c>
      <c r="I49" s="67"/>
      <c r="J49" s="68">
        <f t="shared" si="11"/>
        <v>23.036000000000001</v>
      </c>
      <c r="K49" s="68">
        <f t="shared" si="12"/>
        <v>22.975999999999999</v>
      </c>
      <c r="L49" s="69"/>
      <c r="M49" s="84">
        <f t="shared" si="0"/>
        <v>0</v>
      </c>
      <c r="N49" s="84">
        <f t="shared" si="1"/>
        <v>0</v>
      </c>
      <c r="O49" s="84">
        <f t="shared" si="2"/>
        <v>0</v>
      </c>
      <c r="P49" s="85">
        <f t="shared" si="3"/>
        <v>0</v>
      </c>
      <c r="Q49" s="78" t="str">
        <f t="shared" si="20"/>
        <v/>
      </c>
      <c r="R49" s="79" t="str">
        <f>IF(OR($AI49="",ISNUMBER($AI49)=FALSE),"",IF(AND(#REF!="Tolerance",$E49&lt;&gt;""),($O49-$E49)/(($J49-$K49)/2),IF(AND(#REF!="GD&amp;T",$F49&lt;&gt;""),$O49/$F49,"")))</f>
        <v/>
      </c>
      <c r="S49" s="79" t="str">
        <f t="shared" si="13"/>
        <v/>
      </c>
      <c r="T49" s="78" t="str">
        <f t="shared" si="21"/>
        <v/>
      </c>
      <c r="U49" s="78" t="str">
        <f t="shared" si="22"/>
        <v/>
      </c>
      <c r="V49" s="78" t="str">
        <f t="shared" si="23"/>
        <v/>
      </c>
      <c r="W49" s="70" t="str">
        <f t="shared" si="24"/>
        <v/>
      </c>
      <c r="X49" s="71" t="e">
        <f>IF($O49="","",IF(#REF!="Tolerance",IF((#REF!*3*P49+O49)-E49&lt;F49,"",(#REF!*3*P49+O49)-E49),IF(OR(#REF!="GD&amp;T",#REF!="MAX"),IF((#REF!*3*P49+O49)&lt;F49,"",(#REF!*3*P49+O49)),"")))</f>
        <v>#REF!</v>
      </c>
      <c r="Y49" s="71" t="e">
        <f>IF(O49="","",IF(#REF!="Tolerance",IF(-((#REF!*3*P49)-O49)-E49&gt;G49,"",-((#REF!*3*P49)-O49)-E49),IF(#REF!="MIN",IF(-((#REF!*3*P49)-O49)&gt;G49,"",-((#REF!*3*P49)-O49)),"")))</f>
        <v>#REF!</v>
      </c>
      <c r="Z49" s="71">
        <f t="shared" si="15"/>
        <v>23.006</v>
      </c>
      <c r="AA49" s="71" t="str">
        <f t="shared" si="10"/>
        <v/>
      </c>
      <c r="AB49" s="80"/>
      <c r="AC49" s="81" t="str">
        <f t="shared" si="14"/>
        <v/>
      </c>
      <c r="AD49" s="115"/>
      <c r="AE49" s="72"/>
      <c r="AF49" s="72"/>
      <c r="AG49" s="73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</row>
    <row r="50" spans="2:66" ht="19.2" customHeight="1">
      <c r="B50" s="66" t="s">
        <v>93</v>
      </c>
      <c r="C50" s="75" t="s">
        <v>137</v>
      </c>
      <c r="D50" s="83" t="s">
        <v>45</v>
      </c>
      <c r="E50" s="102">
        <v>23.385999999999999</v>
      </c>
      <c r="F50" s="103">
        <v>3.5000000000000003E-2</v>
      </c>
      <c r="G50" s="103">
        <v>-3.5000000000000003E-2</v>
      </c>
      <c r="H50" s="104" t="s">
        <v>46</v>
      </c>
      <c r="I50" s="67"/>
      <c r="J50" s="68">
        <f t="shared" si="11"/>
        <v>23.420999999999999</v>
      </c>
      <c r="K50" s="68">
        <f t="shared" si="12"/>
        <v>23.350999999999999</v>
      </c>
      <c r="L50" s="69"/>
      <c r="M50" s="84">
        <f t="shared" si="0"/>
        <v>0</v>
      </c>
      <c r="N50" s="84">
        <f t="shared" si="1"/>
        <v>0</v>
      </c>
      <c r="O50" s="84">
        <f t="shared" si="2"/>
        <v>0</v>
      </c>
      <c r="P50" s="85">
        <f t="shared" si="3"/>
        <v>0</v>
      </c>
      <c r="Q50" s="78" t="str">
        <f t="shared" si="20"/>
        <v/>
      </c>
      <c r="R50" s="79" t="str">
        <f>IF(OR($AI50="",ISNUMBER($AI50)=FALSE),"",IF(AND(#REF!="Tolerance",$E50&lt;&gt;""),($O50-$E50)/(($J50-$K50)/2),IF(AND(#REF!="GD&amp;T",$F50&lt;&gt;""),$O50/$F50,"")))</f>
        <v/>
      </c>
      <c r="S50" s="79" t="str">
        <f t="shared" si="13"/>
        <v/>
      </c>
      <c r="T50" s="78" t="str">
        <f t="shared" si="21"/>
        <v/>
      </c>
      <c r="U50" s="78" t="str">
        <f t="shared" si="22"/>
        <v/>
      </c>
      <c r="V50" s="78" t="str">
        <f t="shared" si="23"/>
        <v/>
      </c>
      <c r="W50" s="70" t="str">
        <f t="shared" si="24"/>
        <v/>
      </c>
      <c r="X50" s="71" t="e">
        <f>IF($O50="","",IF(#REF!="Tolerance",IF((#REF!*3*P50+O50)-E50&lt;F50,"",(#REF!*3*P50+O50)-E50),IF(OR(#REF!="GD&amp;T",#REF!="MAX"),IF((#REF!*3*P50+O50)&lt;F50,"",(#REF!*3*P50+O50)),"")))</f>
        <v>#REF!</v>
      </c>
      <c r="Y50" s="71" t="e">
        <f>IF(O50="","",IF(#REF!="Tolerance",IF(-((#REF!*3*P50)-O50)-E50&gt;G50,"",-((#REF!*3*P50)-O50)-E50),IF(#REF!="MIN",IF(-((#REF!*3*P50)-O50)&gt;G50,"",-((#REF!*3*P50)-O50)),"")))</f>
        <v>#REF!</v>
      </c>
      <c r="Z50" s="71">
        <f t="shared" si="15"/>
        <v>23.385999999999999</v>
      </c>
      <c r="AA50" s="71" t="str">
        <f t="shared" si="10"/>
        <v/>
      </c>
      <c r="AB50" s="80"/>
      <c r="AC50" s="81" t="str">
        <f t="shared" si="14"/>
        <v/>
      </c>
      <c r="AD50" s="115"/>
      <c r="AE50" s="72"/>
      <c r="AF50" s="72"/>
      <c r="AG50" s="73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</row>
    <row r="51" spans="2:66" ht="19.2" customHeight="1">
      <c r="B51" s="66" t="s">
        <v>93</v>
      </c>
      <c r="C51" s="75" t="s">
        <v>138</v>
      </c>
      <c r="D51" s="83" t="s">
        <v>45</v>
      </c>
      <c r="E51" s="102">
        <v>23.385999999999999</v>
      </c>
      <c r="F51" s="103">
        <v>3.5000000000000003E-2</v>
      </c>
      <c r="G51" s="103">
        <v>-3.5000000000000003E-2</v>
      </c>
      <c r="H51" s="104" t="s">
        <v>46</v>
      </c>
      <c r="I51" s="67"/>
      <c r="J51" s="68">
        <f t="shared" si="11"/>
        <v>23.420999999999999</v>
      </c>
      <c r="K51" s="68">
        <f t="shared" si="12"/>
        <v>23.350999999999999</v>
      </c>
      <c r="L51" s="69"/>
      <c r="M51" s="84">
        <f t="shared" si="0"/>
        <v>0</v>
      </c>
      <c r="N51" s="84">
        <f t="shared" si="1"/>
        <v>0</v>
      </c>
      <c r="O51" s="84">
        <f t="shared" si="2"/>
        <v>0</v>
      </c>
      <c r="P51" s="85">
        <f t="shared" si="3"/>
        <v>0</v>
      </c>
      <c r="Q51" s="78" t="str">
        <f t="shared" si="20"/>
        <v/>
      </c>
      <c r="R51" s="79" t="str">
        <f>IF(OR($AI51="",ISNUMBER($AI51)=FALSE),"",IF(AND(#REF!="Tolerance",$E51&lt;&gt;""),($O51-$E51)/(($J51-$K51)/2),IF(AND(#REF!="GD&amp;T",$F51&lt;&gt;""),$O51/$F51,"")))</f>
        <v/>
      </c>
      <c r="S51" s="79" t="str">
        <f t="shared" si="13"/>
        <v/>
      </c>
      <c r="T51" s="78" t="str">
        <f t="shared" si="21"/>
        <v/>
      </c>
      <c r="U51" s="78" t="str">
        <f t="shared" si="22"/>
        <v/>
      </c>
      <c r="V51" s="78" t="str">
        <f t="shared" si="23"/>
        <v/>
      </c>
      <c r="W51" s="70" t="str">
        <f t="shared" si="24"/>
        <v/>
      </c>
      <c r="X51" s="71" t="e">
        <f>IF($O51="","",IF(#REF!="Tolerance",IF((#REF!*3*P51+O51)-E51&lt;F51,"",(#REF!*3*P51+O51)-E51),IF(OR(#REF!="GD&amp;T",#REF!="MAX"),IF((#REF!*3*P51+O51)&lt;F51,"",(#REF!*3*P51+O51)),"")))</f>
        <v>#REF!</v>
      </c>
      <c r="Y51" s="71" t="e">
        <f>IF(O51="","",IF(#REF!="Tolerance",IF(-((#REF!*3*P51)-O51)-E51&gt;G51,"",-((#REF!*3*P51)-O51)-E51),IF(#REF!="MIN",IF(-((#REF!*3*P51)-O51)&gt;G51,"",-((#REF!*3*P51)-O51)),"")))</f>
        <v>#REF!</v>
      </c>
      <c r="Z51" s="71">
        <f t="shared" si="15"/>
        <v>23.385999999999999</v>
      </c>
      <c r="AA51" s="71" t="str">
        <f t="shared" si="10"/>
        <v/>
      </c>
      <c r="AB51" s="80"/>
      <c r="AC51" s="81" t="str">
        <f t="shared" si="14"/>
        <v/>
      </c>
      <c r="AD51" s="115"/>
      <c r="AE51" s="72"/>
      <c r="AF51" s="72"/>
      <c r="AG51" s="73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</row>
    <row r="52" spans="2:66" ht="19.2" customHeight="1">
      <c r="B52" s="66" t="s">
        <v>236</v>
      </c>
      <c r="C52" s="75" t="s">
        <v>141</v>
      </c>
      <c r="D52" s="83" t="s">
        <v>45</v>
      </c>
      <c r="E52" s="102">
        <v>18.323</v>
      </c>
      <c r="F52" s="103">
        <v>3.5000000000000003E-2</v>
      </c>
      <c r="G52" s="103">
        <v>-3.5000000000000003E-2</v>
      </c>
      <c r="H52" s="104" t="s">
        <v>46</v>
      </c>
      <c r="I52" s="67"/>
      <c r="J52" s="68">
        <f t="shared" si="11"/>
        <v>18.358000000000001</v>
      </c>
      <c r="K52" s="68">
        <f t="shared" si="12"/>
        <v>18.288</v>
      </c>
      <c r="L52" s="69"/>
      <c r="M52" s="84">
        <f t="shared" si="0"/>
        <v>0</v>
      </c>
      <c r="N52" s="84">
        <f t="shared" si="1"/>
        <v>0</v>
      </c>
      <c r="O52" s="84">
        <f t="shared" si="2"/>
        <v>0</v>
      </c>
      <c r="P52" s="85">
        <f t="shared" si="3"/>
        <v>0</v>
      </c>
      <c r="Q52" s="78" t="str">
        <f t="shared" si="20"/>
        <v/>
      </c>
      <c r="R52" s="79" t="str">
        <f>IF(OR($AI52="",ISNUMBER($AI52)=FALSE),"",IF(AND(#REF!="Tolerance",$E52&lt;&gt;""),($O52-$E52)/(($J52-$K52)/2),IF(AND(#REF!="GD&amp;T",$F52&lt;&gt;""),$O52/$F52,"")))</f>
        <v/>
      </c>
      <c r="S52" s="79" t="str">
        <f t="shared" si="13"/>
        <v/>
      </c>
      <c r="T52" s="78" t="str">
        <f t="shared" si="21"/>
        <v/>
      </c>
      <c r="U52" s="78" t="str">
        <f t="shared" si="22"/>
        <v/>
      </c>
      <c r="V52" s="78" t="str">
        <f t="shared" si="23"/>
        <v/>
      </c>
      <c r="W52" s="70" t="str">
        <f t="shared" si="24"/>
        <v/>
      </c>
      <c r="X52" s="71" t="e">
        <f>IF($O52="","",IF(#REF!="Tolerance",IF((#REF!*3*P52+O52)-E52&lt;F52,"",(#REF!*3*P52+O52)-E52),IF(OR(#REF!="GD&amp;T",#REF!="MAX"),IF((#REF!*3*P52+O52)&lt;F52,"",(#REF!*3*P52+O52)),"")))</f>
        <v>#REF!</v>
      </c>
      <c r="Y52" s="71" t="e">
        <f>IF(O52="","",IF(#REF!="Tolerance",IF(-((#REF!*3*P52)-O52)-E52&gt;G52,"",-((#REF!*3*P52)-O52)-E52),IF(#REF!="MIN",IF(-((#REF!*3*P52)-O52)&gt;G52,"",-((#REF!*3*P52)-O52)),"")))</f>
        <v>#REF!</v>
      </c>
      <c r="Z52" s="71">
        <f t="shared" si="15"/>
        <v>18.323</v>
      </c>
      <c r="AA52" s="71" t="str">
        <f t="shared" si="10"/>
        <v/>
      </c>
      <c r="AB52" s="80"/>
      <c r="AC52" s="81" t="str">
        <f t="shared" si="14"/>
        <v/>
      </c>
      <c r="AD52" s="115"/>
      <c r="AE52" s="72"/>
      <c r="AF52" s="72"/>
      <c r="AG52" s="73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</row>
    <row r="53" spans="2:66" ht="19.2" customHeight="1">
      <c r="B53" s="66" t="s">
        <v>236</v>
      </c>
      <c r="C53" s="75" t="s">
        <v>142</v>
      </c>
      <c r="D53" s="83" t="s">
        <v>45</v>
      </c>
      <c r="E53" s="102">
        <v>18.323</v>
      </c>
      <c r="F53" s="103">
        <v>3.5000000000000003E-2</v>
      </c>
      <c r="G53" s="103">
        <v>-3.5000000000000003E-2</v>
      </c>
      <c r="H53" s="104" t="s">
        <v>46</v>
      </c>
      <c r="I53" s="67"/>
      <c r="J53" s="68">
        <f t="shared" si="11"/>
        <v>18.358000000000001</v>
      </c>
      <c r="K53" s="68">
        <f t="shared" si="12"/>
        <v>18.288</v>
      </c>
      <c r="L53" s="69"/>
      <c r="M53" s="84">
        <f t="shared" si="0"/>
        <v>0</v>
      </c>
      <c r="N53" s="84">
        <f t="shared" si="1"/>
        <v>0</v>
      </c>
      <c r="O53" s="84">
        <f t="shared" si="2"/>
        <v>0</v>
      </c>
      <c r="P53" s="85">
        <f t="shared" si="3"/>
        <v>0</v>
      </c>
      <c r="Q53" s="78" t="str">
        <f t="shared" si="20"/>
        <v/>
      </c>
      <c r="R53" s="79" t="str">
        <f>IF(OR($AI53="",ISNUMBER($AI53)=FALSE),"",IF(AND(#REF!="Tolerance",$E53&lt;&gt;""),($O53-$E53)/(($J53-$K53)/2),IF(AND(#REF!="GD&amp;T",$F53&lt;&gt;""),$O53/$F53,"")))</f>
        <v/>
      </c>
      <c r="S53" s="79" t="str">
        <f t="shared" si="13"/>
        <v/>
      </c>
      <c r="T53" s="78" t="str">
        <f t="shared" si="21"/>
        <v/>
      </c>
      <c r="U53" s="78" t="str">
        <f t="shared" si="22"/>
        <v/>
      </c>
      <c r="V53" s="78" t="str">
        <f t="shared" si="23"/>
        <v/>
      </c>
      <c r="W53" s="70" t="str">
        <f t="shared" si="24"/>
        <v/>
      </c>
      <c r="X53" s="71" t="e">
        <f>IF($O53="","",IF(#REF!="Tolerance",IF((#REF!*3*P53+O53)-E53&lt;F53,"",(#REF!*3*P53+O53)-E53),IF(OR(#REF!="GD&amp;T",#REF!="MAX"),IF((#REF!*3*P53+O53)&lt;F53,"",(#REF!*3*P53+O53)),"")))</f>
        <v>#REF!</v>
      </c>
      <c r="Y53" s="71" t="e">
        <f>IF(O53="","",IF(#REF!="Tolerance",IF(-((#REF!*3*P53)-O53)-E53&gt;G53,"",-((#REF!*3*P53)-O53)-E53),IF(#REF!="MIN",IF(-((#REF!*3*P53)-O53)&gt;G53,"",-((#REF!*3*P53)-O53)),"")))</f>
        <v>#REF!</v>
      </c>
      <c r="Z53" s="71">
        <f t="shared" si="15"/>
        <v>18.323</v>
      </c>
      <c r="AA53" s="71" t="str">
        <f t="shared" si="10"/>
        <v/>
      </c>
      <c r="AB53" s="80"/>
      <c r="AC53" s="81" t="str">
        <f t="shared" si="14"/>
        <v/>
      </c>
      <c r="AD53" s="115"/>
      <c r="AE53" s="72"/>
      <c r="AF53" s="72"/>
      <c r="AG53" s="73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</row>
    <row r="54" spans="2:66" ht="19.2" customHeight="1">
      <c r="B54" s="66" t="s">
        <v>236</v>
      </c>
      <c r="C54" s="75" t="s">
        <v>143</v>
      </c>
      <c r="D54" s="83" t="s">
        <v>45</v>
      </c>
      <c r="E54" s="102">
        <v>18.323</v>
      </c>
      <c r="F54" s="103">
        <v>3.5000000000000003E-2</v>
      </c>
      <c r="G54" s="103">
        <v>-3.5000000000000003E-2</v>
      </c>
      <c r="H54" s="104" t="s">
        <v>46</v>
      </c>
      <c r="I54" s="67"/>
      <c r="J54" s="68">
        <f t="shared" si="11"/>
        <v>18.358000000000001</v>
      </c>
      <c r="K54" s="68">
        <f t="shared" si="12"/>
        <v>18.288</v>
      </c>
      <c r="L54" s="69"/>
      <c r="M54" s="84">
        <f t="shared" si="0"/>
        <v>0</v>
      </c>
      <c r="N54" s="84">
        <f t="shared" si="1"/>
        <v>0</v>
      </c>
      <c r="O54" s="84">
        <f t="shared" si="2"/>
        <v>0</v>
      </c>
      <c r="P54" s="85">
        <f t="shared" si="3"/>
        <v>0</v>
      </c>
      <c r="Q54" s="78" t="str">
        <f t="shared" si="20"/>
        <v/>
      </c>
      <c r="R54" s="79" t="str">
        <f>IF(OR($AI54="",ISNUMBER($AI54)=FALSE),"",IF(AND(#REF!="Tolerance",$E54&lt;&gt;""),($O54-$E54)/(($J54-$K54)/2),IF(AND(#REF!="GD&amp;T",$F54&lt;&gt;""),$O54/$F54,"")))</f>
        <v/>
      </c>
      <c r="S54" s="79" t="str">
        <f t="shared" si="13"/>
        <v/>
      </c>
      <c r="T54" s="78" t="str">
        <f t="shared" si="21"/>
        <v/>
      </c>
      <c r="U54" s="78" t="str">
        <f t="shared" si="22"/>
        <v/>
      </c>
      <c r="V54" s="78" t="str">
        <f t="shared" si="23"/>
        <v/>
      </c>
      <c r="W54" s="70" t="str">
        <f t="shared" si="24"/>
        <v/>
      </c>
      <c r="X54" s="71" t="e">
        <f>IF($O54="","",IF(#REF!="Tolerance",IF((#REF!*3*P54+O54)-E54&lt;F54,"",(#REF!*3*P54+O54)-E54),IF(OR(#REF!="GD&amp;T",#REF!="MAX"),IF((#REF!*3*P54+O54)&lt;F54,"",(#REF!*3*P54+O54)),"")))</f>
        <v>#REF!</v>
      </c>
      <c r="Y54" s="71" t="e">
        <f>IF(O54="","",IF(#REF!="Tolerance",IF(-((#REF!*3*P54)-O54)-E54&gt;G54,"",-((#REF!*3*P54)-O54)-E54),IF(#REF!="MIN",IF(-((#REF!*3*P54)-O54)&gt;G54,"",-((#REF!*3*P54)-O54)),"")))</f>
        <v>#REF!</v>
      </c>
      <c r="Z54" s="71">
        <f t="shared" si="15"/>
        <v>18.323</v>
      </c>
      <c r="AA54" s="71" t="str">
        <f t="shared" si="10"/>
        <v/>
      </c>
      <c r="AB54" s="80"/>
      <c r="AC54" s="81" t="str">
        <f t="shared" si="14"/>
        <v/>
      </c>
      <c r="AD54" s="115"/>
      <c r="AE54" s="72"/>
      <c r="AF54" s="72"/>
      <c r="AG54" s="73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</row>
    <row r="55" spans="2:66" ht="19.2" customHeight="1">
      <c r="B55" s="66" t="s">
        <v>94</v>
      </c>
      <c r="C55" s="75" t="s">
        <v>144</v>
      </c>
      <c r="D55" s="83" t="s">
        <v>45</v>
      </c>
      <c r="E55" s="102">
        <v>1.5249999999999999</v>
      </c>
      <c r="F55" s="103">
        <v>0.03</v>
      </c>
      <c r="G55" s="103">
        <v>-0.03</v>
      </c>
      <c r="H55" s="104" t="s">
        <v>46</v>
      </c>
      <c r="I55" s="67"/>
      <c r="J55" s="68">
        <f t="shared" si="11"/>
        <v>1.5549999999999999</v>
      </c>
      <c r="K55" s="68">
        <f t="shared" si="12"/>
        <v>1.4949999999999999</v>
      </c>
      <c r="L55" s="69"/>
      <c r="M55" s="84">
        <f t="shared" si="0"/>
        <v>0</v>
      </c>
      <c r="N55" s="84">
        <f t="shared" si="1"/>
        <v>0</v>
      </c>
      <c r="O55" s="84">
        <f t="shared" si="2"/>
        <v>0</v>
      </c>
      <c r="P55" s="85">
        <f t="shared" si="3"/>
        <v>0</v>
      </c>
      <c r="Q55" s="78" t="str">
        <f t="shared" si="20"/>
        <v/>
      </c>
      <c r="R55" s="79" t="str">
        <f>IF(OR($AI55="",ISNUMBER($AI55)=FALSE),"",IF(AND(#REF!="Tolerance",$E55&lt;&gt;""),($O55-$E55)/(($J55-$K55)/2),IF(AND(#REF!="GD&amp;T",$F55&lt;&gt;""),$O55/$F55,"")))</f>
        <v/>
      </c>
      <c r="S55" s="79" t="str">
        <f t="shared" si="13"/>
        <v/>
      </c>
      <c r="T55" s="78" t="str">
        <f t="shared" si="21"/>
        <v/>
      </c>
      <c r="U55" s="78" t="str">
        <f t="shared" si="22"/>
        <v/>
      </c>
      <c r="V55" s="78" t="str">
        <f t="shared" si="23"/>
        <v/>
      </c>
      <c r="W55" s="70" t="str">
        <f t="shared" si="24"/>
        <v/>
      </c>
      <c r="X55" s="71" t="e">
        <f>IF($O55="","",IF(#REF!="Tolerance",IF((#REF!*3*P55+O55)-E55&lt;F55,"",(#REF!*3*P55+O55)-E55),IF(OR(#REF!="GD&amp;T",#REF!="MAX"),IF((#REF!*3*P55+O55)&lt;F55,"",(#REF!*3*P55+O55)),"")))</f>
        <v>#REF!</v>
      </c>
      <c r="Y55" s="71" t="e">
        <f>IF(O55="","",IF(#REF!="Tolerance",IF(-((#REF!*3*P55)-O55)-E55&gt;G55,"",-((#REF!*3*P55)-O55)-E55),IF(#REF!="MIN",IF(-((#REF!*3*P55)-O55)&gt;G55,"",-((#REF!*3*P55)-O55)),"")))</f>
        <v>#REF!</v>
      </c>
      <c r="Z55" s="71">
        <f t="shared" si="15"/>
        <v>1.5249999999999999</v>
      </c>
      <c r="AA55" s="71" t="str">
        <f t="shared" si="10"/>
        <v/>
      </c>
      <c r="AB55" s="80"/>
      <c r="AC55" s="81" t="str">
        <f t="shared" si="14"/>
        <v/>
      </c>
      <c r="AD55" s="115"/>
      <c r="AE55" s="72"/>
      <c r="AF55" s="72"/>
      <c r="AG55" s="73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</row>
    <row r="56" spans="2:66" ht="19.2" customHeight="1">
      <c r="B56" s="66" t="s">
        <v>94</v>
      </c>
      <c r="C56" s="75" t="s">
        <v>145</v>
      </c>
      <c r="D56" s="83" t="s">
        <v>45</v>
      </c>
      <c r="E56" s="102">
        <v>1.5249999999999999</v>
      </c>
      <c r="F56" s="103">
        <v>0.03</v>
      </c>
      <c r="G56" s="103">
        <v>-0.03</v>
      </c>
      <c r="H56" s="104" t="s">
        <v>46</v>
      </c>
      <c r="I56" s="67"/>
      <c r="J56" s="68">
        <f t="shared" si="11"/>
        <v>1.5549999999999999</v>
      </c>
      <c r="K56" s="68">
        <f t="shared" si="12"/>
        <v>1.4949999999999999</v>
      </c>
      <c r="L56" s="69"/>
      <c r="M56" s="84">
        <f t="shared" si="0"/>
        <v>0</v>
      </c>
      <c r="N56" s="84">
        <f t="shared" si="1"/>
        <v>0</v>
      </c>
      <c r="O56" s="84">
        <f t="shared" si="2"/>
        <v>0</v>
      </c>
      <c r="P56" s="85">
        <f t="shared" si="3"/>
        <v>0</v>
      </c>
      <c r="Q56" s="78" t="str">
        <f t="shared" si="20"/>
        <v/>
      </c>
      <c r="R56" s="79" t="str">
        <f>IF(OR($AI56="",ISNUMBER($AI56)=FALSE),"",IF(AND(#REF!="Tolerance",$E56&lt;&gt;""),($O56-$E56)/(($J56-$K56)/2),IF(AND(#REF!="GD&amp;T",$F56&lt;&gt;""),$O56/$F56,"")))</f>
        <v/>
      </c>
      <c r="S56" s="79" t="str">
        <f t="shared" si="13"/>
        <v/>
      </c>
      <c r="T56" s="78" t="str">
        <f t="shared" si="21"/>
        <v/>
      </c>
      <c r="U56" s="78" t="str">
        <f t="shared" si="22"/>
        <v/>
      </c>
      <c r="V56" s="78" t="str">
        <f t="shared" si="23"/>
        <v/>
      </c>
      <c r="W56" s="70" t="str">
        <f t="shared" si="24"/>
        <v/>
      </c>
      <c r="X56" s="71" t="e">
        <f>IF($O56="","",IF(#REF!="Tolerance",IF((#REF!*3*P56+O56)-E56&lt;F56,"",(#REF!*3*P56+O56)-E56),IF(OR(#REF!="GD&amp;T",#REF!="MAX"),IF((#REF!*3*P56+O56)&lt;F56,"",(#REF!*3*P56+O56)),"")))</f>
        <v>#REF!</v>
      </c>
      <c r="Y56" s="71" t="e">
        <f>IF(O56="","",IF(#REF!="Tolerance",IF(-((#REF!*3*P56)-O56)-E56&gt;G56,"",-((#REF!*3*P56)-O56)-E56),IF(#REF!="MIN",IF(-((#REF!*3*P56)-O56)&gt;G56,"",-((#REF!*3*P56)-O56)),"")))</f>
        <v>#REF!</v>
      </c>
      <c r="Z56" s="71">
        <f t="shared" si="15"/>
        <v>1.5249999999999999</v>
      </c>
      <c r="AA56" s="71" t="str">
        <f t="shared" si="10"/>
        <v/>
      </c>
      <c r="AB56" s="80"/>
      <c r="AC56" s="81" t="str">
        <f t="shared" si="14"/>
        <v/>
      </c>
      <c r="AD56" s="115"/>
      <c r="AE56" s="72"/>
      <c r="AF56" s="72"/>
      <c r="AG56" s="73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</row>
    <row r="57" spans="2:66" ht="19.2" customHeight="1">
      <c r="B57" s="66" t="s">
        <v>94</v>
      </c>
      <c r="C57" s="75" t="s">
        <v>146</v>
      </c>
      <c r="D57" s="83" t="s">
        <v>45</v>
      </c>
      <c r="E57" s="102">
        <v>1.5249999999999999</v>
      </c>
      <c r="F57" s="103">
        <v>0.03</v>
      </c>
      <c r="G57" s="103">
        <v>-0.03</v>
      </c>
      <c r="H57" s="104" t="s">
        <v>46</v>
      </c>
      <c r="I57" s="67"/>
      <c r="J57" s="68">
        <f t="shared" si="11"/>
        <v>1.5549999999999999</v>
      </c>
      <c r="K57" s="68">
        <f t="shared" si="12"/>
        <v>1.4949999999999999</v>
      </c>
      <c r="L57" s="69"/>
      <c r="M57" s="84">
        <f t="shared" si="0"/>
        <v>0</v>
      </c>
      <c r="N57" s="84">
        <f t="shared" si="1"/>
        <v>0</v>
      </c>
      <c r="O57" s="84">
        <f t="shared" si="2"/>
        <v>0</v>
      </c>
      <c r="P57" s="85">
        <f t="shared" si="3"/>
        <v>0</v>
      </c>
      <c r="Q57" s="78" t="str">
        <f t="shared" si="20"/>
        <v/>
      </c>
      <c r="R57" s="79" t="str">
        <f>IF(OR($AI57="",ISNUMBER($AI57)=FALSE),"",IF(AND(#REF!="Tolerance",$E57&lt;&gt;""),($O57-$E57)/(($J57-$K57)/2),IF(AND(#REF!="GD&amp;T",$F57&lt;&gt;""),$O57/$F57,"")))</f>
        <v/>
      </c>
      <c r="S57" s="79" t="str">
        <f t="shared" si="13"/>
        <v/>
      </c>
      <c r="T57" s="78" t="str">
        <f t="shared" si="21"/>
        <v/>
      </c>
      <c r="U57" s="78" t="str">
        <f t="shared" si="22"/>
        <v/>
      </c>
      <c r="V57" s="78" t="str">
        <f t="shared" si="23"/>
        <v/>
      </c>
      <c r="W57" s="70" t="str">
        <f t="shared" si="24"/>
        <v/>
      </c>
      <c r="X57" s="71" t="e">
        <f>IF($O57="","",IF(#REF!="Tolerance",IF((#REF!*3*P57+O57)-E57&lt;F57,"",(#REF!*3*P57+O57)-E57),IF(OR(#REF!="GD&amp;T",#REF!="MAX"),IF((#REF!*3*P57+O57)&lt;F57,"",(#REF!*3*P57+O57)),"")))</f>
        <v>#REF!</v>
      </c>
      <c r="Y57" s="71" t="e">
        <f>IF(O57="","",IF(#REF!="Tolerance",IF(-((#REF!*3*P57)-O57)-E57&gt;G57,"",-((#REF!*3*P57)-O57)-E57),IF(#REF!="MIN",IF(-((#REF!*3*P57)-O57)&gt;G57,"",-((#REF!*3*P57)-O57)),"")))</f>
        <v>#REF!</v>
      </c>
      <c r="Z57" s="71">
        <f t="shared" si="15"/>
        <v>1.5249999999999999</v>
      </c>
      <c r="AA57" s="71" t="str">
        <f t="shared" si="10"/>
        <v/>
      </c>
      <c r="AB57" s="80"/>
      <c r="AC57" s="81" t="str">
        <f t="shared" si="14"/>
        <v/>
      </c>
      <c r="AD57" s="115"/>
      <c r="AE57" s="72"/>
      <c r="AF57" s="72"/>
      <c r="AG57" s="73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</row>
    <row r="58" spans="2:66" ht="19.2" customHeight="1">
      <c r="B58" s="66" t="s">
        <v>94</v>
      </c>
      <c r="C58" s="75" t="s">
        <v>147</v>
      </c>
      <c r="D58" s="83" t="s">
        <v>45</v>
      </c>
      <c r="E58" s="102">
        <v>1.5249999999999999</v>
      </c>
      <c r="F58" s="103">
        <v>0.03</v>
      </c>
      <c r="G58" s="103">
        <v>-0.03</v>
      </c>
      <c r="H58" s="104" t="s">
        <v>46</v>
      </c>
      <c r="I58" s="67"/>
      <c r="J58" s="68">
        <f t="shared" si="11"/>
        <v>1.5549999999999999</v>
      </c>
      <c r="K58" s="68">
        <f t="shared" si="12"/>
        <v>1.4949999999999999</v>
      </c>
      <c r="L58" s="69"/>
      <c r="M58" s="84">
        <f t="shared" si="0"/>
        <v>0</v>
      </c>
      <c r="N58" s="84">
        <f t="shared" si="1"/>
        <v>0</v>
      </c>
      <c r="O58" s="84">
        <f t="shared" si="2"/>
        <v>0</v>
      </c>
      <c r="P58" s="85">
        <f t="shared" si="3"/>
        <v>0</v>
      </c>
      <c r="Q58" s="78" t="str">
        <f t="shared" si="20"/>
        <v/>
      </c>
      <c r="R58" s="79" t="str">
        <f>IF(OR($AI58="",ISNUMBER($AI58)=FALSE),"",IF(AND(#REF!="Tolerance",$E58&lt;&gt;""),($O58-$E58)/(($J58-$K58)/2),IF(AND(#REF!="GD&amp;T",$F58&lt;&gt;""),$O58/$F58,"")))</f>
        <v/>
      </c>
      <c r="S58" s="79" t="str">
        <f t="shared" si="13"/>
        <v/>
      </c>
      <c r="T58" s="78" t="str">
        <f t="shared" si="21"/>
        <v/>
      </c>
      <c r="U58" s="78" t="str">
        <f t="shared" si="22"/>
        <v/>
      </c>
      <c r="V58" s="78" t="str">
        <f t="shared" si="23"/>
        <v/>
      </c>
      <c r="W58" s="70" t="str">
        <f t="shared" si="24"/>
        <v/>
      </c>
      <c r="X58" s="71" t="e">
        <f>IF($O58="","",IF(#REF!="Tolerance",IF((#REF!*3*P58+O58)-E58&lt;F58,"",(#REF!*3*P58+O58)-E58),IF(OR(#REF!="GD&amp;T",#REF!="MAX"),IF((#REF!*3*P58+O58)&lt;F58,"",(#REF!*3*P58+O58)),"")))</f>
        <v>#REF!</v>
      </c>
      <c r="Y58" s="71" t="e">
        <f>IF(O58="","",IF(#REF!="Tolerance",IF(-((#REF!*3*P58)-O58)-E58&gt;G58,"",-((#REF!*3*P58)-O58)-E58),IF(#REF!="MIN",IF(-((#REF!*3*P58)-O58)&gt;G58,"",-((#REF!*3*P58)-O58)),"")))</f>
        <v>#REF!</v>
      </c>
      <c r="Z58" s="71">
        <f t="shared" si="15"/>
        <v>1.5249999999999999</v>
      </c>
      <c r="AA58" s="71" t="str">
        <f t="shared" si="10"/>
        <v/>
      </c>
      <c r="AB58" s="80"/>
      <c r="AC58" s="81" t="str">
        <f t="shared" si="14"/>
        <v/>
      </c>
      <c r="AD58" s="115"/>
      <c r="AE58" s="72"/>
      <c r="AF58" s="72"/>
      <c r="AG58" s="73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</row>
    <row r="59" spans="2:66" ht="19.2" customHeight="1">
      <c r="B59" s="66" t="s">
        <v>90</v>
      </c>
      <c r="C59" s="75" t="s">
        <v>148</v>
      </c>
      <c r="D59" s="83" t="s">
        <v>45</v>
      </c>
      <c r="E59" s="102">
        <v>0.72499999999999998</v>
      </c>
      <c r="F59" s="103">
        <v>0.03</v>
      </c>
      <c r="G59" s="103">
        <v>-0.03</v>
      </c>
      <c r="H59" s="104" t="s">
        <v>46</v>
      </c>
      <c r="I59" s="67"/>
      <c r="J59" s="68">
        <f t="shared" si="11"/>
        <v>0.755</v>
      </c>
      <c r="K59" s="68">
        <f t="shared" si="12"/>
        <v>0.69499999999999995</v>
      </c>
      <c r="L59" s="69"/>
      <c r="M59" s="84">
        <f t="shared" si="0"/>
        <v>0</v>
      </c>
      <c r="N59" s="84">
        <f t="shared" si="1"/>
        <v>0</v>
      </c>
      <c r="O59" s="84">
        <f t="shared" si="2"/>
        <v>0</v>
      </c>
      <c r="P59" s="85">
        <f>IF(OR($AI59=ISBLANK(TRUE),ISNUMBER($AI59)=FALSE),,STDEV(AI59:BN59))</f>
        <v>0</v>
      </c>
      <c r="Q59" s="78" t="str">
        <f t="shared" si="20"/>
        <v/>
      </c>
      <c r="R59" s="79" t="str">
        <f>IF(OR($AI59="",ISNUMBER($AI59)=FALSE),"",IF(AND(#REF!="Tolerance",$E59&lt;&gt;""),($O59-$E59)/(($J59-$K59)/2),IF(AND(#REF!="GD&amp;T",$F59&lt;&gt;""),$O59/$F59,"")))</f>
        <v/>
      </c>
      <c r="S59" s="79" t="str">
        <f t="shared" si="13"/>
        <v/>
      </c>
      <c r="T59" s="78" t="str">
        <f t="shared" si="21"/>
        <v/>
      </c>
      <c r="U59" s="78" t="str">
        <f t="shared" si="22"/>
        <v/>
      </c>
      <c r="V59" s="78" t="str">
        <f t="shared" si="23"/>
        <v/>
      </c>
      <c r="W59" s="70" t="str">
        <f t="shared" si="24"/>
        <v/>
      </c>
      <c r="X59" s="71" t="e">
        <f>IF($O59="","",IF(#REF!="Tolerance",IF((#REF!*3*P59+O59)-E59&lt;F59,"",(#REF!*3*P59+O59)-E59),IF(OR(#REF!="GD&amp;T",#REF!="MAX"),IF((#REF!*3*P59+O59)&lt;F59,"",(#REF!*3*P59+O59)),"")))</f>
        <v>#REF!</v>
      </c>
      <c r="Y59" s="71" t="e">
        <f>IF(O59="","",IF(#REF!="Tolerance",IF(-((#REF!*3*P59)-O59)-E59&gt;G59,"",-((#REF!*3*P59)-O59)-E59),IF(#REF!="MIN",IF(-((#REF!*3*P59)-O59)&gt;G59,"",-((#REF!*3*P59)-O59)),"")))</f>
        <v>#REF!</v>
      </c>
      <c r="Z59" s="71">
        <f t="shared" si="15"/>
        <v>0.72499999999999998</v>
      </c>
      <c r="AA59" s="71" t="str">
        <f t="shared" si="10"/>
        <v/>
      </c>
      <c r="AB59" s="80"/>
      <c r="AC59" s="81" t="str">
        <f t="shared" si="14"/>
        <v/>
      </c>
      <c r="AD59" s="115"/>
      <c r="AE59" s="72"/>
      <c r="AF59" s="72"/>
      <c r="AG59" s="73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</row>
    <row r="60" spans="2:66" ht="19.2" customHeight="1">
      <c r="B60" s="66" t="s">
        <v>90</v>
      </c>
      <c r="C60" s="75" t="s">
        <v>149</v>
      </c>
      <c r="D60" s="83" t="s">
        <v>45</v>
      </c>
      <c r="E60" s="102">
        <v>0.72499999999999998</v>
      </c>
      <c r="F60" s="103">
        <v>0.03</v>
      </c>
      <c r="G60" s="103">
        <v>-0.03</v>
      </c>
      <c r="H60" s="104" t="s">
        <v>46</v>
      </c>
      <c r="I60" s="67"/>
      <c r="J60" s="68">
        <f t="shared" si="11"/>
        <v>0.755</v>
      </c>
      <c r="K60" s="68">
        <f t="shared" si="12"/>
        <v>0.69499999999999995</v>
      </c>
      <c r="L60" s="69"/>
      <c r="M60" s="84">
        <f t="shared" si="0"/>
        <v>0</v>
      </c>
      <c r="N60" s="84">
        <f t="shared" si="1"/>
        <v>0</v>
      </c>
      <c r="O60" s="84">
        <f t="shared" si="2"/>
        <v>0</v>
      </c>
      <c r="P60" s="85">
        <f t="shared" ref="P60:P84" si="25">IF(OR($AI60=ISBLANK(TRUE),ISNUMBER($AI60)=FALSE),,STDEV(AI60:BN60))</f>
        <v>0</v>
      </c>
      <c r="Q60" s="78" t="str">
        <f t="shared" si="20"/>
        <v/>
      </c>
      <c r="R60" s="79" t="str">
        <f>IF(OR($AI60="",ISNUMBER($AI60)=FALSE),"",IF(AND(#REF!="Tolerance",$E60&lt;&gt;""),($O60-$E60)/(($J60-$K60)/2),IF(AND(#REF!="GD&amp;T",$F60&lt;&gt;""),$O60/$F60,"")))</f>
        <v/>
      </c>
      <c r="S60" s="79" t="str">
        <f t="shared" si="13"/>
        <v/>
      </c>
      <c r="T60" s="78" t="str">
        <f t="shared" si="21"/>
        <v/>
      </c>
      <c r="U60" s="78" t="str">
        <f t="shared" si="22"/>
        <v/>
      </c>
      <c r="V60" s="78" t="str">
        <f t="shared" si="23"/>
        <v/>
      </c>
      <c r="W60" s="70" t="str">
        <f t="shared" si="24"/>
        <v/>
      </c>
      <c r="X60" s="71" t="e">
        <f>IF($O60="","",IF(#REF!="Tolerance",IF((#REF!*3*P60+O60)-E60&lt;F60,"",(#REF!*3*P60+O60)-E60),IF(OR(#REF!="GD&amp;T",#REF!="MAX"),IF((#REF!*3*P60+O60)&lt;F60,"",(#REF!*3*P60+O60)),"")))</f>
        <v>#REF!</v>
      </c>
      <c r="Y60" s="71" t="e">
        <f>IF(O60="","",IF(#REF!="Tolerance",IF(-((#REF!*3*P60)-O60)-E60&gt;G60,"",-((#REF!*3*P60)-O60)-E60),IF(#REF!="MIN",IF(-((#REF!*3*P60)-O60)&gt;G60,"",-((#REF!*3*P60)-O60)),"")))</f>
        <v>#REF!</v>
      </c>
      <c r="Z60" s="71">
        <f t="shared" si="15"/>
        <v>0.72499999999999998</v>
      </c>
      <c r="AA60" s="71" t="str">
        <f t="shared" si="10"/>
        <v/>
      </c>
      <c r="AB60" s="80"/>
      <c r="AC60" s="81" t="str">
        <f t="shared" si="14"/>
        <v/>
      </c>
      <c r="AD60" s="115"/>
      <c r="AE60" s="72"/>
      <c r="AF60" s="72"/>
      <c r="AG60" s="73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</row>
    <row r="61" spans="2:66" ht="19.2" customHeight="1">
      <c r="B61" s="66" t="s">
        <v>90</v>
      </c>
      <c r="C61" s="75" t="s">
        <v>150</v>
      </c>
      <c r="D61" s="83" t="s">
        <v>45</v>
      </c>
      <c r="E61" s="102">
        <v>0.72499999999999998</v>
      </c>
      <c r="F61" s="103">
        <v>0.03</v>
      </c>
      <c r="G61" s="103">
        <v>-0.03</v>
      </c>
      <c r="H61" s="104" t="s">
        <v>46</v>
      </c>
      <c r="I61" s="67"/>
      <c r="J61" s="68">
        <f t="shared" si="11"/>
        <v>0.755</v>
      </c>
      <c r="K61" s="68">
        <f t="shared" si="12"/>
        <v>0.69499999999999995</v>
      </c>
      <c r="L61" s="69"/>
      <c r="M61" s="84">
        <f t="shared" si="0"/>
        <v>0</v>
      </c>
      <c r="N61" s="84">
        <f t="shared" si="1"/>
        <v>0</v>
      </c>
      <c r="O61" s="84">
        <f t="shared" si="2"/>
        <v>0</v>
      </c>
      <c r="P61" s="85">
        <f t="shared" si="25"/>
        <v>0</v>
      </c>
      <c r="Q61" s="78" t="str">
        <f t="shared" si="20"/>
        <v/>
      </c>
      <c r="R61" s="79" t="str">
        <f>IF(OR($AI61="",ISNUMBER($AI61)=FALSE),"",IF(AND(#REF!="Tolerance",$E61&lt;&gt;""),($O61-$E61)/(($J61-$K61)/2),IF(AND(#REF!="GD&amp;T",$F61&lt;&gt;""),$O61/$F61,"")))</f>
        <v/>
      </c>
      <c r="S61" s="79" t="str">
        <f t="shared" si="13"/>
        <v/>
      </c>
      <c r="T61" s="78" t="str">
        <f t="shared" si="21"/>
        <v/>
      </c>
      <c r="U61" s="78" t="str">
        <f t="shared" si="22"/>
        <v/>
      </c>
      <c r="V61" s="78" t="str">
        <f t="shared" si="23"/>
        <v/>
      </c>
      <c r="W61" s="70" t="str">
        <f t="shared" si="24"/>
        <v/>
      </c>
      <c r="X61" s="71" t="e">
        <f>IF($O61="","",IF(#REF!="Tolerance",IF((#REF!*3*P61+O61)-E61&lt;F61,"",(#REF!*3*P61+O61)-E61),IF(OR(#REF!="GD&amp;T",#REF!="MAX"),IF((#REF!*3*P61+O61)&lt;F61,"",(#REF!*3*P61+O61)),"")))</f>
        <v>#REF!</v>
      </c>
      <c r="Y61" s="71" t="e">
        <f>IF(O61="","",IF(#REF!="Tolerance",IF(-((#REF!*3*P61)-O61)-E61&gt;G61,"",-((#REF!*3*P61)-O61)-E61),IF(#REF!="MIN",IF(-((#REF!*3*P61)-O61)&gt;G61,"",-((#REF!*3*P61)-O61)),"")))</f>
        <v>#REF!</v>
      </c>
      <c r="Z61" s="71">
        <f t="shared" si="15"/>
        <v>0.72499999999999998</v>
      </c>
      <c r="AA61" s="71" t="str">
        <f t="shared" si="10"/>
        <v/>
      </c>
      <c r="AB61" s="80"/>
      <c r="AC61" s="81" t="str">
        <f t="shared" si="14"/>
        <v/>
      </c>
      <c r="AD61" s="115"/>
      <c r="AE61" s="72"/>
      <c r="AF61" s="72"/>
      <c r="AG61" s="73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</row>
    <row r="62" spans="2:66" ht="19.2" customHeight="1">
      <c r="B62" s="66" t="s">
        <v>95</v>
      </c>
      <c r="C62" s="75" t="s">
        <v>151</v>
      </c>
      <c r="D62" s="83" t="s">
        <v>45</v>
      </c>
      <c r="E62" s="102">
        <v>0.93899999999999995</v>
      </c>
      <c r="F62" s="103">
        <v>0.03</v>
      </c>
      <c r="G62" s="103">
        <v>-0.02</v>
      </c>
      <c r="H62" s="104" t="s">
        <v>231</v>
      </c>
      <c r="I62" s="67"/>
      <c r="J62" s="68">
        <f t="shared" si="11"/>
        <v>0.96899999999999997</v>
      </c>
      <c r="K62" s="68">
        <f t="shared" si="12"/>
        <v>0.91899999999999993</v>
      </c>
      <c r="L62" s="69"/>
      <c r="M62" s="84">
        <f t="shared" si="0"/>
        <v>0</v>
      </c>
      <c r="N62" s="84">
        <f t="shared" si="1"/>
        <v>0</v>
      </c>
      <c r="O62" s="84">
        <f t="shared" si="2"/>
        <v>0</v>
      </c>
      <c r="P62" s="85">
        <f t="shared" si="25"/>
        <v>0</v>
      </c>
      <c r="Q62" s="78" t="str">
        <f t="shared" si="20"/>
        <v/>
      </c>
      <c r="R62" s="79" t="str">
        <f>IF(OR($AI62="",ISNUMBER($AI62)=FALSE),"",IF(AND(#REF!="Tolerance",$E62&lt;&gt;""),($O62-$E62)/(($J62-$K62)/2),IF(AND(#REF!="GD&amp;T",$F62&lt;&gt;""),$O62/$F62,"")))</f>
        <v/>
      </c>
      <c r="S62" s="79" t="str">
        <f t="shared" si="13"/>
        <v/>
      </c>
      <c r="T62" s="78" t="str">
        <f t="shared" si="21"/>
        <v/>
      </c>
      <c r="U62" s="78" t="str">
        <f t="shared" si="22"/>
        <v/>
      </c>
      <c r="V62" s="78" t="str">
        <f t="shared" si="23"/>
        <v/>
      </c>
      <c r="W62" s="70" t="str">
        <f t="shared" si="24"/>
        <v/>
      </c>
      <c r="X62" s="71" t="e">
        <f>IF($O62="","",IF(#REF!="Tolerance",IF((#REF!*3*P62+O62)-E62&lt;F62,"",(#REF!*3*P62+O62)-E62),IF(OR(#REF!="GD&amp;T",#REF!="MAX"),IF((#REF!*3*P62+O62)&lt;F62,"",(#REF!*3*P62+O62)),"")))</f>
        <v>#REF!</v>
      </c>
      <c r="Y62" s="71" t="e">
        <f>IF(O62="","",IF(#REF!="Tolerance",IF(-((#REF!*3*P62)-O62)-E62&gt;G62,"",-((#REF!*3*P62)-O62)-E62),IF(#REF!="MIN",IF(-((#REF!*3*P62)-O62)&gt;G62,"",-((#REF!*3*P62)-O62)),"")))</f>
        <v>#REF!</v>
      </c>
      <c r="Z62" s="71">
        <f t="shared" ref="Z62:Z93" si="26">IF(OR(E62="",O62=""),"",(J62+K62)/2-O62)</f>
        <v>0.94399999999999995</v>
      </c>
      <c r="AA62" s="71" t="str">
        <f t="shared" si="10"/>
        <v/>
      </c>
      <c r="AB62" s="80"/>
      <c r="AC62" s="81" t="str">
        <f t="shared" si="14"/>
        <v/>
      </c>
      <c r="AD62" s="115"/>
      <c r="AE62" s="72"/>
      <c r="AF62" s="72"/>
      <c r="AG62" s="73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</row>
    <row r="63" spans="2:66" ht="19.2" customHeight="1">
      <c r="B63" s="66" t="s">
        <v>95</v>
      </c>
      <c r="C63" s="75" t="s">
        <v>152</v>
      </c>
      <c r="D63" s="83" t="s">
        <v>45</v>
      </c>
      <c r="E63" s="102">
        <v>0.93899999999999995</v>
      </c>
      <c r="F63" s="103">
        <v>0.03</v>
      </c>
      <c r="G63" s="103">
        <v>-0.02</v>
      </c>
      <c r="H63" s="104" t="s">
        <v>231</v>
      </c>
      <c r="I63" s="67"/>
      <c r="J63" s="68">
        <f t="shared" si="11"/>
        <v>0.96899999999999997</v>
      </c>
      <c r="K63" s="68">
        <f t="shared" si="12"/>
        <v>0.91899999999999993</v>
      </c>
      <c r="L63" s="69"/>
      <c r="M63" s="84">
        <f t="shared" si="0"/>
        <v>0</v>
      </c>
      <c r="N63" s="84">
        <f t="shared" si="1"/>
        <v>0</v>
      </c>
      <c r="O63" s="84">
        <f t="shared" si="2"/>
        <v>0</v>
      </c>
      <c r="P63" s="85">
        <f t="shared" si="25"/>
        <v>0</v>
      </c>
      <c r="Q63" s="78" t="str">
        <f t="shared" si="20"/>
        <v/>
      </c>
      <c r="R63" s="79" t="str">
        <f>IF(OR($AI63="",ISNUMBER($AI63)=FALSE),"",IF(AND(#REF!="Tolerance",$E63&lt;&gt;""),($O63-$E63)/(($J63-$K63)/2),IF(AND(#REF!="GD&amp;T",$F63&lt;&gt;""),$O63/$F63,"")))</f>
        <v/>
      </c>
      <c r="S63" s="79" t="str">
        <f t="shared" si="13"/>
        <v/>
      </c>
      <c r="T63" s="78" t="str">
        <f t="shared" si="21"/>
        <v/>
      </c>
      <c r="U63" s="78" t="str">
        <f t="shared" si="22"/>
        <v/>
      </c>
      <c r="V63" s="78" t="str">
        <f t="shared" si="23"/>
        <v/>
      </c>
      <c r="W63" s="70" t="str">
        <f t="shared" si="24"/>
        <v/>
      </c>
      <c r="X63" s="71" t="e">
        <f>IF($O63="","",IF(#REF!="Tolerance",IF((#REF!*3*P63+O63)-E63&lt;F63,"",(#REF!*3*P63+O63)-E63),IF(OR(#REF!="GD&amp;T",#REF!="MAX"),IF((#REF!*3*P63+O63)&lt;F63,"",(#REF!*3*P63+O63)),"")))</f>
        <v>#REF!</v>
      </c>
      <c r="Y63" s="71" t="e">
        <f>IF(O63="","",IF(#REF!="Tolerance",IF(-((#REF!*3*P63)-O63)-E63&gt;G63,"",-((#REF!*3*P63)-O63)-E63),IF(#REF!="MIN",IF(-((#REF!*3*P63)-O63)&gt;G63,"",-((#REF!*3*P63)-O63)),"")))</f>
        <v>#REF!</v>
      </c>
      <c r="Z63" s="71">
        <f t="shared" si="26"/>
        <v>0.94399999999999995</v>
      </c>
      <c r="AA63" s="71" t="str">
        <f t="shared" si="10"/>
        <v/>
      </c>
      <c r="AB63" s="80"/>
      <c r="AC63" s="81" t="str">
        <f t="shared" si="14"/>
        <v/>
      </c>
      <c r="AD63" s="115"/>
      <c r="AE63" s="72"/>
      <c r="AF63" s="72"/>
      <c r="AG63" s="73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</row>
    <row r="64" spans="2:66" ht="19.2" customHeight="1">
      <c r="B64" s="66" t="s">
        <v>95</v>
      </c>
      <c r="C64" s="75" t="s">
        <v>153</v>
      </c>
      <c r="D64" s="83" t="s">
        <v>45</v>
      </c>
      <c r="E64" s="102">
        <v>0.93899999999999995</v>
      </c>
      <c r="F64" s="103">
        <v>0.03</v>
      </c>
      <c r="G64" s="103">
        <v>-0.02</v>
      </c>
      <c r="H64" s="104" t="s">
        <v>231</v>
      </c>
      <c r="I64" s="67"/>
      <c r="J64" s="68">
        <f t="shared" si="11"/>
        <v>0.96899999999999997</v>
      </c>
      <c r="K64" s="68">
        <f t="shared" si="12"/>
        <v>0.91899999999999993</v>
      </c>
      <c r="L64" s="69"/>
      <c r="M64" s="84">
        <f t="shared" si="0"/>
        <v>0</v>
      </c>
      <c r="N64" s="84">
        <f t="shared" si="1"/>
        <v>0</v>
      </c>
      <c r="O64" s="84">
        <f t="shared" si="2"/>
        <v>0</v>
      </c>
      <c r="P64" s="85">
        <f t="shared" si="25"/>
        <v>0</v>
      </c>
      <c r="Q64" s="78" t="str">
        <f t="shared" si="20"/>
        <v/>
      </c>
      <c r="R64" s="79" t="str">
        <f>IF(OR($AI64="",ISNUMBER($AI64)=FALSE),"",IF(AND(#REF!="Tolerance",$E64&lt;&gt;""),($O64-$E64)/(($J64-$K64)/2),IF(AND(#REF!="GD&amp;T",$F64&lt;&gt;""),$O64/$F64,"")))</f>
        <v/>
      </c>
      <c r="S64" s="79" t="str">
        <f t="shared" si="13"/>
        <v/>
      </c>
      <c r="T64" s="78" t="str">
        <f t="shared" si="21"/>
        <v/>
      </c>
      <c r="U64" s="78" t="str">
        <f t="shared" si="22"/>
        <v/>
      </c>
      <c r="V64" s="78" t="str">
        <f t="shared" si="23"/>
        <v/>
      </c>
      <c r="W64" s="70" t="str">
        <f t="shared" si="24"/>
        <v/>
      </c>
      <c r="X64" s="71" t="e">
        <f>IF($O64="","",IF(#REF!="Tolerance",IF((#REF!*3*P64+O64)-E64&lt;F64,"",(#REF!*3*P64+O64)-E64),IF(OR(#REF!="GD&amp;T",#REF!="MAX"),IF((#REF!*3*P64+O64)&lt;F64,"",(#REF!*3*P64+O64)),"")))</f>
        <v>#REF!</v>
      </c>
      <c r="Y64" s="71" t="e">
        <f>IF(O64="","",IF(#REF!="Tolerance",IF(-((#REF!*3*P64)-O64)-E64&gt;G64,"",-((#REF!*3*P64)-O64)-E64),IF(#REF!="MIN",IF(-((#REF!*3*P64)-O64)&gt;G64,"",-((#REF!*3*P64)-O64)),"")))</f>
        <v>#REF!</v>
      </c>
      <c r="Z64" s="71">
        <f t="shared" si="26"/>
        <v>0.94399999999999995</v>
      </c>
      <c r="AA64" s="71" t="str">
        <f t="shared" si="10"/>
        <v/>
      </c>
      <c r="AB64" s="80"/>
      <c r="AC64" s="81" t="str">
        <f t="shared" si="14"/>
        <v/>
      </c>
      <c r="AD64" s="115"/>
      <c r="AE64" s="72"/>
      <c r="AF64" s="72"/>
      <c r="AG64" s="73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</row>
    <row r="65" spans="2:66" ht="19.2" customHeight="1">
      <c r="B65" s="66" t="s">
        <v>95</v>
      </c>
      <c r="C65" s="75" t="s">
        <v>154</v>
      </c>
      <c r="D65" s="83" t="s">
        <v>45</v>
      </c>
      <c r="E65" s="102">
        <v>0.93899999999999995</v>
      </c>
      <c r="F65" s="103">
        <v>0.03</v>
      </c>
      <c r="G65" s="103">
        <v>-0.02</v>
      </c>
      <c r="H65" s="104" t="s">
        <v>231</v>
      </c>
      <c r="I65" s="67"/>
      <c r="J65" s="68">
        <f t="shared" si="11"/>
        <v>0.96899999999999997</v>
      </c>
      <c r="K65" s="68">
        <f t="shared" si="12"/>
        <v>0.91899999999999993</v>
      </c>
      <c r="L65" s="69"/>
      <c r="M65" s="84">
        <f t="shared" si="0"/>
        <v>0</v>
      </c>
      <c r="N65" s="84">
        <f t="shared" si="1"/>
        <v>0</v>
      </c>
      <c r="O65" s="84">
        <f t="shared" si="2"/>
        <v>0</v>
      </c>
      <c r="P65" s="85">
        <f t="shared" si="25"/>
        <v>0</v>
      </c>
      <c r="Q65" s="78" t="str">
        <f t="shared" si="20"/>
        <v/>
      </c>
      <c r="R65" s="79" t="str">
        <f>IF(OR($AI65="",ISNUMBER($AI65)=FALSE),"",IF(AND(#REF!="Tolerance",$E65&lt;&gt;""),($O65-$E65)/(($J65-$K65)/2),IF(AND(#REF!="GD&amp;T",$F65&lt;&gt;""),$O65/$F65,"")))</f>
        <v/>
      </c>
      <c r="S65" s="79" t="str">
        <f t="shared" si="13"/>
        <v/>
      </c>
      <c r="T65" s="78" t="str">
        <f t="shared" si="21"/>
        <v/>
      </c>
      <c r="U65" s="78" t="str">
        <f t="shared" si="22"/>
        <v/>
      </c>
      <c r="V65" s="78" t="str">
        <f t="shared" si="23"/>
        <v/>
      </c>
      <c r="W65" s="70" t="str">
        <f t="shared" si="24"/>
        <v/>
      </c>
      <c r="X65" s="71" t="e">
        <f>IF($O65="","",IF(#REF!="Tolerance",IF((#REF!*3*P65+O65)-E65&lt;F65,"",(#REF!*3*P65+O65)-E65),IF(OR(#REF!="GD&amp;T",#REF!="MAX"),IF((#REF!*3*P65+O65)&lt;F65,"",(#REF!*3*P65+O65)),"")))</f>
        <v>#REF!</v>
      </c>
      <c r="Y65" s="71" t="e">
        <f>IF(O65="","",IF(#REF!="Tolerance",IF(-((#REF!*3*P65)-O65)-E65&gt;G65,"",-((#REF!*3*P65)-O65)-E65),IF(#REF!="MIN",IF(-((#REF!*3*P65)-O65)&gt;G65,"",-((#REF!*3*P65)-O65)),"")))</f>
        <v>#REF!</v>
      </c>
      <c r="Z65" s="71">
        <f t="shared" si="26"/>
        <v>0.94399999999999995</v>
      </c>
      <c r="AA65" s="71" t="str">
        <f t="shared" si="10"/>
        <v/>
      </c>
      <c r="AB65" s="80"/>
      <c r="AC65" s="81" t="str">
        <f t="shared" si="14"/>
        <v/>
      </c>
      <c r="AD65" s="115"/>
      <c r="AE65" s="72"/>
      <c r="AF65" s="72"/>
      <c r="AG65" s="73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</row>
    <row r="66" spans="2:66" ht="19.2" customHeight="1">
      <c r="B66" s="66" t="s">
        <v>95</v>
      </c>
      <c r="C66" s="75" t="s">
        <v>307</v>
      </c>
      <c r="D66" s="83" t="s">
        <v>45</v>
      </c>
      <c r="E66" s="102">
        <v>0.93899999999999995</v>
      </c>
      <c r="F66" s="103">
        <v>0.03</v>
      </c>
      <c r="G66" s="103">
        <v>-0.02</v>
      </c>
      <c r="H66" s="104" t="s">
        <v>231</v>
      </c>
      <c r="I66" s="67"/>
      <c r="J66" s="68">
        <f t="shared" si="11"/>
        <v>0.96899999999999997</v>
      </c>
      <c r="K66" s="68">
        <f t="shared" si="12"/>
        <v>0.91899999999999993</v>
      </c>
      <c r="L66" s="69"/>
      <c r="M66" s="84">
        <f t="shared" si="0"/>
        <v>0</v>
      </c>
      <c r="N66" s="84">
        <f t="shared" si="1"/>
        <v>0</v>
      </c>
      <c r="O66" s="84">
        <f t="shared" si="2"/>
        <v>0</v>
      </c>
      <c r="P66" s="85">
        <f t="shared" si="25"/>
        <v>0</v>
      </c>
      <c r="Q66" s="78" t="str">
        <f t="shared" si="20"/>
        <v/>
      </c>
      <c r="R66" s="79" t="str">
        <f>IF(OR($AI66="",ISNUMBER($AI66)=FALSE),"",IF(AND(#REF!="Tolerance",$E66&lt;&gt;""),($O66-$E66)/(($J66-$K66)/2),IF(AND(#REF!="GD&amp;T",$F66&lt;&gt;""),$O66/$F66,"")))</f>
        <v/>
      </c>
      <c r="S66" s="79" t="str">
        <f t="shared" si="13"/>
        <v/>
      </c>
      <c r="T66" s="78" t="str">
        <f t="shared" si="21"/>
        <v/>
      </c>
      <c r="U66" s="78" t="str">
        <f t="shared" si="22"/>
        <v/>
      </c>
      <c r="V66" s="78" t="str">
        <f t="shared" si="23"/>
        <v/>
      </c>
      <c r="W66" s="70" t="str">
        <f t="shared" si="24"/>
        <v/>
      </c>
      <c r="X66" s="71" t="e">
        <f>IF($O66="","",IF(#REF!="Tolerance",IF((#REF!*3*P66+O66)-E66&lt;F66,"",(#REF!*3*P66+O66)-E66),IF(OR(#REF!="GD&amp;T",#REF!="MAX"),IF((#REF!*3*P66+O66)&lt;F66,"",(#REF!*3*P66+O66)),"")))</f>
        <v>#REF!</v>
      </c>
      <c r="Y66" s="71" t="e">
        <f>IF(O66="","",IF(#REF!="Tolerance",IF(-((#REF!*3*P66)-O66)-E66&gt;G66,"",-((#REF!*3*P66)-O66)-E66),IF(#REF!="MIN",IF(-((#REF!*3*P66)-O66)&gt;G66,"",-((#REF!*3*P66)-O66)),"")))</f>
        <v>#REF!</v>
      </c>
      <c r="Z66" s="71">
        <f t="shared" si="26"/>
        <v>0.94399999999999995</v>
      </c>
      <c r="AA66" s="71" t="str">
        <f t="shared" si="10"/>
        <v/>
      </c>
      <c r="AB66" s="80"/>
      <c r="AC66" s="81" t="str">
        <f t="shared" si="14"/>
        <v/>
      </c>
      <c r="AD66" s="115"/>
      <c r="AE66" s="72"/>
      <c r="AF66" s="72"/>
      <c r="AG66" s="73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</row>
    <row r="67" spans="2:66" ht="19.2" customHeight="1">
      <c r="B67" s="66" t="s">
        <v>95</v>
      </c>
      <c r="C67" s="75" t="s">
        <v>323</v>
      </c>
      <c r="D67" s="83" t="s">
        <v>45</v>
      </c>
      <c r="E67" s="102">
        <v>0.93899999999999995</v>
      </c>
      <c r="F67" s="103">
        <v>0.03</v>
      </c>
      <c r="G67" s="103">
        <v>-0.02</v>
      </c>
      <c r="H67" s="104" t="s">
        <v>231</v>
      </c>
      <c r="I67" s="67"/>
      <c r="J67" s="68">
        <f t="shared" si="11"/>
        <v>0.96899999999999997</v>
      </c>
      <c r="K67" s="68">
        <f t="shared" si="12"/>
        <v>0.91899999999999993</v>
      </c>
      <c r="L67" s="69"/>
      <c r="M67" s="84">
        <f t="shared" si="0"/>
        <v>0</v>
      </c>
      <c r="N67" s="84">
        <f t="shared" si="1"/>
        <v>0</v>
      </c>
      <c r="O67" s="84">
        <f t="shared" si="2"/>
        <v>0</v>
      </c>
      <c r="P67" s="85">
        <f t="shared" si="25"/>
        <v>0</v>
      </c>
      <c r="Q67" s="78" t="str">
        <f t="shared" si="20"/>
        <v/>
      </c>
      <c r="R67" s="79" t="str">
        <f>IF(OR($AI67="",ISNUMBER($AI67)=FALSE),"",IF(AND(#REF!="Tolerance",$E67&lt;&gt;""),($O67-$E67)/(($J67-$K67)/2),IF(AND(#REF!="GD&amp;T",$F67&lt;&gt;""),$O67/$F67,"")))</f>
        <v/>
      </c>
      <c r="S67" s="79" t="str">
        <f t="shared" si="13"/>
        <v/>
      </c>
      <c r="T67" s="78" t="str">
        <f t="shared" si="21"/>
        <v/>
      </c>
      <c r="U67" s="78" t="str">
        <f t="shared" si="22"/>
        <v/>
      </c>
      <c r="V67" s="78" t="str">
        <f t="shared" si="23"/>
        <v/>
      </c>
      <c r="W67" s="70" t="str">
        <f t="shared" si="24"/>
        <v/>
      </c>
      <c r="X67" s="71" t="e">
        <f>IF($O67="","",IF(#REF!="Tolerance",IF((#REF!*3*P67+O67)-E67&lt;F67,"",(#REF!*3*P67+O67)-E67),IF(OR(#REF!="GD&amp;T",#REF!="MAX"),IF((#REF!*3*P67+O67)&lt;F67,"",(#REF!*3*P67+O67)),"")))</f>
        <v>#REF!</v>
      </c>
      <c r="Y67" s="71" t="e">
        <f>IF(O67="","",IF(#REF!="Tolerance",IF(-((#REF!*3*P67)-O67)-E67&gt;G67,"",-((#REF!*3*P67)-O67)-E67),IF(#REF!="MIN",IF(-((#REF!*3*P67)-O67)&gt;G67,"",-((#REF!*3*P67)-O67)),"")))</f>
        <v>#REF!</v>
      </c>
      <c r="Z67" s="71">
        <f t="shared" si="26"/>
        <v>0.94399999999999995</v>
      </c>
      <c r="AA67" s="71" t="str">
        <f t="shared" si="10"/>
        <v/>
      </c>
      <c r="AB67" s="80"/>
      <c r="AC67" s="81" t="str">
        <f t="shared" si="14"/>
        <v/>
      </c>
      <c r="AD67" s="115"/>
      <c r="AE67" s="72"/>
      <c r="AF67" s="72"/>
      <c r="AG67" s="73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</row>
    <row r="68" spans="2:66" ht="19.2" customHeight="1">
      <c r="B68" s="66" t="s">
        <v>237</v>
      </c>
      <c r="C68" s="75" t="s">
        <v>155</v>
      </c>
      <c r="D68" s="83" t="s">
        <v>45</v>
      </c>
      <c r="E68" s="102">
        <v>18.419</v>
      </c>
      <c r="F68" s="103">
        <v>0.03</v>
      </c>
      <c r="G68" s="103">
        <v>-0.03</v>
      </c>
      <c r="H68" s="104" t="s">
        <v>46</v>
      </c>
      <c r="I68" s="67"/>
      <c r="J68" s="68">
        <f t="shared" si="11"/>
        <v>18.449000000000002</v>
      </c>
      <c r="K68" s="68">
        <f t="shared" si="12"/>
        <v>18.388999999999999</v>
      </c>
      <c r="L68" s="69"/>
      <c r="M68" s="84">
        <f t="shared" si="0"/>
        <v>0</v>
      </c>
      <c r="N68" s="84">
        <f t="shared" si="1"/>
        <v>0</v>
      </c>
      <c r="O68" s="84">
        <f t="shared" si="2"/>
        <v>0</v>
      </c>
      <c r="P68" s="85">
        <f t="shared" si="25"/>
        <v>0</v>
      </c>
      <c r="Q68" s="78" t="str">
        <f t="shared" si="20"/>
        <v/>
      </c>
      <c r="R68" s="79" t="str">
        <f>IF(OR($AI68="",ISNUMBER($AI68)=FALSE),"",IF(AND(#REF!="Tolerance",$E68&lt;&gt;""),($O68-$E68)/(($J68-$K68)/2),IF(AND(#REF!="GD&amp;T",$F68&lt;&gt;""),$O68/$F68,"")))</f>
        <v/>
      </c>
      <c r="S68" s="79" t="str">
        <f t="shared" si="13"/>
        <v/>
      </c>
      <c r="T68" s="78" t="str">
        <f t="shared" si="21"/>
        <v/>
      </c>
      <c r="U68" s="78" t="str">
        <f t="shared" si="22"/>
        <v/>
      </c>
      <c r="V68" s="78" t="str">
        <f t="shared" si="23"/>
        <v/>
      </c>
      <c r="W68" s="70" t="str">
        <f t="shared" si="24"/>
        <v/>
      </c>
      <c r="X68" s="71" t="e">
        <f>IF($O68="","",IF(#REF!="Tolerance",IF((#REF!*3*P68+O68)-E68&lt;F68,"",(#REF!*3*P68+O68)-E68),IF(OR(#REF!="GD&amp;T",#REF!="MAX"),IF((#REF!*3*P68+O68)&lt;F68,"",(#REF!*3*P68+O68)),"")))</f>
        <v>#REF!</v>
      </c>
      <c r="Y68" s="71" t="e">
        <f>IF(O68="","",IF(#REF!="Tolerance",IF(-((#REF!*3*P68)-O68)-E68&gt;G68,"",-((#REF!*3*P68)-O68)-E68),IF(#REF!="MIN",IF(-((#REF!*3*P68)-O68)&gt;G68,"",-((#REF!*3*P68)-O68)),"")))</f>
        <v>#REF!</v>
      </c>
      <c r="Z68" s="71">
        <f t="shared" si="26"/>
        <v>18.419</v>
      </c>
      <c r="AA68" s="71" t="str">
        <f t="shared" si="10"/>
        <v/>
      </c>
      <c r="AB68" s="80"/>
      <c r="AC68" s="81" t="str">
        <f t="shared" si="14"/>
        <v/>
      </c>
      <c r="AD68" s="115"/>
      <c r="AE68" s="72"/>
      <c r="AF68" s="72"/>
      <c r="AG68" s="73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</row>
    <row r="69" spans="2:66" ht="19.2" customHeight="1">
      <c r="B69" s="66" t="s">
        <v>237</v>
      </c>
      <c r="C69" s="75" t="s">
        <v>156</v>
      </c>
      <c r="D69" s="83" t="s">
        <v>45</v>
      </c>
      <c r="E69" s="102">
        <v>18.419</v>
      </c>
      <c r="F69" s="103">
        <v>0.03</v>
      </c>
      <c r="G69" s="103">
        <v>-0.03</v>
      </c>
      <c r="H69" s="104" t="s">
        <v>46</v>
      </c>
      <c r="I69" s="67"/>
      <c r="J69" s="68">
        <f t="shared" si="11"/>
        <v>18.449000000000002</v>
      </c>
      <c r="K69" s="68">
        <f t="shared" si="12"/>
        <v>18.388999999999999</v>
      </c>
      <c r="L69" s="69"/>
      <c r="M69" s="84">
        <f t="shared" si="0"/>
        <v>0</v>
      </c>
      <c r="N69" s="84">
        <f t="shared" si="1"/>
        <v>0</v>
      </c>
      <c r="O69" s="84">
        <f t="shared" si="2"/>
        <v>0</v>
      </c>
      <c r="P69" s="85">
        <f t="shared" si="25"/>
        <v>0</v>
      </c>
      <c r="Q69" s="78" t="str">
        <f t="shared" si="20"/>
        <v/>
      </c>
      <c r="R69" s="79" t="str">
        <f>IF(OR($AI69="",ISNUMBER($AI69)=FALSE),"",IF(AND(#REF!="Tolerance",$E69&lt;&gt;""),($O69-$E69)/(($J69-$K69)/2),IF(AND(#REF!="GD&amp;T",$F69&lt;&gt;""),$O69/$F69,"")))</f>
        <v/>
      </c>
      <c r="S69" s="79" t="str">
        <f t="shared" si="13"/>
        <v/>
      </c>
      <c r="T69" s="78" t="str">
        <f t="shared" si="21"/>
        <v/>
      </c>
      <c r="U69" s="78" t="str">
        <f t="shared" si="22"/>
        <v/>
      </c>
      <c r="V69" s="78" t="str">
        <f t="shared" si="23"/>
        <v/>
      </c>
      <c r="W69" s="70" t="str">
        <f t="shared" si="24"/>
        <v/>
      </c>
      <c r="X69" s="71" t="e">
        <f>IF($O69="","",IF(#REF!="Tolerance",IF((#REF!*3*P69+O69)-E69&lt;F69,"",(#REF!*3*P69+O69)-E69),IF(OR(#REF!="GD&amp;T",#REF!="MAX"),IF((#REF!*3*P69+O69)&lt;F69,"",(#REF!*3*P69+O69)),"")))</f>
        <v>#REF!</v>
      </c>
      <c r="Y69" s="71" t="e">
        <f>IF(O69="","",IF(#REF!="Tolerance",IF(-((#REF!*3*P69)-O69)-E69&gt;G69,"",-((#REF!*3*P69)-O69)-E69),IF(#REF!="MIN",IF(-((#REF!*3*P69)-O69)&gt;G69,"",-((#REF!*3*P69)-O69)),"")))</f>
        <v>#REF!</v>
      </c>
      <c r="Z69" s="71">
        <f t="shared" si="26"/>
        <v>18.419</v>
      </c>
      <c r="AA69" s="71" t="str">
        <f t="shared" si="10"/>
        <v/>
      </c>
      <c r="AB69" s="80"/>
      <c r="AC69" s="81" t="str">
        <f t="shared" si="14"/>
        <v/>
      </c>
      <c r="AD69" s="115"/>
      <c r="AE69" s="72"/>
      <c r="AF69" s="72"/>
      <c r="AG69" s="73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</row>
    <row r="70" spans="2:66" ht="19.2" customHeight="1">
      <c r="B70" s="86" t="s">
        <v>237</v>
      </c>
      <c r="C70" s="75" t="s">
        <v>157</v>
      </c>
      <c r="D70" s="83" t="s">
        <v>45</v>
      </c>
      <c r="E70" s="102">
        <v>18.419</v>
      </c>
      <c r="F70" s="103">
        <v>0.03</v>
      </c>
      <c r="G70" s="103">
        <v>-0.03</v>
      </c>
      <c r="H70" s="104" t="s">
        <v>46</v>
      </c>
      <c r="I70" s="67"/>
      <c r="J70" s="68">
        <f t="shared" si="11"/>
        <v>18.449000000000002</v>
      </c>
      <c r="K70" s="68">
        <f t="shared" si="12"/>
        <v>18.388999999999999</v>
      </c>
      <c r="L70" s="69"/>
      <c r="M70" s="84">
        <f t="shared" si="0"/>
        <v>0</v>
      </c>
      <c r="N70" s="84">
        <f t="shared" si="1"/>
        <v>0</v>
      </c>
      <c r="O70" s="84">
        <f t="shared" si="2"/>
        <v>0</v>
      </c>
      <c r="P70" s="85">
        <f t="shared" si="25"/>
        <v>0</v>
      </c>
      <c r="Q70" s="78" t="str">
        <f t="shared" ref="Q70:Q101" si="27">IF(OR($AI70="",ISNUMBER($AI70)=FALSE),"",IF(AND(E70=0,G70=0),T70,IF(AND(E70="",F70=""),U70,(F70+ABS(G70))/(6*P70))))</f>
        <v/>
      </c>
      <c r="R70" s="79" t="str">
        <f>IF(OR($AI70="",ISNUMBER($AI70)=FALSE),"",IF(AND(#REF!="Tolerance",$E70&lt;&gt;""),($O70-$E70)/(($J70-$K70)/2),IF(AND(#REF!="GD&amp;T",$F70&lt;&gt;""),$O70/$F70,"")))</f>
        <v/>
      </c>
      <c r="S70" s="79" t="str">
        <f t="shared" si="13"/>
        <v/>
      </c>
      <c r="T70" s="78" t="str">
        <f t="shared" ref="T70:T101" si="28">IF(OR($AI70="",ISNUMBER($AI70)=FALSE),"",IF(F70="","",(J70-O70)/(3*P70)))</f>
        <v/>
      </c>
      <c r="U70" s="78" t="str">
        <f t="shared" ref="U70:U101" si="29">IF(OR($AI70="",ISNUMBER($AI70)=FALSE),"",IF(G70="","",(O70-K70)/(3*P70)))</f>
        <v/>
      </c>
      <c r="V70" s="78" t="str">
        <f t="shared" ref="V70:V101" si="30">IF(OR($AI70="",ISNUMBER($AI70)=FALSE),"",IF(AND(E70=0,G70=0),((F70)-(O70))/(3*P70),MIN(T70:U70)))</f>
        <v/>
      </c>
      <c r="W70" s="70" t="str">
        <f t="shared" ref="W70:W101" si="31">IF(OR($AI70="",ISNUMBER($AI70)=FALSE),"",IF(AND(E70=0,G70=0),NORMSDIST(3*V70),NORMSDIST(3*V70)+NORMSDIST(6*Q70-3*V70)-1))</f>
        <v/>
      </c>
      <c r="X70" s="71" t="e">
        <f>IF($O70="","",IF(#REF!="Tolerance",IF((#REF!*3*P70+O70)-E70&lt;F70,"",(#REF!*3*P70+O70)-E70),IF(OR(#REF!="GD&amp;T",#REF!="MAX"),IF((#REF!*3*P70+O70)&lt;F70,"",(#REF!*3*P70+O70)),"")))</f>
        <v>#REF!</v>
      </c>
      <c r="Y70" s="71" t="e">
        <f>IF(O70="","",IF(#REF!="Tolerance",IF(-((#REF!*3*P70)-O70)-E70&gt;G70,"",-((#REF!*3*P70)-O70)-E70),IF(#REF!="MIN",IF(-((#REF!*3*P70)-O70)&gt;G70,"",-((#REF!*3*P70)-O70)),"")))</f>
        <v>#REF!</v>
      </c>
      <c r="Z70" s="71">
        <f t="shared" si="26"/>
        <v>18.419</v>
      </c>
      <c r="AA70" s="71" t="str">
        <f t="shared" si="10"/>
        <v/>
      </c>
      <c r="AB70" s="80"/>
      <c r="AC70" s="81" t="str">
        <f t="shared" si="14"/>
        <v/>
      </c>
      <c r="AD70" s="115"/>
      <c r="AE70" s="72"/>
      <c r="AF70" s="72"/>
      <c r="AG70" s="73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</row>
    <row r="71" spans="2:66" ht="19.2" customHeight="1">
      <c r="B71" s="66" t="s">
        <v>238</v>
      </c>
      <c r="C71" s="75" t="s">
        <v>176</v>
      </c>
      <c r="D71" s="83" t="s">
        <v>45</v>
      </c>
      <c r="E71" s="102">
        <v>15.433999999999999</v>
      </c>
      <c r="F71" s="103">
        <v>0.03</v>
      </c>
      <c r="G71" s="103">
        <v>-0.03</v>
      </c>
      <c r="H71" s="104" t="s">
        <v>46</v>
      </c>
      <c r="I71" s="67"/>
      <c r="J71" s="68">
        <f t="shared" ref="J71:J134" si="32">E71+F71</f>
        <v>15.463999999999999</v>
      </c>
      <c r="K71" s="68">
        <f t="shared" ref="K71:K134" si="33">E71+G71</f>
        <v>15.404</v>
      </c>
      <c r="L71" s="69"/>
      <c r="M71" s="84">
        <f t="shared" si="0"/>
        <v>0</v>
      </c>
      <c r="N71" s="84">
        <f t="shared" si="1"/>
        <v>0</v>
      </c>
      <c r="O71" s="84">
        <f t="shared" si="2"/>
        <v>0</v>
      </c>
      <c r="P71" s="85">
        <f t="shared" si="25"/>
        <v>0</v>
      </c>
      <c r="Q71" s="78" t="str">
        <f t="shared" si="27"/>
        <v/>
      </c>
      <c r="R71" s="79" t="str">
        <f>IF(OR($AI71="",ISNUMBER($AI71)=FALSE),"",IF(AND(#REF!="Tolerance",$E71&lt;&gt;""),($O71-$E71)/(($J71-$K71)/2),IF(AND(#REF!="GD&amp;T",$F71&lt;&gt;""),$O71/$F71,"")))</f>
        <v/>
      </c>
      <c r="S71" s="79" t="str">
        <f t="shared" si="13"/>
        <v/>
      </c>
      <c r="T71" s="78" t="str">
        <f t="shared" si="28"/>
        <v/>
      </c>
      <c r="U71" s="78" t="str">
        <f t="shared" si="29"/>
        <v/>
      </c>
      <c r="V71" s="78" t="str">
        <f t="shared" si="30"/>
        <v/>
      </c>
      <c r="W71" s="70" t="str">
        <f t="shared" si="31"/>
        <v/>
      </c>
      <c r="X71" s="71" t="e">
        <f>IF($O71="","",IF(#REF!="Tolerance",IF((#REF!*3*P71+O71)-E71&lt;F71,"",(#REF!*3*P71+O71)-E71),IF(OR(#REF!="GD&amp;T",#REF!="MAX"),IF((#REF!*3*P71+O71)&lt;F71,"",(#REF!*3*P71+O71)),"")))</f>
        <v>#REF!</v>
      </c>
      <c r="Y71" s="71" t="e">
        <f>IF(O71="","",IF(#REF!="Tolerance",IF(-((#REF!*3*P71)-O71)-E71&gt;G71,"",-((#REF!*3*P71)-O71)-E71),IF(#REF!="MIN",IF(-((#REF!*3*P71)-O71)&gt;G71,"",-((#REF!*3*P71)-O71)),"")))</f>
        <v>#REF!</v>
      </c>
      <c r="Z71" s="71">
        <f t="shared" si="26"/>
        <v>15.433999999999999</v>
      </c>
      <c r="AA71" s="71" t="str">
        <f t="shared" si="10"/>
        <v/>
      </c>
      <c r="AB71" s="80"/>
      <c r="AC71" s="81" t="str">
        <f t="shared" ref="AC71:AC134" si="34">IF(AB71="","",IF(AB71&gt;=0.966,"Normal","Not Normal"))</f>
        <v/>
      </c>
      <c r="AD71" s="115"/>
      <c r="AE71" s="72"/>
      <c r="AF71" s="72"/>
      <c r="AG71" s="73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</row>
    <row r="72" spans="2:66" ht="19.2" customHeight="1">
      <c r="B72" s="66" t="s">
        <v>238</v>
      </c>
      <c r="C72" s="75" t="s">
        <v>177</v>
      </c>
      <c r="D72" s="83" t="s">
        <v>45</v>
      </c>
      <c r="E72" s="102">
        <v>15.433999999999999</v>
      </c>
      <c r="F72" s="103">
        <v>0.03</v>
      </c>
      <c r="G72" s="103">
        <v>-0.03</v>
      </c>
      <c r="H72" s="104" t="s">
        <v>46</v>
      </c>
      <c r="I72" s="67"/>
      <c r="J72" s="68">
        <f t="shared" si="32"/>
        <v>15.463999999999999</v>
      </c>
      <c r="K72" s="68">
        <f t="shared" si="33"/>
        <v>15.404</v>
      </c>
      <c r="L72" s="69"/>
      <c r="M72" s="84">
        <f t="shared" si="0"/>
        <v>0</v>
      </c>
      <c r="N72" s="84">
        <f t="shared" si="1"/>
        <v>0</v>
      </c>
      <c r="O72" s="84">
        <f t="shared" si="2"/>
        <v>0</v>
      </c>
      <c r="P72" s="85">
        <f t="shared" si="25"/>
        <v>0</v>
      </c>
      <c r="Q72" s="78" t="str">
        <f t="shared" si="27"/>
        <v/>
      </c>
      <c r="R72" s="79" t="str">
        <f>IF(OR($AI72="",ISNUMBER($AI72)=FALSE),"",IF(AND(#REF!="Tolerance",$E72&lt;&gt;""),($O72-$E72)/(($J72-$K72)/2),IF(AND(#REF!="GD&amp;T",$F72&lt;&gt;""),$O72/$F72,"")))</f>
        <v/>
      </c>
      <c r="S72" s="79" t="str">
        <f t="shared" si="13"/>
        <v/>
      </c>
      <c r="T72" s="78" t="str">
        <f t="shared" si="28"/>
        <v/>
      </c>
      <c r="U72" s="78" t="str">
        <f t="shared" si="29"/>
        <v/>
      </c>
      <c r="V72" s="78" t="str">
        <f t="shared" si="30"/>
        <v/>
      </c>
      <c r="W72" s="70" t="str">
        <f t="shared" si="31"/>
        <v/>
      </c>
      <c r="X72" s="71" t="e">
        <f>IF($O72="","",IF(#REF!="Tolerance",IF((#REF!*3*P72+O72)-E72&lt;F72,"",(#REF!*3*P72+O72)-E72),IF(OR(#REF!="GD&amp;T",#REF!="MAX"),IF((#REF!*3*P72+O72)&lt;F72,"",(#REF!*3*P72+O72)),"")))</f>
        <v>#REF!</v>
      </c>
      <c r="Y72" s="71" t="e">
        <f>IF(O72="","",IF(#REF!="Tolerance",IF(-((#REF!*3*P72)-O72)-E72&gt;G72,"",-((#REF!*3*P72)-O72)-E72),IF(#REF!="MIN",IF(-((#REF!*3*P72)-O72)&gt;G72,"",-((#REF!*3*P72)-O72)),"")))</f>
        <v>#REF!</v>
      </c>
      <c r="Z72" s="71">
        <f t="shared" si="26"/>
        <v>15.433999999999999</v>
      </c>
      <c r="AA72" s="71" t="str">
        <f t="shared" si="10"/>
        <v/>
      </c>
      <c r="AB72" s="80"/>
      <c r="AC72" s="81" t="str">
        <f t="shared" si="34"/>
        <v/>
      </c>
      <c r="AD72" s="115"/>
      <c r="AE72" s="72"/>
      <c r="AF72" s="72"/>
      <c r="AG72" s="73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</row>
    <row r="73" spans="2:66" ht="19.2" customHeight="1">
      <c r="B73" s="66" t="s">
        <v>239</v>
      </c>
      <c r="C73" s="75" t="s">
        <v>111</v>
      </c>
      <c r="D73" s="83" t="s">
        <v>45</v>
      </c>
      <c r="E73" s="102">
        <v>4.5739999999999998</v>
      </c>
      <c r="F73" s="103">
        <v>0.04</v>
      </c>
      <c r="G73" s="103">
        <v>-0.04</v>
      </c>
      <c r="H73" s="104" t="s">
        <v>46</v>
      </c>
      <c r="I73" s="67"/>
      <c r="J73" s="68">
        <f t="shared" si="32"/>
        <v>4.6139999999999999</v>
      </c>
      <c r="K73" s="68">
        <f t="shared" si="33"/>
        <v>4.5339999999999998</v>
      </c>
      <c r="L73" s="69"/>
      <c r="M73" s="84">
        <f t="shared" si="0"/>
        <v>0</v>
      </c>
      <c r="N73" s="84">
        <f t="shared" si="1"/>
        <v>0</v>
      </c>
      <c r="O73" s="84">
        <f t="shared" si="2"/>
        <v>0</v>
      </c>
      <c r="P73" s="85">
        <f t="shared" si="25"/>
        <v>0</v>
      </c>
      <c r="Q73" s="78" t="str">
        <f t="shared" si="27"/>
        <v/>
      </c>
      <c r="R73" s="79" t="str">
        <f>IF(OR($AI73="",ISNUMBER($AI73)=FALSE),"",IF(AND(#REF!="Tolerance",$E73&lt;&gt;""),($O73-$E73)/(($J73-$K73)/2),IF(AND(#REF!="GD&amp;T",$F73&lt;&gt;""),$O73/$F73,"")))</f>
        <v/>
      </c>
      <c r="S73" s="79" t="str">
        <f t="shared" si="13"/>
        <v/>
      </c>
      <c r="T73" s="78" t="str">
        <f t="shared" si="28"/>
        <v/>
      </c>
      <c r="U73" s="78" t="str">
        <f t="shared" si="29"/>
        <v/>
      </c>
      <c r="V73" s="78" t="str">
        <f t="shared" si="30"/>
        <v/>
      </c>
      <c r="W73" s="70" t="str">
        <f t="shared" si="31"/>
        <v/>
      </c>
      <c r="X73" s="71" t="e">
        <f>IF($O73="","",IF(#REF!="Tolerance",IF((#REF!*3*P73+O73)-E73&lt;F73,"",(#REF!*3*P73+O73)-E73),IF(OR(#REF!="GD&amp;T",#REF!="MAX"),IF((#REF!*3*P73+O73)&lt;F73,"",(#REF!*3*P73+O73)),"")))</f>
        <v>#REF!</v>
      </c>
      <c r="Y73" s="71" t="e">
        <f>IF(O73="","",IF(#REF!="Tolerance",IF(-((#REF!*3*P73)-O73)-E73&gt;G73,"",-((#REF!*3*P73)-O73)-E73),IF(#REF!="MIN",IF(-((#REF!*3*P73)-O73)&gt;G73,"",-((#REF!*3*P73)-O73)),"")))</f>
        <v>#REF!</v>
      </c>
      <c r="Z73" s="71">
        <f t="shared" si="26"/>
        <v>4.5739999999999998</v>
      </c>
      <c r="AA73" s="71" t="str">
        <f t="shared" si="10"/>
        <v/>
      </c>
      <c r="AB73" s="80"/>
      <c r="AC73" s="81" t="str">
        <f t="shared" si="34"/>
        <v/>
      </c>
      <c r="AD73" s="115"/>
      <c r="AE73" s="72"/>
      <c r="AF73" s="72"/>
      <c r="AG73" s="73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</row>
    <row r="74" spans="2:66" ht="19.2" customHeight="1">
      <c r="B74" s="66" t="s">
        <v>239</v>
      </c>
      <c r="C74" s="75" t="s">
        <v>112</v>
      </c>
      <c r="D74" s="83" t="s">
        <v>45</v>
      </c>
      <c r="E74" s="102">
        <v>4.5739999999999998</v>
      </c>
      <c r="F74" s="103">
        <v>0.04</v>
      </c>
      <c r="G74" s="103">
        <v>-0.04</v>
      </c>
      <c r="H74" s="104" t="s">
        <v>46</v>
      </c>
      <c r="I74" s="67"/>
      <c r="J74" s="68">
        <f t="shared" si="32"/>
        <v>4.6139999999999999</v>
      </c>
      <c r="K74" s="68">
        <f t="shared" si="33"/>
        <v>4.5339999999999998</v>
      </c>
      <c r="L74" s="69"/>
      <c r="M74" s="84">
        <f t="shared" si="0"/>
        <v>0</v>
      </c>
      <c r="N74" s="84">
        <f t="shared" si="1"/>
        <v>0</v>
      </c>
      <c r="O74" s="84">
        <f t="shared" si="2"/>
        <v>0</v>
      </c>
      <c r="P74" s="85">
        <f t="shared" si="25"/>
        <v>0</v>
      </c>
      <c r="Q74" s="78" t="str">
        <f t="shared" si="27"/>
        <v/>
      </c>
      <c r="R74" s="79" t="str">
        <f>IF(OR($AI74="",ISNUMBER($AI74)=FALSE),"",IF(AND(#REF!="Tolerance",$E74&lt;&gt;""),($O74-$E74)/(($J74-$K74)/2),IF(AND(#REF!="GD&amp;T",$F74&lt;&gt;""),$O74/$F74,"")))</f>
        <v/>
      </c>
      <c r="S74" s="79" t="str">
        <f t="shared" si="13"/>
        <v/>
      </c>
      <c r="T74" s="78" t="str">
        <f t="shared" si="28"/>
        <v/>
      </c>
      <c r="U74" s="78" t="str">
        <f t="shared" si="29"/>
        <v/>
      </c>
      <c r="V74" s="78" t="str">
        <f t="shared" si="30"/>
        <v/>
      </c>
      <c r="W74" s="70" t="str">
        <f t="shared" si="31"/>
        <v/>
      </c>
      <c r="X74" s="71" t="e">
        <f>IF($O74="","",IF(#REF!="Tolerance",IF((#REF!*3*P74+O74)-E74&lt;F74,"",(#REF!*3*P74+O74)-E74),IF(OR(#REF!="GD&amp;T",#REF!="MAX"),IF((#REF!*3*P74+O74)&lt;F74,"",(#REF!*3*P74+O74)),"")))</f>
        <v>#REF!</v>
      </c>
      <c r="Y74" s="71" t="e">
        <f>IF(O74="","",IF(#REF!="Tolerance",IF(-((#REF!*3*P74)-O74)-E74&gt;G74,"",-((#REF!*3*P74)-O74)-E74),IF(#REF!="MIN",IF(-((#REF!*3*P74)-O74)&gt;G74,"",-((#REF!*3*P74)-O74)),"")))</f>
        <v>#REF!</v>
      </c>
      <c r="Z74" s="71">
        <f t="shared" si="26"/>
        <v>4.5739999999999998</v>
      </c>
      <c r="AA74" s="71" t="str">
        <f t="shared" si="10"/>
        <v/>
      </c>
      <c r="AB74" s="80"/>
      <c r="AC74" s="81" t="str">
        <f t="shared" si="34"/>
        <v/>
      </c>
      <c r="AD74" s="115"/>
      <c r="AE74" s="72"/>
      <c r="AF74" s="72"/>
      <c r="AG74" s="73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</row>
    <row r="75" spans="2:66" ht="19.2" customHeight="1">
      <c r="B75" s="66" t="s">
        <v>240</v>
      </c>
      <c r="C75" s="75" t="s">
        <v>113</v>
      </c>
      <c r="D75" s="83" t="s">
        <v>45</v>
      </c>
      <c r="E75" s="102">
        <v>19.952000000000002</v>
      </c>
      <c r="F75" s="103">
        <v>0.03</v>
      </c>
      <c r="G75" s="103">
        <v>-0.03</v>
      </c>
      <c r="H75" s="104" t="s">
        <v>46</v>
      </c>
      <c r="I75" s="67"/>
      <c r="J75" s="68">
        <f t="shared" si="32"/>
        <v>19.982000000000003</v>
      </c>
      <c r="K75" s="68">
        <f t="shared" si="33"/>
        <v>19.922000000000001</v>
      </c>
      <c r="L75" s="69"/>
      <c r="M75" s="84">
        <f t="shared" si="0"/>
        <v>0</v>
      </c>
      <c r="N75" s="84">
        <f t="shared" si="1"/>
        <v>0</v>
      </c>
      <c r="O75" s="84">
        <f t="shared" si="2"/>
        <v>0</v>
      </c>
      <c r="P75" s="85">
        <f t="shared" si="25"/>
        <v>0</v>
      </c>
      <c r="Q75" s="78" t="str">
        <f t="shared" si="27"/>
        <v/>
      </c>
      <c r="R75" s="79" t="str">
        <f>IF(OR($AI75="",ISNUMBER($AI75)=FALSE),"",IF(AND(#REF!="Tolerance",$E75&lt;&gt;""),($O75-$E75)/(($J75-$K75)/2),IF(AND(#REF!="GD&amp;T",$F75&lt;&gt;""),$O75/$F75,"")))</f>
        <v/>
      </c>
      <c r="S75" s="79" t="str">
        <f t="shared" si="13"/>
        <v/>
      </c>
      <c r="T75" s="78" t="str">
        <f t="shared" si="28"/>
        <v/>
      </c>
      <c r="U75" s="78" t="str">
        <f t="shared" si="29"/>
        <v/>
      </c>
      <c r="V75" s="78" t="str">
        <f t="shared" si="30"/>
        <v/>
      </c>
      <c r="W75" s="70" t="str">
        <f t="shared" si="31"/>
        <v/>
      </c>
      <c r="X75" s="71" t="e">
        <f>IF($O75="","",IF(#REF!="Tolerance",IF((#REF!*3*P75+O75)-E75&lt;F75,"",(#REF!*3*P75+O75)-E75),IF(OR(#REF!="GD&amp;T",#REF!="MAX"),IF((#REF!*3*P75+O75)&lt;F75,"",(#REF!*3*P75+O75)),"")))</f>
        <v>#REF!</v>
      </c>
      <c r="Y75" s="71" t="e">
        <f>IF(O75="","",IF(#REF!="Tolerance",IF(-((#REF!*3*P75)-O75)-E75&gt;G75,"",-((#REF!*3*P75)-O75)-E75),IF(#REF!="MIN",IF(-((#REF!*3*P75)-O75)&gt;G75,"",-((#REF!*3*P75)-O75)),"")))</f>
        <v>#REF!</v>
      </c>
      <c r="Z75" s="71">
        <f t="shared" si="26"/>
        <v>19.952000000000002</v>
      </c>
      <c r="AA75" s="71" t="str">
        <f t="shared" si="10"/>
        <v/>
      </c>
      <c r="AB75" s="80"/>
      <c r="AC75" s="81" t="str">
        <f t="shared" si="34"/>
        <v/>
      </c>
      <c r="AD75" s="115"/>
      <c r="AE75" s="72"/>
      <c r="AF75" s="72"/>
      <c r="AG75" s="73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</row>
    <row r="76" spans="2:66" ht="19.2" customHeight="1">
      <c r="B76" s="66" t="s">
        <v>240</v>
      </c>
      <c r="C76" s="75" t="s">
        <v>114</v>
      </c>
      <c r="D76" s="83" t="s">
        <v>45</v>
      </c>
      <c r="E76" s="102">
        <v>19.952000000000002</v>
      </c>
      <c r="F76" s="103">
        <v>0.03</v>
      </c>
      <c r="G76" s="103">
        <v>-0.03</v>
      </c>
      <c r="H76" s="104" t="s">
        <v>46</v>
      </c>
      <c r="I76" s="67"/>
      <c r="J76" s="68">
        <f t="shared" si="32"/>
        <v>19.982000000000003</v>
      </c>
      <c r="K76" s="68">
        <f t="shared" si="33"/>
        <v>19.922000000000001</v>
      </c>
      <c r="L76" s="69"/>
      <c r="M76" s="84">
        <f t="shared" si="0"/>
        <v>0</v>
      </c>
      <c r="N76" s="84">
        <f t="shared" si="1"/>
        <v>0</v>
      </c>
      <c r="O76" s="84">
        <f t="shared" si="2"/>
        <v>0</v>
      </c>
      <c r="P76" s="85">
        <f t="shared" si="25"/>
        <v>0</v>
      </c>
      <c r="Q76" s="78" t="str">
        <f t="shared" si="27"/>
        <v/>
      </c>
      <c r="R76" s="79" t="str">
        <f>IF(OR($AI76="",ISNUMBER($AI76)=FALSE),"",IF(AND(#REF!="Tolerance",$E76&lt;&gt;""),($O76-$E76)/(($J76-$K76)/2),IF(AND(#REF!="GD&amp;T",$F76&lt;&gt;""),$O76/$F76,"")))</f>
        <v/>
      </c>
      <c r="S76" s="79" t="str">
        <f t="shared" si="13"/>
        <v/>
      </c>
      <c r="T76" s="78" t="str">
        <f t="shared" si="28"/>
        <v/>
      </c>
      <c r="U76" s="78" t="str">
        <f t="shared" si="29"/>
        <v/>
      </c>
      <c r="V76" s="78" t="str">
        <f t="shared" si="30"/>
        <v/>
      </c>
      <c r="W76" s="70" t="str">
        <f t="shared" si="31"/>
        <v/>
      </c>
      <c r="X76" s="71" t="e">
        <f>IF($O76="","",IF(#REF!="Tolerance",IF((#REF!*3*P76+O76)-E76&lt;F76,"",(#REF!*3*P76+O76)-E76),IF(OR(#REF!="GD&amp;T",#REF!="MAX"),IF((#REF!*3*P76+O76)&lt;F76,"",(#REF!*3*P76+O76)),"")))</f>
        <v>#REF!</v>
      </c>
      <c r="Y76" s="71" t="e">
        <f>IF(O76="","",IF(#REF!="Tolerance",IF(-((#REF!*3*P76)-O76)-E76&gt;G76,"",-((#REF!*3*P76)-O76)-E76),IF(#REF!="MIN",IF(-((#REF!*3*P76)-O76)&gt;G76,"",-((#REF!*3*P76)-O76)),"")))</f>
        <v>#REF!</v>
      </c>
      <c r="Z76" s="71">
        <f t="shared" si="26"/>
        <v>19.952000000000002</v>
      </c>
      <c r="AA76" s="71" t="str">
        <f t="shared" si="10"/>
        <v/>
      </c>
      <c r="AB76" s="80"/>
      <c r="AC76" s="81" t="str">
        <f t="shared" si="34"/>
        <v/>
      </c>
      <c r="AD76" s="115"/>
      <c r="AE76" s="72"/>
      <c r="AF76" s="72"/>
      <c r="AG76" s="73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</row>
    <row r="77" spans="2:66" ht="19.2" customHeight="1">
      <c r="B77" s="66" t="s">
        <v>241</v>
      </c>
      <c r="C77" s="75" t="s">
        <v>183</v>
      </c>
      <c r="D77" s="83" t="s">
        <v>45</v>
      </c>
      <c r="E77" s="102">
        <v>4.5609999999999999</v>
      </c>
      <c r="F77" s="103">
        <v>0.03</v>
      </c>
      <c r="G77" s="103">
        <v>-0.03</v>
      </c>
      <c r="H77" s="104" t="s">
        <v>46</v>
      </c>
      <c r="I77" s="67"/>
      <c r="J77" s="68">
        <f t="shared" si="32"/>
        <v>4.5910000000000002</v>
      </c>
      <c r="K77" s="68">
        <f t="shared" si="33"/>
        <v>4.5309999999999997</v>
      </c>
      <c r="L77" s="69"/>
      <c r="M77" s="84">
        <f t="shared" si="0"/>
        <v>0</v>
      </c>
      <c r="N77" s="84">
        <f t="shared" si="1"/>
        <v>0</v>
      </c>
      <c r="O77" s="84">
        <f t="shared" si="2"/>
        <v>0</v>
      </c>
      <c r="P77" s="85">
        <f t="shared" si="25"/>
        <v>0</v>
      </c>
      <c r="Q77" s="78" t="str">
        <f t="shared" si="27"/>
        <v/>
      </c>
      <c r="R77" s="79" t="str">
        <f>IF(OR($AI77="",ISNUMBER($AI77)=FALSE),"",IF(AND(#REF!="Tolerance",$E77&lt;&gt;""),($O77-$E77)/(($J77-$K77)/2),IF(AND(#REF!="GD&amp;T",$F77&lt;&gt;""),$O77/$F77,"")))</f>
        <v/>
      </c>
      <c r="S77" s="79" t="str">
        <f t="shared" si="13"/>
        <v/>
      </c>
      <c r="T77" s="78" t="str">
        <f t="shared" si="28"/>
        <v/>
      </c>
      <c r="U77" s="78" t="str">
        <f t="shared" si="29"/>
        <v/>
      </c>
      <c r="V77" s="78" t="str">
        <f t="shared" si="30"/>
        <v/>
      </c>
      <c r="W77" s="70" t="str">
        <f t="shared" si="31"/>
        <v/>
      </c>
      <c r="X77" s="71" t="e">
        <f>IF($O77="","",IF(#REF!="Tolerance",IF((#REF!*3*P77+O77)-E77&lt;F77,"",(#REF!*3*P77+O77)-E77),IF(OR(#REF!="GD&amp;T",#REF!="MAX"),IF((#REF!*3*P77+O77)&lt;F77,"",(#REF!*3*P77+O77)),"")))</f>
        <v>#REF!</v>
      </c>
      <c r="Y77" s="71" t="e">
        <f>IF(O77="","",IF(#REF!="Tolerance",IF(-((#REF!*3*P77)-O77)-E77&gt;G77,"",-((#REF!*3*P77)-O77)-E77),IF(#REF!="MIN",IF(-((#REF!*3*P77)-O77)&gt;G77,"",-((#REF!*3*P77)-O77)),"")))</f>
        <v>#REF!</v>
      </c>
      <c r="Z77" s="71">
        <f t="shared" si="26"/>
        <v>4.5609999999999999</v>
      </c>
      <c r="AA77" s="71" t="str">
        <f t="shared" si="10"/>
        <v/>
      </c>
      <c r="AB77" s="80"/>
      <c r="AC77" s="81" t="str">
        <f t="shared" si="34"/>
        <v/>
      </c>
      <c r="AD77" s="115"/>
      <c r="AE77" s="72"/>
      <c r="AF77" s="72"/>
      <c r="AG77" s="73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</row>
    <row r="78" spans="2:66" ht="19.2" customHeight="1">
      <c r="B78" s="66" t="s">
        <v>241</v>
      </c>
      <c r="C78" s="75" t="s">
        <v>184</v>
      </c>
      <c r="D78" s="83" t="s">
        <v>45</v>
      </c>
      <c r="E78" s="102">
        <v>4.5609999999999999</v>
      </c>
      <c r="F78" s="103">
        <v>0.03</v>
      </c>
      <c r="G78" s="103">
        <v>-0.03</v>
      </c>
      <c r="H78" s="104" t="s">
        <v>46</v>
      </c>
      <c r="I78" s="67"/>
      <c r="J78" s="68">
        <f t="shared" si="32"/>
        <v>4.5910000000000002</v>
      </c>
      <c r="K78" s="68">
        <f t="shared" si="33"/>
        <v>4.5309999999999997</v>
      </c>
      <c r="L78" s="69"/>
      <c r="M78" s="84">
        <f t="shared" si="0"/>
        <v>0</v>
      </c>
      <c r="N78" s="84">
        <f t="shared" si="1"/>
        <v>0</v>
      </c>
      <c r="O78" s="84">
        <f t="shared" si="2"/>
        <v>0</v>
      </c>
      <c r="P78" s="85">
        <f t="shared" si="25"/>
        <v>0</v>
      </c>
      <c r="Q78" s="78" t="str">
        <f t="shared" si="27"/>
        <v/>
      </c>
      <c r="R78" s="79" t="str">
        <f>IF(OR($AI78="",ISNUMBER($AI78)=FALSE),"",IF(AND(#REF!="Tolerance",$E78&lt;&gt;""),($O78-$E78)/(($J78-$K78)/2),IF(AND(#REF!="GD&amp;T",$F78&lt;&gt;""),$O78/$F78,"")))</f>
        <v/>
      </c>
      <c r="S78" s="79" t="str">
        <f t="shared" si="13"/>
        <v/>
      </c>
      <c r="T78" s="78" t="str">
        <f t="shared" si="28"/>
        <v/>
      </c>
      <c r="U78" s="78" t="str">
        <f t="shared" si="29"/>
        <v/>
      </c>
      <c r="V78" s="78" t="str">
        <f t="shared" si="30"/>
        <v/>
      </c>
      <c r="W78" s="70" t="str">
        <f t="shared" si="31"/>
        <v/>
      </c>
      <c r="X78" s="71" t="e">
        <f>IF($O78="","",IF(#REF!="Tolerance",IF((#REF!*3*P78+O78)-E78&lt;F78,"",(#REF!*3*P78+O78)-E78),IF(OR(#REF!="GD&amp;T",#REF!="MAX"),IF((#REF!*3*P78+O78)&lt;F78,"",(#REF!*3*P78+O78)),"")))</f>
        <v>#REF!</v>
      </c>
      <c r="Y78" s="71" t="e">
        <f>IF(O78="","",IF(#REF!="Tolerance",IF(-((#REF!*3*P78)-O78)-E78&gt;G78,"",-((#REF!*3*P78)-O78)-E78),IF(#REF!="MIN",IF(-((#REF!*3*P78)-O78)&gt;G78,"",-((#REF!*3*P78)-O78)),"")))</f>
        <v>#REF!</v>
      </c>
      <c r="Z78" s="71">
        <f t="shared" si="26"/>
        <v>4.5609999999999999</v>
      </c>
      <c r="AA78" s="71" t="str">
        <f t="shared" si="10"/>
        <v/>
      </c>
      <c r="AB78" s="80"/>
      <c r="AC78" s="81" t="str">
        <f t="shared" si="34"/>
        <v/>
      </c>
      <c r="AD78" s="115"/>
      <c r="AE78" s="72"/>
      <c r="AF78" s="72"/>
      <c r="AG78" s="73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</row>
    <row r="79" spans="2:66" ht="19.2" customHeight="1">
      <c r="B79" s="86" t="s">
        <v>241</v>
      </c>
      <c r="C79" s="75" t="s">
        <v>185</v>
      </c>
      <c r="D79" s="83" t="s">
        <v>45</v>
      </c>
      <c r="E79" s="102">
        <v>4.5609999999999999</v>
      </c>
      <c r="F79" s="103">
        <v>0.03</v>
      </c>
      <c r="G79" s="103">
        <v>-0.03</v>
      </c>
      <c r="H79" s="104" t="s">
        <v>46</v>
      </c>
      <c r="I79" s="67"/>
      <c r="J79" s="68">
        <f t="shared" si="32"/>
        <v>4.5910000000000002</v>
      </c>
      <c r="K79" s="68">
        <f t="shared" si="33"/>
        <v>4.5309999999999997</v>
      </c>
      <c r="L79" s="69"/>
      <c r="M79" s="84">
        <f t="shared" si="0"/>
        <v>0</v>
      </c>
      <c r="N79" s="84">
        <f t="shared" si="1"/>
        <v>0</v>
      </c>
      <c r="O79" s="84">
        <f t="shared" si="2"/>
        <v>0</v>
      </c>
      <c r="P79" s="85">
        <f t="shared" si="25"/>
        <v>0</v>
      </c>
      <c r="Q79" s="78" t="str">
        <f t="shared" si="27"/>
        <v/>
      </c>
      <c r="R79" s="79" t="str">
        <f>IF(OR($AI79="",ISNUMBER($AI79)=FALSE),"",IF(AND(#REF!="Tolerance",$E79&lt;&gt;""),($O79-$E79)/(($J79-$K79)/2),IF(AND(#REF!="GD&amp;T",$F79&lt;&gt;""),$O79/$F79,"")))</f>
        <v/>
      </c>
      <c r="S79" s="79" t="str">
        <f t="shared" si="13"/>
        <v/>
      </c>
      <c r="T79" s="78" t="str">
        <f t="shared" si="28"/>
        <v/>
      </c>
      <c r="U79" s="78" t="str">
        <f t="shared" si="29"/>
        <v/>
      </c>
      <c r="V79" s="78" t="str">
        <f t="shared" si="30"/>
        <v/>
      </c>
      <c r="W79" s="70" t="str">
        <f t="shared" si="31"/>
        <v/>
      </c>
      <c r="X79" s="71" t="e">
        <f>IF($O79="","",IF(#REF!="Tolerance",IF((#REF!*3*P79+O79)-E79&lt;F79,"",(#REF!*3*P79+O79)-E79),IF(OR(#REF!="GD&amp;T",#REF!="MAX"),IF((#REF!*3*P79+O79)&lt;F79,"",(#REF!*3*P79+O79)),"")))</f>
        <v>#REF!</v>
      </c>
      <c r="Y79" s="71" t="e">
        <f>IF(O79="","",IF(#REF!="Tolerance",IF(-((#REF!*3*P79)-O79)-E79&gt;G79,"",-((#REF!*3*P79)-O79)-E79),IF(#REF!="MIN",IF(-((#REF!*3*P79)-O79)&gt;G79,"",-((#REF!*3*P79)-O79)),"")))</f>
        <v>#REF!</v>
      </c>
      <c r="Z79" s="71">
        <f t="shared" si="26"/>
        <v>4.5609999999999999</v>
      </c>
      <c r="AA79" s="71" t="str">
        <f t="shared" si="10"/>
        <v/>
      </c>
      <c r="AB79" s="80"/>
      <c r="AC79" s="81" t="str">
        <f t="shared" si="34"/>
        <v/>
      </c>
      <c r="AD79" s="115"/>
      <c r="AE79" s="72"/>
      <c r="AF79" s="72"/>
      <c r="AG79" s="73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</row>
    <row r="80" spans="2:66" ht="19.2" customHeight="1">
      <c r="B80" s="86" t="s">
        <v>241</v>
      </c>
      <c r="C80" s="75" t="s">
        <v>186</v>
      </c>
      <c r="D80" s="83" t="s">
        <v>45</v>
      </c>
      <c r="E80" s="102">
        <v>4.5609999999999999</v>
      </c>
      <c r="F80" s="103">
        <v>0.03</v>
      </c>
      <c r="G80" s="103">
        <v>-0.03</v>
      </c>
      <c r="H80" s="104" t="s">
        <v>46</v>
      </c>
      <c r="I80" s="67"/>
      <c r="J80" s="68">
        <f t="shared" si="32"/>
        <v>4.5910000000000002</v>
      </c>
      <c r="K80" s="68">
        <f t="shared" si="33"/>
        <v>4.5309999999999997</v>
      </c>
      <c r="L80" s="69"/>
      <c r="M80" s="84">
        <f t="shared" si="0"/>
        <v>0</v>
      </c>
      <c r="N80" s="84">
        <f t="shared" si="1"/>
        <v>0</v>
      </c>
      <c r="O80" s="84">
        <f t="shared" si="2"/>
        <v>0</v>
      </c>
      <c r="P80" s="85">
        <f t="shared" si="25"/>
        <v>0</v>
      </c>
      <c r="Q80" s="78" t="str">
        <f t="shared" si="27"/>
        <v/>
      </c>
      <c r="R80" s="79" t="str">
        <f>IF(OR($AI80="",ISNUMBER($AI80)=FALSE),"",IF(AND(#REF!="Tolerance",$E80&lt;&gt;""),($O80-$E80)/(($J80-$K80)/2),IF(AND(#REF!="GD&amp;T",$F80&lt;&gt;""),$O80/$F80,"")))</f>
        <v/>
      </c>
      <c r="S80" s="79" t="str">
        <f t="shared" si="13"/>
        <v/>
      </c>
      <c r="T80" s="78" t="str">
        <f t="shared" si="28"/>
        <v/>
      </c>
      <c r="U80" s="78" t="str">
        <f t="shared" si="29"/>
        <v/>
      </c>
      <c r="V80" s="78" t="str">
        <f t="shared" si="30"/>
        <v/>
      </c>
      <c r="W80" s="70" t="str">
        <f t="shared" si="31"/>
        <v/>
      </c>
      <c r="X80" s="71" t="e">
        <f>IF($O80="","",IF(#REF!="Tolerance",IF((#REF!*3*P80+O80)-E80&lt;F80,"",(#REF!*3*P80+O80)-E80),IF(OR(#REF!="GD&amp;T",#REF!="MAX"),IF((#REF!*3*P80+O80)&lt;F80,"",(#REF!*3*P80+O80)),"")))</f>
        <v>#REF!</v>
      </c>
      <c r="Y80" s="71" t="e">
        <f>IF(O80="","",IF(#REF!="Tolerance",IF(-((#REF!*3*P80)-O80)-E80&gt;G80,"",-((#REF!*3*P80)-O80)-E80),IF(#REF!="MIN",IF(-((#REF!*3*P80)-O80)&gt;G80,"",-((#REF!*3*P80)-O80)),"")))</f>
        <v>#REF!</v>
      </c>
      <c r="Z80" s="71">
        <f t="shared" si="26"/>
        <v>4.5609999999999999</v>
      </c>
      <c r="AA80" s="71" t="str">
        <f t="shared" si="10"/>
        <v/>
      </c>
      <c r="AB80" s="80"/>
      <c r="AC80" s="81" t="str">
        <f t="shared" si="34"/>
        <v/>
      </c>
      <c r="AD80" s="115"/>
      <c r="AE80" s="72"/>
      <c r="AF80" s="72"/>
      <c r="AG80" s="73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</row>
    <row r="81" spans="2:66" ht="19.2" customHeight="1">
      <c r="B81" s="86" t="s">
        <v>241</v>
      </c>
      <c r="C81" s="75" t="s">
        <v>187</v>
      </c>
      <c r="D81" s="83" t="s">
        <v>45</v>
      </c>
      <c r="E81" s="102">
        <v>4.5609999999999999</v>
      </c>
      <c r="F81" s="103">
        <v>0.03</v>
      </c>
      <c r="G81" s="103">
        <v>-0.03</v>
      </c>
      <c r="H81" s="104" t="s">
        <v>46</v>
      </c>
      <c r="I81" s="67"/>
      <c r="J81" s="68">
        <f t="shared" si="32"/>
        <v>4.5910000000000002</v>
      </c>
      <c r="K81" s="68">
        <f t="shared" si="33"/>
        <v>4.5309999999999997</v>
      </c>
      <c r="L81" s="69"/>
      <c r="M81" s="84">
        <f t="shared" ref="M81:M132" si="35">IF(OR($AI81=ISBLANK(TRUE),ISNUMBER($AI81)=FALSE),,MAX(AI81:BN81))</f>
        <v>0</v>
      </c>
      <c r="N81" s="84">
        <f t="shared" ref="N81:N132" si="36">IF(OR($AI81=ISBLANK(TRUE),ISNUMBER($AI81)=FALSE),,MIN(AI81:BN81))</f>
        <v>0</v>
      </c>
      <c r="O81" s="84">
        <f t="shared" ref="O81:O132" si="37">IF(OR($AI81=ISBLANK(TRUE),ISNUMBER($AI81)=FALSE),,AVERAGE(AI81:BN81))</f>
        <v>0</v>
      </c>
      <c r="P81" s="85">
        <f t="shared" si="25"/>
        <v>0</v>
      </c>
      <c r="Q81" s="78" t="str">
        <f t="shared" si="27"/>
        <v/>
      </c>
      <c r="R81" s="79" t="str">
        <f>IF(OR($AI81="",ISNUMBER($AI81)=FALSE),"",IF(AND(#REF!="Tolerance",$E81&lt;&gt;""),($O81-$E81)/(($J81-$K81)/2),IF(AND(#REF!="GD&amp;T",$F81&lt;&gt;""),$O81/$F81,"")))</f>
        <v/>
      </c>
      <c r="S81" s="79" t="str">
        <f t="shared" si="13"/>
        <v/>
      </c>
      <c r="T81" s="78" t="str">
        <f t="shared" si="28"/>
        <v/>
      </c>
      <c r="U81" s="78" t="str">
        <f t="shared" si="29"/>
        <v/>
      </c>
      <c r="V81" s="78" t="str">
        <f t="shared" si="30"/>
        <v/>
      </c>
      <c r="W81" s="70" t="str">
        <f t="shared" si="31"/>
        <v/>
      </c>
      <c r="X81" s="71" t="e">
        <f>IF($O81="","",IF(#REF!="Tolerance",IF((#REF!*3*P81+O81)-E81&lt;F81,"",(#REF!*3*P81+O81)-E81),IF(OR(#REF!="GD&amp;T",#REF!="MAX"),IF((#REF!*3*P81+O81)&lt;F81,"",(#REF!*3*P81+O81)),"")))</f>
        <v>#REF!</v>
      </c>
      <c r="Y81" s="71" t="e">
        <f>IF(O81="","",IF(#REF!="Tolerance",IF(-((#REF!*3*P81)-O81)-E81&gt;G81,"",-((#REF!*3*P81)-O81)-E81),IF(#REF!="MIN",IF(-((#REF!*3*P81)-O81)&gt;G81,"",-((#REF!*3*P81)-O81)),"")))</f>
        <v>#REF!</v>
      </c>
      <c r="Z81" s="71">
        <f t="shared" si="26"/>
        <v>4.5609999999999999</v>
      </c>
      <c r="AA81" s="71" t="str">
        <f t="shared" ref="AA81:AA140" si="38">IF(OR($Q81&gt;$AA$4,$P81=""),"",$AA$4*6*$P81)</f>
        <v/>
      </c>
      <c r="AB81" s="80"/>
      <c r="AC81" s="81" t="str">
        <f t="shared" si="34"/>
        <v/>
      </c>
      <c r="AD81" s="115"/>
      <c r="AE81" s="72"/>
      <c r="AF81" s="72"/>
      <c r="AG81" s="73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</row>
    <row r="82" spans="2:66" ht="19.2" customHeight="1">
      <c r="B82" s="86" t="s">
        <v>241</v>
      </c>
      <c r="C82" s="75" t="s">
        <v>188</v>
      </c>
      <c r="D82" s="83" t="s">
        <v>45</v>
      </c>
      <c r="E82" s="102">
        <v>4.5609999999999999</v>
      </c>
      <c r="F82" s="103">
        <v>0.03</v>
      </c>
      <c r="G82" s="103">
        <v>-0.03</v>
      </c>
      <c r="H82" s="104" t="s">
        <v>46</v>
      </c>
      <c r="I82" s="67"/>
      <c r="J82" s="68">
        <f t="shared" si="32"/>
        <v>4.5910000000000002</v>
      </c>
      <c r="K82" s="68">
        <f t="shared" si="33"/>
        <v>4.5309999999999997</v>
      </c>
      <c r="L82" s="69"/>
      <c r="M82" s="84">
        <f t="shared" si="35"/>
        <v>0</v>
      </c>
      <c r="N82" s="84">
        <f t="shared" si="36"/>
        <v>0</v>
      </c>
      <c r="O82" s="84">
        <f t="shared" si="37"/>
        <v>0</v>
      </c>
      <c r="P82" s="85">
        <f t="shared" si="25"/>
        <v>0</v>
      </c>
      <c r="Q82" s="78" t="str">
        <f t="shared" si="27"/>
        <v/>
      </c>
      <c r="R82" s="79" t="str">
        <f>IF(OR($AI82="",ISNUMBER($AI82)=FALSE),"",IF(AND(#REF!="Tolerance",$E82&lt;&gt;""),($O82-$E82)/(($J82-$K82)/2),IF(AND(#REF!="GD&amp;T",$F82&lt;&gt;""),$O82/$F82,"")))</f>
        <v/>
      </c>
      <c r="S82" s="79" t="str">
        <f t="shared" ref="S82:S140" si="39">IF($R82="","",IF(ABS($R82)&lt;=0.125, "Level A",IF(AND(ABS($R82)&gt;0.125,ABS($R82)&lt;=0.25), "Level B",IF(AND(ABS($R82)&gt;0.25,ABS($R82)&lt;=0.5), "Level C", IF(ABS($R82)&gt;0.5, "Level D")))))</f>
        <v/>
      </c>
      <c r="T82" s="78" t="str">
        <f t="shared" si="28"/>
        <v/>
      </c>
      <c r="U82" s="78" t="str">
        <f t="shared" si="29"/>
        <v/>
      </c>
      <c r="V82" s="78" t="str">
        <f t="shared" si="30"/>
        <v/>
      </c>
      <c r="W82" s="70" t="str">
        <f t="shared" si="31"/>
        <v/>
      </c>
      <c r="X82" s="71" t="e">
        <f>IF($O82="","",IF(#REF!="Tolerance",IF((#REF!*3*P82+O82)-E82&lt;F82,"",(#REF!*3*P82+O82)-E82),IF(OR(#REF!="GD&amp;T",#REF!="MAX"),IF((#REF!*3*P82+O82)&lt;F82,"",(#REF!*3*P82+O82)),"")))</f>
        <v>#REF!</v>
      </c>
      <c r="Y82" s="71" t="e">
        <f>IF(O82="","",IF(#REF!="Tolerance",IF(-((#REF!*3*P82)-O82)-E82&gt;G82,"",-((#REF!*3*P82)-O82)-E82),IF(#REF!="MIN",IF(-((#REF!*3*P82)-O82)&gt;G82,"",-((#REF!*3*P82)-O82)),"")))</f>
        <v>#REF!</v>
      </c>
      <c r="Z82" s="71">
        <f t="shared" si="26"/>
        <v>4.5609999999999999</v>
      </c>
      <c r="AA82" s="71" t="str">
        <f t="shared" si="38"/>
        <v/>
      </c>
      <c r="AB82" s="80"/>
      <c r="AC82" s="81" t="str">
        <f t="shared" si="34"/>
        <v/>
      </c>
      <c r="AD82" s="115"/>
      <c r="AE82" s="72"/>
      <c r="AF82" s="72"/>
      <c r="AG82" s="73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</row>
    <row r="83" spans="2:66" ht="19.2" customHeight="1">
      <c r="B83" s="86" t="s">
        <v>242</v>
      </c>
      <c r="C83" s="75" t="s">
        <v>193</v>
      </c>
      <c r="D83" s="83" t="s">
        <v>45</v>
      </c>
      <c r="E83" s="102">
        <v>23.286000000000001</v>
      </c>
      <c r="F83" s="103">
        <v>0.03</v>
      </c>
      <c r="G83" s="103">
        <v>-0.03</v>
      </c>
      <c r="H83" s="104" t="s">
        <v>46</v>
      </c>
      <c r="I83" s="67"/>
      <c r="J83" s="68">
        <f t="shared" si="32"/>
        <v>23.316000000000003</v>
      </c>
      <c r="K83" s="68">
        <f t="shared" si="33"/>
        <v>23.256</v>
      </c>
      <c r="L83" s="69"/>
      <c r="M83" s="84">
        <f t="shared" si="35"/>
        <v>0</v>
      </c>
      <c r="N83" s="84">
        <f t="shared" si="36"/>
        <v>0</v>
      </c>
      <c r="O83" s="84">
        <f t="shared" si="37"/>
        <v>0</v>
      </c>
      <c r="P83" s="85">
        <f t="shared" si="25"/>
        <v>0</v>
      </c>
      <c r="Q83" s="78" t="str">
        <f t="shared" si="27"/>
        <v/>
      </c>
      <c r="R83" s="79" t="str">
        <f>IF(OR($AI83="",ISNUMBER($AI83)=FALSE),"",IF(AND(#REF!="Tolerance",$E83&lt;&gt;""),($O83-$E83)/(($J83-$K83)/2),IF(AND(#REF!="GD&amp;T",$F83&lt;&gt;""),$O83/$F83,"")))</f>
        <v/>
      </c>
      <c r="S83" s="79" t="str">
        <f t="shared" si="39"/>
        <v/>
      </c>
      <c r="T83" s="78" t="str">
        <f t="shared" si="28"/>
        <v/>
      </c>
      <c r="U83" s="78" t="str">
        <f t="shared" si="29"/>
        <v/>
      </c>
      <c r="V83" s="78" t="str">
        <f t="shared" si="30"/>
        <v/>
      </c>
      <c r="W83" s="70" t="str">
        <f t="shared" si="31"/>
        <v/>
      </c>
      <c r="X83" s="71" t="e">
        <f>IF($O83="","",IF(#REF!="Tolerance",IF((#REF!*3*P83+O83)-E83&lt;F83,"",(#REF!*3*P83+O83)-E83),IF(OR(#REF!="GD&amp;T",#REF!="MAX"),IF((#REF!*3*P83+O83)&lt;F83,"",(#REF!*3*P83+O83)),"")))</f>
        <v>#REF!</v>
      </c>
      <c r="Y83" s="71" t="e">
        <f>IF(O83="","",IF(#REF!="Tolerance",IF(-((#REF!*3*P83)-O83)-E83&gt;G83,"",-((#REF!*3*P83)-O83)-E83),IF(#REF!="MIN",IF(-((#REF!*3*P83)-O83)&gt;G83,"",-((#REF!*3*P83)-O83)),"")))</f>
        <v>#REF!</v>
      </c>
      <c r="Z83" s="71">
        <f t="shared" si="26"/>
        <v>23.286000000000001</v>
      </c>
      <c r="AA83" s="71" t="str">
        <f t="shared" si="38"/>
        <v/>
      </c>
      <c r="AB83" s="80"/>
      <c r="AC83" s="81" t="str">
        <f t="shared" si="34"/>
        <v/>
      </c>
      <c r="AD83" s="115"/>
      <c r="AE83" s="72"/>
      <c r="AF83" s="72"/>
      <c r="AG83" s="73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</row>
    <row r="84" spans="2:66" ht="19.2" customHeight="1">
      <c r="B84" s="66" t="s">
        <v>242</v>
      </c>
      <c r="C84" s="75" t="s">
        <v>194</v>
      </c>
      <c r="D84" s="83" t="s">
        <v>45</v>
      </c>
      <c r="E84" s="102">
        <v>23.286000000000001</v>
      </c>
      <c r="F84" s="103">
        <v>0.03</v>
      </c>
      <c r="G84" s="103">
        <v>-0.03</v>
      </c>
      <c r="H84" s="104" t="s">
        <v>46</v>
      </c>
      <c r="I84" s="67"/>
      <c r="J84" s="68">
        <f t="shared" si="32"/>
        <v>23.316000000000003</v>
      </c>
      <c r="K84" s="68">
        <f t="shared" si="33"/>
        <v>23.256</v>
      </c>
      <c r="L84" s="69"/>
      <c r="M84" s="84">
        <f t="shared" si="35"/>
        <v>0</v>
      </c>
      <c r="N84" s="84">
        <f t="shared" si="36"/>
        <v>0</v>
      </c>
      <c r="O84" s="84">
        <f t="shared" si="37"/>
        <v>0</v>
      </c>
      <c r="P84" s="85">
        <f t="shared" si="25"/>
        <v>0</v>
      </c>
      <c r="Q84" s="78" t="str">
        <f t="shared" si="27"/>
        <v/>
      </c>
      <c r="R84" s="79" t="str">
        <f>IF(OR($AI84="",ISNUMBER($AI84)=FALSE),"",IF(AND(#REF!="Tolerance",$E84&lt;&gt;""),($O84-$E84)/(($J84-$K84)/2),IF(AND(#REF!="GD&amp;T",$F84&lt;&gt;""),$O84/$F84,"")))</f>
        <v/>
      </c>
      <c r="S84" s="79" t="str">
        <f t="shared" si="39"/>
        <v/>
      </c>
      <c r="T84" s="78" t="str">
        <f t="shared" si="28"/>
        <v/>
      </c>
      <c r="U84" s="78" t="str">
        <f t="shared" si="29"/>
        <v/>
      </c>
      <c r="V84" s="78" t="str">
        <f t="shared" si="30"/>
        <v/>
      </c>
      <c r="W84" s="70" t="str">
        <f t="shared" si="31"/>
        <v/>
      </c>
      <c r="X84" s="71" t="e">
        <f>IF($O84="","",IF(#REF!="Tolerance",IF((#REF!*3*P84+O84)-E84&lt;F84,"",(#REF!*3*P84+O84)-E84),IF(OR(#REF!="GD&amp;T",#REF!="MAX"),IF((#REF!*3*P84+O84)&lt;F84,"",(#REF!*3*P84+O84)),"")))</f>
        <v>#REF!</v>
      </c>
      <c r="Y84" s="71" t="e">
        <f>IF(O84="","",IF(#REF!="Tolerance",IF(-((#REF!*3*P84)-O84)-E84&gt;G84,"",-((#REF!*3*P84)-O84)-E84),IF(#REF!="MIN",IF(-((#REF!*3*P84)-O84)&gt;G84,"",-((#REF!*3*P84)-O84)),"")))</f>
        <v>#REF!</v>
      </c>
      <c r="Z84" s="71">
        <f t="shared" si="26"/>
        <v>23.286000000000001</v>
      </c>
      <c r="AA84" s="71" t="str">
        <f t="shared" si="38"/>
        <v/>
      </c>
      <c r="AB84" s="80"/>
      <c r="AC84" s="81" t="str">
        <f t="shared" si="34"/>
        <v/>
      </c>
      <c r="AD84" s="115"/>
      <c r="AE84" s="72"/>
      <c r="AF84" s="72"/>
      <c r="AG84" s="73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</row>
    <row r="85" spans="2:66" ht="19.2" customHeight="1">
      <c r="B85" s="66" t="s">
        <v>243</v>
      </c>
      <c r="C85" s="75" t="s">
        <v>195</v>
      </c>
      <c r="D85" s="83" t="s">
        <v>45</v>
      </c>
      <c r="E85" s="102">
        <v>0.04</v>
      </c>
      <c r="F85" s="103">
        <v>0.04</v>
      </c>
      <c r="G85" s="103">
        <v>-0.04</v>
      </c>
      <c r="H85" s="104" t="s">
        <v>46</v>
      </c>
      <c r="I85" s="67"/>
      <c r="J85" s="68">
        <f t="shared" si="32"/>
        <v>0.08</v>
      </c>
      <c r="K85" s="68">
        <f t="shared" si="33"/>
        <v>0</v>
      </c>
      <c r="L85" s="69"/>
      <c r="M85" s="84">
        <f t="shared" si="35"/>
        <v>0</v>
      </c>
      <c r="N85" s="84">
        <f t="shared" si="36"/>
        <v>0</v>
      </c>
      <c r="O85" s="84">
        <f t="shared" si="37"/>
        <v>0</v>
      </c>
      <c r="P85" s="85">
        <f>IF(OR($AI85=ISBLANK(TRUE),ISNUMBER($AI85)=FALSE),,STDEV(AI85:BN85))</f>
        <v>0</v>
      </c>
      <c r="Q85" s="78" t="str">
        <f t="shared" si="27"/>
        <v/>
      </c>
      <c r="R85" s="79" t="str">
        <f>IF(OR($AI85="",ISNUMBER($AI85)=FALSE),"",IF(AND(#REF!="Tolerance",$E85&lt;&gt;""),($O85-$E85)/(($J85-$K85)/2),IF(AND(#REF!="GD&amp;T",$F85&lt;&gt;""),$O85/$F85,"")))</f>
        <v/>
      </c>
      <c r="S85" s="79" t="str">
        <f t="shared" si="39"/>
        <v/>
      </c>
      <c r="T85" s="78" t="str">
        <f t="shared" si="28"/>
        <v/>
      </c>
      <c r="U85" s="78" t="str">
        <f t="shared" si="29"/>
        <v/>
      </c>
      <c r="V85" s="78" t="str">
        <f t="shared" si="30"/>
        <v/>
      </c>
      <c r="W85" s="70" t="str">
        <f t="shared" si="31"/>
        <v/>
      </c>
      <c r="X85" s="71" t="e">
        <f>IF($O85="","",IF(#REF!="Tolerance",IF((#REF!*3*P85+O85)-E85&lt;F85,"",(#REF!*3*P85+O85)-E85),IF(OR(#REF!="GD&amp;T",#REF!="MAX"),IF((#REF!*3*P85+O85)&lt;F85,"",(#REF!*3*P85+O85)),"")))</f>
        <v>#REF!</v>
      </c>
      <c r="Y85" s="71" t="e">
        <f>IF(O85="","",IF(#REF!="Tolerance",IF(-((#REF!*3*P85)-O85)-E85&gt;G85,"",-((#REF!*3*P85)-O85)-E85),IF(#REF!="MIN",IF(-((#REF!*3*P85)-O85)&gt;G85,"",-((#REF!*3*P85)-O85)),"")))</f>
        <v>#REF!</v>
      </c>
      <c r="Z85" s="71">
        <f t="shared" si="26"/>
        <v>0.04</v>
      </c>
      <c r="AA85" s="71" t="str">
        <f t="shared" si="38"/>
        <v/>
      </c>
      <c r="AB85" s="80"/>
      <c r="AC85" s="81" t="str">
        <f t="shared" si="34"/>
        <v/>
      </c>
      <c r="AD85" s="115"/>
      <c r="AE85" s="72"/>
      <c r="AF85" s="72"/>
      <c r="AG85" s="73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</row>
    <row r="86" spans="2:66" ht="19.2" customHeight="1">
      <c r="B86" s="66" t="s">
        <v>243</v>
      </c>
      <c r="C86" s="75" t="s">
        <v>196</v>
      </c>
      <c r="D86" s="83" t="s">
        <v>45</v>
      </c>
      <c r="E86" s="102">
        <v>0.04</v>
      </c>
      <c r="F86" s="103">
        <v>0.04</v>
      </c>
      <c r="G86" s="103">
        <v>-0.04</v>
      </c>
      <c r="H86" s="104" t="s">
        <v>46</v>
      </c>
      <c r="I86" s="67"/>
      <c r="J86" s="68">
        <f t="shared" si="32"/>
        <v>0.08</v>
      </c>
      <c r="K86" s="68">
        <f t="shared" si="33"/>
        <v>0</v>
      </c>
      <c r="L86" s="69"/>
      <c r="M86" s="84">
        <f t="shared" si="35"/>
        <v>0</v>
      </c>
      <c r="N86" s="84">
        <f t="shared" si="36"/>
        <v>0</v>
      </c>
      <c r="O86" s="84">
        <f t="shared" si="37"/>
        <v>0</v>
      </c>
      <c r="P86" s="85">
        <f t="shared" ref="P86:P137" si="40">IF(OR($AI86=ISBLANK(TRUE),ISNUMBER($AI86)=FALSE),,STDEV(AI86:BN86))</f>
        <v>0</v>
      </c>
      <c r="Q86" s="78" t="str">
        <f t="shared" si="27"/>
        <v/>
      </c>
      <c r="R86" s="79" t="str">
        <f>IF(OR($AI86="",ISNUMBER($AI86)=FALSE),"",IF(AND(#REF!="Tolerance",$E86&lt;&gt;""),($O86-$E86)/(($J86-$K86)/2),IF(AND(#REF!="GD&amp;T",$F86&lt;&gt;""),$O86/$F86,"")))</f>
        <v/>
      </c>
      <c r="S86" s="79" t="str">
        <f t="shared" si="39"/>
        <v/>
      </c>
      <c r="T86" s="78" t="str">
        <f t="shared" si="28"/>
        <v/>
      </c>
      <c r="U86" s="78" t="str">
        <f t="shared" si="29"/>
        <v/>
      </c>
      <c r="V86" s="78" t="str">
        <f t="shared" si="30"/>
        <v/>
      </c>
      <c r="W86" s="70" t="str">
        <f t="shared" si="31"/>
        <v/>
      </c>
      <c r="X86" s="71" t="e">
        <f>IF($O86="","",IF(#REF!="Tolerance",IF((#REF!*3*P86+O86)-E86&lt;F86,"",(#REF!*3*P86+O86)-E86),IF(OR(#REF!="GD&amp;T",#REF!="MAX"),IF((#REF!*3*P86+O86)&lt;F86,"",(#REF!*3*P86+O86)),"")))</f>
        <v>#REF!</v>
      </c>
      <c r="Y86" s="71" t="e">
        <f>IF(O86="","",IF(#REF!="Tolerance",IF(-((#REF!*3*P86)-O86)-E86&gt;G86,"",-((#REF!*3*P86)-O86)-E86),IF(#REF!="MIN",IF(-((#REF!*3*P86)-O86)&gt;G86,"",-((#REF!*3*P86)-O86)),"")))</f>
        <v>#REF!</v>
      </c>
      <c r="Z86" s="71">
        <f t="shared" si="26"/>
        <v>0.04</v>
      </c>
      <c r="AA86" s="71" t="str">
        <f t="shared" si="38"/>
        <v/>
      </c>
      <c r="AB86" s="80"/>
      <c r="AC86" s="81" t="str">
        <f t="shared" si="34"/>
        <v/>
      </c>
      <c r="AD86" s="115"/>
      <c r="AE86" s="72"/>
      <c r="AF86" s="72"/>
      <c r="AG86" s="73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</row>
    <row r="87" spans="2:66" ht="19.2" customHeight="1">
      <c r="B87" s="66" t="s">
        <v>243</v>
      </c>
      <c r="C87" s="75" t="s">
        <v>197</v>
      </c>
      <c r="D87" s="83" t="s">
        <v>45</v>
      </c>
      <c r="E87" s="102">
        <v>0.04</v>
      </c>
      <c r="F87" s="103">
        <v>0.04</v>
      </c>
      <c r="G87" s="103">
        <v>-0.04</v>
      </c>
      <c r="H87" s="104" t="s">
        <v>46</v>
      </c>
      <c r="I87" s="67"/>
      <c r="J87" s="68">
        <f t="shared" si="32"/>
        <v>0.08</v>
      </c>
      <c r="K87" s="68">
        <f t="shared" si="33"/>
        <v>0</v>
      </c>
      <c r="L87" s="69"/>
      <c r="M87" s="84">
        <f t="shared" si="35"/>
        <v>0</v>
      </c>
      <c r="N87" s="84">
        <f t="shared" si="36"/>
        <v>0</v>
      </c>
      <c r="O87" s="84">
        <f t="shared" si="37"/>
        <v>0</v>
      </c>
      <c r="P87" s="85">
        <f t="shared" si="40"/>
        <v>0</v>
      </c>
      <c r="Q87" s="78" t="str">
        <f t="shared" si="27"/>
        <v/>
      </c>
      <c r="R87" s="79" t="str">
        <f>IF(OR($AI87="",ISNUMBER($AI87)=FALSE),"",IF(AND(#REF!="Tolerance",$E87&lt;&gt;""),($O87-$E87)/(($J87-$K87)/2),IF(AND(#REF!="GD&amp;T",$F87&lt;&gt;""),$O87/$F87,"")))</f>
        <v/>
      </c>
      <c r="S87" s="79" t="str">
        <f t="shared" si="39"/>
        <v/>
      </c>
      <c r="T87" s="78" t="str">
        <f t="shared" si="28"/>
        <v/>
      </c>
      <c r="U87" s="78" t="str">
        <f t="shared" si="29"/>
        <v/>
      </c>
      <c r="V87" s="78" t="str">
        <f t="shared" si="30"/>
        <v/>
      </c>
      <c r="W87" s="70" t="str">
        <f t="shared" si="31"/>
        <v/>
      </c>
      <c r="X87" s="71" t="e">
        <f>IF($O87="","",IF(#REF!="Tolerance",IF((#REF!*3*P87+O87)-E87&lt;F87,"",(#REF!*3*P87+O87)-E87),IF(OR(#REF!="GD&amp;T",#REF!="MAX"),IF((#REF!*3*P87+O87)&lt;F87,"",(#REF!*3*P87+O87)),"")))</f>
        <v>#REF!</v>
      </c>
      <c r="Y87" s="71" t="e">
        <f>IF(O87="","",IF(#REF!="Tolerance",IF(-((#REF!*3*P87)-O87)-E87&gt;G87,"",-((#REF!*3*P87)-O87)-E87),IF(#REF!="MIN",IF(-((#REF!*3*P87)-O87)&gt;G87,"",-((#REF!*3*P87)-O87)),"")))</f>
        <v>#REF!</v>
      </c>
      <c r="Z87" s="71">
        <f t="shared" si="26"/>
        <v>0.04</v>
      </c>
      <c r="AA87" s="71" t="str">
        <f t="shared" si="38"/>
        <v/>
      </c>
      <c r="AB87" s="80"/>
      <c r="AC87" s="81" t="str">
        <f t="shared" si="34"/>
        <v/>
      </c>
      <c r="AD87" s="115"/>
      <c r="AE87" s="72"/>
      <c r="AF87" s="72"/>
      <c r="AG87" s="73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</row>
    <row r="88" spans="2:66" ht="19.2" customHeight="1">
      <c r="B88" s="66" t="s">
        <v>243</v>
      </c>
      <c r="C88" s="75" t="s">
        <v>198</v>
      </c>
      <c r="D88" s="83" t="s">
        <v>45</v>
      </c>
      <c r="E88" s="102">
        <v>0.04</v>
      </c>
      <c r="F88" s="103">
        <v>0.04</v>
      </c>
      <c r="G88" s="103">
        <v>-0.04</v>
      </c>
      <c r="H88" s="104" t="s">
        <v>46</v>
      </c>
      <c r="I88" s="67"/>
      <c r="J88" s="68">
        <f t="shared" si="32"/>
        <v>0.08</v>
      </c>
      <c r="K88" s="68">
        <f t="shared" si="33"/>
        <v>0</v>
      </c>
      <c r="L88" s="69"/>
      <c r="M88" s="84">
        <f t="shared" si="35"/>
        <v>0</v>
      </c>
      <c r="N88" s="84">
        <f t="shared" si="36"/>
        <v>0</v>
      </c>
      <c r="O88" s="84">
        <f t="shared" si="37"/>
        <v>0</v>
      </c>
      <c r="P88" s="85">
        <f t="shared" si="40"/>
        <v>0</v>
      </c>
      <c r="Q88" s="78" t="str">
        <f t="shared" si="27"/>
        <v/>
      </c>
      <c r="R88" s="79" t="str">
        <f>IF(OR($AI88="",ISNUMBER($AI88)=FALSE),"",IF(AND(#REF!="Tolerance",$E88&lt;&gt;""),($O88-$E88)/(($J88-$K88)/2),IF(AND(#REF!="GD&amp;T",$F88&lt;&gt;""),$O88/$F88,"")))</f>
        <v/>
      </c>
      <c r="S88" s="79" t="str">
        <f t="shared" si="39"/>
        <v/>
      </c>
      <c r="T88" s="78" t="str">
        <f t="shared" si="28"/>
        <v/>
      </c>
      <c r="U88" s="78" t="str">
        <f t="shared" si="29"/>
        <v/>
      </c>
      <c r="V88" s="78" t="str">
        <f t="shared" si="30"/>
        <v/>
      </c>
      <c r="W88" s="70" t="str">
        <f t="shared" si="31"/>
        <v/>
      </c>
      <c r="X88" s="71" t="e">
        <f>IF($O88="","",IF(#REF!="Tolerance",IF((#REF!*3*P88+O88)-E88&lt;F88,"",(#REF!*3*P88+O88)-E88),IF(OR(#REF!="GD&amp;T",#REF!="MAX"),IF((#REF!*3*P88+O88)&lt;F88,"",(#REF!*3*P88+O88)),"")))</f>
        <v>#REF!</v>
      </c>
      <c r="Y88" s="71" t="e">
        <f>IF(O88="","",IF(#REF!="Tolerance",IF(-((#REF!*3*P88)-O88)-E88&gt;G88,"",-((#REF!*3*P88)-O88)-E88),IF(#REF!="MIN",IF(-((#REF!*3*P88)-O88)&gt;G88,"",-((#REF!*3*P88)-O88)),"")))</f>
        <v>#REF!</v>
      </c>
      <c r="Z88" s="71">
        <f t="shared" si="26"/>
        <v>0.04</v>
      </c>
      <c r="AA88" s="71" t="str">
        <f t="shared" si="38"/>
        <v/>
      </c>
      <c r="AB88" s="80"/>
      <c r="AC88" s="81" t="str">
        <f t="shared" si="34"/>
        <v/>
      </c>
      <c r="AD88" s="115"/>
      <c r="AE88" s="72"/>
      <c r="AF88" s="72"/>
      <c r="AG88" s="73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</row>
    <row r="89" spans="2:66" ht="19.2" customHeight="1">
      <c r="B89" s="66" t="s">
        <v>243</v>
      </c>
      <c r="C89" s="75" t="s">
        <v>199</v>
      </c>
      <c r="D89" s="83" t="s">
        <v>45</v>
      </c>
      <c r="E89" s="102">
        <v>0.04</v>
      </c>
      <c r="F89" s="103">
        <v>0.04</v>
      </c>
      <c r="G89" s="103">
        <v>-0.04</v>
      </c>
      <c r="H89" s="104" t="s">
        <v>46</v>
      </c>
      <c r="I89" s="67"/>
      <c r="J89" s="68">
        <f t="shared" si="32"/>
        <v>0.08</v>
      </c>
      <c r="K89" s="68">
        <f t="shared" si="33"/>
        <v>0</v>
      </c>
      <c r="L89" s="69"/>
      <c r="M89" s="84">
        <f t="shared" si="35"/>
        <v>0</v>
      </c>
      <c r="N89" s="84">
        <f t="shared" si="36"/>
        <v>0</v>
      </c>
      <c r="O89" s="84">
        <f t="shared" si="37"/>
        <v>0</v>
      </c>
      <c r="P89" s="85">
        <f t="shared" si="40"/>
        <v>0</v>
      </c>
      <c r="Q89" s="78" t="str">
        <f t="shared" si="27"/>
        <v/>
      </c>
      <c r="R89" s="79" t="str">
        <f>IF(OR($AI89="",ISNUMBER($AI89)=FALSE),"",IF(AND(#REF!="Tolerance",$E89&lt;&gt;""),($O89-$E89)/(($J89-$K89)/2),IF(AND(#REF!="GD&amp;T",$F89&lt;&gt;""),$O89/$F89,"")))</f>
        <v/>
      </c>
      <c r="S89" s="79" t="str">
        <f t="shared" si="39"/>
        <v/>
      </c>
      <c r="T89" s="78" t="str">
        <f t="shared" si="28"/>
        <v/>
      </c>
      <c r="U89" s="78" t="str">
        <f t="shared" si="29"/>
        <v/>
      </c>
      <c r="V89" s="78" t="str">
        <f t="shared" si="30"/>
        <v/>
      </c>
      <c r="W89" s="70" t="str">
        <f t="shared" si="31"/>
        <v/>
      </c>
      <c r="X89" s="71" t="e">
        <f>IF($O89="","",IF(#REF!="Tolerance",IF((#REF!*3*P89+O89)-E89&lt;F89,"",(#REF!*3*P89+O89)-E89),IF(OR(#REF!="GD&amp;T",#REF!="MAX"),IF((#REF!*3*P89+O89)&lt;F89,"",(#REF!*3*P89+O89)),"")))</f>
        <v>#REF!</v>
      </c>
      <c r="Y89" s="71" t="e">
        <f>IF(O89="","",IF(#REF!="Tolerance",IF(-((#REF!*3*P89)-O89)-E89&gt;G89,"",-((#REF!*3*P89)-O89)-E89),IF(#REF!="MIN",IF(-((#REF!*3*P89)-O89)&gt;G89,"",-((#REF!*3*P89)-O89)),"")))</f>
        <v>#REF!</v>
      </c>
      <c r="Z89" s="71">
        <f t="shared" si="26"/>
        <v>0.04</v>
      </c>
      <c r="AA89" s="71" t="str">
        <f t="shared" si="38"/>
        <v/>
      </c>
      <c r="AB89" s="80"/>
      <c r="AC89" s="81" t="str">
        <f t="shared" si="34"/>
        <v/>
      </c>
      <c r="AD89" s="115"/>
      <c r="AE89" s="72"/>
      <c r="AF89" s="72"/>
      <c r="AG89" s="73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</row>
    <row r="90" spans="2:66" ht="19.2" customHeight="1">
      <c r="B90" s="66" t="s">
        <v>243</v>
      </c>
      <c r="C90" s="75" t="s">
        <v>200</v>
      </c>
      <c r="D90" s="83" t="s">
        <v>45</v>
      </c>
      <c r="E90" s="102">
        <v>0.04</v>
      </c>
      <c r="F90" s="103">
        <v>0.04</v>
      </c>
      <c r="G90" s="103">
        <v>-0.04</v>
      </c>
      <c r="H90" s="104" t="s">
        <v>46</v>
      </c>
      <c r="I90" s="67"/>
      <c r="J90" s="68">
        <f t="shared" si="32"/>
        <v>0.08</v>
      </c>
      <c r="K90" s="68">
        <f t="shared" si="33"/>
        <v>0</v>
      </c>
      <c r="L90" s="69"/>
      <c r="M90" s="84">
        <f t="shared" si="35"/>
        <v>0</v>
      </c>
      <c r="N90" s="84">
        <f t="shared" si="36"/>
        <v>0</v>
      </c>
      <c r="O90" s="84">
        <f t="shared" si="37"/>
        <v>0</v>
      </c>
      <c r="P90" s="85">
        <f t="shared" si="40"/>
        <v>0</v>
      </c>
      <c r="Q90" s="78" t="str">
        <f t="shared" si="27"/>
        <v/>
      </c>
      <c r="R90" s="79" t="str">
        <f>IF(OR($AI90="",ISNUMBER($AI90)=FALSE),"",IF(AND(#REF!="Tolerance",$E90&lt;&gt;""),($O90-$E90)/(($J90-$K90)/2),IF(AND(#REF!="GD&amp;T",$F90&lt;&gt;""),$O90/$F90,"")))</f>
        <v/>
      </c>
      <c r="S90" s="79" t="str">
        <f t="shared" si="39"/>
        <v/>
      </c>
      <c r="T90" s="78" t="str">
        <f t="shared" si="28"/>
        <v/>
      </c>
      <c r="U90" s="78" t="str">
        <f t="shared" si="29"/>
        <v/>
      </c>
      <c r="V90" s="78" t="str">
        <f t="shared" si="30"/>
        <v/>
      </c>
      <c r="W90" s="70" t="str">
        <f t="shared" si="31"/>
        <v/>
      </c>
      <c r="X90" s="71" t="e">
        <f>IF($O90="","",IF(#REF!="Tolerance",IF((#REF!*3*P90+O90)-E90&lt;F90,"",(#REF!*3*P90+O90)-E90),IF(OR(#REF!="GD&amp;T",#REF!="MAX"),IF((#REF!*3*P90+O90)&lt;F90,"",(#REF!*3*P90+O90)),"")))</f>
        <v>#REF!</v>
      </c>
      <c r="Y90" s="71" t="e">
        <f>IF(O90="","",IF(#REF!="Tolerance",IF(-((#REF!*3*P90)-O90)-E90&gt;G90,"",-((#REF!*3*P90)-O90)-E90),IF(#REF!="MIN",IF(-((#REF!*3*P90)-O90)&gt;G90,"",-((#REF!*3*P90)-O90)),"")))</f>
        <v>#REF!</v>
      </c>
      <c r="Z90" s="71">
        <f t="shared" si="26"/>
        <v>0.04</v>
      </c>
      <c r="AA90" s="71" t="str">
        <f t="shared" si="38"/>
        <v/>
      </c>
      <c r="AB90" s="80"/>
      <c r="AC90" s="81" t="str">
        <f t="shared" si="34"/>
        <v/>
      </c>
      <c r="AD90" s="115"/>
      <c r="AE90" s="72"/>
      <c r="AF90" s="72"/>
      <c r="AG90" s="73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</row>
    <row r="91" spans="2:66" ht="19.2" customHeight="1">
      <c r="B91" s="66" t="s">
        <v>243</v>
      </c>
      <c r="C91" s="75" t="s">
        <v>266</v>
      </c>
      <c r="D91" s="83" t="s">
        <v>45</v>
      </c>
      <c r="E91" s="102">
        <v>0.04</v>
      </c>
      <c r="F91" s="103">
        <v>0.04</v>
      </c>
      <c r="G91" s="103">
        <v>-0.04</v>
      </c>
      <c r="H91" s="104" t="s">
        <v>46</v>
      </c>
      <c r="I91" s="67"/>
      <c r="J91" s="68">
        <f t="shared" si="32"/>
        <v>0.08</v>
      </c>
      <c r="K91" s="68">
        <f t="shared" si="33"/>
        <v>0</v>
      </c>
      <c r="L91" s="69"/>
      <c r="M91" s="84">
        <f t="shared" si="35"/>
        <v>0</v>
      </c>
      <c r="N91" s="84">
        <f t="shared" si="36"/>
        <v>0</v>
      </c>
      <c r="O91" s="84">
        <f t="shared" si="37"/>
        <v>0</v>
      </c>
      <c r="P91" s="85">
        <f t="shared" si="40"/>
        <v>0</v>
      </c>
      <c r="Q91" s="78" t="str">
        <f t="shared" si="27"/>
        <v/>
      </c>
      <c r="R91" s="79" t="str">
        <f>IF(OR($AI91="",ISNUMBER($AI91)=FALSE),"",IF(AND(#REF!="Tolerance",$E91&lt;&gt;""),($O91-$E91)/(($J91-$K91)/2),IF(AND(#REF!="GD&amp;T",$F91&lt;&gt;""),$O91/$F91,"")))</f>
        <v/>
      </c>
      <c r="S91" s="79" t="str">
        <f t="shared" si="39"/>
        <v/>
      </c>
      <c r="T91" s="78" t="str">
        <f t="shared" si="28"/>
        <v/>
      </c>
      <c r="U91" s="78" t="str">
        <f t="shared" si="29"/>
        <v/>
      </c>
      <c r="V91" s="78" t="str">
        <f t="shared" si="30"/>
        <v/>
      </c>
      <c r="W91" s="70" t="str">
        <f t="shared" si="31"/>
        <v/>
      </c>
      <c r="X91" s="71" t="e">
        <f>IF($O91="","",IF(#REF!="Tolerance",IF((#REF!*3*P91+O91)-E91&lt;F91,"",(#REF!*3*P91+O91)-E91),IF(OR(#REF!="GD&amp;T",#REF!="MAX"),IF((#REF!*3*P91+O91)&lt;F91,"",(#REF!*3*P91+O91)),"")))</f>
        <v>#REF!</v>
      </c>
      <c r="Y91" s="71" t="e">
        <f>IF(O91="","",IF(#REF!="Tolerance",IF(-((#REF!*3*P91)-O91)-E91&gt;G91,"",-((#REF!*3*P91)-O91)-E91),IF(#REF!="MIN",IF(-((#REF!*3*P91)-O91)&gt;G91,"",-((#REF!*3*P91)-O91)),"")))</f>
        <v>#REF!</v>
      </c>
      <c r="Z91" s="71">
        <f t="shared" si="26"/>
        <v>0.04</v>
      </c>
      <c r="AA91" s="71" t="str">
        <f t="shared" si="38"/>
        <v/>
      </c>
      <c r="AB91" s="80"/>
      <c r="AC91" s="81" t="str">
        <f t="shared" si="34"/>
        <v/>
      </c>
      <c r="AD91" s="115"/>
      <c r="AE91" s="72"/>
      <c r="AF91" s="72"/>
      <c r="AG91" s="73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</row>
    <row r="92" spans="2:66" ht="19.2" customHeight="1">
      <c r="B92" s="66" t="s">
        <v>243</v>
      </c>
      <c r="C92" s="75" t="s">
        <v>267</v>
      </c>
      <c r="D92" s="83" t="s">
        <v>45</v>
      </c>
      <c r="E92" s="102">
        <v>0.04</v>
      </c>
      <c r="F92" s="103">
        <v>0.04</v>
      </c>
      <c r="G92" s="103">
        <v>-0.04</v>
      </c>
      <c r="H92" s="104" t="s">
        <v>46</v>
      </c>
      <c r="I92" s="67"/>
      <c r="J92" s="68">
        <f t="shared" si="32"/>
        <v>0.08</v>
      </c>
      <c r="K92" s="68">
        <f t="shared" si="33"/>
        <v>0</v>
      </c>
      <c r="L92" s="69"/>
      <c r="M92" s="84">
        <f t="shared" si="35"/>
        <v>0</v>
      </c>
      <c r="N92" s="84">
        <f t="shared" si="36"/>
        <v>0</v>
      </c>
      <c r="O92" s="84">
        <f t="shared" si="37"/>
        <v>0</v>
      </c>
      <c r="P92" s="85">
        <f t="shared" si="40"/>
        <v>0</v>
      </c>
      <c r="Q92" s="78" t="str">
        <f t="shared" si="27"/>
        <v/>
      </c>
      <c r="R92" s="79" t="str">
        <f>IF(OR($AI92="",ISNUMBER($AI92)=FALSE),"",IF(AND(#REF!="Tolerance",$E92&lt;&gt;""),($O92-$E92)/(($J92-$K92)/2),IF(AND(#REF!="GD&amp;T",$F92&lt;&gt;""),$O92/$F92,"")))</f>
        <v/>
      </c>
      <c r="S92" s="79" t="str">
        <f t="shared" si="39"/>
        <v/>
      </c>
      <c r="T92" s="78" t="str">
        <f t="shared" si="28"/>
        <v/>
      </c>
      <c r="U92" s="78" t="str">
        <f t="shared" si="29"/>
        <v/>
      </c>
      <c r="V92" s="78" t="str">
        <f t="shared" si="30"/>
        <v/>
      </c>
      <c r="W92" s="70" t="str">
        <f t="shared" si="31"/>
        <v/>
      </c>
      <c r="X92" s="71" t="e">
        <f>IF($O92="","",IF(#REF!="Tolerance",IF((#REF!*3*P92+O92)-E92&lt;F92,"",(#REF!*3*P92+O92)-E92),IF(OR(#REF!="GD&amp;T",#REF!="MAX"),IF((#REF!*3*P92+O92)&lt;F92,"",(#REF!*3*P92+O92)),"")))</f>
        <v>#REF!</v>
      </c>
      <c r="Y92" s="71" t="e">
        <f>IF(O92="","",IF(#REF!="Tolerance",IF(-((#REF!*3*P92)-O92)-E92&gt;G92,"",-((#REF!*3*P92)-O92)-E92),IF(#REF!="MIN",IF(-((#REF!*3*P92)-O92)&gt;G92,"",-((#REF!*3*P92)-O92)),"")))</f>
        <v>#REF!</v>
      </c>
      <c r="Z92" s="71">
        <f t="shared" si="26"/>
        <v>0.04</v>
      </c>
      <c r="AA92" s="71" t="str">
        <f t="shared" si="38"/>
        <v/>
      </c>
      <c r="AB92" s="80"/>
      <c r="AC92" s="81" t="str">
        <f t="shared" si="34"/>
        <v/>
      </c>
      <c r="AD92" s="115"/>
      <c r="AE92" s="72"/>
      <c r="AF92" s="72"/>
      <c r="AG92" s="73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</row>
    <row r="93" spans="2:66" ht="19.2" customHeight="1">
      <c r="B93" s="66" t="s">
        <v>243</v>
      </c>
      <c r="C93" s="75" t="s">
        <v>268</v>
      </c>
      <c r="D93" s="83" t="s">
        <v>45</v>
      </c>
      <c r="E93" s="102">
        <v>0.04</v>
      </c>
      <c r="F93" s="103">
        <v>0.04</v>
      </c>
      <c r="G93" s="103">
        <v>-0.04</v>
      </c>
      <c r="H93" s="104" t="s">
        <v>46</v>
      </c>
      <c r="I93" s="67"/>
      <c r="J93" s="68">
        <f t="shared" si="32"/>
        <v>0.08</v>
      </c>
      <c r="K93" s="68">
        <f t="shared" si="33"/>
        <v>0</v>
      </c>
      <c r="L93" s="69"/>
      <c r="M93" s="84">
        <f t="shared" si="35"/>
        <v>0</v>
      </c>
      <c r="N93" s="84">
        <f t="shared" si="36"/>
        <v>0</v>
      </c>
      <c r="O93" s="84">
        <f t="shared" si="37"/>
        <v>0</v>
      </c>
      <c r="P93" s="85">
        <f t="shared" si="40"/>
        <v>0</v>
      </c>
      <c r="Q93" s="78" t="str">
        <f t="shared" si="27"/>
        <v/>
      </c>
      <c r="R93" s="79" t="str">
        <f>IF(OR($AI93="",ISNUMBER($AI93)=FALSE),"",IF(AND(#REF!="Tolerance",$E93&lt;&gt;""),($O93-$E93)/(($J93-$K93)/2),IF(AND(#REF!="GD&amp;T",$F93&lt;&gt;""),$O93/$F93,"")))</f>
        <v/>
      </c>
      <c r="S93" s="79" t="str">
        <f t="shared" si="39"/>
        <v/>
      </c>
      <c r="T93" s="78" t="str">
        <f t="shared" si="28"/>
        <v/>
      </c>
      <c r="U93" s="78" t="str">
        <f t="shared" si="29"/>
        <v/>
      </c>
      <c r="V93" s="78" t="str">
        <f t="shared" si="30"/>
        <v/>
      </c>
      <c r="W93" s="70" t="str">
        <f t="shared" si="31"/>
        <v/>
      </c>
      <c r="X93" s="71" t="e">
        <f>IF($O93="","",IF(#REF!="Tolerance",IF((#REF!*3*P93+O93)-E93&lt;F93,"",(#REF!*3*P93+O93)-E93),IF(OR(#REF!="GD&amp;T",#REF!="MAX"),IF((#REF!*3*P93+O93)&lt;F93,"",(#REF!*3*P93+O93)),"")))</f>
        <v>#REF!</v>
      </c>
      <c r="Y93" s="71" t="e">
        <f>IF(O93="","",IF(#REF!="Tolerance",IF(-((#REF!*3*P93)-O93)-E93&gt;G93,"",-((#REF!*3*P93)-O93)-E93),IF(#REF!="MIN",IF(-((#REF!*3*P93)-O93)&gt;G93,"",-((#REF!*3*P93)-O93)),"")))</f>
        <v>#REF!</v>
      </c>
      <c r="Z93" s="71">
        <f t="shared" si="26"/>
        <v>0.04</v>
      </c>
      <c r="AA93" s="71" t="str">
        <f t="shared" si="38"/>
        <v/>
      </c>
      <c r="AB93" s="80"/>
      <c r="AC93" s="81" t="str">
        <f t="shared" si="34"/>
        <v/>
      </c>
      <c r="AD93" s="115"/>
      <c r="AE93" s="72"/>
      <c r="AF93" s="72"/>
      <c r="AG93" s="73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</row>
    <row r="94" spans="2:66" ht="19.2" customHeight="1">
      <c r="B94" s="66" t="s">
        <v>243</v>
      </c>
      <c r="C94" s="75" t="s">
        <v>269</v>
      </c>
      <c r="D94" s="83" t="s">
        <v>45</v>
      </c>
      <c r="E94" s="102">
        <v>0.04</v>
      </c>
      <c r="F94" s="103">
        <v>0.04</v>
      </c>
      <c r="G94" s="103">
        <v>-0.04</v>
      </c>
      <c r="H94" s="104" t="s">
        <v>46</v>
      </c>
      <c r="I94" s="67"/>
      <c r="J94" s="68">
        <f t="shared" si="32"/>
        <v>0.08</v>
      </c>
      <c r="K94" s="68">
        <f t="shared" si="33"/>
        <v>0</v>
      </c>
      <c r="L94" s="69"/>
      <c r="M94" s="84">
        <f t="shared" si="35"/>
        <v>0</v>
      </c>
      <c r="N94" s="84">
        <f t="shared" si="36"/>
        <v>0</v>
      </c>
      <c r="O94" s="84">
        <f t="shared" si="37"/>
        <v>0</v>
      </c>
      <c r="P94" s="85">
        <f t="shared" si="40"/>
        <v>0</v>
      </c>
      <c r="Q94" s="78" t="str">
        <f t="shared" si="27"/>
        <v/>
      </c>
      <c r="R94" s="79" t="str">
        <f>IF(OR($AI94="",ISNUMBER($AI94)=FALSE),"",IF(AND(#REF!="Tolerance",$E94&lt;&gt;""),($O94-$E94)/(($J94-$K94)/2),IF(AND(#REF!="GD&amp;T",$F94&lt;&gt;""),$O94/$F94,"")))</f>
        <v/>
      </c>
      <c r="S94" s="79" t="str">
        <f t="shared" si="39"/>
        <v/>
      </c>
      <c r="T94" s="78" t="str">
        <f t="shared" si="28"/>
        <v/>
      </c>
      <c r="U94" s="78" t="str">
        <f t="shared" si="29"/>
        <v/>
      </c>
      <c r="V94" s="78" t="str">
        <f t="shared" si="30"/>
        <v/>
      </c>
      <c r="W94" s="70" t="str">
        <f t="shared" si="31"/>
        <v/>
      </c>
      <c r="X94" s="71" t="e">
        <f>IF($O94="","",IF(#REF!="Tolerance",IF((#REF!*3*P94+O94)-E94&lt;F94,"",(#REF!*3*P94+O94)-E94),IF(OR(#REF!="GD&amp;T",#REF!="MAX"),IF((#REF!*3*P94+O94)&lt;F94,"",(#REF!*3*P94+O94)),"")))</f>
        <v>#REF!</v>
      </c>
      <c r="Y94" s="71" t="e">
        <f>IF(O94="","",IF(#REF!="Tolerance",IF(-((#REF!*3*P94)-O94)-E94&gt;G94,"",-((#REF!*3*P94)-O94)-E94),IF(#REF!="MIN",IF(-((#REF!*3*P94)-O94)&gt;G94,"",-((#REF!*3*P94)-O94)),"")))</f>
        <v>#REF!</v>
      </c>
      <c r="Z94" s="71">
        <f t="shared" ref="Z94:Z108" si="41">IF(OR(E94="",O94=""),"",(J94+K94)/2-O94)</f>
        <v>0.04</v>
      </c>
      <c r="AA94" s="71" t="str">
        <f t="shared" si="38"/>
        <v/>
      </c>
      <c r="AB94" s="80"/>
      <c r="AC94" s="81" t="str">
        <f t="shared" si="34"/>
        <v/>
      </c>
      <c r="AD94" s="115"/>
      <c r="AE94" s="72"/>
      <c r="AF94" s="72"/>
      <c r="AG94" s="73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</row>
    <row r="95" spans="2:66" ht="19.2" customHeight="1">
      <c r="B95" s="66" t="s">
        <v>243</v>
      </c>
      <c r="C95" s="75" t="s">
        <v>270</v>
      </c>
      <c r="D95" s="83" t="s">
        <v>45</v>
      </c>
      <c r="E95" s="102">
        <v>0.04</v>
      </c>
      <c r="F95" s="103">
        <v>0.04</v>
      </c>
      <c r="G95" s="103">
        <v>-0.04</v>
      </c>
      <c r="H95" s="104" t="s">
        <v>46</v>
      </c>
      <c r="I95" s="67"/>
      <c r="J95" s="68">
        <f t="shared" si="32"/>
        <v>0.08</v>
      </c>
      <c r="K95" s="68">
        <f t="shared" si="33"/>
        <v>0</v>
      </c>
      <c r="L95" s="69"/>
      <c r="M95" s="84">
        <f t="shared" si="35"/>
        <v>0</v>
      </c>
      <c r="N95" s="84">
        <f t="shared" si="36"/>
        <v>0</v>
      </c>
      <c r="O95" s="84">
        <f t="shared" si="37"/>
        <v>0</v>
      </c>
      <c r="P95" s="85">
        <f t="shared" si="40"/>
        <v>0</v>
      </c>
      <c r="Q95" s="78" t="str">
        <f t="shared" si="27"/>
        <v/>
      </c>
      <c r="R95" s="79" t="str">
        <f>IF(OR($AI95="",ISNUMBER($AI95)=FALSE),"",IF(AND(#REF!="Tolerance",$E95&lt;&gt;""),($O95-$E95)/(($J95-$K95)/2),IF(AND(#REF!="GD&amp;T",$F95&lt;&gt;""),$O95/$F95,"")))</f>
        <v/>
      </c>
      <c r="S95" s="79" t="str">
        <f t="shared" si="39"/>
        <v/>
      </c>
      <c r="T95" s="78" t="str">
        <f t="shared" si="28"/>
        <v/>
      </c>
      <c r="U95" s="78" t="str">
        <f t="shared" si="29"/>
        <v/>
      </c>
      <c r="V95" s="78" t="str">
        <f t="shared" si="30"/>
        <v/>
      </c>
      <c r="W95" s="70" t="str">
        <f t="shared" si="31"/>
        <v/>
      </c>
      <c r="X95" s="71" t="e">
        <f>IF($O95="","",IF(#REF!="Tolerance",IF((#REF!*3*P95+O95)-E95&lt;F95,"",(#REF!*3*P95+O95)-E95),IF(OR(#REF!="GD&amp;T",#REF!="MAX"),IF((#REF!*3*P95+O95)&lt;F95,"",(#REF!*3*P95+O95)),"")))</f>
        <v>#REF!</v>
      </c>
      <c r="Y95" s="71" t="e">
        <f>IF(O95="","",IF(#REF!="Tolerance",IF(-((#REF!*3*P95)-O95)-E95&gt;G95,"",-((#REF!*3*P95)-O95)-E95),IF(#REF!="MIN",IF(-((#REF!*3*P95)-O95)&gt;G95,"",-((#REF!*3*P95)-O95)),"")))</f>
        <v>#REF!</v>
      </c>
      <c r="Z95" s="71">
        <f t="shared" si="41"/>
        <v>0.04</v>
      </c>
      <c r="AA95" s="71" t="str">
        <f t="shared" si="38"/>
        <v/>
      </c>
      <c r="AB95" s="80"/>
      <c r="AC95" s="81" t="str">
        <f t="shared" si="34"/>
        <v/>
      </c>
      <c r="AD95" s="115"/>
      <c r="AE95" s="72"/>
      <c r="AF95" s="72"/>
      <c r="AG95" s="73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</row>
    <row r="96" spans="2:66" ht="19.2" customHeight="1">
      <c r="B96" s="86" t="s">
        <v>243</v>
      </c>
      <c r="C96" s="75" t="s">
        <v>271</v>
      </c>
      <c r="D96" s="83" t="s">
        <v>45</v>
      </c>
      <c r="E96" s="102">
        <v>0.04</v>
      </c>
      <c r="F96" s="103">
        <v>0.04</v>
      </c>
      <c r="G96" s="103">
        <v>-0.04</v>
      </c>
      <c r="H96" s="104" t="s">
        <v>46</v>
      </c>
      <c r="I96" s="67"/>
      <c r="J96" s="68">
        <f t="shared" si="32"/>
        <v>0.08</v>
      </c>
      <c r="K96" s="68">
        <f t="shared" si="33"/>
        <v>0</v>
      </c>
      <c r="L96" s="69"/>
      <c r="M96" s="84">
        <f t="shared" si="35"/>
        <v>0</v>
      </c>
      <c r="N96" s="84">
        <f t="shared" si="36"/>
        <v>0</v>
      </c>
      <c r="O96" s="84">
        <f t="shared" si="37"/>
        <v>0</v>
      </c>
      <c r="P96" s="85">
        <f t="shared" si="40"/>
        <v>0</v>
      </c>
      <c r="Q96" s="78" t="str">
        <f t="shared" si="27"/>
        <v/>
      </c>
      <c r="R96" s="79" t="str">
        <f>IF(OR($AI96="",ISNUMBER($AI96)=FALSE),"",IF(AND(#REF!="Tolerance",$E96&lt;&gt;""),($O96-$E96)/(($J96-$K96)/2),IF(AND(#REF!="GD&amp;T",$F96&lt;&gt;""),$O96/$F96,"")))</f>
        <v/>
      </c>
      <c r="S96" s="79" t="str">
        <f t="shared" si="39"/>
        <v/>
      </c>
      <c r="T96" s="78" t="str">
        <f t="shared" si="28"/>
        <v/>
      </c>
      <c r="U96" s="78" t="str">
        <f t="shared" si="29"/>
        <v/>
      </c>
      <c r="V96" s="78" t="str">
        <f t="shared" si="30"/>
        <v/>
      </c>
      <c r="W96" s="70" t="str">
        <f t="shared" si="31"/>
        <v/>
      </c>
      <c r="X96" s="71" t="e">
        <f>IF($O96="","",IF(#REF!="Tolerance",IF((#REF!*3*P96+O96)-E96&lt;F96,"",(#REF!*3*P96+O96)-E96),IF(OR(#REF!="GD&amp;T",#REF!="MAX"),IF((#REF!*3*P96+O96)&lt;F96,"",(#REF!*3*P96+O96)),"")))</f>
        <v>#REF!</v>
      </c>
      <c r="Y96" s="71" t="e">
        <f>IF(O96="","",IF(#REF!="Tolerance",IF(-((#REF!*3*P96)-O96)-E96&gt;G96,"",-((#REF!*3*P96)-O96)-E96),IF(#REF!="MIN",IF(-((#REF!*3*P96)-O96)&gt;G96,"",-((#REF!*3*P96)-O96)),"")))</f>
        <v>#REF!</v>
      </c>
      <c r="Z96" s="71">
        <f t="shared" si="41"/>
        <v>0.04</v>
      </c>
      <c r="AA96" s="71" t="str">
        <f t="shared" si="38"/>
        <v/>
      </c>
      <c r="AB96" s="80"/>
      <c r="AC96" s="81" t="str">
        <f t="shared" si="34"/>
        <v/>
      </c>
      <c r="AD96" s="115"/>
      <c r="AE96" s="72"/>
      <c r="AF96" s="72"/>
      <c r="AG96" s="73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</row>
    <row r="97" spans="2:66" ht="19.2" customHeight="1">
      <c r="B97" s="66" t="s">
        <v>243</v>
      </c>
      <c r="C97" s="75" t="s">
        <v>272</v>
      </c>
      <c r="D97" s="83" t="s">
        <v>45</v>
      </c>
      <c r="E97" s="102">
        <v>0.04</v>
      </c>
      <c r="F97" s="103">
        <v>0.04</v>
      </c>
      <c r="G97" s="103">
        <v>-0.04</v>
      </c>
      <c r="H97" s="104" t="s">
        <v>46</v>
      </c>
      <c r="I97" s="67"/>
      <c r="J97" s="68">
        <f t="shared" si="32"/>
        <v>0.08</v>
      </c>
      <c r="K97" s="68">
        <f t="shared" si="33"/>
        <v>0</v>
      </c>
      <c r="L97" s="69"/>
      <c r="M97" s="84">
        <f t="shared" si="35"/>
        <v>0</v>
      </c>
      <c r="N97" s="84">
        <f t="shared" si="36"/>
        <v>0</v>
      </c>
      <c r="O97" s="84">
        <f t="shared" si="37"/>
        <v>0</v>
      </c>
      <c r="P97" s="85">
        <f t="shared" si="40"/>
        <v>0</v>
      </c>
      <c r="Q97" s="78" t="str">
        <f t="shared" si="27"/>
        <v/>
      </c>
      <c r="R97" s="79" t="str">
        <f>IF(OR($AI97="",ISNUMBER($AI97)=FALSE),"",IF(AND(#REF!="Tolerance",$E97&lt;&gt;""),($O97-$E97)/(($J97-$K97)/2),IF(AND(#REF!="GD&amp;T",$F97&lt;&gt;""),$O97/$F97,"")))</f>
        <v/>
      </c>
      <c r="S97" s="79" t="str">
        <f t="shared" si="39"/>
        <v/>
      </c>
      <c r="T97" s="78" t="str">
        <f t="shared" si="28"/>
        <v/>
      </c>
      <c r="U97" s="78" t="str">
        <f t="shared" si="29"/>
        <v/>
      </c>
      <c r="V97" s="78" t="str">
        <f t="shared" si="30"/>
        <v/>
      </c>
      <c r="W97" s="70" t="str">
        <f t="shared" si="31"/>
        <v/>
      </c>
      <c r="X97" s="71" t="e">
        <f>IF($O97="","",IF(#REF!="Tolerance",IF((#REF!*3*P97+O97)-E97&lt;F97,"",(#REF!*3*P97+O97)-E97),IF(OR(#REF!="GD&amp;T",#REF!="MAX"),IF((#REF!*3*P97+O97)&lt;F97,"",(#REF!*3*P97+O97)),"")))</f>
        <v>#REF!</v>
      </c>
      <c r="Y97" s="71" t="e">
        <f>IF(O97="","",IF(#REF!="Tolerance",IF(-((#REF!*3*P97)-O97)-E97&gt;G97,"",-((#REF!*3*P97)-O97)-E97),IF(#REF!="MIN",IF(-((#REF!*3*P97)-O97)&gt;G97,"",-((#REF!*3*P97)-O97)),"")))</f>
        <v>#REF!</v>
      </c>
      <c r="Z97" s="71">
        <f t="shared" si="41"/>
        <v>0.04</v>
      </c>
      <c r="AA97" s="71" t="str">
        <f t="shared" si="38"/>
        <v/>
      </c>
      <c r="AB97" s="80"/>
      <c r="AC97" s="81" t="str">
        <f t="shared" si="34"/>
        <v/>
      </c>
      <c r="AD97" s="115"/>
      <c r="AE97" s="72"/>
      <c r="AF97" s="72"/>
      <c r="AG97" s="73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</row>
    <row r="98" spans="2:66" ht="19.2" customHeight="1">
      <c r="B98" s="66" t="s">
        <v>243</v>
      </c>
      <c r="C98" s="75" t="s">
        <v>273</v>
      </c>
      <c r="D98" s="83" t="s">
        <v>45</v>
      </c>
      <c r="E98" s="102">
        <v>0.04</v>
      </c>
      <c r="F98" s="103">
        <v>0.04</v>
      </c>
      <c r="G98" s="103">
        <v>-0.04</v>
      </c>
      <c r="H98" s="104" t="s">
        <v>46</v>
      </c>
      <c r="I98" s="67"/>
      <c r="J98" s="68">
        <f t="shared" si="32"/>
        <v>0.08</v>
      </c>
      <c r="K98" s="68">
        <f t="shared" si="33"/>
        <v>0</v>
      </c>
      <c r="L98" s="69"/>
      <c r="M98" s="84">
        <f t="shared" si="35"/>
        <v>0</v>
      </c>
      <c r="N98" s="84">
        <f t="shared" si="36"/>
        <v>0</v>
      </c>
      <c r="O98" s="84">
        <f t="shared" si="37"/>
        <v>0</v>
      </c>
      <c r="P98" s="85">
        <f t="shared" si="40"/>
        <v>0</v>
      </c>
      <c r="Q98" s="78" t="str">
        <f t="shared" si="27"/>
        <v/>
      </c>
      <c r="R98" s="79" t="str">
        <f>IF(OR($AI98="",ISNUMBER($AI98)=FALSE),"",IF(AND(#REF!="Tolerance",$E98&lt;&gt;""),($O98-$E98)/(($J98-$K98)/2),IF(AND(#REF!="GD&amp;T",$F98&lt;&gt;""),$O98/$F98,"")))</f>
        <v/>
      </c>
      <c r="S98" s="79" t="str">
        <f t="shared" si="39"/>
        <v/>
      </c>
      <c r="T98" s="78" t="str">
        <f t="shared" si="28"/>
        <v/>
      </c>
      <c r="U98" s="78" t="str">
        <f t="shared" si="29"/>
        <v/>
      </c>
      <c r="V98" s="78" t="str">
        <f t="shared" si="30"/>
        <v/>
      </c>
      <c r="W98" s="70" t="str">
        <f t="shared" si="31"/>
        <v/>
      </c>
      <c r="X98" s="71" t="e">
        <f>IF($O98="","",IF(#REF!="Tolerance",IF((#REF!*3*P98+O98)-E98&lt;F98,"",(#REF!*3*P98+O98)-E98),IF(OR(#REF!="GD&amp;T",#REF!="MAX"),IF((#REF!*3*P98+O98)&lt;F98,"",(#REF!*3*P98+O98)),"")))</f>
        <v>#REF!</v>
      </c>
      <c r="Y98" s="71" t="e">
        <f>IF(O98="","",IF(#REF!="Tolerance",IF(-((#REF!*3*P98)-O98)-E98&gt;G98,"",-((#REF!*3*P98)-O98)-E98),IF(#REF!="MIN",IF(-((#REF!*3*P98)-O98)&gt;G98,"",-((#REF!*3*P98)-O98)),"")))</f>
        <v>#REF!</v>
      </c>
      <c r="Z98" s="71">
        <f t="shared" si="41"/>
        <v>0.04</v>
      </c>
      <c r="AA98" s="71" t="str">
        <f t="shared" si="38"/>
        <v/>
      </c>
      <c r="AB98" s="80"/>
      <c r="AC98" s="81" t="str">
        <f t="shared" si="34"/>
        <v/>
      </c>
      <c r="AD98" s="115"/>
      <c r="AE98" s="72"/>
      <c r="AF98" s="72"/>
      <c r="AG98" s="73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105"/>
    </row>
    <row r="99" spans="2:66" ht="19.2" customHeight="1">
      <c r="B99" s="66" t="s">
        <v>243</v>
      </c>
      <c r="C99" s="75" t="s">
        <v>274</v>
      </c>
      <c r="D99" s="83" t="s">
        <v>45</v>
      </c>
      <c r="E99" s="102">
        <v>0.04</v>
      </c>
      <c r="F99" s="103">
        <v>0.04</v>
      </c>
      <c r="G99" s="103">
        <v>-0.04</v>
      </c>
      <c r="H99" s="104" t="s">
        <v>46</v>
      </c>
      <c r="I99" s="67"/>
      <c r="J99" s="68">
        <f t="shared" si="32"/>
        <v>0.08</v>
      </c>
      <c r="K99" s="68">
        <f t="shared" si="33"/>
        <v>0</v>
      </c>
      <c r="L99" s="69"/>
      <c r="M99" s="84">
        <f t="shared" si="35"/>
        <v>0</v>
      </c>
      <c r="N99" s="84">
        <f t="shared" si="36"/>
        <v>0</v>
      </c>
      <c r="O99" s="84">
        <f t="shared" si="37"/>
        <v>0</v>
      </c>
      <c r="P99" s="85">
        <f t="shared" si="40"/>
        <v>0</v>
      </c>
      <c r="Q99" s="78" t="str">
        <f t="shared" si="27"/>
        <v/>
      </c>
      <c r="R99" s="79" t="str">
        <f>IF(OR($AI99="",ISNUMBER($AI99)=FALSE),"",IF(AND(#REF!="Tolerance",$E99&lt;&gt;""),($O99-$E99)/(($J99-$K99)/2),IF(AND(#REF!="GD&amp;T",$F99&lt;&gt;""),$O99/$F99,"")))</f>
        <v/>
      </c>
      <c r="S99" s="79" t="str">
        <f t="shared" si="39"/>
        <v/>
      </c>
      <c r="T99" s="78" t="str">
        <f t="shared" si="28"/>
        <v/>
      </c>
      <c r="U99" s="78" t="str">
        <f t="shared" si="29"/>
        <v/>
      </c>
      <c r="V99" s="78" t="str">
        <f t="shared" si="30"/>
        <v/>
      </c>
      <c r="W99" s="70" t="str">
        <f t="shared" si="31"/>
        <v/>
      </c>
      <c r="X99" s="71" t="e">
        <f>IF($O99="","",IF(#REF!="Tolerance",IF((#REF!*3*P99+O99)-E99&lt;F99,"",(#REF!*3*P99+O99)-E99),IF(OR(#REF!="GD&amp;T",#REF!="MAX"),IF((#REF!*3*P99+O99)&lt;F99,"",(#REF!*3*P99+O99)),"")))</f>
        <v>#REF!</v>
      </c>
      <c r="Y99" s="71" t="e">
        <f>IF(O99="","",IF(#REF!="Tolerance",IF(-((#REF!*3*P99)-O99)-E99&gt;G99,"",-((#REF!*3*P99)-O99)-E99),IF(#REF!="MIN",IF(-((#REF!*3*P99)-O99)&gt;G99,"",-((#REF!*3*P99)-O99)),"")))</f>
        <v>#REF!</v>
      </c>
      <c r="Z99" s="71">
        <f t="shared" si="41"/>
        <v>0.04</v>
      </c>
      <c r="AA99" s="71" t="str">
        <f t="shared" si="38"/>
        <v/>
      </c>
      <c r="AB99" s="80"/>
      <c r="AC99" s="81" t="str">
        <f t="shared" si="34"/>
        <v/>
      </c>
      <c r="AD99" s="115"/>
      <c r="AE99" s="72"/>
      <c r="AF99" s="72"/>
      <c r="AG99" s="73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</row>
    <row r="100" spans="2:66" ht="19.2" customHeight="1">
      <c r="B100" s="66" t="s">
        <v>243</v>
      </c>
      <c r="C100" s="75" t="s">
        <v>275</v>
      </c>
      <c r="D100" s="83" t="s">
        <v>45</v>
      </c>
      <c r="E100" s="102">
        <v>0.04</v>
      </c>
      <c r="F100" s="103">
        <v>0.04</v>
      </c>
      <c r="G100" s="103">
        <v>-0.04</v>
      </c>
      <c r="H100" s="104" t="s">
        <v>46</v>
      </c>
      <c r="I100" s="67"/>
      <c r="J100" s="68">
        <f t="shared" si="32"/>
        <v>0.08</v>
      </c>
      <c r="K100" s="68">
        <f t="shared" si="33"/>
        <v>0</v>
      </c>
      <c r="L100" s="69"/>
      <c r="M100" s="84">
        <f t="shared" si="35"/>
        <v>0</v>
      </c>
      <c r="N100" s="84">
        <f t="shared" si="36"/>
        <v>0</v>
      </c>
      <c r="O100" s="84">
        <f t="shared" si="37"/>
        <v>0</v>
      </c>
      <c r="P100" s="85">
        <f t="shared" si="40"/>
        <v>0</v>
      </c>
      <c r="Q100" s="78" t="str">
        <f t="shared" si="27"/>
        <v/>
      </c>
      <c r="R100" s="79" t="str">
        <f>IF(OR($AI100="",ISNUMBER($AI100)=FALSE),"",IF(AND(#REF!="Tolerance",$E100&lt;&gt;""),($O100-$E100)/(($J100-$K100)/2),IF(AND(#REF!="GD&amp;T",$F100&lt;&gt;""),$O100/$F100,"")))</f>
        <v/>
      </c>
      <c r="S100" s="79" t="str">
        <f t="shared" si="39"/>
        <v/>
      </c>
      <c r="T100" s="78" t="str">
        <f t="shared" si="28"/>
        <v/>
      </c>
      <c r="U100" s="78" t="str">
        <f t="shared" si="29"/>
        <v/>
      </c>
      <c r="V100" s="78" t="str">
        <f t="shared" si="30"/>
        <v/>
      </c>
      <c r="W100" s="70" t="str">
        <f t="shared" si="31"/>
        <v/>
      </c>
      <c r="X100" s="71" t="e">
        <f>IF($O100="","",IF(#REF!="Tolerance",IF((#REF!*3*P100+O100)-E100&lt;F100,"",(#REF!*3*P100+O100)-E100),IF(OR(#REF!="GD&amp;T",#REF!="MAX"),IF((#REF!*3*P100+O100)&lt;F100,"",(#REF!*3*P100+O100)),"")))</f>
        <v>#REF!</v>
      </c>
      <c r="Y100" s="71" t="e">
        <f>IF(O100="","",IF(#REF!="Tolerance",IF(-((#REF!*3*P100)-O100)-E100&gt;G100,"",-((#REF!*3*P100)-O100)-E100),IF(#REF!="MIN",IF(-((#REF!*3*P100)-O100)&gt;G100,"",-((#REF!*3*P100)-O100)),"")))</f>
        <v>#REF!</v>
      </c>
      <c r="Z100" s="71">
        <f t="shared" si="41"/>
        <v>0.04</v>
      </c>
      <c r="AA100" s="71" t="str">
        <f t="shared" si="38"/>
        <v/>
      </c>
      <c r="AB100" s="80"/>
      <c r="AC100" s="81" t="str">
        <f t="shared" si="34"/>
        <v/>
      </c>
      <c r="AD100" s="115"/>
      <c r="AE100" s="72"/>
      <c r="AF100" s="72"/>
      <c r="AG100" s="73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</row>
    <row r="101" spans="2:66" ht="19.2" customHeight="1">
      <c r="B101" s="66" t="s">
        <v>243</v>
      </c>
      <c r="C101" s="75" t="s">
        <v>276</v>
      </c>
      <c r="D101" s="83" t="s">
        <v>45</v>
      </c>
      <c r="E101" s="102">
        <v>0.04</v>
      </c>
      <c r="F101" s="103">
        <v>0.04</v>
      </c>
      <c r="G101" s="103">
        <v>-0.04</v>
      </c>
      <c r="H101" s="104" t="s">
        <v>46</v>
      </c>
      <c r="I101" s="67"/>
      <c r="J101" s="68">
        <f t="shared" si="32"/>
        <v>0.08</v>
      </c>
      <c r="K101" s="68">
        <f t="shared" si="33"/>
        <v>0</v>
      </c>
      <c r="L101" s="69"/>
      <c r="M101" s="84">
        <f t="shared" si="35"/>
        <v>0</v>
      </c>
      <c r="N101" s="84">
        <f t="shared" si="36"/>
        <v>0</v>
      </c>
      <c r="O101" s="84">
        <f t="shared" si="37"/>
        <v>0</v>
      </c>
      <c r="P101" s="85">
        <f t="shared" si="40"/>
        <v>0</v>
      </c>
      <c r="Q101" s="78" t="str">
        <f t="shared" si="27"/>
        <v/>
      </c>
      <c r="R101" s="79" t="str">
        <f>IF(OR($AI101="",ISNUMBER($AI101)=FALSE),"",IF(AND(#REF!="Tolerance",$E101&lt;&gt;""),($O101-$E101)/(($J101-$K101)/2),IF(AND(#REF!="GD&amp;T",$F101&lt;&gt;""),$O101/$F101,"")))</f>
        <v/>
      </c>
      <c r="S101" s="79" t="str">
        <f t="shared" si="39"/>
        <v/>
      </c>
      <c r="T101" s="78" t="str">
        <f t="shared" si="28"/>
        <v/>
      </c>
      <c r="U101" s="78" t="str">
        <f t="shared" si="29"/>
        <v/>
      </c>
      <c r="V101" s="78" t="str">
        <f t="shared" si="30"/>
        <v/>
      </c>
      <c r="W101" s="70" t="str">
        <f t="shared" si="31"/>
        <v/>
      </c>
      <c r="X101" s="71" t="e">
        <f>IF($O101="","",IF(#REF!="Tolerance",IF((#REF!*3*P101+O101)-E101&lt;F101,"",(#REF!*3*P101+O101)-E101),IF(OR(#REF!="GD&amp;T",#REF!="MAX"),IF((#REF!*3*P101+O101)&lt;F101,"",(#REF!*3*P101+O101)),"")))</f>
        <v>#REF!</v>
      </c>
      <c r="Y101" s="71" t="e">
        <f>IF(O101="","",IF(#REF!="Tolerance",IF(-((#REF!*3*P101)-O101)-E101&gt;G101,"",-((#REF!*3*P101)-O101)-E101),IF(#REF!="MIN",IF(-((#REF!*3*P101)-O101)&gt;G101,"",-((#REF!*3*P101)-O101)),"")))</f>
        <v>#REF!</v>
      </c>
      <c r="Z101" s="71">
        <f t="shared" si="41"/>
        <v>0.04</v>
      </c>
      <c r="AA101" s="71" t="str">
        <f t="shared" si="38"/>
        <v/>
      </c>
      <c r="AB101" s="80"/>
      <c r="AC101" s="81" t="str">
        <f t="shared" si="34"/>
        <v/>
      </c>
      <c r="AD101" s="115"/>
      <c r="AE101" s="72"/>
      <c r="AF101" s="72"/>
      <c r="AG101" s="73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</row>
    <row r="102" spans="2:66" ht="19.2" customHeight="1">
      <c r="B102" s="66" t="s">
        <v>243</v>
      </c>
      <c r="C102" s="75" t="s">
        <v>277</v>
      </c>
      <c r="D102" s="83" t="s">
        <v>45</v>
      </c>
      <c r="E102" s="102">
        <v>0.04</v>
      </c>
      <c r="F102" s="103">
        <v>0.04</v>
      </c>
      <c r="G102" s="103">
        <v>-0.04</v>
      </c>
      <c r="H102" s="104" t="s">
        <v>46</v>
      </c>
      <c r="I102" s="67"/>
      <c r="J102" s="68">
        <f t="shared" si="32"/>
        <v>0.08</v>
      </c>
      <c r="K102" s="68">
        <f t="shared" si="33"/>
        <v>0</v>
      </c>
      <c r="L102" s="69"/>
      <c r="M102" s="84">
        <f t="shared" si="35"/>
        <v>0</v>
      </c>
      <c r="N102" s="84">
        <f t="shared" si="36"/>
        <v>0</v>
      </c>
      <c r="O102" s="84">
        <f t="shared" si="37"/>
        <v>0</v>
      </c>
      <c r="P102" s="85">
        <f t="shared" si="40"/>
        <v>0</v>
      </c>
      <c r="Q102" s="78" t="str">
        <f t="shared" ref="Q102:Q108" si="42">IF(OR($AI102="",ISNUMBER($AI102)=FALSE),"",IF(AND(E102=0,G102=0),T102,IF(AND(E102="",F102=""),U102,(F102+ABS(G102))/(6*P102))))</f>
        <v/>
      </c>
      <c r="R102" s="79" t="str">
        <f>IF(OR($AI102="",ISNUMBER($AI102)=FALSE),"",IF(AND(#REF!="Tolerance",$E102&lt;&gt;""),($O102-$E102)/(($J102-$K102)/2),IF(AND(#REF!="GD&amp;T",$F102&lt;&gt;""),$O102/$F102,"")))</f>
        <v/>
      </c>
      <c r="S102" s="79" t="str">
        <f t="shared" si="39"/>
        <v/>
      </c>
      <c r="T102" s="78" t="str">
        <f t="shared" ref="T102:T108" si="43">IF(OR($AI102="",ISNUMBER($AI102)=FALSE),"",IF(F102="","",(J102-O102)/(3*P102)))</f>
        <v/>
      </c>
      <c r="U102" s="78" t="str">
        <f t="shared" ref="U102:U108" si="44">IF(OR($AI102="",ISNUMBER($AI102)=FALSE),"",IF(G102="","",(O102-K102)/(3*P102)))</f>
        <v/>
      </c>
      <c r="V102" s="78" t="str">
        <f t="shared" ref="V102:V108" si="45">IF(OR($AI102="",ISNUMBER($AI102)=FALSE),"",IF(AND(E102=0,G102=0),((F102)-(O102))/(3*P102),MIN(T102:U102)))</f>
        <v/>
      </c>
      <c r="W102" s="70" t="str">
        <f t="shared" ref="W102:W108" si="46">IF(OR($AI102="",ISNUMBER($AI102)=FALSE),"",IF(AND(E102=0,G102=0),NORMSDIST(3*V102),NORMSDIST(3*V102)+NORMSDIST(6*Q102-3*V102)-1))</f>
        <v/>
      </c>
      <c r="X102" s="71" t="e">
        <f>IF($O102="","",IF(#REF!="Tolerance",IF((#REF!*3*P102+O102)-E102&lt;F102,"",(#REF!*3*P102+O102)-E102),IF(OR(#REF!="GD&amp;T",#REF!="MAX"),IF((#REF!*3*P102+O102)&lt;F102,"",(#REF!*3*P102+O102)),"")))</f>
        <v>#REF!</v>
      </c>
      <c r="Y102" s="71" t="e">
        <f>IF(O102="","",IF(#REF!="Tolerance",IF(-((#REF!*3*P102)-O102)-E102&gt;G102,"",-((#REF!*3*P102)-O102)-E102),IF(#REF!="MIN",IF(-((#REF!*3*P102)-O102)&gt;G102,"",-((#REF!*3*P102)-O102)),"")))</f>
        <v>#REF!</v>
      </c>
      <c r="Z102" s="71">
        <f t="shared" si="41"/>
        <v>0.04</v>
      </c>
      <c r="AA102" s="71" t="str">
        <f t="shared" si="38"/>
        <v/>
      </c>
      <c r="AB102" s="80"/>
      <c r="AC102" s="81" t="str">
        <f t="shared" si="34"/>
        <v/>
      </c>
      <c r="AD102" s="115"/>
      <c r="AE102" s="72"/>
      <c r="AF102" s="72"/>
      <c r="AG102" s="73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</row>
    <row r="103" spans="2:66" ht="19.2" customHeight="1">
      <c r="B103" s="66" t="s">
        <v>243</v>
      </c>
      <c r="C103" s="75" t="s">
        <v>278</v>
      </c>
      <c r="D103" s="83" t="s">
        <v>45</v>
      </c>
      <c r="E103" s="102">
        <v>0.04</v>
      </c>
      <c r="F103" s="103">
        <v>0.04</v>
      </c>
      <c r="G103" s="103">
        <v>-0.04</v>
      </c>
      <c r="H103" s="104" t="s">
        <v>46</v>
      </c>
      <c r="I103" s="67"/>
      <c r="J103" s="68">
        <f t="shared" si="32"/>
        <v>0.08</v>
      </c>
      <c r="K103" s="68">
        <f t="shared" si="33"/>
        <v>0</v>
      </c>
      <c r="L103" s="69"/>
      <c r="M103" s="84">
        <f t="shared" si="35"/>
        <v>0</v>
      </c>
      <c r="N103" s="84">
        <f t="shared" si="36"/>
        <v>0</v>
      </c>
      <c r="O103" s="84">
        <f t="shared" si="37"/>
        <v>0</v>
      </c>
      <c r="P103" s="85">
        <f t="shared" si="40"/>
        <v>0</v>
      </c>
      <c r="Q103" s="78" t="str">
        <f t="shared" si="42"/>
        <v/>
      </c>
      <c r="R103" s="79" t="str">
        <f>IF(OR($AI103="",ISNUMBER($AI103)=FALSE),"",IF(AND(#REF!="Tolerance",$E103&lt;&gt;""),($O103-$E103)/(($J103-$K103)/2),IF(AND(#REF!="GD&amp;T",$F103&lt;&gt;""),$O103/$F103,"")))</f>
        <v/>
      </c>
      <c r="S103" s="79" t="str">
        <f t="shared" si="39"/>
        <v/>
      </c>
      <c r="T103" s="78" t="str">
        <f t="shared" si="43"/>
        <v/>
      </c>
      <c r="U103" s="78" t="str">
        <f t="shared" si="44"/>
        <v/>
      </c>
      <c r="V103" s="78" t="str">
        <f t="shared" si="45"/>
        <v/>
      </c>
      <c r="W103" s="70" t="str">
        <f t="shared" si="46"/>
        <v/>
      </c>
      <c r="X103" s="71" t="e">
        <f>IF($O103="","",IF(#REF!="Tolerance",IF((#REF!*3*P103+O103)-E103&lt;F103,"",(#REF!*3*P103+O103)-E103),IF(OR(#REF!="GD&amp;T",#REF!="MAX"),IF((#REF!*3*P103+O103)&lt;F103,"",(#REF!*3*P103+O103)),"")))</f>
        <v>#REF!</v>
      </c>
      <c r="Y103" s="71" t="e">
        <f>IF(O103="","",IF(#REF!="Tolerance",IF(-((#REF!*3*P103)-O103)-E103&gt;G103,"",-((#REF!*3*P103)-O103)-E103),IF(#REF!="MIN",IF(-((#REF!*3*P103)-O103)&gt;G103,"",-((#REF!*3*P103)-O103)),"")))</f>
        <v>#REF!</v>
      </c>
      <c r="Z103" s="71">
        <f t="shared" si="41"/>
        <v>0.04</v>
      </c>
      <c r="AA103" s="71" t="str">
        <f t="shared" si="38"/>
        <v/>
      </c>
      <c r="AB103" s="80"/>
      <c r="AC103" s="81" t="str">
        <f t="shared" si="34"/>
        <v/>
      </c>
      <c r="AD103" s="115"/>
      <c r="AE103" s="72"/>
      <c r="AF103" s="72"/>
      <c r="AG103" s="73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</row>
    <row r="104" spans="2:66" ht="19.2" customHeight="1">
      <c r="B104" s="66" t="s">
        <v>243</v>
      </c>
      <c r="C104" s="75" t="s">
        <v>279</v>
      </c>
      <c r="D104" s="83" t="s">
        <v>45</v>
      </c>
      <c r="E104" s="102">
        <v>0.04</v>
      </c>
      <c r="F104" s="103">
        <v>0.04</v>
      </c>
      <c r="G104" s="103">
        <v>-0.04</v>
      </c>
      <c r="H104" s="104" t="s">
        <v>46</v>
      </c>
      <c r="I104" s="67"/>
      <c r="J104" s="68">
        <f t="shared" si="32"/>
        <v>0.08</v>
      </c>
      <c r="K104" s="68">
        <f t="shared" si="33"/>
        <v>0</v>
      </c>
      <c r="L104" s="69"/>
      <c r="M104" s="84">
        <f t="shared" si="35"/>
        <v>0</v>
      </c>
      <c r="N104" s="84">
        <f t="shared" si="36"/>
        <v>0</v>
      </c>
      <c r="O104" s="84">
        <f t="shared" si="37"/>
        <v>0</v>
      </c>
      <c r="P104" s="85">
        <f t="shared" si="40"/>
        <v>0</v>
      </c>
      <c r="Q104" s="78" t="str">
        <f t="shared" si="42"/>
        <v/>
      </c>
      <c r="R104" s="79" t="str">
        <f>IF(OR($AI104="",ISNUMBER($AI104)=FALSE),"",IF(AND(#REF!="Tolerance",$E104&lt;&gt;""),($O104-$E104)/(($J104-$K104)/2),IF(AND(#REF!="GD&amp;T",$F104&lt;&gt;""),$O104/$F104,"")))</f>
        <v/>
      </c>
      <c r="S104" s="79" t="str">
        <f t="shared" si="39"/>
        <v/>
      </c>
      <c r="T104" s="78" t="str">
        <f t="shared" si="43"/>
        <v/>
      </c>
      <c r="U104" s="78" t="str">
        <f t="shared" si="44"/>
        <v/>
      </c>
      <c r="V104" s="78" t="str">
        <f t="shared" si="45"/>
        <v/>
      </c>
      <c r="W104" s="70" t="str">
        <f t="shared" si="46"/>
        <v/>
      </c>
      <c r="X104" s="71" t="e">
        <f>IF($O104="","",IF(#REF!="Tolerance",IF((#REF!*3*P104+O104)-E104&lt;F104,"",(#REF!*3*P104+O104)-E104),IF(OR(#REF!="GD&amp;T",#REF!="MAX"),IF((#REF!*3*P104+O104)&lt;F104,"",(#REF!*3*P104+O104)),"")))</f>
        <v>#REF!</v>
      </c>
      <c r="Y104" s="71" t="e">
        <f>IF(O104="","",IF(#REF!="Tolerance",IF(-((#REF!*3*P104)-O104)-E104&gt;G104,"",-((#REF!*3*P104)-O104)-E104),IF(#REF!="MIN",IF(-((#REF!*3*P104)-O104)&gt;G104,"",-((#REF!*3*P104)-O104)),"")))</f>
        <v>#REF!</v>
      </c>
      <c r="Z104" s="71">
        <f t="shared" si="41"/>
        <v>0.04</v>
      </c>
      <c r="AA104" s="71" t="str">
        <f t="shared" si="38"/>
        <v/>
      </c>
      <c r="AB104" s="80"/>
      <c r="AC104" s="81" t="str">
        <f t="shared" si="34"/>
        <v/>
      </c>
      <c r="AD104" s="115"/>
      <c r="AE104" s="72"/>
      <c r="AF104" s="72"/>
      <c r="AG104" s="73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</row>
    <row r="105" spans="2:66" ht="19.2" customHeight="1">
      <c r="B105" s="86" t="s">
        <v>243</v>
      </c>
      <c r="C105" s="75" t="s">
        <v>280</v>
      </c>
      <c r="D105" s="83" t="s">
        <v>45</v>
      </c>
      <c r="E105" s="102">
        <v>0.04</v>
      </c>
      <c r="F105" s="103">
        <v>0.04</v>
      </c>
      <c r="G105" s="103">
        <v>-0.04</v>
      </c>
      <c r="H105" s="104" t="s">
        <v>46</v>
      </c>
      <c r="I105" s="67"/>
      <c r="J105" s="68">
        <f t="shared" si="32"/>
        <v>0.08</v>
      </c>
      <c r="K105" s="68">
        <f t="shared" si="33"/>
        <v>0</v>
      </c>
      <c r="L105" s="69"/>
      <c r="M105" s="84">
        <f t="shared" si="35"/>
        <v>0</v>
      </c>
      <c r="N105" s="84">
        <f t="shared" si="36"/>
        <v>0</v>
      </c>
      <c r="O105" s="84">
        <f t="shared" si="37"/>
        <v>0</v>
      </c>
      <c r="P105" s="85">
        <f t="shared" si="40"/>
        <v>0</v>
      </c>
      <c r="Q105" s="78" t="str">
        <f t="shared" si="42"/>
        <v/>
      </c>
      <c r="R105" s="79" t="str">
        <f>IF(OR($AI105="",ISNUMBER($AI105)=FALSE),"",IF(AND(#REF!="Tolerance",$E105&lt;&gt;""),($O105-$E105)/(($J105-$K105)/2),IF(AND(#REF!="GD&amp;T",$F105&lt;&gt;""),$O105/$F105,"")))</f>
        <v/>
      </c>
      <c r="S105" s="79" t="str">
        <f t="shared" si="39"/>
        <v/>
      </c>
      <c r="T105" s="78" t="str">
        <f t="shared" si="43"/>
        <v/>
      </c>
      <c r="U105" s="78" t="str">
        <f t="shared" si="44"/>
        <v/>
      </c>
      <c r="V105" s="78" t="str">
        <f t="shared" si="45"/>
        <v/>
      </c>
      <c r="W105" s="70" t="str">
        <f t="shared" si="46"/>
        <v/>
      </c>
      <c r="X105" s="71" t="e">
        <f>IF($O105="","",IF(#REF!="Tolerance",IF((#REF!*3*P105+O105)-E105&lt;F105,"",(#REF!*3*P105+O105)-E105),IF(OR(#REF!="GD&amp;T",#REF!="MAX"),IF((#REF!*3*P105+O105)&lt;F105,"",(#REF!*3*P105+O105)),"")))</f>
        <v>#REF!</v>
      </c>
      <c r="Y105" s="71" t="e">
        <f>IF(O105="","",IF(#REF!="Tolerance",IF(-((#REF!*3*P105)-O105)-E105&gt;G105,"",-((#REF!*3*P105)-O105)-E105),IF(#REF!="MIN",IF(-((#REF!*3*P105)-O105)&gt;G105,"",-((#REF!*3*P105)-O105)),"")))</f>
        <v>#REF!</v>
      </c>
      <c r="Z105" s="71">
        <f t="shared" si="41"/>
        <v>0.04</v>
      </c>
      <c r="AA105" s="71" t="str">
        <f t="shared" si="38"/>
        <v/>
      </c>
      <c r="AB105" s="80"/>
      <c r="AC105" s="81" t="str">
        <f t="shared" si="34"/>
        <v/>
      </c>
      <c r="AD105" s="115"/>
      <c r="AE105" s="72"/>
      <c r="AF105" s="72"/>
      <c r="AG105" s="73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</row>
    <row r="106" spans="2:66" ht="19.2" customHeight="1">
      <c r="B106" s="86" t="s">
        <v>244</v>
      </c>
      <c r="C106" s="75">
        <v>97</v>
      </c>
      <c r="D106" s="83" t="s">
        <v>45</v>
      </c>
      <c r="E106" s="102">
        <v>1.966</v>
      </c>
      <c r="F106" s="103">
        <v>2.5000000000000001E-2</v>
      </c>
      <c r="G106" s="103">
        <v>-2.5000000000000001E-2</v>
      </c>
      <c r="H106" s="104" t="s">
        <v>46</v>
      </c>
      <c r="I106" s="67"/>
      <c r="J106" s="68">
        <f t="shared" si="32"/>
        <v>1.9909999999999999</v>
      </c>
      <c r="K106" s="68">
        <f t="shared" si="33"/>
        <v>1.9410000000000001</v>
      </c>
      <c r="L106" s="69"/>
      <c r="M106" s="84">
        <f t="shared" si="35"/>
        <v>0</v>
      </c>
      <c r="N106" s="84">
        <f t="shared" si="36"/>
        <v>0</v>
      </c>
      <c r="O106" s="84">
        <f t="shared" si="37"/>
        <v>0</v>
      </c>
      <c r="P106" s="85">
        <f t="shared" si="40"/>
        <v>0</v>
      </c>
      <c r="Q106" s="78" t="str">
        <f t="shared" si="42"/>
        <v/>
      </c>
      <c r="R106" s="79" t="str">
        <f>IF(OR($AI106="",ISNUMBER($AI106)=FALSE),"",IF(AND(#REF!="Tolerance",$E106&lt;&gt;""),($O106-$E106)/(($J106-$K106)/2),IF(AND(#REF!="GD&amp;T",$F106&lt;&gt;""),$O106/$F106,"")))</f>
        <v/>
      </c>
      <c r="S106" s="79" t="str">
        <f t="shared" si="39"/>
        <v/>
      </c>
      <c r="T106" s="78" t="str">
        <f t="shared" si="43"/>
        <v/>
      </c>
      <c r="U106" s="78" t="str">
        <f t="shared" si="44"/>
        <v/>
      </c>
      <c r="V106" s="78" t="str">
        <f t="shared" si="45"/>
        <v/>
      </c>
      <c r="W106" s="70" t="str">
        <f t="shared" si="46"/>
        <v/>
      </c>
      <c r="X106" s="71" t="e">
        <f>IF($O106="","",IF(#REF!="Tolerance",IF((#REF!*3*P106+O106)-E106&lt;F106,"",(#REF!*3*P106+O106)-E106),IF(OR(#REF!="GD&amp;T",#REF!="MAX"),IF((#REF!*3*P106+O106)&lt;F106,"",(#REF!*3*P106+O106)),"")))</f>
        <v>#REF!</v>
      </c>
      <c r="Y106" s="71" t="e">
        <f>IF(O106="","",IF(#REF!="Tolerance",IF(-((#REF!*3*P106)-O106)-E106&gt;G106,"",-((#REF!*3*P106)-O106)-E106),IF(#REF!="MIN",IF(-((#REF!*3*P106)-O106)&gt;G106,"",-((#REF!*3*P106)-O106)),"")))</f>
        <v>#REF!</v>
      </c>
      <c r="Z106" s="71">
        <f t="shared" si="41"/>
        <v>1.966</v>
      </c>
      <c r="AA106" s="71" t="str">
        <f t="shared" si="38"/>
        <v/>
      </c>
      <c r="AB106" s="80"/>
      <c r="AC106" s="81" t="str">
        <f t="shared" si="34"/>
        <v/>
      </c>
      <c r="AD106" s="115"/>
      <c r="AE106" s="72"/>
      <c r="AF106" s="72"/>
      <c r="AG106" s="73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5"/>
      <c r="AV106" s="105"/>
      <c r="AW106" s="105"/>
      <c r="AX106" s="105"/>
      <c r="AY106" s="105"/>
      <c r="AZ106" s="105"/>
      <c r="BA106" s="105"/>
      <c r="BB106" s="105"/>
      <c r="BC106" s="105"/>
      <c r="BD106" s="105"/>
      <c r="BE106" s="105"/>
      <c r="BF106" s="105"/>
      <c r="BG106" s="105"/>
      <c r="BH106" s="105"/>
      <c r="BI106" s="105"/>
      <c r="BJ106" s="105"/>
      <c r="BK106" s="105"/>
      <c r="BL106" s="105"/>
      <c r="BM106" s="105"/>
      <c r="BN106" s="105"/>
    </row>
    <row r="107" spans="2:66" ht="19.2" customHeight="1">
      <c r="B107" s="86" t="s">
        <v>245</v>
      </c>
      <c r="C107" s="75" t="s">
        <v>213</v>
      </c>
      <c r="D107" s="83" t="s">
        <v>45</v>
      </c>
      <c r="E107" s="102">
        <v>-0.45</v>
      </c>
      <c r="F107" s="103">
        <v>1.4999999999999999E-2</v>
      </c>
      <c r="G107" s="103">
        <v>-1.4999999999999999E-2</v>
      </c>
      <c r="H107" s="104" t="s">
        <v>231</v>
      </c>
      <c r="I107" s="67"/>
      <c r="J107" s="68">
        <f t="shared" si="32"/>
        <v>-0.435</v>
      </c>
      <c r="K107" s="68">
        <f t="shared" si="33"/>
        <v>-0.46500000000000002</v>
      </c>
      <c r="L107" s="69"/>
      <c r="M107" s="84">
        <f t="shared" si="35"/>
        <v>0</v>
      </c>
      <c r="N107" s="84">
        <f t="shared" si="36"/>
        <v>0</v>
      </c>
      <c r="O107" s="84">
        <f t="shared" si="37"/>
        <v>0</v>
      </c>
      <c r="P107" s="85">
        <f t="shared" si="40"/>
        <v>0</v>
      </c>
      <c r="Q107" s="78" t="str">
        <f t="shared" si="42"/>
        <v/>
      </c>
      <c r="R107" s="79" t="str">
        <f>IF(OR($AI107="",ISNUMBER($AI107)=FALSE),"",IF(AND(#REF!="Tolerance",$E107&lt;&gt;""),($O107-$E107)/(($J107-$K107)/2),IF(AND(#REF!="GD&amp;T",$F107&lt;&gt;""),$O107/$F107,"")))</f>
        <v/>
      </c>
      <c r="S107" s="79" t="str">
        <f t="shared" si="39"/>
        <v/>
      </c>
      <c r="T107" s="78" t="str">
        <f t="shared" si="43"/>
        <v/>
      </c>
      <c r="U107" s="78" t="str">
        <f t="shared" si="44"/>
        <v/>
      </c>
      <c r="V107" s="78" t="str">
        <f t="shared" si="45"/>
        <v/>
      </c>
      <c r="W107" s="70" t="str">
        <f t="shared" si="46"/>
        <v/>
      </c>
      <c r="X107" s="71" t="e">
        <f>IF($O107="","",IF(#REF!="Tolerance",IF((#REF!*3*P107+O107)-E107&lt;F107,"",(#REF!*3*P107+O107)-E107),IF(OR(#REF!="GD&amp;T",#REF!="MAX"),IF((#REF!*3*P107+O107)&lt;F107,"",(#REF!*3*P107+O107)),"")))</f>
        <v>#REF!</v>
      </c>
      <c r="Y107" s="71" t="e">
        <f>IF(O107="","",IF(#REF!="Tolerance",IF(-((#REF!*3*P107)-O107)-E107&gt;G107,"",-((#REF!*3*P107)-O107)-E107),IF(#REF!="MIN",IF(-((#REF!*3*P107)-O107)&gt;G107,"",-((#REF!*3*P107)-O107)),"")))</f>
        <v>#REF!</v>
      </c>
      <c r="Z107" s="71">
        <f t="shared" si="41"/>
        <v>-0.45</v>
      </c>
      <c r="AA107" s="71" t="str">
        <f t="shared" si="38"/>
        <v/>
      </c>
      <c r="AB107" s="80"/>
      <c r="AC107" s="81" t="str">
        <f t="shared" si="34"/>
        <v/>
      </c>
      <c r="AD107" s="115"/>
      <c r="AE107" s="72"/>
      <c r="AF107" s="72"/>
      <c r="AG107" s="73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</row>
    <row r="108" spans="2:66" ht="19.2" customHeight="1">
      <c r="B108" s="86" t="s">
        <v>245</v>
      </c>
      <c r="C108" s="75" t="s">
        <v>214</v>
      </c>
      <c r="D108" s="83" t="s">
        <v>45</v>
      </c>
      <c r="E108" s="102">
        <v>-0.45</v>
      </c>
      <c r="F108" s="103">
        <v>1.4999999999999999E-2</v>
      </c>
      <c r="G108" s="103">
        <v>-1.4999999999999999E-2</v>
      </c>
      <c r="H108" s="104" t="s">
        <v>231</v>
      </c>
      <c r="I108" s="67"/>
      <c r="J108" s="68">
        <f t="shared" si="32"/>
        <v>-0.435</v>
      </c>
      <c r="K108" s="68">
        <f t="shared" si="33"/>
        <v>-0.46500000000000002</v>
      </c>
      <c r="L108" s="69"/>
      <c r="M108" s="84">
        <f>IF(OR($AI108=ISBLANK(TRUE),ISNUMBER($AI108)=FALSE),,MAX(AI108:BN108))</f>
        <v>0</v>
      </c>
      <c r="N108" s="84">
        <f>IF(OR($AI108=ISBLANK(TRUE),ISNUMBER($AI108)=FALSE),,MIN(AI108:BN108))</f>
        <v>0</v>
      </c>
      <c r="O108" s="84">
        <f>IF(OR($AI108=ISBLANK(TRUE),ISNUMBER($AI108)=FALSE),,AVERAGE(AI108:BN108))</f>
        <v>0</v>
      </c>
      <c r="P108" s="85">
        <f>IF(OR($AI108=ISBLANK(TRUE),ISNUMBER($AI108)=FALSE),,STDEV(AI108:BN108))</f>
        <v>0</v>
      </c>
      <c r="Q108" s="78" t="str">
        <f t="shared" si="42"/>
        <v/>
      </c>
      <c r="R108" s="79" t="str">
        <f>IF(OR($AI108="",ISNUMBER($AI108)=FALSE),"",IF(AND(#REF!="Tolerance",$E108&lt;&gt;""),($O108-$E108)/(($J108-$K108)/2),IF(AND(#REF!="GD&amp;T",$F108&lt;&gt;""),$O108/$F108,"")))</f>
        <v/>
      </c>
      <c r="S108" s="79" t="str">
        <f>IF($R108="","",IF(ABS($R108)&lt;=0.125, "Level A",IF(AND(ABS($R108)&gt;0.125,ABS($R108)&lt;=0.25), "Level B",IF(AND(ABS($R108)&gt;0.25,ABS($R108)&lt;=0.5), "Level C", IF(ABS($R108)&gt;0.5, "Level D")))))</f>
        <v/>
      </c>
      <c r="T108" s="78" t="str">
        <f t="shared" si="43"/>
        <v/>
      </c>
      <c r="U108" s="78" t="str">
        <f t="shared" si="44"/>
        <v/>
      </c>
      <c r="V108" s="78" t="str">
        <f t="shared" si="45"/>
        <v/>
      </c>
      <c r="W108" s="70" t="str">
        <f t="shared" si="46"/>
        <v/>
      </c>
      <c r="X108" s="71" t="e">
        <f>IF($O108="","",IF(#REF!="Tolerance",IF((#REF!*3*P108+O108)-E108&lt;F108,"",(#REF!*3*P108+O108)-E108),IF(OR(#REF!="GD&amp;T",#REF!="MAX"),IF((#REF!*3*P108+O108)&lt;F108,"",(#REF!*3*P108+O108)),"")))</f>
        <v>#REF!</v>
      </c>
      <c r="Y108" s="71" t="e">
        <f>IF(O108="","",IF(#REF!="Tolerance",IF(-((#REF!*3*P108)-O108)-E108&gt;G108,"",-((#REF!*3*P108)-O108)-E108),IF(#REF!="MIN",IF(-((#REF!*3*P108)-O108)&gt;G108,"",-((#REF!*3*P108)-O108)),"")))</f>
        <v>#REF!</v>
      </c>
      <c r="Z108" s="71">
        <f t="shared" si="41"/>
        <v>-0.45</v>
      </c>
      <c r="AA108" s="71" t="str">
        <f>IF(OR($Q108&gt;$AA$4,$P108=""),"",$AA$4*6*$P108)</f>
        <v/>
      </c>
      <c r="AB108" s="80"/>
      <c r="AC108" s="81" t="str">
        <f t="shared" si="34"/>
        <v/>
      </c>
      <c r="AD108" s="115"/>
      <c r="AE108" s="72"/>
      <c r="AF108" s="72"/>
      <c r="AG108" s="73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</row>
    <row r="109" spans="2:66" ht="19.2" customHeight="1">
      <c r="B109" s="66" t="s">
        <v>23</v>
      </c>
      <c r="C109" s="101" t="s">
        <v>361</v>
      </c>
      <c r="D109" s="83" t="s">
        <v>45</v>
      </c>
      <c r="E109" s="102">
        <v>0</v>
      </c>
      <c r="F109" s="103">
        <v>8.0000000000000002E-3</v>
      </c>
      <c r="G109" s="103">
        <v>-8.0000000000000002E-3</v>
      </c>
      <c r="H109" s="104" t="s">
        <v>231</v>
      </c>
      <c r="I109" s="67"/>
      <c r="J109" s="68">
        <f t="shared" si="32"/>
        <v>8.0000000000000002E-3</v>
      </c>
      <c r="K109" s="68">
        <f t="shared" si="33"/>
        <v>-8.0000000000000002E-3</v>
      </c>
      <c r="L109" s="69"/>
      <c r="M109" s="84">
        <f>IF(OR($AI109=ISBLANK(TRUE),ISNUMBER($AI109)=FALSE),,MAX(AI109:BN109))</f>
        <v>0</v>
      </c>
      <c r="N109" s="84">
        <f>IF(OR($AI109=ISBLANK(TRUE),ISNUMBER($AI109)=FALSE),,MIN(AI109:BN109))</f>
        <v>0</v>
      </c>
      <c r="O109" s="84">
        <f>IF(OR($AI109=ISBLANK(TRUE),ISNUMBER($AI109)=FALSE),,AVERAGE(AI109:BN109))</f>
        <v>0</v>
      </c>
      <c r="P109" s="85">
        <f>IF(OR($AI109=ISBLANK(TRUE),ISNUMBER($AI109)=FALSE),,STDEV(AI109:BN109))</f>
        <v>0</v>
      </c>
      <c r="Q109" s="108"/>
      <c r="R109" s="109"/>
      <c r="S109" s="109"/>
      <c r="T109" s="108"/>
      <c r="U109" s="108"/>
      <c r="V109" s="108"/>
      <c r="W109" s="70"/>
      <c r="X109" s="71"/>
      <c r="Y109" s="71"/>
      <c r="Z109" s="71"/>
      <c r="AA109" s="71"/>
      <c r="AB109" s="110"/>
      <c r="AC109" s="81" t="str">
        <f t="shared" si="34"/>
        <v/>
      </c>
      <c r="AD109" s="115"/>
      <c r="AE109" s="72"/>
      <c r="AF109" s="72"/>
      <c r="AG109" s="73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</row>
    <row r="110" spans="2:66" ht="19.2" customHeight="1">
      <c r="B110" s="66" t="s">
        <v>23</v>
      </c>
      <c r="C110" s="101" t="s">
        <v>367</v>
      </c>
      <c r="D110" s="83" t="s">
        <v>45</v>
      </c>
      <c r="E110" s="102">
        <v>0</v>
      </c>
      <c r="F110" s="103">
        <v>8.0000000000000002E-3</v>
      </c>
      <c r="G110" s="103">
        <v>-8.0000000000000002E-3</v>
      </c>
      <c r="H110" s="104" t="s">
        <v>231</v>
      </c>
      <c r="I110" s="67"/>
      <c r="J110" s="68">
        <f t="shared" si="32"/>
        <v>8.0000000000000002E-3</v>
      </c>
      <c r="K110" s="68">
        <f t="shared" si="33"/>
        <v>-8.0000000000000002E-3</v>
      </c>
      <c r="L110" s="69"/>
      <c r="M110" s="84">
        <f t="shared" ref="M110:M112" si="47">IF(OR($AI110=ISBLANK(TRUE),ISNUMBER($AI110)=FALSE),,MAX(AI110:BN110))</f>
        <v>0</v>
      </c>
      <c r="N110" s="84">
        <f t="shared" ref="N110:N112" si="48">IF(OR($AI110=ISBLANK(TRUE),ISNUMBER($AI110)=FALSE),,MIN(AI110:BN110))</f>
        <v>0</v>
      </c>
      <c r="O110" s="84">
        <f t="shared" ref="O110:O112" si="49">IF(OR($AI110=ISBLANK(TRUE),ISNUMBER($AI110)=FALSE),,AVERAGE(AI110:BN110))</f>
        <v>0</v>
      </c>
      <c r="P110" s="85">
        <f t="shared" ref="P110:P112" si="50">IF(OR($AI110=ISBLANK(TRUE),ISNUMBER($AI110)=FALSE),,STDEV(AI110:BN110))</f>
        <v>0</v>
      </c>
      <c r="Q110" s="108"/>
      <c r="R110" s="109"/>
      <c r="S110" s="109"/>
      <c r="T110" s="108"/>
      <c r="U110" s="108"/>
      <c r="V110" s="108"/>
      <c r="W110" s="70"/>
      <c r="X110" s="71"/>
      <c r="Y110" s="71"/>
      <c r="Z110" s="71"/>
      <c r="AA110" s="71"/>
      <c r="AB110" s="110"/>
      <c r="AC110" s="81" t="str">
        <f t="shared" si="34"/>
        <v/>
      </c>
      <c r="AD110" s="115"/>
      <c r="AE110" s="72"/>
      <c r="AF110" s="72"/>
      <c r="AG110" s="73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</row>
    <row r="111" spans="2:66" ht="19.2" customHeight="1">
      <c r="B111" s="66" t="s">
        <v>246</v>
      </c>
      <c r="C111" s="75" t="s">
        <v>215</v>
      </c>
      <c r="D111" s="83" t="s">
        <v>45</v>
      </c>
      <c r="E111" s="102">
        <v>-0.45</v>
      </c>
      <c r="F111" s="103">
        <v>1.4999999999999999E-2</v>
      </c>
      <c r="G111" s="103">
        <v>-1.4999999999999999E-2</v>
      </c>
      <c r="H111" s="104" t="s">
        <v>231</v>
      </c>
      <c r="I111" s="67"/>
      <c r="J111" s="68">
        <f t="shared" si="32"/>
        <v>-0.435</v>
      </c>
      <c r="K111" s="68">
        <f t="shared" si="33"/>
        <v>-0.46500000000000002</v>
      </c>
      <c r="L111" s="69"/>
      <c r="M111" s="84">
        <f t="shared" si="47"/>
        <v>0</v>
      </c>
      <c r="N111" s="84">
        <f t="shared" si="48"/>
        <v>0</v>
      </c>
      <c r="O111" s="84">
        <f t="shared" si="49"/>
        <v>0</v>
      </c>
      <c r="P111" s="85">
        <f t="shared" si="50"/>
        <v>0</v>
      </c>
      <c r="Q111" s="78" t="str">
        <f>IF(OR($AI111="",ISNUMBER($AI111)=FALSE),"",IF(AND(E111=0,G111=0),T111,IF(AND(E111="",F111=""),U111,(F111+ABS(G111))/(6*P111))))</f>
        <v/>
      </c>
      <c r="R111" s="79" t="str">
        <f>IF(OR($AI111="",ISNUMBER($AI111)=FALSE),"",IF(AND(#REF!="Tolerance",$E111&lt;&gt;""),($O111-$E111)/(($J111-$K111)/2),IF(AND(#REF!="GD&amp;T",$F111&lt;&gt;""),$O111/$F111,"")))</f>
        <v/>
      </c>
      <c r="S111" s="79" t="str">
        <f t="shared" si="39"/>
        <v/>
      </c>
      <c r="T111" s="78" t="str">
        <f>IF(OR($AI111="",ISNUMBER($AI111)=FALSE),"",IF(F111="","",(J111-O111)/(3*P111)))</f>
        <v/>
      </c>
      <c r="U111" s="78" t="str">
        <f>IF(OR($AI111="",ISNUMBER($AI111)=FALSE),"",IF(G111="","",(O111-K111)/(3*P111)))</f>
        <v/>
      </c>
      <c r="V111" s="78" t="str">
        <f>IF(OR($AI111="",ISNUMBER($AI111)=FALSE),"",IF(AND(E111=0,G111=0),((F111)-(O111))/(3*P111),MIN(T111:U111)))</f>
        <v/>
      </c>
      <c r="W111" s="70" t="str">
        <f>IF(OR($AI111="",ISNUMBER($AI111)=FALSE),"",IF(AND(E111=0,G111=0),NORMSDIST(3*V111),NORMSDIST(3*V111)+NORMSDIST(6*Q111-3*V111)-1))</f>
        <v/>
      </c>
      <c r="X111" s="71" t="e">
        <f>IF($O111="","",IF(#REF!="Tolerance",IF((#REF!*3*P111+O111)-E111&lt;F111,"",(#REF!*3*P111+O111)-E111),IF(OR(#REF!="GD&amp;T",#REF!="MAX"),IF((#REF!*3*P111+O111)&lt;F111,"",(#REF!*3*P111+O111)),"")))</f>
        <v>#REF!</v>
      </c>
      <c r="Y111" s="71" t="e">
        <f>IF(O111="","",IF(#REF!="Tolerance",IF(-((#REF!*3*P111)-O111)-E111&gt;G111,"",-((#REF!*3*P111)-O111)-E111),IF(#REF!="MIN",IF(-((#REF!*3*P111)-O111)&gt;G111,"",-((#REF!*3*P111)-O111)),"")))</f>
        <v>#REF!</v>
      </c>
      <c r="Z111" s="71">
        <f>IF(OR(E111="",O111=""),"",(J111+K111)/2-O111)</f>
        <v>-0.45</v>
      </c>
      <c r="AA111" s="71" t="str">
        <f t="shared" si="38"/>
        <v/>
      </c>
      <c r="AB111" s="80"/>
      <c r="AC111" s="81" t="str">
        <f t="shared" si="34"/>
        <v/>
      </c>
      <c r="AD111" s="115"/>
      <c r="AE111" s="72"/>
      <c r="AF111" s="72"/>
      <c r="AG111" s="73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</row>
    <row r="112" spans="2:66" ht="19.2" customHeight="1">
      <c r="B112" s="66" t="s">
        <v>23</v>
      </c>
      <c r="C112" s="101">
        <v>123</v>
      </c>
      <c r="D112" s="83" t="s">
        <v>45</v>
      </c>
      <c r="E112" s="102">
        <v>0</v>
      </c>
      <c r="F112" s="103">
        <v>6.0000000000000001E-3</v>
      </c>
      <c r="G112" s="103">
        <v>-0.01</v>
      </c>
      <c r="H112" s="104" t="s">
        <v>231</v>
      </c>
      <c r="I112" s="67"/>
      <c r="J112" s="68">
        <f t="shared" si="32"/>
        <v>6.0000000000000001E-3</v>
      </c>
      <c r="K112" s="68">
        <f t="shared" si="33"/>
        <v>-0.01</v>
      </c>
      <c r="L112" s="69"/>
      <c r="M112" s="84">
        <f t="shared" si="47"/>
        <v>0</v>
      </c>
      <c r="N112" s="84">
        <f t="shared" si="48"/>
        <v>0</v>
      </c>
      <c r="O112" s="84">
        <f t="shared" si="49"/>
        <v>0</v>
      </c>
      <c r="P112" s="85">
        <f t="shared" si="50"/>
        <v>0</v>
      </c>
      <c r="Q112" s="108"/>
      <c r="R112" s="109"/>
      <c r="S112" s="109"/>
      <c r="T112" s="108"/>
      <c r="U112" s="108"/>
      <c r="V112" s="108"/>
      <c r="W112" s="70"/>
      <c r="X112" s="71"/>
      <c r="Y112" s="71"/>
      <c r="Z112" s="71"/>
      <c r="AA112" s="71"/>
      <c r="AB112" s="110"/>
      <c r="AC112" s="81" t="str">
        <f t="shared" si="34"/>
        <v/>
      </c>
      <c r="AD112" s="115"/>
      <c r="AE112" s="72"/>
      <c r="AF112" s="72"/>
      <c r="AG112" s="73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</row>
    <row r="113" spans="2:66" ht="19.2" customHeight="1">
      <c r="B113" s="86" t="s">
        <v>247</v>
      </c>
      <c r="C113" s="75">
        <v>126</v>
      </c>
      <c r="D113" s="83" t="s">
        <v>45</v>
      </c>
      <c r="E113" s="102">
        <v>0.26100000000000001</v>
      </c>
      <c r="F113" s="103">
        <v>0.03</v>
      </c>
      <c r="G113" s="103">
        <v>-0.03</v>
      </c>
      <c r="H113" s="104" t="s">
        <v>46</v>
      </c>
      <c r="I113" s="67"/>
      <c r="J113" s="68">
        <f t="shared" si="32"/>
        <v>0.29100000000000004</v>
      </c>
      <c r="K113" s="68">
        <f t="shared" si="33"/>
        <v>0.23100000000000001</v>
      </c>
      <c r="L113" s="69"/>
      <c r="M113" s="84">
        <f t="shared" si="35"/>
        <v>0</v>
      </c>
      <c r="N113" s="84">
        <f t="shared" si="36"/>
        <v>0</v>
      </c>
      <c r="O113" s="84">
        <f t="shared" si="37"/>
        <v>0</v>
      </c>
      <c r="P113" s="85">
        <f t="shared" si="40"/>
        <v>0</v>
      </c>
      <c r="Q113" s="78" t="str">
        <f t="shared" ref="Q113:Q140" si="51">IF(OR($AI113="",ISNUMBER($AI113)=FALSE),"",IF(AND(E113=0,G113=0),T113,IF(AND(E113="",F113=""),U113,(F113+ABS(G113))/(6*P113))))</f>
        <v/>
      </c>
      <c r="R113" s="79" t="str">
        <f>IF(OR($AI113="",ISNUMBER($AI113)=FALSE),"",IF(AND(#REF!="Tolerance",$E113&lt;&gt;""),($O113-$E113)/(($J113-$K113)/2),IF(AND(#REF!="GD&amp;T",$F113&lt;&gt;""),$O113/$F113,"")))</f>
        <v/>
      </c>
      <c r="S113" s="79" t="str">
        <f t="shared" si="39"/>
        <v/>
      </c>
      <c r="T113" s="78" t="str">
        <f t="shared" ref="T113:T140" si="52">IF(OR($AI113="",ISNUMBER($AI113)=FALSE),"",IF(F113="","",(J113-O113)/(3*P113)))</f>
        <v/>
      </c>
      <c r="U113" s="78" t="str">
        <f t="shared" ref="U113:U140" si="53">IF(OR($AI113="",ISNUMBER($AI113)=FALSE),"",IF(G113="","",(O113-K113)/(3*P113)))</f>
        <v/>
      </c>
      <c r="V113" s="78" t="str">
        <f t="shared" ref="V113:V140" si="54">IF(OR($AI113="",ISNUMBER($AI113)=FALSE),"",IF(AND(E113=0,G113=0),((F113)-(O113))/(3*P113),MIN(T113:U113)))</f>
        <v/>
      </c>
      <c r="W113" s="70" t="str">
        <f t="shared" ref="W113:W140" si="55">IF(OR($AI113="",ISNUMBER($AI113)=FALSE),"",IF(AND(E113=0,G113=0),NORMSDIST(3*V113),NORMSDIST(3*V113)+NORMSDIST(6*Q113-3*V113)-1))</f>
        <v/>
      </c>
      <c r="X113" s="71" t="e">
        <f>IF($O113="","",IF(#REF!="Tolerance",IF((#REF!*3*P113+O113)-E113&lt;F113,"",(#REF!*3*P113+O113)-E113),IF(OR(#REF!="GD&amp;T",#REF!="MAX"),IF((#REF!*3*P113+O113)&lt;F113,"",(#REF!*3*P113+O113)),"")))</f>
        <v>#REF!</v>
      </c>
      <c r="Y113" s="71" t="e">
        <f>IF(O113="","",IF(#REF!="Tolerance",IF(-((#REF!*3*P113)-O113)-E113&gt;G113,"",-((#REF!*3*P113)-O113)-E113),IF(#REF!="MIN",IF(-((#REF!*3*P113)-O113)&gt;G113,"",-((#REF!*3*P113)-O113)),"")))</f>
        <v>#REF!</v>
      </c>
      <c r="Z113" s="71">
        <f t="shared" ref="Z113:Z140" si="56">IF(OR(E113="",O113=""),"",(J113+K113)/2-O113)</f>
        <v>0.26100000000000001</v>
      </c>
      <c r="AA113" s="71" t="str">
        <f t="shared" si="38"/>
        <v/>
      </c>
      <c r="AB113" s="80"/>
      <c r="AC113" s="81" t="str">
        <f t="shared" si="34"/>
        <v/>
      </c>
      <c r="AD113" s="115"/>
      <c r="AE113" s="72"/>
      <c r="AF113" s="72"/>
      <c r="AG113" s="73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</row>
    <row r="114" spans="2:66" ht="19.2" customHeight="1">
      <c r="B114" s="66" t="s">
        <v>248</v>
      </c>
      <c r="C114" s="75" t="s">
        <v>216</v>
      </c>
      <c r="D114" s="83" t="s">
        <v>45</v>
      </c>
      <c r="E114" s="102">
        <v>21.385999999999999</v>
      </c>
      <c r="F114" s="103">
        <v>0.03</v>
      </c>
      <c r="G114" s="103">
        <v>-0.03</v>
      </c>
      <c r="H114" s="104" t="s">
        <v>46</v>
      </c>
      <c r="I114" s="67"/>
      <c r="J114" s="68">
        <f t="shared" si="32"/>
        <v>21.416</v>
      </c>
      <c r="K114" s="68">
        <f t="shared" si="33"/>
        <v>21.355999999999998</v>
      </c>
      <c r="L114" s="69"/>
      <c r="M114" s="84">
        <f t="shared" si="35"/>
        <v>0</v>
      </c>
      <c r="N114" s="84">
        <f t="shared" si="36"/>
        <v>0</v>
      </c>
      <c r="O114" s="84">
        <f t="shared" si="37"/>
        <v>0</v>
      </c>
      <c r="P114" s="85">
        <f t="shared" si="40"/>
        <v>0</v>
      </c>
      <c r="Q114" s="78" t="str">
        <f t="shared" si="51"/>
        <v/>
      </c>
      <c r="R114" s="79" t="str">
        <f>IF(OR($AI114="",ISNUMBER($AI114)=FALSE),"",IF(AND(#REF!="Tolerance",$E114&lt;&gt;""),($O114-$E114)/(($J114-$K114)/2),IF(AND(#REF!="GD&amp;T",$F114&lt;&gt;""),$O114/$F114,"")))</f>
        <v/>
      </c>
      <c r="S114" s="79" t="str">
        <f t="shared" si="39"/>
        <v/>
      </c>
      <c r="T114" s="78" t="str">
        <f t="shared" si="52"/>
        <v/>
      </c>
      <c r="U114" s="78" t="str">
        <f t="shared" si="53"/>
        <v/>
      </c>
      <c r="V114" s="78" t="str">
        <f t="shared" si="54"/>
        <v/>
      </c>
      <c r="W114" s="70" t="str">
        <f t="shared" si="55"/>
        <v/>
      </c>
      <c r="X114" s="71" t="e">
        <f>IF($O114="","",IF(#REF!="Tolerance",IF((#REF!*3*P114+O114)-E114&lt;F114,"",(#REF!*3*P114+O114)-E114),IF(OR(#REF!="GD&amp;T",#REF!="MAX"),IF((#REF!*3*P114+O114)&lt;F114,"",(#REF!*3*P114+O114)),"")))</f>
        <v>#REF!</v>
      </c>
      <c r="Y114" s="71" t="e">
        <f>IF(O114="","",IF(#REF!="Tolerance",IF(-((#REF!*3*P114)-O114)-E114&gt;G114,"",-((#REF!*3*P114)-O114)-E114),IF(#REF!="MIN",IF(-((#REF!*3*P114)-O114)&gt;G114,"",-((#REF!*3*P114)-O114)),"")))</f>
        <v>#REF!</v>
      </c>
      <c r="Z114" s="71">
        <f t="shared" si="56"/>
        <v>21.385999999999999</v>
      </c>
      <c r="AA114" s="71" t="str">
        <f t="shared" si="38"/>
        <v/>
      </c>
      <c r="AB114" s="80"/>
      <c r="AC114" s="81" t="str">
        <f t="shared" si="34"/>
        <v/>
      </c>
      <c r="AD114" s="115"/>
      <c r="AE114" s="72"/>
      <c r="AF114" s="72"/>
      <c r="AG114" s="73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  <c r="BJ114" s="105"/>
      <c r="BK114" s="105"/>
      <c r="BL114" s="105"/>
      <c r="BM114" s="105"/>
      <c r="BN114" s="105"/>
    </row>
    <row r="115" spans="2:66" ht="19.2" customHeight="1">
      <c r="B115" s="66" t="s">
        <v>248</v>
      </c>
      <c r="C115" s="75" t="s">
        <v>217</v>
      </c>
      <c r="D115" s="83" t="s">
        <v>45</v>
      </c>
      <c r="E115" s="102">
        <v>21.385999999999999</v>
      </c>
      <c r="F115" s="103">
        <v>0.03</v>
      </c>
      <c r="G115" s="103">
        <v>-0.03</v>
      </c>
      <c r="H115" s="104" t="s">
        <v>46</v>
      </c>
      <c r="I115" s="67"/>
      <c r="J115" s="68">
        <f t="shared" si="32"/>
        <v>21.416</v>
      </c>
      <c r="K115" s="68">
        <f t="shared" si="33"/>
        <v>21.355999999999998</v>
      </c>
      <c r="L115" s="69"/>
      <c r="M115" s="84">
        <f t="shared" si="35"/>
        <v>0</v>
      </c>
      <c r="N115" s="84">
        <f t="shared" si="36"/>
        <v>0</v>
      </c>
      <c r="O115" s="84">
        <f t="shared" si="37"/>
        <v>0</v>
      </c>
      <c r="P115" s="85">
        <f t="shared" si="40"/>
        <v>0</v>
      </c>
      <c r="Q115" s="78" t="str">
        <f t="shared" si="51"/>
        <v/>
      </c>
      <c r="R115" s="79" t="str">
        <f>IF(OR($AI115="",ISNUMBER($AI115)=FALSE),"",IF(AND(#REF!="Tolerance",$E115&lt;&gt;""),($O115-$E115)/(($J115-$K115)/2),IF(AND(#REF!="GD&amp;T",$F115&lt;&gt;""),$O115/$F115,"")))</f>
        <v/>
      </c>
      <c r="S115" s="79" t="str">
        <f t="shared" si="39"/>
        <v/>
      </c>
      <c r="T115" s="78" t="str">
        <f t="shared" si="52"/>
        <v/>
      </c>
      <c r="U115" s="78" t="str">
        <f t="shared" si="53"/>
        <v/>
      </c>
      <c r="V115" s="78" t="str">
        <f t="shared" si="54"/>
        <v/>
      </c>
      <c r="W115" s="70" t="str">
        <f t="shared" si="55"/>
        <v/>
      </c>
      <c r="X115" s="71" t="e">
        <f>IF($O115="","",IF(#REF!="Tolerance",IF((#REF!*3*P115+O115)-E115&lt;F115,"",(#REF!*3*P115+O115)-E115),IF(OR(#REF!="GD&amp;T",#REF!="MAX"),IF((#REF!*3*P115+O115)&lt;F115,"",(#REF!*3*P115+O115)),"")))</f>
        <v>#REF!</v>
      </c>
      <c r="Y115" s="71" t="e">
        <f>IF(O115="","",IF(#REF!="Tolerance",IF(-((#REF!*3*P115)-O115)-E115&gt;G115,"",-((#REF!*3*P115)-O115)-E115),IF(#REF!="MIN",IF(-((#REF!*3*P115)-O115)&gt;G115,"",-((#REF!*3*P115)-O115)),"")))</f>
        <v>#REF!</v>
      </c>
      <c r="Z115" s="71">
        <f t="shared" si="56"/>
        <v>21.385999999999999</v>
      </c>
      <c r="AA115" s="71" t="str">
        <f t="shared" si="38"/>
        <v/>
      </c>
      <c r="AB115" s="80"/>
      <c r="AC115" s="81" t="str">
        <f t="shared" si="34"/>
        <v/>
      </c>
      <c r="AD115" s="115"/>
      <c r="AE115" s="72"/>
      <c r="AF115" s="72"/>
      <c r="AG115" s="73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</row>
    <row r="116" spans="2:66" ht="19.2" customHeight="1">
      <c r="B116" s="66" t="s">
        <v>249</v>
      </c>
      <c r="C116" s="75" t="s">
        <v>218</v>
      </c>
      <c r="D116" s="83" t="s">
        <v>45</v>
      </c>
      <c r="E116" s="102">
        <v>1.1240000000000001</v>
      </c>
      <c r="F116" s="103">
        <v>0.03</v>
      </c>
      <c r="G116" s="103">
        <v>-0.03</v>
      </c>
      <c r="H116" s="104" t="s">
        <v>46</v>
      </c>
      <c r="I116" s="67"/>
      <c r="J116" s="68">
        <f t="shared" si="32"/>
        <v>1.1540000000000001</v>
      </c>
      <c r="K116" s="68">
        <f t="shared" si="33"/>
        <v>1.0940000000000001</v>
      </c>
      <c r="L116" s="69"/>
      <c r="M116" s="84">
        <f t="shared" si="35"/>
        <v>0</v>
      </c>
      <c r="N116" s="84">
        <f t="shared" si="36"/>
        <v>0</v>
      </c>
      <c r="O116" s="84">
        <f t="shared" si="37"/>
        <v>0</v>
      </c>
      <c r="P116" s="85">
        <f t="shared" si="40"/>
        <v>0</v>
      </c>
      <c r="Q116" s="78" t="str">
        <f t="shared" si="51"/>
        <v/>
      </c>
      <c r="R116" s="79" t="str">
        <f>IF(OR($AI116="",ISNUMBER($AI116)=FALSE),"",IF(AND(#REF!="Tolerance",$E116&lt;&gt;""),($O116-$E116)/(($J116-$K116)/2),IF(AND(#REF!="GD&amp;T",$F116&lt;&gt;""),$O116/$F116,"")))</f>
        <v/>
      </c>
      <c r="S116" s="79" t="str">
        <f t="shared" si="39"/>
        <v/>
      </c>
      <c r="T116" s="78" t="str">
        <f t="shared" si="52"/>
        <v/>
      </c>
      <c r="U116" s="78" t="str">
        <f t="shared" si="53"/>
        <v/>
      </c>
      <c r="V116" s="78" t="str">
        <f t="shared" si="54"/>
        <v/>
      </c>
      <c r="W116" s="70" t="str">
        <f t="shared" si="55"/>
        <v/>
      </c>
      <c r="X116" s="71" t="e">
        <f>IF($O116="","",IF(#REF!="Tolerance",IF((#REF!*3*P116+O116)-E116&lt;F116,"",(#REF!*3*P116+O116)-E116),IF(OR(#REF!="GD&amp;T",#REF!="MAX"),IF((#REF!*3*P116+O116)&lt;F116,"",(#REF!*3*P116+O116)),"")))</f>
        <v>#REF!</v>
      </c>
      <c r="Y116" s="71" t="e">
        <f>IF(O116="","",IF(#REF!="Tolerance",IF(-((#REF!*3*P116)-O116)-E116&gt;G116,"",-((#REF!*3*P116)-O116)-E116),IF(#REF!="MIN",IF(-((#REF!*3*P116)-O116)&gt;G116,"",-((#REF!*3*P116)-O116)),"")))</f>
        <v>#REF!</v>
      </c>
      <c r="Z116" s="71">
        <f t="shared" si="56"/>
        <v>1.1240000000000001</v>
      </c>
      <c r="AA116" s="71" t="str">
        <f t="shared" si="38"/>
        <v/>
      </c>
      <c r="AB116" s="80"/>
      <c r="AC116" s="81" t="str">
        <f t="shared" si="34"/>
        <v/>
      </c>
      <c r="AD116" s="115"/>
      <c r="AE116" s="72"/>
      <c r="AF116" s="72"/>
      <c r="AG116" s="73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</row>
    <row r="117" spans="2:66" ht="19.2" customHeight="1">
      <c r="B117" s="66" t="s">
        <v>249</v>
      </c>
      <c r="C117" s="75" t="s">
        <v>219</v>
      </c>
      <c r="D117" s="83" t="s">
        <v>45</v>
      </c>
      <c r="E117" s="102">
        <v>1.1240000000000001</v>
      </c>
      <c r="F117" s="103">
        <v>0.03</v>
      </c>
      <c r="G117" s="103">
        <v>-0.03</v>
      </c>
      <c r="H117" s="104" t="s">
        <v>46</v>
      </c>
      <c r="I117" s="67"/>
      <c r="J117" s="68">
        <f t="shared" si="32"/>
        <v>1.1540000000000001</v>
      </c>
      <c r="K117" s="68">
        <f t="shared" si="33"/>
        <v>1.0940000000000001</v>
      </c>
      <c r="L117" s="69"/>
      <c r="M117" s="84">
        <f t="shared" si="35"/>
        <v>0</v>
      </c>
      <c r="N117" s="84">
        <f t="shared" si="36"/>
        <v>0</v>
      </c>
      <c r="O117" s="84">
        <f t="shared" si="37"/>
        <v>0</v>
      </c>
      <c r="P117" s="85">
        <f t="shared" si="40"/>
        <v>0</v>
      </c>
      <c r="Q117" s="78" t="str">
        <f t="shared" si="51"/>
        <v/>
      </c>
      <c r="R117" s="79" t="str">
        <f>IF(OR($AI117="",ISNUMBER($AI117)=FALSE),"",IF(AND(#REF!="Tolerance",$E117&lt;&gt;""),($O117-$E117)/(($J117-$K117)/2),IF(AND(#REF!="GD&amp;T",$F117&lt;&gt;""),$O117/$F117,"")))</f>
        <v/>
      </c>
      <c r="S117" s="79" t="str">
        <f t="shared" si="39"/>
        <v/>
      </c>
      <c r="T117" s="78" t="str">
        <f t="shared" si="52"/>
        <v/>
      </c>
      <c r="U117" s="78" t="str">
        <f t="shared" si="53"/>
        <v/>
      </c>
      <c r="V117" s="78" t="str">
        <f t="shared" si="54"/>
        <v/>
      </c>
      <c r="W117" s="70" t="str">
        <f t="shared" si="55"/>
        <v/>
      </c>
      <c r="X117" s="71" t="e">
        <f>IF($O117="","",IF(#REF!="Tolerance",IF((#REF!*3*P117+O117)-E117&lt;F117,"",(#REF!*3*P117+O117)-E117),IF(OR(#REF!="GD&amp;T",#REF!="MAX"),IF((#REF!*3*P117+O117)&lt;F117,"",(#REF!*3*P117+O117)),"")))</f>
        <v>#REF!</v>
      </c>
      <c r="Y117" s="71" t="e">
        <f>IF(O117="","",IF(#REF!="Tolerance",IF(-((#REF!*3*P117)-O117)-E117&gt;G117,"",-((#REF!*3*P117)-O117)-E117),IF(#REF!="MIN",IF(-((#REF!*3*P117)-O117)&gt;G117,"",-((#REF!*3*P117)-O117)),"")))</f>
        <v>#REF!</v>
      </c>
      <c r="Z117" s="71">
        <f t="shared" si="56"/>
        <v>1.1240000000000001</v>
      </c>
      <c r="AA117" s="71" t="str">
        <f t="shared" si="38"/>
        <v/>
      </c>
      <c r="AB117" s="80"/>
      <c r="AC117" s="81" t="str">
        <f t="shared" si="34"/>
        <v/>
      </c>
      <c r="AD117" s="115"/>
      <c r="AE117" s="72"/>
      <c r="AF117" s="72"/>
      <c r="AG117" s="73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</row>
    <row r="118" spans="2:66" ht="19.2" customHeight="1">
      <c r="B118" s="66" t="s">
        <v>303</v>
      </c>
      <c r="C118" s="75" t="s">
        <v>220</v>
      </c>
      <c r="D118" s="83" t="s">
        <v>45</v>
      </c>
      <c r="E118" s="102">
        <v>3.1509999999999998</v>
      </c>
      <c r="F118" s="103">
        <v>0.03</v>
      </c>
      <c r="G118" s="103">
        <v>-0.03</v>
      </c>
      <c r="H118" s="104" t="s">
        <v>46</v>
      </c>
      <c r="I118" s="67"/>
      <c r="J118" s="68">
        <f t="shared" si="32"/>
        <v>3.1809999999999996</v>
      </c>
      <c r="K118" s="68">
        <f t="shared" si="33"/>
        <v>3.121</v>
      </c>
      <c r="L118" s="69"/>
      <c r="M118" s="84">
        <f t="shared" si="35"/>
        <v>0</v>
      </c>
      <c r="N118" s="84">
        <f t="shared" si="36"/>
        <v>0</v>
      </c>
      <c r="O118" s="84">
        <f t="shared" si="37"/>
        <v>0</v>
      </c>
      <c r="P118" s="85">
        <f t="shared" si="40"/>
        <v>0</v>
      </c>
      <c r="Q118" s="78" t="str">
        <f t="shared" si="51"/>
        <v/>
      </c>
      <c r="R118" s="79" t="str">
        <f>IF(OR($AI118="",ISNUMBER($AI118)=FALSE),"",IF(AND(#REF!="Tolerance",$E118&lt;&gt;""),($O118-$E118)/(($J118-$K118)/2),IF(AND(#REF!="GD&amp;T",$F118&lt;&gt;""),$O118/$F118,"")))</f>
        <v/>
      </c>
      <c r="S118" s="79" t="str">
        <f t="shared" si="39"/>
        <v/>
      </c>
      <c r="T118" s="78" t="str">
        <f t="shared" si="52"/>
        <v/>
      </c>
      <c r="U118" s="78" t="str">
        <f t="shared" si="53"/>
        <v/>
      </c>
      <c r="V118" s="78" t="str">
        <f t="shared" si="54"/>
        <v/>
      </c>
      <c r="W118" s="70" t="str">
        <f t="shared" si="55"/>
        <v/>
      </c>
      <c r="X118" s="71" t="e">
        <f>IF($O118="","",IF(#REF!="Tolerance",IF((#REF!*3*P118+O118)-E118&lt;F118,"",(#REF!*3*P118+O118)-E118),IF(OR(#REF!="GD&amp;T",#REF!="MAX"),IF((#REF!*3*P118+O118)&lt;F118,"",(#REF!*3*P118+O118)),"")))</f>
        <v>#REF!</v>
      </c>
      <c r="Y118" s="71" t="e">
        <f>IF(O118="","",IF(#REF!="Tolerance",IF(-((#REF!*3*P118)-O118)-E118&gt;G118,"",-((#REF!*3*P118)-O118)-E118),IF(#REF!="MIN",IF(-((#REF!*3*P118)-O118)&gt;G118,"",-((#REF!*3*P118)-O118)),"")))</f>
        <v>#REF!</v>
      </c>
      <c r="Z118" s="71">
        <f t="shared" si="56"/>
        <v>3.1509999999999998</v>
      </c>
      <c r="AA118" s="71" t="str">
        <f t="shared" si="38"/>
        <v/>
      </c>
      <c r="AB118" s="80"/>
      <c r="AC118" s="81" t="str">
        <f t="shared" si="34"/>
        <v/>
      </c>
      <c r="AD118" s="115"/>
      <c r="AE118" s="72"/>
      <c r="AF118" s="72"/>
      <c r="AG118" s="73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5"/>
      <c r="AW118" s="105"/>
      <c r="AX118" s="105"/>
      <c r="AY118" s="105"/>
      <c r="AZ118" s="105"/>
      <c r="BA118" s="105"/>
      <c r="BB118" s="105"/>
      <c r="BC118" s="105"/>
      <c r="BD118" s="105"/>
      <c r="BE118" s="105"/>
      <c r="BF118" s="105"/>
      <c r="BG118" s="105"/>
      <c r="BH118" s="105"/>
      <c r="BI118" s="105"/>
      <c r="BJ118" s="105"/>
      <c r="BK118" s="105"/>
      <c r="BL118" s="105"/>
      <c r="BM118" s="105"/>
      <c r="BN118" s="105"/>
    </row>
    <row r="119" spans="2:66" ht="19.2" customHeight="1">
      <c r="B119" s="66" t="s">
        <v>303</v>
      </c>
      <c r="C119" s="75" t="s">
        <v>221</v>
      </c>
      <c r="D119" s="83" t="s">
        <v>45</v>
      </c>
      <c r="E119" s="102">
        <v>3.1509999999999998</v>
      </c>
      <c r="F119" s="103">
        <v>0.03</v>
      </c>
      <c r="G119" s="103">
        <v>-0.03</v>
      </c>
      <c r="H119" s="104" t="s">
        <v>46</v>
      </c>
      <c r="I119" s="67"/>
      <c r="J119" s="68">
        <f t="shared" si="32"/>
        <v>3.1809999999999996</v>
      </c>
      <c r="K119" s="68">
        <f t="shared" si="33"/>
        <v>3.121</v>
      </c>
      <c r="L119" s="69"/>
      <c r="M119" s="84">
        <f t="shared" si="35"/>
        <v>0</v>
      </c>
      <c r="N119" s="84">
        <f t="shared" si="36"/>
        <v>0</v>
      </c>
      <c r="O119" s="84">
        <f t="shared" si="37"/>
        <v>0</v>
      </c>
      <c r="P119" s="85">
        <f t="shared" si="40"/>
        <v>0</v>
      </c>
      <c r="Q119" s="78" t="str">
        <f t="shared" si="51"/>
        <v/>
      </c>
      <c r="R119" s="79" t="str">
        <f>IF(OR($AI119="",ISNUMBER($AI119)=FALSE),"",IF(AND(#REF!="Tolerance",$E119&lt;&gt;""),($O119-$E119)/(($J119-$K119)/2),IF(AND(#REF!="GD&amp;T",$F119&lt;&gt;""),$O119/$F119,"")))</f>
        <v/>
      </c>
      <c r="S119" s="79" t="str">
        <f t="shared" si="39"/>
        <v/>
      </c>
      <c r="T119" s="78" t="str">
        <f t="shared" si="52"/>
        <v/>
      </c>
      <c r="U119" s="78" t="str">
        <f t="shared" si="53"/>
        <v/>
      </c>
      <c r="V119" s="78" t="str">
        <f t="shared" si="54"/>
        <v/>
      </c>
      <c r="W119" s="70" t="str">
        <f t="shared" si="55"/>
        <v/>
      </c>
      <c r="X119" s="71" t="e">
        <f>IF($O119="","",IF(#REF!="Tolerance",IF((#REF!*3*P119+O119)-E119&lt;F119,"",(#REF!*3*P119+O119)-E119),IF(OR(#REF!="GD&amp;T",#REF!="MAX"),IF((#REF!*3*P119+O119)&lt;F119,"",(#REF!*3*P119+O119)),"")))</f>
        <v>#REF!</v>
      </c>
      <c r="Y119" s="71" t="e">
        <f>IF(O119="","",IF(#REF!="Tolerance",IF(-((#REF!*3*P119)-O119)-E119&gt;G119,"",-((#REF!*3*P119)-O119)-E119),IF(#REF!="MIN",IF(-((#REF!*3*P119)-O119)&gt;G119,"",-((#REF!*3*P119)-O119)),"")))</f>
        <v>#REF!</v>
      </c>
      <c r="Z119" s="71">
        <f t="shared" si="56"/>
        <v>3.1509999999999998</v>
      </c>
      <c r="AA119" s="71" t="str">
        <f t="shared" si="38"/>
        <v/>
      </c>
      <c r="AB119" s="80"/>
      <c r="AC119" s="81" t="str">
        <f t="shared" si="34"/>
        <v/>
      </c>
      <c r="AD119" s="115"/>
      <c r="AE119" s="72"/>
      <c r="AF119" s="72"/>
      <c r="AG119" s="73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</row>
    <row r="120" spans="2:66" ht="19.2" customHeight="1">
      <c r="B120" s="86" t="s">
        <v>250</v>
      </c>
      <c r="C120" s="75" t="s">
        <v>222</v>
      </c>
      <c r="D120" s="83" t="s">
        <v>45</v>
      </c>
      <c r="E120" s="102">
        <v>16.852</v>
      </c>
      <c r="F120" s="103">
        <v>0.03</v>
      </c>
      <c r="G120" s="103">
        <v>-0.03</v>
      </c>
      <c r="H120" s="104" t="s">
        <v>46</v>
      </c>
      <c r="I120" s="67"/>
      <c r="J120" s="68">
        <f t="shared" si="32"/>
        <v>16.882000000000001</v>
      </c>
      <c r="K120" s="68">
        <f t="shared" si="33"/>
        <v>16.821999999999999</v>
      </c>
      <c r="L120" s="69"/>
      <c r="M120" s="84">
        <f t="shared" si="35"/>
        <v>0</v>
      </c>
      <c r="N120" s="84">
        <f t="shared" si="36"/>
        <v>0</v>
      </c>
      <c r="O120" s="84">
        <f t="shared" si="37"/>
        <v>0</v>
      </c>
      <c r="P120" s="85">
        <f t="shared" si="40"/>
        <v>0</v>
      </c>
      <c r="Q120" s="78" t="str">
        <f t="shared" si="51"/>
        <v/>
      </c>
      <c r="R120" s="79" t="str">
        <f>IF(OR($AI120="",ISNUMBER($AI120)=FALSE),"",IF(AND(#REF!="Tolerance",$E120&lt;&gt;""),($O120-$E120)/(($J120-$K120)/2),IF(AND(#REF!="GD&amp;T",$F120&lt;&gt;""),$O120/$F120,"")))</f>
        <v/>
      </c>
      <c r="S120" s="79" t="str">
        <f t="shared" si="39"/>
        <v/>
      </c>
      <c r="T120" s="78" t="str">
        <f t="shared" si="52"/>
        <v/>
      </c>
      <c r="U120" s="78" t="str">
        <f t="shared" si="53"/>
        <v/>
      </c>
      <c r="V120" s="78" t="str">
        <f t="shared" si="54"/>
        <v/>
      </c>
      <c r="W120" s="70" t="str">
        <f t="shared" si="55"/>
        <v/>
      </c>
      <c r="X120" s="71" t="e">
        <f>IF($O120="","",IF(#REF!="Tolerance",IF((#REF!*3*P120+O120)-E120&lt;F120,"",(#REF!*3*P120+O120)-E120),IF(OR(#REF!="GD&amp;T",#REF!="MAX"),IF((#REF!*3*P120+O120)&lt;F120,"",(#REF!*3*P120+O120)),"")))</f>
        <v>#REF!</v>
      </c>
      <c r="Y120" s="71" t="e">
        <f>IF(O120="","",IF(#REF!="Tolerance",IF(-((#REF!*3*P120)-O120)-E120&gt;G120,"",-((#REF!*3*P120)-O120)-E120),IF(#REF!="MIN",IF(-((#REF!*3*P120)-O120)&gt;G120,"",-((#REF!*3*P120)-O120)),"")))</f>
        <v>#REF!</v>
      </c>
      <c r="Z120" s="71">
        <f t="shared" si="56"/>
        <v>16.852</v>
      </c>
      <c r="AA120" s="71" t="str">
        <f t="shared" si="38"/>
        <v/>
      </c>
      <c r="AB120" s="80"/>
      <c r="AC120" s="81" t="str">
        <f t="shared" si="34"/>
        <v/>
      </c>
      <c r="AD120" s="115"/>
      <c r="AE120" s="72"/>
      <c r="AF120" s="72"/>
      <c r="AG120" s="73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</row>
    <row r="121" spans="2:66" ht="19.2" customHeight="1">
      <c r="B121" s="86" t="s">
        <v>250</v>
      </c>
      <c r="C121" s="75" t="s">
        <v>223</v>
      </c>
      <c r="D121" s="83" t="s">
        <v>45</v>
      </c>
      <c r="E121" s="102">
        <v>16.852</v>
      </c>
      <c r="F121" s="103">
        <v>0.03</v>
      </c>
      <c r="G121" s="103">
        <v>-0.03</v>
      </c>
      <c r="H121" s="104" t="s">
        <v>46</v>
      </c>
      <c r="I121" s="67"/>
      <c r="J121" s="68">
        <f t="shared" si="32"/>
        <v>16.882000000000001</v>
      </c>
      <c r="K121" s="68">
        <f t="shared" si="33"/>
        <v>16.821999999999999</v>
      </c>
      <c r="L121" s="69"/>
      <c r="M121" s="84">
        <f t="shared" si="35"/>
        <v>0</v>
      </c>
      <c r="N121" s="84">
        <f t="shared" si="36"/>
        <v>0</v>
      </c>
      <c r="O121" s="84">
        <f t="shared" si="37"/>
        <v>0</v>
      </c>
      <c r="P121" s="85">
        <f t="shared" si="40"/>
        <v>0</v>
      </c>
      <c r="Q121" s="78" t="str">
        <f t="shared" si="51"/>
        <v/>
      </c>
      <c r="R121" s="79" t="str">
        <f>IF(OR($AI121="",ISNUMBER($AI121)=FALSE),"",IF(AND(#REF!="Tolerance",$E121&lt;&gt;""),($O121-$E121)/(($J121-$K121)/2),IF(AND(#REF!="GD&amp;T",$F121&lt;&gt;""),$O121/$F121,"")))</f>
        <v/>
      </c>
      <c r="S121" s="79" t="str">
        <f t="shared" si="39"/>
        <v/>
      </c>
      <c r="T121" s="78" t="str">
        <f t="shared" si="52"/>
        <v/>
      </c>
      <c r="U121" s="78" t="str">
        <f t="shared" si="53"/>
        <v/>
      </c>
      <c r="V121" s="78" t="str">
        <f t="shared" si="54"/>
        <v/>
      </c>
      <c r="W121" s="70" t="str">
        <f t="shared" si="55"/>
        <v/>
      </c>
      <c r="X121" s="71" t="e">
        <f>IF($O121="","",IF(#REF!="Tolerance",IF((#REF!*3*P121+O121)-E121&lt;F121,"",(#REF!*3*P121+O121)-E121),IF(OR(#REF!="GD&amp;T",#REF!="MAX"),IF((#REF!*3*P121+O121)&lt;F121,"",(#REF!*3*P121+O121)),"")))</f>
        <v>#REF!</v>
      </c>
      <c r="Y121" s="71" t="e">
        <f>IF(O121="","",IF(#REF!="Tolerance",IF(-((#REF!*3*P121)-O121)-E121&gt;G121,"",-((#REF!*3*P121)-O121)-E121),IF(#REF!="MIN",IF(-((#REF!*3*P121)-O121)&gt;G121,"",-((#REF!*3*P121)-O121)),"")))</f>
        <v>#REF!</v>
      </c>
      <c r="Z121" s="71">
        <f t="shared" si="56"/>
        <v>16.852</v>
      </c>
      <c r="AA121" s="71" t="str">
        <f t="shared" si="38"/>
        <v/>
      </c>
      <c r="AB121" s="80"/>
      <c r="AC121" s="81" t="str">
        <f t="shared" si="34"/>
        <v/>
      </c>
      <c r="AD121" s="115"/>
      <c r="AE121" s="72"/>
      <c r="AF121" s="72"/>
      <c r="AG121" s="73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</row>
    <row r="122" spans="2:66" ht="19.2" customHeight="1">
      <c r="B122" s="86" t="s">
        <v>251</v>
      </c>
      <c r="C122" s="75">
        <v>131</v>
      </c>
      <c r="D122" s="83" t="s">
        <v>228</v>
      </c>
      <c r="E122" s="102">
        <v>0.4</v>
      </c>
      <c r="F122" s="103">
        <v>0.03</v>
      </c>
      <c r="G122" s="103">
        <v>-0.03</v>
      </c>
      <c r="H122" s="104" t="s">
        <v>46</v>
      </c>
      <c r="I122" s="67"/>
      <c r="J122" s="68">
        <f t="shared" si="32"/>
        <v>0.43000000000000005</v>
      </c>
      <c r="K122" s="68">
        <f t="shared" si="33"/>
        <v>0.37</v>
      </c>
      <c r="L122" s="69"/>
      <c r="M122" s="84">
        <f t="shared" si="35"/>
        <v>0</v>
      </c>
      <c r="N122" s="84">
        <f t="shared" si="36"/>
        <v>0</v>
      </c>
      <c r="O122" s="84">
        <f t="shared" si="37"/>
        <v>0</v>
      </c>
      <c r="P122" s="85">
        <f t="shared" si="40"/>
        <v>0</v>
      </c>
      <c r="Q122" s="78" t="str">
        <f t="shared" si="51"/>
        <v/>
      </c>
      <c r="R122" s="79" t="str">
        <f>IF(OR($AI122="",ISNUMBER($AI122)=FALSE),"",IF(AND(#REF!="Tolerance",$E122&lt;&gt;""),($O122-$E122)/(($J122-$K122)/2),IF(AND(#REF!="GD&amp;T",$F122&lt;&gt;""),$O122/$F122,"")))</f>
        <v/>
      </c>
      <c r="S122" s="79" t="str">
        <f t="shared" si="39"/>
        <v/>
      </c>
      <c r="T122" s="78" t="str">
        <f t="shared" si="52"/>
        <v/>
      </c>
      <c r="U122" s="78" t="str">
        <f t="shared" si="53"/>
        <v/>
      </c>
      <c r="V122" s="78" t="str">
        <f t="shared" si="54"/>
        <v/>
      </c>
      <c r="W122" s="70" t="str">
        <f t="shared" si="55"/>
        <v/>
      </c>
      <c r="X122" s="71" t="e">
        <f>IF($O122="","",IF(#REF!="Tolerance",IF((#REF!*3*P122+O122)-E122&lt;F122,"",(#REF!*3*P122+O122)-E122),IF(OR(#REF!="GD&amp;T",#REF!="MAX"),IF((#REF!*3*P122+O122)&lt;F122,"",(#REF!*3*P122+O122)),"")))</f>
        <v>#REF!</v>
      </c>
      <c r="Y122" s="71" t="e">
        <f>IF(O122="","",IF(#REF!="Tolerance",IF(-((#REF!*3*P122)-O122)-E122&gt;G122,"",-((#REF!*3*P122)-O122)-E122),IF(#REF!="MIN",IF(-((#REF!*3*P122)-O122)&gt;G122,"",-((#REF!*3*P122)-O122)),"")))</f>
        <v>#REF!</v>
      </c>
      <c r="Z122" s="71">
        <f t="shared" si="56"/>
        <v>0.4</v>
      </c>
      <c r="AA122" s="71" t="str">
        <f t="shared" si="38"/>
        <v/>
      </c>
      <c r="AB122" s="80"/>
      <c r="AC122" s="81" t="str">
        <f t="shared" si="34"/>
        <v/>
      </c>
      <c r="AD122" s="115"/>
      <c r="AE122" s="72"/>
      <c r="AF122" s="72"/>
      <c r="AG122" s="73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  <c r="BF122" s="105"/>
      <c r="BG122" s="105"/>
      <c r="BH122" s="105"/>
      <c r="BI122" s="105"/>
      <c r="BJ122" s="105"/>
      <c r="BK122" s="105"/>
      <c r="BL122" s="105"/>
      <c r="BM122" s="105"/>
      <c r="BN122" s="105"/>
    </row>
    <row r="123" spans="2:66" ht="19.2" customHeight="1">
      <c r="B123" s="86" t="s">
        <v>252</v>
      </c>
      <c r="C123" s="75">
        <v>132</v>
      </c>
      <c r="D123" s="83" t="s">
        <v>229</v>
      </c>
      <c r="E123" s="102">
        <v>0</v>
      </c>
      <c r="F123" s="103">
        <v>0.08</v>
      </c>
      <c r="G123" s="103">
        <v>0</v>
      </c>
      <c r="H123" s="104" t="s">
        <v>46</v>
      </c>
      <c r="I123" s="67"/>
      <c r="J123" s="68">
        <f t="shared" si="32"/>
        <v>0.08</v>
      </c>
      <c r="K123" s="68">
        <f t="shared" si="33"/>
        <v>0</v>
      </c>
      <c r="L123" s="69"/>
      <c r="M123" s="84">
        <f t="shared" si="35"/>
        <v>0</v>
      </c>
      <c r="N123" s="84">
        <f t="shared" si="36"/>
        <v>0</v>
      </c>
      <c r="O123" s="84">
        <f t="shared" si="37"/>
        <v>0</v>
      </c>
      <c r="P123" s="85">
        <f t="shared" si="40"/>
        <v>0</v>
      </c>
      <c r="Q123" s="78" t="str">
        <f t="shared" si="51"/>
        <v/>
      </c>
      <c r="R123" s="79" t="str">
        <f>IF(OR($AI123="",ISNUMBER($AI123)=FALSE),"",IF(AND(#REF!="Tolerance",$E123&lt;&gt;""),($O123-$E123)/(($J123-$K123)/2),IF(AND(#REF!="GD&amp;T",$F123&lt;&gt;""),$O123/$F123,"")))</f>
        <v/>
      </c>
      <c r="S123" s="79" t="str">
        <f t="shared" si="39"/>
        <v/>
      </c>
      <c r="T123" s="78" t="str">
        <f t="shared" si="52"/>
        <v/>
      </c>
      <c r="U123" s="78" t="str">
        <f t="shared" si="53"/>
        <v/>
      </c>
      <c r="V123" s="78" t="str">
        <f t="shared" si="54"/>
        <v/>
      </c>
      <c r="W123" s="70" t="str">
        <f t="shared" si="55"/>
        <v/>
      </c>
      <c r="X123" s="71" t="e">
        <f>IF($O123="","",IF(#REF!="Tolerance",IF((#REF!*3*P123+O123)-E123&lt;F123,"",(#REF!*3*P123+O123)-E123),IF(OR(#REF!="GD&amp;T",#REF!="MAX"),IF((#REF!*3*P123+O123)&lt;F123,"",(#REF!*3*P123+O123)),"")))</f>
        <v>#REF!</v>
      </c>
      <c r="Y123" s="71" t="e">
        <f>IF(O123="","",IF(#REF!="Tolerance",IF(-((#REF!*3*P123)-O123)-E123&gt;G123,"",-((#REF!*3*P123)-O123)-E123),IF(#REF!="MIN",IF(-((#REF!*3*P123)-O123)&gt;G123,"",-((#REF!*3*P123)-O123)),"")))</f>
        <v>#REF!</v>
      </c>
      <c r="Z123" s="71">
        <f t="shared" si="56"/>
        <v>0.04</v>
      </c>
      <c r="AA123" s="71" t="str">
        <f t="shared" si="38"/>
        <v/>
      </c>
      <c r="AB123" s="80"/>
      <c r="AC123" s="81" t="str">
        <f t="shared" si="34"/>
        <v/>
      </c>
      <c r="AD123" s="115"/>
      <c r="AE123" s="72"/>
      <c r="AF123" s="72"/>
      <c r="AG123" s="73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</row>
    <row r="124" spans="2:66" ht="19.2" customHeight="1">
      <c r="B124" s="86" t="s">
        <v>253</v>
      </c>
      <c r="C124" s="75">
        <v>140</v>
      </c>
      <c r="D124" s="83" t="s">
        <v>45</v>
      </c>
      <c r="E124" s="102">
        <v>6.0999999999999999E-2</v>
      </c>
      <c r="F124" s="103">
        <v>0.03</v>
      </c>
      <c r="G124" s="103">
        <v>-0.03</v>
      </c>
      <c r="H124" s="104" t="s">
        <v>46</v>
      </c>
      <c r="I124" s="67"/>
      <c r="J124" s="68">
        <f t="shared" si="32"/>
        <v>9.0999999999999998E-2</v>
      </c>
      <c r="K124" s="68">
        <f t="shared" si="33"/>
        <v>3.1E-2</v>
      </c>
      <c r="L124" s="69"/>
      <c r="M124" s="84">
        <f t="shared" si="35"/>
        <v>0</v>
      </c>
      <c r="N124" s="84">
        <f t="shared" si="36"/>
        <v>0</v>
      </c>
      <c r="O124" s="84">
        <f t="shared" si="37"/>
        <v>0</v>
      </c>
      <c r="P124" s="85">
        <f t="shared" si="40"/>
        <v>0</v>
      </c>
      <c r="Q124" s="78" t="str">
        <f t="shared" si="51"/>
        <v/>
      </c>
      <c r="R124" s="79" t="str">
        <f>IF(OR($AI124="",ISNUMBER($AI124)=FALSE),"",IF(AND(#REF!="Tolerance",$E124&lt;&gt;""),($O124-$E124)/(($J124-$K124)/2),IF(AND(#REF!="GD&amp;T",$F124&lt;&gt;""),$O124/$F124,"")))</f>
        <v/>
      </c>
      <c r="S124" s="79" t="str">
        <f t="shared" si="39"/>
        <v/>
      </c>
      <c r="T124" s="78" t="str">
        <f t="shared" si="52"/>
        <v/>
      </c>
      <c r="U124" s="78" t="str">
        <f t="shared" si="53"/>
        <v/>
      </c>
      <c r="V124" s="78" t="str">
        <f t="shared" si="54"/>
        <v/>
      </c>
      <c r="W124" s="70" t="str">
        <f t="shared" si="55"/>
        <v/>
      </c>
      <c r="X124" s="71" t="e">
        <f>IF($O124="","",IF(#REF!="Tolerance",IF((#REF!*3*P124+O124)-E124&lt;F124,"",(#REF!*3*P124+O124)-E124),IF(OR(#REF!="GD&amp;T",#REF!="MAX"),IF((#REF!*3*P124+O124)&lt;F124,"",(#REF!*3*P124+O124)),"")))</f>
        <v>#REF!</v>
      </c>
      <c r="Y124" s="71" t="e">
        <f>IF(O124="","",IF(#REF!="Tolerance",IF(-((#REF!*3*P124)-O124)-E124&gt;G124,"",-((#REF!*3*P124)-O124)-E124),IF(#REF!="MIN",IF(-((#REF!*3*P124)-O124)&gt;G124,"",-((#REF!*3*P124)-O124)),"")))</f>
        <v>#REF!</v>
      </c>
      <c r="Z124" s="71">
        <f t="shared" si="56"/>
        <v>6.0999999999999999E-2</v>
      </c>
      <c r="AA124" s="71" t="str">
        <f t="shared" si="38"/>
        <v/>
      </c>
      <c r="AB124" s="80"/>
      <c r="AC124" s="81" t="str">
        <f t="shared" si="34"/>
        <v/>
      </c>
      <c r="AD124" s="115"/>
      <c r="AE124" s="72"/>
      <c r="AF124" s="72"/>
      <c r="AG124" s="73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</row>
    <row r="125" spans="2:66" ht="19.2" customHeight="1">
      <c r="B125" s="86" t="s">
        <v>254</v>
      </c>
      <c r="C125" s="75">
        <v>141</v>
      </c>
      <c r="D125" s="83" t="s">
        <v>45</v>
      </c>
      <c r="E125" s="102">
        <v>0.28000000000000003</v>
      </c>
      <c r="F125" s="103">
        <v>0.03</v>
      </c>
      <c r="G125" s="103">
        <v>-0.03</v>
      </c>
      <c r="H125" s="104" t="s">
        <v>46</v>
      </c>
      <c r="I125" s="67"/>
      <c r="J125" s="68">
        <f t="shared" si="32"/>
        <v>0.31000000000000005</v>
      </c>
      <c r="K125" s="68">
        <f t="shared" si="33"/>
        <v>0.25</v>
      </c>
      <c r="L125" s="69"/>
      <c r="M125" s="84">
        <f t="shared" si="35"/>
        <v>0</v>
      </c>
      <c r="N125" s="84">
        <f t="shared" si="36"/>
        <v>0</v>
      </c>
      <c r="O125" s="84">
        <f t="shared" si="37"/>
        <v>0</v>
      </c>
      <c r="P125" s="85">
        <f t="shared" si="40"/>
        <v>0</v>
      </c>
      <c r="Q125" s="78" t="str">
        <f t="shared" si="51"/>
        <v/>
      </c>
      <c r="R125" s="79" t="str">
        <f>IF(OR($AI125="",ISNUMBER($AI125)=FALSE),"",IF(AND(#REF!="Tolerance",$E125&lt;&gt;""),($O125-$E125)/(($J125-$K125)/2),IF(AND(#REF!="GD&amp;T",$F125&lt;&gt;""),$O125/$F125,"")))</f>
        <v/>
      </c>
      <c r="S125" s="79" t="str">
        <f t="shared" si="39"/>
        <v/>
      </c>
      <c r="T125" s="78" t="str">
        <f t="shared" si="52"/>
        <v/>
      </c>
      <c r="U125" s="78" t="str">
        <f t="shared" si="53"/>
        <v/>
      </c>
      <c r="V125" s="78" t="str">
        <f t="shared" si="54"/>
        <v/>
      </c>
      <c r="W125" s="70" t="str">
        <f t="shared" si="55"/>
        <v/>
      </c>
      <c r="X125" s="71" t="e">
        <f>IF($O125="","",IF(#REF!="Tolerance",IF((#REF!*3*P125+O125)-E125&lt;F125,"",(#REF!*3*P125+O125)-E125),IF(OR(#REF!="GD&amp;T",#REF!="MAX"),IF((#REF!*3*P125+O125)&lt;F125,"",(#REF!*3*P125+O125)),"")))</f>
        <v>#REF!</v>
      </c>
      <c r="Y125" s="71" t="e">
        <f>IF(O125="","",IF(#REF!="Tolerance",IF(-((#REF!*3*P125)-O125)-E125&gt;G125,"",-((#REF!*3*P125)-O125)-E125),IF(#REF!="MIN",IF(-((#REF!*3*P125)-O125)&gt;G125,"",-((#REF!*3*P125)-O125)),"")))</f>
        <v>#REF!</v>
      </c>
      <c r="Z125" s="71">
        <f t="shared" si="56"/>
        <v>0.28000000000000003</v>
      </c>
      <c r="AA125" s="71" t="str">
        <f t="shared" si="38"/>
        <v/>
      </c>
      <c r="AB125" s="80"/>
      <c r="AC125" s="81" t="str">
        <f t="shared" si="34"/>
        <v/>
      </c>
      <c r="AD125" s="115"/>
      <c r="AE125" s="72"/>
      <c r="AF125" s="72"/>
      <c r="AG125" s="73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</row>
    <row r="126" spans="2:66" ht="19.2" customHeight="1">
      <c r="B126" s="86" t="s">
        <v>255</v>
      </c>
      <c r="C126" s="75">
        <v>143</v>
      </c>
      <c r="D126" s="83" t="s">
        <v>230</v>
      </c>
      <c r="E126" s="102">
        <v>0</v>
      </c>
      <c r="F126" s="103">
        <v>0.17</v>
      </c>
      <c r="G126" s="102">
        <v>0</v>
      </c>
      <c r="H126" s="104" t="s">
        <v>46</v>
      </c>
      <c r="I126" s="67"/>
      <c r="J126" s="68">
        <f t="shared" si="32"/>
        <v>0.17</v>
      </c>
      <c r="K126" s="68">
        <f t="shared" si="33"/>
        <v>0</v>
      </c>
      <c r="L126" s="69"/>
      <c r="M126" s="84">
        <f t="shared" si="35"/>
        <v>0</v>
      </c>
      <c r="N126" s="84">
        <f t="shared" si="36"/>
        <v>0</v>
      </c>
      <c r="O126" s="84">
        <f t="shared" si="37"/>
        <v>0</v>
      </c>
      <c r="P126" s="85">
        <f t="shared" si="40"/>
        <v>0</v>
      </c>
      <c r="Q126" s="78" t="str">
        <f t="shared" si="51"/>
        <v/>
      </c>
      <c r="R126" s="79" t="str">
        <f>IF(OR($AI126="",ISNUMBER($AI126)=FALSE),"",IF(AND(#REF!="Tolerance",$E126&lt;&gt;""),($O126-$E126)/(($J126-$K126)/2),IF(AND(#REF!="GD&amp;T",$F126&lt;&gt;""),$O126/$F126,"")))</f>
        <v/>
      </c>
      <c r="S126" s="79" t="str">
        <f t="shared" si="39"/>
        <v/>
      </c>
      <c r="T126" s="78" t="str">
        <f t="shared" si="52"/>
        <v/>
      </c>
      <c r="U126" s="78" t="str">
        <f t="shared" si="53"/>
        <v/>
      </c>
      <c r="V126" s="78" t="str">
        <f t="shared" si="54"/>
        <v/>
      </c>
      <c r="W126" s="70" t="str">
        <f t="shared" si="55"/>
        <v/>
      </c>
      <c r="X126" s="71" t="e">
        <f>IF($O126="","",IF(#REF!="Tolerance",IF((#REF!*3*P126+O126)-E126&lt;F126,"",(#REF!*3*P126+O126)-E126),IF(OR(#REF!="GD&amp;T",#REF!="MAX"),IF((#REF!*3*P126+O126)&lt;F126,"",(#REF!*3*P126+O126)),"")))</f>
        <v>#REF!</v>
      </c>
      <c r="Y126" s="71" t="e">
        <f>IF(O126="","",IF(#REF!="Tolerance",IF(-((#REF!*3*P126)-O126)-E126&gt;G126,"",-((#REF!*3*P126)-O126)-E126),IF(#REF!="MIN",IF(-((#REF!*3*P126)-O126)&gt;G126,"",-((#REF!*3*P126)-O126)),"")))</f>
        <v>#REF!</v>
      </c>
      <c r="Z126" s="71">
        <f t="shared" si="56"/>
        <v>8.5000000000000006E-2</v>
      </c>
      <c r="AA126" s="71" t="str">
        <f t="shared" si="38"/>
        <v/>
      </c>
      <c r="AB126" s="80"/>
      <c r="AC126" s="81" t="str">
        <f t="shared" si="34"/>
        <v/>
      </c>
      <c r="AD126" s="115"/>
      <c r="AE126" s="72"/>
      <c r="AF126" s="72"/>
      <c r="AG126" s="73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  <c r="BF126" s="105"/>
      <c r="BG126" s="105"/>
      <c r="BH126" s="105"/>
      <c r="BI126" s="105"/>
      <c r="BJ126" s="105"/>
      <c r="BK126" s="105"/>
      <c r="BL126" s="105"/>
      <c r="BM126" s="105"/>
      <c r="BN126" s="105"/>
    </row>
    <row r="127" spans="2:66" ht="19.2" customHeight="1">
      <c r="B127" s="66" t="s">
        <v>256</v>
      </c>
      <c r="C127" s="75">
        <v>144</v>
      </c>
      <c r="D127" s="83" t="s">
        <v>230</v>
      </c>
      <c r="E127" s="102">
        <v>0</v>
      </c>
      <c r="F127" s="103">
        <v>0.14000000000000001</v>
      </c>
      <c r="G127" s="102">
        <v>0</v>
      </c>
      <c r="H127" s="104" t="s">
        <v>46</v>
      </c>
      <c r="I127" s="67"/>
      <c r="J127" s="68">
        <f t="shared" si="32"/>
        <v>0.14000000000000001</v>
      </c>
      <c r="K127" s="68">
        <f t="shared" si="33"/>
        <v>0</v>
      </c>
      <c r="L127" s="69"/>
      <c r="M127" s="84">
        <f t="shared" si="35"/>
        <v>0</v>
      </c>
      <c r="N127" s="84">
        <f t="shared" si="36"/>
        <v>0</v>
      </c>
      <c r="O127" s="84">
        <f t="shared" si="37"/>
        <v>0</v>
      </c>
      <c r="P127" s="85">
        <f t="shared" si="40"/>
        <v>0</v>
      </c>
      <c r="Q127" s="78" t="str">
        <f t="shared" si="51"/>
        <v/>
      </c>
      <c r="R127" s="79" t="str">
        <f>IF(OR($AI127="",ISNUMBER($AI127)=FALSE),"",IF(AND(#REF!="Tolerance",$E127&lt;&gt;""),($O127-$E127)/(($J127-$K127)/2),IF(AND(#REF!="GD&amp;T",$F127&lt;&gt;""),$O127/$F127,"")))</f>
        <v/>
      </c>
      <c r="S127" s="79" t="str">
        <f t="shared" si="39"/>
        <v/>
      </c>
      <c r="T127" s="78" t="str">
        <f t="shared" si="52"/>
        <v/>
      </c>
      <c r="U127" s="78" t="str">
        <f t="shared" si="53"/>
        <v/>
      </c>
      <c r="V127" s="78" t="str">
        <f t="shared" si="54"/>
        <v/>
      </c>
      <c r="W127" s="70" t="str">
        <f t="shared" si="55"/>
        <v/>
      </c>
      <c r="X127" s="71" t="e">
        <f>IF($O127="","",IF(#REF!="Tolerance",IF((#REF!*3*P127+O127)-E127&lt;F127,"",(#REF!*3*P127+O127)-E127),IF(OR(#REF!="GD&amp;T",#REF!="MAX"),IF((#REF!*3*P127+O127)&lt;F127,"",(#REF!*3*P127+O127)),"")))</f>
        <v>#REF!</v>
      </c>
      <c r="Y127" s="71" t="e">
        <f>IF(O127="","",IF(#REF!="Tolerance",IF(-((#REF!*3*P127)-O127)-E127&gt;G127,"",-((#REF!*3*P127)-O127)-E127),IF(#REF!="MIN",IF(-((#REF!*3*P127)-O127)&gt;G127,"",-((#REF!*3*P127)-O127)),"")))</f>
        <v>#REF!</v>
      </c>
      <c r="Z127" s="71">
        <f t="shared" si="56"/>
        <v>7.0000000000000007E-2</v>
      </c>
      <c r="AA127" s="71" t="str">
        <f t="shared" si="38"/>
        <v/>
      </c>
      <c r="AB127" s="80"/>
      <c r="AC127" s="81" t="str">
        <f t="shared" si="34"/>
        <v/>
      </c>
      <c r="AD127" s="115"/>
      <c r="AE127" s="72"/>
      <c r="AF127" s="72"/>
      <c r="AG127" s="73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</row>
    <row r="128" spans="2:66" ht="19.2" customHeight="1">
      <c r="B128" s="66" t="s">
        <v>257</v>
      </c>
      <c r="C128" s="75" t="s">
        <v>224</v>
      </c>
      <c r="D128" s="83" t="s">
        <v>294</v>
      </c>
      <c r="E128" s="102">
        <v>0</v>
      </c>
      <c r="F128" s="103">
        <v>0.05</v>
      </c>
      <c r="G128" s="102">
        <v>0</v>
      </c>
      <c r="H128" s="104" t="s">
        <v>46</v>
      </c>
      <c r="I128" s="67"/>
      <c r="J128" s="68">
        <f t="shared" si="32"/>
        <v>0.05</v>
      </c>
      <c r="K128" s="68">
        <f t="shared" si="33"/>
        <v>0</v>
      </c>
      <c r="L128" s="69"/>
      <c r="M128" s="84">
        <f t="shared" si="35"/>
        <v>0</v>
      </c>
      <c r="N128" s="84">
        <f t="shared" si="36"/>
        <v>0</v>
      </c>
      <c r="O128" s="84">
        <f t="shared" si="37"/>
        <v>0</v>
      </c>
      <c r="P128" s="85">
        <f t="shared" si="40"/>
        <v>0</v>
      </c>
      <c r="Q128" s="78" t="str">
        <f t="shared" si="51"/>
        <v/>
      </c>
      <c r="R128" s="79" t="str">
        <f>IF(OR($AI128="",ISNUMBER($AI128)=FALSE),"",IF(AND(#REF!="Tolerance",$E128&lt;&gt;""),($O128-$E128)/(($J128-$K128)/2),IF(AND(#REF!="GD&amp;T",$F128&lt;&gt;""),$O128/$F128,"")))</f>
        <v/>
      </c>
      <c r="S128" s="79" t="str">
        <f t="shared" si="39"/>
        <v/>
      </c>
      <c r="T128" s="78" t="str">
        <f t="shared" si="52"/>
        <v/>
      </c>
      <c r="U128" s="78" t="str">
        <f t="shared" si="53"/>
        <v/>
      </c>
      <c r="V128" s="78" t="str">
        <f t="shared" si="54"/>
        <v/>
      </c>
      <c r="W128" s="70" t="str">
        <f t="shared" si="55"/>
        <v/>
      </c>
      <c r="X128" s="71" t="e">
        <f>IF($O128="","",IF(#REF!="Tolerance",IF((#REF!*3*P128+O128)-E128&lt;F128,"",(#REF!*3*P128+O128)-E128),IF(OR(#REF!="GD&amp;T",#REF!="MAX"),IF((#REF!*3*P128+O128)&lt;F128,"",(#REF!*3*P128+O128)),"")))</f>
        <v>#REF!</v>
      </c>
      <c r="Y128" s="71" t="e">
        <f>IF(O128="","",IF(#REF!="Tolerance",IF(-((#REF!*3*P128)-O128)-E128&gt;G128,"",-((#REF!*3*P128)-O128)-E128),IF(#REF!="MIN",IF(-((#REF!*3*P128)-O128)&gt;G128,"",-((#REF!*3*P128)-O128)),"")))</f>
        <v>#REF!</v>
      </c>
      <c r="Z128" s="71">
        <f t="shared" si="56"/>
        <v>2.5000000000000001E-2</v>
      </c>
      <c r="AA128" s="71" t="str">
        <f t="shared" si="38"/>
        <v/>
      </c>
      <c r="AB128" s="80"/>
      <c r="AC128" s="81" t="str">
        <f t="shared" si="34"/>
        <v/>
      </c>
      <c r="AD128" s="115"/>
      <c r="AE128" s="72"/>
      <c r="AF128" s="72"/>
      <c r="AG128" s="73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</row>
    <row r="129" spans="2:66" ht="19.2" customHeight="1">
      <c r="B129" s="66" t="s">
        <v>257</v>
      </c>
      <c r="C129" s="75" t="s">
        <v>225</v>
      </c>
      <c r="D129" s="83" t="s">
        <v>294</v>
      </c>
      <c r="E129" s="102">
        <v>0</v>
      </c>
      <c r="F129" s="103">
        <v>0.05</v>
      </c>
      <c r="G129" s="102">
        <v>0</v>
      </c>
      <c r="H129" s="104" t="s">
        <v>46</v>
      </c>
      <c r="I129" s="67"/>
      <c r="J129" s="68">
        <f t="shared" si="32"/>
        <v>0.05</v>
      </c>
      <c r="K129" s="68">
        <f t="shared" si="33"/>
        <v>0</v>
      </c>
      <c r="L129" s="69"/>
      <c r="M129" s="84">
        <f t="shared" si="35"/>
        <v>0</v>
      </c>
      <c r="N129" s="84">
        <f t="shared" si="36"/>
        <v>0</v>
      </c>
      <c r="O129" s="84">
        <f t="shared" si="37"/>
        <v>0</v>
      </c>
      <c r="P129" s="85">
        <f t="shared" si="40"/>
        <v>0</v>
      </c>
      <c r="Q129" s="78" t="str">
        <f t="shared" si="51"/>
        <v/>
      </c>
      <c r="R129" s="79" t="str">
        <f>IF(OR($AI129="",ISNUMBER($AI129)=FALSE),"",IF(AND(#REF!="Tolerance",$E129&lt;&gt;""),($O129-$E129)/(($J129-$K129)/2),IF(AND(#REF!="GD&amp;T",$F129&lt;&gt;""),$O129/$F129,"")))</f>
        <v/>
      </c>
      <c r="S129" s="79" t="str">
        <f t="shared" si="39"/>
        <v/>
      </c>
      <c r="T129" s="78" t="str">
        <f t="shared" si="52"/>
        <v/>
      </c>
      <c r="U129" s="78" t="str">
        <f t="shared" si="53"/>
        <v/>
      </c>
      <c r="V129" s="78" t="str">
        <f t="shared" si="54"/>
        <v/>
      </c>
      <c r="W129" s="70" t="str">
        <f t="shared" si="55"/>
        <v/>
      </c>
      <c r="X129" s="71" t="e">
        <f>IF($O129="","",IF(#REF!="Tolerance",IF((#REF!*3*P129+O129)-E129&lt;F129,"",(#REF!*3*P129+O129)-E129),IF(OR(#REF!="GD&amp;T",#REF!="MAX"),IF((#REF!*3*P129+O129)&lt;F129,"",(#REF!*3*P129+O129)),"")))</f>
        <v>#REF!</v>
      </c>
      <c r="Y129" s="71" t="e">
        <f>IF(O129="","",IF(#REF!="Tolerance",IF(-((#REF!*3*P129)-O129)-E129&gt;G129,"",-((#REF!*3*P129)-O129)-E129),IF(#REF!="MIN",IF(-((#REF!*3*P129)-O129)&gt;G129,"",-((#REF!*3*P129)-O129)),"")))</f>
        <v>#REF!</v>
      </c>
      <c r="Z129" s="71">
        <f t="shared" si="56"/>
        <v>2.5000000000000001E-2</v>
      </c>
      <c r="AA129" s="71" t="str">
        <f t="shared" si="38"/>
        <v/>
      </c>
      <c r="AB129" s="80"/>
      <c r="AC129" s="81" t="str">
        <f t="shared" si="34"/>
        <v/>
      </c>
      <c r="AD129" s="115"/>
      <c r="AE129" s="72"/>
      <c r="AF129" s="72"/>
      <c r="AG129" s="73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</row>
    <row r="130" spans="2:66" ht="19.2" customHeight="1">
      <c r="B130" s="66" t="s">
        <v>257</v>
      </c>
      <c r="C130" s="75" t="s">
        <v>226</v>
      </c>
      <c r="D130" s="83" t="s">
        <v>294</v>
      </c>
      <c r="E130" s="102">
        <v>0</v>
      </c>
      <c r="F130" s="103">
        <v>0.05</v>
      </c>
      <c r="G130" s="102">
        <v>0</v>
      </c>
      <c r="H130" s="104" t="s">
        <v>46</v>
      </c>
      <c r="I130" s="67"/>
      <c r="J130" s="68">
        <f t="shared" si="32"/>
        <v>0.05</v>
      </c>
      <c r="K130" s="68">
        <f t="shared" si="33"/>
        <v>0</v>
      </c>
      <c r="L130" s="69"/>
      <c r="M130" s="84">
        <f t="shared" si="35"/>
        <v>0</v>
      </c>
      <c r="N130" s="84">
        <f t="shared" si="36"/>
        <v>0</v>
      </c>
      <c r="O130" s="84">
        <f t="shared" si="37"/>
        <v>0</v>
      </c>
      <c r="P130" s="85">
        <f t="shared" si="40"/>
        <v>0</v>
      </c>
      <c r="Q130" s="78" t="str">
        <f t="shared" si="51"/>
        <v/>
      </c>
      <c r="R130" s="79" t="str">
        <f>IF(OR($AI130="",ISNUMBER($AI130)=FALSE),"",IF(AND(#REF!="Tolerance",$E130&lt;&gt;""),($O130-$E130)/(($J130-$K130)/2),IF(AND(#REF!="GD&amp;T",$F130&lt;&gt;""),$O130/$F130,"")))</f>
        <v/>
      </c>
      <c r="S130" s="79" t="str">
        <f t="shared" si="39"/>
        <v/>
      </c>
      <c r="T130" s="78" t="str">
        <f t="shared" si="52"/>
        <v/>
      </c>
      <c r="U130" s="78" t="str">
        <f t="shared" si="53"/>
        <v/>
      </c>
      <c r="V130" s="78" t="str">
        <f t="shared" si="54"/>
        <v/>
      </c>
      <c r="W130" s="70" t="str">
        <f t="shared" si="55"/>
        <v/>
      </c>
      <c r="X130" s="71" t="e">
        <f>IF($O130="","",IF(#REF!="Tolerance",IF((#REF!*3*P130+O130)-E130&lt;F130,"",(#REF!*3*P130+O130)-E130),IF(OR(#REF!="GD&amp;T",#REF!="MAX"),IF((#REF!*3*P130+O130)&lt;F130,"",(#REF!*3*P130+O130)),"")))</f>
        <v>#REF!</v>
      </c>
      <c r="Y130" s="71" t="e">
        <f>IF(O130="","",IF(#REF!="Tolerance",IF(-((#REF!*3*P130)-O130)-E130&gt;G130,"",-((#REF!*3*P130)-O130)-E130),IF(#REF!="MIN",IF(-((#REF!*3*P130)-O130)&gt;G130,"",-((#REF!*3*P130)-O130)),"")))</f>
        <v>#REF!</v>
      </c>
      <c r="Z130" s="71">
        <f t="shared" si="56"/>
        <v>2.5000000000000001E-2</v>
      </c>
      <c r="AA130" s="71" t="str">
        <f t="shared" si="38"/>
        <v/>
      </c>
      <c r="AB130" s="80"/>
      <c r="AC130" s="81" t="str">
        <f t="shared" si="34"/>
        <v/>
      </c>
      <c r="AD130" s="115"/>
      <c r="AE130" s="72"/>
      <c r="AF130" s="72"/>
      <c r="AG130" s="73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  <c r="BF130" s="105"/>
      <c r="BG130" s="105"/>
      <c r="BH130" s="105"/>
      <c r="BI130" s="105"/>
      <c r="BJ130" s="105"/>
      <c r="BK130" s="105"/>
      <c r="BL130" s="105"/>
      <c r="BM130" s="105"/>
      <c r="BN130" s="105"/>
    </row>
    <row r="131" spans="2:66" ht="19.2" customHeight="1">
      <c r="B131" s="66" t="s">
        <v>258</v>
      </c>
      <c r="C131" s="75" t="s">
        <v>308</v>
      </c>
      <c r="D131" s="83" t="s">
        <v>294</v>
      </c>
      <c r="E131" s="102">
        <v>0</v>
      </c>
      <c r="F131" s="103">
        <v>0.05</v>
      </c>
      <c r="G131" s="102">
        <v>0</v>
      </c>
      <c r="H131" s="104" t="s">
        <v>46</v>
      </c>
      <c r="I131" s="67"/>
      <c r="J131" s="68">
        <f t="shared" si="32"/>
        <v>0.05</v>
      </c>
      <c r="K131" s="68">
        <f t="shared" si="33"/>
        <v>0</v>
      </c>
      <c r="L131" s="69"/>
      <c r="M131" s="84">
        <f t="shared" si="35"/>
        <v>0</v>
      </c>
      <c r="N131" s="84">
        <f t="shared" si="36"/>
        <v>0</v>
      </c>
      <c r="O131" s="84">
        <f t="shared" si="37"/>
        <v>0</v>
      </c>
      <c r="P131" s="85">
        <f t="shared" si="40"/>
        <v>0</v>
      </c>
      <c r="Q131" s="78" t="str">
        <f t="shared" si="51"/>
        <v/>
      </c>
      <c r="R131" s="79" t="str">
        <f>IF(OR($AI131="",ISNUMBER($AI131)=FALSE),"",IF(AND(#REF!="Tolerance",$E131&lt;&gt;""),($O131-$E131)/(($J131-$K131)/2),IF(AND(#REF!="GD&amp;T",$F131&lt;&gt;""),$O131/$F131,"")))</f>
        <v/>
      </c>
      <c r="S131" s="79" t="str">
        <f t="shared" si="39"/>
        <v/>
      </c>
      <c r="T131" s="78" t="str">
        <f t="shared" si="52"/>
        <v/>
      </c>
      <c r="U131" s="78" t="str">
        <f t="shared" si="53"/>
        <v/>
      </c>
      <c r="V131" s="78" t="str">
        <f t="shared" si="54"/>
        <v/>
      </c>
      <c r="W131" s="70" t="str">
        <f t="shared" si="55"/>
        <v/>
      </c>
      <c r="X131" s="71" t="e">
        <f>IF($O131="","",IF(#REF!="Tolerance",IF((#REF!*3*P131+O131)-E131&lt;F131,"",(#REF!*3*P131+O131)-E131),IF(OR(#REF!="GD&amp;T",#REF!="MAX"),IF((#REF!*3*P131+O131)&lt;F131,"",(#REF!*3*P131+O131)),"")))</f>
        <v>#REF!</v>
      </c>
      <c r="Y131" s="71" t="e">
        <f>IF(O131="","",IF(#REF!="Tolerance",IF(-((#REF!*3*P131)-O131)-E131&gt;G131,"",-((#REF!*3*P131)-O131)-E131),IF(#REF!="MIN",IF(-((#REF!*3*P131)-O131)&gt;G131,"",-((#REF!*3*P131)-O131)),"")))</f>
        <v>#REF!</v>
      </c>
      <c r="Z131" s="71">
        <f t="shared" si="56"/>
        <v>2.5000000000000001E-2</v>
      </c>
      <c r="AA131" s="71" t="str">
        <f t="shared" si="38"/>
        <v/>
      </c>
      <c r="AB131" s="80"/>
      <c r="AC131" s="81" t="str">
        <f t="shared" si="34"/>
        <v/>
      </c>
      <c r="AD131" s="115"/>
      <c r="AE131" s="72"/>
      <c r="AF131" s="72"/>
      <c r="AG131" s="73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</row>
    <row r="132" spans="2:66" ht="19.2" customHeight="1">
      <c r="B132" s="66" t="s">
        <v>258</v>
      </c>
      <c r="C132" s="75" t="s">
        <v>292</v>
      </c>
      <c r="D132" s="83" t="s">
        <v>294</v>
      </c>
      <c r="E132" s="102">
        <v>0</v>
      </c>
      <c r="F132" s="103">
        <v>0.05</v>
      </c>
      <c r="G132" s="102">
        <v>0</v>
      </c>
      <c r="H132" s="104" t="s">
        <v>46</v>
      </c>
      <c r="I132" s="67"/>
      <c r="J132" s="68">
        <f t="shared" si="32"/>
        <v>0.05</v>
      </c>
      <c r="K132" s="68">
        <f t="shared" si="33"/>
        <v>0</v>
      </c>
      <c r="L132" s="69"/>
      <c r="M132" s="84">
        <f t="shared" si="35"/>
        <v>0</v>
      </c>
      <c r="N132" s="84">
        <f t="shared" si="36"/>
        <v>0</v>
      </c>
      <c r="O132" s="84">
        <f t="shared" si="37"/>
        <v>0</v>
      </c>
      <c r="P132" s="85">
        <f t="shared" si="40"/>
        <v>0</v>
      </c>
      <c r="Q132" s="78" t="str">
        <f t="shared" si="51"/>
        <v/>
      </c>
      <c r="R132" s="79" t="str">
        <f>IF(OR($AI132="",ISNUMBER($AI132)=FALSE),"",IF(AND(#REF!="Tolerance",$E132&lt;&gt;""),($O132-$E132)/(($J132-$K132)/2),IF(AND(#REF!="GD&amp;T",$F132&lt;&gt;""),$O132/$F132,"")))</f>
        <v/>
      </c>
      <c r="S132" s="79" t="str">
        <f t="shared" si="39"/>
        <v/>
      </c>
      <c r="T132" s="78" t="str">
        <f t="shared" si="52"/>
        <v/>
      </c>
      <c r="U132" s="78" t="str">
        <f t="shared" si="53"/>
        <v/>
      </c>
      <c r="V132" s="78" t="str">
        <f t="shared" si="54"/>
        <v/>
      </c>
      <c r="W132" s="70" t="str">
        <f t="shared" si="55"/>
        <v/>
      </c>
      <c r="X132" s="71" t="e">
        <f>IF($O132="","",IF(#REF!="Tolerance",IF((#REF!*3*P132+O132)-E132&lt;F132,"",(#REF!*3*P132+O132)-E132),IF(OR(#REF!="GD&amp;T",#REF!="MAX"),IF((#REF!*3*P132+O132)&lt;F132,"",(#REF!*3*P132+O132)),"")))</f>
        <v>#REF!</v>
      </c>
      <c r="Y132" s="71" t="e">
        <f>IF(O132="","",IF(#REF!="Tolerance",IF(-((#REF!*3*P132)-O132)-E132&gt;G132,"",-((#REF!*3*P132)-O132)-E132),IF(#REF!="MIN",IF(-((#REF!*3*P132)-O132)&gt;G132,"",-((#REF!*3*P132)-O132)),"")))</f>
        <v>#REF!</v>
      </c>
      <c r="Z132" s="71">
        <f t="shared" si="56"/>
        <v>2.5000000000000001E-2</v>
      </c>
      <c r="AA132" s="71" t="str">
        <f t="shared" si="38"/>
        <v/>
      </c>
      <c r="AB132" s="80"/>
      <c r="AC132" s="81" t="str">
        <f t="shared" si="34"/>
        <v/>
      </c>
      <c r="AD132" s="115"/>
      <c r="AE132" s="72"/>
      <c r="AF132" s="72"/>
      <c r="AG132" s="73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</row>
    <row r="133" spans="2:66" ht="19.2" customHeight="1">
      <c r="B133" s="86" t="s">
        <v>258</v>
      </c>
      <c r="C133" s="75" t="s">
        <v>293</v>
      </c>
      <c r="D133" s="83" t="s">
        <v>294</v>
      </c>
      <c r="E133" s="102">
        <v>0</v>
      </c>
      <c r="F133" s="103">
        <v>0.05</v>
      </c>
      <c r="G133" s="102">
        <v>0</v>
      </c>
      <c r="H133" s="104" t="s">
        <v>46</v>
      </c>
      <c r="I133" s="67"/>
      <c r="J133" s="68">
        <f t="shared" si="32"/>
        <v>0.05</v>
      </c>
      <c r="K133" s="68">
        <f t="shared" si="33"/>
        <v>0</v>
      </c>
      <c r="L133" s="69"/>
      <c r="M133" s="84">
        <f t="shared" ref="M133:M140" si="57">IF(OR($AI133=ISBLANK(TRUE),ISNUMBER($AI133)=FALSE),,MAX(AI133:BN133))</f>
        <v>0</v>
      </c>
      <c r="N133" s="84">
        <f t="shared" ref="N133:N140" si="58">IF(OR($AI133=ISBLANK(TRUE),ISNUMBER($AI133)=FALSE),,MIN(AI133:BN133))</f>
        <v>0</v>
      </c>
      <c r="O133" s="84">
        <f t="shared" ref="O133:O140" si="59">IF(OR($AI133=ISBLANK(TRUE),ISNUMBER($AI133)=FALSE),,AVERAGE(AI133:BN133))</f>
        <v>0</v>
      </c>
      <c r="P133" s="85">
        <f t="shared" si="40"/>
        <v>0</v>
      </c>
      <c r="Q133" s="78" t="str">
        <f t="shared" si="51"/>
        <v/>
      </c>
      <c r="R133" s="79" t="str">
        <f>IF(OR($AI133="",ISNUMBER($AI133)=FALSE),"",IF(AND(#REF!="Tolerance",$E133&lt;&gt;""),($O133-$E133)/(($J133-$K133)/2),IF(AND(#REF!="GD&amp;T",$F133&lt;&gt;""),$O133/$F133,"")))</f>
        <v/>
      </c>
      <c r="S133" s="79" t="str">
        <f t="shared" si="39"/>
        <v/>
      </c>
      <c r="T133" s="78" t="str">
        <f t="shared" si="52"/>
        <v/>
      </c>
      <c r="U133" s="78" t="str">
        <f t="shared" si="53"/>
        <v/>
      </c>
      <c r="V133" s="78" t="str">
        <f t="shared" si="54"/>
        <v/>
      </c>
      <c r="W133" s="70" t="str">
        <f t="shared" si="55"/>
        <v/>
      </c>
      <c r="X133" s="71" t="e">
        <f>IF($O133="","",IF(#REF!="Tolerance",IF((#REF!*3*P133+O133)-E133&lt;F133,"",(#REF!*3*P133+O133)-E133),IF(OR(#REF!="GD&amp;T",#REF!="MAX"),IF((#REF!*3*P133+O133)&lt;F133,"",(#REF!*3*P133+O133)),"")))</f>
        <v>#REF!</v>
      </c>
      <c r="Y133" s="71" t="e">
        <f>IF(O133="","",IF(#REF!="Tolerance",IF(-((#REF!*3*P133)-O133)-E133&gt;G133,"",-((#REF!*3*P133)-O133)-E133),IF(#REF!="MIN",IF(-((#REF!*3*P133)-O133)&gt;G133,"",-((#REF!*3*P133)-O133)),"")))</f>
        <v>#REF!</v>
      </c>
      <c r="Z133" s="71">
        <f t="shared" si="56"/>
        <v>2.5000000000000001E-2</v>
      </c>
      <c r="AA133" s="71" t="str">
        <f t="shared" si="38"/>
        <v/>
      </c>
      <c r="AB133" s="80"/>
      <c r="AC133" s="81" t="str">
        <f t="shared" si="34"/>
        <v/>
      </c>
      <c r="AD133" s="115"/>
      <c r="AE133" s="72"/>
      <c r="AF133" s="72"/>
      <c r="AG133" s="73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</row>
    <row r="134" spans="2:66" ht="19.2" customHeight="1">
      <c r="B134" s="86" t="s">
        <v>309</v>
      </c>
      <c r="C134" s="75">
        <v>147</v>
      </c>
      <c r="D134" s="83" t="s">
        <v>294</v>
      </c>
      <c r="E134" s="102">
        <v>0</v>
      </c>
      <c r="F134" s="103">
        <v>0.02</v>
      </c>
      <c r="G134" s="102">
        <v>0</v>
      </c>
      <c r="H134" s="104" t="s">
        <v>46</v>
      </c>
      <c r="I134" s="67"/>
      <c r="J134" s="68">
        <f t="shared" si="32"/>
        <v>0.02</v>
      </c>
      <c r="K134" s="68">
        <f t="shared" si="33"/>
        <v>0</v>
      </c>
      <c r="L134" s="69"/>
      <c r="M134" s="84">
        <f t="shared" si="57"/>
        <v>0</v>
      </c>
      <c r="N134" s="84">
        <f t="shared" si="58"/>
        <v>0</v>
      </c>
      <c r="O134" s="84">
        <f t="shared" si="59"/>
        <v>0</v>
      </c>
      <c r="P134" s="85">
        <f t="shared" si="40"/>
        <v>0</v>
      </c>
      <c r="Q134" s="78" t="str">
        <f t="shared" si="51"/>
        <v/>
      </c>
      <c r="R134" s="79" t="str">
        <f>IF(OR($AI134="",ISNUMBER($AI134)=FALSE),"",IF(AND(#REF!="Tolerance",$E134&lt;&gt;""),($O134-$E134)/(($J134-$K134)/2),IF(AND(#REF!="GD&amp;T",$F134&lt;&gt;""),$O134/$F134,"")))</f>
        <v/>
      </c>
      <c r="S134" s="79" t="str">
        <f t="shared" si="39"/>
        <v/>
      </c>
      <c r="T134" s="78" t="str">
        <f t="shared" si="52"/>
        <v/>
      </c>
      <c r="U134" s="78" t="str">
        <f t="shared" si="53"/>
        <v/>
      </c>
      <c r="V134" s="78" t="str">
        <f t="shared" si="54"/>
        <v/>
      </c>
      <c r="W134" s="70" t="str">
        <f t="shared" si="55"/>
        <v/>
      </c>
      <c r="X134" s="71" t="e">
        <f>IF($O134="","",IF(#REF!="Tolerance",IF((#REF!*3*P134+O134)-E134&lt;F134,"",(#REF!*3*P134+O134)-E134),IF(OR(#REF!="GD&amp;T",#REF!="MAX"),IF((#REF!*3*P134+O134)&lt;F134,"",(#REF!*3*P134+O134)),"")))</f>
        <v>#REF!</v>
      </c>
      <c r="Y134" s="71" t="e">
        <f>IF(O134="","",IF(#REF!="Tolerance",IF(-((#REF!*3*P134)-O134)-E134&gt;G134,"",-((#REF!*3*P134)-O134)-E134),IF(#REF!="MIN",IF(-((#REF!*3*P134)-O134)&gt;G134,"",-((#REF!*3*P134)-O134)),"")))</f>
        <v>#REF!</v>
      </c>
      <c r="Z134" s="71">
        <f t="shared" si="56"/>
        <v>0.01</v>
      </c>
      <c r="AA134" s="71" t="str">
        <f t="shared" si="38"/>
        <v/>
      </c>
      <c r="AB134" s="80"/>
      <c r="AC134" s="81" t="str">
        <f t="shared" si="34"/>
        <v/>
      </c>
      <c r="AD134" s="115"/>
      <c r="AE134" s="72"/>
      <c r="AF134" s="72"/>
      <c r="AG134" s="73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</row>
    <row r="135" spans="2:66" ht="19.2" customHeight="1">
      <c r="B135" s="86" t="s">
        <v>310</v>
      </c>
      <c r="C135" s="75">
        <v>148</v>
      </c>
      <c r="D135" s="83" t="s">
        <v>297</v>
      </c>
      <c r="E135" s="102">
        <v>0</v>
      </c>
      <c r="F135" s="103">
        <v>0.02</v>
      </c>
      <c r="G135" s="102">
        <v>0</v>
      </c>
      <c r="H135" s="104" t="s">
        <v>46</v>
      </c>
      <c r="I135" s="67"/>
      <c r="J135" s="68">
        <f t="shared" ref="J135:J140" si="60">E135+F135</f>
        <v>0.02</v>
      </c>
      <c r="K135" s="68">
        <f t="shared" ref="K135:K140" si="61">E135+G135</f>
        <v>0</v>
      </c>
      <c r="L135" s="69"/>
      <c r="M135" s="84">
        <f t="shared" si="57"/>
        <v>0</v>
      </c>
      <c r="N135" s="84">
        <f t="shared" si="58"/>
        <v>0</v>
      </c>
      <c r="O135" s="84">
        <f t="shared" si="59"/>
        <v>0</v>
      </c>
      <c r="P135" s="85">
        <f t="shared" si="40"/>
        <v>0</v>
      </c>
      <c r="Q135" s="78" t="str">
        <f t="shared" si="51"/>
        <v/>
      </c>
      <c r="R135" s="79" t="str">
        <f>IF(OR($AI135="",ISNUMBER($AI135)=FALSE),"",IF(AND(#REF!="Tolerance",$E135&lt;&gt;""),($O135-$E135)/(($J135-$K135)/2),IF(AND(#REF!="GD&amp;T",$F135&lt;&gt;""),$O135/$F135,"")))</f>
        <v/>
      </c>
      <c r="S135" s="79" t="str">
        <f t="shared" si="39"/>
        <v/>
      </c>
      <c r="T135" s="78" t="str">
        <f t="shared" si="52"/>
        <v/>
      </c>
      <c r="U135" s="78" t="str">
        <f t="shared" si="53"/>
        <v/>
      </c>
      <c r="V135" s="78" t="str">
        <f t="shared" si="54"/>
        <v/>
      </c>
      <c r="W135" s="70" t="str">
        <f t="shared" si="55"/>
        <v/>
      </c>
      <c r="X135" s="71" t="e">
        <f>IF($O135="","",IF(#REF!="Tolerance",IF((#REF!*3*P135+O135)-E135&lt;F135,"",(#REF!*3*P135+O135)-E135),IF(OR(#REF!="GD&amp;T",#REF!="MAX"),IF((#REF!*3*P135+O135)&lt;F135,"",(#REF!*3*P135+O135)),"")))</f>
        <v>#REF!</v>
      </c>
      <c r="Y135" s="71" t="e">
        <f>IF(O135="","",IF(#REF!="Tolerance",IF(-((#REF!*3*P135)-O135)-E135&gt;G135,"",-((#REF!*3*P135)-O135)-E135),IF(#REF!="MIN",IF(-((#REF!*3*P135)-O135)&gt;G135,"",-((#REF!*3*P135)-O135)),"")))</f>
        <v>#REF!</v>
      </c>
      <c r="Z135" s="71">
        <f t="shared" si="56"/>
        <v>0.01</v>
      </c>
      <c r="AA135" s="71" t="str">
        <f t="shared" si="38"/>
        <v/>
      </c>
      <c r="AB135" s="80"/>
      <c r="AC135" s="81" t="str">
        <f t="shared" ref="AC135:AC140" si="62">IF(AB135="","",IF(AB135&gt;=0.966,"Normal","Not Normal"))</f>
        <v/>
      </c>
      <c r="AD135" s="115"/>
      <c r="AE135" s="72"/>
      <c r="AF135" s="72"/>
      <c r="AG135" s="73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</row>
    <row r="136" spans="2:66" ht="19.2" customHeight="1">
      <c r="B136" s="86" t="s">
        <v>311</v>
      </c>
      <c r="C136" s="75">
        <v>153</v>
      </c>
      <c r="D136" s="83" t="s">
        <v>47</v>
      </c>
      <c r="E136" s="102">
        <v>0</v>
      </c>
      <c r="F136" s="103">
        <v>0.06</v>
      </c>
      <c r="G136" s="102">
        <v>0</v>
      </c>
      <c r="H136" s="104" t="s">
        <v>46</v>
      </c>
      <c r="I136" s="67"/>
      <c r="J136" s="68">
        <f t="shared" si="60"/>
        <v>0.06</v>
      </c>
      <c r="K136" s="68">
        <f t="shared" si="61"/>
        <v>0</v>
      </c>
      <c r="L136" s="69"/>
      <c r="M136" s="84">
        <f t="shared" si="57"/>
        <v>0</v>
      </c>
      <c r="N136" s="84">
        <f t="shared" si="58"/>
        <v>0</v>
      </c>
      <c r="O136" s="84">
        <f t="shared" si="59"/>
        <v>0</v>
      </c>
      <c r="P136" s="85">
        <f t="shared" si="40"/>
        <v>0</v>
      </c>
      <c r="Q136" s="78" t="str">
        <f t="shared" si="51"/>
        <v/>
      </c>
      <c r="R136" s="79" t="str">
        <f>IF(OR($AI136="",ISNUMBER($AI136)=FALSE),"",IF(AND(#REF!="Tolerance",$E136&lt;&gt;""),($O136-$E136)/(($J136-$K136)/2),IF(AND(#REF!="GD&amp;T",$F136&lt;&gt;""),$O136/$F136,"")))</f>
        <v/>
      </c>
      <c r="S136" s="79" t="str">
        <f t="shared" si="39"/>
        <v/>
      </c>
      <c r="T136" s="78" t="str">
        <f t="shared" si="52"/>
        <v/>
      </c>
      <c r="U136" s="78" t="str">
        <f t="shared" si="53"/>
        <v/>
      </c>
      <c r="V136" s="78" t="str">
        <f t="shared" si="54"/>
        <v/>
      </c>
      <c r="W136" s="70" t="str">
        <f t="shared" si="55"/>
        <v/>
      </c>
      <c r="X136" s="71" t="e">
        <f>IF($O136="","",IF(#REF!="Tolerance",IF((#REF!*3*P136+O136)-E136&lt;F136,"",(#REF!*3*P136+O136)-E136),IF(OR(#REF!="GD&amp;T",#REF!="MAX"),IF((#REF!*3*P136+O136)&lt;F136,"",(#REF!*3*P136+O136)),"")))</f>
        <v>#REF!</v>
      </c>
      <c r="Y136" s="71" t="e">
        <f>IF(O136="","",IF(#REF!="Tolerance",IF(-((#REF!*3*P136)-O136)-E136&gt;G136,"",-((#REF!*3*P136)-O136)-E136),IF(#REF!="MIN",IF(-((#REF!*3*P136)-O136)&gt;G136,"",-((#REF!*3*P136)-O136)),"")))</f>
        <v>#REF!</v>
      </c>
      <c r="Z136" s="71">
        <f t="shared" si="56"/>
        <v>0.03</v>
      </c>
      <c r="AA136" s="71" t="str">
        <f t="shared" si="38"/>
        <v/>
      </c>
      <c r="AB136" s="80"/>
      <c r="AC136" s="81" t="str">
        <f t="shared" si="62"/>
        <v/>
      </c>
      <c r="AD136" s="115"/>
      <c r="AE136" s="72"/>
      <c r="AF136" s="72"/>
      <c r="AG136" s="73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</row>
    <row r="137" spans="2:66" ht="19.2" customHeight="1">
      <c r="B137" s="66" t="s">
        <v>312</v>
      </c>
      <c r="C137" s="75">
        <v>154</v>
      </c>
      <c r="D137" s="83" t="s">
        <v>47</v>
      </c>
      <c r="E137" s="102">
        <v>0</v>
      </c>
      <c r="F137" s="103">
        <v>0.06</v>
      </c>
      <c r="G137" s="102">
        <v>0</v>
      </c>
      <c r="H137" s="104" t="s">
        <v>46</v>
      </c>
      <c r="I137" s="67"/>
      <c r="J137" s="68">
        <f t="shared" si="60"/>
        <v>0.06</v>
      </c>
      <c r="K137" s="68">
        <f t="shared" si="61"/>
        <v>0</v>
      </c>
      <c r="L137" s="69"/>
      <c r="M137" s="84">
        <f t="shared" si="57"/>
        <v>0</v>
      </c>
      <c r="N137" s="84">
        <f t="shared" si="58"/>
        <v>0</v>
      </c>
      <c r="O137" s="84">
        <f t="shared" si="59"/>
        <v>0</v>
      </c>
      <c r="P137" s="85">
        <f t="shared" si="40"/>
        <v>0</v>
      </c>
      <c r="Q137" s="78" t="str">
        <f t="shared" si="51"/>
        <v/>
      </c>
      <c r="R137" s="79" t="str">
        <f>IF(OR($AI137="",ISNUMBER($AI137)=FALSE),"",IF(AND(#REF!="Tolerance",$E137&lt;&gt;""),($O137-$E137)/(($J137-$K137)/2),IF(AND(#REF!="GD&amp;T",$F137&lt;&gt;""),$O137/$F137,"")))</f>
        <v/>
      </c>
      <c r="S137" s="79" t="str">
        <f t="shared" si="39"/>
        <v/>
      </c>
      <c r="T137" s="78" t="str">
        <f t="shared" si="52"/>
        <v/>
      </c>
      <c r="U137" s="78" t="str">
        <f t="shared" si="53"/>
        <v/>
      </c>
      <c r="V137" s="78" t="str">
        <f t="shared" si="54"/>
        <v/>
      </c>
      <c r="W137" s="70" t="str">
        <f t="shared" si="55"/>
        <v/>
      </c>
      <c r="X137" s="71" t="e">
        <f>IF($O137="","",IF(#REF!="Tolerance",IF((#REF!*3*P137+O137)-E137&lt;F137,"",(#REF!*3*P137+O137)-E137),IF(OR(#REF!="GD&amp;T",#REF!="MAX"),IF((#REF!*3*P137+O137)&lt;F137,"",(#REF!*3*P137+O137)),"")))</f>
        <v>#REF!</v>
      </c>
      <c r="Y137" s="71" t="e">
        <f>IF(O137="","",IF(#REF!="Tolerance",IF(-((#REF!*3*P137)-O137)-E137&gt;G137,"",-((#REF!*3*P137)-O137)-E137),IF(#REF!="MIN",IF(-((#REF!*3*P137)-O137)&gt;G137,"",-((#REF!*3*P137)-O137)),"")))</f>
        <v>#REF!</v>
      </c>
      <c r="Z137" s="71">
        <f t="shared" si="56"/>
        <v>0.03</v>
      </c>
      <c r="AA137" s="71" t="str">
        <f t="shared" si="38"/>
        <v/>
      </c>
      <c r="AB137" s="80"/>
      <c r="AC137" s="81" t="str">
        <f t="shared" si="62"/>
        <v/>
      </c>
      <c r="AD137" s="115"/>
      <c r="AE137" s="72"/>
      <c r="AF137" s="72"/>
      <c r="AG137" s="73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</row>
    <row r="138" spans="2:66" ht="19.2" customHeight="1">
      <c r="B138" s="66" t="s">
        <v>313</v>
      </c>
      <c r="C138" s="75">
        <v>155</v>
      </c>
      <c r="D138" s="83" t="s">
        <v>47</v>
      </c>
      <c r="E138" s="102">
        <v>0</v>
      </c>
      <c r="F138" s="103">
        <v>0.06</v>
      </c>
      <c r="G138" s="102">
        <v>0</v>
      </c>
      <c r="H138" s="104" t="s">
        <v>46</v>
      </c>
      <c r="I138" s="67"/>
      <c r="J138" s="68">
        <f t="shared" si="60"/>
        <v>0.06</v>
      </c>
      <c r="K138" s="68">
        <f t="shared" si="61"/>
        <v>0</v>
      </c>
      <c r="L138" s="69"/>
      <c r="M138" s="84">
        <f t="shared" si="57"/>
        <v>0</v>
      </c>
      <c r="N138" s="84">
        <f t="shared" si="58"/>
        <v>0</v>
      </c>
      <c r="O138" s="84">
        <f t="shared" si="59"/>
        <v>0</v>
      </c>
      <c r="P138" s="85">
        <f t="shared" ref="P138:P140" si="63">IF(OR($AI138=ISBLANK(TRUE),ISNUMBER($AI138)=FALSE),,STDEV(AI138:BN138))</f>
        <v>0</v>
      </c>
      <c r="Q138" s="78" t="str">
        <f t="shared" si="51"/>
        <v/>
      </c>
      <c r="R138" s="79" t="str">
        <f>IF(OR($AI138="",ISNUMBER($AI138)=FALSE),"",IF(AND(#REF!="Tolerance",$E138&lt;&gt;""),($O138-$E138)/(($J138-$K138)/2),IF(AND(#REF!="GD&amp;T",$F138&lt;&gt;""),$O138/$F138,"")))</f>
        <v/>
      </c>
      <c r="S138" s="79" t="str">
        <f t="shared" si="39"/>
        <v/>
      </c>
      <c r="T138" s="78" t="str">
        <f t="shared" si="52"/>
        <v/>
      </c>
      <c r="U138" s="78" t="str">
        <f t="shared" si="53"/>
        <v/>
      </c>
      <c r="V138" s="78" t="str">
        <f t="shared" si="54"/>
        <v/>
      </c>
      <c r="W138" s="70" t="str">
        <f t="shared" si="55"/>
        <v/>
      </c>
      <c r="X138" s="71" t="e">
        <f>IF($O138="","",IF(#REF!="Tolerance",IF((#REF!*3*P138+O138)-E138&lt;F138,"",(#REF!*3*P138+O138)-E138),IF(OR(#REF!="GD&amp;T",#REF!="MAX"),IF((#REF!*3*P138+O138)&lt;F138,"",(#REF!*3*P138+O138)),"")))</f>
        <v>#REF!</v>
      </c>
      <c r="Y138" s="71" t="e">
        <f>IF(O138="","",IF(#REF!="Tolerance",IF(-((#REF!*3*P138)-O138)-E138&gt;G138,"",-((#REF!*3*P138)-O138)-E138),IF(#REF!="MIN",IF(-((#REF!*3*P138)-O138)&gt;G138,"",-((#REF!*3*P138)-O138)),"")))</f>
        <v>#REF!</v>
      </c>
      <c r="Z138" s="71">
        <f t="shared" si="56"/>
        <v>0.03</v>
      </c>
      <c r="AA138" s="71" t="str">
        <f t="shared" si="38"/>
        <v/>
      </c>
      <c r="AB138" s="80"/>
      <c r="AC138" s="81" t="str">
        <f t="shared" si="62"/>
        <v/>
      </c>
      <c r="AD138" s="115"/>
      <c r="AE138" s="72"/>
      <c r="AF138" s="72"/>
      <c r="AG138" s="73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  <c r="BF138" s="105"/>
      <c r="BG138" s="105"/>
      <c r="BH138" s="105"/>
      <c r="BI138" s="105"/>
      <c r="BJ138" s="105"/>
      <c r="BK138" s="105"/>
      <c r="BL138" s="105"/>
      <c r="BM138" s="105"/>
      <c r="BN138" s="105"/>
    </row>
    <row r="139" spans="2:66" ht="19.2" customHeight="1">
      <c r="B139" s="66" t="s">
        <v>314</v>
      </c>
      <c r="C139" s="75">
        <v>157</v>
      </c>
      <c r="D139" s="83" t="s">
        <v>45</v>
      </c>
      <c r="E139" s="102">
        <v>18.472999999999999</v>
      </c>
      <c r="F139" s="103">
        <v>0.02</v>
      </c>
      <c r="G139" s="103">
        <v>-0.02</v>
      </c>
      <c r="H139" s="104" t="s">
        <v>46</v>
      </c>
      <c r="I139" s="67"/>
      <c r="J139" s="68">
        <f t="shared" si="60"/>
        <v>18.492999999999999</v>
      </c>
      <c r="K139" s="68">
        <f t="shared" si="61"/>
        <v>18.452999999999999</v>
      </c>
      <c r="L139" s="69"/>
      <c r="M139" s="84">
        <f t="shared" si="57"/>
        <v>0</v>
      </c>
      <c r="N139" s="84">
        <f t="shared" si="58"/>
        <v>0</v>
      </c>
      <c r="O139" s="84">
        <f t="shared" si="59"/>
        <v>0</v>
      </c>
      <c r="P139" s="85">
        <f t="shared" si="63"/>
        <v>0</v>
      </c>
      <c r="Q139" s="78" t="str">
        <f t="shared" si="51"/>
        <v/>
      </c>
      <c r="R139" s="79" t="str">
        <f>IF(OR($AI139="",ISNUMBER($AI139)=FALSE),"",IF(AND(#REF!="Tolerance",$E139&lt;&gt;""),($O139-$E139)/(($J139-$K139)/2),IF(AND(#REF!="GD&amp;T",$F139&lt;&gt;""),$O139/$F139,"")))</f>
        <v/>
      </c>
      <c r="S139" s="79" t="str">
        <f t="shared" si="39"/>
        <v/>
      </c>
      <c r="T139" s="78" t="str">
        <f t="shared" si="52"/>
        <v/>
      </c>
      <c r="U139" s="78" t="str">
        <f t="shared" si="53"/>
        <v/>
      </c>
      <c r="V139" s="78" t="str">
        <f t="shared" si="54"/>
        <v/>
      </c>
      <c r="W139" s="70" t="str">
        <f t="shared" si="55"/>
        <v/>
      </c>
      <c r="X139" s="71" t="e">
        <f>IF($O139="","",IF(#REF!="Tolerance",IF((#REF!*3*P139+O139)-E139&lt;F139,"",(#REF!*3*P139+O139)-E139),IF(OR(#REF!="GD&amp;T",#REF!="MAX"),IF((#REF!*3*P139+O139)&lt;F139,"",(#REF!*3*P139+O139)),"")))</f>
        <v>#REF!</v>
      </c>
      <c r="Y139" s="71" t="e">
        <f>IF(O139="","",IF(#REF!="Tolerance",IF(-((#REF!*3*P139)-O139)-E139&gt;G139,"",-((#REF!*3*P139)-O139)-E139),IF(#REF!="MIN",IF(-((#REF!*3*P139)-O139)&gt;G139,"",-((#REF!*3*P139)-O139)),"")))</f>
        <v>#REF!</v>
      </c>
      <c r="Z139" s="71">
        <f t="shared" si="56"/>
        <v>18.472999999999999</v>
      </c>
      <c r="AA139" s="71" t="str">
        <f t="shared" si="38"/>
        <v/>
      </c>
      <c r="AB139" s="80"/>
      <c r="AC139" s="81" t="str">
        <f t="shared" si="62"/>
        <v/>
      </c>
      <c r="AD139" s="115"/>
      <c r="AE139" s="72"/>
      <c r="AF139" s="72"/>
      <c r="AG139" s="73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</row>
    <row r="140" spans="2:66" ht="19.2" customHeight="1">
      <c r="B140" s="86" t="s">
        <v>315</v>
      </c>
      <c r="C140" s="75">
        <v>158</v>
      </c>
      <c r="D140" s="83" t="s">
        <v>45</v>
      </c>
      <c r="E140" s="102">
        <v>18.593</v>
      </c>
      <c r="F140" s="103">
        <v>0.02</v>
      </c>
      <c r="G140" s="103">
        <v>-0.02</v>
      </c>
      <c r="H140" s="104" t="s">
        <v>46</v>
      </c>
      <c r="I140" s="67"/>
      <c r="J140" s="68">
        <f t="shared" si="60"/>
        <v>18.613</v>
      </c>
      <c r="K140" s="68">
        <f t="shared" si="61"/>
        <v>18.573</v>
      </c>
      <c r="L140" s="69"/>
      <c r="M140" s="84">
        <f t="shared" si="57"/>
        <v>0</v>
      </c>
      <c r="N140" s="84">
        <f t="shared" si="58"/>
        <v>0</v>
      </c>
      <c r="O140" s="84">
        <f t="shared" si="59"/>
        <v>0</v>
      </c>
      <c r="P140" s="85">
        <f t="shared" si="63"/>
        <v>0</v>
      </c>
      <c r="Q140" s="78" t="str">
        <f t="shared" si="51"/>
        <v/>
      </c>
      <c r="R140" s="79" t="str">
        <f>IF(OR($AI140="",ISNUMBER($AI140)=FALSE),"",IF(AND(#REF!="Tolerance",$E140&lt;&gt;""),($O140-$E140)/(($J140-$K140)/2),IF(AND(#REF!="GD&amp;T",$F140&lt;&gt;""),$O140/$F140,"")))</f>
        <v/>
      </c>
      <c r="S140" s="79" t="str">
        <f t="shared" si="39"/>
        <v/>
      </c>
      <c r="T140" s="78" t="str">
        <f t="shared" si="52"/>
        <v/>
      </c>
      <c r="U140" s="78" t="str">
        <f t="shared" si="53"/>
        <v/>
      </c>
      <c r="V140" s="78" t="str">
        <f t="shared" si="54"/>
        <v/>
      </c>
      <c r="W140" s="70" t="str">
        <f t="shared" si="55"/>
        <v/>
      </c>
      <c r="X140" s="71" t="e">
        <f>IF($O140="","",IF(#REF!="Tolerance",IF((#REF!*3*P140+O140)-E140&lt;F140,"",(#REF!*3*P140+O140)-E140),IF(OR(#REF!="GD&amp;T",#REF!="MAX"),IF((#REF!*3*P140+O140)&lt;F140,"",(#REF!*3*P140+O140)),"")))</f>
        <v>#REF!</v>
      </c>
      <c r="Y140" s="71" t="e">
        <f>IF(O140="","",IF(#REF!="Tolerance",IF(-((#REF!*3*P140)-O140)-E140&gt;G140,"",-((#REF!*3*P140)-O140)-E140),IF(#REF!="MIN",IF(-((#REF!*3*P140)-O140)&gt;G140,"",-((#REF!*3*P140)-O140)),"")))</f>
        <v>#REF!</v>
      </c>
      <c r="Z140" s="71">
        <f t="shared" si="56"/>
        <v>18.593</v>
      </c>
      <c r="AA140" s="71" t="str">
        <f t="shared" si="38"/>
        <v/>
      </c>
      <c r="AB140" s="80"/>
      <c r="AC140" s="81" t="str">
        <f t="shared" si="62"/>
        <v/>
      </c>
      <c r="AD140" s="115"/>
      <c r="AE140" s="72"/>
      <c r="AF140" s="72"/>
      <c r="AG140" s="73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</row>
    <row r="141" spans="2:66">
      <c r="AD141" s="114"/>
    </row>
  </sheetData>
  <mergeCells count="6">
    <mergeCell ref="AI3:BN4"/>
    <mergeCell ref="A1:AC1"/>
    <mergeCell ref="B3:K3"/>
    <mergeCell ref="M3:AC3"/>
    <mergeCell ref="AE3:AG3"/>
    <mergeCell ref="X4:Y4"/>
  </mergeCells>
  <phoneticPr fontId="10" type="noConversion"/>
  <conditionalFormatting sqref="AI6:BN140">
    <cfRule type="cellIs" dxfId="0" priority="1" stopIfTrue="1" operator="notBetween">
      <formula>$E6+$F6</formula>
      <formula>$E6+$G6</formula>
    </cfRule>
  </conditionalFormatting>
  <dataValidations disablePrompts="1" count="2">
    <dataValidation type="list" allowBlank="1" showInputMessage="1" showErrorMessage="1" sqref="I6:I15" xr:uid="{B5D6734B-622F-4826-AE32-0A0FE8BEF84C}">
      <formula1>gauging</formula1>
    </dataValidation>
    <dataValidation type="list" allowBlank="1" showInputMessage="1" showErrorMessage="1" sqref="H6:H15" xr:uid="{0B5D4596-34B6-4138-BD42-E9B607C8EF6F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J6:K140 AC6:AC140" unlocked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이윤아</cp:lastModifiedBy>
  <dcterms:created xsi:type="dcterms:W3CDTF">2018-08-03T17:39:04Z</dcterms:created>
  <dcterms:modified xsi:type="dcterms:W3CDTF">2026-02-27T05:00:18Z</dcterms:modified>
</cp:coreProperties>
</file>