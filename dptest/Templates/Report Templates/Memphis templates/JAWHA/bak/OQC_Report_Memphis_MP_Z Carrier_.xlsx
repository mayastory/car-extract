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xampp\htdocs\DPTest\templates\Memphis templates\JAWHA\"/>
    </mc:Choice>
  </mc:AlternateContent>
  <xr:revisionPtr revIDLastSave="0" documentId="13_ncr:1_{0C36BF5F-3F53-4BC2-9112-CAEA069249F9}" xr6:coauthVersionLast="47" xr6:coauthVersionMax="47" xr10:uidLastSave="{00000000-0000-0000-0000-000000000000}"/>
  <bookViews>
    <workbookView xWindow="-120" yWindow="480" windowWidth="29040" windowHeight="15840" tabRatio="863" xr2:uid="{558B7DC1-779D-BB42-B43A-ED7A08375808}"/>
  </bookViews>
  <sheets>
    <sheet name="Waiver Summary" sheetId="5" r:id="rId1"/>
    <sheet name="Shipping Lot List" sheetId="20" r:id="rId2"/>
    <sheet name="FAI" sheetId="24" r:id="rId3"/>
    <sheet name="SPC" sheetId="25" r:id="rId4"/>
  </sheets>
  <definedNames>
    <definedName name="________XG2" localSheetId="2" hidden="1">{#N/A,#N/A,FALSE,"단축1";#N/A,#N/A,FALSE,"단축2";#N/A,#N/A,FALSE,"단축3";#N/A,#N/A,FALSE,"장축";#N/A,#N/A,FALSE,"4WD"}</definedName>
    <definedName name="________XG2" localSheetId="3" hidden="1">{#N/A,#N/A,FALSE,"단축1";#N/A,#N/A,FALSE,"단축2";#N/A,#N/A,FALSE,"단축3";#N/A,#N/A,FALSE,"장축";#N/A,#N/A,FALSE,"4WD"}</definedName>
    <definedName name="________XG2" hidden="1">{#N/A,#N/A,FALSE,"단축1";#N/A,#N/A,FALSE,"단축2";#N/A,#N/A,FALSE,"단축3";#N/A,#N/A,FALSE,"장축";#N/A,#N/A,FALSE,"4WD"}</definedName>
    <definedName name="__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localSheetId="2" hidden="1">{#N/A,#N/A,FALSE,"단축1";#N/A,#N/A,FALSE,"단축2";#N/A,#N/A,FALSE,"단축3";#N/A,#N/A,FALSE,"장축";#N/A,#N/A,FALSE,"4WD"}</definedName>
    <definedName name="______XG2" localSheetId="3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XG2" localSheetId="2" hidden="1">{#N/A,#N/A,FALSE,"단축1";#N/A,#N/A,FALSE,"단축2";#N/A,#N/A,FALSE,"단축3";#N/A,#N/A,FALSE,"장축";#N/A,#N/A,FALSE,"4WD"}</definedName>
    <definedName name="_____XG2" localSheetId="3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localSheetId="2" hidden="1">{#N/A,#N/A,FALSE,"단축1";#N/A,#N/A,FALSE,"단축2";#N/A,#N/A,FALSE,"단축3";#N/A,#N/A,FALSE,"장축";#N/A,#N/A,FALSE,"4WD"}</definedName>
    <definedName name="____LPS2" localSheetId="3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U7" localSheetId="2" hidden="1">{#N/A,#N/A,TRUE,"일정"}</definedName>
    <definedName name="____PU7" localSheetId="3" hidden="1">{#N/A,#N/A,TRUE,"일정"}</definedName>
    <definedName name="____PU7" hidden="1">{#N/A,#N/A,TRUE,"일정"}</definedName>
    <definedName name="____XG2" localSheetId="2" hidden="1">{#N/A,#N/A,FALSE,"단축1";#N/A,#N/A,FALSE,"단축2";#N/A,#N/A,FALSE,"단축3";#N/A,#N/A,FALSE,"장축";#N/A,#N/A,FALSE,"4WD"}</definedName>
    <definedName name="____XG2" localSheetId="3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A3" localSheetId="2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localSheetId="2" hidden="1">{#N/A,#N/A,FALSE,"신규dep";#N/A,#N/A,FALSE,"신규dep-금형상각후";#N/A,#N/A,FALSE,"신규dep-연구비상각후";#N/A,#N/A,FALSE,"신규dep-기계,공구상각후"}</definedName>
    <definedName name="___cp3" localSheetId="3" hidden="1">{#N/A,#N/A,FALSE,"신규dep";#N/A,#N/A,FALSE,"신규dep-금형상각후";#N/A,#N/A,FALSE,"신규dep-연구비상각후";#N/A,#N/A,FALSE,"신규dep-기계,공구상각후"}</definedName>
    <definedName name="___cp3" hidden="1">{#N/A,#N/A,FALSE,"신규dep";#N/A,#N/A,FALSE,"신규dep-금형상각후";#N/A,#N/A,FALSE,"신규dep-연구비상각후";#N/A,#N/A,FALSE,"신규dep-기계,공구상각후"}</definedName>
    <definedName name="___FG1" localSheetId="2" hidden="1">{#N/A,#N/A,FALSE,"단축1";#N/A,#N/A,FALSE,"단축2";#N/A,#N/A,FALSE,"단축3";#N/A,#N/A,FALSE,"장축";#N/A,#N/A,FALSE,"4WD"}</definedName>
    <definedName name="___FG1" localSheetId="3" hidden="1">{#N/A,#N/A,FALSE,"단축1";#N/A,#N/A,FALSE,"단축2";#N/A,#N/A,FALSE,"단축3";#N/A,#N/A,FALSE,"장축";#N/A,#N/A,FALSE,"4WD"}</definedName>
    <definedName name="___FG1" hidden="1">{#N/A,#N/A,FALSE,"단축1";#N/A,#N/A,FALSE,"단축2";#N/A,#N/A,FALSE,"단축3";#N/A,#N/A,FALSE,"장축";#N/A,#N/A,FALSE,"4WD"}</definedName>
    <definedName name="___k2" localSheetId="2" hidden="1">{#N/A,#N/A,FALSE,"Cst of Sales (2)"}</definedName>
    <definedName name="___k2" localSheetId="3" hidden="1">{#N/A,#N/A,FALSE,"Cst of Sales (2)"}</definedName>
    <definedName name="___k2" hidden="1">{#N/A,#N/A,FALSE,"Cst of Sales (2)"}</definedName>
    <definedName name="___LPS2" localSheetId="2" hidden="1">{#N/A,#N/A,FALSE,"단축1";#N/A,#N/A,FALSE,"단축2";#N/A,#N/A,FALSE,"단축3";#N/A,#N/A,FALSE,"장축";#N/A,#N/A,FALSE,"4WD"}</definedName>
    <definedName name="___LPS2" localSheetId="3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localSheetId="2" hidden="1">{#N/A,#N/A,FALSE,"단축1";#N/A,#N/A,FALSE,"단축2";#N/A,#N/A,FALSE,"단축3";#N/A,#N/A,FALSE,"장축";#N/A,#N/A,FALSE,"4WD"}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localSheetId="2" hidden="1">{#N/A,#N/A,FALSE,"신규dep";#N/A,#N/A,FALSE,"신규dep-금형상각후";#N/A,#N/A,FALSE,"신규dep-연구비상각후";#N/A,#N/A,FALSE,"신규dep-기계,공구상각후"}</definedName>
    <definedName name="__cp3" localSheetId="3" hidden="1">{#N/A,#N/A,FALSE,"신규dep";#N/A,#N/A,FALSE,"신규dep-금형상각후";#N/A,#N/A,FALSE,"신규dep-연구비상각후";#N/A,#N/A,FALSE,"신규dep-기계,공구상각후"}</definedName>
    <definedName name="__cp3" hidden="1">{#N/A,#N/A,FALSE,"신규dep";#N/A,#N/A,FALSE,"신규dep-금형상각후";#N/A,#N/A,FALSE,"신규dep-연구비상각후";#N/A,#N/A,FALSE,"신규dep-기계,공구상각후"}</definedName>
    <definedName name="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localSheetId="2" hidden="1">{#N/A,#N/A,FALSE,"단축1";#N/A,#N/A,FALSE,"단축2";#N/A,#N/A,FALSE,"단축3";#N/A,#N/A,FALSE,"장축";#N/A,#N/A,FALSE,"4WD"}</definedName>
    <definedName name="__FG1" localSheetId="3" hidden="1">{#N/A,#N/A,FALSE,"단축1";#N/A,#N/A,FALSE,"단축2";#N/A,#N/A,FALSE,"단축3";#N/A,#N/A,FALSE,"장축";#N/A,#N/A,FALSE,"4WD"}</definedName>
    <definedName name="__FG1" hidden="1">{#N/A,#N/A,FALSE,"단축1";#N/A,#N/A,FALSE,"단축2";#N/A,#N/A,FALSE,"단축3";#N/A,#N/A,FALSE,"장축";#N/A,#N/A,FALSE,"4WD"}</definedName>
    <definedName name="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localSheetId="2" hidden="1">{#N/A,#N/A,FALSE,"Cst of Sales (2)"}</definedName>
    <definedName name="__k2" localSheetId="3" hidden="1">{#N/A,#N/A,FALSE,"Cst of Sales (2)"}</definedName>
    <definedName name="__k2" hidden="1">{#N/A,#N/A,FALSE,"Cst of Sales (2)"}</definedName>
    <definedName name="__LPS2" localSheetId="2" hidden="1">{#N/A,#N/A,FALSE,"단축1";#N/A,#N/A,FALSE,"단축2";#N/A,#N/A,FALSE,"단축3";#N/A,#N/A,FALSE,"장축";#N/A,#N/A,FALSE,"4WD"}</definedName>
    <definedName name="__LPS2" localSheetId="3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localSheetId="2" hidden="1">{#N/A,#N/A,TRUE,"일정"}</definedName>
    <definedName name="__PU7" localSheetId="3" hidden="1">{#N/A,#N/A,TRUE,"일정"}</definedName>
    <definedName name="__PU7" hidden="1">{#N/A,#N/A,TRUE,"일정"}</definedName>
    <definedName name="__T2" localSheetId="2" hidden="1">{#N/A,#N/A,FALSE,"단축1";#N/A,#N/A,FALSE,"단축2";#N/A,#N/A,FALSE,"단축3";#N/A,#N/A,FALSE,"장축";#N/A,#N/A,FALSE,"4WD"}</definedName>
    <definedName name="__T2" localSheetId="3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ws2" localSheetId="2" hidden="1">{#N/A,#N/A,FALSE,"단축1";#N/A,#N/A,FALSE,"단축2";#N/A,#N/A,FALSE,"단축3";#N/A,#N/A,FALSE,"장축";#N/A,#N/A,FALSE,"4WD"}</definedName>
    <definedName name="__ws2" localSheetId="3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localSheetId="2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localSheetId="2" hidden="1">{#N/A,#N/A,FALSE,"신규dep";#N/A,#N/A,FALSE,"신규dep-금형상각후";#N/A,#N/A,FALSE,"신규dep-연구비상각후";#N/A,#N/A,FALSE,"신규dep-기계,공구상각후"}</definedName>
    <definedName name="_55cp3_" localSheetId="3" hidden="1">{#N/A,#N/A,FALSE,"신규dep";#N/A,#N/A,FALSE,"신규dep-금형상각후";#N/A,#N/A,FALSE,"신규dep-연구비상각후";#N/A,#N/A,FALSE,"신규dep-기계,공구상각후"}</definedName>
    <definedName name="_55cp3_" hidden="1">{#N/A,#N/A,FALSE,"신규dep";#N/A,#N/A,FALSE,"신규dep-금형상각후";#N/A,#N/A,FALSE,"신규dep-연구비상각후";#N/A,#N/A,FALSE,"신규dep-기계,공구상각후"}</definedName>
    <definedName name="_56cp3_" localSheetId="2" hidden="1">{#N/A,#N/A,FALSE,"신규dep";#N/A,#N/A,FALSE,"신규dep-금형상각후";#N/A,#N/A,FALSE,"신규dep-연구비상각후";#N/A,#N/A,FALSE,"신규dep-기계,공구상각후"}</definedName>
    <definedName name="_56cp3_" localSheetId="3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localSheetId="2" hidden="1">{#N/A,#N/A,FALSE,"단축1";#N/A,#N/A,FALSE,"단축2";#N/A,#N/A,FALSE,"단축3";#N/A,#N/A,FALSE,"장축";#N/A,#N/A,FALSE,"4WD"}</definedName>
    <definedName name="_57FG1_" localSheetId="3" hidden="1">{#N/A,#N/A,FALSE,"단축1";#N/A,#N/A,FALSE,"단축2";#N/A,#N/A,FALSE,"단축3";#N/A,#N/A,FALSE,"장축";#N/A,#N/A,FALSE,"4WD"}</definedName>
    <definedName name="_57FG1_" hidden="1">{#N/A,#N/A,FALSE,"단축1";#N/A,#N/A,FALSE,"단축2";#N/A,#N/A,FALSE,"단축3";#N/A,#N/A,FALSE,"장축";#N/A,#N/A,FALSE,"4WD"}</definedName>
    <definedName name="_58k2_" localSheetId="2" hidden="1">{#N/A,#N/A,FALSE,"Cst of Sales (2)"}</definedName>
    <definedName name="_58k2_" localSheetId="3" hidden="1">{#N/A,#N/A,FALSE,"Cst of Sales (2)"}</definedName>
    <definedName name="_58k2_" hidden="1">{#N/A,#N/A,FALSE,"Cst of Sales (2)"}</definedName>
    <definedName name="_59FG1_" localSheetId="2" hidden="1">{#N/A,#N/A,FALSE,"단축1";#N/A,#N/A,FALSE,"단축2";#N/A,#N/A,FALSE,"단축3";#N/A,#N/A,FALSE,"장축";#N/A,#N/A,FALSE,"4WD"}</definedName>
    <definedName name="_59FG1_" localSheetId="3" hidden="1">{#N/A,#N/A,FALSE,"단축1";#N/A,#N/A,FALSE,"단축2";#N/A,#N/A,FALSE,"단축3";#N/A,#N/A,FALSE,"장축";#N/A,#N/A,FALSE,"4WD"}</definedName>
    <definedName name="_59FG1_" hidden="1">{#N/A,#N/A,FALSE,"단축1";#N/A,#N/A,FALSE,"단축2";#N/A,#N/A,FALSE,"단축3";#N/A,#N/A,FALSE,"장축";#N/A,#N/A,FALSE,"4WD"}</definedName>
    <definedName name="_60k2_" localSheetId="2" hidden="1">{#N/A,#N/A,FALSE,"Cst of Sales (2)"}</definedName>
    <definedName name="_60k2_" localSheetId="3" hidden="1">{#N/A,#N/A,FALSE,"Cst of Sales (2)"}</definedName>
    <definedName name="_60k2_" hidden="1">{#N/A,#N/A,FALSE,"Cst of Sales (2)"}</definedName>
    <definedName name="_61T2_" localSheetId="2" hidden="1">{#N/A,#N/A,FALSE,"단축1";#N/A,#N/A,FALSE,"단축2";#N/A,#N/A,FALSE,"단축3";#N/A,#N/A,FALSE,"장축";#N/A,#N/A,FALSE,"4WD"}</definedName>
    <definedName name="_61T2_" localSheetId="3" hidden="1">{#N/A,#N/A,FALSE,"단축1";#N/A,#N/A,FALSE,"단축2";#N/A,#N/A,FALSE,"단축3";#N/A,#N/A,FALSE,"장축";#N/A,#N/A,FALSE,"4WD"}</definedName>
    <definedName name="_61T2_" hidden="1">{#N/A,#N/A,FALSE,"단축1";#N/A,#N/A,FALSE,"단축2";#N/A,#N/A,FALSE,"단축3";#N/A,#N/A,FALSE,"장축";#N/A,#N/A,FALSE,"4WD"}</definedName>
    <definedName name="_63T2_" localSheetId="2" hidden="1">{#N/A,#N/A,FALSE,"단축1";#N/A,#N/A,FALSE,"단축2";#N/A,#N/A,FALSE,"단축3";#N/A,#N/A,FALSE,"장축";#N/A,#N/A,FALSE,"4WD"}</definedName>
    <definedName name="_63T2_" localSheetId="3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localSheetId="2" hidden="1">{#N/A,#N/A,FALSE,"신규dep";#N/A,#N/A,FALSE,"신규dep-금형상각후";#N/A,#N/A,FALSE,"신규dep-연구비상각후";#N/A,#N/A,FALSE,"신규dep-기계,공구상각후"}</definedName>
    <definedName name="_cp3" localSheetId="3" hidden="1">{#N/A,#N/A,FALSE,"신규dep";#N/A,#N/A,FALSE,"신규dep-금형상각후";#N/A,#N/A,FALSE,"신규dep-연구비상각후";#N/A,#N/A,FALSE,"신규dep-기계,공구상각후"}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localSheetId="2" hidden="1">{#N/A,#N/A,FALSE,"단축1";#N/A,#N/A,FALSE,"단축2";#N/A,#N/A,FALSE,"단축3";#N/A,#N/A,FALSE,"장축";#N/A,#N/A,FALSE,"4WD"}</definedName>
    <definedName name="_FG1" localSheetId="3" hidden="1">{#N/A,#N/A,FALSE,"단축1";#N/A,#N/A,FALSE,"단축2";#N/A,#N/A,FALSE,"단축3";#N/A,#N/A,FALSE,"장축";#N/A,#N/A,FALSE,"4WD"}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localSheetId="2" hidden="1">#REF!</definedName>
    <definedName name="_xlnm._FilterDatabase" localSheetId="1" hidden="1">'Shipping Lot List'!$B$1:$J$2</definedName>
    <definedName name="_xlnm._FilterDatabase" localSheetId="3" hidden="1">#REF!</definedName>
    <definedName name="_xlnm._FilterDatabase" hidden="1">#REF!</definedName>
    <definedName name="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localSheetId="2" hidden="1">{#N/A,#N/A,FALSE,"Cst of Sales (2)"}</definedName>
    <definedName name="_k2" localSheetId="3" hidden="1">{#N/A,#N/A,FALSE,"Cst of Sales (2)"}</definedName>
    <definedName name="_k2" hidden="1">{#N/A,#N/A,FALSE,"Cst of Sales (2)"}</definedName>
    <definedName name="_Key1" hidden="1">#REF!</definedName>
    <definedName name="_Key2" hidden="1">#REF!</definedName>
    <definedName name="_LPS2" localSheetId="2" hidden="1">{#N/A,#N/A,FALSE,"단축1";#N/A,#N/A,FALSE,"단축2";#N/A,#N/A,FALSE,"단축3";#N/A,#N/A,FALSE,"장축";#N/A,#N/A,FALSE,"4WD"}</definedName>
    <definedName name="_LPS2" localSheetId="3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localSheetId="2" hidden="1">{#N/A,#N/A,TRUE,"일정"}</definedName>
    <definedName name="_PU7" localSheetId="3" hidden="1">{#N/A,#N/A,TRUE,"일정"}</definedName>
    <definedName name="_PU7" hidden="1">{#N/A,#N/A,TRUE,"일정"}</definedName>
    <definedName name="_Sort" hidden="1">#REF!</definedName>
    <definedName name="_T2" localSheetId="2" hidden="1">{#N/A,#N/A,FALSE,"단축1";#N/A,#N/A,FALSE,"단축2";#N/A,#N/A,FALSE,"단축3";#N/A,#N/A,FALSE,"장축";#N/A,#N/A,FALSE,"4WD"}</definedName>
    <definedName name="_T2" localSheetId="3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XG2" localSheetId="2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localSheetId="2" hidden="1">{#N/A,#N/A,FALSE,"단축1";#N/A,#N/A,FALSE,"단축2";#N/A,#N/A,FALSE,"단축3";#N/A,#N/A,FALSE,"장축";#N/A,#N/A,FALSE,"4WD"}</definedName>
    <definedName name="A1_00근거" localSheetId="3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AAA" localSheetId="2" hidden="1">{#N/A,#N/A,TRUE,"Y생산";#N/A,#N/A,TRUE,"Y판매";#N/A,#N/A,TRUE,"Y총물량";#N/A,#N/A,TRUE,"Y능력";#N/A,#N/A,TRUE,"YKD"}</definedName>
    <definedName name="AAAAAAA" localSheetId="3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QSAS" localSheetId="2" hidden="1">{#N/A,#N/A,FALSE,"단축1";#N/A,#N/A,FALSE,"단축2";#N/A,#N/A,FALSE,"단축3";#N/A,#N/A,FALSE,"장축";#N/A,#N/A,FALSE,"4WD"}</definedName>
    <definedName name="AAQSAS" localSheetId="3" hidden="1">{#N/A,#N/A,FALSE,"단축1";#N/A,#N/A,FALSE,"단축2";#N/A,#N/A,FALSE,"단축3";#N/A,#N/A,FALSE,"장축";#N/A,#N/A,FALSE,"4WD"}</definedName>
    <definedName name="AAQSAS" hidden="1">{#N/A,#N/A,FALSE,"단축1";#N/A,#N/A,FALSE,"단축2";#N/A,#N/A,FALSE,"단축3";#N/A,#N/A,FALSE,"장축";#N/A,#N/A,FALSE,"4WD"}</definedName>
    <definedName name="Aas" localSheetId="2" hidden="1">{#N/A,#N/A,FALSE,"을지 (4)";#N/A,#N/A,FALSE,"을지 (5)";#N/A,#N/A,FALSE,"을지 (6)"}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DD" localSheetId="2" hidden="1">{#N/A,#N/A,FALSE,"단축1";#N/A,#N/A,FALSE,"단축2";#N/A,#N/A,FALSE,"단축3";#N/A,#N/A,FALSE,"장축";#N/A,#N/A,FALSE,"4WD"}</definedName>
    <definedName name="ABDD" localSheetId="3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localSheetId="2" hidden="1">{#N/A,#N/A,FALSE,"단축1";#N/A,#N/A,FALSE,"단축2";#N/A,#N/A,FALSE,"단축3";#N/A,#N/A,FALSE,"장축";#N/A,#N/A,FALSE,"4WD"}</definedName>
    <definedName name="ACTDSVTTVG" localSheetId="3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2" hidden="1">{#N/A,#N/A,FALSE,"을지 (4)";#N/A,#N/A,FALSE,"을지 (5)";#N/A,#N/A,FALSE,"을지 (6)"}</definedName>
    <definedName name="AD" localSheetId="3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sacdz" localSheetId="2" hidden="1">{#N/A,#N/A,FALSE,"단축1";#N/A,#N/A,FALSE,"단축2";#N/A,#N/A,FALSE,"단축3";#N/A,#N/A,FALSE,"장축";#N/A,#N/A,FALSE,"4WD"}</definedName>
    <definedName name="adsacdz" localSheetId="3" hidden="1">{#N/A,#N/A,FALSE,"단축1";#N/A,#N/A,FALSE,"단축2";#N/A,#N/A,FALSE,"단축3";#N/A,#N/A,FALSE,"장축";#N/A,#N/A,FALSE,"4WD"}</definedName>
    <definedName name="adsacdz" hidden="1">{#N/A,#N/A,FALSE,"단축1";#N/A,#N/A,FALSE,"단축2";#N/A,#N/A,FALSE,"단축3";#N/A,#N/A,FALSE,"장축";#N/A,#N/A,FALSE,"4WD"}</definedName>
    <definedName name="ADSDF" localSheetId="2" hidden="1">{#N/A,#N/A,TRUE,"Y생산";#N/A,#N/A,TRUE,"Y판매";#N/A,#N/A,TRUE,"Y총물량";#N/A,#N/A,TRUE,"Y능력";#N/A,#N/A,TRUE,"YKD"}</definedName>
    <definedName name="ADSDF" localSheetId="3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RGA" localSheetId="2" hidden="1">{#N/A,#N/A,FALSE,"원가검토서"}</definedName>
    <definedName name="AERGA" localSheetId="3" hidden="1">{#N/A,#N/A,FALSE,"원가검토서"}</definedName>
    <definedName name="AERGA" hidden="1">{#N/A,#N/A,FALSE,"원가검토서"}</definedName>
    <definedName name="AFDAGA" localSheetId="2" hidden="1">{#N/A,#N/A,FALSE,"원가검토서"}</definedName>
    <definedName name="AFDAGA" localSheetId="3" hidden="1">{#N/A,#N/A,FALSE,"원가검토서"}</definedName>
    <definedName name="AFDAGA" hidden="1">{#N/A,#N/A,FALSE,"원가검토서"}</definedName>
    <definedName name="anscount" hidden="1">4</definedName>
    <definedName name="AQWAQ" localSheetId="2" hidden="1">{#N/A,#N/A,FALSE,"단축1";#N/A,#N/A,FALSE,"단축2";#N/A,#N/A,FALSE,"단축3";#N/A,#N/A,FALSE,"장축";#N/A,#N/A,FALSE,"4WD"}</definedName>
    <definedName name="AQWAQ" localSheetId="3" hidden="1">{#N/A,#N/A,FALSE,"단축1";#N/A,#N/A,FALSE,"단축2";#N/A,#N/A,FALSE,"단축3";#N/A,#N/A,FALSE,"장축";#N/A,#N/A,FALSE,"4WD"}</definedName>
    <definedName name="AQWAQ" hidden="1">{#N/A,#N/A,FALSE,"단축1";#N/A,#N/A,FALSE,"단축2";#N/A,#N/A,FALSE,"단축3";#N/A,#N/A,FALSE,"장축";#N/A,#N/A,FALSE,"4WD"}</definedName>
    <definedName name="asadcs" localSheetId="2" hidden="1">{#N/A,#N/A,FALSE,"단축1";#N/A,#N/A,FALSE,"단축2";#N/A,#N/A,FALSE,"단축3";#N/A,#N/A,FALSE,"장축";#N/A,#N/A,FALSE,"4WD"}</definedName>
    <definedName name="asadcs" localSheetId="3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localSheetId="2" hidden="1">{#N/A,#N/A,FALSE,"초도품";#N/A,#N/A,FALSE,"초도품 (2)";#N/A,#N/A,FALSE,"초도품 (3)";#N/A,#N/A,FALSE,"초도품 (4)";#N/A,#N/A,FALSE,"초도품 (5)";#N/A,#N/A,FALSE,"초도품 (6)"}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localSheetId="2" hidden="1">{#N/A,#N/A,FALSE,"단축1";#N/A,#N/A,FALSE,"단축2";#N/A,#N/A,FALSE,"단축3";#N/A,#N/A,FALSE,"장축";#N/A,#N/A,FALSE,"4WD"}</definedName>
    <definedName name="ASERDHFGTR" localSheetId="3" hidden="1">{#N/A,#N/A,FALSE,"단축1";#N/A,#N/A,FALSE,"단축2";#N/A,#N/A,FALSE,"단축3";#N/A,#N/A,FALSE,"장축";#N/A,#N/A,FALSE,"4WD"}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localSheetId="2" hidden="1">{#N/A,#N/A,FALSE,"을지 (4)";#N/A,#N/A,FALSE,"을지 (5)";#N/A,#N/A,FALSE,"을지 (6)"}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Y" localSheetId="2" hidden="1">{#N/A,#N/A,FALSE,"단축1";#N/A,#N/A,FALSE,"단축2";#N/A,#N/A,FALSE,"단축3";#N/A,#N/A,FALSE,"장축";#N/A,#N/A,FALSE,"4WD"}</definedName>
    <definedName name="ASSY" localSheetId="3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AVTRWEAVTSRGFD" localSheetId="2" hidden="1">{#N/A,#N/A,FALSE,"단축1";#N/A,#N/A,FALSE,"단축2";#N/A,#N/A,FALSE,"단축3";#N/A,#N/A,FALSE,"장축";#N/A,#N/A,FALSE,"4WD"}</definedName>
    <definedName name="AVTRWEAVTSRGFD" localSheetId="3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2" hidden="1">{#N/A,#N/A,FALSE,"단축1";#N/A,#N/A,FALSE,"단축2";#N/A,#N/A,FALSE,"단축3";#N/A,#N/A,FALSE,"장축";#N/A,#N/A,FALSE,"4WD"}</definedName>
    <definedName name="AVWTRFUHF" localSheetId="3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2" hidden="1">{#N/A,#N/A,FALSE,"단축1";#N/A,#N/A,FALSE,"단축2";#N/A,#N/A,FALSE,"단축3";#N/A,#N/A,FALSE,"장축";#N/A,#N/A,FALSE,"4WD"}</definedName>
    <definedName name="AVYDAVYHDTH" localSheetId="3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localSheetId="2" hidden="1">{#N/A,#N/A,FALSE,"초도품";#N/A,#N/A,FALSE,"초도품 (2)";#N/A,#N/A,FALSE,"초도품 (3)";#N/A,#N/A,FALSE,"초도품 (4)";#N/A,#N/A,FALSE,"초도품 (5)";#N/A,#N/A,FALSE,"초도품 (6)"}</definedName>
    <definedName name="AWE" localSheetId="3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2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localSheetId="2" hidden="1">{#N/A,#N/A,FALSE,"단축1";#N/A,#N/A,FALSE,"단축2";#N/A,#N/A,FALSE,"단축3";#N/A,#N/A,FALSE,"장축";#N/A,#N/A,FALSE,"4WD"}</definedName>
    <definedName name="betbgxsv" localSheetId="3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GJK" localSheetId="2" hidden="1">{#N/A,#N/A,FALSE,"단축1";#N/A,#N/A,FALSE,"단축2";#N/A,#N/A,FALSE,"단축3";#N/A,#N/A,FALSE,"장축";#N/A,#N/A,FALSE,"4WD"}</definedName>
    <definedName name="BGJK" localSheetId="3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localSheetId="2" hidden="1">{#N/A,#N/A,TRUE,"Y생산";#N/A,#N/A,TRUE,"Y판매";#N/A,#N/A,TRUE,"Y총물량";#N/A,#N/A,TRUE,"Y능력";#N/A,#N/A,TRUE,"YKD"}</definedName>
    <definedName name="book1" localSheetId="3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UTFGY" localSheetId="2" hidden="1">{#N/A,#N/A,FALSE,"단축1";#N/A,#N/A,FALSE,"단축2";#N/A,#N/A,FALSE,"단축3";#N/A,#N/A,FALSE,"장축";#N/A,#N/A,FALSE,"4WD"}</definedName>
    <definedName name="BUTFGY" localSheetId="3" hidden="1">{#N/A,#N/A,FALSE,"단축1";#N/A,#N/A,FALSE,"단축2";#N/A,#N/A,FALSE,"단축3";#N/A,#N/A,FALSE,"장축";#N/A,#N/A,FALSE,"4WD"}</definedName>
    <definedName name="BUTFGY" hidden="1">{#N/A,#N/A,FALSE,"단축1";#N/A,#N/A,FALSE,"단축2";#N/A,#N/A,FALSE,"단축3";#N/A,#N/A,FALSE,"장축";#N/A,#N/A,FALSE,"4WD"}</definedName>
    <definedName name="CAE해석" localSheetId="2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localSheetId="2" hidden="1">{#N/A,#N/A,FALSE,"단축1";#N/A,#N/A,FALSE,"단축2";#N/A,#N/A,FALSE,"단축3";#N/A,#N/A,FALSE,"장축";#N/A,#N/A,FALSE,"4WD"}</definedName>
    <definedName name="cccddd" localSheetId="3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dhbkjbkjnkjnlmmn" localSheetId="2" hidden="1">{#N/A,#N/A,TRUE,"일정"}</definedName>
    <definedName name="cdhbkjbkjnkjnlmmn" localSheetId="3" hidden="1">{#N/A,#N/A,TRUE,"일정"}</definedName>
    <definedName name="cdhbkjbkjnkjnlmmn" hidden="1">{#N/A,#N/A,TRUE,"일정"}</definedName>
    <definedName name="CFVGYTU" localSheetId="2" hidden="1">{#N/A,#N/A,FALSE,"원가검토서"}</definedName>
    <definedName name="CFVGYTU" localSheetId="3" hidden="1">{#N/A,#N/A,FALSE,"원가검토서"}</definedName>
    <definedName name="CFVGYTU" hidden="1">{#N/A,#N/A,FALSE,"원가검토서"}</definedName>
    <definedName name="chang" localSheetId="2" hidden="1">{#N/A,#N/A,FALSE,"을지 (4)";#N/A,#N/A,FALSE,"을지 (5)";#N/A,#N/A,FALSE,"을지 (6)"}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oi" localSheetId="2" hidden="1">{#N/A,#N/A,FALSE,"Australien";#N/A,#N/A,FALSE,"Birmingham";#N/A,#N/A,FALSE,"Brasilien";#N/A,#N/A,FALSE,"Prag";#N/A,#N/A,FALSE,"Spanien";#N/A,#N/A,FALSE,"Malaysia ( Com)";#N/A,#N/A,FALSE,"Malaysia (Instr)"}</definedName>
    <definedName name="choi" localSheetId="3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2" hidden="1">{#N/A,#N/A,FALSE,"단축1";#N/A,#N/A,FALSE,"단축2";#N/A,#N/A,FALSE,"단축3";#N/A,#N/A,FALSE,"장축";#N/A,#N/A,FALSE,"4WD"}</definedName>
    <definedName name="ci" localSheetId="3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NT대책" localSheetId="2" hidden="1">{#N/A,#N/A,FALSE,"단축1";#N/A,#N/A,FALSE,"단축2";#N/A,#N/A,FALSE,"단축3";#N/A,#N/A,FALSE,"장축";#N/A,#N/A,FALSE,"4WD"}</definedName>
    <definedName name="CONT대책" localSheetId="3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localSheetId="2" hidden="1">{#N/A,#N/A,FALSE,"단축1";#N/A,#N/A,FALSE,"단축2";#N/A,#N/A,FALSE,"단축3";#N/A,#N/A,FALSE,"장축";#N/A,#N/A,FALSE,"4WD"}</definedName>
    <definedName name="DATGTSGHFD" localSheetId="3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localSheetId="2" hidden="1">{#N/A,#N/A,FALSE,"단축1";#N/A,#N/A,FALSE,"단축2";#N/A,#N/A,FALSE,"단축3";#N/A,#N/A,FALSE,"장축";#N/A,#N/A,FALSE,"4WD"}</definedName>
    <definedName name="DDDD" localSheetId="3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localSheetId="2" hidden="1">{#N/A,#N/A,TRUE,"일정"}</definedName>
    <definedName name="DDDDDD" localSheetId="3" hidden="1">{#N/A,#N/A,TRUE,"일정"}</definedName>
    <definedName name="DDDDDD" hidden="1">{#N/A,#N/A,TRUE,"일정"}</definedName>
    <definedName name="DDDDDDD" hidden="1">#REF!</definedName>
    <definedName name="dddddf" localSheetId="2" hidden="1">{#N/A,#N/A,FALSE,"단축1";#N/A,#N/A,FALSE,"단축2";#N/A,#N/A,FALSE,"단축3";#N/A,#N/A,FALSE,"장축";#N/A,#N/A,FALSE,"4WD"}</definedName>
    <definedName name="dddddf" localSheetId="3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2" hidden="1">{#N/A,#N/A,FALSE,"단축1";#N/A,#N/A,FALSE,"단축2";#N/A,#N/A,FALSE,"단축3";#N/A,#N/A,FALSE,"장축";#N/A,#N/A,FALSE,"4WD"}</definedName>
    <definedName name="DDE" localSheetId="3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2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2" hidden="1">{#N/A,#N/A,FALSE,"원가검토서"}</definedName>
    <definedName name="ddfg" localSheetId="3" hidden="1">{#N/A,#N/A,FALSE,"원가검토서"}</definedName>
    <definedName name="ddfg" hidden="1">{#N/A,#N/A,FALSE,"원가검토서"}</definedName>
    <definedName name="DDS" localSheetId="2" hidden="1">{#N/A,#N/A,FALSE,"을지 (4)";#N/A,#N/A,FALSE,"을지 (5)";#N/A,#N/A,FALSE,"을지 (6)"}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S" localSheetId="2" hidden="1">{#N/A,#N/A,FALSE,"단축1";#N/A,#N/A,FALSE,"단축2";#N/A,#N/A,FALSE,"단축3";#N/A,#N/A,FALSE,"장축";#N/A,#N/A,FALSE,"4WD"}</definedName>
    <definedName name="DDSS" localSheetId="3" hidden="1">{#N/A,#N/A,FALSE,"단축1";#N/A,#N/A,FALSE,"단축2";#N/A,#N/A,FALSE,"단축3";#N/A,#N/A,FALSE,"장축";#N/A,#N/A,FALSE,"4WD"}</definedName>
    <definedName name="DDSS" hidden="1">{#N/A,#N/A,FALSE,"단축1";#N/A,#N/A,FALSE,"단축2";#N/A,#N/A,FALSE,"단축3";#N/A,#N/A,FALSE,"장축";#N/A,#N/A,FALSE,"4WD"}</definedName>
    <definedName name="DFA" localSheetId="2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2" hidden="1">{#N/A,#N/A,FALSE,"원가검토서"}</definedName>
    <definedName name="DFAGF" localSheetId="3" hidden="1">{#N/A,#N/A,FALSE,"원가검토서"}</definedName>
    <definedName name="DFAGF" hidden="1">{#N/A,#N/A,FALSE,"원가검토서"}</definedName>
    <definedName name="DFDF" localSheetId="2" hidden="1">{#N/A,#N/A,FALSE,"단축1";#N/A,#N/A,FALSE,"단축2";#N/A,#N/A,FALSE,"단축3";#N/A,#N/A,FALSE,"장축";#N/A,#N/A,FALSE,"4WD"}</definedName>
    <definedName name="DFDF" localSheetId="3" hidden="1">{#N/A,#N/A,FALSE,"단축1";#N/A,#N/A,FALSE,"단축2";#N/A,#N/A,FALSE,"단축3";#N/A,#N/A,FALSE,"장축";#N/A,#N/A,FALSE,"4WD"}</definedName>
    <definedName name="DFDF" hidden="1">{#N/A,#N/A,FALSE,"단축1";#N/A,#N/A,FALSE,"단축2";#N/A,#N/A,FALSE,"단축3";#N/A,#N/A,FALSE,"장축";#N/A,#N/A,FALSE,"4WD"}</definedName>
    <definedName name="DFF" localSheetId="2" hidden="1">{#N/A,#N/A,FALSE,"단축1";#N/A,#N/A,FALSE,"단축2";#N/A,#N/A,FALSE,"단축3";#N/A,#N/A,FALSE,"장축";#N/A,#N/A,FALSE,"4WD"}</definedName>
    <definedName name="DFF" localSheetId="3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2" hidden="1">{#N/A,#N/A,FALSE,"원가검토서"}</definedName>
    <definedName name="DFG" localSheetId="3" hidden="1">{#N/A,#N/A,FALSE,"원가검토서"}</definedName>
    <definedName name="DFG" hidden="1">{#N/A,#N/A,FALSE,"원가검토서"}</definedName>
    <definedName name="DFGEERT" localSheetId="2" hidden="1">{#N/A,#N/A,FALSE,"원가검토서"}</definedName>
    <definedName name="DFGEERT" localSheetId="3" hidden="1">{#N/A,#N/A,FALSE,"원가검토서"}</definedName>
    <definedName name="DFGEERT" hidden="1">{#N/A,#N/A,FALSE,"원가검토서"}</definedName>
    <definedName name="DFHJ" localSheetId="2" hidden="1">{#N/A,#N/A,FALSE,"단축1";#N/A,#N/A,FALSE,"단축2";#N/A,#N/A,FALSE,"단축3";#N/A,#N/A,FALSE,"장축";#N/A,#N/A,FALSE,"4WD"}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D" localSheetId="2" hidden="1">{#N/A,#N/A,FALSE,"단축1";#N/A,#N/A,FALSE,"단축2";#N/A,#N/A,FALSE,"단축3";#N/A,#N/A,FALSE,"장축";#N/A,#N/A,FALSE,"4WD"}</definedName>
    <definedName name="DFJHD" localSheetId="3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2" hidden="1">{#N/A,#N/A,FALSE,"원가검토서"}</definedName>
    <definedName name="dfsf" localSheetId="3" hidden="1">{#N/A,#N/A,FALSE,"원가검토서"}</definedName>
    <definedName name="dfsf" hidden="1">{#N/A,#N/A,FALSE,"원가검토서"}</definedName>
    <definedName name="DGF" localSheetId="2" hidden="1">{#N/A,#N/A,FALSE,"단축1";#N/A,#N/A,FALSE,"단축2";#N/A,#N/A,FALSE,"단축3";#N/A,#N/A,FALSE,"장축";#N/A,#N/A,FALSE,"4WD"}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2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localSheetId="2" hidden="1">{#N/A,#N/A,FALSE,"단축1";#N/A,#N/A,FALSE,"단축2";#N/A,#N/A,FALSE,"단축3";#N/A,#N/A,FALSE,"장축";#N/A,#N/A,FALSE,"4WD"}</definedName>
    <definedName name="DHGFYJMGJM" localSheetId="3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localSheetId="2" hidden="1">{#N/A,#N/A,FALSE,"단축1";#N/A,#N/A,FALSE,"단축2";#N/A,#N/A,FALSE,"단축3";#N/A,#N/A,FALSE,"장축";#N/A,#N/A,FALSE,"4WD"}</definedName>
    <definedName name="DHHDH" localSheetId="3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localSheetId="2" hidden="1">{#N/A,#N/A,FALSE,"단축1";#N/A,#N/A,FALSE,"단축2";#N/A,#N/A,FALSE,"단축3";#N/A,#N/A,FALSE,"장축";#N/A,#N/A,FALSE,"4WD"}</definedName>
    <definedName name="djbtezsr" localSheetId="3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localSheetId="2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2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2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2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localSheetId="2" hidden="1">{#N/A,#N/A,TRUE,"Y생산";#N/A,#N/A,TRUE,"Y판매";#N/A,#N/A,TRUE,"Y총물량";#N/A,#N/A,TRUE,"Y능력";#N/A,#N/A,TRUE,"YKD"}</definedName>
    <definedName name="DLAKL" localSheetId="3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DL" localSheetId="2" hidden="1">{#N/A,#N/A,FALSE,"단축1";#N/A,#N/A,FALSE,"단축2";#N/A,#N/A,FALSE,"단축3";#N/A,#N/A,FALSE,"장축";#N/A,#N/A,FALSE,"4WD"}</definedName>
    <definedName name="DLDL" localSheetId="3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DLD" localSheetId="2" hidden="1">{#N/A,#N/A,FALSE,"단축1";#N/A,#N/A,FALSE,"단축2";#N/A,#N/A,FALSE,"단축3";#N/A,#N/A,FALSE,"장축";#N/A,#N/A,FALSE,"4WD"}</definedName>
    <definedName name="DLDLDLD" localSheetId="3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localSheetId="2" hidden="1">{#N/A,#N/A,TRUE,"일정"}</definedName>
    <definedName name="DLF" localSheetId="3" hidden="1">{#N/A,#N/A,TRUE,"일정"}</definedName>
    <definedName name="DLF" hidden="1">{#N/A,#N/A,TRUE,"일정"}</definedName>
    <definedName name="DLS" localSheetId="2" hidden="1">{#N/A,#N/A,TRUE,"Y생산";#N/A,#N/A,TRUE,"Y판매";#N/A,#N/A,TRUE,"Y총물량";#N/A,#N/A,TRUE,"Y능력";#N/A,#N/A,TRUE,"YKD"}</definedName>
    <definedName name="DLS" localSheetId="3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n" localSheetId="2" hidden="1">{#N/A,#N/A,FALSE,"단축1";#N/A,#N/A,FALSE,"단축2";#N/A,#N/A,FALSE,"단축3";#N/A,#N/A,FALSE,"장축";#N/A,#N/A,FALSE,"4WD"}</definedName>
    <definedName name="dn" localSheetId="3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NFLA" localSheetId="2" hidden="1">{#N/A,#N/A,FALSE,"단축1";#N/A,#N/A,FALSE,"단축2";#N/A,#N/A,FALSE,"단축3";#N/A,#N/A,FALSE,"장축";#N/A,#N/A,FALSE,"4WD"}</definedName>
    <definedName name="DNFLA" localSheetId="3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localSheetId="2" hidden="1">{#N/A,#N/A,FALSE,"단축1";#N/A,#N/A,FALSE,"단축2";#N/A,#N/A,FALSE,"단축3";#N/A,#N/A,FALSE,"장축";#N/A,#N/A,FALSE,"4WD"}</definedName>
    <definedName name="DRFDGH" localSheetId="3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localSheetId="2" hidden="1">{#N/A,#N/A,FALSE,"단축1";#N/A,#N/A,FALSE,"단축2";#N/A,#N/A,FALSE,"단축3";#N/A,#N/A,FALSE,"장축";#N/A,#N/A,FALSE,"4WD"}</definedName>
    <definedName name="DRGDTHMH" localSheetId="3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2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2" hidden="1">{#N/A,#N/A,FALSE,"원가검토서"}</definedName>
    <definedName name="DS" localSheetId="3" hidden="1">{#N/A,#N/A,FALSE,"원가검토서"}</definedName>
    <definedName name="DS" hidden="1">{#N/A,#N/A,FALSE,"원가검토서"}</definedName>
    <definedName name="DSRIIHWQLW" localSheetId="2" hidden="1">{#N/A,#N/A,FALSE,"단축1";#N/A,#N/A,FALSE,"단축2";#N/A,#N/A,FALSE,"단축3";#N/A,#N/A,FALSE,"장축";#N/A,#N/A,FALSE,"4WD"}</definedName>
    <definedName name="DSRIIHWQLW" localSheetId="3" hidden="1">{#N/A,#N/A,FALSE,"단축1";#N/A,#N/A,FALSE,"단축2";#N/A,#N/A,FALSE,"단축3";#N/A,#N/A,FALSE,"장축";#N/A,#N/A,FALSE,"4WD"}</definedName>
    <definedName name="DSRIIHWQLW" hidden="1">{#N/A,#N/A,FALSE,"단축1";#N/A,#N/A,FALSE,"단축2";#N/A,#N/A,FALSE,"단축3";#N/A,#N/A,FALSE,"장축";#N/A,#N/A,FALSE,"4WD"}</definedName>
    <definedName name="DTHDGFGHJHJMH" localSheetId="2" hidden="1">{#N/A,#N/A,FALSE,"단축1";#N/A,#N/A,FALSE,"단축2";#N/A,#N/A,FALSE,"단축3";#N/A,#N/A,FALSE,"장축";#N/A,#N/A,FALSE,"4WD"}</definedName>
    <definedName name="DTHDGFGHJHJMH" localSheetId="3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localSheetId="2" hidden="1">{#N/A,#N/A,FALSE,"단축1";#N/A,#N/A,FALSE,"단축2";#N/A,#N/A,FALSE,"단축3";#N/A,#N/A,FALSE,"장축";#N/A,#N/A,FALSE,"4WD"}</definedName>
    <definedName name="DVD" localSheetId="3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localSheetId="2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localSheetId="2" hidden="1">{#N/A,#N/A,FALSE,"단축1";#N/A,#N/A,FALSE,"단축2";#N/A,#N/A,FALSE,"단축3";#N/A,#N/A,FALSE,"장축";#N/A,#N/A,FALSE,"4WD"}</definedName>
    <definedName name="edrte6utfyf" localSheetId="3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localSheetId="2" hidden="1">{#N/A,#N/A,FALSE,"단축1";#N/A,#N/A,FALSE,"단축2";#N/A,#N/A,FALSE,"단축3";#N/A,#N/A,FALSE,"장축";#N/A,#N/A,FALSE,"4WD"}</definedName>
    <definedName name="edyhbfgrsv" localSheetId="3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localSheetId="2" hidden="1">{#N/A,#N/A,FALSE,"단축1";#N/A,#N/A,FALSE,"단축2";#N/A,#N/A,FALSE,"단축3";#N/A,#N/A,FALSE,"장축";#N/A,#N/A,FALSE,"4WD"}</definedName>
    <definedName name="EESDWERF" localSheetId="3" hidden="1">{#N/A,#N/A,FALSE,"단축1";#N/A,#N/A,FALSE,"단축2";#N/A,#N/A,FALSE,"단축3";#N/A,#N/A,FALSE,"장축";#N/A,#N/A,FALSE,"4WD"}</definedName>
    <definedName name="EESDWERF" hidden="1">{#N/A,#N/A,FALSE,"단축1";#N/A,#N/A,FALSE,"단축2";#N/A,#N/A,FALSE,"단축3";#N/A,#N/A,FALSE,"장축";#N/A,#N/A,FALSE,"4WD"}</definedName>
    <definedName name="efffgsdcasdarae" localSheetId="2" hidden="1">{#N/A,#N/A,FALSE,"단축1";#N/A,#N/A,FALSE,"단축2";#N/A,#N/A,FALSE,"단축3";#N/A,#N/A,FALSE,"장축";#N/A,#N/A,FALSE,"4WD"}</definedName>
    <definedName name="efffgsdcasdarae" localSheetId="3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2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localSheetId="2" hidden="1">{#N/A,#N/A,FALSE,"단축1";#N/A,#N/A,FALSE,"단축2";#N/A,#N/A,FALSE,"단축3";#N/A,#N/A,FALSE,"장축";#N/A,#N/A,FALSE,"4WD"}</definedName>
    <definedName name="EGRCFTRG" localSheetId="3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localSheetId="2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3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localSheetId="2" hidden="1">{#N/A,#N/A,FALSE,"단축1";#N/A,#N/A,FALSE,"단축2";#N/A,#N/A,FALSE,"단축3";#N/A,#N/A,FALSE,"장축";#N/A,#N/A,FALSE,"4WD"}</definedName>
    <definedName name="EOFHSFSSJF" localSheetId="3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GH" localSheetId="2" hidden="1">{#N/A,#N/A,FALSE,"단축1";#N/A,#N/A,FALSE,"단축2";#N/A,#N/A,FALSE,"단축3";#N/A,#N/A,FALSE,"장축";#N/A,#N/A,FALSE,"4WD"}</definedName>
    <definedName name="EOGH" localSheetId="3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localSheetId="2" hidden="1">{"Wire Charts",#N/A,TRUE,"Wires"}</definedName>
    <definedName name="ERG" localSheetId="3" hidden="1">{"Wire Charts",#N/A,TRUE,"Wires"}</definedName>
    <definedName name="ERG" hidden="1">{"Wire Charts",#N/A,TRUE,"Wires"}</definedName>
    <definedName name="estgret" localSheetId="2" hidden="1">{#N/A,#N/A,FALSE,"단축1";#N/A,#N/A,FALSE,"단축2";#N/A,#N/A,FALSE,"단축3";#N/A,#N/A,FALSE,"장축";#N/A,#N/A,FALSE,"4WD"}</definedName>
    <definedName name="estgret" localSheetId="3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RYU" localSheetId="2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localSheetId="2" hidden="1">{#N/A,#N/A,FALSE,"단축1";#N/A,#N/A,FALSE,"단축2";#N/A,#N/A,FALSE,"단축3";#N/A,#N/A,FALSE,"장축";#N/A,#N/A,FALSE,"4WD"}</definedName>
    <definedName name="ETY" localSheetId="3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localSheetId="2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localSheetId="2" hidden="1">{#N/A,#N/A,FALSE,"초도품";#N/A,#N/A,FALSE,"초도품 (2)";#N/A,#N/A,FALSE,"초도품 (3)";#N/A,#N/A,FALSE,"초도품 (4)";#N/A,#N/A,FALSE,"초도품 (5)";#N/A,#N/A,FALSE,"초도품 (6)"}</definedName>
    <definedName name="EWA" localSheetId="3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localSheetId="2" hidden="1">{#N/A,#N/A,FALSE,"단축1";#N/A,#N/A,FALSE,"단축2";#N/A,#N/A,FALSE,"단축3";#N/A,#N/A,FALSE,"장축";#N/A,#N/A,FALSE,"4WD"}</definedName>
    <definedName name="ewfsteg" localSheetId="3" hidden="1">{#N/A,#N/A,FALSE,"단축1";#N/A,#N/A,FALSE,"단축2";#N/A,#N/A,FALSE,"단축3";#N/A,#N/A,FALSE,"장축";#N/A,#N/A,FALSE,"4WD"}</definedName>
    <definedName name="ewfsteg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localSheetId="2" hidden="1">{#N/A,#N/A,FALSE,"단축1";#N/A,#N/A,FALSE,"단축2";#N/A,#N/A,FALSE,"단축3";#N/A,#N/A,FALSE,"장축";#N/A,#N/A,FALSE,"4WD"}</definedName>
    <definedName name="EWYTFVXYTDUY" localSheetId="3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localSheetId="2" hidden="1">{#N/A,#N/A,FALSE,"단축1";#N/A,#N/A,FALSE,"단축2";#N/A,#N/A,FALSE,"단축3";#N/A,#N/A,FALSE,"장축";#N/A,#N/A,FALSE,"4WD"}</definedName>
    <definedName name="EYERYWEYTRWWW4" localSheetId="3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2" hidden="1">{#N/A,#N/A,FALSE,"단축1";#N/A,#N/A,FALSE,"단축2";#N/A,#N/A,FALSE,"단축3";#N/A,#N/A,FALSE,"장축";#N/A,#N/A,FALSE,"4WD"}</definedName>
    <definedName name="EYREYTRUTYTR" localSheetId="3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2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localSheetId="2" hidden="1">{#N/A,#N/A,FALSE,"단축1";#N/A,#N/A,FALSE,"단축2";#N/A,#N/A,FALSE,"단축3";#N/A,#N/A,FALSE,"장축";#N/A,#N/A,FALSE,"4WD"}</definedName>
    <definedName name="FDGHDFG" localSheetId="3" hidden="1">{#N/A,#N/A,FALSE,"단축1";#N/A,#N/A,FALSE,"단축2";#N/A,#N/A,FALSE,"단축3";#N/A,#N/A,FALSE,"장축";#N/A,#N/A,FALSE,"4WD"}</definedName>
    <definedName name="FDGHDFG" hidden="1">{#N/A,#N/A,FALSE,"단축1";#N/A,#N/A,FALSE,"단축2";#N/A,#N/A,FALSE,"단축3";#N/A,#N/A,FALSE,"장축";#N/A,#N/A,FALSE,"4WD"}</definedName>
    <definedName name="FDGS" localSheetId="2" hidden="1">{"'KET'!$A$1:$E$2423"}</definedName>
    <definedName name="FDGS" localSheetId="3" hidden="1">{"'KET'!$A$1:$E$2423"}</definedName>
    <definedName name="FDGS" hidden="1">{"'KET'!$A$1:$E$2423"}</definedName>
    <definedName name="FDJGDFHJ" localSheetId="2" hidden="1">{#N/A,#N/A,FALSE,"단축1";#N/A,#N/A,FALSE,"단축2";#N/A,#N/A,FALSE,"단축3";#N/A,#N/A,FALSE,"장축";#N/A,#N/A,FALSE,"4WD"}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2" hidden="1">{#N/A,#N/A,FALSE,"단축1";#N/A,#N/A,FALSE,"단축2";#N/A,#N/A,FALSE,"단축3";#N/A,#N/A,FALSE,"장축";#N/A,#N/A,FALSE,"4WD"}</definedName>
    <definedName name="FDKLI" localSheetId="3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localSheetId="2" hidden="1">{#N/A,#N/A,FALSE,"단축1";#N/A,#N/A,FALSE,"단축2";#N/A,#N/A,FALSE,"단축3";#N/A,#N/A,FALSE,"장축";#N/A,#N/A,FALSE,"4WD"}</definedName>
    <definedName name="FFDF" localSheetId="3" hidden="1">{#N/A,#N/A,FALSE,"단축1";#N/A,#N/A,FALSE,"단축2";#N/A,#N/A,FALSE,"단축3";#N/A,#N/A,FALSE,"장축";#N/A,#N/A,FALSE,"4WD"}</definedName>
    <definedName name="FFDF" hidden="1">{#N/A,#N/A,FALSE,"단축1";#N/A,#N/A,FALSE,"단축2";#N/A,#N/A,FALSE,"단축3";#N/A,#N/A,FALSE,"장축";#N/A,#N/A,FALSE,"4WD"}</definedName>
    <definedName name="fffgfg" localSheetId="2" hidden="1">{#N/A,#N/A,FALSE,"단축1";#N/A,#N/A,FALSE,"단축2";#N/A,#N/A,FALSE,"단축3";#N/A,#N/A,FALSE,"장축";#N/A,#N/A,FALSE,"4WD"}</definedName>
    <definedName name="fffgfg" localSheetId="3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localSheetId="2" hidden="1">{"'OPEN'G압출'!$A$4:$P$34"}</definedName>
    <definedName name="FGF" localSheetId="3" hidden="1">{"'OPEN'G압출'!$A$4:$P$34"}</definedName>
    <definedName name="FGF" hidden="1">{"'OPEN'G압출'!$A$4:$P$34"}</definedName>
    <definedName name="FGGHNMK" localSheetId="2" hidden="1">{#N/A,#N/A,FALSE,"원가검토서"}</definedName>
    <definedName name="FGGHNMK" localSheetId="3" hidden="1">{#N/A,#N/A,FALSE,"원가검토서"}</definedName>
    <definedName name="FGGHNMK" hidden="1">{#N/A,#N/A,FALSE,"원가검토서"}</definedName>
    <definedName name="FGH" localSheetId="2" hidden="1">{#N/A,#N/A,FALSE,"단축1";#N/A,#N/A,FALSE,"단축2";#N/A,#N/A,FALSE,"단축3";#N/A,#N/A,FALSE,"장축";#N/A,#N/A,FALSE,"4WD"}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J" localSheetId="2" hidden="1">{#N/A,#N/A,FALSE,"원가검토서"}</definedName>
    <definedName name="FGHJ" localSheetId="3" hidden="1">{#N/A,#N/A,FALSE,"원가검토서"}</definedName>
    <definedName name="FGHJ" hidden="1">{#N/A,#N/A,FALSE,"원가검토서"}</definedName>
    <definedName name="FGS" localSheetId="2" hidden="1">{"Wire Charts",#N/A,TRUE,"Wires"}</definedName>
    <definedName name="FGS" localSheetId="3" hidden="1">{"Wire Charts",#N/A,TRUE,"Wires"}</definedName>
    <definedName name="FGS" hidden="1">{"Wire Charts",#N/A,TRUE,"Wires"}</definedName>
    <definedName name="FH" localSheetId="2" hidden="1">{#N/A,#N/A,FALSE,"단축1";#N/A,#N/A,FALSE,"단축2";#N/A,#N/A,FALSE,"단축3";#N/A,#N/A,FALSE,"장축";#N/A,#N/A,FALSE,"4WD"}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alaslaslfasllaa" localSheetId="2" hidden="1">{#N/A,#N/A,FALSE,"을지 (4)";#N/A,#N/A,FALSE,"을지 (5)";#N/A,#N/A,FALSE,"을지 (6)"}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FJ" localSheetId="2" hidden="1">{#N/A,#N/A,FALSE,"단축1";#N/A,#N/A,FALSE,"단축2";#N/A,#N/A,FALSE,"단축3";#N/A,#N/A,FALSE,"장축";#N/A,#N/A,FALSE,"4WD"}</definedName>
    <definedName name="FJFJ" localSheetId="3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kfkfkfkfkf" localSheetId="2" hidden="1">{#N/A,#N/A,FALSE,"을지 (4)";#N/A,#N/A,FALSE,"을지 (5)";#N/A,#N/A,FALSE,"을지 (6)"}</definedName>
    <definedName name="fkfkfkfkfkf" localSheetId="3" hidden="1">{#N/A,#N/A,FALSE,"을지 (4)";#N/A,#N/A,FALSE,"을지 (5)";#N/A,#N/A,FALSE,"을지 (6)"}</definedName>
    <definedName name="fkfkfkfkfkf" hidden="1">{#N/A,#N/A,FALSE,"을지 (4)";#N/A,#N/A,FALSE,"을지 (5)";#N/A,#N/A,FALSE,"을지 (6)"}</definedName>
    <definedName name="fkfkfkfkfkfkfkfk" localSheetId="2" hidden="1">{#N/A,#N/A,FALSE,"을지 (4)";#N/A,#N/A,FALSE,"을지 (5)";#N/A,#N/A,FALSE,"을지 (6)"}</definedName>
    <definedName name="fkfkfkfkfkfkfkfk" localSheetId="3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localSheetId="2" hidden="1">{#N/A,#N/A,TRUE,"Y생산";#N/A,#N/A,TRUE,"Y판매";#N/A,#N/A,TRUE,"Y총물량";#N/A,#N/A,TRUE,"Y능력";#N/A,#N/A,TRUE,"YKD"}</definedName>
    <definedName name="fkla" localSheetId="3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localSheetId="2" hidden="1">{#N/A,#N/A,FALSE,"단축1";#N/A,#N/A,FALSE,"단축2";#N/A,#N/A,FALSE,"단축3";#N/A,#N/A,FALSE,"장축";#N/A,#N/A,FALSE,"4WD"}</definedName>
    <definedName name="FMEA양식갑" localSheetId="3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2" hidden="1">{#N/A,#N/A,FALSE,"단축1";#N/A,#N/A,FALSE,"단축2";#N/A,#N/A,FALSE,"단축3";#N/A,#N/A,FALSE,"장축";#N/A,#N/A,FALSE,"4WD"}</definedName>
    <definedName name="FMEA양식설계갑" localSheetId="3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2" hidden="1">{#N/A,#N/A,FALSE,"단축1";#N/A,#N/A,FALSE,"단축2";#N/A,#N/A,FALSE,"단축3";#N/A,#N/A,FALSE,"장축";#N/A,#N/A,FALSE,"4WD"}</definedName>
    <definedName name="fmea양식설계정" localSheetId="3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2" hidden="1">{#N/A,#N/A,FALSE,"단축1";#N/A,#N/A,FALSE,"단축2";#N/A,#N/A,FALSE,"단축3";#N/A,#N/A,FALSE,"장축";#N/A,#N/A,FALSE,"4WD"}</definedName>
    <definedName name="FMEA양식정" localSheetId="3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localSheetId="2" hidden="1">{#N/A,#N/A,FALSE,"단축1";#N/A,#N/A,FALSE,"단축2";#N/A,#N/A,FALSE,"단축3";#N/A,#N/A,FALSE,"장축";#N/A,#N/A,FALSE,"4WD"}</definedName>
    <definedName name="frmotor" localSheetId="3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2" hidden="1">{#N/A,#N/A,FALSE,"단축1";#N/A,#N/A,FALSE,"단축2";#N/A,#N/A,FALSE,"단축3";#N/A,#N/A,FALSE,"장축";#N/A,#N/A,FALSE,"4WD"}</definedName>
    <definedName name="FRONT" localSheetId="3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localSheetId="2" hidden="1">{#N/A,#N/A,TRUE,"일정"}</definedName>
    <definedName name="gdmhgdmhg" localSheetId="3" hidden="1">{#N/A,#N/A,TRUE,"일정"}</definedName>
    <definedName name="gdmhgdmhg" hidden="1">{#N/A,#N/A,TRUE,"일정"}</definedName>
    <definedName name="GFD" localSheetId="2" hidden="1">{#N/A,#N/A,TRUE,"일정"}</definedName>
    <definedName name="GFD" localSheetId="3" hidden="1">{#N/A,#N/A,TRUE,"일정"}</definedName>
    <definedName name="GFD" hidden="1">{#N/A,#N/A,TRUE,"일정"}</definedName>
    <definedName name="GFDG" localSheetId="2" hidden="1">{#N/A,#N/A,FALSE,"신규dep";#N/A,#N/A,FALSE,"신규dep-금형상각후";#N/A,#N/A,FALSE,"신규dep-연구비상각후";#N/A,#N/A,FALSE,"신규dep-기계,공구상각후"}</definedName>
    <definedName name="GFDG" localSheetId="3" hidden="1">{#N/A,#N/A,FALSE,"신규dep";#N/A,#N/A,FALSE,"신규dep-금형상각후";#N/A,#N/A,FALSE,"신규dep-연구비상각후";#N/A,#N/A,FALSE,"신규dep-기계,공구상각후"}</definedName>
    <definedName name="GFDG" hidden="1">{#N/A,#N/A,FALSE,"신규dep";#N/A,#N/A,FALSE,"신규dep-금형상각후";#N/A,#N/A,FALSE,"신규dep-연구비상각후";#N/A,#N/A,FALSE,"신규dep-기계,공구상각후"}</definedName>
    <definedName name="GFDS" localSheetId="2" hidden="1">{#N/A,#N/A,FALSE,"단축1";#N/A,#N/A,FALSE,"단축2";#N/A,#N/A,FALSE,"단축3";#N/A,#N/A,FALSE,"장축";#N/A,#N/A,FALSE,"4WD"}</definedName>
    <definedName name="GFDS" localSheetId="3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VBFDGF" localSheetId="2" hidden="1">{#N/A,#N/A,FALSE,"단축1";#N/A,#N/A,FALSE,"단축2";#N/A,#N/A,FALSE,"단축3";#N/A,#N/A,FALSE,"장축";#N/A,#N/A,FALSE,"4WD"}</definedName>
    <definedName name="GFDVBFDGF" localSheetId="3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localSheetId="2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2" hidden="1">{#N/A,#N/A,TRUE,"Y생산";#N/A,#N/A,TRUE,"Y판매";#N/A,#N/A,TRUE,"Y총물량";#N/A,#N/A,TRUE,"Y능력";#N/A,#N/A,TRUE,"YKD"}</definedName>
    <definedName name="gfld" localSheetId="3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HDJDG" localSheetId="2" hidden="1">{#N/A,#N/A,FALSE,"단축1";#N/A,#N/A,FALSE,"단축2";#N/A,#N/A,FALSE,"단축3";#N/A,#N/A,FALSE,"장축";#N/A,#N/A,FALSE,"4WD"}</definedName>
    <definedName name="GHDJDG" localSheetId="3" hidden="1">{#N/A,#N/A,FALSE,"단축1";#N/A,#N/A,FALSE,"단축2";#N/A,#N/A,FALSE,"단축3";#N/A,#N/A,FALSE,"장축";#N/A,#N/A,FALSE,"4WD"}</definedName>
    <definedName name="GHDJDG" hidden="1">{#N/A,#N/A,FALSE,"단축1";#N/A,#N/A,FALSE,"단축2";#N/A,#N/A,FALSE,"단축3";#N/A,#N/A,FALSE,"장축";#N/A,#N/A,FALSE,"4WD"}</definedName>
    <definedName name="GHUTGHF" localSheetId="2" hidden="1">{#N/A,#N/A,FALSE,"96 3월물량표";#N/A,#N/A,FALSE,"96 4월물량표";#N/A,#N/A,FALSE,"96 5월물량표"}</definedName>
    <definedName name="GHUTGHF" localSheetId="3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2" hidden="1">{#N/A,#N/A,FALSE,"단축1";#N/A,#N/A,FALSE,"단축2";#N/A,#N/A,FALSE,"단축3";#N/A,#N/A,FALSE,"장축";#N/A,#N/A,FALSE,"4WD"}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2" hidden="1">{#N/A,#N/A,FALSE,"단축1";#N/A,#N/A,FALSE,"단축2";#N/A,#N/A,FALSE,"단축3";#N/A,#N/A,FALSE,"장축";#N/A,#N/A,FALSE,"4WD"}</definedName>
    <definedName name="GJKGJK" localSheetId="3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localSheetId="2" hidden="1">{#N/A,#N/A,FALSE,"단축1";#N/A,#N/A,FALSE,"단축2";#N/A,#N/A,FALSE,"단축3";#N/A,#N/A,FALSE,"장축";#N/A,#N/A,FALSE,"4WD"}</definedName>
    <definedName name="GRE" localSheetId="3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localSheetId="2" hidden="1">{#N/A,#N/A,FALSE,"단축1";#N/A,#N/A,FALSE,"단축2";#N/A,#N/A,FALSE,"단축3";#N/A,#N/A,FALSE,"장축";#N/A,#N/A,FALSE,"4WD"}</definedName>
    <definedName name="GUIGU" localSheetId="3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2" hidden="1">{#N/A,#N/A,TRUE,"일정"}</definedName>
    <definedName name="gvdasskv" localSheetId="3" hidden="1">{#N/A,#N/A,TRUE,"일정"}</definedName>
    <definedName name="gvdasskv" hidden="1">{#N/A,#N/A,TRUE,"일정"}</definedName>
    <definedName name="HDTFJYDTYFTY" localSheetId="2" hidden="1">{#N/A,#N/A,FALSE,"단축1";#N/A,#N/A,FALSE,"단축2";#N/A,#N/A,FALSE,"단축3";#N/A,#N/A,FALSE,"장축";#N/A,#N/A,FALSE,"4WD"}</definedName>
    <definedName name="HDTFJYDTYFTY" localSheetId="3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FG" localSheetId="2" hidden="1">{#N/A,#N/A,TRUE,"Y생산";#N/A,#N/A,TRUE,"Y판매";#N/A,#N/A,TRUE,"Y총물량";#N/A,#N/A,TRUE,"Y능력";#N/A,#N/A,TRUE,"YKD"}</definedName>
    <definedName name="HFG" localSheetId="3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GJFGJJ" localSheetId="2" hidden="1">{"'OPEN'G압출'!$A$4:$P$34"}</definedName>
    <definedName name="HFGJFGJJ" localSheetId="3" hidden="1">{"'OPEN'G압출'!$A$4:$P$34"}</definedName>
    <definedName name="HFGJFGJJ" hidden="1">{"'OPEN'G압출'!$A$4:$P$34"}</definedName>
    <definedName name="hgfshg" localSheetId="2" hidden="1">{#N/A,#N/A,TRUE,"일정"}</definedName>
    <definedName name="hgfshg" localSheetId="3" hidden="1">{#N/A,#N/A,TRUE,"일정"}</definedName>
    <definedName name="hgfshg" hidden="1">{#N/A,#N/A,TRUE,"일정"}</definedName>
    <definedName name="hgfxd" localSheetId="2" hidden="1">{#N/A,#N/A,TRUE,"일정"}</definedName>
    <definedName name="hgfxd" localSheetId="3" hidden="1">{#N/A,#N/A,TRUE,"일정"}</definedName>
    <definedName name="hgfxd" hidden="1">{#N/A,#N/A,TRUE,"일정"}</definedName>
    <definedName name="HJ" localSheetId="2" hidden="1">{#N/A,#N/A,FALSE,"단축1";#N/A,#N/A,FALSE,"단축2";#N/A,#N/A,FALSE,"단축3";#N/A,#N/A,FALSE,"장축";#N/A,#N/A,FALSE,"4WD"}</definedName>
    <definedName name="HJ" localSheetId="3" hidden="1">{#N/A,#N/A,FALSE,"단축1";#N/A,#N/A,FALSE,"단축2";#N/A,#N/A,FALSE,"단축3";#N/A,#N/A,FALSE,"장축";#N/A,#N/A,FALSE,"4WD"}</definedName>
    <definedName name="HJ" hidden="1">{#N/A,#N/A,FALSE,"단축1";#N/A,#N/A,FALSE,"단축2";#N/A,#N/A,FALSE,"단축3";#N/A,#N/A,FALSE,"장축";#N/A,#N/A,FALSE,"4WD"}</definedName>
    <definedName name="HJGFJHFJH" localSheetId="2" hidden="1">{#N/A,#N/A,FALSE,"원가검토서"}</definedName>
    <definedName name="HJGFJHFJH" localSheetId="3" hidden="1">{#N/A,#N/A,FALSE,"원가검토서"}</definedName>
    <definedName name="HJGFJHFJH" hidden="1">{#N/A,#N/A,FALSE,"원가검토서"}</definedName>
    <definedName name="HJKLL" localSheetId="2" hidden="1">{#N/A,#N/A,TRUE,"Y생산";#N/A,#N/A,TRUE,"Y판매";#N/A,#N/A,TRUE,"Y총물량";#N/A,#N/A,TRUE,"Y능력";#N/A,#N/A,TRUE,"YKD"}</definedName>
    <definedName name="HJKLL" localSheetId="3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KJ" localSheetId="2" hidden="1">{#N/A,#N/A,FALSE,"단축1";#N/A,#N/A,FALSE,"단축2";#N/A,#N/A,FALSE,"단축3";#N/A,#N/A,FALSE,"장축";#N/A,#N/A,FALSE,"4WD"}</definedName>
    <definedName name="HKJ" localSheetId="3" hidden="1">{#N/A,#N/A,FALSE,"단축1";#N/A,#N/A,FALSE,"단축2";#N/A,#N/A,FALSE,"단축3";#N/A,#N/A,FALSE,"장축";#N/A,#N/A,FALSE,"4WD"}</definedName>
    <definedName name="HKJ" hidden="1">{#N/A,#N/A,FALSE,"단축1";#N/A,#N/A,FALSE,"단축2";#N/A,#N/A,FALSE,"단축3";#N/A,#N/A,FALSE,"장축";#N/A,#N/A,FALSE,"4WD"}</definedName>
    <definedName name="HLAMP4" localSheetId="2" hidden="1">{#N/A,#N/A,FALSE,"단축1";#N/A,#N/A,FALSE,"단축2";#N/A,#N/A,FALSE,"단축3";#N/A,#N/A,FALSE,"장축";#N/A,#N/A,FALSE,"4WD"}</definedName>
    <definedName name="HLAMP4" localSheetId="3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localSheetId="2" hidden="1">{#N/A,#N/A,FALSE,"단축1";#N/A,#N/A,FALSE,"단축2";#N/A,#N/A,FALSE,"단축3";#N/A,#N/A,FALSE,"장축";#N/A,#N/A,FALSE,"4WD"}</definedName>
    <definedName name="HOOD" localSheetId="3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localSheetId="2" hidden="1">{#N/A,#N/A,FALSE,"단축1";#N/A,#N/A,FALSE,"단축2";#N/A,#N/A,FALSE,"단축3";#N/A,#N/A,FALSE,"장축";#N/A,#N/A,FALSE,"4WD"}</definedName>
    <definedName name="HP종합" localSheetId="3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2" hidden="1">{"'Sheet9'!$K$8"}</definedName>
    <definedName name="HTML_Control" localSheetId="3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localSheetId="2" hidden="1">{#N/A,#N/A,FALSE,"단축1";#N/A,#N/A,FALSE,"단축2";#N/A,#N/A,FALSE,"단축3";#N/A,#N/A,FALSE,"장축";#N/A,#N/A,FALSE,"4WD"}</definedName>
    <definedName name="htrestg" localSheetId="3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ic" localSheetId="2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localSheetId="2" hidden="1">{#N/A,#N/A,FALSE,"신규dep";#N/A,#N/A,FALSE,"신규dep-금형상각후";#N/A,#N/A,FALSE,"신규dep-연구비상각후";#N/A,#N/A,FALSE,"신규dep-기계,공구상각후"}</definedName>
    <definedName name="IIII" localSheetId="3" hidden="1">{#N/A,#N/A,FALSE,"신규dep";#N/A,#N/A,FALSE,"신규dep-금형상각후";#N/A,#N/A,FALSE,"신규dep-연구비상각후";#N/A,#N/A,FALSE,"신규dep-기계,공구상각후"}</definedName>
    <definedName name="IIII" hidden="1">{#N/A,#N/A,FALSE,"신규dep";#N/A,#N/A,FALSE,"신규dep-금형상각후";#N/A,#N/A,FALSE,"신규dep-연구비상각후";#N/A,#N/A,FALSE,"신규dep-기계,공구상각후"}</definedName>
    <definedName name="insp_meth">#REF!</definedName>
    <definedName name="INSULATION" localSheetId="2" hidden="1">{#N/A,#N/A,FALSE,"단축1";#N/A,#N/A,FALSE,"단축2";#N/A,#N/A,FALSE,"단축3";#N/A,#N/A,FALSE,"장축";#N/A,#N/A,FALSE,"4WD"}</definedName>
    <definedName name="INSULATION" localSheetId="3" hidden="1">{#N/A,#N/A,FALSE,"단축1";#N/A,#N/A,FALSE,"단축2";#N/A,#N/A,FALSE,"단축3";#N/A,#N/A,FALSE,"장축";#N/A,#N/A,FALSE,"4WD"}</definedName>
    <definedName name="INSULATION" hidden="1">{#N/A,#N/A,FALSE,"단축1";#N/A,#N/A,FALSE,"단축2";#N/A,#N/A,FALSE,"단축3";#N/A,#N/A,FALSE,"장축";#N/A,#N/A,FALSE,"4WD"}</definedName>
    <definedName name="JGFHFDKJGHJ" localSheetId="2" hidden="1">{#N/A,#N/A,FALSE,"단축1";#N/A,#N/A,FALSE,"단축2";#N/A,#N/A,FALSE,"단축3";#N/A,#N/A,FALSE,"장축";#N/A,#N/A,FALSE,"4WD"}</definedName>
    <definedName name="JGFHFDKJGHJ" localSheetId="3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localSheetId="2" hidden="1">{#N/A,#N/A,TRUE,"일정"}</definedName>
    <definedName name="jgfsjhgfsjhgfsdjhgfds" localSheetId="3" hidden="1">{#N/A,#N/A,TRUE,"일정"}</definedName>
    <definedName name="jgfsjhgfsjhgfsdjhgfds" hidden="1">{#N/A,#N/A,TRUE,"일정"}</definedName>
    <definedName name="JGHJ" localSheetId="2" hidden="1">{#N/A,#N/A,FALSE,"단축1";#N/A,#N/A,FALSE,"단축2";#N/A,#N/A,FALSE,"단축3";#N/A,#N/A,FALSE,"장축";#N/A,#N/A,FALSE,"4WD"}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UHG" localSheetId="2" hidden="1">{#N/A,#N/A,FALSE,"원가검토서"}</definedName>
    <definedName name="JJUHG" localSheetId="3" hidden="1">{#N/A,#N/A,FALSE,"원가검토서"}</definedName>
    <definedName name="JJUHG" hidden="1">{#N/A,#N/A,FALSE,"원가검토서"}</definedName>
    <definedName name="JK" localSheetId="2" hidden="1">{#N/A,#N/A,FALSE,"신규dep";#N/A,#N/A,FALSE,"신규dep-금형상각후";#N/A,#N/A,FALSE,"신규dep-연구비상각후";#N/A,#N/A,FALSE,"신규dep-기계,공구상각후"}</definedName>
    <definedName name="JK" localSheetId="3" hidden="1">{#N/A,#N/A,FALSE,"신규dep";#N/A,#N/A,FALSE,"신규dep-금형상각후";#N/A,#N/A,FALSE,"신규dep-연구비상각후";#N/A,#N/A,FALSE,"신규dep-기계,공구상각후"}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localSheetId="2" hidden="1">{#N/A,#N/A,FALSE,"단축1";#N/A,#N/A,FALSE,"단축2";#N/A,#N/A,FALSE,"단축3";#N/A,#N/A,FALSE,"장축";#N/A,#N/A,FALSE,"4WD"}</definedName>
    <definedName name="JMHMSL부품현황" localSheetId="3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WG" localSheetId="2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localSheetId="2" hidden="1">{#N/A,#N/A,FALSE,"단축1";#N/A,#N/A,FALSE,"단축2";#N/A,#N/A,FALSE,"단축3";#N/A,#N/A,FALSE,"장축";#N/A,#N/A,FALSE,"4WD"}</definedName>
    <definedName name="KDS" localSheetId="3" hidden="1">{#N/A,#N/A,FALSE,"단축1";#N/A,#N/A,FALSE,"단축2";#N/A,#N/A,FALSE,"단축3";#N/A,#N/A,FALSE,"장축";#N/A,#N/A,FALSE,"4WD"}</definedName>
    <definedName name="KDS" hidden="1">{#N/A,#N/A,FALSE,"단축1";#N/A,#N/A,FALSE,"단축2";#N/A,#N/A,FALSE,"단축3";#N/A,#N/A,FALSE,"장축";#N/A,#N/A,FALSE,"4WD"}</definedName>
    <definedName name="KIM" localSheetId="2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localSheetId="2" hidden="1">{"'OPEN'G압출'!$A$4:$P$34"}</definedName>
    <definedName name="KJHDFKS" localSheetId="3" hidden="1">{"'OPEN'G압출'!$A$4:$P$34"}</definedName>
    <definedName name="KJHDFKS" hidden="1">{"'OPEN'G압출'!$A$4:$P$34"}</definedName>
    <definedName name="kthrsbth" localSheetId="2" hidden="1">{#N/A,#N/A,FALSE,"단축1";#N/A,#N/A,FALSE,"단축2";#N/A,#N/A,FALSE,"단축3";#N/A,#N/A,FALSE,"장축";#N/A,#N/A,FALSE,"4WD"}</definedName>
    <definedName name="kthrsbth" localSheetId="3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2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2" hidden="1">{#N/A,#N/A,TRUE,"Y생산";#N/A,#N/A,TRUE,"Y판매";#N/A,#N/A,TRUE,"Y총물량";#N/A,#N/A,TRUE,"Y능력";#N/A,#N/A,TRUE,"YKD"}</definedName>
    <definedName name="KU" localSheetId="3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HSDHSD" localSheetId="2" hidden="1">{#N/A,#N/A,TRUE,"일정"}</definedName>
    <definedName name="LHSDHSD" localSheetId="3" hidden="1">{#N/A,#N/A,TRUE,"일정"}</definedName>
    <definedName name="LHSDHSD" hidden="1">{#N/A,#N/A,TRUE,"일정"}</definedName>
    <definedName name="LINE검토2" localSheetId="2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ds_be" localSheetId="2" hidden="1">{#N/A,#N/A,FALSE,"Cst of Sales (2)"}</definedName>
    <definedName name="link_ds_be" localSheetId="3" hidden="1">{#N/A,#N/A,FALSE,"Cst of Sales (2)"}</definedName>
    <definedName name="link_ds_be" hidden="1">{#N/A,#N/A,FALSE,"Cst of Sales (2)"}</definedName>
    <definedName name="LKGFLDKGF" localSheetId="2" hidden="1">{"'OPEN'G압출'!$A$4:$P$34"}</definedName>
    <definedName name="LKGFLDKGF" localSheetId="3" hidden="1">{"'OPEN'G압출'!$A$4:$P$34"}</definedName>
    <definedName name="LKGFLDKGF" hidden="1">{"'OPEN'G압출'!$A$4:$P$34"}</definedName>
    <definedName name="LKHGFDF" localSheetId="2" hidden="1">{#N/A,#N/A,TRUE,"Y생산";#N/A,#N/A,TRUE,"Y판매";#N/A,#N/A,TRUE,"Y총물량";#N/A,#N/A,TRUE,"Y능력";#N/A,#N/A,TRUE,"YKD"}</definedName>
    <definedName name="LKHGFDF" localSheetId="3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KJ" localSheetId="2" hidden="1">{#N/A,#N/A,FALSE,"을지 (4)";#N/A,#N/A,FALSE,"을지 (5)";#N/A,#N/A,FALSE,"을지 (6)"}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LKLK" localSheetId="2" hidden="1">{"'OPEN'G압출'!$A$4:$P$34"}</definedName>
    <definedName name="LKLKLK" localSheetId="3" hidden="1">{"'OPEN'G압출'!$A$4:$P$34"}</definedName>
    <definedName name="LKLKLK" hidden="1">{"'OPEN'G압출'!$A$4:$P$34"}</definedName>
    <definedName name="lll" localSheetId="2" hidden="1">{#N/A,#N/A,FALSE,"단축1";#N/A,#N/A,FALSE,"단축2";#N/A,#N/A,FALSE,"단축3";#N/A,#N/A,FALSE,"장축";#N/A,#N/A,FALSE,"4WD"}</definedName>
    <definedName name="lll" localSheetId="3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2" hidden="1">{#N/A,#N/A,FALSE,"단축1";#N/A,#N/A,FALSE,"단축2";#N/A,#N/A,FALSE,"단축3";#N/A,#N/A,FALSE,"장축";#N/A,#N/A,FALSE,"4WD"}</definedName>
    <definedName name="LLLLL" localSheetId="3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localSheetId="2" hidden="1">{#N/A,#N/A,FALSE,"단축1";#N/A,#N/A,FALSE,"단축2";#N/A,#N/A,FALSE,"단축3";#N/A,#N/A,FALSE,"장축";#N/A,#N/A,FALSE,"4WD"}</definedName>
    <definedName name="lps" localSheetId="3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localSheetId="2" hidden="1">{#N/A,#N/A,TRUE,"일정"}</definedName>
    <definedName name="MASTER" localSheetId="3" hidden="1">{#N/A,#N/A,TRUE,"일정"}</definedName>
    <definedName name="MASTER" hidden="1">{#N/A,#N/A,TRUE,"일정"}</definedName>
    <definedName name="MDGVTESYERY" localSheetId="2" hidden="1">{#N/A,#N/A,FALSE,"단축1";#N/A,#N/A,FALSE,"단축2";#N/A,#N/A,FALSE,"단축3";#N/A,#N/A,FALSE,"장축";#N/A,#N/A,FALSE,"4WD"}</definedName>
    <definedName name="MDGVTESYERY" localSheetId="3" hidden="1">{#N/A,#N/A,FALSE,"단축1";#N/A,#N/A,FALSE,"단축2";#N/A,#N/A,FALSE,"단축3";#N/A,#N/A,FALSE,"장축";#N/A,#N/A,FALSE,"4WD"}</definedName>
    <definedName name="MDGVTESYERY" hidden="1">{#N/A,#N/A,FALSE,"단축1";#N/A,#N/A,FALSE,"단축2";#N/A,#N/A,FALSE,"단축3";#N/A,#N/A,FALSE,"장축";#N/A,#N/A,FALSE,"4WD"}</definedName>
    <definedName name="MM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localSheetId="2" hidden="1">{#N/A,#N/A,FALSE,"단축1";#N/A,#N/A,FALSE,"단축2";#N/A,#N/A,FALSE,"단축3";#N/A,#N/A,FALSE,"장축";#N/A,#N/A,FALSE,"4WD"}</definedName>
    <definedName name="NNNNNNN" localSheetId="3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OH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localSheetId="2" hidden="1">{#N/A,#N/A,FALSE,"단축1";#N/A,#N/A,FALSE,"단축2";#N/A,#N/A,FALSE,"단축3";#N/A,#N/A,FALSE,"장축";#N/A,#N/A,FALSE,"4WD"}</definedName>
    <definedName name="P2예산" localSheetId="3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2" hidden="1">{#N/A,#N/A,TRUE,"Y생산";#N/A,#N/A,TRUE,"Y판매";#N/A,#N/A,TRUE,"Y총물량";#N/A,#N/A,TRUE,"Y능력";#N/A,#N/A,TRUE,"YKD"}</definedName>
    <definedName name="P3가공향상" localSheetId="3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4" localSheetId="2" hidden="1">{#N/A,#N/A,FALSE,"단축1";#N/A,#N/A,FALSE,"단축2";#N/A,#N/A,FALSE,"단축3";#N/A,#N/A,FALSE,"장축";#N/A,#N/A,FALSE,"4WD"}</definedName>
    <definedName name="PAGE4" localSheetId="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er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localSheetId="2" hidden="1">{#N/A,#N/A,TRUE,"일정"}</definedName>
    <definedName name="PH단계별" localSheetId="3" hidden="1">{#N/A,#N/A,TRUE,"일정"}</definedName>
    <definedName name="PH단계별" hidden="1">{#N/A,#N/A,TRUE,"일정"}</definedName>
    <definedName name="PI" localSheetId="2" hidden="1">{#N/A,#N/A,TRUE,"Y생산";#N/A,#N/A,TRUE,"Y판매";#N/A,#N/A,TRUE,"Y총물량";#N/A,#N/A,TRUE,"Y능력";#N/A,#N/A,TRUE,"YKD"}</definedName>
    <definedName name="PI" localSheetId="3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O" localSheetId="2" hidden="1">{#N/A,#N/A,FALSE,"단축1";#N/A,#N/A,FALSE,"단축2";#N/A,#N/A,FALSE,"단축3";#N/A,#N/A,FALSE,"장축";#N/A,#N/A,FALSE,"4WD"}</definedName>
    <definedName name="PO" localSheetId="3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I" localSheetId="2" hidden="1">{#N/A,#N/A,FALSE,"단축1";#N/A,#N/A,FALSE,"단축2";#N/A,#N/A,FALSE,"단축3";#N/A,#N/A,FALSE,"장축";#N/A,#N/A,FALSE,"4WD"}</definedName>
    <definedName name="POI" localSheetId="3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localSheetId="2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P" localSheetId="2" hidden="1">{#N/A,#N/A,TRUE,"일정"}</definedName>
    <definedName name="PPPP" localSheetId="3" hidden="1">{#N/A,#N/A,TRUE,"일정"}</definedName>
    <definedName name="PPPP" hidden="1">{#N/A,#N/A,TRUE,"일정"}</definedName>
    <definedName name="PRO" localSheetId="2" hidden="1">{#N/A,#N/A,TRUE,"일정"}</definedName>
    <definedName name="PRO" localSheetId="3" hidden="1">{#N/A,#N/A,TRUE,"일정"}</definedName>
    <definedName name="PRO" hidden="1">{#N/A,#N/A,TRUE,"일정"}</definedName>
    <definedName name="ProzessKette3" hidden="1">#REF!</definedName>
    <definedName name="QAW" localSheetId="2" hidden="1">{#N/A,#N/A,FALSE,"을지 (4)";#N/A,#N/A,FALSE,"을지 (5)";#N/A,#N/A,FALSE,"을지 (6)"}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VRXTHXFG" localSheetId="2" hidden="1">{#N/A,#N/A,FALSE,"단축1";#N/A,#N/A,FALSE,"단축2";#N/A,#N/A,FALSE,"단축3";#N/A,#N/A,FALSE,"장축";#N/A,#N/A,FALSE,"4WD"}</definedName>
    <definedName name="QAWVRXTHXFG" localSheetId="3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AZ" localSheetId="2" hidden="1">{#N/A,#N/A,FALSE,"단축1";#N/A,#N/A,FALSE,"단축2";#N/A,#N/A,FALSE,"단축3";#N/A,#N/A,FALSE,"장축";#N/A,#N/A,FALSE,"4WD"}</definedName>
    <definedName name="QAZ" localSheetId="3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localSheetId="2" hidden="1">{#N/A,#N/A,FALSE,"Cst of Sales (2)"}</definedName>
    <definedName name="qc" localSheetId="3" hidden="1">{#N/A,#N/A,FALSE,"Cst of Sales (2)"}</definedName>
    <definedName name="qc" hidden="1">{#N/A,#N/A,FALSE,"Cst of Sales (2)"}</definedName>
    <definedName name="QE" localSheetId="2" hidden="1">{#N/A,#N/A,FALSE,"초도품";#N/A,#N/A,FALSE,"초도품 (2)";#N/A,#N/A,FALSE,"초도품 (3)";#N/A,#N/A,FALSE,"초도품 (4)";#N/A,#N/A,FALSE,"초도품 (5)";#N/A,#N/A,FALSE,"초도품 (6)"}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2" hidden="1">{#N/A,#N/A,FALSE,"단축1";#N/A,#N/A,FALSE,"단축2";#N/A,#N/A,FALSE,"단축3";#N/A,#N/A,FALSE,"장축";#N/A,#N/A,FALSE,"4WD"}</definedName>
    <definedName name="QKR" localSheetId="3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QQAAASSS" localSheetId="2" hidden="1">{#N/A,#N/A,TRUE,"Y생산";#N/A,#N/A,TRUE,"Y판매";#N/A,#N/A,TRUE,"Y총물량";#N/A,#N/A,TRUE,"Y능력";#N/A,#N/A,TRUE,"YKD"}</definedName>
    <definedName name="QQQAAASSS" localSheetId="3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2" hidden="1">{#N/A,#N/A,TRUE,"Y생산";#N/A,#N/A,TRUE,"Y판매";#N/A,#N/A,TRUE,"Y총물량";#N/A,#N/A,TRUE,"Y능력";#N/A,#N/A,TRUE,"YKD"}</definedName>
    <definedName name="QQQQQQQ" localSheetId="3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S" localSheetId="2" hidden="1">{#N/A,#N/A,FALSE,"단축1";#N/A,#N/A,FALSE,"단축2";#N/A,#N/A,FALSE,"단축3";#N/A,#N/A,FALSE,"장축";#N/A,#N/A,FALSE,"4WD"}</definedName>
    <definedName name="QS" localSheetId="3" hidden="1">{#N/A,#N/A,FALSE,"단축1";#N/A,#N/A,FALSE,"단축2";#N/A,#N/A,FALSE,"단축3";#N/A,#N/A,FALSE,"장축";#N/A,#N/A,FALSE,"4WD"}</definedName>
    <definedName name="QS" hidden="1">{#N/A,#N/A,FALSE,"단축1";#N/A,#N/A,FALSE,"단축2";#N/A,#N/A,FALSE,"단축3";#N/A,#N/A,FALSE,"장축";#N/A,#N/A,FALSE,"4WD"}</definedName>
    <definedName name="QSS" localSheetId="2" hidden="1">{#N/A,#N/A,FALSE,"을지 (4)";#N/A,#N/A,FALSE,"을지 (5)";#N/A,#N/A,FALSE,"을지 (6)"}</definedName>
    <definedName name="QSS" localSheetId="3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VWTDRDJHUG" localSheetId="2" hidden="1">{#N/A,#N/A,FALSE,"단축1";#N/A,#N/A,FALSE,"단축2";#N/A,#N/A,FALSE,"단축3";#N/A,#N/A,FALSE,"장축";#N/A,#N/A,FALSE,"4WD"}</definedName>
    <definedName name="QVWTDRDJHUG" localSheetId="3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" localSheetId="2" hidden="1">{#N/A,#N/A,FALSE,"을지 (4)";#N/A,#N/A,FALSE,"을지 (5)";#N/A,#N/A,FALSE,"을지 (6)"}</definedName>
    <definedName name="QW" localSheetId="3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2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localSheetId="2" hidden="1">{#N/A,#N/A,FALSE,"단축1";#N/A,#N/A,FALSE,"단축2";#N/A,#N/A,FALSE,"단축3";#N/A,#N/A,FALSE,"장축";#N/A,#N/A,FALSE,"4WD"}</definedName>
    <definedName name="QWAVTGFHT" localSheetId="3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" localSheetId="2" hidden="1">{#N/A,#N/A,FALSE,"을지 (4)";#N/A,#N/A,FALSE,"을지 (5)";#N/A,#N/A,FALSE,"을지 (6)"}</definedName>
    <definedName name="QWE" localSheetId="3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fydc" localSheetId="2" hidden="1">{#N/A,#N/A,FALSE,"단축1";#N/A,#N/A,FALSE,"단축2";#N/A,#N/A,FALSE,"단축3";#N/A,#N/A,FALSE,"장축";#N/A,#N/A,FALSE,"4WD"}</definedName>
    <definedName name="qwefydc" localSheetId="3" hidden="1">{#N/A,#N/A,FALSE,"단축1";#N/A,#N/A,FALSE,"단축2";#N/A,#N/A,FALSE,"단축3";#N/A,#N/A,FALSE,"장축";#N/A,#N/A,FALSE,"4WD"}</definedName>
    <definedName name="qwefydc" hidden="1">{#N/A,#N/A,FALSE,"단축1";#N/A,#N/A,FALSE,"단축2";#N/A,#N/A,FALSE,"단축3";#N/A,#N/A,FALSE,"장축";#N/A,#N/A,FALSE,"4WD"}</definedName>
    <definedName name="QWQW" localSheetId="2" hidden="1">{#N/A,#N/A,FALSE,"단축1";#N/A,#N/A,FALSE,"단축2";#N/A,#N/A,FALSE,"단축3";#N/A,#N/A,FALSE,"장축";#N/A,#N/A,FALSE,"4WD"}</definedName>
    <definedName name="QWQW" localSheetId="3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localSheetId="2" hidden="1">{#N/A,#N/A,FALSE,"단축1";#N/A,#N/A,FALSE,"단축2";#N/A,#N/A,FALSE,"단축3";#N/A,#N/A,FALSE,"장축";#N/A,#N/A,FALSE,"4WD"}</definedName>
    <definedName name="QWRSTGDFTGF" localSheetId="3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localSheetId="2" hidden="1">{#N/A,#N/A,FALSE,"단축1";#N/A,#N/A,FALSE,"단축2";#N/A,#N/A,FALSE,"단축3";#N/A,#N/A,FALSE,"장축";#N/A,#N/A,FALSE,"4WD"}</definedName>
    <definedName name="QWVTEXC6" localSheetId="3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localSheetId="2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localSheetId="2" hidden="1">{#N/A,#N/A,FALSE,"단축1";#N/A,#N/A,FALSE,"단축2";#N/A,#N/A,FALSE,"단축3";#N/A,#N/A,FALSE,"장축";#N/A,#N/A,FALSE,"4WD"}</definedName>
    <definedName name="RB" localSheetId="3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localSheetId="2" hidden="1">{#N/A,#N/A,FALSE,"단축1";#N/A,#N/A,FALSE,"단축2";#N/A,#N/A,FALSE,"단축3";#N/A,#N/A,FALSE,"장축";#N/A,#N/A,FALSE,"4WD"}</definedName>
    <definedName name="rdtfrytws" localSheetId="3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localSheetId="2" hidden="1">{#N/A,#N/A,FALSE,"초도품";#N/A,#N/A,FALSE,"초도품 (2)";#N/A,#N/A,FALSE,"초도품 (3)";#N/A,#N/A,FALSE,"초도품 (4)";#N/A,#N/A,FALSE,"초도품 (5)";#N/A,#N/A,FALSE,"초도품 (6)"}</definedName>
    <definedName name="RE" localSheetId="3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localSheetId="2" hidden="1">{#N/A,#N/A,FALSE,"단축1";#N/A,#N/A,FALSE,"단축2";#N/A,#N/A,FALSE,"단축3";#N/A,#N/A,FALSE,"장축";#N/A,#N/A,FALSE,"4WD"}</definedName>
    <definedName name="REAR" localSheetId="3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" localSheetId="2" hidden="1">{#N/A,#N/A,FALSE,"단축1";#N/A,#N/A,FALSE,"단축2";#N/A,#N/A,FALSE,"단축3";#N/A,#N/A,FALSE,"장축";#N/A,#N/A,FALSE,"4WD"}</definedName>
    <definedName name="RG" localSheetId="3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localSheetId="2" hidden="1">{#N/A,#N/A,FALSE,"단축1";#N/A,#N/A,FALSE,"단축2";#N/A,#N/A,FALSE,"단축3";#N/A,#N/A,FALSE,"장축";#N/A,#N/A,FALSE,"4WD"}</definedName>
    <definedName name="RHD" localSheetId="3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localSheetId="2" hidden="1">{#N/A,#N/A,FALSE,"단축1";#N/A,#N/A,FALSE,"단축2";#N/A,#N/A,FALSE,"단축3";#N/A,#N/A,FALSE,"장축";#N/A,#N/A,FALSE,"4WD"}</definedName>
    <definedName name="RKLLL" localSheetId="3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localSheetId="2" hidden="1">{#N/A,#N/A,FALSE,"단축1";#N/A,#N/A,FALSE,"단축2";#N/A,#N/A,FALSE,"단축3";#N/A,#N/A,FALSE,"장축";#N/A,#N/A,FALSE,"4WD"}</definedName>
    <definedName name="RKSKDKFLK" localSheetId="3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localSheetId="2" hidden="1">{#N/A,#N/A,FALSE,"단축1";#N/A,#N/A,FALSE,"단축2";#N/A,#N/A,FALSE,"단축3";#N/A,#N/A,FALSE,"장축";#N/A,#N/A,FALSE,"4WD"}</definedName>
    <definedName name="RKSKEKF" localSheetId="3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localSheetId="2" hidden="1">{#N/A,#N/A,FALSE,"단축1";#N/A,#N/A,FALSE,"단축2";#N/A,#N/A,FALSE,"단축3";#N/A,#N/A,FALSE,"장축";#N/A,#N/A,FALSE,"4WD"}</definedName>
    <definedName name="RLAMP01" localSheetId="3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lawkd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localSheetId="2" hidden="1">{#N/A,#N/A,FALSE,"단축1";#N/A,#N/A,FALSE,"단축2";#N/A,#N/A,FALSE,"단축3";#N/A,#N/A,FALSE,"장축";#N/A,#N/A,FALSE,"4WD"}</definedName>
    <definedName name="RO" localSheetId="3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TJSRHKWJD1" localSheetId="2" hidden="1">{#N/A,#N/A,FALSE,"단축1";#N/A,#N/A,FALSE,"단축2";#N/A,#N/A,FALSE,"단축3";#N/A,#N/A,FALSE,"장축";#N/A,#N/A,FALSE,"4WD"}</definedName>
    <definedName name="ROTJSRHKWJD1" localSheetId="3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localSheetId="2" hidden="1">{#N/A,#N/A,FALSE,"단축1";#N/A,#N/A,FALSE,"단축2";#N/A,#N/A,FALSE,"단축3";#N/A,#N/A,FALSE,"장축";#N/A,#N/A,FALSE,"4WD"}</definedName>
    <definedName name="rrllrlrl" localSheetId="3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localSheetId="2" hidden="1">{#N/A,#N/A,FALSE,"단축1";#N/A,#N/A,FALSE,"단축2";#N/A,#N/A,FALSE,"단축3";#N/A,#N/A,FALSE,"장축";#N/A,#N/A,FALSE,"4WD"}</definedName>
    <definedName name="RRR" localSheetId="3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localSheetId="2" hidden="1">{#N/A,#N/A,FALSE,"단축1";#N/A,#N/A,FALSE,"단축2";#N/A,#N/A,FALSE,"단축3";#N/A,#N/A,FALSE,"장축";#N/A,#N/A,FALSE,"4WD"}</definedName>
    <definedName name="RRT" localSheetId="3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localSheetId="2" hidden="1">{#N/A,#N/A,FALSE,"Cst of Sales (2)"}</definedName>
    <definedName name="RUB_HOU" localSheetId="3" hidden="1">{#N/A,#N/A,FALSE,"Cst of Sales (2)"}</definedName>
    <definedName name="RUB_HOU" hidden="1">{#N/A,#N/A,FALSE,"Cst of Sales (2)"}</definedName>
    <definedName name="SAD" localSheetId="2" hidden="1">{#N/A,#N/A,FALSE,"단축1";#N/A,#N/A,FALSE,"단축2";#N/A,#N/A,FALSE,"단축3";#N/A,#N/A,FALSE,"장축";#N/A,#N/A,FALSE,"4WD"}</definedName>
    <definedName name="SAD" localSheetId="3" hidden="1">{#N/A,#N/A,FALSE,"단축1";#N/A,#N/A,FALSE,"단축2";#N/A,#N/A,FALSE,"단축3";#N/A,#N/A,FALSE,"장축";#N/A,#N/A,FALSE,"4WD"}</definedName>
    <definedName name="SAD" hidden="1">{#N/A,#N/A,FALSE,"단축1";#N/A,#N/A,FALSE,"단축2";#N/A,#N/A,FALSE,"단축3";#N/A,#N/A,FALSE,"장축";#N/A,#N/A,FALSE,"4WD"}</definedName>
    <definedName name="SAS" localSheetId="2" hidden="1">{#N/A,#N/A,FALSE,"단축1";#N/A,#N/A,FALSE,"단축2";#N/A,#N/A,FALSE,"단축3";#N/A,#N/A,FALSE,"장축";#N/A,#N/A,FALSE,"4WD"}</definedName>
    <definedName name="SAS" localSheetId="3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localSheetId="2" hidden="1">{#N/A,#N/A,FALSE,"단축1";#N/A,#N/A,FALSE,"단축2";#N/A,#N/A,FALSE,"단축3";#N/A,#N/A,FALSE,"장축";#N/A,#N/A,FALSE,"4WD"}</definedName>
    <definedName name="sawrhbAZ" localSheetId="3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localSheetId="2" hidden="1">{#N/A,#N/A,FALSE,"단축1";#N/A,#N/A,FALSE,"단축2";#N/A,#N/A,FALSE,"단축3";#N/A,#N/A,FALSE,"장축";#N/A,#N/A,FALSE,"4WD"}</definedName>
    <definedName name="SCTSRUYT" localSheetId="3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localSheetId="2" hidden="1">{#N/A,#N/A,FALSE,"단축1";#N/A,#N/A,FALSE,"단축2";#N/A,#N/A,FALSE,"단축3";#N/A,#N/A,FALSE,"장축";#N/A,#N/A,FALSE,"4WD"}</definedName>
    <definedName name="SDDSD" localSheetId="3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localSheetId="2" hidden="1">{#N/A,#N/A,FALSE,"Status";#N/A,#N/A,FALSE,"Deckblatt 1";#N/A,#N/A,FALSE,"Deckblatt2"}</definedName>
    <definedName name="SDF" localSheetId="3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2" hidden="1">{#N/A,#N/A,FALSE,"단축1";#N/A,#N/A,FALSE,"단축2";#N/A,#N/A,FALSE,"단축3";#N/A,#N/A,FALSE,"장축";#N/A,#N/A,FALSE,"4WD"}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2" hidden="1">{#N/A,#N/A,FALSE,"단축1";#N/A,#N/A,FALSE,"단축2";#N/A,#N/A,FALSE,"단축3";#N/A,#N/A,FALSE,"장축";#N/A,#N/A,FALSE,"4WD"}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2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localSheetId="2" hidden="1">{#N/A,#N/A,FALSE,"단축1";#N/A,#N/A,FALSE,"단축2";#N/A,#N/A,FALSE,"단축3";#N/A,#N/A,FALSE,"장축";#N/A,#N/A,FALSE,"4WD"}</definedName>
    <definedName name="SDFWG" localSheetId="3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localSheetId="2" hidden="1">{#N/A,#N/A,FALSE,"단축1";#N/A,#N/A,FALSE,"단축2";#N/A,#N/A,FALSE,"단축3";#N/A,#N/A,FALSE,"장축";#N/A,#N/A,FALSE,"4WD"}</definedName>
    <definedName name="SDHGFGMGJ" localSheetId="3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localSheetId="2" hidden="1">{#N/A,#N/A,FALSE,"단축1";#N/A,#N/A,FALSE,"단축2";#N/A,#N/A,FALSE,"단축3";#N/A,#N/A,FALSE,"장축";#N/A,#N/A,FALSE,"4WD"}</definedName>
    <definedName name="SDSD" localSheetId="3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2" hidden="1">{#N/A,#N/A,FALSE,"단축1";#N/A,#N/A,FALSE,"단축2";#N/A,#N/A,FALSE,"단축3";#N/A,#N/A,FALSE,"장축";#N/A,#N/A,FALSE,"4WD"}</definedName>
    <definedName name="SDSS" localSheetId="3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localSheetId="2" hidden="1">{#N/A,#N/A,FALSE,"단축1";#N/A,#N/A,FALSE,"단축2";#N/A,#N/A,FALSE,"단축3";#N/A,#N/A,FALSE,"장축";#N/A,#N/A,FALSE,"4WD"}</definedName>
    <definedName name="SEGHRTH" localSheetId="3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localSheetId="2" hidden="1">{#N/A,#N/A,FALSE,"단축1";#N/A,#N/A,FALSE,"단축2";#N/A,#N/A,FALSE,"단축3";#N/A,#N/A,FALSE,"장축";#N/A,#N/A,FALSE,"4WD"}</definedName>
    <definedName name="senythgct" localSheetId="3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2" hidden="1">{#N/A,#N/A,FALSE,"단축1";#N/A,#N/A,FALSE,"단축2";#N/A,#N/A,FALSE,"단축3";#N/A,#N/A,FALSE,"장축";#N/A,#N/A,FALSE,"4WD"}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2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2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localSheetId="2" hidden="1">{#N/A,#N/A,TRUE,"일정"}</definedName>
    <definedName name="SFSF" localSheetId="3" hidden="1">{#N/A,#N/A,TRUE,"일정"}</definedName>
    <definedName name="SFSF" hidden="1">{#N/A,#N/A,TRUE,"일정"}</definedName>
    <definedName name="SFSFSFS" localSheetId="2" hidden="1">{#N/A,#N/A,FALSE,"단축1";#N/A,#N/A,FALSE,"단축2";#N/A,#N/A,FALSE,"단축3";#N/A,#N/A,FALSE,"장축";#N/A,#N/A,FALSE,"4WD"}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10" localSheetId="2" hidden="1">{#N/A,#N/A,FALSE,"단축1";#N/A,#N/A,FALSE,"단축2";#N/A,#N/A,FALSE,"단축3";#N/A,#N/A,FALSE,"장축";#N/A,#N/A,FALSE,"4WD"}</definedName>
    <definedName name="SHEET10" localSheetId="3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localSheetId="2" hidden="1">{#N/A,#N/A,FALSE,"단축1";#N/A,#N/A,FALSE,"단축2";#N/A,#N/A,FALSE,"단축3";#N/A,#N/A,FALSE,"장축";#N/A,#N/A,FALSE,"4WD"}</definedName>
    <definedName name="SIDE" localSheetId="3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localSheetId="2" hidden="1">{#N/A,#N/A,FALSE,"단축1";#N/A,#N/A,FALSE,"단축2";#N/A,#N/A,FALSE,"단축3";#N/A,#N/A,FALSE,"장축";#N/A,#N/A,FALSE,"4WD"}</definedName>
    <definedName name="SM" localSheetId="3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localSheetId="2" hidden="1">{#N/A,#N/A,FALSE,"단축1";#N/A,#N/A,FALSE,"단축2";#N/A,#N/A,FALSE,"단축3";#N/A,#N/A,FALSE,"장축";#N/A,#N/A,FALSE,"4WD"}</definedName>
    <definedName name="SMS" localSheetId="3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localSheetId="2" hidden="1">{#N/A,#N/A,FALSE,"해외크레임";#N/A,#N/A,FALSE,"ACCENT현황";#N/A,#N/A,FALSE,"AVANTE";#N/A,#N/A,FALSE,"SONATA(3)";#N/A,#N/A,FALSE,"국내크레임"}</definedName>
    <definedName name="SONATA" localSheetId="3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g" localSheetId="2" hidden="1">{#N/A,#N/A,FALSE,"단축1";#N/A,#N/A,FALSE,"단축2";#N/A,#N/A,FALSE,"단축3";#N/A,#N/A,FALSE,"장축";#N/A,#N/A,FALSE,"4WD"}</definedName>
    <definedName name="song" localSheetId="3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2" hidden="1">{#N/A,#N/A,FALSE,"단축1";#N/A,#N/A,FALSE,"단축2";#N/A,#N/A,FALSE,"단축3";#N/A,#N/A,FALSE,"장축";#N/A,#N/A,FALSE,"4WD"}</definedName>
    <definedName name="song1" localSheetId="3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2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2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localSheetId="2" hidden="1">{#N/A,#N/A,FALSE,"단축1";#N/A,#N/A,FALSE,"단축2";#N/A,#N/A,FALSE,"단축3";#N/A,#N/A,FALSE,"장축";#N/A,#N/A,FALSE,"4WD"}</definedName>
    <definedName name="SRTDTRYFGT" localSheetId="3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localSheetId="2" hidden="1">{#N/A,#N/A,FALSE,"단축1";#N/A,#N/A,FALSE,"단축2";#N/A,#N/A,FALSE,"단축3";#N/A,#N/A,FALSE,"장축";#N/A,#N/A,FALSE,"4WD"}</definedName>
    <definedName name="SS" localSheetId="3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localSheetId="2" hidden="1">{#N/A,#N/A,FALSE,"을지 (4)";#N/A,#N/A,FALSE,"을지 (5)";#N/A,#N/A,FALSE,"을지 (6)"}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localSheetId="2" hidden="1">{#N/A,#N/A,FALSE,"단축1";#N/A,#N/A,FALSE,"단축2";#N/A,#N/A,FALSE,"단축3";#N/A,#N/A,FALSE,"장축";#N/A,#N/A,FALSE,"4WD"}</definedName>
    <definedName name="STDGTGF" localSheetId="3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H" localSheetId="2" hidden="1">{#N/A,#N/A,FALSE,"단축1";#N/A,#N/A,FALSE,"단축2";#N/A,#N/A,FALSE,"단축3";#N/A,#N/A,FALSE,"장축";#N/A,#N/A,FALSE,"4WD"}</definedName>
    <definedName name="STH" localSheetId="3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localSheetId="2" hidden="1">{#N/A,#N/A,FALSE,"단축1";#N/A,#N/A,FALSE,"단축2";#N/A,#N/A,FALSE,"단축3";#N/A,#N/A,FALSE,"장축";#N/A,#N/A,FALSE,"4WD"}</definedName>
    <definedName name="SVETRUXT" localSheetId="3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localSheetId="2" hidden="1">{#N/A,#N/A,FALSE,"단축1";#N/A,#N/A,FALSE,"단축2";#N/A,#N/A,FALSE,"단축3";#N/A,#N/A,FALSE,"장축";#N/A,#N/A,FALSE,"4WD"}</definedName>
    <definedName name="TB" localSheetId="3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2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2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2" hidden="1">{#N/A,#N/A,FALSE,"단축1";#N/A,#N/A,FALSE,"단축2";#N/A,#N/A,FALSE,"단축3";#N/A,#N/A,FALSE,"장축";#N/A,#N/A,FALSE,"4WD"}</definedName>
    <definedName name="TDHFJMHM" localSheetId="3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localSheetId="2" hidden="1">{#N/A,#N/A,FALSE,"단축1";#N/A,#N/A,FALSE,"단축2";#N/A,#N/A,FALSE,"단축3";#N/A,#N/A,FALSE,"장축";#N/A,#N/A,FALSE,"4WD"}</definedName>
    <definedName name="TH" localSheetId="3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localSheetId="2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BURON" localSheetId="2" hidden="1">{#N/A,#N/A,FALSE,"해외크레임";#N/A,#N/A,FALSE,"ACCENT현황";#N/A,#N/A,FALSE,"AVANTE";#N/A,#N/A,FALSE,"SONATA(3)";#N/A,#N/A,FALSE,"국내크레임"}</definedName>
    <definedName name="TIBURON" localSheetId="3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JAUDLWS" localSheetId="2" hidden="1">{#N/A,#N/A,TRUE,"Y생산";#N/A,#N/A,TRUE,"Y판매";#N/A,#N/A,TRUE,"Y총물량";#N/A,#N/A,TRUE,"Y능력";#N/A,#N/A,TRUE,"YKD"}</definedName>
    <definedName name="TJAUDLWS" localSheetId="3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LS" localSheetId="2" hidden="1">{#N/A,#N/A,FALSE,"단축1";#N/A,#N/A,FALSE,"단축2";#N/A,#N/A,FALSE,"단축3";#N/A,#N/A,FALSE,"장축";#N/A,#N/A,FALSE,"4WD"}</definedName>
    <definedName name="TLS" localSheetId="3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localSheetId="2" hidden="1">{#N/A,#N/A,FALSE,"단축1";#N/A,#N/A,FALSE,"단축2";#N/A,#N/A,FALSE,"단축3";#N/A,#N/A,FALSE,"장축";#N/A,#N/A,FALSE,"4WD"}</definedName>
    <definedName name="TRETRETERWTF" localSheetId="3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localSheetId="2" hidden="1">{#N/A,#N/A,FALSE,"단축1";#N/A,#N/A,FALSE,"단축2";#N/A,#N/A,FALSE,"단축3";#N/A,#N/A,FALSE,"장축";#N/A,#N/A,FALSE,"4WD"}</definedName>
    <definedName name="TT" localSheetId="3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localSheetId="2" hidden="1">{#N/A,#N/A,FALSE,"신규dep";#N/A,#N/A,FALSE,"신규dep-금형상각후";#N/A,#N/A,FALSE,"신규dep-연구비상각후";#N/A,#N/A,FALSE,"신규dep-기계,공구상각후"}</definedName>
    <definedName name="TTH" localSheetId="3" hidden="1">{#N/A,#N/A,FALSE,"신규dep";#N/A,#N/A,FALSE,"신규dep-금형상각후";#N/A,#N/A,FALSE,"신규dep-연구비상각후";#N/A,#N/A,FALSE,"신규dep-기계,공구상각후"}</definedName>
    <definedName name="TTH" hidden="1">{#N/A,#N/A,FALSE,"신규dep";#N/A,#N/A,FALSE,"신규dep-금형상각후";#N/A,#N/A,FALSE,"신규dep-연구비상각후";#N/A,#N/A,FALSE,"신규dep-기계,공구상각후"}</definedName>
    <definedName name="tynervwsgrte" localSheetId="2" hidden="1">{#N/A,#N/A,FALSE,"단축1";#N/A,#N/A,FALSE,"단축2";#N/A,#N/A,FALSE,"단축3";#N/A,#N/A,FALSE,"장축";#N/A,#N/A,FALSE,"4WD"}</definedName>
    <definedName name="tynervwsgrte" localSheetId="3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2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localSheetId="2" hidden="1">{#N/A,#N/A,FALSE,"단축1";#N/A,#N/A,FALSE,"단축2";#N/A,#N/A,FALSE,"단축3";#N/A,#N/A,FALSE,"장축";#N/A,#N/A,FALSE,"4WD"}</definedName>
    <definedName name="UEDGBSESTGRSE" localSheetId="3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localSheetId="2" hidden="1">{#N/A,#N/A,FALSE,"단축1";#N/A,#N/A,FALSE,"단축2";#N/A,#N/A,FALSE,"단축3";#N/A,#N/A,FALSE,"장축";#N/A,#N/A,FALSE,"4WD"}</definedName>
    <definedName name="UIDTYBHSERBFG" localSheetId="3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localSheetId="2" hidden="1">{#N/A,#N/A,FALSE,"단축1";#N/A,#N/A,FALSE,"단축2";#N/A,#N/A,FALSE,"단축3";#N/A,#N/A,FALSE,"장축";#N/A,#N/A,FALSE,"4WD"}</definedName>
    <definedName name="UIP" localSheetId="3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localSheetId="2" hidden="1">{#N/A,#N/A,FALSE,"단축1";#N/A,#N/A,FALSE,"단축2";#N/A,#N/A,FALSE,"단축3";#N/A,#N/A,FALSE,"장축";#N/A,#N/A,FALSE,"4WD"}</definedName>
    <definedName name="UYR" localSheetId="3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localSheetId="2" hidden="1">{#N/A,#N/A,TRUE,"일정"}</definedName>
    <definedName name="VDSAG" localSheetId="3" hidden="1">{#N/A,#N/A,TRUE,"일정"}</definedName>
    <definedName name="VDSAG" hidden="1">{#N/A,#N/A,TRUE,"일정"}</definedName>
    <definedName name="vttdfvgf" localSheetId="2" hidden="1">{#N/A,#N/A,FALSE,"단축1";#N/A,#N/A,FALSE,"단축2";#N/A,#N/A,FALSE,"단축3";#N/A,#N/A,FALSE,"장축";#N/A,#N/A,FALSE,"4WD"}</definedName>
    <definedName name="vttdfvgf" localSheetId="3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YVY" localSheetId="2" hidden="1">{#N/A,#N/A,FALSE,"단축1";#N/A,#N/A,FALSE,"단축2";#N/A,#N/A,FALSE,"단축3";#N/A,#N/A,FALSE,"장축";#N/A,#N/A,FALSE,"4WD"}</definedName>
    <definedName name="VYVY" localSheetId="3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localSheetId="2" hidden="1">{#N/A,#N/A,FALSE,"초도품";#N/A,#N/A,FALSE,"초도품 (2)";#N/A,#N/A,FALSE,"초도품 (3)";#N/A,#N/A,FALSE,"초도품 (4)";#N/A,#N/A,FALSE,"초도품 (5)";#N/A,#N/A,FALSE,"초도품 (6)"}</definedName>
    <definedName name="WA" localSheetId="3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localSheetId="2" hidden="1">{#N/A,#N/A,FALSE,"단축1";#N/A,#N/A,FALSE,"단축2";#N/A,#N/A,FALSE,"단축3";#N/A,#N/A,FALSE,"장축";#N/A,#N/A,FALSE,"4WD"}</definedName>
    <definedName name="WAFTDCYH" localSheetId="3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TFVGTUH" localSheetId="2" hidden="1">{#N/A,#N/A,FALSE,"단축1";#N/A,#N/A,FALSE,"단축2";#N/A,#N/A,FALSE,"단축3";#N/A,#N/A,FALSE,"장축";#N/A,#N/A,FALSE,"4WD"}</definedName>
    <definedName name="WARTFVGTUH" localSheetId="3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localSheetId="2" hidden="1">{#N/A,#N/A,FALSE,"단축1";#N/A,#N/A,FALSE,"단축2";#N/A,#N/A,FALSE,"단축3";#N/A,#N/A,FALSE,"장축";#N/A,#N/A,FALSE,"4WD"}</definedName>
    <definedName name="WAVTGDFDACER" localSheetId="3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localSheetId="2" hidden="1">{#N/A,#N/A,FALSE,"을지 (4)";#N/A,#N/A,FALSE,"을지 (5)";#N/A,#N/A,FALSE,"을지 (6)"}</definedName>
    <definedName name="WE" localSheetId="3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localSheetId="2" hidden="1">{#N/A,#N/A,TRUE,"Y생산";#N/A,#N/A,TRUE,"Y판매";#N/A,#N/A,TRUE,"Y총물량";#N/A,#N/A,TRUE,"Y능력";#N/A,#N/A,TRUE,"YKD"}</definedName>
    <definedName name="WEARF" localSheetId="3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" localSheetId="2" hidden="1">{#N/A,#N/A,FALSE,"신규dep";#N/A,#N/A,FALSE,"신규dep-금형상각후";#N/A,#N/A,FALSE,"신규dep-연구비상각후";#N/A,#N/A,FALSE,"신규dep-기계,공구상각후"}</definedName>
    <definedName name="WEE" localSheetId="3" hidden="1">{#N/A,#N/A,FALSE,"신규dep";#N/A,#N/A,FALSE,"신규dep-금형상각후";#N/A,#N/A,FALSE,"신규dep-연구비상각후";#N/A,#N/A,FALSE,"신규dep-기계,공구상각후"}</definedName>
    <definedName name="WEE" hidden="1">{#N/A,#N/A,FALSE,"신규dep";#N/A,#N/A,FALSE,"신규dep-금형상각후";#N/A,#N/A,FALSE,"신규dep-연구비상각후";#N/A,#N/A,FALSE,"신규dep-기계,공구상각후"}</definedName>
    <definedName name="WEQ" localSheetId="2" hidden="1">{#N/A,#N/A,FALSE,"단축1";#N/A,#N/A,FALSE,"단축2";#N/A,#N/A,FALSE,"단축3";#N/A,#N/A,FALSE,"장축";#N/A,#N/A,FALSE,"4WD"}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2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2" hidden="1">{#N/A,#N/A,FALSE,"원가검토서"}</definedName>
    <definedName name="WET" localSheetId="3" hidden="1">{#N/A,#N/A,FALSE,"원가검토서"}</definedName>
    <definedName name="WET" hidden="1">{#N/A,#N/A,FALSE,"원가검토서"}</definedName>
    <definedName name="WETDRF" localSheetId="2" hidden="1">{#N/A,#N/A,FALSE,"단축1";#N/A,#N/A,FALSE,"단축2";#N/A,#N/A,FALSE,"단축3";#N/A,#N/A,FALSE,"장축";#N/A,#N/A,FALSE,"4WD"}</definedName>
    <definedName name="WETDRF" localSheetId="3" hidden="1">{#N/A,#N/A,FALSE,"단축1";#N/A,#N/A,FALSE,"단축2";#N/A,#N/A,FALSE,"단축3";#N/A,#N/A,FALSE,"장축";#N/A,#N/A,FALSE,"4WD"}</definedName>
    <definedName name="WETDRF" hidden="1">{#N/A,#N/A,FALSE,"단축1";#N/A,#N/A,FALSE,"단축2";#N/A,#N/A,FALSE,"단축3";#N/A,#N/A,FALSE,"장축";#N/A,#N/A,FALSE,"4WD"}</definedName>
    <definedName name="WETDSRGSRF" localSheetId="2" hidden="1">{#N/A,#N/A,FALSE,"단축1";#N/A,#N/A,FALSE,"단축2";#N/A,#N/A,FALSE,"단축3";#N/A,#N/A,FALSE,"장축";#N/A,#N/A,FALSE,"4WD"}</definedName>
    <definedName name="WETDSRGSRF" localSheetId="3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localSheetId="2" hidden="1">{#N/A,#N/A,FALSE,"단축1";#N/A,#N/A,FALSE,"단축2";#N/A,#N/A,FALSE,"단축3";#N/A,#N/A,FALSE,"장축";#N/A,#N/A,FALSE,"4WD"}</definedName>
    <definedName name="WETHFBY" localSheetId="3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localSheetId="2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localSheetId="2" hidden="1">{#N/A,#N/A,FALSE,"단축1";#N/A,#N/A,FALSE,"단축2";#N/A,#N/A,FALSE,"단축3";#N/A,#N/A,FALSE,"장축";#N/A,#N/A,FALSE,"4WD"}</definedName>
    <definedName name="wfrdtcyuf" localSheetId="3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2" hidden="1">{#N/A,#N/A,FALSE,"원가검토서"}</definedName>
    <definedName name="WGEG" localSheetId="3" hidden="1">{#N/A,#N/A,FALSE,"원가검토서"}</definedName>
    <definedName name="WGEG" hidden="1">{#N/A,#N/A,FALSE,"원가검토서"}</definedName>
    <definedName name="WGREG" localSheetId="2" hidden="1">{#N/A,#N/A,FALSE,"원가검토서"}</definedName>
    <definedName name="WGREG" localSheetId="3" hidden="1">{#N/A,#N/A,FALSE,"원가검토서"}</definedName>
    <definedName name="WGREG" hidden="1">{#N/A,#N/A,FALSE,"원가검토서"}</definedName>
    <definedName name="WHRL" localSheetId="2" hidden="1">{#N/A,#N/A,FALSE,"단축1";#N/A,#N/A,FALSE,"단축2";#N/A,#N/A,FALSE,"단축3";#N/A,#N/A,FALSE,"장축";#N/A,#N/A,FALSE,"4WD"}</definedName>
    <definedName name="WHRL" localSheetId="3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ire_Chart" localSheetId="2" hidden="1">{"Wire Charts",#N/A,TRUE,"Wires"}</definedName>
    <definedName name="Wire_Chart" localSheetId="3" hidden="1">{"Wire Charts",#N/A,TRUE,"Wires"}</definedName>
    <definedName name="Wire_Chart" hidden="1">{"Wire Charts",#N/A,TRUE,"Wires"}</definedName>
    <definedName name="wkworhgk" localSheetId="2" hidden="1">{#N/A,#N/A,TRUE,"Y생산";#N/A,#N/A,TRUE,"Y판매";#N/A,#N/A,TRUE,"Y총물량";#N/A,#N/A,TRUE,"Y능력";#N/A,#N/A,TRUE,"YKD"}</definedName>
    <definedName name="wkworhgk" localSheetId="3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2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localSheetId="2" hidden="1">{#N/A,#N/A,FALSE,"단축1";#N/A,#N/A,FALSE,"단축2";#N/A,#N/A,FALSE,"단축3";#N/A,#N/A,FALSE,"장축";#N/A,#N/A,FALSE,"4WD"}</definedName>
    <definedName name="WNEYGH" localSheetId="3" hidden="1">{#N/A,#N/A,FALSE,"단축1";#N/A,#N/A,FALSE,"단축2";#N/A,#N/A,FALSE,"단축3";#N/A,#N/A,FALSE,"장축";#N/A,#N/A,FALSE,"4WD"}</definedName>
    <definedName name="WNEYGH" hidden="1">{#N/A,#N/A,FALSE,"단축1";#N/A,#N/A,FALSE,"단축2";#N/A,#N/A,FALSE,"단축3";#N/A,#N/A,FALSE,"장축";#N/A,#N/A,FALSE,"4WD"}</definedName>
    <definedName name="WNTEGFB" localSheetId="2" hidden="1">{#N/A,#N/A,FALSE,"단축1";#N/A,#N/A,FALSE,"단축2";#N/A,#N/A,FALSE,"단축3";#N/A,#N/A,FALSE,"장축";#N/A,#N/A,FALSE,"4WD"}</definedName>
    <definedName name="WNTEGFB" localSheetId="3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localSheetId="2" hidden="1">{#N/A,#N/A,FALSE,"단축1";#N/A,#N/A,FALSE,"단축2";#N/A,#N/A,FALSE,"단축3";#N/A,#N/A,FALSE,"장축";#N/A,#N/A,FALSE,"4WD"}</definedName>
    <definedName name="wpwkrdlfwjd" localSheetId="3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localSheetId="2" hidden="1">{#N/A,#N/A,FALSE,"을지 (4)";#N/A,#N/A,FALSE,"을지 (5)";#N/A,#N/A,FALSE,"을지 (6)"}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BYHCJYBHUH" localSheetId="2" hidden="1">{#N/A,#N/A,FALSE,"단축1";#N/A,#N/A,FALSE,"단축2";#N/A,#N/A,FALSE,"단축3";#N/A,#N/A,FALSE,"장축";#N/A,#N/A,FALSE,"4WD"}</definedName>
    <definedName name="WQBYHCJYBHUH" localSheetId="3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2" hidden="1">{#N/A,#N/A,FALSE,"단축1";#N/A,#N/A,FALSE,"단축2";#N/A,#N/A,FALSE,"단축3";#N/A,#N/A,FALSE,"장축";#N/A,#N/A,FALSE,"4WD"}</definedName>
    <definedName name="wqsdsasrsacsd" localSheetId="3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2" hidden="1">{#N/A,#N/A,FALSE,"단축1";#N/A,#N/A,FALSE,"단축2";#N/A,#N/A,FALSE,"단축3";#N/A,#N/A,FALSE,"장축";#N/A,#N/A,FALSE,"4WD"}</definedName>
    <definedName name="WQTFGSDF" localSheetId="3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localSheetId="2" hidden="1">{#N/A,#N/A,FALSE,"해외크레임";#N/A,#N/A,FALSE,"ACCENT현황";#N/A,#N/A,FALSE,"AVANTE";#N/A,#N/A,FALSE,"SONATA(3)";#N/A,#N/A,FALSE,"국내크레임"}</definedName>
    <definedName name="wrn.11." localSheetId="3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ECC49." localSheetId="2" hidden="1">{#N/A,#N/A,FALSE,"성적서";#N/A,#N/A,FALSE,"기준을"}</definedName>
    <definedName name="wrn.1ECC49." localSheetId="3" hidden="1">{#N/A,#N/A,FALSE,"성적서";#N/A,#N/A,FALSE,"기준을"}</definedName>
    <definedName name="wrn.1ECC49." hidden="1">{#N/A,#N/A,FALSE,"성적서";#N/A,#N/A,FALSE,"기준을"}</definedName>
    <definedName name="wrn.345." localSheetId="2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G._.Kosten." localSheetId="2" hidden="1">{#N/A,#N/A,FALSE,"AG";#N/A,#N/A,FALSE,"GB-I";#N/A,#N/A,FALSE,"GB--SR_K";#N/A,#N/A,FALSE,"GB-SR_B";#N/A,#N/A,FALSE,"GB-KS";#N/A,#N/A,FALSE,"Kammerer";#N/A,#N/A,FALSE,"Kienzle"}</definedName>
    <definedName name="wrn.AG._.Kosten." localSheetId="3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2" hidden="1">{#N/A,#N/A,FALSE,"을지 (4)";#N/A,#N/A,FALSE,"을지 (5)";#N/A,#N/A,FALSE,"을지 (6)"}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localSheetId="2" hidden="1">{#N/A,#N/A,FALSE,"Repair";#N/A,#N/A,FALSE,"Audit Room";#N/A,#N/A,FALSE,"Simulator"}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T_CEN." localSheetId="2" hidden="1">{#N/A,#N/A,TRUE,"orig";#N/A,#N/A,TRUE,"dvd_key";#N/A,#N/A,TRUE,"OH1";#N/A,#N/A,TRUE,"allc_key";#N/A,#N/A,TRUE,"OH2"}</definedName>
    <definedName name="wrn.COST_CEN." localSheetId="3" hidden="1">{#N/A,#N/A,TRUE,"orig";#N/A,#N/A,TRUE,"dvd_key";#N/A,#N/A,TRUE,"OH1";#N/A,#N/A,TRUE,"allc_key";#N/A,#N/A,TRUE,"OH2"}</definedName>
    <definedName name="wrn.COST_CEN." hidden="1">{#N/A,#N/A,TRUE,"orig";#N/A,#N/A,TRUE,"dvd_key";#N/A,#N/A,TRUE,"OH1";#N/A,#N/A,TRUE,"allc_key";#N/A,#N/A,TRUE,"OH2"}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2" hidden="1">{#N/A,#N/A,FALSE,"Status";#N/A,#N/A,FALSE,"Deckblatt 1";#N/A,#N/A,FALSE,"Deckblatt2"}</definedName>
    <definedName name="wrn.Deckblatt." localSheetId="3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localSheetId="2" hidden="1">{#N/A,#N/A,FALSE,"삼진정공";#N/A,#N/A,FALSE,"영신금속";#N/A,#N/A,FALSE,"태양금속";#N/A,#N/A,FALSE,"진합정공";#N/A,#N/A,FALSE,"코리아";#N/A,#N/A,FALSE,"풍강금속";#N/A,#N/A,FALSE,"선일기계"}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2" hidden="1">{#N/A,#N/A,FALSE,"AG";#N/A,#N/A,FALSE,"UB-I";#N/A,#N/A,FALSE,"UB--SR_K";#N/A,#N/A,FALSE,"UB-SR_B";#N/A,#N/A,FALSE,"UB-KS";#N/A,#N/A,FALSE,"Kienzle"}</definedName>
    <definedName name="wrn.KosAG." localSheetId="3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2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3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localSheetId="2" hidden="1">{"Wire Charts",#N/A,TRUE,"Wires"}</definedName>
    <definedName name="wrn.Wire._.Chart._.Summary." localSheetId="3" hidden="1">{"Wire Charts",#N/A,TRUE,"Wires"}</definedName>
    <definedName name="wrn.Wire._.Chart._.Summary." hidden="1">{"Wire Charts",#N/A,TRUE,"Wires"}</definedName>
    <definedName name="wrn.Y차._.종합." localSheetId="2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고명석._.하반기._.업무보고." localSheetId="2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2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2" hidden="1">{#N/A,#N/A,FALSE,"원가검토서"}</definedName>
    <definedName name="wrn.원가검토서." localSheetId="3" hidden="1">{#N/A,#N/A,FALSE,"원가검토서"}</definedName>
    <definedName name="wrn.원가검토서." hidden="1">{#N/A,#N/A,FALSE,"원가검토서"}</definedName>
    <definedName name="wrn.윤원훈._.하반기._.보고." localSheetId="2" hidden="1">{#N/A,#N/A,FALSE,"검사-1";#N/A,#N/A,FALSE,"품질관리공정도";#N/A,#N/A,FALSE,"DR-1";#N/A,#N/A,FALSE,"검사-부적합";#N/A,#N/A,FALSE,"DR-부적합";#N/A,#N/A,FALSE,"검사기준서"}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localSheetId="2" hidden="1">{#N/A,#N/A,FALSE,"Cst of Sales (2)"}</definedName>
    <definedName name="wrn.재료비계정." localSheetId="3" hidden="1">{#N/A,#N/A,FALSE,"Cst of Sales (2)"}</definedName>
    <definedName name="wrn.재료비계정." hidden="1">{#N/A,#N/A,FALSE,"Cst of Sales (2)"}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2" hidden="1">{#N/A,#N/A,TRUE,"일정"}</definedName>
    <definedName name="wrn.주간._.보고." localSheetId="3" hidden="1">{#N/A,#N/A,TRUE,"일정"}</definedName>
    <definedName name="wrn.주간._.보고." hidden="1">{#N/A,#N/A,TRUE,"일정"}</definedName>
    <definedName name="wrn.하반기2팀._.보고서." localSheetId="2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2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localSheetId="2" hidden="1">{#N/A,#N/A,FALSE,"정공"}</definedName>
    <definedName name="wrn.현대정공구매현황." localSheetId="3" hidden="1">{#N/A,#N/A,FALSE,"정공"}</definedName>
    <definedName name="wrn.현대정공구매현황." hidden="1">{#N/A,#N/A,FALSE,"정공"}</definedName>
    <definedName name="WRTETDTRY" localSheetId="2" hidden="1">{#N/A,#N/A,FALSE,"단축1";#N/A,#N/A,FALSE,"단축2";#N/A,#N/A,FALSE,"단축3";#N/A,#N/A,FALSE,"장축";#N/A,#N/A,FALSE,"4WD"}</definedName>
    <definedName name="WRTETDTRY" localSheetId="3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SA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localSheetId="2" hidden="1">{#N/A,#N/A,FALSE,"단축1";#N/A,#N/A,FALSE,"단축2";#N/A,#N/A,FALSE,"단축3";#N/A,#N/A,FALSE,"장축";#N/A,#N/A,FALSE,"4WD"}</definedName>
    <definedName name="WSQETFDTRGF" localSheetId="3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resfd" localSheetId="2" hidden="1">{#N/A,#N/A,FALSE,"단축1";#N/A,#N/A,FALSE,"단축2";#N/A,#N/A,FALSE,"단축3";#N/A,#N/A,FALSE,"장축";#N/A,#N/A,FALSE,"4WD"}</definedName>
    <definedName name="wtresfd" localSheetId="3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localSheetId="2" hidden="1">{#N/A,#N/A,FALSE,"단축1";#N/A,#N/A,FALSE,"단축2";#N/A,#N/A,FALSE,"단축3";#N/A,#N/A,FALSE,"장축";#N/A,#N/A,FALSE,"4WD"}</definedName>
    <definedName name="WVTFUYCTY" localSheetId="3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localSheetId="2" hidden="1">{#N/A,#N/A,FALSE,"단축1";#N/A,#N/A,FALSE,"단축2";#N/A,#N/A,FALSE,"단축3";#N/A,#N/A,FALSE,"장축";#N/A,#N/A,FALSE,"4WD"}</definedName>
    <definedName name="WVTYXG" localSheetId="3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2" hidden="1">{#N/A,#N/A,FALSE,"신규dep";#N/A,#N/A,FALSE,"신규dep-금형상각후";#N/A,#N/A,FALSE,"신규dep-연구비상각후";#N/A,#N/A,FALSE,"신규dep-기계,공구상각후"}</definedName>
    <definedName name="WWEWERE" localSheetId="3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2" hidden="1">{#N/A,#N/A,FALSE,"단축1";#N/A,#N/A,FALSE,"단축2";#N/A,#N/A,FALSE,"단축3";#N/A,#N/A,FALSE,"장축";#N/A,#N/A,FALSE,"4WD"}</definedName>
    <definedName name="wwww" localSheetId="3" hidden="1">{#N/A,#N/A,FALSE,"단축1";#N/A,#N/A,FALSE,"단축2";#N/A,#N/A,FALSE,"단축3";#N/A,#N/A,FALSE,"장축";#N/A,#N/A,FALSE,"4WD"}</definedName>
    <definedName name="wwww" hidden="1">{#N/A,#N/A,FALSE,"단축1";#N/A,#N/A,FALSE,"단축2";#N/A,#N/A,FALSE,"단축3";#N/A,#N/A,FALSE,"장축";#N/A,#N/A,FALSE,"4WD"}</definedName>
    <definedName name="WYU" localSheetId="2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localSheetId="2" hidden="1">{#N/A,#N/A,FALSE,"을지 (4)";#N/A,#N/A,FALSE,"을지 (5)";#N/A,#N/A,FALSE,"을지 (6)"}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개선" localSheetId="2" hidden="1">{#N/A,#N/A,FALSE,"단축1";#N/A,#N/A,FALSE,"단축2";#N/A,#N/A,FALSE,"단축3";#N/A,#N/A,FALSE,"장축";#N/A,#N/A,FALSE,"4WD"}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2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2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2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2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localSheetId="2" hidden="1">{#N/A,#N/A,FALSE,"을지 (4)";#N/A,#N/A,FALSE,"을지 (5)";#N/A,#N/A,FALSE,"을지 (6)"}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WDSTGFTF" localSheetId="2" hidden="1">{#N/A,#N/A,FALSE,"단축1";#N/A,#N/A,FALSE,"단축2";#N/A,#N/A,FALSE,"단축3";#N/A,#N/A,FALSE,"장축";#N/A,#N/A,FALSE,"4WD"}</definedName>
    <definedName name="XWDSTGFTF" localSheetId="3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YCS" localSheetId="2" hidden="1">{#N/A,#N/A,FALSE,"단축1";#N/A,#N/A,FALSE,"단축2";#N/A,#N/A,FALSE,"단축3";#N/A,#N/A,FALSE,"장축";#N/A,#N/A,FALSE,"4WD"}</definedName>
    <definedName name="YCS" localSheetId="3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localSheetId="2" hidden="1">{#N/A,#N/A,FALSE,"단축1";#N/A,#N/A,FALSE,"단축2";#N/A,#N/A,FALSE,"단축3";#N/A,#N/A,FALSE,"장축";#N/A,#N/A,FALSE,"4WD"}</definedName>
    <definedName name="YTUJYTU" localSheetId="3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localSheetId="2" hidden="1">{#N/A,#N/A,TRUE,"Y생산";#N/A,#N/A,TRUE,"Y판매";#N/A,#N/A,TRUE,"Y총물량";#N/A,#N/A,TRUE,"Y능력";#N/A,#N/A,TRUE,"YKD"}</definedName>
    <definedName name="YYY" localSheetId="3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2" hidden="1">{#N/A,#N/A,FALSE,"단축1";#N/A,#N/A,FALSE,"단축2";#N/A,#N/A,FALSE,"단축3";#N/A,#N/A,FALSE,"장축";#N/A,#N/A,FALSE,"4WD"}</definedName>
    <definedName name="yyyy" localSheetId="3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YYYY" localSheetId="2" hidden="1">{#N/A,#N/A,FALSE,"단축1";#N/A,#N/A,FALSE,"단축2";#N/A,#N/A,FALSE,"단축3";#N/A,#N/A,FALSE,"장축";#N/A,#N/A,FALSE,"4WD"}</definedName>
    <definedName name="YYYYY" localSheetId="3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localSheetId="2" hidden="1">{#N/A,#N/A,FALSE,"초도품";#N/A,#N/A,FALSE,"초도품 (2)";#N/A,#N/A,FALSE,"초도품 (3)";#N/A,#N/A,FALSE,"초도품 (4)";#N/A,#N/A,FALSE,"초도품 (5)";#N/A,#N/A,FALSE,"초도품 (6)"}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localSheetId="2" hidden="1">{#N/A,#N/A,FALSE,"단축1";#N/A,#N/A,FALSE,"단축2";#N/A,#N/A,FALSE,"단축3";#N/A,#N/A,FALSE,"장축";#N/A,#N/A,FALSE,"4WD"}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2" hidden="1">{#N/A,#N/A,FALSE,"단축1";#N/A,#N/A,FALSE,"단축2";#N/A,#N/A,FALSE,"단축3";#N/A,#N/A,FALSE,"장축";#N/A,#N/A,FALSE,"4WD"}</definedName>
    <definedName name="ㄱㄱ" localSheetId="3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2" hidden="1">{#N/A,#N/A,FALSE,"단축1";#N/A,#N/A,FALSE,"단축2";#N/A,#N/A,FALSE,"단축3";#N/A,#N/A,FALSE,"장축";#N/A,#N/A,FALSE,"4WD"}</definedName>
    <definedName name="ㄱㄱㄱ" localSheetId="3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localSheetId="2" hidden="1">{#N/A,#N/A,FALSE,"단축1";#N/A,#N/A,FALSE,"단축2";#N/A,#N/A,FALSE,"단축3";#N/A,#N/A,FALSE,"장축";#N/A,#N/A,FALSE,"4WD"}</definedName>
    <definedName name="ㄱㄱㄱㅇ" localSheetId="3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localSheetId="2" hidden="1">{#N/A,#N/A,FALSE,"단축1";#N/A,#N/A,FALSE,"단축2";#N/A,#N/A,FALSE,"단축3";#N/A,#N/A,FALSE,"장축";#N/A,#N/A,FALSE,"4WD"}</definedName>
    <definedName name="ㄱㄳ" localSheetId="3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localSheetId="2" hidden="1">{#N/A,#N/A,TRUE,"일정"}</definedName>
    <definedName name="ㄱㄷㄱㄱ" localSheetId="3" hidden="1">{#N/A,#N/A,TRUE,"일정"}</definedName>
    <definedName name="ㄱㄷㄱㄱ" hidden="1">{#N/A,#N/A,TRUE,"일정"}</definedName>
    <definedName name="ㄱㄷㅁㄱ" localSheetId="2" hidden="1">{#N/A,#N/A,FALSE,"단축1";#N/A,#N/A,FALSE,"단축2";#N/A,#N/A,FALSE,"단축3";#N/A,#N/A,FALSE,"장축";#N/A,#N/A,FALSE,"4WD"}</definedName>
    <definedName name="ㄱㄷㅁㄱ" localSheetId="3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ㄱㄷㅎㄷㄱ" localSheetId="2" hidden="1">{#N/A,#N/A,FALSE,"단축1";#N/A,#N/A,FALSE,"단축2";#N/A,#N/A,FALSE,"단축3";#N/A,#N/A,FALSE,"장축";#N/A,#N/A,FALSE,"4WD"}</definedName>
    <definedName name="ㄱㄷㅎㄱㄷㅎㄷㄱ" localSheetId="3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localSheetId="2" hidden="1">{#N/A,#N/A,FALSE,"단축1";#N/A,#N/A,FALSE,"단축2";#N/A,#N/A,FALSE,"단축3";#N/A,#N/A,FALSE,"장축";#N/A,#N/A,FALSE,"4WD"}</definedName>
    <definedName name="ㄱㄷㅎㄱㅎㄱ" localSheetId="3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localSheetId="2" hidden="1">{#N/A,#N/A,FALSE,"단축1";#N/A,#N/A,FALSE,"단축2";#N/A,#N/A,FALSE,"단축3";#N/A,#N/A,FALSE,"장축";#N/A,#N/A,FALSE,"4WD"}</definedName>
    <definedName name="ㄱㄹㄹㅇㅍㄹㅇㄴㅇㄿㅍㄹㄹㄹ" localSheetId="3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2" hidden="1">{#N/A,#N/A,FALSE,"원가검토서"}</definedName>
    <definedName name="ㄱ쇼" localSheetId="3" hidden="1">{#N/A,#N/A,FALSE,"원가검토서"}</definedName>
    <definedName name="ㄱ쇼" hidden="1">{#N/A,#N/A,FALSE,"원가검토서"}</definedName>
    <definedName name="ㄱ쇼ㅗㅕ7ㅑ" localSheetId="2" hidden="1">{#N/A,#N/A,FALSE,"신규dep";#N/A,#N/A,FALSE,"신규dep-금형상각후";#N/A,#N/A,FALSE,"신규dep-연구비상각후";#N/A,#N/A,FALSE,"신규dep-기계,공구상각후"}</definedName>
    <definedName name="ㄱ쇼ㅗㅕ7ㅑ" localSheetId="3" hidden="1">{#N/A,#N/A,FALSE,"신규dep";#N/A,#N/A,FALSE,"신규dep-금형상각후";#N/A,#N/A,FALSE,"신규dep-연구비상각후";#N/A,#N/A,FALSE,"신규dep-기계,공구상각후"}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localSheetId="2" hidden="1">{#N/A,#N/A,FALSE,"단축1";#N/A,#N/A,FALSE,"단축2";#N/A,#N/A,FALSE,"단축3";#N/A,#N/A,FALSE,"장축";#N/A,#N/A,FALSE,"4WD"}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ㄴㅇㄴㅇㄹㄻㅁ" localSheetId="2" hidden="1">{#N/A,#N/A,FALSE,"단축1";#N/A,#N/A,FALSE,"단축2";#N/A,#N/A,FALSE,"단축3";#N/A,#N/A,FALSE,"장축";#N/A,#N/A,FALSE,"4WD"}</definedName>
    <definedName name="ㄱㅇㄴㅇㄴㅇㄹㄻㅁ" localSheetId="3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localSheetId="2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고싶다" localSheetId="2" hidden="1">{#N/A,#N/A,FALSE,"단축1";#N/A,#N/A,FALSE,"단축2";#N/A,#N/A,FALSE,"단축3";#N/A,#N/A,FALSE,"장축";#N/A,#N/A,FALSE,"4WD"}</definedName>
    <definedName name="가고싶다" localSheetId="3" hidden="1">{#N/A,#N/A,FALSE,"단축1";#N/A,#N/A,FALSE,"단축2";#N/A,#N/A,FALSE,"단축3";#N/A,#N/A,FALSE,"장축";#N/A,#N/A,FALSE,"4WD"}</definedName>
    <definedName name="가고싶다" hidden="1">{#N/A,#N/A,FALSE,"단축1";#N/A,#N/A,FALSE,"단축2";#N/A,#N/A,FALSE,"단축3";#N/A,#N/A,FALSE,"장축";#N/A,#N/A,FALSE,"4WD"}</definedName>
    <definedName name="가나" localSheetId="2" hidden="1">{#N/A,#N/A,FALSE,"단축1";#N/A,#N/A,FALSE,"단축2";#N/A,#N/A,FALSE,"단축3";#N/A,#N/A,FALSE,"장축";#N/A,#N/A,FALSE,"4WD"}</definedName>
    <definedName name="가나" localSheetId="3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localSheetId="2" hidden="1">{#N/A,#N/A,FALSE,"단축1";#N/A,#N/A,FALSE,"단축2";#N/A,#N/A,FALSE,"단축3";#N/A,#N/A,FALSE,"장축";#N/A,#N/A,FALSE,"4WD"}</definedName>
    <definedName name="가나다라" localSheetId="3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localSheetId="2" hidden="1">{#N/A,#N/A,FALSE,"성적서";#N/A,#N/A,FALSE,"기준을"}</definedName>
    <definedName name="가나다라마" localSheetId="3" hidden="1">{#N/A,#N/A,FALSE,"성적서";#N/A,#N/A,FALSE,"기준을"}</definedName>
    <definedName name="가나다라마" hidden="1">{#N/A,#N/A,FALSE,"성적서";#N/A,#N/A,FALSE,"기준을"}</definedName>
    <definedName name="가나마" localSheetId="2" hidden="1">{#N/A,#N/A,FALSE,"신규dep";#N/A,#N/A,FALSE,"신규dep-금형상각후";#N/A,#N/A,FALSE,"신규dep-연구비상각후";#N/A,#N/A,FALSE,"신규dep-기계,공구상각후"}</definedName>
    <definedName name="가나마" localSheetId="3" hidden="1">{#N/A,#N/A,FALSE,"신규dep";#N/A,#N/A,FALSE,"신규dep-금형상각후";#N/A,#N/A,FALSE,"신규dep-연구비상각후";#N/A,#N/A,FALSE,"신규dep-기계,공구상각후"}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localSheetId="2" hidden="1">{#N/A,#N/A,TRUE,"Y생산";#N/A,#N/A,TRUE,"Y판매";#N/A,#N/A,TRUE,"Y총물량";#N/A,#N/A,TRUE,"Y능력";#N/A,#N/A,TRUE,"YKD"}</definedName>
    <definedName name="가동" localSheetId="3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2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localSheetId="2" hidden="1">{#N/A,#N/A,FALSE,"단축1";#N/A,#N/A,FALSE,"단축2";#N/A,#N/A,FALSE,"단축3";#N/A,#N/A,FALSE,"장축";#N/A,#N/A,FALSE,"4WD"}</definedName>
    <definedName name="가을" localSheetId="3" hidden="1">{#N/A,#N/A,FALSE,"단축1";#N/A,#N/A,FALSE,"단축2";#N/A,#N/A,FALSE,"단축3";#N/A,#N/A,FALSE,"장축";#N/A,#N/A,FALSE,"4WD"}</definedName>
    <definedName name="가을" hidden="1">{#N/A,#N/A,FALSE,"단축1";#N/A,#N/A,FALSE,"단축2";#N/A,#N/A,FALSE,"단축3";#N/A,#N/A,FALSE,"장축";#N/A,#N/A,FALSE,"4WD"}</definedName>
    <definedName name="각" localSheetId="2" hidden="1">{#N/A,#N/A,FALSE,"단축1";#N/A,#N/A,FALSE,"단축2";#N/A,#N/A,FALSE,"단축3";#N/A,#N/A,FALSE,"장축";#N/A,#N/A,FALSE,"4WD"}</definedName>
    <definedName name="각" localSheetId="3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localSheetId="2" hidden="1">{#N/A,#N/A,FALSE,"단축1";#N/A,#N/A,FALSE,"단축2";#N/A,#N/A,FALSE,"단축3";#N/A,#N/A,FALSE,"장축";#N/A,#N/A,FALSE,"4WD"}</definedName>
    <definedName name="각가가" localSheetId="3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localSheetId="2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localSheetId="2" hidden="1">{#N/A,#N/A,FALSE,"단축1";#N/A,#N/A,FALSE,"단축2";#N/A,#N/A,FALSE,"단축3";#N/A,#N/A,FALSE,"장축";#N/A,#N/A,FALSE,"4WD"}</definedName>
    <definedName name="각자" localSheetId="3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localSheetId="2" hidden="1">{#N/A,#N/A,FALSE,"단축1";#N/A,#N/A,FALSE,"단축2";#N/A,#N/A,FALSE,"단축3";#N/A,#N/A,FALSE,"장축";#N/A,#N/A,FALSE,"4WD"}</definedName>
    <definedName name="개" localSheetId="3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localSheetId="2" hidden="1">{#N/A,#N/A,FALSE,"단축1";#N/A,#N/A,FALSE,"단축2";#N/A,#N/A,FALSE,"단축3";#N/A,#N/A,FALSE,"장축";#N/A,#N/A,FALSE,"4WD"}</definedName>
    <definedName name="개발문제범" localSheetId="3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localSheetId="2" hidden="1">{#N/A,#N/A,FALSE,"단축1";#N/A,#N/A,FALSE,"단축2";#N/A,#N/A,FALSE,"단축3";#N/A,#N/A,FALSE,"장축";#N/A,#N/A,FALSE,"4WD"}</definedName>
    <definedName name="개발문제범2" localSheetId="3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2" hidden="1">{#N/A,#N/A,FALSE,"단축1";#N/A,#N/A,FALSE,"단축2";#N/A,#N/A,FALSE,"단축3";#N/A,#N/A,FALSE,"장축";#N/A,#N/A,FALSE,"4WD"}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2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2" hidden="1">{#N/A,#N/A,FALSE,"단축1";#N/A,#N/A,FALSE,"단축2";#N/A,#N/A,FALSE,"단축3";#N/A,#N/A,FALSE,"장축";#N/A,#N/A,FALSE,"4WD"}</definedName>
    <definedName name="개선과장1" localSheetId="3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2" hidden="1">{#N/A,#N/A,FALSE,"단축1";#N/A,#N/A,FALSE,"단축2";#N/A,#N/A,FALSE,"단축3";#N/A,#N/A,FALSE,"장축";#N/A,#N/A,FALSE,"4WD"}</definedName>
    <definedName name="개선과정" localSheetId="3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2" hidden="1">{#N/A,#N/A,FALSE,"단축1";#N/A,#N/A,FALSE,"단축2";#N/A,#N/A,FALSE,"단축3";#N/A,#N/A,FALSE,"장축";#N/A,#N/A,FALSE,"4WD"}</definedName>
    <definedName name="개선내용" localSheetId="3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localSheetId="2" hidden="1">{#N/A,#N/A,FALSE,"단축1";#N/A,#N/A,FALSE,"단축2";#N/A,#N/A,FALSE,"단축3";#N/A,#N/A,FALSE,"장축";#N/A,#N/A,FALSE,"4WD"}</definedName>
    <definedName name="개선대책CONT" localSheetId="3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localSheetId="2" hidden="1">{#N/A,#N/A,TRUE,"Y생산";#N/A,#N/A,TRUE,"Y판매";#N/A,#N/A,TRUE,"Y총물량";#N/A,#N/A,TRUE,"Y능력";#N/A,#N/A,TRUE,"YKD"}</definedName>
    <definedName name="개선실적" localSheetId="3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검사기준서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localSheetId="2" hidden="1">{#N/A,#N/A,FALSE,"단축1";#N/A,#N/A,FALSE,"단축2";#N/A,#N/A,FALSE,"단축3";#N/A,#N/A,FALSE,"장축";#N/A,#N/A,FALSE,"4WD"}</definedName>
    <definedName name="검사기준서을지" localSheetId="3" hidden="1">{#N/A,#N/A,FALSE,"단축1";#N/A,#N/A,FALSE,"단축2";#N/A,#N/A,FALSE,"단축3";#N/A,#N/A,FALSE,"장축";#N/A,#N/A,FALSE,"4WD"}</definedName>
    <definedName name="검사기준서을지" hidden="1">{#N/A,#N/A,FALSE,"단축1";#N/A,#N/A,FALSE,"단축2";#N/A,#N/A,FALSE,"단축3";#N/A,#N/A,FALSE,"장축";#N/A,#N/A,FALSE,"4WD"}</definedName>
    <definedName name="검사협정FRT" localSheetId="2" hidden="1">{#N/A,#N/A,FALSE,"단축1";#N/A,#N/A,FALSE,"단축2";#N/A,#N/A,FALSE,"단축3";#N/A,#N/A,FALSE,"장축";#N/A,#N/A,FALSE,"4WD"}</definedName>
    <definedName name="검사협정FRT" localSheetId="3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localSheetId="2" hidden="1">{#N/A,#N/A,FALSE,"단축1";#N/A,#N/A,FALSE,"단축2";#N/A,#N/A,FALSE,"단축3";#N/A,#N/A,FALSE,"장축";#N/A,#N/A,FALSE,"4WD"}</definedName>
    <definedName name="검토" localSheetId="3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localSheetId="2" hidden="1">{#N/A,#N/A,FALSE,"단축1";#N/A,#N/A,FALSE,"단축2";#N/A,#N/A,FALSE,"단축3";#N/A,#N/A,FALSE,"장축";#N/A,#N/A,FALSE,"4WD"}</definedName>
    <definedName name="검토3" localSheetId="3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localSheetId="2" hidden="1">{#N/A,#N/A,FALSE,"단축1";#N/A,#N/A,FALSE,"단축2";#N/A,#N/A,FALSE,"단축3";#N/A,#N/A,FALSE,"장축";#N/A,#N/A,FALSE,"4WD"}</definedName>
    <definedName name="검토6학" localSheetId="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2" hidden="1">{#N/A,#N/A,TRUE,"Y생산";#N/A,#N/A,TRUE,"Y판매";#N/A,#N/A,TRUE,"Y총물량";#N/A,#N/A,TRUE,"Y능력";#N/A,#N/A,TRUE,"YKD"}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획" localSheetId="2" hidden="1">{#N/A,#N/A,FALSE,"단축1";#N/A,#N/A,FALSE,"단축2";#N/A,#N/A,FALSE,"단축3";#N/A,#N/A,FALSE,"장축";#N/A,#N/A,FALSE,"4WD"}</definedName>
    <definedName name="계획" localSheetId="3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2" hidden="1">{#N/A,#N/A,FALSE,"단축1";#N/A,#N/A,FALSE,"단축2";#N/A,#N/A,FALSE,"단축3";#N/A,#N/A,FALSE,"장축";#N/A,#N/A,FALSE,"4WD"}</definedName>
    <definedName name="계획.1" localSheetId="3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2" hidden="1">{#N/A,#N/A,FALSE,"단축1";#N/A,#N/A,FALSE,"단축2";#N/A,#N/A,FALSE,"단축3";#N/A,#N/A,FALSE,"장축";#N/A,#N/A,FALSE,"4WD"}</definedName>
    <definedName name="계획1" localSheetId="3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2" hidden="1">{#N/A,#N/A,FALSE,"단축1";#N/A,#N/A,FALSE,"단축2";#N/A,#N/A,FALSE,"단축3";#N/A,#N/A,FALSE,"장축";#N/A,#N/A,FALSE,"4WD"}</definedName>
    <definedName name="계획2" localSheetId="3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localSheetId="2" hidden="1">{"Wire Charts",#N/A,TRUE,"Wires"}</definedName>
    <definedName name="계획서" localSheetId="3" hidden="1">{"Wire Charts",#N/A,TRUE,"Wires"}</definedName>
    <definedName name="계획서" hidden="1">{"Wire Charts",#N/A,TRUE,"Wires"}</definedName>
    <definedName name="고고고" localSheetId="2" hidden="1">{#N/A,#N/A,FALSE,"원가검토서"}</definedName>
    <definedName name="고고고" localSheetId="3" hidden="1">{#N/A,#N/A,FALSE,"원가검토서"}</definedName>
    <definedName name="고고고" hidden="1">{#N/A,#N/A,FALSE,"원가검토서"}</definedName>
    <definedName name="고어얼어러럴" localSheetId="2" hidden="1">{#N/A,#N/A,FALSE,"단축1";#N/A,#N/A,FALSE,"단축2";#N/A,#N/A,FALSE,"단축3";#N/A,#N/A,FALSE,"장축";#N/A,#N/A,FALSE,"4WD"}</definedName>
    <definedName name="고어얼어러럴" localSheetId="3" hidden="1">{#N/A,#N/A,FALSE,"단축1";#N/A,#N/A,FALSE,"단축2";#N/A,#N/A,FALSE,"단축3";#N/A,#N/A,FALSE,"장축";#N/A,#N/A,FALSE,"4WD"}</definedName>
    <definedName name="고어얼어러럴" hidden="1">{#N/A,#N/A,FALSE,"단축1";#N/A,#N/A,FALSE,"단축2";#N/A,#N/A,FALSE,"단축3";#N/A,#N/A,FALSE,"장축";#N/A,#N/A,FALSE,"4WD"}</definedName>
    <definedName name="공" localSheetId="2" hidden="1">{#N/A,#N/A,FALSE,"단축1";#N/A,#N/A,FALSE,"단축2";#N/A,#N/A,FALSE,"단축3";#N/A,#N/A,FALSE,"장축";#N/A,#N/A,FALSE,"4WD"}</definedName>
    <definedName name="공" localSheetId="3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localSheetId="2" hidden="1">{#N/A,#N/A,FALSE,"단축1";#N/A,#N/A,FALSE,"단축2";#N/A,#N/A,FALSE,"단축3";#N/A,#N/A,FALSE,"장축";#N/A,#N/A,FALSE,"4WD"}</definedName>
    <definedName name="공성환" localSheetId="3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도" localSheetId="2" hidden="1">{#N/A,#N/A,FALSE,"원가검토서"}</definedName>
    <definedName name="공정도" localSheetId="3" hidden="1">{#N/A,#N/A,FALSE,"원가검토서"}</definedName>
    <definedName name="공정도" hidden="1">{#N/A,#N/A,FALSE,"원가검토서"}</definedName>
    <definedName name="공통" localSheetId="2" hidden="1">{#N/A,#N/A,FALSE,"단축1";#N/A,#N/A,FALSE,"단축2";#N/A,#N/A,FALSE,"단축3";#N/A,#N/A,FALSE,"장축";#N/A,#N/A,FALSE,"4WD"}</definedName>
    <definedName name="공통" localSheetId="3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2" hidden="1">{#N/A,#N/A,FALSE,"단축1";#N/A,#N/A,FALSE,"단축2";#N/A,#N/A,FALSE,"단축3";#N/A,#N/A,FALSE,"장축";#N/A,#N/A,FALSE,"4WD"}</definedName>
    <definedName name="과거" localSheetId="3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localSheetId="2" hidden="1">{#N/A,#N/A,FALSE,"단축1";#N/A,#N/A,FALSE,"단축2";#N/A,#N/A,FALSE,"단축3";#N/A,#N/A,FALSE,"장축";#N/A,#N/A,FALSE,"4WD"}</definedName>
    <definedName name="과거차" localSheetId="3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2" hidden="1">{#N/A,#N/A,FALSE,"단축1";#N/A,#N/A,FALSE,"단축2";#N/A,#N/A,FALSE,"단축3";#N/A,#N/A,FALSE,"장축";#N/A,#N/A,FALSE,"4WD"}</definedName>
    <definedName name="과거차_01" localSheetId="3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2" hidden="1">{#N/A,#N/A,FALSE,"단축1";#N/A,#N/A,FALSE,"단축2";#N/A,#N/A,FALSE,"단축3";#N/A,#N/A,FALSE,"장축";#N/A,#N/A,FALSE,"4WD"}</definedName>
    <definedName name="과거차06" localSheetId="3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2" hidden="1">{#N/A,#N/A,FALSE,"단축1";#N/A,#N/A,FALSE,"단축2";#N/A,#N/A,FALSE,"단축3";#N/A,#N/A,FALSE,"장축";#N/A,#N/A,FALSE,"4WD"}</definedName>
    <definedName name="과거차07" localSheetId="3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2" hidden="1">{#N/A,#N/A,FALSE,"단축1";#N/A,#N/A,FALSE,"단축2";#N/A,#N/A,FALSE,"단축3";#N/A,#N/A,FALSE,"장축";#N/A,#N/A,FALSE,"4WD"}</definedName>
    <definedName name="과거차문제1" localSheetId="3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2" hidden="1">{#N/A,#N/A,FALSE,"단축1";#N/A,#N/A,FALSE,"단축2";#N/A,#N/A,FALSE,"단축3";#N/A,#N/A,FALSE,"장축";#N/A,#N/A,FALSE,"4WD"}</definedName>
    <definedName name="과거차문제11" localSheetId="3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2" hidden="1">{#N/A,#N/A,TRUE,"Y생산";#N/A,#N/A,TRUE,"Y판매";#N/A,#N/A,TRUE,"Y총물량";#N/A,#N/A,TRUE,"Y능력";#N/A,#N/A,TRUE,"YKD"}</definedName>
    <definedName name="관리지표2" localSheetId="3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2" hidden="1">{#N/A,#N/A,FALSE,"단축1";#N/A,#N/A,FALSE,"단축2";#N/A,#N/A,FALSE,"단축3";#N/A,#N/A,FALSE,"장축";#N/A,#N/A,FALSE,"4WD"}</definedName>
    <definedName name="권오종" localSheetId="3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레이스2" localSheetId="2" hidden="1">{#N/A,#N/A,FALSE,"단축1";#N/A,#N/A,FALSE,"단축2";#N/A,#N/A,FALSE,"단축3";#N/A,#N/A,FALSE,"장축";#N/A,#N/A,FALSE,"4WD"}</definedName>
    <definedName name="그레이스2" localSheetId="3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localSheetId="2" hidden="1">{#N/A,#N/A,FALSE,"단축1";#N/A,#N/A,FALSE,"단축2";#N/A,#N/A,FALSE,"단축3";#N/A,#N/A,FALSE,"장축";#N/A,#N/A,FALSE,"4WD"}</definedName>
    <definedName name="그룹나눈" localSheetId="3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2" hidden="1">{#N/A,#N/A,FALSE,"을지 (4)";#N/A,#N/A,FALSE,"을지 (5)";#N/A,#N/A,FALSE,"을지 (6)"}</definedName>
    <definedName name="그림1" localSheetId="3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2" hidden="1">{#N/A,#N/A,FALSE,"단축1";#N/A,#N/A,FALSE,"단축2";#N/A,#N/A,FALSE,"단축3";#N/A,#N/A,FALSE,"장축";#N/A,#N/A,FALSE,"4WD"}</definedName>
    <definedName name="근거2" localSheetId="3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2" hidden="1">{#N/A,#N/A,FALSE,"원가검토서"}</definedName>
    <definedName name="금" localSheetId="3" hidden="1">{#N/A,#N/A,FALSE,"원가검토서"}</definedName>
    <definedName name="금" hidden="1">{#N/A,#N/A,FALSE,"원가검토서"}</definedName>
    <definedName name="금월" localSheetId="2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2" hidden="1">{#N/A,#N/A,FALSE,"원가검토서"}</definedName>
    <definedName name="금형" localSheetId="3" hidden="1">{#N/A,#N/A,FALSE,"원가검토서"}</definedName>
    <definedName name="금형" hidden="1">{#N/A,#N/A,FALSE,"원가검토서"}</definedName>
    <definedName name="금형3" localSheetId="2" hidden="1">{#N/A,#N/A,FALSE,"단축1";#N/A,#N/A,FALSE,"단축2";#N/A,#N/A,FALSE,"단축3";#N/A,#N/A,FALSE,"장축";#N/A,#N/A,FALSE,"4WD"}</definedName>
    <definedName name="금형3" localSheetId="3" hidden="1">{#N/A,#N/A,FALSE,"단축1";#N/A,#N/A,FALSE,"단축2";#N/A,#N/A,FALSE,"단축3";#N/A,#N/A,FALSE,"장축";#N/A,#N/A,FALSE,"4WD"}</definedName>
    <definedName name="금형3" hidden="1">{#N/A,#N/A,FALSE,"단축1";#N/A,#N/A,FALSE,"단축2";#N/A,#N/A,FALSE,"단축3";#N/A,#N/A,FALSE,"장축";#N/A,#N/A,FALSE,"4WD"}</definedName>
    <definedName name="금형견적" localSheetId="2" hidden="1">{#N/A,#N/A,FALSE,"원가검토서"}</definedName>
    <definedName name="금형견적" localSheetId="3" hidden="1">{#N/A,#N/A,FALSE,"원가검토서"}</definedName>
    <definedName name="금형견적" hidden="1">{#N/A,#N/A,FALSE,"원가검토서"}</definedName>
    <definedName name="금형제작일정" localSheetId="2" hidden="1">{#N/A,#N/A,FALSE,"단축1";#N/A,#N/A,FALSE,"단축2";#N/A,#N/A,FALSE,"단축3";#N/A,#N/A,FALSE,"장축";#N/A,#N/A,FALSE,"4WD"}</definedName>
    <definedName name="금형제작일정" localSheetId="3" hidden="1">{#N/A,#N/A,FALSE,"단축1";#N/A,#N/A,FALSE,"단축2";#N/A,#N/A,FALSE,"단축3";#N/A,#N/A,FALSE,"장축";#N/A,#N/A,FALSE,"4WD"}</definedName>
    <definedName name="금형제작일정" hidden="1">{#N/A,#N/A,FALSE,"단축1";#N/A,#N/A,FALSE,"단축2";#N/A,#N/A,FALSE,"단축3";#N/A,#N/A,FALSE,"장축";#N/A,#N/A,FALSE,"4WD"}</definedName>
    <definedName name="금형진행현황" localSheetId="2" hidden="1">{#N/A,#N/A,FALSE,"Cst of Sales (2)"}</definedName>
    <definedName name="금형진행현황" localSheetId="3" hidden="1">{#N/A,#N/A,FALSE,"Cst of Sales (2)"}</definedName>
    <definedName name="금형진행현황" hidden="1">{#N/A,#N/A,FALSE,"Cst of Sales (2)"}</definedName>
    <definedName name="기관예산" localSheetId="2" hidden="1">{#N/A,#N/A,FALSE,"단축1";#N/A,#N/A,FALSE,"단축2";#N/A,#N/A,FALSE,"단축3";#N/A,#N/A,FALSE,"장축";#N/A,#N/A,FALSE,"4WD"}</definedName>
    <definedName name="기관예산" localSheetId="3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르는" localSheetId="2" hidden="1">{#N/A,#N/A,FALSE,"단축1";#N/A,#N/A,FALSE,"단축2";#N/A,#N/A,FALSE,"단축3";#N/A,#N/A,FALSE,"장축";#N/A,#N/A,FALSE,"4WD"}</definedName>
    <definedName name="기르는" localSheetId="3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localSheetId="2" hidden="1">{#N/A,#N/A,FALSE,"단축1";#N/A,#N/A,FALSE,"단축2";#N/A,#N/A,FALSE,"단축3";#N/A,#N/A,FALSE,"장축";#N/A,#N/A,FALSE,"4WD"}</definedName>
    <definedName name="기른" localSheetId="3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localSheetId="2" hidden="1">{#N/A,#N/A,FALSE,"단축1";#N/A,#N/A,FALSE,"단축2";#N/A,#N/A,FALSE,"단축3";#N/A,#N/A,FALSE,"장축";#N/A,#N/A,FALSE,"4WD"}</definedName>
    <definedName name="기를다" localSheetId="3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localSheetId="2" hidden="1">{#N/A,#N/A,FALSE,"단축1";#N/A,#N/A,FALSE,"단축2";#N/A,#N/A,FALSE,"단축3";#N/A,#N/A,FALSE,"장축";#N/A,#N/A,FALSE,"4WD"}</definedName>
    <definedName name="기본" localSheetId="3" hidden="1">{#N/A,#N/A,FALSE,"단축1";#N/A,#N/A,FALSE,"단축2";#N/A,#N/A,FALSE,"단축3";#N/A,#N/A,FALSE,"장축";#N/A,#N/A,FALSE,"4WD"}</definedName>
    <definedName name="기본" hidden="1">{#N/A,#N/A,FALSE,"단축1";#N/A,#N/A,FALSE,"단축2";#N/A,#N/A,FALSE,"단축3";#N/A,#N/A,FALSE,"장축";#N/A,#N/A,FALSE,"4WD"}</definedName>
    <definedName name="기술" localSheetId="2" hidden="1">{#N/A,#N/A,FALSE,"단축1";#N/A,#N/A,FALSE,"단축2";#N/A,#N/A,FALSE,"단축3";#N/A,#N/A,FALSE,"장축";#N/A,#N/A,FALSE,"4WD"}</definedName>
    <definedName name="기술" localSheetId="3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localSheetId="2" hidden="1">{#N/A,#N/A,FALSE,"단축1";#N/A,#N/A,FALSE,"단축2";#N/A,#N/A,FALSE,"단축3";#N/A,#N/A,FALSE,"장축";#N/A,#N/A,FALSE,"4WD"}</definedName>
    <definedName name="기아" localSheetId="3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2" hidden="1">{#N/A,#N/A,FALSE,"단축1";#N/A,#N/A,FALSE,"단축2";#N/A,#N/A,FALSE,"단축3";#N/A,#N/A,FALSE,"장축";#N/A,#N/A,FALSE,"4WD"}</definedName>
    <definedName name="기아자동차" localSheetId="3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localSheetId="2" hidden="1">{#N/A,#N/A,FALSE,"단축1";#N/A,#N/A,FALSE,"단축2";#N/A,#N/A,FALSE,"단축3";#N/A,#N/A,FALSE,"장축";#N/A,#N/A,FALSE,"4WD"}</definedName>
    <definedName name="기존차" localSheetId="3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localSheetId="2" hidden="1">{#N/A,#N/A,FALSE,"단축1";#N/A,#N/A,FALSE,"단축2";#N/A,#N/A,FALSE,"단축3";#N/A,#N/A,FALSE,"장축";#N/A,#N/A,FALSE,"4WD"}</definedName>
    <definedName name="김광태" localSheetId="3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localSheetId="2" hidden="1">{#N/A,#N/A,FALSE,"단축1";#N/A,#N/A,FALSE,"단축2";#N/A,#N/A,FALSE,"단축3";#N/A,#N/A,FALSE,"장축";#N/A,#N/A,FALSE,"4WD"}</definedName>
    <definedName name="김윤기" localSheetId="3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localSheetId="2" hidden="1">{#N/A,#N/A,FALSE,"단축1";#N/A,#N/A,FALSE,"단축2";#N/A,#N/A,FALSE,"단축3";#N/A,#N/A,FALSE,"장축";#N/A,#N/A,FALSE,"4WD"}</definedName>
    <definedName name="김종경" localSheetId="3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localSheetId="2" hidden="1">{#N/A,#N/A,FALSE,"단축1";#N/A,#N/A,FALSE,"단축2";#N/A,#N/A,FALSE,"단축3";#N/A,#N/A,FALSE,"장축";#N/A,#N/A,FALSE,"4WD"}</definedName>
    <definedName name="ㄳㄱㄷㄱ" localSheetId="3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localSheetId="2" hidden="1">{#N/A,#N/A,FALSE,"단축1";#N/A,#N/A,FALSE,"단축2";#N/A,#N/A,FALSE,"단축3";#N/A,#N/A,FALSE,"장축";#N/A,#N/A,FALSE,"4WD"}</definedName>
    <definedName name="ㄳㄷㄳ" localSheetId="3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localSheetId="2" hidden="1">{#N/A,#N/A,FALSE,"단축1";#N/A,#N/A,FALSE,"단축2";#N/A,#N/A,FALSE,"단축3";#N/A,#N/A,FALSE,"장축";#N/A,#N/A,FALSE,"4WD"}</definedName>
    <definedName name="ㄳㅁㄴ" localSheetId="3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localSheetId="2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2" hidden="1">{#N/A,#N/A,FALSE,"AG";#N/A,#N/A,FALSE,"GB-I";#N/A,#N/A,FALSE,"GB--SR_K";#N/A,#N/A,FALSE,"GB-SR_B";#N/A,#N/A,FALSE,"GB-KS";#N/A,#N/A,FALSE,"Kammerer";#N/A,#N/A,FALSE,"Kienzle"}</definedName>
    <definedName name="ㄴㄻㄴ" localSheetId="3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2" hidden="1">{#N/A,#N/A,FALSE,"단축1";#N/A,#N/A,FALSE,"단축2";#N/A,#N/A,FALSE,"단축3";#N/A,#N/A,FALSE,"장축";#N/A,#N/A,FALSE,"4WD"}</definedName>
    <definedName name="ㄴㅁㄹ" localSheetId="3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2" hidden="1">{#N/A,#N/A,FALSE,"단축1";#N/A,#N/A,FALSE,"단축2";#N/A,#N/A,FALSE,"단축3";#N/A,#N/A,FALSE,"장축";#N/A,#N/A,FALSE,"4WD"}</definedName>
    <definedName name="ㄴㅁㄹㅊㅇ" localSheetId="3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2" hidden="1">{#N/A,#N/A,FALSE,"단축1";#N/A,#N/A,FALSE,"단축2";#N/A,#N/A,FALSE,"단축3";#N/A,#N/A,FALSE,"장축";#N/A,#N/A,FALSE,"4WD"}</definedName>
    <definedName name="ㄴㅁㅅㅎㄹㅇ놀허ㅗㅎ" localSheetId="3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2" hidden="1">{#N/A,#N/A,FALSE,"단축1";#N/A,#N/A,FALSE,"단축2";#N/A,#N/A,FALSE,"단축3";#N/A,#N/A,FALSE,"장축";#N/A,#N/A,FALSE,"4WD"}</definedName>
    <definedName name="ㄴㅁ표ㅕㅓㅗ올ㅇ" localSheetId="3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ㅅㄹ흁ㅇ" localSheetId="2" hidden="1">{#N/A,#N/A,FALSE,"단축1";#N/A,#N/A,FALSE,"단축2";#N/A,#N/A,FALSE,"단축3";#N/A,#N/A,FALSE,"장축";#N/A,#N/A,FALSE,"4WD"}</definedName>
    <definedName name="ㄴㅅㄹ흁ㅇ" localSheetId="3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localSheetId="2" hidden="1">{#N/A,#N/A,TRUE,"Y생산";#N/A,#N/A,TRUE,"Y판매";#N/A,#N/A,TRUE,"Y총물량";#N/A,#N/A,TRUE,"Y능력";#N/A,#N/A,TRUE,"YKD"}</definedName>
    <definedName name="ㄴㅇ" localSheetId="3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ㄹㅁㄴㄹ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localSheetId="2" hidden="1">{#N/A,#N/A,FALSE,"단축1";#N/A,#N/A,FALSE,"단축2";#N/A,#N/A,FALSE,"단축3";#N/A,#N/A,FALSE,"장축";#N/A,#N/A,FALSE,"4WD"}</definedName>
    <definedName name="ㄴㅇㄹㅇㄴㄹ" localSheetId="3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ㄴ" localSheetId="2" hidden="1">{#N/A,#N/A,FALSE,"Status";#N/A,#N/A,FALSE,"Deckblatt 1";#N/A,#N/A,FALSE,"Deckblatt2"}</definedName>
    <definedName name="ㄴㅇㄻㄴ" localSheetId="3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2" hidden="1">{#N/A,#N/A,FALSE,"단축1";#N/A,#N/A,FALSE,"단축2";#N/A,#N/A,FALSE,"단축3";#N/A,#N/A,FALSE,"장축";#N/A,#N/A,FALSE,"4WD"}</definedName>
    <definedName name="ㄴㅇㅊㄹㄴㅇㄹ" localSheetId="3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ㅎㅇㅀ" localSheetId="2" hidden="1">{#N/A,#N/A,FALSE,"단축1";#N/A,#N/A,FALSE,"단축2";#N/A,#N/A,FALSE,"단축3";#N/A,#N/A,FALSE,"장축";#N/A,#N/A,FALSE,"4WD"}</definedName>
    <definedName name="ㄴㅇㅎㅇㅀ" localSheetId="3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localSheetId="2" hidden="1">{#N/A,#N/A,FALSE,"단축1";#N/A,#N/A,FALSE,"단축2";#N/A,#N/A,FALSE,"단축3";#N/A,#N/A,FALSE,"장축";#N/A,#N/A,FALSE,"4WD"}</definedName>
    <definedName name="ㄴㅋ" localSheetId="3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2" hidden="1">{#N/A,#N/A,FALSE,"단축1";#N/A,#N/A,FALSE,"단축2";#N/A,#N/A,FALSE,"단축3";#N/A,#N/A,FALSE,"장축";#N/A,#N/A,FALSE,"4WD"}</definedName>
    <definedName name="ㄴ퓰ㅇㅍㄴㅅㅇ" localSheetId="3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2" hidden="1">{#N/A,#N/A,FALSE,"단축1";#N/A,#N/A,FALSE,"단축2";#N/A,#N/A,FALSE,"단축3";#N/A,#N/A,FALSE,"장축";#N/A,#N/A,FALSE,"4WD"}</definedName>
    <definedName name="나나나" localSheetId="3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localSheetId="2" hidden="1">{#N/A,#N/A,FALSE,"단축1";#N/A,#N/A,FALSE,"단축2";#N/A,#N/A,FALSE,"단축3";#N/A,#N/A,FALSE,"장축";#N/A,#N/A,FALSE,"4WD"}</definedName>
    <definedName name="나다라" localSheetId="3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localSheetId="2" hidden="1">{#N/A,#N/A,FALSE,"단축1";#N/A,#N/A,FALSE,"단축2";#N/A,#N/A,FALSE,"단축3";#N/A,#N/A,FALSE,"장축";#N/A,#N/A,FALSE,"4WD"}</definedName>
    <definedName name="나라말" localSheetId="3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localSheetId="2" hidden="1">{#N/A,#N/A,FALSE,"을지 (4)";#N/A,#N/A,FALSE,"을지 (5)";#N/A,#N/A,FALSE,"을지 (6)"}</definedName>
    <definedName name="내역분석" localSheetId="3" hidden="1">{#N/A,#N/A,FALSE,"을지 (4)";#N/A,#N/A,FALSE,"을지 (5)";#N/A,#N/A,FALSE,"을지 (6)"}</definedName>
    <definedName name="내역분석" hidden="1">{#N/A,#N/A,FALSE,"을지 (4)";#N/A,#N/A,FALSE,"을지 (5)";#N/A,#N/A,FALSE,"을지 (6)"}</definedName>
    <definedName name="냉각" localSheetId="2" hidden="1">{#N/A,#N/A,FALSE,"단축1";#N/A,#N/A,FALSE,"단축2";#N/A,#N/A,FALSE,"단축3";#N/A,#N/A,FALSE,"장축";#N/A,#N/A,FALSE,"4WD"}</definedName>
    <definedName name="냉각" localSheetId="3" hidden="1">{#N/A,#N/A,FALSE,"단축1";#N/A,#N/A,FALSE,"단축2";#N/A,#N/A,FALSE,"단축3";#N/A,#N/A,FALSE,"장축";#N/A,#N/A,FALSE,"4WD"}</definedName>
    <definedName name="냉각" hidden="1">{#N/A,#N/A,FALSE,"단축1";#N/A,#N/A,FALSE,"단축2";#N/A,#N/A,FALSE,"단축3";#N/A,#N/A,FALSE,"장축";#N/A,#N/A,FALSE,"4WD"}</definedName>
    <definedName name="년도" localSheetId="2" hidden="1">{#N/A,#N/A,FALSE,"단축1";#N/A,#N/A,FALSE,"단축2";#N/A,#N/A,FALSE,"단축3";#N/A,#N/A,FALSE,"장축";#N/A,#N/A,FALSE,"4WD"}</definedName>
    <definedName name="년도" localSheetId="3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localSheetId="2" hidden="1">{#N/A,#N/A,FALSE,"단축1";#N/A,#N/A,FALSE,"단축2";#N/A,#N/A,FALSE,"단축3";#N/A,#N/A,FALSE,"장축";#N/A,#N/A,FALSE,"4WD"}</definedName>
    <definedName name="ㄶㄱㅍㄱㅎㄱㅍ" localSheetId="3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2" hidden="1">{#N/A,#N/A,FALSE,"Australien";#N/A,#N/A,FALSE,"Birmingham";#N/A,#N/A,FALSE,"Brasilien";#N/A,#N/A,FALSE,"Prag";#N/A,#N/A,FALSE,"Spanien";#N/A,#N/A,FALSE,"Malaysia ( Com)";#N/A,#N/A,FALSE,"Malaysia (Instr)"}</definedName>
    <definedName name="ㄷㄱ" localSheetId="3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localSheetId="2" hidden="1">{#N/A,#N/A,FALSE,"신규dep";#N/A,#N/A,FALSE,"신규dep-금형상각후";#N/A,#N/A,FALSE,"신규dep-연구비상각후";#N/A,#N/A,FALSE,"신규dep-기계,공구상각후"}</definedName>
    <definedName name="ㄷㄱㄱㄷ" localSheetId="3" hidden="1">{#N/A,#N/A,FALSE,"신규dep";#N/A,#N/A,FALSE,"신규dep-금형상각후";#N/A,#N/A,FALSE,"신규dep-연구비상각후";#N/A,#N/A,FALSE,"신규dep-기계,공구상각후"}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localSheetId="2" hidden="1">{#N/A,#N/A,FALSE,"단축1";#N/A,#N/A,FALSE,"단축2";#N/A,#N/A,FALSE,"단축3";#N/A,#N/A,FALSE,"장축";#N/A,#N/A,FALSE,"4WD"}</definedName>
    <definedName name="ㄷㄱㄱㄾㅊ" localSheetId="3" hidden="1">{#N/A,#N/A,FALSE,"단축1";#N/A,#N/A,FALSE,"단축2";#N/A,#N/A,FALSE,"단축3";#N/A,#N/A,FALSE,"장축";#N/A,#N/A,FALSE,"4WD"}</definedName>
    <definedName name="ㄷㄱㄱㄾㅊ" hidden="1">{#N/A,#N/A,FALSE,"단축1";#N/A,#N/A,FALSE,"단축2";#N/A,#N/A,FALSE,"단축3";#N/A,#N/A,FALSE,"장축";#N/A,#N/A,FALSE,"4WD"}</definedName>
    <definedName name="ㄷㄱㄷㄱ" localSheetId="2" hidden="1">{#N/A,#N/A,FALSE,"단축1";#N/A,#N/A,FALSE,"단축2";#N/A,#N/A,FALSE,"단축3";#N/A,#N/A,FALSE,"장축";#N/A,#N/A,FALSE,"4WD"}</definedName>
    <definedName name="ㄷㄱㄷㄱ" localSheetId="3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localSheetId="2" hidden="1">{#N/A,#N/A,FALSE,"단축1";#N/A,#N/A,FALSE,"단축2";#N/A,#N/A,FALSE,"단축3";#N/A,#N/A,FALSE,"장축";#N/A,#N/A,FALSE,"4WD"}</definedName>
    <definedName name="ㄷㄱㄷㄱㄱ" localSheetId="3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localSheetId="2" hidden="1">{#N/A,#N/A,FALSE,"단축1";#N/A,#N/A,FALSE,"단축2";#N/A,#N/A,FALSE,"단축3";#N/A,#N/A,FALSE,"장축";#N/A,#N/A,FALSE,"4WD"}</definedName>
    <definedName name="ㄷㄱㄹㄷㄱㄷ" localSheetId="3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localSheetId="2" hidden="1">{#N/A,#N/A,FALSE,"단축1";#N/A,#N/A,FALSE,"단축2";#N/A,#N/A,FALSE,"단축3";#N/A,#N/A,FALSE,"장축";#N/A,#N/A,FALSE,"4WD"}</definedName>
    <definedName name="ㄷㄱㄹㄷㄱㄹㄹ" localSheetId="3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localSheetId="2" hidden="1">{#N/A,#N/A,FALSE,"단축1";#N/A,#N/A,FALSE,"단축2";#N/A,#N/A,FALSE,"단축3";#N/A,#N/A,FALSE,"장축";#N/A,#N/A,FALSE,"4WD"}</definedName>
    <definedName name="ㄷㄱㄺ" localSheetId="3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localSheetId="2" hidden="1">{#N/A,#N/A,FALSE,"단축1";#N/A,#N/A,FALSE,"단축2";#N/A,#N/A,FALSE,"단축3";#N/A,#N/A,FALSE,"장축";#N/A,#N/A,FALSE,"4WD"}</definedName>
    <definedName name="ㄷㄱㅎㄱㄷㅎ" localSheetId="3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localSheetId="2" hidden="1">{#N/A,#N/A,FALSE,"단축1";#N/A,#N/A,FALSE,"단축2";#N/A,#N/A,FALSE,"단축3";#N/A,#N/A,FALSE,"장축";#N/A,#N/A,FALSE,"4WD"}</definedName>
    <definedName name="ㄷㄱㅎㄷ" localSheetId="3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localSheetId="2" hidden="1">{#N/A,#N/A,FALSE,"단축1";#N/A,#N/A,FALSE,"단축2";#N/A,#N/A,FALSE,"단축3";#N/A,#N/A,FALSE,"장축";#N/A,#N/A,FALSE,"4WD"}</definedName>
    <definedName name="ㄷㄱㅎㄷㄱㅍ" localSheetId="3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localSheetId="2" hidden="1">{#N/A,#N/A,FALSE,"단축1";#N/A,#N/A,FALSE,"단축2";#N/A,#N/A,FALSE,"단축3";#N/A,#N/A,FALSE,"장축";#N/A,#N/A,FALSE,"4WD"}</definedName>
    <definedName name="ㄷ고ㅓ서" localSheetId="3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localSheetId="2" hidden="1">{#N/A,#N/A,FALSE,"단축1";#N/A,#N/A,FALSE,"단축2";#N/A,#N/A,FALSE,"단축3";#N/A,#N/A,FALSE,"장축";#N/A,#N/A,FALSE,"4WD"}</definedName>
    <definedName name="ㄷㄳㄷㄱㄹㅇ" localSheetId="3" hidden="1">{#N/A,#N/A,FALSE,"단축1";#N/A,#N/A,FALSE,"단축2";#N/A,#N/A,FALSE,"단축3";#N/A,#N/A,FALSE,"장축";#N/A,#N/A,FALSE,"4WD"}</definedName>
    <definedName name="ㄷㄳㄷㄱㄹㅇ" hidden="1">{#N/A,#N/A,FALSE,"단축1";#N/A,#N/A,FALSE,"단축2";#N/A,#N/A,FALSE,"단축3";#N/A,#N/A,FALSE,"장축";#N/A,#N/A,FALSE,"4WD"}</definedName>
    <definedName name="ㄷㄴㅁㅅㅎㅀ" localSheetId="2" hidden="1">{#N/A,#N/A,FALSE,"단축1";#N/A,#N/A,FALSE,"단축2";#N/A,#N/A,FALSE,"단축3";#N/A,#N/A,FALSE,"장축";#N/A,#N/A,FALSE,"4WD"}</definedName>
    <definedName name="ㄷㄴㅁㅅㅎㅀ" localSheetId="3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2" hidden="1">{#N/A,#N/A,FALSE,"단축1";#N/A,#N/A,FALSE,"단축2";#N/A,#N/A,FALSE,"단축3";#N/A,#N/A,FALSE,"장축";#N/A,#N/A,FALSE,"4WD"}</definedName>
    <definedName name="ㄷㄷ" localSheetId="3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2" hidden="1">{#N/A,#N/A,FALSE,"단축1";#N/A,#N/A,FALSE,"단축2";#N/A,#N/A,FALSE,"단축3";#N/A,#N/A,FALSE,"장축";#N/A,#N/A,FALSE,"4WD"}</definedName>
    <definedName name="ㄷㄷㄷ" localSheetId="3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localSheetId="2" hidden="1">{#N/A,#N/A,FALSE,"단축1";#N/A,#N/A,FALSE,"단축2";#N/A,#N/A,FALSE,"단축3";#N/A,#N/A,FALSE,"장축";#N/A,#N/A,FALSE,"4WD"}</definedName>
    <definedName name="ㄷㅂㄷㄱㅍㅌㅌㅌ" localSheetId="3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localSheetId="2" hidden="1">{#N/A,#N/A,TRUE,"Y생산";#N/A,#N/A,TRUE,"Y판매";#N/A,#N/A,TRUE,"Y총물량";#N/A,#N/A,TRUE,"Y능력";#N/A,#N/A,TRUE,"YKD"}</definedName>
    <definedName name="ㄷㅇ" localSheetId="3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굣ㄴㄷㅁ" localSheetId="2" hidden="1">{#N/A,#N/A,FALSE,"단축1";#N/A,#N/A,FALSE,"단축2";#N/A,#N/A,FALSE,"단축3";#N/A,#N/A,FALSE,"장축";#N/A,#N/A,FALSE,"4WD"}</definedName>
    <definedName name="ㄷㅇ굣ㄴㄷㅁ" localSheetId="3" hidden="1">{#N/A,#N/A,FALSE,"단축1";#N/A,#N/A,FALSE,"단축2";#N/A,#N/A,FALSE,"단축3";#N/A,#N/A,FALSE,"장축";#N/A,#N/A,FALSE,"4WD"}</definedName>
    <definedName name="ㄷㅇ굣ㄴㄷㅁ" hidden="1">{#N/A,#N/A,FALSE,"단축1";#N/A,#N/A,FALSE,"단축2";#N/A,#N/A,FALSE,"단축3";#N/A,#N/A,FALSE,"장축";#N/A,#N/A,FALSE,"4WD"}</definedName>
    <definedName name="ㄷㅇㅅㄹ" localSheetId="2" hidden="1">{#N/A,#N/A,FALSE,"단축1";#N/A,#N/A,FALSE,"단축2";#N/A,#N/A,FALSE,"단축3";#N/A,#N/A,FALSE,"장축";#N/A,#N/A,FALSE,"4WD"}</definedName>
    <definedName name="ㄷㅇㅅㄹ" localSheetId="3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localSheetId="2" hidden="1">{#N/A,#N/A,FALSE,"단축1";#N/A,#N/A,FALSE,"단축2";#N/A,#N/A,FALSE,"단축3";#N/A,#N/A,FALSE,"장축";#N/A,#N/A,FALSE,"4WD"}</definedName>
    <definedName name="ㄷㅈㄱㄱㄷ" localSheetId="3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localSheetId="2" hidden="1">{#N/A,#N/A,FALSE,"단축1";#N/A,#N/A,FALSE,"단축2";#N/A,#N/A,FALSE,"단축3";#N/A,#N/A,FALSE,"장축";#N/A,#N/A,FALSE,"4WD"}</definedName>
    <definedName name="ㄷ춋ㅇㅍ" localSheetId="3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localSheetId="2" hidden="1">{#N/A,#N/A,FALSE,"단축1";#N/A,#N/A,FALSE,"단축2";#N/A,#N/A,FALSE,"단축3";#N/A,#N/A,FALSE,"장축";#N/A,#N/A,FALSE,"4WD"}</definedName>
    <definedName name="ㄷㅎㄱㄷㅅㄱ" localSheetId="3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localSheetId="2" hidden="1">{#N/A,#N/A,FALSE,"단축1";#N/A,#N/A,FALSE,"단축2";#N/A,#N/A,FALSE,"단축3";#N/A,#N/A,FALSE,"장축";#N/A,#N/A,FALSE,"4WD"}</definedName>
    <definedName name="ㄷㅎㅎㄱ" localSheetId="3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localSheetId="2" hidden="1">{#N/A,#N/A,FALSE,"단축1";#N/A,#N/A,FALSE,"단축2";#N/A,#N/A,FALSE,"단축3";#N/A,#N/A,FALSE,"장축";#N/A,#N/A,FALSE,"4WD"}</definedName>
    <definedName name="다나가라" localSheetId="3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localSheetId="2" hidden="1">{#N/A,#N/A,TRUE,"Y생산";#N/A,#N/A,TRUE,"Y판매";#N/A,#N/A,TRUE,"Y총물량";#N/A,#N/A,TRUE,"Y능력";#N/A,#N/A,TRUE,"YKD"}</definedName>
    <definedName name="단가기준" localSheetId="3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2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localSheetId="2" hidden="1">{#N/A,#N/A,TRUE,"일정"}</definedName>
    <definedName name="담당1" localSheetId="3" hidden="1">{#N/A,#N/A,TRUE,"일정"}</definedName>
    <definedName name="담당1" hidden="1">{#N/A,#N/A,TRUE,"일정"}</definedName>
    <definedName name="대부" localSheetId="2" hidden="1">{#N/A,#N/A,FALSE,"단축1";#N/A,#N/A,FALSE,"단축2";#N/A,#N/A,FALSE,"단축3";#N/A,#N/A,FALSE,"장축";#N/A,#N/A,FALSE,"4WD"}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분" localSheetId="2" hidden="1">{#N/A,#N/A,FALSE,"단축1";#N/A,#N/A,FALSE,"단축2";#N/A,#N/A,FALSE,"단축3";#N/A,#N/A,FALSE,"장축";#N/A,#N/A,FALSE,"4WD"}</definedName>
    <definedName name="대부분" localSheetId="3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localSheetId="2" hidden="1">{#N/A,#N/A,FALSE,"단축1";#N/A,#N/A,FALSE,"단축2";#N/A,#N/A,FALSE,"단축3";#N/A,#N/A,FALSE,"장축";#N/A,#N/A,FALSE,"4WD"}</definedName>
    <definedName name="대책11" localSheetId="3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localSheetId="2" hidden="1">{#N/A,#N/A,FALSE,"단축1";#N/A,#N/A,FALSE,"단축2";#N/A,#N/A,FALSE,"단축3";#N/A,#N/A,FALSE,"장축";#N/A,#N/A,FALSE,"4WD"}</definedName>
    <definedName name="대책서분" localSheetId="3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localSheetId="2" hidden="1">{#N/A,#N/A,FALSE,"해외크레임";#N/A,#N/A,FALSE,"ACCENT현황";#N/A,#N/A,FALSE,"AVANTE";#N/A,#N/A,FALSE,"SONATA(3)";#N/A,#N/A,FALSE,"국내크레임"}</definedName>
    <definedName name="덕양" localSheetId="3" hidden="1">{#N/A,#N/A,FALSE,"해외크레임";#N/A,#N/A,FALSE,"ACCENT현황";#N/A,#N/A,FALSE,"AVANTE";#N/A,#N/A,FALSE,"SONATA(3)";#N/A,#N/A,FALSE,"국내크레임"}</definedName>
    <definedName name="덕양" hidden="1">{#N/A,#N/A,FALSE,"해외크레임";#N/A,#N/A,FALSE,"ACCENT현황";#N/A,#N/A,FALSE,"AVANTE";#N/A,#N/A,FALSE,"SONATA(3)";#N/A,#N/A,FALSE,"국내크레임"}</definedName>
    <definedName name="뎌768" localSheetId="2" hidden="1">{#N/A,#N/A,FALSE,"단축1";#N/A,#N/A,FALSE,"단축2";#N/A,#N/A,FALSE,"단축3";#N/A,#N/A,FALSE,"장축";#N/A,#N/A,FALSE,"4WD"}</definedName>
    <definedName name="뎌768" localSheetId="3" hidden="1">{#N/A,#N/A,FALSE,"단축1";#N/A,#N/A,FALSE,"단축2";#N/A,#N/A,FALSE,"단축3";#N/A,#N/A,FALSE,"장축";#N/A,#N/A,FALSE,"4WD"}</definedName>
    <definedName name="뎌768" hidden="1">{#N/A,#N/A,FALSE,"단축1";#N/A,#N/A,FALSE,"단축2";#N/A,#N/A,FALSE,"단축3";#N/A,#N/A,FALSE,"장축";#N/A,#N/A,FALSE,"4WD"}</definedName>
    <definedName name="도면반" localSheetId="2" hidden="1">{#N/A,#N/A,FALSE,"단축1";#N/A,#N/A,FALSE,"단축2";#N/A,#N/A,FALSE,"단축3";#N/A,#N/A,FALSE,"장축";#N/A,#N/A,FALSE,"4WD"}</definedName>
    <definedName name="도면반" localSheetId="3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localSheetId="2" hidden="1">{#N/A,#N/A,FALSE,"해외크레임";#N/A,#N/A,FALSE,"ACCENT현황";#N/A,#N/A,FALSE,"AVANTE";#N/A,#N/A,FALSE,"SONATA(3)";#N/A,#N/A,FALSE,"국내크레임"}</definedName>
    <definedName name="동국" localSheetId="3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또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2" hidden="1">{#N/A,#N/A,FALSE,"단축1";#N/A,#N/A,FALSE,"단축2";#N/A,#N/A,FALSE,"단축3";#N/A,#N/A,FALSE,"장축";#N/A,#N/A,FALSE,"4WD"}</definedName>
    <definedName name="ㄹ" localSheetId="3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ㄹㄹㄹ" localSheetId="2" hidden="1">{#N/A,#N/A,FALSE,"단축1";#N/A,#N/A,FALSE,"단축2";#N/A,#N/A,FALSE,"단축3";#N/A,#N/A,FALSE,"장축";#N/A,#N/A,FALSE,"4WD"}</definedName>
    <definedName name="ㄹㄹㄹㄹㄹ" localSheetId="3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localSheetId="2" hidden="1">{#N/A,#N/A,FALSE,"단축1";#N/A,#N/A,FALSE,"단축2";#N/A,#N/A,FALSE,"단축3";#N/A,#N/A,FALSE,"장축";#N/A,#N/A,FALSE,"4WD"}</definedName>
    <definedName name="ㄹㄹㅇ" localSheetId="3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localSheetId="2" hidden="1">{#N/A,#N/A,TRUE,"Y생산";#N/A,#N/A,TRUE,"Y판매";#N/A,#N/A,TRUE,"Y총물량";#N/A,#N/A,TRUE,"Y능력";#N/A,#N/A,TRUE,"YKD"}</definedName>
    <definedName name="ㄹㅇ" localSheetId="3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ㅇㅇㄹ" localSheetId="2" hidden="1">{#N/A,#N/A,FALSE,"단축1";#N/A,#N/A,FALSE,"단축2";#N/A,#N/A,FALSE,"단축3";#N/A,#N/A,FALSE,"장축";#N/A,#N/A,FALSE,"4WD"}</definedName>
    <definedName name="ㄹㅇㄹㅇㅇㄹ" localSheetId="3" hidden="1">{#N/A,#N/A,FALSE,"단축1";#N/A,#N/A,FALSE,"단축2";#N/A,#N/A,FALSE,"단축3";#N/A,#N/A,FALSE,"장축";#N/A,#N/A,FALSE,"4WD"}</definedName>
    <definedName name="ㄹㅇㄹㅇㅇㄹ" hidden="1">{#N/A,#N/A,FALSE,"단축1";#N/A,#N/A,FALSE,"단축2";#N/A,#N/A,FALSE,"단축3";#N/A,#N/A,FALSE,"장축";#N/A,#N/A,FALSE,"4WD"}</definedName>
    <definedName name="ㄹㅇㅀ" localSheetId="2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2" hidden="1">{#N/A,#N/A,FALSE,"단축1";#N/A,#N/A,FALSE,"단축2";#N/A,#N/A,FALSE,"단축3";#N/A,#N/A,FALSE,"장축";#N/A,#N/A,FALSE,"4WD"}</definedName>
    <definedName name="ㄹㅇㅇㄹ" localSheetId="3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localSheetId="2" hidden="1">{#N/A,#N/A,FALSE,"단축1";#N/A,#N/A,FALSE,"단축2";#N/A,#N/A,FALSE,"단축3";#N/A,#N/A,FALSE,"장축";#N/A,#N/A,FALSE,"4WD"}</definedName>
    <definedName name="ㄹㅇㅎㄷㅀㄴㄷ" localSheetId="3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localSheetId="2" hidden="1">{#N/A,#N/A,FALSE,"단축1";#N/A,#N/A,FALSE,"단축2";#N/A,#N/A,FALSE,"단축3";#N/A,#N/A,FALSE,"장축";#N/A,#N/A,FALSE,"4WD"}</definedName>
    <definedName name="ㄹㅇ후ㅗㅜ" localSheetId="3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localSheetId="2" hidden="1">{#N/A,#N/A,FALSE,"단축1";#N/A,#N/A,FALSE,"단축2";#N/A,#N/A,FALSE,"단축3";#N/A,#N/A,FALSE,"장축";#N/A,#N/A,FALSE,"4WD"}</definedName>
    <definedName name="ㄹ어ㅓ럴" localSheetId="3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localSheetId="2" hidden="1">{#N/A,#N/A,FALSE,"단축1";#N/A,#N/A,FALSE,"단축2";#N/A,#N/A,FALSE,"단축3";#N/A,#N/A,FALSE,"장축";#N/A,#N/A,FALSE,"4WD"}</definedName>
    <definedName name="ㄹ유" localSheetId="3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localSheetId="2" hidden="1">{#N/A,#N/A,FALSE,"단축1";#N/A,#N/A,FALSE,"단축2";#N/A,#N/A,FALSE,"단축3";#N/A,#N/A,FALSE,"장축";#N/A,#N/A,FALSE,"4WD"}</definedName>
    <definedName name="ㄹ호" localSheetId="3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localSheetId="2" hidden="1">{#N/A,#N/A,FALSE,"단축1";#N/A,#N/A,FALSE,"단축2";#N/A,#N/A,FALSE,"단축3";#N/A,#N/A,FALSE,"장축";#N/A,#N/A,FALSE,"4WD"}</definedName>
    <definedName name="ㄹ호ㅎㄹ" localSheetId="3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localSheetId="2" hidden="1">{#N/A,#N/A,FALSE,"단축1";#N/A,#N/A,FALSE,"단축2";#N/A,#N/A,FALSE,"단축3";#N/A,#N/A,FALSE,"장축";#N/A,#N/A,FALSE,"4WD"}</definedName>
    <definedName name="ㄹ후ㅗㅗ후ㅗㅎ" localSheetId="3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localSheetId="2" hidden="1">{#N/A,#N/A,TRUE,"Y생산";#N/A,#N/A,TRUE,"Y판매";#N/A,#N/A,TRUE,"Y총물량";#N/A,#N/A,TRUE,"Y능력";#N/A,#N/A,TRUE,"YKD"}</definedName>
    <definedName name="ㄹ히" localSheetId="3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이ㅣㅇ" localSheetId="2" hidden="1">{#N/A,#N/A,FALSE,"단축1";#N/A,#N/A,FALSE,"단축2";#N/A,#N/A,FALSE,"단축3";#N/A,#N/A,FALSE,"장축";#N/A,#N/A,FALSE,"4WD"}</definedName>
    <definedName name="라이ㅣㅇ" localSheetId="3" hidden="1">{#N/A,#N/A,FALSE,"단축1";#N/A,#N/A,FALSE,"단축2";#N/A,#N/A,FALSE,"단축3";#N/A,#N/A,FALSE,"장축";#N/A,#N/A,FALSE,"4WD"}</definedName>
    <definedName name="라이ㅣㅇ" hidden="1">{#N/A,#N/A,FALSE,"단축1";#N/A,#N/A,FALSE,"단축2";#N/A,#N/A,FALSE,"단축3";#N/A,#N/A,FALSE,"장축";#N/A,#N/A,FALSE,"4WD"}</definedName>
    <definedName name="러" localSheetId="2" hidden="1">{#N/A,#N/A,FALSE,"단축1";#N/A,#N/A,FALSE,"단축2";#N/A,#N/A,FALSE,"단축3";#N/A,#N/A,FALSE,"장축";#N/A,#N/A,FALSE,"4WD"}</definedName>
    <definedName name="러" localSheetId="3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2" hidden="1">{#N/A,#N/A,FALSE,"단축1";#N/A,#N/A,FALSE,"단축2";#N/A,#N/A,FALSE,"단축3";#N/A,#N/A,FALSE,"장축";#N/A,#N/A,FALSE,"4WD"}</definedName>
    <definedName name="러시아" localSheetId="3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localSheetId="2" hidden="1">{#N/A,#N/A,FALSE,"단축1";#N/A,#N/A,FALSE,"단축2";#N/A,#N/A,FALSE,"단축3";#N/A,#N/A,FALSE,"장축";#N/A,#N/A,FALSE,"4WD"}</definedName>
    <definedName name="로커망러ㅏ" localSheetId="3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localSheetId="2" hidden="1">{#N/A,#N/A,FALSE,"단축1";#N/A,#N/A,FALSE,"단축2";#N/A,#N/A,FALSE,"단축3";#N/A,#N/A,FALSE,"장축";#N/A,#N/A,FALSE,"4WD"}</definedName>
    <definedName name="로ㅎ루ㅗㅗㅎ" localSheetId="3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localSheetId="2" hidden="1">{#N/A,#N/A,FALSE,"단축1";#N/A,#N/A,FALSE,"단축2";#N/A,#N/A,FALSE,"단축3";#N/A,#N/A,FALSE,"장축";#N/A,#N/A,FALSE,"4WD"}</definedName>
    <definedName name="롱" localSheetId="3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localSheetId="2" hidden="1">{#N/A,#N/A,FALSE,"단축1";#N/A,#N/A,FALSE,"단축2";#N/A,#N/A,FALSE,"단축3";#N/A,#N/A,FALSE,"장축";#N/A,#N/A,FALSE,"4WD"}</definedName>
    <definedName name="롸ㅡㅗ" localSheetId="3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localSheetId="2" hidden="1">{#N/A,#N/A,FALSE,"단축1";#N/A,#N/A,FALSE,"단축2";#N/A,#N/A,FALSE,"단축3";#N/A,#N/A,FALSE,"장축";#N/A,#N/A,FALSE,"4WD"}</definedName>
    <definedName name="류ㅎ호ㅗ" localSheetId="3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localSheetId="2" hidden="1">{#N/A,#N/A,FALSE,"단축1";#N/A,#N/A,FALSE,"단축2";#N/A,#N/A,FALSE,"단축3";#N/A,#N/A,FALSE,"장축";#N/A,#N/A,FALSE,"4WD"}</definedName>
    <definedName name="률율" localSheetId="3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localSheetId="2" hidden="1">{#N/A,#N/A,FALSE,"단축1";#N/A,#N/A,FALSE,"단축2";#N/A,#N/A,FALSE,"단축3";#N/A,#N/A,FALSE,"장축";#N/A,#N/A,FALSE,"4WD"}</definedName>
    <definedName name="링오" localSheetId="3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localSheetId="2" hidden="1">{#N/A,#N/A,FALSE,"단축1";#N/A,#N/A,FALSE,"단축2";#N/A,#N/A,FALSE,"단축3";#N/A,#N/A,FALSE,"장축";#N/A,#N/A,FALSE,"4WD"}</definedName>
    <definedName name="ㄻㄴ" localSheetId="3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localSheetId="2" hidden="1">{#N/A,#N/A,FALSE,"단축1";#N/A,#N/A,FALSE,"단축2";#N/A,#N/A,FALSE,"단축3";#N/A,#N/A,FALSE,"장축";#N/A,#N/A,FALSE,"4WD"}</definedName>
    <definedName name="ㄿㄹㅇ" localSheetId="3" hidden="1">{#N/A,#N/A,FALSE,"단축1";#N/A,#N/A,FALSE,"단축2";#N/A,#N/A,FALSE,"단축3";#N/A,#N/A,FALSE,"장축";#N/A,#N/A,FALSE,"4WD"}</definedName>
    <definedName name="ㄿㄹㅇ" hidden="1">{#N/A,#N/A,FALSE,"단축1";#N/A,#N/A,FALSE,"단축2";#N/A,#N/A,FALSE,"단축3";#N/A,#N/A,FALSE,"장축";#N/A,#N/A,FALSE,"4WD"}</definedName>
    <definedName name="ㄿㅁㅁㅁ" localSheetId="2" hidden="1">{#N/A,#N/A,FALSE,"단축1";#N/A,#N/A,FALSE,"단축2";#N/A,#N/A,FALSE,"단축3";#N/A,#N/A,FALSE,"장축";#N/A,#N/A,FALSE,"4WD"}</definedName>
    <definedName name="ㄿㅁㅁㅁ" localSheetId="3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localSheetId="2" hidden="1">{#N/A,#N/A,FALSE,"단축1";#N/A,#N/A,FALSE,"단축2";#N/A,#N/A,FALSE,"단축3";#N/A,#N/A,FALSE,"장축";#N/A,#N/A,FALSE,"4WD"}</definedName>
    <definedName name="ㅀ" localSheetId="3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localSheetId="2" hidden="1">{#N/A,#N/A,FALSE,"신규dep";#N/A,#N/A,FALSE,"신규dep-금형상각후";#N/A,#N/A,FALSE,"신규dep-연구비상각후";#N/A,#N/A,FALSE,"신규dep-기계,공구상각후"}</definedName>
    <definedName name="ㅀㅁ오" localSheetId="3" hidden="1">{#N/A,#N/A,FALSE,"신규dep";#N/A,#N/A,FALSE,"신규dep-금형상각후";#N/A,#N/A,FALSE,"신규dep-연구비상각후";#N/A,#N/A,FALSE,"신규dep-기계,공구상각후"}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localSheetId="2" hidden="1">{#N/A,#N/A,FALSE,"을지 (4)";#N/A,#N/A,FALSE,"을지 (5)";#N/A,#N/A,FALSE,"을지 (6)"}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hidden="1">#REF!</definedName>
    <definedName name="ㅀㅎㄷ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localSheetId="2" hidden="1">{#N/A,#N/A,FALSE,"단축1";#N/A,#N/A,FALSE,"단축2";#N/A,#N/A,FALSE,"단축3";#N/A,#N/A,FALSE,"장축";#N/A,#N/A,FALSE,"4WD"}</definedName>
    <definedName name="ㅀㅎㄹ호" localSheetId="3" hidden="1">{#N/A,#N/A,FALSE,"단축1";#N/A,#N/A,FALSE,"단축2";#N/A,#N/A,FALSE,"단축3";#N/A,#N/A,FALSE,"장축";#N/A,#N/A,FALSE,"4WD"}</definedName>
    <definedName name="ㅀㅎㄹ호" hidden="1">{#N/A,#N/A,FALSE,"단축1";#N/A,#N/A,FALSE,"단축2";#N/A,#N/A,FALSE,"단축3";#N/A,#N/A,FALSE,"장축";#N/A,#N/A,FALSE,"4WD"}</definedName>
    <definedName name="ㅀ후ㅎ루" localSheetId="2" hidden="1">{#N/A,#N/A,FALSE,"신규dep";#N/A,#N/A,FALSE,"신규dep-금형상각후";#N/A,#N/A,FALSE,"신규dep-연구비상각후";#N/A,#N/A,FALSE,"신규dep-기계,공구상각후"}</definedName>
    <definedName name="ㅀ후ㅎ루" localSheetId="3" hidden="1">{#N/A,#N/A,FALSE,"신규dep";#N/A,#N/A,FALSE,"신규dep-금형상각후";#N/A,#N/A,FALSE,"신규dep-연구비상각후";#N/A,#N/A,FALSE,"신규dep-기계,공구상각후"}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localSheetId="2" hidden="1">{#N/A,#N/A,FALSE,"단축1";#N/A,#N/A,FALSE,"단축2";#N/A,#N/A,FALSE,"단축3";#N/A,#N/A,FALSE,"장축";#N/A,#N/A,FALSE,"4WD"}</definedName>
    <definedName name="ㅁㄴ" localSheetId="3" hidden="1">{#N/A,#N/A,FALSE,"단축1";#N/A,#N/A,FALSE,"단축2";#N/A,#N/A,FALSE,"단축3";#N/A,#N/A,FALSE,"장축";#N/A,#N/A,FALSE,"4WD"}</definedName>
    <definedName name="ㅁㄴ" hidden="1">{#N/A,#N/A,FALSE,"단축1";#N/A,#N/A,FALSE,"단축2";#N/A,#N/A,FALSE,"단축3";#N/A,#N/A,FALSE,"장축";#N/A,#N/A,FALSE,"4WD"}</definedName>
    <definedName name="ㅁㄴㄹㅁ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2" hidden="1">{#N/A,#N/A,FALSE,"단축1";#N/A,#N/A,FALSE,"단축2";#N/A,#N/A,FALSE,"단축3";#N/A,#N/A,FALSE,"장축";#N/A,#N/A,FALSE,"4WD"}</definedName>
    <definedName name="ㅁㄴㅇ" localSheetId="3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2" hidden="1">{#N/A,#N/A,FALSE,"단축1";#N/A,#N/A,FALSE,"단축2";#N/A,#N/A,FALSE,"단축3";#N/A,#N/A,FALSE,"장축";#N/A,#N/A,FALSE,"4WD"}</definedName>
    <definedName name="ㅁㄴㅇㄹㄴㅁㄹ" localSheetId="3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2" hidden="1">{#N/A,#N/A,FALSE,"단축1";#N/A,#N/A,FALSE,"단축2";#N/A,#N/A,FALSE,"단축3";#N/A,#N/A,FALSE,"장축";#N/A,#N/A,FALSE,"4WD"}</definedName>
    <definedName name="ㅁㄹ" localSheetId="3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2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localSheetId="2" hidden="1">{#N/A,#N/A,FALSE,"단축1";#N/A,#N/A,FALSE,"단축2";#N/A,#N/A,FALSE,"단축3";#N/A,#N/A,FALSE,"장축";#N/A,#N/A,FALSE,"4WD"}</definedName>
    <definedName name="ㅁㅁㄴㅁ" localSheetId="3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localSheetId="2" hidden="1">{#N/A,#N/A,FALSE,"단축1";#N/A,#N/A,FALSE,"단축2";#N/A,#N/A,FALSE,"단축3";#N/A,#N/A,FALSE,"장축";#N/A,#N/A,FALSE,"4WD"}</definedName>
    <definedName name="ㅁㅅㅎㄴㅀㄹ" localSheetId="3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localSheetId="2" hidden="1">{#N/A,#N/A,TRUE,"Y생산";#N/A,#N/A,TRUE,"Y판매";#N/A,#N/A,TRUE,"Y총물량";#N/A,#N/A,TRUE,"Y능력";#N/A,#N/A,TRUE,"YKD"}</definedName>
    <definedName name="ㅁㅇ" localSheetId="3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2" hidden="1">{#N/A,#N/A,FALSE,"단축1";#N/A,#N/A,FALSE,"단축2";#N/A,#N/A,FALSE,"단축3";#N/A,#N/A,FALSE,"장축";#N/A,#N/A,FALSE,"4WD"}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localSheetId="2" hidden="1">{#N/A,#N/A,FALSE,"단축1";#N/A,#N/A,FALSE,"단축2";#N/A,#N/A,FALSE,"단축3";#N/A,#N/A,FALSE,"장축";#N/A,#N/A,FALSE,"4WD"}</definedName>
    <definedName name="ㅁㅇㄻ" localSheetId="3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localSheetId="2" hidden="1">{#N/A,#N/A,FALSE,"단축1";#N/A,#N/A,FALSE,"단축2";#N/A,#N/A,FALSE,"단축3";#N/A,#N/A,FALSE,"장축";#N/A,#N/A,FALSE,"4WD"}</definedName>
    <definedName name="ㅁㅇㅀ" localSheetId="3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localSheetId="2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2" hidden="1">{#N/A,#N/A,FALSE,"단축1";#N/A,#N/A,FALSE,"단축2";#N/A,#N/A,FALSE,"단축3";#N/A,#N/A,FALSE,"장축";#N/A,#N/A,FALSE,"4WD"}</definedName>
    <definedName name="ㅁㅇㅊㅁㄴㅇㄹ" localSheetId="3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localSheetId="2" hidden="1">{#N/A,#N/A,FALSE,"단축1";#N/A,#N/A,FALSE,"단축2";#N/A,#N/A,FALSE,"단축3";#N/A,#N/A,FALSE,"장축";#N/A,#N/A,FALSE,"4WD"}</definedName>
    <definedName name="ㅁㅇㅎㅁㅎㅁ" localSheetId="3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localSheetId="2" hidden="1">{#N/A,#N/A,FALSE,"단축1";#N/A,#N/A,FALSE,"단축2";#N/A,#N/A,FALSE,"단축3";#N/A,#N/A,FALSE,"장축";#N/A,#N/A,FALSE,"4WD"}</definedName>
    <definedName name="ㅁㅇㅎㅁㅎㅁㅎ뫃ㅁ" localSheetId="3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localSheetId="2" hidden="1">{#N/A,#N/A,FALSE,"단축1";#N/A,#N/A,FALSE,"단축2";#N/A,#N/A,FALSE,"단축3";#N/A,#N/A,FALSE,"장축";#N/A,#N/A,FALSE,"4WD"}</definedName>
    <definedName name="ㅁㅈㄴㄱㅇ횰솧" localSheetId="3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2" hidden="1">{#N/A,#N/A,FALSE,"단축1";#N/A,#N/A,FALSE,"단축2";#N/A,#N/A,FALSE,"단축3";#N/A,#N/A,FALSE,"장축";#N/A,#N/A,FALSE,"4WD"}</definedName>
    <definedName name="ㅁㅈㄹㄴ우ㅛ슉ㄴ" localSheetId="3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localSheetId="2" hidden="1">{#N/A,#N/A,TRUE,"Y생산";#N/A,#N/A,TRUE,"Y판매";#N/A,#N/A,TRUE,"Y총물량";#N/A,#N/A,TRUE,"Y능력";#N/A,#N/A,TRUE,"YKD"}</definedName>
    <definedName name="ㅁㅈㅂ" localSheetId="3" hidden="1">{#N/A,#N/A,TRUE,"Y생산";#N/A,#N/A,TRUE,"Y판매";#N/A,#N/A,TRUE,"Y총물량";#N/A,#N/A,TRUE,"Y능력";#N/A,#N/A,TRUE,"YKD"}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localSheetId="2" hidden="1">{#N/A,#N/A,FALSE,"단축1";#N/A,#N/A,FALSE,"단축2";#N/A,#N/A,FALSE,"단축3";#N/A,#N/A,FALSE,"장축";#N/A,#N/A,FALSE,"4WD"}</definedName>
    <definedName name="ㅁ좀ㄹㅇㅎ" localSheetId="3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2" hidden="1">{#N/A,#N/A,FALSE,"단축1";#N/A,#N/A,FALSE,"단축2";#N/A,#N/A,FALSE,"단축3";#N/A,#N/A,FALSE,"장축";#N/A,#N/A,FALSE,"4WD"}</definedName>
    <definedName name="ㅁㅊㄷㄴㄳ" localSheetId="3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2" hidden="1">{#N/A,#N/A,FALSE,"단축1";#N/A,#N/A,FALSE,"단축2";#N/A,#N/A,FALSE,"단축3";#N/A,#N/A,FALSE,"장축";#N/A,#N/A,FALSE,"4WD"}</definedName>
    <definedName name="ㅁㅊㅅㄳㅎㄴㄹ" localSheetId="3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2" hidden="1">{#N/A,#N/A,FALSE,"단축1";#N/A,#N/A,FALSE,"단축2";#N/A,#N/A,FALSE,"단축3";#N/A,#N/A,FALSE,"장축";#N/A,#N/A,FALSE,"4WD"}</definedName>
    <definedName name="ㅁㅊㅇㄹㄶ류" localSheetId="3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localSheetId="2" hidden="1">{#N/A,#N/A,FALSE,"단축1";#N/A,#N/A,FALSE,"단축2";#N/A,#N/A,FALSE,"단축3";#N/A,#N/A,FALSE,"장축";#N/A,#N/A,FALSE,"4WD"}</definedName>
    <definedName name="ㅁㅍㅅㄴㅇㅁㄹㅇㄹ" localSheetId="3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localSheetId="2" hidden="1">{#N/A,#N/A,FALSE,"단축1";#N/A,#N/A,FALSE,"단축2";#N/A,#N/A,FALSE,"단축3";#N/A,#N/A,FALSE,"장축";#N/A,#N/A,FALSE,"4WD"}</definedName>
    <definedName name="마음" localSheetId="3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localSheetId="2" hidden="1">{#N/A,#N/A,FALSE,"단축1";#N/A,#N/A,FALSE,"단축2";#N/A,#N/A,FALSE,"단축3";#N/A,#N/A,FALSE,"장축";#N/A,#N/A,FALSE,"4WD"}</definedName>
    <definedName name="마지막" localSheetId="3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localSheetId="2" hidden="1">{#N/A,#N/A,FALSE,"단축1";#N/A,#N/A,FALSE,"단축2";#N/A,#N/A,FALSE,"단축3";#N/A,#N/A,FALSE,"장축";#N/A,#N/A,FALSE,"4WD"}</definedName>
    <definedName name="마지막이야" localSheetId="3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localSheetId="2" hidden="1">{#N/A,#N/A,FALSE,"단축1";#N/A,#N/A,FALSE,"단축2";#N/A,#N/A,FALSE,"단축3";#N/A,#N/A,FALSE,"장축";#N/A,#N/A,FALSE,"4WD"}</definedName>
    <definedName name="매가추정" localSheetId="3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localSheetId="2" hidden="1">{#N/A,#N/A,FALSE,"단축1";#N/A,#N/A,FALSE,"단축2";#N/A,#N/A,FALSE,"단축3";#N/A,#N/A,FALSE,"장축";#N/A,#N/A,FALSE,"4WD"}</definedName>
    <definedName name="머ㅣ거ㅏㅏ" localSheetId="3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localSheetId="2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localSheetId="2" hidden="1">{#N/A,#N/A,TRUE,"Y생산";#N/A,#N/A,TRUE,"Y판매";#N/A,#N/A,TRUE,"Y총물량";#N/A,#N/A,TRUE,"Y능력";#N/A,#N/A,TRUE,"YKD"}</definedName>
    <definedName name="물랴자" localSheetId="3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2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2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2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2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2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2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localSheetId="2" hidden="1">{#N/A,#N/A,TRUE,"Y생산";#N/A,#N/A,TRUE,"Y판매";#N/A,#N/A,TRUE,"Y총물량";#N/A,#N/A,TRUE,"Y능력";#N/A,#N/A,TRUE,"YKD"}</definedName>
    <definedName name="물수" localSheetId="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러ㅣ머" localSheetId="2" hidden="1">{#N/A,#N/A,FALSE,"단축1";#N/A,#N/A,FALSE,"단축2";#N/A,#N/A,FALSE,"단축3";#N/A,#N/A,FALSE,"장축";#N/A,#N/A,FALSE,"4WD"}</definedName>
    <definedName name="미러ㅣ머" localSheetId="3" hidden="1">{#N/A,#N/A,FALSE,"단축1";#N/A,#N/A,FALSE,"단축2";#N/A,#N/A,FALSE,"단축3";#N/A,#N/A,FALSE,"장축";#N/A,#N/A,FALSE,"4WD"}</definedName>
    <definedName name="미러ㅣ머" hidden="1">{#N/A,#N/A,FALSE,"단축1";#N/A,#N/A,FALSE,"단축2";#N/A,#N/A,FALSE,"단축3";#N/A,#N/A,FALSE,"장축";#N/A,#N/A,FALSE,"4WD"}</definedName>
    <definedName name="미머ㅣㄹ" localSheetId="2" hidden="1">{#N/A,#N/A,FALSE,"단축1";#N/A,#N/A,FALSE,"단축2";#N/A,#N/A,FALSE,"단축3";#N/A,#N/A,FALSE,"장축";#N/A,#N/A,FALSE,"4WD"}</definedName>
    <definedName name="미머ㅣㄹ" localSheetId="3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localSheetId="2" hidden="1">{#N/A,#N/A,FALSE,"단축1";#N/A,#N/A,FALSE,"단축2";#N/A,#N/A,FALSE,"단축3";#N/A,#N/A,FALSE,"장축";#N/A,#N/A,FALSE,"4WD"}</definedName>
    <definedName name="미미미" localSheetId="3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localSheetId="2" hidden="1">{#N/A,#N/A,FALSE,"단축1";#N/A,#N/A,FALSE,"단축2";#N/A,#N/A,FALSE,"단축3";#N/A,#N/A,FALSE,"장축";#N/A,#N/A,FALSE,"4WD"}</definedName>
    <definedName name="미미미ㅣ" localSheetId="3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localSheetId="2" hidden="1">{#N/A,#N/A,FALSE,"단축1";#N/A,#N/A,FALSE,"단축2";#N/A,#N/A,FALSE,"단축3";#N/A,#N/A,FALSE,"장축";#N/A,#N/A,FALSE,"4WD"}</definedName>
    <definedName name="미밀" localSheetId="3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localSheetId="2" hidden="1">{#N/A,#N/A,FALSE,"단축1";#N/A,#N/A,FALSE,"단축2";#N/A,#N/A,FALSE,"단축3";#N/A,#N/A,FALSE,"장축";#N/A,#N/A,FALSE,"4WD"}</definedName>
    <definedName name="미ㅓㅁ" localSheetId="3" hidden="1">{#N/A,#N/A,FALSE,"단축1";#N/A,#N/A,FALSE,"단축2";#N/A,#N/A,FALSE,"단축3";#N/A,#N/A,FALSE,"장축";#N/A,#N/A,FALSE,"4WD"}</definedName>
    <definedName name="미ㅓㅁ" hidden="1">{#N/A,#N/A,FALSE,"단축1";#N/A,#N/A,FALSE,"단축2";#N/A,#N/A,FALSE,"단축3";#N/A,#N/A,FALSE,"장축";#N/A,#N/A,FALSE,"4WD"}</definedName>
    <definedName name="미ㅓㅣ멀" localSheetId="2" hidden="1">{#N/A,#N/A,FALSE,"단축1";#N/A,#N/A,FALSE,"단축2";#N/A,#N/A,FALSE,"단축3";#N/A,#N/A,FALSE,"장축";#N/A,#N/A,FALSE,"4WD"}</definedName>
    <definedName name="미ㅓㅣ멀" localSheetId="3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localSheetId="2" hidden="1">{#N/A,#N/A,FALSE,"단축1";#N/A,#N/A,FALSE,"단축2";#N/A,#N/A,FALSE,"단축3";#N/A,#N/A,FALSE,"장축";#N/A,#N/A,FALSE,"4WD"}</definedName>
    <definedName name="미ㅣ미" localSheetId="3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localSheetId="2" hidden="1">{#N/A,#N/A,FALSE,"을지 (4)";#N/A,#N/A,FALSE,"을지 (5)";#N/A,#N/A,FALSE,"을지 (6)"}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2" hidden="1">{#N/A,#N/A,FALSE,"단축1";#N/A,#N/A,FALSE,"단축2";#N/A,#N/A,FALSE,"단축3";#N/A,#N/A,FALSE,"장축";#N/A,#N/A,FALSE,"4WD"}</definedName>
    <definedName name="ㅂ" localSheetId="3" hidden="1">{#N/A,#N/A,FALSE,"단축1";#N/A,#N/A,FALSE,"단축2";#N/A,#N/A,FALSE,"단축3";#N/A,#N/A,FALSE,"장축";#N/A,#N/A,FALSE,"4WD"}</definedName>
    <definedName name="ㅂ" hidden="1">{#N/A,#N/A,FALSE,"단축1";#N/A,#N/A,FALSE,"단축2";#N/A,#N/A,FALSE,"단축3";#N/A,#N/A,FALSE,"장축";#N/A,#N/A,FALSE,"4WD"}</definedName>
    <definedName name="ㅂㄱㄷㅎㄷㄱㅎ" localSheetId="2" hidden="1">{#N/A,#N/A,FALSE,"단축1";#N/A,#N/A,FALSE,"단축2";#N/A,#N/A,FALSE,"단축3";#N/A,#N/A,FALSE,"장축";#N/A,#N/A,FALSE,"4WD"}</definedName>
    <definedName name="ㅂㄱㄷㅎㄷㄱㅎ" localSheetId="3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localSheetId="2" hidden="1">{#N/A,#N/A,FALSE,"단축1";#N/A,#N/A,FALSE,"단축2";#N/A,#N/A,FALSE,"단축3";#N/A,#N/A,FALSE,"장축";#N/A,#N/A,FALSE,"4WD"}</definedName>
    <definedName name="ㅂㄴㄴㄴㄴㅌㅌㄴㅁㅁ" localSheetId="3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localSheetId="2" hidden="1">{#N/A,#N/A,FALSE,"단축1";#N/A,#N/A,FALSE,"단축2";#N/A,#N/A,FALSE,"단축3";#N/A,#N/A,FALSE,"장축";#N/A,#N/A,FALSE,"4WD"}</definedName>
    <definedName name="ㅂㄵㄷㅅㄱㄹㅇㅅㅎㅅㅎㄹ" localSheetId="3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localSheetId="2" hidden="1">{#N/A,#N/A,FALSE,"단축1";#N/A,#N/A,FALSE,"단축2";#N/A,#N/A,FALSE,"단축3";#N/A,#N/A,FALSE,"장축";#N/A,#N/A,FALSE,"4WD"}</definedName>
    <definedName name="ㅂㅁ" localSheetId="3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localSheetId="2" hidden="1">{#N/A,#N/A,FALSE,"단축1";#N/A,#N/A,FALSE,"단축2";#N/A,#N/A,FALSE,"단축3";#N/A,#N/A,FALSE,"장축";#N/A,#N/A,FALSE,"4WD"}</definedName>
    <definedName name="ㅂㅂ" localSheetId="3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2" hidden="1">FAI!ㅂㅂㅂ</definedName>
    <definedName name="ㅂㅂㅂ" localSheetId="3" hidden="1">SPC!ㅂㅂㅂ</definedName>
    <definedName name="ㅂㅂㅂ" hidden="1">[0]!ㅂㅂㅂ</definedName>
    <definedName name="ㅂㅈㅇㅇ" localSheetId="2" hidden="1">{#N/A,#N/A,FALSE,"단축1";#N/A,#N/A,FALSE,"단축2";#N/A,#N/A,FALSE,"단축3";#N/A,#N/A,FALSE,"장축";#N/A,#N/A,FALSE,"4WD"}</definedName>
    <definedName name="ㅂㅈㅇㅇ" localSheetId="3" hidden="1">{#N/A,#N/A,FALSE,"단축1";#N/A,#N/A,FALSE,"단축2";#N/A,#N/A,FALSE,"단축3";#N/A,#N/A,FALSE,"장축";#N/A,#N/A,FALSE,"4WD"}</definedName>
    <definedName name="ㅂㅈㅇㅇ" hidden="1">{#N/A,#N/A,FALSE,"단축1";#N/A,#N/A,FALSE,"단축2";#N/A,#N/A,FALSE,"단축3";#N/A,#N/A,FALSE,"장축";#N/A,#N/A,FALSE,"4WD"}</definedName>
    <definedName name="ㅂㅍㅅ4ㄷㅅㄴ" localSheetId="2" hidden="1">{#N/A,#N/A,FALSE,"단축1";#N/A,#N/A,FALSE,"단축2";#N/A,#N/A,FALSE,"단축3";#N/A,#N/A,FALSE,"장축";#N/A,#N/A,FALSE,"4WD"}</definedName>
    <definedName name="ㅂㅍㅅ4ㄷㅅㄴ" localSheetId="3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2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2" hidden="1">{#N/A,#N/A,TRUE,"Y생산";#N/A,#N/A,TRUE,"Y판매";#N/A,#N/A,TRUE,"Y총물량";#N/A,#N/A,TRUE,"Y능력";#N/A,#N/A,TRUE,"YKD"}</definedName>
    <definedName name="바바라" localSheetId="3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버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2" hidden="1">{#N/A,#N/A,FALSE,"단축1";#N/A,#N/A,FALSE,"단축2";#N/A,#N/A,FALSE,"단축3";#N/A,#N/A,FALSE,"장축";#N/A,#N/A,FALSE,"4WD"}</definedName>
    <definedName name="박지호" localSheetId="3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발주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localSheetId="2" hidden="1">{#N/A,#N/A,FALSE,"단축1";#N/A,#N/A,FALSE,"단축2";#N/A,#N/A,FALSE,"단축3";#N/A,#N/A,FALSE,"장축";#N/A,#N/A,FALSE,"4WD"}</definedName>
    <definedName name="방진고무" localSheetId="3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배치계획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localSheetId="2" hidden="1">{#N/A,#N/A,FALSE,"단축1";#N/A,#N/A,FALSE,"단축2";#N/A,#N/A,FALSE,"단축3";#N/A,#N/A,FALSE,"장축";#N/A,#N/A,FALSE,"4WD"}</definedName>
    <definedName name="벼며" localSheetId="3" hidden="1">{#N/A,#N/A,FALSE,"단축1";#N/A,#N/A,FALSE,"단축2";#N/A,#N/A,FALSE,"단축3";#N/A,#N/A,FALSE,"장축";#N/A,#N/A,FALSE,"4WD"}</definedName>
    <definedName name="벼며" hidden="1">{#N/A,#N/A,FALSE,"단축1";#N/A,#N/A,FALSE,"단축2";#N/A,#N/A,FALSE,"단축3";#N/A,#N/A,FALSE,"장축";#N/A,#N/A,FALSE,"4WD"}</definedName>
    <definedName name="변경목차" localSheetId="2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2" hidden="1">{#N/A,#N/A,FALSE,"단축1";#N/A,#N/A,FALSE,"단축2";#N/A,#N/A,FALSE,"단축3";#N/A,#N/A,FALSE,"장축";#N/A,#N/A,FALSE,"4WD"}</definedName>
    <definedName name="병" localSheetId="3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2" hidden="1">{#N/A,#N/A,FALSE,"단축1";#N/A,#N/A,FALSE,"단축2";#N/A,#N/A,FALSE,"단축3";#N/A,#N/A,FALSE,"장축";#N/A,#N/A,FALSE,"4WD"}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localSheetId="2" hidden="1">{#N/A,#N/A,TRUE,"Y생산";#N/A,#N/A,TRUE,"Y판매";#N/A,#N/A,TRUE,"Y총물량";#N/A,#N/A,TRUE,"Y능력";#N/A,#N/A,TRUE,"YKD"}</definedName>
    <definedName name="분기별" localSheetId="3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석" localSheetId="2" hidden="1">{#N/A,#N/A,FALSE,"단축1";#N/A,#N/A,FALSE,"단축2";#N/A,#N/A,FALSE,"단축3";#N/A,#N/A,FALSE,"장축";#N/A,#N/A,FALSE,"4WD"}</definedName>
    <definedName name="분석" localSheetId="3" hidden="1">{#N/A,#N/A,FALSE,"단축1";#N/A,#N/A,FALSE,"단축2";#N/A,#N/A,FALSE,"단축3";#N/A,#N/A,FALSE,"장축";#N/A,#N/A,FALSE,"4WD"}</definedName>
    <definedName name="분석" hidden="1">{#N/A,#N/A,FALSE,"단축1";#N/A,#N/A,FALSE,"단축2";#N/A,#N/A,FALSE,"단축3";#N/A,#N/A,FALSE,"장축";#N/A,#N/A,FALSE,"4WD"}</definedName>
    <definedName name="분석이" localSheetId="2" hidden="1">{#N/A,#N/A,FALSE,"단축1";#N/A,#N/A,FALSE,"단축2";#N/A,#N/A,FALSE,"단축3";#N/A,#N/A,FALSE,"장축";#N/A,#N/A,FALSE,"4WD"}</definedName>
    <definedName name="분석이" localSheetId="3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localSheetId="2" hidden="1">{#N/A,#N/A,FALSE,"단축1";#N/A,#N/A,FALSE,"단축2";#N/A,#N/A,FALSE,"단축3";#N/A,#N/A,FALSE,"장축";#N/A,#N/A,FALSE,"4WD"}</definedName>
    <definedName name="비버" localSheetId="3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localSheetId="2" hidden="1">{#N/A,#N/A,FALSE,"단축1";#N/A,#N/A,FALSE,"단축2";#N/A,#N/A,FALSE,"단축3";#N/A,#N/A,FALSE,"장축";#N/A,#N/A,FALSE,"4WD"}</definedName>
    <definedName name="비비" localSheetId="3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localSheetId="2" hidden="1">{#N/A,#N/A,FALSE,"단축1";#N/A,#N/A,FALSE,"단축2";#N/A,#N/A,FALSE,"단축3";#N/A,#N/A,FALSE,"장축";#N/A,#N/A,FALSE,"4WD"}</definedName>
    <definedName name="ㅅ교ㄳㄱ" localSheetId="3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localSheetId="2" hidden="1">{#N/A,#N/A,TRUE,"일정"}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2" hidden="1">{#N/A,#N/A,FALSE,"단축1";#N/A,#N/A,FALSE,"단축2";#N/A,#N/A,FALSE,"단축3";#N/A,#N/A,FALSE,"장축";#N/A,#N/A,FALSE,"4WD"}</definedName>
    <definedName name="ㅅㅅㅅ" localSheetId="3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ㅎㅁㄹㅊㅍㄴㅁ" localSheetId="2" hidden="1">{#N/A,#N/A,FALSE,"단축1";#N/A,#N/A,FALSE,"단축2";#N/A,#N/A,FALSE,"단축3";#N/A,#N/A,FALSE,"장축";#N/A,#N/A,FALSE,"4WD"}</definedName>
    <definedName name="ㅅㅎㅁㄹㅊㅍㄴㅁ" localSheetId="3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localSheetId="2" hidden="1">{#N/A,#N/A,FALSE,"단축1";#N/A,#N/A,FALSE,"단축2";#N/A,#N/A,FALSE,"단축3";#N/A,#N/A,FALSE,"장축";#N/A,#N/A,FALSE,"4WD"}</definedName>
    <definedName name="ㅅ호ㅗ노" localSheetId="3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localSheetId="2" hidden="1">{#N/A,#N/A,FALSE,"단축1";#N/A,#N/A,FALSE,"단축2";#N/A,#N/A,FALSE,"단축3";#N/A,#N/A,FALSE,"장축";#N/A,#N/A,FALSE,"4WD"}</definedName>
    <definedName name="사랑" localSheetId="3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localSheetId="2" hidden="1">{#N/A,#N/A,FALSE,"신규dep";#N/A,#N/A,FALSE,"신규dep-금형상각후";#N/A,#N/A,FALSE,"신규dep-연구비상각후";#N/A,#N/A,FALSE,"신규dep-기계,공구상각후"}</definedName>
    <definedName name="사양" localSheetId="3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진" localSheetId="2" hidden="1">{#N/A,#N/A,FALSE,"단축1";#N/A,#N/A,FALSE,"단축2";#N/A,#N/A,FALSE,"단축3";#N/A,#N/A,FALSE,"장축";#N/A,#N/A,FALSE,"4WD"}</definedName>
    <definedName name="사진" localSheetId="3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2" hidden="1">{#N/A,#N/A,FALSE,"단축1";#N/A,#N/A,FALSE,"단축2";#N/A,#N/A,FALSE,"단축3";#N/A,#N/A,FALSE,"장축";#N/A,#N/A,FALSE,"4WD"}</definedName>
    <definedName name="사진2" localSheetId="3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localSheetId="2" hidden="1">{#N/A,#N/A,FALSE,"단축1";#N/A,#N/A,FALSE,"단축2";#N/A,#N/A,FALSE,"단축3";#N/A,#N/A,FALSE,"장축";#N/A,#N/A,FALSE,"4WD"}</definedName>
    <definedName name="산토끼" localSheetId="3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localSheetId="2" hidden="1">{#N/A,#N/A,FALSE,"정공"}</definedName>
    <definedName name="삼성" localSheetId="3" hidden="1">{#N/A,#N/A,FALSE,"정공"}</definedName>
    <definedName name="삼성" hidden="1">{#N/A,#N/A,FALSE,"정공"}</definedName>
    <definedName name="새" localSheetId="2" hidden="1">{#N/A,#N/A,FALSE,"단축1";#N/A,#N/A,FALSE,"단축2";#N/A,#N/A,FALSE,"단축3";#N/A,#N/A,FALSE,"장축";#N/A,#N/A,FALSE,"4WD"}</definedName>
    <definedName name="새" localSheetId="3" hidden="1">{#N/A,#N/A,FALSE,"단축1";#N/A,#N/A,FALSE,"단축2";#N/A,#N/A,FALSE,"단축3";#N/A,#N/A,FALSE,"장축";#N/A,#N/A,FALSE,"4WD"}</definedName>
    <definedName name="새" hidden="1">{#N/A,#N/A,FALSE,"단축1";#N/A,#N/A,FALSE,"단축2";#N/A,#N/A,FALSE,"단축3";#N/A,#N/A,FALSE,"장축";#N/A,#N/A,FALSE,"4WD"}</definedName>
    <definedName name="새脸" localSheetId="2" hidden="1">{#N/A,#N/A,FALSE,"단축1";#N/A,#N/A,FALSE,"단축2";#N/A,#N/A,FALSE,"단축3";#N/A,#N/A,FALSE,"장축";#N/A,#N/A,FALSE,"4WD"}</definedName>
    <definedName name="새脸" localSheetId="3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localSheetId="2" hidden="1">{#N/A,#N/A,FALSE,"단축1";#N/A,#N/A,FALSE,"단축2";#N/A,#N/A,FALSE,"단축3";#N/A,#N/A,FALSE,"장축";#N/A,#N/A,FALSE,"4WD"}</definedName>
    <definedName name="새세" localSheetId="3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localSheetId="2" hidden="1">{#N/A,#N/A,FALSE,"단축1";#N/A,#N/A,FALSE,"단축2";#N/A,#N/A,FALSE,"단축3";#N/A,#N/A,FALSE,"장축";#N/A,#N/A,FALSE,"4WD"}</definedName>
    <definedName name="새이르" localSheetId="3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localSheetId="2" hidden="1">{#N/A,#N/A,FALSE,"단축1";#N/A,#N/A,FALSE,"단축2";#N/A,#N/A,FALSE,"단축3";#N/A,#N/A,FALSE,"장축";#N/A,#N/A,FALSE,"4WD"}</definedName>
    <definedName name="생기요건1" localSheetId="3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localSheetId="2" hidden="1">{#N/A,#N/A,TRUE,"Y생산";#N/A,#N/A,TRUE,"Y판매";#N/A,#N/A,TRUE,"Y총물량";#N/A,#N/A,TRUE,"Y능력";#N/A,#N/A,TRUE,"YKD"}</definedName>
    <definedName name="생산TON" localSheetId="3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요서4" localSheetId="2" hidden="1">{#N/A,#N/A,FALSE,"단축1";#N/A,#N/A,FALSE,"단축2";#N/A,#N/A,FALSE,"단축3";#N/A,#N/A,FALSE,"장축";#N/A,#N/A,FALSE,"4WD"}</definedName>
    <definedName name="생요서4" localSheetId="3" hidden="1">{#N/A,#N/A,FALSE,"단축1";#N/A,#N/A,FALSE,"단축2";#N/A,#N/A,FALSE,"단축3";#N/A,#N/A,FALSE,"장축";#N/A,#N/A,FALSE,"4WD"}</definedName>
    <definedName name="생요서4" hidden="1">{#N/A,#N/A,FALSE,"단축1";#N/A,#N/A,FALSE,"단축2";#N/A,#N/A,FALSE,"단축3";#N/A,#N/A,FALSE,"장축";#N/A,#N/A,FALSE,"4WD"}</definedName>
    <definedName name="서비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localSheetId="2" hidden="1">{#N/A,#N/A,FALSE,"단축1";#N/A,#N/A,FALSE,"단축2";#N/A,#N/A,FALSE,"단축3";#N/A,#N/A,FALSE,"장축";#N/A,#N/A,FALSE,"4WD"}</definedName>
    <definedName name="선" localSheetId="3" hidden="1">{#N/A,#N/A,FALSE,"단축1";#N/A,#N/A,FALSE,"단축2";#N/A,#N/A,FALSE,"단축3";#N/A,#N/A,FALSE,"장축";#N/A,#N/A,FALSE,"4WD"}</definedName>
    <definedName name="선" hidden="1">{#N/A,#N/A,FALSE,"단축1";#N/A,#N/A,FALSE,"단축2";#N/A,#N/A,FALSE,"단축3";#N/A,#N/A,FALSE,"장축";#N/A,#N/A,FALSE,"4WD"}</definedName>
    <definedName name="선정사유" localSheetId="2" hidden="1">{#N/A,#N/A,FALSE,"단축1";#N/A,#N/A,FALSE,"단축2";#N/A,#N/A,FALSE,"단축3";#N/A,#N/A,FALSE,"장축";#N/A,#N/A,FALSE,"4WD"}</definedName>
    <definedName name="선정사유" localSheetId="3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localSheetId="2" hidden="1">{#N/A,#N/A,FALSE,"단축1";#N/A,#N/A,FALSE,"단축2";#N/A,#N/A,FALSE,"단축3";#N/A,#N/A,FALSE,"장축";#N/A,#N/A,FALSE,"4WD"}</definedName>
    <definedName name="설변" localSheetId="3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2" hidden="1">{#N/A,#N/A,FALSE,"단축1";#N/A,#N/A,FALSE,"단축2";#N/A,#N/A,FALSE,"단축3";#N/A,#N/A,FALSE,"장축";#N/A,#N/A,FALSE,"4WD"}</definedName>
    <definedName name="설변요청" localSheetId="3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localSheetId="2" hidden="1">{#N/A,#N/A,TRUE,"Y생산";#N/A,#N/A,TRUE,"Y판매";#N/A,#N/A,TRUE,"Y총물량";#N/A,#N/A,TRUE,"Y능력";#N/A,#N/A,TRUE,"YKD"}</definedName>
    <definedName name="세부생산계획" localSheetId="3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왕123" localSheetId="2" hidden="1">{#N/A,#N/A,FALSE,"단축1";#N/A,#N/A,FALSE,"단축2";#N/A,#N/A,FALSE,"단축3";#N/A,#N/A,FALSE,"장축";#N/A,#N/A,FALSE,"4WD"}</definedName>
    <definedName name="세왕123" localSheetId="3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localSheetId="2" hidden="1">{#N/A,#N/A,FALSE,"단축1";#N/A,#N/A,FALSE,"단축2";#N/A,#N/A,FALSE,"단축3";#N/A,#N/A,FALSE,"장축";#N/A,#N/A,FALSE,"4WD"}</definedName>
    <definedName name="소무" localSheetId="3" hidden="1">{#N/A,#N/A,FALSE,"단축1";#N/A,#N/A,FALSE,"단축2";#N/A,#N/A,FALSE,"단축3";#N/A,#N/A,FALSE,"장축";#N/A,#N/A,FALSE,"4WD"}</definedName>
    <definedName name="소무" hidden="1">{#N/A,#N/A,FALSE,"단축1";#N/A,#N/A,FALSE,"단축2";#N/A,#N/A,FALSE,"단축3";#N/A,#N/A,FALSE,"장축";#N/A,#N/A,FALSE,"4WD"}</definedName>
    <definedName name="소뮨" localSheetId="2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localSheetId="2" hidden="1">{#N/A,#N/A,FALSE,"단축1";#N/A,#N/A,FALSE,"단축2";#N/A,#N/A,FALSE,"단축3";#N/A,#N/A,FALSE,"장축";#N/A,#N/A,FALSE,"4WD"}</definedName>
    <definedName name="소ㅎㅀㄹ" localSheetId="3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localSheetId="2" hidden="1">{#N/A,#N/A,FALSE,"단축1";#N/A,#N/A,FALSE,"단축2";#N/A,#N/A,FALSE,"단축3";#N/A,#N/A,FALSE,"장축";#N/A,#N/A,FALSE,"4WD"}</definedName>
    <definedName name="소하프로젝트" localSheetId="3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localSheetId="2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2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2" hidden="1">{#N/A,#N/A,FALSE,"단축1";#N/A,#N/A,FALSE,"단축2";#N/A,#N/A,FALSE,"단축3";#N/A,#N/A,FALSE,"장축";#N/A,#N/A,FALSE,"4WD"}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쇼쇼" localSheetId="2" hidden="1">{#N/A,#N/A,FALSE,"단축1";#N/A,#N/A,FALSE,"단축2";#N/A,#N/A,FALSE,"단축3";#N/A,#N/A,FALSE,"장축";#N/A,#N/A,FALSE,"4WD"}</definedName>
    <definedName name="쇼쇼쇼" localSheetId="3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localSheetId="2" hidden="1">{#N/A,#N/A,FALSE,"단축1";#N/A,#N/A,FALSE,"단축2";#N/A,#N/A,FALSE,"단축3";#N/A,#N/A,FALSE,"장축";#N/A,#N/A,FALSE,"4WD"}</definedName>
    <definedName name="쇼ㅛㄱ" localSheetId="3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localSheetId="2" hidden="1">{#N/A,#N/A,TRUE,"Y생산";#N/A,#N/A,TRUE,"Y판매";#N/A,#N/A,TRUE,"Y총물량";#N/A,#N/A,TRUE,"Y능력";#N/A,#N/A,TRUE,"YKD"}</definedName>
    <definedName name="수정물량" localSheetId="3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직편차_19041" localSheetId="2" hidden="1">{#N/A,#N/A,FALSE,"원가검토서"}</definedName>
    <definedName name="수직편차_19041" localSheetId="3" hidden="1">{#N/A,#N/A,FALSE,"원가검토서"}</definedName>
    <definedName name="수직편차_19041" hidden="1">{#N/A,#N/A,FALSE,"원가검토서"}</definedName>
    <definedName name="수직편차_190419" localSheetId="2" hidden="1">{#N/A,#N/A,FALSE,"원가검토서"}</definedName>
    <definedName name="수직편차_190419" localSheetId="3" hidden="1">{#N/A,#N/A,FALSE,"원가검토서"}</definedName>
    <definedName name="수직편차_190419" hidden="1">{#N/A,#N/A,FALSE,"원가검토서"}</definedName>
    <definedName name="스타렉스2" localSheetId="2" hidden="1">{#N/A,#N/A,FALSE,"단축1";#N/A,#N/A,FALSE,"단축2";#N/A,#N/A,FALSE,"단축3";#N/A,#N/A,FALSE,"장축";#N/A,#N/A,FALSE,"4WD"}</definedName>
    <definedName name="스타렉스2" localSheetId="3" hidden="1">{#N/A,#N/A,FALSE,"단축1";#N/A,#N/A,FALSE,"단축2";#N/A,#N/A,FALSE,"단축3";#N/A,#N/A,FALSE,"장축";#N/A,#N/A,FALSE,"4WD"}</definedName>
    <definedName name="스타렉스2" hidden="1">{#N/A,#N/A,FALSE,"단축1";#N/A,#N/A,FALSE,"단축2";#N/A,#N/A,FALSE,"단축3";#N/A,#N/A,FALSE,"장축";#N/A,#N/A,FALSE,"4WD"}</definedName>
    <definedName name="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localSheetId="2" hidden="1">{#N/A,#N/A,TRUE,"Y생산";#N/A,#N/A,TRUE,"Y판매";#N/A,#N/A,TRUE,"Y총물량";#N/A,#N/A,TRUE,"Y능력";#N/A,#N/A,TRUE,"YKD"}</definedName>
    <definedName name="시간" localSheetId="3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그마1" localSheetId="2" hidden="1">{#N/A,#N/A,FALSE,"단축1";#N/A,#N/A,FALSE,"단축2";#N/A,#N/A,FALSE,"단축3";#N/A,#N/A,FALSE,"장축";#N/A,#N/A,FALSE,"4WD"}</definedName>
    <definedName name="시그마1" localSheetId="3" hidden="1">{#N/A,#N/A,FALSE,"단축1";#N/A,#N/A,FALSE,"단축2";#N/A,#N/A,FALSE,"단축3";#N/A,#N/A,FALSE,"장축";#N/A,#N/A,FALSE,"4WD"}</definedName>
    <definedName name="시그마1" hidden="1">{#N/A,#N/A,FALSE,"단축1";#N/A,#N/A,FALSE,"단축2";#N/A,#N/A,FALSE,"단축3";#N/A,#N/A,FALSE,"장축";#N/A,#N/A,FALSE,"4WD"}</definedName>
    <definedName name="시기조정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localSheetId="2" hidden="1">{"'KET'!$A$1:$E$2423"}</definedName>
    <definedName name="시동성" localSheetId="3" hidden="1">{"'KET'!$A$1:$E$2423"}</definedName>
    <definedName name="시동성" hidden="1">{"'KET'!$A$1:$E$2423"}</definedName>
    <definedName name="시리즈" localSheetId="2" hidden="1">{#N/A,#N/A,FALSE,"단축1";#N/A,#N/A,FALSE,"단축2";#N/A,#N/A,FALSE,"단축3";#N/A,#N/A,FALSE,"장축";#N/A,#N/A,FALSE,"4WD"}</definedName>
    <definedName name="시리즈" localSheetId="3" hidden="1">{#N/A,#N/A,FALSE,"단축1";#N/A,#N/A,FALSE,"단축2";#N/A,#N/A,FALSE,"단축3";#N/A,#N/A,FALSE,"장축";#N/A,#N/A,FALSE,"4WD"}</definedName>
    <definedName name="시리즈" hidden="1">{#N/A,#N/A,FALSE,"단축1";#N/A,#N/A,FALSE,"단축2";#N/A,#N/A,FALSE,"단축3";#N/A,#N/A,FALSE,"장축";#N/A,#N/A,FALSE,"4WD"}</definedName>
    <definedName name="시작차반" localSheetId="2" hidden="1">{#N/A,#N/A,FALSE,"단축1";#N/A,#N/A,FALSE,"단축2";#N/A,#N/A,FALSE,"단축3";#N/A,#N/A,FALSE,"장축";#N/A,#N/A,FALSE,"4WD"}</definedName>
    <definedName name="시작차반" localSheetId="3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localSheetId="2" hidden="1">{#N/A,#N/A,FALSE,"단축1";#N/A,#N/A,FALSE,"단축2";#N/A,#N/A,FALSE,"단축3";#N/A,#N/A,FALSE,"장축";#N/A,#N/A,FALSE,"4WD"}</definedName>
    <definedName name="시험일정p2" localSheetId="3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localSheetId="2" hidden="1">{#N/A,#N/A,FALSE,"단축1";#N/A,#N/A,FALSE,"단축2";#N/A,#N/A,FALSE,"단축3";#N/A,#N/A,FALSE,"장축";#N/A,#N/A,FALSE,"4WD"}</definedName>
    <definedName name="시험장비3" localSheetId="3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localSheetId="2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localSheetId="2" hidden="1">{#N/A,#N/A,FALSE,"단축1";#N/A,#N/A,FALSE,"단축2";#N/A,#N/A,FALSE,"단축3";#N/A,#N/A,FALSE,"장축";#N/A,#N/A,FALSE,"4WD"}</definedName>
    <definedName name="신차개발" localSheetId="3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2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2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localSheetId="2" hidden="1">{#N/A,#N/A,FALSE,"단축1";#N/A,#N/A,FALSE,"단축2";#N/A,#N/A,FALSE,"단축3";#N/A,#N/A,FALSE,"장축";#N/A,#N/A,FALSE,"4WD"}</definedName>
    <definedName name="심의보고단기종합" localSheetId="3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localSheetId="2" hidden="1">{#N/A,#N/A,FALSE,"단축1";#N/A,#N/A,FALSE,"단축2";#N/A,#N/A,FALSE,"단축3";#N/A,#N/A,FALSE,"장축";#N/A,#N/A,FALSE,"4WD"}</definedName>
    <definedName name="ㅇㄴㄹ" localSheetId="3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localSheetId="2" hidden="1">{#N/A,#N/A,FALSE,"단축1";#N/A,#N/A,FALSE,"단축2";#N/A,#N/A,FALSE,"단축3";#N/A,#N/A,FALSE,"장축";#N/A,#N/A,FALSE,"4WD"}</definedName>
    <definedName name="ㅇㄴㄹㄴㅇㄹ" localSheetId="3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localSheetId="2" hidden="1">{#N/A,#N/A,FALSE,"단축1";#N/A,#N/A,FALSE,"단축2";#N/A,#N/A,FALSE,"단축3";#N/A,#N/A,FALSE,"장축";#N/A,#N/A,FALSE,"4WD"}</definedName>
    <definedName name="ㅇㄴㅀㅇ" localSheetId="3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localSheetId="2" hidden="1">{#N/A,#N/A,FALSE,"단축1";#N/A,#N/A,FALSE,"단축2";#N/A,#N/A,FALSE,"단축3";#N/A,#N/A,FALSE,"장축";#N/A,#N/A,FALSE,"4WD"}</definedName>
    <definedName name="ㅇㄴ푝ㅈㄷㄱ" localSheetId="3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localSheetId="2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localSheetId="2" hidden="1">{#N/A,#N/A,FALSE,"단축1";#N/A,#N/A,FALSE,"단축2";#N/A,#N/A,FALSE,"단축3";#N/A,#N/A,FALSE,"장축";#N/A,#N/A,FALSE,"4WD"}</definedName>
    <definedName name="ㅇㄹㄹ" localSheetId="3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2" hidden="1">{#N/A,#N/A,FALSE,"원가검토서"}</definedName>
    <definedName name="ㅇㄹ호" localSheetId="3" hidden="1">{#N/A,#N/A,FALSE,"원가검토서"}</definedName>
    <definedName name="ㅇㄹ호" hidden="1">{#N/A,#N/A,FALSE,"원가검토서"}</definedName>
    <definedName name="ㅇ롱" localSheetId="2" hidden="1">{#N/A,#N/A,FALSE,"단축1";#N/A,#N/A,FALSE,"단축2";#N/A,#N/A,FALSE,"단축3";#N/A,#N/A,FALSE,"장축";#N/A,#N/A,FALSE,"4WD"}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2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2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localSheetId="2" hidden="1">{#N/A,#N/A,FALSE,"단축1";#N/A,#N/A,FALSE,"단축2";#N/A,#N/A,FALSE,"단축3";#N/A,#N/A,FALSE,"장축";#N/A,#N/A,FALSE,"4WD"}</definedName>
    <definedName name="ㅇㄻ" localSheetId="3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localSheetId="2" hidden="1">{#N/A,#N/A,FALSE,"단축1";#N/A,#N/A,FALSE,"단축2";#N/A,#N/A,FALSE,"단축3";#N/A,#N/A,FALSE,"장축";#N/A,#N/A,FALSE,"4WD"}</definedName>
    <definedName name="ㅇㄻㄴㅇ" localSheetId="3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2" hidden="1">{#N/A,#N/A,FALSE,"단축1";#N/A,#N/A,FALSE,"단축2";#N/A,#N/A,FALSE,"단축3";#N/A,#N/A,FALSE,"장축";#N/A,#N/A,FALSE,"4WD"}</definedName>
    <definedName name="ㅇㄻㄴㅇ롸ㅣ" localSheetId="3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localSheetId="2" hidden="1">{#N/A,#N/A,FALSE,"단축1";#N/A,#N/A,FALSE,"단축2";#N/A,#N/A,FALSE,"단축3";#N/A,#N/A,FALSE,"장축";#N/A,#N/A,FALSE,"4WD"}</definedName>
    <definedName name="ㅇㄻㅇㄻㄴㄹㅇㅁㄴ" localSheetId="3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2" hidden="1">{#N/A,#N/A,FALSE,"원가검토서"}</definedName>
    <definedName name="ㅇㅀㄷㄱ쇼" localSheetId="3" hidden="1">{#N/A,#N/A,FALSE,"원가검토서"}</definedName>
    <definedName name="ㅇㅀㄷㄱ쇼" hidden="1">{#N/A,#N/A,FALSE,"원가검토서"}</definedName>
    <definedName name="ㅇㅀㄷㄱㅈ" localSheetId="2" hidden="1">{#N/A,#N/A,FALSE,"원가검토서"}</definedName>
    <definedName name="ㅇㅀㄷㄱㅈ" localSheetId="3" hidden="1">{#N/A,#N/A,FALSE,"원가검토서"}</definedName>
    <definedName name="ㅇㅀㄷㄱㅈ" hidden="1">{#N/A,#N/A,FALSE,"원가검토서"}</definedName>
    <definedName name="ㅇㅀ호" localSheetId="2" hidden="1">{#N/A,#N/A,FALSE,"단축1";#N/A,#N/A,FALSE,"단축2";#N/A,#N/A,FALSE,"단축3";#N/A,#N/A,FALSE,"장축";#N/A,#N/A,FALSE,"4WD"}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ㄹ" localSheetId="2" hidden="1">{#N/A,#N/A,FALSE,"단축1";#N/A,#N/A,FALSE,"단축2";#N/A,#N/A,FALSE,"단축3";#N/A,#N/A,FALSE,"장축";#N/A,#N/A,FALSE,"4WD"}</definedName>
    <definedName name="ㅇㅁㄹ" localSheetId="3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localSheetId="2" hidden="1">{#N/A,#N/A,FALSE,"단축1";#N/A,#N/A,FALSE,"단축2";#N/A,#N/A,FALSE,"단축3";#N/A,#N/A,FALSE,"장축";#N/A,#N/A,FALSE,"4WD"}</definedName>
    <definedName name="ㅇㅇㅇㅇ" localSheetId="3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localSheetId="2" hidden="1">{#N/A,#N/A,FALSE,"단축1";#N/A,#N/A,FALSE,"단축2";#N/A,#N/A,FALSE,"단축3";#N/A,#N/A,FALSE,"장축";#N/A,#N/A,FALSE,"4WD"}</definedName>
    <definedName name="ㅇㅇㅇㅇㅇㅇㅇ" localSheetId="3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localSheetId="2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localSheetId="2" hidden="1">{#N/A,#N/A,FALSE,"단축1";#N/A,#N/A,FALSE,"단축2";#N/A,#N/A,FALSE,"단축3";#N/A,#N/A,FALSE,"장축";#N/A,#N/A,FALSE,"4WD"}</definedName>
    <definedName name="ㅇㅎ오" localSheetId="3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localSheetId="2" hidden="1">{#N/A,#N/A,FALSE,"단축1";#N/A,#N/A,FALSE,"단축2";#N/A,#N/A,FALSE,"단축3";#N/A,#N/A,FALSE,"장축";#N/A,#N/A,FALSE,"4WD"}</definedName>
    <definedName name="ㅇ홍" localSheetId="3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localSheetId="2" hidden="1">{#N/A,#N/A,FALSE,"초도품";#N/A,#N/A,FALSE,"초도품 (2)";#N/A,#N/A,FALSE,"초도품 (3)";#N/A,#N/A,FALSE,"초도품 (4)";#N/A,#N/A,FALSE,"초도품 (5)";#N/A,#N/A,FALSE,"초도품 (6)"}</definedName>
    <definedName name="아아아아아아아" localSheetId="3" hidden="1">{#N/A,#N/A,FALSE,"초도품";#N/A,#N/A,FALSE,"초도품 (2)";#N/A,#N/A,FALSE,"초도품 (3)";#N/A,#N/A,FALSE,"초도품 (4)";#N/A,#N/A,FALSE,"초도품 (5)";#N/A,#N/A,FALSE,"초도품 (6)"}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localSheetId="2" hidden="1">{#N/A,#N/A,FALSE,"신규dep";#N/A,#N/A,FALSE,"신규dep-금형상각후";#N/A,#N/A,FALSE,"신규dep-연구비상각후";#N/A,#N/A,FALSE,"신규dep-기계,공구상각후"}</definedName>
    <definedName name="아아아아아아아앙" localSheetId="3" hidden="1">{#N/A,#N/A,FALSE,"신규dep";#N/A,#N/A,FALSE,"신규dep-금형상각후";#N/A,#N/A,FALSE,"신규dep-연구비상각후";#N/A,#N/A,FALSE,"신규dep-기계,공구상각후"}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localSheetId="2" hidden="1">{#N/A,#N/A,FALSE,"단축1";#N/A,#N/A,FALSE,"단축2";#N/A,#N/A,FALSE,"단축3";#N/A,#N/A,FALSE,"장축";#N/A,#N/A,FALSE,"4WD"}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슬" localSheetId="2" hidden="1">{#N/A,#N/A,FALSE,"단축1";#N/A,#N/A,FALSE,"단축2";#N/A,#N/A,FALSE,"단축3";#N/A,#N/A,FALSE,"장축";#N/A,#N/A,FALSE,"4WD"}</definedName>
    <definedName name="액슬" localSheetId="3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localSheetId="2" hidden="1">{#N/A,#N/A,FALSE,"단축1";#N/A,#N/A,FALSE,"단축2";#N/A,#N/A,FALSE,"단축3";#N/A,#N/A,FALSE,"장축";#N/A,#N/A,FALSE,"4WD"}</definedName>
    <definedName name="양대호" localSheetId="3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localSheetId="2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localSheetId="2" hidden="1">{#N/A,#N/A,FALSE,"단축1";#N/A,#N/A,FALSE,"단축2";#N/A,#N/A,FALSE,"단축3";#N/A,#N/A,FALSE,"장축";#N/A,#N/A,FALSE,"4WD"}</definedName>
    <definedName name="에어벤트" localSheetId="3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localSheetId="2" hidden="1">{#N/A,#N/A,TRUE,"Y생산";#N/A,#N/A,TRUE,"Y판매";#N/A,#N/A,TRUE,"Y총물량";#N/A,#N/A,TRUE,"Y능력";#N/A,#N/A,TRUE,"YKD"}</definedName>
    <definedName name="에이" localSheetId="3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연료2" localSheetId="2" hidden="1">{#N/A,#N/A,FALSE,"단축1";#N/A,#N/A,FALSE,"단축2";#N/A,#N/A,FALSE,"단축3";#N/A,#N/A,FALSE,"장축";#N/A,#N/A,FALSE,"4WD"}</definedName>
    <definedName name="연료2" localSheetId="3" hidden="1">{#N/A,#N/A,FALSE,"단축1";#N/A,#N/A,FALSE,"단축2";#N/A,#N/A,FALSE,"단축3";#N/A,#N/A,FALSE,"장축";#N/A,#N/A,FALSE,"4WD"}</definedName>
    <definedName name="연료2" hidden="1">{#N/A,#N/A,FALSE,"단축1";#N/A,#N/A,FALSE,"단축2";#N/A,#N/A,FALSE,"단축3";#N/A,#N/A,FALSE,"장축";#N/A,#N/A,FALSE,"4WD"}</definedName>
    <definedName name="연료탱크3" localSheetId="2" hidden="1">{#N/A,#N/A,FALSE,"단축1";#N/A,#N/A,FALSE,"단축2";#N/A,#N/A,FALSE,"단축3";#N/A,#N/A,FALSE,"장축";#N/A,#N/A,FALSE,"4WD"}</definedName>
    <definedName name="연료탱크3" localSheetId="3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localSheetId="2" hidden="1">{#N/A,#N/A,FALSE,"단축1";#N/A,#N/A,FALSE,"단축2";#N/A,#N/A,FALSE,"단축3";#N/A,#N/A,FALSE,"장축";#N/A,#N/A,FALSE,"4WD"}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2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와이퍼일" localSheetId="2" hidden="1">{#N/A,#N/A,FALSE,"단축1";#N/A,#N/A,FALSE,"단축2";#N/A,#N/A,FALSE,"단축3";#N/A,#N/A,FALSE,"장축";#N/A,#N/A,FALSE,"4WD"}</definedName>
    <definedName name="와이퍼일" localSheetId="3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2" hidden="1">{#N/A,#N/A,TRUE,"Y생산";#N/A,#N/A,TRUE,"Y판매";#N/A,#N/A,TRUE,"Y총물량";#N/A,#N/A,TRUE,"Y능력";#N/A,#N/A,TRUE,"YKD"}</definedName>
    <definedName name="외주계획" localSheetId="3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localSheetId="2" hidden="1">{#N/A,#N/A,TRUE,"Y생산";#N/A,#N/A,TRUE,"Y판매";#N/A,#N/A,TRUE,"Y총물량";#N/A,#N/A,TRUE,"Y능력";#N/A,#N/A,TRUE,"YKD"}</definedName>
    <definedName name="용역" localSheetId="3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2" hidden="1">{#N/A,#N/A,FALSE,"단축1";#N/A,#N/A,FALSE,"단축2";#N/A,#N/A,FALSE,"단축3";#N/A,#N/A,FALSE,"장축";#N/A,#N/A,FALSE,"4WD"}</definedName>
    <definedName name="우리" localSheetId="3" hidden="1">{#N/A,#N/A,FALSE,"단축1";#N/A,#N/A,FALSE,"단축2";#N/A,#N/A,FALSE,"단축3";#N/A,#N/A,FALSE,"장축";#N/A,#N/A,FALSE,"4WD"}</definedName>
    <definedName name="우리" hidden="1">{#N/A,#N/A,FALSE,"단축1";#N/A,#N/A,FALSE,"단축2";#N/A,#N/A,FALSE,"단축3";#N/A,#N/A,FALSE,"장축";#N/A,#N/A,FALSE,"4WD"}</definedName>
    <definedName name="운영1" localSheetId="2" hidden="1">{#N/A,#N/A,FALSE,"단축1";#N/A,#N/A,FALSE,"단축2";#N/A,#N/A,FALSE,"단축3";#N/A,#N/A,FALSE,"장축";#N/A,#N/A,FALSE,"4WD"}</definedName>
    <definedName name="운영1" localSheetId="3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localSheetId="2" hidden="1">{#N/A,#N/A,FALSE,"단축1";#N/A,#N/A,FALSE,"단축2";#N/A,#N/A,FALSE,"단축3";#N/A,#N/A,FALSE,"장축";#N/A,#N/A,FALSE,"4WD"}</definedName>
    <definedName name="울산공장만" localSheetId="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localSheetId="2" hidden="1">{#N/A,#N/A,FALSE,"단축1";#N/A,#N/A,FALSE,"단축2";#N/A,#N/A,FALSE,"단축3";#N/A,#N/A,FALSE,"장축";#N/A,#N/A,FALSE,"4WD"}</definedName>
    <definedName name="원자재종합" localSheetId="3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localSheetId="2" hidden="1">{#N/A,#N/A,FALSE,"신규dep";#N/A,#N/A,FALSE,"신규dep-금형상각후";#N/A,#N/A,FALSE,"신규dep-연구비상각후";#N/A,#N/A,FALSE,"신규dep-기계,공구상각후"}</definedName>
    <definedName name="유사차" localSheetId="3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2" hidden="1">{#N/A,#N/A,TRUE,"Y생산";#N/A,#N/A,TRUE,"Y판매";#N/A,#N/A,TRUE,"Y총물량";#N/A,#N/A,TRUE,"Y능력";#N/A,#N/A,TRUE,"YKD"}</definedName>
    <definedName name="유형" localSheetId="3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유ㅕㄴ됵ㄷ" localSheetId="2" hidden="1">{#N/A,#N/A,FALSE,"단축1";#N/A,#N/A,FALSE,"단축2";#N/A,#N/A,FALSE,"단축3";#N/A,#N/A,FALSE,"장축";#N/A,#N/A,FALSE,"4WD"}</definedName>
    <definedName name="유ㅕㄴ됵ㄷ" localSheetId="3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이근한" localSheetId="2" hidden="1">{#N/A,#N/A,FALSE,"단축1";#N/A,#N/A,FALSE,"단축2";#N/A,#N/A,FALSE,"단축3";#N/A,#N/A,FALSE,"장축";#N/A,#N/A,FALSE,"4WD"}</definedName>
    <definedName name="이근한" localSheetId="3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localSheetId="2" hidden="1">{#N/A,#N/A,FALSE,"단축1";#N/A,#N/A,FALSE,"단축2";#N/A,#N/A,FALSE,"단축3";#N/A,#N/A,FALSE,"장축";#N/A,#N/A,FALSE,"4WD"}</definedName>
    <definedName name="이리니다" localSheetId="3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localSheetId="2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localSheetId="2" hidden="1">{#N/A,#N/A,FALSE,"단축1";#N/A,#N/A,FALSE,"단축2";#N/A,#N/A,FALSE,"단축3";#N/A,#N/A,FALSE,"장축";#N/A,#N/A,FALSE,"4WD"}</definedName>
    <definedName name="인몰드2" localSheetId="3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localSheetId="2" hidden="1">{#N/A,#N/A,FALSE,"단축1";#N/A,#N/A,FALSE,"단축2";#N/A,#N/A,FALSE,"단축3";#N/A,#N/A,FALSE,"장축";#N/A,#N/A,FALSE,"4WD"}</definedName>
    <definedName name="인몰드성형" localSheetId="3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localSheetId="2" hidden="1">{#N/A,#N/A,FALSE,"단축1";#N/A,#N/A,FALSE,"단축2";#N/A,#N/A,FALSE,"단축3";#N/A,#N/A,FALSE,"장축";#N/A,#N/A,FALSE,"4WD"}</definedName>
    <definedName name="일르낟" localSheetId="3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localSheetId="2" hidden="1">{#N/A,#N/A,FALSE,"단축1";#N/A,#N/A,FALSE,"단축2";#N/A,#N/A,FALSE,"단축3";#N/A,#N/A,FALSE,"장축";#N/A,#N/A,FALSE,"4WD"}</definedName>
    <definedName name="일반문서" localSheetId="3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localSheetId="2" hidden="1">{#N/A,#N/A,FALSE,"단축1";#N/A,#N/A,FALSE,"단축2";#N/A,#N/A,FALSE,"단축3";#N/A,#N/A,FALSE,"장축";#N/A,#N/A,FALSE,"4WD"}</definedName>
    <definedName name="일반문서3" localSheetId="3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localSheetId="2" hidden="1">{#N/A,#N/A,FALSE,"단축1";#N/A,#N/A,FALSE,"단축2";#N/A,#N/A,FALSE,"단축3";#N/A,#N/A,FALSE,"장축";#N/A,#N/A,FALSE,"4WD"}</definedName>
    <definedName name="일반문서4" localSheetId="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2" hidden="1">{#N/A,#N/A,FALSE,"신규dep";#N/A,#N/A,FALSE,"신규dep-금형상각후";#N/A,#N/A,FALSE,"신규dep-연구비상각후";#N/A,#N/A,FALSE,"신규dep-기계,공구상각후"}</definedName>
    <definedName name="일정계획" localSheetId="3" hidden="1">{#N/A,#N/A,FALSE,"신규dep";#N/A,#N/A,FALSE,"신규dep-금형상각후";#N/A,#N/A,FALSE,"신규dep-연구비상각후";#N/A,#N/A,FALSE,"신규dep-기계,공구상각후"}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localSheetId="2" hidden="1">{#N/A,#N/A,FALSE,"단축1";#N/A,#N/A,FALSE,"단축2";#N/A,#N/A,FALSE,"단축3";#N/A,#N/A,FALSE,"장축";#N/A,#N/A,FALSE,"4WD"}</definedName>
    <definedName name="ㅈㄱㄹ" localSheetId="3" hidden="1">{#N/A,#N/A,FALSE,"단축1";#N/A,#N/A,FALSE,"단축2";#N/A,#N/A,FALSE,"단축3";#N/A,#N/A,FALSE,"장축";#N/A,#N/A,FALSE,"4WD"}</definedName>
    <definedName name="ㅈㄱㄹ" hidden="1">{#N/A,#N/A,FALSE,"단축1";#N/A,#N/A,FALSE,"단축2";#N/A,#N/A,FALSE,"단축3";#N/A,#N/A,FALSE,"장축";#N/A,#N/A,FALSE,"4WD"}</definedName>
    <definedName name="ㅈ고모" localSheetId="2" hidden="1">{#N/A,#N/A,FALSE,"단축1";#N/A,#N/A,FALSE,"단축2";#N/A,#N/A,FALSE,"단축3";#N/A,#N/A,FALSE,"장축";#N/A,#N/A,FALSE,"4WD"}</definedName>
    <definedName name="ㅈ고모" localSheetId="3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localSheetId="2" hidden="1">{#N/A,#N/A,FALSE,"단축1";#N/A,#N/A,FALSE,"단축2";#N/A,#N/A,FALSE,"단축3";#N/A,#N/A,FALSE,"장축";#N/A,#N/A,FALSE,"4WD"}</definedName>
    <definedName name="ㅈㄴㄴ" localSheetId="3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2" hidden="1">{#N/A,#N/A,FALSE,"단축1";#N/A,#N/A,FALSE,"단축2";#N/A,#N/A,FALSE,"단축3";#N/A,#N/A,FALSE,"장축";#N/A,#N/A,FALSE,"4WD"}</definedName>
    <definedName name="ㅈㄴㅇㄹㅊㅁ" localSheetId="3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localSheetId="2" hidden="1">{#N/A,#N/A,FALSE,"단축1";#N/A,#N/A,FALSE,"단축2";#N/A,#N/A,FALSE,"단축3";#N/A,#N/A,FALSE,"장축";#N/A,#N/A,FALSE,"4WD"}</definedName>
    <definedName name="ㅈㄵ" localSheetId="3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localSheetId="2" hidden="1">{#N/A,#N/A,FALSE,"단축1";#N/A,#N/A,FALSE,"단축2";#N/A,#N/A,FALSE,"단축3";#N/A,#N/A,FALSE,"장축";#N/A,#N/A,FALSE,"4WD"}</definedName>
    <definedName name="ㅈㄷㄱㄷㅈ" localSheetId="3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localSheetId="2" hidden="1">{#N/A,#N/A,FALSE,"단축1";#N/A,#N/A,FALSE,"단축2";#N/A,#N/A,FALSE,"단축3";#N/A,#N/A,FALSE,"장축";#N/A,#N/A,FALSE,"4WD"}</definedName>
    <definedName name="ㅈㄷㄱ쇼ㅗㅎㄹㅇ" localSheetId="3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localSheetId="2" hidden="1">{#N/A,#N/A,FALSE,"단축1";#N/A,#N/A,FALSE,"단축2";#N/A,#N/A,FALSE,"단축3";#N/A,#N/A,FALSE,"장축";#N/A,#N/A,FALSE,"4WD"}</definedName>
    <definedName name="ㅈㄷㅇㅅ셔ㅛㅎ" localSheetId="3" hidden="1">{#N/A,#N/A,FALSE,"단축1";#N/A,#N/A,FALSE,"단축2";#N/A,#N/A,FALSE,"단축3";#N/A,#N/A,FALSE,"장축";#N/A,#N/A,FALSE,"4WD"}</definedName>
    <definedName name="ㅈㄷㅇㅅ셔ㅛㅎ" hidden="1">{#N/A,#N/A,FALSE,"단축1";#N/A,#N/A,FALSE,"단축2";#N/A,#N/A,FALSE,"단축3";#N/A,#N/A,FALSE,"장축";#N/A,#N/A,FALSE,"4WD"}</definedName>
    <definedName name="ㅈㄹ" localSheetId="2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localSheetId="2" hidden="1">{#N/A,#N/A,FALSE,"단축1";#N/A,#N/A,FALSE,"단축2";#N/A,#N/A,FALSE,"단축3";#N/A,#N/A,FALSE,"장축";#N/A,#N/A,FALSE,"4WD"}</definedName>
    <definedName name="ㅈㅁㅅㅎㄹㅇㅍㅎ" localSheetId="3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localSheetId="2" hidden="1">{#N/A,#N/A,FALSE,"단축1";#N/A,#N/A,FALSE,"단축2";#N/A,#N/A,FALSE,"단축3";#N/A,#N/A,FALSE,"장축";#N/A,#N/A,FALSE,"4WD"}</definedName>
    <definedName name="ㅈㅂㄴㅅ5ㅛㅇㄱㄷ" localSheetId="3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2" hidden="1">{#N/A,#N/A,FALSE,"단축1";#N/A,#N/A,FALSE,"단축2";#N/A,#N/A,FALSE,"단축3";#N/A,#N/A,FALSE,"장축";#N/A,#N/A,FALSE,"4WD"}</definedName>
    <definedName name="ㅈ뵫군ㄴㄱㄷ묘" localSheetId="3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2" hidden="1">{#N/A,#N/A,FALSE,"단축1";#N/A,#N/A,FALSE,"단축2";#N/A,#N/A,FALSE,"단축3";#N/A,#N/A,FALSE,"장축";#N/A,#N/A,FALSE,"4WD"}</definedName>
    <definedName name="ㅈㅅㅎㄷㄱㅀ" localSheetId="3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localSheetId="2" hidden="1">{#N/A,#N/A,FALSE,"단축1";#N/A,#N/A,FALSE,"단축2";#N/A,#N/A,FALSE,"단축3";#N/A,#N/A,FALSE,"장축";#N/A,#N/A,FALSE,"4WD"}</definedName>
    <definedName name="ㅈㅇㄷㅅㄱㅁㅅ" localSheetId="3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localSheetId="2" hidden="1">{#N/A,#N/A,FALSE,"단축1";#N/A,#N/A,FALSE,"단축2";#N/A,#N/A,FALSE,"단축3";#N/A,#N/A,FALSE,"장축";#N/A,#N/A,FALSE,"4WD"}</definedName>
    <definedName name="ㅈㅈ" localSheetId="3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2" hidden="1">{#N/A,#N/A,FALSE,"단축1";#N/A,#N/A,FALSE,"단축2";#N/A,#N/A,FALSE,"단축3";#N/A,#N/A,FALSE,"장축";#N/A,#N/A,FALSE,"4WD"}</definedName>
    <definedName name="ㅈㅈㅂㅈㄷ" localSheetId="3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localSheetId="2" hidden="1">{#N/A,#N/A,TRUE,"Y생산";#N/A,#N/A,TRUE,"Y판매";#N/A,#N/A,TRUE,"Y총물량";#N/A,#N/A,TRUE,"Y능력";#N/A,#N/A,TRUE,"YKD"}</definedName>
    <definedName name="자재기준" localSheetId="3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2" hidden="1">{#N/A,#N/A,FALSE,"단축1";#N/A,#N/A,FALSE,"단축2";#N/A,#N/A,FALSE,"단축3";#N/A,#N/A,FALSE,"장축";#N/A,#N/A,FALSE,"4WD"}</definedName>
    <definedName name="장" localSheetId="3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2" hidden="1">{#N/A,#N/A,FALSE,"단축1";#N/A,#N/A,FALSE,"단축2";#N/A,#N/A,FALSE,"단축3";#N/A,#N/A,FALSE,"장축";#N/A,#N/A,FALSE,"4WD"}</definedName>
    <definedName name="장민ㄹ" localSheetId="3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localSheetId="2" hidden="1">{#N/A,#N/A,FALSE,"단축1";#N/A,#N/A,FALSE,"단축2";#N/A,#N/A,FALSE,"단축3";#N/A,#N/A,FALSE,"장축";#N/A,#N/A,FALSE,"4WD"}</definedName>
    <definedName name="재료예산" localSheetId="3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localSheetId="2" hidden="1">{#N/A,#N/A,FALSE,"단축1";#N/A,#N/A,FALSE,"단축2";#N/A,#N/A,FALSE,"단축3";#N/A,#N/A,FALSE,"장축";#N/A,#N/A,FALSE,"4WD"}</definedName>
    <definedName name="전개계획" localSheetId="3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2" hidden="1">{#N/A,#N/A,FALSE,"단축1";#N/A,#N/A,FALSE,"단축2";#N/A,#N/A,FALSE,"단축3";#N/A,#N/A,FALSE,"장축";#N/A,#N/A,FALSE,"4WD"}</definedName>
    <definedName name="전개방안2" localSheetId="3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2" hidden="1">{#N/A,#N/A,FALSE,"단축1";#N/A,#N/A,FALSE,"단축2";#N/A,#N/A,FALSE,"단축3";#N/A,#N/A,FALSE,"장축";#N/A,#N/A,FALSE,"4WD"}</definedName>
    <definedName name="전개방안3" localSheetId="3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2" hidden="1">{#N/A,#N/A,FALSE,"단축1";#N/A,#N/A,FALSE,"단축2";#N/A,#N/A,FALSE,"단축3";#N/A,#N/A,FALSE,"장축";#N/A,#N/A,FALSE,"4WD"}</definedName>
    <definedName name="전개방안4" localSheetId="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localSheetId="2" hidden="1">{#N/A,#N/A,FALSE,"단축1";#N/A,#N/A,FALSE,"단축2";#N/A,#N/A,FALSE,"단축3";#N/A,#N/A,FALSE,"장축";#N/A,#N/A,FALSE,"4WD"}</definedName>
    <definedName name="전체1" localSheetId="3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2" hidden="1">{#N/A,#N/A,FALSE,"단축1";#N/A,#N/A,FALSE,"단축2";#N/A,#N/A,FALSE,"단축3";#N/A,#N/A,FALSE,"장축";#N/A,#N/A,FALSE,"4WD"}</definedName>
    <definedName name="전체2" localSheetId="3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2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localSheetId="2" hidden="1">{#N/A,#N/A,FALSE,"단축1";#N/A,#N/A,FALSE,"단축2";#N/A,#N/A,FALSE,"단축3";#N/A,#N/A,FALSE,"장축";#N/A,#N/A,FALSE,"4WD"}</definedName>
    <definedName name="전후" localSheetId="3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localSheetId="2" hidden="1">{#N/A,#N/A,FALSE,"단축1";#N/A,#N/A,FALSE,"단축2";#N/A,#N/A,FALSE,"단축3";#N/A,#N/A,FALSE,"장축";#N/A,#N/A,FALSE,"4WD"}</definedName>
    <definedName name="전후분석" localSheetId="3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localSheetId="2" hidden="1">{#N/A,#N/A,FALSE,"단축1";#N/A,#N/A,FALSE,"단축2";#N/A,#N/A,FALSE,"단축3";#N/A,#N/A,FALSE,"장축";#N/A,#N/A,FALSE,"4WD"}</definedName>
    <definedName name="전후분석을" localSheetId="3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2" hidden="1">{#N/A,#N/A,FALSE,"단축1";#N/A,#N/A,FALSE,"단축2";#N/A,#N/A,FALSE,"단축3";#N/A,#N/A,FALSE,"장축";#N/A,#N/A,FALSE,"4WD"}</definedName>
    <definedName name="절감" localSheetId="3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localSheetId="2" hidden="1">{#N/A,#N/A,FALSE,"단축1";#N/A,#N/A,FALSE,"단축2";#N/A,#N/A,FALSE,"단축3";#N/A,#N/A,FALSE,"장축";#N/A,#N/A,FALSE,"4WD"}</definedName>
    <definedName name="절감계산2" localSheetId="3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localSheetId="2" hidden="1">{#N/A,#N/A,FALSE,"단축1";#N/A,#N/A,FALSE,"단축2";#N/A,#N/A,FALSE,"단축3";#N/A,#N/A,FALSE,"장축";#N/A,#N/A,FALSE,"4WD"}</definedName>
    <definedName name="정" localSheetId="3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2" hidden="1">{#N/A,#N/A,FALSE,"단축1";#N/A,#N/A,FALSE,"단축2";#N/A,#N/A,FALSE,"단축3";#N/A,#N/A,FALSE,"장축";#N/A,#N/A,FALSE,"4WD"}</definedName>
    <definedName name="제동" localSheetId="3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조" localSheetId="2" hidden="1">{#N/A,#N/A,FALSE,"단축1";#N/A,#N/A,FALSE,"단축2";#N/A,#N/A,FALSE,"단축3";#N/A,#N/A,FALSE,"장축";#N/A,#N/A,FALSE,"4WD"}</definedName>
    <definedName name="제조" localSheetId="3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localSheetId="2" hidden="1">{#N/A,#N/A,FALSE,"단축1";#N/A,#N/A,FALSE,"단축2";#N/A,#N/A,FALSE,"단축3";#N/A,#N/A,FALSE,"장축";#N/A,#N/A,FALSE,"4WD"}</definedName>
    <definedName name="제품설계예산" localSheetId="3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localSheetId="2" hidden="1">{"'KET'!$A$1:$E$2423"}</definedName>
    <definedName name="종합3" localSheetId="3" hidden="1">{"'KET'!$A$1:$E$2423"}</definedName>
    <definedName name="종합3" hidden="1">{"'KET'!$A$1:$E$2423"}</definedName>
    <definedName name="종합그래프" localSheetId="2" hidden="1">{#N/A,#N/A,FALSE,"단축1";#N/A,#N/A,FALSE,"단축2";#N/A,#N/A,FALSE,"단축3";#N/A,#N/A,FALSE,"장축";#N/A,#N/A,FALSE,"4WD"}</definedName>
    <definedName name="종합그래프" localSheetId="3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2" hidden="1">{#N/A,#N/A,FALSE,"단축1";#N/A,#N/A,FALSE,"단축2";#N/A,#N/A,FALSE,"단축3";#N/A,#N/A,FALSE,"장축";#N/A,#N/A,FALSE,"4WD"}</definedName>
    <definedName name="종합그래프1" localSheetId="3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localSheetId="2" hidden="1">{#N/A,#N/A,FALSE,"단축1";#N/A,#N/A,FALSE,"단축2";#N/A,#N/A,FALSE,"단축3";#N/A,#N/A,FALSE,"장축";#N/A,#N/A,FALSE,"4WD"}</definedName>
    <definedName name="죠홀ㅇㅎㄹ펴ㅛㅗ" localSheetId="3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localSheetId="2" hidden="1">{#N/A,#N/A,FALSE,"단축1";#N/A,#N/A,FALSE,"단축2";#N/A,#N/A,FALSE,"단축3";#N/A,#N/A,FALSE,"장축";#N/A,#N/A,FALSE,"4WD"}</definedName>
    <definedName name="주리원" localSheetId="3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localSheetId="2" hidden="1">{#N/A,#N/A,TRUE,"Y생산";#N/A,#N/A,TRUE,"Y판매";#N/A,#N/A,TRUE,"Y총물량";#N/A,#N/A,TRUE,"Y능력";#N/A,#N/A,TRUE,"YKD"}</definedName>
    <definedName name="주요" localSheetId="3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2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2" hidden="1">{#N/A,#N/A,FALSE,"단축1";#N/A,#N/A,FALSE,"단축2";#N/A,#N/A,FALSE,"단축3";#N/A,#N/A,FALSE,"장축";#N/A,#N/A,FALSE,"4WD"}</definedName>
    <definedName name="주요제원" localSheetId="3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정관" localSheetId="2" hidden="1">{#N/A,#N/A,TRUE,"일정"}</definedName>
    <definedName name="주정관" localSheetId="3" hidden="1">{#N/A,#N/A,TRUE,"일정"}</definedName>
    <definedName name="주정관" hidden="1">{#N/A,#N/A,TRUE,"일정"}</definedName>
    <definedName name="중앙" localSheetId="2" hidden="1">{#N/A,#N/A,FALSE,"단축1";#N/A,#N/A,FALSE,"단축2";#N/A,#N/A,FALSE,"단축3";#N/A,#N/A,FALSE,"장축";#N/A,#N/A,FALSE,"4WD"}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경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localSheetId="2" hidden="1">{#N/A,#N/A,FALSE,"단축1";#N/A,#N/A,FALSE,"단축2";#N/A,#N/A,FALSE,"단축3";#N/A,#N/A,FALSE,"장축";#N/A,#N/A,FALSE,"4WD"}</definedName>
    <definedName name="지발루" localSheetId="3" hidden="1">{#N/A,#N/A,FALSE,"단축1";#N/A,#N/A,FALSE,"단축2";#N/A,#N/A,FALSE,"단축3";#N/A,#N/A,FALSE,"장축";#N/A,#N/A,FALSE,"4WD"}</definedName>
    <definedName name="지발루" hidden="1">{#N/A,#N/A,FALSE,"단축1";#N/A,#N/A,FALSE,"단축2";#N/A,#N/A,FALSE,"단축3";#N/A,#N/A,FALSE,"장축";#N/A,#N/A,FALSE,"4WD"}</definedName>
    <definedName name="지태면" localSheetId="2" hidden="1">{#N/A,#N/A,TRUE,"Y생산";#N/A,#N/A,TRUE,"Y판매";#N/A,#N/A,TRUE,"Y총물량";#N/A,#N/A,TRUE,"Y능력";#N/A,#N/A,TRUE,"YKD"}</definedName>
    <definedName name="지태면" localSheetId="3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2" hidden="1">{#N/A,#N/A,FALSE,"단축1";#N/A,#N/A,FALSE,"단축2";#N/A,#N/A,FALSE,"단축3";#N/A,#N/A,FALSE,"장축";#N/A,#N/A,FALSE,"4WD"}</definedName>
    <definedName name="지호" localSheetId="3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ㅉ" localSheetId="2" hidden="1">{#N/A,#N/A,TRUE,"Y생산";#N/A,#N/A,TRUE,"Y판매";#N/A,#N/A,TRUE,"Y총물량";#N/A,#N/A,TRUE,"Y능력";#N/A,#N/A,TRUE,"YKD"}</definedName>
    <definedName name="ㅉ" localSheetId="3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ㄷㅁㅈㄷㄼㄹ" localSheetId="2" hidden="1">{#N/A,#N/A,FALSE,"단축1";#N/A,#N/A,FALSE,"단축2";#N/A,#N/A,FALSE,"단축3";#N/A,#N/A,FALSE,"장축";#N/A,#N/A,FALSE,"4WD"}</definedName>
    <definedName name="ㅊㄷㅁㅈㄷㄼㄹ" localSheetId="3" hidden="1">{#N/A,#N/A,FALSE,"단축1";#N/A,#N/A,FALSE,"단축2";#N/A,#N/A,FALSE,"단축3";#N/A,#N/A,FALSE,"장축";#N/A,#N/A,FALSE,"4WD"}</definedName>
    <definedName name="ㅊㄷㅁㅈㄷㄼㄹ" hidden="1">{#N/A,#N/A,FALSE,"단축1";#N/A,#N/A,FALSE,"단축2";#N/A,#N/A,FALSE,"단축3";#N/A,#N/A,FALSE,"장축";#N/A,#N/A,FALSE,"4WD"}</definedName>
    <definedName name="ㅊㅊ" localSheetId="2" hidden="1">{#N/A,#N/A,FALSE,"단축1";#N/A,#N/A,FALSE,"단축2";#N/A,#N/A,FALSE,"단축3";#N/A,#N/A,FALSE,"장축";#N/A,#N/A,FALSE,"4WD"}</definedName>
    <definedName name="ㅊㅊ" localSheetId="3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2" hidden="1">{#N/A,#N/A,FALSE,"단축1";#N/A,#N/A,FALSE,"단축2";#N/A,#N/A,FALSE,"단축3";#N/A,#N/A,FALSE,"장축";#N/A,#N/A,FALSE,"4WD"}</definedName>
    <definedName name="ㅊㅊㅊ" localSheetId="3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localSheetId="2" hidden="1">{#N/A,#N/A,FALSE,"단축1";#N/A,#N/A,FALSE,"단축2";#N/A,#N/A,FALSE,"단축3";#N/A,#N/A,FALSE,"장축";#N/A,#N/A,FALSE,"4WD"}</definedName>
    <definedName name="참고사항" localSheetId="3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localSheetId="2" hidden="1">{#N/A,#N/A,FALSE,"정공"}</definedName>
    <definedName name="최영" localSheetId="3" hidden="1">{#N/A,#N/A,FALSE,"정공"}</definedName>
    <definedName name="최영" hidden="1">{#N/A,#N/A,FALSE,"정공"}</definedName>
    <definedName name="추가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localSheetId="2" hidden="1">{#N/A,#N/A,FALSE,"단축1";#N/A,#N/A,FALSE,"단축2";#N/A,#N/A,FALSE,"단축3";#N/A,#N/A,FALSE,"장축";#N/A,#N/A,FALSE,"4WD"}</definedName>
    <definedName name="충돌" localSheetId="3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localSheetId="2" hidden="1">{#N/A,#N/A,FALSE,"단축1";#N/A,#N/A,FALSE,"단축2";#N/A,#N/A,FALSE,"단축3";#N/A,#N/A,FALSE,"장축";#N/A,#N/A,FALSE,"4WD"}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2" hidden="1">{#N/A,#N/A,FALSE,"단축1";#N/A,#N/A,FALSE,"단축2";#N/A,#N/A,FALSE,"단축3";#N/A,#N/A,FALSE,"장축";#N/A,#N/A,FALSE,"4WD"}</definedName>
    <definedName name="ㅋㅋ" localSheetId="3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2" hidden="1">{#N/A,#N/A,FALSE,"단축1";#N/A,#N/A,FALSE,"단축2";#N/A,#N/A,FALSE,"단축3";#N/A,#N/A,FALSE,"장축";#N/A,#N/A,FALSE,"4WD"}</definedName>
    <definedName name="ㅋㅋㅋㅋ" localSheetId="3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2" hidden="1">{#N/A,#N/A,FALSE,"단축1";#N/A,#N/A,FALSE,"단축2";#N/A,#N/A,FALSE,"단축3";#N/A,#N/A,FALSE,"장축";#N/A,#N/A,FALSE,"4WD"}</definedName>
    <definedName name="ㅋㅋㅋㅋㅋ" localSheetId="3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localSheetId="2" hidden="1">{#N/A,#N/A,FALSE,"Cst of Sales (2)"}</definedName>
    <definedName name="캄코11" localSheetId="3" hidden="1">{#N/A,#N/A,FALSE,"Cst of Sales (2)"}</definedName>
    <definedName name="캄코11" hidden="1">{#N/A,#N/A,FALSE,"Cst of Sales (2)"}</definedName>
    <definedName name="크랑" localSheetId="2" hidden="1">{#N/A,#N/A,FALSE,"단축1";#N/A,#N/A,FALSE,"단축2";#N/A,#N/A,FALSE,"단축3";#N/A,#N/A,FALSE,"장축";#N/A,#N/A,FALSE,"4WD"}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localSheetId="2" hidden="1">{#N/A,#N/A,FALSE,"을지 (4)";#N/A,#N/A,FALSE,"을지 (5)";#N/A,#N/A,FALSE,"을지 (6)"}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2" hidden="1">{#N/A,#N/A,FALSE,"단축1";#N/A,#N/A,FALSE,"단축2";#N/A,#N/A,FALSE,"단축3";#N/A,#N/A,FALSE,"장축";#N/A,#N/A,FALSE,"4WD"}</definedName>
    <definedName name="ㅌ" localSheetId="3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ㅇ" localSheetId="2" hidden="1">{#N/A,#N/A,FALSE,"단축1";#N/A,#N/A,FALSE,"단축2";#N/A,#N/A,FALSE,"단축3";#N/A,#N/A,FALSE,"장축";#N/A,#N/A,FALSE,"4WD"}</definedName>
    <definedName name="ㅌㅇ" localSheetId="3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localSheetId="2" hidden="1">{#N/A,#N/A,FALSE,"단축1";#N/A,#N/A,FALSE,"단축2";#N/A,#N/A,FALSE,"단축3";#N/A,#N/A,FALSE,"장축";#N/A,#N/A,FALSE,"4WD"}</definedName>
    <definedName name="ㅌㅇㄳ됴" localSheetId="3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localSheetId="2" hidden="1">{#N/A,#N/A,FALSE,"단축1";#N/A,#N/A,FALSE,"단축2";#N/A,#N/A,FALSE,"단축3";#N/A,#N/A,FALSE,"장축";#N/A,#N/A,FALSE,"4WD"}</definedName>
    <definedName name="ㅌㅇ로" localSheetId="3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localSheetId="2" hidden="1">{#N/A,#N/A,FALSE,"단축1";#N/A,#N/A,FALSE,"단축2";#N/A,#N/A,FALSE,"단축3";#N/A,#N/A,FALSE,"장축";#N/A,#N/A,FALSE,"4WD"}</definedName>
    <definedName name="ㅌㅊ" localSheetId="3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localSheetId="2" hidden="1">{#N/A,#N/A,FALSE,"신규dep";#N/A,#N/A,FALSE,"신규dep-금형상각후";#N/A,#N/A,FALSE,"신규dep-연구비상각후";#N/A,#N/A,FALSE,"신규dep-기계,공구상각후"}</definedName>
    <definedName name="ㅌㅋㅊㅍ츄ㅍ" localSheetId="3" hidden="1">{#N/A,#N/A,FALSE,"신규dep";#N/A,#N/A,FALSE,"신규dep-금형상각후";#N/A,#N/A,FALSE,"신규dep-연구비상각후";#N/A,#N/A,FALSE,"신규dep-기계,공구상각후"}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localSheetId="2" hidden="1">{#N/A,#N/A,TRUE,"일정"}</definedName>
    <definedName name="ㅌㅌ" localSheetId="3" hidden="1">{#N/A,#N/A,TRUE,"일정"}</definedName>
    <definedName name="ㅌㅌ" hidden="1">{#N/A,#N/A,TRUE,"일정"}</definedName>
    <definedName name="ㅌㅌㅌㅌ" localSheetId="2" hidden="1">{#N/A,#N/A,FALSE,"단축1";#N/A,#N/A,FALSE,"단축2";#N/A,#N/A,FALSE,"단축3";#N/A,#N/A,FALSE,"장축";#N/A,#N/A,FALSE,"4WD"}</definedName>
    <definedName name="ㅌㅌㅌㅌ" localSheetId="3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터" localSheetId="2" hidden="1">{#N/A,#N/A,FALSE,"단축1";#N/A,#N/A,FALSE,"단축2";#N/A,#N/A,FALSE,"단축3";#N/A,#N/A,FALSE,"장축";#N/A,#N/A,FALSE,"4WD"}</definedName>
    <definedName name="터" localSheetId="3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localSheetId="2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2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localSheetId="2" hidden="1">{#N/A,#N/A,FALSE,"단축1";#N/A,#N/A,FALSE,"단축2";#N/A,#N/A,FALSE,"단축3";#N/A,#N/A,FALSE,"장축";#N/A,#N/A,FALSE,"4WD"}</definedName>
    <definedName name="투자비000" localSheetId="3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2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localSheetId="2" hidden="1">{#N/A,#N/A,FALSE,"단축1";#N/A,#N/A,FALSE,"단축2";#N/A,#N/A,FALSE,"단축3";#N/A,#N/A,FALSE,"장축";#N/A,#N/A,FALSE,"4WD"}</definedName>
    <definedName name="투자예산2" localSheetId="3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ㅍㅎ류" localSheetId="2" hidden="1">{#N/A,#N/A,FALSE,"단축1";#N/A,#N/A,FALSE,"단축2";#N/A,#N/A,FALSE,"단축3";#N/A,#N/A,FALSE,"장축";#N/A,#N/A,FALSE,"4WD"}</definedName>
    <definedName name="ㅍㅎ류" localSheetId="3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localSheetId="2" hidden="1">{#N/A,#N/A,FALSE,"단축1";#N/A,#N/A,FALSE,"단축2";#N/A,#N/A,FALSE,"단축3";#N/A,#N/A,FALSE,"장축";#N/A,#N/A,FALSE,"4WD"}</definedName>
    <definedName name="판매" localSheetId="3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localSheetId="2" hidden="1">{#N/A,#N/A,FALSE,"단축1";#N/A,#N/A,FALSE,"단축2";#N/A,#N/A,FALSE,"단축3";#N/A,#N/A,FALSE,"장축";#N/A,#N/A,FALSE,"4WD"}</definedName>
    <definedName name="판매목표2" localSheetId="3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2" hidden="1">{#N/A,#N/A,FALSE,"원가검토서"}</definedName>
    <definedName name="포장" localSheetId="3" hidden="1">{#N/A,#N/A,FALSE,"원가검토서"}</definedName>
    <definedName name="포장" hidden="1">{#N/A,#N/A,FALSE,"원가검토서"}</definedName>
    <definedName name="포장사양" hidden="1">#REF!</definedName>
    <definedName name="포장사양서" localSheetId="2" hidden="1">{#N/A,#N/A,FALSE,"원가검토서"}</definedName>
    <definedName name="포장사양서" localSheetId="3" hidden="1">{#N/A,#N/A,FALSE,"원가검토서"}</definedName>
    <definedName name="포장사양서" hidden="1">{#N/A,#N/A,FALSE,"원가검토서"}</definedName>
    <definedName name="표지1" localSheetId="2" hidden="1">{#N/A,#N/A,FALSE,"단축1";#N/A,#N/A,FALSE,"단축2";#N/A,#N/A,FALSE,"단축3";#N/A,#N/A,FALSE,"장축";#N/A,#N/A,FALSE,"4WD"}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2" hidden="1">{#N/A,#N/A,TRUE,"Y생산";#N/A,#N/A,TRUE,"Y판매";#N/A,#N/A,TRUE,"Y총물량";#N/A,#N/A,TRUE,"Y능력";#N/A,#N/A,TRUE,"YKD"}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확보계획2" localSheetId="2" hidden="1">{#N/A,#N/A,FALSE,"단축1";#N/A,#N/A,FALSE,"단축2";#N/A,#N/A,FALSE,"단축3";#N/A,#N/A,FALSE,"장축";#N/A,#N/A,FALSE,"4WD"}</definedName>
    <definedName name="품질확보계획2" localSheetId="3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질확보추진현황" localSheetId="2" hidden="1">{#N/A,#N/A,FALSE,"단축1";#N/A,#N/A,FALSE,"단축2";#N/A,#N/A,FALSE,"단축3";#N/A,#N/A,FALSE,"장축";#N/A,#N/A,FALSE,"4WD"}</definedName>
    <definedName name="품질확보추진현황" localSheetId="3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localSheetId="2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localSheetId="2" hidden="1">{#N/A,#N/A,FALSE,"단축1";#N/A,#N/A,FALSE,"단축2";#N/A,#N/A,FALSE,"단축3";#N/A,#N/A,FALSE,"장축";#N/A,#N/A,FALSE,"4WD"}</definedName>
    <definedName name="퓨ㅠ" localSheetId="3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localSheetId="2" hidden="1">{#N/A,#N/A,FALSE,"단축1";#N/A,#N/A,FALSE,"단축2";#N/A,#N/A,FALSE,"단축3";#N/A,#N/A,FALSE,"장축";#N/A,#N/A,FALSE,"4WD"}</definedName>
    <definedName name="프" localSheetId="3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localSheetId="2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localSheetId="2" hidden="1">{#N/A,#N/A,FALSE,"단축1";#N/A,#N/A,FALSE,"단축2";#N/A,#N/A,FALSE,"단축3";#N/A,#N/A,FALSE,"장축";#N/A,#N/A,FALSE,"4WD"}</definedName>
    <definedName name="ㅎ골호" localSheetId="3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localSheetId="2" hidden="1">{#N/A,#N/A,FALSE,"단축1";#N/A,#N/A,FALSE,"단축2";#N/A,#N/A,FALSE,"단축3";#N/A,#N/A,FALSE,"장축";#N/A,#N/A,FALSE,"4WD"}</definedName>
    <definedName name="ㅎㄴ" localSheetId="3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localSheetId="2" hidden="1">{#N/A,#N/A,FALSE,"단축1";#N/A,#N/A,FALSE,"단축2";#N/A,#N/A,FALSE,"단축3";#N/A,#N/A,FALSE,"장축";#N/A,#N/A,FALSE,"4WD"}</definedName>
    <definedName name="ㅎㄷㅁㄱ" localSheetId="3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localSheetId="2" hidden="1">{#N/A,#N/A,FALSE,"신규dep";#N/A,#N/A,FALSE,"신규dep-금형상각후";#N/A,#N/A,FALSE,"신규dep-연구비상각후";#N/A,#N/A,FALSE,"신규dep-기계,공구상각후"}</definedName>
    <definedName name="ㅎㄹㅇㄴ" localSheetId="3" hidden="1">{#N/A,#N/A,FALSE,"신규dep";#N/A,#N/A,FALSE,"신규dep-금형상각후";#N/A,#N/A,FALSE,"신규dep-연구비상각후";#N/A,#N/A,FALSE,"신규dep-기계,공구상각후"}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localSheetId="2" hidden="1">{#N/A,#N/A,FALSE,"단축1";#N/A,#N/A,FALSE,"단축2";#N/A,#N/A,FALSE,"단축3";#N/A,#N/A,FALSE,"장축";#N/A,#N/A,FALSE,"4WD"}</definedName>
    <definedName name="ㅎㄹㅇㅎ" localSheetId="3" hidden="1">{#N/A,#N/A,FALSE,"단축1";#N/A,#N/A,FALSE,"단축2";#N/A,#N/A,FALSE,"단축3";#N/A,#N/A,FALSE,"장축";#N/A,#N/A,FALSE,"4WD"}</definedName>
    <definedName name="ㅎㄹㅇㅎ" hidden="1">{#N/A,#N/A,FALSE,"단축1";#N/A,#N/A,FALSE,"단축2";#N/A,#N/A,FALSE,"단축3";#N/A,#N/A,FALSE,"장축";#N/A,#N/A,FALSE,"4WD"}</definedName>
    <definedName name="ㅎ라" localSheetId="2" hidden="1">{#N/A,#N/A,TRUE,"Y생산";#N/A,#N/A,TRUE,"Y판매";#N/A,#N/A,TRUE,"Y총물량";#N/A,#N/A,TRUE,"Y능력";#N/A,#N/A,TRUE,"YKD"}</definedName>
    <definedName name="ㅎ라" localSheetId="3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러ㅗㅀ" localSheetId="2" hidden="1">{#N/A,#N/A,FALSE,"단축1";#N/A,#N/A,FALSE,"단축2";#N/A,#N/A,FALSE,"단축3";#N/A,#N/A,FALSE,"장축";#N/A,#N/A,FALSE,"4WD"}</definedName>
    <definedName name="ㅎ러ㅗㅀ" localSheetId="3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localSheetId="2" hidden="1">{#N/A,#N/A,FALSE,"단축1";#N/A,#N/A,FALSE,"단축2";#N/A,#N/A,FALSE,"단축3";#N/A,#N/A,FALSE,"장축";#N/A,#N/A,FALSE,"4WD"}</definedName>
    <definedName name="ㅎ로" localSheetId="3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localSheetId="2" hidden="1">{#N/A,#N/A,FALSE,"단축1";#N/A,#N/A,FALSE,"단축2";#N/A,#N/A,FALSE,"단축3";#N/A,#N/A,FALSE,"장축";#N/A,#N/A,FALSE,"4WD"}</definedName>
    <definedName name="ㅎ로ㅎ" localSheetId="3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localSheetId="2" hidden="1">{#N/A,#N/A,FALSE,"단축1";#N/A,#N/A,FALSE,"단축2";#N/A,#N/A,FALSE,"단축3";#N/A,#N/A,FALSE,"장축";#N/A,#N/A,FALSE,"4WD"}</definedName>
    <definedName name="ㅎ로호" localSheetId="3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localSheetId="2" hidden="1">{#N/A,#N/A,FALSE,"단축1";#N/A,#N/A,FALSE,"단축2";#N/A,#N/A,FALSE,"단축3";#N/A,#N/A,FALSE,"장축";#N/A,#N/A,FALSE,"4WD"}</definedName>
    <definedName name="ㅎ로호ㅗ" localSheetId="3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localSheetId="2" hidden="1">{#N/A,#N/A,FALSE,"신규dep";#N/A,#N/A,FALSE,"신규dep-금형상각후";#N/A,#N/A,FALSE,"신규dep-연구비상각후";#N/A,#N/A,FALSE,"신규dep-기계,공구상각후"}</definedName>
    <definedName name="ㅎ로ㅗㅗ" localSheetId="3" hidden="1">{#N/A,#N/A,FALSE,"신규dep";#N/A,#N/A,FALSE,"신규dep-금형상각후";#N/A,#N/A,FALSE,"신규dep-연구비상각후";#N/A,#N/A,FALSE,"신규dep-기계,공구상각후"}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localSheetId="2" hidden="1">{#N/A,#N/A,FALSE,"단축1";#N/A,#N/A,FALSE,"단축2";#N/A,#N/A,FALSE,"단축3";#N/A,#N/A,FALSE,"장축";#N/A,#N/A,FALSE,"4WD"}</definedName>
    <definedName name="ㅎ롤ㅎ" localSheetId="3" hidden="1">{#N/A,#N/A,FALSE,"단축1";#N/A,#N/A,FALSE,"단축2";#N/A,#N/A,FALSE,"단축3";#N/A,#N/A,FALSE,"장축";#N/A,#N/A,FALSE,"4WD"}</definedName>
    <definedName name="ㅎ롤ㅎ" hidden="1">{#N/A,#N/A,FALSE,"단축1";#N/A,#N/A,FALSE,"단축2";#N/A,#N/A,FALSE,"단축3";#N/A,#N/A,FALSE,"장축";#N/A,#N/A,FALSE,"4WD"}</definedName>
    <definedName name="ㅎ룰후ㅎㅎ" localSheetId="2" hidden="1">{#N/A,#N/A,FALSE,"단축1";#N/A,#N/A,FALSE,"단축2";#N/A,#N/A,FALSE,"단축3";#N/A,#N/A,FALSE,"장축";#N/A,#N/A,FALSE,"4WD"}</definedName>
    <definedName name="ㅎ룰후ㅎㅎ" localSheetId="3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localSheetId="2" hidden="1">{#N/A,#N/A,FALSE,"단축1";#N/A,#N/A,FALSE,"단축2";#N/A,#N/A,FALSE,"단축3";#N/A,#N/A,FALSE,"장축";#N/A,#N/A,FALSE,"4WD"}</definedName>
    <definedName name="ㅎㅀ로흐ㅗ" localSheetId="3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localSheetId="2" hidden="1">{#N/A,#N/A,FALSE,"단축1";#N/A,#N/A,FALSE,"단축2";#N/A,#N/A,FALSE,"단축3";#N/A,#N/A,FALSE,"장축";#N/A,#N/A,FALSE,"4WD"}</definedName>
    <definedName name="ㅎㅀㅀㅎㄹㄹ" localSheetId="3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localSheetId="2" hidden="1">{#N/A,#N/A,FALSE,"단축1";#N/A,#N/A,FALSE,"단축2";#N/A,#N/A,FALSE,"단축3";#N/A,#N/A,FALSE,"장축";#N/A,#N/A,FALSE,"4WD"}</definedName>
    <definedName name="ㅎㅀㅎ" localSheetId="3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localSheetId="2" hidden="1">{#N/A,#N/A,FALSE,"단축1";#N/A,#N/A,FALSE,"단축2";#N/A,#N/A,FALSE,"단축3";#N/A,#N/A,FALSE,"장축";#N/A,#N/A,FALSE,"4WD"}</definedName>
    <definedName name="ㅎㅎ로호ㅎ" localSheetId="3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localSheetId="2" hidden="1">{#N/A,#N/A,FALSE,"단축1";#N/A,#N/A,FALSE,"단축2";#N/A,#N/A,FALSE,"단축3";#N/A,#N/A,FALSE,"장축";#N/A,#N/A,FALSE,"4WD"}</definedName>
    <definedName name="ㅎㅎ루ㅎㄹ" localSheetId="3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localSheetId="2" hidden="1">{#N/A,#N/A,FALSE,"단축1";#N/A,#N/A,FALSE,"단축2";#N/A,#N/A,FALSE,"단축3";#N/A,#N/A,FALSE,"장축";#N/A,#N/A,FALSE,"4WD"}</definedName>
    <definedName name="ㅎㅎㅀㄹ" localSheetId="3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localSheetId="2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localSheetId="2" hidden="1">{#N/A,#N/A,FALSE,"단축1";#N/A,#N/A,FALSE,"단축2";#N/A,#N/A,FALSE,"단축3";#N/A,#N/A,FALSE,"장축";#N/A,#N/A,FALSE,"4WD"}</definedName>
    <definedName name="하지마" localSheetId="3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localSheetId="2" hidden="1">{#N/A,#N/A,FALSE,"단축1";#N/A,#N/A,FALSE,"단축2";#N/A,#N/A,FALSE,"단축3";#N/A,#N/A,FALSE,"장축";#N/A,#N/A,FALSE,"4WD"}</definedName>
    <definedName name="하하핳" localSheetId="3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localSheetId="2" hidden="1">{#N/A,#N/A,FALSE,"단축1";#N/A,#N/A,FALSE,"단축2";#N/A,#N/A,FALSE,"단축3";#N/A,#N/A,FALSE,"장축";#N/A,#N/A,FALSE,"4WD"}</definedName>
    <definedName name="하핳" localSheetId="3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localSheetId="2" hidden="1">{#N/A,#N/A,FALSE,"단축1";#N/A,#N/A,FALSE,"단축2";#N/A,#N/A,FALSE,"단축3";#N/A,#N/A,FALSE,"장축";#N/A,#N/A,FALSE,"4WD"}</definedName>
    <definedName name="학" localSheetId="3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localSheetId="2" hidden="1">{#N/A,#N/A,FALSE,"단축1";#N/A,#N/A,FALSE,"단축2";#N/A,#N/A,FALSE,"단축3";#N/A,#N/A,FALSE,"장축";#N/A,#N/A,FALSE,"4WD"}</definedName>
    <definedName name="학교" localSheetId="3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localSheetId="2" hidden="1">{#N/A,#N/A,FALSE,"단축1";#N/A,#N/A,FALSE,"단축2";#N/A,#N/A,FALSE,"단축3";#N/A,#N/A,FALSE,"장축";#N/A,#N/A,FALSE,"4WD"}</definedName>
    <definedName name="한국" localSheetId="3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2" hidden="1">{#N/A,#N/A,TRUE,"Y생산";#N/A,#N/A,TRUE,"Y판매";#N/A,#N/A,TRUE,"Y총물량";#N/A,#N/A,TRUE,"Y능력";#N/A,#N/A,TRUE,"YKD"}</definedName>
    <definedName name="한영사전" localSheetId="3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총2" localSheetId="2" hidden="1">{#N/A,#N/A,FALSE,"을지 (4)";#N/A,#N/A,FALSE,"을지 (5)";#N/A,#N/A,FALSE,"을지 (6)"}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해정" localSheetId="2" hidden="1">{#N/A,#N/A,FALSE,"단축1";#N/A,#N/A,FALSE,"단축2";#N/A,#N/A,FALSE,"단축3";#N/A,#N/A,FALSE,"장축";#N/A,#N/A,FALSE,"4WD"}</definedName>
    <definedName name="해정" localSheetId="3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후계획" localSheetId="2" hidden="1">{#N/A,#N/A,FALSE,"단축1";#N/A,#N/A,FALSE,"단축2";#N/A,#N/A,FALSE,"단축3";#N/A,#N/A,FALSE,"장축";#N/A,#N/A,FALSE,"4WD"}</definedName>
    <definedName name="향후계획" localSheetId="3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localSheetId="2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localSheetId="2" hidden="1">{#N/A,#N/A,FALSE,"정공"}</definedName>
    <definedName name="현대" localSheetId="3" hidden="1">{#N/A,#N/A,FALSE,"정공"}</definedName>
    <definedName name="현대" hidden="1">{#N/A,#N/A,FALSE,"정공"}</definedName>
    <definedName name="현주" localSheetId="2" hidden="1">{#N/A,#N/A,FALSE,"단축1";#N/A,#N/A,FALSE,"단축2";#N/A,#N/A,FALSE,"단축3";#N/A,#N/A,FALSE,"장축";#N/A,#N/A,FALSE,"4WD"}</definedName>
    <definedName name="현주" localSheetId="3" hidden="1">{#N/A,#N/A,FALSE,"단축1";#N/A,#N/A,FALSE,"단축2";#N/A,#N/A,FALSE,"단축3";#N/A,#N/A,FALSE,"장축";#N/A,#N/A,FALSE,"4WD"}</definedName>
    <definedName name="현주" hidden="1">{#N/A,#N/A,FALSE,"단축1";#N/A,#N/A,FALSE,"단축2";#N/A,#N/A,FALSE,"단축3";#N/A,#N/A,FALSE,"장축";#N/A,#N/A,FALSE,"4WD"}</definedName>
    <definedName name="현주1" localSheetId="2" hidden="1">{#N/A,#N/A,FALSE,"단축1";#N/A,#N/A,FALSE,"단축2";#N/A,#N/A,FALSE,"단축3";#N/A,#N/A,FALSE,"장축";#N/A,#N/A,FALSE,"4WD"}</definedName>
    <definedName name="현주1" localSheetId="3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localSheetId="2" hidden="1">{#N/A,#N/A,FALSE,"단축1";#N/A,#N/A,FALSE,"단축2";#N/A,#N/A,FALSE,"단축3";#N/A,#N/A,FALSE,"장축";#N/A,#N/A,FALSE,"4WD"}</definedName>
    <definedName name="협의" localSheetId="3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localSheetId="2" hidden="1">{#N/A,#N/A,FALSE,"단축1";#N/A,#N/A,FALSE,"단축2";#N/A,#N/A,FALSE,"단축3";#N/A,#N/A,FALSE,"장축";#N/A,#N/A,FALSE,"4WD"}</definedName>
    <definedName name="호ㅎㅀㄹ" localSheetId="3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localSheetId="2" hidden="1">{#N/A,#N/A,FALSE,"96 3월물량표";#N/A,#N/A,FALSE,"96 4월물량표";#N/A,#N/A,FALSE,"96 5월물량표"}</definedName>
    <definedName name="호ㅓㅏ" localSheetId="3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ㅗ" localSheetId="2" hidden="1">{#N/A,#N/A,FALSE,"단축1";#N/A,#N/A,FALSE,"단축2";#N/A,#N/A,FALSE,"단축3";#N/A,#N/A,FALSE,"장축";#N/A,#N/A,FALSE,"4WD"}</definedName>
    <definedName name="호ㅓㅗ" localSheetId="3" hidden="1">{#N/A,#N/A,FALSE,"단축1";#N/A,#N/A,FALSE,"단축2";#N/A,#N/A,FALSE,"단축3";#N/A,#N/A,FALSE,"장축";#N/A,#N/A,FALSE,"4WD"}</definedName>
    <definedName name="호ㅓㅗ" hidden="1">{#N/A,#N/A,FALSE,"단축1";#N/A,#N/A,FALSE,"단축2";#N/A,#N/A,FALSE,"단축3";#N/A,#N/A,FALSE,"장축";#N/A,#N/A,FALSE,"4WD"}</definedName>
    <definedName name="홀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localSheetId="2" hidden="1">{#N/A,#N/A,FALSE,"단축1";#N/A,#N/A,FALSE,"단축2";#N/A,#N/A,FALSE,"단축3";#N/A,#N/A,FALSE,"장축";#N/A,#N/A,FALSE,"4WD"}</definedName>
    <definedName name="홋곡ㅅㅈ" localSheetId="3" hidden="1">{#N/A,#N/A,FALSE,"단축1";#N/A,#N/A,FALSE,"단축2";#N/A,#N/A,FALSE,"단축3";#N/A,#N/A,FALSE,"장축";#N/A,#N/A,FALSE,"4WD"}</definedName>
    <definedName name="홋곡ㅅㅈ" hidden="1">{#N/A,#N/A,FALSE,"단축1";#N/A,#N/A,FALSE,"단축2";#N/A,#N/A,FALSE,"단축3";#N/A,#N/A,FALSE,"장축";#N/A,#N/A,FALSE,"4WD"}</definedName>
    <definedName name="확인" localSheetId="2" hidden="1">{#N/A,#N/A,FALSE,"단축1";#N/A,#N/A,FALSE,"단축2";#N/A,#N/A,FALSE,"단축3";#N/A,#N/A,FALSE,"장축";#N/A,#N/A,FALSE,"4WD"}</definedName>
    <definedName name="확인" localSheetId="3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localSheetId="2" hidden="1">{#N/A,#N/A,FALSE,"Cst of Sales (2)"}</definedName>
    <definedName name="회의록" localSheetId="3" hidden="1">{#N/A,#N/A,FALSE,"Cst of Sales (2)"}</definedName>
    <definedName name="회의록" hidden="1">{#N/A,#N/A,FALSE,"Cst of Sales (2)"}</definedName>
    <definedName name="ㅏㅏㅏ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2" hidden="1">{#N/A,#N/A,FALSE,"단축1";#N/A,#N/A,FALSE,"단축2";#N/A,#N/A,FALSE,"단축3";#N/A,#N/A,FALSE,"장축";#N/A,#N/A,FALSE,"4WD"}</definedName>
    <definedName name="ㅏㅑㅡ" localSheetId="3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2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2" hidden="1">{#N/A,#N/A,FALSE,"단축1";#N/A,#N/A,FALSE,"단축2";#N/A,#N/A,FALSE,"단축3";#N/A,#N/A,FALSE,"장축";#N/A,#N/A,FALSE,"4WD"}</definedName>
    <definedName name="ㅐㅐ" localSheetId="3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2" hidden="1">{#N/A,#N/A,FALSE,"신규dep";#N/A,#N/A,FALSE,"신규dep-금형상각후";#N/A,#N/A,FALSE,"신규dep-연구비상각후";#N/A,#N/A,FALSE,"신규dep-기계,공구상각후"}</definedName>
    <definedName name="ㅐㅔ" localSheetId="3" hidden="1">{#N/A,#N/A,FALSE,"신규dep";#N/A,#N/A,FALSE,"신규dep-금형상각후";#N/A,#N/A,FALSE,"신규dep-연구비상각후";#N/A,#N/A,FALSE,"신규dep-기계,공구상각후"}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localSheetId="2" hidden="1">{#N/A,#N/A,FALSE,"단축1";#N/A,#N/A,FALSE,"단축2";#N/A,#N/A,FALSE,"단축3";#N/A,#N/A,FALSE,"장축";#N/A,#N/A,FALSE,"4WD"}</definedName>
    <definedName name="ㅑ숑ㅎㅁㄹㄴㄴㅁ" localSheetId="3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ㅎㄹㅇㅀㅀ" localSheetId="2" hidden="1">{#N/A,#N/A,FALSE,"단축1";#N/A,#N/A,FALSE,"단축2";#N/A,#N/A,FALSE,"단축3";#N/A,#N/A,FALSE,"장축";#N/A,#N/A,FALSE,"4WD"}</definedName>
    <definedName name="ㅑㅎㄹㅇㅀㅀ" localSheetId="3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localSheetId="2" hidden="1">{#N/A,#N/A,FALSE,"단축1";#N/A,#N/A,FALSE,"단축2";#N/A,#N/A,FALSE,"단축3";#N/A,#N/A,FALSE,"장축";#N/A,#N/A,FALSE,"4WD"}</definedName>
    <definedName name="ㅑㅐㅔㅕㅑㅐ" localSheetId="3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localSheetId="2" hidden="1">{#N/A,#N/A,FALSE,"단축1";#N/A,#N/A,FALSE,"단축2";#N/A,#N/A,FALSE,"단축3";#N/A,#N/A,FALSE,"장축";#N/A,#N/A,FALSE,"4WD"}</definedName>
    <definedName name="ㅑㅑㅏㅏㅓ" localSheetId="3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localSheetId="2" hidden="1">{#N/A,#N/A,FALSE,"단축1";#N/A,#N/A,FALSE,"단축2";#N/A,#N/A,FALSE,"단축3";#N/A,#N/A,FALSE,"장축";#N/A,#N/A,FALSE,"4WD"}</definedName>
    <definedName name="ㅑㅘㅕㅓㅎㄹ" localSheetId="3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localSheetId="2" hidden="1">{#N/A,#N/A,FALSE,"단축1";#N/A,#N/A,FALSE,"단축2";#N/A,#N/A,FALSE,"단축3";#N/A,#N/A,FALSE,"장축";#N/A,#N/A,FALSE,"4WD"}</definedName>
    <definedName name="ㅓ로럴" localSheetId="3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ㅣㅕㅑㅔ" localSheetId="2" hidden="1">{#N/A,#N/A,FALSE,"단축1";#N/A,#N/A,FALSE,"단축2";#N/A,#N/A,FALSE,"단축3";#N/A,#N/A,FALSE,"장축";#N/A,#N/A,FALSE,"4WD"}</definedName>
    <definedName name="ㅓㅏㅣㅕㅑㅔ" localSheetId="3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localSheetId="2" hidden="1">{#N/A,#N/A,FALSE,"단축1";#N/A,#N/A,FALSE,"단축2";#N/A,#N/A,FALSE,"단축3";#N/A,#N/A,FALSE,"장축";#N/A,#N/A,FALSE,"4WD"}</definedName>
    <definedName name="ㅓㅓ로" localSheetId="3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localSheetId="2" hidden="1">{#N/A,#N/A,FALSE,"단축1";#N/A,#N/A,FALSE,"단축2";#N/A,#N/A,FALSE,"단축3";#N/A,#N/A,FALSE,"장축";#N/A,#N/A,FALSE,"4WD"}</definedName>
    <definedName name="ㅓㅗㄹ호" localSheetId="3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localSheetId="2" hidden="1">{#N/A,#N/A,FALSE,"Status";#N/A,#N/A,FALSE,"Deckblatt 1";#N/A,#N/A,FALSE,"Deckblatt2"}</definedName>
    <definedName name="ㅔㅔ" localSheetId="3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ㅔㅔ" localSheetId="2" hidden="1">{#N/A,#N/A,FALSE,"단축1";#N/A,#N/A,FALSE,"단축2";#N/A,#N/A,FALSE,"단축3";#N/A,#N/A,FALSE,"장축";#N/A,#N/A,FALSE,"4WD"}</definedName>
    <definedName name="ㅔㅔㅔ" localSheetId="3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ㅔ" localSheetId="2" hidden="1">{#N/A,#N/A,FALSE,"단축1";#N/A,#N/A,FALSE,"단축2";#N/A,#N/A,FALSE,"단축3";#N/A,#N/A,FALSE,"장축";#N/A,#N/A,FALSE,"4WD"}</definedName>
    <definedName name="ㅔㅔㅔㅔ" localSheetId="3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localSheetId="2" hidden="1">{#N/A,#N/A,FALSE,"단축1";#N/A,#N/A,FALSE,"단축2";#N/A,#N/A,FALSE,"단축3";#N/A,#N/A,FALSE,"장축";#N/A,#N/A,FALSE,"4WD"}</definedName>
    <definedName name="ㅕ" localSheetId="3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localSheetId="2" hidden="1">{#N/A,#N/A,FALSE,"단축1";#N/A,#N/A,FALSE,"단축2";#N/A,#N/A,FALSE,"단축3";#N/A,#N/A,FALSE,"장축";#N/A,#N/A,FALSE,"4WD"}</definedName>
    <definedName name="ㅕㅓㅗㅎㄹㅇ" localSheetId="3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2" hidden="1">{#N/A,#N/A,FALSE,"단축1";#N/A,#N/A,FALSE,"단축2";#N/A,#N/A,FALSE,"단축3";#N/A,#N/A,FALSE,"장축";#N/A,#N/A,FALSE,"4WD"}</definedName>
    <definedName name="ㅕㅛㅅㄱㄷㄹ휴" localSheetId="3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2" hidden="1">{#N/A,#N/A,FALSE,"단축1";#N/A,#N/A,FALSE,"단축2";#N/A,#N/A,FALSE,"단축3";#N/A,#N/A,FALSE,"장축";#N/A,#N/A,FALSE,"4WD"}</definedName>
    <definedName name="ㅕㅠㅅㄱㅍㅈㅁㅍ" localSheetId="3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localSheetId="2" hidden="1">{#N/A,#N/A,FALSE,"단축1";#N/A,#N/A,FALSE,"단축2";#N/A,#N/A,FALSE,"단축3";#N/A,#N/A,FALSE,"장축";#N/A,#N/A,FALSE,"4WD"}</definedName>
    <definedName name="ㅗㄱㄴㅅㅎㄷ" localSheetId="3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2" hidden="1">{#N/A,#N/A,TRUE,"일정"}</definedName>
    <definedName name="ㅗㄱㄴㅇㅁ" localSheetId="3" hidden="1">{#N/A,#N/A,TRUE,"일정"}</definedName>
    <definedName name="ㅗㄱㄴㅇㅁ" hidden="1">{#N/A,#N/A,TRUE,"일정"}</definedName>
    <definedName name="ㅗㄴㅇㄱㅎㅇㄹㄶㅇ" localSheetId="2" hidden="1">{#N/A,#N/A,FALSE,"단축1";#N/A,#N/A,FALSE,"단축2";#N/A,#N/A,FALSE,"단축3";#N/A,#N/A,FALSE,"장축";#N/A,#N/A,FALSE,"4WD"}</definedName>
    <definedName name="ㅗㄴㅇㄱㅎㅇㄹㄶㅇ" localSheetId="3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돟ㄷ" localSheetId="2" hidden="1">{#N/A,#N/A,FALSE,"단축1";#N/A,#N/A,FALSE,"단축2";#N/A,#N/A,FALSE,"단축3";#N/A,#N/A,FALSE,"장축";#N/A,#N/A,FALSE,"4WD"}</definedName>
    <definedName name="ㅗ돟ㄷ" localSheetId="3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localSheetId="2" hidden="1">{#N/A,#N/A,FALSE,"단축1";#N/A,#N/A,FALSE,"단축2";#N/A,#N/A,FALSE,"단축3";#N/A,#N/A,FALSE,"장축";#N/A,#N/A,FALSE,"4WD"}</definedName>
    <definedName name="ㅗㅁㄶㄹㄴㅇ" localSheetId="3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localSheetId="2" hidden="1">{#N/A,#N/A,FALSE,"단축1";#N/A,#N/A,FALSE,"단축2";#N/A,#N/A,FALSE,"단축3";#N/A,#N/A,FALSE,"장축";#N/A,#N/A,FALSE,"4WD"}</definedName>
    <definedName name="ㅗㅁㅈ몸조" localSheetId="3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localSheetId="2" hidden="1">{#N/A,#N/A,TRUE,"Y생산";#N/A,#N/A,TRUE,"Y판매";#N/A,#N/A,TRUE,"Y총물량";#N/A,#N/A,TRUE,"Y능력";#N/A,#N/A,TRUE,"YKD"}</definedName>
    <definedName name="ㅗㅎ" localSheetId="3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ㅓ" localSheetId="2" hidden="1">{#N/A,#N/A,FALSE,"단축1";#N/A,#N/A,FALSE,"단축2";#N/A,#N/A,FALSE,"단축3";#N/A,#N/A,FALSE,"장축";#N/A,#N/A,FALSE,"4WD"}</definedName>
    <definedName name="ㅗㅎㅓ" localSheetId="3" hidden="1">{#N/A,#N/A,FALSE,"단축1";#N/A,#N/A,FALSE,"단축2";#N/A,#N/A,FALSE,"단축3";#N/A,#N/A,FALSE,"장축";#N/A,#N/A,FALSE,"4WD"}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localSheetId="2" hidden="1">{#N/A,#N/A,FALSE,"단축1";#N/A,#N/A,FALSE,"단축2";#N/A,#N/A,FALSE,"단축3";#N/A,#N/A,FALSE,"장축";#N/A,#N/A,FALSE,"4WD"}</definedName>
    <definedName name="ㅗㅓㅏㅣ" localSheetId="3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ㅓ" localSheetId="2" hidden="1">{#N/A,#N/A,FALSE,"단축1";#N/A,#N/A,FALSE,"단축2";#N/A,#N/A,FALSE,"단축3";#N/A,#N/A,FALSE,"장축";#N/A,#N/A,FALSE,"4WD"}</definedName>
    <definedName name="ㅗㅓㅓ" localSheetId="3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localSheetId="2" hidden="1">{#N/A,#N/A,FALSE,"단축1";#N/A,#N/A,FALSE,"단축2";#N/A,#N/A,FALSE,"단축3";#N/A,#N/A,FALSE,"장축";#N/A,#N/A,FALSE,"4WD"}</definedName>
    <definedName name="ㅗㅓㅕ" localSheetId="3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localSheetId="2" hidden="1">{#N/A,#N/A,FALSE,"단축1";#N/A,#N/A,FALSE,"단축2";#N/A,#N/A,FALSE,"단축3";#N/A,#N/A,FALSE,"장축";#N/A,#N/A,FALSE,"4WD"}</definedName>
    <definedName name="ㅗㅓㅜ" localSheetId="3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localSheetId="2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localSheetId="2" hidden="1">{#N/A,#N/A,FALSE,"단축1";#N/A,#N/A,FALSE,"단축2";#N/A,#N/A,FALSE,"단축3";#N/A,#N/A,FALSE,"장축";#N/A,#N/A,FALSE,"4WD"}</definedName>
    <definedName name="ㅗㅛ서ㅛㅅ" localSheetId="3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localSheetId="2" hidden="1">{#N/A,#N/A,FALSE,"단축1";#N/A,#N/A,FALSE,"단축2";#N/A,#N/A,FALSE,"단축3";#N/A,#N/A,FALSE,"장축";#N/A,#N/A,FALSE,"4WD"}</definedName>
    <definedName name="ㅗㅠㄹ후ㅡㅗㅡ" localSheetId="3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localSheetId="2" hidden="1">{#N/A,#N/A,TRUE,"일정"}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ㅅㄱㄷㅈ" localSheetId="2" hidden="1">{#N/A,#N/A,FALSE,"단축1";#N/A,#N/A,FALSE,"단축2";#N/A,#N/A,FALSE,"단축3";#N/A,#N/A,FALSE,"장축";#N/A,#N/A,FALSE,"4WD"}</definedName>
    <definedName name="ㅛㅅㄱㄷㅈ" localSheetId="3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ㅛ허ㅗ" localSheetId="2" hidden="1">{#N/A,#N/A,FALSE,"신규dep";#N/A,#N/A,FALSE,"신규dep-금형상각후";#N/A,#N/A,FALSE,"신규dep-연구비상각후";#N/A,#N/A,FALSE,"신규dep-기계,공구상각후"}</definedName>
    <definedName name="ㅛ허ㅗ" localSheetId="3" hidden="1">{#N/A,#N/A,FALSE,"신규dep";#N/A,#N/A,FALSE,"신규dep-금형상각후";#N/A,#N/A,FALSE,"신규dep-연구비상각후";#N/A,#N/A,FALSE,"신규dep-기계,공구상각후"}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localSheetId="2" hidden="1">{#N/A,#N/A,FALSE,"단축1";#N/A,#N/A,FALSE,"단축2";#N/A,#N/A,FALSE,"단축3";#N/A,#N/A,FALSE,"장축";#N/A,#N/A,FALSE,"4WD"}</definedName>
    <definedName name="ㅛㅕ셔" localSheetId="3" hidden="1">{#N/A,#N/A,FALSE,"단축1";#N/A,#N/A,FALSE,"단축2";#N/A,#N/A,FALSE,"단축3";#N/A,#N/A,FALSE,"장축";#N/A,#N/A,FALSE,"4WD"}</definedName>
    <definedName name="ㅛㅕ셔" hidden="1">{#N/A,#N/A,FALSE,"단축1";#N/A,#N/A,FALSE,"단축2";#N/A,#N/A,FALSE,"단축3";#N/A,#N/A,FALSE,"장축";#N/A,#N/A,FALSE,"4WD"}</definedName>
    <definedName name="ㅛㅗㅎㅅㄺ" localSheetId="2" hidden="1">{#N/A,#N/A,FALSE,"단축1";#N/A,#N/A,FALSE,"단축2";#N/A,#N/A,FALSE,"단축3";#N/A,#N/A,FALSE,"장축";#N/A,#N/A,FALSE,"4WD"}</definedName>
    <definedName name="ㅛㅗㅎㅅㄺ" localSheetId="3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2" hidden="1">{#N/A,#N/A,FALSE,"단축1";#N/A,#N/A,FALSE,"단축2";#N/A,#N/A,FALSE,"단축3";#N/A,#N/A,FALSE,"장축";#N/A,#N/A,FALSE,"4WD"}</definedName>
    <definedName name="ㅛㅛ" localSheetId="3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localSheetId="2" hidden="1">{#N/A,#N/A,TRUE,"일정"}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ㅜㅜㅜㅜㅜㅜㅜ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localSheetId="2" hidden="1">{#N/A,#N/A,FALSE,"신규dep";#N/A,#N/A,FALSE,"신규dep-금형상각후";#N/A,#N/A,FALSE,"신규dep-연구비상각후";#N/A,#N/A,FALSE,"신규dep-기계,공구상각후"}</definedName>
    <definedName name="ㅜㅡㅓㅗㅎ" localSheetId="3" hidden="1">{#N/A,#N/A,FALSE,"신규dep";#N/A,#N/A,FALSE,"신규dep-금형상각후";#N/A,#N/A,FALSE,"신규dep-연구비상각후";#N/A,#N/A,FALSE,"신규dep-기계,공구상각후"}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localSheetId="2" hidden="1">{#N/A,#N/A,FALSE,"단축1";#N/A,#N/A,FALSE,"단축2";#N/A,#N/A,FALSE,"단축3";#N/A,#N/A,FALSE,"장축";#N/A,#N/A,FALSE,"4WD"}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ㅎㅀ" localSheetId="2" hidden="1">{#N/A,#N/A,FALSE,"단축1";#N/A,#N/A,FALSE,"단축2";#N/A,#N/A,FALSE,"단축3";#N/A,#N/A,FALSE,"장축";#N/A,#N/A,FALSE,"4WD"}</definedName>
    <definedName name="ㅠㅎㅀ" localSheetId="3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localSheetId="2" hidden="1">{#N/A,#N/A,FALSE,"단축1";#N/A,#N/A,FALSE,"단축2";#N/A,#N/A,FALSE,"단축3";#N/A,#N/A,FALSE,"장축";#N/A,#N/A,FALSE,"4WD"}</definedName>
    <definedName name="ㅠㅓㅣㅏ" localSheetId="3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localSheetId="2" hidden="1">{#N/A,#N/A,FALSE,"단축1";#N/A,#N/A,FALSE,"단축2";#N/A,#N/A,FALSE,"단축3";#N/A,#N/A,FALSE,"장축";#N/A,#N/A,FALSE,"4WD"}</definedName>
    <definedName name="ㅠㅜㅊ" localSheetId="3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localSheetId="2" hidden="1">{#N/A,#N/A,FALSE,"신규dep";#N/A,#N/A,FALSE,"신규dep-금형상각후";#N/A,#N/A,FALSE,"신규dep-연구비상각후";#N/A,#N/A,FALSE,"신규dep-기계,공구상각후"}</definedName>
    <definedName name="ㅠㅠㅜㅜㅜ" localSheetId="3" hidden="1">{#N/A,#N/A,FALSE,"신규dep";#N/A,#N/A,FALSE,"신규dep-금형상각후";#N/A,#N/A,FALSE,"신규dep-연구비상각후";#N/A,#N/A,FALSE,"신규dep-기계,공구상각후"}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localSheetId="2" hidden="1">{#N/A,#N/A,FALSE,"단축1";#N/A,#N/A,FALSE,"단축2";#N/A,#N/A,FALSE,"단축3";#N/A,#N/A,FALSE,"장축";#N/A,#N/A,FALSE,"4WD"}</definedName>
    <definedName name="ㅡㅡ" localSheetId="3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ㅣㅏㄹㅇㅌㄱㅎ" localSheetId="2" hidden="1">{#N/A,#N/A,FALSE,"단축1";#N/A,#N/A,FALSE,"단축2";#N/A,#N/A,FALSE,"단축3";#N/A,#N/A,FALSE,"장축";#N/A,#N/A,FALSE,"4WD"}</definedName>
    <definedName name="ㅣㅏㄹㅇㅌㄱㅎ" localSheetId="3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2" hidden="1">{#N/A,#N/A,FALSE,"Status";#N/A,#N/A,FALSE,"Deckblatt 1";#N/A,#N/A,FALSE,"Deckblatt2"}</definedName>
    <definedName name="ㅣㅏㅓ일ㄴ어" localSheetId="3" hidden="1">{#N/A,#N/A,FALSE,"Status";#N/A,#N/A,FALSE,"Deckblatt 1";#N/A,#N/A,FALSE,"Deckblatt2"}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5" l="1"/>
  <c r="E8" i="5"/>
  <c r="T156" i="24" l="1"/>
  <c r="V156" i="24" s="1"/>
  <c r="S156" i="24"/>
  <c r="U156" i="24" s="1"/>
  <c r="R156" i="24"/>
  <c r="Q156" i="24"/>
  <c r="P156" i="24"/>
  <c r="O156" i="24"/>
  <c r="T155" i="24"/>
  <c r="V155" i="24" s="1"/>
  <c r="S155" i="24"/>
  <c r="U155" i="24" s="1"/>
  <c r="R155" i="24"/>
  <c r="Q155" i="24"/>
  <c r="P155" i="24"/>
  <c r="O155" i="24"/>
  <c r="T104" i="24" l="1"/>
  <c r="V104" i="24" s="1"/>
  <c r="S104" i="24"/>
  <c r="U104" i="24" s="1"/>
  <c r="R104" i="24"/>
  <c r="Q104" i="24"/>
  <c r="P104" i="24"/>
  <c r="O104" i="24"/>
  <c r="T103" i="24"/>
  <c r="V103" i="24" s="1"/>
  <c r="S103" i="24"/>
  <c r="U103" i="24" s="1"/>
  <c r="R103" i="24"/>
  <c r="Q103" i="24"/>
  <c r="P103" i="24"/>
  <c r="O103" i="24"/>
  <c r="T102" i="24"/>
  <c r="V102" i="24" s="1"/>
  <c r="S102" i="24"/>
  <c r="U102" i="24" s="1"/>
  <c r="R102" i="24"/>
  <c r="Q102" i="24"/>
  <c r="P102" i="24"/>
  <c r="O102" i="24"/>
  <c r="T101" i="24"/>
  <c r="V101" i="24" s="1"/>
  <c r="S101" i="24"/>
  <c r="U101" i="24" s="1"/>
  <c r="R101" i="24"/>
  <c r="Q101" i="24"/>
  <c r="P101" i="24"/>
  <c r="O101" i="24"/>
  <c r="T97" i="24"/>
  <c r="V97" i="24" s="1"/>
  <c r="S97" i="24"/>
  <c r="U97" i="24" s="1"/>
  <c r="R97" i="24"/>
  <c r="Q97" i="24"/>
  <c r="P97" i="24"/>
  <c r="O97" i="24"/>
  <c r="T96" i="24"/>
  <c r="V96" i="24" s="1"/>
  <c r="S96" i="24"/>
  <c r="U96" i="24" s="1"/>
  <c r="R96" i="24"/>
  <c r="Q96" i="24"/>
  <c r="P96" i="24"/>
  <c r="O96" i="24"/>
  <c r="T95" i="24"/>
  <c r="V95" i="24" s="1"/>
  <c r="S95" i="24"/>
  <c r="U95" i="24" s="1"/>
  <c r="R95" i="24"/>
  <c r="Q95" i="24"/>
  <c r="P95" i="24"/>
  <c r="O95" i="24"/>
  <c r="T94" i="24"/>
  <c r="V94" i="24" s="1"/>
  <c r="S94" i="24"/>
  <c r="U94" i="24" s="1"/>
  <c r="R94" i="24"/>
  <c r="Q94" i="24"/>
  <c r="P94" i="24"/>
  <c r="O94" i="24"/>
  <c r="T154" i="24"/>
  <c r="V154" i="24" s="1"/>
  <c r="S154" i="24"/>
  <c r="U154" i="24" s="1"/>
  <c r="R154" i="24"/>
  <c r="Q154" i="24"/>
  <c r="P154" i="24"/>
  <c r="O154" i="24"/>
  <c r="T153" i="24"/>
  <c r="V153" i="24" s="1"/>
  <c r="S153" i="24"/>
  <c r="U153" i="24" s="1"/>
  <c r="R153" i="24"/>
  <c r="Q153" i="24"/>
  <c r="P153" i="24"/>
  <c r="O153" i="24"/>
  <c r="T152" i="24"/>
  <c r="V152" i="24" s="1"/>
  <c r="S152" i="24"/>
  <c r="U152" i="24" s="1"/>
  <c r="R152" i="24"/>
  <c r="Q152" i="24"/>
  <c r="P152" i="24"/>
  <c r="O152" i="24"/>
  <c r="T151" i="24"/>
  <c r="V151" i="24" s="1"/>
  <c r="S151" i="24"/>
  <c r="U151" i="24" s="1"/>
  <c r="R151" i="24"/>
  <c r="Q151" i="24"/>
  <c r="P151" i="24"/>
  <c r="O151" i="24"/>
  <c r="T150" i="24"/>
  <c r="V150" i="24" s="1"/>
  <c r="S150" i="24"/>
  <c r="U150" i="24" s="1"/>
  <c r="R150" i="24"/>
  <c r="Q150" i="24"/>
  <c r="P150" i="24"/>
  <c r="O150" i="24"/>
  <c r="V149" i="24"/>
  <c r="T149" i="24"/>
  <c r="S149" i="24"/>
  <c r="U149" i="24" s="1"/>
  <c r="R149" i="24"/>
  <c r="Q149" i="24"/>
  <c r="P149" i="24"/>
  <c r="O149" i="24"/>
  <c r="T148" i="24"/>
  <c r="V148" i="24" s="1"/>
  <c r="S148" i="24"/>
  <c r="U148" i="24" s="1"/>
  <c r="R148" i="24"/>
  <c r="Q148" i="24"/>
  <c r="P148" i="24"/>
  <c r="O148" i="24"/>
  <c r="T147" i="24"/>
  <c r="V147" i="24" s="1"/>
  <c r="S147" i="24"/>
  <c r="U147" i="24" s="1"/>
  <c r="R147" i="24"/>
  <c r="Q147" i="24"/>
  <c r="P147" i="24"/>
  <c r="O147" i="24"/>
  <c r="T146" i="24"/>
  <c r="V146" i="24" s="1"/>
  <c r="S146" i="24"/>
  <c r="U146" i="24" s="1"/>
  <c r="R146" i="24"/>
  <c r="Q146" i="24"/>
  <c r="P146" i="24"/>
  <c r="O146" i="24"/>
  <c r="T145" i="24"/>
  <c r="V145" i="24" s="1"/>
  <c r="S145" i="24"/>
  <c r="U145" i="24" s="1"/>
  <c r="R145" i="24"/>
  <c r="Q145" i="24"/>
  <c r="P145" i="24"/>
  <c r="O145" i="24"/>
  <c r="T144" i="24"/>
  <c r="V144" i="24" s="1"/>
  <c r="S144" i="24"/>
  <c r="U144" i="24" s="1"/>
  <c r="R144" i="24"/>
  <c r="Q144" i="24"/>
  <c r="P144" i="24"/>
  <c r="O144" i="24"/>
  <c r="T143" i="24"/>
  <c r="V143" i="24" s="1"/>
  <c r="S143" i="24"/>
  <c r="U143" i="24" s="1"/>
  <c r="R143" i="24"/>
  <c r="Q143" i="24"/>
  <c r="P143" i="24"/>
  <c r="O143" i="24"/>
  <c r="T142" i="24"/>
  <c r="V142" i="24" s="1"/>
  <c r="S142" i="24"/>
  <c r="U142" i="24" s="1"/>
  <c r="R142" i="24"/>
  <c r="Q142" i="24"/>
  <c r="P142" i="24"/>
  <c r="O142" i="24"/>
  <c r="T141" i="24"/>
  <c r="V141" i="24" s="1"/>
  <c r="S141" i="24"/>
  <c r="U141" i="24" s="1"/>
  <c r="R141" i="24"/>
  <c r="Q141" i="24"/>
  <c r="P141" i="24"/>
  <c r="O141" i="24"/>
  <c r="T140" i="24"/>
  <c r="V140" i="24" s="1"/>
  <c r="S140" i="24"/>
  <c r="U140" i="24" s="1"/>
  <c r="R140" i="24"/>
  <c r="Q140" i="24"/>
  <c r="P140" i="24"/>
  <c r="O140" i="24"/>
  <c r="T139" i="24"/>
  <c r="V139" i="24" s="1"/>
  <c r="S139" i="24"/>
  <c r="U139" i="24" s="1"/>
  <c r="R139" i="24"/>
  <c r="Q139" i="24"/>
  <c r="P139" i="24"/>
  <c r="O139" i="24"/>
  <c r="T138" i="24"/>
  <c r="V138" i="24" s="1"/>
  <c r="S138" i="24"/>
  <c r="U138" i="24" s="1"/>
  <c r="R138" i="24"/>
  <c r="Q138" i="24"/>
  <c r="P138" i="24"/>
  <c r="O138" i="24"/>
  <c r="T137" i="24"/>
  <c r="V137" i="24" s="1"/>
  <c r="S137" i="24"/>
  <c r="U137" i="24" s="1"/>
  <c r="R137" i="24"/>
  <c r="Q137" i="24"/>
  <c r="P137" i="24"/>
  <c r="O137" i="24"/>
  <c r="T136" i="24"/>
  <c r="V136" i="24" s="1"/>
  <c r="S136" i="24"/>
  <c r="U136" i="24" s="1"/>
  <c r="R136" i="24"/>
  <c r="Q136" i="24"/>
  <c r="P136" i="24"/>
  <c r="O136" i="24"/>
  <c r="T135" i="24"/>
  <c r="V135" i="24" s="1"/>
  <c r="S135" i="24"/>
  <c r="U135" i="24" s="1"/>
  <c r="R135" i="24"/>
  <c r="Q135" i="24"/>
  <c r="P135" i="24"/>
  <c r="O135" i="24"/>
  <c r="T134" i="24"/>
  <c r="V134" i="24" s="1"/>
  <c r="S134" i="24"/>
  <c r="U134" i="24" s="1"/>
  <c r="R134" i="24"/>
  <c r="Q134" i="24"/>
  <c r="P134" i="24"/>
  <c r="O134" i="24"/>
  <c r="V133" i="24"/>
  <c r="T133" i="24"/>
  <c r="S133" i="24"/>
  <c r="U133" i="24" s="1"/>
  <c r="R133" i="24"/>
  <c r="Q133" i="24"/>
  <c r="P133" i="24"/>
  <c r="O133" i="24"/>
  <c r="V132" i="24"/>
  <c r="T132" i="24"/>
  <c r="S132" i="24"/>
  <c r="U132" i="24" s="1"/>
  <c r="R132" i="24"/>
  <c r="Q132" i="24"/>
  <c r="P132" i="24"/>
  <c r="O132" i="24"/>
  <c r="V131" i="24"/>
  <c r="T131" i="24"/>
  <c r="S131" i="24"/>
  <c r="U131" i="24" s="1"/>
  <c r="R131" i="24"/>
  <c r="Q131" i="24"/>
  <c r="P131" i="24"/>
  <c r="O131" i="24"/>
  <c r="V130" i="24"/>
  <c r="T130" i="24"/>
  <c r="S130" i="24"/>
  <c r="U130" i="24" s="1"/>
  <c r="R130" i="24"/>
  <c r="Q130" i="24"/>
  <c r="P130" i="24"/>
  <c r="O130" i="24"/>
  <c r="V129" i="24"/>
  <c r="T129" i="24"/>
  <c r="S129" i="24"/>
  <c r="U129" i="24" s="1"/>
  <c r="R129" i="24"/>
  <c r="Q129" i="24"/>
  <c r="P129" i="24"/>
  <c r="O129" i="24"/>
  <c r="T128" i="24"/>
  <c r="V128" i="24" s="1"/>
  <c r="S128" i="24"/>
  <c r="U128" i="24" s="1"/>
  <c r="R128" i="24"/>
  <c r="Q128" i="24"/>
  <c r="P128" i="24"/>
  <c r="O128" i="24"/>
  <c r="V127" i="24"/>
  <c r="T127" i="24"/>
  <c r="S127" i="24"/>
  <c r="U127" i="24" s="1"/>
  <c r="R127" i="24"/>
  <c r="Q127" i="24"/>
  <c r="P127" i="24"/>
  <c r="O127" i="24"/>
  <c r="V126" i="24"/>
  <c r="T126" i="24"/>
  <c r="S126" i="24"/>
  <c r="U126" i="24" s="1"/>
  <c r="R126" i="24"/>
  <c r="Q126" i="24"/>
  <c r="P126" i="24"/>
  <c r="O126" i="24"/>
  <c r="V125" i="24"/>
  <c r="T125" i="24"/>
  <c r="S125" i="24"/>
  <c r="U125" i="24" s="1"/>
  <c r="R125" i="24"/>
  <c r="Q125" i="24"/>
  <c r="P125" i="24"/>
  <c r="O125" i="24"/>
  <c r="V124" i="24"/>
  <c r="T124" i="24"/>
  <c r="S124" i="24"/>
  <c r="U124" i="24" s="1"/>
  <c r="R124" i="24"/>
  <c r="Q124" i="24"/>
  <c r="P124" i="24"/>
  <c r="O124" i="24"/>
  <c r="V123" i="24"/>
  <c r="T123" i="24"/>
  <c r="S123" i="24"/>
  <c r="U123" i="24" s="1"/>
  <c r="R123" i="24"/>
  <c r="Q123" i="24"/>
  <c r="P123" i="24"/>
  <c r="O123" i="24"/>
  <c r="T122" i="24"/>
  <c r="V122" i="24" s="1"/>
  <c r="S122" i="24"/>
  <c r="U122" i="24" s="1"/>
  <c r="R122" i="24"/>
  <c r="Q122" i="24"/>
  <c r="P122" i="24"/>
  <c r="O122" i="24"/>
  <c r="V121" i="24"/>
  <c r="T121" i="24"/>
  <c r="S121" i="24"/>
  <c r="U121" i="24" s="1"/>
  <c r="R121" i="24"/>
  <c r="Q121" i="24"/>
  <c r="P121" i="24"/>
  <c r="O121" i="24"/>
  <c r="V120" i="24"/>
  <c r="T120" i="24"/>
  <c r="S120" i="24"/>
  <c r="U120" i="24" s="1"/>
  <c r="R120" i="24"/>
  <c r="Q120" i="24"/>
  <c r="P120" i="24"/>
  <c r="O120" i="24"/>
  <c r="V119" i="24"/>
  <c r="T119" i="24"/>
  <c r="S119" i="24"/>
  <c r="U119" i="24" s="1"/>
  <c r="R119" i="24"/>
  <c r="Q119" i="24"/>
  <c r="P119" i="24"/>
  <c r="O119" i="24"/>
  <c r="V118" i="24"/>
  <c r="T118" i="24"/>
  <c r="S118" i="24"/>
  <c r="U118" i="24" s="1"/>
  <c r="R118" i="24"/>
  <c r="Q118" i="24"/>
  <c r="P118" i="24"/>
  <c r="O118" i="24"/>
  <c r="V117" i="24"/>
  <c r="T117" i="24"/>
  <c r="S117" i="24"/>
  <c r="U117" i="24" s="1"/>
  <c r="R117" i="24"/>
  <c r="Q117" i="24"/>
  <c r="P117" i="24"/>
  <c r="O117" i="24"/>
  <c r="T116" i="24"/>
  <c r="V116" i="24" s="1"/>
  <c r="S116" i="24"/>
  <c r="U116" i="24" s="1"/>
  <c r="R116" i="24"/>
  <c r="Q116" i="24"/>
  <c r="P116" i="24"/>
  <c r="O116" i="24"/>
  <c r="V115" i="24"/>
  <c r="T115" i="24"/>
  <c r="S115" i="24"/>
  <c r="U115" i="24" s="1"/>
  <c r="R115" i="24"/>
  <c r="Q115" i="24"/>
  <c r="P115" i="24"/>
  <c r="O115" i="24"/>
  <c r="V114" i="24"/>
  <c r="T114" i="24"/>
  <c r="S114" i="24"/>
  <c r="U114" i="24" s="1"/>
  <c r="R114" i="24"/>
  <c r="Q114" i="24"/>
  <c r="P114" i="24"/>
  <c r="O114" i="24"/>
  <c r="V113" i="24"/>
  <c r="T113" i="24"/>
  <c r="S113" i="24"/>
  <c r="U113" i="24" s="1"/>
  <c r="R113" i="24"/>
  <c r="Q113" i="24"/>
  <c r="P113" i="24"/>
  <c r="O113" i="24"/>
  <c r="V112" i="24"/>
  <c r="T112" i="24"/>
  <c r="S112" i="24"/>
  <c r="U112" i="24" s="1"/>
  <c r="R112" i="24"/>
  <c r="Q112" i="24"/>
  <c r="P112" i="24"/>
  <c r="O112" i="24"/>
  <c r="V111" i="24"/>
  <c r="T111" i="24"/>
  <c r="S111" i="24"/>
  <c r="U111" i="24" s="1"/>
  <c r="R111" i="24"/>
  <c r="Q111" i="24"/>
  <c r="P111" i="24"/>
  <c r="O111" i="24"/>
  <c r="T110" i="24"/>
  <c r="V110" i="24" s="1"/>
  <c r="S110" i="24"/>
  <c r="U110" i="24" s="1"/>
  <c r="R110" i="24"/>
  <c r="Q110" i="24"/>
  <c r="P110" i="24"/>
  <c r="O110" i="24"/>
  <c r="T109" i="24"/>
  <c r="V109" i="24" s="1"/>
  <c r="S109" i="24"/>
  <c r="U109" i="24" s="1"/>
  <c r="R109" i="24"/>
  <c r="Q109" i="24"/>
  <c r="P109" i="24"/>
  <c r="O109" i="24"/>
  <c r="T108" i="24"/>
  <c r="V108" i="24" s="1"/>
  <c r="S108" i="24"/>
  <c r="U108" i="24" s="1"/>
  <c r="R108" i="24"/>
  <c r="Q108" i="24"/>
  <c r="P108" i="24"/>
  <c r="O108" i="24"/>
  <c r="T107" i="24"/>
  <c r="V107" i="24" s="1"/>
  <c r="S107" i="24"/>
  <c r="U107" i="24" s="1"/>
  <c r="R107" i="24"/>
  <c r="Q107" i="24"/>
  <c r="P107" i="24"/>
  <c r="O107" i="24"/>
  <c r="T106" i="24"/>
  <c r="V106" i="24" s="1"/>
  <c r="S106" i="24"/>
  <c r="U106" i="24" s="1"/>
  <c r="R106" i="24"/>
  <c r="Q106" i="24"/>
  <c r="P106" i="24"/>
  <c r="O106" i="24"/>
  <c r="T105" i="24"/>
  <c r="V105" i="24" s="1"/>
  <c r="S105" i="24"/>
  <c r="U105" i="24" s="1"/>
  <c r="R105" i="24"/>
  <c r="Q105" i="24"/>
  <c r="P105" i="24"/>
  <c r="O105" i="24"/>
  <c r="T100" i="24"/>
  <c r="V100" i="24" s="1"/>
  <c r="S100" i="24"/>
  <c r="U100" i="24" s="1"/>
  <c r="R100" i="24"/>
  <c r="Q100" i="24"/>
  <c r="P100" i="24"/>
  <c r="O100" i="24"/>
  <c r="T99" i="24"/>
  <c r="V99" i="24" s="1"/>
  <c r="S99" i="24"/>
  <c r="U99" i="24" s="1"/>
  <c r="R99" i="24"/>
  <c r="Q99" i="24"/>
  <c r="P99" i="24"/>
  <c r="O99" i="24"/>
  <c r="T98" i="24"/>
  <c r="V98" i="24" s="1"/>
  <c r="S98" i="24"/>
  <c r="U98" i="24" s="1"/>
  <c r="R98" i="24"/>
  <c r="Q98" i="24"/>
  <c r="P98" i="24"/>
  <c r="O98" i="24"/>
  <c r="T93" i="24"/>
  <c r="V93" i="24" s="1"/>
  <c r="S93" i="24"/>
  <c r="U93" i="24" s="1"/>
  <c r="R93" i="24"/>
  <c r="Q93" i="24"/>
  <c r="P93" i="24"/>
  <c r="O93" i="24"/>
  <c r="T92" i="24"/>
  <c r="V92" i="24" s="1"/>
  <c r="S92" i="24"/>
  <c r="U92" i="24" s="1"/>
  <c r="R92" i="24"/>
  <c r="Q92" i="24"/>
  <c r="P92" i="24"/>
  <c r="O92" i="24"/>
  <c r="T91" i="24"/>
  <c r="V91" i="24" s="1"/>
  <c r="S91" i="24"/>
  <c r="U91" i="24" s="1"/>
  <c r="R91" i="24"/>
  <c r="Q91" i="24"/>
  <c r="P91" i="24"/>
  <c r="O91" i="24"/>
  <c r="T90" i="24"/>
  <c r="V90" i="24" s="1"/>
  <c r="S90" i="24"/>
  <c r="U90" i="24" s="1"/>
  <c r="R90" i="24"/>
  <c r="Q90" i="24"/>
  <c r="P90" i="24"/>
  <c r="O90" i="24"/>
  <c r="T89" i="24"/>
  <c r="V89" i="24" s="1"/>
  <c r="S89" i="24"/>
  <c r="U89" i="24" s="1"/>
  <c r="R89" i="24"/>
  <c r="Q89" i="24"/>
  <c r="P89" i="24"/>
  <c r="O89" i="24"/>
  <c r="T88" i="24"/>
  <c r="V88" i="24" s="1"/>
  <c r="S88" i="24"/>
  <c r="U88" i="24" s="1"/>
  <c r="R88" i="24"/>
  <c r="Q88" i="24"/>
  <c r="P88" i="24"/>
  <c r="O88" i="24"/>
  <c r="T87" i="24"/>
  <c r="V87" i="24" s="1"/>
  <c r="S87" i="24"/>
  <c r="U87" i="24" s="1"/>
  <c r="R87" i="24"/>
  <c r="Q87" i="24"/>
  <c r="P87" i="24"/>
  <c r="O87" i="24"/>
  <c r="T86" i="24"/>
  <c r="V86" i="24" s="1"/>
  <c r="S86" i="24"/>
  <c r="U86" i="24" s="1"/>
  <c r="R86" i="24"/>
  <c r="Q86" i="24"/>
  <c r="P86" i="24"/>
  <c r="O86" i="24"/>
  <c r="T85" i="24"/>
  <c r="V85" i="24" s="1"/>
  <c r="S85" i="24"/>
  <c r="U85" i="24" s="1"/>
  <c r="R85" i="24"/>
  <c r="Q85" i="24"/>
  <c r="P85" i="24"/>
  <c r="O85" i="24"/>
  <c r="T84" i="24"/>
  <c r="V84" i="24" s="1"/>
  <c r="S84" i="24"/>
  <c r="U84" i="24" s="1"/>
  <c r="R84" i="24"/>
  <c r="Q84" i="24"/>
  <c r="P84" i="24"/>
  <c r="O84" i="24"/>
  <c r="T83" i="24"/>
  <c r="V83" i="24" s="1"/>
  <c r="S83" i="24"/>
  <c r="U83" i="24" s="1"/>
  <c r="R83" i="24"/>
  <c r="Q83" i="24"/>
  <c r="P83" i="24"/>
  <c r="O83" i="24"/>
  <c r="T82" i="24"/>
  <c r="V82" i="24" s="1"/>
  <c r="S82" i="24"/>
  <c r="U82" i="24" s="1"/>
  <c r="R82" i="24"/>
  <c r="Q82" i="24"/>
  <c r="P82" i="24"/>
  <c r="O82" i="24"/>
  <c r="T81" i="24"/>
  <c r="V81" i="24" s="1"/>
  <c r="S81" i="24"/>
  <c r="U81" i="24" s="1"/>
  <c r="R81" i="24"/>
  <c r="Q81" i="24"/>
  <c r="P81" i="24"/>
  <c r="O81" i="24"/>
  <c r="T80" i="24"/>
  <c r="V80" i="24" s="1"/>
  <c r="S80" i="24"/>
  <c r="U80" i="24" s="1"/>
  <c r="R80" i="24"/>
  <c r="Q80" i="24"/>
  <c r="P80" i="24"/>
  <c r="O80" i="24"/>
  <c r="V79" i="24"/>
  <c r="T79" i="24"/>
  <c r="S79" i="24"/>
  <c r="U79" i="24" s="1"/>
  <c r="R79" i="24"/>
  <c r="Q79" i="24"/>
  <c r="P79" i="24"/>
  <c r="O79" i="24"/>
  <c r="T78" i="24"/>
  <c r="V78" i="24" s="1"/>
  <c r="S78" i="24"/>
  <c r="U78" i="24" s="1"/>
  <c r="R78" i="24"/>
  <c r="Q78" i="24"/>
  <c r="P78" i="24"/>
  <c r="O78" i="24"/>
  <c r="T77" i="24"/>
  <c r="V77" i="24" s="1"/>
  <c r="S77" i="24"/>
  <c r="U77" i="24" s="1"/>
  <c r="R77" i="24"/>
  <c r="Q77" i="24"/>
  <c r="P77" i="24"/>
  <c r="O77" i="24"/>
  <c r="T76" i="24"/>
  <c r="V76" i="24" s="1"/>
  <c r="S76" i="24"/>
  <c r="U76" i="24" s="1"/>
  <c r="R76" i="24"/>
  <c r="Q76" i="24"/>
  <c r="P76" i="24"/>
  <c r="O76" i="24"/>
  <c r="V75" i="24"/>
  <c r="T75" i="24"/>
  <c r="S75" i="24"/>
  <c r="U75" i="24" s="1"/>
  <c r="R75" i="24"/>
  <c r="Q75" i="24"/>
  <c r="P75" i="24"/>
  <c r="O75" i="24"/>
  <c r="V74" i="24"/>
  <c r="T74" i="24"/>
  <c r="S74" i="24"/>
  <c r="U74" i="24" s="1"/>
  <c r="R74" i="24"/>
  <c r="Q74" i="24"/>
  <c r="P74" i="24"/>
  <c r="O74" i="24"/>
  <c r="V73" i="24"/>
  <c r="T73" i="24"/>
  <c r="S73" i="24"/>
  <c r="U73" i="24" s="1"/>
  <c r="R73" i="24"/>
  <c r="Q73" i="24"/>
  <c r="P73" i="24"/>
  <c r="O73" i="24"/>
  <c r="V72" i="24"/>
  <c r="T72" i="24"/>
  <c r="S72" i="24"/>
  <c r="U72" i="24" s="1"/>
  <c r="R72" i="24"/>
  <c r="Q72" i="24"/>
  <c r="P72" i="24"/>
  <c r="O72" i="24"/>
  <c r="T71" i="24"/>
  <c r="V71" i="24" s="1"/>
  <c r="S71" i="24"/>
  <c r="U71" i="24" s="1"/>
  <c r="R71" i="24"/>
  <c r="Q71" i="24"/>
  <c r="P71" i="24"/>
  <c r="O71" i="24"/>
  <c r="T70" i="24"/>
  <c r="V70" i="24" s="1"/>
  <c r="S70" i="24"/>
  <c r="U70" i="24" s="1"/>
  <c r="R70" i="24"/>
  <c r="Q70" i="24"/>
  <c r="P70" i="24"/>
  <c r="O70" i="24"/>
  <c r="T69" i="24"/>
  <c r="V69" i="24" s="1"/>
  <c r="S69" i="24"/>
  <c r="U69" i="24" s="1"/>
  <c r="R69" i="24"/>
  <c r="Q69" i="24"/>
  <c r="P69" i="24"/>
  <c r="O69" i="24"/>
  <c r="T68" i="24"/>
  <c r="V68" i="24" s="1"/>
  <c r="S68" i="24"/>
  <c r="U68" i="24" s="1"/>
  <c r="R68" i="24"/>
  <c r="Q68" i="24"/>
  <c r="P68" i="24"/>
  <c r="O68" i="24"/>
  <c r="T67" i="24"/>
  <c r="V67" i="24" s="1"/>
  <c r="S67" i="24"/>
  <c r="U67" i="24" s="1"/>
  <c r="R67" i="24"/>
  <c r="Q67" i="24"/>
  <c r="P67" i="24"/>
  <c r="O67" i="24"/>
  <c r="T66" i="24"/>
  <c r="V66" i="24" s="1"/>
  <c r="S66" i="24"/>
  <c r="U66" i="24" s="1"/>
  <c r="R66" i="24"/>
  <c r="Q66" i="24"/>
  <c r="P66" i="24"/>
  <c r="O66" i="24"/>
  <c r="T65" i="24"/>
  <c r="V65" i="24" s="1"/>
  <c r="S65" i="24"/>
  <c r="U65" i="24" s="1"/>
  <c r="R65" i="24"/>
  <c r="Q65" i="24"/>
  <c r="P65" i="24"/>
  <c r="O65" i="24"/>
  <c r="T64" i="24"/>
  <c r="V64" i="24" s="1"/>
  <c r="S64" i="24"/>
  <c r="U64" i="24" s="1"/>
  <c r="R64" i="24"/>
  <c r="Q64" i="24"/>
  <c r="P64" i="24"/>
  <c r="O64" i="24"/>
  <c r="T63" i="24"/>
  <c r="V63" i="24" s="1"/>
  <c r="S63" i="24"/>
  <c r="U63" i="24" s="1"/>
  <c r="R63" i="24"/>
  <c r="Q63" i="24"/>
  <c r="P63" i="24"/>
  <c r="O63" i="24"/>
  <c r="T62" i="24"/>
  <c r="V62" i="24" s="1"/>
  <c r="S62" i="24"/>
  <c r="U62" i="24" s="1"/>
  <c r="R62" i="24"/>
  <c r="Q62" i="24"/>
  <c r="P62" i="24"/>
  <c r="O62" i="24"/>
  <c r="T61" i="24"/>
  <c r="V61" i="24" s="1"/>
  <c r="S61" i="24"/>
  <c r="U61" i="24" s="1"/>
  <c r="R61" i="24"/>
  <c r="Q61" i="24"/>
  <c r="P61" i="24"/>
  <c r="O61" i="24"/>
  <c r="T60" i="24"/>
  <c r="V60" i="24" s="1"/>
  <c r="S60" i="24"/>
  <c r="U60" i="24" s="1"/>
  <c r="R60" i="24"/>
  <c r="Q60" i="24"/>
  <c r="P60" i="24"/>
  <c r="O60" i="24"/>
  <c r="T59" i="24"/>
  <c r="V59" i="24" s="1"/>
  <c r="S59" i="24"/>
  <c r="U59" i="24" s="1"/>
  <c r="R59" i="24"/>
  <c r="Q59" i="24"/>
  <c r="P59" i="24"/>
  <c r="O59" i="24"/>
  <c r="T58" i="24"/>
  <c r="V58" i="24" s="1"/>
  <c r="S58" i="24"/>
  <c r="U58" i="24" s="1"/>
  <c r="R58" i="24"/>
  <c r="Q58" i="24"/>
  <c r="P58" i="24"/>
  <c r="O58" i="24"/>
  <c r="T57" i="24"/>
  <c r="V57" i="24" s="1"/>
  <c r="S57" i="24"/>
  <c r="U57" i="24" s="1"/>
  <c r="R57" i="24"/>
  <c r="Q57" i="24"/>
  <c r="P57" i="24"/>
  <c r="O57" i="24"/>
  <c r="T56" i="24"/>
  <c r="V56" i="24" s="1"/>
  <c r="S56" i="24"/>
  <c r="U56" i="24" s="1"/>
  <c r="R56" i="24"/>
  <c r="Q56" i="24"/>
  <c r="P56" i="24"/>
  <c r="O56" i="24"/>
  <c r="T55" i="24"/>
  <c r="V55" i="24" s="1"/>
  <c r="S55" i="24"/>
  <c r="U55" i="24" s="1"/>
  <c r="R55" i="24"/>
  <c r="Q55" i="24"/>
  <c r="P55" i="24"/>
  <c r="O55" i="24"/>
  <c r="T54" i="24"/>
  <c r="V54" i="24" s="1"/>
  <c r="S54" i="24"/>
  <c r="U54" i="24" s="1"/>
  <c r="R54" i="24"/>
  <c r="Q54" i="24"/>
  <c r="P54" i="24"/>
  <c r="O54" i="24"/>
  <c r="T53" i="24"/>
  <c r="V53" i="24" s="1"/>
  <c r="S53" i="24"/>
  <c r="U53" i="24" s="1"/>
  <c r="R53" i="24"/>
  <c r="Q53" i="24"/>
  <c r="P53" i="24"/>
  <c r="O53" i="24"/>
  <c r="T52" i="24"/>
  <c r="V52" i="24" s="1"/>
  <c r="S52" i="24"/>
  <c r="U52" i="24" s="1"/>
  <c r="R52" i="24"/>
  <c r="Q52" i="24"/>
  <c r="P52" i="24"/>
  <c r="O52" i="24"/>
  <c r="T51" i="24"/>
  <c r="V51" i="24" s="1"/>
  <c r="S51" i="24"/>
  <c r="U51" i="24" s="1"/>
  <c r="R51" i="24"/>
  <c r="Q51" i="24"/>
  <c r="P51" i="24"/>
  <c r="O51" i="24"/>
  <c r="T50" i="24"/>
  <c r="V50" i="24" s="1"/>
  <c r="S50" i="24"/>
  <c r="U50" i="24" s="1"/>
  <c r="R50" i="24"/>
  <c r="Q50" i="24"/>
  <c r="P50" i="24"/>
  <c r="O50" i="24"/>
  <c r="T49" i="24"/>
  <c r="V49" i="24" s="1"/>
  <c r="S49" i="24"/>
  <c r="U49" i="24" s="1"/>
  <c r="R49" i="24"/>
  <c r="Q49" i="24"/>
  <c r="P49" i="24"/>
  <c r="O49" i="24"/>
  <c r="T48" i="24"/>
  <c r="V48" i="24" s="1"/>
  <c r="S48" i="24"/>
  <c r="U48" i="24" s="1"/>
  <c r="R48" i="24"/>
  <c r="Q48" i="24"/>
  <c r="P48" i="24"/>
  <c r="O48" i="24"/>
  <c r="T47" i="24"/>
  <c r="V47" i="24" s="1"/>
  <c r="S47" i="24"/>
  <c r="U47" i="24" s="1"/>
  <c r="R47" i="24"/>
  <c r="Q47" i="24"/>
  <c r="P47" i="24"/>
  <c r="O47" i="24"/>
  <c r="T46" i="24"/>
  <c r="V46" i="24" s="1"/>
  <c r="S46" i="24"/>
  <c r="U46" i="24" s="1"/>
  <c r="R46" i="24"/>
  <c r="Q46" i="24"/>
  <c r="P46" i="24"/>
  <c r="O46" i="24"/>
  <c r="T45" i="24"/>
  <c r="V45" i="24" s="1"/>
  <c r="S45" i="24"/>
  <c r="U45" i="24" s="1"/>
  <c r="R45" i="24"/>
  <c r="Q45" i="24"/>
  <c r="P45" i="24"/>
  <c r="O45" i="24"/>
  <c r="T44" i="24"/>
  <c r="V44" i="24" s="1"/>
  <c r="S44" i="24"/>
  <c r="U44" i="24" s="1"/>
  <c r="R44" i="24"/>
  <c r="Q44" i="24"/>
  <c r="P44" i="24"/>
  <c r="O44" i="24"/>
  <c r="T43" i="24"/>
  <c r="V43" i="24" s="1"/>
  <c r="S43" i="24"/>
  <c r="U43" i="24" s="1"/>
  <c r="R43" i="24"/>
  <c r="Q43" i="24"/>
  <c r="P43" i="24"/>
  <c r="O43" i="24"/>
  <c r="T42" i="24"/>
  <c r="V42" i="24" s="1"/>
  <c r="S42" i="24"/>
  <c r="U42" i="24" s="1"/>
  <c r="R42" i="24"/>
  <c r="Q42" i="24"/>
  <c r="P42" i="24"/>
  <c r="O42" i="24"/>
  <c r="T41" i="24"/>
  <c r="V41" i="24" s="1"/>
  <c r="S41" i="24"/>
  <c r="U41" i="24" s="1"/>
  <c r="R41" i="24"/>
  <c r="Q41" i="24"/>
  <c r="P41" i="24"/>
  <c r="O41" i="24"/>
  <c r="T40" i="24"/>
  <c r="V40" i="24" s="1"/>
  <c r="S40" i="24"/>
  <c r="U40" i="24" s="1"/>
  <c r="R40" i="24"/>
  <c r="Q40" i="24"/>
  <c r="P40" i="24"/>
  <c r="O40" i="24"/>
  <c r="T39" i="24"/>
  <c r="V39" i="24" s="1"/>
  <c r="S39" i="24"/>
  <c r="U39" i="24" s="1"/>
  <c r="R39" i="24"/>
  <c r="Q39" i="24"/>
  <c r="P39" i="24"/>
  <c r="O39" i="24"/>
  <c r="T38" i="24"/>
  <c r="V38" i="24" s="1"/>
  <c r="S38" i="24"/>
  <c r="U38" i="24" s="1"/>
  <c r="R38" i="24"/>
  <c r="Q38" i="24"/>
  <c r="P38" i="24"/>
  <c r="O38" i="24"/>
  <c r="T37" i="24"/>
  <c r="V37" i="24" s="1"/>
  <c r="S37" i="24"/>
  <c r="U37" i="24" s="1"/>
  <c r="R37" i="24"/>
  <c r="Q37" i="24"/>
  <c r="P37" i="24"/>
  <c r="O37" i="24"/>
  <c r="T36" i="24"/>
  <c r="V36" i="24" s="1"/>
  <c r="S36" i="24"/>
  <c r="U36" i="24" s="1"/>
  <c r="R36" i="24"/>
  <c r="Q36" i="24"/>
  <c r="P36" i="24"/>
  <c r="O36" i="24"/>
  <c r="T35" i="24"/>
  <c r="V35" i="24" s="1"/>
  <c r="S35" i="24"/>
  <c r="U35" i="24" s="1"/>
  <c r="R35" i="24"/>
  <c r="Q35" i="24"/>
  <c r="P35" i="24"/>
  <c r="O35" i="24"/>
  <c r="T34" i="24"/>
  <c r="S34" i="24"/>
  <c r="R34" i="24"/>
  <c r="Q34" i="24"/>
  <c r="P34" i="24"/>
  <c r="O34" i="24"/>
  <c r="T33" i="24"/>
  <c r="V33" i="24" s="1"/>
  <c r="S33" i="24"/>
  <c r="U33" i="24" s="1"/>
  <c r="R33" i="24"/>
  <c r="Q33" i="24"/>
  <c r="P33" i="24"/>
  <c r="O33" i="24"/>
  <c r="T32" i="24"/>
  <c r="V32" i="24" s="1"/>
  <c r="S32" i="24"/>
  <c r="U32" i="24" s="1"/>
  <c r="R32" i="24"/>
  <c r="Q32" i="24"/>
  <c r="P32" i="24"/>
  <c r="O32" i="24"/>
  <c r="T31" i="24"/>
  <c r="V31" i="24" s="1"/>
  <c r="S31" i="24"/>
  <c r="U31" i="24" s="1"/>
  <c r="R31" i="24"/>
  <c r="Q31" i="24"/>
  <c r="P31" i="24"/>
  <c r="O31" i="24"/>
  <c r="T30" i="24"/>
  <c r="V30" i="24" s="1"/>
  <c r="S30" i="24"/>
  <c r="U30" i="24" s="1"/>
  <c r="R30" i="24"/>
  <c r="Q30" i="24"/>
  <c r="P30" i="24"/>
  <c r="O30" i="24"/>
  <c r="T29" i="24"/>
  <c r="V29" i="24" s="1"/>
  <c r="S29" i="24"/>
  <c r="U29" i="24" s="1"/>
  <c r="R29" i="24"/>
  <c r="Q29" i="24"/>
  <c r="P29" i="24"/>
  <c r="O29" i="24"/>
  <c r="T28" i="24"/>
  <c r="V28" i="24" s="1"/>
  <c r="S28" i="24"/>
  <c r="U28" i="24" s="1"/>
  <c r="R28" i="24"/>
  <c r="Q28" i="24"/>
  <c r="P28" i="24"/>
  <c r="O28" i="24"/>
  <c r="V27" i="24"/>
  <c r="T27" i="24"/>
  <c r="S27" i="24"/>
  <c r="U27" i="24" s="1"/>
  <c r="R27" i="24"/>
  <c r="Q27" i="24"/>
  <c r="P27" i="24"/>
  <c r="O27" i="24"/>
  <c r="T26" i="24"/>
  <c r="V26" i="24" s="1"/>
  <c r="S26" i="24"/>
  <c r="U26" i="24" s="1"/>
  <c r="R26" i="24"/>
  <c r="Q26" i="24"/>
  <c r="P26" i="24"/>
  <c r="O26" i="24"/>
  <c r="T25" i="24"/>
  <c r="V25" i="24" s="1"/>
  <c r="S25" i="24"/>
  <c r="U25" i="24" s="1"/>
  <c r="R25" i="24"/>
  <c r="Q25" i="24"/>
  <c r="P25" i="24"/>
  <c r="O25" i="24"/>
  <c r="T24" i="24"/>
  <c r="V24" i="24" s="1"/>
  <c r="S24" i="24"/>
  <c r="U24" i="24" s="1"/>
  <c r="R24" i="24"/>
  <c r="Q24" i="24"/>
  <c r="P24" i="24"/>
  <c r="O24" i="24"/>
  <c r="T23" i="24"/>
  <c r="V23" i="24" s="1"/>
  <c r="S23" i="24"/>
  <c r="U23" i="24" s="1"/>
  <c r="R23" i="24"/>
  <c r="Q23" i="24"/>
  <c r="P23" i="24"/>
  <c r="O23" i="24"/>
  <c r="T22" i="24"/>
  <c r="V22" i="24" s="1"/>
  <c r="S22" i="24"/>
  <c r="U22" i="24" s="1"/>
  <c r="R22" i="24"/>
  <c r="Q22" i="24"/>
  <c r="P22" i="24"/>
  <c r="O22" i="24"/>
  <c r="T21" i="24"/>
  <c r="V21" i="24" s="1"/>
  <c r="S21" i="24"/>
  <c r="U21" i="24" s="1"/>
  <c r="R21" i="24"/>
  <c r="Q21" i="24"/>
  <c r="P21" i="24"/>
  <c r="O21" i="24"/>
  <c r="T20" i="24"/>
  <c r="V20" i="24" s="1"/>
  <c r="S20" i="24"/>
  <c r="U20" i="24" s="1"/>
  <c r="R20" i="24"/>
  <c r="Q20" i="24"/>
  <c r="P20" i="24"/>
  <c r="O20" i="24"/>
  <c r="T19" i="24"/>
  <c r="V19" i="24" s="1"/>
  <c r="S19" i="24"/>
  <c r="U19" i="24" s="1"/>
  <c r="R19" i="24"/>
  <c r="Q19" i="24"/>
  <c r="P19" i="24"/>
  <c r="O19" i="24"/>
  <c r="T18" i="24"/>
  <c r="V18" i="24" s="1"/>
  <c r="S18" i="24"/>
  <c r="U18" i="24" s="1"/>
  <c r="R18" i="24"/>
  <c r="Q18" i="24"/>
  <c r="P18" i="24"/>
  <c r="O18" i="24"/>
  <c r="T17" i="24"/>
  <c r="V17" i="24" s="1"/>
  <c r="S17" i="24"/>
  <c r="U17" i="24" s="1"/>
  <c r="R17" i="24"/>
  <c r="Q17" i="24"/>
  <c r="P17" i="24"/>
  <c r="O17" i="24"/>
  <c r="T16" i="24"/>
  <c r="V16" i="24" s="1"/>
  <c r="S16" i="24"/>
  <c r="U16" i="24" s="1"/>
  <c r="R16" i="24"/>
  <c r="Q16" i="24"/>
  <c r="P16" i="24"/>
  <c r="O16" i="24"/>
  <c r="T15" i="24"/>
  <c r="V15" i="24" s="1"/>
  <c r="S15" i="24"/>
  <c r="U15" i="24" s="1"/>
  <c r="R15" i="24"/>
  <c r="Q15" i="24"/>
  <c r="P15" i="24"/>
  <c r="O15" i="24"/>
  <c r="T14" i="24"/>
  <c r="V14" i="24" s="1"/>
  <c r="S14" i="24"/>
  <c r="U14" i="24" s="1"/>
  <c r="R14" i="24"/>
  <c r="Q14" i="24"/>
  <c r="P14" i="24"/>
  <c r="O14" i="24"/>
  <c r="T13" i="24"/>
  <c r="V13" i="24" s="1"/>
  <c r="S13" i="24"/>
  <c r="U13" i="24" s="1"/>
  <c r="R13" i="24"/>
  <c r="Q13" i="24"/>
  <c r="P13" i="24"/>
  <c r="O13" i="24"/>
  <c r="T12" i="24"/>
  <c r="V12" i="24" s="1"/>
  <c r="S12" i="24"/>
  <c r="U12" i="24" s="1"/>
  <c r="R12" i="24"/>
  <c r="Q12" i="24"/>
  <c r="P12" i="24"/>
  <c r="O12" i="24"/>
  <c r="T11" i="24"/>
  <c r="V11" i="24" s="1"/>
  <c r="S11" i="24"/>
  <c r="U11" i="24" s="1"/>
  <c r="R11" i="24"/>
  <c r="Q11" i="24"/>
  <c r="P11" i="24"/>
  <c r="O11" i="24"/>
  <c r="V10" i="24"/>
  <c r="T10" i="24"/>
  <c r="S10" i="24"/>
  <c r="U10" i="24" s="1"/>
  <c r="R10" i="24"/>
  <c r="Q10" i="24"/>
  <c r="P10" i="24"/>
  <c r="O10" i="24"/>
  <c r="V9" i="24"/>
  <c r="T9" i="24"/>
  <c r="S9" i="24"/>
  <c r="U9" i="24" s="1"/>
  <c r="R9" i="24"/>
  <c r="Q9" i="24"/>
  <c r="P9" i="24"/>
  <c r="O9" i="24"/>
  <c r="V8" i="24"/>
  <c r="T8" i="24"/>
  <c r="S8" i="24"/>
  <c r="U8" i="24" s="1"/>
  <c r="R8" i="24"/>
  <c r="Q8" i="24"/>
  <c r="P8" i="24"/>
  <c r="O8" i="24"/>
  <c r="V7" i="24"/>
  <c r="T7" i="24"/>
  <c r="S7" i="24"/>
  <c r="U7" i="24" s="1"/>
  <c r="R7" i="24"/>
  <c r="Q7" i="24"/>
  <c r="P7" i="24"/>
  <c r="O7" i="24"/>
  <c r="V6" i="24"/>
  <c r="T6" i="24"/>
  <c r="S6" i="24"/>
  <c r="U6" i="24" s="1"/>
  <c r="R6" i="24"/>
  <c r="Q6" i="24"/>
  <c r="P6" i="24"/>
  <c r="O6" i="24"/>
  <c r="AG94" i="25" l="1"/>
  <c r="V94" i="25"/>
  <c r="W94" i="25" s="1"/>
  <c r="T94" i="25"/>
  <c r="S94" i="25"/>
  <c r="AB94" i="25" s="1"/>
  <c r="R94" i="25"/>
  <c r="Q94" i="25"/>
  <c r="AG93" i="25"/>
  <c r="V93" i="25"/>
  <c r="W93" i="25" s="1"/>
  <c r="T93" i="25"/>
  <c r="U93" i="25" s="1"/>
  <c r="S93" i="25"/>
  <c r="AB93" i="25" s="1"/>
  <c r="R93" i="25"/>
  <c r="Q93" i="25"/>
  <c r="AG92" i="25"/>
  <c r="V92" i="25"/>
  <c r="W92" i="25" s="1"/>
  <c r="T92" i="25"/>
  <c r="S92" i="25"/>
  <c r="AB92" i="25" s="1"/>
  <c r="R92" i="25"/>
  <c r="Q92" i="25"/>
  <c r="AG91" i="25"/>
  <c r="V91" i="25"/>
  <c r="W91" i="25" s="1"/>
  <c r="T91" i="25"/>
  <c r="U91" i="25" s="1"/>
  <c r="S91" i="25"/>
  <c r="AB91" i="25" s="1"/>
  <c r="R91" i="25"/>
  <c r="Q91" i="25"/>
  <c r="AG90" i="25"/>
  <c r="V90" i="25"/>
  <c r="W90" i="25" s="1"/>
  <c r="T90" i="25"/>
  <c r="U90" i="25" s="1"/>
  <c r="S90" i="25"/>
  <c r="R90" i="25"/>
  <c r="Q90" i="25"/>
  <c r="AG89" i="25"/>
  <c r="V89" i="25"/>
  <c r="W89" i="25" s="1"/>
  <c r="T89" i="25"/>
  <c r="S89" i="25"/>
  <c r="AB89" i="25" s="1"/>
  <c r="R89" i="25"/>
  <c r="Q89" i="25"/>
  <c r="AG88" i="25"/>
  <c r="V88" i="25"/>
  <c r="W88" i="25" s="1"/>
  <c r="T88" i="25"/>
  <c r="U88" i="25" s="1"/>
  <c r="S88" i="25"/>
  <c r="AD88" i="25" s="1"/>
  <c r="R88" i="25"/>
  <c r="Q88" i="25"/>
  <c r="AG87" i="25"/>
  <c r="V87" i="25"/>
  <c r="W87" i="25" s="1"/>
  <c r="T87" i="25"/>
  <c r="U87" i="25" s="1"/>
  <c r="AE87" i="25" s="1"/>
  <c r="S87" i="25"/>
  <c r="R87" i="25"/>
  <c r="Q87" i="25"/>
  <c r="AG86" i="25"/>
  <c r="V86" i="25"/>
  <c r="W86" i="25" s="1"/>
  <c r="T86" i="25"/>
  <c r="U86" i="25" s="1"/>
  <c r="S86" i="25"/>
  <c r="AD86" i="25" s="1"/>
  <c r="R86" i="25"/>
  <c r="Q86" i="25"/>
  <c r="AG85" i="25"/>
  <c r="V85" i="25"/>
  <c r="W85" i="25" s="1"/>
  <c r="T85" i="25"/>
  <c r="S85" i="25"/>
  <c r="R85" i="25"/>
  <c r="Q85" i="25"/>
  <c r="AG84" i="25"/>
  <c r="V84" i="25"/>
  <c r="W84" i="25" s="1"/>
  <c r="T84" i="25"/>
  <c r="S84" i="25"/>
  <c r="AD84" i="25" s="1"/>
  <c r="R84" i="25"/>
  <c r="Q84" i="25"/>
  <c r="AG83" i="25"/>
  <c r="V83" i="25"/>
  <c r="W83" i="25" s="1"/>
  <c r="T83" i="25"/>
  <c r="U83" i="25" s="1"/>
  <c r="AE83" i="25" s="1"/>
  <c r="S83" i="25"/>
  <c r="AC83" i="25" s="1"/>
  <c r="R83" i="25"/>
  <c r="Q83" i="25"/>
  <c r="AG82" i="25"/>
  <c r="V82" i="25"/>
  <c r="W82" i="25" s="1"/>
  <c r="T82" i="25"/>
  <c r="U82" i="25" s="1"/>
  <c r="AE82" i="25" s="1"/>
  <c r="S82" i="25"/>
  <c r="AB82" i="25" s="1"/>
  <c r="R82" i="25"/>
  <c r="Q82" i="25"/>
  <c r="AG81" i="25"/>
  <c r="V81" i="25"/>
  <c r="W81" i="25" s="1"/>
  <c r="T81" i="25"/>
  <c r="U81" i="25" s="1"/>
  <c r="AE81" i="25" s="1"/>
  <c r="S81" i="25"/>
  <c r="R81" i="25"/>
  <c r="Q81" i="25"/>
  <c r="AG80" i="25"/>
  <c r="V80" i="25"/>
  <c r="W80" i="25" s="1"/>
  <c r="T80" i="25"/>
  <c r="U80" i="25" s="1"/>
  <c r="AE80" i="25" s="1"/>
  <c r="S80" i="25"/>
  <c r="AB80" i="25" s="1"/>
  <c r="R80" i="25"/>
  <c r="Q80" i="25"/>
  <c r="AG79" i="25"/>
  <c r="V79" i="25"/>
  <c r="W79" i="25" s="1"/>
  <c r="T79" i="25"/>
  <c r="U79" i="25" s="1"/>
  <c r="AE79" i="25" s="1"/>
  <c r="S79" i="25"/>
  <c r="AD79" i="25" s="1"/>
  <c r="R79" i="25"/>
  <c r="Q79" i="25"/>
  <c r="AG78" i="25"/>
  <c r="V78" i="25"/>
  <c r="W78" i="25" s="1"/>
  <c r="T78" i="25"/>
  <c r="U78" i="25" s="1"/>
  <c r="AE78" i="25" s="1"/>
  <c r="S78" i="25"/>
  <c r="AB78" i="25" s="1"/>
  <c r="R78" i="25"/>
  <c r="Q78" i="25"/>
  <c r="AG77" i="25"/>
  <c r="V77" i="25"/>
  <c r="W77" i="25" s="1"/>
  <c r="T77" i="25"/>
  <c r="U77" i="25" s="1"/>
  <c r="AE77" i="25" s="1"/>
  <c r="S77" i="25"/>
  <c r="R77" i="25"/>
  <c r="Q77" i="25"/>
  <c r="AG76" i="25"/>
  <c r="V76" i="25"/>
  <c r="W76" i="25" s="1"/>
  <c r="T76" i="25"/>
  <c r="U76" i="25" s="1"/>
  <c r="AE76" i="25" s="1"/>
  <c r="S76" i="25"/>
  <c r="AB76" i="25" s="1"/>
  <c r="R76" i="25"/>
  <c r="Q76" i="25"/>
  <c r="AG75" i="25"/>
  <c r="V75" i="25"/>
  <c r="W75" i="25" s="1"/>
  <c r="T75" i="25"/>
  <c r="S75" i="25"/>
  <c r="R75" i="25"/>
  <c r="Q75" i="25"/>
  <c r="AG74" i="25"/>
  <c r="V74" i="25"/>
  <c r="W74" i="25" s="1"/>
  <c r="T74" i="25"/>
  <c r="U74" i="25" s="1"/>
  <c r="S74" i="25"/>
  <c r="AB74" i="25" s="1"/>
  <c r="R74" i="25"/>
  <c r="Q74" i="25"/>
  <c r="AG73" i="25"/>
  <c r="V73" i="25"/>
  <c r="W73" i="25" s="1"/>
  <c r="T73" i="25"/>
  <c r="U73" i="25" s="1"/>
  <c r="AE73" i="25" s="1"/>
  <c r="S73" i="25"/>
  <c r="R73" i="25"/>
  <c r="Q73" i="25"/>
  <c r="AG72" i="25"/>
  <c r="V72" i="25"/>
  <c r="W72" i="25" s="1"/>
  <c r="T72" i="25"/>
  <c r="U72" i="25" s="1"/>
  <c r="AE72" i="25" s="1"/>
  <c r="S72" i="25"/>
  <c r="AB72" i="25" s="1"/>
  <c r="R72" i="25"/>
  <c r="Q72" i="25"/>
  <c r="AG71" i="25"/>
  <c r="V71" i="25"/>
  <c r="W71" i="25" s="1"/>
  <c r="T71" i="25"/>
  <c r="U71" i="25" s="1"/>
  <c r="AE71" i="25" s="1"/>
  <c r="S71" i="25"/>
  <c r="R71" i="25"/>
  <c r="Q71" i="25"/>
  <c r="AG70" i="25"/>
  <c r="V70" i="25"/>
  <c r="W70" i="25" s="1"/>
  <c r="T70" i="25"/>
  <c r="U70" i="25" s="1"/>
  <c r="AE70" i="25" s="1"/>
  <c r="S70" i="25"/>
  <c r="AD70" i="25" s="1"/>
  <c r="R70" i="25"/>
  <c r="Q70" i="25"/>
  <c r="AG69" i="25"/>
  <c r="V69" i="25"/>
  <c r="W69" i="25" s="1"/>
  <c r="T69" i="25"/>
  <c r="U69" i="25" s="1"/>
  <c r="AE69" i="25" s="1"/>
  <c r="S69" i="25"/>
  <c r="AD69" i="25" s="1"/>
  <c r="R69" i="25"/>
  <c r="Q69" i="25"/>
  <c r="AG68" i="25"/>
  <c r="V68" i="25"/>
  <c r="W68" i="25" s="1"/>
  <c r="T68" i="25"/>
  <c r="U68" i="25" s="1"/>
  <c r="AE68" i="25" s="1"/>
  <c r="S68" i="25"/>
  <c r="R68" i="25"/>
  <c r="Q68" i="25"/>
  <c r="AG67" i="25"/>
  <c r="V67" i="25"/>
  <c r="W67" i="25" s="1"/>
  <c r="T67" i="25"/>
  <c r="S67" i="25"/>
  <c r="AC67" i="25" s="1"/>
  <c r="R67" i="25"/>
  <c r="Q67" i="25"/>
  <c r="AG66" i="25"/>
  <c r="V66" i="25"/>
  <c r="W66" i="25" s="1"/>
  <c r="T66" i="25"/>
  <c r="U66" i="25" s="1"/>
  <c r="AE66" i="25" s="1"/>
  <c r="S66" i="25"/>
  <c r="AC66" i="25" s="1"/>
  <c r="R66" i="25"/>
  <c r="Q66" i="25"/>
  <c r="AG65" i="25"/>
  <c r="V65" i="25"/>
  <c r="W65" i="25" s="1"/>
  <c r="T65" i="25"/>
  <c r="U65" i="25" s="1"/>
  <c r="AE65" i="25" s="1"/>
  <c r="S65" i="25"/>
  <c r="AD65" i="25" s="1"/>
  <c r="R65" i="25"/>
  <c r="Q65" i="25"/>
  <c r="AG64" i="25"/>
  <c r="V64" i="25"/>
  <c r="W64" i="25" s="1"/>
  <c r="T64" i="25"/>
  <c r="U64" i="25" s="1"/>
  <c r="AE64" i="25" s="1"/>
  <c r="S64" i="25"/>
  <c r="R64" i="25"/>
  <c r="Q64" i="25"/>
  <c r="AG63" i="25"/>
  <c r="V63" i="25"/>
  <c r="W63" i="25" s="1"/>
  <c r="T63" i="25"/>
  <c r="S63" i="25"/>
  <c r="R63" i="25"/>
  <c r="Q63" i="25"/>
  <c r="AG62" i="25"/>
  <c r="V62" i="25"/>
  <c r="W62" i="25" s="1"/>
  <c r="T62" i="25"/>
  <c r="U62" i="25" s="1"/>
  <c r="AE62" i="25" s="1"/>
  <c r="S62" i="25"/>
  <c r="AD62" i="25" s="1"/>
  <c r="R62" i="25"/>
  <c r="Q62" i="25"/>
  <c r="AG61" i="25"/>
  <c r="V61" i="25"/>
  <c r="W61" i="25" s="1"/>
  <c r="T61" i="25"/>
  <c r="S61" i="25"/>
  <c r="R61" i="25"/>
  <c r="Q61" i="25"/>
  <c r="AG60" i="25"/>
  <c r="V60" i="25"/>
  <c r="W60" i="25" s="1"/>
  <c r="T60" i="25"/>
  <c r="S60" i="25"/>
  <c r="AD60" i="25" s="1"/>
  <c r="R60" i="25"/>
  <c r="Q60" i="25"/>
  <c r="AG59" i="25"/>
  <c r="V59" i="25"/>
  <c r="W59" i="25" s="1"/>
  <c r="T59" i="25"/>
  <c r="U59" i="25" s="1"/>
  <c r="AE59" i="25" s="1"/>
  <c r="S59" i="25"/>
  <c r="AD59" i="25" s="1"/>
  <c r="R59" i="25"/>
  <c r="Q59" i="25"/>
  <c r="AG58" i="25"/>
  <c r="V58" i="25"/>
  <c r="W58" i="25" s="1"/>
  <c r="T58" i="25"/>
  <c r="S58" i="25"/>
  <c r="AC58" i="25" s="1"/>
  <c r="R58" i="25"/>
  <c r="Q58" i="25"/>
  <c r="AG57" i="25"/>
  <c r="V57" i="25"/>
  <c r="W57" i="25" s="1"/>
  <c r="T57" i="25"/>
  <c r="U57" i="25" s="1"/>
  <c r="AE57" i="25" s="1"/>
  <c r="S57" i="25"/>
  <c r="AC57" i="25" s="1"/>
  <c r="R57" i="25"/>
  <c r="Q57" i="25"/>
  <c r="AG56" i="25"/>
  <c r="V56" i="25"/>
  <c r="W56" i="25" s="1"/>
  <c r="T56" i="25"/>
  <c r="U56" i="25" s="1"/>
  <c r="S56" i="25"/>
  <c r="AB56" i="25" s="1"/>
  <c r="R56" i="25"/>
  <c r="Q56" i="25"/>
  <c r="AG55" i="25"/>
  <c r="V55" i="25"/>
  <c r="W55" i="25" s="1"/>
  <c r="T55" i="25"/>
  <c r="U55" i="25" s="1"/>
  <c r="S55" i="25"/>
  <c r="AB55" i="25" s="1"/>
  <c r="R55" i="25"/>
  <c r="Q55" i="25"/>
  <c r="AG54" i="25"/>
  <c r="V54" i="25"/>
  <c r="W54" i="25" s="1"/>
  <c r="T54" i="25"/>
  <c r="U54" i="25" s="1"/>
  <c r="S54" i="25"/>
  <c r="AD54" i="25" s="1"/>
  <c r="R54" i="25"/>
  <c r="Q54" i="25"/>
  <c r="AG53" i="25"/>
  <c r="V53" i="25"/>
  <c r="W53" i="25" s="1"/>
  <c r="T53" i="25"/>
  <c r="U53" i="25" s="1"/>
  <c r="S53" i="25"/>
  <c r="AB53" i="25" s="1"/>
  <c r="R53" i="25"/>
  <c r="Q53" i="25"/>
  <c r="AG52" i="25"/>
  <c r="V52" i="25"/>
  <c r="W52" i="25" s="1"/>
  <c r="T52" i="25"/>
  <c r="U52" i="25" s="1"/>
  <c r="AE52" i="25" s="1"/>
  <c r="S52" i="25"/>
  <c r="AC52" i="25" s="1"/>
  <c r="R52" i="25"/>
  <c r="Q52" i="25"/>
  <c r="AG51" i="25"/>
  <c r="V51" i="25"/>
  <c r="W51" i="25" s="1"/>
  <c r="T51" i="25"/>
  <c r="U51" i="25" s="1"/>
  <c r="AE51" i="25" s="1"/>
  <c r="S51" i="25"/>
  <c r="R51" i="25"/>
  <c r="Q51" i="25"/>
  <c r="AG50" i="25"/>
  <c r="V50" i="25"/>
  <c r="W50" i="25" s="1"/>
  <c r="T50" i="25"/>
  <c r="U50" i="25" s="1"/>
  <c r="S50" i="25"/>
  <c r="AD50" i="25" s="1"/>
  <c r="R50" i="25"/>
  <c r="Q50" i="25"/>
  <c r="AG49" i="25"/>
  <c r="V49" i="25"/>
  <c r="W49" i="25" s="1"/>
  <c r="T49" i="25"/>
  <c r="S49" i="25"/>
  <c r="R49" i="25"/>
  <c r="Q49" i="25"/>
  <c r="AG48" i="25"/>
  <c r="V48" i="25"/>
  <c r="W48" i="25" s="1"/>
  <c r="T48" i="25"/>
  <c r="S48" i="25"/>
  <c r="AD48" i="25" s="1"/>
  <c r="R48" i="25"/>
  <c r="Q48" i="25"/>
  <c r="AG47" i="25"/>
  <c r="V47" i="25"/>
  <c r="W47" i="25" s="1"/>
  <c r="T47" i="25"/>
  <c r="U47" i="25" s="1"/>
  <c r="AE47" i="25" s="1"/>
  <c r="S47" i="25"/>
  <c r="AD47" i="25" s="1"/>
  <c r="R47" i="25"/>
  <c r="Q47" i="25"/>
  <c r="AG46" i="25"/>
  <c r="V46" i="25"/>
  <c r="W46" i="25" s="1"/>
  <c r="T46" i="25"/>
  <c r="U46" i="25" s="1"/>
  <c r="AE46" i="25" s="1"/>
  <c r="S46" i="25"/>
  <c r="AC46" i="25" s="1"/>
  <c r="R46" i="25"/>
  <c r="Q46" i="25"/>
  <c r="AG45" i="25"/>
  <c r="V45" i="25"/>
  <c r="W45" i="25" s="1"/>
  <c r="T45" i="25"/>
  <c r="S45" i="25"/>
  <c r="AB45" i="25" s="1"/>
  <c r="R45" i="25"/>
  <c r="Q45" i="25"/>
  <c r="AG44" i="25"/>
  <c r="V44" i="25"/>
  <c r="W44" i="25" s="1"/>
  <c r="T44" i="25"/>
  <c r="S44" i="25"/>
  <c r="R44" i="25"/>
  <c r="Q44" i="25"/>
  <c r="AG43" i="25"/>
  <c r="V43" i="25"/>
  <c r="W43" i="25" s="1"/>
  <c r="T43" i="25"/>
  <c r="U43" i="25" s="1"/>
  <c r="AE43" i="25" s="1"/>
  <c r="S43" i="25"/>
  <c r="R43" i="25"/>
  <c r="Q43" i="25"/>
  <c r="AG42" i="25"/>
  <c r="V42" i="25"/>
  <c r="W42" i="25" s="1"/>
  <c r="T42" i="25"/>
  <c r="U42" i="25" s="1"/>
  <c r="AE42" i="25" s="1"/>
  <c r="S42" i="25"/>
  <c r="AD42" i="25" s="1"/>
  <c r="R42" i="25"/>
  <c r="Q42" i="25"/>
  <c r="AG41" i="25"/>
  <c r="V41" i="25"/>
  <c r="W41" i="25" s="1"/>
  <c r="T41" i="25"/>
  <c r="U41" i="25" s="1"/>
  <c r="S41" i="25"/>
  <c r="R41" i="25"/>
  <c r="Q41" i="25"/>
  <c r="AG40" i="25"/>
  <c r="V40" i="25"/>
  <c r="W40" i="25" s="1"/>
  <c r="T40" i="25"/>
  <c r="U40" i="25" s="1"/>
  <c r="S40" i="25"/>
  <c r="AD40" i="25" s="1"/>
  <c r="R40" i="25"/>
  <c r="Q40" i="25"/>
  <c r="AG39" i="25"/>
  <c r="V39" i="25"/>
  <c r="W39" i="25" s="1"/>
  <c r="T39" i="25"/>
  <c r="U39" i="25" s="1"/>
  <c r="AE39" i="25" s="1"/>
  <c r="S39" i="25"/>
  <c r="AC39" i="25" s="1"/>
  <c r="R39" i="25"/>
  <c r="Q39" i="25"/>
  <c r="AG38" i="25"/>
  <c r="V38" i="25"/>
  <c r="W38" i="25" s="1"/>
  <c r="T38" i="25"/>
  <c r="U38" i="25" s="1"/>
  <c r="AE38" i="25" s="1"/>
  <c r="S38" i="25"/>
  <c r="AD38" i="25" s="1"/>
  <c r="R38" i="25"/>
  <c r="Q38" i="25"/>
  <c r="AG37" i="25"/>
  <c r="V37" i="25"/>
  <c r="W37" i="25" s="1"/>
  <c r="T37" i="25"/>
  <c r="S37" i="25"/>
  <c r="AD37" i="25" s="1"/>
  <c r="R37" i="25"/>
  <c r="Q37" i="25"/>
  <c r="AG36" i="25"/>
  <c r="V36" i="25"/>
  <c r="W36" i="25" s="1"/>
  <c r="T36" i="25"/>
  <c r="S36" i="25"/>
  <c r="AB36" i="25" s="1"/>
  <c r="R36" i="25"/>
  <c r="Q36" i="25"/>
  <c r="AG35" i="25"/>
  <c r="V35" i="25"/>
  <c r="W35" i="25" s="1"/>
  <c r="T35" i="25"/>
  <c r="U35" i="25" s="1"/>
  <c r="AE35" i="25" s="1"/>
  <c r="S35" i="25"/>
  <c r="AC35" i="25" s="1"/>
  <c r="R35" i="25"/>
  <c r="Q35" i="25"/>
  <c r="AG34" i="25"/>
  <c r="V34" i="25"/>
  <c r="W34" i="25" s="1"/>
  <c r="T34" i="25"/>
  <c r="U34" i="25" s="1"/>
  <c r="AE34" i="25" s="1"/>
  <c r="S34" i="25"/>
  <c r="R34" i="25"/>
  <c r="Q34" i="25"/>
  <c r="AG33" i="25"/>
  <c r="V33" i="25"/>
  <c r="W33" i="25" s="1"/>
  <c r="T33" i="25"/>
  <c r="U33" i="25" s="1"/>
  <c r="S33" i="25"/>
  <c r="AB33" i="25" s="1"/>
  <c r="R33" i="25"/>
  <c r="Q33" i="25"/>
  <c r="AG32" i="25"/>
  <c r="V32" i="25"/>
  <c r="W32" i="25" s="1"/>
  <c r="T32" i="25"/>
  <c r="U32" i="25" s="1"/>
  <c r="AE32" i="25" s="1"/>
  <c r="S32" i="25"/>
  <c r="AC32" i="25" s="1"/>
  <c r="R32" i="25"/>
  <c r="Q32" i="25"/>
  <c r="AG31" i="25"/>
  <c r="V31" i="25"/>
  <c r="W31" i="25" s="1"/>
  <c r="T31" i="25"/>
  <c r="S31" i="25"/>
  <c r="R31" i="25"/>
  <c r="Q31" i="25"/>
  <c r="AG30" i="25"/>
  <c r="V30" i="25"/>
  <c r="W30" i="25" s="1"/>
  <c r="T30" i="25"/>
  <c r="U30" i="25" s="1"/>
  <c r="AE30" i="25" s="1"/>
  <c r="S30" i="25"/>
  <c r="AD30" i="25" s="1"/>
  <c r="R30" i="25"/>
  <c r="Q30" i="25"/>
  <c r="AG29" i="25"/>
  <c r="V29" i="25"/>
  <c r="W29" i="25" s="1"/>
  <c r="T29" i="25"/>
  <c r="U29" i="25" s="1"/>
  <c r="S29" i="25"/>
  <c r="R29" i="25"/>
  <c r="Q29" i="25"/>
  <c r="AG28" i="25"/>
  <c r="V28" i="25"/>
  <c r="W28" i="25" s="1"/>
  <c r="T28" i="25"/>
  <c r="U28" i="25" s="1"/>
  <c r="S28" i="25"/>
  <c r="R28" i="25"/>
  <c r="Q28" i="25"/>
  <c r="AG27" i="25"/>
  <c r="Y27" i="25"/>
  <c r="V27" i="25"/>
  <c r="W27" i="25" s="1"/>
  <c r="T27" i="25"/>
  <c r="S27" i="25"/>
  <c r="R27" i="25"/>
  <c r="Q27" i="25"/>
  <c r="AG26" i="25"/>
  <c r="V26" i="25"/>
  <c r="W26" i="25" s="1"/>
  <c r="T26" i="25"/>
  <c r="U26" i="25" s="1"/>
  <c r="S26" i="25"/>
  <c r="R26" i="25"/>
  <c r="Q26" i="25"/>
  <c r="AG25" i="25"/>
  <c r="V25" i="25"/>
  <c r="W25" i="25" s="1"/>
  <c r="T25" i="25"/>
  <c r="U25" i="25" s="1"/>
  <c r="S25" i="25"/>
  <c r="R25" i="25"/>
  <c r="Q25" i="25"/>
  <c r="AG24" i="25"/>
  <c r="V24" i="25"/>
  <c r="W24" i="25" s="1"/>
  <c r="T24" i="25"/>
  <c r="U24" i="25" s="1"/>
  <c r="S24" i="25"/>
  <c r="AD24" i="25" s="1"/>
  <c r="R24" i="25"/>
  <c r="Q24" i="25"/>
  <c r="AG23" i="25"/>
  <c r="V23" i="25"/>
  <c r="W23" i="25" s="1"/>
  <c r="T23" i="25"/>
  <c r="U23" i="25" s="1"/>
  <c r="AE23" i="25" s="1"/>
  <c r="S23" i="25"/>
  <c r="AC23" i="25" s="1"/>
  <c r="R23" i="25"/>
  <c r="Q23" i="25"/>
  <c r="AG22" i="25"/>
  <c r="V22" i="25"/>
  <c r="W22" i="25" s="1"/>
  <c r="T22" i="25"/>
  <c r="U22" i="25" s="1"/>
  <c r="AE22" i="25" s="1"/>
  <c r="S22" i="25"/>
  <c r="AB22" i="25" s="1"/>
  <c r="R22" i="25"/>
  <c r="Q22" i="25"/>
  <c r="AG21" i="25"/>
  <c r="V21" i="25"/>
  <c r="W21" i="25" s="1"/>
  <c r="T21" i="25"/>
  <c r="U21" i="25" s="1"/>
  <c r="AE21" i="25" s="1"/>
  <c r="S21" i="25"/>
  <c r="AC21" i="25" s="1"/>
  <c r="R21" i="25"/>
  <c r="Q21" i="25"/>
  <c r="AG20" i="25"/>
  <c r="V20" i="25"/>
  <c r="W20" i="25" s="1"/>
  <c r="T20" i="25"/>
  <c r="U20" i="25" s="1"/>
  <c r="AE20" i="25" s="1"/>
  <c r="S20" i="25"/>
  <c r="AB20" i="25" s="1"/>
  <c r="R20" i="25"/>
  <c r="Q20" i="25"/>
  <c r="AG19" i="25"/>
  <c r="V19" i="25"/>
  <c r="W19" i="25" s="1"/>
  <c r="T19" i="25"/>
  <c r="U19" i="25" s="1"/>
  <c r="AE19" i="25" s="1"/>
  <c r="S19" i="25"/>
  <c r="AC19" i="25" s="1"/>
  <c r="R19" i="25"/>
  <c r="Q19" i="25"/>
  <c r="AG18" i="25"/>
  <c r="V18" i="25"/>
  <c r="W18" i="25" s="1"/>
  <c r="T18" i="25"/>
  <c r="U18" i="25" s="1"/>
  <c r="AE18" i="25" s="1"/>
  <c r="S18" i="25"/>
  <c r="AB18" i="25" s="1"/>
  <c r="R18" i="25"/>
  <c r="Q18" i="25"/>
  <c r="AG17" i="25"/>
  <c r="V17" i="25"/>
  <c r="W17" i="25" s="1"/>
  <c r="T17" i="25"/>
  <c r="U17" i="25" s="1"/>
  <c r="AE17" i="25" s="1"/>
  <c r="S17" i="25"/>
  <c r="AC17" i="25" s="1"/>
  <c r="R17" i="25"/>
  <c r="Q17" i="25"/>
  <c r="AG16" i="25"/>
  <c r="V16" i="25"/>
  <c r="W16" i="25" s="1"/>
  <c r="T16" i="25"/>
  <c r="U16" i="25" s="1"/>
  <c r="AE16" i="25" s="1"/>
  <c r="S16" i="25"/>
  <c r="AB16" i="25" s="1"/>
  <c r="R16" i="25"/>
  <c r="Q16" i="25"/>
  <c r="AG15" i="25"/>
  <c r="V15" i="25"/>
  <c r="W15" i="25" s="1"/>
  <c r="T15" i="25"/>
  <c r="U15" i="25" s="1"/>
  <c r="AE15" i="25" s="1"/>
  <c r="S15" i="25"/>
  <c r="AC15" i="25" s="1"/>
  <c r="R15" i="25"/>
  <c r="Q15" i="25"/>
  <c r="AG14" i="25"/>
  <c r="V14" i="25"/>
  <c r="W14" i="25" s="1"/>
  <c r="T14" i="25"/>
  <c r="U14" i="25" s="1"/>
  <c r="AE14" i="25" s="1"/>
  <c r="S14" i="25"/>
  <c r="R14" i="25"/>
  <c r="Q14" i="25"/>
  <c r="AG13" i="25"/>
  <c r="V13" i="25"/>
  <c r="W13" i="25" s="1"/>
  <c r="T13" i="25"/>
  <c r="U13" i="25" s="1"/>
  <c r="AE13" i="25" s="1"/>
  <c r="S13" i="25"/>
  <c r="AC13" i="25" s="1"/>
  <c r="R13" i="25"/>
  <c r="Q13" i="25"/>
  <c r="AG12" i="25"/>
  <c r="V12" i="25"/>
  <c r="W12" i="25" s="1"/>
  <c r="T12" i="25"/>
  <c r="U12" i="25" s="1"/>
  <c r="AE12" i="25" s="1"/>
  <c r="S12" i="25"/>
  <c r="AC12" i="25" s="1"/>
  <c r="R12" i="25"/>
  <c r="Q12" i="25"/>
  <c r="AG11" i="25"/>
  <c r="V11" i="25"/>
  <c r="W11" i="25" s="1"/>
  <c r="T11" i="25"/>
  <c r="S11" i="25"/>
  <c r="AD11" i="25" s="1"/>
  <c r="R11" i="25"/>
  <c r="Q11" i="25"/>
  <c r="AG10" i="25"/>
  <c r="Y10" i="25"/>
  <c r="V10" i="25"/>
  <c r="W10" i="25" s="1"/>
  <c r="T10" i="25"/>
  <c r="S10" i="25"/>
  <c r="AB10" i="25" s="1"/>
  <c r="R10" i="25"/>
  <c r="Q10" i="25"/>
  <c r="AG9" i="25"/>
  <c r="Y9" i="25"/>
  <c r="V9" i="25"/>
  <c r="W9" i="25" s="1"/>
  <c r="T9" i="25"/>
  <c r="S9" i="25"/>
  <c r="AD9" i="25" s="1"/>
  <c r="R9" i="25"/>
  <c r="Q9" i="25"/>
  <c r="AG8" i="25"/>
  <c r="Y8" i="25"/>
  <c r="V8" i="25"/>
  <c r="W8" i="25" s="1"/>
  <c r="T8" i="25"/>
  <c r="S8" i="25"/>
  <c r="AD8" i="25" s="1"/>
  <c r="R8" i="25"/>
  <c r="Q8" i="25"/>
  <c r="AG7" i="25"/>
  <c r="Y7" i="25"/>
  <c r="V7" i="25"/>
  <c r="W7" i="25" s="1"/>
  <c r="T7" i="25"/>
  <c r="S7" i="25"/>
  <c r="R7" i="25"/>
  <c r="Q7" i="25"/>
  <c r="AG6" i="25"/>
  <c r="Y6" i="25"/>
  <c r="V6" i="25"/>
  <c r="W6" i="25" s="1"/>
  <c r="T6" i="25"/>
  <c r="S6" i="25"/>
  <c r="AD6" i="25" s="1"/>
  <c r="R6" i="25"/>
  <c r="Q6" i="25"/>
  <c r="X93" i="25" l="1"/>
  <c r="Y93" i="25"/>
  <c r="X94" i="25"/>
  <c r="U94" i="25" s="1"/>
  <c r="AE94" i="25" s="1"/>
  <c r="Y94" i="25"/>
  <c r="Z94" i="25" s="1"/>
  <c r="AA94" i="25" s="1"/>
  <c r="Y92" i="25"/>
  <c r="X91" i="25"/>
  <c r="X92" i="25"/>
  <c r="Y91" i="25"/>
  <c r="X64" i="25"/>
  <c r="Y87" i="25"/>
  <c r="Y26" i="25"/>
  <c r="Z93" i="25"/>
  <c r="AA93" i="25" s="1"/>
  <c r="Y85" i="25"/>
  <c r="Y75" i="25"/>
  <c r="AE93" i="25"/>
  <c r="AD91" i="25"/>
  <c r="AC94" i="25"/>
  <c r="AD94" i="25"/>
  <c r="AE91" i="25"/>
  <c r="AC92" i="25"/>
  <c r="AD92" i="25"/>
  <c r="AC91" i="25"/>
  <c r="AD93" i="25"/>
  <c r="AC93" i="25"/>
  <c r="X85" i="25"/>
  <c r="AD72" i="25"/>
  <c r="AC60" i="25"/>
  <c r="X28" i="25"/>
  <c r="Y42" i="25"/>
  <c r="Y51" i="25"/>
  <c r="AB60" i="25"/>
  <c r="X73" i="25"/>
  <c r="Y38" i="25"/>
  <c r="Y68" i="25"/>
  <c r="X69" i="25"/>
  <c r="X49" i="25"/>
  <c r="Y54" i="25"/>
  <c r="Y63" i="25"/>
  <c r="Y69" i="25"/>
  <c r="X71" i="25"/>
  <c r="Y79" i="25"/>
  <c r="AC85" i="25"/>
  <c r="X89" i="25"/>
  <c r="AC47" i="25"/>
  <c r="AB54" i="25"/>
  <c r="AC69" i="25"/>
  <c r="AD85" i="25"/>
  <c r="AC50" i="25"/>
  <c r="X11" i="25"/>
  <c r="Y56" i="25"/>
  <c r="X15" i="25"/>
  <c r="AC40" i="25"/>
  <c r="X47" i="25"/>
  <c r="AD71" i="25"/>
  <c r="AB83" i="25"/>
  <c r="Y88" i="25"/>
  <c r="X90" i="25"/>
  <c r="X77" i="25"/>
  <c r="Y90" i="25"/>
  <c r="AC56" i="25"/>
  <c r="AD63" i="25"/>
  <c r="AD89" i="25"/>
  <c r="Y28" i="25"/>
  <c r="X44" i="25"/>
  <c r="Y55" i="25"/>
  <c r="X57" i="25"/>
  <c r="Y77" i="25"/>
  <c r="X63" i="25"/>
  <c r="U63" i="25"/>
  <c r="AE63" i="25" s="1"/>
  <c r="U75" i="25"/>
  <c r="AE75" i="25" s="1"/>
  <c r="X27" i="25"/>
  <c r="U27" i="25" s="1"/>
  <c r="X29" i="25"/>
  <c r="Y71" i="25"/>
  <c r="AC86" i="25"/>
  <c r="X88" i="25"/>
  <c r="U11" i="25"/>
  <c r="AE11" i="25" s="1"/>
  <c r="Y61" i="25"/>
  <c r="AC24" i="25"/>
  <c r="Y29" i="25"/>
  <c r="Y30" i="25"/>
  <c r="X40" i="25"/>
  <c r="AC45" i="25"/>
  <c r="AB50" i="25"/>
  <c r="AB51" i="25"/>
  <c r="AD52" i="25"/>
  <c r="X54" i="25"/>
  <c r="X56" i="25"/>
  <c r="AB57" i="25"/>
  <c r="AC62" i="25"/>
  <c r="AD67" i="25"/>
  <c r="AB70" i="25"/>
  <c r="Y72" i="25"/>
  <c r="AD74" i="25"/>
  <c r="AB85" i="25"/>
  <c r="Y86" i="25"/>
  <c r="X87" i="25"/>
  <c r="AC89" i="25"/>
  <c r="U85" i="25"/>
  <c r="U89" i="25"/>
  <c r="AE89" i="25" s="1"/>
  <c r="X65" i="25"/>
  <c r="AB86" i="25"/>
  <c r="X59" i="25"/>
  <c r="Y11" i="25"/>
  <c r="X24" i="25"/>
  <c r="Y39" i="25"/>
  <c r="Y40" i="25"/>
  <c r="X46" i="25"/>
  <c r="X52" i="25"/>
  <c r="AC54" i="25"/>
  <c r="AB59" i="25"/>
  <c r="AC65" i="25"/>
  <c r="X74" i="25"/>
  <c r="X76" i="25"/>
  <c r="X78" i="25"/>
  <c r="X79" i="25"/>
  <c r="X80" i="25"/>
  <c r="Y82" i="25"/>
  <c r="Y89" i="25"/>
  <c r="X58" i="25"/>
  <c r="Y50" i="25"/>
  <c r="AC16" i="25"/>
  <c r="Y24" i="25"/>
  <c r="AB37" i="25"/>
  <c r="Y46" i="25"/>
  <c r="Y52" i="25"/>
  <c r="AC59" i="25"/>
  <c r="AB67" i="25"/>
  <c r="X70" i="25"/>
  <c r="Y73" i="25"/>
  <c r="Y74" i="25"/>
  <c r="Y76" i="25"/>
  <c r="Y78" i="25"/>
  <c r="Y80" i="25"/>
  <c r="Y44" i="25"/>
  <c r="U58" i="25"/>
  <c r="AE58" i="25" s="1"/>
  <c r="Y65" i="25"/>
  <c r="AB24" i="25"/>
  <c r="X30" i="25"/>
  <c r="AC48" i="25"/>
  <c r="X50" i="25"/>
  <c r="AB52" i="25"/>
  <c r="Y58" i="25"/>
  <c r="Y70" i="25"/>
  <c r="X72" i="25"/>
  <c r="AD76" i="25"/>
  <c r="AD80" i="25"/>
  <c r="X86" i="25"/>
  <c r="AE74" i="25"/>
  <c r="AE40" i="25"/>
  <c r="AD49" i="25"/>
  <c r="AC49" i="25"/>
  <c r="AD58" i="25"/>
  <c r="AB69" i="25"/>
  <c r="AD34" i="25"/>
  <c r="AC34" i="25"/>
  <c r="AD46" i="25"/>
  <c r="AB46" i="25"/>
  <c r="AB81" i="25"/>
  <c r="AC81" i="25"/>
  <c r="AD56" i="25"/>
  <c r="AD61" i="25"/>
  <c r="AB61" i="25"/>
  <c r="AD64" i="25"/>
  <c r="AC64" i="25"/>
  <c r="AB64" i="25"/>
  <c r="X75" i="25"/>
  <c r="AD75" i="25"/>
  <c r="AC11" i="25"/>
  <c r="AE53" i="25"/>
  <c r="AE56" i="25"/>
  <c r="AD41" i="25"/>
  <c r="AB41" i="25"/>
  <c r="AD31" i="25"/>
  <c r="AC31" i="25"/>
  <c r="AB31" i="25"/>
  <c r="AD44" i="25"/>
  <c r="AC44" i="25"/>
  <c r="AB44" i="25"/>
  <c r="AC36" i="25"/>
  <c r="AD36" i="25"/>
  <c r="AB58" i="25"/>
  <c r="AC63" i="25"/>
  <c r="AB63" i="25"/>
  <c r="AD73" i="25"/>
  <c r="AD78" i="25"/>
  <c r="AE24" i="25"/>
  <c r="AB32" i="25"/>
  <c r="AC38" i="25"/>
  <c r="AE41" i="25"/>
  <c r="AB65" i="25"/>
  <c r="AD77" i="25"/>
  <c r="AE50" i="25"/>
  <c r="AE54" i="25"/>
  <c r="AE55" i="25"/>
  <c r="AB84" i="25"/>
  <c r="AE33" i="25"/>
  <c r="AC84" i="25"/>
  <c r="AB48" i="25"/>
  <c r="AD14" i="25"/>
  <c r="Y14" i="25"/>
  <c r="U45" i="25"/>
  <c r="AE45" i="25" s="1"/>
  <c r="X45" i="25"/>
  <c r="AD12" i="25"/>
  <c r="Y12" i="25"/>
  <c r="X13" i="25"/>
  <c r="AB15" i="25"/>
  <c r="X39" i="25"/>
  <c r="Y41" i="25"/>
  <c r="X41" i="25"/>
  <c r="AD10" i="25"/>
  <c r="AC10" i="25"/>
  <c r="X10" i="25"/>
  <c r="U10" i="25" s="1"/>
  <c r="AE10" i="25" s="1"/>
  <c r="AB13" i="25"/>
  <c r="AD18" i="25"/>
  <c r="AC18" i="25"/>
  <c r="Y18" i="25"/>
  <c r="AD20" i="25"/>
  <c r="AC20" i="25"/>
  <c r="Y20" i="25"/>
  <c r="AD22" i="25"/>
  <c r="AC22" i="25"/>
  <c r="Y22" i="25"/>
  <c r="Y31" i="25"/>
  <c r="X31" i="25"/>
  <c r="X16" i="25"/>
  <c r="AD17" i="25"/>
  <c r="Y17" i="25"/>
  <c r="X17" i="25"/>
  <c r="AD19" i="25"/>
  <c r="Y19" i="25"/>
  <c r="X19" i="25"/>
  <c r="AD21" i="25"/>
  <c r="Y21" i="25"/>
  <c r="X21" i="25"/>
  <c r="AD23" i="25"/>
  <c r="Y23" i="25"/>
  <c r="X23" i="25"/>
  <c r="X25" i="25"/>
  <c r="U31" i="25"/>
  <c r="AE31" i="25" s="1"/>
  <c r="Y32" i="25"/>
  <c r="X32" i="25"/>
  <c r="AD32" i="25"/>
  <c r="AD35" i="25"/>
  <c r="Y35" i="25"/>
  <c r="X35" i="25"/>
  <c r="U60" i="25"/>
  <c r="AE60" i="25" s="1"/>
  <c r="Y60" i="25"/>
  <c r="X60" i="25"/>
  <c r="AC6" i="25"/>
  <c r="AB6" i="25"/>
  <c r="X6" i="25"/>
  <c r="U6" i="25" s="1"/>
  <c r="AE6" i="25" s="1"/>
  <c r="X7" i="25"/>
  <c r="U7" i="25" s="1"/>
  <c r="AE7" i="25" s="1"/>
  <c r="AB7" i="25"/>
  <c r="AC7" i="25"/>
  <c r="X14" i="25"/>
  <c r="AD15" i="25"/>
  <c r="Y15" i="25"/>
  <c r="Y25" i="25"/>
  <c r="X26" i="25"/>
  <c r="AD33" i="25"/>
  <c r="Y33" i="25"/>
  <c r="X33" i="25"/>
  <c r="AC33" i="25"/>
  <c r="AB34" i="25"/>
  <c r="Y34" i="25"/>
  <c r="X34" i="25"/>
  <c r="Y36" i="25"/>
  <c r="X36" i="25"/>
  <c r="Y37" i="25"/>
  <c r="X37" i="25"/>
  <c r="X12" i="25"/>
  <c r="AD13" i="25"/>
  <c r="Y13" i="25"/>
  <c r="U36" i="25"/>
  <c r="AE36" i="25" s="1"/>
  <c r="U37" i="25"/>
  <c r="AE37" i="25" s="1"/>
  <c r="AD39" i="25"/>
  <c r="AB39" i="25"/>
  <c r="AB14" i="25"/>
  <c r="X18" i="25"/>
  <c r="X20" i="25"/>
  <c r="X22" i="25"/>
  <c r="Y48" i="25"/>
  <c r="U48" i="25"/>
  <c r="AE48" i="25" s="1"/>
  <c r="X48" i="25"/>
  <c r="AD7" i="25"/>
  <c r="AC8" i="25"/>
  <c r="AB8" i="25"/>
  <c r="X8" i="25"/>
  <c r="U8" i="25" s="1"/>
  <c r="AE8" i="25" s="1"/>
  <c r="X9" i="25"/>
  <c r="U9" i="25" s="1"/>
  <c r="AE9" i="25" s="1"/>
  <c r="AB9" i="25"/>
  <c r="AC9" i="25"/>
  <c r="AB12" i="25"/>
  <c r="AC14" i="25"/>
  <c r="AD16" i="25"/>
  <c r="Y16" i="25"/>
  <c r="AB17" i="25"/>
  <c r="AB19" i="25"/>
  <c r="AB21" i="25"/>
  <c r="AB23" i="25"/>
  <c r="AB35" i="25"/>
  <c r="AD43" i="25"/>
  <c r="Y43" i="25"/>
  <c r="X43" i="25"/>
  <c r="AC43" i="25"/>
  <c r="X38" i="25"/>
  <c r="X42" i="25"/>
  <c r="Y47" i="25"/>
  <c r="Y49" i="25"/>
  <c r="Y59" i="25"/>
  <c r="U61" i="25"/>
  <c r="AE61" i="25" s="1"/>
  <c r="Y67" i="25"/>
  <c r="U67" i="25"/>
  <c r="AE67" i="25" s="1"/>
  <c r="U44" i="25"/>
  <c r="AE44" i="25" s="1"/>
  <c r="AB30" i="25"/>
  <c r="AD51" i="25"/>
  <c r="AC51" i="25"/>
  <c r="X51" i="25"/>
  <c r="AD55" i="25"/>
  <c r="AC55" i="25"/>
  <c r="X55" i="25"/>
  <c r="X61" i="25"/>
  <c r="AD68" i="25"/>
  <c r="X68" i="25"/>
  <c r="Z68" i="25" s="1"/>
  <c r="AA68" i="25" s="1"/>
  <c r="AB68" i="25"/>
  <c r="AC68" i="25"/>
  <c r="AB11" i="25"/>
  <c r="AC30" i="25"/>
  <c r="AC37" i="25"/>
  <c r="AC41" i="25"/>
  <c r="AB43" i="25"/>
  <c r="AD45" i="25"/>
  <c r="Y45" i="25"/>
  <c r="U49" i="25"/>
  <c r="AE49" i="25" s="1"/>
  <c r="AD53" i="25"/>
  <c r="Y53" i="25"/>
  <c r="X53" i="25"/>
  <c r="AC53" i="25"/>
  <c r="AD57" i="25"/>
  <c r="Y57" i="25"/>
  <c r="AD66" i="25"/>
  <c r="AB66" i="25"/>
  <c r="Y66" i="25"/>
  <c r="X66" i="25"/>
  <c r="X67" i="25"/>
  <c r="X84" i="25"/>
  <c r="Y84" i="25"/>
  <c r="U84" i="25"/>
  <c r="AE84" i="25" s="1"/>
  <c r="AB49" i="25"/>
  <c r="Y64" i="25"/>
  <c r="AB87" i="25"/>
  <c r="AD87" i="25"/>
  <c r="AD90" i="25"/>
  <c r="AC90" i="25"/>
  <c r="AB90" i="25"/>
  <c r="AC87" i="25"/>
  <c r="AB42" i="25"/>
  <c r="AC61" i="25"/>
  <c r="X81" i="25"/>
  <c r="AD81" i="25"/>
  <c r="Y81" i="25"/>
  <c r="AB38" i="25"/>
  <c r="AB40" i="25"/>
  <c r="AC42" i="25"/>
  <c r="AB47" i="25"/>
  <c r="AB62" i="25"/>
  <c r="X62" i="25"/>
  <c r="AC70" i="25"/>
  <c r="Y62" i="25"/>
  <c r="AE86" i="25"/>
  <c r="X83" i="25"/>
  <c r="AD83" i="25"/>
  <c r="AB71" i="25"/>
  <c r="AB73" i="25"/>
  <c r="AB75" i="25"/>
  <c r="AB77" i="25"/>
  <c r="AB79" i="25"/>
  <c r="Y83" i="25"/>
  <c r="AC71" i="25"/>
  <c r="AC72" i="25"/>
  <c r="AC73" i="25"/>
  <c r="AC74" i="25"/>
  <c r="AC75" i="25"/>
  <c r="AC76" i="25"/>
  <c r="AC77" i="25"/>
  <c r="AC78" i="25"/>
  <c r="AC79" i="25"/>
  <c r="AC80" i="25"/>
  <c r="AD82" i="25"/>
  <c r="X82" i="25"/>
  <c r="AC82" i="25"/>
  <c r="AB88" i="25"/>
  <c r="AC88" i="25"/>
  <c r="AE88" i="25"/>
  <c r="AE90" i="25"/>
  <c r="Z91" i="25" l="1"/>
  <c r="AA91" i="25" s="1"/>
  <c r="Z75" i="25"/>
  <c r="Z7" i="25"/>
  <c r="AA7" i="25" s="1"/>
  <c r="Z87" i="25"/>
  <c r="AA87" i="25" s="1"/>
  <c r="Z10" i="25"/>
  <c r="AA10" i="25" s="1"/>
  <c r="Z8" i="25"/>
  <c r="AA8" i="25" s="1"/>
  <c r="Z27" i="25"/>
  <c r="AA27" i="25" s="1"/>
  <c r="Z9" i="25"/>
  <c r="AA9" i="25" s="1"/>
  <c r="Z6" i="25"/>
  <c r="AA6" i="25" s="1"/>
  <c r="AA75" i="25"/>
  <c r="Z88" i="25"/>
  <c r="AA88" i="25" s="1"/>
  <c r="Z79" i="25"/>
  <c r="AA79" i="25" s="1"/>
  <c r="Z55" i="25"/>
  <c r="AA55" i="25" s="1"/>
  <c r="U92" i="25"/>
  <c r="AE92" i="25" s="1"/>
  <c r="Z92" i="25"/>
  <c r="AA92" i="25" s="1"/>
  <c r="Z85" i="25"/>
  <c r="AA85" i="25" s="1"/>
  <c r="Z26" i="25"/>
  <c r="AA26" i="25" s="1"/>
  <c r="Z42" i="25"/>
  <c r="AA42" i="25" s="1"/>
  <c r="Z51" i="25"/>
  <c r="AA51" i="25" s="1"/>
  <c r="Z69" i="25"/>
  <c r="AA69" i="25" s="1"/>
  <c r="Z28" i="25"/>
  <c r="AA28" i="25" s="1"/>
  <c r="Z54" i="25"/>
  <c r="AA54" i="25" s="1"/>
  <c r="Z44" i="25"/>
  <c r="AA44" i="25" s="1"/>
  <c r="Z30" i="25"/>
  <c r="AA30" i="25" s="1"/>
  <c r="Z50" i="25"/>
  <c r="AA50" i="25" s="1"/>
  <c r="Z71" i="25"/>
  <c r="AA71" i="25" s="1"/>
  <c r="Z77" i="25"/>
  <c r="AA77" i="25" s="1"/>
  <c r="Z46" i="25"/>
  <c r="AA46" i="25" s="1"/>
  <c r="Z15" i="25"/>
  <c r="AA15" i="25" s="1"/>
  <c r="Z64" i="25"/>
  <c r="AA64" i="25" s="1"/>
  <c r="Z47" i="25"/>
  <c r="AA47" i="25" s="1"/>
  <c r="Z72" i="25"/>
  <c r="AA72" i="25" s="1"/>
  <c r="Z65" i="25"/>
  <c r="AA65" i="25" s="1"/>
  <c r="Z49" i="25"/>
  <c r="AA49" i="25" s="1"/>
  <c r="Z56" i="25"/>
  <c r="AA56" i="25" s="1"/>
  <c r="Z57" i="25"/>
  <c r="AA57" i="25" s="1"/>
  <c r="Z59" i="25"/>
  <c r="AA59" i="25" s="1"/>
  <c r="Z89" i="25"/>
  <c r="AA89" i="25" s="1"/>
  <c r="Z38" i="25"/>
  <c r="AA38" i="25" s="1"/>
  <c r="Z35" i="25"/>
  <c r="AA35" i="25" s="1"/>
  <c r="Z11" i="25"/>
  <c r="AA11" i="25" s="1"/>
  <c r="Z36" i="25"/>
  <c r="AA36" i="25" s="1"/>
  <c r="Z37" i="25"/>
  <c r="AA37" i="25" s="1"/>
  <c r="Z33" i="25"/>
  <c r="AA33" i="25" s="1"/>
  <c r="Z60" i="25"/>
  <c r="AA60" i="25" s="1"/>
  <c r="Z58" i="25"/>
  <c r="AA58" i="25" s="1"/>
  <c r="Z78" i="25"/>
  <c r="AA78" i="25" s="1"/>
  <c r="Z61" i="25"/>
  <c r="AA61" i="25" s="1"/>
  <c r="Z14" i="25"/>
  <c r="AA14" i="25" s="1"/>
  <c r="Z40" i="25"/>
  <c r="AA40" i="25" s="1"/>
  <c r="Z73" i="25"/>
  <c r="AA73" i="25" s="1"/>
  <c r="Z62" i="25"/>
  <c r="AA62" i="25" s="1"/>
  <c r="Z22" i="25"/>
  <c r="AA22" i="25" s="1"/>
  <c r="Z19" i="25"/>
  <c r="AA19" i="25" s="1"/>
  <c r="Z31" i="25"/>
  <c r="AA31" i="25" s="1"/>
  <c r="Z39" i="25"/>
  <c r="AA39" i="25" s="1"/>
  <c r="Z70" i="25"/>
  <c r="AA70" i="25" s="1"/>
  <c r="Z29" i="25"/>
  <c r="AA29" i="25" s="1"/>
  <c r="Z63" i="25"/>
  <c r="AA63" i="25" s="1"/>
  <c r="Z21" i="25"/>
  <c r="AA21" i="25" s="1"/>
  <c r="Z74" i="25"/>
  <c r="AA74" i="25" s="1"/>
  <c r="Z24" i="25"/>
  <c r="AA24" i="25" s="1"/>
  <c r="Z41" i="25"/>
  <c r="AA41" i="25" s="1"/>
  <c r="Z90" i="25"/>
  <c r="AA90" i="25" s="1"/>
  <c r="Z81" i="25"/>
  <c r="AA81" i="25" s="1"/>
  <c r="Z53" i="25"/>
  <c r="AA53" i="25" s="1"/>
  <c r="Z82" i="25"/>
  <c r="AA82" i="25" s="1"/>
  <c r="AE85" i="25"/>
  <c r="Z83" i="25"/>
  <c r="AA83" i="25" s="1"/>
  <c r="Z17" i="25"/>
  <c r="AA17" i="25" s="1"/>
  <c r="Z34" i="25"/>
  <c r="AA34" i="25" s="1"/>
  <c r="Z80" i="25"/>
  <c r="AA80" i="25" s="1"/>
  <c r="Z52" i="25"/>
  <c r="AA52" i="25" s="1"/>
  <c r="Z32" i="25"/>
  <c r="AA32" i="25" s="1"/>
  <c r="Z76" i="25"/>
  <c r="AA76" i="25" s="1"/>
  <c r="Z67" i="25"/>
  <c r="AA67" i="25" s="1"/>
  <c r="Z18" i="25"/>
  <c r="AA18" i="25" s="1"/>
  <c r="Z86" i="25"/>
  <c r="AA86" i="25" s="1"/>
  <c r="Z20" i="25"/>
  <c r="AA20" i="25" s="1"/>
  <c r="Z13" i="25"/>
  <c r="AA13" i="25" s="1"/>
  <c r="Z84" i="25"/>
  <c r="AA84" i="25" s="1"/>
  <c r="Z45" i="25"/>
  <c r="AA45" i="25" s="1"/>
  <c r="Z48" i="25"/>
  <c r="AA48" i="25" s="1"/>
  <c r="Z25" i="25"/>
  <c r="AA25" i="25" s="1"/>
  <c r="Z66" i="25"/>
  <c r="AA66" i="25" s="1"/>
  <c r="Z43" i="25"/>
  <c r="AA43" i="25" s="1"/>
  <c r="Z12" i="25"/>
  <c r="AA12" i="25" s="1"/>
  <c r="Z23" i="25"/>
  <c r="AA23" i="25" s="1"/>
  <c r="Z16" i="25"/>
  <c r="AA16" i="25" s="1"/>
  <c r="E10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K4" authorId="0" shapeId="0" xr:uid="{1088DE9E-19B9-8844-8393-7EB4C848C68B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2C1E7400-B708-D74A-9D5E-96F75F64DB6D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W5" authorId="1" shapeId="0" xr:uid="{7561D558-BED2-5740-B846-D731DED4776C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<sst xmlns="http://schemas.openxmlformats.org/spreadsheetml/2006/main" count="936" uniqueCount="319">
  <si>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</si>
  <si>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</si>
  <si>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</si>
  <si>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</si>
  <si>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</si>
  <si>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</si>
  <si>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</si>
  <si>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</si>
  <si>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</si>
  <si>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</si>
  <si>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</si>
  <si>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</si>
  <si>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</si>
  <si>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</si>
  <si>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</si>
  <si>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</si>
  <si>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</si>
  <si>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</si>
  <si>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</si>
  <si>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</si>
  <si>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</si>
  <si>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</si>
  <si>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10" type="noConversion"/>
  </si>
  <si>
    <t>-</t>
    <phoneticPr fontId="10" type="noConversion"/>
  </si>
  <si>
    <t>Config:</t>
    <phoneticPr fontId="10" type="noConversion"/>
  </si>
  <si>
    <t>FAI Data Sheet  Enclosures MD</t>
  </si>
  <si>
    <t>DRAWING SPECIFICATIONS</t>
    <phoneticPr fontId="10" type="noConversion"/>
  </si>
  <si>
    <t>INSPECTION RESULTS</t>
  </si>
  <si>
    <t>INSPECTION ANALYSIS</t>
  </si>
  <si>
    <t xml:space="preserve"> Supplier Comment</t>
    <phoneticPr fontId="10" type="noConversion"/>
  </si>
  <si>
    <t>FAI#</t>
  </si>
  <si>
    <t>Description</t>
    <phoneticPr fontId="40" type="noConversion"/>
  </si>
  <si>
    <t>Nominal</t>
  </si>
  <si>
    <t>+TOL</t>
    <phoneticPr fontId="10" type="noConversion"/>
  </si>
  <si>
    <t>TOL</t>
    <phoneticPr fontId="10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</si>
  <si>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</si>
  <si>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</si>
  <si>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</si>
  <si>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</si>
  <si>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</si>
  <si>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</si>
  <si>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</si>
  <si>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</si>
  <si>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</si>
  <si>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</si>
  <si>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Distance</t>
  </si>
  <si>
    <t>OMM</t>
  </si>
  <si>
    <t>Parallelism</t>
  </si>
  <si>
    <t>Flatness</t>
  </si>
  <si>
    <t>Enhanced Cpk Data Sheet - Enclosures MD</t>
  </si>
  <si>
    <t xml:space="preserve">  </t>
    <phoneticPr fontId="43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</si>
  <si>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</si>
  <si>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</si>
  <si>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</si>
  <si>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</si>
  <si>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</si>
  <si>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</si>
  <si>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</si>
  <si>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</si>
  <si>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47" type="noConversion"/>
  </si>
  <si>
    <t>Description</t>
    <phoneticPr fontId="48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</si>
  <si>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</si>
  <si>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</si>
  <si>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</si>
  <si>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</si>
  <si>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</si>
  <si>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</si>
  <si>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</si>
  <si>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3" type="noConversion"/>
  </si>
  <si>
    <t>Cp</t>
  </si>
  <si>
    <t>Ca</t>
  </si>
  <si>
    <t>Ca Level</t>
  </si>
  <si>
    <t>UCPK</t>
    <phoneticPr fontId="49" type="noConversion"/>
  </si>
  <si>
    <t>LCPK</t>
    <phoneticPr fontId="49" type="noConversion"/>
  </si>
  <si>
    <t>Cpk</t>
  </si>
  <si>
    <t>Yield</t>
  </si>
  <si>
    <t>+Tol =&gt; Cpk*</t>
  </si>
  <si>
    <t>-Tol =&gt; Cpk*</t>
  </si>
  <si>
    <t>Mean Shift</t>
    <phoneticPr fontId="43" type="noConversion"/>
  </si>
  <si>
    <t>Tol Range
=&gt; Cp*</t>
  </si>
  <si>
    <t>Normality Test</t>
    <phoneticPr fontId="10" type="noConversion"/>
  </si>
  <si>
    <t>Normality Result</t>
  </si>
  <si>
    <t>Notes</t>
  </si>
  <si>
    <t>C</t>
  </si>
  <si>
    <t>No</t>
  </si>
  <si>
    <t>G</t>
  </si>
  <si>
    <t>M</t>
  </si>
  <si>
    <t>X</t>
  </si>
  <si>
    <t>Z</t>
  </si>
  <si>
    <t>AB</t>
  </si>
  <si>
    <t>AC</t>
  </si>
  <si>
    <t>AN</t>
  </si>
  <si>
    <t>AE</t>
  </si>
  <si>
    <t>AG</t>
  </si>
  <si>
    <t>AL</t>
  </si>
  <si>
    <t>AM</t>
  </si>
  <si>
    <t>Memphis-Project</t>
    <phoneticPr fontId="10" type="noConversion"/>
  </si>
  <si>
    <t>37-1</t>
  </si>
  <si>
    <t>37-2</t>
  </si>
  <si>
    <t>25-1</t>
  </si>
  <si>
    <t>25-2</t>
  </si>
  <si>
    <t>35-1</t>
  </si>
  <si>
    <t>35-2</t>
  </si>
  <si>
    <t>38-1</t>
  </si>
  <si>
    <t>38-2</t>
  </si>
  <si>
    <t>69-1</t>
  </si>
  <si>
    <t>69-2</t>
  </si>
  <si>
    <t>85</t>
  </si>
  <si>
    <t>89</t>
  </si>
  <si>
    <t>Perpendicularity</t>
  </si>
  <si>
    <t>Straightness</t>
  </si>
  <si>
    <t>CMM</t>
  </si>
  <si>
    <t>U</t>
  </si>
  <si>
    <t>T</t>
  </si>
  <si>
    <t>W</t>
  </si>
  <si>
    <t>V</t>
  </si>
  <si>
    <t>AW</t>
  </si>
  <si>
    <t>BE</t>
  </si>
  <si>
    <t>BF</t>
  </si>
  <si>
    <t>BG</t>
  </si>
  <si>
    <t>BH</t>
  </si>
  <si>
    <t>BI</t>
  </si>
  <si>
    <t>BL</t>
  </si>
  <si>
    <t>2-1</t>
  </si>
  <si>
    <t>2-2</t>
  </si>
  <si>
    <t>2-3</t>
  </si>
  <si>
    <t>2-4</t>
  </si>
  <si>
    <t>4-a</t>
  </si>
  <si>
    <t>4-b</t>
  </si>
  <si>
    <t>4-c</t>
  </si>
  <si>
    <t>6-a</t>
  </si>
  <si>
    <t>6-b</t>
  </si>
  <si>
    <t>6-c</t>
  </si>
  <si>
    <t>9_1</t>
  </si>
  <si>
    <t>9_2</t>
  </si>
  <si>
    <t>9_3</t>
  </si>
  <si>
    <t>9_4</t>
  </si>
  <si>
    <t>9_5</t>
  </si>
  <si>
    <t>9_6</t>
  </si>
  <si>
    <t>9_7</t>
  </si>
  <si>
    <t>9_8</t>
  </si>
  <si>
    <t>11</t>
  </si>
  <si>
    <t>12-1</t>
  </si>
  <si>
    <t>12-2</t>
  </si>
  <si>
    <t>12-3</t>
  </si>
  <si>
    <t>12-4</t>
  </si>
  <si>
    <t>13-1</t>
  </si>
  <si>
    <t>13-2</t>
  </si>
  <si>
    <t>14-1</t>
  </si>
  <si>
    <t>14-2</t>
  </si>
  <si>
    <t>15-1</t>
  </si>
  <si>
    <t>15-2</t>
  </si>
  <si>
    <t>15-3</t>
  </si>
  <si>
    <t>15-4</t>
  </si>
  <si>
    <t>20</t>
  </si>
  <si>
    <t>21</t>
  </si>
  <si>
    <t>22</t>
  </si>
  <si>
    <t>23</t>
  </si>
  <si>
    <t>24</t>
  </si>
  <si>
    <t>26-1</t>
  </si>
  <si>
    <t>26-2</t>
  </si>
  <si>
    <t>27</t>
  </si>
  <si>
    <t>28</t>
  </si>
  <si>
    <t>29</t>
  </si>
  <si>
    <t>31</t>
  </si>
  <si>
    <t>33</t>
  </si>
  <si>
    <t>40</t>
  </si>
  <si>
    <t>45</t>
  </si>
  <si>
    <t>47</t>
  </si>
  <si>
    <t>50</t>
  </si>
  <si>
    <t>51</t>
  </si>
  <si>
    <t>52</t>
  </si>
  <si>
    <t>53</t>
  </si>
  <si>
    <t>54-1</t>
  </si>
  <si>
    <t>54-2</t>
  </si>
  <si>
    <t>55-1</t>
  </si>
  <si>
    <t>55-2</t>
  </si>
  <si>
    <t>56-1</t>
  </si>
  <si>
    <t>56-2</t>
  </si>
  <si>
    <t>57</t>
  </si>
  <si>
    <t>70-1</t>
  </si>
  <si>
    <t>70-2</t>
  </si>
  <si>
    <t>80</t>
  </si>
  <si>
    <t>81</t>
  </si>
  <si>
    <t>82</t>
  </si>
  <si>
    <t>83</t>
  </si>
  <si>
    <t>84</t>
  </si>
  <si>
    <t>87</t>
  </si>
  <si>
    <t>96-1</t>
  </si>
  <si>
    <t>96-2</t>
  </si>
  <si>
    <t>97-1</t>
  </si>
  <si>
    <t>97-2</t>
  </si>
  <si>
    <t>Height</t>
  </si>
  <si>
    <t>B-1</t>
  </si>
  <si>
    <t>B-2</t>
  </si>
  <si>
    <t>B-3</t>
  </si>
  <si>
    <t>B-4</t>
  </si>
  <si>
    <t>D-a</t>
  </si>
  <si>
    <t>D-b</t>
  </si>
  <si>
    <t>D-c</t>
  </si>
  <si>
    <t>F-a</t>
  </si>
  <si>
    <t>F-b</t>
  </si>
  <si>
    <t>F-c</t>
  </si>
  <si>
    <t>H</t>
  </si>
  <si>
    <t>I</t>
  </si>
  <si>
    <t>K</t>
  </si>
  <si>
    <t>L-1</t>
  </si>
  <si>
    <t>L-2</t>
  </si>
  <si>
    <t>L-3</t>
  </si>
  <si>
    <t>L-4</t>
  </si>
  <si>
    <t>N-1</t>
  </si>
  <si>
    <t>N-2</t>
  </si>
  <si>
    <t>O-1</t>
  </si>
  <si>
    <t>O-2</t>
  </si>
  <si>
    <t>O-3</t>
  </si>
  <si>
    <t>O-4</t>
  </si>
  <si>
    <t>Y-1</t>
  </si>
  <si>
    <t>Y-2</t>
  </si>
  <si>
    <t>AA</t>
  </si>
  <si>
    <t>AX</t>
  </si>
  <si>
    <t>114-1</t>
  </si>
  <si>
    <t>114-2</t>
  </si>
  <si>
    <t>86-1</t>
  </si>
  <si>
    <t>86-2</t>
  </si>
  <si>
    <t>88-1</t>
  </si>
  <si>
    <t>88-2</t>
  </si>
  <si>
    <t>Position</t>
  </si>
  <si>
    <t>Angle</t>
  </si>
  <si>
    <t>98-V1</t>
  </si>
  <si>
    <t>99-V1</t>
  </si>
  <si>
    <t>100-V1</t>
  </si>
  <si>
    <t>101-V1</t>
  </si>
  <si>
    <t>102-V1</t>
  </si>
  <si>
    <t>103-V1</t>
  </si>
  <si>
    <t>98-V2</t>
  </si>
  <si>
    <t>99-V2</t>
  </si>
  <si>
    <t>100-V2</t>
  </si>
  <si>
    <t>101-V2</t>
  </si>
  <si>
    <t>102-V2</t>
  </si>
  <si>
    <t>103-V2</t>
  </si>
  <si>
    <t>104-V3</t>
  </si>
  <si>
    <t>105-V3</t>
  </si>
  <si>
    <t>106-V3</t>
  </si>
  <si>
    <t>107-V3</t>
  </si>
  <si>
    <t>108-V3</t>
  </si>
  <si>
    <t>109-V3</t>
  </si>
  <si>
    <t>104-V4</t>
  </si>
  <si>
    <t>105-V4</t>
  </si>
  <si>
    <t>106-V4</t>
  </si>
  <si>
    <t>107-V4</t>
  </si>
  <si>
    <t>108-V4</t>
  </si>
  <si>
    <t>109-V4</t>
  </si>
  <si>
    <t>111-1</t>
  </si>
  <si>
    <t>111-2</t>
  </si>
  <si>
    <t>111-3</t>
  </si>
  <si>
    <t>111-4</t>
  </si>
  <si>
    <t>111-5</t>
  </si>
  <si>
    <t>111-6</t>
  </si>
  <si>
    <t>111-7</t>
  </si>
  <si>
    <t>111-8</t>
  </si>
  <si>
    <t>111-9</t>
  </si>
  <si>
    <t>111-10</t>
  </si>
  <si>
    <t>111-11</t>
  </si>
  <si>
    <t>111-12</t>
  </si>
  <si>
    <t>111-13</t>
  </si>
  <si>
    <t>111-14</t>
  </si>
  <si>
    <t>111-15</t>
  </si>
  <si>
    <t>116_1</t>
  </si>
  <si>
    <t>116_2</t>
  </si>
  <si>
    <t>[30]</t>
  </si>
  <si>
    <t>BK</t>
  </si>
  <si>
    <t>817-11238</t>
    <phoneticPr fontId="10" type="noConversion"/>
  </si>
  <si>
    <t>BM</t>
  </si>
  <si>
    <t>86-3</t>
  </si>
  <si>
    <t>CUT Distance</t>
  </si>
  <si>
    <t>86-4</t>
  </si>
  <si>
    <t>86-5</t>
  </si>
  <si>
    <t>86-6</t>
  </si>
  <si>
    <t>88-3</t>
  </si>
  <si>
    <t>88-4</t>
  </si>
  <si>
    <t>88-5</t>
  </si>
  <si>
    <t>88-6</t>
  </si>
  <si>
    <t>BN</t>
  </si>
  <si>
    <t>BO</t>
  </si>
  <si>
    <t>FAI98-V1</t>
  </si>
  <si>
    <t>FAI103-V1</t>
  </si>
  <si>
    <t>FAI98-V2</t>
  </si>
  <si>
    <t>FAI103-V2</t>
  </si>
  <si>
    <t>FAI104-V3</t>
  </si>
  <si>
    <t>FAI109-V3</t>
  </si>
  <si>
    <t>FAI104-V4</t>
  </si>
  <si>
    <t>FAI109-V4</t>
  </si>
  <si>
    <t>FAI 114-1</t>
  </si>
  <si>
    <t>FAI 114-2</t>
  </si>
  <si>
    <t>FAI 115</t>
  </si>
  <si>
    <t>117-1</t>
  </si>
  <si>
    <t>117-2</t>
  </si>
  <si>
    <t>APN</t>
  </si>
  <si>
    <t>Shipping Date</t>
  </si>
  <si>
    <t>Build</t>
  </si>
  <si>
    <t>Inner package</t>
  </si>
  <si>
    <t>Shipping Lot No</t>
  </si>
  <si>
    <t>Total Q'TY</t>
  </si>
  <si>
    <t>Cavity</t>
  </si>
  <si>
    <t>Shipping Qty</t>
  </si>
  <si>
    <t>Unit</t>
  </si>
  <si>
    <t>MCO Rev.11 / MSoP Rev.1 /
PGM Rev.03</t>
    <phoneticPr fontId="10" type="noConversion"/>
  </si>
  <si>
    <t>MP</t>
    <phoneticPr fontId="10" type="noConversion"/>
  </si>
  <si>
    <t>PCS</t>
    <phoneticPr fontId="57" type="noConversion"/>
  </si>
  <si>
    <t>BQ</t>
    <phoneticPr fontId="10" type="noConversion"/>
  </si>
  <si>
    <t>BP</t>
    <phoneticPr fontId="10" type="noConversion"/>
  </si>
  <si>
    <t xml:space="preserve">116-1 </t>
  </si>
  <si>
    <t xml:space="preserve">116-2 </t>
  </si>
  <si>
    <t/>
  </si>
  <si>
    <t>3HUR00021A/480/DP252312080A2BZM</t>
  </si>
  <si>
    <t>20250604-27-B</t>
  </si>
  <si>
    <t>관리 치수</t>
    <phoneticPr fontId="10" type="noConversion"/>
  </si>
  <si>
    <r>
      <t xml:space="preserve">LG </t>
    </r>
    <r>
      <rPr>
        <sz val="9"/>
        <rFont val="맑은 고딕"/>
        <family val="2"/>
        <charset val="129"/>
      </rPr>
      <t>요청 치수</t>
    </r>
    <phoneticPr fontId="10" type="noConversion"/>
  </si>
  <si>
    <t>Annealing Date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</si>
</sst>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0_);[Red]\(0\)"/>
  </numFmts>
  <fonts count="63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2"/>
      <name val="Times New Roman"/>
      <family val="1"/>
    </font>
    <font>
      <sz val="10"/>
      <color theme="1"/>
      <name val="맑은 고딕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name val="Malgun Gothic"/>
      <family val="2"/>
      <charset val="129"/>
    </font>
    <font>
      <sz val="12"/>
      <color indexed="8"/>
      <name val="맑은 고딕"/>
      <family val="3"/>
      <charset val="129"/>
      <scheme val="major"/>
    </font>
    <font>
      <sz val="8"/>
      <name val="굴림"/>
      <family val="3"/>
      <charset val="129"/>
    </font>
    <font>
      <sz val="9"/>
      <name val="맑은 고딕"/>
      <family val="2"/>
      <charset val="129"/>
    </font>
    <font>
      <sz val="10"/>
      <color theme="0"/>
      <name val="Arial"/>
      <family val="2"/>
    </font>
    <font>
      <sz val="12"/>
      <color theme="0"/>
      <name val="맑은 고딕"/>
      <family val="2"/>
      <scheme val="minor"/>
    </font>
    <font>
      <sz val="9"/>
      <color theme="4"/>
      <name val="Arial"/>
      <family val="2"/>
    </font>
    <font>
      <sz val="10"/>
      <color theme="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94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9" fillId="0" borderId="0"/>
    <xf numFmtId="178" fontId="11" fillId="0" borderId="0"/>
    <xf numFmtId="178" fontId="11" fillId="0" borderId="0"/>
    <xf numFmtId="9" fontId="1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11" borderId="1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5" fillId="0" borderId="0"/>
    <xf numFmtId="9" fontId="18" fillId="0" borderId="0" applyFont="0" applyFill="0" applyBorder="0" applyAlignment="0" applyProtection="0"/>
    <xf numFmtId="0" fontId="15" fillId="0" borderId="0"/>
    <xf numFmtId="9" fontId="8" fillId="0" borderId="0" applyFont="0" applyFill="0" applyBorder="0" applyAlignment="0" applyProtection="0"/>
    <xf numFmtId="0" fontId="14" fillId="0" borderId="0"/>
    <xf numFmtId="177" fontId="12" fillId="0" borderId="0" applyFill="0" applyBorder="0" applyAlignment="0"/>
    <xf numFmtId="179" fontId="12" fillId="0" borderId="0" applyFill="0" applyBorder="0" applyAlignment="0"/>
    <xf numFmtId="0" fontId="16" fillId="0" borderId="17" applyNumberFormat="0" applyAlignment="0" applyProtection="0">
      <alignment horizontal="left" vertical="center"/>
    </xf>
    <xf numFmtId="0" fontId="16" fillId="0" borderId="7">
      <alignment horizontal="left" vertical="center"/>
    </xf>
    <xf numFmtId="179" fontId="12" fillId="0" borderId="0" applyFill="0" applyBorder="0" applyAlignment="0"/>
    <xf numFmtId="0" fontId="15" fillId="0" borderId="0"/>
    <xf numFmtId="179" fontId="12" fillId="0" borderId="0" applyFill="0" applyBorder="0" applyAlignment="0"/>
    <xf numFmtId="49" fontId="13" fillId="0" borderId="0" applyFill="0" applyBorder="0" applyAlignment="0"/>
    <xf numFmtId="179" fontId="12" fillId="0" borderId="0" applyFill="0" applyBorder="0" applyAlignment="0"/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8" fillId="0" borderId="0"/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176" fontId="17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178" fontId="11" fillId="0" borderId="0"/>
    <xf numFmtId="0" fontId="51" fillId="0" borderId="0"/>
    <xf numFmtId="178" fontId="9" fillId="0" borderId="0"/>
  </cellStyleXfs>
  <cellXfs count="156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3" fontId="5" fillId="0" borderId="1" xfId="0" applyNumberFormat="1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81" fontId="12" fillId="0" borderId="0" xfId="0" applyNumberFormat="1" applyFont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>
      <alignment horizontal="center" vertical="center"/>
    </xf>
    <xf numFmtId="181" fontId="12" fillId="0" borderId="21" xfId="0" applyNumberFormat="1" applyFont="1" applyBorder="1" applyAlignment="1">
      <alignment horizontal="center" vertical="center"/>
    </xf>
    <xf numFmtId="9" fontId="13" fillId="0" borderId="21" xfId="0" quotePrefix="1" applyNumberFormat="1" applyFont="1" applyBorder="1" applyAlignment="1">
      <alignment horizontal="center" vertical="center"/>
    </xf>
    <xf numFmtId="9" fontId="13" fillId="0" borderId="21" xfId="0" applyNumberFormat="1" applyFont="1" applyBorder="1" applyAlignment="1">
      <alignment horizontal="center" vertical="center"/>
    </xf>
    <xf numFmtId="9" fontId="12" fillId="0" borderId="2" xfId="49" applyFont="1" applyFill="1" applyBorder="1" applyAlignment="1">
      <alignment horizontal="center" vertical="center"/>
    </xf>
    <xf numFmtId="181" fontId="12" fillId="0" borderId="2" xfId="49" applyNumberFormat="1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 shrinkToFit="1"/>
    </xf>
    <xf numFmtId="0" fontId="12" fillId="0" borderId="27" xfId="0" applyFont="1" applyBorder="1" applyAlignment="1" applyProtection="1">
      <alignment horizontal="center" vertical="center"/>
      <protection locked="0"/>
    </xf>
    <xf numFmtId="49" fontId="12" fillId="0" borderId="27" xfId="0" applyNumberFormat="1" applyFont="1" applyBorder="1" applyAlignment="1" applyProtection="1">
      <alignment horizontal="center" vertical="center"/>
      <protection locked="0"/>
    </xf>
    <xf numFmtId="181" fontId="12" fillId="0" borderId="27" xfId="0" applyNumberFormat="1" applyFont="1" applyBorder="1" applyAlignment="1" applyProtection="1">
      <alignment horizontal="center" vertical="center"/>
      <protection locked="0"/>
    </xf>
    <xf numFmtId="0" fontId="39" fillId="0" borderId="27" xfId="0" applyFont="1" applyBorder="1" applyAlignment="1">
      <alignment horizontal="center" vertical="center"/>
    </xf>
    <xf numFmtId="181" fontId="12" fillId="0" borderId="20" xfId="0" applyNumberFormat="1" applyFont="1" applyBorder="1" applyAlignment="1" applyProtection="1">
      <alignment horizontal="center" vertical="center"/>
      <protection locked="0"/>
    </xf>
    <xf numFmtId="49" fontId="12" fillId="0" borderId="27" xfId="0" applyNumberFormat="1" applyFont="1" applyBorder="1" applyAlignment="1" applyProtection="1">
      <alignment horizontal="center" vertical="center" wrapText="1"/>
      <protection locked="0"/>
    </xf>
    <xf numFmtId="17" fontId="12" fillId="0" borderId="27" xfId="0" quotePrefix="1" applyNumberFormat="1" applyFont="1" applyBorder="1" applyAlignment="1" applyProtection="1">
      <alignment horizontal="center" vertical="center"/>
      <protection locked="0"/>
    </xf>
    <xf numFmtId="0" fontId="12" fillId="0" borderId="27" xfId="0" quotePrefix="1" applyFont="1" applyBorder="1" applyAlignment="1" applyProtection="1">
      <alignment horizontal="center" vertical="center"/>
      <protection locked="0"/>
    </xf>
    <xf numFmtId="0" fontId="55" fillId="0" borderId="27" xfId="0" applyFont="1" applyBorder="1" applyAlignment="1" applyProtection="1">
      <alignment horizontal="center" vertical="center"/>
      <protection locked="0"/>
    </xf>
    <xf numFmtId="0" fontId="39" fillId="0" borderId="2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56" fillId="0" borderId="0" xfId="62" applyFont="1" applyAlignment="1">
      <alignment horizontal="center" vertical="center"/>
    </xf>
    <xf numFmtId="183" fontId="56" fillId="0" borderId="0" xfId="62" applyNumberFormat="1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8" fillId="0" borderId="22" xfId="0" applyFont="1" applyBorder="1" applyAlignment="1">
      <alignment vertical="center"/>
    </xf>
    <xf numFmtId="0" fontId="38" fillId="0" borderId="18" xfId="0" applyFont="1" applyBorder="1" applyAlignment="1">
      <alignment vertical="center"/>
    </xf>
    <xf numFmtId="0" fontId="12" fillId="0" borderId="19" xfId="0" applyFont="1" applyBorder="1" applyAlignment="1" applyProtection="1">
      <alignment horizontal="center" vertical="center"/>
      <protection locked="0"/>
    </xf>
    <xf numFmtId="0" fontId="38" fillId="0" borderId="0" xfId="0" applyFont="1" applyAlignment="1">
      <alignment vertical="center"/>
    </xf>
    <xf numFmtId="58" fontId="39" fillId="0" borderId="18" xfId="48" applyNumberFormat="1" applyFont="1" applyBorder="1" applyAlignment="1" applyProtection="1">
      <alignment vertical="center" wrapText="1"/>
      <protection locked="0"/>
    </xf>
    <xf numFmtId="2" fontId="39" fillId="0" borderId="18" xfId="48" applyNumberFormat="1" applyFont="1" applyBorder="1" applyAlignment="1" applyProtection="1">
      <alignment vertical="center" wrapText="1"/>
      <protection locked="0"/>
    </xf>
    <xf numFmtId="0" fontId="44" fillId="0" borderId="18" xfId="0" quotePrefix="1" applyFont="1" applyBorder="1" applyAlignment="1">
      <alignment horizontal="center" vertical="center" wrapText="1"/>
    </xf>
    <xf numFmtId="0" fontId="39" fillId="0" borderId="18" xfId="0" applyFont="1" applyBorder="1" applyAlignment="1">
      <alignment vertical="center" wrapText="1"/>
    </xf>
    <xf numFmtId="0" fontId="39" fillId="0" borderId="18" xfId="48" applyFont="1" applyBorder="1" applyAlignment="1">
      <alignment vertical="center" wrapText="1"/>
    </xf>
    <xf numFmtId="0" fontId="39" fillId="0" borderId="18" xfId="48" applyFont="1" applyBorder="1" applyAlignment="1">
      <alignment vertical="center"/>
    </xf>
    <xf numFmtId="2" fontId="39" fillId="0" borderId="18" xfId="48" applyNumberFormat="1" applyFont="1" applyBorder="1" applyAlignment="1">
      <alignment vertical="center"/>
    </xf>
    <xf numFmtId="181" fontId="39" fillId="0" borderId="18" xfId="48" applyNumberFormat="1" applyFont="1" applyBorder="1" applyAlignment="1">
      <alignment vertical="center"/>
    </xf>
    <xf numFmtId="0" fontId="39" fillId="0" borderId="2" xfId="0" applyFont="1" applyBorder="1" applyAlignment="1">
      <alignment horizontal="center" vertical="center" wrapText="1"/>
    </xf>
    <xf numFmtId="2" fontId="12" fillId="0" borderId="5" xfId="0" applyNumberFormat="1" applyFont="1" applyBorder="1" applyAlignment="1">
      <alignment horizontal="center" vertical="center" wrapText="1"/>
    </xf>
    <xf numFmtId="0" fontId="45" fillId="0" borderId="18" xfId="48" applyFont="1" applyBorder="1" applyAlignment="1" applyProtection="1">
      <alignment vertical="center" wrapText="1"/>
      <protection locked="0"/>
    </xf>
    <xf numFmtId="0" fontId="38" fillId="0" borderId="3" xfId="0" applyFont="1" applyBorder="1" applyAlignment="1">
      <alignment vertical="center"/>
    </xf>
    <xf numFmtId="0" fontId="38" fillId="0" borderId="4" xfId="0" applyFont="1" applyBorder="1" applyAlignment="1">
      <alignment vertical="center"/>
    </xf>
    <xf numFmtId="0" fontId="46" fillId="0" borderId="22" xfId="0" applyFont="1" applyBorder="1" applyAlignment="1">
      <alignment vertical="center"/>
    </xf>
    <xf numFmtId="58" fontId="39" fillId="0" borderId="21" xfId="48" applyNumberFormat="1" applyFont="1" applyBorder="1" applyAlignment="1" applyProtection="1">
      <alignment horizontal="center" vertical="center" wrapText="1"/>
      <protection locked="0"/>
    </xf>
    <xf numFmtId="2" fontId="39" fillId="0" borderId="21" xfId="48" applyNumberFormat="1" applyFont="1" applyBorder="1" applyAlignment="1" applyProtection="1">
      <alignment horizontal="center" vertical="center" wrapText="1"/>
      <protection locked="0"/>
    </xf>
    <xf numFmtId="49" fontId="39" fillId="0" borderId="21" xfId="0" quotePrefix="1" applyNumberFormat="1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/>
    </xf>
    <xf numFmtId="2" fontId="39" fillId="0" borderId="21" xfId="48" applyNumberFormat="1" applyFont="1" applyBorder="1" applyAlignment="1">
      <alignment horizontal="center" vertical="center"/>
    </xf>
    <xf numFmtId="181" fontId="39" fillId="0" borderId="21" xfId="48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 wrapText="1"/>
    </xf>
    <xf numFmtId="0" fontId="39" fillId="0" borderId="21" xfId="48" applyFont="1" applyBorder="1" applyAlignment="1" applyProtection="1">
      <alignment horizontal="center" vertical="center" wrapText="1"/>
      <protection locked="0"/>
    </xf>
    <xf numFmtId="0" fontId="46" fillId="0" borderId="4" xfId="0" applyFont="1" applyBorder="1" applyAlignment="1">
      <alignment vertical="center"/>
    </xf>
    <xf numFmtId="0" fontId="39" fillId="0" borderId="27" xfId="48" applyFont="1" applyBorder="1" applyAlignment="1" applyProtection="1">
      <alignment horizontal="center" vertical="center"/>
      <protection locked="0"/>
    </xf>
    <xf numFmtId="0" fontId="50" fillId="0" borderId="0" xfId="0" applyFont="1" applyAlignment="1">
      <alignment vertical="center"/>
    </xf>
    <xf numFmtId="0" fontId="12" fillId="0" borderId="18" xfId="691" applyNumberFormat="1" applyFont="1" applyBorder="1" applyAlignment="1" applyProtection="1">
      <alignment horizontal="center" vertical="center"/>
      <protection locked="0"/>
    </xf>
    <xf numFmtId="0" fontId="12" fillId="0" borderId="27" xfId="4" applyNumberFormat="1" applyFont="1" applyBorder="1" applyAlignment="1">
      <alignment horizontal="center" vertical="center"/>
    </xf>
    <xf numFmtId="181" fontId="12" fillId="0" borderId="27" xfId="364" applyNumberFormat="1" applyFont="1" applyBorder="1" applyAlignment="1" applyProtection="1">
      <alignment horizontal="center" vertical="center"/>
      <protection locked="0"/>
    </xf>
    <xf numFmtId="181" fontId="12" fillId="0" borderId="27" xfId="692" applyNumberFormat="1" applyFont="1" applyBorder="1" applyAlignment="1" applyProtection="1">
      <alignment horizontal="center" vertical="center" wrapText="1"/>
      <protection locked="0"/>
    </xf>
    <xf numFmtId="49" fontId="12" fillId="0" borderId="27" xfId="692" applyNumberFormat="1" applyFont="1" applyBorder="1" applyAlignment="1" applyProtection="1">
      <alignment horizontal="center" vertical="center" wrapText="1"/>
      <protection locked="0"/>
    </xf>
    <xf numFmtId="49" fontId="12" fillId="0" borderId="19" xfId="692" applyNumberFormat="1" applyFont="1" applyBorder="1" applyAlignment="1" applyProtection="1">
      <alignment horizontal="center" vertical="center" wrapText="1"/>
      <protection locked="0"/>
    </xf>
    <xf numFmtId="181" fontId="12" fillId="0" borderId="19" xfId="0" applyNumberFormat="1" applyFont="1" applyBorder="1" applyAlignment="1" applyProtection="1">
      <alignment horizontal="center" vertical="center"/>
      <protection locked="0"/>
    </xf>
    <xf numFmtId="0" fontId="52" fillId="0" borderId="22" xfId="0" applyFont="1" applyBorder="1" applyAlignment="1">
      <alignment vertical="center"/>
    </xf>
    <xf numFmtId="182" fontId="12" fillId="0" borderId="27" xfId="692" applyNumberFormat="1" applyFont="1" applyBorder="1" applyAlignment="1">
      <alignment horizontal="center" vertical="center"/>
    </xf>
    <xf numFmtId="182" fontId="12" fillId="0" borderId="27" xfId="48" applyNumberFormat="1" applyFont="1" applyBorder="1" applyAlignment="1">
      <alignment horizontal="center" vertical="center"/>
    </xf>
    <xf numFmtId="181" fontId="12" fillId="0" borderId="27" xfId="48" applyNumberFormat="1" applyFont="1" applyBorder="1" applyAlignment="1">
      <alignment horizontal="center" vertical="center"/>
    </xf>
    <xf numFmtId="10" fontId="12" fillId="0" borderId="27" xfId="48" applyNumberFormat="1" applyFont="1" applyBorder="1" applyAlignment="1">
      <alignment horizontal="center" vertical="center"/>
    </xf>
    <xf numFmtId="181" fontId="12" fillId="0" borderId="27" xfId="692" applyNumberFormat="1" applyFont="1" applyBorder="1" applyAlignment="1" applyProtection="1">
      <alignment horizontal="center" vertical="center"/>
      <protection locked="0"/>
    </xf>
    <xf numFmtId="0" fontId="39" fillId="0" borderId="27" xfId="692" applyFont="1" applyBorder="1" applyAlignment="1" applyProtection="1">
      <alignment horizontal="center" vertical="center"/>
      <protection locked="0"/>
    </xf>
    <xf numFmtId="0" fontId="39" fillId="0" borderId="0" xfId="692" applyFont="1" applyAlignment="1" applyProtection="1">
      <alignment horizontal="center" vertical="center"/>
      <protection locked="0"/>
    </xf>
    <xf numFmtId="0" fontId="39" fillId="0" borderId="3" xfId="692" applyFont="1" applyBorder="1" applyAlignment="1" applyProtection="1">
      <alignment horizontal="center" vertical="center"/>
      <protection locked="0"/>
    </xf>
    <xf numFmtId="182" fontId="12" fillId="0" borderId="27" xfId="691" applyNumberFormat="1" applyFont="1" applyBorder="1" applyAlignment="1">
      <alignment horizontal="center" vertical="center"/>
    </xf>
    <xf numFmtId="0" fontId="12" fillId="0" borderId="27" xfId="691" applyNumberFormat="1" applyFont="1" applyBorder="1" applyAlignment="1" applyProtection="1">
      <alignment horizontal="center" vertical="center"/>
      <protection locked="0"/>
    </xf>
    <xf numFmtId="0" fontId="5" fillId="0" borderId="2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14" fontId="56" fillId="4" borderId="27" xfId="388" applyNumberFormat="1" applyFont="1" applyFill="1" applyBorder="1" applyAlignment="1">
      <alignment horizontal="center" vertical="center"/>
    </xf>
    <xf numFmtId="49" fontId="56" fillId="4" borderId="27" xfId="388" applyNumberFormat="1" applyFont="1" applyFill="1" applyBorder="1" applyAlignment="1">
      <alignment horizontal="center" vertical="center"/>
    </xf>
    <xf numFmtId="0" fontId="56" fillId="0" borderId="27" xfId="388" applyFont="1" applyBorder="1" applyAlignment="1">
      <alignment horizontal="center" vertical="center"/>
    </xf>
    <xf numFmtId="183" fontId="56" fillId="4" borderId="27" xfId="388" applyNumberFormat="1" applyFont="1" applyFill="1" applyBorder="1" applyAlignment="1">
      <alignment horizontal="center" vertical="center"/>
    </xf>
    <xf numFmtId="0" fontId="56" fillId="4" borderId="27" xfId="388" applyFont="1" applyFill="1" applyBorder="1" applyAlignment="1">
      <alignment horizontal="center" vertical="center"/>
    </xf>
    <xf numFmtId="183" fontId="56" fillId="0" borderId="27" xfId="388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183" fontId="56" fillId="4" borderId="27" xfId="388" applyNumberFormat="1" applyFont="1" applyFill="1" applyBorder="1">
      <alignment vertical="center"/>
    </xf>
    <xf numFmtId="49" fontId="56" fillId="4" borderId="27" xfId="388" applyNumberFormat="1" applyFont="1" applyFill="1" applyBorder="1">
      <alignment vertical="center"/>
    </xf>
    <xf numFmtId="181" fontId="12" fillId="0" borderId="4" xfId="0" applyNumberFormat="1" applyFont="1" applyBorder="1" applyAlignment="1" applyProtection="1">
      <alignment horizontal="center" vertical="center"/>
      <protection locked="0"/>
    </xf>
    <xf numFmtId="0" fontId="59" fillId="0" borderId="0" xfId="0" applyFont="1" applyAlignment="1" applyProtection="1">
      <alignment horizontal="center" vertical="center"/>
      <protection locked="0"/>
    </xf>
    <xf numFmtId="0" fontId="60" fillId="0" borderId="0" xfId="0" applyFont="1" applyAlignment="1">
      <alignment vertical="center"/>
    </xf>
    <xf numFmtId="0" fontId="61" fillId="0" borderId="27" xfId="692" applyFont="1" applyBorder="1" applyAlignment="1" applyProtection="1">
      <alignment horizontal="center" vertical="center"/>
      <protection locked="0"/>
    </xf>
    <xf numFmtId="0" fontId="62" fillId="0" borderId="27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14" fontId="5" fillId="0" borderId="27" xfId="0" applyNumberFormat="1" applyFont="1" applyBorder="1" applyAlignment="1">
      <alignment horizontal="center" vertical="center"/>
    </xf>
    <xf numFmtId="3" fontId="5" fillId="0" borderId="27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 wrapText="1"/>
    </xf>
    <xf numFmtId="0" fontId="38" fillId="0" borderId="27" xfId="0" applyFont="1" applyBorder="1" applyAlignment="1">
      <alignment horizontal="center" vertical="center"/>
    </xf>
    <xf numFmtId="180" fontId="39" fillId="0" borderId="27" xfId="0" applyNumberFormat="1" applyFont="1" applyBorder="1" applyAlignment="1">
      <alignment horizontal="center" vertical="center"/>
    </xf>
    <xf numFmtId="0" fontId="39" fillId="0" borderId="27" xfId="0" quotePrefix="1" applyFont="1" applyBorder="1" applyAlignment="1">
      <alignment horizontal="center" vertical="center" wrapText="1"/>
    </xf>
    <xf numFmtId="0" fontId="58" fillId="0" borderId="2" xfId="0" quotePrefix="1" applyFont="1" applyBorder="1" applyAlignment="1">
      <alignment horizontal="center" vertical="center" wrapText="1"/>
    </xf>
    <xf numFmtId="0" fontId="39" fillId="0" borderId="5" xfId="0" quotePrefix="1" applyFont="1" applyBorder="1" applyAlignment="1">
      <alignment horizontal="center" vertical="center" wrapText="1"/>
    </xf>
    <xf numFmtId="0" fontId="39" fillId="0" borderId="2" xfId="0" quotePrefix="1" applyFont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58" fillId="0" borderId="4" xfId="48" applyFont="1" applyBorder="1" applyAlignment="1">
      <alignment horizontal="center" vertical="center" wrapText="1"/>
    </xf>
    <xf numFmtId="0" fontId="39" fillId="0" borderId="3" xfId="48" applyFont="1" applyBorder="1" applyAlignment="1">
      <alignment horizontal="center" vertical="center" wrapText="1"/>
    </xf>
    <xf numFmtId="0" fontId="39" fillId="0" borderId="4" xfId="48" applyFont="1" applyBorder="1" applyAlignment="1">
      <alignment horizontal="center" vertical="center" wrapText="1"/>
    </xf>
  </cellXfs>
  <cellStyles count="694">
    <cellStyle name="___CPK__" xfId="52" xr:uid="{66B5D527-70B2-400F-8B63-DFBD3372561C}"/>
    <cellStyle name="20% - アクセント 1" xfId="25" builtinId="30" customBuiltin="1"/>
    <cellStyle name="20% - アクセント 2" xfId="29" builtinId="34" customBuiltin="1"/>
    <cellStyle name="20% - アクセント 3" xfId="33" builtinId="38" customBuiltin="1"/>
    <cellStyle name="20% - アクセント 4" xfId="37" builtinId="42" customBuiltin="1"/>
    <cellStyle name="20% - アクセント 5" xfId="41" builtinId="46" customBuiltin="1"/>
    <cellStyle name="20% - アクセント 6" xfId="45" builtinId="50" customBuiltin="1"/>
    <cellStyle name="20% - 강조색1 10" xfId="226" xr:uid="{144ACF6C-EC76-4508-8082-1FFC5044376A}"/>
    <cellStyle name="20% - 강조색1 10 2" xfId="552" xr:uid="{E8F9FED5-EF02-4838-BCE1-BB17C9AE1CCF}"/>
    <cellStyle name="20% - 강조색1 11" xfId="246" xr:uid="{A0133E03-4FF6-4773-83EB-E1C71755515E}"/>
    <cellStyle name="20% - 강조색1 11 2" xfId="572" xr:uid="{C07AC29F-D51B-450D-8E05-BC44565C7D5F}"/>
    <cellStyle name="20% - 강조색1 12" xfId="266" xr:uid="{69765A4B-5601-441F-932C-239E408BA924}"/>
    <cellStyle name="20% - 강조색1 12 2" xfId="592" xr:uid="{ACF1B649-6D3E-4344-B00C-5A9E5333174A}"/>
    <cellStyle name="20% - 강조색1 13" xfId="286" xr:uid="{2D93951E-88EE-4D56-A398-D06CE1F6EA5E}"/>
    <cellStyle name="20% - 강조색1 13 2" xfId="612" xr:uid="{ECB5471B-72C7-4180-B8B4-E6617C907679}"/>
    <cellStyle name="20% - 강조색1 14" xfId="306" xr:uid="{D2E72044-9889-43C0-AEC5-6EB1830CA591}"/>
    <cellStyle name="20% - 강조색1 14 2" xfId="632" xr:uid="{64036DCC-F9AF-49DF-94BB-0AB3EC1B791E}"/>
    <cellStyle name="20% - 강조색1 15" xfId="326" xr:uid="{F699FD11-AFE7-4F15-B0D0-594A5B59A6DC}"/>
    <cellStyle name="20% - 강조색1 15 2" xfId="652" xr:uid="{C50703FE-66D0-4711-ABE8-0F2DBC47714A}"/>
    <cellStyle name="20% - 강조색1 16" xfId="346" xr:uid="{B2D40CCE-D2F7-47F4-A6D2-B2E79757B518}"/>
    <cellStyle name="20% - 강조색1 16 2" xfId="672" xr:uid="{170251E1-E21D-449D-A6F6-157A495DE3ED}"/>
    <cellStyle name="20% - 강조색1 17" xfId="370" xr:uid="{3E7A58F4-5BA1-44AD-A8AD-607F4BFB7B8E}"/>
    <cellStyle name="20% - 강조색1 2" xfId="66" xr:uid="{C000C105-B9B6-4FCD-955D-5C51AE01AD63}"/>
    <cellStyle name="20% - 강조색1 2 2" xfId="392" xr:uid="{411555D5-D6E7-49B4-BE91-DAA511DB5AA2}"/>
    <cellStyle name="20% - 강조색1 3" xfId="86" xr:uid="{F5A672B4-D06D-4DB2-937D-339516178143}"/>
    <cellStyle name="20% - 강조색1 3 2" xfId="412" xr:uid="{A2CAA1E8-30E1-4CDF-B2B6-0E94A495ADC5}"/>
    <cellStyle name="20% - 강조색1 4" xfId="106" xr:uid="{3C64C37A-44A9-4367-B271-41D2A0E02959}"/>
    <cellStyle name="20% - 강조색1 4 2" xfId="432" xr:uid="{B72246AE-C160-41F2-AF39-7B0EB0968845}"/>
    <cellStyle name="20% - 강조색1 5" xfId="126" xr:uid="{85AD6993-9104-4803-AB92-CF10796A4D3D}"/>
    <cellStyle name="20% - 강조색1 5 2" xfId="452" xr:uid="{F718DDDF-76CB-419B-A1B4-AD235186A216}"/>
    <cellStyle name="20% - 강조색1 6" xfId="146" xr:uid="{72C18894-A5F7-4A98-BC89-75E38C4C69E0}"/>
    <cellStyle name="20% - 강조색1 6 2" xfId="472" xr:uid="{35861B30-DDE2-4B9D-AD34-248C36F75069}"/>
    <cellStyle name="20% - 강조색1 7" xfId="166" xr:uid="{3D432729-A8DE-423D-A1F2-8BB10728B8A7}"/>
    <cellStyle name="20% - 강조색1 7 2" xfId="492" xr:uid="{0DC8D07B-A2F2-40AB-BD57-1C7269561E75}"/>
    <cellStyle name="20% - 강조색1 8" xfId="186" xr:uid="{EA8B51F4-DF1C-4AD3-B065-82345EB025A5}"/>
    <cellStyle name="20% - 강조색1 8 2" xfId="512" xr:uid="{B51293B8-7FFB-4DBA-BDD3-4C08AA726E70}"/>
    <cellStyle name="20% - 강조색1 9" xfId="206" xr:uid="{3AF2B297-8D3F-4630-89A2-074B4220D709}"/>
    <cellStyle name="20% - 강조색1 9 2" xfId="532" xr:uid="{7A8228DA-BD73-4843-953B-BE63140ED1CE}"/>
    <cellStyle name="20% - 강조색2 10" xfId="229" xr:uid="{626F9513-4C92-4F94-B200-104CF2CD402B}"/>
    <cellStyle name="20% - 강조색2 10 2" xfId="555" xr:uid="{890507FD-E5FC-4FEA-A63A-E400DCD61AA3}"/>
    <cellStyle name="20% - 강조색2 11" xfId="249" xr:uid="{26249CFF-D7A2-4344-AF21-7004B903DE59}"/>
    <cellStyle name="20% - 강조색2 11 2" xfId="575" xr:uid="{D6AC5028-C339-4DA6-828E-02FAD130A535}"/>
    <cellStyle name="20% - 강조색2 12" xfId="269" xr:uid="{4C7B131D-BF00-41A3-A47F-EF7251B28828}"/>
    <cellStyle name="20% - 강조색2 12 2" xfId="595" xr:uid="{02EEB93B-D574-4000-A9D1-30294A5CF2B7}"/>
    <cellStyle name="20% - 강조색2 13" xfId="289" xr:uid="{DDA91409-2ECB-49B2-9139-3C4AB69E3086}"/>
    <cellStyle name="20% - 강조색2 13 2" xfId="615" xr:uid="{5D1FDD45-A86E-4794-85FB-8DE220772576}"/>
    <cellStyle name="20% - 강조색2 14" xfId="309" xr:uid="{28A644DC-7FF4-4C83-BFE4-A6C26544894C}"/>
    <cellStyle name="20% - 강조색2 14 2" xfId="635" xr:uid="{598F3429-4785-487A-97B7-9BFB8A21A87A}"/>
    <cellStyle name="20% - 강조색2 15" xfId="329" xr:uid="{03343EA4-A181-4A6B-9013-D99EAEB9A7B5}"/>
    <cellStyle name="20% - 강조색2 15 2" xfId="655" xr:uid="{37207D4E-C36B-4FEA-893E-A4B709F24030}"/>
    <cellStyle name="20% - 강조색2 16" xfId="349" xr:uid="{90DF914E-13D3-42B4-90E8-30C7D1A3016E}"/>
    <cellStyle name="20% - 강조색2 16 2" xfId="675" xr:uid="{BDA247A6-002E-48C5-B3B4-9F5FB9190611}"/>
    <cellStyle name="20% - 강조색2 17" xfId="373" xr:uid="{6EC34284-EB7A-4B1D-A897-7E017A51C880}"/>
    <cellStyle name="20% - 강조색2 2" xfId="69" xr:uid="{D6F77B8E-DA75-4D1F-84E3-B26EE1B4E3DC}"/>
    <cellStyle name="20% - 강조색2 2 2" xfId="395" xr:uid="{60E5787C-779F-4EB5-B050-1C758CB5598A}"/>
    <cellStyle name="20% - 강조색2 3" xfId="89" xr:uid="{E95C3191-E88A-42C1-9017-12532ABFFD51}"/>
    <cellStyle name="20% - 강조색2 3 2" xfId="415" xr:uid="{2FA8B672-6B7B-4439-AE43-1D53F4158D53}"/>
    <cellStyle name="20% - 강조색2 4" xfId="109" xr:uid="{D686A997-3988-4BCE-82AC-AEACBF73748C}"/>
    <cellStyle name="20% - 강조색2 4 2" xfId="435" xr:uid="{A0684F5A-B397-4254-BB57-2482839A58EB}"/>
    <cellStyle name="20% - 강조색2 5" xfId="129" xr:uid="{0A64B3A1-8AA3-494D-9AD7-DACAB7C93F5B}"/>
    <cellStyle name="20% - 강조색2 5 2" xfId="455" xr:uid="{233CDE41-E33E-4EA6-872D-64A176DF322E}"/>
    <cellStyle name="20% - 강조색2 6" xfId="149" xr:uid="{F82DB304-D754-4E19-ACEA-7104782A493D}"/>
    <cellStyle name="20% - 강조색2 6 2" xfId="475" xr:uid="{A03020B3-5B5E-4338-841A-595B0D5C4C69}"/>
    <cellStyle name="20% - 강조색2 7" xfId="169" xr:uid="{3ACEDB0C-3AB5-42A9-8A54-0171BEA68931}"/>
    <cellStyle name="20% - 강조색2 7 2" xfId="495" xr:uid="{07495A01-5A2B-49D6-A50A-6B12D80D04F8}"/>
    <cellStyle name="20% - 강조색2 8" xfId="189" xr:uid="{92D06AA7-BD79-4A08-A0AC-19FAAE141A9A}"/>
    <cellStyle name="20% - 강조색2 8 2" xfId="515" xr:uid="{1A70B3D7-1E9C-4AD2-8E38-97C6CABAF110}"/>
    <cellStyle name="20% - 강조색2 9" xfId="209" xr:uid="{87FEFB61-F2A8-431E-926D-D0AA74DBDF54}"/>
    <cellStyle name="20% - 강조색2 9 2" xfId="535" xr:uid="{94061066-09E5-41C2-9471-91DA84E608BD}"/>
    <cellStyle name="20% - 강조색3 10" xfId="232" xr:uid="{61651A33-B832-41AE-9EBF-C4749E3E2278}"/>
    <cellStyle name="20% - 강조색3 10 2" xfId="558" xr:uid="{2676F700-AC82-4A42-934E-3075BB291FC5}"/>
    <cellStyle name="20% - 강조색3 11" xfId="252" xr:uid="{E949058E-E0C6-4200-8EC6-DBEF142DAD18}"/>
    <cellStyle name="20% - 강조색3 11 2" xfId="578" xr:uid="{C04DF2ED-7372-4041-8EE3-BA522ADBC1AD}"/>
    <cellStyle name="20% - 강조색3 12" xfId="272" xr:uid="{426D12DE-A4BE-4992-808E-7DC40B9718AD}"/>
    <cellStyle name="20% - 강조색3 12 2" xfId="598" xr:uid="{B586FC2F-5C3B-4DF4-B7B1-5619BCC09DDC}"/>
    <cellStyle name="20% - 강조색3 13" xfId="292" xr:uid="{0768D020-6E83-4F1E-AF32-AE5A782C18B5}"/>
    <cellStyle name="20% - 강조색3 13 2" xfId="618" xr:uid="{A9EA22FB-2FD9-4C72-AE60-CFEFADAEE3CC}"/>
    <cellStyle name="20% - 강조색3 14" xfId="312" xr:uid="{1703ADAA-77C1-42AF-988A-62849F1C5366}"/>
    <cellStyle name="20% - 강조색3 14 2" xfId="638" xr:uid="{DB58E0C9-F0BA-420C-96D0-BE2EB83CEDDB}"/>
    <cellStyle name="20% - 강조색3 15" xfId="332" xr:uid="{8893DAEB-8166-4103-ADD1-C300EA23E857}"/>
    <cellStyle name="20% - 강조색3 15 2" xfId="658" xr:uid="{FC29CE04-CA7D-47BB-A177-3A63014DDB4F}"/>
    <cellStyle name="20% - 강조색3 16" xfId="352" xr:uid="{A4F2511B-64D6-493B-AC77-889421CE3F84}"/>
    <cellStyle name="20% - 강조색3 16 2" xfId="678" xr:uid="{2EC5CE9F-11D4-47D9-A034-1660C8316C0E}"/>
    <cellStyle name="20% - 강조색3 17" xfId="376" xr:uid="{F1B84866-832F-4048-BA49-FFA28E979F28}"/>
    <cellStyle name="20% - 강조색3 2" xfId="72" xr:uid="{DADA5BBF-655E-4DF7-8AF7-F67FAB006F70}"/>
    <cellStyle name="20% - 강조색3 2 2" xfId="398" xr:uid="{4B9382E3-0C53-4346-9FF1-72517896A8A4}"/>
    <cellStyle name="20% - 강조색3 3" xfId="92" xr:uid="{8A2B4D20-D914-4DED-AD89-24BEA2F842A1}"/>
    <cellStyle name="20% - 강조색3 3 2" xfId="418" xr:uid="{26AF0F01-BD65-43E4-B0C7-CD35F9D690EC}"/>
    <cellStyle name="20% - 강조색3 4" xfId="112" xr:uid="{D02C6126-C8BA-436E-A7C9-F01EB6D42534}"/>
    <cellStyle name="20% - 강조색3 4 2" xfId="438" xr:uid="{6BB33E00-53F6-4F37-92A6-55451F70BDF0}"/>
    <cellStyle name="20% - 강조색3 5" xfId="132" xr:uid="{0B27F645-BFC1-4271-97C7-A69C5A0D1187}"/>
    <cellStyle name="20% - 강조색3 5 2" xfId="458" xr:uid="{B395A8E2-767E-4DB8-BC64-04E7C36AC57E}"/>
    <cellStyle name="20% - 강조색3 6" xfId="152" xr:uid="{BC6E1FF5-9FA1-457C-807E-0DDB42F82165}"/>
    <cellStyle name="20% - 강조색3 6 2" xfId="478" xr:uid="{4A4C3515-208C-4F2B-AD8B-BBFC9445277D}"/>
    <cellStyle name="20% - 강조색3 7" xfId="172" xr:uid="{FBCAFDFA-76DB-42D8-9AFC-73132063C498}"/>
    <cellStyle name="20% - 강조색3 7 2" xfId="498" xr:uid="{9B9A2B3E-1CC5-4773-AF65-440060719C21}"/>
    <cellStyle name="20% - 강조색3 8" xfId="192" xr:uid="{7B7916C4-7649-4B69-BBA1-586F1F8236AC}"/>
    <cellStyle name="20% - 강조색3 8 2" xfId="518" xr:uid="{12D2E9EF-C5A5-44B2-83C3-7DC5927E5710}"/>
    <cellStyle name="20% - 강조색3 9" xfId="212" xr:uid="{B05A3FC1-2BD3-4D5D-BBD1-AF122FFA97D0}"/>
    <cellStyle name="20% - 강조색3 9 2" xfId="538" xr:uid="{5A2BECAA-F255-40C3-8421-6A4601240941}"/>
    <cellStyle name="20% - 강조색4 10" xfId="235" xr:uid="{D7777BE9-BACF-476F-AC89-842F95EB340A}"/>
    <cellStyle name="20% - 강조색4 10 2" xfId="561" xr:uid="{71967C4B-E571-4B8A-9563-A1FE564F08F1}"/>
    <cellStyle name="20% - 강조색4 11" xfId="255" xr:uid="{8CECB8CF-16A3-4C86-9941-19EB25997AC4}"/>
    <cellStyle name="20% - 강조색4 11 2" xfId="581" xr:uid="{F555291A-4F53-4E27-83C3-FA9EB1AAB66D}"/>
    <cellStyle name="20% - 강조색4 12" xfId="275" xr:uid="{11494E53-DE89-497B-B9CA-0A28AD5C723D}"/>
    <cellStyle name="20% - 강조색4 12 2" xfId="601" xr:uid="{6B3C9575-77C3-433E-8482-57E16F778473}"/>
    <cellStyle name="20% - 강조색4 13" xfId="295" xr:uid="{542C1C52-CA1D-4EBF-A46A-733955597A8B}"/>
    <cellStyle name="20% - 강조색4 13 2" xfId="621" xr:uid="{E8FC0367-014F-478A-874E-B18FEA0ECEA4}"/>
    <cellStyle name="20% - 강조색4 14" xfId="315" xr:uid="{9865A804-0170-4131-AACE-8F585E2184FD}"/>
    <cellStyle name="20% - 강조색4 14 2" xfId="641" xr:uid="{533FC0E3-FCFF-49D1-A5F3-B8300E38D325}"/>
    <cellStyle name="20% - 강조색4 15" xfId="335" xr:uid="{7574BF02-A4A9-44E1-BE7C-980F480A446B}"/>
    <cellStyle name="20% - 강조색4 15 2" xfId="661" xr:uid="{0EBAFC0F-097E-4E36-A3F6-98CA47DC414E}"/>
    <cellStyle name="20% - 강조색4 16" xfId="355" xr:uid="{90B0289A-96D5-4BC4-A0B4-357B6F7EC418}"/>
    <cellStyle name="20% - 강조색4 16 2" xfId="681" xr:uid="{4A3017BD-4916-4FA2-81A4-0515F1AB313C}"/>
    <cellStyle name="20% - 강조색4 17" xfId="379" xr:uid="{51CF6848-6CB8-407A-9A4B-9FCCB4CFF5E4}"/>
    <cellStyle name="20% - 강조색4 2" xfId="75" xr:uid="{05A71B88-BCC1-42C7-A0B3-5CF2BDB8026A}"/>
    <cellStyle name="20% - 강조색4 2 2" xfId="401" xr:uid="{7ADD6138-E326-4DED-9A57-C31051B974BB}"/>
    <cellStyle name="20% - 강조색4 3" xfId="95" xr:uid="{CEEC9913-54C2-470C-AD1F-B0DEF55F5A3D}"/>
    <cellStyle name="20% - 강조색4 3 2" xfId="421" xr:uid="{93FC3742-9F5B-459F-866A-280CF61274A4}"/>
    <cellStyle name="20% - 강조색4 4" xfId="115" xr:uid="{9D29B216-1327-471D-A20E-ACED39D6B564}"/>
    <cellStyle name="20% - 강조색4 4 2" xfId="441" xr:uid="{FFBCD24D-54C2-498F-88ED-F51662A34943}"/>
    <cellStyle name="20% - 강조색4 5" xfId="135" xr:uid="{1F96C247-4CD8-4046-9DC3-CA3F66EB2D71}"/>
    <cellStyle name="20% - 강조색4 5 2" xfId="461" xr:uid="{E90D5178-3FD3-4407-BF13-5268CBE9DEFF}"/>
    <cellStyle name="20% - 강조색4 6" xfId="155" xr:uid="{45777F64-79FC-4C0E-B98D-EE32497B449E}"/>
    <cellStyle name="20% - 강조색4 6 2" xfId="481" xr:uid="{3CB069FA-126D-42CC-8477-0ABF393B0D00}"/>
    <cellStyle name="20% - 강조색4 7" xfId="175" xr:uid="{D8023C2B-337C-4793-B1D3-453BF274B485}"/>
    <cellStyle name="20% - 강조색4 7 2" xfId="501" xr:uid="{35BB2BAA-3E6A-4588-8DB9-9ADF5C153BB5}"/>
    <cellStyle name="20% - 강조색4 8" xfId="195" xr:uid="{8113DDBD-D399-448B-B8ED-873D89E0096A}"/>
    <cellStyle name="20% - 강조색4 8 2" xfId="521" xr:uid="{A2179F81-96C8-4BA5-A813-3E1DB94B41B0}"/>
    <cellStyle name="20% - 강조색4 9" xfId="215" xr:uid="{14FB7DB9-C519-47BE-8EC1-AA255607A88C}"/>
    <cellStyle name="20% - 강조색4 9 2" xfId="541" xr:uid="{EED34536-61FA-4658-9B9F-2318A6269995}"/>
    <cellStyle name="20% - 강조색5 10" xfId="238" xr:uid="{E411D9CE-490D-4DFD-94EE-328AACF8795E}"/>
    <cellStyle name="20% - 강조색5 10 2" xfId="564" xr:uid="{65A503CD-CDED-4957-97BF-209C9429B45C}"/>
    <cellStyle name="20% - 강조색5 11" xfId="258" xr:uid="{A182F85F-D434-4461-A92A-139E7B12C467}"/>
    <cellStyle name="20% - 강조색5 11 2" xfId="584" xr:uid="{97A4637E-90C3-4C56-A375-303C7EB5676B}"/>
    <cellStyle name="20% - 강조색5 12" xfId="278" xr:uid="{EB7F973A-7A61-4F6E-A5B0-410E883B7724}"/>
    <cellStyle name="20% - 강조색5 12 2" xfId="604" xr:uid="{8902E3FA-C700-41CE-ACD8-8B10291510CC}"/>
    <cellStyle name="20% - 강조색5 13" xfId="298" xr:uid="{E467C45C-A85E-4CBD-8151-8F87AEF39C33}"/>
    <cellStyle name="20% - 강조색5 13 2" xfId="624" xr:uid="{16F2BB80-3551-45F6-8E95-D76C1154AF1B}"/>
    <cellStyle name="20% - 강조색5 14" xfId="318" xr:uid="{BD4DAB35-D038-4546-91FD-449946C108CB}"/>
    <cellStyle name="20% - 강조색5 14 2" xfId="644" xr:uid="{ED0959E7-B761-4617-A0CD-17E8AE4CE57A}"/>
    <cellStyle name="20% - 강조색5 15" xfId="338" xr:uid="{C5DB7B8A-2BB1-4DD5-AC2D-C79121582DE1}"/>
    <cellStyle name="20% - 강조색5 15 2" xfId="664" xr:uid="{8F82AD60-3400-4C0F-8B82-21C14C3F7F3D}"/>
    <cellStyle name="20% - 강조색5 16" xfId="358" xr:uid="{1937A4F5-0471-44D0-B2CD-DBF9CC2D59D1}"/>
    <cellStyle name="20% - 강조색5 16 2" xfId="684" xr:uid="{4EE05C36-DAA0-4597-8619-2624704019A5}"/>
    <cellStyle name="20% - 강조색5 17" xfId="382" xr:uid="{2B9CB8CF-EA56-4FA1-B858-3866EA689EEE}"/>
    <cellStyle name="20% - 강조색5 2" xfId="78" xr:uid="{09E915A1-162C-49F6-8553-DBB874A046DF}"/>
    <cellStyle name="20% - 강조색5 2 2" xfId="404" xr:uid="{B21B470B-504E-4714-8525-B08BE74137A0}"/>
    <cellStyle name="20% - 강조색5 3" xfId="98" xr:uid="{32594ED3-3038-4CDC-9C30-0B355FD9C119}"/>
    <cellStyle name="20% - 강조색5 3 2" xfId="424" xr:uid="{DD613285-495A-49D4-8362-CF579DFE7DDF}"/>
    <cellStyle name="20% - 강조색5 4" xfId="118" xr:uid="{7C16B7F5-F116-4837-AC93-56230614F5EB}"/>
    <cellStyle name="20% - 강조색5 4 2" xfId="444" xr:uid="{E6402E3B-1AF6-47FA-A666-33DF93073614}"/>
    <cellStyle name="20% - 강조색5 5" xfId="138" xr:uid="{AD61E653-6D02-4993-BE8B-BC8C624BE249}"/>
    <cellStyle name="20% - 강조색5 5 2" xfId="464" xr:uid="{0BF17982-30C0-4ECC-862B-D928D1940915}"/>
    <cellStyle name="20% - 강조색5 6" xfId="158" xr:uid="{79AED299-6773-43D7-859D-1841B1C64F91}"/>
    <cellStyle name="20% - 강조색5 6 2" xfId="484" xr:uid="{0A890114-400E-42CB-87FA-DE1B62861521}"/>
    <cellStyle name="20% - 강조색5 7" xfId="178" xr:uid="{4E271861-0A9C-4BD9-AA4B-8EC2BC60B6CD}"/>
    <cellStyle name="20% - 강조색5 7 2" xfId="504" xr:uid="{B2504234-4202-49D3-A2BB-E06CF06E3E26}"/>
    <cellStyle name="20% - 강조색5 8" xfId="198" xr:uid="{065D2FA9-1C3F-4C00-BAA7-41A137662E55}"/>
    <cellStyle name="20% - 강조색5 8 2" xfId="524" xr:uid="{D1EB53DD-D986-43C6-81AF-D36C9E6A0501}"/>
    <cellStyle name="20% - 강조색5 9" xfId="218" xr:uid="{772F6110-8CBC-401D-913D-DFF9BBD2E526}"/>
    <cellStyle name="20% - 강조색5 9 2" xfId="544" xr:uid="{F9BCC682-A3D4-4A37-A29C-E3EF86CA1344}"/>
    <cellStyle name="20% - 강조색6 10" xfId="241" xr:uid="{A9D7E7EF-A19E-4C1A-AB1C-96A3CDA2DCD8}"/>
    <cellStyle name="20% - 강조색6 10 2" xfId="567" xr:uid="{229F6D76-36E4-41F4-B9F8-916ED5ED0987}"/>
    <cellStyle name="20% - 강조색6 11" xfId="261" xr:uid="{8D2F71CB-6051-471E-94A7-4CAE37718795}"/>
    <cellStyle name="20% - 강조색6 11 2" xfId="587" xr:uid="{9418758F-6876-417D-B599-14A66CCC9E95}"/>
    <cellStyle name="20% - 강조색6 12" xfId="281" xr:uid="{2976DA9E-E40C-4CBB-B753-8F3838D90FF5}"/>
    <cellStyle name="20% - 강조색6 12 2" xfId="607" xr:uid="{D29F5EC1-DB5A-462C-93BC-11AB2B43E2E5}"/>
    <cellStyle name="20% - 강조색6 13" xfId="301" xr:uid="{1CF5B089-D809-40CF-978F-C0726662BAD4}"/>
    <cellStyle name="20% - 강조색6 13 2" xfId="627" xr:uid="{8F08B4C3-26F0-4BB5-BAB9-62CAC024A901}"/>
    <cellStyle name="20% - 강조색6 14" xfId="321" xr:uid="{5C69464F-281D-4BAC-8941-618B90636E59}"/>
    <cellStyle name="20% - 강조색6 14 2" xfId="647" xr:uid="{CF9876CA-EC7C-426B-AD0C-2BCAC02ED287}"/>
    <cellStyle name="20% - 강조색6 15" xfId="341" xr:uid="{40F01361-CA31-4499-9DBE-6C6AB30963FF}"/>
    <cellStyle name="20% - 강조색6 15 2" xfId="667" xr:uid="{1A894E5F-2E6A-4D6D-AAB9-DC7DE25F0965}"/>
    <cellStyle name="20% - 강조색6 16" xfId="361" xr:uid="{F40D55B9-7FFD-4629-BBAC-33FEAF6B353F}"/>
    <cellStyle name="20% - 강조색6 16 2" xfId="687" xr:uid="{56A6A483-F660-4AFE-9AC8-0092692BA55F}"/>
    <cellStyle name="20% - 강조색6 17" xfId="385" xr:uid="{6A5B2CBF-E3C7-460C-A4C3-DF96AC60CEEE}"/>
    <cellStyle name="20% - 강조색6 2" xfId="81" xr:uid="{E94A4951-3DCE-4107-A172-07961584A1EC}"/>
    <cellStyle name="20% - 강조색6 2 2" xfId="407" xr:uid="{23F56308-1E4C-4D11-A80B-DF382AA711B9}"/>
    <cellStyle name="20% - 강조색6 3" xfId="101" xr:uid="{F0F6CE67-9038-4292-8AD0-D6B8B02E23D6}"/>
    <cellStyle name="20% - 강조색6 3 2" xfId="427" xr:uid="{FF6887FC-1E72-4027-B83D-83A9EFE2EC42}"/>
    <cellStyle name="20% - 강조색6 4" xfId="121" xr:uid="{CFE1F780-5DD4-4234-A16D-F6D66B1D0248}"/>
    <cellStyle name="20% - 강조색6 4 2" xfId="447" xr:uid="{A96F4F22-71B7-45E9-8EA2-F9DA5F398ED9}"/>
    <cellStyle name="20% - 강조색6 5" xfId="141" xr:uid="{5190C24C-3DB1-4404-98F9-AAA2ABDACE24}"/>
    <cellStyle name="20% - 강조색6 5 2" xfId="467" xr:uid="{CEA5BE69-2E15-484F-9146-E9CE11FCFF2D}"/>
    <cellStyle name="20% - 강조색6 6" xfId="161" xr:uid="{068ACF7A-B94A-4263-9EA3-BAD4356213EE}"/>
    <cellStyle name="20% - 강조색6 6 2" xfId="487" xr:uid="{E4BC927E-F624-4502-915D-43D110FE514D}"/>
    <cellStyle name="20% - 강조색6 7" xfId="181" xr:uid="{7F0E0991-186C-46D1-849C-F961850DAF91}"/>
    <cellStyle name="20% - 강조색6 7 2" xfId="507" xr:uid="{14EB2374-2D54-4D19-B1C1-2C3F7E4030B6}"/>
    <cellStyle name="20% - 강조색6 8" xfId="201" xr:uid="{25052CED-D218-4512-8F9B-138DD7092BA0}"/>
    <cellStyle name="20% - 강조색6 8 2" xfId="527" xr:uid="{1567BED1-894B-47B9-9B7A-D2F7A9729458}"/>
    <cellStyle name="20% - 강조색6 9" xfId="221" xr:uid="{CE3D1595-0958-48A2-B9EE-416DA293B80D}"/>
    <cellStyle name="20% - 강조색6 9 2" xfId="547" xr:uid="{C54790E1-8D89-4CF8-99BA-779727EF99C8}"/>
    <cellStyle name="40% - アクセント 1" xfId="26" builtinId="31" customBuiltin="1"/>
    <cellStyle name="40% - アクセント 2" xfId="30" builtinId="35" customBuiltin="1"/>
    <cellStyle name="40% - アクセント 3" xfId="34" builtinId="39" customBuiltin="1"/>
    <cellStyle name="40% - アクセント 4" xfId="38" builtinId="43" customBuiltin="1"/>
    <cellStyle name="40% - アクセント 5" xfId="42" builtinId="47" customBuiltin="1"/>
    <cellStyle name="40% - アクセント 6" xfId="46" builtinId="51" customBuiltin="1"/>
    <cellStyle name="40% - 강조색1 10" xfId="227" xr:uid="{E08ED7FC-FA6B-4FD9-A116-0BE127A8255A}"/>
    <cellStyle name="40% - 강조색1 10 2" xfId="553" xr:uid="{3B6EDD84-2B70-4C89-8602-BDCAB73EB691}"/>
    <cellStyle name="40% - 강조색1 11" xfId="247" xr:uid="{1995D369-4950-4911-8B5B-D6D1B63DABEC}"/>
    <cellStyle name="40% - 강조색1 11 2" xfId="573" xr:uid="{1A021095-C40D-44FA-82B3-B4C88CA673C5}"/>
    <cellStyle name="40% - 강조색1 12" xfId="267" xr:uid="{28FA5F6C-C506-48F5-972A-4BD8254ECA20}"/>
    <cellStyle name="40% - 강조색1 12 2" xfId="593" xr:uid="{48968E67-C754-4D37-9687-29BD9BF998B8}"/>
    <cellStyle name="40% - 강조색1 13" xfId="287" xr:uid="{DC801FBA-B5DC-4833-A0E5-0880E2C9FA75}"/>
    <cellStyle name="40% - 강조색1 13 2" xfId="613" xr:uid="{0C8EC703-FB7B-4520-B03F-978E6F2276EB}"/>
    <cellStyle name="40% - 강조색1 14" xfId="307" xr:uid="{D86DB530-F8E8-4256-A055-C4DCF24DF42B}"/>
    <cellStyle name="40% - 강조색1 14 2" xfId="633" xr:uid="{9E1630A3-C468-4F37-8579-EC82369AB453}"/>
    <cellStyle name="40% - 강조색1 15" xfId="327" xr:uid="{C6DEF322-810C-450F-8439-21E9E59A2120}"/>
    <cellStyle name="40% - 강조색1 15 2" xfId="653" xr:uid="{F1551BEE-C80B-4E6D-9B7E-70F29817D833}"/>
    <cellStyle name="40% - 강조색1 16" xfId="347" xr:uid="{7A654AAF-A51C-4D06-AD76-DDD5C11DEE5E}"/>
    <cellStyle name="40% - 강조색1 16 2" xfId="673" xr:uid="{3235A7EE-8127-45A8-8E09-49B023774EA1}"/>
    <cellStyle name="40% - 강조색1 17" xfId="371" xr:uid="{5CCF7804-5292-4798-8C63-E98E3681DFE0}"/>
    <cellStyle name="40% - 강조색1 2" xfId="67" xr:uid="{B3DEA3BC-2994-4847-AB57-CDE22DE2526D}"/>
    <cellStyle name="40% - 강조색1 2 2" xfId="393" xr:uid="{49D2A977-D130-41B6-BFAA-216DE41B6010}"/>
    <cellStyle name="40% - 강조색1 3" xfId="87" xr:uid="{BC042DC4-BE1F-4C1C-B3E7-DAD07FE4A460}"/>
    <cellStyle name="40% - 강조색1 3 2" xfId="413" xr:uid="{9D3746BE-A4D5-4507-9A15-BAE004A9E9A9}"/>
    <cellStyle name="40% - 강조색1 4" xfId="107" xr:uid="{0657A2DC-39FC-4EAF-86E3-357E212E02A7}"/>
    <cellStyle name="40% - 강조색1 4 2" xfId="433" xr:uid="{E7BB95FA-F704-4464-98E4-B14481A3165E}"/>
    <cellStyle name="40% - 강조색1 5" xfId="127" xr:uid="{578BAB59-F1C4-40D9-A0B9-4F984791752D}"/>
    <cellStyle name="40% - 강조색1 5 2" xfId="453" xr:uid="{AE40FF7C-B4AD-4797-9E04-5B00F8A289AF}"/>
    <cellStyle name="40% - 강조색1 6" xfId="147" xr:uid="{8FFBF4F8-FB29-4DA6-9794-9A1398CED210}"/>
    <cellStyle name="40% - 강조색1 6 2" xfId="473" xr:uid="{EEE7CC83-930B-4E1F-AFF7-F855E54F9D9B}"/>
    <cellStyle name="40% - 강조색1 7" xfId="167" xr:uid="{1927FD0E-4BE2-4492-BB2E-1966527C7123}"/>
    <cellStyle name="40% - 강조색1 7 2" xfId="493" xr:uid="{005EBE41-FB45-4FB2-932A-3FFF06F4F729}"/>
    <cellStyle name="40% - 강조색1 8" xfId="187" xr:uid="{534FA0DC-8F7C-49E0-9E23-7705211A8717}"/>
    <cellStyle name="40% - 강조색1 8 2" xfId="513" xr:uid="{E6BDE4DC-21A8-4C38-AEB2-C6434EA29095}"/>
    <cellStyle name="40% - 강조색1 9" xfId="207" xr:uid="{3AE69E2A-7B92-4C93-BFD7-548085599299}"/>
    <cellStyle name="40% - 강조색1 9 2" xfId="533" xr:uid="{5AC288D9-A9F5-4823-AE64-7030C4EB4C72}"/>
    <cellStyle name="40% - 강조색2 10" xfId="230" xr:uid="{382D258B-D946-495B-BB96-23BC5A2A4906}"/>
    <cellStyle name="40% - 강조색2 10 2" xfId="556" xr:uid="{B74A1249-E683-4FD1-8A6C-C38B48C4B4D9}"/>
    <cellStyle name="40% - 강조색2 11" xfId="250" xr:uid="{BCC6833B-7F37-4366-AB03-A4189D5D1A5C}"/>
    <cellStyle name="40% - 강조색2 11 2" xfId="576" xr:uid="{6F659A87-6BB3-4667-83A8-3F1D42578329}"/>
    <cellStyle name="40% - 강조색2 12" xfId="270" xr:uid="{403E36EF-A38B-4C19-8BA7-DB8475CFAFF4}"/>
    <cellStyle name="40% - 강조색2 12 2" xfId="596" xr:uid="{42172EDE-57C8-43D4-BB0D-E4740D36232A}"/>
    <cellStyle name="40% - 강조색2 13" xfId="290" xr:uid="{A2F10307-2B51-454B-A85E-4616A0F5935B}"/>
    <cellStyle name="40% - 강조색2 13 2" xfId="616" xr:uid="{7925176B-8493-422D-A336-1719B62F24BF}"/>
    <cellStyle name="40% - 강조색2 14" xfId="310" xr:uid="{B4141A08-22E1-4CDC-BA81-C732B403F5E0}"/>
    <cellStyle name="40% - 강조색2 14 2" xfId="636" xr:uid="{4CE59C30-AAF1-45C2-8573-0B1A76FE9775}"/>
    <cellStyle name="40% - 강조색2 15" xfId="330" xr:uid="{33712066-8439-4FAC-8F5C-5F034E7A6D27}"/>
    <cellStyle name="40% - 강조색2 15 2" xfId="656" xr:uid="{C69B29F6-EC13-4C3D-A349-31937900A657}"/>
    <cellStyle name="40% - 강조색2 16" xfId="350" xr:uid="{AFC6F076-90EA-4581-8BDE-36F03B53E5FA}"/>
    <cellStyle name="40% - 강조색2 16 2" xfId="676" xr:uid="{982BE938-31B6-4B65-8972-AB0418BD22B4}"/>
    <cellStyle name="40% - 강조색2 17" xfId="374" xr:uid="{68E69414-3C83-47B5-8F56-205C3E050D6F}"/>
    <cellStyle name="40% - 강조색2 2" xfId="70" xr:uid="{146568DE-76ED-412C-8120-A894E6D0A4B0}"/>
    <cellStyle name="40% - 강조색2 2 2" xfId="396" xr:uid="{EB23B7EC-F893-4CBB-A3AF-8CB38533E13C}"/>
    <cellStyle name="40% - 강조색2 3" xfId="90" xr:uid="{6937B661-ED94-4445-9C14-01D5D09A333C}"/>
    <cellStyle name="40% - 강조색2 3 2" xfId="416" xr:uid="{0502301C-11C1-418D-9D03-85D4F3A01C9A}"/>
    <cellStyle name="40% - 강조색2 4" xfId="110" xr:uid="{EF3AB1E6-F129-4803-A904-8F5D2B56F839}"/>
    <cellStyle name="40% - 강조색2 4 2" xfId="436" xr:uid="{FB50638B-F9E8-4951-BB9E-945DADF46489}"/>
    <cellStyle name="40% - 강조색2 5" xfId="130" xr:uid="{3B2608EE-CC80-4ED2-A47A-206D0C8833A2}"/>
    <cellStyle name="40% - 강조색2 5 2" xfId="456" xr:uid="{BB267B76-062E-4EFF-846B-F607FBA96784}"/>
    <cellStyle name="40% - 강조색2 6" xfId="150" xr:uid="{3036EC20-0BD7-4FB0-9452-B74E026CC1F0}"/>
    <cellStyle name="40% - 강조색2 6 2" xfId="476" xr:uid="{B8BCC4AD-BC5E-41CE-A07F-6573A6D3CB1D}"/>
    <cellStyle name="40% - 강조색2 7" xfId="170" xr:uid="{06D71241-9842-4FB1-92CC-B4734351DE63}"/>
    <cellStyle name="40% - 강조색2 7 2" xfId="496" xr:uid="{23C2DC8D-4DB9-4879-97D2-FA0591B90D20}"/>
    <cellStyle name="40% - 강조색2 8" xfId="190" xr:uid="{E4CD3BF1-0702-4D79-8779-88F0FB3618AE}"/>
    <cellStyle name="40% - 강조색2 8 2" xfId="516" xr:uid="{F410D1F7-7C58-4ACE-820D-8FDF8F5C939A}"/>
    <cellStyle name="40% - 강조색2 9" xfId="210" xr:uid="{132DE09A-2130-4280-B94F-352BF1679BB9}"/>
    <cellStyle name="40% - 강조색2 9 2" xfId="536" xr:uid="{44CF8CF0-AE2D-4766-A8D9-869580757FDA}"/>
    <cellStyle name="40% - 강조색3 10" xfId="233" xr:uid="{5DCA0145-145D-477F-9C69-0E7D0BDAA8CE}"/>
    <cellStyle name="40% - 강조색3 10 2" xfId="559" xr:uid="{826201E5-0736-4BF2-9DDC-FA9CBEE387D4}"/>
    <cellStyle name="40% - 강조색3 11" xfId="253" xr:uid="{12DE31AC-58EA-478B-B2F8-EC3A4EF8B964}"/>
    <cellStyle name="40% - 강조색3 11 2" xfId="579" xr:uid="{A6221081-E659-450E-8CA3-6F423642F481}"/>
    <cellStyle name="40% - 강조색3 12" xfId="273" xr:uid="{4D7B6B2B-88B6-4009-9330-B8230883E09C}"/>
    <cellStyle name="40% - 강조색3 12 2" xfId="599" xr:uid="{90F654FB-FA79-4E48-874C-18A6FF71DF0D}"/>
    <cellStyle name="40% - 강조색3 13" xfId="293" xr:uid="{9D4232AF-38AE-4270-A53D-2285EF09B933}"/>
    <cellStyle name="40% - 강조색3 13 2" xfId="619" xr:uid="{7A3B96F0-AFBF-43A7-A8E2-09E40E2D91B7}"/>
    <cellStyle name="40% - 강조색3 14" xfId="313" xr:uid="{4DD5EB19-A054-4F9C-BA8A-F25A1F5CA218}"/>
    <cellStyle name="40% - 강조색3 14 2" xfId="639" xr:uid="{3DD4FE66-FC05-4003-8796-5A62E4C08AEC}"/>
    <cellStyle name="40% - 강조색3 15" xfId="333" xr:uid="{B100FFB5-33E8-41BF-8CBF-C81607218082}"/>
    <cellStyle name="40% - 강조색3 15 2" xfId="659" xr:uid="{03AA5D2B-6EFE-4125-AC88-AB14C422EC36}"/>
    <cellStyle name="40% - 강조색3 16" xfId="353" xr:uid="{3A0E85DF-FC63-43E3-BC34-1401B1198215}"/>
    <cellStyle name="40% - 강조색3 16 2" xfId="679" xr:uid="{0CFEA221-DC51-4A33-83C7-4350F82CDC85}"/>
    <cellStyle name="40% - 강조색3 17" xfId="377" xr:uid="{56B5F7C7-C8E6-4D4E-8E96-24AED725F1F3}"/>
    <cellStyle name="40% - 강조색3 2" xfId="73" xr:uid="{C705B1AE-544A-4371-ADBE-70B9BA64B990}"/>
    <cellStyle name="40% - 강조색3 2 2" xfId="399" xr:uid="{304727EA-BFB1-4292-8734-2996CCDDDAC2}"/>
    <cellStyle name="40% - 강조색3 3" xfId="93" xr:uid="{75AFCD94-0305-4697-A3EE-8E26414271F6}"/>
    <cellStyle name="40% - 강조색3 3 2" xfId="419" xr:uid="{27EE79F0-7912-49BD-B256-C891C4ED9049}"/>
    <cellStyle name="40% - 강조색3 4" xfId="113" xr:uid="{A46A58AF-ADF1-4CD5-8249-50FFE2BB1134}"/>
    <cellStyle name="40% - 강조색3 4 2" xfId="439" xr:uid="{E3BE6E42-8C1A-4527-9F79-8D6A8661F388}"/>
    <cellStyle name="40% - 강조색3 5" xfId="133" xr:uid="{0800A894-E1D7-40D2-8B77-A8F344BA31E2}"/>
    <cellStyle name="40% - 강조색3 5 2" xfId="459" xr:uid="{FC99DC94-DB5B-4F27-9845-D77690627598}"/>
    <cellStyle name="40% - 강조색3 6" xfId="153" xr:uid="{54F5813A-1F40-4B47-825B-478DA88788F1}"/>
    <cellStyle name="40% - 강조색3 6 2" xfId="479" xr:uid="{C89B7CA2-A538-4FBD-9758-F0D220452133}"/>
    <cellStyle name="40% - 강조색3 7" xfId="173" xr:uid="{31D59DE3-E49F-462A-9662-80189E92696D}"/>
    <cellStyle name="40% - 강조색3 7 2" xfId="499" xr:uid="{CCD76E03-FA5A-4C1A-8FB4-76A613230ADC}"/>
    <cellStyle name="40% - 강조색3 8" xfId="193" xr:uid="{B9B7443B-9F0E-4C88-B960-D2AFA151E97E}"/>
    <cellStyle name="40% - 강조색3 8 2" xfId="519" xr:uid="{A9C3DDB0-8FEA-4009-A75E-3C7FDC17395B}"/>
    <cellStyle name="40% - 강조색3 9" xfId="213" xr:uid="{4A23610B-77CE-47A2-B2FB-E8C44A920724}"/>
    <cellStyle name="40% - 강조색3 9 2" xfId="539" xr:uid="{62F8445B-5FC7-4AAE-9BF1-492B7CBD76E7}"/>
    <cellStyle name="40% - 강조색4 10" xfId="236" xr:uid="{279AACC2-5F8A-4635-BD30-C38CC99F5BBF}"/>
    <cellStyle name="40% - 강조색4 10 2" xfId="562" xr:uid="{D904CBF3-AD96-4BB6-B5BA-A376555F62A5}"/>
    <cellStyle name="40% - 강조색4 11" xfId="256" xr:uid="{9192174F-5DD8-40D2-8FBE-748F54596A66}"/>
    <cellStyle name="40% - 강조색4 11 2" xfId="582" xr:uid="{165A10CA-7E3B-4678-8A98-BFFF8BA8A4D7}"/>
    <cellStyle name="40% - 강조색4 12" xfId="276" xr:uid="{E7D5EA16-D63E-4C1A-AF42-E59203C3D5BE}"/>
    <cellStyle name="40% - 강조색4 12 2" xfId="602" xr:uid="{8EC1F7BE-ECC7-46AB-9F32-D2AA64CFE6BD}"/>
    <cellStyle name="40% - 강조색4 13" xfId="296" xr:uid="{CD315F74-634E-45B3-B400-D1F3A704B954}"/>
    <cellStyle name="40% - 강조색4 13 2" xfId="622" xr:uid="{892D4A04-C425-4630-8453-72F6A3C07CB1}"/>
    <cellStyle name="40% - 강조색4 14" xfId="316" xr:uid="{AEE24686-1DFF-44DB-AACB-CB3518FE212E}"/>
    <cellStyle name="40% - 강조색4 14 2" xfId="642" xr:uid="{15AC6BEE-3795-443E-ACE4-2DA85033C346}"/>
    <cellStyle name="40% - 강조색4 15" xfId="336" xr:uid="{8AB618DB-58B6-4512-9B5B-DEFD00DF04CB}"/>
    <cellStyle name="40% - 강조색4 15 2" xfId="662" xr:uid="{5A1A0FF6-AAE6-460F-A8EC-E18C6DE159FF}"/>
    <cellStyle name="40% - 강조색4 16" xfId="356" xr:uid="{E771F947-75DA-4814-9184-2E49D604F767}"/>
    <cellStyle name="40% - 강조색4 16 2" xfId="682" xr:uid="{58285420-17B5-49D1-8DF0-A06E656F3438}"/>
    <cellStyle name="40% - 강조색4 17" xfId="380" xr:uid="{BF801756-05BE-4D5A-B0AE-A97D209D883B}"/>
    <cellStyle name="40% - 강조색4 2" xfId="76" xr:uid="{EB5178A4-8D44-4DCF-8595-8E58742034D4}"/>
    <cellStyle name="40% - 강조색4 2 2" xfId="402" xr:uid="{37308085-847B-4ED4-A2CB-86116581835E}"/>
    <cellStyle name="40% - 강조색4 3" xfId="96" xr:uid="{7DDF99F7-62C4-4110-8149-7035429412C4}"/>
    <cellStyle name="40% - 강조색4 3 2" xfId="422" xr:uid="{AE1DF6BA-8219-495D-A559-5595662E522B}"/>
    <cellStyle name="40% - 강조색4 4" xfId="116" xr:uid="{1E9F2364-AB0C-4410-BDC1-1AE32AB9EBB0}"/>
    <cellStyle name="40% - 강조색4 4 2" xfId="442" xr:uid="{745F50C8-B434-4F58-9EA6-7BE13FE61EDE}"/>
    <cellStyle name="40% - 강조색4 5" xfId="136" xr:uid="{E68D7333-2DDE-4C3C-926E-5C42685FBF6F}"/>
    <cellStyle name="40% - 강조색4 5 2" xfId="462" xr:uid="{98FDF6BA-EA7E-49AF-9B93-3A34B41467FB}"/>
    <cellStyle name="40% - 강조색4 6" xfId="156" xr:uid="{4ACE2520-D97A-432B-9F39-F4AEAB87806C}"/>
    <cellStyle name="40% - 강조색4 6 2" xfId="482" xr:uid="{8C580946-063D-479A-B102-6507739C3FA9}"/>
    <cellStyle name="40% - 강조색4 7" xfId="176" xr:uid="{45C0AF15-E90B-4919-B72B-1328E7C285F5}"/>
    <cellStyle name="40% - 강조색4 7 2" xfId="502" xr:uid="{9075EAE3-5BDB-42D8-86DB-4950A43F62E6}"/>
    <cellStyle name="40% - 강조색4 8" xfId="196" xr:uid="{42FE4E23-137F-4281-896F-4A37A35DF536}"/>
    <cellStyle name="40% - 강조색4 8 2" xfId="522" xr:uid="{90EFC29F-E633-4F15-A6EA-BD8C6438F6C8}"/>
    <cellStyle name="40% - 강조색4 9" xfId="216" xr:uid="{5FE4A7DD-4F23-4F4B-9A91-26CA02F74E9F}"/>
    <cellStyle name="40% - 강조색4 9 2" xfId="542" xr:uid="{6E0F506F-D7E0-44F1-AC96-1A5A4F3830E8}"/>
    <cellStyle name="40% - 강조색5 10" xfId="239" xr:uid="{BA76548E-7B5B-498D-8406-8634949E5754}"/>
    <cellStyle name="40% - 강조색5 10 2" xfId="565" xr:uid="{AAE5E940-EFED-434F-9788-ACB3835964F0}"/>
    <cellStyle name="40% - 강조색5 11" xfId="259" xr:uid="{424F185F-7460-4E6C-A653-EFCCE0B5C804}"/>
    <cellStyle name="40% - 강조색5 11 2" xfId="585" xr:uid="{311E7204-568E-4889-AFF7-516BAC0A7A22}"/>
    <cellStyle name="40% - 강조색5 12" xfId="279" xr:uid="{F5BD1F5E-3484-4B88-A4B4-9A38BB4DB575}"/>
    <cellStyle name="40% - 강조색5 12 2" xfId="605" xr:uid="{7E116849-7762-4260-A82B-04BA30472012}"/>
    <cellStyle name="40% - 강조색5 13" xfId="299" xr:uid="{A664C5D0-FB12-4A05-B564-030B6E90913C}"/>
    <cellStyle name="40% - 강조색5 13 2" xfId="625" xr:uid="{CE4B90E2-9B03-44B2-94D1-AE954B1D4E88}"/>
    <cellStyle name="40% - 강조색5 14" xfId="319" xr:uid="{BE37C2E4-E4CE-499D-B8C6-1A2D96C594B2}"/>
    <cellStyle name="40% - 강조색5 14 2" xfId="645" xr:uid="{A4FB2A48-DD89-4F48-98D6-84B984AC0E2E}"/>
    <cellStyle name="40% - 강조색5 15" xfId="339" xr:uid="{A60B9A30-D593-48D8-B8B7-DA95F35BD562}"/>
    <cellStyle name="40% - 강조색5 15 2" xfId="665" xr:uid="{93C8CB02-6E93-46B8-8E9E-26C1ACC99414}"/>
    <cellStyle name="40% - 강조색5 16" xfId="359" xr:uid="{3572AD67-08C0-4CA1-9D33-A662BC77D774}"/>
    <cellStyle name="40% - 강조색5 16 2" xfId="685" xr:uid="{121B2DBA-9A3E-4D8F-8092-08BFBD8B0CAC}"/>
    <cellStyle name="40% - 강조색5 17" xfId="383" xr:uid="{2ED52A95-2DB0-461B-B67C-19AC53847AE9}"/>
    <cellStyle name="40% - 강조색5 2" xfId="79" xr:uid="{2FD2444E-57DF-4113-B480-858C6A8D4451}"/>
    <cellStyle name="40% - 강조색5 2 2" xfId="405" xr:uid="{BEE0CF2F-2E49-421F-A635-8992BAE7D3D6}"/>
    <cellStyle name="40% - 강조색5 3" xfId="99" xr:uid="{F226EFB6-2501-4022-91DE-D0995D383E3C}"/>
    <cellStyle name="40% - 강조색5 3 2" xfId="425" xr:uid="{4661970A-303A-4957-A4A4-95BD85C85255}"/>
    <cellStyle name="40% - 강조색5 4" xfId="119" xr:uid="{48F82457-8C9B-4497-BFC6-D40C30AE952B}"/>
    <cellStyle name="40% - 강조색5 4 2" xfId="445" xr:uid="{02435DFF-6C96-4D71-95F3-32224F0A916A}"/>
    <cellStyle name="40% - 강조색5 5" xfId="139" xr:uid="{5D18B759-CFA1-423A-8896-513E7463EA2D}"/>
    <cellStyle name="40% - 강조색5 5 2" xfId="465" xr:uid="{A0F7D106-C97A-4CA2-B311-5437CE032C27}"/>
    <cellStyle name="40% - 강조색5 6" xfId="159" xr:uid="{92D981D6-A165-4648-B862-13C2C8AF5A2B}"/>
    <cellStyle name="40% - 강조색5 6 2" xfId="485" xr:uid="{B8AE8091-B638-421C-9D16-652300F9C7D1}"/>
    <cellStyle name="40% - 강조색5 7" xfId="179" xr:uid="{0E855858-D7BA-4E58-A50B-DF778967EFAA}"/>
    <cellStyle name="40% - 강조색5 7 2" xfId="505" xr:uid="{FC6BB774-61D4-44A4-B2A2-6BC1EA162F8C}"/>
    <cellStyle name="40% - 강조색5 8" xfId="199" xr:uid="{4D7F1574-D752-49B6-892C-7686097E072D}"/>
    <cellStyle name="40% - 강조색5 8 2" xfId="525" xr:uid="{C72E6ADE-7654-4BB8-A4D4-AA2048319308}"/>
    <cellStyle name="40% - 강조색5 9" xfId="219" xr:uid="{C3599F2D-029D-43AC-A322-099F96CB9902}"/>
    <cellStyle name="40% - 강조색5 9 2" xfId="545" xr:uid="{A0DDE44A-6DFD-4647-AB0F-467B3A4B6251}"/>
    <cellStyle name="40% - 강조색6 10" xfId="242" xr:uid="{E82BFB48-84FD-41B7-AB7F-3FC7DAD9B6DF}"/>
    <cellStyle name="40% - 강조색6 10 2" xfId="568" xr:uid="{BA77E0A3-5094-4F23-BA11-86477752FD24}"/>
    <cellStyle name="40% - 강조색6 11" xfId="262" xr:uid="{7F222311-21F8-4F52-86D3-B6BCB9F92164}"/>
    <cellStyle name="40% - 강조색6 11 2" xfId="588" xr:uid="{A3E237FD-3D6F-46DB-B517-086E10DAED6C}"/>
    <cellStyle name="40% - 강조색6 12" xfId="282" xr:uid="{620521F1-AF1F-4213-A635-B81EA35B4D80}"/>
    <cellStyle name="40% - 강조색6 12 2" xfId="608" xr:uid="{E0F044D9-B92A-4A82-8C12-F70F75F6E4A6}"/>
    <cellStyle name="40% - 강조색6 13" xfId="302" xr:uid="{918AA8C0-6591-4A67-A306-A8D34B2778DA}"/>
    <cellStyle name="40% - 강조색6 13 2" xfId="628" xr:uid="{DC4C1E51-3EB8-4A4B-B5A4-238E304E3CFC}"/>
    <cellStyle name="40% - 강조색6 14" xfId="322" xr:uid="{0F489502-E054-437F-BAD6-962A518FFF7D}"/>
    <cellStyle name="40% - 강조색6 14 2" xfId="648" xr:uid="{F189C1B9-0361-4C18-B2C4-404FBEDD8D7D}"/>
    <cellStyle name="40% - 강조색6 15" xfId="342" xr:uid="{D02158DF-36FE-4148-9949-1B565C11BBDF}"/>
    <cellStyle name="40% - 강조색6 15 2" xfId="668" xr:uid="{FB875705-8822-4E18-994B-0D511BB3C1C0}"/>
    <cellStyle name="40% - 강조색6 16" xfId="362" xr:uid="{0228A41F-3552-403A-BEB9-13D91F7107B5}"/>
    <cellStyle name="40% - 강조색6 16 2" xfId="688" xr:uid="{33C0478D-2378-47ED-B89B-8C1E402E44EE}"/>
    <cellStyle name="40% - 강조색6 17" xfId="386" xr:uid="{33BA725C-531F-45C2-AF45-50BC6D895E6B}"/>
    <cellStyle name="40% - 강조색6 2" xfId="82" xr:uid="{ABAFEDE8-FFD6-42E3-AE21-8DF4E8E999CF}"/>
    <cellStyle name="40% - 강조색6 2 2" xfId="408" xr:uid="{EC5CC130-63B4-497A-841B-531A5394634B}"/>
    <cellStyle name="40% - 강조색6 3" xfId="102" xr:uid="{261FF799-21A4-4DFD-BC41-AD36A40AB6C0}"/>
    <cellStyle name="40% - 강조색6 3 2" xfId="428" xr:uid="{B7D4D7C4-5A69-4232-9EDC-06BE9C0660E1}"/>
    <cellStyle name="40% - 강조색6 4" xfId="122" xr:uid="{6D2E5168-6F7B-4B98-A80D-3A36768628F3}"/>
    <cellStyle name="40% - 강조색6 4 2" xfId="448" xr:uid="{9E6FE1AF-13D7-4540-805F-9CC65229710A}"/>
    <cellStyle name="40% - 강조색6 5" xfId="142" xr:uid="{4647BD6D-3215-4C41-8EF3-2645F2D1CA00}"/>
    <cellStyle name="40% - 강조색6 5 2" xfId="468" xr:uid="{F650306A-9608-4298-BC47-CD96995B65D4}"/>
    <cellStyle name="40% - 강조색6 6" xfId="162" xr:uid="{7E3D72B4-30A0-4B08-BDD0-18D2D7826858}"/>
    <cellStyle name="40% - 강조색6 6 2" xfId="488" xr:uid="{2254C232-9AB7-4C77-95AD-6732248C9AAB}"/>
    <cellStyle name="40% - 강조색6 7" xfId="182" xr:uid="{05CFEC58-67B0-46E3-A580-AB3F892F5F02}"/>
    <cellStyle name="40% - 강조색6 7 2" xfId="508" xr:uid="{5BC35FD6-628C-4784-B529-B266C8F8BCA2}"/>
    <cellStyle name="40% - 강조색6 8" xfId="202" xr:uid="{3DB6A435-9D18-41C8-A80C-5CA6BC3C8EC3}"/>
    <cellStyle name="40% - 강조색6 8 2" xfId="528" xr:uid="{D896379B-EDA5-4D41-8F54-E7EA47C0AEE4}"/>
    <cellStyle name="40% - 강조색6 9" xfId="222" xr:uid="{437FDFC9-C82F-4230-A465-4560C5905C74}"/>
    <cellStyle name="40% - 강조색6 9 2" xfId="548" xr:uid="{23F2E989-D1DB-40F9-8141-8F0F13CC8FC1}"/>
    <cellStyle name="60% - アクセント 1" xfId="27" builtinId="32" customBuiltin="1"/>
    <cellStyle name="60% - アクセント 2" xfId="31" builtinId="36" customBuiltin="1"/>
    <cellStyle name="60% - アクセント 3" xfId="35" builtinId="40" customBuiltin="1"/>
    <cellStyle name="60% - アクセント 4" xfId="39" builtinId="44" customBuiltin="1"/>
    <cellStyle name="60% - アクセント 5" xfId="43" builtinId="48" customBuiltin="1"/>
    <cellStyle name="60% - アクセント 6" xfId="47" builtinId="52" customBuiltin="1"/>
    <cellStyle name="60% - 강조색1 10" xfId="228" xr:uid="{B2CB40AD-4A4F-4918-9765-E0E0363F2909}"/>
    <cellStyle name="60% - 강조색1 10 2" xfId="554" xr:uid="{716893EB-55D8-49AE-8824-F96AE98EC548}"/>
    <cellStyle name="60% - 강조색1 11" xfId="248" xr:uid="{E4397767-24DE-4A4E-8808-6EE3AC7ADD6A}"/>
    <cellStyle name="60% - 강조색1 11 2" xfId="574" xr:uid="{E631519B-5058-4FCA-A912-0C0056FF6E35}"/>
    <cellStyle name="60% - 강조색1 12" xfId="268" xr:uid="{45163B68-6E14-49BA-BFA4-ECA510354E09}"/>
    <cellStyle name="60% - 강조색1 12 2" xfId="594" xr:uid="{AF48C2FD-DF4A-4E94-8723-278BF6A7D844}"/>
    <cellStyle name="60% - 강조색1 13" xfId="288" xr:uid="{4ECEC866-C940-4B1D-8E38-55A23D2D0542}"/>
    <cellStyle name="60% - 강조색1 13 2" xfId="614" xr:uid="{81BF8C33-1380-46C9-B1BC-D076DC9D5796}"/>
    <cellStyle name="60% - 강조색1 14" xfId="308" xr:uid="{DF8043AD-8773-4D93-B2C8-1B5C7502C135}"/>
    <cellStyle name="60% - 강조색1 14 2" xfId="634" xr:uid="{6D4924FB-D4EC-4984-958C-62DD197925B4}"/>
    <cellStyle name="60% - 강조색1 15" xfId="328" xr:uid="{AE574A2D-9FB0-4ACE-B888-47AD5434508A}"/>
    <cellStyle name="60% - 강조색1 15 2" xfId="654" xr:uid="{4B960FB9-0582-4163-8762-80E9E03E4C92}"/>
    <cellStyle name="60% - 강조색1 16" xfId="348" xr:uid="{8CEA539B-6240-42C9-B368-161B9EDC0A45}"/>
    <cellStyle name="60% - 강조색1 16 2" xfId="674" xr:uid="{530C25CC-14FC-4BBE-B556-FF24741D1FE8}"/>
    <cellStyle name="60% - 강조색1 17" xfId="372" xr:uid="{7F093298-44F2-40F4-905A-56E02281C76D}"/>
    <cellStyle name="60% - 강조색1 2" xfId="68" xr:uid="{D96F520C-0939-4D6D-A16E-E458CF2912C2}"/>
    <cellStyle name="60% - 강조색1 2 2" xfId="394" xr:uid="{AD3A7BF6-70EC-4EAA-ACBB-CD08D3E74DF1}"/>
    <cellStyle name="60% - 강조색1 3" xfId="88" xr:uid="{F66CE541-3BD7-4504-AC6D-7AF378A3DEDA}"/>
    <cellStyle name="60% - 강조색1 3 2" xfId="414" xr:uid="{968F2DDD-35D0-4B4F-BAD1-0473956120DA}"/>
    <cellStyle name="60% - 강조색1 4" xfId="108" xr:uid="{6FA34F41-E20A-49FA-BFCA-CD52598158FD}"/>
    <cellStyle name="60% - 강조색1 4 2" xfId="434" xr:uid="{5A016575-34C8-456A-9861-4431A90BEB9F}"/>
    <cellStyle name="60% - 강조색1 5" xfId="128" xr:uid="{3463E9EE-F8EC-4E54-834C-9B81B7FECD98}"/>
    <cellStyle name="60% - 강조색1 5 2" xfId="454" xr:uid="{C733D582-8350-44A7-B391-05FC6BB2B0A0}"/>
    <cellStyle name="60% - 강조색1 6" xfId="148" xr:uid="{5B333DEA-5B17-48AA-B16F-C66878B0742C}"/>
    <cellStyle name="60% - 강조색1 6 2" xfId="474" xr:uid="{65B88DBF-6BBC-4F4A-BD17-3CFF58AA7491}"/>
    <cellStyle name="60% - 강조색1 7" xfId="168" xr:uid="{8212DAC3-9A02-42BE-8CA2-BF85CA1F7FF5}"/>
    <cellStyle name="60% - 강조색1 7 2" xfId="494" xr:uid="{11A8AF8F-E20E-42BA-B672-EC81DF7ADF05}"/>
    <cellStyle name="60% - 강조색1 8" xfId="188" xr:uid="{C4DD9030-1D5F-45AE-A9B8-68EA671C2427}"/>
    <cellStyle name="60% - 강조색1 8 2" xfId="514" xr:uid="{BB2511A3-C809-4350-9216-444F9C856FBF}"/>
    <cellStyle name="60% - 강조색1 9" xfId="208" xr:uid="{17F085EB-9BA6-42BC-90C0-6F0174349845}"/>
    <cellStyle name="60% - 강조색1 9 2" xfId="534" xr:uid="{8BA2814B-4D44-4E0D-BC5A-5F5D6BB08F4E}"/>
    <cellStyle name="60% - 강조색2 10" xfId="231" xr:uid="{14C597ED-74A6-41A0-B9C3-84CD44CA0D59}"/>
    <cellStyle name="60% - 강조색2 10 2" xfId="557" xr:uid="{C2208A7B-612E-457D-AEE8-F7882A9DAAB2}"/>
    <cellStyle name="60% - 강조색2 11" xfId="251" xr:uid="{8C1F64DB-16E4-48E9-A735-71A04F737194}"/>
    <cellStyle name="60% - 강조색2 11 2" xfId="577" xr:uid="{89F9C4F5-D74B-41DF-9F67-4062859E033D}"/>
    <cellStyle name="60% - 강조색2 12" xfId="271" xr:uid="{8AF8D59B-02D0-4311-9B00-197848AD0A13}"/>
    <cellStyle name="60% - 강조색2 12 2" xfId="597" xr:uid="{E6000D19-C5F0-4BD0-81E2-1BE52BDE2F72}"/>
    <cellStyle name="60% - 강조색2 13" xfId="291" xr:uid="{092D3EDE-EB8C-4BC8-A3E3-6F8586AFA4F1}"/>
    <cellStyle name="60% - 강조색2 13 2" xfId="617" xr:uid="{F2C4DEBC-7853-4F00-94F9-EFDBD3981823}"/>
    <cellStyle name="60% - 강조색2 14" xfId="311" xr:uid="{67D6E8F6-6671-4854-A51D-68A4D4178F79}"/>
    <cellStyle name="60% - 강조색2 14 2" xfId="637" xr:uid="{80363DA6-560D-4E2A-B6A2-02B168EADC91}"/>
    <cellStyle name="60% - 강조색2 15" xfId="331" xr:uid="{AFB5EB0C-80FD-4EB2-B8A6-C7F9EA67F76F}"/>
    <cellStyle name="60% - 강조색2 15 2" xfId="657" xr:uid="{7B010868-751E-4D77-8EB2-E9E10EF358DB}"/>
    <cellStyle name="60% - 강조색2 16" xfId="351" xr:uid="{509739BE-ABF1-4169-8BB8-402FA881B622}"/>
    <cellStyle name="60% - 강조색2 16 2" xfId="677" xr:uid="{F9457492-35D1-431A-BA4B-F08ED94A52FA}"/>
    <cellStyle name="60% - 강조색2 17" xfId="375" xr:uid="{0E105AEC-84DC-4C45-952C-5A63B924A83C}"/>
    <cellStyle name="60% - 강조색2 2" xfId="71" xr:uid="{644D7E5D-D95D-4561-AA7D-F03E99268569}"/>
    <cellStyle name="60% - 강조색2 2 2" xfId="397" xr:uid="{9391A819-3926-4942-A529-C66691DEC0E2}"/>
    <cellStyle name="60% - 강조색2 3" xfId="91" xr:uid="{6D8DD7CB-BAD5-42BD-8CAA-D865CE7EE7B0}"/>
    <cellStyle name="60% - 강조색2 3 2" xfId="417" xr:uid="{FF924D95-8FCF-4B74-9DA1-F5CB01713D89}"/>
    <cellStyle name="60% - 강조색2 4" xfId="111" xr:uid="{EB7CA402-BA71-47F3-AA96-0364DD842CDA}"/>
    <cellStyle name="60% - 강조색2 4 2" xfId="437" xr:uid="{0BBCA394-7828-40DE-B278-E67C846828F1}"/>
    <cellStyle name="60% - 강조색2 5" xfId="131" xr:uid="{F4E8DAEC-7A51-4F25-AF51-75342EDBB9BF}"/>
    <cellStyle name="60% - 강조색2 5 2" xfId="457" xr:uid="{A5A41A51-5D4D-4DCB-B914-781920DD59F6}"/>
    <cellStyle name="60% - 강조색2 6" xfId="151" xr:uid="{232C6D60-F69C-4131-BA00-A2518A57C92F}"/>
    <cellStyle name="60% - 강조색2 6 2" xfId="477" xr:uid="{28920535-5E28-4088-82D2-C79EB4AC1B0D}"/>
    <cellStyle name="60% - 강조색2 7" xfId="171" xr:uid="{54B6E76E-4A23-423C-A58F-0036EF4BD218}"/>
    <cellStyle name="60% - 강조색2 7 2" xfId="497" xr:uid="{C47A5AD5-75E5-48A6-BF07-4714249EBE3F}"/>
    <cellStyle name="60% - 강조색2 8" xfId="191" xr:uid="{CAB13629-03F9-4D57-B12A-3727FBAF4666}"/>
    <cellStyle name="60% - 강조색2 8 2" xfId="517" xr:uid="{62BEFE39-4CCF-4A3A-8018-6A959D2A2B4F}"/>
    <cellStyle name="60% - 강조색2 9" xfId="211" xr:uid="{A63107D2-B5A6-4F95-8B93-DE528608944A}"/>
    <cellStyle name="60% - 강조색2 9 2" xfId="537" xr:uid="{718210F5-E92E-44EF-ABF8-60C5ABA46674}"/>
    <cellStyle name="60% - 강조색3 10" xfId="234" xr:uid="{ED75E9BB-902D-42DB-AF09-843CCDFA3E09}"/>
    <cellStyle name="60% - 강조색3 10 2" xfId="560" xr:uid="{ED026136-452A-4164-8F55-332F07E34BB5}"/>
    <cellStyle name="60% - 강조색3 11" xfId="254" xr:uid="{EA1454C4-3A62-4C0E-9767-7776B2D9DF0C}"/>
    <cellStyle name="60% - 강조색3 11 2" xfId="580" xr:uid="{E382B2DB-B03B-4F05-A2FE-462AE79D4E0F}"/>
    <cellStyle name="60% - 강조색3 12" xfId="274" xr:uid="{758273EF-D7DF-41A3-A017-443AF2472E7F}"/>
    <cellStyle name="60% - 강조색3 12 2" xfId="600" xr:uid="{CB58E2B6-EEB6-40D5-B78F-093BAAD2D156}"/>
    <cellStyle name="60% - 강조색3 13" xfId="294" xr:uid="{9D1FA834-CFEF-4C9E-A7EE-EB66B3C4C5F0}"/>
    <cellStyle name="60% - 강조색3 13 2" xfId="620" xr:uid="{2480EC36-08F0-47E1-8CC2-43E986DFBDDE}"/>
    <cellStyle name="60% - 강조색3 14" xfId="314" xr:uid="{8A0584AF-AF63-476E-9C0B-405244535428}"/>
    <cellStyle name="60% - 강조색3 14 2" xfId="640" xr:uid="{9506A392-450E-4BDA-868E-FBF3706E1653}"/>
    <cellStyle name="60% - 강조색3 15" xfId="334" xr:uid="{814BFB90-17CB-4D6B-A673-DDF213A4D15F}"/>
    <cellStyle name="60% - 강조색3 15 2" xfId="660" xr:uid="{31C2C45B-A7CF-4E7E-AA5C-53652997DD10}"/>
    <cellStyle name="60% - 강조색3 16" xfId="354" xr:uid="{37125019-D4FC-4E93-9440-04BD06B12DCE}"/>
    <cellStyle name="60% - 강조색3 16 2" xfId="680" xr:uid="{7C91D700-9E5C-439D-BF69-20679D09925C}"/>
    <cellStyle name="60% - 강조색3 17" xfId="378" xr:uid="{B483A45B-D613-423F-AB6D-BE2A0E7A1A68}"/>
    <cellStyle name="60% - 강조색3 2" xfId="74" xr:uid="{8A119AEB-6E38-4FDE-B0BF-D55711F2A704}"/>
    <cellStyle name="60% - 강조색3 2 2" xfId="400" xr:uid="{0A41F3EA-18B3-4873-B4FB-EFF49C811C55}"/>
    <cellStyle name="60% - 강조색3 3" xfId="94" xr:uid="{3C8C73D0-4078-4609-BAB5-8A20ADB91724}"/>
    <cellStyle name="60% - 강조색3 3 2" xfId="420" xr:uid="{0F25B658-55BD-4EA4-81D7-2B8381AD977A}"/>
    <cellStyle name="60% - 강조색3 4" xfId="114" xr:uid="{EC9E5DEB-280D-4710-9F22-874497065958}"/>
    <cellStyle name="60% - 강조색3 4 2" xfId="440" xr:uid="{C8C4E472-41A6-4200-9B5B-48FF13761520}"/>
    <cellStyle name="60% - 강조색3 5" xfId="134" xr:uid="{CBEAA6D1-B501-4E4F-92F6-55490AEBEF24}"/>
    <cellStyle name="60% - 강조색3 5 2" xfId="460" xr:uid="{D9695D79-C200-477B-BE15-3E186AE0094F}"/>
    <cellStyle name="60% - 강조색3 6" xfId="154" xr:uid="{BF2604A9-F699-4508-B09F-0FCF998B8E7C}"/>
    <cellStyle name="60% - 강조색3 6 2" xfId="480" xr:uid="{0D5B3F67-56F7-495A-B787-111DDCDA515F}"/>
    <cellStyle name="60% - 강조색3 7" xfId="174" xr:uid="{CC34085C-2DF9-4B63-BC74-48FB0D0B41C0}"/>
    <cellStyle name="60% - 강조색3 7 2" xfId="500" xr:uid="{DF872E01-4F7F-4EA1-B3B1-9F1F57605DF9}"/>
    <cellStyle name="60% - 강조색3 8" xfId="194" xr:uid="{92B4DA0C-F19C-4089-8BF9-BBEE225A05A5}"/>
    <cellStyle name="60% - 강조색3 8 2" xfId="520" xr:uid="{60B19A0F-BFE3-4AE4-8768-B65FFBFE48EA}"/>
    <cellStyle name="60% - 강조색3 9" xfId="214" xr:uid="{FB8BE683-8343-4BEB-9B06-CDF01B070856}"/>
    <cellStyle name="60% - 강조색3 9 2" xfId="540" xr:uid="{20D1634B-CEAF-4453-91D3-486B1B80280E}"/>
    <cellStyle name="60% - 강조색4 10" xfId="237" xr:uid="{70E89AC4-5EED-43E7-9ED8-EF9FC159426C}"/>
    <cellStyle name="60% - 강조색4 10 2" xfId="563" xr:uid="{CDC0EF42-7DE5-4D23-8FE6-DF68950457FF}"/>
    <cellStyle name="60% - 강조색4 11" xfId="257" xr:uid="{069866A3-60DC-46EA-9CD7-FBE3CA7D5DA3}"/>
    <cellStyle name="60% - 강조색4 11 2" xfId="583" xr:uid="{F92A5232-9E46-46E6-85D4-4D6238A1C6F0}"/>
    <cellStyle name="60% - 강조색4 12" xfId="277" xr:uid="{D7C60D16-EB4F-4F13-94C9-22FBC38F668A}"/>
    <cellStyle name="60% - 강조색4 12 2" xfId="603" xr:uid="{6AF99043-B7D6-4BB1-8B38-7DBAD2907E0A}"/>
    <cellStyle name="60% - 강조색4 13" xfId="297" xr:uid="{6F27FC83-76D1-46F7-B3AD-56241F0BE553}"/>
    <cellStyle name="60% - 강조색4 13 2" xfId="623" xr:uid="{37A638F9-FB80-4D13-A030-B84321FDAD52}"/>
    <cellStyle name="60% - 강조색4 14" xfId="317" xr:uid="{E2708639-9E78-49CB-99B9-C5695C11F1AA}"/>
    <cellStyle name="60% - 강조색4 14 2" xfId="643" xr:uid="{9C2EDD99-A228-4F35-9070-6C6F04B07F1A}"/>
    <cellStyle name="60% - 강조색4 15" xfId="337" xr:uid="{C85AEFAC-1A27-465A-808B-FF9B657C1459}"/>
    <cellStyle name="60% - 강조색4 15 2" xfId="663" xr:uid="{A87A6C87-57C1-44A7-8E05-00B95A511A9B}"/>
    <cellStyle name="60% - 강조색4 16" xfId="357" xr:uid="{19EA790D-267E-40B1-9477-DADE12FD25CC}"/>
    <cellStyle name="60% - 강조색4 16 2" xfId="683" xr:uid="{DC589776-962C-4370-905E-8809AA47C0D6}"/>
    <cellStyle name="60% - 강조색4 17" xfId="381" xr:uid="{E0AF7DA9-80D6-4486-B3D9-0D32BD159559}"/>
    <cellStyle name="60% - 강조색4 2" xfId="77" xr:uid="{1792CD84-041D-468B-B354-D747C2D04C1D}"/>
    <cellStyle name="60% - 강조색4 2 2" xfId="403" xr:uid="{6DA805A7-409C-4B6C-AF3D-B4E4DCEB44B1}"/>
    <cellStyle name="60% - 강조색4 3" xfId="97" xr:uid="{A1937497-621F-41D7-853F-4DF5D3F9421B}"/>
    <cellStyle name="60% - 강조색4 3 2" xfId="423" xr:uid="{A9203216-0BE1-4DE6-8800-30F0929D088C}"/>
    <cellStyle name="60% - 강조색4 4" xfId="117" xr:uid="{77FD045A-28DE-49C3-9FED-388E253D598A}"/>
    <cellStyle name="60% - 강조색4 4 2" xfId="443" xr:uid="{A7BA055D-AEA3-4494-837D-15FE42578D5F}"/>
    <cellStyle name="60% - 강조색4 5" xfId="137" xr:uid="{990E823D-6CD7-4AD7-A165-238769E1884C}"/>
    <cellStyle name="60% - 강조색4 5 2" xfId="463" xr:uid="{4E7F5A72-0E60-4CB1-924A-11F501FCA3C6}"/>
    <cellStyle name="60% - 강조색4 6" xfId="157" xr:uid="{DEC53E00-AB73-4777-A99B-B832E160D84A}"/>
    <cellStyle name="60% - 강조색4 6 2" xfId="483" xr:uid="{43272124-39DB-4260-98C4-941AE1BDB319}"/>
    <cellStyle name="60% - 강조색4 7" xfId="177" xr:uid="{98FF8F1B-C298-4C4F-8370-A09AC3F2FFB8}"/>
    <cellStyle name="60% - 강조색4 7 2" xfId="503" xr:uid="{09CECDE9-C870-4619-9DA2-8DE9D0C4A992}"/>
    <cellStyle name="60% - 강조색4 8" xfId="197" xr:uid="{5C8022D0-2716-4511-BCE5-F749E9A7505F}"/>
    <cellStyle name="60% - 강조색4 8 2" xfId="523" xr:uid="{1DF0264B-901E-4FE6-950C-0F69F238339A}"/>
    <cellStyle name="60% - 강조색4 9" xfId="217" xr:uid="{398F5B73-4152-4111-A6C1-88930B304A8F}"/>
    <cellStyle name="60% - 강조색4 9 2" xfId="543" xr:uid="{B45702C4-B062-45FF-B097-C5EC4FC10324}"/>
    <cellStyle name="60% - 강조색5 10" xfId="240" xr:uid="{A4732F92-E2E7-47F7-8962-09A53158E49E}"/>
    <cellStyle name="60% - 강조색5 10 2" xfId="566" xr:uid="{539B5567-0BBB-4CFA-ACE7-CD69405258C8}"/>
    <cellStyle name="60% - 강조색5 11" xfId="260" xr:uid="{833A5587-5E37-4DDD-A9A7-B9B835D4EEC6}"/>
    <cellStyle name="60% - 강조색5 11 2" xfId="586" xr:uid="{C6B0B1C5-F5FF-4807-AA17-DE7DE609D400}"/>
    <cellStyle name="60% - 강조색5 12" xfId="280" xr:uid="{0CF639C7-E6D7-4838-8BD1-2A7DDFC35C69}"/>
    <cellStyle name="60% - 강조색5 12 2" xfId="606" xr:uid="{E1F68129-B9C3-4267-B333-1E4C3B862E89}"/>
    <cellStyle name="60% - 강조색5 13" xfId="300" xr:uid="{DD9DC0D0-B0AA-4409-BC18-73F74EE6DC64}"/>
    <cellStyle name="60% - 강조색5 13 2" xfId="626" xr:uid="{B9BC7258-486F-4898-95D7-494429E00BBC}"/>
    <cellStyle name="60% - 강조색5 14" xfId="320" xr:uid="{509A9514-662E-4223-8C47-3AF46E407071}"/>
    <cellStyle name="60% - 강조색5 14 2" xfId="646" xr:uid="{28EF65A0-5048-40C7-967B-8AC0D899BF98}"/>
    <cellStyle name="60% - 강조색5 15" xfId="340" xr:uid="{9B28C65F-3F16-43C9-9433-48DBF0EA6B76}"/>
    <cellStyle name="60% - 강조색5 15 2" xfId="666" xr:uid="{CB358EC4-4CC2-4497-88DE-8DFC590CAB3F}"/>
    <cellStyle name="60% - 강조색5 16" xfId="360" xr:uid="{77D17A4D-0892-4BC2-B936-5A54501FA2FF}"/>
    <cellStyle name="60% - 강조색5 16 2" xfId="686" xr:uid="{5A1B45FA-8841-4D0B-BF0E-37C7F48819B8}"/>
    <cellStyle name="60% - 강조색5 17" xfId="384" xr:uid="{041AF838-F743-4A02-AA39-B29EEE838AB2}"/>
    <cellStyle name="60% - 강조색5 2" xfId="80" xr:uid="{83C87137-7D9D-4435-8D26-FB3DD7FDD5B2}"/>
    <cellStyle name="60% - 강조색5 2 2" xfId="406" xr:uid="{0CFCEF93-74F1-40DC-B022-162F8F281760}"/>
    <cellStyle name="60% - 강조색5 3" xfId="100" xr:uid="{8A3FC43A-9273-4EDE-A3D4-12656ACA2B00}"/>
    <cellStyle name="60% - 강조색5 3 2" xfId="426" xr:uid="{0E3AA4F8-443D-4A92-9286-B19848AA6338}"/>
    <cellStyle name="60% - 강조색5 4" xfId="120" xr:uid="{8C64B1C1-5D00-4464-8C70-D32A97402830}"/>
    <cellStyle name="60% - 강조색5 4 2" xfId="446" xr:uid="{F88243B4-52C3-4057-BDFB-F70E64B047AE}"/>
    <cellStyle name="60% - 강조색5 5" xfId="140" xr:uid="{CEEB8C43-7F0B-422B-AD7B-CFAA54FDBE61}"/>
    <cellStyle name="60% - 강조색5 5 2" xfId="466" xr:uid="{F0F1B274-547A-4D76-92E1-ADFE48258C21}"/>
    <cellStyle name="60% - 강조색5 6" xfId="160" xr:uid="{7CAA41A2-41F0-4F2A-852C-9148935AF173}"/>
    <cellStyle name="60% - 강조색5 6 2" xfId="486" xr:uid="{375AB23B-2BDD-422B-A405-DFD164F9AB50}"/>
    <cellStyle name="60% - 강조색5 7" xfId="180" xr:uid="{B8F7E0E2-4C83-4F44-B59F-356F510E044A}"/>
    <cellStyle name="60% - 강조색5 7 2" xfId="506" xr:uid="{3AC65559-C515-4F73-8C83-80912B62CFE8}"/>
    <cellStyle name="60% - 강조색5 8" xfId="200" xr:uid="{6D2D570D-EC52-4E0C-B1E9-5D2AB26D118B}"/>
    <cellStyle name="60% - 강조색5 8 2" xfId="526" xr:uid="{A1F6E989-7FEC-4407-BE9A-6DABCE4EA8E2}"/>
    <cellStyle name="60% - 강조색5 9" xfId="220" xr:uid="{922B3494-236E-4C09-974D-F60AAF6C7BE7}"/>
    <cellStyle name="60% - 강조색5 9 2" xfId="546" xr:uid="{E92CF570-78BA-4D31-8BF4-6427C7F120FB}"/>
    <cellStyle name="60% - 강조색6 10" xfId="243" xr:uid="{45C2A6A0-CD21-437A-82CA-BC3AD53B6A17}"/>
    <cellStyle name="60% - 강조색6 10 2" xfId="569" xr:uid="{5FD9F675-609D-47E2-95ED-2D4BA0DC2B23}"/>
    <cellStyle name="60% - 강조색6 11" xfId="263" xr:uid="{A320767B-703A-471C-8140-F1287F2FFA6B}"/>
    <cellStyle name="60% - 강조색6 11 2" xfId="589" xr:uid="{C2EC4849-596B-4B3A-9787-E48C56D85A00}"/>
    <cellStyle name="60% - 강조색6 12" xfId="283" xr:uid="{089059AD-EDC4-453B-8BF0-CD3801C452E4}"/>
    <cellStyle name="60% - 강조색6 12 2" xfId="609" xr:uid="{3E437D45-575A-4592-A2FA-1D91F3EF7828}"/>
    <cellStyle name="60% - 강조색6 13" xfId="303" xr:uid="{DF5BB59F-4766-4740-8D6D-9EFC37439CE9}"/>
    <cellStyle name="60% - 강조색6 13 2" xfId="629" xr:uid="{45F10604-07C8-4970-9C2B-B400CD1FB685}"/>
    <cellStyle name="60% - 강조색6 14" xfId="323" xr:uid="{7F342A78-9A20-4FA7-A393-60C2CB5924F1}"/>
    <cellStyle name="60% - 강조색6 14 2" xfId="649" xr:uid="{01472F48-A508-4D32-86FF-7B5D6E03CB78}"/>
    <cellStyle name="60% - 강조색6 15" xfId="343" xr:uid="{ED88BECD-6E0C-45E7-99FA-A4CDF3CF7ADD}"/>
    <cellStyle name="60% - 강조색6 15 2" xfId="669" xr:uid="{45DE4FB3-8499-4019-B410-F620C8E0762C}"/>
    <cellStyle name="60% - 강조색6 16" xfId="363" xr:uid="{606700C0-23F4-4BB8-B081-FB2BDB824788}"/>
    <cellStyle name="60% - 강조색6 16 2" xfId="689" xr:uid="{DEAD8788-B478-4CFE-AC35-029E5D124275}"/>
    <cellStyle name="60% - 강조색6 17" xfId="387" xr:uid="{E0C49DEB-B7F3-43A9-93BE-3556CED13C89}"/>
    <cellStyle name="60% - 강조색6 2" xfId="83" xr:uid="{17B91430-62BE-4134-AC04-1D7C5943D02F}"/>
    <cellStyle name="60% - 강조색6 2 2" xfId="409" xr:uid="{0897584B-4C29-45DA-9C08-438448909A5B}"/>
    <cellStyle name="60% - 강조색6 3" xfId="103" xr:uid="{9331A509-0875-4C0F-8C3D-D5FB52FB4174}"/>
    <cellStyle name="60% - 강조색6 3 2" xfId="429" xr:uid="{F14197A2-785B-40C5-9033-72CF735EC2B3}"/>
    <cellStyle name="60% - 강조색6 4" xfId="123" xr:uid="{B9658C44-09E3-424D-B22E-7C3FCC9C0806}"/>
    <cellStyle name="60% - 강조색6 4 2" xfId="449" xr:uid="{121EFA6B-3AD3-45CE-8096-2B7C1BF00A23}"/>
    <cellStyle name="60% - 강조색6 5" xfId="143" xr:uid="{C1BAFC03-FA40-4450-840A-F36FB1A6041B}"/>
    <cellStyle name="60% - 강조색6 5 2" xfId="469" xr:uid="{C66DC005-9672-47F9-A627-81446CB99577}"/>
    <cellStyle name="60% - 강조색6 6" xfId="163" xr:uid="{1089B983-8593-4207-A1CE-09349D3C4605}"/>
    <cellStyle name="60% - 강조색6 6 2" xfId="489" xr:uid="{0A79068E-A641-4A4C-BDE8-AB1C10301257}"/>
    <cellStyle name="60% - 강조색6 7" xfId="183" xr:uid="{FF60C2DA-079A-4EE1-A9B5-1AD3A9A8D643}"/>
    <cellStyle name="60% - 강조색6 7 2" xfId="509" xr:uid="{752C2208-7AA5-474C-B7E6-4A1786FB333F}"/>
    <cellStyle name="60% - 강조색6 8" xfId="203" xr:uid="{1DBB24E1-EC94-4394-B3EB-483F05503DF3}"/>
    <cellStyle name="60% - 강조색6 8 2" xfId="529" xr:uid="{734B267A-8D46-4C64-B612-1312B78E3C27}"/>
    <cellStyle name="60% - 강조색6 9" xfId="223" xr:uid="{3EA00A76-CBFA-49F9-B4AE-8BB59E2AEFE3}"/>
    <cellStyle name="60% - 강조색6 9 2" xfId="549" xr:uid="{0457F248-0D54-4F87-B068-6C7A7E309E8D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2 2" xfId="693" xr:uid="{F295933B-280B-AC42-82FD-27DBEEAA4D23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691" xr:uid="{89ECD5E5-75A5-0D4E-8E06-C906A3BDE173}"/>
    <cellStyle name="Normal_Capability Study - IPEG EVT1 0713a.xls" xfId="692" xr:uid="{EDE0CED2-921D-4D41-A07B-B4CD930D6078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アクセント 1" xfId="24" builtinId="29" customBuiltin="1"/>
    <cellStyle name="アクセント 2" xfId="28" builtinId="33" customBuiltin="1"/>
    <cellStyle name="アクセント 3" xfId="32" builtinId="37" customBuiltin="1"/>
    <cellStyle name="アクセント 4" xfId="36" builtinId="41" customBuiltin="1"/>
    <cellStyle name="アクセント 5" xfId="40" builtinId="45" customBuiltin="1"/>
    <cellStyle name="アクセント 6" xfId="44" builtinId="49" customBuiltin="1"/>
    <cellStyle name="タイトル" xfId="8" builtinId="15" customBuiltin="1"/>
    <cellStyle name="チェック セル" xfId="20" builtinId="23" customBuiltin="1"/>
    <cellStyle name="どちらでもない" xfId="15" builtinId="28" customBuiltin="1"/>
    <cellStyle name="リンク セル" xfId="19" builtinId="24" customBuiltin="1"/>
    <cellStyle name="見出し 1" xfId="9" builtinId="16" customBuiltin="1"/>
    <cellStyle name="見出し 2" xfId="10" builtinId="17" customBuiltin="1"/>
    <cellStyle name="見出し 3" xfId="11" builtinId="18" customBuiltin="1"/>
    <cellStyle name="見出し 4" xfId="12" builtinId="19" customBuiltin="1"/>
    <cellStyle name="警告文" xfId="21" builtinId="11" customBuiltin="1"/>
    <cellStyle name="計算" xfId="18" builtinId="22" customBuiltin="1"/>
    <cellStyle name="나쁨 2" xfId="365" xr:uid="{5D9ED5E1-C801-406D-93E0-2B3591175749}"/>
    <cellStyle name="良い" xfId="13" builtinId="26" customBuiltin="1"/>
    <cellStyle name="메모 10" xfId="205" xr:uid="{F1E6B1A6-DFCC-43B5-938B-AC4EA38735C0}"/>
    <cellStyle name="메모 10 2" xfId="531" xr:uid="{94189CAC-7F9C-4DC4-AC07-5E4823A08368}"/>
    <cellStyle name="메모 11" xfId="225" xr:uid="{96156C23-3B33-4EC6-904C-30CD9C6AE460}"/>
    <cellStyle name="메모 11 2" xfId="551" xr:uid="{A5590162-89CE-4046-9E62-98059462BC8F}"/>
    <cellStyle name="메모 12" xfId="245" xr:uid="{5CB831BA-C7F1-474B-BA74-58288726F36E}"/>
    <cellStyle name="메모 12 2" xfId="571" xr:uid="{A6543E53-A679-4601-A8BF-F02E9240CD41}"/>
    <cellStyle name="메모 13" xfId="265" xr:uid="{91BBAD60-6ED6-4715-A410-BA21B2B80F9B}"/>
    <cellStyle name="메모 13 2" xfId="591" xr:uid="{3B4FDE31-DB01-450C-9B38-D125E506559D}"/>
    <cellStyle name="메모 14" xfId="285" xr:uid="{72C31025-9F67-4651-9FD6-55D175EBD059}"/>
    <cellStyle name="메모 14 2" xfId="611" xr:uid="{D26BCF79-232D-45B2-817E-C519EDC8CD07}"/>
    <cellStyle name="메모 15" xfId="305" xr:uid="{64142A57-8907-4EB8-81F0-21D0FC161584}"/>
    <cellStyle name="메모 15 2" xfId="631" xr:uid="{79C0ACC6-F90C-46A3-890A-ABD233CFC725}"/>
    <cellStyle name="메모 16" xfId="325" xr:uid="{429D3280-652F-41CC-BE36-941A19F819E6}"/>
    <cellStyle name="메모 16 2" xfId="651" xr:uid="{AFEEBAB9-E567-4EC9-A863-9FDF4E35CE9D}"/>
    <cellStyle name="메모 17" xfId="345" xr:uid="{42ECB233-434C-45FD-A02B-764D46565700}"/>
    <cellStyle name="메모 17 2" xfId="671" xr:uid="{987284A7-F8A6-4E1C-9DA7-2A2E2C967081}"/>
    <cellStyle name="메모 2" xfId="63" xr:uid="{C5E085BA-2B59-45F4-9A7F-16FA145D7B84}"/>
    <cellStyle name="메모 2 2" xfId="389" xr:uid="{E486E85D-359A-40D5-B184-0E8E720E3FF5}"/>
    <cellStyle name="메모 3" xfId="65" xr:uid="{CF354A69-28DB-401C-A63E-3F347A572426}"/>
    <cellStyle name="메모 3 2" xfId="391" xr:uid="{25E915B7-F958-4912-AEF2-DC0958DED5E9}"/>
    <cellStyle name="메모 4" xfId="85" xr:uid="{775D36BA-F6FE-4815-AEDB-99DCD30B3F80}"/>
    <cellStyle name="메모 4 2" xfId="411" xr:uid="{F53F0B97-023B-4421-A6E1-D9C1C9D10D04}"/>
    <cellStyle name="메모 5" xfId="105" xr:uid="{A16EE7B9-2783-46EF-847B-5843EB9314E0}"/>
    <cellStyle name="메모 5 2" xfId="431" xr:uid="{42CB8883-229C-4CD2-B631-1DC716B7A551}"/>
    <cellStyle name="메모 6" xfId="125" xr:uid="{99D5518B-558D-4D06-8223-349768351A5B}"/>
    <cellStyle name="메모 6 2" xfId="451" xr:uid="{59407AEA-A58F-45B0-A878-DF2C24FE83D4}"/>
    <cellStyle name="메모 7" xfId="145" xr:uid="{46215A0F-5D5F-4A1E-AE77-6F7125E3F5FD}"/>
    <cellStyle name="메모 7 2" xfId="471" xr:uid="{860E5420-DD76-4270-BE2A-B9275A8C78C6}"/>
    <cellStyle name="메모 8" xfId="165" xr:uid="{3F7FA357-98BF-476F-AC6F-5346764332E9}"/>
    <cellStyle name="메모 8 2" xfId="491" xr:uid="{A2455D44-1567-4902-9232-0355D50FC422}"/>
    <cellStyle name="메모 9" xfId="185" xr:uid="{3BDA0B01-7855-47A6-943B-A22238ECF36D}"/>
    <cellStyle name="메모 9 2" xfId="511" xr:uid="{ECD9A7A6-174C-45C8-84A1-FC1D652BF901}"/>
    <cellStyle name="百分比 3" xfId="2" xr:uid="{D6C95A67-1C7B-404B-8CDF-2921498D764C}"/>
    <cellStyle name="백분율 2" xfId="49" xr:uid="{E41B836F-9572-4D1C-9D74-1056A2A9CD16}"/>
    <cellStyle name="보통 2" xfId="366" xr:uid="{BC2C249A-3E93-44E4-8AEE-760D3D1DF841}"/>
    <cellStyle name="常规 4" xfId="5" xr:uid="{79A5A741-AEC6-8E4D-AD07-F06A72B84B5A}"/>
    <cellStyle name="常规_8364B 2009415" xfId="48" xr:uid="{0B47AFBD-263D-4B7F-B2E7-B395D86BCEE1}"/>
    <cellStyle name="説明文" xfId="22" builtinId="53" customBuiltin="1"/>
    <cellStyle name="쉼표 [0] 2" xfId="7" xr:uid="{404A706B-A3F0-6D4E-AC76-48F566C7C22E}"/>
    <cellStyle name="쉼표 [0] 2 2" xfId="369" xr:uid="{ADB4494C-2724-4892-8B8C-AFA06F9C5571}"/>
    <cellStyle name="悪い" xfId="14" builtinId="27" customBuiltin="1"/>
    <cellStyle name="一般 3" xfId="1" xr:uid="{CBDF56BD-CEEB-C64C-84C9-24C904CBE56D}"/>
    <cellStyle name="入力" xfId="16" builtinId="20" customBuiltin="1"/>
    <cellStyle name="集計" xfId="23" builtinId="25" customBuiltin="1"/>
    <cellStyle name="出力" xfId="17" builtinId="21" customBuiltin="1"/>
    <cellStyle name="標準" xfId="0" builtinId="0"/>
    <cellStyle name="표준 10" xfId="204" xr:uid="{97A0A5AD-B5E0-4681-B396-4D85486E02B2}"/>
    <cellStyle name="표준 10 2" xfId="530" xr:uid="{C702AF46-07B9-49A9-BBB8-0A57A31041F3}"/>
    <cellStyle name="표준 11" xfId="224" xr:uid="{DCBD210C-C26C-487C-AAFF-E96EFCCBF417}"/>
    <cellStyle name="표준 11 2" xfId="550" xr:uid="{5E8262AC-31F6-4285-9A34-4A57C551940F}"/>
    <cellStyle name="표준 12" xfId="244" xr:uid="{88A20BFC-BAA2-4A3D-B20F-C81594BE5818}"/>
    <cellStyle name="표준 12 2" xfId="570" xr:uid="{B0091205-C195-43A7-9DB0-693F4631CCF3}"/>
    <cellStyle name="표준 13" xfId="264" xr:uid="{5A98D856-1E8E-4B48-AB04-D5F9C62DEF9B}"/>
    <cellStyle name="표준 13 2" xfId="590" xr:uid="{430897E5-AEAD-40A1-9C8C-E3D573054103}"/>
    <cellStyle name="표준 14" xfId="284" xr:uid="{C1185FA1-2FFE-424F-966F-F35568CDFD2A}"/>
    <cellStyle name="표준 14 2" xfId="610" xr:uid="{71A1D278-02F6-4D88-8AD4-D07AA239D0A0}"/>
    <cellStyle name="표준 15" xfId="304" xr:uid="{34CB0A49-8C75-4926-9182-6D33642A8364}"/>
    <cellStyle name="표준 15 2" xfId="630" xr:uid="{93AAE6D9-50D1-4BB9-AEF4-AAE61269D0A1}"/>
    <cellStyle name="표준 16" xfId="324" xr:uid="{2AF502FC-B8DF-40F3-8A1B-C5F51B61B3E9}"/>
    <cellStyle name="표준 16 2" xfId="650" xr:uid="{F523B7E8-A79A-4D44-9EFD-06BB87569E3A}"/>
    <cellStyle name="표준 17" xfId="344" xr:uid="{C24D31C8-5BE4-420F-9B14-38B86A495FDF}"/>
    <cellStyle name="표준 17 2" xfId="670" xr:uid="{749B46E0-54B0-430B-A767-15FD47518E42}"/>
    <cellStyle name="표준 2" xfId="62" xr:uid="{2BCC682B-7B18-403A-8898-3D72D1F92BEA}"/>
    <cellStyle name="표준 2 2" xfId="367" xr:uid="{1DC67D5C-8146-4223-80C5-9B7EF4425AEB}"/>
    <cellStyle name="표준 2 2 2" xfId="690" xr:uid="{BDE52584-9778-42CA-BA42-737D9915283C}"/>
    <cellStyle name="표준 2 3" xfId="388" xr:uid="{09E49552-8C15-4DB6-8127-C2D72061EDD7}"/>
    <cellStyle name="표준 3" xfId="64" xr:uid="{8A91C379-9E86-4ECE-8FC9-502778FF8674}"/>
    <cellStyle name="표준 3 2" xfId="390" xr:uid="{1BEE62A5-F3AF-46DE-AD5E-0EAC4D4383AD}"/>
    <cellStyle name="표준 4" xfId="84" xr:uid="{D49317C4-0983-47D2-9FEE-B35901E022C0}"/>
    <cellStyle name="표준 4 2" xfId="368" xr:uid="{CA5758E8-F703-4C6A-913F-4E5F7E22DC54}"/>
    <cellStyle name="표준 4 3" xfId="410" xr:uid="{05F0041D-66A6-429E-A520-B20CE2931870}"/>
    <cellStyle name="표준 5" xfId="104" xr:uid="{C846E875-D831-4D02-8B7F-240014E6224A}"/>
    <cellStyle name="표준 5 2" xfId="430" xr:uid="{169832B1-754E-49BE-99E8-916E67CEC14D}"/>
    <cellStyle name="표준 6" xfId="124" xr:uid="{96BBFF81-0E0D-49A8-8075-BE29211F8FD1}"/>
    <cellStyle name="표준 6 2" xfId="450" xr:uid="{6769A1ED-5F5D-4B12-A385-A2FB4DA2DE1B}"/>
    <cellStyle name="표준 7" xfId="144" xr:uid="{CCEE4C6D-6860-49F6-BD89-D6BFB3C97F52}"/>
    <cellStyle name="표준 7 2" xfId="470" xr:uid="{C4D26E28-5B88-43CB-9677-0D8FAD63015A}"/>
    <cellStyle name="표준 8" xfId="164" xr:uid="{C8006356-40C1-4BB8-AE4A-A787D7EEC51F}"/>
    <cellStyle name="표준 8 2" xfId="490" xr:uid="{1F6E8E1A-D6F4-4404-8D93-0BEAF190BDAC}"/>
    <cellStyle name="표준 9" xfId="184" xr:uid="{546D25E5-03AC-4E09-9A2E-CEA11BAB5BC9}"/>
    <cellStyle name="표준 9 2" xfId="510" xr:uid="{D4B8B081-77EA-4BC0-96C6-B5D36C809687}"/>
  </cellStyles>
  <dxfs count="45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C1B7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4"/>
  <sheetViews>
    <sheetView showGridLines="0" tabSelected="1" zoomScale="138" zoomScaleNormal="100" workbookViewId="0">
      <selection activeCell="B2" sqref="B2:F2"/>
    </sheetView>
  </sheetViews>
  <sheetFormatPr defaultColWidth="10.77734375" defaultRowHeight="17.25"/>
  <cols>
    <col min="1" max="1" width="10.77734375" style="15"/>
    <col min="2" max="2" width="13.77734375" style="15" customWidth="1"/>
    <col min="3" max="3" width="30.77734375" style="15" customWidth="1"/>
    <col min="4" max="5" width="25.77734375" style="15" customWidth="1"/>
    <col min="6" max="6" width="13.77734375" style="14" customWidth="1"/>
    <col min="7" max="7" width="10.77734375" style="15"/>
    <col min="8" max="9" width="10.77734375" style="15" customWidth="1"/>
    <col min="10" max="16384" width="10.77734375" style="15"/>
  </cols>
  <sheetData>
    <row r="2" spans="1:10" ht="40.15" customHeight="1">
      <c r="A2" s="8"/>
      <c r="B2" s="123" t="s">
        <v>20</v>
      </c>
      <c r="C2" s="123"/>
      <c r="D2" s="123"/>
      <c r="E2" s="123"/>
      <c r="F2" s="123"/>
      <c r="G2" s="8"/>
      <c r="H2" s="8"/>
      <c r="I2" s="8"/>
      <c r="J2" s="8"/>
    </row>
    <row r="3" spans="1:10" ht="16.149999999999999" customHeight="1">
      <c r="A3" s="8"/>
      <c r="B3" s="1"/>
      <c r="C3" s="1"/>
      <c r="D3" s="1"/>
      <c r="E3" s="1"/>
      <c r="F3" s="1"/>
      <c r="G3" s="8"/>
      <c r="H3" s="8"/>
      <c r="I3" s="8"/>
      <c r="J3" s="8"/>
    </row>
    <row r="4" spans="1:10" ht="16.149999999999999" customHeight="1">
      <c r="A4" s="8"/>
      <c r="B4" s="8"/>
      <c r="C4" s="11" t="s">
        <v>17</v>
      </c>
      <c r="D4" s="8"/>
      <c r="E4" s="118" t="s">
        <v>17</v>
      </c>
      <c r="F4" s="1"/>
      <c r="G4" s="8"/>
      <c r="H4" s="8"/>
      <c r="I4" s="8"/>
      <c r="J4" s="8"/>
    </row>
    <row r="5" spans="1:10" ht="16.149999999999999" customHeight="1">
      <c r="A5" s="8"/>
      <c r="B5" s="2" t="s">
        <v>6</v>
      </c>
      <c r="C5" s="3" t="s">
        <v>96</v>
      </c>
      <c r="D5" s="2" t="s">
        <v>7</v>
      </c>
      <c r="E5" s="119" t="s">
        <v>23</v>
      </c>
      <c r="H5" s="8"/>
      <c r="I5" s="8"/>
      <c r="J5" s="8"/>
    </row>
    <row r="6" spans="1:10" ht="16.149999999999999" customHeight="1">
      <c r="A6" s="1"/>
      <c r="B6" s="2" t="s">
        <v>0</v>
      </c>
      <c r="C6" s="3" t="s">
        <v>22</v>
      </c>
      <c r="D6" s="2" t="s">
        <v>8</v>
      </c>
      <c r="E6" s="119">
        <f>'Shipping Lot List'!B2</f>
        <v>45820</v>
      </c>
      <c r="H6" s="1"/>
      <c r="I6" s="1"/>
      <c r="J6" s="1"/>
    </row>
    <row r="7" spans="1:10">
      <c r="A7" s="4"/>
      <c r="B7" s="2" t="s">
        <v>5</v>
      </c>
      <c r="C7" s="3" t="s">
        <v>271</v>
      </c>
      <c r="D7" s="2"/>
      <c r="E7" s="117"/>
      <c r="H7" s="4"/>
      <c r="I7" s="4"/>
      <c r="J7" s="4"/>
    </row>
    <row r="8" spans="1:10" ht="30">
      <c r="A8" s="4"/>
      <c r="B8" s="2" t="s">
        <v>21</v>
      </c>
      <c r="C8" s="101" t="s">
        <v>306</v>
      </c>
      <c r="D8" s="2" t="s">
        <v>4</v>
      </c>
      <c r="E8" s="120">
        <f>SUM('Shipping Lot List'!I:I)</f>
        <v>480</v>
      </c>
      <c r="F8" s="12" t="s">
        <v>17</v>
      </c>
      <c r="H8" s="4"/>
      <c r="I8" s="4"/>
      <c r="J8" s="4"/>
    </row>
    <row r="9" spans="1:10">
      <c r="A9" s="4"/>
      <c r="B9" s="2" t="s">
        <v>1</v>
      </c>
      <c r="C9" s="102" t="s">
        <v>307</v>
      </c>
      <c r="D9" s="2" t="s">
        <v>3</v>
      </c>
      <c r="E9" s="120">
        <v>0</v>
      </c>
      <c r="F9" s="124" t="s">
        <v>18</v>
      </c>
      <c r="H9" s="4"/>
      <c r="I9" s="4"/>
      <c r="J9" s="4"/>
    </row>
    <row r="10" spans="1:10">
      <c r="A10" s="4"/>
      <c r="B10" s="2" t="s">
        <v>24</v>
      </c>
      <c r="C10" s="3" t="s">
        <v>23</v>
      </c>
      <c r="D10" s="2" t="s">
        <v>2</v>
      </c>
      <c r="E10" s="120">
        <f>E8</f>
        <v>480</v>
      </c>
      <c r="F10" s="124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25" t="s">
        <v>17</v>
      </c>
      <c r="C12" s="125"/>
      <c r="D12" s="125"/>
      <c r="E12" s="125"/>
      <c r="F12" s="125"/>
      <c r="G12" s="4"/>
      <c r="H12" s="4"/>
      <c r="I12" s="4"/>
      <c r="J12" s="4"/>
    </row>
    <row r="13" spans="1:10">
      <c r="A13" s="4"/>
      <c r="B13" s="17" t="s">
        <v>16</v>
      </c>
      <c r="C13" s="17" t="s">
        <v>15</v>
      </c>
      <c r="D13" s="17" t="s">
        <v>9</v>
      </c>
      <c r="E13" s="17" t="s">
        <v>10</v>
      </c>
      <c r="F13" s="17" t="s">
        <v>14</v>
      </c>
      <c r="G13" s="4"/>
      <c r="H13" s="4"/>
      <c r="I13" s="5"/>
      <c r="J13" s="5"/>
    </row>
    <row r="14" spans="1:10">
      <c r="A14" s="10"/>
      <c r="B14" s="122" t="s">
        <v>11</v>
      </c>
      <c r="C14" s="6"/>
      <c r="D14" s="13"/>
      <c r="E14" s="18"/>
      <c r="F14" s="19"/>
    </row>
    <row r="15" spans="1:10">
      <c r="A15" s="10"/>
      <c r="B15" s="122"/>
      <c r="C15" s="6"/>
      <c r="D15" s="7"/>
      <c r="E15" s="9"/>
      <c r="F15" s="13"/>
    </row>
    <row r="16" spans="1:10">
      <c r="A16" s="10"/>
      <c r="B16" s="122"/>
      <c r="C16" s="6"/>
      <c r="D16" s="7"/>
      <c r="E16" s="9"/>
      <c r="F16" s="13"/>
    </row>
    <row r="17" spans="1:6">
      <c r="A17" s="10"/>
      <c r="B17" s="122"/>
      <c r="C17" s="6"/>
      <c r="D17" s="7"/>
      <c r="E17" s="9"/>
      <c r="F17" s="13"/>
    </row>
    <row r="18" spans="1:6">
      <c r="A18" s="10"/>
      <c r="B18" s="122"/>
      <c r="C18" s="6"/>
      <c r="D18" s="7"/>
      <c r="E18" s="9"/>
      <c r="F18" s="13"/>
    </row>
    <row r="19" spans="1:6">
      <c r="A19" s="10"/>
      <c r="B19" s="122"/>
      <c r="C19" s="6"/>
      <c r="D19" s="7"/>
      <c r="E19" s="9"/>
      <c r="F19" s="13"/>
    </row>
    <row r="20" spans="1:6">
      <c r="A20" s="10"/>
      <c r="B20" s="122"/>
      <c r="C20" s="6"/>
      <c r="D20" s="7"/>
      <c r="E20" s="9"/>
      <c r="F20" s="13"/>
    </row>
    <row r="21" spans="1:6">
      <c r="A21" s="10"/>
      <c r="B21" s="122"/>
      <c r="C21" s="6"/>
      <c r="D21" s="7"/>
      <c r="E21" s="9"/>
      <c r="F21" s="13"/>
    </row>
    <row r="22" spans="1:6">
      <c r="A22" s="10"/>
      <c r="B22" s="122"/>
      <c r="C22" s="6"/>
      <c r="D22" s="7"/>
      <c r="E22" s="9"/>
      <c r="F22" s="13"/>
    </row>
    <row r="23" spans="1:6">
      <c r="A23" s="10"/>
      <c r="B23" s="122"/>
      <c r="C23" s="6"/>
      <c r="D23" s="7"/>
      <c r="E23" s="9"/>
      <c r="F23" s="13"/>
    </row>
    <row r="24" spans="1:6">
      <c r="A24" s="10"/>
      <c r="B24" s="126" t="s">
        <v>12</v>
      </c>
      <c r="C24" s="6"/>
      <c r="D24" s="13"/>
      <c r="E24" s="18"/>
      <c r="F24" s="19"/>
    </row>
    <row r="25" spans="1:6">
      <c r="A25" s="10"/>
      <c r="B25" s="127"/>
      <c r="C25" s="6"/>
      <c r="D25" s="13"/>
      <c r="E25" s="18"/>
      <c r="F25" s="19"/>
    </row>
    <row r="26" spans="1:6">
      <c r="A26" s="10"/>
      <c r="B26" s="127"/>
      <c r="C26" s="6"/>
      <c r="D26" s="13"/>
      <c r="E26" s="18"/>
      <c r="F26" s="13"/>
    </row>
    <row r="27" spans="1:6">
      <c r="A27" s="16"/>
      <c r="B27" s="127"/>
      <c r="C27" s="6"/>
      <c r="D27" s="13"/>
      <c r="E27" s="18"/>
      <c r="F27" s="13"/>
    </row>
    <row r="28" spans="1:6">
      <c r="A28" s="16"/>
      <c r="B28" s="127"/>
      <c r="C28" s="6"/>
      <c r="D28" s="13"/>
      <c r="E28" s="18"/>
      <c r="F28" s="13"/>
    </row>
    <row r="29" spans="1:6">
      <c r="A29" s="16"/>
      <c r="B29" s="127"/>
      <c r="C29" s="6"/>
      <c r="D29" s="13"/>
      <c r="E29" s="18"/>
      <c r="F29" s="13"/>
    </row>
    <row r="30" spans="1:6">
      <c r="A30" s="16"/>
      <c r="B30" s="127"/>
      <c r="C30" s="6"/>
      <c r="D30" s="13"/>
      <c r="E30" s="18"/>
      <c r="F30" s="13"/>
    </row>
    <row r="31" spans="1:6">
      <c r="A31" s="16"/>
      <c r="B31" s="127"/>
      <c r="C31" s="6"/>
      <c r="D31" s="13"/>
      <c r="E31" s="18"/>
      <c r="F31" s="13"/>
    </row>
    <row r="32" spans="1:6">
      <c r="A32" s="16"/>
      <c r="B32" s="127"/>
      <c r="C32" s="6"/>
      <c r="D32" s="13"/>
      <c r="E32" s="18"/>
      <c r="F32" s="13"/>
    </row>
    <row r="33" spans="1:6">
      <c r="A33" s="16"/>
      <c r="B33" s="127"/>
      <c r="C33" s="6"/>
      <c r="D33" s="13"/>
      <c r="E33" s="18"/>
      <c r="F33" s="13"/>
    </row>
    <row r="34" spans="1:6">
      <c r="A34" s="16"/>
      <c r="B34" s="128"/>
      <c r="C34" s="6"/>
      <c r="D34" s="34"/>
      <c r="E34" s="18"/>
      <c r="F34" s="34"/>
    </row>
    <row r="35" spans="1:6">
      <c r="A35" s="16"/>
      <c r="B35" s="122" t="s">
        <v>13</v>
      </c>
      <c r="C35" s="6"/>
      <c r="D35" s="7"/>
      <c r="E35" s="7"/>
      <c r="F35" s="13"/>
    </row>
    <row r="36" spans="1:6">
      <c r="A36" s="16"/>
      <c r="B36" s="122"/>
      <c r="C36" s="6"/>
      <c r="D36" s="7"/>
      <c r="E36" s="7"/>
      <c r="F36" s="13"/>
    </row>
    <row r="37" spans="1:6">
      <c r="A37" s="16"/>
      <c r="B37" s="122"/>
      <c r="C37" s="6"/>
      <c r="D37" s="7"/>
      <c r="E37" s="7"/>
      <c r="F37" s="13"/>
    </row>
    <row r="38" spans="1:6">
      <c r="A38" s="16"/>
      <c r="B38" s="122"/>
      <c r="C38" s="6"/>
      <c r="D38" s="7"/>
      <c r="E38" s="7"/>
      <c r="F38" s="13"/>
    </row>
    <row r="39" spans="1:6">
      <c r="A39" s="16"/>
      <c r="B39" s="122"/>
      <c r="C39" s="6"/>
      <c r="D39" s="7"/>
      <c r="E39" s="7"/>
      <c r="F39" s="13"/>
    </row>
    <row r="40" spans="1:6">
      <c r="A40" s="16"/>
      <c r="B40" s="122"/>
      <c r="C40" s="6"/>
      <c r="D40" s="7"/>
      <c r="E40" s="7"/>
      <c r="F40" s="13"/>
    </row>
    <row r="41" spans="1:6">
      <c r="A41" s="16"/>
      <c r="B41" s="122"/>
      <c r="C41" s="6"/>
      <c r="D41" s="7"/>
      <c r="E41" s="7"/>
      <c r="F41" s="13"/>
    </row>
    <row r="42" spans="1:6">
      <c r="A42" s="16"/>
      <c r="B42" s="122"/>
      <c r="C42" s="6"/>
      <c r="D42" s="7"/>
      <c r="E42" s="7"/>
      <c r="F42" s="13"/>
    </row>
    <row r="43" spans="1:6">
      <c r="A43" s="16"/>
      <c r="B43" s="122"/>
      <c r="C43" s="6"/>
      <c r="D43" s="7"/>
      <c r="E43" s="7"/>
      <c r="F43" s="13"/>
    </row>
    <row r="44" spans="1:6">
      <c r="A44" s="16"/>
      <c r="B44" s="122"/>
      <c r="C44" s="6"/>
      <c r="D44" s="7"/>
      <c r="E44" s="7"/>
      <c r="F44" s="13"/>
    </row>
    <row r="45" spans="1:6">
      <c r="B45" s="121" t="s">
        <v>19</v>
      </c>
      <c r="C45" s="6"/>
      <c r="D45" s="7"/>
      <c r="E45" s="7"/>
      <c r="F45" s="13"/>
    </row>
    <row r="46" spans="1:6">
      <c r="B46" s="121"/>
      <c r="C46" s="6"/>
      <c r="D46" s="7"/>
      <c r="E46" s="7"/>
      <c r="F46" s="13"/>
    </row>
    <row r="47" spans="1:6">
      <c r="B47" s="121"/>
      <c r="C47" s="6"/>
      <c r="D47" s="7"/>
      <c r="E47" s="7"/>
      <c r="F47" s="13"/>
    </row>
    <row r="48" spans="1:6">
      <c r="B48" s="121"/>
      <c r="C48" s="6"/>
      <c r="D48" s="7"/>
      <c r="E48" s="7"/>
      <c r="F48" s="13"/>
    </row>
    <row r="49" spans="2:6">
      <c r="B49" s="121"/>
      <c r="C49" s="6"/>
      <c r="D49" s="7"/>
      <c r="E49" s="7"/>
      <c r="F49" s="13"/>
    </row>
    <row r="50" spans="2:6">
      <c r="B50" s="121"/>
      <c r="C50" s="6"/>
      <c r="D50" s="7"/>
      <c r="E50" s="7"/>
      <c r="F50" s="13"/>
    </row>
    <row r="51" spans="2:6">
      <c r="B51" s="121"/>
      <c r="C51" s="6"/>
      <c r="D51" s="7"/>
      <c r="E51" s="7"/>
      <c r="F51" s="13"/>
    </row>
    <row r="52" spans="2:6">
      <c r="B52" s="121"/>
      <c r="C52" s="6"/>
      <c r="D52" s="7"/>
      <c r="E52" s="7"/>
      <c r="F52" s="13"/>
    </row>
    <row r="53" spans="2:6">
      <c r="B53" s="121"/>
      <c r="C53" s="6"/>
      <c r="D53" s="7"/>
      <c r="E53" s="7"/>
      <c r="F53" s="13"/>
    </row>
    <row r="54" spans="2:6">
      <c r="B54" s="121"/>
      <c r="C54" s="6"/>
      <c r="D54" s="7"/>
      <c r="E54" s="7"/>
      <c r="F54" s="13"/>
    </row>
  </sheetData>
  <mergeCells count="7">
    <mergeCell ref="B45:B54"/>
    <mergeCell ref="B14:B23"/>
    <mergeCell ref="B35:B44"/>
    <mergeCell ref="B2:F2"/>
    <mergeCell ref="F9:F10"/>
    <mergeCell ref="B12:F12"/>
    <mergeCell ref="B24:B34"/>
  </mergeCells>
  <phoneticPr fontId="10" type="noConversion"/>
  <conditionalFormatting sqref="E7">
    <cfRule type="containsText" dxfId="44" priority="1" operator="containsText" text="NG">
      <formula>NOT(ISERROR(SEARCH("NG",E7)))</formula>
    </cfRule>
    <cfRule type="containsText" dxfId="43" priority="2" operator="containsText" text="PASS">
      <formula>NOT(ISERROR(SEARCH("PASS",E7)))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A545-41D6-9841-8B2C-5294A11C3FA1}">
  <sheetPr codeName="Sheet1"/>
  <dimension ref="A1:J4"/>
  <sheetViews>
    <sheetView zoomScale="85" zoomScaleNormal="85" workbookViewId="0"/>
  </sheetViews>
  <sheetFormatPr defaultColWidth="10.88671875" defaultRowHeight="17.25"/>
  <cols>
    <col min="1" max="3" width="17.6640625" style="46" customWidth="1"/>
    <col min="4" max="4" width="12.6640625" style="46" customWidth="1"/>
    <col min="5" max="5" width="35.6640625" style="46" customWidth="1"/>
    <col min="6" max="6" width="17.6640625" style="46" customWidth="1"/>
    <col min="7" max="7" width="12.6640625" style="46" customWidth="1"/>
    <col min="8" max="8" width="12.6640625" style="47" customWidth="1"/>
    <col min="9" max="10" width="12.6640625" style="46" customWidth="1"/>
    <col min="11" max="16384" width="10.88671875" style="46"/>
  </cols>
  <sheetData>
    <row r="1" spans="1:10">
      <c r="A1" s="103" t="s">
        <v>297</v>
      </c>
      <c r="B1" s="103" t="s">
        <v>298</v>
      </c>
      <c r="C1" s="103" t="s">
        <v>318</v>
      </c>
      <c r="D1" s="104" t="s">
        <v>299</v>
      </c>
      <c r="E1" s="105" t="s">
        <v>300</v>
      </c>
      <c r="F1" s="105" t="s">
        <v>301</v>
      </c>
      <c r="G1" s="105" t="s">
        <v>302</v>
      </c>
      <c r="H1" s="105" t="s">
        <v>303</v>
      </c>
      <c r="I1" s="105" t="s">
        <v>304</v>
      </c>
      <c r="J1" s="104" t="s">
        <v>305</v>
      </c>
    </row>
    <row r="2" spans="1:10" ht="19.149999999999999" customHeight="1">
      <c r="A2" s="103" t="s">
        <v>271</v>
      </c>
      <c r="B2" s="103">
        <v>45820</v>
      </c>
      <c r="C2" s="103"/>
      <c r="D2" s="104" t="s">
        <v>307</v>
      </c>
      <c r="E2" s="104" t="s">
        <v>314</v>
      </c>
      <c r="F2" s="107" t="s">
        <v>315</v>
      </c>
      <c r="G2" s="110">
        <v>5760</v>
      </c>
      <c r="H2" s="106">
        <v>2</v>
      </c>
      <c r="I2" s="107">
        <v>480</v>
      </c>
      <c r="J2" s="105" t="s">
        <v>308</v>
      </c>
    </row>
    <row r="3" spans="1:10">
      <c r="A3" s="103"/>
      <c r="B3" s="103"/>
      <c r="C3" s="103"/>
      <c r="D3" s="104"/>
      <c r="E3" s="105"/>
      <c r="F3" s="111"/>
      <c r="G3" s="110"/>
      <c r="H3" s="108"/>
      <c r="I3" s="105"/>
      <c r="J3" s="105"/>
    </row>
    <row r="4" spans="1:10">
      <c r="A4" s="103"/>
      <c r="B4" s="103"/>
      <c r="C4" s="103"/>
      <c r="D4" s="104"/>
      <c r="E4" s="105"/>
      <c r="F4" s="111"/>
      <c r="G4" s="110"/>
      <c r="H4" s="108"/>
      <c r="I4" s="105"/>
      <c r="J4" s="105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7444-142C-E441-BF6D-1EA7FEAF9E44}">
  <sheetPr codeName="Sheet3"/>
  <dimension ref="A1:X157"/>
  <sheetViews>
    <sheetView zoomScale="85" zoomScaleNormal="85" workbookViewId="0">
      <selection sqref="A1:W1"/>
    </sheetView>
  </sheetViews>
  <sheetFormatPr defaultColWidth="12.44140625" defaultRowHeight="12.75"/>
  <cols>
    <col min="1" max="1" width="0.77734375" style="21" customWidth="1"/>
    <col min="2" max="2" width="9" style="21" customWidth="1"/>
    <col min="3" max="3" width="13" style="21" customWidth="1"/>
    <col min="4" max="6" width="9" style="21" customWidth="1"/>
    <col min="7" max="10" width="9" style="21" hidden="1" customWidth="1"/>
    <col min="11" max="22" width="9" style="21" customWidth="1"/>
    <col min="23" max="23" width="14.21875" style="21" customWidth="1"/>
    <col min="24" max="16384" width="12.44140625" style="21"/>
  </cols>
  <sheetData>
    <row r="1" spans="1:24" ht="20.25">
      <c r="A1" s="129" t="s">
        <v>25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</row>
    <row r="2" spans="1:24" ht="10.1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spans="1:24" ht="15" customHeight="1">
      <c r="A3" s="45"/>
      <c r="B3" s="138" t="s">
        <v>26</v>
      </c>
      <c r="C3" s="138"/>
      <c r="D3" s="138"/>
      <c r="E3" s="138"/>
      <c r="F3" s="138"/>
      <c r="G3" s="138"/>
      <c r="H3" s="138"/>
      <c r="I3" s="138"/>
      <c r="J3" s="138"/>
      <c r="K3" s="138"/>
      <c r="L3" s="130" t="s">
        <v>27</v>
      </c>
      <c r="M3" s="130"/>
      <c r="N3" s="130"/>
      <c r="O3" s="130"/>
      <c r="P3" s="130"/>
      <c r="Q3" s="130"/>
      <c r="R3" s="131" t="s">
        <v>28</v>
      </c>
      <c r="S3" s="130"/>
      <c r="T3" s="130"/>
      <c r="U3" s="130"/>
      <c r="V3" s="132"/>
      <c r="W3" s="133" t="s">
        <v>29</v>
      </c>
    </row>
    <row r="4" spans="1:24" ht="15" customHeight="1">
      <c r="A4" s="22"/>
      <c r="B4" s="133" t="s">
        <v>30</v>
      </c>
      <c r="C4" s="133" t="s">
        <v>31</v>
      </c>
      <c r="D4" s="139" t="s">
        <v>32</v>
      </c>
      <c r="E4" s="140" t="s">
        <v>33</v>
      </c>
      <c r="F4" s="140" t="s">
        <v>34</v>
      </c>
      <c r="G4" s="141" t="s">
        <v>316</v>
      </c>
      <c r="H4" s="142"/>
      <c r="I4" s="143" t="s">
        <v>317</v>
      </c>
      <c r="J4" s="142"/>
      <c r="K4" s="137" t="s">
        <v>35</v>
      </c>
      <c r="L4" s="134" t="s">
        <v>36</v>
      </c>
      <c r="M4" s="135"/>
      <c r="N4" s="135"/>
      <c r="O4" s="134" t="s">
        <v>37</v>
      </c>
      <c r="P4" s="135"/>
      <c r="Q4" s="135"/>
      <c r="R4" s="136" t="s">
        <v>38</v>
      </c>
      <c r="S4" s="23" t="s">
        <v>39</v>
      </c>
      <c r="T4" s="24"/>
      <c r="U4" s="25" t="s">
        <v>40</v>
      </c>
      <c r="V4" s="24"/>
      <c r="W4" s="133"/>
    </row>
    <row r="5" spans="1:24" ht="18" customHeight="1">
      <c r="A5" s="26"/>
      <c r="B5" s="133"/>
      <c r="C5" s="133"/>
      <c r="D5" s="139"/>
      <c r="E5" s="140"/>
      <c r="F5" s="140"/>
      <c r="G5" s="73" t="s">
        <v>64</v>
      </c>
      <c r="H5" s="73" t="s">
        <v>65</v>
      </c>
      <c r="I5" s="73" t="s">
        <v>64</v>
      </c>
      <c r="J5" s="73" t="s">
        <v>65</v>
      </c>
      <c r="K5" s="137"/>
      <c r="L5" s="44"/>
      <c r="M5" s="44"/>
      <c r="N5" s="44"/>
      <c r="O5" s="44">
        <v>1</v>
      </c>
      <c r="P5" s="44">
        <v>2</v>
      </c>
      <c r="Q5" s="44">
        <v>3</v>
      </c>
      <c r="R5" s="128"/>
      <c r="S5" s="38" t="s">
        <v>41</v>
      </c>
      <c r="T5" s="24" t="s">
        <v>42</v>
      </c>
      <c r="U5" s="38" t="s">
        <v>43</v>
      </c>
      <c r="V5" s="24" t="s">
        <v>44</v>
      </c>
      <c r="W5" s="133"/>
    </row>
    <row r="6" spans="1:24" ht="18" customHeight="1">
      <c r="A6" s="27"/>
      <c r="B6" s="35" t="s">
        <v>123</v>
      </c>
      <c r="C6" s="35" t="s">
        <v>110</v>
      </c>
      <c r="D6" s="37"/>
      <c r="E6" s="37">
        <v>8.0000000000000002E-3</v>
      </c>
      <c r="F6" s="37"/>
      <c r="G6" s="37">
        <v>6.7999999999999996E-3</v>
      </c>
      <c r="H6" s="37">
        <v>0</v>
      </c>
      <c r="I6" s="37"/>
      <c r="J6" s="37"/>
      <c r="K6" s="36" t="s">
        <v>111</v>
      </c>
      <c r="L6" s="39"/>
      <c r="M6" s="39"/>
      <c r="N6" s="39"/>
      <c r="O6" s="28" t="str">
        <f t="shared" ref="O6:O37" si="0">IF(ISERR(L6/L6)=TRUE," ",L6-$D6)</f>
        <v xml:space="preserve"> </v>
      </c>
      <c r="P6" s="28" t="str">
        <f t="shared" ref="P6:P37" si="1">IF(ISERR(M6/M6)=TRUE," ",M6-$D6)</f>
        <v xml:space="preserve"> </v>
      </c>
      <c r="Q6" s="28" t="str">
        <f t="shared" ref="Q6:Q37" si="2">IF(ISERR(N6/N6)=TRUE," ",N6-$D6)</f>
        <v xml:space="preserve"> </v>
      </c>
      <c r="R6" s="29" t="str">
        <f t="shared" ref="R6:R37" si="3">IF(ISERR(L6/L6)=TRUE," ",AVERAGE(L6:N6))</f>
        <v xml:space="preserve"> </v>
      </c>
      <c r="S6" s="30" t="str">
        <f t="shared" ref="S6:S37" si="4">IF(ISERR(E6/E6)=TRUE," ",IF(ISERR(L6/L6)=TRUE," ",IF(ISNUMBER($L6)=FALSE," ",IF(MAX($L6:$N6)&lt;$D6,0,(MAX($L6:$N6)-$D6)/$E6))))</f>
        <v xml:space="preserve"> </v>
      </c>
      <c r="T6" s="31" t="str">
        <f t="shared" ref="T6:T37" si="5">IF(ISERR(F6/D6)=TRUE," ",IF(ISERR(F6/F6)=TRUE," ",IF(ISERR(L6/L6)=TRUE," ",IF(ISNUMBER(L6)=FALSE," ",IF(MIN(L6:N6)&gt;$D6,0,($D6-MIN(L6:N6))/-F6)))))</f>
        <v xml:space="preserve"> </v>
      </c>
      <c r="U6" s="29" t="str">
        <f t="shared" ref="U6:U70" si="6">IF(ISNUMBER($S6)=TRUE,IF($S6&gt;0.651,IF($S6&gt;1.001,"Reject","Alert"),""),"")</f>
        <v/>
      </c>
      <c r="V6" s="29" t="str">
        <f t="shared" ref="V6:V33" si="7">IF(L6="","",IF(ISERR(F6/F6)=TRUE,"",IF(ISERR(F6/D6)=TRUE,IF((F6-MIN(L6:N6))&gt;0.001,"Reject",""),IF(ISNUMBER($T6)=TRUE,IF($T6&gt;0.651,IF($T6&gt;1.001,"Reject","Alert"),""),""))))</f>
        <v/>
      </c>
      <c r="W6" s="116"/>
      <c r="X6" s="113"/>
    </row>
    <row r="7" spans="1:24" ht="18" customHeight="1">
      <c r="A7" s="27"/>
      <c r="B7" s="35" t="s">
        <v>124</v>
      </c>
      <c r="C7" s="40" t="s">
        <v>110</v>
      </c>
      <c r="D7" s="37"/>
      <c r="E7" s="37">
        <v>8.0000000000000002E-3</v>
      </c>
      <c r="F7" s="37"/>
      <c r="G7" s="37">
        <v>6.7999999999999996E-3</v>
      </c>
      <c r="H7" s="37">
        <v>0</v>
      </c>
      <c r="I7" s="37"/>
      <c r="J7" s="37"/>
      <c r="K7" s="36" t="s">
        <v>111</v>
      </c>
      <c r="L7" s="39"/>
      <c r="M7" s="39"/>
      <c r="N7" s="39"/>
      <c r="O7" s="28" t="str">
        <f t="shared" si="0"/>
        <v xml:space="preserve"> </v>
      </c>
      <c r="P7" s="28" t="str">
        <f t="shared" si="1"/>
        <v xml:space="preserve"> </v>
      </c>
      <c r="Q7" s="28" t="str">
        <f t="shared" si="2"/>
        <v xml:space="preserve"> </v>
      </c>
      <c r="R7" s="29" t="str">
        <f t="shared" si="3"/>
        <v xml:space="preserve"> </v>
      </c>
      <c r="S7" s="30" t="str">
        <f t="shared" si="4"/>
        <v xml:space="preserve"> </v>
      </c>
      <c r="T7" s="31" t="str">
        <f t="shared" si="5"/>
        <v xml:space="preserve"> </v>
      </c>
      <c r="U7" s="29" t="str">
        <f t="shared" si="6"/>
        <v/>
      </c>
      <c r="V7" s="29" t="str">
        <f t="shared" si="7"/>
        <v/>
      </c>
      <c r="W7" s="116"/>
      <c r="X7" s="113"/>
    </row>
    <row r="8" spans="1:24" ht="18" customHeight="1">
      <c r="A8" s="27"/>
      <c r="B8" s="35" t="s">
        <v>125</v>
      </c>
      <c r="C8" s="36" t="s">
        <v>110</v>
      </c>
      <c r="D8" s="37"/>
      <c r="E8" s="37">
        <v>8.0000000000000002E-3</v>
      </c>
      <c r="F8" s="37"/>
      <c r="G8" s="37">
        <v>6.7999999999999996E-3</v>
      </c>
      <c r="H8" s="37">
        <v>0</v>
      </c>
      <c r="I8" s="37"/>
      <c r="J8" s="37"/>
      <c r="K8" s="36" t="s">
        <v>111</v>
      </c>
      <c r="L8" s="39"/>
      <c r="M8" s="39"/>
      <c r="N8" s="39"/>
      <c r="O8" s="28" t="str">
        <f t="shared" si="0"/>
        <v xml:space="preserve"> </v>
      </c>
      <c r="P8" s="28" t="str">
        <f t="shared" si="1"/>
        <v xml:space="preserve"> </v>
      </c>
      <c r="Q8" s="28" t="str">
        <f t="shared" si="2"/>
        <v xml:space="preserve"> </v>
      </c>
      <c r="R8" s="29" t="str">
        <f t="shared" si="3"/>
        <v xml:space="preserve"> </v>
      </c>
      <c r="S8" s="30" t="str">
        <f t="shared" si="4"/>
        <v xml:space="preserve"> </v>
      </c>
      <c r="T8" s="31" t="str">
        <f t="shared" si="5"/>
        <v xml:space="preserve"> </v>
      </c>
      <c r="U8" s="29" t="str">
        <f t="shared" si="6"/>
        <v/>
      </c>
      <c r="V8" s="29" t="str">
        <f t="shared" si="7"/>
        <v/>
      </c>
      <c r="W8" s="116"/>
      <c r="X8" s="113"/>
    </row>
    <row r="9" spans="1:24" ht="18" customHeight="1">
      <c r="A9" s="27"/>
      <c r="B9" s="35" t="s">
        <v>126</v>
      </c>
      <c r="C9" s="36" t="s">
        <v>110</v>
      </c>
      <c r="D9" s="37"/>
      <c r="E9" s="37">
        <v>8.0000000000000002E-3</v>
      </c>
      <c r="F9" s="37"/>
      <c r="G9" s="37">
        <v>6.7999999999999996E-3</v>
      </c>
      <c r="H9" s="37">
        <v>0</v>
      </c>
      <c r="I9" s="37"/>
      <c r="J9" s="37"/>
      <c r="K9" s="36" t="s">
        <v>111</v>
      </c>
      <c r="L9" s="39"/>
      <c r="M9" s="39"/>
      <c r="N9" s="39"/>
      <c r="O9" s="28" t="str">
        <f t="shared" si="0"/>
        <v xml:space="preserve"> </v>
      </c>
      <c r="P9" s="28" t="str">
        <f t="shared" si="1"/>
        <v xml:space="preserve"> </v>
      </c>
      <c r="Q9" s="28" t="str">
        <f t="shared" si="2"/>
        <v xml:space="preserve"> </v>
      </c>
      <c r="R9" s="29" t="str">
        <f t="shared" si="3"/>
        <v xml:space="preserve"> </v>
      </c>
      <c r="S9" s="30" t="str">
        <f t="shared" si="4"/>
        <v xml:space="preserve"> </v>
      </c>
      <c r="T9" s="31" t="str">
        <f t="shared" si="5"/>
        <v xml:space="preserve"> </v>
      </c>
      <c r="U9" s="29" t="str">
        <f t="shared" si="6"/>
        <v/>
      </c>
      <c r="V9" s="29" t="str">
        <f t="shared" si="7"/>
        <v/>
      </c>
      <c r="W9" s="116"/>
      <c r="X9" s="113"/>
    </row>
    <row r="10" spans="1:24" ht="18" customHeight="1">
      <c r="A10" s="27"/>
      <c r="B10" s="35">
        <v>3</v>
      </c>
      <c r="C10" s="36" t="s">
        <v>48</v>
      </c>
      <c r="D10" s="37"/>
      <c r="E10" s="37">
        <v>0.03</v>
      </c>
      <c r="F10" s="37"/>
      <c r="G10" s="37">
        <v>2.5499999999999998E-2</v>
      </c>
      <c r="H10" s="37">
        <v>0</v>
      </c>
      <c r="I10" s="37"/>
      <c r="J10" s="37"/>
      <c r="K10" s="36" t="s">
        <v>46</v>
      </c>
      <c r="L10" s="39"/>
      <c r="M10" s="39"/>
      <c r="N10" s="39"/>
      <c r="O10" s="28" t="str">
        <f t="shared" si="0"/>
        <v xml:space="preserve"> </v>
      </c>
      <c r="P10" s="28" t="str">
        <f t="shared" si="1"/>
        <v xml:space="preserve"> </v>
      </c>
      <c r="Q10" s="28" t="str">
        <f t="shared" si="2"/>
        <v xml:space="preserve"> </v>
      </c>
      <c r="R10" s="29" t="str">
        <f t="shared" si="3"/>
        <v xml:space="preserve"> </v>
      </c>
      <c r="S10" s="30" t="str">
        <f t="shared" si="4"/>
        <v xml:space="preserve"> </v>
      </c>
      <c r="T10" s="31" t="str">
        <f t="shared" si="5"/>
        <v xml:space="preserve"> </v>
      </c>
      <c r="U10" s="29" t="str">
        <f t="shared" si="6"/>
        <v/>
      </c>
      <c r="V10" s="29" t="str">
        <f t="shared" si="7"/>
        <v/>
      </c>
      <c r="W10" s="116"/>
      <c r="X10" s="113"/>
    </row>
    <row r="11" spans="1:24" ht="18" customHeight="1">
      <c r="A11" s="27"/>
      <c r="B11" s="35" t="s">
        <v>127</v>
      </c>
      <c r="C11" s="36" t="s">
        <v>45</v>
      </c>
      <c r="D11" s="37">
        <v>0.5</v>
      </c>
      <c r="E11" s="37">
        <v>1.4999999999999999E-2</v>
      </c>
      <c r="F11" s="37">
        <v>-0.01</v>
      </c>
      <c r="G11" s="37">
        <v>0.51275000000000004</v>
      </c>
      <c r="H11" s="37">
        <v>0.49149999999999999</v>
      </c>
      <c r="I11" s="37"/>
      <c r="J11" s="37"/>
      <c r="K11" s="36" t="s">
        <v>46</v>
      </c>
      <c r="L11" s="39"/>
      <c r="M11" s="39"/>
      <c r="N11" s="39"/>
      <c r="O11" s="28" t="str">
        <f t="shared" si="0"/>
        <v xml:space="preserve"> </v>
      </c>
      <c r="P11" s="28" t="str">
        <f t="shared" si="1"/>
        <v xml:space="preserve"> </v>
      </c>
      <c r="Q11" s="28" t="str">
        <f t="shared" si="2"/>
        <v xml:space="preserve"> </v>
      </c>
      <c r="R11" s="29" t="str">
        <f t="shared" si="3"/>
        <v xml:space="preserve"> </v>
      </c>
      <c r="S11" s="30" t="str">
        <f t="shared" si="4"/>
        <v xml:space="preserve"> </v>
      </c>
      <c r="T11" s="31" t="str">
        <f t="shared" si="5"/>
        <v xml:space="preserve"> </v>
      </c>
      <c r="U11" s="29" t="str">
        <f t="shared" si="6"/>
        <v/>
      </c>
      <c r="V11" s="29" t="str">
        <f t="shared" si="7"/>
        <v/>
      </c>
      <c r="W11" s="116"/>
      <c r="X11" s="113"/>
    </row>
    <row r="12" spans="1:24" ht="18" customHeight="1">
      <c r="A12" s="27"/>
      <c r="B12" s="35" t="s">
        <v>128</v>
      </c>
      <c r="C12" s="36" t="s">
        <v>45</v>
      </c>
      <c r="D12" s="37">
        <v>0.5</v>
      </c>
      <c r="E12" s="37">
        <v>1.4999999999999999E-2</v>
      </c>
      <c r="F12" s="37">
        <v>-0.01</v>
      </c>
      <c r="G12" s="37">
        <v>0.51275000000000004</v>
      </c>
      <c r="H12" s="37">
        <v>0.49149999999999999</v>
      </c>
      <c r="I12" s="37"/>
      <c r="J12" s="37"/>
      <c r="K12" s="36" t="s">
        <v>46</v>
      </c>
      <c r="L12" s="39"/>
      <c r="M12" s="39"/>
      <c r="N12" s="39"/>
      <c r="O12" s="28" t="str">
        <f t="shared" si="0"/>
        <v xml:space="preserve"> </v>
      </c>
      <c r="P12" s="28" t="str">
        <f t="shared" si="1"/>
        <v xml:space="preserve"> </v>
      </c>
      <c r="Q12" s="28" t="str">
        <f t="shared" si="2"/>
        <v xml:space="preserve"> </v>
      </c>
      <c r="R12" s="29" t="str">
        <f t="shared" si="3"/>
        <v xml:space="preserve"> </v>
      </c>
      <c r="S12" s="30" t="str">
        <f t="shared" si="4"/>
        <v xml:space="preserve"> </v>
      </c>
      <c r="T12" s="31" t="str">
        <f t="shared" si="5"/>
        <v xml:space="preserve"> </v>
      </c>
      <c r="U12" s="29" t="str">
        <f t="shared" si="6"/>
        <v/>
      </c>
      <c r="V12" s="29" t="str">
        <f t="shared" si="7"/>
        <v/>
      </c>
      <c r="W12" s="116"/>
      <c r="X12" s="113"/>
    </row>
    <row r="13" spans="1:24" ht="18" customHeight="1">
      <c r="A13" s="27"/>
      <c r="B13" s="35" t="s">
        <v>129</v>
      </c>
      <c r="C13" s="36" t="s">
        <v>45</v>
      </c>
      <c r="D13" s="37">
        <v>0.5</v>
      </c>
      <c r="E13" s="37">
        <v>1.4999999999999999E-2</v>
      </c>
      <c r="F13" s="37">
        <v>-0.01</v>
      </c>
      <c r="G13" s="37">
        <v>0.51275000000000004</v>
      </c>
      <c r="H13" s="37">
        <v>0.49149999999999999</v>
      </c>
      <c r="I13" s="37"/>
      <c r="J13" s="37"/>
      <c r="K13" s="36" t="s">
        <v>46</v>
      </c>
      <c r="L13" s="39"/>
      <c r="M13" s="39"/>
      <c r="N13" s="39"/>
      <c r="O13" s="28" t="str">
        <f t="shared" si="0"/>
        <v xml:space="preserve"> </v>
      </c>
      <c r="P13" s="28" t="str">
        <f t="shared" si="1"/>
        <v xml:space="preserve"> </v>
      </c>
      <c r="Q13" s="28" t="str">
        <f t="shared" si="2"/>
        <v xml:space="preserve"> </v>
      </c>
      <c r="R13" s="29" t="str">
        <f t="shared" si="3"/>
        <v xml:space="preserve"> </v>
      </c>
      <c r="S13" s="30" t="str">
        <f t="shared" si="4"/>
        <v xml:space="preserve"> </v>
      </c>
      <c r="T13" s="31" t="str">
        <f t="shared" si="5"/>
        <v xml:space="preserve"> </v>
      </c>
      <c r="U13" s="29" t="str">
        <f t="shared" si="6"/>
        <v/>
      </c>
      <c r="V13" s="29" t="str">
        <f t="shared" si="7"/>
        <v/>
      </c>
      <c r="W13" s="116"/>
      <c r="X13" s="113"/>
    </row>
    <row r="14" spans="1:24" ht="18" customHeight="1">
      <c r="A14" s="27"/>
      <c r="B14" s="35" t="s">
        <v>130</v>
      </c>
      <c r="C14" s="36" t="s">
        <v>45</v>
      </c>
      <c r="D14" s="37">
        <v>0.72</v>
      </c>
      <c r="E14" s="37">
        <v>0.02</v>
      </c>
      <c r="F14" s="37">
        <v>-0.02</v>
      </c>
      <c r="G14" s="37">
        <v>0.73699999999999999</v>
      </c>
      <c r="H14" s="37">
        <v>0.70299999999999996</v>
      </c>
      <c r="I14" s="37"/>
      <c r="J14" s="37"/>
      <c r="K14" s="36" t="s">
        <v>46</v>
      </c>
      <c r="L14" s="39"/>
      <c r="M14" s="39"/>
      <c r="N14" s="39"/>
      <c r="O14" s="28" t="str">
        <f t="shared" si="0"/>
        <v xml:space="preserve"> </v>
      </c>
      <c r="P14" s="28" t="str">
        <f t="shared" si="1"/>
        <v xml:space="preserve"> </v>
      </c>
      <c r="Q14" s="28" t="str">
        <f t="shared" si="2"/>
        <v xml:space="preserve"> </v>
      </c>
      <c r="R14" s="29" t="str">
        <f t="shared" si="3"/>
        <v xml:space="preserve"> </v>
      </c>
      <c r="S14" s="30" t="str">
        <f t="shared" si="4"/>
        <v xml:space="preserve"> </v>
      </c>
      <c r="T14" s="31" t="str">
        <f t="shared" si="5"/>
        <v xml:space="preserve"> </v>
      </c>
      <c r="U14" s="29" t="str">
        <f t="shared" si="6"/>
        <v/>
      </c>
      <c r="V14" s="29" t="str">
        <f t="shared" si="7"/>
        <v/>
      </c>
      <c r="W14" s="116"/>
      <c r="X14" s="113"/>
    </row>
    <row r="15" spans="1:24" ht="18" customHeight="1">
      <c r="A15" s="27"/>
      <c r="B15" s="35" t="s">
        <v>131</v>
      </c>
      <c r="C15" s="36" t="s">
        <v>45</v>
      </c>
      <c r="D15" s="37">
        <v>0.72</v>
      </c>
      <c r="E15" s="37">
        <v>0.02</v>
      </c>
      <c r="F15" s="37">
        <v>-0.02</v>
      </c>
      <c r="G15" s="37">
        <v>0.73699999999999999</v>
      </c>
      <c r="H15" s="37">
        <v>0.70299999999999996</v>
      </c>
      <c r="I15" s="37"/>
      <c r="J15" s="37"/>
      <c r="K15" s="36" t="s">
        <v>46</v>
      </c>
      <c r="L15" s="39"/>
      <c r="M15" s="39"/>
      <c r="N15" s="39"/>
      <c r="O15" s="28" t="str">
        <f t="shared" si="0"/>
        <v xml:space="preserve"> </v>
      </c>
      <c r="P15" s="28" t="str">
        <f t="shared" si="1"/>
        <v xml:space="preserve"> </v>
      </c>
      <c r="Q15" s="28" t="str">
        <f t="shared" si="2"/>
        <v xml:space="preserve"> </v>
      </c>
      <c r="R15" s="29" t="str">
        <f t="shared" si="3"/>
        <v xml:space="preserve"> </v>
      </c>
      <c r="S15" s="30" t="str">
        <f t="shared" si="4"/>
        <v xml:space="preserve"> </v>
      </c>
      <c r="T15" s="31" t="str">
        <f t="shared" si="5"/>
        <v xml:space="preserve"> </v>
      </c>
      <c r="U15" s="29" t="str">
        <f t="shared" si="6"/>
        <v/>
      </c>
      <c r="V15" s="29" t="str">
        <f t="shared" si="7"/>
        <v/>
      </c>
      <c r="W15" s="116"/>
      <c r="X15" s="113"/>
    </row>
    <row r="16" spans="1:24" ht="18" customHeight="1">
      <c r="A16" s="27"/>
      <c r="B16" s="35" t="s">
        <v>132</v>
      </c>
      <c r="C16" s="36" t="s">
        <v>45</v>
      </c>
      <c r="D16" s="37">
        <v>0.72</v>
      </c>
      <c r="E16" s="37">
        <v>0.02</v>
      </c>
      <c r="F16" s="37">
        <v>-0.02</v>
      </c>
      <c r="G16" s="37">
        <v>0.73699999999999999</v>
      </c>
      <c r="H16" s="37">
        <v>0.70299999999999996</v>
      </c>
      <c r="I16" s="37"/>
      <c r="J16" s="37"/>
      <c r="K16" s="36" t="s">
        <v>46</v>
      </c>
      <c r="L16" s="39"/>
      <c r="M16" s="39"/>
      <c r="N16" s="39"/>
      <c r="O16" s="28" t="str">
        <f t="shared" si="0"/>
        <v xml:space="preserve"> </v>
      </c>
      <c r="P16" s="28" t="str">
        <f t="shared" si="1"/>
        <v xml:space="preserve"> </v>
      </c>
      <c r="Q16" s="28" t="str">
        <f t="shared" si="2"/>
        <v xml:space="preserve"> </v>
      </c>
      <c r="R16" s="29" t="str">
        <f t="shared" si="3"/>
        <v xml:space="preserve"> </v>
      </c>
      <c r="S16" s="30" t="str">
        <f t="shared" si="4"/>
        <v xml:space="preserve"> </v>
      </c>
      <c r="T16" s="31" t="str">
        <f t="shared" si="5"/>
        <v xml:space="preserve"> </v>
      </c>
      <c r="U16" s="29" t="str">
        <f t="shared" si="6"/>
        <v/>
      </c>
      <c r="V16" s="29" t="str">
        <f t="shared" si="7"/>
        <v/>
      </c>
      <c r="W16" s="116"/>
      <c r="X16" s="113"/>
    </row>
    <row r="17" spans="1:24" ht="18" customHeight="1">
      <c r="A17" s="27"/>
      <c r="B17" s="35">
        <v>7</v>
      </c>
      <c r="C17" s="36" t="s">
        <v>45</v>
      </c>
      <c r="D17" s="37">
        <v>0.5</v>
      </c>
      <c r="E17" s="37">
        <v>1.7999999999999999E-2</v>
      </c>
      <c r="F17" s="37">
        <v>-1.4999999999999999E-2</v>
      </c>
      <c r="G17" s="37">
        <v>0.51529999999999998</v>
      </c>
      <c r="H17" s="37">
        <v>0.48725000000000002</v>
      </c>
      <c r="I17" s="37">
        <v>0.51349999999999996</v>
      </c>
      <c r="J17" s="37">
        <v>0.48875000000000002</v>
      </c>
      <c r="K17" s="36" t="s">
        <v>46</v>
      </c>
      <c r="L17" s="39"/>
      <c r="M17" s="39"/>
      <c r="N17" s="39"/>
      <c r="O17" s="28" t="str">
        <f t="shared" si="0"/>
        <v xml:space="preserve"> </v>
      </c>
      <c r="P17" s="28" t="str">
        <f t="shared" si="1"/>
        <v xml:space="preserve"> </v>
      </c>
      <c r="Q17" s="28" t="str">
        <f t="shared" si="2"/>
        <v xml:space="preserve"> </v>
      </c>
      <c r="R17" s="29" t="str">
        <f t="shared" si="3"/>
        <v xml:space="preserve"> </v>
      </c>
      <c r="S17" s="30" t="str">
        <f t="shared" si="4"/>
        <v xml:space="preserve"> </v>
      </c>
      <c r="T17" s="31" t="str">
        <f t="shared" si="5"/>
        <v xml:space="preserve"> </v>
      </c>
      <c r="U17" s="29" t="str">
        <f t="shared" si="6"/>
        <v/>
      </c>
      <c r="V17" s="29" t="str">
        <f t="shared" si="7"/>
        <v/>
      </c>
      <c r="W17" s="116"/>
      <c r="X17" s="113"/>
    </row>
    <row r="18" spans="1:24" ht="18" customHeight="1">
      <c r="A18" s="27"/>
      <c r="B18" s="35">
        <v>8</v>
      </c>
      <c r="C18" s="36" t="s">
        <v>45</v>
      </c>
      <c r="D18" s="37">
        <v>0.5</v>
      </c>
      <c r="E18" s="37">
        <v>1.7999999999999999E-2</v>
      </c>
      <c r="F18" s="37">
        <v>-1.4999999999999999E-2</v>
      </c>
      <c r="G18" s="37">
        <v>0.51529999999999998</v>
      </c>
      <c r="H18" s="37">
        <v>0.48725000000000002</v>
      </c>
      <c r="I18" s="37">
        <v>0.51349999999999996</v>
      </c>
      <c r="J18" s="37">
        <v>0.48875000000000002</v>
      </c>
      <c r="K18" s="36" t="s">
        <v>46</v>
      </c>
      <c r="L18" s="39"/>
      <c r="M18" s="39"/>
      <c r="N18" s="39"/>
      <c r="O18" s="28" t="str">
        <f t="shared" si="0"/>
        <v xml:space="preserve"> </v>
      </c>
      <c r="P18" s="28" t="str">
        <f t="shared" si="1"/>
        <v xml:space="preserve"> </v>
      </c>
      <c r="Q18" s="28" t="str">
        <f t="shared" si="2"/>
        <v xml:space="preserve"> </v>
      </c>
      <c r="R18" s="29" t="str">
        <f t="shared" si="3"/>
        <v xml:space="preserve"> </v>
      </c>
      <c r="S18" s="30" t="str">
        <f t="shared" si="4"/>
        <v xml:space="preserve"> </v>
      </c>
      <c r="T18" s="31" t="str">
        <f t="shared" si="5"/>
        <v xml:space="preserve"> </v>
      </c>
      <c r="U18" s="29" t="str">
        <f t="shared" si="6"/>
        <v/>
      </c>
      <c r="V18" s="29" t="str">
        <f t="shared" si="7"/>
        <v/>
      </c>
      <c r="W18" s="116"/>
      <c r="X18" s="113"/>
    </row>
    <row r="19" spans="1:24" ht="18" customHeight="1">
      <c r="A19" s="27"/>
      <c r="B19" s="35" t="s">
        <v>133</v>
      </c>
      <c r="C19" s="36" t="s">
        <v>45</v>
      </c>
      <c r="D19" s="37">
        <v>3.1</v>
      </c>
      <c r="E19" s="37">
        <v>0.03</v>
      </c>
      <c r="F19" s="37">
        <v>-3.5000000000000003E-2</v>
      </c>
      <c r="G19" s="37">
        <v>3.1255000000000002</v>
      </c>
      <c r="H19" s="37">
        <v>3.0702500000000001</v>
      </c>
      <c r="I19" s="37"/>
      <c r="J19" s="37"/>
      <c r="K19" s="36" t="s">
        <v>46</v>
      </c>
      <c r="L19" s="39"/>
      <c r="M19" s="39"/>
      <c r="N19" s="39"/>
      <c r="O19" s="28" t="str">
        <f t="shared" si="0"/>
        <v xml:space="preserve"> </v>
      </c>
      <c r="P19" s="28" t="str">
        <f t="shared" si="1"/>
        <v xml:space="preserve"> </v>
      </c>
      <c r="Q19" s="28" t="str">
        <f t="shared" si="2"/>
        <v xml:space="preserve"> </v>
      </c>
      <c r="R19" s="29" t="str">
        <f t="shared" si="3"/>
        <v xml:space="preserve"> </v>
      </c>
      <c r="S19" s="30" t="str">
        <f t="shared" si="4"/>
        <v xml:space="preserve"> </v>
      </c>
      <c r="T19" s="31" t="str">
        <f t="shared" si="5"/>
        <v xml:space="preserve"> </v>
      </c>
      <c r="U19" s="29" t="str">
        <f t="shared" si="6"/>
        <v/>
      </c>
      <c r="V19" s="29" t="str">
        <f t="shared" si="7"/>
        <v/>
      </c>
      <c r="W19" s="116"/>
      <c r="X19" s="113"/>
    </row>
    <row r="20" spans="1:24" ht="18" customHeight="1">
      <c r="A20" s="27"/>
      <c r="B20" s="35" t="s">
        <v>134</v>
      </c>
      <c r="C20" s="36" t="s">
        <v>45</v>
      </c>
      <c r="D20" s="37">
        <v>3.1</v>
      </c>
      <c r="E20" s="37">
        <v>0.03</v>
      </c>
      <c r="F20" s="37">
        <v>-3.5000000000000003E-2</v>
      </c>
      <c r="G20" s="37">
        <v>3.1255000000000002</v>
      </c>
      <c r="H20" s="37">
        <v>3.0702500000000001</v>
      </c>
      <c r="I20" s="37"/>
      <c r="J20" s="37"/>
      <c r="K20" s="36" t="s">
        <v>46</v>
      </c>
      <c r="L20" s="39"/>
      <c r="M20" s="39"/>
      <c r="N20" s="39"/>
      <c r="O20" s="28" t="str">
        <f t="shared" si="0"/>
        <v xml:space="preserve"> </v>
      </c>
      <c r="P20" s="28" t="str">
        <f t="shared" si="1"/>
        <v xml:space="preserve"> </v>
      </c>
      <c r="Q20" s="28" t="str">
        <f t="shared" si="2"/>
        <v xml:space="preserve"> </v>
      </c>
      <c r="R20" s="29" t="str">
        <f t="shared" si="3"/>
        <v xml:space="preserve"> </v>
      </c>
      <c r="S20" s="30" t="str">
        <f t="shared" si="4"/>
        <v xml:space="preserve"> </v>
      </c>
      <c r="T20" s="31" t="str">
        <f t="shared" si="5"/>
        <v xml:space="preserve"> </v>
      </c>
      <c r="U20" s="29" t="str">
        <f t="shared" si="6"/>
        <v/>
      </c>
      <c r="V20" s="29" t="str">
        <f t="shared" si="7"/>
        <v/>
      </c>
      <c r="W20" s="116"/>
      <c r="X20" s="113"/>
    </row>
    <row r="21" spans="1:24" ht="18" customHeight="1">
      <c r="A21" s="27"/>
      <c r="B21" s="35" t="s">
        <v>135</v>
      </c>
      <c r="C21" s="36" t="s">
        <v>45</v>
      </c>
      <c r="D21" s="37">
        <v>3.1</v>
      </c>
      <c r="E21" s="37">
        <v>0.03</v>
      </c>
      <c r="F21" s="37">
        <v>-3.5000000000000003E-2</v>
      </c>
      <c r="G21" s="37">
        <v>3.1255000000000002</v>
      </c>
      <c r="H21" s="37">
        <v>3.0702500000000001</v>
      </c>
      <c r="I21" s="37"/>
      <c r="J21" s="37"/>
      <c r="K21" s="36" t="s">
        <v>46</v>
      </c>
      <c r="L21" s="39"/>
      <c r="M21" s="39"/>
      <c r="N21" s="39"/>
      <c r="O21" s="28" t="str">
        <f t="shared" si="0"/>
        <v xml:space="preserve"> </v>
      </c>
      <c r="P21" s="28" t="str">
        <f t="shared" si="1"/>
        <v xml:space="preserve"> </v>
      </c>
      <c r="Q21" s="28" t="str">
        <f t="shared" si="2"/>
        <v xml:space="preserve"> </v>
      </c>
      <c r="R21" s="29" t="str">
        <f t="shared" si="3"/>
        <v xml:space="preserve"> </v>
      </c>
      <c r="S21" s="30" t="str">
        <f t="shared" si="4"/>
        <v xml:space="preserve"> </v>
      </c>
      <c r="T21" s="31" t="str">
        <f t="shared" si="5"/>
        <v xml:space="preserve"> </v>
      </c>
      <c r="U21" s="29" t="str">
        <f t="shared" si="6"/>
        <v/>
      </c>
      <c r="V21" s="29" t="str">
        <f t="shared" si="7"/>
        <v/>
      </c>
      <c r="W21" s="116"/>
      <c r="X21" s="113"/>
    </row>
    <row r="22" spans="1:24" ht="18" customHeight="1">
      <c r="A22" s="27"/>
      <c r="B22" s="35" t="s">
        <v>136</v>
      </c>
      <c r="C22" s="36" t="s">
        <v>45</v>
      </c>
      <c r="D22" s="37">
        <v>3.1</v>
      </c>
      <c r="E22" s="37">
        <v>0.03</v>
      </c>
      <c r="F22" s="37">
        <v>-3.5000000000000003E-2</v>
      </c>
      <c r="G22" s="37">
        <v>3.1255000000000002</v>
      </c>
      <c r="H22" s="37">
        <v>3.0702500000000001</v>
      </c>
      <c r="I22" s="37"/>
      <c r="J22" s="37"/>
      <c r="K22" s="36" t="s">
        <v>46</v>
      </c>
      <c r="L22" s="39"/>
      <c r="M22" s="39"/>
      <c r="N22" s="39"/>
      <c r="O22" s="28" t="str">
        <f t="shared" si="0"/>
        <v xml:space="preserve"> </v>
      </c>
      <c r="P22" s="28" t="str">
        <f t="shared" si="1"/>
        <v xml:space="preserve"> </v>
      </c>
      <c r="Q22" s="28" t="str">
        <f t="shared" si="2"/>
        <v xml:space="preserve"> </v>
      </c>
      <c r="R22" s="29" t="str">
        <f t="shared" si="3"/>
        <v xml:space="preserve"> </v>
      </c>
      <c r="S22" s="30" t="str">
        <f t="shared" si="4"/>
        <v xml:space="preserve"> </v>
      </c>
      <c r="T22" s="31" t="str">
        <f t="shared" si="5"/>
        <v xml:space="preserve"> </v>
      </c>
      <c r="U22" s="29" t="str">
        <f t="shared" si="6"/>
        <v/>
      </c>
      <c r="V22" s="29" t="str">
        <f t="shared" si="7"/>
        <v/>
      </c>
      <c r="W22" s="116"/>
      <c r="X22" s="113"/>
    </row>
    <row r="23" spans="1:24" ht="18" customHeight="1">
      <c r="A23" s="27"/>
      <c r="B23" s="35" t="s">
        <v>137</v>
      </c>
      <c r="C23" s="36" t="s">
        <v>45</v>
      </c>
      <c r="D23" s="37">
        <v>3.1</v>
      </c>
      <c r="E23" s="37">
        <v>0.03</v>
      </c>
      <c r="F23" s="37">
        <v>-3.5000000000000003E-2</v>
      </c>
      <c r="G23" s="37">
        <v>3.1255000000000002</v>
      </c>
      <c r="H23" s="37">
        <v>3.0702500000000001</v>
      </c>
      <c r="I23" s="37"/>
      <c r="J23" s="37"/>
      <c r="K23" s="36" t="s">
        <v>46</v>
      </c>
      <c r="L23" s="39"/>
      <c r="M23" s="39"/>
      <c r="N23" s="39"/>
      <c r="O23" s="28" t="str">
        <f t="shared" si="0"/>
        <v xml:space="preserve"> </v>
      </c>
      <c r="P23" s="28" t="str">
        <f t="shared" si="1"/>
        <v xml:space="preserve"> </v>
      </c>
      <c r="Q23" s="28" t="str">
        <f t="shared" si="2"/>
        <v xml:space="preserve"> </v>
      </c>
      <c r="R23" s="29" t="str">
        <f t="shared" si="3"/>
        <v xml:space="preserve"> </v>
      </c>
      <c r="S23" s="30" t="str">
        <f t="shared" si="4"/>
        <v xml:space="preserve"> </v>
      </c>
      <c r="T23" s="31" t="str">
        <f t="shared" si="5"/>
        <v xml:space="preserve"> </v>
      </c>
      <c r="U23" s="29" t="str">
        <f t="shared" si="6"/>
        <v/>
      </c>
      <c r="V23" s="29" t="str">
        <f t="shared" si="7"/>
        <v/>
      </c>
      <c r="W23" s="116"/>
      <c r="X23" s="113"/>
    </row>
    <row r="24" spans="1:24" ht="18" customHeight="1">
      <c r="A24" s="27"/>
      <c r="B24" s="35" t="s">
        <v>138</v>
      </c>
      <c r="C24" s="36" t="s">
        <v>45</v>
      </c>
      <c r="D24" s="37">
        <v>3.1</v>
      </c>
      <c r="E24" s="37">
        <v>0.03</v>
      </c>
      <c r="F24" s="37">
        <v>-3.5000000000000003E-2</v>
      </c>
      <c r="G24" s="37">
        <v>3.1255000000000002</v>
      </c>
      <c r="H24" s="37">
        <v>3.0702500000000001</v>
      </c>
      <c r="I24" s="37"/>
      <c r="J24" s="37"/>
      <c r="K24" s="36" t="s">
        <v>46</v>
      </c>
      <c r="L24" s="39"/>
      <c r="M24" s="39"/>
      <c r="N24" s="39"/>
      <c r="O24" s="28" t="str">
        <f t="shared" si="0"/>
        <v xml:space="preserve"> </v>
      </c>
      <c r="P24" s="28" t="str">
        <f t="shared" si="1"/>
        <v xml:space="preserve"> </v>
      </c>
      <c r="Q24" s="28" t="str">
        <f t="shared" si="2"/>
        <v xml:space="preserve"> </v>
      </c>
      <c r="R24" s="29" t="str">
        <f t="shared" si="3"/>
        <v xml:space="preserve"> </v>
      </c>
      <c r="S24" s="30" t="str">
        <f t="shared" si="4"/>
        <v xml:space="preserve"> </v>
      </c>
      <c r="T24" s="31" t="str">
        <f t="shared" si="5"/>
        <v xml:space="preserve"> </v>
      </c>
      <c r="U24" s="29" t="str">
        <f t="shared" si="6"/>
        <v/>
      </c>
      <c r="V24" s="29" t="str">
        <f t="shared" si="7"/>
        <v/>
      </c>
      <c r="W24" s="116"/>
      <c r="X24" s="113"/>
    </row>
    <row r="25" spans="1:24" ht="18" customHeight="1">
      <c r="A25" s="27"/>
      <c r="B25" s="35" t="s">
        <v>139</v>
      </c>
      <c r="C25" s="36" t="s">
        <v>45</v>
      </c>
      <c r="D25" s="37">
        <v>3.1</v>
      </c>
      <c r="E25" s="37">
        <v>0.03</v>
      </c>
      <c r="F25" s="37">
        <v>-3.5000000000000003E-2</v>
      </c>
      <c r="G25" s="37">
        <v>3.1255000000000002</v>
      </c>
      <c r="H25" s="37">
        <v>3.0702500000000001</v>
      </c>
      <c r="I25" s="37"/>
      <c r="J25" s="37"/>
      <c r="K25" s="36" t="s">
        <v>46</v>
      </c>
      <c r="L25" s="39"/>
      <c r="M25" s="39"/>
      <c r="N25" s="39"/>
      <c r="O25" s="28" t="str">
        <f t="shared" si="0"/>
        <v xml:space="preserve"> </v>
      </c>
      <c r="P25" s="28" t="str">
        <f t="shared" si="1"/>
        <v xml:space="preserve"> </v>
      </c>
      <c r="Q25" s="28" t="str">
        <f t="shared" si="2"/>
        <v xml:space="preserve"> </v>
      </c>
      <c r="R25" s="29" t="str">
        <f t="shared" si="3"/>
        <v xml:space="preserve"> </v>
      </c>
      <c r="S25" s="30" t="str">
        <f t="shared" si="4"/>
        <v xml:space="preserve"> </v>
      </c>
      <c r="T25" s="31" t="str">
        <f t="shared" si="5"/>
        <v xml:space="preserve"> </v>
      </c>
      <c r="U25" s="29" t="str">
        <f t="shared" si="6"/>
        <v/>
      </c>
      <c r="V25" s="29" t="str">
        <f t="shared" si="7"/>
        <v/>
      </c>
      <c r="W25" s="116"/>
      <c r="X25" s="113"/>
    </row>
    <row r="26" spans="1:24" ht="18" customHeight="1">
      <c r="A26" s="27"/>
      <c r="B26" s="35" t="s">
        <v>140</v>
      </c>
      <c r="C26" s="36" t="s">
        <v>45</v>
      </c>
      <c r="D26" s="37">
        <v>3.1</v>
      </c>
      <c r="E26" s="37">
        <v>0.03</v>
      </c>
      <c r="F26" s="37">
        <v>-3.5000000000000003E-2</v>
      </c>
      <c r="G26" s="37">
        <v>3.1255000000000002</v>
      </c>
      <c r="H26" s="37">
        <v>3.0702500000000001</v>
      </c>
      <c r="I26" s="37"/>
      <c r="J26" s="37"/>
      <c r="K26" s="36" t="s">
        <v>46</v>
      </c>
      <c r="L26" s="39"/>
      <c r="M26" s="39"/>
      <c r="N26" s="39"/>
      <c r="O26" s="28" t="str">
        <f t="shared" si="0"/>
        <v xml:space="preserve"> </v>
      </c>
      <c r="P26" s="28" t="str">
        <f t="shared" si="1"/>
        <v xml:space="preserve"> </v>
      </c>
      <c r="Q26" s="28" t="str">
        <f t="shared" si="2"/>
        <v xml:space="preserve"> </v>
      </c>
      <c r="R26" s="29" t="str">
        <f t="shared" si="3"/>
        <v xml:space="preserve"> </v>
      </c>
      <c r="S26" s="30" t="str">
        <f t="shared" si="4"/>
        <v xml:space="preserve"> </v>
      </c>
      <c r="T26" s="31" t="str">
        <f t="shared" si="5"/>
        <v xml:space="preserve"> </v>
      </c>
      <c r="U26" s="29" t="str">
        <f t="shared" si="6"/>
        <v/>
      </c>
      <c r="V26" s="29" t="str">
        <f t="shared" si="7"/>
        <v/>
      </c>
      <c r="W26" s="116"/>
      <c r="X26" s="113"/>
    </row>
    <row r="27" spans="1:24" ht="18" customHeight="1">
      <c r="A27" s="27"/>
      <c r="B27" s="35" t="s">
        <v>141</v>
      </c>
      <c r="C27" s="36" t="s">
        <v>47</v>
      </c>
      <c r="D27" s="37"/>
      <c r="E27" s="37">
        <v>3.5000000000000003E-2</v>
      </c>
      <c r="F27" s="37"/>
      <c r="G27" s="37">
        <v>2.9750000000000002E-2</v>
      </c>
      <c r="H27" s="37">
        <v>0</v>
      </c>
      <c r="I27" s="37">
        <v>2.1000000000000001E-2</v>
      </c>
      <c r="J27" s="37">
        <v>0</v>
      </c>
      <c r="K27" s="36" t="s">
        <v>46</v>
      </c>
      <c r="L27" s="39"/>
      <c r="M27" s="39"/>
      <c r="N27" s="39"/>
      <c r="O27" s="28" t="str">
        <f t="shared" si="0"/>
        <v xml:space="preserve"> </v>
      </c>
      <c r="P27" s="28" t="str">
        <f t="shared" si="1"/>
        <v xml:space="preserve"> </v>
      </c>
      <c r="Q27" s="28" t="str">
        <f t="shared" si="2"/>
        <v xml:space="preserve"> </v>
      </c>
      <c r="R27" s="29" t="str">
        <f t="shared" si="3"/>
        <v xml:space="preserve"> </v>
      </c>
      <c r="S27" s="30" t="str">
        <f t="shared" si="4"/>
        <v xml:space="preserve"> </v>
      </c>
      <c r="T27" s="31" t="str">
        <f t="shared" si="5"/>
        <v xml:space="preserve"> </v>
      </c>
      <c r="U27" s="29" t="str">
        <f t="shared" si="6"/>
        <v/>
      </c>
      <c r="V27" s="29" t="str">
        <f t="shared" si="7"/>
        <v/>
      </c>
      <c r="W27" s="116"/>
      <c r="X27" s="113"/>
    </row>
    <row r="28" spans="1:24" ht="18" customHeight="1">
      <c r="A28" s="27"/>
      <c r="B28" s="35" t="s">
        <v>142</v>
      </c>
      <c r="C28" s="36" t="s">
        <v>45</v>
      </c>
      <c r="D28" s="37">
        <v>0.52</v>
      </c>
      <c r="E28" s="37">
        <v>0.03</v>
      </c>
      <c r="F28" s="37">
        <v>-0.03</v>
      </c>
      <c r="G28" s="37">
        <v>0.54549999999999998</v>
      </c>
      <c r="H28" s="37">
        <v>0.4945</v>
      </c>
      <c r="I28" s="37"/>
      <c r="J28" s="37"/>
      <c r="K28" s="36" t="s">
        <v>46</v>
      </c>
      <c r="L28" s="39"/>
      <c r="M28" s="39"/>
      <c r="N28" s="39"/>
      <c r="O28" s="28" t="str">
        <f t="shared" si="0"/>
        <v xml:space="preserve"> </v>
      </c>
      <c r="P28" s="28" t="str">
        <f t="shared" si="1"/>
        <v xml:space="preserve"> </v>
      </c>
      <c r="Q28" s="28" t="str">
        <f t="shared" si="2"/>
        <v xml:space="preserve"> </v>
      </c>
      <c r="R28" s="29" t="str">
        <f t="shared" si="3"/>
        <v xml:space="preserve"> </v>
      </c>
      <c r="S28" s="30" t="str">
        <f t="shared" si="4"/>
        <v xml:space="preserve"> </v>
      </c>
      <c r="T28" s="31" t="str">
        <f t="shared" si="5"/>
        <v xml:space="preserve"> </v>
      </c>
      <c r="U28" s="29" t="str">
        <f t="shared" si="6"/>
        <v/>
      </c>
      <c r="V28" s="29" t="str">
        <f t="shared" si="7"/>
        <v/>
      </c>
      <c r="W28" s="116"/>
      <c r="X28" s="113"/>
    </row>
    <row r="29" spans="1:24" ht="18" customHeight="1">
      <c r="A29" s="27"/>
      <c r="B29" s="35" t="s">
        <v>143</v>
      </c>
      <c r="C29" s="36" t="s">
        <v>45</v>
      </c>
      <c r="D29" s="37">
        <v>0.52</v>
      </c>
      <c r="E29" s="37">
        <v>0.03</v>
      </c>
      <c r="F29" s="37">
        <v>-0.03</v>
      </c>
      <c r="G29" s="37">
        <v>0.54549999999999998</v>
      </c>
      <c r="H29" s="37">
        <v>0.4945</v>
      </c>
      <c r="I29" s="37"/>
      <c r="J29" s="37"/>
      <c r="K29" s="36" t="s">
        <v>46</v>
      </c>
      <c r="L29" s="39"/>
      <c r="M29" s="39"/>
      <c r="N29" s="39"/>
      <c r="O29" s="28" t="str">
        <f t="shared" si="0"/>
        <v xml:space="preserve"> </v>
      </c>
      <c r="P29" s="28" t="str">
        <f t="shared" si="1"/>
        <v xml:space="preserve"> </v>
      </c>
      <c r="Q29" s="28" t="str">
        <f t="shared" si="2"/>
        <v xml:space="preserve"> </v>
      </c>
      <c r="R29" s="29" t="str">
        <f t="shared" si="3"/>
        <v xml:space="preserve"> </v>
      </c>
      <c r="S29" s="30" t="str">
        <f t="shared" si="4"/>
        <v xml:space="preserve"> </v>
      </c>
      <c r="T29" s="31" t="str">
        <f t="shared" si="5"/>
        <v xml:space="preserve"> </v>
      </c>
      <c r="U29" s="29" t="str">
        <f t="shared" si="6"/>
        <v/>
      </c>
      <c r="V29" s="29" t="str">
        <f t="shared" si="7"/>
        <v/>
      </c>
      <c r="W29" s="116"/>
      <c r="X29" s="113"/>
    </row>
    <row r="30" spans="1:24" ht="18" customHeight="1">
      <c r="A30" s="27"/>
      <c r="B30" s="35" t="s">
        <v>144</v>
      </c>
      <c r="C30" s="36" t="s">
        <v>45</v>
      </c>
      <c r="D30" s="37">
        <v>0.52</v>
      </c>
      <c r="E30" s="37">
        <v>0.03</v>
      </c>
      <c r="F30" s="37">
        <v>-0.03</v>
      </c>
      <c r="G30" s="37">
        <v>0.54549999999999998</v>
      </c>
      <c r="H30" s="37">
        <v>0.4945</v>
      </c>
      <c r="I30" s="37"/>
      <c r="J30" s="37"/>
      <c r="K30" s="36" t="s">
        <v>46</v>
      </c>
      <c r="L30" s="39"/>
      <c r="M30" s="39"/>
      <c r="N30" s="39"/>
      <c r="O30" s="28" t="str">
        <f t="shared" si="0"/>
        <v xml:space="preserve"> </v>
      </c>
      <c r="P30" s="28" t="str">
        <f t="shared" si="1"/>
        <v xml:space="preserve"> </v>
      </c>
      <c r="Q30" s="28" t="str">
        <f t="shared" si="2"/>
        <v xml:space="preserve"> </v>
      </c>
      <c r="R30" s="29" t="str">
        <f t="shared" si="3"/>
        <v xml:space="preserve"> </v>
      </c>
      <c r="S30" s="30" t="str">
        <f t="shared" si="4"/>
        <v xml:space="preserve"> </v>
      </c>
      <c r="T30" s="31" t="str">
        <f t="shared" si="5"/>
        <v xml:space="preserve"> </v>
      </c>
      <c r="U30" s="29" t="str">
        <f t="shared" si="6"/>
        <v/>
      </c>
      <c r="V30" s="29" t="str">
        <f t="shared" si="7"/>
        <v/>
      </c>
      <c r="W30" s="116"/>
      <c r="X30" s="113"/>
    </row>
    <row r="31" spans="1:24" ht="18" customHeight="1">
      <c r="A31" s="27"/>
      <c r="B31" s="35" t="s">
        <v>145</v>
      </c>
      <c r="C31" s="36" t="s">
        <v>45</v>
      </c>
      <c r="D31" s="37">
        <v>0.52</v>
      </c>
      <c r="E31" s="37">
        <v>0.03</v>
      </c>
      <c r="F31" s="37">
        <v>-0.03</v>
      </c>
      <c r="G31" s="37">
        <v>0.54549999999999998</v>
      </c>
      <c r="H31" s="37">
        <v>0.4945</v>
      </c>
      <c r="I31" s="37"/>
      <c r="J31" s="37"/>
      <c r="K31" s="36" t="s">
        <v>46</v>
      </c>
      <c r="L31" s="39"/>
      <c r="M31" s="39"/>
      <c r="N31" s="39"/>
      <c r="O31" s="28" t="str">
        <f t="shared" si="0"/>
        <v xml:space="preserve"> </v>
      </c>
      <c r="P31" s="28" t="str">
        <f t="shared" si="1"/>
        <v xml:space="preserve"> </v>
      </c>
      <c r="Q31" s="28" t="str">
        <f t="shared" si="2"/>
        <v xml:space="preserve"> </v>
      </c>
      <c r="R31" s="29" t="str">
        <f t="shared" si="3"/>
        <v xml:space="preserve"> </v>
      </c>
      <c r="S31" s="30" t="str">
        <f t="shared" si="4"/>
        <v xml:space="preserve"> </v>
      </c>
      <c r="T31" s="31" t="str">
        <f t="shared" si="5"/>
        <v xml:space="preserve"> </v>
      </c>
      <c r="U31" s="29" t="str">
        <f t="shared" si="6"/>
        <v/>
      </c>
      <c r="V31" s="29" t="str">
        <f t="shared" si="7"/>
        <v/>
      </c>
      <c r="W31" s="116"/>
      <c r="X31" s="113"/>
    </row>
    <row r="32" spans="1:24" ht="18" customHeight="1">
      <c r="A32" s="27"/>
      <c r="B32" s="35" t="s">
        <v>146</v>
      </c>
      <c r="C32" s="36" t="s">
        <v>45</v>
      </c>
      <c r="D32" s="37">
        <v>3.23</v>
      </c>
      <c r="E32" s="37">
        <v>0.02</v>
      </c>
      <c r="F32" s="37">
        <v>-3.5000000000000003E-2</v>
      </c>
      <c r="G32" s="37">
        <v>3.2469999999999999</v>
      </c>
      <c r="H32" s="37">
        <v>3.20025</v>
      </c>
      <c r="I32" s="37"/>
      <c r="J32" s="37"/>
      <c r="K32" s="36" t="s">
        <v>46</v>
      </c>
      <c r="L32" s="39"/>
      <c r="M32" s="39"/>
      <c r="N32" s="39"/>
      <c r="O32" s="28" t="str">
        <f t="shared" si="0"/>
        <v xml:space="preserve"> </v>
      </c>
      <c r="P32" s="28" t="str">
        <f t="shared" si="1"/>
        <v xml:space="preserve"> </v>
      </c>
      <c r="Q32" s="28" t="str">
        <f t="shared" si="2"/>
        <v xml:space="preserve"> </v>
      </c>
      <c r="R32" s="29" t="str">
        <f t="shared" si="3"/>
        <v xml:space="preserve"> </v>
      </c>
      <c r="S32" s="30" t="str">
        <f t="shared" si="4"/>
        <v xml:space="preserve"> </v>
      </c>
      <c r="T32" s="31" t="str">
        <f t="shared" si="5"/>
        <v xml:space="preserve"> </v>
      </c>
      <c r="U32" s="29" t="str">
        <f t="shared" si="6"/>
        <v/>
      </c>
      <c r="V32" s="29" t="str">
        <f t="shared" si="7"/>
        <v/>
      </c>
      <c r="W32" s="116"/>
      <c r="X32" s="113"/>
    </row>
    <row r="33" spans="1:24" ht="18" customHeight="1">
      <c r="A33" s="27"/>
      <c r="B33" s="35" t="s">
        <v>147</v>
      </c>
      <c r="C33" s="36" t="s">
        <v>45</v>
      </c>
      <c r="D33" s="37">
        <v>3.23</v>
      </c>
      <c r="E33" s="37">
        <v>0.02</v>
      </c>
      <c r="F33" s="37">
        <v>-3.5000000000000003E-2</v>
      </c>
      <c r="G33" s="37">
        <v>3.2469999999999999</v>
      </c>
      <c r="H33" s="37">
        <v>3.20025</v>
      </c>
      <c r="I33" s="37"/>
      <c r="J33" s="37"/>
      <c r="K33" s="36" t="s">
        <v>46</v>
      </c>
      <c r="L33" s="39"/>
      <c r="M33" s="39"/>
      <c r="N33" s="39"/>
      <c r="O33" s="28" t="str">
        <f t="shared" si="0"/>
        <v xml:space="preserve"> </v>
      </c>
      <c r="P33" s="28" t="str">
        <f t="shared" si="1"/>
        <v xml:space="preserve"> </v>
      </c>
      <c r="Q33" s="28" t="str">
        <f t="shared" si="2"/>
        <v xml:space="preserve"> </v>
      </c>
      <c r="R33" s="29" t="str">
        <f t="shared" si="3"/>
        <v xml:space="preserve"> </v>
      </c>
      <c r="S33" s="30" t="str">
        <f t="shared" si="4"/>
        <v xml:space="preserve"> </v>
      </c>
      <c r="T33" s="31" t="str">
        <f t="shared" si="5"/>
        <v xml:space="preserve"> </v>
      </c>
      <c r="U33" s="29" t="str">
        <f t="shared" si="6"/>
        <v/>
      </c>
      <c r="V33" s="29" t="str">
        <f t="shared" si="7"/>
        <v/>
      </c>
      <c r="W33" s="116"/>
      <c r="X33" s="113"/>
    </row>
    <row r="34" spans="1:24" ht="18" customHeight="1">
      <c r="A34" s="27"/>
      <c r="B34" s="35" t="s">
        <v>148</v>
      </c>
      <c r="C34" s="36" t="s">
        <v>45</v>
      </c>
      <c r="D34" s="37">
        <v>14.263999999999999</v>
      </c>
      <c r="E34" s="37">
        <v>0.03</v>
      </c>
      <c r="F34" s="37">
        <v>-0.03</v>
      </c>
      <c r="G34" s="37">
        <v>14.289499999999999</v>
      </c>
      <c r="H34" s="37">
        <v>14.2385</v>
      </c>
      <c r="I34" s="37"/>
      <c r="J34" s="37"/>
      <c r="K34" s="36" t="s">
        <v>46</v>
      </c>
      <c r="L34" s="39"/>
      <c r="M34" s="39"/>
      <c r="N34" s="39"/>
      <c r="O34" s="28" t="str">
        <f t="shared" si="0"/>
        <v xml:space="preserve"> </v>
      </c>
      <c r="P34" s="28" t="str">
        <f t="shared" si="1"/>
        <v xml:space="preserve"> </v>
      </c>
      <c r="Q34" s="28" t="str">
        <f t="shared" si="2"/>
        <v xml:space="preserve"> </v>
      </c>
      <c r="R34" s="29" t="str">
        <f t="shared" si="3"/>
        <v xml:space="preserve"> </v>
      </c>
      <c r="S34" s="30" t="str">
        <f t="shared" si="4"/>
        <v xml:space="preserve"> </v>
      </c>
      <c r="T34" s="31" t="str">
        <f t="shared" si="5"/>
        <v xml:space="preserve"> </v>
      </c>
      <c r="U34" s="29"/>
      <c r="V34" s="29"/>
      <c r="W34" s="116"/>
      <c r="X34" s="113"/>
    </row>
    <row r="35" spans="1:24" ht="18" customHeight="1">
      <c r="A35" s="27"/>
      <c r="B35" s="35" t="s">
        <v>149</v>
      </c>
      <c r="C35" s="36" t="s">
        <v>45</v>
      </c>
      <c r="D35" s="37">
        <v>14.263999999999999</v>
      </c>
      <c r="E35" s="37">
        <v>0.03</v>
      </c>
      <c r="F35" s="37">
        <v>-0.03</v>
      </c>
      <c r="G35" s="37">
        <v>14.289499999999999</v>
      </c>
      <c r="H35" s="37">
        <v>14.2385</v>
      </c>
      <c r="I35" s="37"/>
      <c r="J35" s="37"/>
      <c r="K35" s="36" t="s">
        <v>46</v>
      </c>
      <c r="L35" s="39"/>
      <c r="M35" s="39"/>
      <c r="N35" s="39"/>
      <c r="O35" s="28" t="str">
        <f t="shared" si="0"/>
        <v xml:space="preserve"> </v>
      </c>
      <c r="P35" s="28" t="str">
        <f t="shared" si="1"/>
        <v xml:space="preserve"> </v>
      </c>
      <c r="Q35" s="28" t="str">
        <f t="shared" si="2"/>
        <v xml:space="preserve"> </v>
      </c>
      <c r="R35" s="29" t="str">
        <f t="shared" si="3"/>
        <v xml:space="preserve"> </v>
      </c>
      <c r="S35" s="30" t="str">
        <f t="shared" si="4"/>
        <v xml:space="preserve"> </v>
      </c>
      <c r="T35" s="31" t="str">
        <f t="shared" si="5"/>
        <v xml:space="preserve"> </v>
      </c>
      <c r="U35" s="29" t="str">
        <f t="shared" si="6"/>
        <v/>
      </c>
      <c r="V35" s="29" t="str">
        <f t="shared" ref="V35:V66" si="8">IF(L35="","",IF(ISERR(F35/F35)=TRUE,"",IF(ISERR(F35/D35)=TRUE,IF((F35-MIN(L35:N35))&gt;0.001,"Reject",""),IF(ISNUMBER($T35)=TRUE,IF($T35&gt;0.651,IF($T35&gt;1.001,"Reject","Alert"),""),""))))</f>
        <v/>
      </c>
      <c r="W35" s="116"/>
      <c r="X35" s="113"/>
    </row>
    <row r="36" spans="1:24" ht="18" customHeight="1">
      <c r="A36" s="27"/>
      <c r="B36" s="35" t="s">
        <v>150</v>
      </c>
      <c r="C36" s="36" t="s">
        <v>45</v>
      </c>
      <c r="D36" s="37">
        <v>1.84</v>
      </c>
      <c r="E36" s="37">
        <v>2.5000000000000001E-2</v>
      </c>
      <c r="F36" s="37">
        <v>-0.02</v>
      </c>
      <c r="G36" s="37">
        <v>1.8612500000000001</v>
      </c>
      <c r="H36" s="37">
        <v>1.8230000000000002</v>
      </c>
      <c r="I36" s="37"/>
      <c r="J36" s="37"/>
      <c r="K36" s="36" t="s">
        <v>46</v>
      </c>
      <c r="L36" s="39"/>
      <c r="M36" s="39"/>
      <c r="N36" s="39"/>
      <c r="O36" s="28" t="str">
        <f t="shared" si="0"/>
        <v xml:space="preserve"> </v>
      </c>
      <c r="P36" s="28" t="str">
        <f t="shared" si="1"/>
        <v xml:space="preserve"> </v>
      </c>
      <c r="Q36" s="28" t="str">
        <f t="shared" si="2"/>
        <v xml:space="preserve"> </v>
      </c>
      <c r="R36" s="29" t="str">
        <f t="shared" si="3"/>
        <v xml:space="preserve"> </v>
      </c>
      <c r="S36" s="30" t="str">
        <f t="shared" si="4"/>
        <v xml:space="preserve"> </v>
      </c>
      <c r="T36" s="31" t="str">
        <f t="shared" si="5"/>
        <v xml:space="preserve"> </v>
      </c>
      <c r="U36" s="29" t="str">
        <f t="shared" si="6"/>
        <v/>
      </c>
      <c r="V36" s="29" t="str">
        <f t="shared" si="8"/>
        <v/>
      </c>
      <c r="W36" s="116"/>
      <c r="X36" s="113"/>
    </row>
    <row r="37" spans="1:24" ht="18" customHeight="1">
      <c r="A37" s="27"/>
      <c r="B37" s="35" t="s">
        <v>151</v>
      </c>
      <c r="C37" s="36" t="s">
        <v>45</v>
      </c>
      <c r="D37" s="37">
        <v>1.84</v>
      </c>
      <c r="E37" s="37">
        <v>2.5000000000000001E-2</v>
      </c>
      <c r="F37" s="37">
        <v>-0.02</v>
      </c>
      <c r="G37" s="37">
        <v>1.8612500000000001</v>
      </c>
      <c r="H37" s="37">
        <v>1.8230000000000002</v>
      </c>
      <c r="I37" s="37"/>
      <c r="J37" s="37"/>
      <c r="K37" s="36" t="s">
        <v>46</v>
      </c>
      <c r="L37" s="39"/>
      <c r="M37" s="39"/>
      <c r="N37" s="39"/>
      <c r="O37" s="28" t="str">
        <f t="shared" si="0"/>
        <v xml:space="preserve"> </v>
      </c>
      <c r="P37" s="28" t="str">
        <f t="shared" si="1"/>
        <v xml:space="preserve"> </v>
      </c>
      <c r="Q37" s="28" t="str">
        <f t="shared" si="2"/>
        <v xml:space="preserve"> </v>
      </c>
      <c r="R37" s="29" t="str">
        <f t="shared" si="3"/>
        <v xml:space="preserve"> </v>
      </c>
      <c r="S37" s="30" t="str">
        <f t="shared" si="4"/>
        <v xml:space="preserve"> </v>
      </c>
      <c r="T37" s="31" t="str">
        <f t="shared" si="5"/>
        <v xml:space="preserve"> </v>
      </c>
      <c r="U37" s="29" t="str">
        <f t="shared" si="6"/>
        <v/>
      </c>
      <c r="V37" s="29" t="str">
        <f t="shared" si="8"/>
        <v/>
      </c>
      <c r="W37" s="116"/>
      <c r="X37" s="113"/>
    </row>
    <row r="38" spans="1:24" ht="18" customHeight="1">
      <c r="A38" s="27"/>
      <c r="B38" s="35" t="s">
        <v>152</v>
      </c>
      <c r="C38" s="36" t="s">
        <v>45</v>
      </c>
      <c r="D38" s="37">
        <v>1.84</v>
      </c>
      <c r="E38" s="37">
        <v>2.5000000000000001E-2</v>
      </c>
      <c r="F38" s="37">
        <v>-0.02</v>
      </c>
      <c r="G38" s="37">
        <v>1.8612500000000001</v>
      </c>
      <c r="H38" s="37">
        <v>1.8230000000000002</v>
      </c>
      <c r="I38" s="37"/>
      <c r="J38" s="37"/>
      <c r="K38" s="36" t="s">
        <v>46</v>
      </c>
      <c r="L38" s="39"/>
      <c r="M38" s="39"/>
      <c r="N38" s="39"/>
      <c r="O38" s="28" t="str">
        <f t="shared" ref="O38:O69" si="9">IF(ISERR(L38/L38)=TRUE," ",L38-$D38)</f>
        <v xml:space="preserve"> </v>
      </c>
      <c r="P38" s="28" t="str">
        <f t="shared" ref="P38:P69" si="10">IF(ISERR(M38/M38)=TRUE," ",M38-$D38)</f>
        <v xml:space="preserve"> </v>
      </c>
      <c r="Q38" s="28" t="str">
        <f t="shared" ref="Q38:Q69" si="11">IF(ISERR(N38/N38)=TRUE," ",N38-$D38)</f>
        <v xml:space="preserve"> </v>
      </c>
      <c r="R38" s="29" t="str">
        <f t="shared" ref="R38:R69" si="12">IF(ISERR(L38/L38)=TRUE," ",AVERAGE(L38:N38))</f>
        <v xml:space="preserve"> </v>
      </c>
      <c r="S38" s="30" t="str">
        <f t="shared" ref="S38:S69" si="13">IF(ISERR(E38/E38)=TRUE," ",IF(ISERR(L38/L38)=TRUE," ",IF(ISNUMBER($L38)=FALSE," ",IF(MAX($L38:$N38)&lt;$D38,0,(MAX($L38:$N38)-$D38)/$E38))))</f>
        <v xml:space="preserve"> </v>
      </c>
      <c r="T38" s="31" t="str">
        <f t="shared" ref="T38:T69" si="14">IF(ISERR(F38/D38)=TRUE," ",IF(ISERR(F38/F38)=TRUE," ",IF(ISERR(L38/L38)=TRUE," ",IF(ISNUMBER(L38)=FALSE," ",IF(MIN(L38:N38)&gt;$D38,0,($D38-MIN(L38:N38))/-F38)))))</f>
        <v xml:space="preserve"> </v>
      </c>
      <c r="U38" s="29" t="str">
        <f t="shared" si="6"/>
        <v/>
      </c>
      <c r="V38" s="29" t="str">
        <f t="shared" si="8"/>
        <v/>
      </c>
      <c r="W38" s="116"/>
      <c r="X38" s="113"/>
    </row>
    <row r="39" spans="1:24" ht="18" customHeight="1">
      <c r="A39" s="27"/>
      <c r="B39" s="35" t="s">
        <v>153</v>
      </c>
      <c r="C39" s="36" t="s">
        <v>45</v>
      </c>
      <c r="D39" s="37">
        <v>1.84</v>
      </c>
      <c r="E39" s="37">
        <v>2.5000000000000001E-2</v>
      </c>
      <c r="F39" s="37">
        <v>-0.02</v>
      </c>
      <c r="G39" s="37">
        <v>1.8612500000000001</v>
      </c>
      <c r="H39" s="37">
        <v>1.8230000000000002</v>
      </c>
      <c r="I39" s="37"/>
      <c r="J39" s="37"/>
      <c r="K39" s="36" t="s">
        <v>46</v>
      </c>
      <c r="L39" s="39"/>
      <c r="M39" s="39"/>
      <c r="N39" s="39"/>
      <c r="O39" s="28" t="str">
        <f t="shared" si="9"/>
        <v xml:space="preserve"> </v>
      </c>
      <c r="P39" s="28" t="str">
        <f t="shared" si="10"/>
        <v xml:space="preserve"> </v>
      </c>
      <c r="Q39" s="28" t="str">
        <f t="shared" si="11"/>
        <v xml:space="preserve"> </v>
      </c>
      <c r="R39" s="29" t="str">
        <f t="shared" si="12"/>
        <v xml:space="preserve"> </v>
      </c>
      <c r="S39" s="30" t="str">
        <f t="shared" si="13"/>
        <v xml:space="preserve"> </v>
      </c>
      <c r="T39" s="31" t="str">
        <f t="shared" si="14"/>
        <v xml:space="preserve"> </v>
      </c>
      <c r="U39" s="29" t="str">
        <f t="shared" si="6"/>
        <v/>
      </c>
      <c r="V39" s="29" t="str">
        <f t="shared" si="8"/>
        <v/>
      </c>
      <c r="W39" s="116"/>
      <c r="X39" s="113"/>
    </row>
    <row r="40" spans="1:24" ht="18" customHeight="1">
      <c r="A40" s="27"/>
      <c r="B40" s="35" t="s">
        <v>154</v>
      </c>
      <c r="C40" s="36" t="s">
        <v>45</v>
      </c>
      <c r="D40" s="37">
        <v>13.454000000000001</v>
      </c>
      <c r="E40" s="37">
        <v>0.03</v>
      </c>
      <c r="F40" s="37">
        <v>-0.03</v>
      </c>
      <c r="G40" s="37">
        <v>13.4795</v>
      </c>
      <c r="H40" s="37">
        <v>13.428500000000001</v>
      </c>
      <c r="I40" s="37"/>
      <c r="J40" s="37"/>
      <c r="K40" s="36" t="s">
        <v>46</v>
      </c>
      <c r="L40" s="39"/>
      <c r="M40" s="39"/>
      <c r="N40" s="39"/>
      <c r="O40" s="28" t="str">
        <f t="shared" si="9"/>
        <v xml:space="preserve"> </v>
      </c>
      <c r="P40" s="28" t="str">
        <f t="shared" si="10"/>
        <v xml:space="preserve"> </v>
      </c>
      <c r="Q40" s="28" t="str">
        <f t="shared" si="11"/>
        <v xml:space="preserve"> </v>
      </c>
      <c r="R40" s="29" t="str">
        <f t="shared" si="12"/>
        <v xml:space="preserve"> </v>
      </c>
      <c r="S40" s="30" t="str">
        <f t="shared" si="13"/>
        <v xml:space="preserve"> </v>
      </c>
      <c r="T40" s="31" t="str">
        <f t="shared" si="14"/>
        <v xml:space="preserve"> </v>
      </c>
      <c r="U40" s="29" t="str">
        <f t="shared" si="6"/>
        <v/>
      </c>
      <c r="V40" s="29" t="str">
        <f t="shared" si="8"/>
        <v/>
      </c>
      <c r="W40" s="116"/>
      <c r="X40" s="113"/>
    </row>
    <row r="41" spans="1:24" ht="18" customHeight="1">
      <c r="A41" s="27"/>
      <c r="B41" s="35" t="s">
        <v>155</v>
      </c>
      <c r="C41" s="36" t="s">
        <v>45</v>
      </c>
      <c r="D41" s="37">
        <v>0.9</v>
      </c>
      <c r="E41" s="37">
        <v>0.02</v>
      </c>
      <c r="F41" s="37">
        <v>-0.02</v>
      </c>
      <c r="G41" s="37">
        <v>0.91700000000000004</v>
      </c>
      <c r="H41" s="37">
        <v>0.88300000000000001</v>
      </c>
      <c r="I41" s="37"/>
      <c r="J41" s="37"/>
      <c r="K41" s="36" t="s">
        <v>46</v>
      </c>
      <c r="L41" s="39"/>
      <c r="M41" s="39"/>
      <c r="N41" s="39"/>
      <c r="O41" s="28" t="str">
        <f t="shared" si="9"/>
        <v xml:space="preserve"> </v>
      </c>
      <c r="P41" s="28" t="str">
        <f t="shared" si="10"/>
        <v xml:space="preserve"> </v>
      </c>
      <c r="Q41" s="28" t="str">
        <f t="shared" si="11"/>
        <v xml:space="preserve"> </v>
      </c>
      <c r="R41" s="29" t="str">
        <f t="shared" si="12"/>
        <v xml:space="preserve"> </v>
      </c>
      <c r="S41" s="30" t="str">
        <f t="shared" si="13"/>
        <v xml:space="preserve"> </v>
      </c>
      <c r="T41" s="31" t="str">
        <f t="shared" si="14"/>
        <v xml:space="preserve"> </v>
      </c>
      <c r="U41" s="29" t="str">
        <f t="shared" si="6"/>
        <v/>
      </c>
      <c r="V41" s="29" t="str">
        <f t="shared" si="8"/>
        <v/>
      </c>
      <c r="W41" s="116"/>
      <c r="X41" s="113"/>
    </row>
    <row r="42" spans="1:24" ht="18" customHeight="1">
      <c r="A42" s="27"/>
      <c r="B42" s="35" t="s">
        <v>156</v>
      </c>
      <c r="C42" s="36" t="s">
        <v>45</v>
      </c>
      <c r="D42" s="37">
        <v>15.448</v>
      </c>
      <c r="E42" s="37">
        <v>0.02</v>
      </c>
      <c r="F42" s="37">
        <v>-0.03</v>
      </c>
      <c r="G42" s="37">
        <v>15.465</v>
      </c>
      <c r="H42" s="37">
        <v>15.422500000000001</v>
      </c>
      <c r="I42" s="37"/>
      <c r="J42" s="37"/>
      <c r="K42" s="36" t="s">
        <v>46</v>
      </c>
      <c r="L42" s="39"/>
      <c r="M42" s="39"/>
      <c r="N42" s="39"/>
      <c r="O42" s="28" t="str">
        <f t="shared" si="9"/>
        <v xml:space="preserve"> </v>
      </c>
      <c r="P42" s="28" t="str">
        <f t="shared" si="10"/>
        <v xml:space="preserve"> </v>
      </c>
      <c r="Q42" s="28" t="str">
        <f t="shared" si="11"/>
        <v xml:space="preserve"> </v>
      </c>
      <c r="R42" s="29" t="str">
        <f t="shared" si="12"/>
        <v xml:space="preserve"> </v>
      </c>
      <c r="S42" s="30" t="str">
        <f t="shared" si="13"/>
        <v xml:space="preserve"> </v>
      </c>
      <c r="T42" s="31" t="str">
        <f t="shared" si="14"/>
        <v xml:space="preserve"> </v>
      </c>
      <c r="U42" s="29" t="str">
        <f t="shared" si="6"/>
        <v/>
      </c>
      <c r="V42" s="29" t="str">
        <f t="shared" si="8"/>
        <v/>
      </c>
      <c r="W42" s="116"/>
      <c r="X42" s="113"/>
    </row>
    <row r="43" spans="1:24" ht="18" customHeight="1">
      <c r="A43" s="27"/>
      <c r="B43" s="35" t="s">
        <v>157</v>
      </c>
      <c r="C43" s="36" t="s">
        <v>45</v>
      </c>
      <c r="D43" s="37">
        <v>13.093999999999999</v>
      </c>
      <c r="E43" s="37">
        <v>0.03</v>
      </c>
      <c r="F43" s="37">
        <v>-0.02</v>
      </c>
      <c r="G43" s="37">
        <v>13.119499999999999</v>
      </c>
      <c r="H43" s="37">
        <v>13.077</v>
      </c>
      <c r="I43" s="37"/>
      <c r="J43" s="37"/>
      <c r="K43" s="36" t="s">
        <v>46</v>
      </c>
      <c r="L43" s="39"/>
      <c r="M43" s="39"/>
      <c r="N43" s="39"/>
      <c r="O43" s="28" t="str">
        <f t="shared" si="9"/>
        <v xml:space="preserve"> </v>
      </c>
      <c r="P43" s="28" t="str">
        <f t="shared" si="10"/>
        <v xml:space="preserve"> </v>
      </c>
      <c r="Q43" s="28" t="str">
        <f t="shared" si="11"/>
        <v xml:space="preserve"> </v>
      </c>
      <c r="R43" s="29" t="str">
        <f t="shared" si="12"/>
        <v xml:space="preserve"> </v>
      </c>
      <c r="S43" s="30" t="str">
        <f t="shared" si="13"/>
        <v xml:space="preserve"> </v>
      </c>
      <c r="T43" s="31" t="str">
        <f t="shared" si="14"/>
        <v xml:space="preserve"> </v>
      </c>
      <c r="U43" s="29" t="str">
        <f t="shared" si="6"/>
        <v/>
      </c>
      <c r="V43" s="29" t="str">
        <f t="shared" si="8"/>
        <v/>
      </c>
      <c r="W43" s="116"/>
      <c r="X43" s="113"/>
    </row>
    <row r="44" spans="1:24" ht="18" customHeight="1">
      <c r="A44" s="27"/>
      <c r="B44" s="35" t="s">
        <v>158</v>
      </c>
      <c r="C44" s="36" t="s">
        <v>45</v>
      </c>
      <c r="D44" s="37">
        <v>13.324</v>
      </c>
      <c r="E44" s="37">
        <v>2.5000000000000001E-2</v>
      </c>
      <c r="F44" s="37">
        <v>-0.04</v>
      </c>
      <c r="G44" s="37">
        <v>13.34525</v>
      </c>
      <c r="H44" s="37">
        <v>13.29</v>
      </c>
      <c r="I44" s="37"/>
      <c r="J44" s="37"/>
      <c r="K44" s="36" t="s">
        <v>46</v>
      </c>
      <c r="L44" s="39"/>
      <c r="M44" s="39"/>
      <c r="N44" s="39"/>
      <c r="O44" s="28" t="str">
        <f t="shared" si="9"/>
        <v xml:space="preserve"> </v>
      </c>
      <c r="P44" s="28" t="str">
        <f t="shared" si="10"/>
        <v xml:space="preserve"> </v>
      </c>
      <c r="Q44" s="28" t="str">
        <f t="shared" si="11"/>
        <v xml:space="preserve"> </v>
      </c>
      <c r="R44" s="29" t="str">
        <f t="shared" si="12"/>
        <v xml:space="preserve"> </v>
      </c>
      <c r="S44" s="30" t="str">
        <f t="shared" si="13"/>
        <v xml:space="preserve"> </v>
      </c>
      <c r="T44" s="31" t="str">
        <f t="shared" si="14"/>
        <v xml:space="preserve"> </v>
      </c>
      <c r="U44" s="29" t="str">
        <f t="shared" si="6"/>
        <v/>
      </c>
      <c r="V44" s="29" t="str">
        <f t="shared" si="8"/>
        <v/>
      </c>
      <c r="W44" s="116"/>
      <c r="X44" s="113"/>
    </row>
    <row r="45" spans="1:24" ht="18" customHeight="1">
      <c r="A45" s="27"/>
      <c r="B45" s="35" t="s">
        <v>99</v>
      </c>
      <c r="C45" s="36" t="s">
        <v>45</v>
      </c>
      <c r="D45" s="37">
        <v>0.53</v>
      </c>
      <c r="E45" s="37">
        <v>2.5000000000000001E-2</v>
      </c>
      <c r="F45" s="37">
        <v>-2.5000000000000001E-2</v>
      </c>
      <c r="G45" s="37">
        <v>0.55125000000000002</v>
      </c>
      <c r="H45" s="37">
        <v>0.50875000000000004</v>
      </c>
      <c r="I45" s="37">
        <v>0.54875000000000007</v>
      </c>
      <c r="J45" s="37">
        <v>0.51124999999999998</v>
      </c>
      <c r="K45" s="36" t="s">
        <v>46</v>
      </c>
      <c r="L45" s="39"/>
      <c r="M45" s="39"/>
      <c r="N45" s="39"/>
      <c r="O45" s="28" t="str">
        <f t="shared" si="9"/>
        <v xml:space="preserve"> </v>
      </c>
      <c r="P45" s="28" t="str">
        <f t="shared" si="10"/>
        <v xml:space="preserve"> </v>
      </c>
      <c r="Q45" s="28" t="str">
        <f t="shared" si="11"/>
        <v xml:space="preserve"> </v>
      </c>
      <c r="R45" s="29" t="str">
        <f t="shared" si="12"/>
        <v xml:space="preserve"> </v>
      </c>
      <c r="S45" s="30" t="str">
        <f t="shared" si="13"/>
        <v xml:space="preserve"> </v>
      </c>
      <c r="T45" s="31" t="str">
        <f t="shared" si="14"/>
        <v xml:space="preserve"> </v>
      </c>
      <c r="U45" s="29" t="str">
        <f t="shared" si="6"/>
        <v/>
      </c>
      <c r="V45" s="29" t="str">
        <f t="shared" si="8"/>
        <v/>
      </c>
      <c r="W45" s="116"/>
      <c r="X45" s="113"/>
    </row>
    <row r="46" spans="1:24" ht="18" customHeight="1">
      <c r="A46" s="27"/>
      <c r="B46" s="35" t="s">
        <v>100</v>
      </c>
      <c r="C46" s="36" t="s">
        <v>45</v>
      </c>
      <c r="D46" s="37">
        <v>0.53</v>
      </c>
      <c r="E46" s="37">
        <v>2.5000000000000001E-2</v>
      </c>
      <c r="F46" s="37">
        <v>-2.5000000000000001E-2</v>
      </c>
      <c r="G46" s="37">
        <v>0.55125000000000002</v>
      </c>
      <c r="H46" s="37">
        <v>0.50875000000000004</v>
      </c>
      <c r="I46" s="37">
        <v>0.54875000000000007</v>
      </c>
      <c r="J46" s="37">
        <v>0.51124999999999998</v>
      </c>
      <c r="K46" s="36" t="s">
        <v>46</v>
      </c>
      <c r="L46" s="39"/>
      <c r="M46" s="39"/>
      <c r="N46" s="39"/>
      <c r="O46" s="28" t="str">
        <f t="shared" si="9"/>
        <v xml:space="preserve"> </v>
      </c>
      <c r="P46" s="28" t="str">
        <f t="shared" si="10"/>
        <v xml:space="preserve"> </v>
      </c>
      <c r="Q46" s="28" t="str">
        <f t="shared" si="11"/>
        <v xml:space="preserve"> </v>
      </c>
      <c r="R46" s="29" t="str">
        <f t="shared" si="12"/>
        <v xml:space="preserve"> </v>
      </c>
      <c r="S46" s="30" t="str">
        <f t="shared" si="13"/>
        <v xml:space="preserve"> </v>
      </c>
      <c r="T46" s="31" t="str">
        <f t="shared" si="14"/>
        <v xml:space="preserve"> </v>
      </c>
      <c r="U46" s="29" t="str">
        <f t="shared" si="6"/>
        <v/>
      </c>
      <c r="V46" s="29" t="str">
        <f t="shared" si="8"/>
        <v/>
      </c>
      <c r="W46" s="116"/>
      <c r="X46" s="113"/>
    </row>
    <row r="47" spans="1:24" ht="17.25" customHeight="1">
      <c r="A47" s="27"/>
      <c r="B47" s="35" t="s">
        <v>159</v>
      </c>
      <c r="C47" s="36" t="s">
        <v>45</v>
      </c>
      <c r="D47" s="37">
        <v>0.97</v>
      </c>
      <c r="E47" s="37">
        <v>0.03</v>
      </c>
      <c r="F47" s="37">
        <v>-0.02</v>
      </c>
      <c r="G47" s="37">
        <v>0.99549999999999994</v>
      </c>
      <c r="H47" s="37">
        <v>0.95299999999999996</v>
      </c>
      <c r="I47" s="37">
        <v>0.99099999999999999</v>
      </c>
      <c r="J47" s="37">
        <v>0.95599999999999996</v>
      </c>
      <c r="K47" s="36" t="s">
        <v>46</v>
      </c>
      <c r="L47" s="39"/>
      <c r="M47" s="39"/>
      <c r="N47" s="39"/>
      <c r="O47" s="28" t="str">
        <f t="shared" si="9"/>
        <v xml:space="preserve"> </v>
      </c>
      <c r="P47" s="28" t="str">
        <f t="shared" si="10"/>
        <v xml:space="preserve"> </v>
      </c>
      <c r="Q47" s="28" t="str">
        <f t="shared" si="11"/>
        <v xml:space="preserve"> </v>
      </c>
      <c r="R47" s="29" t="str">
        <f t="shared" si="12"/>
        <v xml:space="preserve"> </v>
      </c>
      <c r="S47" s="30" t="str">
        <f t="shared" si="13"/>
        <v xml:space="preserve"> </v>
      </c>
      <c r="T47" s="31" t="str">
        <f t="shared" si="14"/>
        <v xml:space="preserve"> </v>
      </c>
      <c r="U47" s="29" t="str">
        <f t="shared" si="6"/>
        <v/>
      </c>
      <c r="V47" s="29" t="str">
        <f t="shared" si="8"/>
        <v/>
      </c>
      <c r="W47" s="116"/>
      <c r="X47" s="113"/>
    </row>
    <row r="48" spans="1:24" ht="18" customHeight="1">
      <c r="A48" s="27"/>
      <c r="B48" s="35" t="s">
        <v>160</v>
      </c>
      <c r="C48" s="36" t="s">
        <v>45</v>
      </c>
      <c r="D48" s="37">
        <v>0.97</v>
      </c>
      <c r="E48" s="37">
        <v>0.03</v>
      </c>
      <c r="F48" s="37">
        <v>-0.02</v>
      </c>
      <c r="G48" s="37">
        <v>0.99549999999999994</v>
      </c>
      <c r="H48" s="37">
        <v>0.95299999999999996</v>
      </c>
      <c r="I48" s="37">
        <v>0.99099999999999999</v>
      </c>
      <c r="J48" s="37">
        <v>0.95599999999999996</v>
      </c>
      <c r="K48" s="36" t="s">
        <v>46</v>
      </c>
      <c r="L48" s="39"/>
      <c r="M48" s="39"/>
      <c r="N48" s="39"/>
      <c r="O48" s="28" t="str">
        <f t="shared" si="9"/>
        <v xml:space="preserve"> </v>
      </c>
      <c r="P48" s="28" t="str">
        <f t="shared" si="10"/>
        <v xml:space="preserve"> </v>
      </c>
      <c r="Q48" s="28" t="str">
        <f t="shared" si="11"/>
        <v xml:space="preserve"> </v>
      </c>
      <c r="R48" s="29" t="str">
        <f t="shared" si="12"/>
        <v xml:space="preserve"> </v>
      </c>
      <c r="S48" s="30" t="str">
        <f t="shared" si="13"/>
        <v xml:space="preserve"> </v>
      </c>
      <c r="T48" s="31" t="str">
        <f t="shared" si="14"/>
        <v xml:space="preserve"> </v>
      </c>
      <c r="U48" s="29" t="str">
        <f t="shared" si="6"/>
        <v/>
      </c>
      <c r="V48" s="29" t="str">
        <f t="shared" si="8"/>
        <v/>
      </c>
      <c r="W48" s="116"/>
      <c r="X48" s="113"/>
    </row>
    <row r="49" spans="1:24" ht="18" customHeight="1">
      <c r="A49" s="27"/>
      <c r="B49" s="35" t="s">
        <v>161</v>
      </c>
      <c r="C49" s="36" t="s">
        <v>45</v>
      </c>
      <c r="D49" s="37">
        <v>15.228</v>
      </c>
      <c r="E49" s="37">
        <v>3.5000000000000003E-2</v>
      </c>
      <c r="F49" s="37">
        <v>-0.02</v>
      </c>
      <c r="G49" s="37">
        <v>15.25775</v>
      </c>
      <c r="H49" s="37">
        <v>15.211</v>
      </c>
      <c r="I49" s="37"/>
      <c r="J49" s="37"/>
      <c r="K49" s="36" t="s">
        <v>46</v>
      </c>
      <c r="L49" s="39"/>
      <c r="M49" s="39"/>
      <c r="N49" s="39"/>
      <c r="O49" s="28" t="str">
        <f t="shared" si="9"/>
        <v xml:space="preserve"> </v>
      </c>
      <c r="P49" s="28" t="str">
        <f t="shared" si="10"/>
        <v xml:space="preserve"> </v>
      </c>
      <c r="Q49" s="28" t="str">
        <f t="shared" si="11"/>
        <v xml:space="preserve"> </v>
      </c>
      <c r="R49" s="29" t="str">
        <f t="shared" si="12"/>
        <v xml:space="preserve"> </v>
      </c>
      <c r="S49" s="30" t="str">
        <f t="shared" si="13"/>
        <v xml:space="preserve"> </v>
      </c>
      <c r="T49" s="31" t="str">
        <f t="shared" si="14"/>
        <v xml:space="preserve"> </v>
      </c>
      <c r="U49" s="29" t="str">
        <f t="shared" si="6"/>
        <v/>
      </c>
      <c r="V49" s="29" t="str">
        <f t="shared" si="8"/>
        <v/>
      </c>
      <c r="W49" s="116"/>
      <c r="X49" s="113"/>
    </row>
    <row r="50" spans="1:24" ht="18" customHeight="1">
      <c r="A50" s="27"/>
      <c r="B50" s="35" t="s">
        <v>162</v>
      </c>
      <c r="C50" s="36" t="s">
        <v>45</v>
      </c>
      <c r="D50" s="37">
        <v>1.26</v>
      </c>
      <c r="E50" s="37">
        <v>0.02</v>
      </c>
      <c r="F50" s="37">
        <v>-3.5000000000000003E-2</v>
      </c>
      <c r="G50" s="37">
        <v>1.2769999999999999</v>
      </c>
      <c r="H50" s="37">
        <v>1.2302500000000001</v>
      </c>
      <c r="I50" s="37"/>
      <c r="J50" s="37"/>
      <c r="K50" s="36" t="s">
        <v>46</v>
      </c>
      <c r="L50" s="39"/>
      <c r="M50" s="39"/>
      <c r="N50" s="39"/>
      <c r="O50" s="28" t="str">
        <f t="shared" si="9"/>
        <v xml:space="preserve"> </v>
      </c>
      <c r="P50" s="28" t="str">
        <f t="shared" si="10"/>
        <v xml:space="preserve"> </v>
      </c>
      <c r="Q50" s="28" t="str">
        <f t="shared" si="11"/>
        <v xml:space="preserve"> </v>
      </c>
      <c r="R50" s="29" t="str">
        <f t="shared" si="12"/>
        <v xml:space="preserve"> </v>
      </c>
      <c r="S50" s="30" t="str">
        <f t="shared" si="13"/>
        <v xml:space="preserve"> </v>
      </c>
      <c r="T50" s="31" t="str">
        <f t="shared" si="14"/>
        <v xml:space="preserve"> </v>
      </c>
      <c r="U50" s="29" t="str">
        <f t="shared" si="6"/>
        <v/>
      </c>
      <c r="V50" s="29" t="str">
        <f t="shared" si="8"/>
        <v/>
      </c>
      <c r="W50" s="116"/>
      <c r="X50" s="113"/>
    </row>
    <row r="51" spans="1:24" ht="18" customHeight="1">
      <c r="A51" s="27"/>
      <c r="B51" s="35" t="s">
        <v>163</v>
      </c>
      <c r="C51" s="36" t="s">
        <v>45</v>
      </c>
      <c r="D51" s="37">
        <v>0.52</v>
      </c>
      <c r="E51" s="37">
        <v>0.03</v>
      </c>
      <c r="F51" s="37">
        <v>-0.02</v>
      </c>
      <c r="G51" s="37">
        <v>0.54549999999999998</v>
      </c>
      <c r="H51" s="37">
        <v>0.503</v>
      </c>
      <c r="I51" s="37"/>
      <c r="J51" s="37"/>
      <c r="K51" s="36" t="s">
        <v>46</v>
      </c>
      <c r="L51" s="39"/>
      <c r="M51" s="39"/>
      <c r="N51" s="39"/>
      <c r="O51" s="28" t="str">
        <f t="shared" si="9"/>
        <v xml:space="preserve"> </v>
      </c>
      <c r="P51" s="28" t="str">
        <f t="shared" si="10"/>
        <v xml:space="preserve"> </v>
      </c>
      <c r="Q51" s="28" t="str">
        <f t="shared" si="11"/>
        <v xml:space="preserve"> </v>
      </c>
      <c r="R51" s="29" t="str">
        <f t="shared" si="12"/>
        <v xml:space="preserve"> </v>
      </c>
      <c r="S51" s="30" t="str">
        <f t="shared" si="13"/>
        <v xml:space="preserve"> </v>
      </c>
      <c r="T51" s="31" t="str">
        <f t="shared" si="14"/>
        <v xml:space="preserve"> </v>
      </c>
      <c r="U51" s="29" t="str">
        <f t="shared" si="6"/>
        <v/>
      </c>
      <c r="V51" s="29" t="str">
        <f t="shared" si="8"/>
        <v/>
      </c>
      <c r="W51" s="116"/>
      <c r="X51" s="113"/>
    </row>
    <row r="52" spans="1:24" ht="18" customHeight="1">
      <c r="A52" s="27"/>
      <c r="B52" s="35" t="s">
        <v>164</v>
      </c>
      <c r="C52" s="36" t="s">
        <v>45</v>
      </c>
      <c r="D52" s="37">
        <v>2.0680000000000001</v>
      </c>
      <c r="E52" s="37">
        <v>0.02</v>
      </c>
      <c r="F52" s="37">
        <v>-0.03</v>
      </c>
      <c r="G52" s="37">
        <v>2.085</v>
      </c>
      <c r="H52" s="37">
        <v>2.0425</v>
      </c>
      <c r="I52" s="37"/>
      <c r="J52" s="37"/>
      <c r="K52" s="36" t="s">
        <v>46</v>
      </c>
      <c r="L52" s="39"/>
      <c r="M52" s="39"/>
      <c r="N52" s="39"/>
      <c r="O52" s="28" t="str">
        <f t="shared" si="9"/>
        <v xml:space="preserve"> </v>
      </c>
      <c r="P52" s="28" t="str">
        <f t="shared" si="10"/>
        <v xml:space="preserve"> </v>
      </c>
      <c r="Q52" s="28" t="str">
        <f t="shared" si="11"/>
        <v xml:space="preserve"> </v>
      </c>
      <c r="R52" s="29" t="str">
        <f t="shared" si="12"/>
        <v xml:space="preserve"> </v>
      </c>
      <c r="S52" s="30" t="str">
        <f t="shared" si="13"/>
        <v xml:space="preserve"> </v>
      </c>
      <c r="T52" s="31" t="str">
        <f t="shared" si="14"/>
        <v xml:space="preserve"> </v>
      </c>
      <c r="U52" s="29" t="str">
        <f t="shared" si="6"/>
        <v/>
      </c>
      <c r="V52" s="29" t="str">
        <f t="shared" si="8"/>
        <v/>
      </c>
      <c r="W52" s="116"/>
      <c r="X52" s="113"/>
    </row>
    <row r="53" spans="1:24" ht="18" customHeight="1">
      <c r="A53" s="27"/>
      <c r="B53" s="35" t="s">
        <v>165</v>
      </c>
      <c r="C53" s="36" t="s">
        <v>45</v>
      </c>
      <c r="D53" s="37">
        <v>1.137</v>
      </c>
      <c r="E53" s="37">
        <v>2.5000000000000001E-2</v>
      </c>
      <c r="F53" s="37">
        <v>-3.5000000000000003E-2</v>
      </c>
      <c r="G53" s="37">
        <v>1.15825</v>
      </c>
      <c r="H53" s="37">
        <v>1.1072500000000001</v>
      </c>
      <c r="I53" s="37"/>
      <c r="J53" s="37"/>
      <c r="K53" s="36" t="s">
        <v>46</v>
      </c>
      <c r="L53" s="39"/>
      <c r="M53" s="39"/>
      <c r="N53" s="39"/>
      <c r="O53" s="28" t="str">
        <f t="shared" si="9"/>
        <v xml:space="preserve"> </v>
      </c>
      <c r="P53" s="28" t="str">
        <f t="shared" si="10"/>
        <v xml:space="preserve"> </v>
      </c>
      <c r="Q53" s="28" t="str">
        <f t="shared" si="11"/>
        <v xml:space="preserve"> </v>
      </c>
      <c r="R53" s="29" t="str">
        <f t="shared" si="12"/>
        <v xml:space="preserve"> </v>
      </c>
      <c r="S53" s="30" t="str">
        <f t="shared" si="13"/>
        <v xml:space="preserve"> </v>
      </c>
      <c r="T53" s="31" t="str">
        <f t="shared" si="14"/>
        <v xml:space="preserve"> </v>
      </c>
      <c r="U53" s="29" t="str">
        <f t="shared" si="6"/>
        <v/>
      </c>
      <c r="V53" s="29" t="str">
        <f t="shared" si="8"/>
        <v/>
      </c>
      <c r="W53" s="116"/>
      <c r="X53" s="113"/>
    </row>
    <row r="54" spans="1:24" ht="18" customHeight="1">
      <c r="A54" s="27"/>
      <c r="B54" s="35">
        <v>34</v>
      </c>
      <c r="C54" s="36" t="s">
        <v>45</v>
      </c>
      <c r="D54" s="37">
        <v>13.574</v>
      </c>
      <c r="E54" s="37">
        <v>0.03</v>
      </c>
      <c r="F54" s="37">
        <v>-0.03</v>
      </c>
      <c r="G54" s="37">
        <v>13.599499999999999</v>
      </c>
      <c r="H54" s="37">
        <v>13.548500000000001</v>
      </c>
      <c r="I54" s="37"/>
      <c r="J54" s="37"/>
      <c r="K54" s="36" t="s">
        <v>46</v>
      </c>
      <c r="L54" s="39"/>
      <c r="M54" s="39"/>
      <c r="N54" s="39"/>
      <c r="O54" s="28" t="str">
        <f t="shared" si="9"/>
        <v xml:space="preserve"> </v>
      </c>
      <c r="P54" s="28" t="str">
        <f t="shared" si="10"/>
        <v xml:space="preserve"> </v>
      </c>
      <c r="Q54" s="28" t="str">
        <f t="shared" si="11"/>
        <v xml:space="preserve"> </v>
      </c>
      <c r="R54" s="29" t="str">
        <f t="shared" si="12"/>
        <v xml:space="preserve"> </v>
      </c>
      <c r="S54" s="30" t="str">
        <f t="shared" si="13"/>
        <v xml:space="preserve"> </v>
      </c>
      <c r="T54" s="31" t="str">
        <f t="shared" si="14"/>
        <v xml:space="preserve"> </v>
      </c>
      <c r="U54" s="29" t="str">
        <f t="shared" si="6"/>
        <v/>
      </c>
      <c r="V54" s="29" t="str">
        <f t="shared" si="8"/>
        <v/>
      </c>
      <c r="W54" s="116"/>
      <c r="X54" s="113"/>
    </row>
    <row r="55" spans="1:24" ht="18" customHeight="1">
      <c r="A55" s="27"/>
      <c r="B55" s="35" t="s">
        <v>101</v>
      </c>
      <c r="C55" s="36" t="s">
        <v>45</v>
      </c>
      <c r="D55" s="37">
        <v>0.09</v>
      </c>
      <c r="E55" s="37">
        <v>0.01</v>
      </c>
      <c r="F55" s="37">
        <v>-0.03</v>
      </c>
      <c r="G55" s="37">
        <v>9.8500000000000004E-2</v>
      </c>
      <c r="H55" s="37">
        <v>6.4500000000000002E-2</v>
      </c>
      <c r="I55" s="37"/>
      <c r="J55" s="37"/>
      <c r="K55" s="36" t="s">
        <v>46</v>
      </c>
      <c r="L55" s="39"/>
      <c r="M55" s="39"/>
      <c r="N55" s="39"/>
      <c r="O55" s="28" t="str">
        <f t="shared" si="9"/>
        <v xml:space="preserve"> </v>
      </c>
      <c r="P55" s="28" t="str">
        <f t="shared" si="10"/>
        <v xml:space="preserve"> </v>
      </c>
      <c r="Q55" s="28" t="str">
        <f t="shared" si="11"/>
        <v xml:space="preserve"> </v>
      </c>
      <c r="R55" s="29" t="str">
        <f t="shared" si="12"/>
        <v xml:space="preserve"> </v>
      </c>
      <c r="S55" s="30" t="str">
        <f t="shared" si="13"/>
        <v xml:space="preserve"> </v>
      </c>
      <c r="T55" s="31" t="str">
        <f t="shared" si="14"/>
        <v xml:space="preserve"> </v>
      </c>
      <c r="U55" s="29" t="str">
        <f t="shared" si="6"/>
        <v/>
      </c>
      <c r="V55" s="29" t="str">
        <f t="shared" si="8"/>
        <v/>
      </c>
      <c r="W55" s="116"/>
      <c r="X55" s="113"/>
    </row>
    <row r="56" spans="1:24" ht="18" customHeight="1">
      <c r="A56" s="27"/>
      <c r="B56" s="35" t="s">
        <v>102</v>
      </c>
      <c r="C56" s="36" t="s">
        <v>45</v>
      </c>
      <c r="D56" s="37">
        <v>0.09</v>
      </c>
      <c r="E56" s="37">
        <v>0.01</v>
      </c>
      <c r="F56" s="37">
        <v>-0.03</v>
      </c>
      <c r="G56" s="37">
        <v>9.8500000000000004E-2</v>
      </c>
      <c r="H56" s="37">
        <v>6.4500000000000002E-2</v>
      </c>
      <c r="I56" s="37"/>
      <c r="J56" s="37"/>
      <c r="K56" s="36" t="s">
        <v>46</v>
      </c>
      <c r="L56" s="39"/>
      <c r="M56" s="39"/>
      <c r="N56" s="39"/>
      <c r="O56" s="28" t="str">
        <f t="shared" si="9"/>
        <v xml:space="preserve"> </v>
      </c>
      <c r="P56" s="28" t="str">
        <f t="shared" si="10"/>
        <v xml:space="preserve"> </v>
      </c>
      <c r="Q56" s="28" t="str">
        <f t="shared" si="11"/>
        <v xml:space="preserve"> </v>
      </c>
      <c r="R56" s="29" t="str">
        <f t="shared" si="12"/>
        <v xml:space="preserve"> </v>
      </c>
      <c r="S56" s="30" t="str">
        <f t="shared" si="13"/>
        <v xml:space="preserve"> </v>
      </c>
      <c r="T56" s="31" t="str">
        <f t="shared" si="14"/>
        <v xml:space="preserve"> </v>
      </c>
      <c r="U56" s="29" t="str">
        <f t="shared" si="6"/>
        <v/>
      </c>
      <c r="V56" s="29" t="str">
        <f t="shared" si="8"/>
        <v/>
      </c>
      <c r="W56" s="116"/>
      <c r="X56" s="113"/>
    </row>
    <row r="57" spans="1:24" ht="18" customHeight="1">
      <c r="A57" s="27"/>
      <c r="B57" s="35">
        <v>36</v>
      </c>
      <c r="C57" s="36" t="s">
        <v>45</v>
      </c>
      <c r="D57" s="37">
        <v>11.276999999999999</v>
      </c>
      <c r="E57" s="37">
        <v>0.03</v>
      </c>
      <c r="F57" s="37">
        <v>-0.03</v>
      </c>
      <c r="G57" s="37">
        <v>11.302499999999998</v>
      </c>
      <c r="H57" s="37">
        <v>11.2515</v>
      </c>
      <c r="I57" s="37"/>
      <c r="J57" s="37"/>
      <c r="K57" s="36" t="s">
        <v>46</v>
      </c>
      <c r="L57" s="39"/>
      <c r="M57" s="39"/>
      <c r="N57" s="39"/>
      <c r="O57" s="28" t="str">
        <f t="shared" si="9"/>
        <v xml:space="preserve"> </v>
      </c>
      <c r="P57" s="28" t="str">
        <f t="shared" si="10"/>
        <v xml:space="preserve"> </v>
      </c>
      <c r="Q57" s="28" t="str">
        <f t="shared" si="11"/>
        <v xml:space="preserve"> </v>
      </c>
      <c r="R57" s="29" t="str">
        <f t="shared" si="12"/>
        <v xml:space="preserve"> </v>
      </c>
      <c r="S57" s="30" t="str">
        <f t="shared" si="13"/>
        <v xml:space="preserve"> </v>
      </c>
      <c r="T57" s="31" t="str">
        <f t="shared" si="14"/>
        <v xml:space="preserve"> </v>
      </c>
      <c r="U57" s="29" t="str">
        <f t="shared" si="6"/>
        <v/>
      </c>
      <c r="V57" s="29" t="str">
        <f t="shared" si="8"/>
        <v/>
      </c>
      <c r="W57" s="116"/>
      <c r="X57" s="113"/>
    </row>
    <row r="58" spans="1:24" ht="18" customHeight="1">
      <c r="A58" s="27"/>
      <c r="B58" s="35" t="s">
        <v>97</v>
      </c>
      <c r="C58" s="36" t="s">
        <v>45</v>
      </c>
      <c r="D58" s="37">
        <v>0.3</v>
      </c>
      <c r="E58" s="37">
        <v>0.03</v>
      </c>
      <c r="F58" s="37">
        <v>-0.03</v>
      </c>
      <c r="G58" s="37">
        <v>0.32550000000000001</v>
      </c>
      <c r="H58" s="37">
        <v>0.27449999999999997</v>
      </c>
      <c r="I58" s="37"/>
      <c r="J58" s="37"/>
      <c r="K58" s="36" t="s">
        <v>46</v>
      </c>
      <c r="L58" s="39"/>
      <c r="M58" s="39"/>
      <c r="N58" s="39"/>
      <c r="O58" s="28" t="str">
        <f t="shared" si="9"/>
        <v xml:space="preserve"> </v>
      </c>
      <c r="P58" s="28" t="str">
        <f t="shared" si="10"/>
        <v xml:space="preserve"> </v>
      </c>
      <c r="Q58" s="28" t="str">
        <f t="shared" si="11"/>
        <v xml:space="preserve"> </v>
      </c>
      <c r="R58" s="29" t="str">
        <f t="shared" si="12"/>
        <v xml:space="preserve"> </v>
      </c>
      <c r="S58" s="30" t="str">
        <f t="shared" si="13"/>
        <v xml:space="preserve"> </v>
      </c>
      <c r="T58" s="31" t="str">
        <f t="shared" si="14"/>
        <v xml:space="preserve"> </v>
      </c>
      <c r="U58" s="29" t="str">
        <f t="shared" si="6"/>
        <v/>
      </c>
      <c r="V58" s="29" t="str">
        <f t="shared" si="8"/>
        <v/>
      </c>
      <c r="W58" s="116"/>
      <c r="X58" s="113"/>
    </row>
    <row r="59" spans="1:24" ht="18" customHeight="1">
      <c r="A59" s="27"/>
      <c r="B59" s="35" t="s">
        <v>98</v>
      </c>
      <c r="C59" s="36" t="s">
        <v>45</v>
      </c>
      <c r="D59" s="37">
        <v>0.3</v>
      </c>
      <c r="E59" s="37">
        <v>0.03</v>
      </c>
      <c r="F59" s="37">
        <v>-0.03</v>
      </c>
      <c r="G59" s="37">
        <v>0.32550000000000001</v>
      </c>
      <c r="H59" s="37">
        <v>0.27449999999999997</v>
      </c>
      <c r="I59" s="37"/>
      <c r="J59" s="37"/>
      <c r="K59" s="36" t="s">
        <v>46</v>
      </c>
      <c r="L59" s="39"/>
      <c r="M59" s="39"/>
      <c r="N59" s="39"/>
      <c r="O59" s="28" t="str">
        <f t="shared" si="9"/>
        <v xml:space="preserve"> </v>
      </c>
      <c r="P59" s="28" t="str">
        <f t="shared" si="10"/>
        <v xml:space="preserve"> </v>
      </c>
      <c r="Q59" s="28" t="str">
        <f t="shared" si="11"/>
        <v xml:space="preserve"> </v>
      </c>
      <c r="R59" s="29" t="str">
        <f t="shared" si="12"/>
        <v xml:space="preserve"> </v>
      </c>
      <c r="S59" s="30" t="str">
        <f t="shared" si="13"/>
        <v xml:space="preserve"> </v>
      </c>
      <c r="T59" s="31" t="str">
        <f t="shared" si="14"/>
        <v xml:space="preserve"> </v>
      </c>
      <c r="U59" s="29" t="str">
        <f t="shared" si="6"/>
        <v/>
      </c>
      <c r="V59" s="29" t="str">
        <f t="shared" si="8"/>
        <v/>
      </c>
      <c r="W59" s="116"/>
      <c r="X59" s="113"/>
    </row>
    <row r="60" spans="1:24" ht="18" customHeight="1">
      <c r="A60" s="27"/>
      <c r="B60" s="35" t="s">
        <v>103</v>
      </c>
      <c r="C60" s="36" t="s">
        <v>45</v>
      </c>
      <c r="D60" s="37">
        <v>0.3</v>
      </c>
      <c r="E60" s="37">
        <v>0.03</v>
      </c>
      <c r="F60" s="37">
        <v>-0.03</v>
      </c>
      <c r="G60" s="37">
        <v>0.32550000000000001</v>
      </c>
      <c r="H60" s="37">
        <v>0.27449999999999997</v>
      </c>
      <c r="I60" s="37"/>
      <c r="J60" s="37"/>
      <c r="K60" s="36" t="s">
        <v>46</v>
      </c>
      <c r="L60" s="39"/>
      <c r="M60" s="39"/>
      <c r="N60" s="39"/>
      <c r="O60" s="28" t="str">
        <f t="shared" si="9"/>
        <v xml:space="preserve"> </v>
      </c>
      <c r="P60" s="28" t="str">
        <f t="shared" si="10"/>
        <v xml:space="preserve"> </v>
      </c>
      <c r="Q60" s="28" t="str">
        <f t="shared" si="11"/>
        <v xml:space="preserve"> </v>
      </c>
      <c r="R60" s="29" t="str">
        <f t="shared" si="12"/>
        <v xml:space="preserve"> </v>
      </c>
      <c r="S60" s="30" t="str">
        <f t="shared" si="13"/>
        <v xml:space="preserve"> </v>
      </c>
      <c r="T60" s="31" t="str">
        <f t="shared" si="14"/>
        <v xml:space="preserve"> </v>
      </c>
      <c r="U60" s="29" t="str">
        <f t="shared" si="6"/>
        <v/>
      </c>
      <c r="V60" s="29" t="str">
        <f t="shared" si="8"/>
        <v/>
      </c>
      <c r="W60" s="116"/>
      <c r="X60" s="113"/>
    </row>
    <row r="61" spans="1:24" ht="18" customHeight="1">
      <c r="A61" s="27"/>
      <c r="B61" s="35" t="s">
        <v>104</v>
      </c>
      <c r="C61" s="36" t="s">
        <v>45</v>
      </c>
      <c r="D61" s="37">
        <v>0.3</v>
      </c>
      <c r="E61" s="37">
        <v>0.03</v>
      </c>
      <c r="F61" s="37">
        <v>-0.03</v>
      </c>
      <c r="G61" s="37">
        <v>0.32550000000000001</v>
      </c>
      <c r="H61" s="37">
        <v>0.27449999999999997</v>
      </c>
      <c r="I61" s="37"/>
      <c r="J61" s="37"/>
      <c r="K61" s="36" t="s">
        <v>46</v>
      </c>
      <c r="L61" s="39"/>
      <c r="M61" s="39"/>
      <c r="N61" s="39"/>
      <c r="O61" s="28" t="str">
        <f t="shared" si="9"/>
        <v xml:space="preserve"> </v>
      </c>
      <c r="P61" s="28" t="str">
        <f t="shared" si="10"/>
        <v xml:space="preserve"> </v>
      </c>
      <c r="Q61" s="28" t="str">
        <f t="shared" si="11"/>
        <v xml:space="preserve"> </v>
      </c>
      <c r="R61" s="29" t="str">
        <f t="shared" si="12"/>
        <v xml:space="preserve"> </v>
      </c>
      <c r="S61" s="30" t="str">
        <f t="shared" si="13"/>
        <v xml:space="preserve"> </v>
      </c>
      <c r="T61" s="31" t="str">
        <f t="shared" si="14"/>
        <v xml:space="preserve"> </v>
      </c>
      <c r="U61" s="29" t="str">
        <f t="shared" si="6"/>
        <v/>
      </c>
      <c r="V61" s="29" t="str">
        <f t="shared" si="8"/>
        <v/>
      </c>
      <c r="W61" s="116"/>
      <c r="X61" s="113"/>
    </row>
    <row r="62" spans="1:24" ht="18" customHeight="1">
      <c r="A62" s="27"/>
      <c r="B62" s="35">
        <v>39</v>
      </c>
      <c r="C62" s="36" t="s">
        <v>45</v>
      </c>
      <c r="D62" s="37">
        <v>14.49</v>
      </c>
      <c r="E62" s="37">
        <v>0.03</v>
      </c>
      <c r="F62" s="37">
        <v>-0.03</v>
      </c>
      <c r="G62" s="37">
        <v>14.515499999999999</v>
      </c>
      <c r="H62" s="37">
        <v>14.464500000000001</v>
      </c>
      <c r="I62" s="37"/>
      <c r="J62" s="37"/>
      <c r="K62" s="36" t="s">
        <v>46</v>
      </c>
      <c r="L62" s="39"/>
      <c r="M62" s="39"/>
      <c r="N62" s="39"/>
      <c r="O62" s="28" t="str">
        <f t="shared" si="9"/>
        <v xml:space="preserve"> </v>
      </c>
      <c r="P62" s="28" t="str">
        <f t="shared" si="10"/>
        <v xml:space="preserve"> </v>
      </c>
      <c r="Q62" s="28" t="str">
        <f t="shared" si="11"/>
        <v xml:space="preserve"> </v>
      </c>
      <c r="R62" s="29" t="str">
        <f t="shared" si="12"/>
        <v xml:space="preserve"> </v>
      </c>
      <c r="S62" s="30" t="str">
        <f t="shared" si="13"/>
        <v xml:space="preserve"> </v>
      </c>
      <c r="T62" s="31" t="str">
        <f t="shared" si="14"/>
        <v xml:space="preserve"> </v>
      </c>
      <c r="U62" s="29" t="str">
        <f t="shared" si="6"/>
        <v/>
      </c>
      <c r="V62" s="29" t="str">
        <f t="shared" si="8"/>
        <v/>
      </c>
      <c r="W62" s="116"/>
      <c r="X62" s="113"/>
    </row>
    <row r="63" spans="1:24" ht="18" customHeight="1">
      <c r="A63" s="27"/>
      <c r="B63" s="35" t="s">
        <v>166</v>
      </c>
      <c r="C63" s="36" t="s">
        <v>45</v>
      </c>
      <c r="D63" s="37">
        <v>3.4889999999999999</v>
      </c>
      <c r="E63" s="37">
        <v>3.5000000000000003E-2</v>
      </c>
      <c r="F63" s="37">
        <v>-3.5000000000000003E-2</v>
      </c>
      <c r="G63" s="37">
        <v>3.5187499999999998</v>
      </c>
      <c r="H63" s="37">
        <v>3.4592499999999999</v>
      </c>
      <c r="I63" s="37"/>
      <c r="J63" s="37"/>
      <c r="K63" s="36" t="s">
        <v>46</v>
      </c>
      <c r="L63" s="39"/>
      <c r="M63" s="39"/>
      <c r="N63" s="39"/>
      <c r="O63" s="28" t="str">
        <f t="shared" si="9"/>
        <v xml:space="preserve"> </v>
      </c>
      <c r="P63" s="28" t="str">
        <f t="shared" si="10"/>
        <v xml:space="preserve"> </v>
      </c>
      <c r="Q63" s="28" t="str">
        <f t="shared" si="11"/>
        <v xml:space="preserve"> </v>
      </c>
      <c r="R63" s="29" t="str">
        <f t="shared" si="12"/>
        <v xml:space="preserve"> </v>
      </c>
      <c r="S63" s="30" t="str">
        <f t="shared" si="13"/>
        <v xml:space="preserve"> </v>
      </c>
      <c r="T63" s="31" t="str">
        <f t="shared" si="14"/>
        <v xml:space="preserve"> </v>
      </c>
      <c r="U63" s="29" t="str">
        <f t="shared" si="6"/>
        <v/>
      </c>
      <c r="V63" s="29" t="str">
        <f t="shared" si="8"/>
        <v/>
      </c>
      <c r="W63" s="116"/>
      <c r="X63" s="113"/>
    </row>
    <row r="64" spans="1:24" ht="18" customHeight="1">
      <c r="A64" s="27"/>
      <c r="B64" s="35">
        <v>41</v>
      </c>
      <c r="C64" s="36" t="s">
        <v>45</v>
      </c>
      <c r="D64" s="37">
        <v>2.6480000000000001</v>
      </c>
      <c r="E64" s="37">
        <v>0.03</v>
      </c>
      <c r="F64" s="37">
        <v>-0.03</v>
      </c>
      <c r="G64" s="37">
        <v>2.6735000000000002</v>
      </c>
      <c r="H64" s="37">
        <v>2.6225000000000001</v>
      </c>
      <c r="I64" s="37"/>
      <c r="J64" s="37"/>
      <c r="K64" s="36" t="s">
        <v>46</v>
      </c>
      <c r="L64" s="39"/>
      <c r="M64" s="39"/>
      <c r="N64" s="39"/>
      <c r="O64" s="28" t="str">
        <f t="shared" si="9"/>
        <v xml:space="preserve"> </v>
      </c>
      <c r="P64" s="28" t="str">
        <f t="shared" si="10"/>
        <v xml:space="preserve"> </v>
      </c>
      <c r="Q64" s="28" t="str">
        <f t="shared" si="11"/>
        <v xml:space="preserve"> </v>
      </c>
      <c r="R64" s="29" t="str">
        <f t="shared" si="12"/>
        <v xml:space="preserve"> </v>
      </c>
      <c r="S64" s="30" t="str">
        <f t="shared" si="13"/>
        <v xml:space="preserve"> </v>
      </c>
      <c r="T64" s="31" t="str">
        <f t="shared" si="14"/>
        <v xml:space="preserve"> </v>
      </c>
      <c r="U64" s="29" t="str">
        <f t="shared" si="6"/>
        <v/>
      </c>
      <c r="V64" s="29" t="str">
        <f t="shared" si="8"/>
        <v/>
      </c>
      <c r="W64" s="116"/>
      <c r="X64" s="113"/>
    </row>
    <row r="65" spans="1:24" ht="18" customHeight="1">
      <c r="A65" s="27"/>
      <c r="B65" s="35" t="s">
        <v>167</v>
      </c>
      <c r="C65" s="36" t="s">
        <v>45</v>
      </c>
      <c r="D65" s="37">
        <v>3.2290000000000001</v>
      </c>
      <c r="E65" s="37">
        <v>3.5000000000000003E-2</v>
      </c>
      <c r="F65" s="37">
        <v>-3.5000000000000003E-2</v>
      </c>
      <c r="G65" s="37">
        <v>3.25875</v>
      </c>
      <c r="H65" s="37">
        <v>3.1992500000000001</v>
      </c>
      <c r="I65" s="37"/>
      <c r="J65" s="37"/>
      <c r="K65" s="36" t="s">
        <v>46</v>
      </c>
      <c r="L65" s="39"/>
      <c r="M65" s="39"/>
      <c r="N65" s="39"/>
      <c r="O65" s="28" t="str">
        <f t="shared" si="9"/>
        <v xml:space="preserve"> </v>
      </c>
      <c r="P65" s="28" t="str">
        <f t="shared" si="10"/>
        <v xml:space="preserve"> </v>
      </c>
      <c r="Q65" s="28" t="str">
        <f t="shared" si="11"/>
        <v xml:space="preserve"> </v>
      </c>
      <c r="R65" s="29" t="str">
        <f t="shared" si="12"/>
        <v xml:space="preserve"> </v>
      </c>
      <c r="S65" s="30" t="str">
        <f t="shared" si="13"/>
        <v xml:space="preserve"> </v>
      </c>
      <c r="T65" s="31" t="str">
        <f t="shared" si="14"/>
        <v xml:space="preserve"> </v>
      </c>
      <c r="U65" s="29" t="str">
        <f t="shared" si="6"/>
        <v/>
      </c>
      <c r="V65" s="29" t="str">
        <f t="shared" si="8"/>
        <v/>
      </c>
      <c r="W65" s="116"/>
      <c r="X65" s="113"/>
    </row>
    <row r="66" spans="1:24" ht="18" customHeight="1">
      <c r="A66" s="27"/>
      <c r="B66" s="35">
        <v>46</v>
      </c>
      <c r="C66" s="36" t="s">
        <v>45</v>
      </c>
      <c r="D66" s="37">
        <v>12.571999999999999</v>
      </c>
      <c r="E66" s="37">
        <v>0.04</v>
      </c>
      <c r="F66" s="37">
        <v>-0.02</v>
      </c>
      <c r="G66" s="37">
        <v>12.606</v>
      </c>
      <c r="H66" s="37">
        <v>12.555</v>
      </c>
      <c r="I66" s="37"/>
      <c r="J66" s="37"/>
      <c r="K66" s="36" t="s">
        <v>46</v>
      </c>
      <c r="L66" s="39"/>
      <c r="M66" s="39"/>
      <c r="N66" s="39"/>
      <c r="O66" s="28" t="str">
        <f t="shared" si="9"/>
        <v xml:space="preserve"> </v>
      </c>
      <c r="P66" s="28" t="str">
        <f t="shared" si="10"/>
        <v xml:space="preserve"> </v>
      </c>
      <c r="Q66" s="28" t="str">
        <f t="shared" si="11"/>
        <v xml:space="preserve"> </v>
      </c>
      <c r="R66" s="29" t="str">
        <f t="shared" si="12"/>
        <v xml:space="preserve"> </v>
      </c>
      <c r="S66" s="30" t="str">
        <f t="shared" si="13"/>
        <v xml:space="preserve"> </v>
      </c>
      <c r="T66" s="31" t="str">
        <f t="shared" si="14"/>
        <v xml:space="preserve"> </v>
      </c>
      <c r="U66" s="29" t="str">
        <f t="shared" si="6"/>
        <v/>
      </c>
      <c r="V66" s="29" t="str">
        <f t="shared" si="8"/>
        <v/>
      </c>
      <c r="W66" s="116"/>
      <c r="X66" s="113"/>
    </row>
    <row r="67" spans="1:24" ht="18" customHeight="1">
      <c r="A67" s="27"/>
      <c r="B67" s="35" t="s">
        <v>168</v>
      </c>
      <c r="C67" s="36" t="s">
        <v>45</v>
      </c>
      <c r="D67" s="37">
        <v>16.858000000000001</v>
      </c>
      <c r="E67" s="37">
        <v>2.5000000000000001E-2</v>
      </c>
      <c r="F67" s="37">
        <v>-2.5000000000000001E-2</v>
      </c>
      <c r="G67" s="37">
        <v>16.879249999999999</v>
      </c>
      <c r="H67" s="37">
        <v>16.836750000000002</v>
      </c>
      <c r="I67" s="37"/>
      <c r="J67" s="37"/>
      <c r="K67" s="36" t="s">
        <v>46</v>
      </c>
      <c r="L67" s="39"/>
      <c r="M67" s="39"/>
      <c r="N67" s="39"/>
      <c r="O67" s="28" t="str">
        <f t="shared" si="9"/>
        <v xml:space="preserve"> </v>
      </c>
      <c r="P67" s="28" t="str">
        <f t="shared" si="10"/>
        <v xml:space="preserve"> </v>
      </c>
      <c r="Q67" s="28" t="str">
        <f t="shared" si="11"/>
        <v xml:space="preserve"> </v>
      </c>
      <c r="R67" s="29" t="str">
        <f t="shared" si="12"/>
        <v xml:space="preserve"> </v>
      </c>
      <c r="S67" s="30" t="str">
        <f t="shared" si="13"/>
        <v xml:space="preserve"> </v>
      </c>
      <c r="T67" s="31" t="str">
        <f t="shared" si="14"/>
        <v xml:space="preserve"> </v>
      </c>
      <c r="U67" s="29" t="str">
        <f t="shared" si="6"/>
        <v/>
      </c>
      <c r="V67" s="29" t="str">
        <f t="shared" ref="V67:V98" si="15">IF(L67="","",IF(ISERR(F67/F67)=TRUE,"",IF(ISERR(F67/D67)=TRUE,IF((F67-MIN(L67:N67))&gt;0.001,"Reject",""),IF(ISNUMBER($T67)=TRUE,IF($T67&gt;0.651,IF($T67&gt;1.001,"Reject","Alert"),""),""))))</f>
        <v/>
      </c>
      <c r="W67" s="116"/>
      <c r="X67" s="113"/>
    </row>
    <row r="68" spans="1:24" ht="18" customHeight="1">
      <c r="A68" s="27"/>
      <c r="B68" s="35" t="s">
        <v>169</v>
      </c>
      <c r="C68" s="36" t="s">
        <v>45</v>
      </c>
      <c r="D68" s="37">
        <v>8.0310000000000006</v>
      </c>
      <c r="E68" s="37">
        <v>0.02</v>
      </c>
      <c r="F68" s="37">
        <v>-0.02</v>
      </c>
      <c r="G68" s="37">
        <v>8.048</v>
      </c>
      <c r="H68" s="37">
        <v>8.0140000000000011</v>
      </c>
      <c r="I68" s="37"/>
      <c r="J68" s="37"/>
      <c r="K68" s="36" t="s">
        <v>46</v>
      </c>
      <c r="L68" s="39"/>
      <c r="M68" s="39"/>
      <c r="N68" s="39"/>
      <c r="O68" s="28" t="str">
        <f t="shared" si="9"/>
        <v xml:space="preserve"> </v>
      </c>
      <c r="P68" s="28" t="str">
        <f t="shared" si="10"/>
        <v xml:space="preserve"> </v>
      </c>
      <c r="Q68" s="28" t="str">
        <f t="shared" si="11"/>
        <v xml:space="preserve"> </v>
      </c>
      <c r="R68" s="29" t="str">
        <f t="shared" si="12"/>
        <v xml:space="preserve"> </v>
      </c>
      <c r="S68" s="30" t="str">
        <f t="shared" si="13"/>
        <v xml:space="preserve"> </v>
      </c>
      <c r="T68" s="31" t="str">
        <f t="shared" si="14"/>
        <v xml:space="preserve"> </v>
      </c>
      <c r="U68" s="29" t="str">
        <f t="shared" si="6"/>
        <v/>
      </c>
      <c r="V68" s="29" t="str">
        <f t="shared" si="15"/>
        <v/>
      </c>
      <c r="W68" s="116"/>
      <c r="X68" s="113"/>
    </row>
    <row r="69" spans="1:24" ht="18" customHeight="1">
      <c r="A69" s="27"/>
      <c r="B69" s="35" t="s">
        <v>170</v>
      </c>
      <c r="C69" s="36" t="s">
        <v>45</v>
      </c>
      <c r="D69" s="37">
        <v>0.28000000000000003</v>
      </c>
      <c r="E69" s="37">
        <v>0.02</v>
      </c>
      <c r="F69" s="37">
        <v>-0.02</v>
      </c>
      <c r="G69" s="37">
        <v>0.29700000000000004</v>
      </c>
      <c r="H69" s="37">
        <v>0.26300000000000001</v>
      </c>
      <c r="I69" s="37"/>
      <c r="J69" s="37"/>
      <c r="K69" s="36" t="s">
        <v>46</v>
      </c>
      <c r="L69" s="39"/>
      <c r="M69" s="39"/>
      <c r="N69" s="39"/>
      <c r="O69" s="28" t="str">
        <f t="shared" si="9"/>
        <v xml:space="preserve"> </v>
      </c>
      <c r="P69" s="28" t="str">
        <f t="shared" si="10"/>
        <v xml:space="preserve"> </v>
      </c>
      <c r="Q69" s="28" t="str">
        <f t="shared" si="11"/>
        <v xml:space="preserve"> </v>
      </c>
      <c r="R69" s="29" t="str">
        <f t="shared" si="12"/>
        <v xml:space="preserve"> </v>
      </c>
      <c r="S69" s="30" t="str">
        <f t="shared" si="13"/>
        <v xml:space="preserve"> </v>
      </c>
      <c r="T69" s="31" t="str">
        <f t="shared" si="14"/>
        <v xml:space="preserve"> </v>
      </c>
      <c r="U69" s="29" t="str">
        <f t="shared" si="6"/>
        <v/>
      </c>
      <c r="V69" s="29" t="str">
        <f t="shared" si="15"/>
        <v/>
      </c>
      <c r="W69" s="116"/>
      <c r="X69" s="113"/>
    </row>
    <row r="70" spans="1:24" ht="18" customHeight="1">
      <c r="A70" s="27"/>
      <c r="B70" s="35" t="s">
        <v>171</v>
      </c>
      <c r="C70" s="36" t="s">
        <v>45</v>
      </c>
      <c r="D70" s="37">
        <v>2.44</v>
      </c>
      <c r="E70" s="37">
        <v>0.03</v>
      </c>
      <c r="F70" s="37">
        <v>-0.02</v>
      </c>
      <c r="G70" s="37">
        <v>2.4655</v>
      </c>
      <c r="H70" s="37">
        <v>2.423</v>
      </c>
      <c r="I70" s="37"/>
      <c r="J70" s="37"/>
      <c r="K70" s="36" t="s">
        <v>46</v>
      </c>
      <c r="L70" s="39"/>
      <c r="M70" s="39"/>
      <c r="N70" s="39"/>
      <c r="O70" s="28" t="str">
        <f t="shared" ref="O70:O101" si="16">IF(ISERR(L70/L70)=TRUE," ",L70-$D70)</f>
        <v xml:space="preserve"> </v>
      </c>
      <c r="P70" s="28" t="str">
        <f t="shared" ref="P70:P101" si="17">IF(ISERR(M70/M70)=TRUE," ",M70-$D70)</f>
        <v xml:space="preserve"> </v>
      </c>
      <c r="Q70" s="28" t="str">
        <f t="shared" ref="Q70:Q101" si="18">IF(ISERR(N70/N70)=TRUE," ",N70-$D70)</f>
        <v xml:space="preserve"> </v>
      </c>
      <c r="R70" s="29" t="str">
        <f t="shared" ref="R70:R101" si="19">IF(ISERR(L70/L70)=TRUE," ",AVERAGE(L70:N70))</f>
        <v xml:space="preserve"> </v>
      </c>
      <c r="S70" s="30" t="str">
        <f t="shared" ref="S70:S101" si="20">IF(ISERR(E70/E70)=TRUE," ",IF(ISERR(L70/L70)=TRUE," ",IF(ISNUMBER($L70)=FALSE," ",IF(MAX($L70:$N70)&lt;$D70,0,(MAX($L70:$N70)-$D70)/$E70))))</f>
        <v xml:space="preserve"> </v>
      </c>
      <c r="T70" s="31" t="str">
        <f t="shared" ref="T70:T101" si="21">IF(ISERR(F70/D70)=TRUE," ",IF(ISERR(F70/F70)=TRUE," ",IF(ISERR(L70/L70)=TRUE," ",IF(ISNUMBER(L70)=FALSE," ",IF(MIN(L70:N70)&gt;$D70,0,($D70-MIN(L70:N70))/-F70)))))</f>
        <v xml:space="preserve"> </v>
      </c>
      <c r="U70" s="29" t="str">
        <f t="shared" si="6"/>
        <v/>
      </c>
      <c r="V70" s="29" t="str">
        <f t="shared" si="15"/>
        <v/>
      </c>
      <c r="W70" s="116"/>
      <c r="X70" s="113"/>
    </row>
    <row r="71" spans="1:24" ht="18" customHeight="1">
      <c r="A71" s="27"/>
      <c r="B71" s="35" t="s">
        <v>172</v>
      </c>
      <c r="C71" s="36" t="s">
        <v>45</v>
      </c>
      <c r="D71" s="37">
        <v>1.28</v>
      </c>
      <c r="E71" s="37">
        <v>0.01</v>
      </c>
      <c r="F71" s="37">
        <v>-0.04</v>
      </c>
      <c r="G71" s="37">
        <v>1.2885</v>
      </c>
      <c r="H71" s="37">
        <v>1.246</v>
      </c>
      <c r="I71" s="37"/>
      <c r="J71" s="37"/>
      <c r="K71" s="36" t="s">
        <v>46</v>
      </c>
      <c r="L71" s="39"/>
      <c r="M71" s="39"/>
      <c r="N71" s="39"/>
      <c r="O71" s="28" t="str">
        <f t="shared" si="16"/>
        <v xml:space="preserve"> </v>
      </c>
      <c r="P71" s="28" t="str">
        <f t="shared" si="17"/>
        <v xml:space="preserve"> </v>
      </c>
      <c r="Q71" s="28" t="str">
        <f t="shared" si="18"/>
        <v xml:space="preserve"> </v>
      </c>
      <c r="R71" s="29" t="str">
        <f t="shared" si="19"/>
        <v xml:space="preserve"> </v>
      </c>
      <c r="S71" s="30" t="str">
        <f t="shared" si="20"/>
        <v xml:space="preserve"> </v>
      </c>
      <c r="T71" s="31" t="str">
        <f t="shared" si="21"/>
        <v xml:space="preserve"> </v>
      </c>
      <c r="U71" s="29" t="str">
        <f t="shared" ref="U71:U143" si="22">IF(ISNUMBER($S71)=TRUE,IF($S71&gt;0.651,IF($S71&gt;1.001,"Reject","Alert"),""),"")</f>
        <v/>
      </c>
      <c r="V71" s="29" t="str">
        <f t="shared" si="15"/>
        <v/>
      </c>
      <c r="W71" s="116"/>
      <c r="X71" s="113"/>
    </row>
    <row r="72" spans="1:24" ht="18" customHeight="1">
      <c r="A72" s="27"/>
      <c r="B72" s="35" t="s">
        <v>173</v>
      </c>
      <c r="C72" s="36" t="s">
        <v>226</v>
      </c>
      <c r="D72" s="37"/>
      <c r="E72" s="37">
        <v>7.4999999999999997E-2</v>
      </c>
      <c r="F72" s="37"/>
      <c r="G72" s="37">
        <v>6.3750000000000001E-2</v>
      </c>
      <c r="H72" s="37">
        <v>0</v>
      </c>
      <c r="I72" s="37"/>
      <c r="J72" s="37"/>
      <c r="K72" s="36" t="s">
        <v>46</v>
      </c>
      <c r="L72" s="39"/>
      <c r="M72" s="39"/>
      <c r="N72" s="39"/>
      <c r="O72" s="28" t="str">
        <f t="shared" si="16"/>
        <v xml:space="preserve"> </v>
      </c>
      <c r="P72" s="28" t="str">
        <f t="shared" si="17"/>
        <v xml:space="preserve"> </v>
      </c>
      <c r="Q72" s="28" t="str">
        <f t="shared" si="18"/>
        <v xml:space="preserve"> </v>
      </c>
      <c r="R72" s="29" t="str">
        <f t="shared" si="19"/>
        <v xml:space="preserve"> </v>
      </c>
      <c r="S72" s="30" t="str">
        <f t="shared" si="20"/>
        <v xml:space="preserve"> </v>
      </c>
      <c r="T72" s="31" t="str">
        <f t="shared" si="21"/>
        <v xml:space="preserve"> </v>
      </c>
      <c r="U72" s="29" t="str">
        <f t="shared" si="22"/>
        <v/>
      </c>
      <c r="V72" s="29" t="str">
        <f t="shared" si="15"/>
        <v/>
      </c>
      <c r="W72" s="116"/>
      <c r="X72" s="113"/>
    </row>
    <row r="73" spans="1:24" ht="18" customHeight="1">
      <c r="A73" s="27"/>
      <c r="B73" s="35" t="s">
        <v>174</v>
      </c>
      <c r="C73" s="36" t="s">
        <v>226</v>
      </c>
      <c r="D73" s="37"/>
      <c r="E73" s="37">
        <v>7.4999999999999997E-2</v>
      </c>
      <c r="F73" s="37"/>
      <c r="G73" s="37">
        <v>6.3750000000000001E-2</v>
      </c>
      <c r="H73" s="37">
        <v>0</v>
      </c>
      <c r="I73" s="37"/>
      <c r="J73" s="37"/>
      <c r="K73" s="36" t="s">
        <v>46</v>
      </c>
      <c r="L73" s="39"/>
      <c r="M73" s="39"/>
      <c r="N73" s="39"/>
      <c r="O73" s="28" t="str">
        <f t="shared" si="16"/>
        <v xml:space="preserve"> </v>
      </c>
      <c r="P73" s="28" t="str">
        <f t="shared" si="17"/>
        <v xml:space="preserve"> </v>
      </c>
      <c r="Q73" s="28" t="str">
        <f t="shared" si="18"/>
        <v xml:space="preserve"> </v>
      </c>
      <c r="R73" s="29" t="str">
        <f t="shared" si="19"/>
        <v xml:space="preserve"> </v>
      </c>
      <c r="S73" s="30" t="str">
        <f t="shared" si="20"/>
        <v xml:space="preserve"> </v>
      </c>
      <c r="T73" s="31" t="str">
        <f t="shared" si="21"/>
        <v xml:space="preserve"> </v>
      </c>
      <c r="U73" s="29" t="str">
        <f t="shared" si="22"/>
        <v/>
      </c>
      <c r="V73" s="29" t="str">
        <f t="shared" si="15"/>
        <v/>
      </c>
      <c r="W73" s="116"/>
      <c r="X73" s="113"/>
    </row>
    <row r="74" spans="1:24" ht="18" customHeight="1">
      <c r="A74" s="27"/>
      <c r="B74" s="35" t="s">
        <v>175</v>
      </c>
      <c r="C74" s="36" t="s">
        <v>226</v>
      </c>
      <c r="D74" s="37"/>
      <c r="E74" s="37">
        <v>8.5000000000000006E-2</v>
      </c>
      <c r="F74" s="37"/>
      <c r="G74" s="37">
        <v>7.2250000000000009E-2</v>
      </c>
      <c r="H74" s="37">
        <v>0</v>
      </c>
      <c r="I74" s="37"/>
      <c r="J74" s="37"/>
      <c r="K74" s="36" t="s">
        <v>46</v>
      </c>
      <c r="L74" s="39"/>
      <c r="M74" s="39"/>
      <c r="N74" s="39"/>
      <c r="O74" s="28" t="str">
        <f t="shared" si="16"/>
        <v xml:space="preserve"> </v>
      </c>
      <c r="P74" s="28" t="str">
        <f t="shared" si="17"/>
        <v xml:space="preserve"> </v>
      </c>
      <c r="Q74" s="28" t="str">
        <f t="shared" si="18"/>
        <v xml:space="preserve"> </v>
      </c>
      <c r="R74" s="29" t="str">
        <f t="shared" si="19"/>
        <v xml:space="preserve"> </v>
      </c>
      <c r="S74" s="30" t="str">
        <f t="shared" si="20"/>
        <v xml:space="preserve"> </v>
      </c>
      <c r="T74" s="31" t="str">
        <f t="shared" si="21"/>
        <v xml:space="preserve"> </v>
      </c>
      <c r="U74" s="29" t="str">
        <f t="shared" si="22"/>
        <v/>
      </c>
      <c r="V74" s="29" t="str">
        <f t="shared" si="15"/>
        <v/>
      </c>
      <c r="W74" s="116"/>
      <c r="X74" s="113"/>
    </row>
    <row r="75" spans="1:24" ht="18" customHeight="1">
      <c r="A75" s="27"/>
      <c r="B75" s="35" t="s">
        <v>176</v>
      </c>
      <c r="C75" s="36" t="s">
        <v>226</v>
      </c>
      <c r="D75" s="37"/>
      <c r="E75" s="37">
        <v>8.5000000000000006E-2</v>
      </c>
      <c r="F75" s="37"/>
      <c r="G75" s="37">
        <v>7.2250000000000009E-2</v>
      </c>
      <c r="H75" s="37">
        <v>0</v>
      </c>
      <c r="I75" s="37"/>
      <c r="J75" s="37"/>
      <c r="K75" s="36" t="s">
        <v>46</v>
      </c>
      <c r="L75" s="39"/>
      <c r="M75" s="39"/>
      <c r="N75" s="39"/>
      <c r="O75" s="28" t="str">
        <f t="shared" si="16"/>
        <v xml:space="preserve"> </v>
      </c>
      <c r="P75" s="28" t="str">
        <f t="shared" si="17"/>
        <v xml:space="preserve"> </v>
      </c>
      <c r="Q75" s="28" t="str">
        <f t="shared" si="18"/>
        <v xml:space="preserve"> </v>
      </c>
      <c r="R75" s="29" t="str">
        <f t="shared" si="19"/>
        <v xml:space="preserve"> </v>
      </c>
      <c r="S75" s="30" t="str">
        <f t="shared" si="20"/>
        <v xml:space="preserve"> </v>
      </c>
      <c r="T75" s="31" t="str">
        <f t="shared" si="21"/>
        <v xml:space="preserve"> </v>
      </c>
      <c r="U75" s="29" t="str">
        <f t="shared" si="22"/>
        <v/>
      </c>
      <c r="V75" s="29" t="str">
        <f t="shared" si="15"/>
        <v/>
      </c>
      <c r="W75" s="116"/>
      <c r="X75" s="113"/>
    </row>
    <row r="76" spans="1:24" ht="18" customHeight="1">
      <c r="A76" s="27"/>
      <c r="B76" s="35" t="s">
        <v>177</v>
      </c>
      <c r="C76" s="36" t="s">
        <v>45</v>
      </c>
      <c r="D76" s="37">
        <v>0.64900000000000002</v>
      </c>
      <c r="E76" s="37">
        <v>0.03</v>
      </c>
      <c r="F76" s="37">
        <v>-0.02</v>
      </c>
      <c r="G76" s="37">
        <v>0.67449999999999999</v>
      </c>
      <c r="H76" s="37">
        <v>0.63200000000000001</v>
      </c>
      <c r="I76" s="37"/>
      <c r="J76" s="37"/>
      <c r="K76" s="36" t="s">
        <v>46</v>
      </c>
      <c r="L76" s="39"/>
      <c r="M76" s="39"/>
      <c r="N76" s="39"/>
      <c r="O76" s="28" t="str">
        <f t="shared" si="16"/>
        <v xml:space="preserve"> </v>
      </c>
      <c r="P76" s="28" t="str">
        <f t="shared" si="17"/>
        <v xml:space="preserve"> </v>
      </c>
      <c r="Q76" s="28" t="str">
        <f t="shared" si="18"/>
        <v xml:space="preserve"> </v>
      </c>
      <c r="R76" s="29" t="str">
        <f t="shared" si="19"/>
        <v xml:space="preserve"> </v>
      </c>
      <c r="S76" s="30" t="str">
        <f t="shared" si="20"/>
        <v xml:space="preserve"> </v>
      </c>
      <c r="T76" s="31" t="str">
        <f t="shared" si="21"/>
        <v xml:space="preserve"> </v>
      </c>
      <c r="U76" s="29" t="str">
        <f t="shared" si="22"/>
        <v/>
      </c>
      <c r="V76" s="29" t="str">
        <f t="shared" si="15"/>
        <v/>
      </c>
      <c r="W76" s="116"/>
      <c r="X76" s="113"/>
    </row>
    <row r="77" spans="1:24" ht="18" customHeight="1">
      <c r="A77" s="27"/>
      <c r="B77" s="35" t="s">
        <v>178</v>
      </c>
      <c r="C77" s="36" t="s">
        <v>45</v>
      </c>
      <c r="D77" s="37">
        <v>0.64900000000000002</v>
      </c>
      <c r="E77" s="37">
        <v>0.03</v>
      </c>
      <c r="F77" s="37">
        <v>-0.02</v>
      </c>
      <c r="G77" s="37">
        <v>0.67449999999999999</v>
      </c>
      <c r="H77" s="37">
        <v>0.63200000000000001</v>
      </c>
      <c r="I77" s="37"/>
      <c r="J77" s="37"/>
      <c r="K77" s="36" t="s">
        <v>46</v>
      </c>
      <c r="L77" s="39"/>
      <c r="M77" s="39"/>
      <c r="N77" s="39"/>
      <c r="O77" s="28" t="str">
        <f t="shared" si="16"/>
        <v xml:space="preserve"> </v>
      </c>
      <c r="P77" s="28" t="str">
        <f t="shared" si="17"/>
        <v xml:space="preserve"> </v>
      </c>
      <c r="Q77" s="28" t="str">
        <f t="shared" si="18"/>
        <v xml:space="preserve"> </v>
      </c>
      <c r="R77" s="29" t="str">
        <f t="shared" si="19"/>
        <v xml:space="preserve"> </v>
      </c>
      <c r="S77" s="30" t="str">
        <f t="shared" si="20"/>
        <v xml:space="preserve"> </v>
      </c>
      <c r="T77" s="31" t="str">
        <f t="shared" si="21"/>
        <v xml:space="preserve"> </v>
      </c>
      <c r="U77" s="29" t="str">
        <f t="shared" si="22"/>
        <v/>
      </c>
      <c r="V77" s="29" t="str">
        <f t="shared" si="15"/>
        <v/>
      </c>
      <c r="W77" s="116"/>
      <c r="X77" s="113"/>
    </row>
    <row r="78" spans="1:24" ht="18" customHeight="1">
      <c r="A78" s="27"/>
      <c r="B78" s="35" t="s">
        <v>179</v>
      </c>
      <c r="C78" s="36" t="s">
        <v>45</v>
      </c>
      <c r="D78" s="37">
        <v>16.788</v>
      </c>
      <c r="E78" s="37">
        <v>0.02</v>
      </c>
      <c r="F78" s="37">
        <v>-0.04</v>
      </c>
      <c r="G78" s="37">
        <v>16.805</v>
      </c>
      <c r="H78" s="37">
        <v>16.754000000000001</v>
      </c>
      <c r="I78" s="37"/>
      <c r="J78" s="37"/>
      <c r="K78" s="36" t="s">
        <v>46</v>
      </c>
      <c r="L78" s="39"/>
      <c r="M78" s="39"/>
      <c r="N78" s="39"/>
      <c r="O78" s="28" t="str">
        <f t="shared" si="16"/>
        <v xml:space="preserve"> </v>
      </c>
      <c r="P78" s="28" t="str">
        <f t="shared" si="17"/>
        <v xml:space="preserve"> </v>
      </c>
      <c r="Q78" s="28" t="str">
        <f t="shared" si="18"/>
        <v xml:space="preserve"> </v>
      </c>
      <c r="R78" s="29" t="str">
        <f t="shared" si="19"/>
        <v xml:space="preserve"> </v>
      </c>
      <c r="S78" s="30" t="str">
        <f t="shared" si="20"/>
        <v xml:space="preserve"> </v>
      </c>
      <c r="T78" s="31" t="str">
        <f t="shared" si="21"/>
        <v xml:space="preserve"> </v>
      </c>
      <c r="U78" s="29" t="str">
        <f t="shared" si="22"/>
        <v/>
      </c>
      <c r="V78" s="29" t="str">
        <f t="shared" si="15"/>
        <v/>
      </c>
      <c r="W78" s="116"/>
      <c r="X78" s="113"/>
    </row>
    <row r="79" spans="1:24" ht="18" customHeight="1">
      <c r="A79" s="27"/>
      <c r="B79" s="35">
        <v>66</v>
      </c>
      <c r="C79" s="36" t="s">
        <v>227</v>
      </c>
      <c r="D79" s="37">
        <v>0</v>
      </c>
      <c r="E79" s="37">
        <v>3</v>
      </c>
      <c r="F79" s="37">
        <v>-3</v>
      </c>
      <c r="G79" s="37">
        <v>2.5499999999999998</v>
      </c>
      <c r="H79" s="37">
        <v>-2.5499999999999998</v>
      </c>
      <c r="I79" s="37"/>
      <c r="J79" s="37"/>
      <c r="K79" s="36" t="s">
        <v>46</v>
      </c>
      <c r="L79" s="39"/>
      <c r="M79" s="39"/>
      <c r="N79" s="39"/>
      <c r="O79" s="28" t="str">
        <f t="shared" si="16"/>
        <v xml:space="preserve"> </v>
      </c>
      <c r="P79" s="28" t="str">
        <f t="shared" si="17"/>
        <v xml:space="preserve"> </v>
      </c>
      <c r="Q79" s="28" t="str">
        <f t="shared" si="18"/>
        <v xml:space="preserve"> </v>
      </c>
      <c r="R79" s="29" t="str">
        <f t="shared" si="19"/>
        <v xml:space="preserve"> </v>
      </c>
      <c r="S79" s="30" t="str">
        <f t="shared" si="20"/>
        <v xml:space="preserve"> </v>
      </c>
      <c r="T79" s="31" t="str">
        <f t="shared" si="21"/>
        <v xml:space="preserve"> </v>
      </c>
      <c r="U79" s="29" t="str">
        <f t="shared" si="22"/>
        <v/>
      </c>
      <c r="V79" s="29" t="str">
        <f t="shared" si="15"/>
        <v/>
      </c>
      <c r="W79" s="116"/>
      <c r="X79" s="113"/>
    </row>
    <row r="80" spans="1:24" ht="18" customHeight="1">
      <c r="A80" s="27"/>
      <c r="B80" s="35">
        <v>67</v>
      </c>
      <c r="C80" s="36" t="s">
        <v>45</v>
      </c>
      <c r="D80" s="37">
        <v>13.526999999999999</v>
      </c>
      <c r="E80" s="37">
        <v>0.6</v>
      </c>
      <c r="F80" s="37">
        <v>-0.6</v>
      </c>
      <c r="G80" s="37">
        <v>14.036999999999999</v>
      </c>
      <c r="H80" s="37">
        <v>13.016999999999999</v>
      </c>
      <c r="I80" s="37"/>
      <c r="J80" s="37"/>
      <c r="K80" s="36" t="s">
        <v>46</v>
      </c>
      <c r="L80" s="39"/>
      <c r="M80" s="39"/>
      <c r="N80" s="39"/>
      <c r="O80" s="28" t="str">
        <f t="shared" si="16"/>
        <v xml:space="preserve"> </v>
      </c>
      <c r="P80" s="28" t="str">
        <f t="shared" si="17"/>
        <v xml:space="preserve"> </v>
      </c>
      <c r="Q80" s="28" t="str">
        <f t="shared" si="18"/>
        <v xml:space="preserve"> </v>
      </c>
      <c r="R80" s="29" t="str">
        <f t="shared" si="19"/>
        <v xml:space="preserve"> </v>
      </c>
      <c r="S80" s="30" t="str">
        <f t="shared" si="20"/>
        <v xml:space="preserve"> </v>
      </c>
      <c r="T80" s="31" t="str">
        <f t="shared" si="21"/>
        <v xml:space="preserve"> </v>
      </c>
      <c r="U80" s="29" t="str">
        <f t="shared" si="22"/>
        <v/>
      </c>
      <c r="V80" s="29" t="str">
        <f t="shared" si="15"/>
        <v/>
      </c>
      <c r="W80" s="116"/>
      <c r="X80" s="113"/>
    </row>
    <row r="81" spans="1:24" ht="18" customHeight="1">
      <c r="A81" s="27"/>
      <c r="B81" s="35">
        <v>68</v>
      </c>
      <c r="C81" s="36" t="s">
        <v>45</v>
      </c>
      <c r="D81" s="37">
        <v>1.175</v>
      </c>
      <c r="E81" s="37">
        <v>0.3</v>
      </c>
      <c r="F81" s="37">
        <v>-0.3</v>
      </c>
      <c r="G81" s="37">
        <v>1.4300000000000002</v>
      </c>
      <c r="H81" s="37">
        <v>0.92</v>
      </c>
      <c r="I81" s="37"/>
      <c r="J81" s="37"/>
      <c r="K81" s="36" t="s">
        <v>46</v>
      </c>
      <c r="L81" s="39"/>
      <c r="M81" s="39"/>
      <c r="N81" s="39"/>
      <c r="O81" s="28" t="str">
        <f t="shared" si="16"/>
        <v xml:space="preserve"> </v>
      </c>
      <c r="P81" s="28" t="str">
        <f t="shared" si="17"/>
        <v xml:space="preserve"> </v>
      </c>
      <c r="Q81" s="28" t="str">
        <f t="shared" si="18"/>
        <v xml:space="preserve"> </v>
      </c>
      <c r="R81" s="29" t="str">
        <f t="shared" si="19"/>
        <v xml:space="preserve"> </v>
      </c>
      <c r="S81" s="30" t="str">
        <f t="shared" si="20"/>
        <v xml:space="preserve"> </v>
      </c>
      <c r="T81" s="31" t="str">
        <f t="shared" si="21"/>
        <v xml:space="preserve"> </v>
      </c>
      <c r="U81" s="29" t="str">
        <f t="shared" si="22"/>
        <v/>
      </c>
      <c r="V81" s="29" t="str">
        <f t="shared" si="15"/>
        <v/>
      </c>
      <c r="W81" s="116"/>
      <c r="X81" s="113"/>
    </row>
    <row r="82" spans="1:24" ht="18" customHeight="1">
      <c r="A82" s="27"/>
      <c r="B82" s="35" t="s">
        <v>105</v>
      </c>
      <c r="C82" s="36" t="s">
        <v>45</v>
      </c>
      <c r="D82" s="37">
        <v>14.513999999999999</v>
      </c>
      <c r="E82" s="37">
        <v>2.5000000000000001E-2</v>
      </c>
      <c r="F82" s="37">
        <v>-2.5000000000000001E-2</v>
      </c>
      <c r="G82" s="37">
        <v>14.53525</v>
      </c>
      <c r="H82" s="37">
        <v>14.492749999999999</v>
      </c>
      <c r="I82" s="37"/>
      <c r="J82" s="37"/>
      <c r="K82" s="36" t="s">
        <v>46</v>
      </c>
      <c r="L82" s="39"/>
      <c r="M82" s="39"/>
      <c r="N82" s="39"/>
      <c r="O82" s="28" t="str">
        <f t="shared" si="16"/>
        <v xml:space="preserve"> </v>
      </c>
      <c r="P82" s="28" t="str">
        <f t="shared" si="17"/>
        <v xml:space="preserve"> </v>
      </c>
      <c r="Q82" s="28" t="str">
        <f t="shared" si="18"/>
        <v xml:space="preserve"> </v>
      </c>
      <c r="R82" s="29" t="str">
        <f t="shared" si="19"/>
        <v xml:space="preserve"> </v>
      </c>
      <c r="S82" s="30" t="str">
        <f t="shared" si="20"/>
        <v xml:space="preserve"> </v>
      </c>
      <c r="T82" s="31" t="str">
        <f t="shared" si="21"/>
        <v xml:space="preserve"> </v>
      </c>
      <c r="U82" s="29" t="str">
        <f t="shared" si="22"/>
        <v/>
      </c>
      <c r="V82" s="29" t="str">
        <f t="shared" si="15"/>
        <v/>
      </c>
      <c r="W82" s="116"/>
      <c r="X82" s="113"/>
    </row>
    <row r="83" spans="1:24" ht="18" customHeight="1">
      <c r="A83" s="27"/>
      <c r="B83" s="35" t="s">
        <v>106</v>
      </c>
      <c r="C83" s="36" t="s">
        <v>45</v>
      </c>
      <c r="D83" s="37">
        <v>14.513999999999999</v>
      </c>
      <c r="E83" s="37">
        <v>2.5000000000000001E-2</v>
      </c>
      <c r="F83" s="37">
        <v>-2.5000000000000001E-2</v>
      </c>
      <c r="G83" s="37">
        <v>14.53525</v>
      </c>
      <c r="H83" s="37">
        <v>14.492749999999999</v>
      </c>
      <c r="I83" s="37"/>
      <c r="J83" s="37"/>
      <c r="K83" s="36" t="s">
        <v>46</v>
      </c>
      <c r="L83" s="39"/>
      <c r="M83" s="39"/>
      <c r="N83" s="39"/>
      <c r="O83" s="28" t="str">
        <f t="shared" si="16"/>
        <v xml:space="preserve"> </v>
      </c>
      <c r="P83" s="28" t="str">
        <f t="shared" si="17"/>
        <v xml:space="preserve"> </v>
      </c>
      <c r="Q83" s="28" t="str">
        <f t="shared" si="18"/>
        <v xml:space="preserve"> </v>
      </c>
      <c r="R83" s="29" t="str">
        <f t="shared" si="19"/>
        <v xml:space="preserve"> </v>
      </c>
      <c r="S83" s="30" t="str">
        <f t="shared" si="20"/>
        <v xml:space="preserve"> </v>
      </c>
      <c r="T83" s="31" t="str">
        <f t="shared" si="21"/>
        <v xml:space="preserve"> </v>
      </c>
      <c r="U83" s="29" t="str">
        <f t="shared" si="22"/>
        <v/>
      </c>
      <c r="V83" s="29" t="str">
        <f t="shared" si="15"/>
        <v/>
      </c>
      <c r="W83" s="116"/>
      <c r="X83" s="113"/>
    </row>
    <row r="84" spans="1:24" ht="18" customHeight="1">
      <c r="A84" s="27"/>
      <c r="B84" s="35" t="s">
        <v>180</v>
      </c>
      <c r="C84" s="36" t="s">
        <v>45</v>
      </c>
      <c r="D84" s="37">
        <v>0.23</v>
      </c>
      <c r="E84" s="37">
        <v>0.02</v>
      </c>
      <c r="F84" s="37">
        <v>-0.02</v>
      </c>
      <c r="G84" s="37">
        <v>0.247</v>
      </c>
      <c r="H84" s="37">
        <v>0.21300000000000002</v>
      </c>
      <c r="I84" s="37"/>
      <c r="J84" s="37"/>
      <c r="K84" s="36" t="s">
        <v>46</v>
      </c>
      <c r="L84" s="39"/>
      <c r="M84" s="39"/>
      <c r="N84" s="39"/>
      <c r="O84" s="28" t="str">
        <f t="shared" si="16"/>
        <v xml:space="preserve"> </v>
      </c>
      <c r="P84" s="28" t="str">
        <f t="shared" si="17"/>
        <v xml:space="preserve"> </v>
      </c>
      <c r="Q84" s="28" t="str">
        <f t="shared" si="18"/>
        <v xml:space="preserve"> </v>
      </c>
      <c r="R84" s="29" t="str">
        <f t="shared" si="19"/>
        <v xml:space="preserve"> </v>
      </c>
      <c r="S84" s="30" t="str">
        <f t="shared" si="20"/>
        <v xml:space="preserve"> </v>
      </c>
      <c r="T84" s="31" t="str">
        <f t="shared" si="21"/>
        <v xml:space="preserve"> </v>
      </c>
      <c r="U84" s="29" t="str">
        <f t="shared" si="22"/>
        <v/>
      </c>
      <c r="V84" s="29" t="str">
        <f t="shared" si="15"/>
        <v/>
      </c>
      <c r="W84" s="116"/>
      <c r="X84" s="113"/>
    </row>
    <row r="85" spans="1:24" ht="18" customHeight="1">
      <c r="A85" s="27"/>
      <c r="B85" s="35" t="s">
        <v>181</v>
      </c>
      <c r="C85" s="36" t="s">
        <v>45</v>
      </c>
      <c r="D85" s="37">
        <v>0.23</v>
      </c>
      <c r="E85" s="37">
        <v>0.02</v>
      </c>
      <c r="F85" s="37">
        <v>-0.02</v>
      </c>
      <c r="G85" s="37">
        <v>0.247</v>
      </c>
      <c r="H85" s="37">
        <v>0.21300000000000002</v>
      </c>
      <c r="I85" s="37"/>
      <c r="J85" s="37"/>
      <c r="K85" s="36" t="s">
        <v>46</v>
      </c>
      <c r="L85" s="39"/>
      <c r="M85" s="39"/>
      <c r="N85" s="39"/>
      <c r="O85" s="28" t="str">
        <f t="shared" si="16"/>
        <v xml:space="preserve"> </v>
      </c>
      <c r="P85" s="28" t="str">
        <f t="shared" si="17"/>
        <v xml:space="preserve"> </v>
      </c>
      <c r="Q85" s="28" t="str">
        <f t="shared" si="18"/>
        <v xml:space="preserve"> </v>
      </c>
      <c r="R85" s="29" t="str">
        <f t="shared" si="19"/>
        <v xml:space="preserve"> </v>
      </c>
      <c r="S85" s="30" t="str">
        <f t="shared" si="20"/>
        <v xml:space="preserve"> </v>
      </c>
      <c r="T85" s="31" t="str">
        <f t="shared" si="21"/>
        <v xml:space="preserve"> </v>
      </c>
      <c r="U85" s="29" t="str">
        <f t="shared" si="22"/>
        <v/>
      </c>
      <c r="V85" s="29" t="str">
        <f t="shared" si="15"/>
        <v/>
      </c>
      <c r="W85" s="116"/>
      <c r="X85" s="113"/>
    </row>
    <row r="86" spans="1:24" ht="18" customHeight="1">
      <c r="A86" s="27"/>
      <c r="B86" s="35" t="s">
        <v>182</v>
      </c>
      <c r="C86" s="36" t="s">
        <v>45</v>
      </c>
      <c r="D86" s="37">
        <v>13.281000000000001</v>
      </c>
      <c r="E86" s="37">
        <v>0.04</v>
      </c>
      <c r="F86" s="37">
        <v>-0.03</v>
      </c>
      <c r="G86" s="37">
        <v>13.315000000000001</v>
      </c>
      <c r="H86" s="37">
        <v>13.255500000000001</v>
      </c>
      <c r="I86" s="37"/>
      <c r="J86" s="37"/>
      <c r="K86" s="36" t="s">
        <v>46</v>
      </c>
      <c r="L86" s="39"/>
      <c r="M86" s="39"/>
      <c r="N86" s="39"/>
      <c r="O86" s="28" t="str">
        <f t="shared" si="16"/>
        <v xml:space="preserve"> </v>
      </c>
      <c r="P86" s="28" t="str">
        <f t="shared" si="17"/>
        <v xml:space="preserve"> </v>
      </c>
      <c r="Q86" s="28" t="str">
        <f t="shared" si="18"/>
        <v xml:space="preserve"> </v>
      </c>
      <c r="R86" s="29" t="str">
        <f t="shared" si="19"/>
        <v xml:space="preserve"> </v>
      </c>
      <c r="S86" s="30" t="str">
        <f t="shared" si="20"/>
        <v xml:space="preserve"> </v>
      </c>
      <c r="T86" s="31" t="str">
        <f t="shared" si="21"/>
        <v xml:space="preserve"> </v>
      </c>
      <c r="U86" s="29" t="str">
        <f t="shared" si="22"/>
        <v/>
      </c>
      <c r="V86" s="29" t="str">
        <f t="shared" si="15"/>
        <v/>
      </c>
      <c r="W86" s="116"/>
      <c r="X86" s="113"/>
    </row>
    <row r="87" spans="1:24" ht="18" customHeight="1">
      <c r="A87" s="27"/>
      <c r="B87" s="35" t="s">
        <v>183</v>
      </c>
      <c r="C87" s="36" t="s">
        <v>45</v>
      </c>
      <c r="D87" s="37">
        <v>11.708</v>
      </c>
      <c r="E87" s="37">
        <v>0.04</v>
      </c>
      <c r="F87" s="37">
        <v>-0.03</v>
      </c>
      <c r="G87" s="37">
        <v>11.742000000000001</v>
      </c>
      <c r="H87" s="37">
        <v>11.682500000000001</v>
      </c>
      <c r="I87" s="37"/>
      <c r="J87" s="37"/>
      <c r="K87" s="36" t="s">
        <v>46</v>
      </c>
      <c r="L87" s="39"/>
      <c r="M87" s="39"/>
      <c r="N87" s="39"/>
      <c r="O87" s="28" t="str">
        <f t="shared" si="16"/>
        <v xml:space="preserve"> </v>
      </c>
      <c r="P87" s="28" t="str">
        <f t="shared" si="17"/>
        <v xml:space="preserve"> </v>
      </c>
      <c r="Q87" s="28" t="str">
        <f t="shared" si="18"/>
        <v xml:space="preserve"> </v>
      </c>
      <c r="R87" s="29" t="str">
        <f t="shared" si="19"/>
        <v xml:space="preserve"> </v>
      </c>
      <c r="S87" s="30" t="str">
        <f t="shared" si="20"/>
        <v xml:space="preserve"> </v>
      </c>
      <c r="T87" s="31" t="str">
        <f t="shared" si="21"/>
        <v xml:space="preserve"> </v>
      </c>
      <c r="U87" s="29" t="str">
        <f t="shared" si="22"/>
        <v/>
      </c>
      <c r="V87" s="29" t="str">
        <f t="shared" si="15"/>
        <v/>
      </c>
      <c r="W87" s="116"/>
      <c r="X87" s="113"/>
    </row>
    <row r="88" spans="1:24" ht="18" customHeight="1">
      <c r="A88" s="27"/>
      <c r="B88" s="35" t="s">
        <v>184</v>
      </c>
      <c r="C88" s="36" t="s">
        <v>45</v>
      </c>
      <c r="D88" s="37">
        <v>2.6760000000000002</v>
      </c>
      <c r="E88" s="37">
        <v>0.04</v>
      </c>
      <c r="F88" s="37">
        <v>-0.03</v>
      </c>
      <c r="G88" s="37">
        <v>2.71</v>
      </c>
      <c r="H88" s="37">
        <v>2.6505000000000001</v>
      </c>
      <c r="I88" s="37"/>
      <c r="J88" s="37"/>
      <c r="K88" s="36" t="s">
        <v>46</v>
      </c>
      <c r="L88" s="39"/>
      <c r="M88" s="39"/>
      <c r="N88" s="39"/>
      <c r="O88" s="28" t="str">
        <f t="shared" si="16"/>
        <v xml:space="preserve"> </v>
      </c>
      <c r="P88" s="28" t="str">
        <f t="shared" si="17"/>
        <v xml:space="preserve"> </v>
      </c>
      <c r="Q88" s="28" t="str">
        <f t="shared" si="18"/>
        <v xml:space="preserve"> </v>
      </c>
      <c r="R88" s="29" t="str">
        <f t="shared" si="19"/>
        <v xml:space="preserve"> </v>
      </c>
      <c r="S88" s="30" t="str">
        <f t="shared" si="20"/>
        <v xml:space="preserve"> </v>
      </c>
      <c r="T88" s="31" t="str">
        <f t="shared" si="21"/>
        <v xml:space="preserve"> </v>
      </c>
      <c r="U88" s="29" t="str">
        <f t="shared" si="22"/>
        <v/>
      </c>
      <c r="V88" s="29" t="str">
        <f t="shared" si="15"/>
        <v/>
      </c>
      <c r="W88" s="116"/>
      <c r="X88" s="113"/>
    </row>
    <row r="89" spans="1:24" ht="18" customHeight="1">
      <c r="A89" s="27"/>
      <c r="B89" s="35" t="s">
        <v>185</v>
      </c>
      <c r="C89" s="36" t="s">
        <v>45</v>
      </c>
      <c r="D89" s="37">
        <v>1.103</v>
      </c>
      <c r="E89" s="37">
        <v>0.04</v>
      </c>
      <c r="F89" s="37">
        <v>-0.03</v>
      </c>
      <c r="G89" s="37">
        <v>1.137</v>
      </c>
      <c r="H89" s="37">
        <v>1.0774999999999999</v>
      </c>
      <c r="I89" s="37"/>
      <c r="J89" s="37"/>
      <c r="K89" s="36" t="s">
        <v>46</v>
      </c>
      <c r="L89" s="39"/>
      <c r="M89" s="39"/>
      <c r="N89" s="39"/>
      <c r="O89" s="28" t="str">
        <f t="shared" si="16"/>
        <v xml:space="preserve"> </v>
      </c>
      <c r="P89" s="28" t="str">
        <f t="shared" si="17"/>
        <v xml:space="preserve"> </v>
      </c>
      <c r="Q89" s="28" t="str">
        <f t="shared" si="18"/>
        <v xml:space="preserve"> </v>
      </c>
      <c r="R89" s="29" t="str">
        <f t="shared" si="19"/>
        <v xml:space="preserve"> </v>
      </c>
      <c r="S89" s="30" t="str">
        <f t="shared" si="20"/>
        <v xml:space="preserve"> </v>
      </c>
      <c r="T89" s="31" t="str">
        <f t="shared" si="21"/>
        <v xml:space="preserve"> </v>
      </c>
      <c r="U89" s="29" t="str">
        <f t="shared" si="22"/>
        <v/>
      </c>
      <c r="V89" s="29" t="str">
        <f t="shared" si="15"/>
        <v/>
      </c>
      <c r="W89" s="116"/>
      <c r="X89" s="113"/>
    </row>
    <row r="90" spans="1:24" ht="18" customHeight="1">
      <c r="A90" s="27"/>
      <c r="B90" s="35" t="s">
        <v>186</v>
      </c>
      <c r="C90" s="36" t="s">
        <v>45</v>
      </c>
      <c r="D90" s="37">
        <v>1.103</v>
      </c>
      <c r="E90" s="37">
        <v>0.04</v>
      </c>
      <c r="F90" s="37">
        <v>-0.03</v>
      </c>
      <c r="G90" s="37">
        <v>1.137</v>
      </c>
      <c r="H90" s="37">
        <v>1.0774999999999999</v>
      </c>
      <c r="I90" s="37"/>
      <c r="J90" s="37"/>
      <c r="K90" s="36" t="s">
        <v>46</v>
      </c>
      <c r="L90" s="39"/>
      <c r="M90" s="39"/>
      <c r="N90" s="39"/>
      <c r="O90" s="28" t="str">
        <f t="shared" si="16"/>
        <v xml:space="preserve"> </v>
      </c>
      <c r="P90" s="28" t="str">
        <f t="shared" si="17"/>
        <v xml:space="preserve"> </v>
      </c>
      <c r="Q90" s="28" t="str">
        <f t="shared" si="18"/>
        <v xml:space="preserve"> </v>
      </c>
      <c r="R90" s="29" t="str">
        <f t="shared" si="19"/>
        <v xml:space="preserve"> </v>
      </c>
      <c r="S90" s="30" t="str">
        <f t="shared" si="20"/>
        <v xml:space="preserve"> </v>
      </c>
      <c r="T90" s="31" t="str">
        <f t="shared" si="21"/>
        <v xml:space="preserve"> </v>
      </c>
      <c r="U90" s="29" t="str">
        <f t="shared" si="22"/>
        <v/>
      </c>
      <c r="V90" s="29" t="str">
        <f t="shared" si="15"/>
        <v/>
      </c>
      <c r="W90" s="116"/>
      <c r="X90" s="113"/>
    </row>
    <row r="91" spans="1:24" ht="18" customHeight="1">
      <c r="A91" s="27"/>
      <c r="B91" s="35" t="s">
        <v>107</v>
      </c>
      <c r="C91" s="36" t="s">
        <v>45</v>
      </c>
      <c r="D91" s="37">
        <v>2.6760000000000002</v>
      </c>
      <c r="E91" s="37">
        <v>0.04</v>
      </c>
      <c r="F91" s="37">
        <v>-0.03</v>
      </c>
      <c r="G91" s="37">
        <v>2.71</v>
      </c>
      <c r="H91" s="37">
        <v>2.6505000000000001</v>
      </c>
      <c r="I91" s="37"/>
      <c r="J91" s="37"/>
      <c r="K91" s="36" t="s">
        <v>46</v>
      </c>
      <c r="L91" s="39"/>
      <c r="M91" s="39"/>
      <c r="N91" s="39"/>
      <c r="O91" s="28" t="str">
        <f t="shared" si="16"/>
        <v xml:space="preserve"> </v>
      </c>
      <c r="P91" s="28" t="str">
        <f t="shared" si="17"/>
        <v xml:space="preserve"> </v>
      </c>
      <c r="Q91" s="28" t="str">
        <f t="shared" si="18"/>
        <v xml:space="preserve"> </v>
      </c>
      <c r="R91" s="29" t="str">
        <f t="shared" si="19"/>
        <v xml:space="preserve"> </v>
      </c>
      <c r="S91" s="30" t="str">
        <f t="shared" si="20"/>
        <v xml:space="preserve"> </v>
      </c>
      <c r="T91" s="31" t="str">
        <f t="shared" si="21"/>
        <v xml:space="preserve"> </v>
      </c>
      <c r="U91" s="29" t="str">
        <f t="shared" si="22"/>
        <v/>
      </c>
      <c r="V91" s="29" t="str">
        <f t="shared" si="15"/>
        <v/>
      </c>
      <c r="W91" s="116"/>
      <c r="X91" s="113"/>
    </row>
    <row r="92" spans="1:24" ht="18" customHeight="1">
      <c r="A92" s="27"/>
      <c r="B92" s="35" t="s">
        <v>222</v>
      </c>
      <c r="C92" s="36" t="s">
        <v>45</v>
      </c>
      <c r="D92" s="37">
        <v>16.46</v>
      </c>
      <c r="E92" s="37">
        <v>0.03</v>
      </c>
      <c r="F92" s="37">
        <v>-0.03</v>
      </c>
      <c r="G92" s="37">
        <v>16.485500000000002</v>
      </c>
      <c r="H92" s="37">
        <v>16.4345</v>
      </c>
      <c r="I92" s="37">
        <v>16.482500000000002</v>
      </c>
      <c r="J92" s="37">
        <v>16.4375</v>
      </c>
      <c r="K92" s="36" t="s">
        <v>46</v>
      </c>
      <c r="L92" s="39"/>
      <c r="M92" s="39"/>
      <c r="N92" s="39"/>
      <c r="O92" s="28" t="str">
        <f t="shared" si="16"/>
        <v xml:space="preserve"> </v>
      </c>
      <c r="P92" s="28" t="str">
        <f t="shared" si="17"/>
        <v xml:space="preserve"> </v>
      </c>
      <c r="Q92" s="28" t="str">
        <f t="shared" si="18"/>
        <v xml:space="preserve"> </v>
      </c>
      <c r="R92" s="29" t="str">
        <f t="shared" si="19"/>
        <v xml:space="preserve"> </v>
      </c>
      <c r="S92" s="30" t="str">
        <f t="shared" si="20"/>
        <v xml:space="preserve"> </v>
      </c>
      <c r="T92" s="31" t="str">
        <f t="shared" si="21"/>
        <v xml:space="preserve"> </v>
      </c>
      <c r="U92" s="29" t="str">
        <f t="shared" si="22"/>
        <v/>
      </c>
      <c r="V92" s="29" t="str">
        <f t="shared" si="15"/>
        <v/>
      </c>
      <c r="W92" s="116"/>
      <c r="X92" s="113"/>
    </row>
    <row r="93" spans="1:24" ht="18" customHeight="1">
      <c r="A93" s="27"/>
      <c r="B93" s="35" t="s">
        <v>223</v>
      </c>
      <c r="C93" s="36" t="s">
        <v>45</v>
      </c>
      <c r="D93" s="37">
        <v>16.46</v>
      </c>
      <c r="E93" s="37">
        <v>0.03</v>
      </c>
      <c r="F93" s="37">
        <v>-0.03</v>
      </c>
      <c r="G93" s="37">
        <v>16.485500000000002</v>
      </c>
      <c r="H93" s="37">
        <v>16.4345</v>
      </c>
      <c r="I93" s="37">
        <v>16.482500000000002</v>
      </c>
      <c r="J93" s="37">
        <v>16.4375</v>
      </c>
      <c r="K93" s="36" t="s">
        <v>46</v>
      </c>
      <c r="L93" s="39"/>
      <c r="M93" s="39"/>
      <c r="N93" s="39"/>
      <c r="O93" s="28" t="str">
        <f t="shared" si="16"/>
        <v xml:space="preserve"> </v>
      </c>
      <c r="P93" s="28" t="str">
        <f t="shared" si="17"/>
        <v xml:space="preserve"> </v>
      </c>
      <c r="Q93" s="28" t="str">
        <f t="shared" si="18"/>
        <v xml:space="preserve"> </v>
      </c>
      <c r="R93" s="29" t="str">
        <f t="shared" si="19"/>
        <v xml:space="preserve"> </v>
      </c>
      <c r="S93" s="30" t="str">
        <f t="shared" si="20"/>
        <v xml:space="preserve"> </v>
      </c>
      <c r="T93" s="31" t="str">
        <f t="shared" si="21"/>
        <v xml:space="preserve"> </v>
      </c>
      <c r="U93" s="29" t="str">
        <f t="shared" si="22"/>
        <v/>
      </c>
      <c r="V93" s="29" t="str">
        <f t="shared" si="15"/>
        <v/>
      </c>
      <c r="W93" s="116"/>
      <c r="X93" s="113"/>
    </row>
    <row r="94" spans="1:24" ht="18" customHeight="1">
      <c r="A94" s="27"/>
      <c r="B94" s="35" t="s">
        <v>273</v>
      </c>
      <c r="C94" s="36" t="s">
        <v>45</v>
      </c>
      <c r="D94" s="37">
        <v>16.46</v>
      </c>
      <c r="E94" s="37">
        <v>0.03</v>
      </c>
      <c r="F94" s="37">
        <v>-0.03</v>
      </c>
      <c r="G94" s="37">
        <v>16.485500000000002</v>
      </c>
      <c r="H94" s="37">
        <v>16.4345</v>
      </c>
      <c r="I94" s="37">
        <v>16.482500000000002</v>
      </c>
      <c r="J94" s="37">
        <v>16.4375</v>
      </c>
      <c r="K94" s="36" t="s">
        <v>46</v>
      </c>
      <c r="L94" s="39"/>
      <c r="M94" s="39"/>
      <c r="N94" s="39"/>
      <c r="O94" s="28" t="str">
        <f t="shared" si="16"/>
        <v xml:space="preserve"> </v>
      </c>
      <c r="P94" s="28" t="str">
        <f t="shared" si="17"/>
        <v xml:space="preserve"> </v>
      </c>
      <c r="Q94" s="28" t="str">
        <f t="shared" si="18"/>
        <v xml:space="preserve"> </v>
      </c>
      <c r="R94" s="29" t="str">
        <f t="shared" si="19"/>
        <v xml:space="preserve"> </v>
      </c>
      <c r="S94" s="30" t="str">
        <f t="shared" si="20"/>
        <v xml:space="preserve"> </v>
      </c>
      <c r="T94" s="31" t="str">
        <f t="shared" si="21"/>
        <v xml:space="preserve"> </v>
      </c>
      <c r="U94" s="29" t="str">
        <f t="shared" si="22"/>
        <v/>
      </c>
      <c r="V94" s="29" t="str">
        <f t="shared" si="15"/>
        <v/>
      </c>
      <c r="W94" s="116"/>
      <c r="X94" s="113"/>
    </row>
    <row r="95" spans="1:24" ht="18" customHeight="1">
      <c r="A95" s="27"/>
      <c r="B95" s="35" t="s">
        <v>275</v>
      </c>
      <c r="C95" s="36" t="s">
        <v>45</v>
      </c>
      <c r="D95" s="37">
        <v>16.46</v>
      </c>
      <c r="E95" s="37">
        <v>0.03</v>
      </c>
      <c r="F95" s="37">
        <v>-0.03</v>
      </c>
      <c r="G95" s="37">
        <v>16.485500000000002</v>
      </c>
      <c r="H95" s="37">
        <v>16.4345</v>
      </c>
      <c r="I95" s="37">
        <v>16.482500000000002</v>
      </c>
      <c r="J95" s="37">
        <v>16.4375</v>
      </c>
      <c r="K95" s="36" t="s">
        <v>46</v>
      </c>
      <c r="L95" s="39"/>
      <c r="M95" s="39"/>
      <c r="N95" s="39"/>
      <c r="O95" s="28" t="str">
        <f t="shared" si="16"/>
        <v xml:space="preserve"> </v>
      </c>
      <c r="P95" s="28" t="str">
        <f t="shared" si="17"/>
        <v xml:space="preserve"> </v>
      </c>
      <c r="Q95" s="28" t="str">
        <f t="shared" si="18"/>
        <v xml:space="preserve"> </v>
      </c>
      <c r="R95" s="29" t="str">
        <f t="shared" si="19"/>
        <v xml:space="preserve"> </v>
      </c>
      <c r="S95" s="30" t="str">
        <f t="shared" si="20"/>
        <v xml:space="preserve"> </v>
      </c>
      <c r="T95" s="31" t="str">
        <f t="shared" si="21"/>
        <v xml:space="preserve"> </v>
      </c>
      <c r="U95" s="29" t="str">
        <f t="shared" si="22"/>
        <v/>
      </c>
      <c r="V95" s="29" t="str">
        <f t="shared" si="15"/>
        <v/>
      </c>
      <c r="W95" s="116"/>
      <c r="X95" s="113"/>
    </row>
    <row r="96" spans="1:24" ht="18" customHeight="1">
      <c r="A96" s="27"/>
      <c r="B96" s="35" t="s">
        <v>276</v>
      </c>
      <c r="C96" s="36" t="s">
        <v>45</v>
      </c>
      <c r="D96" s="37">
        <v>16.46</v>
      </c>
      <c r="E96" s="37">
        <v>0.03</v>
      </c>
      <c r="F96" s="37">
        <v>-0.03</v>
      </c>
      <c r="G96" s="37">
        <v>16.485500000000002</v>
      </c>
      <c r="H96" s="37">
        <v>16.4345</v>
      </c>
      <c r="I96" s="37">
        <v>16.482500000000002</v>
      </c>
      <c r="J96" s="37">
        <v>16.4375</v>
      </c>
      <c r="K96" s="36" t="s">
        <v>46</v>
      </c>
      <c r="L96" s="39"/>
      <c r="M96" s="39"/>
      <c r="N96" s="39"/>
      <c r="O96" s="28" t="str">
        <f t="shared" si="16"/>
        <v xml:space="preserve"> </v>
      </c>
      <c r="P96" s="28" t="str">
        <f t="shared" si="17"/>
        <v xml:space="preserve"> </v>
      </c>
      <c r="Q96" s="28" t="str">
        <f t="shared" si="18"/>
        <v xml:space="preserve"> </v>
      </c>
      <c r="R96" s="29" t="str">
        <f t="shared" si="19"/>
        <v xml:space="preserve"> </v>
      </c>
      <c r="S96" s="30" t="str">
        <f t="shared" si="20"/>
        <v xml:space="preserve"> </v>
      </c>
      <c r="T96" s="31" t="str">
        <f t="shared" si="21"/>
        <v xml:space="preserve"> </v>
      </c>
      <c r="U96" s="29" t="str">
        <f t="shared" si="22"/>
        <v/>
      </c>
      <c r="V96" s="29" t="str">
        <f t="shared" si="15"/>
        <v/>
      </c>
      <c r="W96" s="116"/>
      <c r="X96" s="113"/>
    </row>
    <row r="97" spans="1:24" ht="18" customHeight="1">
      <c r="A97" s="27"/>
      <c r="B97" s="35" t="s">
        <v>277</v>
      </c>
      <c r="C97" s="36" t="s">
        <v>45</v>
      </c>
      <c r="D97" s="37">
        <v>16.46</v>
      </c>
      <c r="E97" s="37">
        <v>0.03</v>
      </c>
      <c r="F97" s="37">
        <v>-0.03</v>
      </c>
      <c r="G97" s="37">
        <v>16.485500000000002</v>
      </c>
      <c r="H97" s="37">
        <v>16.4345</v>
      </c>
      <c r="I97" s="37">
        <v>16.482500000000002</v>
      </c>
      <c r="J97" s="37">
        <v>16.4375</v>
      </c>
      <c r="K97" s="36" t="s">
        <v>46</v>
      </c>
      <c r="L97" s="39"/>
      <c r="M97" s="39"/>
      <c r="N97" s="39"/>
      <c r="O97" s="28" t="str">
        <f t="shared" si="16"/>
        <v xml:space="preserve"> </v>
      </c>
      <c r="P97" s="28" t="str">
        <f t="shared" si="17"/>
        <v xml:space="preserve"> </v>
      </c>
      <c r="Q97" s="28" t="str">
        <f t="shared" si="18"/>
        <v xml:space="preserve"> </v>
      </c>
      <c r="R97" s="29" t="str">
        <f t="shared" si="19"/>
        <v xml:space="preserve"> </v>
      </c>
      <c r="S97" s="30" t="str">
        <f t="shared" si="20"/>
        <v xml:space="preserve"> </v>
      </c>
      <c r="T97" s="31" t="str">
        <f t="shared" si="21"/>
        <v xml:space="preserve"> </v>
      </c>
      <c r="U97" s="29" t="str">
        <f t="shared" si="22"/>
        <v/>
      </c>
      <c r="V97" s="29" t="str">
        <f t="shared" si="15"/>
        <v/>
      </c>
      <c r="W97" s="116"/>
      <c r="X97" s="113"/>
    </row>
    <row r="98" spans="1:24" ht="18" customHeight="1">
      <c r="A98" s="27"/>
      <c r="B98" s="35" t="s">
        <v>187</v>
      </c>
      <c r="C98" s="36" t="s">
        <v>45</v>
      </c>
      <c r="D98" s="37">
        <v>6.8239999999999998</v>
      </c>
      <c r="E98" s="37">
        <v>0.03</v>
      </c>
      <c r="F98" s="37">
        <v>-0.03</v>
      </c>
      <c r="G98" s="37">
        <v>6.8494999999999999</v>
      </c>
      <c r="H98" s="37">
        <v>6.7984999999999998</v>
      </c>
      <c r="I98" s="37"/>
      <c r="J98" s="37"/>
      <c r="K98" s="36" t="s">
        <v>46</v>
      </c>
      <c r="L98" s="39"/>
      <c r="M98" s="39"/>
      <c r="N98" s="39"/>
      <c r="O98" s="28" t="str">
        <f t="shared" si="16"/>
        <v xml:space="preserve"> </v>
      </c>
      <c r="P98" s="28" t="str">
        <f t="shared" si="17"/>
        <v xml:space="preserve"> </v>
      </c>
      <c r="Q98" s="28" t="str">
        <f t="shared" si="18"/>
        <v xml:space="preserve"> </v>
      </c>
      <c r="R98" s="29" t="str">
        <f t="shared" si="19"/>
        <v xml:space="preserve"> </v>
      </c>
      <c r="S98" s="30" t="str">
        <f t="shared" si="20"/>
        <v xml:space="preserve"> </v>
      </c>
      <c r="T98" s="31" t="str">
        <f t="shared" si="21"/>
        <v xml:space="preserve"> </v>
      </c>
      <c r="U98" s="29" t="str">
        <f t="shared" si="22"/>
        <v/>
      </c>
      <c r="V98" s="29" t="str">
        <f t="shared" si="15"/>
        <v/>
      </c>
      <c r="W98" s="116"/>
      <c r="X98" s="113"/>
    </row>
    <row r="99" spans="1:24" ht="18" customHeight="1">
      <c r="A99" s="27"/>
      <c r="B99" s="35" t="s">
        <v>224</v>
      </c>
      <c r="C99" s="36" t="s">
        <v>45</v>
      </c>
      <c r="D99" s="37">
        <v>0.36199999999999999</v>
      </c>
      <c r="E99" s="37">
        <v>0.03</v>
      </c>
      <c r="F99" s="37">
        <v>-0.03</v>
      </c>
      <c r="G99" s="37">
        <v>0.38750000000000001</v>
      </c>
      <c r="H99" s="37">
        <v>0.33649999999999997</v>
      </c>
      <c r="I99" s="37">
        <v>0.38450000000000001</v>
      </c>
      <c r="J99" s="37">
        <v>0.33949999999999997</v>
      </c>
      <c r="K99" s="36" t="s">
        <v>46</v>
      </c>
      <c r="L99" s="39"/>
      <c r="M99" s="39"/>
      <c r="N99" s="39"/>
      <c r="O99" s="28" t="str">
        <f t="shared" si="16"/>
        <v xml:space="preserve"> </v>
      </c>
      <c r="P99" s="28" t="str">
        <f t="shared" si="17"/>
        <v xml:space="preserve"> </v>
      </c>
      <c r="Q99" s="28" t="str">
        <f t="shared" si="18"/>
        <v xml:space="preserve"> </v>
      </c>
      <c r="R99" s="29" t="str">
        <f t="shared" si="19"/>
        <v xml:space="preserve"> </v>
      </c>
      <c r="S99" s="30" t="str">
        <f t="shared" si="20"/>
        <v xml:space="preserve"> </v>
      </c>
      <c r="T99" s="31" t="str">
        <f t="shared" si="21"/>
        <v xml:space="preserve"> </v>
      </c>
      <c r="U99" s="29" t="str">
        <f t="shared" si="22"/>
        <v/>
      </c>
      <c r="V99" s="29" t="str">
        <f t="shared" ref="V99:V130" si="23">IF(L99="","",IF(ISERR(F99/F99)=TRUE,"",IF(ISERR(F99/D99)=TRUE,IF((F99-MIN(L99:N99))&gt;0.001,"Reject",""),IF(ISNUMBER($T99)=TRUE,IF($T99&gt;0.651,IF($T99&gt;1.001,"Reject","Alert"),""),""))))</f>
        <v/>
      </c>
      <c r="W99" s="116"/>
      <c r="X99" s="113"/>
    </row>
    <row r="100" spans="1:24" ht="18" customHeight="1">
      <c r="A100" s="27"/>
      <c r="B100" s="35" t="s">
        <v>225</v>
      </c>
      <c r="C100" s="36" t="s">
        <v>45</v>
      </c>
      <c r="D100" s="37">
        <v>0.36199999999999999</v>
      </c>
      <c r="E100" s="37">
        <v>0.03</v>
      </c>
      <c r="F100" s="37">
        <v>-0.03</v>
      </c>
      <c r="G100" s="37">
        <v>0.38750000000000001</v>
      </c>
      <c r="H100" s="37">
        <v>0.33649999999999997</v>
      </c>
      <c r="I100" s="37">
        <v>0.38450000000000001</v>
      </c>
      <c r="J100" s="37">
        <v>0.33949999999999997</v>
      </c>
      <c r="K100" s="36" t="s">
        <v>46</v>
      </c>
      <c r="L100" s="39"/>
      <c r="M100" s="39"/>
      <c r="N100" s="39"/>
      <c r="O100" s="28" t="str">
        <f t="shared" si="16"/>
        <v xml:space="preserve"> </v>
      </c>
      <c r="P100" s="28" t="str">
        <f t="shared" si="17"/>
        <v xml:space="preserve"> </v>
      </c>
      <c r="Q100" s="28" t="str">
        <f t="shared" si="18"/>
        <v xml:space="preserve"> </v>
      </c>
      <c r="R100" s="29" t="str">
        <f t="shared" si="19"/>
        <v xml:space="preserve"> </v>
      </c>
      <c r="S100" s="30" t="str">
        <f t="shared" si="20"/>
        <v xml:space="preserve"> </v>
      </c>
      <c r="T100" s="31" t="str">
        <f t="shared" si="21"/>
        <v xml:space="preserve"> </v>
      </c>
      <c r="U100" s="29" t="str">
        <f t="shared" si="22"/>
        <v/>
      </c>
      <c r="V100" s="29" t="str">
        <f t="shared" si="23"/>
        <v/>
      </c>
      <c r="W100" s="116"/>
      <c r="X100" s="113"/>
    </row>
    <row r="101" spans="1:24" ht="18" customHeight="1">
      <c r="A101" s="27"/>
      <c r="B101" s="35" t="s">
        <v>278</v>
      </c>
      <c r="C101" s="36" t="s">
        <v>45</v>
      </c>
      <c r="D101" s="37">
        <v>0.36199999999999999</v>
      </c>
      <c r="E101" s="37">
        <v>0.03</v>
      </c>
      <c r="F101" s="37">
        <v>-0.03</v>
      </c>
      <c r="G101" s="37">
        <v>0.38750000000000001</v>
      </c>
      <c r="H101" s="37">
        <v>0.33649999999999997</v>
      </c>
      <c r="I101" s="37">
        <v>0.38450000000000001</v>
      </c>
      <c r="J101" s="37">
        <v>0.33949999999999997</v>
      </c>
      <c r="K101" s="36" t="s">
        <v>46</v>
      </c>
      <c r="L101" s="39"/>
      <c r="M101" s="39"/>
      <c r="N101" s="39"/>
      <c r="O101" s="28" t="str">
        <f t="shared" si="16"/>
        <v xml:space="preserve"> </v>
      </c>
      <c r="P101" s="28" t="str">
        <f t="shared" si="17"/>
        <v xml:space="preserve"> </v>
      </c>
      <c r="Q101" s="28" t="str">
        <f t="shared" si="18"/>
        <v xml:space="preserve"> </v>
      </c>
      <c r="R101" s="29" t="str">
        <f t="shared" si="19"/>
        <v xml:space="preserve"> </v>
      </c>
      <c r="S101" s="30" t="str">
        <f t="shared" si="20"/>
        <v xml:space="preserve"> </v>
      </c>
      <c r="T101" s="31" t="str">
        <f t="shared" si="21"/>
        <v xml:space="preserve"> </v>
      </c>
      <c r="U101" s="29" t="str">
        <f t="shared" si="22"/>
        <v/>
      </c>
      <c r="V101" s="29" t="str">
        <f t="shared" si="23"/>
        <v/>
      </c>
      <c r="W101" s="116"/>
      <c r="X101" s="113"/>
    </row>
    <row r="102" spans="1:24" ht="18" customHeight="1">
      <c r="A102" s="27"/>
      <c r="B102" s="35" t="s">
        <v>279</v>
      </c>
      <c r="C102" s="36" t="s">
        <v>45</v>
      </c>
      <c r="D102" s="37">
        <v>0.36199999999999999</v>
      </c>
      <c r="E102" s="37">
        <v>0.03</v>
      </c>
      <c r="F102" s="37">
        <v>-0.03</v>
      </c>
      <c r="G102" s="37">
        <v>0.38750000000000001</v>
      </c>
      <c r="H102" s="37">
        <v>0.33649999999999997</v>
      </c>
      <c r="I102" s="37">
        <v>0.38450000000000001</v>
      </c>
      <c r="J102" s="37">
        <v>0.33949999999999997</v>
      </c>
      <c r="K102" s="36" t="s">
        <v>46</v>
      </c>
      <c r="L102" s="39"/>
      <c r="M102" s="39"/>
      <c r="N102" s="39"/>
      <c r="O102" s="28" t="str">
        <f t="shared" ref="O102:O133" si="24">IF(ISERR(L102/L102)=TRUE," ",L102-$D102)</f>
        <v xml:space="preserve"> </v>
      </c>
      <c r="P102" s="28" t="str">
        <f t="shared" ref="P102:P133" si="25">IF(ISERR(M102/M102)=TRUE," ",M102-$D102)</f>
        <v xml:space="preserve"> </v>
      </c>
      <c r="Q102" s="28" t="str">
        <f t="shared" ref="Q102:Q133" si="26">IF(ISERR(N102/N102)=TRUE," ",N102-$D102)</f>
        <v xml:space="preserve"> </v>
      </c>
      <c r="R102" s="29" t="str">
        <f t="shared" ref="R102:R133" si="27">IF(ISERR(L102/L102)=TRUE," ",AVERAGE(L102:N102))</f>
        <v xml:space="preserve"> </v>
      </c>
      <c r="S102" s="30" t="str">
        <f t="shared" ref="S102:S133" si="28">IF(ISERR(E102/E102)=TRUE," ",IF(ISERR(L102/L102)=TRUE," ",IF(ISNUMBER($L102)=FALSE," ",IF(MAX($L102:$N102)&lt;$D102,0,(MAX($L102:$N102)-$D102)/$E102))))</f>
        <v xml:space="preserve"> </v>
      </c>
      <c r="T102" s="31" t="str">
        <f t="shared" ref="T102:T133" si="29">IF(ISERR(F102/D102)=TRUE," ",IF(ISERR(F102/F102)=TRUE," ",IF(ISERR(L102/L102)=TRUE," ",IF(ISNUMBER(L102)=FALSE," ",IF(MIN(L102:N102)&gt;$D102,0,($D102-MIN(L102:N102))/-F102)))))</f>
        <v xml:space="preserve"> </v>
      </c>
      <c r="U102" s="29" t="str">
        <f t="shared" si="22"/>
        <v/>
      </c>
      <c r="V102" s="29" t="str">
        <f t="shared" si="23"/>
        <v/>
      </c>
      <c r="W102" s="116"/>
      <c r="X102" s="113"/>
    </row>
    <row r="103" spans="1:24" ht="18" customHeight="1">
      <c r="A103" s="27"/>
      <c r="B103" s="35" t="s">
        <v>280</v>
      </c>
      <c r="C103" s="36" t="s">
        <v>45</v>
      </c>
      <c r="D103" s="37">
        <v>0.36199999999999999</v>
      </c>
      <c r="E103" s="37">
        <v>0.03</v>
      </c>
      <c r="F103" s="37">
        <v>-0.03</v>
      </c>
      <c r="G103" s="37">
        <v>0.38750000000000001</v>
      </c>
      <c r="H103" s="37">
        <v>0.33649999999999997</v>
      </c>
      <c r="I103" s="37">
        <v>0.38450000000000001</v>
      </c>
      <c r="J103" s="37">
        <v>0.33949999999999997</v>
      </c>
      <c r="K103" s="36" t="s">
        <v>46</v>
      </c>
      <c r="L103" s="39"/>
      <c r="M103" s="39"/>
      <c r="N103" s="39"/>
      <c r="O103" s="28" t="str">
        <f t="shared" si="24"/>
        <v xml:space="preserve"> </v>
      </c>
      <c r="P103" s="28" t="str">
        <f t="shared" si="25"/>
        <v xml:space="preserve"> </v>
      </c>
      <c r="Q103" s="28" t="str">
        <f t="shared" si="26"/>
        <v xml:space="preserve"> </v>
      </c>
      <c r="R103" s="29" t="str">
        <f t="shared" si="27"/>
        <v xml:space="preserve"> </v>
      </c>
      <c r="S103" s="30" t="str">
        <f t="shared" si="28"/>
        <v xml:space="preserve"> </v>
      </c>
      <c r="T103" s="31" t="str">
        <f t="shared" si="29"/>
        <v xml:space="preserve"> </v>
      </c>
      <c r="U103" s="29" t="str">
        <f t="shared" si="22"/>
        <v/>
      </c>
      <c r="V103" s="29" t="str">
        <f t="shared" si="23"/>
        <v/>
      </c>
      <c r="W103" s="116"/>
      <c r="X103" s="113"/>
    </row>
    <row r="104" spans="1:24" ht="18" customHeight="1">
      <c r="A104" s="27"/>
      <c r="B104" s="35" t="s">
        <v>281</v>
      </c>
      <c r="C104" s="36" t="s">
        <v>45</v>
      </c>
      <c r="D104" s="37">
        <v>0.36199999999999999</v>
      </c>
      <c r="E104" s="37">
        <v>0.03</v>
      </c>
      <c r="F104" s="37">
        <v>-0.03</v>
      </c>
      <c r="G104" s="37">
        <v>0.38750000000000001</v>
      </c>
      <c r="H104" s="37">
        <v>0.33649999999999997</v>
      </c>
      <c r="I104" s="37">
        <v>0.38450000000000001</v>
      </c>
      <c r="J104" s="37">
        <v>0.33949999999999997</v>
      </c>
      <c r="K104" s="36" t="s">
        <v>46</v>
      </c>
      <c r="L104" s="39"/>
      <c r="M104" s="39"/>
      <c r="N104" s="39"/>
      <c r="O104" s="28" t="str">
        <f t="shared" si="24"/>
        <v xml:space="preserve"> </v>
      </c>
      <c r="P104" s="28" t="str">
        <f t="shared" si="25"/>
        <v xml:space="preserve"> </v>
      </c>
      <c r="Q104" s="28" t="str">
        <f t="shared" si="26"/>
        <v xml:space="preserve"> </v>
      </c>
      <c r="R104" s="29" t="str">
        <f t="shared" si="27"/>
        <v xml:space="preserve"> </v>
      </c>
      <c r="S104" s="30" t="str">
        <f t="shared" si="28"/>
        <v xml:space="preserve"> </v>
      </c>
      <c r="T104" s="31" t="str">
        <f t="shared" si="29"/>
        <v xml:space="preserve"> </v>
      </c>
      <c r="U104" s="29" t="str">
        <f t="shared" si="22"/>
        <v/>
      </c>
      <c r="V104" s="29" t="str">
        <f t="shared" si="23"/>
        <v/>
      </c>
      <c r="W104" s="116"/>
      <c r="X104" s="113"/>
    </row>
    <row r="105" spans="1:24" ht="18" customHeight="1">
      <c r="A105" s="27"/>
      <c r="B105" s="35" t="s">
        <v>108</v>
      </c>
      <c r="C105" s="36" t="s">
        <v>45</v>
      </c>
      <c r="D105" s="37">
        <v>5.7039999999999997</v>
      </c>
      <c r="E105" s="37">
        <v>0.03</v>
      </c>
      <c r="F105" s="37">
        <v>-0.03</v>
      </c>
      <c r="G105" s="37">
        <v>5.7294999999999998</v>
      </c>
      <c r="H105" s="37">
        <v>5.6784999999999997</v>
      </c>
      <c r="I105" s="37"/>
      <c r="J105" s="37"/>
      <c r="K105" s="36" t="s">
        <v>46</v>
      </c>
      <c r="L105" s="39"/>
      <c r="M105" s="39"/>
      <c r="N105" s="39"/>
      <c r="O105" s="28" t="str">
        <f t="shared" si="24"/>
        <v xml:space="preserve"> </v>
      </c>
      <c r="P105" s="28" t="str">
        <f t="shared" si="25"/>
        <v xml:space="preserve"> </v>
      </c>
      <c r="Q105" s="28" t="str">
        <f t="shared" si="26"/>
        <v xml:space="preserve"> </v>
      </c>
      <c r="R105" s="29" t="str">
        <f t="shared" si="27"/>
        <v xml:space="preserve"> </v>
      </c>
      <c r="S105" s="30" t="str">
        <f t="shared" si="28"/>
        <v xml:space="preserve"> </v>
      </c>
      <c r="T105" s="31" t="str">
        <f t="shared" si="29"/>
        <v xml:space="preserve"> </v>
      </c>
      <c r="U105" s="29" t="str">
        <f t="shared" si="22"/>
        <v/>
      </c>
      <c r="V105" s="29" t="str">
        <f t="shared" si="23"/>
        <v/>
      </c>
      <c r="W105" s="116"/>
      <c r="X105" s="113"/>
    </row>
    <row r="106" spans="1:24" ht="18" customHeight="1">
      <c r="A106" s="27"/>
      <c r="B106" s="35" t="s">
        <v>188</v>
      </c>
      <c r="C106" s="36" t="s">
        <v>45</v>
      </c>
      <c r="D106" s="37">
        <v>1.7729999999999999</v>
      </c>
      <c r="E106" s="37">
        <v>0.03</v>
      </c>
      <c r="F106" s="37">
        <v>-0.03</v>
      </c>
      <c r="G106" s="37">
        <v>1.7985</v>
      </c>
      <c r="H106" s="37">
        <v>1.7474999999999998</v>
      </c>
      <c r="I106" s="37">
        <v>1.7954999999999999</v>
      </c>
      <c r="J106" s="37">
        <v>1.7504999999999999</v>
      </c>
      <c r="K106" s="36" t="s">
        <v>46</v>
      </c>
      <c r="L106" s="39"/>
      <c r="M106" s="39"/>
      <c r="N106" s="39"/>
      <c r="O106" s="28" t="str">
        <f t="shared" si="24"/>
        <v xml:space="preserve"> </v>
      </c>
      <c r="P106" s="28" t="str">
        <f t="shared" si="25"/>
        <v xml:space="preserve"> </v>
      </c>
      <c r="Q106" s="28" t="str">
        <f t="shared" si="26"/>
        <v xml:space="preserve"> </v>
      </c>
      <c r="R106" s="29" t="str">
        <f t="shared" si="27"/>
        <v xml:space="preserve"> </v>
      </c>
      <c r="S106" s="30" t="str">
        <f t="shared" si="28"/>
        <v xml:space="preserve"> </v>
      </c>
      <c r="T106" s="31" t="str">
        <f t="shared" si="29"/>
        <v xml:space="preserve"> </v>
      </c>
      <c r="U106" s="29" t="str">
        <f t="shared" si="22"/>
        <v/>
      </c>
      <c r="V106" s="29" t="str">
        <f t="shared" si="23"/>
        <v/>
      </c>
      <c r="W106" s="116"/>
      <c r="X106" s="113"/>
    </row>
    <row r="107" spans="1:24" ht="18" customHeight="1">
      <c r="A107" s="27"/>
      <c r="B107" s="35" t="s">
        <v>189</v>
      </c>
      <c r="C107" s="36" t="s">
        <v>45</v>
      </c>
      <c r="D107" s="37">
        <v>1.7729999999999999</v>
      </c>
      <c r="E107" s="37">
        <v>0.03</v>
      </c>
      <c r="F107" s="37">
        <v>-0.03</v>
      </c>
      <c r="G107" s="37">
        <v>1.7985</v>
      </c>
      <c r="H107" s="37">
        <v>1.7474999999999998</v>
      </c>
      <c r="I107" s="37">
        <v>1.7954999999999999</v>
      </c>
      <c r="J107" s="37">
        <v>1.7504999999999999</v>
      </c>
      <c r="K107" s="36" t="s">
        <v>46</v>
      </c>
      <c r="L107" s="39"/>
      <c r="M107" s="39"/>
      <c r="N107" s="39"/>
      <c r="O107" s="28" t="str">
        <f t="shared" si="24"/>
        <v xml:space="preserve"> </v>
      </c>
      <c r="P107" s="28" t="str">
        <f t="shared" si="25"/>
        <v xml:space="preserve"> </v>
      </c>
      <c r="Q107" s="28" t="str">
        <f t="shared" si="26"/>
        <v xml:space="preserve"> </v>
      </c>
      <c r="R107" s="29" t="str">
        <f t="shared" si="27"/>
        <v xml:space="preserve"> </v>
      </c>
      <c r="S107" s="30" t="str">
        <f t="shared" si="28"/>
        <v xml:space="preserve"> </v>
      </c>
      <c r="T107" s="31" t="str">
        <f t="shared" si="29"/>
        <v xml:space="preserve"> </v>
      </c>
      <c r="U107" s="29" t="str">
        <f t="shared" si="22"/>
        <v/>
      </c>
      <c r="V107" s="29" t="str">
        <f t="shared" si="23"/>
        <v/>
      </c>
      <c r="W107" s="116"/>
      <c r="X107" s="113"/>
    </row>
    <row r="108" spans="1:24" ht="18" customHeight="1">
      <c r="A108" s="27"/>
      <c r="B108" s="35" t="s">
        <v>190</v>
      </c>
      <c r="C108" s="36" t="s">
        <v>45</v>
      </c>
      <c r="D108" s="37">
        <v>15.199</v>
      </c>
      <c r="E108" s="37">
        <v>0.03</v>
      </c>
      <c r="F108" s="37">
        <v>-0.03</v>
      </c>
      <c r="G108" s="37">
        <v>15.224499999999999</v>
      </c>
      <c r="H108" s="37">
        <v>15.173500000000001</v>
      </c>
      <c r="I108" s="37">
        <v>15.221500000000001</v>
      </c>
      <c r="J108" s="37">
        <v>15.176499999999999</v>
      </c>
      <c r="K108" s="36" t="s">
        <v>46</v>
      </c>
      <c r="L108" s="39"/>
      <c r="M108" s="39"/>
      <c r="N108" s="39"/>
      <c r="O108" s="28" t="str">
        <f t="shared" si="24"/>
        <v xml:space="preserve"> </v>
      </c>
      <c r="P108" s="28" t="str">
        <f t="shared" si="25"/>
        <v xml:space="preserve"> </v>
      </c>
      <c r="Q108" s="28" t="str">
        <f t="shared" si="26"/>
        <v xml:space="preserve"> </v>
      </c>
      <c r="R108" s="29" t="str">
        <f t="shared" si="27"/>
        <v xml:space="preserve"> </v>
      </c>
      <c r="S108" s="30" t="str">
        <f t="shared" si="28"/>
        <v xml:space="preserve"> </v>
      </c>
      <c r="T108" s="31" t="str">
        <f t="shared" si="29"/>
        <v xml:space="preserve"> </v>
      </c>
      <c r="U108" s="29" t="str">
        <f t="shared" si="22"/>
        <v/>
      </c>
      <c r="V108" s="29" t="str">
        <f t="shared" si="23"/>
        <v/>
      </c>
      <c r="W108" s="116"/>
      <c r="X108" s="113"/>
    </row>
    <row r="109" spans="1:24" ht="18" customHeight="1">
      <c r="A109" s="27"/>
      <c r="B109" s="35" t="s">
        <v>191</v>
      </c>
      <c r="C109" s="36" t="s">
        <v>45</v>
      </c>
      <c r="D109" s="37">
        <v>15.199</v>
      </c>
      <c r="E109" s="37">
        <v>0.03</v>
      </c>
      <c r="F109" s="37">
        <v>-0.03</v>
      </c>
      <c r="G109" s="37">
        <v>15.224499999999999</v>
      </c>
      <c r="H109" s="37">
        <v>15.173500000000001</v>
      </c>
      <c r="I109" s="37">
        <v>15.221500000000001</v>
      </c>
      <c r="J109" s="37">
        <v>15.176499999999999</v>
      </c>
      <c r="K109" s="36" t="s">
        <v>46</v>
      </c>
      <c r="L109" s="39"/>
      <c r="M109" s="39"/>
      <c r="N109" s="39"/>
      <c r="O109" s="28" t="str">
        <f t="shared" si="24"/>
        <v xml:space="preserve"> </v>
      </c>
      <c r="P109" s="28" t="str">
        <f t="shared" si="25"/>
        <v xml:space="preserve"> </v>
      </c>
      <c r="Q109" s="28" t="str">
        <f t="shared" si="26"/>
        <v xml:space="preserve"> </v>
      </c>
      <c r="R109" s="29" t="str">
        <f t="shared" si="27"/>
        <v xml:space="preserve"> </v>
      </c>
      <c r="S109" s="30" t="str">
        <f t="shared" si="28"/>
        <v xml:space="preserve"> </v>
      </c>
      <c r="T109" s="31" t="str">
        <f t="shared" si="29"/>
        <v xml:space="preserve"> </v>
      </c>
      <c r="U109" s="29" t="str">
        <f t="shared" si="22"/>
        <v/>
      </c>
      <c r="V109" s="29" t="str">
        <f t="shared" si="23"/>
        <v/>
      </c>
      <c r="W109" s="116"/>
      <c r="X109" s="113"/>
    </row>
    <row r="110" spans="1:24" ht="18" customHeight="1">
      <c r="A110" s="27"/>
      <c r="B110" s="35" t="s">
        <v>228</v>
      </c>
      <c r="C110" s="36" t="s">
        <v>109</v>
      </c>
      <c r="D110" s="37">
        <v>-0.45</v>
      </c>
      <c r="E110" s="37">
        <v>0.01</v>
      </c>
      <c r="F110" s="37">
        <v>-0.01</v>
      </c>
      <c r="G110" s="37">
        <v>-0.4415</v>
      </c>
      <c r="H110" s="37">
        <v>-0.45850000000000002</v>
      </c>
      <c r="I110" s="37"/>
      <c r="J110" s="37"/>
      <c r="K110" s="36" t="s">
        <v>111</v>
      </c>
      <c r="L110" s="39"/>
      <c r="M110" s="39"/>
      <c r="N110" s="39"/>
      <c r="O110" s="28" t="str">
        <f t="shared" si="24"/>
        <v xml:space="preserve"> </v>
      </c>
      <c r="P110" s="28" t="str">
        <f t="shared" si="25"/>
        <v xml:space="preserve"> </v>
      </c>
      <c r="Q110" s="28" t="str">
        <f t="shared" si="26"/>
        <v xml:space="preserve"> </v>
      </c>
      <c r="R110" s="29" t="str">
        <f t="shared" si="27"/>
        <v xml:space="preserve"> </v>
      </c>
      <c r="S110" s="30" t="str">
        <f t="shared" si="28"/>
        <v xml:space="preserve"> </v>
      </c>
      <c r="T110" s="31" t="str">
        <f t="shared" si="29"/>
        <v xml:space="preserve"> </v>
      </c>
      <c r="U110" s="29" t="str">
        <f t="shared" si="22"/>
        <v/>
      </c>
      <c r="V110" s="29" t="str">
        <f t="shared" si="23"/>
        <v/>
      </c>
      <c r="W110" s="116"/>
      <c r="X110" s="113"/>
    </row>
    <row r="111" spans="1:24" ht="18" customHeight="1">
      <c r="A111" s="27"/>
      <c r="B111" s="35" t="s">
        <v>229</v>
      </c>
      <c r="C111" s="36" t="s">
        <v>109</v>
      </c>
      <c r="D111" s="37">
        <v>0</v>
      </c>
      <c r="E111" s="37">
        <v>3.0000000000000001E-3</v>
      </c>
      <c r="F111" s="37">
        <v>-2E-3</v>
      </c>
      <c r="G111" s="37">
        <v>3.0000000000000001E-3</v>
      </c>
      <c r="H111" s="37">
        <v>-2E-3</v>
      </c>
      <c r="I111" s="37"/>
      <c r="J111" s="37"/>
      <c r="K111" s="36" t="s">
        <v>111</v>
      </c>
      <c r="L111" s="39"/>
      <c r="M111" s="39"/>
      <c r="N111" s="39"/>
      <c r="O111" s="28" t="str">
        <f t="shared" si="24"/>
        <v xml:space="preserve"> </v>
      </c>
      <c r="P111" s="28" t="str">
        <f t="shared" si="25"/>
        <v xml:space="preserve"> </v>
      </c>
      <c r="Q111" s="28" t="str">
        <f t="shared" si="26"/>
        <v xml:space="preserve"> </v>
      </c>
      <c r="R111" s="29" t="str">
        <f t="shared" si="27"/>
        <v xml:space="preserve"> </v>
      </c>
      <c r="S111" s="30" t="str">
        <f t="shared" si="28"/>
        <v xml:space="preserve"> </v>
      </c>
      <c r="T111" s="31" t="str">
        <f t="shared" si="29"/>
        <v xml:space="preserve"> </v>
      </c>
      <c r="U111" s="29" t="str">
        <f t="shared" si="22"/>
        <v/>
      </c>
      <c r="V111" s="29" t="str">
        <f t="shared" si="23"/>
        <v/>
      </c>
      <c r="W111" s="116"/>
      <c r="X111" s="113"/>
    </row>
    <row r="112" spans="1:24" ht="18" customHeight="1">
      <c r="A112" s="27"/>
      <c r="B112" s="35" t="s">
        <v>230</v>
      </c>
      <c r="C112" s="36" t="s">
        <v>109</v>
      </c>
      <c r="D112" s="37">
        <v>0</v>
      </c>
      <c r="E112" s="37">
        <v>5.0000000000000001E-3</v>
      </c>
      <c r="F112" s="37">
        <v>-2E-3</v>
      </c>
      <c r="G112" s="37">
        <v>5.0000000000000001E-3</v>
      </c>
      <c r="H112" s="37">
        <v>-2E-3</v>
      </c>
      <c r="I112" s="37"/>
      <c r="J112" s="37"/>
      <c r="K112" s="36" t="s">
        <v>111</v>
      </c>
      <c r="L112" s="39"/>
      <c r="M112" s="39"/>
      <c r="N112" s="39"/>
      <c r="O112" s="28" t="str">
        <f t="shared" si="24"/>
        <v xml:space="preserve"> </v>
      </c>
      <c r="P112" s="28" t="str">
        <f t="shared" si="25"/>
        <v xml:space="preserve"> </v>
      </c>
      <c r="Q112" s="28" t="str">
        <f t="shared" si="26"/>
        <v xml:space="preserve"> </v>
      </c>
      <c r="R112" s="29" t="str">
        <f t="shared" si="27"/>
        <v xml:space="preserve"> </v>
      </c>
      <c r="S112" s="30" t="str">
        <f t="shared" si="28"/>
        <v xml:space="preserve"> </v>
      </c>
      <c r="T112" s="31" t="str">
        <f t="shared" si="29"/>
        <v xml:space="preserve"> </v>
      </c>
      <c r="U112" s="29" t="str">
        <f t="shared" si="22"/>
        <v/>
      </c>
      <c r="V112" s="29" t="str">
        <f t="shared" si="23"/>
        <v/>
      </c>
      <c r="W112" s="116"/>
      <c r="X112" s="113"/>
    </row>
    <row r="113" spans="1:24" ht="18" customHeight="1">
      <c r="A113" s="27"/>
      <c r="B113" s="35" t="s">
        <v>231</v>
      </c>
      <c r="C113" s="36" t="s">
        <v>109</v>
      </c>
      <c r="D113" s="37">
        <v>0</v>
      </c>
      <c r="E113" s="37">
        <v>8.0000000000000002E-3</v>
      </c>
      <c r="F113" s="37">
        <v>-2E-3</v>
      </c>
      <c r="G113" s="37">
        <v>8.0000000000000002E-3</v>
      </c>
      <c r="H113" s="37">
        <v>-2E-3</v>
      </c>
      <c r="I113" s="37"/>
      <c r="J113" s="37"/>
      <c r="K113" s="36" t="s">
        <v>111</v>
      </c>
      <c r="L113" s="39"/>
      <c r="M113" s="39"/>
      <c r="N113" s="39"/>
      <c r="O113" s="28" t="str">
        <f t="shared" si="24"/>
        <v xml:space="preserve"> </v>
      </c>
      <c r="P113" s="28" t="str">
        <f t="shared" si="25"/>
        <v xml:space="preserve"> </v>
      </c>
      <c r="Q113" s="28" t="str">
        <f t="shared" si="26"/>
        <v xml:space="preserve"> </v>
      </c>
      <c r="R113" s="29" t="str">
        <f t="shared" si="27"/>
        <v xml:space="preserve"> </v>
      </c>
      <c r="S113" s="30" t="str">
        <f t="shared" si="28"/>
        <v xml:space="preserve"> </v>
      </c>
      <c r="T113" s="31" t="str">
        <f t="shared" si="29"/>
        <v xml:space="preserve"> </v>
      </c>
      <c r="U113" s="29" t="str">
        <f t="shared" si="22"/>
        <v/>
      </c>
      <c r="V113" s="29" t="str">
        <f t="shared" si="23"/>
        <v/>
      </c>
      <c r="W113" s="116"/>
      <c r="X113" s="113"/>
    </row>
    <row r="114" spans="1:24" ht="18" customHeight="1">
      <c r="A114" s="27"/>
      <c r="B114" s="35" t="s">
        <v>232</v>
      </c>
      <c r="C114" s="36" t="s">
        <v>109</v>
      </c>
      <c r="D114" s="37">
        <v>0</v>
      </c>
      <c r="E114" s="37">
        <v>0.01</v>
      </c>
      <c r="F114" s="37">
        <v>-4.0000000000000001E-3</v>
      </c>
      <c r="G114" s="37">
        <v>0.01</v>
      </c>
      <c r="H114" s="37">
        <v>-4.0000000000000001E-3</v>
      </c>
      <c r="I114" s="37"/>
      <c r="J114" s="37"/>
      <c r="K114" s="36" t="s">
        <v>111</v>
      </c>
      <c r="L114" s="39"/>
      <c r="M114" s="39"/>
      <c r="N114" s="39"/>
      <c r="O114" s="28" t="str">
        <f t="shared" si="24"/>
        <v xml:space="preserve"> </v>
      </c>
      <c r="P114" s="28" t="str">
        <f t="shared" si="25"/>
        <v xml:space="preserve"> </v>
      </c>
      <c r="Q114" s="28" t="str">
        <f t="shared" si="26"/>
        <v xml:space="preserve"> </v>
      </c>
      <c r="R114" s="29" t="str">
        <f t="shared" si="27"/>
        <v xml:space="preserve"> </v>
      </c>
      <c r="S114" s="30" t="str">
        <f t="shared" si="28"/>
        <v xml:space="preserve"> </v>
      </c>
      <c r="T114" s="31" t="str">
        <f t="shared" si="29"/>
        <v xml:space="preserve"> </v>
      </c>
      <c r="U114" s="29" t="str">
        <f t="shared" si="22"/>
        <v/>
      </c>
      <c r="V114" s="29" t="str">
        <f t="shared" si="23"/>
        <v/>
      </c>
      <c r="W114" s="116"/>
      <c r="X114" s="113"/>
    </row>
    <row r="115" spans="1:24" ht="18" customHeight="1">
      <c r="A115" s="27"/>
      <c r="B115" s="35" t="s">
        <v>233</v>
      </c>
      <c r="C115" s="36" t="s">
        <v>109</v>
      </c>
      <c r="D115" s="37">
        <v>0</v>
      </c>
      <c r="E115" s="37">
        <v>1.4999999999999999E-2</v>
      </c>
      <c r="F115" s="37">
        <v>-5.0000000000000001E-3</v>
      </c>
      <c r="G115" s="37">
        <v>1.2999999999999999E-2</v>
      </c>
      <c r="H115" s="37">
        <v>-3.0000000000000001E-3</v>
      </c>
      <c r="I115" s="37">
        <v>1.2E-2</v>
      </c>
      <c r="J115" s="37">
        <v>-4.0000000000000001E-3</v>
      </c>
      <c r="K115" s="36" t="s">
        <v>111</v>
      </c>
      <c r="L115" s="39"/>
      <c r="M115" s="39"/>
      <c r="N115" s="39"/>
      <c r="O115" s="28" t="str">
        <f t="shared" si="24"/>
        <v xml:space="preserve"> </v>
      </c>
      <c r="P115" s="28" t="str">
        <f t="shared" si="25"/>
        <v xml:space="preserve"> </v>
      </c>
      <c r="Q115" s="28" t="str">
        <f t="shared" si="26"/>
        <v xml:space="preserve"> </v>
      </c>
      <c r="R115" s="29" t="str">
        <f t="shared" si="27"/>
        <v xml:space="preserve"> </v>
      </c>
      <c r="S115" s="30" t="str">
        <f t="shared" si="28"/>
        <v xml:space="preserve"> </v>
      </c>
      <c r="T115" s="31" t="str">
        <f t="shared" si="29"/>
        <v xml:space="preserve"> </v>
      </c>
      <c r="U115" s="29" t="str">
        <f t="shared" si="22"/>
        <v/>
      </c>
      <c r="V115" s="29" t="str">
        <f t="shared" si="23"/>
        <v/>
      </c>
      <c r="W115" s="116"/>
      <c r="X115" s="113"/>
    </row>
    <row r="116" spans="1:24" ht="18" customHeight="1">
      <c r="A116" s="27"/>
      <c r="B116" s="35" t="s">
        <v>234</v>
      </c>
      <c r="C116" s="36" t="s">
        <v>109</v>
      </c>
      <c r="D116" s="37">
        <v>-0.45</v>
      </c>
      <c r="E116" s="37">
        <v>0.01</v>
      </c>
      <c r="F116" s="37">
        <v>-0.01</v>
      </c>
      <c r="G116" s="37">
        <v>-0.4415</v>
      </c>
      <c r="H116" s="37">
        <v>-0.45850000000000002</v>
      </c>
      <c r="I116" s="37"/>
      <c r="J116" s="37"/>
      <c r="K116" s="36" t="s">
        <v>111</v>
      </c>
      <c r="L116" s="39"/>
      <c r="M116" s="39"/>
      <c r="N116" s="39"/>
      <c r="O116" s="28" t="str">
        <f t="shared" si="24"/>
        <v xml:space="preserve"> </v>
      </c>
      <c r="P116" s="28" t="str">
        <f t="shared" si="25"/>
        <v xml:space="preserve"> </v>
      </c>
      <c r="Q116" s="28" t="str">
        <f t="shared" si="26"/>
        <v xml:space="preserve"> </v>
      </c>
      <c r="R116" s="29" t="str">
        <f t="shared" si="27"/>
        <v xml:space="preserve"> </v>
      </c>
      <c r="S116" s="30" t="str">
        <f t="shared" si="28"/>
        <v xml:space="preserve"> </v>
      </c>
      <c r="T116" s="31" t="str">
        <f t="shared" si="29"/>
        <v xml:space="preserve"> </v>
      </c>
      <c r="U116" s="29" t="str">
        <f t="shared" si="22"/>
        <v/>
      </c>
      <c r="V116" s="29" t="str">
        <f t="shared" si="23"/>
        <v/>
      </c>
      <c r="W116" s="116"/>
      <c r="X116" s="113"/>
    </row>
    <row r="117" spans="1:24" ht="18" customHeight="1">
      <c r="A117" s="27"/>
      <c r="B117" s="35" t="s">
        <v>235</v>
      </c>
      <c r="C117" s="36" t="s">
        <v>109</v>
      </c>
      <c r="D117" s="37">
        <v>0</v>
      </c>
      <c r="E117" s="37">
        <v>3.0000000000000001E-3</v>
      </c>
      <c r="F117" s="37">
        <v>-2E-3</v>
      </c>
      <c r="G117" s="37">
        <v>3.0000000000000001E-3</v>
      </c>
      <c r="H117" s="37">
        <v>-2E-3</v>
      </c>
      <c r="I117" s="37"/>
      <c r="J117" s="37"/>
      <c r="K117" s="36" t="s">
        <v>111</v>
      </c>
      <c r="L117" s="39"/>
      <c r="M117" s="39"/>
      <c r="N117" s="39"/>
      <c r="O117" s="28" t="str">
        <f t="shared" si="24"/>
        <v xml:space="preserve"> </v>
      </c>
      <c r="P117" s="28" t="str">
        <f t="shared" si="25"/>
        <v xml:space="preserve"> </v>
      </c>
      <c r="Q117" s="28" t="str">
        <f t="shared" si="26"/>
        <v xml:space="preserve"> </v>
      </c>
      <c r="R117" s="29" t="str">
        <f t="shared" si="27"/>
        <v xml:space="preserve"> </v>
      </c>
      <c r="S117" s="30" t="str">
        <f t="shared" si="28"/>
        <v xml:space="preserve"> </v>
      </c>
      <c r="T117" s="31" t="str">
        <f t="shared" si="29"/>
        <v xml:space="preserve"> </v>
      </c>
      <c r="U117" s="29" t="str">
        <f t="shared" si="22"/>
        <v/>
      </c>
      <c r="V117" s="29" t="str">
        <f t="shared" si="23"/>
        <v/>
      </c>
      <c r="W117" s="116"/>
      <c r="X117" s="113"/>
    </row>
    <row r="118" spans="1:24" ht="18" customHeight="1">
      <c r="A118" s="27"/>
      <c r="B118" s="35" t="s">
        <v>236</v>
      </c>
      <c r="C118" s="36" t="s">
        <v>109</v>
      </c>
      <c r="D118" s="37">
        <v>0</v>
      </c>
      <c r="E118" s="37">
        <v>5.0000000000000001E-3</v>
      </c>
      <c r="F118" s="37">
        <v>-2E-3</v>
      </c>
      <c r="G118" s="37">
        <v>5.0000000000000001E-3</v>
      </c>
      <c r="H118" s="37">
        <v>-2E-3</v>
      </c>
      <c r="I118" s="37"/>
      <c r="J118" s="37"/>
      <c r="K118" s="36" t="s">
        <v>111</v>
      </c>
      <c r="L118" s="39"/>
      <c r="M118" s="39"/>
      <c r="N118" s="39"/>
      <c r="O118" s="28" t="str">
        <f t="shared" si="24"/>
        <v xml:space="preserve"> </v>
      </c>
      <c r="P118" s="28" t="str">
        <f t="shared" si="25"/>
        <v xml:space="preserve"> </v>
      </c>
      <c r="Q118" s="28" t="str">
        <f t="shared" si="26"/>
        <v xml:space="preserve"> </v>
      </c>
      <c r="R118" s="29" t="str">
        <f t="shared" si="27"/>
        <v xml:space="preserve"> </v>
      </c>
      <c r="S118" s="30" t="str">
        <f t="shared" si="28"/>
        <v xml:space="preserve"> </v>
      </c>
      <c r="T118" s="31" t="str">
        <f t="shared" si="29"/>
        <v xml:space="preserve"> </v>
      </c>
      <c r="U118" s="29" t="str">
        <f t="shared" si="22"/>
        <v/>
      </c>
      <c r="V118" s="29" t="str">
        <f t="shared" si="23"/>
        <v/>
      </c>
      <c r="W118" s="116"/>
      <c r="X118" s="113"/>
    </row>
    <row r="119" spans="1:24" ht="18" customHeight="1">
      <c r="A119" s="27"/>
      <c r="B119" s="35" t="s">
        <v>237</v>
      </c>
      <c r="C119" s="36" t="s">
        <v>109</v>
      </c>
      <c r="D119" s="37">
        <v>0</v>
      </c>
      <c r="E119" s="37">
        <v>8.0000000000000002E-3</v>
      </c>
      <c r="F119" s="37">
        <v>-2E-3</v>
      </c>
      <c r="G119" s="37">
        <v>8.0000000000000002E-3</v>
      </c>
      <c r="H119" s="37">
        <v>-2E-3</v>
      </c>
      <c r="I119" s="37"/>
      <c r="J119" s="37"/>
      <c r="K119" s="36" t="s">
        <v>111</v>
      </c>
      <c r="L119" s="39"/>
      <c r="M119" s="39"/>
      <c r="N119" s="39"/>
      <c r="O119" s="28" t="str">
        <f t="shared" si="24"/>
        <v xml:space="preserve"> </v>
      </c>
      <c r="P119" s="28" t="str">
        <f t="shared" si="25"/>
        <v xml:space="preserve"> </v>
      </c>
      <c r="Q119" s="28" t="str">
        <f t="shared" si="26"/>
        <v xml:space="preserve"> </v>
      </c>
      <c r="R119" s="29" t="str">
        <f t="shared" si="27"/>
        <v xml:space="preserve"> </v>
      </c>
      <c r="S119" s="30" t="str">
        <f t="shared" si="28"/>
        <v xml:space="preserve"> </v>
      </c>
      <c r="T119" s="31" t="str">
        <f t="shared" si="29"/>
        <v xml:space="preserve"> </v>
      </c>
      <c r="U119" s="29" t="str">
        <f t="shared" si="22"/>
        <v/>
      </c>
      <c r="V119" s="29" t="str">
        <f t="shared" si="23"/>
        <v/>
      </c>
      <c r="W119" s="116"/>
      <c r="X119" s="113"/>
    </row>
    <row r="120" spans="1:24" ht="18" customHeight="1">
      <c r="A120" s="27"/>
      <c r="B120" s="35" t="s">
        <v>238</v>
      </c>
      <c r="C120" s="36" t="s">
        <v>109</v>
      </c>
      <c r="D120" s="37">
        <v>0</v>
      </c>
      <c r="E120" s="37">
        <v>0.01</v>
      </c>
      <c r="F120" s="37">
        <v>-4.0000000000000001E-3</v>
      </c>
      <c r="G120" s="37">
        <v>0.01</v>
      </c>
      <c r="H120" s="37">
        <v>-4.0000000000000001E-3</v>
      </c>
      <c r="I120" s="37"/>
      <c r="J120" s="37"/>
      <c r="K120" s="36" t="s">
        <v>111</v>
      </c>
      <c r="L120" s="39"/>
      <c r="M120" s="39"/>
      <c r="N120" s="39"/>
      <c r="O120" s="28" t="str">
        <f t="shared" si="24"/>
        <v xml:space="preserve"> </v>
      </c>
      <c r="P120" s="28" t="str">
        <f t="shared" si="25"/>
        <v xml:space="preserve"> </v>
      </c>
      <c r="Q120" s="28" t="str">
        <f t="shared" si="26"/>
        <v xml:space="preserve"> </v>
      </c>
      <c r="R120" s="29" t="str">
        <f t="shared" si="27"/>
        <v xml:space="preserve"> </v>
      </c>
      <c r="S120" s="30" t="str">
        <f t="shared" si="28"/>
        <v xml:space="preserve"> </v>
      </c>
      <c r="T120" s="31" t="str">
        <f t="shared" si="29"/>
        <v xml:space="preserve"> </v>
      </c>
      <c r="U120" s="29" t="str">
        <f t="shared" si="22"/>
        <v/>
      </c>
      <c r="V120" s="29" t="str">
        <f t="shared" si="23"/>
        <v/>
      </c>
      <c r="W120" s="116"/>
      <c r="X120" s="113"/>
    </row>
    <row r="121" spans="1:24" ht="18" customHeight="1">
      <c r="A121" s="27"/>
      <c r="B121" s="35" t="s">
        <v>239</v>
      </c>
      <c r="C121" s="36" t="s">
        <v>109</v>
      </c>
      <c r="D121" s="37">
        <v>0</v>
      </c>
      <c r="E121" s="37">
        <v>1.4999999999999999E-2</v>
      </c>
      <c r="F121" s="37">
        <v>-5.0000000000000001E-3</v>
      </c>
      <c r="G121" s="37">
        <v>1.2999999999999999E-2</v>
      </c>
      <c r="H121" s="37">
        <v>-3.0000000000000001E-3</v>
      </c>
      <c r="I121" s="37">
        <v>1.2E-2</v>
      </c>
      <c r="J121" s="37">
        <v>-4.0000000000000001E-3</v>
      </c>
      <c r="K121" s="36" t="s">
        <v>111</v>
      </c>
      <c r="L121" s="39"/>
      <c r="M121" s="39"/>
      <c r="N121" s="39"/>
      <c r="O121" s="28" t="str">
        <f t="shared" si="24"/>
        <v xml:space="preserve"> </v>
      </c>
      <c r="P121" s="28" t="str">
        <f t="shared" si="25"/>
        <v xml:space="preserve"> </v>
      </c>
      <c r="Q121" s="28" t="str">
        <f t="shared" si="26"/>
        <v xml:space="preserve"> </v>
      </c>
      <c r="R121" s="29" t="str">
        <f t="shared" si="27"/>
        <v xml:space="preserve"> </v>
      </c>
      <c r="S121" s="30" t="str">
        <f t="shared" si="28"/>
        <v xml:space="preserve"> </v>
      </c>
      <c r="T121" s="31" t="str">
        <f t="shared" si="29"/>
        <v xml:space="preserve"> </v>
      </c>
      <c r="U121" s="29" t="str">
        <f t="shared" si="22"/>
        <v/>
      </c>
      <c r="V121" s="29" t="str">
        <f t="shared" si="23"/>
        <v/>
      </c>
      <c r="W121" s="116"/>
      <c r="X121" s="113"/>
    </row>
    <row r="122" spans="1:24" ht="18" customHeight="1">
      <c r="A122" s="27"/>
      <c r="B122" s="35" t="s">
        <v>240</v>
      </c>
      <c r="C122" s="36" t="s">
        <v>109</v>
      </c>
      <c r="D122" s="37">
        <v>-0.45</v>
      </c>
      <c r="E122" s="37">
        <v>0.01</v>
      </c>
      <c r="F122" s="37">
        <v>-0.01</v>
      </c>
      <c r="G122" s="37">
        <v>-0.4415</v>
      </c>
      <c r="H122" s="37">
        <v>-0.45850000000000002</v>
      </c>
      <c r="I122" s="37"/>
      <c r="J122" s="37"/>
      <c r="K122" s="36" t="s">
        <v>111</v>
      </c>
      <c r="L122" s="39"/>
      <c r="M122" s="39"/>
      <c r="N122" s="39"/>
      <c r="O122" s="28" t="str">
        <f t="shared" si="24"/>
        <v xml:space="preserve"> </v>
      </c>
      <c r="P122" s="28" t="str">
        <f t="shared" si="25"/>
        <v xml:space="preserve"> </v>
      </c>
      <c r="Q122" s="28" t="str">
        <f t="shared" si="26"/>
        <v xml:space="preserve"> </v>
      </c>
      <c r="R122" s="29" t="str">
        <f t="shared" si="27"/>
        <v xml:space="preserve"> </v>
      </c>
      <c r="S122" s="30" t="str">
        <f t="shared" si="28"/>
        <v xml:space="preserve"> </v>
      </c>
      <c r="T122" s="31" t="str">
        <f t="shared" si="29"/>
        <v xml:space="preserve"> </v>
      </c>
      <c r="U122" s="29" t="str">
        <f t="shared" si="22"/>
        <v/>
      </c>
      <c r="V122" s="29" t="str">
        <f t="shared" si="23"/>
        <v/>
      </c>
      <c r="W122" s="116"/>
      <c r="X122" s="113"/>
    </row>
    <row r="123" spans="1:24" ht="18" customHeight="1">
      <c r="A123" s="27"/>
      <c r="B123" s="35" t="s">
        <v>241</v>
      </c>
      <c r="C123" s="36" t="s">
        <v>109</v>
      </c>
      <c r="D123" s="37">
        <v>0</v>
      </c>
      <c r="E123" s="37">
        <v>2E-3</v>
      </c>
      <c r="F123" s="37">
        <v>-3.0000000000000001E-3</v>
      </c>
      <c r="G123" s="37">
        <v>2E-3</v>
      </c>
      <c r="H123" s="37">
        <v>-3.0000000000000001E-3</v>
      </c>
      <c r="I123" s="37"/>
      <c r="J123" s="37"/>
      <c r="K123" s="36" t="s">
        <v>111</v>
      </c>
      <c r="L123" s="39"/>
      <c r="M123" s="39"/>
      <c r="N123" s="39"/>
      <c r="O123" s="28" t="str">
        <f t="shared" si="24"/>
        <v xml:space="preserve"> </v>
      </c>
      <c r="P123" s="28" t="str">
        <f t="shared" si="25"/>
        <v xml:space="preserve"> </v>
      </c>
      <c r="Q123" s="28" t="str">
        <f t="shared" si="26"/>
        <v xml:space="preserve"> </v>
      </c>
      <c r="R123" s="29" t="str">
        <f t="shared" si="27"/>
        <v xml:space="preserve"> </v>
      </c>
      <c r="S123" s="30" t="str">
        <f t="shared" si="28"/>
        <v xml:space="preserve"> </v>
      </c>
      <c r="T123" s="31" t="str">
        <f t="shared" si="29"/>
        <v xml:space="preserve"> </v>
      </c>
      <c r="U123" s="29" t="str">
        <f t="shared" si="22"/>
        <v/>
      </c>
      <c r="V123" s="29" t="str">
        <f t="shared" si="23"/>
        <v/>
      </c>
      <c r="W123" s="116"/>
      <c r="X123" s="113"/>
    </row>
    <row r="124" spans="1:24" ht="18" customHeight="1">
      <c r="A124" s="27"/>
      <c r="B124" s="35" t="s">
        <v>242</v>
      </c>
      <c r="C124" s="36" t="s">
        <v>109</v>
      </c>
      <c r="D124" s="37">
        <v>0</v>
      </c>
      <c r="E124" s="37">
        <v>2E-3</v>
      </c>
      <c r="F124" s="37">
        <v>-5.0000000000000001E-3</v>
      </c>
      <c r="G124" s="37">
        <v>2E-3</v>
      </c>
      <c r="H124" s="37">
        <v>-5.0000000000000001E-3</v>
      </c>
      <c r="I124" s="37"/>
      <c r="J124" s="37"/>
      <c r="K124" s="36" t="s">
        <v>111</v>
      </c>
      <c r="L124" s="39"/>
      <c r="M124" s="39"/>
      <c r="N124" s="39"/>
      <c r="O124" s="28" t="str">
        <f t="shared" si="24"/>
        <v xml:space="preserve"> </v>
      </c>
      <c r="P124" s="28" t="str">
        <f t="shared" si="25"/>
        <v xml:space="preserve"> </v>
      </c>
      <c r="Q124" s="28" t="str">
        <f t="shared" si="26"/>
        <v xml:space="preserve"> </v>
      </c>
      <c r="R124" s="29" t="str">
        <f t="shared" si="27"/>
        <v xml:space="preserve"> </v>
      </c>
      <c r="S124" s="30" t="str">
        <f t="shared" si="28"/>
        <v xml:space="preserve"> </v>
      </c>
      <c r="T124" s="31" t="str">
        <f t="shared" si="29"/>
        <v xml:space="preserve"> </v>
      </c>
      <c r="U124" s="29" t="str">
        <f t="shared" si="22"/>
        <v/>
      </c>
      <c r="V124" s="29" t="str">
        <f t="shared" si="23"/>
        <v/>
      </c>
      <c r="W124" s="116"/>
      <c r="X124" s="113"/>
    </row>
    <row r="125" spans="1:24" ht="18" customHeight="1">
      <c r="A125" s="27"/>
      <c r="B125" s="35" t="s">
        <v>243</v>
      </c>
      <c r="C125" s="36" t="s">
        <v>109</v>
      </c>
      <c r="D125" s="37">
        <v>0</v>
      </c>
      <c r="E125" s="37">
        <v>2E-3</v>
      </c>
      <c r="F125" s="37">
        <v>-8.0000000000000002E-3</v>
      </c>
      <c r="G125" s="37">
        <v>2E-3</v>
      </c>
      <c r="H125" s="37">
        <v>-8.0000000000000002E-3</v>
      </c>
      <c r="I125" s="37"/>
      <c r="J125" s="37"/>
      <c r="K125" s="36" t="s">
        <v>111</v>
      </c>
      <c r="L125" s="39"/>
      <c r="M125" s="39"/>
      <c r="N125" s="39"/>
      <c r="O125" s="28" t="str">
        <f t="shared" si="24"/>
        <v xml:space="preserve"> </v>
      </c>
      <c r="P125" s="28" t="str">
        <f t="shared" si="25"/>
        <v xml:space="preserve"> </v>
      </c>
      <c r="Q125" s="28" t="str">
        <f t="shared" si="26"/>
        <v xml:space="preserve"> </v>
      </c>
      <c r="R125" s="29" t="str">
        <f t="shared" si="27"/>
        <v xml:space="preserve"> </v>
      </c>
      <c r="S125" s="30" t="str">
        <f t="shared" si="28"/>
        <v xml:space="preserve"> </v>
      </c>
      <c r="T125" s="31" t="str">
        <f t="shared" si="29"/>
        <v xml:space="preserve"> </v>
      </c>
      <c r="U125" s="29" t="str">
        <f t="shared" si="22"/>
        <v/>
      </c>
      <c r="V125" s="29" t="str">
        <f t="shared" si="23"/>
        <v/>
      </c>
      <c r="W125" s="116"/>
      <c r="X125" s="113"/>
    </row>
    <row r="126" spans="1:24" ht="18" customHeight="1">
      <c r="A126" s="27"/>
      <c r="B126" s="41" t="s">
        <v>244</v>
      </c>
      <c r="C126" s="36" t="s">
        <v>109</v>
      </c>
      <c r="D126" s="37">
        <v>0</v>
      </c>
      <c r="E126" s="37">
        <v>4.0000000000000001E-3</v>
      </c>
      <c r="F126" s="37">
        <v>-0.01</v>
      </c>
      <c r="G126" s="37">
        <v>4.0000000000000001E-3</v>
      </c>
      <c r="H126" s="37">
        <v>-0.01</v>
      </c>
      <c r="I126" s="37"/>
      <c r="J126" s="37"/>
      <c r="K126" s="36" t="s">
        <v>111</v>
      </c>
      <c r="L126" s="39"/>
      <c r="M126" s="39"/>
      <c r="N126" s="39"/>
      <c r="O126" s="28" t="str">
        <f t="shared" si="24"/>
        <v xml:space="preserve"> </v>
      </c>
      <c r="P126" s="28" t="str">
        <f t="shared" si="25"/>
        <v xml:space="preserve"> </v>
      </c>
      <c r="Q126" s="28" t="str">
        <f t="shared" si="26"/>
        <v xml:space="preserve"> </v>
      </c>
      <c r="R126" s="29" t="str">
        <f t="shared" si="27"/>
        <v xml:space="preserve"> </v>
      </c>
      <c r="S126" s="30" t="str">
        <f t="shared" si="28"/>
        <v xml:space="preserve"> </v>
      </c>
      <c r="T126" s="31" t="str">
        <f t="shared" si="29"/>
        <v xml:space="preserve"> </v>
      </c>
      <c r="U126" s="29" t="str">
        <f t="shared" si="22"/>
        <v/>
      </c>
      <c r="V126" s="29" t="str">
        <f t="shared" si="23"/>
        <v/>
      </c>
      <c r="W126" s="116"/>
      <c r="X126" s="113"/>
    </row>
    <row r="127" spans="1:24" ht="18" customHeight="1">
      <c r="A127" s="27"/>
      <c r="B127" s="41" t="s">
        <v>245</v>
      </c>
      <c r="C127" s="36" t="s">
        <v>109</v>
      </c>
      <c r="D127" s="37">
        <v>0</v>
      </c>
      <c r="E127" s="37">
        <v>5.0000000000000001E-3</v>
      </c>
      <c r="F127" s="37">
        <v>-1.4999999999999999E-2</v>
      </c>
      <c r="G127" s="37">
        <v>3.0000000000000001E-3</v>
      </c>
      <c r="H127" s="37">
        <v>-1.2999999999999999E-2</v>
      </c>
      <c r="I127" s="37">
        <v>4.0000000000000001E-3</v>
      </c>
      <c r="J127" s="37">
        <v>-1.2E-2</v>
      </c>
      <c r="K127" s="36" t="s">
        <v>111</v>
      </c>
      <c r="L127" s="39"/>
      <c r="M127" s="39"/>
      <c r="N127" s="39"/>
      <c r="O127" s="28" t="str">
        <f t="shared" si="24"/>
        <v xml:space="preserve"> </v>
      </c>
      <c r="P127" s="28" t="str">
        <f t="shared" si="25"/>
        <v xml:space="preserve"> </v>
      </c>
      <c r="Q127" s="28" t="str">
        <f t="shared" si="26"/>
        <v xml:space="preserve"> </v>
      </c>
      <c r="R127" s="29" t="str">
        <f t="shared" si="27"/>
        <v xml:space="preserve"> </v>
      </c>
      <c r="S127" s="30" t="str">
        <f t="shared" si="28"/>
        <v xml:space="preserve"> </v>
      </c>
      <c r="T127" s="31" t="str">
        <f t="shared" si="29"/>
        <v xml:space="preserve"> </v>
      </c>
      <c r="U127" s="29" t="str">
        <f t="shared" si="22"/>
        <v/>
      </c>
      <c r="V127" s="29" t="str">
        <f t="shared" si="23"/>
        <v/>
      </c>
      <c r="W127" s="116"/>
      <c r="X127" s="113"/>
    </row>
    <row r="128" spans="1:24" ht="18" customHeight="1">
      <c r="A128" s="27"/>
      <c r="B128" s="35" t="s">
        <v>246</v>
      </c>
      <c r="C128" s="36" t="s">
        <v>109</v>
      </c>
      <c r="D128" s="37">
        <v>-0.45</v>
      </c>
      <c r="E128" s="37">
        <v>0.01</v>
      </c>
      <c r="F128" s="37">
        <v>-0.01</v>
      </c>
      <c r="G128" s="37">
        <v>-0.4415</v>
      </c>
      <c r="H128" s="37">
        <v>-0.45850000000000002</v>
      </c>
      <c r="I128" s="37"/>
      <c r="J128" s="37"/>
      <c r="K128" s="36" t="s">
        <v>111</v>
      </c>
      <c r="L128" s="39"/>
      <c r="M128" s="39"/>
      <c r="N128" s="39"/>
      <c r="O128" s="28" t="str">
        <f t="shared" si="24"/>
        <v xml:space="preserve"> </v>
      </c>
      <c r="P128" s="28" t="str">
        <f t="shared" si="25"/>
        <v xml:space="preserve"> </v>
      </c>
      <c r="Q128" s="28" t="str">
        <f t="shared" si="26"/>
        <v xml:space="preserve"> </v>
      </c>
      <c r="R128" s="29" t="str">
        <f t="shared" si="27"/>
        <v xml:space="preserve"> </v>
      </c>
      <c r="S128" s="30" t="str">
        <f t="shared" si="28"/>
        <v xml:space="preserve"> </v>
      </c>
      <c r="T128" s="31" t="str">
        <f t="shared" si="29"/>
        <v xml:space="preserve"> </v>
      </c>
      <c r="U128" s="29" t="str">
        <f t="shared" si="22"/>
        <v/>
      </c>
      <c r="V128" s="29" t="str">
        <f t="shared" si="23"/>
        <v/>
      </c>
      <c r="W128" s="116"/>
      <c r="X128" s="113"/>
    </row>
    <row r="129" spans="1:24" ht="18" customHeight="1">
      <c r="A129" s="27"/>
      <c r="B129" s="35" t="s">
        <v>247</v>
      </c>
      <c r="C129" s="36" t="s">
        <v>109</v>
      </c>
      <c r="D129" s="37">
        <v>0</v>
      </c>
      <c r="E129" s="37">
        <v>2E-3</v>
      </c>
      <c r="F129" s="37">
        <v>-3.0000000000000001E-3</v>
      </c>
      <c r="G129" s="37">
        <v>2E-3</v>
      </c>
      <c r="H129" s="37">
        <v>-3.0000000000000001E-3</v>
      </c>
      <c r="I129" s="37"/>
      <c r="J129" s="37"/>
      <c r="K129" s="36" t="s">
        <v>111</v>
      </c>
      <c r="L129" s="39"/>
      <c r="M129" s="39"/>
      <c r="N129" s="39"/>
      <c r="O129" s="28" t="str">
        <f t="shared" si="24"/>
        <v xml:space="preserve"> </v>
      </c>
      <c r="P129" s="28" t="str">
        <f t="shared" si="25"/>
        <v xml:space="preserve"> </v>
      </c>
      <c r="Q129" s="28" t="str">
        <f t="shared" si="26"/>
        <v xml:space="preserve"> </v>
      </c>
      <c r="R129" s="29" t="str">
        <f t="shared" si="27"/>
        <v xml:space="preserve"> </v>
      </c>
      <c r="S129" s="30" t="str">
        <f t="shared" si="28"/>
        <v xml:space="preserve"> </v>
      </c>
      <c r="T129" s="31" t="str">
        <f t="shared" si="29"/>
        <v xml:space="preserve"> </v>
      </c>
      <c r="U129" s="29" t="str">
        <f t="shared" si="22"/>
        <v/>
      </c>
      <c r="V129" s="29" t="str">
        <f t="shared" si="23"/>
        <v/>
      </c>
      <c r="W129" s="116"/>
      <c r="X129" s="113"/>
    </row>
    <row r="130" spans="1:24" ht="18" customHeight="1">
      <c r="A130" s="27"/>
      <c r="B130" s="35" t="s">
        <v>248</v>
      </c>
      <c r="C130" s="36" t="s">
        <v>109</v>
      </c>
      <c r="D130" s="37">
        <v>0</v>
      </c>
      <c r="E130" s="37">
        <v>2E-3</v>
      </c>
      <c r="F130" s="37">
        <v>-5.0000000000000001E-3</v>
      </c>
      <c r="G130" s="37">
        <v>2E-3</v>
      </c>
      <c r="H130" s="37">
        <v>-5.0000000000000001E-3</v>
      </c>
      <c r="I130" s="37"/>
      <c r="J130" s="37"/>
      <c r="K130" s="36" t="s">
        <v>111</v>
      </c>
      <c r="L130" s="39"/>
      <c r="M130" s="39"/>
      <c r="N130" s="39"/>
      <c r="O130" s="28" t="str">
        <f t="shared" si="24"/>
        <v xml:space="preserve"> </v>
      </c>
      <c r="P130" s="28" t="str">
        <f t="shared" si="25"/>
        <v xml:space="preserve"> </v>
      </c>
      <c r="Q130" s="28" t="str">
        <f t="shared" si="26"/>
        <v xml:space="preserve"> </v>
      </c>
      <c r="R130" s="29" t="str">
        <f t="shared" si="27"/>
        <v xml:space="preserve"> </v>
      </c>
      <c r="S130" s="30" t="str">
        <f t="shared" si="28"/>
        <v xml:space="preserve"> </v>
      </c>
      <c r="T130" s="31" t="str">
        <f t="shared" si="29"/>
        <v xml:space="preserve"> </v>
      </c>
      <c r="U130" s="29" t="str">
        <f t="shared" si="22"/>
        <v/>
      </c>
      <c r="V130" s="29" t="str">
        <f t="shared" si="23"/>
        <v/>
      </c>
      <c r="W130" s="116"/>
      <c r="X130" s="113"/>
    </row>
    <row r="131" spans="1:24" ht="18" customHeight="1">
      <c r="A131" s="27"/>
      <c r="B131" s="35" t="s">
        <v>249</v>
      </c>
      <c r="C131" s="36" t="s">
        <v>109</v>
      </c>
      <c r="D131" s="37">
        <v>0</v>
      </c>
      <c r="E131" s="37">
        <v>2E-3</v>
      </c>
      <c r="F131" s="37">
        <v>-8.0000000000000002E-3</v>
      </c>
      <c r="G131" s="37">
        <v>2E-3</v>
      </c>
      <c r="H131" s="37">
        <v>-8.0000000000000002E-3</v>
      </c>
      <c r="I131" s="37"/>
      <c r="J131" s="37"/>
      <c r="K131" s="36" t="s">
        <v>111</v>
      </c>
      <c r="L131" s="39"/>
      <c r="M131" s="39"/>
      <c r="N131" s="39"/>
      <c r="O131" s="28" t="str">
        <f t="shared" si="24"/>
        <v xml:space="preserve"> </v>
      </c>
      <c r="P131" s="28" t="str">
        <f t="shared" si="25"/>
        <v xml:space="preserve"> </v>
      </c>
      <c r="Q131" s="28" t="str">
        <f t="shared" si="26"/>
        <v xml:space="preserve"> </v>
      </c>
      <c r="R131" s="29" t="str">
        <f t="shared" si="27"/>
        <v xml:space="preserve"> </v>
      </c>
      <c r="S131" s="30" t="str">
        <f t="shared" si="28"/>
        <v xml:space="preserve"> </v>
      </c>
      <c r="T131" s="31" t="str">
        <f t="shared" si="29"/>
        <v xml:space="preserve"> </v>
      </c>
      <c r="U131" s="29" t="str">
        <f t="shared" si="22"/>
        <v/>
      </c>
      <c r="V131" s="29" t="str">
        <f t="shared" ref="V131:V156" si="30">IF(L131="","",IF(ISERR(F131/F131)=TRUE,"",IF(ISERR(F131/D131)=TRUE,IF((F131-MIN(L131:N131))&gt;0.001,"Reject",""),IF(ISNUMBER($T131)=TRUE,IF($T131&gt;0.651,IF($T131&gt;1.001,"Reject","Alert"),""),""))))</f>
        <v/>
      </c>
      <c r="W131" s="116"/>
      <c r="X131" s="113"/>
    </row>
    <row r="132" spans="1:24" ht="18" customHeight="1">
      <c r="A132" s="27"/>
      <c r="B132" s="35" t="s">
        <v>250</v>
      </c>
      <c r="C132" s="36" t="s">
        <v>109</v>
      </c>
      <c r="D132" s="37">
        <v>0</v>
      </c>
      <c r="E132" s="37">
        <v>4.0000000000000001E-3</v>
      </c>
      <c r="F132" s="37">
        <v>-0.01</v>
      </c>
      <c r="G132" s="37">
        <v>4.0000000000000001E-3</v>
      </c>
      <c r="H132" s="37">
        <v>-0.01</v>
      </c>
      <c r="I132" s="37"/>
      <c r="J132" s="37"/>
      <c r="K132" s="36" t="s">
        <v>111</v>
      </c>
      <c r="L132" s="39"/>
      <c r="M132" s="39"/>
      <c r="N132" s="39"/>
      <c r="O132" s="28" t="str">
        <f t="shared" si="24"/>
        <v xml:space="preserve"> </v>
      </c>
      <c r="P132" s="28" t="str">
        <f t="shared" si="25"/>
        <v xml:space="preserve"> </v>
      </c>
      <c r="Q132" s="28" t="str">
        <f t="shared" si="26"/>
        <v xml:space="preserve"> </v>
      </c>
      <c r="R132" s="29" t="str">
        <f t="shared" si="27"/>
        <v xml:space="preserve"> </v>
      </c>
      <c r="S132" s="30" t="str">
        <f t="shared" si="28"/>
        <v xml:space="preserve"> </v>
      </c>
      <c r="T132" s="31" t="str">
        <f t="shared" si="29"/>
        <v xml:space="preserve"> </v>
      </c>
      <c r="U132" s="29" t="str">
        <f t="shared" si="22"/>
        <v/>
      </c>
      <c r="V132" s="29" t="str">
        <f t="shared" si="30"/>
        <v/>
      </c>
      <c r="W132" s="116"/>
      <c r="X132" s="113"/>
    </row>
    <row r="133" spans="1:24" ht="18" customHeight="1">
      <c r="A133" s="27"/>
      <c r="B133" s="35" t="s">
        <v>251</v>
      </c>
      <c r="C133" s="36" t="s">
        <v>109</v>
      </c>
      <c r="D133" s="37">
        <v>0</v>
      </c>
      <c r="E133" s="37">
        <v>5.0000000000000001E-3</v>
      </c>
      <c r="F133" s="37">
        <v>-1.4999999999999999E-2</v>
      </c>
      <c r="G133" s="37">
        <v>3.0000000000000001E-3</v>
      </c>
      <c r="H133" s="37">
        <v>-1.2999999999999999E-2</v>
      </c>
      <c r="I133" s="37">
        <v>4.0000000000000001E-3</v>
      </c>
      <c r="J133" s="37">
        <v>-1.2E-2</v>
      </c>
      <c r="K133" s="36" t="s">
        <v>111</v>
      </c>
      <c r="L133" s="39"/>
      <c r="M133" s="39"/>
      <c r="N133" s="39"/>
      <c r="O133" s="28" t="str">
        <f t="shared" si="24"/>
        <v xml:space="preserve"> </v>
      </c>
      <c r="P133" s="28" t="str">
        <f t="shared" si="25"/>
        <v xml:space="preserve"> </v>
      </c>
      <c r="Q133" s="28" t="str">
        <f t="shared" si="26"/>
        <v xml:space="preserve"> </v>
      </c>
      <c r="R133" s="29" t="str">
        <f t="shared" si="27"/>
        <v xml:space="preserve"> </v>
      </c>
      <c r="S133" s="30" t="str">
        <f t="shared" si="28"/>
        <v xml:space="preserve"> </v>
      </c>
      <c r="T133" s="31" t="str">
        <f t="shared" si="29"/>
        <v xml:space="preserve"> </v>
      </c>
      <c r="U133" s="29" t="str">
        <f t="shared" si="22"/>
        <v/>
      </c>
      <c r="V133" s="29" t="str">
        <f t="shared" si="30"/>
        <v/>
      </c>
      <c r="W133" s="116"/>
      <c r="X133" s="113"/>
    </row>
    <row r="134" spans="1:24" ht="18" customHeight="1">
      <c r="A134" s="27"/>
      <c r="B134" s="35" t="s">
        <v>252</v>
      </c>
      <c r="C134" s="36" t="s">
        <v>192</v>
      </c>
      <c r="D134" s="37">
        <v>0.03</v>
      </c>
      <c r="E134" s="37">
        <v>0.03</v>
      </c>
      <c r="F134" s="37">
        <v>-0.03</v>
      </c>
      <c r="G134" s="37">
        <v>5.5499999999999994E-2</v>
      </c>
      <c r="H134" s="37">
        <v>4.5000000000000005E-3</v>
      </c>
      <c r="I134" s="37"/>
      <c r="J134" s="37"/>
      <c r="K134" s="36" t="s">
        <v>46</v>
      </c>
      <c r="L134" s="39"/>
      <c r="M134" s="39"/>
      <c r="N134" s="39"/>
      <c r="O134" s="28" t="str">
        <f t="shared" ref="O134:O156" si="31">IF(ISERR(L134/L134)=TRUE," ",L134-$D134)</f>
        <v xml:space="preserve"> </v>
      </c>
      <c r="P134" s="28" t="str">
        <f t="shared" ref="P134:P156" si="32">IF(ISERR(M134/M134)=TRUE," ",M134-$D134)</f>
        <v xml:space="preserve"> </v>
      </c>
      <c r="Q134" s="28" t="str">
        <f t="shared" ref="Q134:Q156" si="33">IF(ISERR(N134/N134)=TRUE," ",N134-$D134)</f>
        <v xml:space="preserve"> </v>
      </c>
      <c r="R134" s="29" t="str">
        <f t="shared" ref="R134:R156" si="34">IF(ISERR(L134/L134)=TRUE," ",AVERAGE(L134:N134))</f>
        <v xml:space="preserve"> </v>
      </c>
      <c r="S134" s="30" t="str">
        <f t="shared" ref="S134:S156" si="35">IF(ISERR(E134/E134)=TRUE," ",IF(ISERR(L134/L134)=TRUE," ",IF(ISNUMBER($L134)=FALSE," ",IF(MAX($L134:$N134)&lt;$D134,0,(MAX($L134:$N134)-$D134)/$E134))))</f>
        <v xml:space="preserve"> </v>
      </c>
      <c r="T134" s="31" t="str">
        <f t="shared" ref="T134:T156" si="36">IF(ISERR(F134/D134)=TRUE," ",IF(ISERR(F134/F134)=TRUE," ",IF(ISERR(L134/L134)=TRUE," ",IF(ISNUMBER(L134)=FALSE," ",IF(MIN(L134:N134)&gt;$D134,0,($D134-MIN(L134:N134))/-F134)))))</f>
        <v xml:space="preserve"> </v>
      </c>
      <c r="U134" s="29" t="str">
        <f t="shared" si="22"/>
        <v/>
      </c>
      <c r="V134" s="29" t="str">
        <f t="shared" si="30"/>
        <v/>
      </c>
      <c r="W134" s="116"/>
      <c r="X134" s="113"/>
    </row>
    <row r="135" spans="1:24" ht="18" customHeight="1">
      <c r="A135" s="27"/>
      <c r="B135" s="35" t="s">
        <v>253</v>
      </c>
      <c r="C135" s="36" t="s">
        <v>192</v>
      </c>
      <c r="D135" s="37">
        <v>0.03</v>
      </c>
      <c r="E135" s="37">
        <v>0.03</v>
      </c>
      <c r="F135" s="37">
        <v>-0.03</v>
      </c>
      <c r="G135" s="37">
        <v>5.5499999999999994E-2</v>
      </c>
      <c r="H135" s="37">
        <v>4.5000000000000005E-3</v>
      </c>
      <c r="I135" s="37"/>
      <c r="J135" s="37"/>
      <c r="K135" s="36" t="s">
        <v>46</v>
      </c>
      <c r="L135" s="39"/>
      <c r="M135" s="39"/>
      <c r="N135" s="39"/>
      <c r="O135" s="28" t="str">
        <f t="shared" si="31"/>
        <v xml:space="preserve"> </v>
      </c>
      <c r="P135" s="28" t="str">
        <f t="shared" si="32"/>
        <v xml:space="preserve"> </v>
      </c>
      <c r="Q135" s="28" t="str">
        <f t="shared" si="33"/>
        <v xml:space="preserve"> </v>
      </c>
      <c r="R135" s="29" t="str">
        <f t="shared" si="34"/>
        <v xml:space="preserve"> </v>
      </c>
      <c r="S135" s="30" t="str">
        <f t="shared" si="35"/>
        <v xml:space="preserve"> </v>
      </c>
      <c r="T135" s="31" t="str">
        <f t="shared" si="36"/>
        <v xml:space="preserve"> </v>
      </c>
      <c r="U135" s="29" t="str">
        <f t="shared" si="22"/>
        <v/>
      </c>
      <c r="V135" s="29" t="str">
        <f t="shared" si="30"/>
        <v/>
      </c>
      <c r="W135" s="116"/>
      <c r="X135" s="113"/>
    </row>
    <row r="136" spans="1:24" ht="18" customHeight="1">
      <c r="A136" s="27"/>
      <c r="B136" s="35" t="s">
        <v>254</v>
      </c>
      <c r="C136" s="36" t="s">
        <v>192</v>
      </c>
      <c r="D136" s="37">
        <v>0.03</v>
      </c>
      <c r="E136" s="37">
        <v>0.03</v>
      </c>
      <c r="F136" s="37">
        <v>-0.03</v>
      </c>
      <c r="G136" s="37">
        <v>5.5499999999999994E-2</v>
      </c>
      <c r="H136" s="37">
        <v>4.5000000000000005E-3</v>
      </c>
      <c r="I136" s="37"/>
      <c r="J136" s="37"/>
      <c r="K136" s="36" t="s">
        <v>46</v>
      </c>
      <c r="L136" s="39"/>
      <c r="M136" s="39"/>
      <c r="N136" s="39"/>
      <c r="O136" s="28" t="str">
        <f t="shared" si="31"/>
        <v xml:space="preserve"> </v>
      </c>
      <c r="P136" s="28" t="str">
        <f t="shared" si="32"/>
        <v xml:space="preserve"> </v>
      </c>
      <c r="Q136" s="28" t="str">
        <f t="shared" si="33"/>
        <v xml:space="preserve"> </v>
      </c>
      <c r="R136" s="29" t="str">
        <f t="shared" si="34"/>
        <v xml:space="preserve"> </v>
      </c>
      <c r="S136" s="30" t="str">
        <f t="shared" si="35"/>
        <v xml:space="preserve"> </v>
      </c>
      <c r="T136" s="31" t="str">
        <f t="shared" si="36"/>
        <v xml:space="preserve"> </v>
      </c>
      <c r="U136" s="29" t="str">
        <f t="shared" si="22"/>
        <v/>
      </c>
      <c r="V136" s="29" t="str">
        <f t="shared" si="30"/>
        <v/>
      </c>
      <c r="W136" s="116"/>
      <c r="X136" s="113"/>
    </row>
    <row r="137" spans="1:24" ht="18" customHeight="1">
      <c r="A137" s="27"/>
      <c r="B137" s="35" t="s">
        <v>255</v>
      </c>
      <c r="C137" s="36" t="s">
        <v>192</v>
      </c>
      <c r="D137" s="37">
        <v>0.03</v>
      </c>
      <c r="E137" s="37">
        <v>0.03</v>
      </c>
      <c r="F137" s="37">
        <v>-0.03</v>
      </c>
      <c r="G137" s="37">
        <v>5.5499999999999994E-2</v>
      </c>
      <c r="H137" s="37">
        <v>4.5000000000000005E-3</v>
      </c>
      <c r="I137" s="37"/>
      <c r="J137" s="37"/>
      <c r="K137" s="36" t="s">
        <v>46</v>
      </c>
      <c r="L137" s="39"/>
      <c r="M137" s="39"/>
      <c r="N137" s="39"/>
      <c r="O137" s="28" t="str">
        <f t="shared" si="31"/>
        <v xml:space="preserve"> </v>
      </c>
      <c r="P137" s="28" t="str">
        <f t="shared" si="32"/>
        <v xml:space="preserve"> </v>
      </c>
      <c r="Q137" s="28" t="str">
        <f t="shared" si="33"/>
        <v xml:space="preserve"> </v>
      </c>
      <c r="R137" s="29" t="str">
        <f t="shared" si="34"/>
        <v xml:space="preserve"> </v>
      </c>
      <c r="S137" s="30" t="str">
        <f t="shared" si="35"/>
        <v xml:space="preserve"> </v>
      </c>
      <c r="T137" s="31" t="str">
        <f t="shared" si="36"/>
        <v xml:space="preserve"> </v>
      </c>
      <c r="U137" s="29" t="str">
        <f t="shared" si="22"/>
        <v/>
      </c>
      <c r="V137" s="29" t="str">
        <f t="shared" si="30"/>
        <v/>
      </c>
      <c r="W137" s="116"/>
      <c r="X137" s="113"/>
    </row>
    <row r="138" spans="1:24" ht="18" customHeight="1">
      <c r="A138" s="27"/>
      <c r="B138" s="35" t="s">
        <v>256</v>
      </c>
      <c r="C138" s="36" t="s">
        <v>192</v>
      </c>
      <c r="D138" s="37">
        <v>0.03</v>
      </c>
      <c r="E138" s="37">
        <v>0.03</v>
      </c>
      <c r="F138" s="37">
        <v>-0.03</v>
      </c>
      <c r="G138" s="37">
        <v>5.5499999999999994E-2</v>
      </c>
      <c r="H138" s="37">
        <v>4.5000000000000005E-3</v>
      </c>
      <c r="I138" s="37"/>
      <c r="J138" s="37"/>
      <c r="K138" s="36" t="s">
        <v>46</v>
      </c>
      <c r="L138" s="39"/>
      <c r="M138" s="39"/>
      <c r="N138" s="39"/>
      <c r="O138" s="28" t="str">
        <f t="shared" si="31"/>
        <v xml:space="preserve"> </v>
      </c>
      <c r="P138" s="28" t="str">
        <f t="shared" si="32"/>
        <v xml:space="preserve"> </v>
      </c>
      <c r="Q138" s="28" t="str">
        <f t="shared" si="33"/>
        <v xml:space="preserve"> </v>
      </c>
      <c r="R138" s="29" t="str">
        <f t="shared" si="34"/>
        <v xml:space="preserve"> </v>
      </c>
      <c r="S138" s="30" t="str">
        <f t="shared" si="35"/>
        <v xml:space="preserve"> </v>
      </c>
      <c r="T138" s="31" t="str">
        <f t="shared" si="36"/>
        <v xml:space="preserve"> </v>
      </c>
      <c r="U138" s="29" t="str">
        <f t="shared" si="22"/>
        <v/>
      </c>
      <c r="V138" s="29" t="str">
        <f t="shared" si="30"/>
        <v/>
      </c>
      <c r="W138" s="116"/>
      <c r="X138" s="113"/>
    </row>
    <row r="139" spans="1:24" ht="18" customHeight="1">
      <c r="A139" s="27"/>
      <c r="B139" s="35" t="s">
        <v>257</v>
      </c>
      <c r="C139" s="36" t="s">
        <v>192</v>
      </c>
      <c r="D139" s="37">
        <v>0.03</v>
      </c>
      <c r="E139" s="37">
        <v>0.03</v>
      </c>
      <c r="F139" s="37">
        <v>-0.03</v>
      </c>
      <c r="G139" s="37">
        <v>5.5499999999999994E-2</v>
      </c>
      <c r="H139" s="37">
        <v>4.5000000000000005E-3</v>
      </c>
      <c r="I139" s="37"/>
      <c r="J139" s="37"/>
      <c r="K139" s="36" t="s">
        <v>46</v>
      </c>
      <c r="L139" s="39"/>
      <c r="M139" s="39"/>
      <c r="N139" s="39"/>
      <c r="O139" s="28" t="str">
        <f t="shared" si="31"/>
        <v xml:space="preserve"> </v>
      </c>
      <c r="P139" s="28" t="str">
        <f t="shared" si="32"/>
        <v xml:space="preserve"> </v>
      </c>
      <c r="Q139" s="28" t="str">
        <f t="shared" si="33"/>
        <v xml:space="preserve"> </v>
      </c>
      <c r="R139" s="29" t="str">
        <f t="shared" si="34"/>
        <v xml:space="preserve"> </v>
      </c>
      <c r="S139" s="30" t="str">
        <f t="shared" si="35"/>
        <v xml:space="preserve"> </v>
      </c>
      <c r="T139" s="31" t="str">
        <f t="shared" si="36"/>
        <v xml:space="preserve"> </v>
      </c>
      <c r="U139" s="29" t="str">
        <f t="shared" si="22"/>
        <v/>
      </c>
      <c r="V139" s="29" t="str">
        <f t="shared" si="30"/>
        <v/>
      </c>
      <c r="W139" s="116"/>
      <c r="X139" s="113"/>
    </row>
    <row r="140" spans="1:24" ht="18" customHeight="1">
      <c r="A140" s="27"/>
      <c r="B140" s="42" t="s">
        <v>258</v>
      </c>
      <c r="C140" s="36" t="s">
        <v>192</v>
      </c>
      <c r="D140" s="37">
        <v>0.03</v>
      </c>
      <c r="E140" s="37">
        <v>0.03</v>
      </c>
      <c r="F140" s="37">
        <v>-0.03</v>
      </c>
      <c r="G140" s="37">
        <v>5.5499999999999994E-2</v>
      </c>
      <c r="H140" s="37">
        <v>4.5000000000000005E-3</v>
      </c>
      <c r="I140" s="37"/>
      <c r="J140" s="37"/>
      <c r="K140" s="36" t="s">
        <v>46</v>
      </c>
      <c r="L140" s="39"/>
      <c r="M140" s="39"/>
      <c r="N140" s="39"/>
      <c r="O140" s="28" t="str">
        <f t="shared" si="31"/>
        <v xml:space="preserve"> </v>
      </c>
      <c r="P140" s="28" t="str">
        <f t="shared" si="32"/>
        <v xml:space="preserve"> </v>
      </c>
      <c r="Q140" s="28" t="str">
        <f t="shared" si="33"/>
        <v xml:space="preserve"> </v>
      </c>
      <c r="R140" s="29" t="str">
        <f t="shared" si="34"/>
        <v xml:space="preserve"> </v>
      </c>
      <c r="S140" s="30" t="str">
        <f t="shared" si="35"/>
        <v xml:space="preserve"> </v>
      </c>
      <c r="T140" s="31" t="str">
        <f t="shared" si="36"/>
        <v xml:space="preserve"> </v>
      </c>
      <c r="U140" s="29" t="str">
        <f t="shared" si="22"/>
        <v/>
      </c>
      <c r="V140" s="29" t="str">
        <f t="shared" si="30"/>
        <v/>
      </c>
      <c r="W140" s="116"/>
      <c r="X140" s="113"/>
    </row>
    <row r="141" spans="1:24" ht="18" customHeight="1">
      <c r="A141" s="27"/>
      <c r="B141" s="41" t="s">
        <v>259</v>
      </c>
      <c r="C141" s="36" t="s">
        <v>192</v>
      </c>
      <c r="D141" s="37">
        <v>0.03</v>
      </c>
      <c r="E141" s="37">
        <v>0.03</v>
      </c>
      <c r="F141" s="37">
        <v>-0.03</v>
      </c>
      <c r="G141" s="37">
        <v>5.5499999999999994E-2</v>
      </c>
      <c r="H141" s="37">
        <v>4.5000000000000005E-3</v>
      </c>
      <c r="I141" s="37"/>
      <c r="J141" s="37"/>
      <c r="K141" s="36" t="s">
        <v>46</v>
      </c>
      <c r="L141" s="39"/>
      <c r="M141" s="39"/>
      <c r="N141" s="39"/>
      <c r="O141" s="28" t="str">
        <f t="shared" si="31"/>
        <v xml:space="preserve"> </v>
      </c>
      <c r="P141" s="28" t="str">
        <f t="shared" si="32"/>
        <v xml:space="preserve"> </v>
      </c>
      <c r="Q141" s="28" t="str">
        <f t="shared" si="33"/>
        <v xml:space="preserve"> </v>
      </c>
      <c r="R141" s="29" t="str">
        <f t="shared" si="34"/>
        <v xml:space="preserve"> </v>
      </c>
      <c r="S141" s="30" t="str">
        <f t="shared" si="35"/>
        <v xml:space="preserve"> </v>
      </c>
      <c r="T141" s="31" t="str">
        <f t="shared" si="36"/>
        <v xml:space="preserve"> </v>
      </c>
      <c r="U141" s="29" t="str">
        <f t="shared" si="22"/>
        <v/>
      </c>
      <c r="V141" s="29" t="str">
        <f t="shared" si="30"/>
        <v/>
      </c>
      <c r="W141" s="116"/>
      <c r="X141" s="113"/>
    </row>
    <row r="142" spans="1:24" ht="18" customHeight="1">
      <c r="A142" s="27"/>
      <c r="B142" s="35" t="s">
        <v>260</v>
      </c>
      <c r="C142" s="36" t="s">
        <v>192</v>
      </c>
      <c r="D142" s="37">
        <v>0.03</v>
      </c>
      <c r="E142" s="37">
        <v>0.03</v>
      </c>
      <c r="F142" s="37">
        <v>-0.03</v>
      </c>
      <c r="G142" s="37">
        <v>5.5499999999999994E-2</v>
      </c>
      <c r="H142" s="37">
        <v>4.5000000000000005E-3</v>
      </c>
      <c r="I142" s="37"/>
      <c r="J142" s="37"/>
      <c r="K142" s="36" t="s">
        <v>46</v>
      </c>
      <c r="L142" s="39"/>
      <c r="M142" s="39"/>
      <c r="N142" s="39"/>
      <c r="O142" s="28" t="str">
        <f t="shared" si="31"/>
        <v xml:space="preserve"> </v>
      </c>
      <c r="P142" s="28" t="str">
        <f t="shared" si="32"/>
        <v xml:space="preserve"> </v>
      </c>
      <c r="Q142" s="28" t="str">
        <f t="shared" si="33"/>
        <v xml:space="preserve"> </v>
      </c>
      <c r="R142" s="29" t="str">
        <f t="shared" si="34"/>
        <v xml:space="preserve"> </v>
      </c>
      <c r="S142" s="30" t="str">
        <f t="shared" si="35"/>
        <v xml:space="preserve"> </v>
      </c>
      <c r="T142" s="31" t="str">
        <f t="shared" si="36"/>
        <v xml:space="preserve"> </v>
      </c>
      <c r="U142" s="29" t="str">
        <f t="shared" si="22"/>
        <v/>
      </c>
      <c r="V142" s="29" t="str">
        <f t="shared" si="30"/>
        <v/>
      </c>
      <c r="W142" s="116"/>
      <c r="X142" s="113"/>
    </row>
    <row r="143" spans="1:24" ht="18" customHeight="1">
      <c r="A143" s="27"/>
      <c r="B143" s="35" t="s">
        <v>261</v>
      </c>
      <c r="C143" s="36" t="s">
        <v>192</v>
      </c>
      <c r="D143" s="37">
        <v>0.03</v>
      </c>
      <c r="E143" s="37">
        <v>0.03</v>
      </c>
      <c r="F143" s="37">
        <v>-0.03</v>
      </c>
      <c r="G143" s="37">
        <v>5.5499999999999994E-2</v>
      </c>
      <c r="H143" s="37">
        <v>4.5000000000000005E-3</v>
      </c>
      <c r="I143" s="37"/>
      <c r="J143" s="37"/>
      <c r="K143" s="36" t="s">
        <v>46</v>
      </c>
      <c r="L143" s="39"/>
      <c r="M143" s="39"/>
      <c r="N143" s="39"/>
      <c r="O143" s="28" t="str">
        <f t="shared" si="31"/>
        <v xml:space="preserve"> </v>
      </c>
      <c r="P143" s="28" t="str">
        <f t="shared" si="32"/>
        <v xml:space="preserve"> </v>
      </c>
      <c r="Q143" s="28" t="str">
        <f t="shared" si="33"/>
        <v xml:space="preserve"> </v>
      </c>
      <c r="R143" s="29" t="str">
        <f t="shared" si="34"/>
        <v xml:space="preserve"> </v>
      </c>
      <c r="S143" s="30" t="str">
        <f t="shared" si="35"/>
        <v xml:space="preserve"> </v>
      </c>
      <c r="T143" s="31" t="str">
        <f t="shared" si="36"/>
        <v xml:space="preserve"> </v>
      </c>
      <c r="U143" s="29" t="str">
        <f t="shared" si="22"/>
        <v/>
      </c>
      <c r="V143" s="29" t="str">
        <f t="shared" si="30"/>
        <v/>
      </c>
      <c r="W143" s="116"/>
      <c r="X143" s="113"/>
    </row>
    <row r="144" spans="1:24" ht="18" customHeight="1">
      <c r="A144" s="27"/>
      <c r="B144" s="35" t="s">
        <v>262</v>
      </c>
      <c r="C144" s="36" t="s">
        <v>192</v>
      </c>
      <c r="D144" s="37">
        <v>0.03</v>
      </c>
      <c r="E144" s="37">
        <v>0.03</v>
      </c>
      <c r="F144" s="37">
        <v>-0.03</v>
      </c>
      <c r="G144" s="37">
        <v>5.5499999999999994E-2</v>
      </c>
      <c r="H144" s="37">
        <v>4.5000000000000005E-3</v>
      </c>
      <c r="I144" s="37"/>
      <c r="J144" s="37"/>
      <c r="K144" s="36" t="s">
        <v>46</v>
      </c>
      <c r="L144" s="39"/>
      <c r="M144" s="39"/>
      <c r="N144" s="39"/>
      <c r="O144" s="28" t="str">
        <f t="shared" si="31"/>
        <v xml:space="preserve"> </v>
      </c>
      <c r="P144" s="28" t="str">
        <f t="shared" si="32"/>
        <v xml:space="preserve"> </v>
      </c>
      <c r="Q144" s="28" t="str">
        <f t="shared" si="33"/>
        <v xml:space="preserve"> </v>
      </c>
      <c r="R144" s="29" t="str">
        <f t="shared" si="34"/>
        <v xml:space="preserve"> </v>
      </c>
      <c r="S144" s="30" t="str">
        <f t="shared" si="35"/>
        <v xml:space="preserve"> </v>
      </c>
      <c r="T144" s="31" t="str">
        <f t="shared" si="36"/>
        <v xml:space="preserve"> </v>
      </c>
      <c r="U144" s="29" t="str">
        <f t="shared" ref="U144:U156" si="37">IF(ISNUMBER($S144)=TRUE,IF($S144&gt;0.651,IF($S144&gt;1.001,"Reject","Alert"),""),"")</f>
        <v/>
      </c>
      <c r="V144" s="29" t="str">
        <f t="shared" si="30"/>
        <v/>
      </c>
      <c r="W144" s="116"/>
      <c r="X144" s="113"/>
    </row>
    <row r="145" spans="1:24" ht="18" customHeight="1">
      <c r="A145" s="27"/>
      <c r="B145" s="35" t="s">
        <v>263</v>
      </c>
      <c r="C145" s="36" t="s">
        <v>192</v>
      </c>
      <c r="D145" s="37">
        <v>0.03</v>
      </c>
      <c r="E145" s="37">
        <v>0.03</v>
      </c>
      <c r="F145" s="37">
        <v>-0.03</v>
      </c>
      <c r="G145" s="37">
        <v>5.5499999999999994E-2</v>
      </c>
      <c r="H145" s="37">
        <v>4.5000000000000005E-3</v>
      </c>
      <c r="I145" s="37"/>
      <c r="J145" s="37"/>
      <c r="K145" s="36" t="s">
        <v>46</v>
      </c>
      <c r="L145" s="39"/>
      <c r="M145" s="39"/>
      <c r="N145" s="39"/>
      <c r="O145" s="28" t="str">
        <f t="shared" si="31"/>
        <v xml:space="preserve"> </v>
      </c>
      <c r="P145" s="28" t="str">
        <f t="shared" si="32"/>
        <v xml:space="preserve"> </v>
      </c>
      <c r="Q145" s="28" t="str">
        <f t="shared" si="33"/>
        <v xml:space="preserve"> </v>
      </c>
      <c r="R145" s="29" t="str">
        <f t="shared" si="34"/>
        <v xml:space="preserve"> </v>
      </c>
      <c r="S145" s="30" t="str">
        <f t="shared" si="35"/>
        <v xml:space="preserve"> </v>
      </c>
      <c r="T145" s="31" t="str">
        <f t="shared" si="36"/>
        <v xml:space="preserve"> </v>
      </c>
      <c r="U145" s="29" t="str">
        <f t="shared" si="37"/>
        <v/>
      </c>
      <c r="V145" s="29" t="str">
        <f t="shared" si="30"/>
        <v/>
      </c>
      <c r="W145" s="116"/>
      <c r="X145" s="113"/>
    </row>
    <row r="146" spans="1:24" ht="18" customHeight="1">
      <c r="A146" s="27"/>
      <c r="B146" s="35" t="s">
        <v>264</v>
      </c>
      <c r="C146" s="36" t="s">
        <v>192</v>
      </c>
      <c r="D146" s="37">
        <v>0.03</v>
      </c>
      <c r="E146" s="37">
        <v>0.03</v>
      </c>
      <c r="F146" s="37">
        <v>-0.03</v>
      </c>
      <c r="G146" s="37">
        <v>5.5499999999999994E-2</v>
      </c>
      <c r="H146" s="37">
        <v>4.5000000000000005E-3</v>
      </c>
      <c r="I146" s="37"/>
      <c r="J146" s="37"/>
      <c r="K146" s="36" t="s">
        <v>46</v>
      </c>
      <c r="L146" s="39"/>
      <c r="M146" s="39"/>
      <c r="N146" s="39"/>
      <c r="O146" s="28" t="str">
        <f t="shared" si="31"/>
        <v xml:space="preserve"> </v>
      </c>
      <c r="P146" s="28" t="str">
        <f t="shared" si="32"/>
        <v xml:space="preserve"> </v>
      </c>
      <c r="Q146" s="28" t="str">
        <f t="shared" si="33"/>
        <v xml:space="preserve"> </v>
      </c>
      <c r="R146" s="29" t="str">
        <f t="shared" si="34"/>
        <v xml:space="preserve"> </v>
      </c>
      <c r="S146" s="30" t="str">
        <f t="shared" si="35"/>
        <v xml:space="preserve"> </v>
      </c>
      <c r="T146" s="31" t="str">
        <f t="shared" si="36"/>
        <v xml:space="preserve"> </v>
      </c>
      <c r="U146" s="29" t="str">
        <f t="shared" si="37"/>
        <v/>
      </c>
      <c r="V146" s="29" t="str">
        <f t="shared" si="30"/>
        <v/>
      </c>
      <c r="W146" s="116"/>
      <c r="X146" s="113"/>
    </row>
    <row r="147" spans="1:24" ht="18" customHeight="1">
      <c r="A147" s="27"/>
      <c r="B147" s="35" t="s">
        <v>265</v>
      </c>
      <c r="C147" s="36" t="s">
        <v>192</v>
      </c>
      <c r="D147" s="37">
        <v>0.03</v>
      </c>
      <c r="E147" s="37">
        <v>0.03</v>
      </c>
      <c r="F147" s="37">
        <v>-0.03</v>
      </c>
      <c r="G147" s="37">
        <v>5.5499999999999994E-2</v>
      </c>
      <c r="H147" s="37">
        <v>4.5000000000000005E-3</v>
      </c>
      <c r="I147" s="37"/>
      <c r="J147" s="37"/>
      <c r="K147" s="36" t="s">
        <v>46</v>
      </c>
      <c r="L147" s="39"/>
      <c r="M147" s="39"/>
      <c r="N147" s="39"/>
      <c r="O147" s="28" t="str">
        <f t="shared" si="31"/>
        <v xml:space="preserve"> </v>
      </c>
      <c r="P147" s="28" t="str">
        <f t="shared" si="32"/>
        <v xml:space="preserve"> </v>
      </c>
      <c r="Q147" s="28" t="str">
        <f t="shared" si="33"/>
        <v xml:space="preserve"> </v>
      </c>
      <c r="R147" s="29" t="str">
        <f t="shared" si="34"/>
        <v xml:space="preserve"> </v>
      </c>
      <c r="S147" s="30" t="str">
        <f t="shared" si="35"/>
        <v xml:space="preserve"> </v>
      </c>
      <c r="T147" s="31" t="str">
        <f t="shared" si="36"/>
        <v xml:space="preserve"> </v>
      </c>
      <c r="U147" s="29" t="str">
        <f t="shared" si="37"/>
        <v/>
      </c>
      <c r="V147" s="29" t="str">
        <f t="shared" si="30"/>
        <v/>
      </c>
      <c r="W147" s="116"/>
      <c r="X147" s="113"/>
    </row>
    <row r="148" spans="1:24" ht="18" customHeight="1">
      <c r="A148" s="27"/>
      <c r="B148" s="35" t="s">
        <v>266</v>
      </c>
      <c r="C148" s="36" t="s">
        <v>192</v>
      </c>
      <c r="D148" s="37">
        <v>0.03</v>
      </c>
      <c r="E148" s="37">
        <v>0.03</v>
      </c>
      <c r="F148" s="37">
        <v>-0.03</v>
      </c>
      <c r="G148" s="37">
        <v>5.5499999999999994E-2</v>
      </c>
      <c r="H148" s="37">
        <v>4.5000000000000005E-3</v>
      </c>
      <c r="I148" s="37"/>
      <c r="J148" s="37"/>
      <c r="K148" s="36" t="s">
        <v>46</v>
      </c>
      <c r="L148" s="39"/>
      <c r="M148" s="39"/>
      <c r="N148" s="39"/>
      <c r="O148" s="28" t="str">
        <f t="shared" si="31"/>
        <v xml:space="preserve"> </v>
      </c>
      <c r="P148" s="28" t="str">
        <f t="shared" si="32"/>
        <v xml:space="preserve"> </v>
      </c>
      <c r="Q148" s="28" t="str">
        <f t="shared" si="33"/>
        <v xml:space="preserve"> </v>
      </c>
      <c r="R148" s="29" t="str">
        <f t="shared" si="34"/>
        <v xml:space="preserve"> </v>
      </c>
      <c r="S148" s="30" t="str">
        <f t="shared" si="35"/>
        <v xml:space="preserve"> </v>
      </c>
      <c r="T148" s="31" t="str">
        <f t="shared" si="36"/>
        <v xml:space="preserve"> </v>
      </c>
      <c r="U148" s="29" t="str">
        <f t="shared" si="37"/>
        <v/>
      </c>
      <c r="V148" s="29" t="str">
        <f t="shared" si="30"/>
        <v/>
      </c>
      <c r="W148" s="116"/>
      <c r="X148" s="113"/>
    </row>
    <row r="149" spans="1:24" ht="18" customHeight="1">
      <c r="A149" s="27"/>
      <c r="B149" s="35">
        <v>113</v>
      </c>
      <c r="C149" s="36" t="s">
        <v>45</v>
      </c>
      <c r="D149" s="37"/>
      <c r="E149" s="37">
        <v>0.04</v>
      </c>
      <c r="F149" s="37"/>
      <c r="G149" s="37">
        <v>3.4000000000000002E-2</v>
      </c>
      <c r="H149" s="37">
        <v>0</v>
      </c>
      <c r="I149" s="37"/>
      <c r="J149" s="37"/>
      <c r="K149" s="36" t="s">
        <v>46</v>
      </c>
      <c r="L149" s="39"/>
      <c r="M149" s="39"/>
      <c r="N149" s="39"/>
      <c r="O149" s="28" t="str">
        <f t="shared" si="31"/>
        <v xml:space="preserve"> </v>
      </c>
      <c r="P149" s="28" t="str">
        <f t="shared" si="32"/>
        <v xml:space="preserve"> </v>
      </c>
      <c r="Q149" s="28" t="str">
        <f t="shared" si="33"/>
        <v xml:space="preserve"> </v>
      </c>
      <c r="R149" s="29" t="str">
        <f t="shared" si="34"/>
        <v xml:space="preserve"> </v>
      </c>
      <c r="S149" s="30" t="str">
        <f t="shared" si="35"/>
        <v xml:space="preserve"> </v>
      </c>
      <c r="T149" s="31" t="str">
        <f t="shared" si="36"/>
        <v xml:space="preserve"> </v>
      </c>
      <c r="U149" s="29" t="str">
        <f t="shared" si="37"/>
        <v/>
      </c>
      <c r="V149" s="29" t="str">
        <f t="shared" si="30"/>
        <v/>
      </c>
      <c r="W149" s="116"/>
      <c r="X149" s="113"/>
    </row>
    <row r="150" spans="1:24" ht="18" customHeight="1">
      <c r="A150" s="27"/>
      <c r="B150" s="35" t="s">
        <v>220</v>
      </c>
      <c r="C150" s="36" t="s">
        <v>45</v>
      </c>
      <c r="D150" s="37">
        <v>15.302</v>
      </c>
      <c r="E150" s="37">
        <v>0.02</v>
      </c>
      <c r="F150" s="37">
        <v>-0.02</v>
      </c>
      <c r="G150" s="37">
        <v>15.318999999999999</v>
      </c>
      <c r="H150" s="37">
        <v>15.285</v>
      </c>
      <c r="I150" s="37"/>
      <c r="J150" s="37"/>
      <c r="K150" s="36" t="s">
        <v>46</v>
      </c>
      <c r="L150" s="39"/>
      <c r="M150" s="39"/>
      <c r="N150" s="39"/>
      <c r="O150" s="28" t="str">
        <f t="shared" si="31"/>
        <v xml:space="preserve"> </v>
      </c>
      <c r="P150" s="28" t="str">
        <f t="shared" si="32"/>
        <v xml:space="preserve"> </v>
      </c>
      <c r="Q150" s="28" t="str">
        <f t="shared" si="33"/>
        <v xml:space="preserve"> </v>
      </c>
      <c r="R150" s="29" t="str">
        <f t="shared" si="34"/>
        <v xml:space="preserve"> </v>
      </c>
      <c r="S150" s="30" t="str">
        <f t="shared" si="35"/>
        <v xml:space="preserve"> </v>
      </c>
      <c r="T150" s="31" t="str">
        <f t="shared" si="36"/>
        <v xml:space="preserve"> </v>
      </c>
      <c r="U150" s="29" t="str">
        <f t="shared" si="37"/>
        <v/>
      </c>
      <c r="V150" s="29" t="str">
        <f t="shared" si="30"/>
        <v/>
      </c>
      <c r="W150" s="116"/>
      <c r="X150" s="113"/>
    </row>
    <row r="151" spans="1:24" ht="18" customHeight="1">
      <c r="A151" s="27"/>
      <c r="B151" s="35" t="s">
        <v>221</v>
      </c>
      <c r="C151" s="36" t="s">
        <v>45</v>
      </c>
      <c r="D151" s="37">
        <v>15.302</v>
      </c>
      <c r="E151" s="37">
        <v>0.02</v>
      </c>
      <c r="F151" s="37">
        <v>-0.02</v>
      </c>
      <c r="G151" s="37">
        <v>15.318999999999999</v>
      </c>
      <c r="H151" s="37">
        <v>15.285</v>
      </c>
      <c r="I151" s="37"/>
      <c r="J151" s="37"/>
      <c r="K151" s="36" t="s">
        <v>46</v>
      </c>
      <c r="L151" s="39"/>
      <c r="M151" s="39"/>
      <c r="N151" s="39"/>
      <c r="O151" s="28" t="str">
        <f t="shared" si="31"/>
        <v xml:space="preserve"> </v>
      </c>
      <c r="P151" s="28" t="str">
        <f t="shared" si="32"/>
        <v xml:space="preserve"> </v>
      </c>
      <c r="Q151" s="28" t="str">
        <f t="shared" si="33"/>
        <v xml:space="preserve"> </v>
      </c>
      <c r="R151" s="29" t="str">
        <f t="shared" si="34"/>
        <v xml:space="preserve"> </v>
      </c>
      <c r="S151" s="30" t="str">
        <f t="shared" si="35"/>
        <v xml:space="preserve"> </v>
      </c>
      <c r="T151" s="31" t="str">
        <f t="shared" si="36"/>
        <v xml:space="preserve"> </v>
      </c>
      <c r="U151" s="29" t="str">
        <f t="shared" si="37"/>
        <v/>
      </c>
      <c r="V151" s="29" t="str">
        <f t="shared" si="30"/>
        <v/>
      </c>
      <c r="W151" s="116"/>
      <c r="X151" s="113"/>
    </row>
    <row r="152" spans="1:24" ht="18" customHeight="1">
      <c r="A152" s="27"/>
      <c r="B152" s="35">
        <v>115</v>
      </c>
      <c r="C152" s="36" t="s">
        <v>45</v>
      </c>
      <c r="D152" s="37">
        <v>1.8360000000000001</v>
      </c>
      <c r="E152" s="37">
        <v>0.02</v>
      </c>
      <c r="F152" s="37">
        <v>-0.02</v>
      </c>
      <c r="G152" s="37">
        <v>1.853</v>
      </c>
      <c r="H152" s="37">
        <v>1.8190000000000002</v>
      </c>
      <c r="I152" s="37"/>
      <c r="J152" s="37"/>
      <c r="K152" s="36" t="s">
        <v>46</v>
      </c>
      <c r="L152" s="39"/>
      <c r="M152" s="39"/>
      <c r="N152" s="39"/>
      <c r="O152" s="28" t="str">
        <f t="shared" si="31"/>
        <v xml:space="preserve"> </v>
      </c>
      <c r="P152" s="28" t="str">
        <f t="shared" si="32"/>
        <v xml:space="preserve"> </v>
      </c>
      <c r="Q152" s="28" t="str">
        <f t="shared" si="33"/>
        <v xml:space="preserve"> </v>
      </c>
      <c r="R152" s="29" t="str">
        <f t="shared" si="34"/>
        <v xml:space="preserve"> </v>
      </c>
      <c r="S152" s="30" t="str">
        <f t="shared" si="35"/>
        <v xml:space="preserve"> </v>
      </c>
      <c r="T152" s="31" t="str">
        <f t="shared" si="36"/>
        <v xml:space="preserve"> </v>
      </c>
      <c r="U152" s="29" t="str">
        <f t="shared" si="37"/>
        <v/>
      </c>
      <c r="V152" s="29" t="str">
        <f t="shared" si="30"/>
        <v/>
      </c>
      <c r="W152" s="116"/>
      <c r="X152" s="113"/>
    </row>
    <row r="153" spans="1:24" ht="18" customHeight="1">
      <c r="A153" s="27"/>
      <c r="B153" s="35" t="s">
        <v>267</v>
      </c>
      <c r="C153" s="36" t="s">
        <v>45</v>
      </c>
      <c r="D153" s="37">
        <v>0.22</v>
      </c>
      <c r="E153" s="37">
        <v>0.02</v>
      </c>
      <c r="F153" s="37">
        <v>-0.02</v>
      </c>
      <c r="G153" s="37">
        <v>0.23699999999999999</v>
      </c>
      <c r="H153" s="37">
        <v>0.20300000000000001</v>
      </c>
      <c r="I153" s="37"/>
      <c r="J153" s="37"/>
      <c r="K153" s="36" t="s">
        <v>46</v>
      </c>
      <c r="L153" s="39"/>
      <c r="M153" s="39"/>
      <c r="N153" s="39"/>
      <c r="O153" s="28" t="str">
        <f t="shared" si="31"/>
        <v xml:space="preserve"> </v>
      </c>
      <c r="P153" s="28" t="str">
        <f t="shared" si="32"/>
        <v xml:space="preserve"> </v>
      </c>
      <c r="Q153" s="28" t="str">
        <f t="shared" si="33"/>
        <v xml:space="preserve"> </v>
      </c>
      <c r="R153" s="29" t="str">
        <f t="shared" si="34"/>
        <v xml:space="preserve"> </v>
      </c>
      <c r="S153" s="30" t="str">
        <f t="shared" si="35"/>
        <v xml:space="preserve"> </v>
      </c>
      <c r="T153" s="31" t="str">
        <f t="shared" si="36"/>
        <v xml:space="preserve"> </v>
      </c>
      <c r="U153" s="29" t="str">
        <f t="shared" si="37"/>
        <v/>
      </c>
      <c r="V153" s="29" t="str">
        <f t="shared" si="30"/>
        <v/>
      </c>
      <c r="W153" s="116"/>
      <c r="X153" s="113"/>
    </row>
    <row r="154" spans="1:24" ht="18" customHeight="1">
      <c r="A154" s="27"/>
      <c r="B154" s="35" t="s">
        <v>268</v>
      </c>
      <c r="C154" s="36" t="s">
        <v>45</v>
      </c>
      <c r="D154" s="37">
        <v>0.22</v>
      </c>
      <c r="E154" s="37">
        <v>0.02</v>
      </c>
      <c r="F154" s="37">
        <v>-0.02</v>
      </c>
      <c r="G154" s="37">
        <v>0.23699999999999999</v>
      </c>
      <c r="H154" s="37">
        <v>0.20300000000000001</v>
      </c>
      <c r="I154" s="37"/>
      <c r="J154" s="37"/>
      <c r="K154" s="36" t="s">
        <v>46</v>
      </c>
      <c r="L154" s="39"/>
      <c r="M154" s="39"/>
      <c r="N154" s="39"/>
      <c r="O154" s="28" t="str">
        <f t="shared" si="31"/>
        <v xml:space="preserve"> </v>
      </c>
      <c r="P154" s="28" t="str">
        <f t="shared" si="32"/>
        <v xml:space="preserve"> </v>
      </c>
      <c r="Q154" s="28" t="str">
        <f t="shared" si="33"/>
        <v xml:space="preserve"> </v>
      </c>
      <c r="R154" s="29" t="str">
        <f t="shared" si="34"/>
        <v xml:space="preserve"> </v>
      </c>
      <c r="S154" s="30" t="str">
        <f t="shared" si="35"/>
        <v xml:space="preserve"> </v>
      </c>
      <c r="T154" s="31" t="str">
        <f t="shared" si="36"/>
        <v xml:space="preserve"> </v>
      </c>
      <c r="U154" s="29" t="str">
        <f t="shared" si="37"/>
        <v/>
      </c>
      <c r="V154" s="29" t="str">
        <f t="shared" si="30"/>
        <v/>
      </c>
      <c r="W154" s="116"/>
      <c r="X154" s="113"/>
    </row>
    <row r="155" spans="1:24" ht="18" customHeight="1">
      <c r="A155" s="27"/>
      <c r="B155" s="43" t="s">
        <v>295</v>
      </c>
      <c r="C155" s="36" t="s">
        <v>45</v>
      </c>
      <c r="D155" s="37">
        <v>0.22</v>
      </c>
      <c r="E155" s="37">
        <v>0.02</v>
      </c>
      <c r="F155" s="37">
        <v>-0.02</v>
      </c>
      <c r="G155" s="37">
        <v>0.2455</v>
      </c>
      <c r="H155" s="37">
        <v>0.20300000000000001</v>
      </c>
      <c r="I155" s="37"/>
      <c r="J155" s="37"/>
      <c r="K155" s="36" t="s">
        <v>46</v>
      </c>
      <c r="L155" s="39"/>
      <c r="M155" s="39"/>
      <c r="N155" s="39"/>
      <c r="O155" s="28" t="str">
        <f t="shared" si="31"/>
        <v xml:space="preserve"> </v>
      </c>
      <c r="P155" s="28" t="str">
        <f t="shared" si="32"/>
        <v xml:space="preserve"> </v>
      </c>
      <c r="Q155" s="28" t="str">
        <f t="shared" si="33"/>
        <v xml:space="preserve"> </v>
      </c>
      <c r="R155" s="29" t="str">
        <f t="shared" si="34"/>
        <v xml:space="preserve"> </v>
      </c>
      <c r="S155" s="30" t="str">
        <f t="shared" si="35"/>
        <v xml:space="preserve"> </v>
      </c>
      <c r="T155" s="31" t="str">
        <f t="shared" si="36"/>
        <v xml:space="preserve"> </v>
      </c>
      <c r="U155" s="29" t="str">
        <f t="shared" si="37"/>
        <v/>
      </c>
      <c r="V155" s="29" t="str">
        <f t="shared" si="30"/>
        <v/>
      </c>
      <c r="W155" s="116"/>
      <c r="X155" s="113"/>
    </row>
    <row r="156" spans="1:24" ht="18" customHeight="1">
      <c r="A156" s="27"/>
      <c r="B156" s="35" t="s">
        <v>296</v>
      </c>
      <c r="C156" s="36" t="s">
        <v>45</v>
      </c>
      <c r="D156" s="37">
        <v>0.22</v>
      </c>
      <c r="E156" s="37">
        <v>0.02</v>
      </c>
      <c r="F156" s="37">
        <v>-0.02</v>
      </c>
      <c r="G156" s="37">
        <v>0.2455</v>
      </c>
      <c r="H156" s="37">
        <v>0.20300000000000001</v>
      </c>
      <c r="I156" s="37"/>
      <c r="J156" s="37"/>
      <c r="K156" s="36" t="s">
        <v>46</v>
      </c>
      <c r="L156" s="39"/>
      <c r="M156" s="39"/>
      <c r="N156" s="39"/>
      <c r="O156" s="28" t="str">
        <f t="shared" si="31"/>
        <v xml:space="preserve"> </v>
      </c>
      <c r="P156" s="28" t="str">
        <f t="shared" si="32"/>
        <v xml:space="preserve"> </v>
      </c>
      <c r="Q156" s="28" t="str">
        <f t="shared" si="33"/>
        <v xml:space="preserve"> </v>
      </c>
      <c r="R156" s="29" t="str">
        <f t="shared" si="34"/>
        <v xml:space="preserve"> </v>
      </c>
      <c r="S156" s="30" t="str">
        <f t="shared" si="35"/>
        <v xml:space="preserve"> </v>
      </c>
      <c r="T156" s="31" t="str">
        <f t="shared" si="36"/>
        <v xml:space="preserve"> </v>
      </c>
      <c r="U156" s="29" t="str">
        <f t="shared" si="37"/>
        <v/>
      </c>
      <c r="V156" s="29" t="str">
        <f t="shared" si="30"/>
        <v/>
      </c>
      <c r="W156" s="116"/>
      <c r="X156" s="113"/>
    </row>
    <row r="157" spans="1:24">
      <c r="X157" s="113"/>
    </row>
  </sheetData>
  <mergeCells count="16">
    <mergeCell ref="A1:W1"/>
    <mergeCell ref="L3:Q3"/>
    <mergeCell ref="R3:V3"/>
    <mergeCell ref="W3:W5"/>
    <mergeCell ref="L4:N4"/>
    <mergeCell ref="O4:Q4"/>
    <mergeCell ref="R4:R5"/>
    <mergeCell ref="K4:K5"/>
    <mergeCell ref="B3:K3"/>
    <mergeCell ref="B4:B5"/>
    <mergeCell ref="C4:C5"/>
    <mergeCell ref="D4:D5"/>
    <mergeCell ref="E4:E5"/>
    <mergeCell ref="F4:F5"/>
    <mergeCell ref="G4:H4"/>
    <mergeCell ref="I4:J4"/>
  </mergeCells>
  <phoneticPr fontId="10" type="noConversion"/>
  <conditionalFormatting sqref="L6:N156">
    <cfRule type="expression" dxfId="42" priority="1" stopIfTrue="1">
      <formula>AND(($D6+$E6)&lt;&gt;"",L6&lt;&gt;"",L6&gt;($D6+$E6))</formula>
    </cfRule>
    <cfRule type="expression" dxfId="41" priority="2" stopIfTrue="1">
      <formula>AND(($D6+$F6)&lt;&gt;"",L6&lt;&gt;"",L6&lt;($D6+$F6))</formula>
    </cfRule>
    <cfRule type="cellIs" dxfId="40" priority="3" operator="lessThan">
      <formula>$H6</formula>
    </cfRule>
    <cfRule type="cellIs" dxfId="39" priority="4" operator="greaterThan">
      <formula>$G6</formula>
    </cfRule>
  </conditionalFormatting>
  <conditionalFormatting sqref="L17:N18">
    <cfRule type="cellIs" dxfId="38" priority="26" operator="lessThan">
      <formula>$J17</formula>
    </cfRule>
    <cfRule type="cellIs" dxfId="37" priority="27" operator="greaterThan">
      <formula>$I17</formula>
    </cfRule>
  </conditionalFormatting>
  <conditionalFormatting sqref="L27:N27">
    <cfRule type="cellIs" dxfId="36" priority="24" operator="lessThan">
      <formula>$J27</formula>
    </cfRule>
    <cfRule type="cellIs" dxfId="35" priority="25" operator="greaterThan">
      <formula>$I27</formula>
    </cfRule>
  </conditionalFormatting>
  <conditionalFormatting sqref="L45:N48">
    <cfRule type="cellIs" dxfId="34" priority="21" operator="lessThan">
      <formula>$J45</formula>
    </cfRule>
    <cfRule type="cellIs" dxfId="33" priority="22" operator="greaterThan">
      <formula>$I45</formula>
    </cfRule>
  </conditionalFormatting>
  <conditionalFormatting sqref="L92:N97">
    <cfRule type="cellIs" dxfId="32" priority="19" operator="lessThan">
      <formula>$J92</formula>
    </cfRule>
    <cfRule type="cellIs" dxfId="31" priority="20" operator="greaterThan">
      <formula>$I92</formula>
    </cfRule>
  </conditionalFormatting>
  <conditionalFormatting sqref="L99:N104">
    <cfRule type="cellIs" dxfId="30" priority="17" operator="lessThan">
      <formula>$J99</formula>
    </cfRule>
    <cfRule type="cellIs" dxfId="29" priority="18" operator="greaterThan">
      <formula>$I99</formula>
    </cfRule>
  </conditionalFormatting>
  <conditionalFormatting sqref="L106:N109">
    <cfRule type="cellIs" dxfId="28" priority="15" operator="lessThan">
      <formula>$J106</formula>
    </cfRule>
    <cfRule type="cellIs" dxfId="27" priority="16" operator="greaterThan">
      <formula>$I106</formula>
    </cfRule>
  </conditionalFormatting>
  <conditionalFormatting sqref="L115:N115">
    <cfRule type="cellIs" dxfId="26" priority="13" operator="lessThan">
      <formula>$J115</formula>
    </cfRule>
    <cfRule type="cellIs" dxfId="25" priority="14" operator="greaterThan">
      <formula>$I115</formula>
    </cfRule>
  </conditionalFormatting>
  <conditionalFormatting sqref="L121:N121">
    <cfRule type="cellIs" dxfId="24" priority="9" operator="lessThan">
      <formula>$J121</formula>
    </cfRule>
    <cfRule type="cellIs" dxfId="23" priority="10" operator="greaterThan">
      <formula>$I121</formula>
    </cfRule>
  </conditionalFormatting>
  <conditionalFormatting sqref="L127:N127">
    <cfRule type="cellIs" dxfId="22" priority="7" operator="lessThan">
      <formula>$J127</formula>
    </cfRule>
    <cfRule type="cellIs" dxfId="21" priority="8" operator="greaterThan">
      <formula>$I127</formula>
    </cfRule>
  </conditionalFormatting>
  <conditionalFormatting sqref="L133:N133">
    <cfRule type="cellIs" dxfId="20" priority="5" operator="lessThan">
      <formula>$J133</formula>
    </cfRule>
    <cfRule type="cellIs" dxfId="19" priority="6" operator="greaterThan">
      <formula>$I133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ACC7-4CD9-8343-9349-902F36219EE0}">
  <sheetPr codeName="Sheet4"/>
  <dimension ref="A1:BR95"/>
  <sheetViews>
    <sheetView showGridLines="0" zoomScale="85" zoomScaleNormal="85" zoomScalePageLayoutView="125" workbookViewId="0">
      <pane xSplit="16" ySplit="1" topLeftCell="Q2" activePane="bottomRight" state="frozen"/>
      <selection activeCell="N102" sqref="N102:P125"/>
      <selection pane="topRight" activeCell="N102" sqref="N102:P125"/>
      <selection pane="bottomLeft" activeCell="N102" sqref="N102:P125"/>
      <selection pane="bottomRight" sqref="A1:AG1"/>
    </sheetView>
  </sheetViews>
  <sheetFormatPr defaultColWidth="8.77734375" defaultRowHeight="17.25"/>
  <cols>
    <col min="1" max="1" width="0.77734375" style="15" customWidth="1"/>
    <col min="2" max="2" width="7.77734375" style="15" customWidth="1"/>
    <col min="3" max="3" width="11.21875" style="15" bestFit="1" customWidth="1"/>
    <col min="4" max="4" width="24" style="15" customWidth="1"/>
    <col min="5" max="5" width="7.77734375" style="15" customWidth="1"/>
    <col min="6" max="7" width="8.21875" style="15" customWidth="1"/>
    <col min="8" max="8" width="7.77734375" style="15" customWidth="1"/>
    <col min="9" max="9" width="7.77734375" style="15" hidden="1" customWidth="1"/>
    <col min="10" max="11" width="7.77734375" style="15" customWidth="1"/>
    <col min="12" max="15" width="7.77734375" style="15" hidden="1" customWidth="1"/>
    <col min="16" max="16" width="0.77734375" style="15" customWidth="1"/>
    <col min="17" max="20" width="7.77734375" style="15" customWidth="1"/>
    <col min="21" max="26" width="7.77734375" style="15" hidden="1" customWidth="1"/>
    <col min="27" max="27" width="7.77734375" style="15" customWidth="1"/>
    <col min="28" max="28" width="10" style="15" hidden="1" customWidth="1"/>
    <col min="29" max="31" width="9.44140625" style="15" hidden="1" customWidth="1"/>
    <col min="32" max="32" width="7.77734375" style="15" customWidth="1"/>
    <col min="33" max="33" width="9" style="15" customWidth="1"/>
    <col min="34" max="34" width="8.6640625" style="15" customWidth="1"/>
    <col min="35" max="36" width="9" style="15" hidden="1" customWidth="1"/>
    <col min="37" max="37" width="7.5546875" style="15" hidden="1" customWidth="1"/>
    <col min="38" max="38" width="0.77734375" style="15" customWidth="1"/>
    <col min="39" max="70" width="7.77734375" style="15" customWidth="1"/>
    <col min="71" max="16384" width="8.77734375" style="15"/>
  </cols>
  <sheetData>
    <row r="1" spans="1:70" s="48" customFormat="1" ht="22.15" customHeight="1">
      <c r="A1" s="129" t="s">
        <v>49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20"/>
      <c r="AI1" s="20"/>
      <c r="AJ1" s="20"/>
      <c r="AK1" s="20"/>
      <c r="AL1" s="20"/>
    </row>
    <row r="2" spans="1:70" s="48" customFormat="1" ht="9" customHeight="1"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Q2" s="49"/>
      <c r="R2" s="49"/>
      <c r="S2" s="49"/>
      <c r="T2" s="49"/>
      <c r="U2" s="49" t="s">
        <v>50</v>
      </c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M2" s="50"/>
    </row>
    <row r="3" spans="1:70" s="21" customFormat="1" ht="15" customHeight="1">
      <c r="A3" s="51"/>
      <c r="B3" s="131" t="s">
        <v>51</v>
      </c>
      <c r="C3" s="130"/>
      <c r="D3" s="130"/>
      <c r="E3" s="130"/>
      <c r="F3" s="130"/>
      <c r="G3" s="130"/>
      <c r="H3" s="130"/>
      <c r="I3" s="130"/>
      <c r="J3" s="130"/>
      <c r="K3" s="132"/>
      <c r="L3" s="109"/>
      <c r="M3" s="109"/>
      <c r="N3" s="109"/>
      <c r="O3" s="109"/>
      <c r="P3" s="52"/>
      <c r="Q3" s="131" t="s">
        <v>52</v>
      </c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2"/>
      <c r="AH3" s="53"/>
      <c r="AI3" s="150" t="s">
        <v>53</v>
      </c>
      <c r="AJ3" s="150"/>
      <c r="AK3" s="150"/>
      <c r="AL3" s="54"/>
      <c r="AM3" s="144" t="s">
        <v>54</v>
      </c>
      <c r="AN3" s="145"/>
      <c r="AO3" s="145"/>
      <c r="AP3" s="145"/>
      <c r="AQ3" s="145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5"/>
      <c r="BF3" s="145"/>
      <c r="BG3" s="145"/>
      <c r="BH3" s="145"/>
      <c r="BI3" s="145"/>
      <c r="BJ3" s="145"/>
      <c r="BK3" s="145"/>
      <c r="BL3" s="145"/>
      <c r="BM3" s="145"/>
      <c r="BN3" s="145"/>
      <c r="BO3" s="145"/>
      <c r="BP3" s="145"/>
      <c r="BQ3" s="145"/>
      <c r="BR3" s="146"/>
    </row>
    <row r="4" spans="1:70" s="21" customFormat="1" ht="25.15" customHeight="1">
      <c r="A4" s="51"/>
      <c r="B4" s="55"/>
      <c r="C4" s="55"/>
      <c r="D4" s="55"/>
      <c r="E4" s="56"/>
      <c r="F4" s="57" t="s">
        <v>55</v>
      </c>
      <c r="G4" s="57" t="s">
        <v>56</v>
      </c>
      <c r="H4" s="58"/>
      <c r="I4" s="58"/>
      <c r="J4" s="59"/>
      <c r="K4" s="59"/>
      <c r="L4" s="153" t="s">
        <v>316</v>
      </c>
      <c r="M4" s="154"/>
      <c r="N4" s="155" t="s">
        <v>317</v>
      </c>
      <c r="O4" s="154"/>
      <c r="P4" s="51"/>
      <c r="Q4" s="60"/>
      <c r="R4" s="60"/>
      <c r="S4" s="61"/>
      <c r="T4" s="60"/>
      <c r="U4" s="62"/>
      <c r="V4" s="62"/>
      <c r="W4" s="62"/>
      <c r="X4" s="62"/>
      <c r="Y4" s="62"/>
      <c r="Z4" s="62"/>
      <c r="AA4" s="62"/>
      <c r="AB4" s="151" t="s">
        <v>57</v>
      </c>
      <c r="AC4" s="152"/>
      <c r="AD4" s="63" t="s">
        <v>58</v>
      </c>
      <c r="AE4" s="64">
        <v>1.5</v>
      </c>
      <c r="AF4" s="65"/>
      <c r="AG4" s="65"/>
      <c r="AH4" s="52"/>
      <c r="AI4" s="54"/>
      <c r="AJ4" s="54"/>
      <c r="AK4" s="66"/>
      <c r="AL4" s="67"/>
      <c r="AM4" s="147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9"/>
    </row>
    <row r="5" spans="1:70" s="82" customFormat="1" ht="24">
      <c r="A5" s="68"/>
      <c r="B5" s="69" t="s">
        <v>59</v>
      </c>
      <c r="C5" s="69" t="s">
        <v>30</v>
      </c>
      <c r="D5" s="69" t="s">
        <v>60</v>
      </c>
      <c r="E5" s="70" t="s">
        <v>32</v>
      </c>
      <c r="F5" s="71" t="s">
        <v>61</v>
      </c>
      <c r="G5" s="71" t="s">
        <v>62</v>
      </c>
      <c r="H5" s="72" t="s">
        <v>35</v>
      </c>
      <c r="I5" s="72" t="s">
        <v>63</v>
      </c>
      <c r="J5" s="73" t="s">
        <v>64</v>
      </c>
      <c r="K5" s="73" t="s">
        <v>65</v>
      </c>
      <c r="L5" s="73" t="s">
        <v>64</v>
      </c>
      <c r="M5" s="73" t="s">
        <v>65</v>
      </c>
      <c r="N5" s="73" t="s">
        <v>64</v>
      </c>
      <c r="O5" s="73" t="s">
        <v>65</v>
      </c>
      <c r="P5" s="68"/>
      <c r="Q5" s="74" t="s">
        <v>66</v>
      </c>
      <c r="R5" s="74" t="s">
        <v>67</v>
      </c>
      <c r="S5" s="75" t="s">
        <v>38</v>
      </c>
      <c r="T5" s="74" t="s">
        <v>68</v>
      </c>
      <c r="U5" s="76" t="s">
        <v>69</v>
      </c>
      <c r="V5" s="76" t="s">
        <v>70</v>
      </c>
      <c r="W5" s="76" t="s">
        <v>71</v>
      </c>
      <c r="X5" s="76" t="s">
        <v>72</v>
      </c>
      <c r="Y5" s="76" t="s">
        <v>73</v>
      </c>
      <c r="Z5" s="76" t="s">
        <v>74</v>
      </c>
      <c r="AA5" s="76" t="s">
        <v>75</v>
      </c>
      <c r="AB5" s="77" t="s">
        <v>76</v>
      </c>
      <c r="AC5" s="77" t="s">
        <v>77</v>
      </c>
      <c r="AD5" s="77" t="s">
        <v>78</v>
      </c>
      <c r="AE5" s="78" t="s">
        <v>79</v>
      </c>
      <c r="AF5" s="79" t="s">
        <v>80</v>
      </c>
      <c r="AG5" s="79" t="s">
        <v>81</v>
      </c>
      <c r="AH5" s="79" t="s">
        <v>82</v>
      </c>
      <c r="AI5" s="54"/>
      <c r="AJ5" s="54"/>
      <c r="AK5" s="66"/>
      <c r="AL5" s="80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  <c r="BM5" s="81"/>
      <c r="BN5" s="81"/>
      <c r="BO5" s="81"/>
      <c r="BP5" s="81"/>
      <c r="BQ5" s="81"/>
      <c r="BR5" s="81"/>
    </row>
    <row r="6" spans="1:70" ht="19.149999999999999" customHeight="1">
      <c r="B6" s="83" t="s">
        <v>193</v>
      </c>
      <c r="C6" s="35" t="s">
        <v>123</v>
      </c>
      <c r="D6" s="84" t="s">
        <v>110</v>
      </c>
      <c r="E6" s="85"/>
      <c r="F6" s="86">
        <v>8.0000000000000002E-3</v>
      </c>
      <c r="G6" s="86" t="s">
        <v>313</v>
      </c>
      <c r="H6" s="87" t="s">
        <v>111</v>
      </c>
      <c r="I6" s="88" t="s">
        <v>84</v>
      </c>
      <c r="J6" s="89">
        <v>8.0000000000000002E-3</v>
      </c>
      <c r="K6" s="89" t="s">
        <v>313</v>
      </c>
      <c r="L6" s="112">
        <v>6.7999999999999996E-3</v>
      </c>
      <c r="M6" s="112">
        <v>0</v>
      </c>
      <c r="N6" s="112"/>
      <c r="O6" s="112"/>
      <c r="P6" s="90"/>
      <c r="Q6" s="91">
        <f t="shared" ref="Q6:Q73" si="0">IF(OR($AM6=ISBLANK(TRUE),ISNUMBER($AM6)=FALSE),,MAX(AM6:BR6))</f>
        <v>0</v>
      </c>
      <c r="R6" s="91">
        <f t="shared" ref="R6:R73" si="1">IF(OR($AM6=ISBLANK(TRUE),ISNUMBER($AM6)=FALSE),,MIN(AM6:BR6))</f>
        <v>0</v>
      </c>
      <c r="S6" s="91">
        <f t="shared" ref="S6:S73" si="2">IF(OR($AM6=ISBLANK(TRUE),ISNUMBER($AM6)=FALSE),,AVERAGE(AM6:BR6))</f>
        <v>0</v>
      </c>
      <c r="T6" s="92">
        <f t="shared" ref="T6:T51" si="3">IF(OR($AM6=ISBLANK(TRUE),ISNUMBER($AM6)=FALSE),,STDEV(AM6:BR6))</f>
        <v>0</v>
      </c>
      <c r="U6" s="93" t="str">
        <f t="shared" ref="U6:U73" si="4">IF(OR($AM6="",ISNUMBER($AM6)=FALSE),"",IF(AND(E6=0,G6=0),X6,IF(AND(E6="",F6=""),Y6,(F6+ABS(G6))/(6*T6))))</f>
        <v/>
      </c>
      <c r="V6" s="94" t="str">
        <f>IF(OR($AM6="",ISNUMBER($AM6)=FALSE),"",IF(AND(#REF!="Tolerance",$E6&lt;&gt;""),($S6-$E6)/(($J6-$K6)/2),IF(AND(#REF!="GD&amp;T",$F6&lt;&gt;""),$S6/$F6,"")))</f>
        <v/>
      </c>
      <c r="W6" s="94" t="str">
        <f>IF($V6="","",IF(ABS($V6)&lt;=0.125, "Level A",IF(AND(ABS($V6)&gt;0.125,ABS($V6)&lt;=0.25), "Level B",IF(AND(ABS($V6)&gt;0.25,ABS($V6)&lt;=0.5), "Level C", IF(ABS($V6)&gt;0.5, "Level D")))))</f>
        <v/>
      </c>
      <c r="X6" s="93" t="str">
        <f t="shared" ref="X6:X73" si="5">IF(OR($AM6="",ISNUMBER($AM6)=FALSE),"",IF(F6="","",(J6-S6)/(3*T6)))</f>
        <v/>
      </c>
      <c r="Y6" s="93" t="str">
        <f t="shared" ref="Y6:Y73" si="6">IF(OR($AM6="",ISNUMBER($AM6)=FALSE),"",IF(G6="","",(S6-K6)/(3*T6)))</f>
        <v/>
      </c>
      <c r="Z6" s="93" t="str">
        <f t="shared" ref="Z6:Z73" si="7">IF(OR($AM6="",ISNUMBER($AM6)=FALSE),"",IF(AND(E6=0,G6=0),((F6)-(S6))/(3*T6),MIN(X6:Y6)))</f>
        <v/>
      </c>
      <c r="AA6" s="32" t="str">
        <f t="shared" ref="AA6:AA73" si="8">IF(OR($AM6="",ISNUMBER($AM6)=FALSE),"",IF(AND(E6=0,G6=0),NORMSDIST(3*Z6),NORMSDIST(3*Z6)+NORMSDIST(6*U6-3*Z6)-1))</f>
        <v/>
      </c>
      <c r="AB6" s="33" t="e">
        <f>IF($S6="","",IF(#REF!="Tolerance",IF((#REF!*3*T6+S6)-E6&lt;F6,"",(#REF!*3*T6+S6)-E6),IF(OR(#REF!="GD&amp;T",#REF!="MAX"),IF((#REF!*3*T6+S6)&lt;F6,"",(#REF!*3*T6+S6)),"")))</f>
        <v>#REF!</v>
      </c>
      <c r="AC6" s="33" t="e">
        <f>IF(S6="","",IF(#REF!="Tolerance",IF(-((#REF!*3*T6)-S6)-E6&gt;G6,"",-((#REF!*3*T6)-S6)-E6),IF(#REF!="MIN",IF(-((#REF!*3*T6)-S6)&gt;G6,"",-((#REF!*3*T6)-S6)),"")))</f>
        <v>#REF!</v>
      </c>
      <c r="AD6" s="33" t="str">
        <f>IF(OR(E6="",S6=""),"",(J6+K6)/2-S6)</f>
        <v/>
      </c>
      <c r="AE6" s="33" t="str">
        <f t="shared" ref="AE6:AE73" si="9">IF(OR($U6&gt;$AE$4,$T6=""),"",$AE$4*6*$T6)</f>
        <v/>
      </c>
      <c r="AF6" s="95"/>
      <c r="AG6" s="96" t="str">
        <f>IF(AF6="","",IF(AF6&gt;=0.966,"Normal","Not Normal"))</f>
        <v/>
      </c>
      <c r="AH6" s="115"/>
      <c r="AI6" s="97"/>
      <c r="AJ6" s="97"/>
      <c r="AK6" s="98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99"/>
      <c r="BJ6" s="99"/>
      <c r="BK6" s="99"/>
      <c r="BL6" s="99"/>
      <c r="BM6" s="99"/>
      <c r="BN6" s="99"/>
      <c r="BO6" s="99"/>
      <c r="BP6" s="99"/>
      <c r="BQ6" s="99"/>
      <c r="BR6" s="99"/>
    </row>
    <row r="7" spans="1:70" ht="19.149999999999999" customHeight="1">
      <c r="B7" s="83" t="s">
        <v>194</v>
      </c>
      <c r="C7" s="35" t="s">
        <v>124</v>
      </c>
      <c r="D7" s="84" t="s">
        <v>110</v>
      </c>
      <c r="E7" s="85"/>
      <c r="F7" s="86">
        <v>8.0000000000000002E-3</v>
      </c>
      <c r="G7" s="86" t="s">
        <v>313</v>
      </c>
      <c r="H7" s="87" t="s">
        <v>111</v>
      </c>
      <c r="I7" s="88" t="s">
        <v>84</v>
      </c>
      <c r="J7" s="89">
        <v>8.0000000000000002E-3</v>
      </c>
      <c r="K7" s="89" t="s">
        <v>313</v>
      </c>
      <c r="L7" s="112">
        <v>6.7999999999999996E-3</v>
      </c>
      <c r="M7" s="112">
        <v>0</v>
      </c>
      <c r="N7" s="112"/>
      <c r="O7" s="112"/>
      <c r="P7" s="90"/>
      <c r="Q7" s="91">
        <f t="shared" si="0"/>
        <v>0</v>
      </c>
      <c r="R7" s="91">
        <f t="shared" si="1"/>
        <v>0</v>
      </c>
      <c r="S7" s="91">
        <f t="shared" si="2"/>
        <v>0</v>
      </c>
      <c r="T7" s="92">
        <f t="shared" si="3"/>
        <v>0</v>
      </c>
      <c r="U7" s="93" t="str">
        <f t="shared" si="4"/>
        <v/>
      </c>
      <c r="V7" s="94" t="str">
        <f>IF(OR($AM7="",ISNUMBER($AM7)=FALSE),"",IF(AND(#REF!="Tolerance",$E7&lt;&gt;""),($S7-$E7)/(($J7-$K7)/2),IF(AND(#REF!="GD&amp;T",$F7&lt;&gt;""),$S7/$F7,"")))</f>
        <v/>
      </c>
      <c r="W7" s="94" t="str">
        <f t="shared" ref="W7:W74" si="10">IF($V7="","",IF(ABS($V7)&lt;=0.125, "Level A",IF(AND(ABS($V7)&gt;0.125,ABS($V7)&lt;=0.25), "Level B",IF(AND(ABS($V7)&gt;0.25,ABS($V7)&lt;=0.5), "Level C", IF(ABS($V7)&gt;0.5, "Level D")))))</f>
        <v/>
      </c>
      <c r="X7" s="93" t="str">
        <f t="shared" si="5"/>
        <v/>
      </c>
      <c r="Y7" s="93" t="str">
        <f t="shared" si="6"/>
        <v/>
      </c>
      <c r="Z7" s="93" t="str">
        <f t="shared" si="7"/>
        <v/>
      </c>
      <c r="AA7" s="32" t="str">
        <f t="shared" si="8"/>
        <v/>
      </c>
      <c r="AB7" s="33" t="e">
        <f>IF($S7="","",IF(#REF!="Tolerance",IF((#REF!*3*T7+S7)-E7&lt;F7,"",(#REF!*3*T7+S7)-E7),IF(OR(#REF!="GD&amp;T",#REF!="MAX"),IF((#REF!*3*T7+S7)&lt;F7,"",(#REF!*3*T7+S7)),"")))</f>
        <v>#REF!</v>
      </c>
      <c r="AC7" s="33" t="e">
        <f>IF(S7="","",IF(#REF!="Tolerance",IF(-((#REF!*3*T7)-S7)-E7&gt;G7,"",-((#REF!*3*T7)-S7)-E7),IF(#REF!="MIN",IF(-((#REF!*3*T7)-S7)&gt;G7,"",-((#REF!*3*T7)-S7)),"")))</f>
        <v>#REF!</v>
      </c>
      <c r="AD7" s="33" t="str">
        <f t="shared" ref="AD7:AD74" si="11">IF(OR(E7="",S7=""),"",(J7+K7)/2-S7)</f>
        <v/>
      </c>
      <c r="AE7" s="33" t="str">
        <f t="shared" si="9"/>
        <v/>
      </c>
      <c r="AF7" s="95"/>
      <c r="AG7" s="96" t="str">
        <f t="shared" ref="AG7:AG74" si="12">IF(AF7="","",IF(AF7&gt;=0.966,"Normal","Not Normal"))</f>
        <v/>
      </c>
      <c r="AH7" s="115"/>
      <c r="AI7" s="97"/>
      <c r="AJ7" s="97"/>
      <c r="AK7" s="98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99"/>
      <c r="BJ7" s="99"/>
      <c r="BK7" s="99"/>
      <c r="BL7" s="99"/>
      <c r="BM7" s="99"/>
      <c r="BN7" s="99"/>
      <c r="BO7" s="99"/>
      <c r="BP7" s="99"/>
      <c r="BQ7" s="99"/>
      <c r="BR7" s="99"/>
    </row>
    <row r="8" spans="1:70" ht="19.149999999999999" customHeight="1">
      <c r="B8" s="83" t="s">
        <v>195</v>
      </c>
      <c r="C8" s="35" t="s">
        <v>125</v>
      </c>
      <c r="D8" s="84" t="s">
        <v>110</v>
      </c>
      <c r="E8" s="85"/>
      <c r="F8" s="86">
        <v>8.0000000000000002E-3</v>
      </c>
      <c r="G8" s="86" t="s">
        <v>313</v>
      </c>
      <c r="H8" s="87" t="s">
        <v>111</v>
      </c>
      <c r="I8" s="88" t="s">
        <v>84</v>
      </c>
      <c r="J8" s="89">
        <v>8.0000000000000002E-3</v>
      </c>
      <c r="K8" s="89" t="s">
        <v>313</v>
      </c>
      <c r="L8" s="112">
        <v>6.7999999999999996E-3</v>
      </c>
      <c r="M8" s="112">
        <v>0</v>
      </c>
      <c r="N8" s="112"/>
      <c r="O8" s="112"/>
      <c r="P8" s="90"/>
      <c r="Q8" s="91">
        <f t="shared" si="0"/>
        <v>0</v>
      </c>
      <c r="R8" s="91">
        <f t="shared" si="1"/>
        <v>0</v>
      </c>
      <c r="S8" s="91">
        <f t="shared" si="2"/>
        <v>0</v>
      </c>
      <c r="T8" s="92">
        <f t="shared" si="3"/>
        <v>0</v>
      </c>
      <c r="U8" s="93" t="str">
        <f t="shared" si="4"/>
        <v/>
      </c>
      <c r="V8" s="94" t="str">
        <f>IF(OR($AM8="",ISNUMBER($AM8)=FALSE),"",IF(AND(#REF!="Tolerance",$E8&lt;&gt;""),($S8-$E8)/(($J8-$K8)/2),IF(AND(#REF!="GD&amp;T",$F8&lt;&gt;""),$S8/$F8,"")))</f>
        <v/>
      </c>
      <c r="W8" s="94" t="str">
        <f t="shared" si="10"/>
        <v/>
      </c>
      <c r="X8" s="93" t="str">
        <f t="shared" si="5"/>
        <v/>
      </c>
      <c r="Y8" s="93" t="str">
        <f t="shared" si="6"/>
        <v/>
      </c>
      <c r="Z8" s="93" t="str">
        <f t="shared" si="7"/>
        <v/>
      </c>
      <c r="AA8" s="32" t="str">
        <f t="shared" si="8"/>
        <v/>
      </c>
      <c r="AB8" s="33" t="e">
        <f>IF($S8="","",IF(#REF!="Tolerance",IF((#REF!*3*T8+S8)-E8&lt;F8,"",(#REF!*3*T8+S8)-E8),IF(OR(#REF!="GD&amp;T",#REF!="MAX"),IF((#REF!*3*T8+S8)&lt;F8,"",(#REF!*3*T8+S8)),"")))</f>
        <v>#REF!</v>
      </c>
      <c r="AC8" s="33" t="e">
        <f>IF(S8="","",IF(#REF!="Tolerance",IF(-((#REF!*3*T8)-S8)-E8&gt;G8,"",-((#REF!*3*T8)-S8)-E8),IF(#REF!="MIN",IF(-((#REF!*3*T8)-S8)&gt;G8,"",-((#REF!*3*T8)-S8)),"")))</f>
        <v>#REF!</v>
      </c>
      <c r="AD8" s="33" t="str">
        <f t="shared" si="11"/>
        <v/>
      </c>
      <c r="AE8" s="33" t="str">
        <f t="shared" si="9"/>
        <v/>
      </c>
      <c r="AF8" s="95"/>
      <c r="AG8" s="96" t="str">
        <f t="shared" si="12"/>
        <v/>
      </c>
      <c r="AH8" s="115"/>
      <c r="AI8" s="97"/>
      <c r="AJ8" s="97"/>
      <c r="AK8" s="98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  <c r="BO8" s="99"/>
      <c r="BP8" s="99"/>
      <c r="BQ8" s="99"/>
      <c r="BR8" s="99"/>
    </row>
    <row r="9" spans="1:70" ht="19.149999999999999" customHeight="1">
      <c r="B9" s="83" t="s">
        <v>196</v>
      </c>
      <c r="C9" s="35" t="s">
        <v>126</v>
      </c>
      <c r="D9" s="84" t="s">
        <v>110</v>
      </c>
      <c r="E9" s="85"/>
      <c r="F9" s="86">
        <v>8.0000000000000002E-3</v>
      </c>
      <c r="G9" s="86" t="s">
        <v>313</v>
      </c>
      <c r="H9" s="87" t="s">
        <v>111</v>
      </c>
      <c r="I9" s="88" t="s">
        <v>84</v>
      </c>
      <c r="J9" s="89">
        <v>8.0000000000000002E-3</v>
      </c>
      <c r="K9" s="89" t="s">
        <v>313</v>
      </c>
      <c r="L9" s="112">
        <v>6.7999999999999996E-3</v>
      </c>
      <c r="M9" s="112">
        <v>0</v>
      </c>
      <c r="N9" s="112"/>
      <c r="O9" s="112"/>
      <c r="P9" s="90"/>
      <c r="Q9" s="91">
        <f t="shared" si="0"/>
        <v>0</v>
      </c>
      <c r="R9" s="91">
        <f t="shared" si="1"/>
        <v>0</v>
      </c>
      <c r="S9" s="91">
        <f t="shared" si="2"/>
        <v>0</v>
      </c>
      <c r="T9" s="92">
        <f t="shared" si="3"/>
        <v>0</v>
      </c>
      <c r="U9" s="93" t="str">
        <f t="shared" si="4"/>
        <v/>
      </c>
      <c r="V9" s="94" t="str">
        <f>IF(OR($AM9="",ISNUMBER($AM9)=FALSE),"",IF(AND(#REF!="Tolerance",$E9&lt;&gt;""),($S9-$E9)/(($J9-$K9)/2),IF(AND(#REF!="GD&amp;T",$F9&lt;&gt;""),$S9/$F9,"")))</f>
        <v/>
      </c>
      <c r="W9" s="94" t="str">
        <f t="shared" si="10"/>
        <v/>
      </c>
      <c r="X9" s="93" t="str">
        <f t="shared" si="5"/>
        <v/>
      </c>
      <c r="Y9" s="93" t="str">
        <f t="shared" si="6"/>
        <v/>
      </c>
      <c r="Z9" s="93" t="str">
        <f t="shared" si="7"/>
        <v/>
      </c>
      <c r="AA9" s="32" t="str">
        <f t="shared" si="8"/>
        <v/>
      </c>
      <c r="AB9" s="33" t="e">
        <f>IF($S9="","",IF(#REF!="Tolerance",IF((#REF!*3*T9+S9)-E9&lt;F9,"",(#REF!*3*T9+S9)-E9),IF(OR(#REF!="GD&amp;T",#REF!="MAX"),IF((#REF!*3*T9+S9)&lt;F9,"",(#REF!*3*T9+S9)),"")))</f>
        <v>#REF!</v>
      </c>
      <c r="AC9" s="33" t="e">
        <f>IF(S9="","",IF(#REF!="Tolerance",IF(-((#REF!*3*T9)-S9)-E9&gt;G9,"",-((#REF!*3*T9)-S9)-E9),IF(#REF!="MIN",IF(-((#REF!*3*T9)-S9)&gt;G9,"",-((#REF!*3*T9)-S9)),"")))</f>
        <v>#REF!</v>
      </c>
      <c r="AD9" s="33" t="str">
        <f t="shared" si="11"/>
        <v/>
      </c>
      <c r="AE9" s="33" t="str">
        <f t="shared" si="9"/>
        <v/>
      </c>
      <c r="AF9" s="95"/>
      <c r="AG9" s="96" t="str">
        <f t="shared" si="12"/>
        <v/>
      </c>
      <c r="AH9" s="115"/>
      <c r="AI9" s="97"/>
      <c r="AJ9" s="97"/>
      <c r="AK9" s="98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99"/>
      <c r="BK9" s="99"/>
      <c r="BL9" s="99"/>
      <c r="BM9" s="99"/>
      <c r="BN9" s="99"/>
      <c r="BO9" s="99"/>
      <c r="BP9" s="99"/>
      <c r="BQ9" s="99"/>
      <c r="BR9" s="99"/>
    </row>
    <row r="10" spans="1:70" ht="19.149999999999999" customHeight="1">
      <c r="B10" s="83" t="s">
        <v>83</v>
      </c>
      <c r="C10" s="35">
        <v>3</v>
      </c>
      <c r="D10" s="84" t="s">
        <v>48</v>
      </c>
      <c r="E10" s="85"/>
      <c r="F10" s="86">
        <v>0.03</v>
      </c>
      <c r="G10" s="86" t="s">
        <v>313</v>
      </c>
      <c r="H10" s="87" t="s">
        <v>111</v>
      </c>
      <c r="I10" s="88" t="s">
        <v>84</v>
      </c>
      <c r="J10" s="89">
        <v>0.03</v>
      </c>
      <c r="K10" s="89" t="s">
        <v>313</v>
      </c>
      <c r="L10" s="112">
        <v>2.5499999999999998E-2</v>
      </c>
      <c r="M10" s="112">
        <v>0</v>
      </c>
      <c r="N10" s="112"/>
      <c r="O10" s="112"/>
      <c r="P10" s="90"/>
      <c r="Q10" s="91">
        <f t="shared" si="0"/>
        <v>0</v>
      </c>
      <c r="R10" s="91">
        <f t="shared" si="1"/>
        <v>0</v>
      </c>
      <c r="S10" s="91">
        <f t="shared" si="2"/>
        <v>0</v>
      </c>
      <c r="T10" s="92">
        <f t="shared" si="3"/>
        <v>0</v>
      </c>
      <c r="U10" s="93" t="str">
        <f t="shared" si="4"/>
        <v/>
      </c>
      <c r="V10" s="94" t="str">
        <f>IF(OR($AM10="",ISNUMBER($AM10)=FALSE),"",IF(AND(#REF!="Tolerance",$E10&lt;&gt;""),($S10-$E10)/(($J10-$K10)/2),IF(AND(#REF!="GD&amp;T",$F10&lt;&gt;""),$S10/$F10,"")))</f>
        <v/>
      </c>
      <c r="W10" s="94" t="str">
        <f t="shared" si="10"/>
        <v/>
      </c>
      <c r="X10" s="93" t="str">
        <f t="shared" si="5"/>
        <v/>
      </c>
      <c r="Y10" s="93" t="str">
        <f t="shared" si="6"/>
        <v/>
      </c>
      <c r="Z10" s="93" t="str">
        <f t="shared" si="7"/>
        <v/>
      </c>
      <c r="AA10" s="32" t="str">
        <f t="shared" si="8"/>
        <v/>
      </c>
      <c r="AB10" s="33" t="e">
        <f>IF($S10="","",IF(#REF!="Tolerance",IF((#REF!*3*T10+S10)-E10&lt;F10,"",(#REF!*3*T10+S10)-E10),IF(OR(#REF!="GD&amp;T",#REF!="MAX"),IF((#REF!*3*T10+S10)&lt;F10,"",(#REF!*3*T10+S10)),"")))</f>
        <v>#REF!</v>
      </c>
      <c r="AC10" s="33" t="e">
        <f>IF(S10="","",IF(#REF!="Tolerance",IF(-((#REF!*3*T10)-S10)-E10&gt;G10,"",-((#REF!*3*T10)-S10)-E10),IF(#REF!="MIN",IF(-((#REF!*3*T10)-S10)&gt;G10,"",-((#REF!*3*T10)-S10)),"")))</f>
        <v>#REF!</v>
      </c>
      <c r="AD10" s="33" t="str">
        <f t="shared" si="11"/>
        <v/>
      </c>
      <c r="AE10" s="33" t="str">
        <f t="shared" si="9"/>
        <v/>
      </c>
      <c r="AF10" s="95"/>
      <c r="AG10" s="96" t="str">
        <f t="shared" si="12"/>
        <v/>
      </c>
      <c r="AH10" s="115"/>
      <c r="AI10" s="97"/>
      <c r="AJ10" s="97"/>
      <c r="AK10" s="98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  <c r="BK10" s="99"/>
      <c r="BL10" s="99"/>
      <c r="BM10" s="99"/>
      <c r="BN10" s="99"/>
      <c r="BO10" s="99"/>
      <c r="BP10" s="99"/>
      <c r="BQ10" s="99"/>
      <c r="BR10" s="99"/>
    </row>
    <row r="11" spans="1:70" ht="19.149999999999999" customHeight="1">
      <c r="B11" s="83" t="s">
        <v>197</v>
      </c>
      <c r="C11" s="35" t="s">
        <v>127</v>
      </c>
      <c r="D11" s="84" t="s">
        <v>45</v>
      </c>
      <c r="E11" s="85">
        <v>0.5</v>
      </c>
      <c r="F11" s="86">
        <v>1.4999999999999999E-2</v>
      </c>
      <c r="G11" s="86">
        <v>-0.01</v>
      </c>
      <c r="H11" s="87" t="s">
        <v>46</v>
      </c>
      <c r="I11" s="88" t="s">
        <v>84</v>
      </c>
      <c r="J11" s="89">
        <v>0.51500000000000001</v>
      </c>
      <c r="K11" s="89">
        <v>0.49</v>
      </c>
      <c r="L11" s="112">
        <v>0.51275000000000004</v>
      </c>
      <c r="M11" s="112">
        <v>0.49149999999999999</v>
      </c>
      <c r="N11" s="112"/>
      <c r="O11" s="112"/>
      <c r="P11" s="90"/>
      <c r="Q11" s="91">
        <f t="shared" si="0"/>
        <v>0</v>
      </c>
      <c r="R11" s="91">
        <f t="shared" si="1"/>
        <v>0</v>
      </c>
      <c r="S11" s="91">
        <f t="shared" si="2"/>
        <v>0</v>
      </c>
      <c r="T11" s="92">
        <f t="shared" si="3"/>
        <v>0</v>
      </c>
      <c r="U11" s="93" t="str">
        <f t="shared" si="4"/>
        <v/>
      </c>
      <c r="V11" s="94" t="str">
        <f>IF(OR($AM11="",ISNUMBER($AM11)=FALSE),"",IF(AND(#REF!="Tolerance",$E11&lt;&gt;""),($S11-$E11)/(($J11-$K11)/2),IF(AND(#REF!="GD&amp;T",$F11&lt;&gt;""),$S11/$F11,"")))</f>
        <v/>
      </c>
      <c r="W11" s="94" t="str">
        <f t="shared" si="10"/>
        <v/>
      </c>
      <c r="X11" s="93" t="str">
        <f t="shared" si="5"/>
        <v/>
      </c>
      <c r="Y11" s="93" t="str">
        <f t="shared" si="6"/>
        <v/>
      </c>
      <c r="Z11" s="93" t="str">
        <f t="shared" si="7"/>
        <v/>
      </c>
      <c r="AA11" s="32" t="str">
        <f t="shared" si="8"/>
        <v/>
      </c>
      <c r="AB11" s="33" t="e">
        <f>IF($S11="","",IF(#REF!="Tolerance",IF((#REF!*3*T11+S11)-E11&lt;F11,"",(#REF!*3*T11+S11)-E11),IF(OR(#REF!="GD&amp;T",#REF!="MAX"),IF((#REF!*3*T11+S11)&lt;F11,"",(#REF!*3*T11+S11)),"")))</f>
        <v>#REF!</v>
      </c>
      <c r="AC11" s="33" t="e">
        <f>IF(S11="","",IF(#REF!="Tolerance",IF(-((#REF!*3*T11)-S11)-E11&gt;G11,"",-((#REF!*3*T11)-S11)-E11),IF(#REF!="MIN",IF(-((#REF!*3*T11)-S11)&gt;G11,"",-((#REF!*3*T11)-S11)),"")))</f>
        <v>#REF!</v>
      </c>
      <c r="AD11" s="33">
        <f t="shared" si="11"/>
        <v>0.50249999999999995</v>
      </c>
      <c r="AE11" s="33" t="str">
        <f t="shared" si="9"/>
        <v/>
      </c>
      <c r="AF11" s="95"/>
      <c r="AG11" s="96" t="str">
        <f t="shared" si="12"/>
        <v/>
      </c>
      <c r="AH11" s="115"/>
      <c r="AI11" s="97"/>
      <c r="AJ11" s="97"/>
      <c r="AK11" s="98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  <c r="BK11" s="99"/>
      <c r="BL11" s="99"/>
      <c r="BM11" s="99"/>
      <c r="BN11" s="99"/>
      <c r="BO11" s="99"/>
      <c r="BP11" s="99"/>
      <c r="BQ11" s="99"/>
      <c r="BR11" s="99"/>
    </row>
    <row r="12" spans="1:70" ht="19.149999999999999" customHeight="1">
      <c r="B12" s="83" t="s">
        <v>198</v>
      </c>
      <c r="C12" s="35" t="s">
        <v>128</v>
      </c>
      <c r="D12" s="84" t="s">
        <v>45</v>
      </c>
      <c r="E12" s="85">
        <v>0.5</v>
      </c>
      <c r="F12" s="86">
        <v>1.4999999999999999E-2</v>
      </c>
      <c r="G12" s="86">
        <v>-0.01</v>
      </c>
      <c r="H12" s="87" t="s">
        <v>46</v>
      </c>
      <c r="I12" s="88" t="s">
        <v>84</v>
      </c>
      <c r="J12" s="89">
        <v>0.51500000000000001</v>
      </c>
      <c r="K12" s="89">
        <v>0.49</v>
      </c>
      <c r="L12" s="112">
        <v>0.51275000000000004</v>
      </c>
      <c r="M12" s="112">
        <v>0.49149999999999999</v>
      </c>
      <c r="N12" s="112"/>
      <c r="O12" s="112"/>
      <c r="P12" s="90"/>
      <c r="Q12" s="91">
        <f t="shared" si="0"/>
        <v>0</v>
      </c>
      <c r="R12" s="91">
        <f t="shared" si="1"/>
        <v>0</v>
      </c>
      <c r="S12" s="91">
        <f t="shared" si="2"/>
        <v>0</v>
      </c>
      <c r="T12" s="92">
        <f t="shared" si="3"/>
        <v>0</v>
      </c>
      <c r="U12" s="93" t="str">
        <f t="shared" si="4"/>
        <v/>
      </c>
      <c r="V12" s="94" t="str">
        <f>IF(OR($AM12="",ISNUMBER($AM12)=FALSE),"",IF(AND(#REF!="Tolerance",$E12&lt;&gt;""),($S12-$E12)/(($J12-$K12)/2),IF(AND(#REF!="GD&amp;T",$F12&lt;&gt;""),$S12/$F12,"")))</f>
        <v/>
      </c>
      <c r="W12" s="94" t="str">
        <f t="shared" si="10"/>
        <v/>
      </c>
      <c r="X12" s="93" t="str">
        <f t="shared" si="5"/>
        <v/>
      </c>
      <c r="Y12" s="93" t="str">
        <f t="shared" si="6"/>
        <v/>
      </c>
      <c r="Z12" s="93" t="str">
        <f t="shared" si="7"/>
        <v/>
      </c>
      <c r="AA12" s="32" t="str">
        <f t="shared" si="8"/>
        <v/>
      </c>
      <c r="AB12" s="33" t="e">
        <f>IF($S12="","",IF(#REF!="Tolerance",IF((#REF!*3*T12+S12)-E12&lt;F12,"",(#REF!*3*T12+S12)-E12),IF(OR(#REF!="GD&amp;T",#REF!="MAX"),IF((#REF!*3*T12+S12)&lt;F12,"",(#REF!*3*T12+S12)),"")))</f>
        <v>#REF!</v>
      </c>
      <c r="AC12" s="33" t="e">
        <f>IF(S12="","",IF(#REF!="Tolerance",IF(-((#REF!*3*T12)-S12)-E12&gt;G12,"",-((#REF!*3*T12)-S12)-E12),IF(#REF!="MIN",IF(-((#REF!*3*T12)-S12)&gt;G12,"",-((#REF!*3*T12)-S12)),"")))</f>
        <v>#REF!</v>
      </c>
      <c r="AD12" s="33">
        <f t="shared" si="11"/>
        <v>0.50249999999999995</v>
      </c>
      <c r="AE12" s="33" t="str">
        <f t="shared" si="9"/>
        <v/>
      </c>
      <c r="AF12" s="95"/>
      <c r="AG12" s="96" t="str">
        <f t="shared" si="12"/>
        <v/>
      </c>
      <c r="AH12" s="115"/>
      <c r="AI12" s="97"/>
      <c r="AJ12" s="97"/>
      <c r="AK12" s="98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99"/>
      <c r="BK12" s="99"/>
      <c r="BL12" s="99"/>
      <c r="BM12" s="99"/>
      <c r="BN12" s="99"/>
      <c r="BO12" s="99"/>
      <c r="BP12" s="99"/>
      <c r="BQ12" s="99"/>
      <c r="BR12" s="99"/>
    </row>
    <row r="13" spans="1:70" ht="19.149999999999999" customHeight="1">
      <c r="B13" s="83" t="s">
        <v>199</v>
      </c>
      <c r="C13" s="35" t="s">
        <v>129</v>
      </c>
      <c r="D13" s="84" t="s">
        <v>45</v>
      </c>
      <c r="E13" s="85">
        <v>0.5</v>
      </c>
      <c r="F13" s="86">
        <v>1.4999999999999999E-2</v>
      </c>
      <c r="G13" s="86">
        <v>-0.01</v>
      </c>
      <c r="H13" s="87" t="s">
        <v>46</v>
      </c>
      <c r="I13" s="88" t="s">
        <v>84</v>
      </c>
      <c r="J13" s="89">
        <v>0.51500000000000001</v>
      </c>
      <c r="K13" s="89">
        <v>0.49</v>
      </c>
      <c r="L13" s="112">
        <v>0.51275000000000004</v>
      </c>
      <c r="M13" s="112">
        <v>0.49149999999999999</v>
      </c>
      <c r="N13" s="112"/>
      <c r="O13" s="112"/>
      <c r="P13" s="90"/>
      <c r="Q13" s="91">
        <f t="shared" si="0"/>
        <v>0</v>
      </c>
      <c r="R13" s="91">
        <f t="shared" si="1"/>
        <v>0</v>
      </c>
      <c r="S13" s="91">
        <f t="shared" si="2"/>
        <v>0</v>
      </c>
      <c r="T13" s="92">
        <f t="shared" si="3"/>
        <v>0</v>
      </c>
      <c r="U13" s="93" t="str">
        <f t="shared" si="4"/>
        <v/>
      </c>
      <c r="V13" s="94" t="str">
        <f>IF(OR($AM13="",ISNUMBER($AM13)=FALSE),"",IF(AND(#REF!="Tolerance",$E13&lt;&gt;""),($S13-$E13)/(($J13-$K13)/2),IF(AND(#REF!="GD&amp;T",$F13&lt;&gt;""),$S13/$F13,"")))</f>
        <v/>
      </c>
      <c r="W13" s="94" t="str">
        <f t="shared" si="10"/>
        <v/>
      </c>
      <c r="X13" s="93" t="str">
        <f t="shared" si="5"/>
        <v/>
      </c>
      <c r="Y13" s="93" t="str">
        <f t="shared" si="6"/>
        <v/>
      </c>
      <c r="Z13" s="93" t="str">
        <f t="shared" si="7"/>
        <v/>
      </c>
      <c r="AA13" s="32" t="str">
        <f t="shared" si="8"/>
        <v/>
      </c>
      <c r="AB13" s="33" t="e">
        <f>IF($S13="","",IF(#REF!="Tolerance",IF((#REF!*3*T13+S13)-E13&lt;F13,"",(#REF!*3*T13+S13)-E13),IF(OR(#REF!="GD&amp;T",#REF!="MAX"),IF((#REF!*3*T13+S13)&lt;F13,"",(#REF!*3*T13+S13)),"")))</f>
        <v>#REF!</v>
      </c>
      <c r="AC13" s="33" t="e">
        <f>IF(S13="","",IF(#REF!="Tolerance",IF(-((#REF!*3*T13)-S13)-E13&gt;G13,"",-((#REF!*3*T13)-S13)-E13),IF(#REF!="MIN",IF(-((#REF!*3*T13)-S13)&gt;G13,"",-((#REF!*3*T13)-S13)),"")))</f>
        <v>#REF!</v>
      </c>
      <c r="AD13" s="33">
        <f t="shared" si="11"/>
        <v>0.50249999999999995</v>
      </c>
      <c r="AE13" s="33" t="str">
        <f t="shared" si="9"/>
        <v/>
      </c>
      <c r="AF13" s="95"/>
      <c r="AG13" s="96" t="str">
        <f t="shared" si="12"/>
        <v/>
      </c>
      <c r="AH13" s="115"/>
      <c r="AI13" s="97"/>
      <c r="AJ13" s="97"/>
      <c r="AK13" s="98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99"/>
      <c r="BO13" s="99"/>
      <c r="BP13" s="99"/>
      <c r="BQ13" s="99"/>
      <c r="BR13" s="99"/>
    </row>
    <row r="14" spans="1:70" ht="19.149999999999999" customHeight="1">
      <c r="B14" s="83" t="s">
        <v>200</v>
      </c>
      <c r="C14" s="35" t="s">
        <v>130</v>
      </c>
      <c r="D14" s="84" t="s">
        <v>45</v>
      </c>
      <c r="E14" s="85">
        <v>0.72</v>
      </c>
      <c r="F14" s="86">
        <v>0.02</v>
      </c>
      <c r="G14" s="86">
        <v>-0.02</v>
      </c>
      <c r="H14" s="87" t="s">
        <v>46</v>
      </c>
      <c r="I14" s="88" t="s">
        <v>84</v>
      </c>
      <c r="J14" s="89">
        <v>0.74</v>
      </c>
      <c r="K14" s="89">
        <v>0.7</v>
      </c>
      <c r="L14" s="112">
        <v>0.73699999999999999</v>
      </c>
      <c r="M14" s="112">
        <v>0.70299999999999996</v>
      </c>
      <c r="N14" s="112"/>
      <c r="O14" s="112"/>
      <c r="P14" s="90"/>
      <c r="Q14" s="91">
        <f t="shared" si="0"/>
        <v>0</v>
      </c>
      <c r="R14" s="91">
        <f t="shared" si="1"/>
        <v>0</v>
      </c>
      <c r="S14" s="91">
        <f t="shared" si="2"/>
        <v>0</v>
      </c>
      <c r="T14" s="92">
        <f t="shared" si="3"/>
        <v>0</v>
      </c>
      <c r="U14" s="93" t="str">
        <f t="shared" si="4"/>
        <v/>
      </c>
      <c r="V14" s="94" t="str">
        <f>IF(OR($AM14="",ISNUMBER($AM14)=FALSE),"",IF(AND(#REF!="Tolerance",$E14&lt;&gt;""),($S14-$E14)/(($J14-$K14)/2),IF(AND(#REF!="GD&amp;T",$F14&lt;&gt;""),$S14/$F14,"")))</f>
        <v/>
      </c>
      <c r="W14" s="94" t="str">
        <f t="shared" si="10"/>
        <v/>
      </c>
      <c r="X14" s="93" t="str">
        <f t="shared" si="5"/>
        <v/>
      </c>
      <c r="Y14" s="93" t="str">
        <f t="shared" si="6"/>
        <v/>
      </c>
      <c r="Z14" s="93" t="str">
        <f t="shared" si="7"/>
        <v/>
      </c>
      <c r="AA14" s="32" t="str">
        <f t="shared" si="8"/>
        <v/>
      </c>
      <c r="AB14" s="33" t="e">
        <f>IF($S14="","",IF(#REF!="Tolerance",IF((#REF!*3*T14+S14)-E14&lt;F14,"",(#REF!*3*T14+S14)-E14),IF(OR(#REF!="GD&amp;T",#REF!="MAX"),IF((#REF!*3*T14+S14)&lt;F14,"",(#REF!*3*T14+S14)),"")))</f>
        <v>#REF!</v>
      </c>
      <c r="AC14" s="33" t="e">
        <f>IF(S14="","",IF(#REF!="Tolerance",IF(-((#REF!*3*T14)-S14)-E14&gt;G14,"",-((#REF!*3*T14)-S14)-E14),IF(#REF!="MIN",IF(-((#REF!*3*T14)-S14)&gt;G14,"",-((#REF!*3*T14)-S14)),"")))</f>
        <v>#REF!</v>
      </c>
      <c r="AD14" s="33">
        <f t="shared" si="11"/>
        <v>0.72</v>
      </c>
      <c r="AE14" s="33" t="str">
        <f t="shared" si="9"/>
        <v/>
      </c>
      <c r="AF14" s="95"/>
      <c r="AG14" s="96" t="str">
        <f t="shared" si="12"/>
        <v/>
      </c>
      <c r="AH14" s="115"/>
      <c r="AI14" s="97"/>
      <c r="AJ14" s="97"/>
      <c r="AK14" s="98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I14" s="99"/>
      <c r="BJ14" s="99"/>
      <c r="BK14" s="99"/>
      <c r="BL14" s="99"/>
      <c r="BM14" s="99"/>
      <c r="BN14" s="99"/>
      <c r="BO14" s="99"/>
      <c r="BP14" s="99"/>
      <c r="BQ14" s="99"/>
      <c r="BR14" s="99"/>
    </row>
    <row r="15" spans="1:70" ht="19.149999999999999" customHeight="1">
      <c r="B15" s="83" t="s">
        <v>201</v>
      </c>
      <c r="C15" s="35" t="s">
        <v>131</v>
      </c>
      <c r="D15" s="84" t="s">
        <v>45</v>
      </c>
      <c r="E15" s="85">
        <v>0.72</v>
      </c>
      <c r="F15" s="86">
        <v>0.02</v>
      </c>
      <c r="G15" s="86">
        <v>-0.02</v>
      </c>
      <c r="H15" s="87" t="s">
        <v>46</v>
      </c>
      <c r="I15" s="88" t="s">
        <v>84</v>
      </c>
      <c r="J15" s="89">
        <v>0.74</v>
      </c>
      <c r="K15" s="89">
        <v>0.7</v>
      </c>
      <c r="L15" s="112">
        <v>0.73699999999999999</v>
      </c>
      <c r="M15" s="112">
        <v>0.70299999999999996</v>
      </c>
      <c r="N15" s="112"/>
      <c r="O15" s="112"/>
      <c r="P15" s="90"/>
      <c r="Q15" s="91">
        <f t="shared" si="0"/>
        <v>0</v>
      </c>
      <c r="R15" s="91">
        <f t="shared" si="1"/>
        <v>0</v>
      </c>
      <c r="S15" s="91">
        <f t="shared" si="2"/>
        <v>0</v>
      </c>
      <c r="T15" s="92">
        <f t="shared" si="3"/>
        <v>0</v>
      </c>
      <c r="U15" s="93" t="str">
        <f t="shared" si="4"/>
        <v/>
      </c>
      <c r="V15" s="94" t="str">
        <f>IF(OR($AM15="",ISNUMBER($AM15)=FALSE),"",IF(AND(#REF!="Tolerance",$E15&lt;&gt;""),($S15-$E15)/(($J15-$K15)/2),IF(AND(#REF!="GD&amp;T",$F15&lt;&gt;""),$S15/$F15,"")))</f>
        <v/>
      </c>
      <c r="W15" s="94" t="str">
        <f t="shared" si="10"/>
        <v/>
      </c>
      <c r="X15" s="93" t="str">
        <f t="shared" si="5"/>
        <v/>
      </c>
      <c r="Y15" s="93" t="str">
        <f t="shared" si="6"/>
        <v/>
      </c>
      <c r="Z15" s="93" t="str">
        <f t="shared" si="7"/>
        <v/>
      </c>
      <c r="AA15" s="32" t="str">
        <f t="shared" si="8"/>
        <v/>
      </c>
      <c r="AB15" s="33" t="e">
        <f>IF($S15="","",IF(#REF!="Tolerance",IF((#REF!*3*T15+S15)-E15&lt;F15,"",(#REF!*3*T15+S15)-E15),IF(OR(#REF!="GD&amp;T",#REF!="MAX"),IF((#REF!*3*T15+S15)&lt;F15,"",(#REF!*3*T15+S15)),"")))</f>
        <v>#REF!</v>
      </c>
      <c r="AC15" s="33" t="e">
        <f>IF(S15="","",IF(#REF!="Tolerance",IF(-((#REF!*3*T15)-S15)-E15&gt;G15,"",-((#REF!*3*T15)-S15)-E15),IF(#REF!="MIN",IF(-((#REF!*3*T15)-S15)&gt;G15,"",-((#REF!*3*T15)-S15)),"")))</f>
        <v>#REF!</v>
      </c>
      <c r="AD15" s="33">
        <f t="shared" si="11"/>
        <v>0.72</v>
      </c>
      <c r="AE15" s="33" t="str">
        <f t="shared" si="9"/>
        <v/>
      </c>
      <c r="AF15" s="95"/>
      <c r="AG15" s="96" t="str">
        <f t="shared" si="12"/>
        <v/>
      </c>
      <c r="AH15" s="115"/>
      <c r="AI15" s="97"/>
      <c r="AJ15" s="97"/>
      <c r="AK15" s="98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99"/>
      <c r="BI15" s="99"/>
      <c r="BJ15" s="99"/>
      <c r="BK15" s="99"/>
      <c r="BL15" s="99"/>
      <c r="BM15" s="99"/>
      <c r="BN15" s="99"/>
      <c r="BO15" s="99"/>
      <c r="BP15" s="99"/>
      <c r="BQ15" s="99"/>
      <c r="BR15" s="99"/>
    </row>
    <row r="16" spans="1:70" ht="19.149999999999999" customHeight="1">
      <c r="B16" s="83" t="s">
        <v>202</v>
      </c>
      <c r="C16" s="35" t="s">
        <v>132</v>
      </c>
      <c r="D16" s="84" t="s">
        <v>45</v>
      </c>
      <c r="E16" s="85">
        <v>0.72</v>
      </c>
      <c r="F16" s="86">
        <v>0.02</v>
      </c>
      <c r="G16" s="86">
        <v>-0.02</v>
      </c>
      <c r="H16" s="87" t="s">
        <v>46</v>
      </c>
      <c r="I16" s="88" t="s">
        <v>84</v>
      </c>
      <c r="J16" s="89">
        <v>0.74</v>
      </c>
      <c r="K16" s="89">
        <v>0.7</v>
      </c>
      <c r="L16" s="112">
        <v>0.73699999999999999</v>
      </c>
      <c r="M16" s="112">
        <v>0.70299999999999996</v>
      </c>
      <c r="N16" s="112"/>
      <c r="O16" s="112"/>
      <c r="P16" s="90"/>
      <c r="Q16" s="91">
        <f t="shared" si="0"/>
        <v>0</v>
      </c>
      <c r="R16" s="91">
        <f t="shared" si="1"/>
        <v>0</v>
      </c>
      <c r="S16" s="91">
        <f t="shared" si="2"/>
        <v>0</v>
      </c>
      <c r="T16" s="92">
        <f t="shared" si="3"/>
        <v>0</v>
      </c>
      <c r="U16" s="93" t="str">
        <f t="shared" si="4"/>
        <v/>
      </c>
      <c r="V16" s="94" t="str">
        <f>IF(OR($AM16="",ISNUMBER($AM16)=FALSE),"",IF(AND(#REF!="Tolerance",$E16&lt;&gt;""),($S16-$E16)/(($J16-$K16)/2),IF(AND(#REF!="GD&amp;T",$F16&lt;&gt;""),$S16/$F16,"")))</f>
        <v/>
      </c>
      <c r="W16" s="94" t="str">
        <f t="shared" si="10"/>
        <v/>
      </c>
      <c r="X16" s="93" t="str">
        <f t="shared" si="5"/>
        <v/>
      </c>
      <c r="Y16" s="93" t="str">
        <f t="shared" si="6"/>
        <v/>
      </c>
      <c r="Z16" s="93" t="str">
        <f t="shared" si="7"/>
        <v/>
      </c>
      <c r="AA16" s="32" t="str">
        <f t="shared" si="8"/>
        <v/>
      </c>
      <c r="AB16" s="33" t="e">
        <f>IF($S16="","",IF(#REF!="Tolerance",IF((#REF!*3*T16+S16)-E16&lt;F16,"",(#REF!*3*T16+S16)-E16),IF(OR(#REF!="GD&amp;T",#REF!="MAX"),IF((#REF!*3*T16+S16)&lt;F16,"",(#REF!*3*T16+S16)),"")))</f>
        <v>#REF!</v>
      </c>
      <c r="AC16" s="33" t="e">
        <f>IF(S16="","",IF(#REF!="Tolerance",IF(-((#REF!*3*T16)-S16)-E16&gt;G16,"",-((#REF!*3*T16)-S16)-E16),IF(#REF!="MIN",IF(-((#REF!*3*T16)-S16)&gt;G16,"",-((#REF!*3*T16)-S16)),"")))</f>
        <v>#REF!</v>
      </c>
      <c r="AD16" s="33">
        <f t="shared" si="11"/>
        <v>0.72</v>
      </c>
      <c r="AE16" s="33" t="str">
        <f t="shared" si="9"/>
        <v/>
      </c>
      <c r="AF16" s="95"/>
      <c r="AG16" s="96" t="str">
        <f t="shared" si="12"/>
        <v/>
      </c>
      <c r="AH16" s="115"/>
      <c r="AI16" s="97"/>
      <c r="AJ16" s="97"/>
      <c r="AK16" s="98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99"/>
      <c r="BK16" s="99"/>
      <c r="BL16" s="99"/>
      <c r="BM16" s="99"/>
      <c r="BN16" s="99"/>
      <c r="BO16" s="99"/>
      <c r="BP16" s="99"/>
      <c r="BQ16" s="99"/>
      <c r="BR16" s="99"/>
    </row>
    <row r="17" spans="2:70" ht="19.149999999999999" customHeight="1">
      <c r="B17" s="83" t="s">
        <v>85</v>
      </c>
      <c r="C17" s="35">
        <v>7</v>
      </c>
      <c r="D17" s="84" t="s">
        <v>45</v>
      </c>
      <c r="E17" s="85">
        <v>0.5</v>
      </c>
      <c r="F17" s="86">
        <v>1.7999999999999999E-2</v>
      </c>
      <c r="G17" s="86">
        <v>-1.4999999999999999E-2</v>
      </c>
      <c r="H17" s="87" t="s">
        <v>46</v>
      </c>
      <c r="I17" s="88" t="s">
        <v>84</v>
      </c>
      <c r="J17" s="89">
        <v>0.51800000000000002</v>
      </c>
      <c r="K17" s="89">
        <v>0.48499999999999999</v>
      </c>
      <c r="L17" s="112">
        <v>0.51529999999999998</v>
      </c>
      <c r="M17" s="112">
        <v>0.48725000000000002</v>
      </c>
      <c r="N17" s="112">
        <v>0.51349999999999996</v>
      </c>
      <c r="O17" s="112">
        <v>0.48875000000000002</v>
      </c>
      <c r="P17" s="90"/>
      <c r="Q17" s="91">
        <f t="shared" si="0"/>
        <v>0</v>
      </c>
      <c r="R17" s="91">
        <f t="shared" si="1"/>
        <v>0</v>
      </c>
      <c r="S17" s="91">
        <f t="shared" si="2"/>
        <v>0</v>
      </c>
      <c r="T17" s="92">
        <f t="shared" si="3"/>
        <v>0</v>
      </c>
      <c r="U17" s="93" t="str">
        <f t="shared" si="4"/>
        <v/>
      </c>
      <c r="V17" s="94" t="str">
        <f>IF(OR($AM17="",ISNUMBER($AM17)=FALSE),"",IF(AND(#REF!="Tolerance",$E17&lt;&gt;""),($S17-$E17)/(($J17-$K17)/2),IF(AND(#REF!="GD&amp;T",$F17&lt;&gt;""),$S17/$F17,"")))</f>
        <v/>
      </c>
      <c r="W17" s="94" t="str">
        <f t="shared" si="10"/>
        <v/>
      </c>
      <c r="X17" s="93" t="str">
        <f t="shared" si="5"/>
        <v/>
      </c>
      <c r="Y17" s="93" t="str">
        <f t="shared" si="6"/>
        <v/>
      </c>
      <c r="Z17" s="93" t="str">
        <f t="shared" si="7"/>
        <v/>
      </c>
      <c r="AA17" s="32" t="str">
        <f t="shared" si="8"/>
        <v/>
      </c>
      <c r="AB17" s="33" t="e">
        <f>IF($S17="","",IF(#REF!="Tolerance",IF((#REF!*3*T17+S17)-E17&lt;F17,"",(#REF!*3*T17+S17)-E17),IF(OR(#REF!="GD&amp;T",#REF!="MAX"),IF((#REF!*3*T17+S17)&lt;F17,"",(#REF!*3*T17+S17)),"")))</f>
        <v>#REF!</v>
      </c>
      <c r="AC17" s="33" t="e">
        <f>IF(S17="","",IF(#REF!="Tolerance",IF(-((#REF!*3*T17)-S17)-E17&gt;G17,"",-((#REF!*3*T17)-S17)-E17),IF(#REF!="MIN",IF(-((#REF!*3*T17)-S17)&gt;G17,"",-((#REF!*3*T17)-S17)),"")))</f>
        <v>#REF!</v>
      </c>
      <c r="AD17" s="33">
        <f t="shared" si="11"/>
        <v>0.50150000000000006</v>
      </c>
      <c r="AE17" s="33" t="str">
        <f t="shared" si="9"/>
        <v/>
      </c>
      <c r="AF17" s="95"/>
      <c r="AG17" s="96" t="str">
        <f t="shared" si="12"/>
        <v/>
      </c>
      <c r="AH17" s="115"/>
      <c r="AI17" s="97"/>
      <c r="AJ17" s="97"/>
      <c r="AK17" s="98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99"/>
      <c r="BF17" s="99"/>
      <c r="BG17" s="99"/>
      <c r="BH17" s="99"/>
      <c r="BI17" s="99"/>
      <c r="BJ17" s="99"/>
      <c r="BK17" s="99"/>
      <c r="BL17" s="99"/>
      <c r="BM17" s="99"/>
      <c r="BN17" s="99"/>
      <c r="BO17" s="99"/>
      <c r="BP17" s="99"/>
      <c r="BQ17" s="99"/>
      <c r="BR17" s="99"/>
    </row>
    <row r="18" spans="2:70" ht="19.149999999999999" customHeight="1">
      <c r="B18" s="83" t="s">
        <v>203</v>
      </c>
      <c r="C18" s="35">
        <v>8</v>
      </c>
      <c r="D18" s="84" t="s">
        <v>45</v>
      </c>
      <c r="E18" s="85">
        <v>0.5</v>
      </c>
      <c r="F18" s="86">
        <v>1.7999999999999999E-2</v>
      </c>
      <c r="G18" s="86">
        <v>-1.4999999999999999E-2</v>
      </c>
      <c r="H18" s="87" t="s">
        <v>46</v>
      </c>
      <c r="I18" s="88" t="s">
        <v>84</v>
      </c>
      <c r="J18" s="89">
        <v>0.51800000000000002</v>
      </c>
      <c r="K18" s="89">
        <v>0.48499999999999999</v>
      </c>
      <c r="L18" s="112">
        <v>0.51529999999999998</v>
      </c>
      <c r="M18" s="112">
        <v>0.48725000000000002</v>
      </c>
      <c r="N18" s="112">
        <v>0.51349999999999996</v>
      </c>
      <c r="O18" s="112">
        <v>0.48875000000000002</v>
      </c>
      <c r="P18" s="90"/>
      <c r="Q18" s="91">
        <f t="shared" si="0"/>
        <v>0</v>
      </c>
      <c r="R18" s="91">
        <f t="shared" si="1"/>
        <v>0</v>
      </c>
      <c r="S18" s="91">
        <f t="shared" si="2"/>
        <v>0</v>
      </c>
      <c r="T18" s="92">
        <f t="shared" si="3"/>
        <v>0</v>
      </c>
      <c r="U18" s="93" t="str">
        <f t="shared" si="4"/>
        <v/>
      </c>
      <c r="V18" s="94" t="str">
        <f>IF(OR($AM18="",ISNUMBER($AM18)=FALSE),"",IF(AND(#REF!="Tolerance",$E18&lt;&gt;""),($S18-$E18)/(($J18-$K18)/2),IF(AND(#REF!="GD&amp;T",$F18&lt;&gt;""),$S18/$F18,"")))</f>
        <v/>
      </c>
      <c r="W18" s="94" t="str">
        <f t="shared" si="10"/>
        <v/>
      </c>
      <c r="X18" s="93" t="str">
        <f t="shared" si="5"/>
        <v/>
      </c>
      <c r="Y18" s="93" t="str">
        <f t="shared" si="6"/>
        <v/>
      </c>
      <c r="Z18" s="93" t="str">
        <f t="shared" si="7"/>
        <v/>
      </c>
      <c r="AA18" s="32" t="str">
        <f t="shared" si="8"/>
        <v/>
      </c>
      <c r="AB18" s="33" t="e">
        <f>IF($S18="","",IF(#REF!="Tolerance",IF((#REF!*3*T18+S18)-E18&lt;F18,"",(#REF!*3*T18+S18)-E18),IF(OR(#REF!="GD&amp;T",#REF!="MAX"),IF((#REF!*3*T18+S18)&lt;F18,"",(#REF!*3*T18+S18)),"")))</f>
        <v>#REF!</v>
      </c>
      <c r="AC18" s="33" t="e">
        <f>IF(S18="","",IF(#REF!="Tolerance",IF(-((#REF!*3*T18)-S18)-E18&gt;G18,"",-((#REF!*3*T18)-S18)-E18),IF(#REF!="MIN",IF(-((#REF!*3*T18)-S18)&gt;G18,"",-((#REF!*3*T18)-S18)),"")))</f>
        <v>#REF!</v>
      </c>
      <c r="AD18" s="33">
        <f t="shared" si="11"/>
        <v>0.50150000000000006</v>
      </c>
      <c r="AE18" s="33" t="str">
        <f t="shared" si="9"/>
        <v/>
      </c>
      <c r="AF18" s="95"/>
      <c r="AG18" s="96" t="str">
        <f t="shared" si="12"/>
        <v/>
      </c>
      <c r="AH18" s="115"/>
      <c r="AI18" s="97"/>
      <c r="AJ18" s="97"/>
      <c r="AK18" s="98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99"/>
      <c r="BF18" s="99"/>
      <c r="BG18" s="99"/>
      <c r="BH18" s="99"/>
      <c r="BI18" s="99"/>
      <c r="BJ18" s="99"/>
      <c r="BK18" s="99"/>
      <c r="BL18" s="99"/>
      <c r="BM18" s="99"/>
      <c r="BN18" s="99"/>
      <c r="BO18" s="99"/>
      <c r="BP18" s="99"/>
      <c r="BQ18" s="99"/>
      <c r="BR18" s="99"/>
    </row>
    <row r="19" spans="2:70" ht="19.149999999999999" customHeight="1">
      <c r="B19" s="83" t="s">
        <v>204</v>
      </c>
      <c r="C19" s="35" t="s">
        <v>133</v>
      </c>
      <c r="D19" s="84" t="s">
        <v>45</v>
      </c>
      <c r="E19" s="85">
        <v>3.1</v>
      </c>
      <c r="F19" s="86">
        <v>0.03</v>
      </c>
      <c r="G19" s="86">
        <v>-3.5000000000000003E-2</v>
      </c>
      <c r="H19" s="87" t="s">
        <v>46</v>
      </c>
      <c r="I19" s="88"/>
      <c r="J19" s="89">
        <v>3.13</v>
      </c>
      <c r="K19" s="89">
        <v>3.0649999999999999</v>
      </c>
      <c r="L19" s="112">
        <v>3.1255000000000002</v>
      </c>
      <c r="M19" s="112">
        <v>3.0702500000000001</v>
      </c>
      <c r="N19" s="112"/>
      <c r="O19" s="112"/>
      <c r="P19" s="90"/>
      <c r="Q19" s="91">
        <f t="shared" si="0"/>
        <v>0</v>
      </c>
      <c r="R19" s="91">
        <f t="shared" si="1"/>
        <v>0</v>
      </c>
      <c r="S19" s="91">
        <f t="shared" si="2"/>
        <v>0</v>
      </c>
      <c r="T19" s="92">
        <f t="shared" si="3"/>
        <v>0</v>
      </c>
      <c r="U19" s="93" t="str">
        <f t="shared" si="4"/>
        <v/>
      </c>
      <c r="V19" s="94" t="str">
        <f>IF(OR($AM19="",ISNUMBER($AM19)=FALSE),"",IF(AND(#REF!="Tolerance",$E19&lt;&gt;""),($S19-$E19)/(($J19-$K19)/2),IF(AND(#REF!="GD&amp;T",$F19&lt;&gt;""),$S19/$F19,"")))</f>
        <v/>
      </c>
      <c r="W19" s="94" t="str">
        <f t="shared" si="10"/>
        <v/>
      </c>
      <c r="X19" s="93" t="str">
        <f t="shared" si="5"/>
        <v/>
      </c>
      <c r="Y19" s="93" t="str">
        <f t="shared" si="6"/>
        <v/>
      </c>
      <c r="Z19" s="93" t="str">
        <f t="shared" si="7"/>
        <v/>
      </c>
      <c r="AA19" s="32" t="str">
        <f t="shared" si="8"/>
        <v/>
      </c>
      <c r="AB19" s="33" t="e">
        <f>IF($S19="","",IF(#REF!="Tolerance",IF((#REF!*3*T19+S19)-E19&lt;F19,"",(#REF!*3*T19+S19)-E19),IF(OR(#REF!="GD&amp;T",#REF!="MAX"),IF((#REF!*3*T19+S19)&lt;F19,"",(#REF!*3*T19+S19)),"")))</f>
        <v>#REF!</v>
      </c>
      <c r="AC19" s="33" t="e">
        <f>IF(S19="","",IF(#REF!="Tolerance",IF(-((#REF!*3*T19)-S19)-E19&gt;G19,"",-((#REF!*3*T19)-S19)-E19),IF(#REF!="MIN",IF(-((#REF!*3*T19)-S19)&gt;G19,"",-((#REF!*3*T19)-S19)),"")))</f>
        <v>#REF!</v>
      </c>
      <c r="AD19" s="33">
        <f t="shared" si="11"/>
        <v>3.0975000000000001</v>
      </c>
      <c r="AE19" s="33" t="str">
        <f t="shared" si="9"/>
        <v/>
      </c>
      <c r="AF19" s="95"/>
      <c r="AG19" s="96" t="str">
        <f t="shared" si="12"/>
        <v/>
      </c>
      <c r="AH19" s="115"/>
      <c r="AI19" s="97"/>
      <c r="AJ19" s="97"/>
      <c r="AK19" s="98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99"/>
      <c r="BK19" s="99"/>
      <c r="BL19" s="99"/>
      <c r="BM19" s="99"/>
      <c r="BN19" s="99"/>
      <c r="BO19" s="99"/>
      <c r="BP19" s="99"/>
      <c r="BQ19" s="99"/>
      <c r="BR19" s="99"/>
    </row>
    <row r="20" spans="2:70" ht="19.149999999999999" customHeight="1">
      <c r="B20" s="83" t="s">
        <v>204</v>
      </c>
      <c r="C20" s="35" t="s">
        <v>134</v>
      </c>
      <c r="D20" s="84" t="s">
        <v>45</v>
      </c>
      <c r="E20" s="85">
        <v>3.1</v>
      </c>
      <c r="F20" s="86">
        <v>0.03</v>
      </c>
      <c r="G20" s="86">
        <v>-3.5000000000000003E-2</v>
      </c>
      <c r="H20" s="87" t="s">
        <v>46</v>
      </c>
      <c r="I20" s="88"/>
      <c r="J20" s="89">
        <v>3.13</v>
      </c>
      <c r="K20" s="89">
        <v>3.0649999999999999</v>
      </c>
      <c r="L20" s="112">
        <v>3.1255000000000002</v>
      </c>
      <c r="M20" s="112">
        <v>3.0702500000000001</v>
      </c>
      <c r="N20" s="112"/>
      <c r="O20" s="112"/>
      <c r="P20" s="90"/>
      <c r="Q20" s="91">
        <f t="shared" si="0"/>
        <v>0</v>
      </c>
      <c r="R20" s="91">
        <f t="shared" si="1"/>
        <v>0</v>
      </c>
      <c r="S20" s="91">
        <f t="shared" si="2"/>
        <v>0</v>
      </c>
      <c r="T20" s="92">
        <f t="shared" si="3"/>
        <v>0</v>
      </c>
      <c r="U20" s="93" t="str">
        <f t="shared" si="4"/>
        <v/>
      </c>
      <c r="V20" s="94" t="str">
        <f>IF(OR($AM20="",ISNUMBER($AM20)=FALSE),"",IF(AND(#REF!="Tolerance",$E20&lt;&gt;""),($S20-$E20)/(($J20-$K20)/2),IF(AND(#REF!="GD&amp;T",$F20&lt;&gt;""),$S20/$F20,"")))</f>
        <v/>
      </c>
      <c r="W20" s="94" t="str">
        <f t="shared" si="10"/>
        <v/>
      </c>
      <c r="X20" s="93" t="str">
        <f t="shared" si="5"/>
        <v/>
      </c>
      <c r="Y20" s="93" t="str">
        <f t="shared" si="6"/>
        <v/>
      </c>
      <c r="Z20" s="93" t="str">
        <f t="shared" si="7"/>
        <v/>
      </c>
      <c r="AA20" s="32" t="str">
        <f t="shared" si="8"/>
        <v/>
      </c>
      <c r="AB20" s="33" t="e">
        <f>IF($S20="","",IF(#REF!="Tolerance",IF((#REF!*3*T20+S20)-E20&lt;F20,"",(#REF!*3*T20+S20)-E20),IF(OR(#REF!="GD&amp;T",#REF!="MAX"),IF((#REF!*3*T20+S20)&lt;F20,"",(#REF!*3*T20+S20)),"")))</f>
        <v>#REF!</v>
      </c>
      <c r="AC20" s="33" t="e">
        <f>IF(S20="","",IF(#REF!="Tolerance",IF(-((#REF!*3*T20)-S20)-E20&gt;G20,"",-((#REF!*3*T20)-S20)-E20),IF(#REF!="MIN",IF(-((#REF!*3*T20)-S20)&gt;G20,"",-((#REF!*3*T20)-S20)),"")))</f>
        <v>#REF!</v>
      </c>
      <c r="AD20" s="33">
        <f t="shared" si="11"/>
        <v>3.0975000000000001</v>
      </c>
      <c r="AE20" s="33" t="str">
        <f t="shared" si="9"/>
        <v/>
      </c>
      <c r="AF20" s="95"/>
      <c r="AG20" s="96" t="str">
        <f t="shared" si="12"/>
        <v/>
      </c>
      <c r="AH20" s="115"/>
      <c r="AI20" s="97"/>
      <c r="AJ20" s="97"/>
      <c r="AK20" s="98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99"/>
      <c r="BF20" s="99"/>
      <c r="BG20" s="99"/>
      <c r="BH20" s="99"/>
      <c r="BI20" s="99"/>
      <c r="BJ20" s="99"/>
      <c r="BK20" s="99"/>
      <c r="BL20" s="99"/>
      <c r="BM20" s="99"/>
      <c r="BN20" s="99"/>
      <c r="BO20" s="99"/>
      <c r="BP20" s="99"/>
      <c r="BQ20" s="99"/>
      <c r="BR20" s="99"/>
    </row>
    <row r="21" spans="2:70" ht="19.149999999999999" customHeight="1">
      <c r="B21" s="83" t="s">
        <v>204</v>
      </c>
      <c r="C21" s="35" t="s">
        <v>135</v>
      </c>
      <c r="D21" s="84" t="s">
        <v>45</v>
      </c>
      <c r="E21" s="85">
        <v>3.1</v>
      </c>
      <c r="F21" s="86">
        <v>0.03</v>
      </c>
      <c r="G21" s="86">
        <v>-3.5000000000000003E-2</v>
      </c>
      <c r="H21" s="87" t="s">
        <v>46</v>
      </c>
      <c r="I21" s="88"/>
      <c r="J21" s="89">
        <v>3.13</v>
      </c>
      <c r="K21" s="89">
        <v>3.0649999999999999</v>
      </c>
      <c r="L21" s="112">
        <v>3.1255000000000002</v>
      </c>
      <c r="M21" s="112">
        <v>3.0702500000000001</v>
      </c>
      <c r="N21" s="112"/>
      <c r="O21" s="112"/>
      <c r="P21" s="90"/>
      <c r="Q21" s="91">
        <f t="shared" si="0"/>
        <v>0</v>
      </c>
      <c r="R21" s="91">
        <f t="shared" si="1"/>
        <v>0</v>
      </c>
      <c r="S21" s="91">
        <f t="shared" si="2"/>
        <v>0</v>
      </c>
      <c r="T21" s="92">
        <f t="shared" si="3"/>
        <v>0</v>
      </c>
      <c r="U21" s="93" t="str">
        <f t="shared" si="4"/>
        <v/>
      </c>
      <c r="V21" s="94" t="str">
        <f>IF(OR($AM21="",ISNUMBER($AM21)=FALSE),"",IF(AND(#REF!="Tolerance",$E21&lt;&gt;""),($S21-$E21)/(($J21-$K21)/2),IF(AND(#REF!="GD&amp;T",$F21&lt;&gt;""),$S21/$F21,"")))</f>
        <v/>
      </c>
      <c r="W21" s="94" t="str">
        <f t="shared" si="10"/>
        <v/>
      </c>
      <c r="X21" s="93" t="str">
        <f t="shared" si="5"/>
        <v/>
      </c>
      <c r="Y21" s="93" t="str">
        <f t="shared" si="6"/>
        <v/>
      </c>
      <c r="Z21" s="93" t="str">
        <f t="shared" si="7"/>
        <v/>
      </c>
      <c r="AA21" s="32" t="str">
        <f t="shared" si="8"/>
        <v/>
      </c>
      <c r="AB21" s="33" t="e">
        <f>IF($S21="","",IF(#REF!="Tolerance",IF((#REF!*3*T21+S21)-E21&lt;F21,"",(#REF!*3*T21+S21)-E21),IF(OR(#REF!="GD&amp;T",#REF!="MAX"),IF((#REF!*3*T21+S21)&lt;F21,"",(#REF!*3*T21+S21)),"")))</f>
        <v>#REF!</v>
      </c>
      <c r="AC21" s="33" t="e">
        <f>IF(S21="","",IF(#REF!="Tolerance",IF(-((#REF!*3*T21)-S21)-E21&gt;G21,"",-((#REF!*3*T21)-S21)-E21),IF(#REF!="MIN",IF(-((#REF!*3*T21)-S21)&gt;G21,"",-((#REF!*3*T21)-S21)),"")))</f>
        <v>#REF!</v>
      </c>
      <c r="AD21" s="33">
        <f t="shared" si="11"/>
        <v>3.0975000000000001</v>
      </c>
      <c r="AE21" s="33" t="str">
        <f t="shared" si="9"/>
        <v/>
      </c>
      <c r="AF21" s="95"/>
      <c r="AG21" s="96" t="str">
        <f t="shared" si="12"/>
        <v/>
      </c>
      <c r="AH21" s="115"/>
      <c r="AI21" s="97"/>
      <c r="AJ21" s="97"/>
      <c r="AK21" s="98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99"/>
      <c r="BF21" s="99"/>
      <c r="BG21" s="99"/>
      <c r="BH21" s="99"/>
      <c r="BI21" s="99"/>
      <c r="BJ21" s="99"/>
      <c r="BK21" s="99"/>
      <c r="BL21" s="99"/>
      <c r="BM21" s="99"/>
      <c r="BN21" s="99"/>
      <c r="BO21" s="99"/>
      <c r="BP21" s="99"/>
      <c r="BQ21" s="99"/>
      <c r="BR21" s="99"/>
    </row>
    <row r="22" spans="2:70" ht="19.149999999999999" customHeight="1">
      <c r="B22" s="83" t="s">
        <v>204</v>
      </c>
      <c r="C22" s="35" t="s">
        <v>136</v>
      </c>
      <c r="D22" s="84" t="s">
        <v>45</v>
      </c>
      <c r="E22" s="85">
        <v>3.1</v>
      </c>
      <c r="F22" s="86">
        <v>0.03</v>
      </c>
      <c r="G22" s="86">
        <v>-3.5000000000000003E-2</v>
      </c>
      <c r="H22" s="87" t="s">
        <v>46</v>
      </c>
      <c r="I22" s="88"/>
      <c r="J22" s="89">
        <v>3.13</v>
      </c>
      <c r="K22" s="89">
        <v>3.0649999999999999</v>
      </c>
      <c r="L22" s="112">
        <v>3.1255000000000002</v>
      </c>
      <c r="M22" s="112">
        <v>3.0702500000000001</v>
      </c>
      <c r="N22" s="112"/>
      <c r="O22" s="112"/>
      <c r="P22" s="90"/>
      <c r="Q22" s="91">
        <f t="shared" si="0"/>
        <v>0</v>
      </c>
      <c r="R22" s="91">
        <f t="shared" si="1"/>
        <v>0</v>
      </c>
      <c r="S22" s="91">
        <f t="shared" si="2"/>
        <v>0</v>
      </c>
      <c r="T22" s="92">
        <f t="shared" si="3"/>
        <v>0</v>
      </c>
      <c r="U22" s="93" t="str">
        <f t="shared" si="4"/>
        <v/>
      </c>
      <c r="V22" s="94" t="str">
        <f>IF(OR($AM22="",ISNUMBER($AM22)=FALSE),"",IF(AND(#REF!="Tolerance",$E22&lt;&gt;""),($S22-$E22)/(($J22-$K22)/2),IF(AND(#REF!="GD&amp;T",$F22&lt;&gt;""),$S22/$F22,"")))</f>
        <v/>
      </c>
      <c r="W22" s="94" t="str">
        <f t="shared" si="10"/>
        <v/>
      </c>
      <c r="X22" s="93" t="str">
        <f t="shared" si="5"/>
        <v/>
      </c>
      <c r="Y22" s="93" t="str">
        <f t="shared" si="6"/>
        <v/>
      </c>
      <c r="Z22" s="93" t="str">
        <f t="shared" si="7"/>
        <v/>
      </c>
      <c r="AA22" s="32" t="str">
        <f t="shared" si="8"/>
        <v/>
      </c>
      <c r="AB22" s="33" t="e">
        <f>IF($S22="","",IF(#REF!="Tolerance",IF((#REF!*3*T22+S22)-E22&lt;F22,"",(#REF!*3*T22+S22)-E22),IF(OR(#REF!="GD&amp;T",#REF!="MAX"),IF((#REF!*3*T22+S22)&lt;F22,"",(#REF!*3*T22+S22)),"")))</f>
        <v>#REF!</v>
      </c>
      <c r="AC22" s="33" t="e">
        <f>IF(S22="","",IF(#REF!="Tolerance",IF(-((#REF!*3*T22)-S22)-E22&gt;G22,"",-((#REF!*3*T22)-S22)-E22),IF(#REF!="MIN",IF(-((#REF!*3*T22)-S22)&gt;G22,"",-((#REF!*3*T22)-S22)),"")))</f>
        <v>#REF!</v>
      </c>
      <c r="AD22" s="33">
        <f t="shared" si="11"/>
        <v>3.0975000000000001</v>
      </c>
      <c r="AE22" s="33" t="str">
        <f t="shared" si="9"/>
        <v/>
      </c>
      <c r="AF22" s="95"/>
      <c r="AG22" s="96" t="str">
        <f t="shared" si="12"/>
        <v/>
      </c>
      <c r="AH22" s="115"/>
      <c r="AI22" s="97"/>
      <c r="AJ22" s="97"/>
      <c r="AK22" s="98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99"/>
      <c r="BF22" s="99"/>
      <c r="BG22" s="99"/>
      <c r="BH22" s="99"/>
      <c r="BI22" s="99"/>
      <c r="BJ22" s="99"/>
      <c r="BK22" s="99"/>
      <c r="BL22" s="99"/>
      <c r="BM22" s="99"/>
      <c r="BN22" s="99"/>
      <c r="BO22" s="99"/>
      <c r="BP22" s="99"/>
      <c r="BQ22" s="99"/>
      <c r="BR22" s="99"/>
    </row>
    <row r="23" spans="2:70" ht="19.149999999999999" customHeight="1">
      <c r="B23" s="83" t="s">
        <v>204</v>
      </c>
      <c r="C23" s="35" t="s">
        <v>137</v>
      </c>
      <c r="D23" s="84" t="s">
        <v>45</v>
      </c>
      <c r="E23" s="85">
        <v>3.1</v>
      </c>
      <c r="F23" s="86">
        <v>0.03</v>
      </c>
      <c r="G23" s="86">
        <v>-3.5000000000000003E-2</v>
      </c>
      <c r="H23" s="87" t="s">
        <v>46</v>
      </c>
      <c r="I23" s="88"/>
      <c r="J23" s="89">
        <v>3.13</v>
      </c>
      <c r="K23" s="89">
        <v>3.0649999999999999</v>
      </c>
      <c r="L23" s="112">
        <v>3.1255000000000002</v>
      </c>
      <c r="M23" s="112">
        <v>3.0702500000000001</v>
      </c>
      <c r="N23" s="112"/>
      <c r="O23" s="112"/>
      <c r="P23" s="90"/>
      <c r="Q23" s="91">
        <f t="shared" si="0"/>
        <v>0</v>
      </c>
      <c r="R23" s="91">
        <f t="shared" si="1"/>
        <v>0</v>
      </c>
      <c r="S23" s="91">
        <f t="shared" si="2"/>
        <v>0</v>
      </c>
      <c r="T23" s="92">
        <f t="shared" si="3"/>
        <v>0</v>
      </c>
      <c r="U23" s="93" t="str">
        <f t="shared" si="4"/>
        <v/>
      </c>
      <c r="V23" s="94" t="str">
        <f>IF(OR($AM23="",ISNUMBER($AM23)=FALSE),"",IF(AND(#REF!="Tolerance",$E23&lt;&gt;""),($S23-$E23)/(($J23-$K23)/2),IF(AND(#REF!="GD&amp;T",$F23&lt;&gt;""),$S23/$F23,"")))</f>
        <v/>
      </c>
      <c r="W23" s="94" t="str">
        <f t="shared" si="10"/>
        <v/>
      </c>
      <c r="X23" s="93" t="str">
        <f t="shared" si="5"/>
        <v/>
      </c>
      <c r="Y23" s="93" t="str">
        <f t="shared" si="6"/>
        <v/>
      </c>
      <c r="Z23" s="93" t="str">
        <f t="shared" si="7"/>
        <v/>
      </c>
      <c r="AA23" s="32" t="str">
        <f t="shared" si="8"/>
        <v/>
      </c>
      <c r="AB23" s="33" t="e">
        <f>IF($S23="","",IF(#REF!="Tolerance",IF((#REF!*3*T23+S23)-E23&lt;F23,"",(#REF!*3*T23+S23)-E23),IF(OR(#REF!="GD&amp;T",#REF!="MAX"),IF((#REF!*3*T23+S23)&lt;F23,"",(#REF!*3*T23+S23)),"")))</f>
        <v>#REF!</v>
      </c>
      <c r="AC23" s="33" t="e">
        <f>IF(S23="","",IF(#REF!="Tolerance",IF(-((#REF!*3*T23)-S23)-E23&gt;G23,"",-((#REF!*3*T23)-S23)-E23),IF(#REF!="MIN",IF(-((#REF!*3*T23)-S23)&gt;G23,"",-((#REF!*3*T23)-S23)),"")))</f>
        <v>#REF!</v>
      </c>
      <c r="AD23" s="33">
        <f t="shared" si="11"/>
        <v>3.0975000000000001</v>
      </c>
      <c r="AE23" s="33" t="str">
        <f t="shared" si="9"/>
        <v/>
      </c>
      <c r="AF23" s="95"/>
      <c r="AG23" s="96" t="str">
        <f t="shared" si="12"/>
        <v/>
      </c>
      <c r="AH23" s="115"/>
      <c r="AI23" s="97"/>
      <c r="AJ23" s="97"/>
      <c r="AK23" s="98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99"/>
      <c r="BL23" s="99"/>
      <c r="BM23" s="99"/>
      <c r="BN23" s="99"/>
      <c r="BO23" s="99"/>
      <c r="BP23" s="99"/>
      <c r="BQ23" s="99"/>
      <c r="BR23" s="99"/>
    </row>
    <row r="24" spans="2:70" ht="19.149999999999999" customHeight="1">
      <c r="B24" s="83" t="s">
        <v>204</v>
      </c>
      <c r="C24" s="35" t="s">
        <v>138</v>
      </c>
      <c r="D24" s="84" t="s">
        <v>45</v>
      </c>
      <c r="E24" s="85">
        <v>3.1</v>
      </c>
      <c r="F24" s="86">
        <v>0.03</v>
      </c>
      <c r="G24" s="86">
        <v>-3.5000000000000003E-2</v>
      </c>
      <c r="H24" s="87" t="s">
        <v>46</v>
      </c>
      <c r="I24" s="88"/>
      <c r="J24" s="89">
        <v>3.13</v>
      </c>
      <c r="K24" s="89">
        <v>3.0649999999999999</v>
      </c>
      <c r="L24" s="112">
        <v>3.1255000000000002</v>
      </c>
      <c r="M24" s="112">
        <v>3.0702500000000001</v>
      </c>
      <c r="N24" s="112"/>
      <c r="O24" s="112"/>
      <c r="P24" s="90"/>
      <c r="Q24" s="91">
        <f t="shared" si="0"/>
        <v>0</v>
      </c>
      <c r="R24" s="91">
        <f t="shared" si="1"/>
        <v>0</v>
      </c>
      <c r="S24" s="91">
        <f t="shared" si="2"/>
        <v>0</v>
      </c>
      <c r="T24" s="92">
        <f t="shared" si="3"/>
        <v>0</v>
      </c>
      <c r="U24" s="93" t="str">
        <f t="shared" si="4"/>
        <v/>
      </c>
      <c r="V24" s="94" t="str">
        <f>IF(OR($AM24="",ISNUMBER($AM24)=FALSE),"",IF(AND(#REF!="Tolerance",$E24&lt;&gt;""),($S24-$E24)/(($J24-$K24)/2),IF(AND(#REF!="GD&amp;T",$F24&lt;&gt;""),$S24/$F24,"")))</f>
        <v/>
      </c>
      <c r="W24" s="94" t="str">
        <f t="shared" si="10"/>
        <v/>
      </c>
      <c r="X24" s="93" t="str">
        <f t="shared" si="5"/>
        <v/>
      </c>
      <c r="Y24" s="93" t="str">
        <f t="shared" si="6"/>
        <v/>
      </c>
      <c r="Z24" s="93" t="str">
        <f t="shared" si="7"/>
        <v/>
      </c>
      <c r="AA24" s="32" t="str">
        <f t="shared" si="8"/>
        <v/>
      </c>
      <c r="AB24" s="33" t="e">
        <f>IF($S24="","",IF(#REF!="Tolerance",IF((#REF!*3*T24+S24)-E24&lt;F24,"",(#REF!*3*T24+S24)-E24),IF(OR(#REF!="GD&amp;T",#REF!="MAX"),IF((#REF!*3*T24+S24)&lt;F24,"",(#REF!*3*T24+S24)),"")))</f>
        <v>#REF!</v>
      </c>
      <c r="AC24" s="33" t="e">
        <f>IF(S24="","",IF(#REF!="Tolerance",IF(-((#REF!*3*T24)-S24)-E24&gt;G24,"",-((#REF!*3*T24)-S24)-E24),IF(#REF!="MIN",IF(-((#REF!*3*T24)-S24)&gt;G24,"",-((#REF!*3*T24)-S24)),"")))</f>
        <v>#REF!</v>
      </c>
      <c r="AD24" s="33">
        <f t="shared" si="11"/>
        <v>3.0975000000000001</v>
      </c>
      <c r="AE24" s="33" t="str">
        <f t="shared" si="9"/>
        <v/>
      </c>
      <c r="AF24" s="95"/>
      <c r="AG24" s="96" t="str">
        <f t="shared" si="12"/>
        <v/>
      </c>
      <c r="AH24" s="115"/>
      <c r="AI24" s="97"/>
      <c r="AJ24" s="97"/>
      <c r="AK24" s="98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99"/>
      <c r="BF24" s="99"/>
      <c r="BG24" s="99"/>
      <c r="BH24" s="99"/>
      <c r="BI24" s="99"/>
      <c r="BJ24" s="99"/>
      <c r="BK24" s="99"/>
      <c r="BL24" s="99"/>
      <c r="BM24" s="99"/>
      <c r="BN24" s="99"/>
      <c r="BO24" s="99"/>
      <c r="BP24" s="99"/>
      <c r="BQ24" s="99"/>
      <c r="BR24" s="99"/>
    </row>
    <row r="25" spans="2:70" ht="19.149999999999999" customHeight="1">
      <c r="B25" s="83" t="s">
        <v>204</v>
      </c>
      <c r="C25" s="35" t="s">
        <v>139</v>
      </c>
      <c r="D25" s="84" t="s">
        <v>45</v>
      </c>
      <c r="E25" s="85">
        <v>3.1</v>
      </c>
      <c r="F25" s="86">
        <v>0.03</v>
      </c>
      <c r="G25" s="86">
        <v>-3.5000000000000003E-2</v>
      </c>
      <c r="H25" s="87" t="s">
        <v>46</v>
      </c>
      <c r="I25" s="88"/>
      <c r="J25" s="89">
        <v>3.13</v>
      </c>
      <c r="K25" s="89">
        <v>3.0649999999999999</v>
      </c>
      <c r="L25" s="112">
        <v>3.1255000000000002</v>
      </c>
      <c r="M25" s="112">
        <v>3.0702500000000001</v>
      </c>
      <c r="N25" s="112"/>
      <c r="O25" s="112"/>
      <c r="P25" s="90"/>
      <c r="Q25" s="91">
        <f t="shared" si="0"/>
        <v>0</v>
      </c>
      <c r="R25" s="91">
        <f t="shared" si="1"/>
        <v>0</v>
      </c>
      <c r="S25" s="91">
        <f t="shared" si="2"/>
        <v>0</v>
      </c>
      <c r="T25" s="92">
        <f t="shared" si="3"/>
        <v>0</v>
      </c>
      <c r="U25" s="93" t="str">
        <f t="shared" si="4"/>
        <v/>
      </c>
      <c r="V25" s="94" t="str">
        <f>IF(OR($AM25="",ISNUMBER($AM25)=FALSE),"",IF(AND(#REF!="Tolerance",$E25&lt;&gt;""),($S25-$E25)/(($J25-$K25)/2),IF(AND(#REF!="GD&amp;T",$F25&lt;&gt;""),$S25/$F25,"")))</f>
        <v/>
      </c>
      <c r="W25" s="94" t="str">
        <f t="shared" si="10"/>
        <v/>
      </c>
      <c r="X25" s="93" t="str">
        <f t="shared" si="5"/>
        <v/>
      </c>
      <c r="Y25" s="93" t="str">
        <f t="shared" si="6"/>
        <v/>
      </c>
      <c r="Z25" s="93" t="str">
        <f t="shared" si="7"/>
        <v/>
      </c>
      <c r="AA25" s="32" t="str">
        <f t="shared" si="8"/>
        <v/>
      </c>
      <c r="AB25" s="33"/>
      <c r="AC25" s="33"/>
      <c r="AD25" s="33"/>
      <c r="AE25" s="33"/>
      <c r="AF25" s="95"/>
      <c r="AG25" s="96" t="str">
        <f t="shared" si="12"/>
        <v/>
      </c>
      <c r="AH25" s="115"/>
      <c r="AI25" s="97"/>
      <c r="AJ25" s="97"/>
      <c r="AK25" s="98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J25" s="99"/>
      <c r="BK25" s="99"/>
      <c r="BL25" s="99"/>
      <c r="BM25" s="99"/>
      <c r="BN25" s="99"/>
      <c r="BO25" s="99"/>
      <c r="BP25" s="99"/>
      <c r="BQ25" s="99"/>
      <c r="BR25" s="99"/>
    </row>
    <row r="26" spans="2:70" ht="19.149999999999999" customHeight="1">
      <c r="B26" s="83" t="s">
        <v>204</v>
      </c>
      <c r="C26" s="35" t="s">
        <v>140</v>
      </c>
      <c r="D26" s="84" t="s">
        <v>45</v>
      </c>
      <c r="E26" s="85">
        <v>3.1</v>
      </c>
      <c r="F26" s="86">
        <v>0.03</v>
      </c>
      <c r="G26" s="86">
        <v>-3.5000000000000003E-2</v>
      </c>
      <c r="H26" s="87" t="s">
        <v>46</v>
      </c>
      <c r="I26" s="88"/>
      <c r="J26" s="89">
        <v>3.13</v>
      </c>
      <c r="K26" s="89">
        <v>3.0649999999999999</v>
      </c>
      <c r="L26" s="112">
        <v>3.1255000000000002</v>
      </c>
      <c r="M26" s="112">
        <v>3.0702500000000001</v>
      </c>
      <c r="N26" s="112"/>
      <c r="O26" s="112"/>
      <c r="P26" s="90"/>
      <c r="Q26" s="91">
        <f t="shared" si="0"/>
        <v>0</v>
      </c>
      <c r="R26" s="91">
        <f t="shared" si="1"/>
        <v>0</v>
      </c>
      <c r="S26" s="91">
        <f t="shared" si="2"/>
        <v>0</v>
      </c>
      <c r="T26" s="92">
        <f t="shared" si="3"/>
        <v>0</v>
      </c>
      <c r="U26" s="93" t="str">
        <f t="shared" si="4"/>
        <v/>
      </c>
      <c r="V26" s="94" t="str">
        <f>IF(OR($AM26="",ISNUMBER($AM26)=FALSE),"",IF(AND(#REF!="Tolerance",$E26&lt;&gt;""),($S26-$E26)/(($J26-$K26)/2),IF(AND(#REF!="GD&amp;T",$F26&lt;&gt;""),$S26/$F26,"")))</f>
        <v/>
      </c>
      <c r="W26" s="94" t="str">
        <f t="shared" si="10"/>
        <v/>
      </c>
      <c r="X26" s="93" t="str">
        <f t="shared" si="5"/>
        <v/>
      </c>
      <c r="Y26" s="93" t="str">
        <f t="shared" si="6"/>
        <v/>
      </c>
      <c r="Z26" s="93" t="str">
        <f t="shared" si="7"/>
        <v/>
      </c>
      <c r="AA26" s="32" t="str">
        <f t="shared" si="8"/>
        <v/>
      </c>
      <c r="AB26" s="33"/>
      <c r="AC26" s="33"/>
      <c r="AD26" s="33"/>
      <c r="AE26" s="33"/>
      <c r="AF26" s="95"/>
      <c r="AG26" s="96" t="str">
        <f t="shared" si="12"/>
        <v/>
      </c>
      <c r="AH26" s="115"/>
      <c r="AI26" s="97"/>
      <c r="AJ26" s="97"/>
      <c r="AK26" s="98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99"/>
      <c r="BF26" s="99"/>
      <c r="BG26" s="99"/>
      <c r="BH26" s="99"/>
      <c r="BI26" s="99"/>
      <c r="BJ26" s="99"/>
      <c r="BK26" s="99"/>
      <c r="BL26" s="99"/>
      <c r="BM26" s="99"/>
      <c r="BN26" s="99"/>
      <c r="BO26" s="99"/>
      <c r="BP26" s="99"/>
      <c r="BQ26" s="99"/>
      <c r="BR26" s="99"/>
    </row>
    <row r="27" spans="2:70" ht="19.149999999999999" customHeight="1">
      <c r="B27" s="83" t="s">
        <v>205</v>
      </c>
      <c r="C27" s="35" t="s">
        <v>141</v>
      </c>
      <c r="D27" s="84" t="s">
        <v>47</v>
      </c>
      <c r="E27" s="85"/>
      <c r="F27" s="86">
        <v>3.5000000000000003E-2</v>
      </c>
      <c r="G27" s="86" t="s">
        <v>313</v>
      </c>
      <c r="H27" s="87" t="s">
        <v>46</v>
      </c>
      <c r="I27" s="88"/>
      <c r="J27" s="89">
        <v>3.5000000000000003E-2</v>
      </c>
      <c r="K27" s="89" t="s">
        <v>313</v>
      </c>
      <c r="L27" s="112">
        <v>2.9750000000000002E-2</v>
      </c>
      <c r="M27" s="112">
        <v>0</v>
      </c>
      <c r="N27" s="112">
        <v>2.1000000000000001E-2</v>
      </c>
      <c r="O27" s="112">
        <v>0</v>
      </c>
      <c r="P27" s="90"/>
      <c r="Q27" s="91">
        <f t="shared" si="0"/>
        <v>0</v>
      </c>
      <c r="R27" s="91">
        <f t="shared" si="1"/>
        <v>0</v>
      </c>
      <c r="S27" s="91">
        <f t="shared" si="2"/>
        <v>0</v>
      </c>
      <c r="T27" s="92">
        <f t="shared" si="3"/>
        <v>0</v>
      </c>
      <c r="U27" s="93" t="str">
        <f t="shared" si="4"/>
        <v/>
      </c>
      <c r="V27" s="94" t="str">
        <f>IF(OR($AM27="",ISNUMBER($AM27)=FALSE),"",IF(AND(#REF!="Tolerance",$E27&lt;&gt;""),($S27-$E27)/(($J27-$K27)/2),IF(AND(#REF!="GD&amp;T",$F27&lt;&gt;""),$S27/$F27,"")))</f>
        <v/>
      </c>
      <c r="W27" s="94" t="str">
        <f t="shared" si="10"/>
        <v/>
      </c>
      <c r="X27" s="93" t="str">
        <f t="shared" si="5"/>
        <v/>
      </c>
      <c r="Y27" s="93" t="str">
        <f t="shared" si="6"/>
        <v/>
      </c>
      <c r="Z27" s="93" t="str">
        <f t="shared" si="7"/>
        <v/>
      </c>
      <c r="AA27" s="32" t="str">
        <f t="shared" si="8"/>
        <v/>
      </c>
      <c r="AB27" s="33"/>
      <c r="AC27" s="33"/>
      <c r="AD27" s="33"/>
      <c r="AE27" s="33"/>
      <c r="AF27" s="95"/>
      <c r="AG27" s="96" t="str">
        <f t="shared" si="12"/>
        <v/>
      </c>
      <c r="AH27" s="115"/>
      <c r="AI27" s="97"/>
      <c r="AJ27" s="97"/>
      <c r="AK27" s="98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99"/>
      <c r="BF27" s="99"/>
      <c r="BG27" s="99"/>
      <c r="BH27" s="99"/>
      <c r="BI27" s="99"/>
      <c r="BJ27" s="99"/>
      <c r="BK27" s="99"/>
      <c r="BL27" s="99"/>
      <c r="BM27" s="99"/>
      <c r="BN27" s="99"/>
      <c r="BO27" s="99"/>
      <c r="BP27" s="99"/>
      <c r="BQ27" s="99"/>
      <c r="BR27" s="99"/>
    </row>
    <row r="28" spans="2:70" ht="19.149999999999999" customHeight="1">
      <c r="B28" s="83" t="s">
        <v>206</v>
      </c>
      <c r="C28" s="35" t="s">
        <v>142</v>
      </c>
      <c r="D28" s="84" t="s">
        <v>45</v>
      </c>
      <c r="E28" s="85">
        <v>0.52</v>
      </c>
      <c r="F28" s="86">
        <v>0.03</v>
      </c>
      <c r="G28" s="86">
        <v>-0.03</v>
      </c>
      <c r="H28" s="87" t="s">
        <v>46</v>
      </c>
      <c r="I28" s="88"/>
      <c r="J28" s="89">
        <v>0.55000000000000004</v>
      </c>
      <c r="K28" s="89">
        <v>0.49</v>
      </c>
      <c r="L28" s="112">
        <v>0.54549999999999998</v>
      </c>
      <c r="M28" s="112">
        <v>0.4945</v>
      </c>
      <c r="N28" s="112"/>
      <c r="O28" s="112"/>
      <c r="P28" s="90"/>
      <c r="Q28" s="91">
        <f t="shared" si="0"/>
        <v>0</v>
      </c>
      <c r="R28" s="91">
        <f t="shared" si="1"/>
        <v>0</v>
      </c>
      <c r="S28" s="91">
        <f t="shared" si="2"/>
        <v>0</v>
      </c>
      <c r="T28" s="92">
        <f t="shared" si="3"/>
        <v>0</v>
      </c>
      <c r="U28" s="93" t="str">
        <f t="shared" si="4"/>
        <v/>
      </c>
      <c r="V28" s="94" t="str">
        <f>IF(OR($AM28="",ISNUMBER($AM28)=FALSE),"",IF(AND(#REF!="Tolerance",$E28&lt;&gt;""),($S28-$E28)/(($J28-$K28)/2),IF(AND(#REF!="GD&amp;T",$F28&lt;&gt;""),$S28/$F28,"")))</f>
        <v/>
      </c>
      <c r="W28" s="94" t="str">
        <f t="shared" si="10"/>
        <v/>
      </c>
      <c r="X28" s="93" t="str">
        <f t="shared" si="5"/>
        <v/>
      </c>
      <c r="Y28" s="93" t="str">
        <f t="shared" si="6"/>
        <v/>
      </c>
      <c r="Z28" s="93" t="str">
        <f t="shared" si="7"/>
        <v/>
      </c>
      <c r="AA28" s="32" t="str">
        <f t="shared" si="8"/>
        <v/>
      </c>
      <c r="AB28" s="33"/>
      <c r="AC28" s="33"/>
      <c r="AD28" s="33"/>
      <c r="AE28" s="33"/>
      <c r="AF28" s="95"/>
      <c r="AG28" s="96" t="str">
        <f t="shared" si="12"/>
        <v/>
      </c>
      <c r="AH28" s="115"/>
      <c r="AI28" s="97"/>
      <c r="AJ28" s="97"/>
      <c r="AK28" s="98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99"/>
      <c r="BF28" s="99"/>
      <c r="BG28" s="99"/>
      <c r="BH28" s="99"/>
      <c r="BI28" s="99"/>
      <c r="BJ28" s="99"/>
      <c r="BK28" s="99"/>
      <c r="BL28" s="99"/>
      <c r="BM28" s="99"/>
      <c r="BN28" s="99"/>
      <c r="BO28" s="99"/>
      <c r="BP28" s="99"/>
      <c r="BQ28" s="99"/>
      <c r="BR28" s="99"/>
    </row>
    <row r="29" spans="2:70" ht="19.149999999999999" customHeight="1">
      <c r="B29" s="83" t="s">
        <v>207</v>
      </c>
      <c r="C29" s="35" t="s">
        <v>143</v>
      </c>
      <c r="D29" s="84" t="s">
        <v>45</v>
      </c>
      <c r="E29" s="85">
        <v>0.52</v>
      </c>
      <c r="F29" s="86">
        <v>0.03</v>
      </c>
      <c r="G29" s="86">
        <v>-0.03</v>
      </c>
      <c r="H29" s="87" t="s">
        <v>46</v>
      </c>
      <c r="I29" s="88"/>
      <c r="J29" s="89">
        <v>0.55000000000000004</v>
      </c>
      <c r="K29" s="89">
        <v>0.49</v>
      </c>
      <c r="L29" s="112">
        <v>0.54549999999999998</v>
      </c>
      <c r="M29" s="112">
        <v>0.4945</v>
      </c>
      <c r="N29" s="112"/>
      <c r="O29" s="112"/>
      <c r="P29" s="90"/>
      <c r="Q29" s="91">
        <f t="shared" si="0"/>
        <v>0</v>
      </c>
      <c r="R29" s="91">
        <f t="shared" si="1"/>
        <v>0</v>
      </c>
      <c r="S29" s="91">
        <f t="shared" si="2"/>
        <v>0</v>
      </c>
      <c r="T29" s="92">
        <f t="shared" si="3"/>
        <v>0</v>
      </c>
      <c r="U29" s="93" t="str">
        <f t="shared" si="4"/>
        <v/>
      </c>
      <c r="V29" s="94" t="str">
        <f>IF(OR($AM29="",ISNUMBER($AM29)=FALSE),"",IF(AND(#REF!="Tolerance",$E29&lt;&gt;""),($S29-$E29)/(($J29-$K29)/2),IF(AND(#REF!="GD&amp;T",$F29&lt;&gt;""),$S29/$F29,"")))</f>
        <v/>
      </c>
      <c r="W29" s="94" t="str">
        <f t="shared" si="10"/>
        <v/>
      </c>
      <c r="X29" s="93" t="str">
        <f t="shared" si="5"/>
        <v/>
      </c>
      <c r="Y29" s="93" t="str">
        <f t="shared" si="6"/>
        <v/>
      </c>
      <c r="Z29" s="93" t="str">
        <f t="shared" si="7"/>
        <v/>
      </c>
      <c r="AA29" s="32" t="str">
        <f t="shared" si="8"/>
        <v/>
      </c>
      <c r="AB29" s="33"/>
      <c r="AC29" s="33"/>
      <c r="AD29" s="33"/>
      <c r="AE29" s="33"/>
      <c r="AF29" s="95"/>
      <c r="AG29" s="96" t="str">
        <f t="shared" si="12"/>
        <v/>
      </c>
      <c r="AH29" s="115"/>
      <c r="AI29" s="97"/>
      <c r="AJ29" s="97"/>
      <c r="AK29" s="98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99"/>
      <c r="BF29" s="99"/>
      <c r="BG29" s="99"/>
      <c r="BH29" s="99"/>
      <c r="BI29" s="99"/>
      <c r="BJ29" s="99"/>
      <c r="BK29" s="99"/>
      <c r="BL29" s="99"/>
      <c r="BM29" s="99"/>
      <c r="BN29" s="99"/>
      <c r="BO29" s="99"/>
      <c r="BP29" s="99"/>
      <c r="BQ29" s="99"/>
      <c r="BR29" s="99"/>
    </row>
    <row r="30" spans="2:70" ht="19.149999999999999" customHeight="1">
      <c r="B30" s="83" t="s">
        <v>208</v>
      </c>
      <c r="C30" s="35" t="s">
        <v>144</v>
      </c>
      <c r="D30" s="84" t="s">
        <v>45</v>
      </c>
      <c r="E30" s="85">
        <v>0.52</v>
      </c>
      <c r="F30" s="86">
        <v>0.03</v>
      </c>
      <c r="G30" s="86">
        <v>-0.03</v>
      </c>
      <c r="H30" s="87" t="s">
        <v>46</v>
      </c>
      <c r="I30" s="88"/>
      <c r="J30" s="89">
        <v>0.55000000000000004</v>
      </c>
      <c r="K30" s="89">
        <v>0.49</v>
      </c>
      <c r="L30" s="112">
        <v>0.54549999999999998</v>
      </c>
      <c r="M30" s="112">
        <v>0.4945</v>
      </c>
      <c r="N30" s="112"/>
      <c r="O30" s="112"/>
      <c r="P30" s="90"/>
      <c r="Q30" s="91">
        <f t="shared" si="0"/>
        <v>0</v>
      </c>
      <c r="R30" s="91">
        <f t="shared" si="1"/>
        <v>0</v>
      </c>
      <c r="S30" s="91">
        <f t="shared" si="2"/>
        <v>0</v>
      </c>
      <c r="T30" s="92">
        <f t="shared" si="3"/>
        <v>0</v>
      </c>
      <c r="U30" s="93" t="str">
        <f t="shared" si="4"/>
        <v/>
      </c>
      <c r="V30" s="94" t="str">
        <f>IF(OR($AM30="",ISNUMBER($AM30)=FALSE),"",IF(AND(#REF!="Tolerance",$E30&lt;&gt;""),($S30-$E30)/(($J30-$K30)/2),IF(AND(#REF!="GD&amp;T",$F30&lt;&gt;""),$S30/$F30,"")))</f>
        <v/>
      </c>
      <c r="W30" s="94" t="str">
        <f t="shared" si="10"/>
        <v/>
      </c>
      <c r="X30" s="93" t="str">
        <f t="shared" si="5"/>
        <v/>
      </c>
      <c r="Y30" s="93" t="str">
        <f t="shared" si="6"/>
        <v/>
      </c>
      <c r="Z30" s="93" t="str">
        <f t="shared" si="7"/>
        <v/>
      </c>
      <c r="AA30" s="32" t="str">
        <f t="shared" si="8"/>
        <v/>
      </c>
      <c r="AB30" s="33" t="e">
        <f>IF($S30="","",IF(#REF!="Tolerance",IF((#REF!*3*T30+S30)-E30&lt;F30,"",(#REF!*3*T30+S30)-E30),IF(OR(#REF!="GD&amp;T",#REF!="MAX"),IF((#REF!*3*T30+S30)&lt;F30,"",(#REF!*3*T30+S30)),"")))</f>
        <v>#REF!</v>
      </c>
      <c r="AC30" s="33" t="e">
        <f>IF(S30="","",IF(#REF!="Tolerance",IF(-((#REF!*3*T30)-S30)-E30&gt;G30,"",-((#REF!*3*T30)-S30)-E30),IF(#REF!="MIN",IF(-((#REF!*3*T30)-S30)&gt;G30,"",-((#REF!*3*T30)-S30)),"")))</f>
        <v>#REF!</v>
      </c>
      <c r="AD30" s="33">
        <f t="shared" si="11"/>
        <v>0.52</v>
      </c>
      <c r="AE30" s="33" t="str">
        <f t="shared" si="9"/>
        <v/>
      </c>
      <c r="AF30" s="95"/>
      <c r="AG30" s="96" t="str">
        <f t="shared" si="12"/>
        <v/>
      </c>
      <c r="AH30" s="115"/>
      <c r="AI30" s="97"/>
      <c r="AJ30" s="97"/>
      <c r="AK30" s="98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99"/>
      <c r="BF30" s="99"/>
      <c r="BG30" s="99"/>
      <c r="BH30" s="99"/>
      <c r="BI30" s="99"/>
      <c r="BJ30" s="99"/>
      <c r="BK30" s="99"/>
      <c r="BL30" s="99"/>
      <c r="BM30" s="99"/>
      <c r="BN30" s="99"/>
      <c r="BO30" s="99"/>
      <c r="BP30" s="99"/>
      <c r="BQ30" s="99"/>
      <c r="BR30" s="99"/>
    </row>
    <row r="31" spans="2:70" ht="19.149999999999999" customHeight="1">
      <c r="B31" s="83" t="s">
        <v>209</v>
      </c>
      <c r="C31" s="35" t="s">
        <v>145</v>
      </c>
      <c r="D31" s="84" t="s">
        <v>45</v>
      </c>
      <c r="E31" s="85">
        <v>0.52</v>
      </c>
      <c r="F31" s="86">
        <v>0.03</v>
      </c>
      <c r="G31" s="86">
        <v>-0.03</v>
      </c>
      <c r="H31" s="87" t="s">
        <v>46</v>
      </c>
      <c r="I31" s="88"/>
      <c r="J31" s="89">
        <v>0.55000000000000004</v>
      </c>
      <c r="K31" s="89">
        <v>0.49</v>
      </c>
      <c r="L31" s="112">
        <v>0.54549999999999998</v>
      </c>
      <c r="M31" s="112">
        <v>0.4945</v>
      </c>
      <c r="N31" s="112"/>
      <c r="O31" s="112"/>
      <c r="P31" s="90"/>
      <c r="Q31" s="91">
        <f t="shared" si="0"/>
        <v>0</v>
      </c>
      <c r="R31" s="91">
        <f t="shared" si="1"/>
        <v>0</v>
      </c>
      <c r="S31" s="91">
        <f t="shared" si="2"/>
        <v>0</v>
      </c>
      <c r="T31" s="92">
        <f t="shared" si="3"/>
        <v>0</v>
      </c>
      <c r="U31" s="93" t="str">
        <f t="shared" si="4"/>
        <v/>
      </c>
      <c r="V31" s="94" t="str">
        <f>IF(OR($AM31="",ISNUMBER($AM31)=FALSE),"",IF(AND(#REF!="Tolerance",$E31&lt;&gt;""),($S31-$E31)/(($J31-$K31)/2),IF(AND(#REF!="GD&amp;T",$F31&lt;&gt;""),$S31/$F31,"")))</f>
        <v/>
      </c>
      <c r="W31" s="94" t="str">
        <f t="shared" si="10"/>
        <v/>
      </c>
      <c r="X31" s="93" t="str">
        <f t="shared" si="5"/>
        <v/>
      </c>
      <c r="Y31" s="93" t="str">
        <f t="shared" si="6"/>
        <v/>
      </c>
      <c r="Z31" s="93" t="str">
        <f t="shared" si="7"/>
        <v/>
      </c>
      <c r="AA31" s="32" t="str">
        <f t="shared" si="8"/>
        <v/>
      </c>
      <c r="AB31" s="33" t="e">
        <f>IF($S31="","",IF(#REF!="Tolerance",IF((#REF!*3*T31+S31)-E31&lt;F31,"",(#REF!*3*T31+S31)-E31),IF(OR(#REF!="GD&amp;T",#REF!="MAX"),IF((#REF!*3*T31+S31)&lt;F31,"",(#REF!*3*T31+S31)),"")))</f>
        <v>#REF!</v>
      </c>
      <c r="AC31" s="33" t="e">
        <f>IF(S31="","",IF(#REF!="Tolerance",IF(-((#REF!*3*T31)-S31)-E31&gt;G31,"",-((#REF!*3*T31)-S31)-E31),IF(#REF!="MIN",IF(-((#REF!*3*T31)-S31)&gt;G31,"",-((#REF!*3*T31)-S31)),"")))</f>
        <v>#REF!</v>
      </c>
      <c r="AD31" s="33">
        <f t="shared" si="11"/>
        <v>0.52</v>
      </c>
      <c r="AE31" s="33" t="str">
        <f t="shared" si="9"/>
        <v/>
      </c>
      <c r="AF31" s="95"/>
      <c r="AG31" s="96" t="str">
        <f t="shared" si="12"/>
        <v/>
      </c>
      <c r="AH31" s="115"/>
      <c r="AI31" s="97"/>
      <c r="AJ31" s="97"/>
      <c r="AK31" s="98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99"/>
      <c r="BF31" s="99"/>
      <c r="BG31" s="99"/>
      <c r="BH31" s="99"/>
      <c r="BI31" s="99"/>
      <c r="BJ31" s="99"/>
      <c r="BK31" s="99"/>
      <c r="BL31" s="99"/>
      <c r="BM31" s="99"/>
      <c r="BN31" s="99"/>
      <c r="BO31" s="99"/>
      <c r="BP31" s="99"/>
      <c r="BQ31" s="99"/>
      <c r="BR31" s="99"/>
    </row>
    <row r="32" spans="2:70" ht="19.149999999999999" customHeight="1">
      <c r="B32" s="83" t="s">
        <v>86</v>
      </c>
      <c r="C32" s="35" t="s">
        <v>146</v>
      </c>
      <c r="D32" s="84" t="s">
        <v>45</v>
      </c>
      <c r="E32" s="85">
        <v>3.23</v>
      </c>
      <c r="F32" s="86">
        <v>0.02</v>
      </c>
      <c r="G32" s="86">
        <v>-3.5000000000000003E-2</v>
      </c>
      <c r="H32" s="87" t="s">
        <v>46</v>
      </c>
      <c r="I32" s="88"/>
      <c r="J32" s="89">
        <v>3.25</v>
      </c>
      <c r="K32" s="89">
        <v>3.1949999999999998</v>
      </c>
      <c r="L32" s="112">
        <v>3.2469999999999999</v>
      </c>
      <c r="M32" s="112">
        <v>3.20025</v>
      </c>
      <c r="N32" s="112"/>
      <c r="O32" s="112"/>
      <c r="P32" s="90"/>
      <c r="Q32" s="91">
        <f t="shared" si="0"/>
        <v>0</v>
      </c>
      <c r="R32" s="91">
        <f t="shared" si="1"/>
        <v>0</v>
      </c>
      <c r="S32" s="91">
        <f t="shared" si="2"/>
        <v>0</v>
      </c>
      <c r="T32" s="92">
        <f t="shared" si="3"/>
        <v>0</v>
      </c>
      <c r="U32" s="93" t="str">
        <f t="shared" si="4"/>
        <v/>
      </c>
      <c r="V32" s="94" t="str">
        <f>IF(OR($AM32="",ISNUMBER($AM32)=FALSE),"",IF(AND(#REF!="Tolerance",$E32&lt;&gt;""),($S32-$E32)/(($J32-$K32)/2),IF(AND(#REF!="GD&amp;T",$F32&lt;&gt;""),$S32/$F32,"")))</f>
        <v/>
      </c>
      <c r="W32" s="94" t="str">
        <f t="shared" si="10"/>
        <v/>
      </c>
      <c r="X32" s="93" t="str">
        <f t="shared" si="5"/>
        <v/>
      </c>
      <c r="Y32" s="93" t="str">
        <f t="shared" si="6"/>
        <v/>
      </c>
      <c r="Z32" s="93" t="str">
        <f t="shared" si="7"/>
        <v/>
      </c>
      <c r="AA32" s="32" t="str">
        <f t="shared" si="8"/>
        <v/>
      </c>
      <c r="AB32" s="33" t="e">
        <f>IF($S32="","",IF(#REF!="Tolerance",IF((#REF!*3*T32+S32)-E32&lt;F32,"",(#REF!*3*T32+S32)-E32),IF(OR(#REF!="GD&amp;T",#REF!="MAX"),IF((#REF!*3*T32+S32)&lt;F32,"",(#REF!*3*T32+S32)),"")))</f>
        <v>#REF!</v>
      </c>
      <c r="AC32" s="33" t="e">
        <f>IF(S32="","",IF(#REF!="Tolerance",IF(-((#REF!*3*T32)-S32)-E32&gt;G32,"",-((#REF!*3*T32)-S32)-E32),IF(#REF!="MIN",IF(-((#REF!*3*T32)-S32)&gt;G32,"",-((#REF!*3*T32)-S32)),"")))</f>
        <v>#REF!</v>
      </c>
      <c r="AD32" s="33">
        <f t="shared" si="11"/>
        <v>3.2225000000000001</v>
      </c>
      <c r="AE32" s="33" t="str">
        <f t="shared" si="9"/>
        <v/>
      </c>
      <c r="AF32" s="95"/>
      <c r="AG32" s="96" t="str">
        <f t="shared" si="12"/>
        <v/>
      </c>
      <c r="AH32" s="115"/>
      <c r="AI32" s="97"/>
      <c r="AJ32" s="97"/>
      <c r="AK32" s="98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99"/>
      <c r="BL32" s="99"/>
      <c r="BM32" s="99"/>
      <c r="BN32" s="99"/>
      <c r="BO32" s="99"/>
      <c r="BP32" s="99"/>
      <c r="BQ32" s="99"/>
      <c r="BR32" s="99"/>
    </row>
    <row r="33" spans="2:70" ht="19.149999999999999" customHeight="1">
      <c r="B33" s="83" t="s">
        <v>86</v>
      </c>
      <c r="C33" s="35" t="s">
        <v>147</v>
      </c>
      <c r="D33" s="84" t="s">
        <v>45</v>
      </c>
      <c r="E33" s="85">
        <v>3.23</v>
      </c>
      <c r="F33" s="86">
        <v>0.02</v>
      </c>
      <c r="G33" s="86">
        <v>-3.5000000000000003E-2</v>
      </c>
      <c r="H33" s="87" t="s">
        <v>46</v>
      </c>
      <c r="I33" s="88"/>
      <c r="J33" s="89">
        <v>3.25</v>
      </c>
      <c r="K33" s="89">
        <v>3.1949999999999998</v>
      </c>
      <c r="L33" s="112">
        <v>3.2469999999999999</v>
      </c>
      <c r="M33" s="112">
        <v>3.20025</v>
      </c>
      <c r="N33" s="112"/>
      <c r="O33" s="112"/>
      <c r="P33" s="90"/>
      <c r="Q33" s="91">
        <f t="shared" si="0"/>
        <v>0</v>
      </c>
      <c r="R33" s="91">
        <f t="shared" si="1"/>
        <v>0</v>
      </c>
      <c r="S33" s="91">
        <f t="shared" si="2"/>
        <v>0</v>
      </c>
      <c r="T33" s="92">
        <f t="shared" si="3"/>
        <v>0</v>
      </c>
      <c r="U33" s="93" t="str">
        <f t="shared" si="4"/>
        <v/>
      </c>
      <c r="V33" s="94" t="str">
        <f>IF(OR($AM33="",ISNUMBER($AM33)=FALSE),"",IF(AND(#REF!="Tolerance",$E33&lt;&gt;""),($S33-$E33)/(($J33-$K33)/2),IF(AND(#REF!="GD&amp;T",$F33&lt;&gt;""),$S33/$F33,"")))</f>
        <v/>
      </c>
      <c r="W33" s="94" t="str">
        <f t="shared" si="10"/>
        <v/>
      </c>
      <c r="X33" s="93" t="str">
        <f t="shared" si="5"/>
        <v/>
      </c>
      <c r="Y33" s="93" t="str">
        <f t="shared" si="6"/>
        <v/>
      </c>
      <c r="Z33" s="93" t="str">
        <f t="shared" si="7"/>
        <v/>
      </c>
      <c r="AA33" s="32" t="str">
        <f t="shared" si="8"/>
        <v/>
      </c>
      <c r="AB33" s="33" t="e">
        <f>IF($S33="","",IF(#REF!="Tolerance",IF((#REF!*3*T33+S33)-E33&lt;F33,"",(#REF!*3*T33+S33)-E33),IF(OR(#REF!="GD&amp;T",#REF!="MAX"),IF((#REF!*3*T33+S33)&lt;F33,"",(#REF!*3*T33+S33)),"")))</f>
        <v>#REF!</v>
      </c>
      <c r="AC33" s="33" t="e">
        <f>IF(S33="","",IF(#REF!="Tolerance",IF(-((#REF!*3*T33)-S33)-E33&gt;G33,"",-((#REF!*3*T33)-S33)-E33),IF(#REF!="MIN",IF(-((#REF!*3*T33)-S33)&gt;G33,"",-((#REF!*3*T33)-S33)),"")))</f>
        <v>#REF!</v>
      </c>
      <c r="AD33" s="33">
        <f t="shared" si="11"/>
        <v>3.2225000000000001</v>
      </c>
      <c r="AE33" s="33" t="str">
        <f t="shared" si="9"/>
        <v/>
      </c>
      <c r="AF33" s="95"/>
      <c r="AG33" s="96" t="str">
        <f t="shared" si="12"/>
        <v/>
      </c>
      <c r="AH33" s="115"/>
      <c r="AI33" s="97"/>
      <c r="AJ33" s="97"/>
      <c r="AK33" s="98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99"/>
      <c r="BF33" s="99"/>
      <c r="BG33" s="99"/>
      <c r="BH33" s="99"/>
      <c r="BI33" s="99"/>
      <c r="BJ33" s="99"/>
      <c r="BK33" s="99"/>
      <c r="BL33" s="99"/>
      <c r="BM33" s="99"/>
      <c r="BN33" s="99"/>
      <c r="BO33" s="99"/>
      <c r="BP33" s="99"/>
      <c r="BQ33" s="99"/>
      <c r="BR33" s="99"/>
    </row>
    <row r="34" spans="2:70" ht="19.149999999999999" customHeight="1">
      <c r="B34" s="83" t="s">
        <v>210</v>
      </c>
      <c r="C34" s="35" t="s">
        <v>148</v>
      </c>
      <c r="D34" s="84" t="s">
        <v>45</v>
      </c>
      <c r="E34" s="85">
        <v>14.263999999999999</v>
      </c>
      <c r="F34" s="86">
        <v>0.03</v>
      </c>
      <c r="G34" s="86">
        <v>-0.03</v>
      </c>
      <c r="H34" s="87" t="s">
        <v>46</v>
      </c>
      <c r="I34" s="88"/>
      <c r="J34" s="89">
        <v>14.293999999999999</v>
      </c>
      <c r="K34" s="89">
        <v>14.234</v>
      </c>
      <c r="L34" s="112">
        <v>14.289499999999999</v>
      </c>
      <c r="M34" s="112">
        <v>14.2385</v>
      </c>
      <c r="N34" s="112"/>
      <c r="O34" s="112"/>
      <c r="P34" s="90"/>
      <c r="Q34" s="91">
        <f t="shared" si="0"/>
        <v>0</v>
      </c>
      <c r="R34" s="91">
        <f t="shared" si="1"/>
        <v>0</v>
      </c>
      <c r="S34" s="91">
        <f t="shared" si="2"/>
        <v>0</v>
      </c>
      <c r="T34" s="92">
        <f t="shared" si="3"/>
        <v>0</v>
      </c>
      <c r="U34" s="93" t="str">
        <f t="shared" si="4"/>
        <v/>
      </c>
      <c r="V34" s="94" t="str">
        <f>IF(OR($AM34="",ISNUMBER($AM34)=FALSE),"",IF(AND(#REF!="Tolerance",$E34&lt;&gt;""),($S34-$E34)/(($J34-$K34)/2),IF(AND(#REF!="GD&amp;T",$F34&lt;&gt;""),$S34/$F34,"")))</f>
        <v/>
      </c>
      <c r="W34" s="94" t="str">
        <f t="shared" si="10"/>
        <v/>
      </c>
      <c r="X34" s="93" t="str">
        <f t="shared" si="5"/>
        <v/>
      </c>
      <c r="Y34" s="93" t="str">
        <f t="shared" si="6"/>
        <v/>
      </c>
      <c r="Z34" s="93" t="str">
        <f t="shared" si="7"/>
        <v/>
      </c>
      <c r="AA34" s="32" t="str">
        <f t="shared" si="8"/>
        <v/>
      </c>
      <c r="AB34" s="33" t="e">
        <f>IF($S34="","",IF(#REF!="Tolerance",IF((#REF!*3*T34+S34)-E34&lt;F34,"",(#REF!*3*T34+S34)-E34),IF(OR(#REF!="GD&amp;T",#REF!="MAX"),IF((#REF!*3*T34+S34)&lt;F34,"",(#REF!*3*T34+S34)),"")))</f>
        <v>#REF!</v>
      </c>
      <c r="AC34" s="33" t="e">
        <f>IF(S34="","",IF(#REF!="Tolerance",IF(-((#REF!*3*T34)-S34)-E34&gt;G34,"",-((#REF!*3*T34)-S34)-E34),IF(#REF!="MIN",IF(-((#REF!*3*T34)-S34)&gt;G34,"",-((#REF!*3*T34)-S34)),"")))</f>
        <v>#REF!</v>
      </c>
      <c r="AD34" s="33">
        <f t="shared" si="11"/>
        <v>14.263999999999999</v>
      </c>
      <c r="AE34" s="33" t="str">
        <f t="shared" si="9"/>
        <v/>
      </c>
      <c r="AF34" s="95"/>
      <c r="AG34" s="96" t="str">
        <f t="shared" si="12"/>
        <v/>
      </c>
      <c r="AH34" s="115"/>
      <c r="AI34" s="97"/>
      <c r="AJ34" s="97"/>
      <c r="AK34" s="98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99"/>
      <c r="BK34" s="99"/>
      <c r="BL34" s="99"/>
      <c r="BM34" s="99"/>
      <c r="BN34" s="99"/>
      <c r="BO34" s="99"/>
      <c r="BP34" s="99"/>
      <c r="BQ34" s="99"/>
      <c r="BR34" s="99"/>
    </row>
    <row r="35" spans="2:70" ht="19.149999999999999" customHeight="1">
      <c r="B35" s="83" t="s">
        <v>211</v>
      </c>
      <c r="C35" s="35" t="s">
        <v>149</v>
      </c>
      <c r="D35" s="84" t="s">
        <v>45</v>
      </c>
      <c r="E35" s="85">
        <v>14.263999999999999</v>
      </c>
      <c r="F35" s="86">
        <v>0.03</v>
      </c>
      <c r="G35" s="86">
        <v>-0.03</v>
      </c>
      <c r="H35" s="87" t="s">
        <v>46</v>
      </c>
      <c r="I35" s="88"/>
      <c r="J35" s="89">
        <v>14.293999999999999</v>
      </c>
      <c r="K35" s="89">
        <v>14.234</v>
      </c>
      <c r="L35" s="112">
        <v>14.289499999999999</v>
      </c>
      <c r="M35" s="112">
        <v>14.2385</v>
      </c>
      <c r="N35" s="112"/>
      <c r="O35" s="112"/>
      <c r="P35" s="90"/>
      <c r="Q35" s="91">
        <f t="shared" si="0"/>
        <v>0</v>
      </c>
      <c r="R35" s="91">
        <f t="shared" si="1"/>
        <v>0</v>
      </c>
      <c r="S35" s="91">
        <f t="shared" si="2"/>
        <v>0</v>
      </c>
      <c r="T35" s="92">
        <f t="shared" si="3"/>
        <v>0</v>
      </c>
      <c r="U35" s="93" t="str">
        <f t="shared" si="4"/>
        <v/>
      </c>
      <c r="V35" s="94" t="str">
        <f>IF(OR($AM35="",ISNUMBER($AM35)=FALSE),"",IF(AND(#REF!="Tolerance",$E35&lt;&gt;""),($S35-$E35)/(($J35-$K35)/2),IF(AND(#REF!="GD&amp;T",$F35&lt;&gt;""),$S35/$F35,"")))</f>
        <v/>
      </c>
      <c r="W35" s="94" t="str">
        <f t="shared" si="10"/>
        <v/>
      </c>
      <c r="X35" s="93" t="str">
        <f t="shared" si="5"/>
        <v/>
      </c>
      <c r="Y35" s="93" t="str">
        <f t="shared" si="6"/>
        <v/>
      </c>
      <c r="Z35" s="93" t="str">
        <f t="shared" si="7"/>
        <v/>
      </c>
      <c r="AA35" s="32" t="str">
        <f t="shared" si="8"/>
        <v/>
      </c>
      <c r="AB35" s="33" t="e">
        <f>IF($S35="","",IF(#REF!="Tolerance",IF((#REF!*3*T35+S35)-E35&lt;F35,"",(#REF!*3*T35+S35)-E35),IF(OR(#REF!="GD&amp;T",#REF!="MAX"),IF((#REF!*3*T35+S35)&lt;F35,"",(#REF!*3*T35+S35)),"")))</f>
        <v>#REF!</v>
      </c>
      <c r="AC35" s="33" t="e">
        <f>IF(S35="","",IF(#REF!="Tolerance",IF(-((#REF!*3*T35)-S35)-E35&gt;G35,"",-((#REF!*3*T35)-S35)-E35),IF(#REF!="MIN",IF(-((#REF!*3*T35)-S35)&gt;G35,"",-((#REF!*3*T35)-S35)),"")))</f>
        <v>#REF!</v>
      </c>
      <c r="AD35" s="33">
        <f t="shared" si="11"/>
        <v>14.263999999999999</v>
      </c>
      <c r="AE35" s="33" t="str">
        <f t="shared" si="9"/>
        <v/>
      </c>
      <c r="AF35" s="95"/>
      <c r="AG35" s="96" t="str">
        <f t="shared" si="12"/>
        <v/>
      </c>
      <c r="AH35" s="115"/>
      <c r="AI35" s="97"/>
      <c r="AJ35" s="97"/>
      <c r="AK35" s="98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99"/>
      <c r="BK35" s="99"/>
      <c r="BL35" s="99"/>
      <c r="BM35" s="99"/>
      <c r="BN35" s="99"/>
      <c r="BO35" s="99"/>
      <c r="BP35" s="99"/>
      <c r="BQ35" s="99"/>
      <c r="BR35" s="99"/>
    </row>
    <row r="36" spans="2:70" ht="19.149999999999999" customHeight="1">
      <c r="B36" s="83" t="s">
        <v>212</v>
      </c>
      <c r="C36" s="35" t="s">
        <v>150</v>
      </c>
      <c r="D36" s="84" t="s">
        <v>45</v>
      </c>
      <c r="E36" s="85">
        <v>1.84</v>
      </c>
      <c r="F36" s="86">
        <v>2.5000000000000001E-2</v>
      </c>
      <c r="G36" s="86">
        <v>-0.02</v>
      </c>
      <c r="H36" s="87" t="s">
        <v>46</v>
      </c>
      <c r="I36" s="88"/>
      <c r="J36" s="89">
        <v>1.865</v>
      </c>
      <c r="K36" s="89">
        <v>1.82</v>
      </c>
      <c r="L36" s="112">
        <v>1.8612500000000001</v>
      </c>
      <c r="M36" s="112">
        <v>1.8230000000000002</v>
      </c>
      <c r="N36" s="112"/>
      <c r="O36" s="112"/>
      <c r="P36" s="90"/>
      <c r="Q36" s="91">
        <f t="shared" si="0"/>
        <v>0</v>
      </c>
      <c r="R36" s="91">
        <f t="shared" si="1"/>
        <v>0</v>
      </c>
      <c r="S36" s="91">
        <f t="shared" si="2"/>
        <v>0</v>
      </c>
      <c r="T36" s="92">
        <f t="shared" si="3"/>
        <v>0</v>
      </c>
      <c r="U36" s="93" t="str">
        <f t="shared" si="4"/>
        <v/>
      </c>
      <c r="V36" s="94" t="str">
        <f>IF(OR($AM36="",ISNUMBER($AM36)=FALSE),"",IF(AND(#REF!="Tolerance",$E36&lt;&gt;""),($S36-$E36)/(($J36-$K36)/2),IF(AND(#REF!="GD&amp;T",$F36&lt;&gt;""),$S36/$F36,"")))</f>
        <v/>
      </c>
      <c r="W36" s="94" t="str">
        <f t="shared" si="10"/>
        <v/>
      </c>
      <c r="X36" s="93" t="str">
        <f t="shared" si="5"/>
        <v/>
      </c>
      <c r="Y36" s="93" t="str">
        <f t="shared" si="6"/>
        <v/>
      </c>
      <c r="Z36" s="93" t="str">
        <f t="shared" si="7"/>
        <v/>
      </c>
      <c r="AA36" s="32" t="str">
        <f t="shared" si="8"/>
        <v/>
      </c>
      <c r="AB36" s="33" t="e">
        <f>IF($S36="","",IF(#REF!="Tolerance",IF((#REF!*3*T36+S36)-E36&lt;F36,"",(#REF!*3*T36+S36)-E36),IF(OR(#REF!="GD&amp;T",#REF!="MAX"),IF((#REF!*3*T36+S36)&lt;F36,"",(#REF!*3*T36+S36)),"")))</f>
        <v>#REF!</v>
      </c>
      <c r="AC36" s="33" t="e">
        <f>IF(S36="","",IF(#REF!="Tolerance",IF(-((#REF!*3*T36)-S36)-E36&gt;G36,"",-((#REF!*3*T36)-S36)-E36),IF(#REF!="MIN",IF(-((#REF!*3*T36)-S36)&gt;G36,"",-((#REF!*3*T36)-S36)),"")))</f>
        <v>#REF!</v>
      </c>
      <c r="AD36" s="33">
        <f t="shared" si="11"/>
        <v>1.8425</v>
      </c>
      <c r="AE36" s="33" t="str">
        <f t="shared" si="9"/>
        <v/>
      </c>
      <c r="AF36" s="95"/>
      <c r="AG36" s="96" t="str">
        <f t="shared" si="12"/>
        <v/>
      </c>
      <c r="AH36" s="115"/>
      <c r="AI36" s="97"/>
      <c r="AJ36" s="97"/>
      <c r="AK36" s="98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</row>
    <row r="37" spans="2:70" ht="19.149999999999999" customHeight="1">
      <c r="B37" s="83" t="s">
        <v>213</v>
      </c>
      <c r="C37" s="35" t="s">
        <v>151</v>
      </c>
      <c r="D37" s="84" t="s">
        <v>45</v>
      </c>
      <c r="E37" s="85">
        <v>1.84</v>
      </c>
      <c r="F37" s="86">
        <v>2.5000000000000001E-2</v>
      </c>
      <c r="G37" s="86">
        <v>-0.02</v>
      </c>
      <c r="H37" s="87" t="s">
        <v>46</v>
      </c>
      <c r="I37" s="88"/>
      <c r="J37" s="89">
        <v>1.865</v>
      </c>
      <c r="K37" s="89">
        <v>1.82</v>
      </c>
      <c r="L37" s="112">
        <v>1.8612500000000001</v>
      </c>
      <c r="M37" s="112">
        <v>1.8230000000000002</v>
      </c>
      <c r="N37" s="112"/>
      <c r="O37" s="112"/>
      <c r="P37" s="90"/>
      <c r="Q37" s="91">
        <f t="shared" si="0"/>
        <v>0</v>
      </c>
      <c r="R37" s="91">
        <f t="shared" si="1"/>
        <v>0</v>
      </c>
      <c r="S37" s="91">
        <f t="shared" si="2"/>
        <v>0</v>
      </c>
      <c r="T37" s="92">
        <f t="shared" si="3"/>
        <v>0</v>
      </c>
      <c r="U37" s="93" t="str">
        <f t="shared" si="4"/>
        <v/>
      </c>
      <c r="V37" s="94" t="str">
        <f>IF(OR($AM37="",ISNUMBER($AM37)=FALSE),"",IF(AND(#REF!="Tolerance",$E37&lt;&gt;""),($S37-$E37)/(($J37-$K37)/2),IF(AND(#REF!="GD&amp;T",$F37&lt;&gt;""),$S37/$F37,"")))</f>
        <v/>
      </c>
      <c r="W37" s="94" t="str">
        <f t="shared" si="10"/>
        <v/>
      </c>
      <c r="X37" s="93" t="str">
        <f t="shared" si="5"/>
        <v/>
      </c>
      <c r="Y37" s="93" t="str">
        <f t="shared" si="6"/>
        <v/>
      </c>
      <c r="Z37" s="93" t="str">
        <f t="shared" si="7"/>
        <v/>
      </c>
      <c r="AA37" s="32" t="str">
        <f t="shared" si="8"/>
        <v/>
      </c>
      <c r="AB37" s="33" t="e">
        <f>IF($S37="","",IF(#REF!="Tolerance",IF((#REF!*3*T37+S37)-E37&lt;F37,"",(#REF!*3*T37+S37)-E37),IF(OR(#REF!="GD&amp;T",#REF!="MAX"),IF((#REF!*3*T37+S37)&lt;F37,"",(#REF!*3*T37+S37)),"")))</f>
        <v>#REF!</v>
      </c>
      <c r="AC37" s="33" t="e">
        <f>IF(S37="","",IF(#REF!="Tolerance",IF(-((#REF!*3*T37)-S37)-E37&gt;G37,"",-((#REF!*3*T37)-S37)-E37),IF(#REF!="MIN",IF(-((#REF!*3*T37)-S37)&gt;G37,"",-((#REF!*3*T37)-S37)),"")))</f>
        <v>#REF!</v>
      </c>
      <c r="AD37" s="33">
        <f t="shared" si="11"/>
        <v>1.8425</v>
      </c>
      <c r="AE37" s="33" t="str">
        <f t="shared" si="9"/>
        <v/>
      </c>
      <c r="AF37" s="95"/>
      <c r="AG37" s="96" t="str">
        <f t="shared" si="12"/>
        <v/>
      </c>
      <c r="AH37" s="115"/>
      <c r="AI37" s="97"/>
      <c r="AJ37" s="97"/>
      <c r="AK37" s="98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99"/>
      <c r="BK37" s="99"/>
      <c r="BL37" s="99"/>
      <c r="BM37" s="99"/>
      <c r="BN37" s="99"/>
      <c r="BO37" s="99"/>
      <c r="BP37" s="99"/>
      <c r="BQ37" s="99"/>
      <c r="BR37" s="99"/>
    </row>
    <row r="38" spans="2:70" ht="19.149999999999999" customHeight="1">
      <c r="B38" s="83" t="s">
        <v>214</v>
      </c>
      <c r="C38" s="35" t="s">
        <v>152</v>
      </c>
      <c r="D38" s="84" t="s">
        <v>45</v>
      </c>
      <c r="E38" s="85">
        <v>1.84</v>
      </c>
      <c r="F38" s="86">
        <v>2.5000000000000001E-2</v>
      </c>
      <c r="G38" s="86">
        <v>-0.02</v>
      </c>
      <c r="H38" s="87" t="s">
        <v>46</v>
      </c>
      <c r="I38" s="88"/>
      <c r="J38" s="89">
        <v>1.865</v>
      </c>
      <c r="K38" s="89">
        <v>1.82</v>
      </c>
      <c r="L38" s="112">
        <v>1.8612500000000001</v>
      </c>
      <c r="M38" s="112">
        <v>1.8230000000000002</v>
      </c>
      <c r="N38" s="112"/>
      <c r="O38" s="112"/>
      <c r="P38" s="90"/>
      <c r="Q38" s="91">
        <f t="shared" si="0"/>
        <v>0</v>
      </c>
      <c r="R38" s="91">
        <f t="shared" si="1"/>
        <v>0</v>
      </c>
      <c r="S38" s="91">
        <f t="shared" si="2"/>
        <v>0</v>
      </c>
      <c r="T38" s="92">
        <f t="shared" si="3"/>
        <v>0</v>
      </c>
      <c r="U38" s="93" t="str">
        <f t="shared" si="4"/>
        <v/>
      </c>
      <c r="V38" s="94" t="str">
        <f>IF(OR($AM38="",ISNUMBER($AM38)=FALSE),"",IF(AND(#REF!="Tolerance",$E38&lt;&gt;""),($S38-$E38)/(($J38-$K38)/2),IF(AND(#REF!="GD&amp;T",$F38&lt;&gt;""),$S38/$F38,"")))</f>
        <v/>
      </c>
      <c r="W38" s="94" t="str">
        <f t="shared" si="10"/>
        <v/>
      </c>
      <c r="X38" s="93" t="str">
        <f t="shared" si="5"/>
        <v/>
      </c>
      <c r="Y38" s="93" t="str">
        <f t="shared" si="6"/>
        <v/>
      </c>
      <c r="Z38" s="93" t="str">
        <f t="shared" si="7"/>
        <v/>
      </c>
      <c r="AA38" s="32" t="str">
        <f t="shared" si="8"/>
        <v/>
      </c>
      <c r="AB38" s="33" t="e">
        <f>IF($S38="","",IF(#REF!="Tolerance",IF((#REF!*3*T38+S38)-E38&lt;F38,"",(#REF!*3*T38+S38)-E38),IF(OR(#REF!="GD&amp;T",#REF!="MAX"),IF((#REF!*3*T38+S38)&lt;F38,"",(#REF!*3*T38+S38)),"")))</f>
        <v>#REF!</v>
      </c>
      <c r="AC38" s="33" t="e">
        <f>IF(S38="","",IF(#REF!="Tolerance",IF(-((#REF!*3*T38)-S38)-E38&gt;G38,"",-((#REF!*3*T38)-S38)-E38),IF(#REF!="MIN",IF(-((#REF!*3*T38)-S38)&gt;G38,"",-((#REF!*3*T38)-S38)),"")))</f>
        <v>#REF!</v>
      </c>
      <c r="AD38" s="33">
        <f t="shared" si="11"/>
        <v>1.8425</v>
      </c>
      <c r="AE38" s="33" t="str">
        <f t="shared" si="9"/>
        <v/>
      </c>
      <c r="AF38" s="95"/>
      <c r="AG38" s="96" t="str">
        <f t="shared" si="12"/>
        <v/>
      </c>
      <c r="AH38" s="115"/>
      <c r="AI38" s="97"/>
      <c r="AJ38" s="97"/>
      <c r="AK38" s="98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  <c r="BR38" s="99"/>
    </row>
    <row r="39" spans="2:70" ht="19.149999999999999" customHeight="1">
      <c r="B39" s="83" t="s">
        <v>215</v>
      </c>
      <c r="C39" s="35" t="s">
        <v>153</v>
      </c>
      <c r="D39" s="84" t="s">
        <v>45</v>
      </c>
      <c r="E39" s="85">
        <v>1.84</v>
      </c>
      <c r="F39" s="86">
        <v>2.5000000000000001E-2</v>
      </c>
      <c r="G39" s="86">
        <v>-0.02</v>
      </c>
      <c r="H39" s="87" t="s">
        <v>46</v>
      </c>
      <c r="I39" s="88"/>
      <c r="J39" s="89">
        <v>1.865</v>
      </c>
      <c r="K39" s="89">
        <v>1.82</v>
      </c>
      <c r="L39" s="112">
        <v>1.8612500000000001</v>
      </c>
      <c r="M39" s="112">
        <v>1.8230000000000002</v>
      </c>
      <c r="N39" s="112"/>
      <c r="O39" s="112"/>
      <c r="P39" s="90"/>
      <c r="Q39" s="91">
        <f t="shared" si="0"/>
        <v>0</v>
      </c>
      <c r="R39" s="91">
        <f t="shared" si="1"/>
        <v>0</v>
      </c>
      <c r="S39" s="91">
        <f t="shared" si="2"/>
        <v>0</v>
      </c>
      <c r="T39" s="92">
        <f t="shared" si="3"/>
        <v>0</v>
      </c>
      <c r="U39" s="93" t="str">
        <f t="shared" si="4"/>
        <v/>
      </c>
      <c r="V39" s="94" t="str">
        <f>IF(OR($AM39="",ISNUMBER($AM39)=FALSE),"",IF(AND(#REF!="Tolerance",$E39&lt;&gt;""),($S39-$E39)/(($J39-$K39)/2),IF(AND(#REF!="GD&amp;T",$F39&lt;&gt;""),$S39/$F39,"")))</f>
        <v/>
      </c>
      <c r="W39" s="94" t="str">
        <f t="shared" si="10"/>
        <v/>
      </c>
      <c r="X39" s="93" t="str">
        <f t="shared" si="5"/>
        <v/>
      </c>
      <c r="Y39" s="93" t="str">
        <f t="shared" si="6"/>
        <v/>
      </c>
      <c r="Z39" s="93" t="str">
        <f t="shared" si="7"/>
        <v/>
      </c>
      <c r="AA39" s="32" t="str">
        <f t="shared" si="8"/>
        <v/>
      </c>
      <c r="AB39" s="33" t="e">
        <f>IF($S39="","",IF(#REF!="Tolerance",IF((#REF!*3*T39+S39)-E39&lt;F39,"",(#REF!*3*T39+S39)-E39),IF(OR(#REF!="GD&amp;T",#REF!="MAX"),IF((#REF!*3*T39+S39)&lt;F39,"",(#REF!*3*T39+S39)),"")))</f>
        <v>#REF!</v>
      </c>
      <c r="AC39" s="33" t="e">
        <f>IF(S39="","",IF(#REF!="Tolerance",IF(-((#REF!*3*T39)-S39)-E39&gt;G39,"",-((#REF!*3*T39)-S39)-E39),IF(#REF!="MIN",IF(-((#REF!*3*T39)-S39)&gt;G39,"",-((#REF!*3*T39)-S39)),"")))</f>
        <v>#REF!</v>
      </c>
      <c r="AD39" s="33">
        <f t="shared" si="11"/>
        <v>1.8425</v>
      </c>
      <c r="AE39" s="33" t="str">
        <f t="shared" si="9"/>
        <v/>
      </c>
      <c r="AF39" s="95"/>
      <c r="AG39" s="96" t="str">
        <f t="shared" si="12"/>
        <v/>
      </c>
      <c r="AH39" s="115"/>
      <c r="AI39" s="97"/>
      <c r="AJ39" s="97"/>
      <c r="AK39" s="98"/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  <c r="BC39" s="99"/>
      <c r="BD39" s="99"/>
      <c r="BE39" s="99"/>
      <c r="BF39" s="99"/>
      <c r="BG39" s="99"/>
      <c r="BH39" s="99"/>
      <c r="BI39" s="99"/>
      <c r="BJ39" s="99"/>
      <c r="BK39" s="99"/>
      <c r="BL39" s="99"/>
      <c r="BM39" s="99"/>
      <c r="BN39" s="99"/>
      <c r="BO39" s="99"/>
      <c r="BP39" s="99"/>
      <c r="BQ39" s="99"/>
      <c r="BR39" s="99"/>
    </row>
    <row r="40" spans="2:70" ht="19.149999999999999" customHeight="1">
      <c r="B40" s="83" t="s">
        <v>113</v>
      </c>
      <c r="C40" s="35" t="s">
        <v>154</v>
      </c>
      <c r="D40" s="84" t="s">
        <v>45</v>
      </c>
      <c r="E40" s="85">
        <v>13.454000000000001</v>
      </c>
      <c r="F40" s="86">
        <v>0.03</v>
      </c>
      <c r="G40" s="86">
        <v>-0.03</v>
      </c>
      <c r="H40" s="87" t="s">
        <v>46</v>
      </c>
      <c r="I40" s="88"/>
      <c r="J40" s="89">
        <v>13.484</v>
      </c>
      <c r="K40" s="89">
        <v>13.424000000000001</v>
      </c>
      <c r="L40" s="112">
        <v>13.4795</v>
      </c>
      <c r="M40" s="112">
        <v>13.428500000000001</v>
      </c>
      <c r="N40" s="112"/>
      <c r="O40" s="112"/>
      <c r="P40" s="90"/>
      <c r="Q40" s="91">
        <f t="shared" si="0"/>
        <v>0</v>
      </c>
      <c r="R40" s="91">
        <f t="shared" si="1"/>
        <v>0</v>
      </c>
      <c r="S40" s="91">
        <f t="shared" si="2"/>
        <v>0</v>
      </c>
      <c r="T40" s="92">
        <f t="shared" si="3"/>
        <v>0</v>
      </c>
      <c r="U40" s="93" t="str">
        <f t="shared" si="4"/>
        <v/>
      </c>
      <c r="V40" s="94" t="str">
        <f>IF(OR($AM40="",ISNUMBER($AM40)=FALSE),"",IF(AND(#REF!="Tolerance",$E40&lt;&gt;""),($S40-$E40)/(($J40-$K40)/2),IF(AND(#REF!="GD&amp;T",$F40&lt;&gt;""),$S40/$F40,"")))</f>
        <v/>
      </c>
      <c r="W40" s="94" t="str">
        <f t="shared" si="10"/>
        <v/>
      </c>
      <c r="X40" s="93" t="str">
        <f t="shared" si="5"/>
        <v/>
      </c>
      <c r="Y40" s="93" t="str">
        <f t="shared" si="6"/>
        <v/>
      </c>
      <c r="Z40" s="93" t="str">
        <f t="shared" si="7"/>
        <v/>
      </c>
      <c r="AA40" s="32" t="str">
        <f t="shared" si="8"/>
        <v/>
      </c>
      <c r="AB40" s="33" t="e">
        <f>IF($S40="","",IF(#REF!="Tolerance",IF((#REF!*3*T40+S40)-E40&lt;F40,"",(#REF!*3*T40+S40)-E40),IF(OR(#REF!="GD&amp;T",#REF!="MAX"),IF((#REF!*3*T40+S40)&lt;F40,"",(#REF!*3*T40+S40)),"")))</f>
        <v>#REF!</v>
      </c>
      <c r="AC40" s="33" t="e">
        <f>IF(S40="","",IF(#REF!="Tolerance",IF(-((#REF!*3*T40)-S40)-E40&gt;G40,"",-((#REF!*3*T40)-S40)-E40),IF(#REF!="MIN",IF(-((#REF!*3*T40)-S40)&gt;G40,"",-((#REF!*3*T40)-S40)),"")))</f>
        <v>#REF!</v>
      </c>
      <c r="AD40" s="33">
        <f t="shared" si="11"/>
        <v>13.454000000000001</v>
      </c>
      <c r="AE40" s="33" t="str">
        <f t="shared" si="9"/>
        <v/>
      </c>
      <c r="AF40" s="95"/>
      <c r="AG40" s="96" t="str">
        <f t="shared" si="12"/>
        <v/>
      </c>
      <c r="AH40" s="115"/>
      <c r="AI40" s="97"/>
      <c r="AJ40" s="97"/>
      <c r="AK40" s="98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99"/>
      <c r="AX40" s="99"/>
      <c r="AY40" s="99"/>
      <c r="AZ40" s="99"/>
      <c r="BA40" s="99"/>
      <c r="BB40" s="99"/>
      <c r="BC40" s="99"/>
      <c r="BD40" s="99"/>
      <c r="BE40" s="99"/>
      <c r="BF40" s="99"/>
      <c r="BG40" s="99"/>
      <c r="BH40" s="99"/>
      <c r="BI40" s="99"/>
      <c r="BJ40" s="99"/>
      <c r="BK40" s="99"/>
      <c r="BL40" s="99"/>
      <c r="BM40" s="99"/>
      <c r="BN40" s="99"/>
      <c r="BO40" s="99"/>
      <c r="BP40" s="99"/>
      <c r="BQ40" s="99"/>
      <c r="BR40" s="99"/>
    </row>
    <row r="41" spans="2:70" ht="19.149999999999999" customHeight="1">
      <c r="B41" s="83" t="s">
        <v>112</v>
      </c>
      <c r="C41" s="35" t="s">
        <v>155</v>
      </c>
      <c r="D41" s="84" t="s">
        <v>45</v>
      </c>
      <c r="E41" s="85">
        <v>0.9</v>
      </c>
      <c r="F41" s="86">
        <v>0.02</v>
      </c>
      <c r="G41" s="86">
        <v>-0.02</v>
      </c>
      <c r="H41" s="87" t="s">
        <v>46</v>
      </c>
      <c r="I41" s="88"/>
      <c r="J41" s="89">
        <v>0.92</v>
      </c>
      <c r="K41" s="89">
        <v>0.88</v>
      </c>
      <c r="L41" s="112">
        <v>0.91700000000000004</v>
      </c>
      <c r="M41" s="112">
        <v>0.88300000000000001</v>
      </c>
      <c r="N41" s="112"/>
      <c r="O41" s="112"/>
      <c r="P41" s="90"/>
      <c r="Q41" s="91">
        <f t="shared" si="0"/>
        <v>0</v>
      </c>
      <c r="R41" s="91">
        <f t="shared" si="1"/>
        <v>0</v>
      </c>
      <c r="S41" s="91">
        <f t="shared" si="2"/>
        <v>0</v>
      </c>
      <c r="T41" s="92">
        <f t="shared" si="3"/>
        <v>0</v>
      </c>
      <c r="U41" s="93" t="str">
        <f t="shared" si="4"/>
        <v/>
      </c>
      <c r="V41" s="94" t="str">
        <f>IF(OR($AM41="",ISNUMBER($AM41)=FALSE),"",IF(AND(#REF!="Tolerance",$E41&lt;&gt;""),($S41-$E41)/(($J41-$K41)/2),IF(AND(#REF!="GD&amp;T",$F41&lt;&gt;""),$S41/$F41,"")))</f>
        <v/>
      </c>
      <c r="W41" s="94" t="str">
        <f t="shared" si="10"/>
        <v/>
      </c>
      <c r="X41" s="93" t="str">
        <f t="shared" si="5"/>
        <v/>
      </c>
      <c r="Y41" s="93" t="str">
        <f t="shared" si="6"/>
        <v/>
      </c>
      <c r="Z41" s="93" t="str">
        <f t="shared" si="7"/>
        <v/>
      </c>
      <c r="AA41" s="32" t="str">
        <f t="shared" si="8"/>
        <v/>
      </c>
      <c r="AB41" s="33" t="e">
        <f>IF($S41="","",IF(#REF!="Tolerance",IF((#REF!*3*T41+S41)-E41&lt;F41,"",(#REF!*3*T41+S41)-E41),IF(OR(#REF!="GD&amp;T",#REF!="MAX"),IF((#REF!*3*T41+S41)&lt;F41,"",(#REF!*3*T41+S41)),"")))</f>
        <v>#REF!</v>
      </c>
      <c r="AC41" s="33" t="e">
        <f>IF(S41="","",IF(#REF!="Tolerance",IF(-((#REF!*3*T41)-S41)-E41&gt;G41,"",-((#REF!*3*T41)-S41)-E41),IF(#REF!="MIN",IF(-((#REF!*3*T41)-S41)&gt;G41,"",-((#REF!*3*T41)-S41)),"")))</f>
        <v>#REF!</v>
      </c>
      <c r="AD41" s="33">
        <f t="shared" si="11"/>
        <v>0.9</v>
      </c>
      <c r="AE41" s="33" t="str">
        <f t="shared" si="9"/>
        <v/>
      </c>
      <c r="AF41" s="95"/>
      <c r="AG41" s="96" t="str">
        <f t="shared" si="12"/>
        <v/>
      </c>
      <c r="AH41" s="115"/>
      <c r="AI41" s="97"/>
      <c r="AJ41" s="97"/>
      <c r="AK41" s="98"/>
      <c r="AM41" s="99"/>
      <c r="AN41" s="99"/>
      <c r="AO41" s="99"/>
      <c r="AP41" s="99"/>
      <c r="AQ41" s="99"/>
      <c r="AR41" s="99"/>
      <c r="AS41" s="99"/>
      <c r="AT41" s="99"/>
      <c r="AU41" s="99"/>
      <c r="AV41" s="99"/>
      <c r="AW41" s="99"/>
      <c r="AX41" s="99"/>
      <c r="AY41" s="99"/>
      <c r="AZ41" s="99"/>
      <c r="BA41" s="99"/>
      <c r="BB41" s="99"/>
      <c r="BC41" s="99"/>
      <c r="BD41" s="99"/>
      <c r="BE41" s="99"/>
      <c r="BF41" s="99"/>
      <c r="BG41" s="99"/>
      <c r="BH41" s="99"/>
      <c r="BI41" s="99"/>
      <c r="BJ41" s="99"/>
      <c r="BK41" s="99"/>
      <c r="BL41" s="99"/>
      <c r="BM41" s="99"/>
      <c r="BN41" s="99"/>
      <c r="BO41" s="99"/>
      <c r="BP41" s="99"/>
      <c r="BQ41" s="99"/>
      <c r="BR41" s="99"/>
    </row>
    <row r="42" spans="2:70" ht="19.149999999999999" customHeight="1">
      <c r="B42" s="83" t="s">
        <v>115</v>
      </c>
      <c r="C42" s="35" t="s">
        <v>156</v>
      </c>
      <c r="D42" s="84" t="s">
        <v>45</v>
      </c>
      <c r="E42" s="85">
        <v>15.448</v>
      </c>
      <c r="F42" s="86">
        <v>0.02</v>
      </c>
      <c r="G42" s="86">
        <v>-0.03</v>
      </c>
      <c r="H42" s="87" t="s">
        <v>46</v>
      </c>
      <c r="I42" s="88"/>
      <c r="J42" s="89">
        <v>15.468</v>
      </c>
      <c r="K42" s="89">
        <v>15.418000000000001</v>
      </c>
      <c r="L42" s="112">
        <v>15.465</v>
      </c>
      <c r="M42" s="112">
        <v>15.422500000000001</v>
      </c>
      <c r="N42" s="112"/>
      <c r="O42" s="112"/>
      <c r="P42" s="90"/>
      <c r="Q42" s="91">
        <f t="shared" si="0"/>
        <v>0</v>
      </c>
      <c r="R42" s="91">
        <f t="shared" si="1"/>
        <v>0</v>
      </c>
      <c r="S42" s="91">
        <f t="shared" si="2"/>
        <v>0</v>
      </c>
      <c r="T42" s="92">
        <f t="shared" si="3"/>
        <v>0</v>
      </c>
      <c r="U42" s="93" t="str">
        <f t="shared" si="4"/>
        <v/>
      </c>
      <c r="V42" s="94" t="str">
        <f>IF(OR($AM42="",ISNUMBER($AM42)=FALSE),"",IF(AND(#REF!="Tolerance",$E42&lt;&gt;""),($S42-$E42)/(($J42-$K42)/2),IF(AND(#REF!="GD&amp;T",$F42&lt;&gt;""),$S42/$F42,"")))</f>
        <v/>
      </c>
      <c r="W42" s="94" t="str">
        <f t="shared" si="10"/>
        <v/>
      </c>
      <c r="X42" s="93" t="str">
        <f t="shared" si="5"/>
        <v/>
      </c>
      <c r="Y42" s="93" t="str">
        <f t="shared" si="6"/>
        <v/>
      </c>
      <c r="Z42" s="93" t="str">
        <f t="shared" si="7"/>
        <v/>
      </c>
      <c r="AA42" s="32" t="str">
        <f t="shared" si="8"/>
        <v/>
      </c>
      <c r="AB42" s="33" t="e">
        <f>IF($S42="","",IF(#REF!="Tolerance",IF((#REF!*3*T42+S42)-E42&lt;F42,"",(#REF!*3*T42+S42)-E42),IF(OR(#REF!="GD&amp;T",#REF!="MAX"),IF((#REF!*3*T42+S42)&lt;F42,"",(#REF!*3*T42+S42)),"")))</f>
        <v>#REF!</v>
      </c>
      <c r="AC42" s="33" t="e">
        <f>IF(S42="","",IF(#REF!="Tolerance",IF(-((#REF!*3*T42)-S42)-E42&gt;G42,"",-((#REF!*3*T42)-S42)-E42),IF(#REF!="MIN",IF(-((#REF!*3*T42)-S42)&gt;G42,"",-((#REF!*3*T42)-S42)),"")))</f>
        <v>#REF!</v>
      </c>
      <c r="AD42" s="33">
        <f t="shared" si="11"/>
        <v>15.443000000000001</v>
      </c>
      <c r="AE42" s="33" t="str">
        <f t="shared" si="9"/>
        <v/>
      </c>
      <c r="AF42" s="95"/>
      <c r="AG42" s="96" t="str">
        <f t="shared" si="12"/>
        <v/>
      </c>
      <c r="AH42" s="115"/>
      <c r="AI42" s="97"/>
      <c r="AJ42" s="97"/>
      <c r="AK42" s="98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99"/>
      <c r="BA42" s="99"/>
      <c r="BB42" s="99"/>
      <c r="BC42" s="99"/>
      <c r="BD42" s="99"/>
      <c r="BE42" s="99"/>
      <c r="BF42" s="99"/>
      <c r="BG42" s="99"/>
      <c r="BH42" s="99"/>
      <c r="BI42" s="99"/>
      <c r="BJ42" s="99"/>
      <c r="BK42" s="99"/>
      <c r="BL42" s="99"/>
      <c r="BM42" s="99"/>
      <c r="BN42" s="99"/>
      <c r="BO42" s="99"/>
      <c r="BP42" s="99"/>
      <c r="BQ42" s="99"/>
      <c r="BR42" s="99"/>
    </row>
    <row r="43" spans="2:70" ht="19.149999999999999" customHeight="1">
      <c r="B43" s="83" t="s">
        <v>114</v>
      </c>
      <c r="C43" s="35" t="s">
        <v>157</v>
      </c>
      <c r="D43" s="84" t="s">
        <v>45</v>
      </c>
      <c r="E43" s="85">
        <v>13.093999999999999</v>
      </c>
      <c r="F43" s="86">
        <v>0.03</v>
      </c>
      <c r="G43" s="86">
        <v>-0.02</v>
      </c>
      <c r="H43" s="87" t="s">
        <v>46</v>
      </c>
      <c r="I43" s="88"/>
      <c r="J43" s="89">
        <v>13.123999999999999</v>
      </c>
      <c r="K43" s="89">
        <v>13.074</v>
      </c>
      <c r="L43" s="112">
        <v>13.119499999999999</v>
      </c>
      <c r="M43" s="112">
        <v>13.077</v>
      </c>
      <c r="N43" s="112"/>
      <c r="O43" s="112"/>
      <c r="P43" s="90"/>
      <c r="Q43" s="91">
        <f t="shared" si="0"/>
        <v>0</v>
      </c>
      <c r="R43" s="91">
        <f t="shared" si="1"/>
        <v>0</v>
      </c>
      <c r="S43" s="91">
        <f t="shared" si="2"/>
        <v>0</v>
      </c>
      <c r="T43" s="92">
        <f t="shared" si="3"/>
        <v>0</v>
      </c>
      <c r="U43" s="93" t="str">
        <f t="shared" si="4"/>
        <v/>
      </c>
      <c r="V43" s="94" t="str">
        <f>IF(OR($AM43="",ISNUMBER($AM43)=FALSE),"",IF(AND(#REF!="Tolerance",$E43&lt;&gt;""),($S43-$E43)/(($J43-$K43)/2),IF(AND(#REF!="GD&amp;T",$F43&lt;&gt;""),$S43/$F43,"")))</f>
        <v/>
      </c>
      <c r="W43" s="94" t="str">
        <f t="shared" si="10"/>
        <v/>
      </c>
      <c r="X43" s="93" t="str">
        <f t="shared" si="5"/>
        <v/>
      </c>
      <c r="Y43" s="93" t="str">
        <f t="shared" si="6"/>
        <v/>
      </c>
      <c r="Z43" s="93" t="str">
        <f t="shared" si="7"/>
        <v/>
      </c>
      <c r="AA43" s="32" t="str">
        <f t="shared" si="8"/>
        <v/>
      </c>
      <c r="AB43" s="33" t="e">
        <f>IF($S43="","",IF(#REF!="Tolerance",IF((#REF!*3*T43+S43)-E43&lt;F43,"",(#REF!*3*T43+S43)-E43),IF(OR(#REF!="GD&amp;T",#REF!="MAX"),IF((#REF!*3*T43+S43)&lt;F43,"",(#REF!*3*T43+S43)),"")))</f>
        <v>#REF!</v>
      </c>
      <c r="AC43" s="33" t="e">
        <f>IF(S43="","",IF(#REF!="Tolerance",IF(-((#REF!*3*T43)-S43)-E43&gt;G43,"",-((#REF!*3*T43)-S43)-E43),IF(#REF!="MIN",IF(-((#REF!*3*T43)-S43)&gt;G43,"",-((#REF!*3*T43)-S43)),"")))</f>
        <v>#REF!</v>
      </c>
      <c r="AD43" s="33">
        <f t="shared" si="11"/>
        <v>13.099</v>
      </c>
      <c r="AE43" s="33" t="str">
        <f t="shared" si="9"/>
        <v/>
      </c>
      <c r="AF43" s="95"/>
      <c r="AG43" s="96" t="str">
        <f t="shared" si="12"/>
        <v/>
      </c>
      <c r="AH43" s="115"/>
      <c r="AI43" s="97"/>
      <c r="AJ43" s="97"/>
      <c r="AK43" s="98"/>
      <c r="AM43" s="99"/>
      <c r="AN43" s="99"/>
      <c r="AO43" s="99"/>
      <c r="AP43" s="99"/>
      <c r="AQ43" s="99"/>
      <c r="AR43" s="99"/>
      <c r="AS43" s="99"/>
      <c r="AT43" s="99"/>
      <c r="AU43" s="99"/>
      <c r="AV43" s="99"/>
      <c r="AW43" s="99"/>
      <c r="AX43" s="99"/>
      <c r="AY43" s="99"/>
      <c r="AZ43" s="99"/>
      <c r="BA43" s="99"/>
      <c r="BB43" s="99"/>
      <c r="BC43" s="99"/>
      <c r="BD43" s="99"/>
      <c r="BE43" s="99"/>
      <c r="BF43" s="99"/>
      <c r="BG43" s="99"/>
      <c r="BH43" s="99"/>
      <c r="BI43" s="99"/>
      <c r="BJ43" s="99"/>
      <c r="BK43" s="99"/>
      <c r="BL43" s="99"/>
      <c r="BM43" s="99"/>
      <c r="BN43" s="99"/>
      <c r="BO43" s="99"/>
      <c r="BP43" s="99"/>
      <c r="BQ43" s="99"/>
      <c r="BR43" s="99"/>
    </row>
    <row r="44" spans="2:70" ht="19.149999999999999" customHeight="1">
      <c r="B44" s="83" t="s">
        <v>87</v>
      </c>
      <c r="C44" s="35" t="s">
        <v>158</v>
      </c>
      <c r="D44" s="84" t="s">
        <v>45</v>
      </c>
      <c r="E44" s="85">
        <v>13.324</v>
      </c>
      <c r="F44" s="86">
        <v>2.5000000000000001E-2</v>
      </c>
      <c r="G44" s="86">
        <v>-0.04</v>
      </c>
      <c r="H44" s="87" t="s">
        <v>46</v>
      </c>
      <c r="I44" s="88"/>
      <c r="J44" s="89">
        <v>13.349</v>
      </c>
      <c r="K44" s="89">
        <v>13.284000000000001</v>
      </c>
      <c r="L44" s="112">
        <v>13.34525</v>
      </c>
      <c r="M44" s="112">
        <v>13.29</v>
      </c>
      <c r="N44" s="112"/>
      <c r="O44" s="112"/>
      <c r="P44" s="90"/>
      <c r="Q44" s="91">
        <f t="shared" si="0"/>
        <v>0</v>
      </c>
      <c r="R44" s="91">
        <f t="shared" si="1"/>
        <v>0</v>
      </c>
      <c r="S44" s="91">
        <f t="shared" si="2"/>
        <v>0</v>
      </c>
      <c r="T44" s="92">
        <f t="shared" si="3"/>
        <v>0</v>
      </c>
      <c r="U44" s="93" t="str">
        <f t="shared" si="4"/>
        <v/>
      </c>
      <c r="V44" s="94" t="str">
        <f>IF(OR($AM44="",ISNUMBER($AM44)=FALSE),"",IF(AND(#REF!="Tolerance",$E44&lt;&gt;""),($S44-$E44)/(($J44-$K44)/2),IF(AND(#REF!="GD&amp;T",$F44&lt;&gt;""),$S44/$F44,"")))</f>
        <v/>
      </c>
      <c r="W44" s="94" t="str">
        <f t="shared" si="10"/>
        <v/>
      </c>
      <c r="X44" s="93" t="str">
        <f t="shared" si="5"/>
        <v/>
      </c>
      <c r="Y44" s="93" t="str">
        <f t="shared" si="6"/>
        <v/>
      </c>
      <c r="Z44" s="93" t="str">
        <f t="shared" si="7"/>
        <v/>
      </c>
      <c r="AA44" s="32" t="str">
        <f t="shared" si="8"/>
        <v/>
      </c>
      <c r="AB44" s="33" t="e">
        <f>IF($S44="","",IF(#REF!="Tolerance",IF((#REF!*3*T44+S44)-E44&lt;F44,"",(#REF!*3*T44+S44)-E44),IF(OR(#REF!="GD&amp;T",#REF!="MAX"),IF((#REF!*3*T44+S44)&lt;F44,"",(#REF!*3*T44+S44)),"")))</f>
        <v>#REF!</v>
      </c>
      <c r="AC44" s="33" t="e">
        <f>IF(S44="","",IF(#REF!="Tolerance",IF(-((#REF!*3*T44)-S44)-E44&gt;G44,"",-((#REF!*3*T44)-S44)-E44),IF(#REF!="MIN",IF(-((#REF!*3*T44)-S44)&gt;G44,"",-((#REF!*3*T44)-S44)),"")))</f>
        <v>#REF!</v>
      </c>
      <c r="AD44" s="33">
        <f t="shared" si="11"/>
        <v>13.316500000000001</v>
      </c>
      <c r="AE44" s="33" t="str">
        <f t="shared" si="9"/>
        <v/>
      </c>
      <c r="AF44" s="95"/>
      <c r="AG44" s="96" t="str">
        <f t="shared" si="12"/>
        <v/>
      </c>
      <c r="AH44" s="115"/>
      <c r="AI44" s="97"/>
      <c r="AJ44" s="97"/>
      <c r="AK44" s="98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99"/>
      <c r="AY44" s="99"/>
      <c r="AZ44" s="99"/>
      <c r="BA44" s="99"/>
      <c r="BB44" s="99"/>
      <c r="BC44" s="99"/>
      <c r="BD44" s="99"/>
      <c r="BE44" s="99"/>
      <c r="BF44" s="99"/>
      <c r="BG44" s="99"/>
      <c r="BH44" s="99"/>
      <c r="BI44" s="99"/>
      <c r="BJ44" s="99"/>
      <c r="BK44" s="99"/>
      <c r="BL44" s="99"/>
      <c r="BM44" s="99"/>
      <c r="BN44" s="99"/>
      <c r="BO44" s="99"/>
      <c r="BP44" s="99"/>
      <c r="BQ44" s="99"/>
      <c r="BR44" s="99"/>
    </row>
    <row r="45" spans="2:70" ht="19.149999999999999" customHeight="1">
      <c r="B45" s="83" t="s">
        <v>216</v>
      </c>
      <c r="C45" s="35" t="s">
        <v>99</v>
      </c>
      <c r="D45" s="84" t="s">
        <v>45</v>
      </c>
      <c r="E45" s="85">
        <v>0.53</v>
      </c>
      <c r="F45" s="86">
        <v>2.5000000000000001E-2</v>
      </c>
      <c r="G45" s="86">
        <v>-2.5000000000000001E-2</v>
      </c>
      <c r="H45" s="87" t="s">
        <v>46</v>
      </c>
      <c r="I45" s="88"/>
      <c r="J45" s="89">
        <v>0.55500000000000005</v>
      </c>
      <c r="K45" s="89">
        <v>0.505</v>
      </c>
      <c r="L45" s="112">
        <v>0.55125000000000002</v>
      </c>
      <c r="M45" s="112">
        <v>0.50875000000000004</v>
      </c>
      <c r="N45" s="112">
        <v>0.54875000000000007</v>
      </c>
      <c r="O45" s="112">
        <v>0.51124999999999998</v>
      </c>
      <c r="P45" s="90"/>
      <c r="Q45" s="91">
        <f t="shared" si="0"/>
        <v>0</v>
      </c>
      <c r="R45" s="91">
        <f t="shared" si="1"/>
        <v>0</v>
      </c>
      <c r="S45" s="91">
        <f t="shared" si="2"/>
        <v>0</v>
      </c>
      <c r="T45" s="92">
        <f t="shared" si="3"/>
        <v>0</v>
      </c>
      <c r="U45" s="93" t="str">
        <f t="shared" si="4"/>
        <v/>
      </c>
      <c r="V45" s="94" t="str">
        <f>IF(OR($AM45="",ISNUMBER($AM45)=FALSE),"",IF(AND(#REF!="Tolerance",$E45&lt;&gt;""),($S45-$E45)/(($J45-$K45)/2),IF(AND(#REF!="GD&amp;T",$F45&lt;&gt;""),$S45/$F45,"")))</f>
        <v/>
      </c>
      <c r="W45" s="94" t="str">
        <f t="shared" si="10"/>
        <v/>
      </c>
      <c r="X45" s="93" t="str">
        <f t="shared" si="5"/>
        <v/>
      </c>
      <c r="Y45" s="93" t="str">
        <f t="shared" si="6"/>
        <v/>
      </c>
      <c r="Z45" s="93" t="str">
        <f t="shared" si="7"/>
        <v/>
      </c>
      <c r="AA45" s="32" t="str">
        <f t="shared" si="8"/>
        <v/>
      </c>
      <c r="AB45" s="33" t="e">
        <f>IF($S45="","",IF(#REF!="Tolerance",IF((#REF!*3*T45+S45)-E45&lt;F45,"",(#REF!*3*T45+S45)-E45),IF(OR(#REF!="GD&amp;T",#REF!="MAX"),IF((#REF!*3*T45+S45)&lt;F45,"",(#REF!*3*T45+S45)),"")))</f>
        <v>#REF!</v>
      </c>
      <c r="AC45" s="33" t="e">
        <f>IF(S45="","",IF(#REF!="Tolerance",IF(-((#REF!*3*T45)-S45)-E45&gt;G45,"",-((#REF!*3*T45)-S45)-E45),IF(#REF!="MIN",IF(-((#REF!*3*T45)-S45)&gt;G45,"",-((#REF!*3*T45)-S45)),"")))</f>
        <v>#REF!</v>
      </c>
      <c r="AD45" s="33">
        <f t="shared" si="11"/>
        <v>0.53</v>
      </c>
      <c r="AE45" s="33" t="str">
        <f t="shared" si="9"/>
        <v/>
      </c>
      <c r="AF45" s="95"/>
      <c r="AG45" s="96" t="str">
        <f t="shared" si="12"/>
        <v/>
      </c>
      <c r="AH45" s="115"/>
      <c r="AI45" s="97"/>
      <c r="AJ45" s="97"/>
      <c r="AK45" s="98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  <c r="AY45" s="99"/>
      <c r="AZ45" s="99"/>
      <c r="BA45" s="99"/>
      <c r="BB45" s="99"/>
      <c r="BC45" s="99"/>
      <c r="BD45" s="99"/>
      <c r="BE45" s="99"/>
      <c r="BF45" s="99"/>
      <c r="BG45" s="99"/>
      <c r="BH45" s="99"/>
      <c r="BI45" s="99"/>
      <c r="BJ45" s="99"/>
      <c r="BK45" s="99"/>
      <c r="BL45" s="99"/>
      <c r="BM45" s="99"/>
      <c r="BN45" s="99"/>
      <c r="BO45" s="99"/>
      <c r="BP45" s="99"/>
      <c r="BQ45" s="99"/>
      <c r="BR45" s="99"/>
    </row>
    <row r="46" spans="2:70" ht="19.149999999999999" customHeight="1">
      <c r="B46" s="83" t="s">
        <v>217</v>
      </c>
      <c r="C46" s="35" t="s">
        <v>100</v>
      </c>
      <c r="D46" s="84" t="s">
        <v>45</v>
      </c>
      <c r="E46" s="85">
        <v>0.53</v>
      </c>
      <c r="F46" s="86">
        <v>2.5000000000000001E-2</v>
      </c>
      <c r="G46" s="86">
        <v>-2.5000000000000001E-2</v>
      </c>
      <c r="H46" s="87" t="s">
        <v>46</v>
      </c>
      <c r="I46" s="88"/>
      <c r="J46" s="89">
        <v>0.55500000000000005</v>
      </c>
      <c r="K46" s="89">
        <v>0.505</v>
      </c>
      <c r="L46" s="112">
        <v>0.55125000000000002</v>
      </c>
      <c r="M46" s="112">
        <v>0.50875000000000004</v>
      </c>
      <c r="N46" s="112">
        <v>0.54875000000000007</v>
      </c>
      <c r="O46" s="112">
        <v>0.51124999999999998</v>
      </c>
      <c r="P46" s="90"/>
      <c r="Q46" s="91">
        <f t="shared" si="0"/>
        <v>0</v>
      </c>
      <c r="R46" s="91">
        <f t="shared" si="1"/>
        <v>0</v>
      </c>
      <c r="S46" s="91">
        <f t="shared" si="2"/>
        <v>0</v>
      </c>
      <c r="T46" s="92">
        <f t="shared" si="3"/>
        <v>0</v>
      </c>
      <c r="U46" s="93" t="str">
        <f t="shared" si="4"/>
        <v/>
      </c>
      <c r="V46" s="94" t="str">
        <f>IF(OR($AM46="",ISNUMBER($AM46)=FALSE),"",IF(AND(#REF!="Tolerance",$E46&lt;&gt;""),($S46-$E46)/(($J46-$K46)/2),IF(AND(#REF!="GD&amp;T",$F46&lt;&gt;""),$S46/$F46,"")))</f>
        <v/>
      </c>
      <c r="W46" s="94" t="str">
        <f t="shared" si="10"/>
        <v/>
      </c>
      <c r="X46" s="93" t="str">
        <f t="shared" si="5"/>
        <v/>
      </c>
      <c r="Y46" s="93" t="str">
        <f t="shared" si="6"/>
        <v/>
      </c>
      <c r="Z46" s="93" t="str">
        <f t="shared" si="7"/>
        <v/>
      </c>
      <c r="AA46" s="32" t="str">
        <f t="shared" si="8"/>
        <v/>
      </c>
      <c r="AB46" s="33" t="e">
        <f>IF($S46="","",IF(#REF!="Tolerance",IF((#REF!*3*T46+S46)-E46&lt;F46,"",(#REF!*3*T46+S46)-E46),IF(OR(#REF!="GD&amp;T",#REF!="MAX"),IF((#REF!*3*T46+S46)&lt;F46,"",(#REF!*3*T46+S46)),"")))</f>
        <v>#REF!</v>
      </c>
      <c r="AC46" s="33" t="e">
        <f>IF(S46="","",IF(#REF!="Tolerance",IF(-((#REF!*3*T46)-S46)-E46&gt;G46,"",-((#REF!*3*T46)-S46)-E46),IF(#REF!="MIN",IF(-((#REF!*3*T46)-S46)&gt;G46,"",-((#REF!*3*T46)-S46)),"")))</f>
        <v>#REF!</v>
      </c>
      <c r="AD46" s="33">
        <f t="shared" si="11"/>
        <v>0.53</v>
      </c>
      <c r="AE46" s="33" t="str">
        <f t="shared" si="9"/>
        <v/>
      </c>
      <c r="AF46" s="95"/>
      <c r="AG46" s="96" t="str">
        <f t="shared" si="12"/>
        <v/>
      </c>
      <c r="AH46" s="115"/>
      <c r="AI46" s="97"/>
      <c r="AJ46" s="97"/>
      <c r="AK46" s="98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99"/>
      <c r="BE46" s="99"/>
      <c r="BF46" s="99"/>
      <c r="BG46" s="99"/>
      <c r="BH46" s="99"/>
      <c r="BI46" s="99"/>
      <c r="BJ46" s="99"/>
      <c r="BK46" s="99"/>
      <c r="BL46" s="99"/>
      <c r="BM46" s="99"/>
      <c r="BN46" s="99"/>
      <c r="BO46" s="99"/>
      <c r="BP46" s="99"/>
      <c r="BQ46" s="99"/>
      <c r="BR46" s="99"/>
    </row>
    <row r="47" spans="2:70" ht="19.149999999999999" customHeight="1">
      <c r="B47" s="83" t="s">
        <v>88</v>
      </c>
      <c r="C47" s="35" t="s">
        <v>159</v>
      </c>
      <c r="D47" s="84" t="s">
        <v>45</v>
      </c>
      <c r="E47" s="85">
        <v>0.97</v>
      </c>
      <c r="F47" s="86">
        <v>0.03</v>
      </c>
      <c r="G47" s="86">
        <v>-0.02</v>
      </c>
      <c r="H47" s="87" t="s">
        <v>46</v>
      </c>
      <c r="I47" s="88"/>
      <c r="J47" s="89">
        <v>1</v>
      </c>
      <c r="K47" s="89">
        <v>0.95</v>
      </c>
      <c r="L47" s="112">
        <v>0.99549999999999994</v>
      </c>
      <c r="M47" s="112">
        <v>0.95299999999999996</v>
      </c>
      <c r="N47" s="112">
        <v>0.99099999999999999</v>
      </c>
      <c r="O47" s="112">
        <v>0.95599999999999996</v>
      </c>
      <c r="P47" s="90"/>
      <c r="Q47" s="91">
        <f t="shared" si="0"/>
        <v>0</v>
      </c>
      <c r="R47" s="91">
        <f t="shared" si="1"/>
        <v>0</v>
      </c>
      <c r="S47" s="91">
        <f t="shared" si="2"/>
        <v>0</v>
      </c>
      <c r="T47" s="92">
        <f t="shared" si="3"/>
        <v>0</v>
      </c>
      <c r="U47" s="93" t="str">
        <f t="shared" si="4"/>
        <v/>
      </c>
      <c r="V47" s="94" t="str">
        <f>IF(OR($AM47="",ISNUMBER($AM47)=FALSE),"",IF(AND(#REF!="Tolerance",$E47&lt;&gt;""),($S47-$E47)/(($J47-$K47)/2),IF(AND(#REF!="GD&amp;T",$F47&lt;&gt;""),$S47/$F47,"")))</f>
        <v/>
      </c>
      <c r="W47" s="94" t="str">
        <f t="shared" si="10"/>
        <v/>
      </c>
      <c r="X47" s="93" t="str">
        <f t="shared" si="5"/>
        <v/>
      </c>
      <c r="Y47" s="93" t="str">
        <f t="shared" si="6"/>
        <v/>
      </c>
      <c r="Z47" s="93" t="str">
        <f t="shared" si="7"/>
        <v/>
      </c>
      <c r="AA47" s="32" t="str">
        <f t="shared" si="8"/>
        <v/>
      </c>
      <c r="AB47" s="33" t="e">
        <f>IF($S47="","",IF(#REF!="Tolerance",IF((#REF!*3*T47+S47)-E47&lt;F47,"",(#REF!*3*T47+S47)-E47),IF(OR(#REF!="GD&amp;T",#REF!="MAX"),IF((#REF!*3*T47+S47)&lt;F47,"",(#REF!*3*T47+S47)),"")))</f>
        <v>#REF!</v>
      </c>
      <c r="AC47" s="33" t="e">
        <f>IF(S47="","",IF(#REF!="Tolerance",IF(-((#REF!*3*T47)-S47)-E47&gt;G47,"",-((#REF!*3*T47)-S47)-E47),IF(#REF!="MIN",IF(-((#REF!*3*T47)-S47)&gt;G47,"",-((#REF!*3*T47)-S47)),"")))</f>
        <v>#REF!</v>
      </c>
      <c r="AD47" s="33">
        <f t="shared" si="11"/>
        <v>0.97499999999999998</v>
      </c>
      <c r="AE47" s="33" t="str">
        <f t="shared" si="9"/>
        <v/>
      </c>
      <c r="AF47" s="95"/>
      <c r="AG47" s="96" t="str">
        <f t="shared" si="12"/>
        <v/>
      </c>
      <c r="AH47" s="115"/>
      <c r="AI47" s="97"/>
      <c r="AJ47" s="97"/>
      <c r="AK47" s="98"/>
      <c r="AM47" s="99"/>
      <c r="AN47" s="99"/>
      <c r="AO47" s="99"/>
      <c r="AP47" s="99"/>
      <c r="AQ47" s="99"/>
      <c r="AR47" s="99"/>
      <c r="AS47" s="99"/>
      <c r="AT47" s="99"/>
      <c r="AU47" s="99"/>
      <c r="AV47" s="99"/>
      <c r="AW47" s="99"/>
      <c r="AX47" s="99"/>
      <c r="AY47" s="99"/>
      <c r="AZ47" s="99"/>
      <c r="BA47" s="99"/>
      <c r="BB47" s="99"/>
      <c r="BC47" s="99"/>
      <c r="BD47" s="99"/>
      <c r="BE47" s="99"/>
      <c r="BF47" s="99"/>
      <c r="BG47" s="99"/>
      <c r="BH47" s="99"/>
      <c r="BI47" s="99"/>
      <c r="BJ47" s="99"/>
      <c r="BK47" s="99"/>
      <c r="BL47" s="99"/>
      <c r="BM47" s="99"/>
      <c r="BN47" s="99"/>
      <c r="BO47" s="99"/>
      <c r="BP47" s="99"/>
      <c r="BQ47" s="99"/>
      <c r="BR47" s="99"/>
    </row>
    <row r="48" spans="2:70" ht="19.149999999999999" customHeight="1">
      <c r="B48" s="83" t="s">
        <v>88</v>
      </c>
      <c r="C48" s="35" t="s">
        <v>160</v>
      </c>
      <c r="D48" s="84" t="s">
        <v>45</v>
      </c>
      <c r="E48" s="85">
        <v>0.97</v>
      </c>
      <c r="F48" s="86">
        <v>0.03</v>
      </c>
      <c r="G48" s="86">
        <v>-0.02</v>
      </c>
      <c r="H48" s="87" t="s">
        <v>46</v>
      </c>
      <c r="I48" s="88"/>
      <c r="J48" s="89">
        <v>1</v>
      </c>
      <c r="K48" s="89">
        <v>0.95</v>
      </c>
      <c r="L48" s="112">
        <v>0.99549999999999994</v>
      </c>
      <c r="M48" s="112">
        <v>0.95299999999999996</v>
      </c>
      <c r="N48" s="112">
        <v>0.99099999999999999</v>
      </c>
      <c r="O48" s="112">
        <v>0.95599999999999996</v>
      </c>
      <c r="P48" s="90"/>
      <c r="Q48" s="91">
        <f t="shared" si="0"/>
        <v>0</v>
      </c>
      <c r="R48" s="91">
        <f t="shared" si="1"/>
        <v>0</v>
      </c>
      <c r="S48" s="91">
        <f t="shared" si="2"/>
        <v>0</v>
      </c>
      <c r="T48" s="92">
        <f t="shared" si="3"/>
        <v>0</v>
      </c>
      <c r="U48" s="93" t="str">
        <f t="shared" si="4"/>
        <v/>
      </c>
      <c r="V48" s="94" t="str">
        <f>IF(OR($AM48="",ISNUMBER($AM48)=FALSE),"",IF(AND(#REF!="Tolerance",$E48&lt;&gt;""),($S48-$E48)/(($J48-$K48)/2),IF(AND(#REF!="GD&amp;T",$F48&lt;&gt;""),$S48/$F48,"")))</f>
        <v/>
      </c>
      <c r="W48" s="94" t="str">
        <f t="shared" si="10"/>
        <v/>
      </c>
      <c r="X48" s="93" t="str">
        <f t="shared" si="5"/>
        <v/>
      </c>
      <c r="Y48" s="93" t="str">
        <f t="shared" si="6"/>
        <v/>
      </c>
      <c r="Z48" s="93" t="str">
        <f t="shared" si="7"/>
        <v/>
      </c>
      <c r="AA48" s="32" t="str">
        <f t="shared" si="8"/>
        <v/>
      </c>
      <c r="AB48" s="33" t="e">
        <f>IF($S48="","",IF(#REF!="Tolerance",IF((#REF!*3*T48+S48)-E48&lt;F48,"",(#REF!*3*T48+S48)-E48),IF(OR(#REF!="GD&amp;T",#REF!="MAX"),IF((#REF!*3*T48+S48)&lt;F48,"",(#REF!*3*T48+S48)),"")))</f>
        <v>#REF!</v>
      </c>
      <c r="AC48" s="33" t="e">
        <f>IF(S48="","",IF(#REF!="Tolerance",IF(-((#REF!*3*T48)-S48)-E48&gt;G48,"",-((#REF!*3*T48)-S48)-E48),IF(#REF!="MIN",IF(-((#REF!*3*T48)-S48)&gt;G48,"",-((#REF!*3*T48)-S48)),"")))</f>
        <v>#REF!</v>
      </c>
      <c r="AD48" s="33">
        <f t="shared" si="11"/>
        <v>0.97499999999999998</v>
      </c>
      <c r="AE48" s="33" t="str">
        <f t="shared" si="9"/>
        <v/>
      </c>
      <c r="AF48" s="95"/>
      <c r="AG48" s="96" t="str">
        <f t="shared" si="12"/>
        <v/>
      </c>
      <c r="AH48" s="115"/>
      <c r="AI48" s="97"/>
      <c r="AJ48" s="97"/>
      <c r="AK48" s="98"/>
      <c r="AM48" s="99"/>
      <c r="AN48" s="99"/>
      <c r="AO48" s="99"/>
      <c r="AP48" s="99"/>
      <c r="AQ48" s="99"/>
      <c r="AR48" s="99"/>
      <c r="AS48" s="99"/>
      <c r="AT48" s="99"/>
      <c r="AU48" s="99"/>
      <c r="AV48" s="99"/>
      <c r="AW48" s="99"/>
      <c r="AX48" s="99"/>
      <c r="AY48" s="99"/>
      <c r="AZ48" s="99"/>
      <c r="BA48" s="99"/>
      <c r="BB48" s="99"/>
      <c r="BC48" s="99"/>
      <c r="BD48" s="99"/>
      <c r="BE48" s="99"/>
      <c r="BF48" s="99"/>
      <c r="BG48" s="99"/>
      <c r="BH48" s="99"/>
      <c r="BI48" s="99"/>
      <c r="BJ48" s="99"/>
      <c r="BK48" s="99"/>
      <c r="BL48" s="99"/>
      <c r="BM48" s="99"/>
      <c r="BN48" s="99"/>
      <c r="BO48" s="99"/>
      <c r="BP48" s="99"/>
      <c r="BQ48" s="99"/>
      <c r="BR48" s="99"/>
    </row>
    <row r="49" spans="2:70" ht="19.149999999999999" customHeight="1">
      <c r="B49" s="83" t="s">
        <v>218</v>
      </c>
      <c r="C49" s="35" t="s">
        <v>161</v>
      </c>
      <c r="D49" s="84" t="s">
        <v>45</v>
      </c>
      <c r="E49" s="85">
        <v>15.228</v>
      </c>
      <c r="F49" s="86">
        <v>3.5000000000000003E-2</v>
      </c>
      <c r="G49" s="86">
        <v>-0.02</v>
      </c>
      <c r="H49" s="87" t="s">
        <v>46</v>
      </c>
      <c r="I49" s="88"/>
      <c r="J49" s="89">
        <v>15.263</v>
      </c>
      <c r="K49" s="89">
        <v>15.208</v>
      </c>
      <c r="L49" s="112">
        <v>15.25775</v>
      </c>
      <c r="M49" s="112">
        <v>15.211</v>
      </c>
      <c r="N49" s="112"/>
      <c r="O49" s="112"/>
      <c r="P49" s="90"/>
      <c r="Q49" s="91">
        <f t="shared" si="0"/>
        <v>0</v>
      </c>
      <c r="R49" s="91">
        <f t="shared" si="1"/>
        <v>0</v>
      </c>
      <c r="S49" s="91">
        <f t="shared" si="2"/>
        <v>0</v>
      </c>
      <c r="T49" s="92">
        <f t="shared" si="3"/>
        <v>0</v>
      </c>
      <c r="U49" s="93" t="str">
        <f t="shared" si="4"/>
        <v/>
      </c>
      <c r="V49" s="94" t="str">
        <f>IF(OR($AM49="",ISNUMBER($AM49)=FALSE),"",IF(AND(#REF!="Tolerance",$E49&lt;&gt;""),($S49-$E49)/(($J49-$K49)/2),IF(AND(#REF!="GD&amp;T",$F49&lt;&gt;""),$S49/$F49,"")))</f>
        <v/>
      </c>
      <c r="W49" s="94" t="str">
        <f t="shared" si="10"/>
        <v/>
      </c>
      <c r="X49" s="93" t="str">
        <f t="shared" si="5"/>
        <v/>
      </c>
      <c r="Y49" s="93" t="str">
        <f t="shared" si="6"/>
        <v/>
      </c>
      <c r="Z49" s="93" t="str">
        <f t="shared" si="7"/>
        <v/>
      </c>
      <c r="AA49" s="32" t="str">
        <f t="shared" si="8"/>
        <v/>
      </c>
      <c r="AB49" s="33" t="e">
        <f>IF($S49="","",IF(#REF!="Tolerance",IF((#REF!*3*T49+S49)-E49&lt;F49,"",(#REF!*3*T49+S49)-E49),IF(OR(#REF!="GD&amp;T",#REF!="MAX"),IF((#REF!*3*T49+S49)&lt;F49,"",(#REF!*3*T49+S49)),"")))</f>
        <v>#REF!</v>
      </c>
      <c r="AC49" s="33" t="e">
        <f>IF(S49="","",IF(#REF!="Tolerance",IF(-((#REF!*3*T49)-S49)-E49&gt;G49,"",-((#REF!*3*T49)-S49)-E49),IF(#REF!="MIN",IF(-((#REF!*3*T49)-S49)&gt;G49,"",-((#REF!*3*T49)-S49)),"")))</f>
        <v>#REF!</v>
      </c>
      <c r="AD49" s="33">
        <f t="shared" si="11"/>
        <v>15.2355</v>
      </c>
      <c r="AE49" s="33" t="str">
        <f t="shared" si="9"/>
        <v/>
      </c>
      <c r="AF49" s="95"/>
      <c r="AG49" s="96" t="str">
        <f t="shared" si="12"/>
        <v/>
      </c>
      <c r="AH49" s="115"/>
      <c r="AI49" s="97"/>
      <c r="AJ49" s="97"/>
      <c r="AK49" s="98"/>
      <c r="AM49" s="99"/>
      <c r="AN49" s="99"/>
      <c r="AO49" s="99"/>
      <c r="AP49" s="99"/>
      <c r="AQ49" s="99"/>
      <c r="AR49" s="99"/>
      <c r="AS49" s="99"/>
      <c r="AT49" s="99"/>
      <c r="AU49" s="99"/>
      <c r="AV49" s="99"/>
      <c r="AW49" s="99"/>
      <c r="AX49" s="99"/>
      <c r="AY49" s="99"/>
      <c r="AZ49" s="99"/>
      <c r="BA49" s="99"/>
      <c r="BB49" s="99"/>
      <c r="BC49" s="99"/>
      <c r="BD49" s="99"/>
      <c r="BE49" s="99"/>
      <c r="BF49" s="99"/>
      <c r="BG49" s="99"/>
      <c r="BH49" s="99"/>
      <c r="BI49" s="99"/>
      <c r="BJ49" s="99"/>
      <c r="BK49" s="99"/>
      <c r="BL49" s="99"/>
      <c r="BM49" s="99"/>
      <c r="BN49" s="99"/>
      <c r="BO49" s="99"/>
      <c r="BP49" s="99"/>
      <c r="BQ49" s="99"/>
      <c r="BR49" s="99"/>
    </row>
    <row r="50" spans="2:70" ht="19.149999999999999" customHeight="1">
      <c r="B50" s="83" t="s">
        <v>89</v>
      </c>
      <c r="C50" s="35" t="s">
        <v>162</v>
      </c>
      <c r="D50" s="84" t="s">
        <v>45</v>
      </c>
      <c r="E50" s="85">
        <v>1.26</v>
      </c>
      <c r="F50" s="86">
        <v>0.02</v>
      </c>
      <c r="G50" s="86">
        <v>-3.5000000000000003E-2</v>
      </c>
      <c r="H50" s="87" t="s">
        <v>46</v>
      </c>
      <c r="I50" s="88"/>
      <c r="J50" s="89">
        <v>1.28</v>
      </c>
      <c r="K50" s="89">
        <v>1.2250000000000001</v>
      </c>
      <c r="L50" s="112">
        <v>1.2769999999999999</v>
      </c>
      <c r="M50" s="112">
        <v>1.2302500000000001</v>
      </c>
      <c r="N50" s="112"/>
      <c r="O50" s="112"/>
      <c r="P50" s="90"/>
      <c r="Q50" s="91">
        <f t="shared" si="0"/>
        <v>0</v>
      </c>
      <c r="R50" s="91">
        <f t="shared" si="1"/>
        <v>0</v>
      </c>
      <c r="S50" s="91">
        <f t="shared" si="2"/>
        <v>0</v>
      </c>
      <c r="T50" s="92">
        <f t="shared" si="3"/>
        <v>0</v>
      </c>
      <c r="U50" s="93" t="str">
        <f t="shared" si="4"/>
        <v/>
      </c>
      <c r="V50" s="94" t="str">
        <f>IF(OR($AM50="",ISNUMBER($AM50)=FALSE),"",IF(AND(#REF!="Tolerance",$E50&lt;&gt;""),($S50-$E50)/(($J50-$K50)/2),IF(AND(#REF!="GD&amp;T",$F50&lt;&gt;""),$S50/$F50,"")))</f>
        <v/>
      </c>
      <c r="W50" s="94" t="str">
        <f t="shared" si="10"/>
        <v/>
      </c>
      <c r="X50" s="93" t="str">
        <f t="shared" si="5"/>
        <v/>
      </c>
      <c r="Y50" s="93" t="str">
        <f t="shared" si="6"/>
        <v/>
      </c>
      <c r="Z50" s="93" t="str">
        <f t="shared" si="7"/>
        <v/>
      </c>
      <c r="AA50" s="32" t="str">
        <f t="shared" si="8"/>
        <v/>
      </c>
      <c r="AB50" s="33" t="e">
        <f>IF($S50="","",IF(#REF!="Tolerance",IF((#REF!*3*T50+S50)-E50&lt;F50,"",(#REF!*3*T50+S50)-E50),IF(OR(#REF!="GD&amp;T",#REF!="MAX"),IF((#REF!*3*T50+S50)&lt;F50,"",(#REF!*3*T50+S50)),"")))</f>
        <v>#REF!</v>
      </c>
      <c r="AC50" s="33" t="e">
        <f>IF(S50="","",IF(#REF!="Tolerance",IF(-((#REF!*3*T50)-S50)-E50&gt;G50,"",-((#REF!*3*T50)-S50)-E50),IF(#REF!="MIN",IF(-((#REF!*3*T50)-S50)&gt;G50,"",-((#REF!*3*T50)-S50)),"")))</f>
        <v>#REF!</v>
      </c>
      <c r="AD50" s="33">
        <f t="shared" si="11"/>
        <v>1.2524999999999999</v>
      </c>
      <c r="AE50" s="33" t="str">
        <f t="shared" si="9"/>
        <v/>
      </c>
      <c r="AF50" s="95"/>
      <c r="AG50" s="96" t="str">
        <f t="shared" si="12"/>
        <v/>
      </c>
      <c r="AH50" s="115"/>
      <c r="AI50" s="97"/>
      <c r="AJ50" s="97"/>
      <c r="AK50" s="98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99"/>
      <c r="AY50" s="99"/>
      <c r="AZ50" s="99"/>
      <c r="BA50" s="99"/>
      <c r="BB50" s="99"/>
      <c r="BC50" s="99"/>
      <c r="BD50" s="99"/>
      <c r="BE50" s="99"/>
      <c r="BF50" s="99"/>
      <c r="BG50" s="99"/>
      <c r="BH50" s="99"/>
      <c r="BI50" s="99"/>
      <c r="BJ50" s="99"/>
      <c r="BK50" s="99"/>
      <c r="BL50" s="99"/>
      <c r="BM50" s="99"/>
      <c r="BN50" s="99"/>
      <c r="BO50" s="99"/>
      <c r="BP50" s="99"/>
      <c r="BQ50" s="99"/>
      <c r="BR50" s="99"/>
    </row>
    <row r="51" spans="2:70" ht="19.149999999999999" customHeight="1">
      <c r="B51" s="83" t="s">
        <v>90</v>
      </c>
      <c r="C51" s="35" t="s">
        <v>163</v>
      </c>
      <c r="D51" s="84" t="s">
        <v>45</v>
      </c>
      <c r="E51" s="85">
        <v>0.52</v>
      </c>
      <c r="F51" s="86">
        <v>0.03</v>
      </c>
      <c r="G51" s="86">
        <v>-0.02</v>
      </c>
      <c r="H51" s="87" t="s">
        <v>46</v>
      </c>
      <c r="I51" s="88"/>
      <c r="J51" s="89">
        <v>0.55000000000000004</v>
      </c>
      <c r="K51" s="89">
        <v>0.5</v>
      </c>
      <c r="L51" s="112">
        <v>0.54549999999999998</v>
      </c>
      <c r="M51" s="112">
        <v>0.503</v>
      </c>
      <c r="N51" s="112"/>
      <c r="O51" s="112"/>
      <c r="P51" s="90"/>
      <c r="Q51" s="91">
        <f t="shared" si="0"/>
        <v>0</v>
      </c>
      <c r="R51" s="91">
        <f t="shared" si="1"/>
        <v>0</v>
      </c>
      <c r="S51" s="91">
        <f t="shared" si="2"/>
        <v>0</v>
      </c>
      <c r="T51" s="92">
        <f t="shared" si="3"/>
        <v>0</v>
      </c>
      <c r="U51" s="93" t="str">
        <f t="shared" si="4"/>
        <v/>
      </c>
      <c r="V51" s="94" t="str">
        <f>IF(OR($AM51="",ISNUMBER($AM51)=FALSE),"",IF(AND(#REF!="Tolerance",$E51&lt;&gt;""),($S51-$E51)/(($J51-$K51)/2),IF(AND(#REF!="GD&amp;T",$F51&lt;&gt;""),$S51/$F51,"")))</f>
        <v/>
      </c>
      <c r="W51" s="94" t="str">
        <f t="shared" si="10"/>
        <v/>
      </c>
      <c r="X51" s="93" t="str">
        <f t="shared" si="5"/>
        <v/>
      </c>
      <c r="Y51" s="93" t="str">
        <f t="shared" si="6"/>
        <v/>
      </c>
      <c r="Z51" s="93" t="str">
        <f t="shared" si="7"/>
        <v/>
      </c>
      <c r="AA51" s="32" t="str">
        <f t="shared" si="8"/>
        <v/>
      </c>
      <c r="AB51" s="33" t="e">
        <f>IF($S51="","",IF(#REF!="Tolerance",IF((#REF!*3*T51+S51)-E51&lt;F51,"",(#REF!*3*T51+S51)-E51),IF(OR(#REF!="GD&amp;T",#REF!="MAX"),IF((#REF!*3*T51+S51)&lt;F51,"",(#REF!*3*T51+S51)),"")))</f>
        <v>#REF!</v>
      </c>
      <c r="AC51" s="33" t="e">
        <f>IF(S51="","",IF(#REF!="Tolerance",IF(-((#REF!*3*T51)-S51)-E51&gt;G51,"",-((#REF!*3*T51)-S51)-E51),IF(#REF!="MIN",IF(-((#REF!*3*T51)-S51)&gt;G51,"",-((#REF!*3*T51)-S51)),"")))</f>
        <v>#REF!</v>
      </c>
      <c r="AD51" s="33">
        <f t="shared" si="11"/>
        <v>0.52500000000000002</v>
      </c>
      <c r="AE51" s="33" t="str">
        <f t="shared" si="9"/>
        <v/>
      </c>
      <c r="AF51" s="95"/>
      <c r="AG51" s="96" t="str">
        <f t="shared" si="12"/>
        <v/>
      </c>
      <c r="AH51" s="115"/>
      <c r="AI51" s="97"/>
      <c r="AJ51" s="97"/>
      <c r="AK51" s="98"/>
      <c r="AM51" s="99"/>
      <c r="AN51" s="99"/>
      <c r="AO51" s="99"/>
      <c r="AP51" s="99"/>
      <c r="AQ51" s="99"/>
      <c r="AR51" s="99"/>
      <c r="AS51" s="99"/>
      <c r="AT51" s="99"/>
      <c r="AU51" s="99"/>
      <c r="AV51" s="99"/>
      <c r="AW51" s="99"/>
      <c r="AX51" s="99"/>
      <c r="AY51" s="99"/>
      <c r="AZ51" s="99"/>
      <c r="BA51" s="99"/>
      <c r="BB51" s="99"/>
      <c r="BC51" s="99"/>
      <c r="BD51" s="99"/>
      <c r="BE51" s="99"/>
      <c r="BF51" s="99"/>
      <c r="BG51" s="99"/>
      <c r="BH51" s="99"/>
      <c r="BI51" s="99"/>
      <c r="BJ51" s="99"/>
      <c r="BK51" s="99"/>
      <c r="BL51" s="99"/>
      <c r="BM51" s="99"/>
      <c r="BN51" s="99"/>
      <c r="BO51" s="99"/>
      <c r="BP51" s="99"/>
      <c r="BQ51" s="99"/>
      <c r="BR51" s="99"/>
    </row>
    <row r="52" spans="2:70" ht="19.149999999999999" customHeight="1">
      <c r="B52" s="83" t="s">
        <v>92</v>
      </c>
      <c r="C52" s="35" t="s">
        <v>164</v>
      </c>
      <c r="D52" s="84" t="s">
        <v>45</v>
      </c>
      <c r="E52" s="85">
        <v>2.0680000000000001</v>
      </c>
      <c r="F52" s="86">
        <v>0.02</v>
      </c>
      <c r="G52" s="86">
        <v>-0.03</v>
      </c>
      <c r="H52" s="87" t="s">
        <v>46</v>
      </c>
      <c r="I52" s="88"/>
      <c r="J52" s="89">
        <v>2.0880000000000001</v>
      </c>
      <c r="K52" s="89">
        <v>2.0380000000000003</v>
      </c>
      <c r="L52" s="112">
        <v>2.085</v>
      </c>
      <c r="M52" s="112">
        <v>2.0425</v>
      </c>
      <c r="N52" s="112"/>
      <c r="O52" s="112"/>
      <c r="P52" s="90"/>
      <c r="Q52" s="91">
        <f t="shared" si="0"/>
        <v>0</v>
      </c>
      <c r="R52" s="91">
        <f t="shared" si="1"/>
        <v>0</v>
      </c>
      <c r="S52" s="91">
        <f t="shared" si="2"/>
        <v>0</v>
      </c>
      <c r="T52" s="92">
        <f>IF(OR($AM52=ISBLANK(TRUE),ISNUMBER($AM52)=FALSE),,STDEV(AM52:BR52))</f>
        <v>0</v>
      </c>
      <c r="U52" s="93" t="str">
        <f t="shared" si="4"/>
        <v/>
      </c>
      <c r="V52" s="94" t="str">
        <f>IF(OR($AM52="",ISNUMBER($AM52)=FALSE),"",IF(AND(#REF!="Tolerance",$E52&lt;&gt;""),($S52-$E52)/(($J52-$K52)/2),IF(AND(#REF!="GD&amp;T",$F52&lt;&gt;""),$S52/$F52,"")))</f>
        <v/>
      </c>
      <c r="W52" s="94" t="str">
        <f t="shared" si="10"/>
        <v/>
      </c>
      <c r="X52" s="93" t="str">
        <f t="shared" si="5"/>
        <v/>
      </c>
      <c r="Y52" s="93" t="str">
        <f t="shared" si="6"/>
        <v/>
      </c>
      <c r="Z52" s="93" t="str">
        <f t="shared" si="7"/>
        <v/>
      </c>
      <c r="AA52" s="32" t="str">
        <f t="shared" si="8"/>
        <v/>
      </c>
      <c r="AB52" s="33" t="e">
        <f>IF($S52="","",IF(#REF!="Tolerance",IF((#REF!*3*T52+S52)-E52&lt;F52,"",(#REF!*3*T52+S52)-E52),IF(OR(#REF!="GD&amp;T",#REF!="MAX"),IF((#REF!*3*T52+S52)&lt;F52,"",(#REF!*3*T52+S52)),"")))</f>
        <v>#REF!</v>
      </c>
      <c r="AC52" s="33" t="e">
        <f>IF(S52="","",IF(#REF!="Tolerance",IF(-((#REF!*3*T52)-S52)-E52&gt;G52,"",-((#REF!*3*T52)-S52)-E52),IF(#REF!="MIN",IF(-((#REF!*3*T52)-S52)&gt;G52,"",-((#REF!*3*T52)-S52)),"")))</f>
        <v>#REF!</v>
      </c>
      <c r="AD52" s="33">
        <f t="shared" si="11"/>
        <v>2.0630000000000002</v>
      </c>
      <c r="AE52" s="33" t="str">
        <f t="shared" si="9"/>
        <v/>
      </c>
      <c r="AF52" s="95"/>
      <c r="AG52" s="96" t="str">
        <f t="shared" si="12"/>
        <v/>
      </c>
      <c r="AH52" s="115"/>
      <c r="AI52" s="97"/>
      <c r="AJ52" s="97"/>
      <c r="AK52" s="98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99"/>
      <c r="AZ52" s="99"/>
      <c r="BA52" s="99"/>
      <c r="BB52" s="99"/>
      <c r="BC52" s="99"/>
      <c r="BD52" s="99"/>
      <c r="BE52" s="99"/>
      <c r="BF52" s="99"/>
      <c r="BG52" s="99"/>
      <c r="BH52" s="99"/>
      <c r="BI52" s="99"/>
      <c r="BJ52" s="99"/>
      <c r="BK52" s="99"/>
      <c r="BL52" s="99"/>
      <c r="BM52" s="99"/>
      <c r="BN52" s="99"/>
      <c r="BO52" s="99"/>
      <c r="BP52" s="99"/>
      <c r="BQ52" s="99"/>
      <c r="BR52" s="99"/>
    </row>
    <row r="53" spans="2:70" ht="19.149999999999999" customHeight="1">
      <c r="B53" s="83" t="s">
        <v>93</v>
      </c>
      <c r="C53" s="35" t="s">
        <v>165</v>
      </c>
      <c r="D53" s="84" t="s">
        <v>45</v>
      </c>
      <c r="E53" s="85">
        <v>1.137</v>
      </c>
      <c r="F53" s="86">
        <v>2.5000000000000001E-2</v>
      </c>
      <c r="G53" s="86">
        <v>-3.5000000000000003E-2</v>
      </c>
      <c r="H53" s="87" t="s">
        <v>46</v>
      </c>
      <c r="I53" s="88"/>
      <c r="J53" s="89">
        <v>1.1619999999999999</v>
      </c>
      <c r="K53" s="89">
        <v>1.1020000000000001</v>
      </c>
      <c r="L53" s="112">
        <v>1.15825</v>
      </c>
      <c r="M53" s="112">
        <v>1.1072500000000001</v>
      </c>
      <c r="N53" s="112"/>
      <c r="O53" s="112"/>
      <c r="P53" s="90"/>
      <c r="Q53" s="91">
        <f t="shared" si="0"/>
        <v>0</v>
      </c>
      <c r="R53" s="91">
        <f t="shared" si="1"/>
        <v>0</v>
      </c>
      <c r="S53" s="91">
        <f t="shared" si="2"/>
        <v>0</v>
      </c>
      <c r="T53" s="92">
        <f t="shared" ref="T53:T77" si="13">IF(OR($AM53=ISBLANK(TRUE),ISNUMBER($AM53)=FALSE),,STDEV(AM53:BR53))</f>
        <v>0</v>
      </c>
      <c r="U53" s="93" t="str">
        <f t="shared" si="4"/>
        <v/>
      </c>
      <c r="V53" s="94" t="str">
        <f>IF(OR($AM53="",ISNUMBER($AM53)=FALSE),"",IF(AND(#REF!="Tolerance",$E53&lt;&gt;""),($S53-$E53)/(($J53-$K53)/2),IF(AND(#REF!="GD&amp;T",$F53&lt;&gt;""),$S53/$F53,"")))</f>
        <v/>
      </c>
      <c r="W53" s="94" t="str">
        <f t="shared" si="10"/>
        <v/>
      </c>
      <c r="X53" s="93" t="str">
        <f t="shared" si="5"/>
        <v/>
      </c>
      <c r="Y53" s="93" t="str">
        <f t="shared" si="6"/>
        <v/>
      </c>
      <c r="Z53" s="93" t="str">
        <f t="shared" si="7"/>
        <v/>
      </c>
      <c r="AA53" s="32" t="str">
        <f t="shared" si="8"/>
        <v/>
      </c>
      <c r="AB53" s="33" t="e">
        <f>IF($S53="","",IF(#REF!="Tolerance",IF((#REF!*3*T53+S53)-E53&lt;F53,"",(#REF!*3*T53+S53)-E53),IF(OR(#REF!="GD&amp;T",#REF!="MAX"),IF((#REF!*3*T53+S53)&lt;F53,"",(#REF!*3*T53+S53)),"")))</f>
        <v>#REF!</v>
      </c>
      <c r="AC53" s="33" t="e">
        <f>IF(S53="","",IF(#REF!="Tolerance",IF(-((#REF!*3*T53)-S53)-E53&gt;G53,"",-((#REF!*3*T53)-S53)-E53),IF(#REF!="MIN",IF(-((#REF!*3*T53)-S53)&gt;G53,"",-((#REF!*3*T53)-S53)),"")))</f>
        <v>#REF!</v>
      </c>
      <c r="AD53" s="33">
        <f t="shared" si="11"/>
        <v>1.1320000000000001</v>
      </c>
      <c r="AE53" s="33" t="str">
        <f t="shared" si="9"/>
        <v/>
      </c>
      <c r="AF53" s="95"/>
      <c r="AG53" s="96" t="str">
        <f t="shared" si="12"/>
        <v/>
      </c>
      <c r="AH53" s="115"/>
      <c r="AI53" s="97"/>
      <c r="AJ53" s="97"/>
      <c r="AK53" s="98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  <c r="AX53" s="99"/>
      <c r="AY53" s="99"/>
      <c r="AZ53" s="99"/>
      <c r="BA53" s="99"/>
      <c r="BB53" s="99"/>
      <c r="BC53" s="99"/>
      <c r="BD53" s="99"/>
      <c r="BE53" s="99"/>
      <c r="BF53" s="99"/>
      <c r="BG53" s="99"/>
      <c r="BH53" s="99"/>
      <c r="BI53" s="99"/>
      <c r="BJ53" s="99"/>
      <c r="BK53" s="99"/>
      <c r="BL53" s="99"/>
      <c r="BM53" s="99"/>
      <c r="BN53" s="99"/>
      <c r="BO53" s="99"/>
      <c r="BP53" s="99"/>
      <c r="BQ53" s="99"/>
      <c r="BR53" s="99"/>
    </row>
    <row r="54" spans="2:70" ht="19.149999999999999" customHeight="1">
      <c r="B54" s="83" t="s">
        <v>118</v>
      </c>
      <c r="C54" s="35" t="s">
        <v>97</v>
      </c>
      <c r="D54" s="84" t="s">
        <v>45</v>
      </c>
      <c r="E54" s="85">
        <v>0.3</v>
      </c>
      <c r="F54" s="86">
        <v>0.03</v>
      </c>
      <c r="G54" s="86">
        <v>-0.03</v>
      </c>
      <c r="H54" s="87" t="s">
        <v>46</v>
      </c>
      <c r="I54" s="88"/>
      <c r="J54" s="89">
        <v>0.32999999999999996</v>
      </c>
      <c r="K54" s="89">
        <v>0.27</v>
      </c>
      <c r="L54" s="112">
        <v>0.32550000000000001</v>
      </c>
      <c r="M54" s="112">
        <v>0.27449999999999997</v>
      </c>
      <c r="N54" s="112"/>
      <c r="O54" s="112"/>
      <c r="P54" s="90"/>
      <c r="Q54" s="91">
        <f t="shared" si="0"/>
        <v>0</v>
      </c>
      <c r="R54" s="91">
        <f t="shared" si="1"/>
        <v>0</v>
      </c>
      <c r="S54" s="91">
        <f t="shared" si="2"/>
        <v>0</v>
      </c>
      <c r="T54" s="92">
        <f t="shared" si="13"/>
        <v>0</v>
      </c>
      <c r="U54" s="93" t="str">
        <f t="shared" si="4"/>
        <v/>
      </c>
      <c r="V54" s="94" t="str">
        <f>IF(OR($AM54="",ISNUMBER($AM54)=FALSE),"",IF(AND(#REF!="Tolerance",$E54&lt;&gt;""),($S54-$E54)/(($J54-$K54)/2),IF(AND(#REF!="GD&amp;T",$F54&lt;&gt;""),$S54/$F54,"")))</f>
        <v/>
      </c>
      <c r="W54" s="94" t="str">
        <f t="shared" si="10"/>
        <v/>
      </c>
      <c r="X54" s="93" t="str">
        <f t="shared" si="5"/>
        <v/>
      </c>
      <c r="Y54" s="93" t="str">
        <f t="shared" si="6"/>
        <v/>
      </c>
      <c r="Z54" s="93" t="str">
        <f t="shared" si="7"/>
        <v/>
      </c>
      <c r="AA54" s="32" t="str">
        <f t="shared" si="8"/>
        <v/>
      </c>
      <c r="AB54" s="33" t="e">
        <f>IF($S54="","",IF(#REF!="Tolerance",IF((#REF!*3*T54+S54)-E54&lt;F54,"",(#REF!*3*T54+S54)-E54),IF(OR(#REF!="GD&amp;T",#REF!="MAX"),IF((#REF!*3*T54+S54)&lt;F54,"",(#REF!*3*T54+S54)),"")))</f>
        <v>#REF!</v>
      </c>
      <c r="AC54" s="33" t="e">
        <f>IF(S54="","",IF(#REF!="Tolerance",IF(-((#REF!*3*T54)-S54)-E54&gt;G54,"",-((#REF!*3*T54)-S54)-E54),IF(#REF!="MIN",IF(-((#REF!*3*T54)-S54)&gt;G54,"",-((#REF!*3*T54)-S54)),"")))</f>
        <v>#REF!</v>
      </c>
      <c r="AD54" s="33">
        <f t="shared" si="11"/>
        <v>0.3</v>
      </c>
      <c r="AE54" s="33" t="str">
        <f t="shared" si="9"/>
        <v/>
      </c>
      <c r="AF54" s="95"/>
      <c r="AG54" s="96" t="str">
        <f t="shared" si="12"/>
        <v/>
      </c>
      <c r="AH54" s="115"/>
      <c r="AI54" s="97"/>
      <c r="AJ54" s="97"/>
      <c r="AK54" s="98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J54" s="99"/>
      <c r="BK54" s="99"/>
      <c r="BL54" s="99"/>
      <c r="BM54" s="99"/>
      <c r="BN54" s="99"/>
      <c r="BO54" s="99"/>
      <c r="BP54" s="99"/>
      <c r="BQ54" s="99"/>
      <c r="BR54" s="99"/>
    </row>
    <row r="55" spans="2:70" ht="19.149999999999999" customHeight="1">
      <c r="B55" s="83" t="s">
        <v>118</v>
      </c>
      <c r="C55" s="35" t="s">
        <v>98</v>
      </c>
      <c r="D55" s="84" t="s">
        <v>45</v>
      </c>
      <c r="E55" s="85">
        <v>0.3</v>
      </c>
      <c r="F55" s="86">
        <v>0.03</v>
      </c>
      <c r="G55" s="86">
        <v>-0.03</v>
      </c>
      <c r="H55" s="87" t="s">
        <v>46</v>
      </c>
      <c r="I55" s="88"/>
      <c r="J55" s="89">
        <v>0.32999999999999996</v>
      </c>
      <c r="K55" s="89">
        <v>0.27</v>
      </c>
      <c r="L55" s="112">
        <v>0.32550000000000001</v>
      </c>
      <c r="M55" s="112">
        <v>0.27449999999999997</v>
      </c>
      <c r="N55" s="112"/>
      <c r="O55" s="112"/>
      <c r="P55" s="90"/>
      <c r="Q55" s="91">
        <f t="shared" si="0"/>
        <v>0</v>
      </c>
      <c r="R55" s="91">
        <f t="shared" si="1"/>
        <v>0</v>
      </c>
      <c r="S55" s="91">
        <f t="shared" si="2"/>
        <v>0</v>
      </c>
      <c r="T55" s="92">
        <f t="shared" si="13"/>
        <v>0</v>
      </c>
      <c r="U55" s="93" t="str">
        <f t="shared" si="4"/>
        <v/>
      </c>
      <c r="V55" s="94" t="str">
        <f>IF(OR($AM55="",ISNUMBER($AM55)=FALSE),"",IF(AND(#REF!="Tolerance",$E55&lt;&gt;""),($S55-$E55)/(($J55-$K55)/2),IF(AND(#REF!="GD&amp;T",$F55&lt;&gt;""),$S55/$F55,"")))</f>
        <v/>
      </c>
      <c r="W55" s="94" t="str">
        <f t="shared" si="10"/>
        <v/>
      </c>
      <c r="X55" s="93" t="str">
        <f t="shared" si="5"/>
        <v/>
      </c>
      <c r="Y55" s="93" t="str">
        <f t="shared" si="6"/>
        <v/>
      </c>
      <c r="Z55" s="93" t="str">
        <f t="shared" si="7"/>
        <v/>
      </c>
      <c r="AA55" s="32" t="str">
        <f t="shared" si="8"/>
        <v/>
      </c>
      <c r="AB55" s="33" t="e">
        <f>IF($S55="","",IF(#REF!="Tolerance",IF((#REF!*3*T55+S55)-E55&lt;F55,"",(#REF!*3*T55+S55)-E55),IF(OR(#REF!="GD&amp;T",#REF!="MAX"),IF((#REF!*3*T55+S55)&lt;F55,"",(#REF!*3*T55+S55)),"")))</f>
        <v>#REF!</v>
      </c>
      <c r="AC55" s="33" t="e">
        <f>IF(S55="","",IF(#REF!="Tolerance",IF(-((#REF!*3*T55)-S55)-E55&gt;G55,"",-((#REF!*3*T55)-S55)-E55),IF(#REF!="MIN",IF(-((#REF!*3*T55)-S55)&gt;G55,"",-((#REF!*3*T55)-S55)),"")))</f>
        <v>#REF!</v>
      </c>
      <c r="AD55" s="33">
        <f t="shared" si="11"/>
        <v>0.3</v>
      </c>
      <c r="AE55" s="33" t="str">
        <f t="shared" si="9"/>
        <v/>
      </c>
      <c r="AF55" s="95"/>
      <c r="AG55" s="96" t="str">
        <f t="shared" si="12"/>
        <v/>
      </c>
      <c r="AH55" s="115"/>
      <c r="AI55" s="97"/>
      <c r="AJ55" s="97"/>
      <c r="AK55" s="98"/>
      <c r="AM55" s="99"/>
      <c r="AN55" s="99"/>
      <c r="AO55" s="99"/>
      <c r="AP55" s="99"/>
      <c r="AQ55" s="99"/>
      <c r="AR55" s="99"/>
      <c r="AS55" s="99"/>
      <c r="AT55" s="99"/>
      <c r="AU55" s="99"/>
      <c r="AV55" s="99"/>
      <c r="AW55" s="99"/>
      <c r="AX55" s="99"/>
      <c r="AY55" s="99"/>
      <c r="AZ55" s="99"/>
      <c r="BA55" s="99"/>
      <c r="BB55" s="99"/>
      <c r="BC55" s="99"/>
      <c r="BD55" s="99"/>
      <c r="BE55" s="99"/>
      <c r="BF55" s="99"/>
      <c r="BG55" s="99"/>
      <c r="BH55" s="99"/>
      <c r="BI55" s="99"/>
      <c r="BJ55" s="99"/>
      <c r="BK55" s="99"/>
      <c r="BL55" s="99"/>
      <c r="BM55" s="99"/>
      <c r="BN55" s="99"/>
      <c r="BO55" s="99"/>
      <c r="BP55" s="99"/>
      <c r="BQ55" s="99"/>
      <c r="BR55" s="99"/>
    </row>
    <row r="56" spans="2:70" ht="19.149999999999999" customHeight="1">
      <c r="B56" s="83" t="s">
        <v>117</v>
      </c>
      <c r="C56" s="35" t="s">
        <v>103</v>
      </c>
      <c r="D56" s="84" t="s">
        <v>45</v>
      </c>
      <c r="E56" s="85">
        <v>0.3</v>
      </c>
      <c r="F56" s="86">
        <v>0.03</v>
      </c>
      <c r="G56" s="86">
        <v>-0.03</v>
      </c>
      <c r="H56" s="87" t="s">
        <v>46</v>
      </c>
      <c r="I56" s="88"/>
      <c r="J56" s="89">
        <v>0.32999999999999996</v>
      </c>
      <c r="K56" s="89">
        <v>0.27</v>
      </c>
      <c r="L56" s="112">
        <v>0.32550000000000001</v>
      </c>
      <c r="M56" s="112">
        <v>0.27449999999999997</v>
      </c>
      <c r="N56" s="112"/>
      <c r="O56" s="112"/>
      <c r="P56" s="90"/>
      <c r="Q56" s="91">
        <f t="shared" si="0"/>
        <v>0</v>
      </c>
      <c r="R56" s="91">
        <f t="shared" si="1"/>
        <v>0</v>
      </c>
      <c r="S56" s="91">
        <f t="shared" si="2"/>
        <v>0</v>
      </c>
      <c r="T56" s="92">
        <f t="shared" si="13"/>
        <v>0</v>
      </c>
      <c r="U56" s="93" t="str">
        <f t="shared" si="4"/>
        <v/>
      </c>
      <c r="V56" s="94" t="str">
        <f>IF(OR($AM56="",ISNUMBER($AM56)=FALSE),"",IF(AND(#REF!="Tolerance",$E56&lt;&gt;""),($S56-$E56)/(($J56-$K56)/2),IF(AND(#REF!="GD&amp;T",$F56&lt;&gt;""),$S56/$F56,"")))</f>
        <v/>
      </c>
      <c r="W56" s="94" t="str">
        <f t="shared" si="10"/>
        <v/>
      </c>
      <c r="X56" s="93" t="str">
        <f t="shared" si="5"/>
        <v/>
      </c>
      <c r="Y56" s="93" t="str">
        <f t="shared" si="6"/>
        <v/>
      </c>
      <c r="Z56" s="93" t="str">
        <f t="shared" si="7"/>
        <v/>
      </c>
      <c r="AA56" s="32" t="str">
        <f t="shared" si="8"/>
        <v/>
      </c>
      <c r="AB56" s="33" t="e">
        <f>IF($S56="","",IF(#REF!="Tolerance",IF((#REF!*3*T56+S56)-E56&lt;F56,"",(#REF!*3*T56+S56)-E56),IF(OR(#REF!="GD&amp;T",#REF!="MAX"),IF((#REF!*3*T56+S56)&lt;F56,"",(#REF!*3*T56+S56)),"")))</f>
        <v>#REF!</v>
      </c>
      <c r="AC56" s="33" t="e">
        <f>IF(S56="","",IF(#REF!="Tolerance",IF(-((#REF!*3*T56)-S56)-E56&gt;G56,"",-((#REF!*3*T56)-S56)-E56),IF(#REF!="MIN",IF(-((#REF!*3*T56)-S56)&gt;G56,"",-((#REF!*3*T56)-S56)),"")))</f>
        <v>#REF!</v>
      </c>
      <c r="AD56" s="33">
        <f t="shared" si="11"/>
        <v>0.3</v>
      </c>
      <c r="AE56" s="33" t="str">
        <f t="shared" si="9"/>
        <v/>
      </c>
      <c r="AF56" s="95"/>
      <c r="AG56" s="96" t="str">
        <f t="shared" si="12"/>
        <v/>
      </c>
      <c r="AH56" s="115"/>
      <c r="AI56" s="97"/>
      <c r="AJ56" s="97"/>
      <c r="AK56" s="98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9"/>
      <c r="BE56" s="99"/>
      <c r="BF56" s="99"/>
      <c r="BG56" s="99"/>
      <c r="BH56" s="99"/>
      <c r="BI56" s="99"/>
      <c r="BJ56" s="99"/>
      <c r="BK56" s="99"/>
      <c r="BL56" s="99"/>
      <c r="BM56" s="99"/>
      <c r="BN56" s="99"/>
      <c r="BO56" s="99"/>
      <c r="BP56" s="99"/>
      <c r="BQ56" s="99"/>
      <c r="BR56" s="99"/>
    </row>
    <row r="57" spans="2:70" ht="19.149999999999999" customHeight="1">
      <c r="B57" s="83" t="s">
        <v>117</v>
      </c>
      <c r="C57" s="35" t="s">
        <v>104</v>
      </c>
      <c r="D57" s="84" t="s">
        <v>45</v>
      </c>
      <c r="E57" s="85">
        <v>0.3</v>
      </c>
      <c r="F57" s="86">
        <v>0.03</v>
      </c>
      <c r="G57" s="86">
        <v>-0.03</v>
      </c>
      <c r="H57" s="87" t="s">
        <v>46</v>
      </c>
      <c r="I57" s="88"/>
      <c r="J57" s="89">
        <v>0.32999999999999996</v>
      </c>
      <c r="K57" s="89">
        <v>0.27</v>
      </c>
      <c r="L57" s="112">
        <v>0.32550000000000001</v>
      </c>
      <c r="M57" s="112">
        <v>0.27449999999999997</v>
      </c>
      <c r="N57" s="112"/>
      <c r="O57" s="112"/>
      <c r="P57" s="90"/>
      <c r="Q57" s="91">
        <f t="shared" si="0"/>
        <v>0</v>
      </c>
      <c r="R57" s="91">
        <f t="shared" si="1"/>
        <v>0</v>
      </c>
      <c r="S57" s="91">
        <f t="shared" si="2"/>
        <v>0</v>
      </c>
      <c r="T57" s="92">
        <f t="shared" si="13"/>
        <v>0</v>
      </c>
      <c r="U57" s="93" t="str">
        <f t="shared" si="4"/>
        <v/>
      </c>
      <c r="V57" s="94" t="str">
        <f>IF(OR($AM57="",ISNUMBER($AM57)=FALSE),"",IF(AND(#REF!="Tolerance",$E57&lt;&gt;""),($S57-$E57)/(($J57-$K57)/2),IF(AND(#REF!="GD&amp;T",$F57&lt;&gt;""),$S57/$F57,"")))</f>
        <v/>
      </c>
      <c r="W57" s="94" t="str">
        <f t="shared" si="10"/>
        <v/>
      </c>
      <c r="X57" s="93" t="str">
        <f t="shared" si="5"/>
        <v/>
      </c>
      <c r="Y57" s="93" t="str">
        <f t="shared" si="6"/>
        <v/>
      </c>
      <c r="Z57" s="93" t="str">
        <f t="shared" si="7"/>
        <v/>
      </c>
      <c r="AA57" s="32" t="str">
        <f t="shared" si="8"/>
        <v/>
      </c>
      <c r="AB57" s="33" t="e">
        <f>IF($S57="","",IF(#REF!="Tolerance",IF((#REF!*3*T57+S57)-E57&lt;F57,"",(#REF!*3*T57+S57)-E57),IF(OR(#REF!="GD&amp;T",#REF!="MAX"),IF((#REF!*3*T57+S57)&lt;F57,"",(#REF!*3*T57+S57)),"")))</f>
        <v>#REF!</v>
      </c>
      <c r="AC57" s="33" t="e">
        <f>IF(S57="","",IF(#REF!="Tolerance",IF(-((#REF!*3*T57)-S57)-E57&gt;G57,"",-((#REF!*3*T57)-S57)-E57),IF(#REF!="MIN",IF(-((#REF!*3*T57)-S57)&gt;G57,"",-((#REF!*3*T57)-S57)),"")))</f>
        <v>#REF!</v>
      </c>
      <c r="AD57" s="33">
        <f t="shared" si="11"/>
        <v>0.3</v>
      </c>
      <c r="AE57" s="33" t="str">
        <f t="shared" si="9"/>
        <v/>
      </c>
      <c r="AF57" s="95"/>
      <c r="AG57" s="96" t="str">
        <f t="shared" si="12"/>
        <v/>
      </c>
      <c r="AH57" s="115"/>
      <c r="AI57" s="97"/>
      <c r="AJ57" s="97"/>
      <c r="AK57" s="98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  <c r="AY57" s="99"/>
      <c r="AZ57" s="99"/>
      <c r="BA57" s="99"/>
      <c r="BB57" s="99"/>
      <c r="BC57" s="99"/>
      <c r="BD57" s="99"/>
      <c r="BE57" s="99"/>
      <c r="BF57" s="99"/>
      <c r="BG57" s="99"/>
      <c r="BH57" s="99"/>
      <c r="BI57" s="99"/>
      <c r="BJ57" s="99"/>
      <c r="BK57" s="99"/>
      <c r="BL57" s="99"/>
      <c r="BM57" s="99"/>
      <c r="BN57" s="99"/>
      <c r="BO57" s="99"/>
      <c r="BP57" s="99"/>
      <c r="BQ57" s="99"/>
      <c r="BR57" s="99"/>
    </row>
    <row r="58" spans="2:70" ht="19.149999999999999" customHeight="1">
      <c r="B58" s="83" t="s">
        <v>94</v>
      </c>
      <c r="C58" s="35" t="s">
        <v>168</v>
      </c>
      <c r="D58" s="84" t="s">
        <v>45</v>
      </c>
      <c r="E58" s="85">
        <v>16.858000000000001</v>
      </c>
      <c r="F58" s="86">
        <v>2.5000000000000001E-2</v>
      </c>
      <c r="G58" s="86">
        <v>-2.5000000000000001E-2</v>
      </c>
      <c r="H58" s="87" t="s">
        <v>46</v>
      </c>
      <c r="I58" s="88"/>
      <c r="J58" s="89">
        <v>16.882999999999999</v>
      </c>
      <c r="K58" s="89">
        <v>16.833000000000002</v>
      </c>
      <c r="L58" s="112">
        <v>16.879249999999999</v>
      </c>
      <c r="M58" s="112">
        <v>16.836750000000002</v>
      </c>
      <c r="N58" s="112"/>
      <c r="O58" s="112"/>
      <c r="P58" s="90"/>
      <c r="Q58" s="91">
        <f t="shared" si="0"/>
        <v>0</v>
      </c>
      <c r="R58" s="91">
        <f t="shared" si="1"/>
        <v>0</v>
      </c>
      <c r="S58" s="91">
        <f t="shared" si="2"/>
        <v>0</v>
      </c>
      <c r="T58" s="92">
        <f t="shared" si="13"/>
        <v>0</v>
      </c>
      <c r="U58" s="93" t="str">
        <f t="shared" si="4"/>
        <v/>
      </c>
      <c r="V58" s="94" t="str">
        <f>IF(OR($AM58="",ISNUMBER($AM58)=FALSE),"",IF(AND(#REF!="Tolerance",$E58&lt;&gt;""),($S58-$E58)/(($J58-$K58)/2),IF(AND(#REF!="GD&amp;T",$F58&lt;&gt;""),$S58/$F58,"")))</f>
        <v/>
      </c>
      <c r="W58" s="94" t="str">
        <f t="shared" si="10"/>
        <v/>
      </c>
      <c r="X58" s="93" t="str">
        <f t="shared" si="5"/>
        <v/>
      </c>
      <c r="Y58" s="93" t="str">
        <f t="shared" si="6"/>
        <v/>
      </c>
      <c r="Z58" s="93" t="str">
        <f t="shared" si="7"/>
        <v/>
      </c>
      <c r="AA58" s="32" t="str">
        <f t="shared" si="8"/>
        <v/>
      </c>
      <c r="AB58" s="33" t="e">
        <f>IF($S58="","",IF(#REF!="Tolerance",IF((#REF!*3*T58+S58)-E58&lt;F58,"",(#REF!*3*T58+S58)-E58),IF(OR(#REF!="GD&amp;T",#REF!="MAX"),IF((#REF!*3*T58+S58)&lt;F58,"",(#REF!*3*T58+S58)),"")))</f>
        <v>#REF!</v>
      </c>
      <c r="AC58" s="33" t="e">
        <f>IF(S58="","",IF(#REF!="Tolerance",IF(-((#REF!*3*T58)-S58)-E58&gt;G58,"",-((#REF!*3*T58)-S58)-E58),IF(#REF!="MIN",IF(-((#REF!*3*T58)-S58)&gt;G58,"",-((#REF!*3*T58)-S58)),"")))</f>
        <v>#REF!</v>
      </c>
      <c r="AD58" s="33">
        <f t="shared" si="11"/>
        <v>16.858000000000001</v>
      </c>
      <c r="AE58" s="33" t="str">
        <f t="shared" si="9"/>
        <v/>
      </c>
      <c r="AF58" s="95"/>
      <c r="AG58" s="96" t="str">
        <f t="shared" si="12"/>
        <v/>
      </c>
      <c r="AH58" s="115"/>
      <c r="AI58" s="97"/>
      <c r="AJ58" s="97"/>
      <c r="AK58" s="98"/>
      <c r="AM58" s="99"/>
      <c r="AN58" s="99"/>
      <c r="AO58" s="99"/>
      <c r="AP58" s="99"/>
      <c r="AQ58" s="99"/>
      <c r="AR58" s="99"/>
      <c r="AS58" s="99"/>
      <c r="AT58" s="99"/>
      <c r="AU58" s="99"/>
      <c r="AV58" s="99"/>
      <c r="AW58" s="99"/>
      <c r="AX58" s="99"/>
      <c r="AY58" s="99"/>
      <c r="AZ58" s="99"/>
      <c r="BA58" s="99"/>
      <c r="BB58" s="99"/>
      <c r="BC58" s="99"/>
      <c r="BD58" s="99"/>
      <c r="BE58" s="99"/>
      <c r="BF58" s="99"/>
      <c r="BG58" s="99"/>
      <c r="BH58" s="99"/>
      <c r="BI58" s="99"/>
      <c r="BJ58" s="99"/>
      <c r="BK58" s="99"/>
      <c r="BL58" s="99"/>
      <c r="BM58" s="99"/>
      <c r="BN58" s="99"/>
      <c r="BO58" s="99"/>
      <c r="BP58" s="99"/>
      <c r="BQ58" s="99"/>
      <c r="BR58" s="99"/>
    </row>
    <row r="59" spans="2:70" ht="19.149999999999999" customHeight="1">
      <c r="B59" s="83" t="s">
        <v>219</v>
      </c>
      <c r="C59" s="35" t="s">
        <v>170</v>
      </c>
      <c r="D59" s="84" t="s">
        <v>45</v>
      </c>
      <c r="E59" s="85">
        <v>0.28000000000000003</v>
      </c>
      <c r="F59" s="86">
        <v>0.02</v>
      </c>
      <c r="G59" s="86">
        <v>-0.02</v>
      </c>
      <c r="H59" s="87" t="s">
        <v>46</v>
      </c>
      <c r="I59" s="88"/>
      <c r="J59" s="89">
        <v>0.30000000000000004</v>
      </c>
      <c r="K59" s="89">
        <v>0.26</v>
      </c>
      <c r="L59" s="112">
        <v>0.29700000000000004</v>
      </c>
      <c r="M59" s="112">
        <v>0.26300000000000001</v>
      </c>
      <c r="N59" s="112"/>
      <c r="O59" s="112"/>
      <c r="P59" s="90"/>
      <c r="Q59" s="91">
        <f t="shared" si="0"/>
        <v>0</v>
      </c>
      <c r="R59" s="91">
        <f t="shared" si="1"/>
        <v>0</v>
      </c>
      <c r="S59" s="91">
        <f t="shared" si="2"/>
        <v>0</v>
      </c>
      <c r="T59" s="92">
        <f t="shared" si="13"/>
        <v>0</v>
      </c>
      <c r="U59" s="93" t="str">
        <f t="shared" si="4"/>
        <v/>
      </c>
      <c r="V59" s="94" t="str">
        <f>IF(OR($AM59="",ISNUMBER($AM59)=FALSE),"",IF(AND(#REF!="Tolerance",$E59&lt;&gt;""),($S59-$E59)/(($J59-$K59)/2),IF(AND(#REF!="GD&amp;T",$F59&lt;&gt;""),$S59/$F59,"")))</f>
        <v/>
      </c>
      <c r="W59" s="94" t="str">
        <f t="shared" si="10"/>
        <v/>
      </c>
      <c r="X59" s="93" t="str">
        <f t="shared" si="5"/>
        <v/>
      </c>
      <c r="Y59" s="93" t="str">
        <f t="shared" si="6"/>
        <v/>
      </c>
      <c r="Z59" s="93" t="str">
        <f t="shared" si="7"/>
        <v/>
      </c>
      <c r="AA59" s="32" t="str">
        <f t="shared" si="8"/>
        <v/>
      </c>
      <c r="AB59" s="33" t="e">
        <f>IF($S59="","",IF(#REF!="Tolerance",IF((#REF!*3*T59+S59)-E59&lt;F59,"",(#REF!*3*T59+S59)-E59),IF(OR(#REF!="GD&amp;T",#REF!="MAX"),IF((#REF!*3*T59+S59)&lt;F59,"",(#REF!*3*T59+S59)),"")))</f>
        <v>#REF!</v>
      </c>
      <c r="AC59" s="33" t="e">
        <f>IF(S59="","",IF(#REF!="Tolerance",IF(-((#REF!*3*T59)-S59)-E59&gt;G59,"",-((#REF!*3*T59)-S59)-E59),IF(#REF!="MIN",IF(-((#REF!*3*T59)-S59)&gt;G59,"",-((#REF!*3*T59)-S59)),"")))</f>
        <v>#REF!</v>
      </c>
      <c r="AD59" s="33">
        <f t="shared" si="11"/>
        <v>0.28000000000000003</v>
      </c>
      <c r="AE59" s="33" t="str">
        <f t="shared" si="9"/>
        <v/>
      </c>
      <c r="AF59" s="95"/>
      <c r="AG59" s="96" t="str">
        <f t="shared" si="12"/>
        <v/>
      </c>
      <c r="AH59" s="115"/>
      <c r="AI59" s="97"/>
      <c r="AJ59" s="97"/>
      <c r="AK59" s="98"/>
      <c r="AM59" s="99"/>
      <c r="AN59" s="99"/>
      <c r="AO59" s="99"/>
      <c r="AP59" s="99"/>
      <c r="AQ59" s="99"/>
      <c r="AR59" s="99"/>
      <c r="AS59" s="99"/>
      <c r="AT59" s="99"/>
      <c r="AU59" s="99"/>
      <c r="AV59" s="99"/>
      <c r="AW59" s="99"/>
      <c r="AX59" s="99"/>
      <c r="AY59" s="99"/>
      <c r="AZ59" s="99"/>
      <c r="BA59" s="99"/>
      <c r="BB59" s="99"/>
      <c r="BC59" s="99"/>
      <c r="BD59" s="99"/>
      <c r="BE59" s="99"/>
      <c r="BF59" s="99"/>
      <c r="BG59" s="99"/>
      <c r="BH59" s="99"/>
      <c r="BI59" s="99"/>
      <c r="BJ59" s="99"/>
      <c r="BK59" s="99"/>
      <c r="BL59" s="99"/>
      <c r="BM59" s="99"/>
      <c r="BN59" s="99"/>
      <c r="BO59" s="99"/>
      <c r="BP59" s="99"/>
      <c r="BQ59" s="99"/>
      <c r="BR59" s="99"/>
    </row>
    <row r="60" spans="2:70" ht="19.149999999999999" customHeight="1">
      <c r="B60" s="83" t="s">
        <v>116</v>
      </c>
      <c r="C60" s="35" t="s">
        <v>171</v>
      </c>
      <c r="D60" s="84" t="s">
        <v>45</v>
      </c>
      <c r="E60" s="85">
        <v>2.44</v>
      </c>
      <c r="F60" s="86">
        <v>0.03</v>
      </c>
      <c r="G60" s="86">
        <v>-0.02</v>
      </c>
      <c r="H60" s="87" t="s">
        <v>46</v>
      </c>
      <c r="I60" s="88"/>
      <c r="J60" s="89">
        <v>2.4699999999999998</v>
      </c>
      <c r="K60" s="89">
        <v>2.42</v>
      </c>
      <c r="L60" s="112">
        <v>2.4655</v>
      </c>
      <c r="M60" s="112">
        <v>2.423</v>
      </c>
      <c r="N60" s="112"/>
      <c r="O60" s="112"/>
      <c r="P60" s="90"/>
      <c r="Q60" s="91">
        <f t="shared" si="0"/>
        <v>0</v>
      </c>
      <c r="R60" s="91">
        <f t="shared" si="1"/>
        <v>0</v>
      </c>
      <c r="S60" s="91">
        <f t="shared" si="2"/>
        <v>0</v>
      </c>
      <c r="T60" s="92">
        <f t="shared" si="13"/>
        <v>0</v>
      </c>
      <c r="U60" s="93" t="str">
        <f t="shared" si="4"/>
        <v/>
      </c>
      <c r="V60" s="94" t="str">
        <f>IF(OR($AM60="",ISNUMBER($AM60)=FALSE),"",IF(AND(#REF!="Tolerance",$E60&lt;&gt;""),($S60-$E60)/(($J60-$K60)/2),IF(AND(#REF!="GD&amp;T",$F60&lt;&gt;""),$S60/$F60,"")))</f>
        <v/>
      </c>
      <c r="W60" s="94" t="str">
        <f t="shared" si="10"/>
        <v/>
      </c>
      <c r="X60" s="93" t="str">
        <f t="shared" si="5"/>
        <v/>
      </c>
      <c r="Y60" s="93" t="str">
        <f t="shared" si="6"/>
        <v/>
      </c>
      <c r="Z60" s="93" t="str">
        <f t="shared" si="7"/>
        <v/>
      </c>
      <c r="AA60" s="32" t="str">
        <f t="shared" si="8"/>
        <v/>
      </c>
      <c r="AB60" s="33" t="e">
        <f>IF($S60="","",IF(#REF!="Tolerance",IF((#REF!*3*T60+S60)-E60&lt;F60,"",(#REF!*3*T60+S60)-E60),IF(OR(#REF!="GD&amp;T",#REF!="MAX"),IF((#REF!*3*T60+S60)&lt;F60,"",(#REF!*3*T60+S60)),"")))</f>
        <v>#REF!</v>
      </c>
      <c r="AC60" s="33" t="e">
        <f>IF(S60="","",IF(#REF!="Tolerance",IF(-((#REF!*3*T60)-S60)-E60&gt;G60,"",-((#REF!*3*T60)-S60)-E60),IF(#REF!="MIN",IF(-((#REF!*3*T60)-S60)&gt;G60,"",-((#REF!*3*T60)-S60)),"")))</f>
        <v>#REF!</v>
      </c>
      <c r="AD60" s="33">
        <f t="shared" si="11"/>
        <v>2.4449999999999998</v>
      </c>
      <c r="AE60" s="33" t="str">
        <f t="shared" si="9"/>
        <v/>
      </c>
      <c r="AF60" s="95"/>
      <c r="AG60" s="96" t="str">
        <f t="shared" si="12"/>
        <v/>
      </c>
      <c r="AH60" s="115"/>
      <c r="AI60" s="97"/>
      <c r="AJ60" s="97"/>
      <c r="AK60" s="98"/>
      <c r="AM60" s="99"/>
      <c r="AN60" s="99"/>
      <c r="AO60" s="99"/>
      <c r="AP60" s="99"/>
      <c r="AQ60" s="99"/>
      <c r="AR60" s="99"/>
      <c r="AS60" s="99"/>
      <c r="AT60" s="99"/>
      <c r="AU60" s="99"/>
      <c r="AV60" s="99"/>
      <c r="AW60" s="99"/>
      <c r="AX60" s="99"/>
      <c r="AY60" s="99"/>
      <c r="AZ60" s="99"/>
      <c r="BA60" s="99"/>
      <c r="BB60" s="99"/>
      <c r="BC60" s="99"/>
      <c r="BD60" s="99"/>
      <c r="BE60" s="99"/>
      <c r="BF60" s="99"/>
      <c r="BG60" s="99"/>
      <c r="BH60" s="99"/>
      <c r="BI60" s="99"/>
      <c r="BJ60" s="99"/>
      <c r="BK60" s="99"/>
      <c r="BL60" s="99"/>
      <c r="BM60" s="99"/>
      <c r="BN60" s="99"/>
      <c r="BO60" s="99"/>
      <c r="BP60" s="99"/>
      <c r="BQ60" s="99"/>
      <c r="BR60" s="99"/>
    </row>
    <row r="61" spans="2:70" ht="19.149999999999999" customHeight="1">
      <c r="B61" s="83" t="s">
        <v>95</v>
      </c>
      <c r="C61" s="35" t="s">
        <v>179</v>
      </c>
      <c r="D61" s="84" t="s">
        <v>45</v>
      </c>
      <c r="E61" s="85">
        <v>16.788</v>
      </c>
      <c r="F61" s="86">
        <v>0.02</v>
      </c>
      <c r="G61" s="86">
        <v>-0.04</v>
      </c>
      <c r="H61" s="87" t="s">
        <v>46</v>
      </c>
      <c r="I61" s="88"/>
      <c r="J61" s="89">
        <v>16.808</v>
      </c>
      <c r="K61" s="89">
        <v>16.748000000000001</v>
      </c>
      <c r="L61" s="112">
        <v>16.805</v>
      </c>
      <c r="M61" s="112">
        <v>16.754000000000001</v>
      </c>
      <c r="N61" s="112"/>
      <c r="O61" s="112"/>
      <c r="P61" s="90"/>
      <c r="Q61" s="91">
        <f t="shared" si="0"/>
        <v>0</v>
      </c>
      <c r="R61" s="91">
        <f t="shared" si="1"/>
        <v>0</v>
      </c>
      <c r="S61" s="91">
        <f t="shared" si="2"/>
        <v>0</v>
      </c>
      <c r="T61" s="92">
        <f t="shared" si="13"/>
        <v>0</v>
      </c>
      <c r="U61" s="93" t="str">
        <f t="shared" si="4"/>
        <v/>
      </c>
      <c r="V61" s="94" t="str">
        <f>IF(OR($AM61="",ISNUMBER($AM61)=FALSE),"",IF(AND(#REF!="Tolerance",$E61&lt;&gt;""),($S61-$E61)/(($J61-$K61)/2),IF(AND(#REF!="GD&amp;T",$F61&lt;&gt;""),$S61/$F61,"")))</f>
        <v/>
      </c>
      <c r="W61" s="94" t="str">
        <f t="shared" si="10"/>
        <v/>
      </c>
      <c r="X61" s="93" t="str">
        <f t="shared" si="5"/>
        <v/>
      </c>
      <c r="Y61" s="93" t="str">
        <f t="shared" si="6"/>
        <v/>
      </c>
      <c r="Z61" s="93" t="str">
        <f t="shared" si="7"/>
        <v/>
      </c>
      <c r="AA61" s="32" t="str">
        <f t="shared" si="8"/>
        <v/>
      </c>
      <c r="AB61" s="33" t="e">
        <f>IF($S61="","",IF(#REF!="Tolerance",IF((#REF!*3*T61+S61)-E61&lt;F61,"",(#REF!*3*T61+S61)-E61),IF(OR(#REF!="GD&amp;T",#REF!="MAX"),IF((#REF!*3*T61+S61)&lt;F61,"",(#REF!*3*T61+S61)),"")))</f>
        <v>#REF!</v>
      </c>
      <c r="AC61" s="33" t="e">
        <f>IF(S61="","",IF(#REF!="Tolerance",IF(-((#REF!*3*T61)-S61)-E61&gt;G61,"",-((#REF!*3*T61)-S61)-E61),IF(#REF!="MIN",IF(-((#REF!*3*T61)-S61)&gt;G61,"",-((#REF!*3*T61)-S61)),"")))</f>
        <v>#REF!</v>
      </c>
      <c r="AD61" s="33">
        <f t="shared" si="11"/>
        <v>16.777999999999999</v>
      </c>
      <c r="AE61" s="33" t="str">
        <f t="shared" si="9"/>
        <v/>
      </c>
      <c r="AF61" s="95"/>
      <c r="AG61" s="96" t="str">
        <f t="shared" si="12"/>
        <v/>
      </c>
      <c r="AH61" s="115"/>
      <c r="AI61" s="97"/>
      <c r="AJ61" s="97"/>
      <c r="AK61" s="98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  <c r="AY61" s="99"/>
      <c r="AZ61" s="99"/>
      <c r="BA61" s="99"/>
      <c r="BB61" s="99"/>
      <c r="BC61" s="99"/>
      <c r="BD61" s="99"/>
      <c r="BE61" s="99"/>
      <c r="BF61" s="99"/>
      <c r="BG61" s="99"/>
      <c r="BH61" s="99"/>
      <c r="BI61" s="99"/>
      <c r="BJ61" s="99"/>
      <c r="BK61" s="99"/>
      <c r="BL61" s="99"/>
      <c r="BM61" s="99"/>
      <c r="BN61" s="99"/>
      <c r="BO61" s="99"/>
      <c r="BP61" s="99"/>
      <c r="BQ61" s="99"/>
      <c r="BR61" s="99"/>
    </row>
    <row r="62" spans="2:70" ht="19.149999999999999" customHeight="1">
      <c r="B62" s="83" t="s">
        <v>91</v>
      </c>
      <c r="C62" s="35" t="s">
        <v>180</v>
      </c>
      <c r="D62" s="84" t="s">
        <v>45</v>
      </c>
      <c r="E62" s="85">
        <v>0.23</v>
      </c>
      <c r="F62" s="86">
        <v>0.02</v>
      </c>
      <c r="G62" s="86">
        <v>-0.02</v>
      </c>
      <c r="H62" s="87" t="s">
        <v>111</v>
      </c>
      <c r="I62" s="88"/>
      <c r="J62" s="89">
        <v>0.25</v>
      </c>
      <c r="K62" s="89">
        <v>0.21000000000000002</v>
      </c>
      <c r="L62" s="112">
        <v>0.247</v>
      </c>
      <c r="M62" s="112">
        <v>0.21300000000000002</v>
      </c>
      <c r="N62" s="112"/>
      <c r="O62" s="112"/>
      <c r="P62" s="90"/>
      <c r="Q62" s="91">
        <f t="shared" si="0"/>
        <v>0</v>
      </c>
      <c r="R62" s="91">
        <f t="shared" si="1"/>
        <v>0</v>
      </c>
      <c r="S62" s="91">
        <f t="shared" si="2"/>
        <v>0</v>
      </c>
      <c r="T62" s="92">
        <f t="shared" si="13"/>
        <v>0</v>
      </c>
      <c r="U62" s="93" t="str">
        <f t="shared" si="4"/>
        <v/>
      </c>
      <c r="V62" s="94" t="str">
        <f>IF(OR($AM62="",ISNUMBER($AM62)=FALSE),"",IF(AND(#REF!="Tolerance",$E62&lt;&gt;""),($S62-$E62)/(($J62-$K62)/2),IF(AND(#REF!="GD&amp;T",$F62&lt;&gt;""),$S62/$F62,"")))</f>
        <v/>
      </c>
      <c r="W62" s="94" t="str">
        <f t="shared" si="10"/>
        <v/>
      </c>
      <c r="X62" s="93" t="str">
        <f t="shared" si="5"/>
        <v/>
      </c>
      <c r="Y62" s="93" t="str">
        <f t="shared" si="6"/>
        <v/>
      </c>
      <c r="Z62" s="93" t="str">
        <f t="shared" si="7"/>
        <v/>
      </c>
      <c r="AA62" s="32" t="str">
        <f t="shared" si="8"/>
        <v/>
      </c>
      <c r="AB62" s="33" t="e">
        <f>IF($S62="","",IF(#REF!="Tolerance",IF((#REF!*3*T62+S62)-E62&lt;F62,"",(#REF!*3*T62+S62)-E62),IF(OR(#REF!="GD&amp;T",#REF!="MAX"),IF((#REF!*3*T62+S62)&lt;F62,"",(#REF!*3*T62+S62)),"")))</f>
        <v>#REF!</v>
      </c>
      <c r="AC62" s="33" t="e">
        <f>IF(S62="","",IF(#REF!="Tolerance",IF(-((#REF!*3*T62)-S62)-E62&gt;G62,"",-((#REF!*3*T62)-S62)-E62),IF(#REF!="MIN",IF(-((#REF!*3*T62)-S62)&gt;G62,"",-((#REF!*3*T62)-S62)),"")))</f>
        <v>#REF!</v>
      </c>
      <c r="AD62" s="33">
        <f t="shared" si="11"/>
        <v>0.23</v>
      </c>
      <c r="AE62" s="33" t="str">
        <f t="shared" si="9"/>
        <v/>
      </c>
      <c r="AF62" s="95"/>
      <c r="AG62" s="96" t="str">
        <f t="shared" si="12"/>
        <v/>
      </c>
      <c r="AH62" s="115"/>
      <c r="AI62" s="97"/>
      <c r="AJ62" s="97"/>
      <c r="AK62" s="98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99"/>
      <c r="BC62" s="99"/>
      <c r="BD62" s="99"/>
      <c r="BE62" s="99"/>
      <c r="BF62" s="99"/>
      <c r="BG62" s="99"/>
      <c r="BH62" s="99"/>
      <c r="BI62" s="99"/>
      <c r="BJ62" s="99"/>
      <c r="BK62" s="99"/>
      <c r="BL62" s="99"/>
      <c r="BM62" s="99"/>
      <c r="BN62" s="99"/>
      <c r="BO62" s="99"/>
      <c r="BP62" s="99"/>
      <c r="BQ62" s="99"/>
      <c r="BR62" s="99"/>
    </row>
    <row r="63" spans="2:70" ht="19.149999999999999" customHeight="1">
      <c r="B63" s="100" t="s">
        <v>91</v>
      </c>
      <c r="C63" s="35" t="s">
        <v>181</v>
      </c>
      <c r="D63" s="84" t="s">
        <v>45</v>
      </c>
      <c r="E63" s="85">
        <v>0.23</v>
      </c>
      <c r="F63" s="86">
        <v>0.02</v>
      </c>
      <c r="G63" s="86">
        <v>-0.02</v>
      </c>
      <c r="H63" s="87" t="s">
        <v>111</v>
      </c>
      <c r="I63" s="88"/>
      <c r="J63" s="89">
        <v>0.25</v>
      </c>
      <c r="K63" s="89">
        <v>0.21000000000000002</v>
      </c>
      <c r="L63" s="112">
        <v>0.247</v>
      </c>
      <c r="M63" s="112">
        <v>0.21300000000000002</v>
      </c>
      <c r="N63" s="112"/>
      <c r="O63" s="112"/>
      <c r="P63" s="90"/>
      <c r="Q63" s="91">
        <f t="shared" si="0"/>
        <v>0</v>
      </c>
      <c r="R63" s="91">
        <f t="shared" si="1"/>
        <v>0</v>
      </c>
      <c r="S63" s="91">
        <f t="shared" si="2"/>
        <v>0</v>
      </c>
      <c r="T63" s="92">
        <f t="shared" si="13"/>
        <v>0</v>
      </c>
      <c r="U63" s="93" t="str">
        <f t="shared" si="4"/>
        <v/>
      </c>
      <c r="V63" s="94" t="str">
        <f>IF(OR($AM63="",ISNUMBER($AM63)=FALSE),"",IF(AND(#REF!="Tolerance",$E63&lt;&gt;""),($S63-$E63)/(($J63-$K63)/2),IF(AND(#REF!="GD&amp;T",$F63&lt;&gt;""),$S63/$F63,"")))</f>
        <v/>
      </c>
      <c r="W63" s="94" t="str">
        <f t="shared" si="10"/>
        <v/>
      </c>
      <c r="X63" s="93" t="str">
        <f t="shared" si="5"/>
        <v/>
      </c>
      <c r="Y63" s="93" t="str">
        <f t="shared" si="6"/>
        <v/>
      </c>
      <c r="Z63" s="93" t="str">
        <f t="shared" si="7"/>
        <v/>
      </c>
      <c r="AA63" s="32" t="str">
        <f t="shared" si="8"/>
        <v/>
      </c>
      <c r="AB63" s="33" t="e">
        <f>IF($S63="","",IF(#REF!="Tolerance",IF((#REF!*3*T63+S63)-E63&lt;F63,"",(#REF!*3*T63+S63)-E63),IF(OR(#REF!="GD&amp;T",#REF!="MAX"),IF((#REF!*3*T63+S63)&lt;F63,"",(#REF!*3*T63+S63)),"")))</f>
        <v>#REF!</v>
      </c>
      <c r="AC63" s="33" t="e">
        <f>IF(S63="","",IF(#REF!="Tolerance",IF(-((#REF!*3*T63)-S63)-E63&gt;G63,"",-((#REF!*3*T63)-S63)-E63),IF(#REF!="MIN",IF(-((#REF!*3*T63)-S63)&gt;G63,"",-((#REF!*3*T63)-S63)),"")))</f>
        <v>#REF!</v>
      </c>
      <c r="AD63" s="33">
        <f t="shared" si="11"/>
        <v>0.23</v>
      </c>
      <c r="AE63" s="33" t="str">
        <f t="shared" si="9"/>
        <v/>
      </c>
      <c r="AF63" s="95"/>
      <c r="AG63" s="96" t="str">
        <f t="shared" si="12"/>
        <v/>
      </c>
      <c r="AH63" s="115"/>
      <c r="AI63" s="97"/>
      <c r="AJ63" s="97"/>
      <c r="AK63" s="98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  <c r="AY63" s="99"/>
      <c r="AZ63" s="99"/>
      <c r="BA63" s="99"/>
      <c r="BB63" s="99"/>
      <c r="BC63" s="99"/>
      <c r="BD63" s="99"/>
      <c r="BE63" s="99"/>
      <c r="BF63" s="99"/>
      <c r="BG63" s="99"/>
      <c r="BH63" s="99"/>
      <c r="BI63" s="99"/>
      <c r="BJ63" s="99"/>
      <c r="BK63" s="99"/>
      <c r="BL63" s="99"/>
      <c r="BM63" s="99"/>
      <c r="BN63" s="99"/>
      <c r="BO63" s="99"/>
      <c r="BP63" s="99"/>
      <c r="BQ63" s="99"/>
      <c r="BR63" s="99"/>
    </row>
    <row r="64" spans="2:70" ht="19.149999999999999" customHeight="1">
      <c r="B64" s="83" t="s">
        <v>282</v>
      </c>
      <c r="C64" s="35" t="s">
        <v>222</v>
      </c>
      <c r="D64" s="84" t="s">
        <v>45</v>
      </c>
      <c r="E64" s="85">
        <v>16.46</v>
      </c>
      <c r="F64" s="86">
        <v>0.03</v>
      </c>
      <c r="G64" s="86">
        <v>-0.03</v>
      </c>
      <c r="H64" s="87" t="s">
        <v>46</v>
      </c>
      <c r="I64" s="88"/>
      <c r="J64" s="89">
        <v>16.490000000000002</v>
      </c>
      <c r="K64" s="89">
        <v>16.43</v>
      </c>
      <c r="L64" s="112">
        <v>16.485500000000002</v>
      </c>
      <c r="M64" s="112">
        <v>16.4345</v>
      </c>
      <c r="N64" s="112">
        <v>16.482500000000002</v>
      </c>
      <c r="O64" s="112">
        <v>16.4375</v>
      </c>
      <c r="P64" s="90"/>
      <c r="Q64" s="91">
        <f t="shared" si="0"/>
        <v>0</v>
      </c>
      <c r="R64" s="91">
        <f t="shared" si="1"/>
        <v>0</v>
      </c>
      <c r="S64" s="91">
        <f t="shared" si="2"/>
        <v>0</v>
      </c>
      <c r="T64" s="92">
        <f t="shared" si="13"/>
        <v>0</v>
      </c>
      <c r="U64" s="93" t="str">
        <f t="shared" si="4"/>
        <v/>
      </c>
      <c r="V64" s="94" t="str">
        <f>IF(OR($AM64="",ISNUMBER($AM64)=FALSE),"",IF(AND(#REF!="Tolerance",$E64&lt;&gt;""),($S64-$E64)/(($J64-$K64)/2),IF(AND(#REF!="GD&amp;T",$F64&lt;&gt;""),$S64/$F64,"")))</f>
        <v/>
      </c>
      <c r="W64" s="94" t="str">
        <f t="shared" si="10"/>
        <v/>
      </c>
      <c r="X64" s="93" t="str">
        <f t="shared" si="5"/>
        <v/>
      </c>
      <c r="Y64" s="93" t="str">
        <f t="shared" si="6"/>
        <v/>
      </c>
      <c r="Z64" s="93" t="str">
        <f t="shared" si="7"/>
        <v/>
      </c>
      <c r="AA64" s="32" t="str">
        <f t="shared" si="8"/>
        <v/>
      </c>
      <c r="AB64" s="33" t="e">
        <f>IF($S64="","",IF(#REF!="Tolerance",IF((#REF!*3*T64+S64)-E64&lt;F64,"",(#REF!*3*T64+S64)-E64),IF(OR(#REF!="GD&amp;T",#REF!="MAX"),IF((#REF!*3*T64+S64)&lt;F64,"",(#REF!*3*T64+S64)),"")))</f>
        <v>#REF!</v>
      </c>
      <c r="AC64" s="33" t="e">
        <f>IF(S64="","",IF(#REF!="Tolerance",IF(-((#REF!*3*T64)-S64)-E64&gt;G64,"",-((#REF!*3*T64)-S64)-E64),IF(#REF!="MIN",IF(-((#REF!*3*T64)-S64)&gt;G64,"",-((#REF!*3*T64)-S64)),"")))</f>
        <v>#REF!</v>
      </c>
      <c r="AD64" s="33">
        <f t="shared" si="11"/>
        <v>16.46</v>
      </c>
      <c r="AE64" s="33" t="str">
        <f t="shared" si="9"/>
        <v/>
      </c>
      <c r="AF64" s="95"/>
      <c r="AG64" s="96" t="str">
        <f t="shared" si="12"/>
        <v/>
      </c>
      <c r="AH64" s="115"/>
      <c r="AI64" s="97"/>
      <c r="AJ64" s="97"/>
      <c r="AK64" s="98"/>
      <c r="AM64" s="99"/>
      <c r="AN64" s="99"/>
      <c r="AO64" s="99"/>
      <c r="AP64" s="99"/>
      <c r="AQ64" s="99"/>
      <c r="AR64" s="99"/>
      <c r="AS64" s="99"/>
      <c r="AT64" s="99"/>
      <c r="AU64" s="99"/>
      <c r="AV64" s="99"/>
      <c r="AW64" s="99"/>
      <c r="AX64" s="99"/>
      <c r="AY64" s="99"/>
      <c r="AZ64" s="99"/>
      <c r="BA64" s="99"/>
      <c r="BB64" s="99"/>
      <c r="BC64" s="99"/>
      <c r="BD64" s="99"/>
      <c r="BE64" s="99"/>
      <c r="BF64" s="99"/>
      <c r="BG64" s="99"/>
      <c r="BH64" s="99"/>
      <c r="BI64" s="99"/>
      <c r="BJ64" s="99"/>
      <c r="BK64" s="99"/>
      <c r="BL64" s="99"/>
      <c r="BM64" s="99"/>
      <c r="BN64" s="99"/>
      <c r="BO64" s="99"/>
      <c r="BP64" s="99"/>
      <c r="BQ64" s="99"/>
      <c r="BR64" s="99"/>
    </row>
    <row r="65" spans="2:70" ht="19.149999999999999" customHeight="1">
      <c r="B65" s="83" t="s">
        <v>282</v>
      </c>
      <c r="C65" s="35" t="s">
        <v>223</v>
      </c>
      <c r="D65" s="84" t="s">
        <v>45</v>
      </c>
      <c r="E65" s="85">
        <v>16.46</v>
      </c>
      <c r="F65" s="86">
        <v>0.03</v>
      </c>
      <c r="G65" s="86">
        <v>-0.03</v>
      </c>
      <c r="H65" s="87" t="s">
        <v>46</v>
      </c>
      <c r="I65" s="88"/>
      <c r="J65" s="89">
        <v>16.490000000000002</v>
      </c>
      <c r="K65" s="89">
        <v>16.43</v>
      </c>
      <c r="L65" s="112">
        <v>16.485500000000002</v>
      </c>
      <c r="M65" s="112">
        <v>16.4345</v>
      </c>
      <c r="N65" s="112">
        <v>16.482500000000002</v>
      </c>
      <c r="O65" s="112">
        <v>16.4375</v>
      </c>
      <c r="P65" s="90"/>
      <c r="Q65" s="91">
        <f t="shared" si="0"/>
        <v>0</v>
      </c>
      <c r="R65" s="91">
        <f t="shared" si="1"/>
        <v>0</v>
      </c>
      <c r="S65" s="91">
        <f t="shared" si="2"/>
        <v>0</v>
      </c>
      <c r="T65" s="92">
        <f t="shared" si="13"/>
        <v>0</v>
      </c>
      <c r="U65" s="93" t="str">
        <f t="shared" si="4"/>
        <v/>
      </c>
      <c r="V65" s="94" t="str">
        <f>IF(OR($AM65="",ISNUMBER($AM65)=FALSE),"",IF(AND(#REF!="Tolerance",$E65&lt;&gt;""),($S65-$E65)/(($J65-$K65)/2),IF(AND(#REF!="GD&amp;T",$F65&lt;&gt;""),$S65/$F65,"")))</f>
        <v/>
      </c>
      <c r="W65" s="94" t="str">
        <f t="shared" si="10"/>
        <v/>
      </c>
      <c r="X65" s="93" t="str">
        <f t="shared" si="5"/>
        <v/>
      </c>
      <c r="Y65" s="93" t="str">
        <f t="shared" si="6"/>
        <v/>
      </c>
      <c r="Z65" s="93" t="str">
        <f t="shared" si="7"/>
        <v/>
      </c>
      <c r="AA65" s="32" t="str">
        <f t="shared" si="8"/>
        <v/>
      </c>
      <c r="AB65" s="33" t="e">
        <f>IF($S65="","",IF(#REF!="Tolerance",IF((#REF!*3*T65+S65)-E65&lt;F65,"",(#REF!*3*T65+S65)-E65),IF(OR(#REF!="GD&amp;T",#REF!="MAX"),IF((#REF!*3*T65+S65)&lt;F65,"",(#REF!*3*T65+S65)),"")))</f>
        <v>#REF!</v>
      </c>
      <c r="AC65" s="33" t="e">
        <f>IF(S65="","",IF(#REF!="Tolerance",IF(-((#REF!*3*T65)-S65)-E65&gt;G65,"",-((#REF!*3*T65)-S65)-E65),IF(#REF!="MIN",IF(-((#REF!*3*T65)-S65)&gt;G65,"",-((#REF!*3*T65)-S65)),"")))</f>
        <v>#REF!</v>
      </c>
      <c r="AD65" s="33">
        <f t="shared" si="11"/>
        <v>16.46</v>
      </c>
      <c r="AE65" s="33" t="str">
        <f t="shared" si="9"/>
        <v/>
      </c>
      <c r="AF65" s="95"/>
      <c r="AG65" s="96" t="str">
        <f t="shared" si="12"/>
        <v/>
      </c>
      <c r="AH65" s="115"/>
      <c r="AI65" s="97"/>
      <c r="AJ65" s="97"/>
      <c r="AK65" s="98"/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  <c r="AX65" s="99"/>
      <c r="AY65" s="99"/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J65" s="99"/>
      <c r="BK65" s="99"/>
      <c r="BL65" s="99"/>
      <c r="BM65" s="99"/>
      <c r="BN65" s="99"/>
      <c r="BO65" s="99"/>
      <c r="BP65" s="99"/>
      <c r="BQ65" s="99"/>
      <c r="BR65" s="99"/>
    </row>
    <row r="66" spans="2:70" ht="19.149999999999999" customHeight="1">
      <c r="B66" s="83" t="s">
        <v>282</v>
      </c>
      <c r="C66" s="35" t="s">
        <v>273</v>
      </c>
      <c r="D66" s="84" t="s">
        <v>274</v>
      </c>
      <c r="E66" s="85">
        <v>16.46</v>
      </c>
      <c r="F66" s="86">
        <v>0.03</v>
      </c>
      <c r="G66" s="86">
        <v>-0.03</v>
      </c>
      <c r="H66" s="87" t="s">
        <v>46</v>
      </c>
      <c r="I66" s="88"/>
      <c r="J66" s="89">
        <v>16.490000000000002</v>
      </c>
      <c r="K66" s="89">
        <v>16.43</v>
      </c>
      <c r="L66" s="112">
        <v>16.485500000000002</v>
      </c>
      <c r="M66" s="112">
        <v>16.4345</v>
      </c>
      <c r="N66" s="112">
        <v>16.482500000000002</v>
      </c>
      <c r="O66" s="112">
        <v>16.4375</v>
      </c>
      <c r="P66" s="90"/>
      <c r="Q66" s="91">
        <f t="shared" si="0"/>
        <v>0</v>
      </c>
      <c r="R66" s="91">
        <f t="shared" si="1"/>
        <v>0</v>
      </c>
      <c r="S66" s="91">
        <f t="shared" si="2"/>
        <v>0</v>
      </c>
      <c r="T66" s="92">
        <f t="shared" si="13"/>
        <v>0</v>
      </c>
      <c r="U66" s="93" t="str">
        <f t="shared" si="4"/>
        <v/>
      </c>
      <c r="V66" s="94" t="str">
        <f>IF(OR($AM66="",ISNUMBER($AM66)=FALSE),"",IF(AND(#REF!="Tolerance",$E66&lt;&gt;""),($S66-$E66)/(($J66-$K66)/2),IF(AND(#REF!="GD&amp;T",$F66&lt;&gt;""),$S66/$F66,"")))</f>
        <v/>
      </c>
      <c r="W66" s="94" t="str">
        <f t="shared" si="10"/>
        <v/>
      </c>
      <c r="X66" s="93" t="str">
        <f t="shared" si="5"/>
        <v/>
      </c>
      <c r="Y66" s="93" t="str">
        <f t="shared" si="6"/>
        <v/>
      </c>
      <c r="Z66" s="93" t="str">
        <f t="shared" si="7"/>
        <v/>
      </c>
      <c r="AA66" s="32" t="str">
        <f t="shared" si="8"/>
        <v/>
      </c>
      <c r="AB66" s="33" t="e">
        <f>IF($S66="","",IF(#REF!="Tolerance",IF((#REF!*3*T66+S66)-E66&lt;F66,"",(#REF!*3*T66+S66)-E66),IF(OR(#REF!="GD&amp;T",#REF!="MAX"),IF((#REF!*3*T66+S66)&lt;F66,"",(#REF!*3*T66+S66)),"")))</f>
        <v>#REF!</v>
      </c>
      <c r="AC66" s="33" t="e">
        <f>IF(S66="","",IF(#REF!="Tolerance",IF(-((#REF!*3*T66)-S66)-E66&gt;G66,"",-((#REF!*3*T66)-S66)-E66),IF(#REF!="MIN",IF(-((#REF!*3*T66)-S66)&gt;G66,"",-((#REF!*3*T66)-S66)),"")))</f>
        <v>#REF!</v>
      </c>
      <c r="AD66" s="33">
        <f t="shared" si="11"/>
        <v>16.46</v>
      </c>
      <c r="AE66" s="33" t="str">
        <f t="shared" si="9"/>
        <v/>
      </c>
      <c r="AF66" s="95"/>
      <c r="AG66" s="96" t="str">
        <f t="shared" si="12"/>
        <v/>
      </c>
      <c r="AH66" s="115"/>
      <c r="AI66" s="97"/>
      <c r="AJ66" s="97"/>
      <c r="AK66" s="98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  <c r="AY66" s="99"/>
      <c r="AZ66" s="99"/>
      <c r="BA66" s="99"/>
      <c r="BB66" s="99"/>
      <c r="BC66" s="99"/>
      <c r="BD66" s="99"/>
      <c r="BE66" s="99"/>
      <c r="BF66" s="99"/>
      <c r="BG66" s="99"/>
      <c r="BH66" s="99"/>
      <c r="BI66" s="99"/>
      <c r="BJ66" s="99"/>
      <c r="BK66" s="99"/>
      <c r="BL66" s="99"/>
      <c r="BM66" s="99"/>
      <c r="BN66" s="99"/>
      <c r="BO66" s="99"/>
      <c r="BP66" s="99"/>
      <c r="BQ66" s="99"/>
      <c r="BR66" s="99"/>
    </row>
    <row r="67" spans="2:70" ht="19.149999999999999" customHeight="1">
      <c r="B67" s="83" t="s">
        <v>282</v>
      </c>
      <c r="C67" s="35" t="s">
        <v>275</v>
      </c>
      <c r="D67" s="84" t="s">
        <v>45</v>
      </c>
      <c r="E67" s="85">
        <v>16.46</v>
      </c>
      <c r="F67" s="86">
        <v>0.03</v>
      </c>
      <c r="G67" s="86">
        <v>-0.03</v>
      </c>
      <c r="H67" s="87" t="s">
        <v>46</v>
      </c>
      <c r="I67" s="88"/>
      <c r="J67" s="89">
        <v>16.490000000000002</v>
      </c>
      <c r="K67" s="89">
        <v>16.43</v>
      </c>
      <c r="L67" s="112">
        <v>16.485500000000002</v>
      </c>
      <c r="M67" s="112">
        <v>16.4345</v>
      </c>
      <c r="N67" s="112">
        <v>16.482500000000002</v>
      </c>
      <c r="O67" s="112">
        <v>16.4375</v>
      </c>
      <c r="P67" s="90"/>
      <c r="Q67" s="91">
        <f t="shared" si="0"/>
        <v>0</v>
      </c>
      <c r="R67" s="91">
        <f t="shared" si="1"/>
        <v>0</v>
      </c>
      <c r="S67" s="91">
        <f t="shared" si="2"/>
        <v>0</v>
      </c>
      <c r="T67" s="92">
        <f t="shared" si="13"/>
        <v>0</v>
      </c>
      <c r="U67" s="93" t="str">
        <f t="shared" si="4"/>
        <v/>
      </c>
      <c r="V67" s="94" t="str">
        <f>IF(OR($AM67="",ISNUMBER($AM67)=FALSE),"",IF(AND(#REF!="Tolerance",$E67&lt;&gt;""),($S67-$E67)/(($J67-$K67)/2),IF(AND(#REF!="GD&amp;T",$F67&lt;&gt;""),$S67/$F67,"")))</f>
        <v/>
      </c>
      <c r="W67" s="94" t="str">
        <f t="shared" si="10"/>
        <v/>
      </c>
      <c r="X67" s="93" t="str">
        <f t="shared" si="5"/>
        <v/>
      </c>
      <c r="Y67" s="93" t="str">
        <f t="shared" si="6"/>
        <v/>
      </c>
      <c r="Z67" s="93" t="str">
        <f t="shared" si="7"/>
        <v/>
      </c>
      <c r="AA67" s="32" t="str">
        <f t="shared" si="8"/>
        <v/>
      </c>
      <c r="AB67" s="33" t="e">
        <f>IF($S67="","",IF(#REF!="Tolerance",IF((#REF!*3*T67+S67)-E67&lt;F67,"",(#REF!*3*T67+S67)-E67),IF(OR(#REF!="GD&amp;T",#REF!="MAX"),IF((#REF!*3*T67+S67)&lt;F67,"",(#REF!*3*T67+S67)),"")))</f>
        <v>#REF!</v>
      </c>
      <c r="AC67" s="33" t="e">
        <f>IF(S67="","",IF(#REF!="Tolerance",IF(-((#REF!*3*T67)-S67)-E67&gt;G67,"",-((#REF!*3*T67)-S67)-E67),IF(#REF!="MIN",IF(-((#REF!*3*T67)-S67)&gt;G67,"",-((#REF!*3*T67)-S67)),"")))</f>
        <v>#REF!</v>
      </c>
      <c r="AD67" s="33">
        <f t="shared" si="11"/>
        <v>16.46</v>
      </c>
      <c r="AE67" s="33" t="str">
        <f t="shared" si="9"/>
        <v/>
      </c>
      <c r="AF67" s="95"/>
      <c r="AG67" s="96" t="str">
        <f t="shared" si="12"/>
        <v/>
      </c>
      <c r="AH67" s="115"/>
      <c r="AI67" s="97"/>
      <c r="AJ67" s="97"/>
      <c r="AK67" s="98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99"/>
      <c r="BE67" s="99"/>
      <c r="BF67" s="99"/>
      <c r="BG67" s="99"/>
      <c r="BH67" s="99"/>
      <c r="BI67" s="99"/>
      <c r="BJ67" s="99"/>
      <c r="BK67" s="99"/>
      <c r="BL67" s="99"/>
      <c r="BM67" s="99"/>
      <c r="BN67" s="99"/>
      <c r="BO67" s="99"/>
      <c r="BP67" s="99"/>
      <c r="BQ67" s="99"/>
      <c r="BR67" s="99"/>
    </row>
    <row r="68" spans="2:70" ht="19.149999999999999" customHeight="1">
      <c r="B68" s="83" t="s">
        <v>282</v>
      </c>
      <c r="C68" s="35" t="s">
        <v>276</v>
      </c>
      <c r="D68" s="84" t="s">
        <v>45</v>
      </c>
      <c r="E68" s="85">
        <v>16.46</v>
      </c>
      <c r="F68" s="86">
        <v>0.03</v>
      </c>
      <c r="G68" s="86">
        <v>-0.03</v>
      </c>
      <c r="H68" s="87" t="s">
        <v>46</v>
      </c>
      <c r="I68" s="88"/>
      <c r="J68" s="89">
        <v>16.490000000000002</v>
      </c>
      <c r="K68" s="89">
        <v>16.43</v>
      </c>
      <c r="L68" s="112">
        <v>16.485500000000002</v>
      </c>
      <c r="M68" s="112">
        <v>16.4345</v>
      </c>
      <c r="N68" s="112">
        <v>16.482500000000002</v>
      </c>
      <c r="O68" s="112">
        <v>16.4375</v>
      </c>
      <c r="P68" s="90"/>
      <c r="Q68" s="91">
        <f t="shared" si="0"/>
        <v>0</v>
      </c>
      <c r="R68" s="91">
        <f t="shared" si="1"/>
        <v>0</v>
      </c>
      <c r="S68" s="91">
        <f t="shared" si="2"/>
        <v>0</v>
      </c>
      <c r="T68" s="92">
        <f t="shared" si="13"/>
        <v>0</v>
      </c>
      <c r="U68" s="93" t="str">
        <f t="shared" si="4"/>
        <v/>
      </c>
      <c r="V68" s="94" t="str">
        <f>IF(OR($AM68="",ISNUMBER($AM68)=FALSE),"",IF(AND(#REF!="Tolerance",$E68&lt;&gt;""),($S68-$E68)/(($J68-$K68)/2),IF(AND(#REF!="GD&amp;T",$F68&lt;&gt;""),$S68/$F68,"")))</f>
        <v/>
      </c>
      <c r="W68" s="94" t="str">
        <f t="shared" si="10"/>
        <v/>
      </c>
      <c r="X68" s="93" t="str">
        <f t="shared" si="5"/>
        <v/>
      </c>
      <c r="Y68" s="93" t="str">
        <f t="shared" si="6"/>
        <v/>
      </c>
      <c r="Z68" s="93" t="str">
        <f t="shared" si="7"/>
        <v/>
      </c>
      <c r="AA68" s="32" t="str">
        <f t="shared" si="8"/>
        <v/>
      </c>
      <c r="AB68" s="33" t="e">
        <f>IF($S68="","",IF(#REF!="Tolerance",IF((#REF!*3*T68+S68)-E68&lt;F68,"",(#REF!*3*T68+S68)-E68),IF(OR(#REF!="GD&amp;T",#REF!="MAX"),IF((#REF!*3*T68+S68)&lt;F68,"",(#REF!*3*T68+S68)),"")))</f>
        <v>#REF!</v>
      </c>
      <c r="AC68" s="33" t="e">
        <f>IF(S68="","",IF(#REF!="Tolerance",IF(-((#REF!*3*T68)-S68)-E68&gt;G68,"",-((#REF!*3*T68)-S68)-E68),IF(#REF!="MIN",IF(-((#REF!*3*T68)-S68)&gt;G68,"",-((#REF!*3*T68)-S68)),"")))</f>
        <v>#REF!</v>
      </c>
      <c r="AD68" s="33">
        <f t="shared" si="11"/>
        <v>16.46</v>
      </c>
      <c r="AE68" s="33" t="str">
        <f t="shared" si="9"/>
        <v/>
      </c>
      <c r="AF68" s="95"/>
      <c r="AG68" s="96" t="str">
        <f t="shared" si="12"/>
        <v/>
      </c>
      <c r="AH68" s="115"/>
      <c r="AI68" s="97"/>
      <c r="AJ68" s="97"/>
      <c r="AK68" s="98"/>
      <c r="AM68" s="99"/>
      <c r="AN68" s="99"/>
      <c r="AO68" s="99"/>
      <c r="AP68" s="99"/>
      <c r="AQ68" s="99"/>
      <c r="AR68" s="99"/>
      <c r="AS68" s="99"/>
      <c r="AT68" s="99"/>
      <c r="AU68" s="99"/>
      <c r="AV68" s="99"/>
      <c r="AW68" s="99"/>
      <c r="AX68" s="99"/>
      <c r="AY68" s="99"/>
      <c r="AZ68" s="99"/>
      <c r="BA68" s="99"/>
      <c r="BB68" s="99"/>
      <c r="BC68" s="99"/>
      <c r="BD68" s="99"/>
      <c r="BE68" s="99"/>
      <c r="BF68" s="99"/>
      <c r="BG68" s="99"/>
      <c r="BH68" s="99"/>
      <c r="BI68" s="99"/>
      <c r="BJ68" s="99"/>
      <c r="BK68" s="99"/>
      <c r="BL68" s="99"/>
      <c r="BM68" s="99"/>
      <c r="BN68" s="99"/>
      <c r="BO68" s="99"/>
      <c r="BP68" s="99"/>
      <c r="BQ68" s="99"/>
      <c r="BR68" s="99"/>
    </row>
    <row r="69" spans="2:70" ht="19.149999999999999" customHeight="1">
      <c r="B69" s="83" t="s">
        <v>282</v>
      </c>
      <c r="C69" s="35" t="s">
        <v>277</v>
      </c>
      <c r="D69" s="84" t="s">
        <v>274</v>
      </c>
      <c r="E69" s="85">
        <v>16.46</v>
      </c>
      <c r="F69" s="86">
        <v>0.03</v>
      </c>
      <c r="G69" s="86">
        <v>-0.03</v>
      </c>
      <c r="H69" s="87" t="s">
        <v>46</v>
      </c>
      <c r="I69" s="88"/>
      <c r="J69" s="89">
        <v>16.490000000000002</v>
      </c>
      <c r="K69" s="89">
        <v>16.43</v>
      </c>
      <c r="L69" s="112">
        <v>16.485500000000002</v>
      </c>
      <c r="M69" s="112">
        <v>16.4345</v>
      </c>
      <c r="N69" s="112">
        <v>16.482500000000002</v>
      </c>
      <c r="O69" s="112">
        <v>16.4375</v>
      </c>
      <c r="P69" s="90"/>
      <c r="Q69" s="91">
        <f t="shared" si="0"/>
        <v>0</v>
      </c>
      <c r="R69" s="91">
        <f t="shared" si="1"/>
        <v>0</v>
      </c>
      <c r="S69" s="91">
        <f t="shared" si="2"/>
        <v>0</v>
      </c>
      <c r="T69" s="92">
        <f t="shared" si="13"/>
        <v>0</v>
      </c>
      <c r="U69" s="93" t="str">
        <f t="shared" si="4"/>
        <v/>
      </c>
      <c r="V69" s="94" t="str">
        <f>IF(OR($AM69="",ISNUMBER($AM69)=FALSE),"",IF(AND(#REF!="Tolerance",$E69&lt;&gt;""),($S69-$E69)/(($J69-$K69)/2),IF(AND(#REF!="GD&amp;T",$F69&lt;&gt;""),$S69/$F69,"")))</f>
        <v/>
      </c>
      <c r="W69" s="94" t="str">
        <f t="shared" si="10"/>
        <v/>
      </c>
      <c r="X69" s="93" t="str">
        <f t="shared" si="5"/>
        <v/>
      </c>
      <c r="Y69" s="93" t="str">
        <f t="shared" si="6"/>
        <v/>
      </c>
      <c r="Z69" s="93" t="str">
        <f t="shared" si="7"/>
        <v/>
      </c>
      <c r="AA69" s="32" t="str">
        <f t="shared" si="8"/>
        <v/>
      </c>
      <c r="AB69" s="33" t="e">
        <f>IF($S69="","",IF(#REF!="Tolerance",IF((#REF!*3*T69+S69)-E69&lt;F69,"",(#REF!*3*T69+S69)-E69),IF(OR(#REF!="GD&amp;T",#REF!="MAX"),IF((#REF!*3*T69+S69)&lt;F69,"",(#REF!*3*T69+S69)),"")))</f>
        <v>#REF!</v>
      </c>
      <c r="AC69" s="33" t="e">
        <f>IF(S69="","",IF(#REF!="Tolerance",IF(-((#REF!*3*T69)-S69)-E69&gt;G69,"",-((#REF!*3*T69)-S69)-E69),IF(#REF!="MIN",IF(-((#REF!*3*T69)-S69)&gt;G69,"",-((#REF!*3*T69)-S69)),"")))</f>
        <v>#REF!</v>
      </c>
      <c r="AD69" s="33">
        <f t="shared" si="11"/>
        <v>16.46</v>
      </c>
      <c r="AE69" s="33" t="str">
        <f t="shared" si="9"/>
        <v/>
      </c>
      <c r="AF69" s="95"/>
      <c r="AG69" s="96" t="str">
        <f t="shared" si="12"/>
        <v/>
      </c>
      <c r="AH69" s="115"/>
      <c r="AI69" s="97"/>
      <c r="AJ69" s="97"/>
      <c r="AK69" s="98"/>
      <c r="AM69" s="99"/>
      <c r="AN69" s="99"/>
      <c r="AO69" s="99"/>
      <c r="AP69" s="99"/>
      <c r="AQ69" s="99"/>
      <c r="AR69" s="99"/>
      <c r="AS69" s="99"/>
      <c r="AT69" s="99"/>
      <c r="AU69" s="99"/>
      <c r="AV69" s="99"/>
      <c r="AW69" s="99"/>
      <c r="AX69" s="99"/>
      <c r="AY69" s="99"/>
      <c r="AZ69" s="99"/>
      <c r="BA69" s="99"/>
      <c r="BB69" s="99"/>
      <c r="BC69" s="99"/>
      <c r="BD69" s="99"/>
      <c r="BE69" s="99"/>
      <c r="BF69" s="99"/>
      <c r="BG69" s="99"/>
      <c r="BH69" s="99"/>
      <c r="BI69" s="99"/>
      <c r="BJ69" s="99"/>
      <c r="BK69" s="99"/>
      <c r="BL69" s="99"/>
      <c r="BM69" s="99"/>
      <c r="BN69" s="99"/>
      <c r="BO69" s="99"/>
      <c r="BP69" s="99"/>
      <c r="BQ69" s="99"/>
      <c r="BR69" s="99"/>
    </row>
    <row r="70" spans="2:70" ht="19.149999999999999" customHeight="1">
      <c r="B70" s="83" t="s">
        <v>283</v>
      </c>
      <c r="C70" s="35" t="s">
        <v>224</v>
      </c>
      <c r="D70" s="84" t="s">
        <v>45</v>
      </c>
      <c r="E70" s="85">
        <v>0.36199999999999999</v>
      </c>
      <c r="F70" s="86">
        <v>0.03</v>
      </c>
      <c r="G70" s="86">
        <v>-0.03</v>
      </c>
      <c r="H70" s="87" t="s">
        <v>46</v>
      </c>
      <c r="I70" s="88"/>
      <c r="J70" s="89">
        <v>0.39200000000000002</v>
      </c>
      <c r="K70" s="89">
        <v>0.33199999999999996</v>
      </c>
      <c r="L70" s="112">
        <v>0.38750000000000001</v>
      </c>
      <c r="M70" s="112">
        <v>0.33649999999999997</v>
      </c>
      <c r="N70" s="112">
        <v>0.38450000000000001</v>
      </c>
      <c r="O70" s="112">
        <v>0.33949999999999997</v>
      </c>
      <c r="P70" s="90"/>
      <c r="Q70" s="91">
        <f t="shared" si="0"/>
        <v>0</v>
      </c>
      <c r="R70" s="91">
        <f t="shared" si="1"/>
        <v>0</v>
      </c>
      <c r="S70" s="91">
        <f t="shared" si="2"/>
        <v>0</v>
      </c>
      <c r="T70" s="92">
        <f t="shared" si="13"/>
        <v>0</v>
      </c>
      <c r="U70" s="93" t="str">
        <f t="shared" si="4"/>
        <v/>
      </c>
      <c r="V70" s="94" t="str">
        <f>IF(OR($AM70="",ISNUMBER($AM70)=FALSE),"",IF(AND(#REF!="Tolerance",$E70&lt;&gt;""),($S70-$E70)/(($J70-$K70)/2),IF(AND(#REF!="GD&amp;T",$F70&lt;&gt;""),$S70/$F70,"")))</f>
        <v/>
      </c>
      <c r="W70" s="94" t="str">
        <f t="shared" si="10"/>
        <v/>
      </c>
      <c r="X70" s="93" t="str">
        <f t="shared" si="5"/>
        <v/>
      </c>
      <c r="Y70" s="93" t="str">
        <f t="shared" si="6"/>
        <v/>
      </c>
      <c r="Z70" s="93" t="str">
        <f t="shared" si="7"/>
        <v/>
      </c>
      <c r="AA70" s="32" t="str">
        <f t="shared" si="8"/>
        <v/>
      </c>
      <c r="AB70" s="33" t="e">
        <f>IF($S70="","",IF(#REF!="Tolerance",IF((#REF!*3*T70+S70)-E70&lt;F70,"",(#REF!*3*T70+S70)-E70),IF(OR(#REF!="GD&amp;T",#REF!="MAX"),IF((#REF!*3*T70+S70)&lt;F70,"",(#REF!*3*T70+S70)),"")))</f>
        <v>#REF!</v>
      </c>
      <c r="AC70" s="33" t="e">
        <f>IF(S70="","",IF(#REF!="Tolerance",IF(-((#REF!*3*T70)-S70)-E70&gt;G70,"",-((#REF!*3*T70)-S70)-E70),IF(#REF!="MIN",IF(-((#REF!*3*T70)-S70)&gt;G70,"",-((#REF!*3*T70)-S70)),"")))</f>
        <v>#REF!</v>
      </c>
      <c r="AD70" s="33">
        <f t="shared" si="11"/>
        <v>0.36199999999999999</v>
      </c>
      <c r="AE70" s="33" t="str">
        <f t="shared" si="9"/>
        <v/>
      </c>
      <c r="AF70" s="95"/>
      <c r="AG70" s="96" t="str">
        <f t="shared" si="12"/>
        <v/>
      </c>
      <c r="AH70" s="115"/>
      <c r="AI70" s="97"/>
      <c r="AJ70" s="97"/>
      <c r="AK70" s="98"/>
      <c r="AM70" s="99"/>
      <c r="AN70" s="99"/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99"/>
      <c r="AZ70" s="99"/>
      <c r="BA70" s="99"/>
      <c r="BB70" s="99"/>
      <c r="BC70" s="99"/>
      <c r="BD70" s="99"/>
      <c r="BE70" s="99"/>
      <c r="BF70" s="99"/>
      <c r="BG70" s="99"/>
      <c r="BH70" s="99"/>
      <c r="BI70" s="99"/>
      <c r="BJ70" s="99"/>
      <c r="BK70" s="99"/>
      <c r="BL70" s="99"/>
      <c r="BM70" s="99"/>
      <c r="BN70" s="99"/>
      <c r="BO70" s="99"/>
      <c r="BP70" s="99"/>
      <c r="BQ70" s="99"/>
      <c r="BR70" s="99"/>
    </row>
    <row r="71" spans="2:70" ht="19.149999999999999" customHeight="1">
      <c r="B71" s="83" t="s">
        <v>283</v>
      </c>
      <c r="C71" s="35" t="s">
        <v>225</v>
      </c>
      <c r="D71" s="84" t="s">
        <v>45</v>
      </c>
      <c r="E71" s="85">
        <v>0.36199999999999999</v>
      </c>
      <c r="F71" s="86">
        <v>0.03</v>
      </c>
      <c r="G71" s="86">
        <v>-0.03</v>
      </c>
      <c r="H71" s="87" t="s">
        <v>46</v>
      </c>
      <c r="I71" s="88"/>
      <c r="J71" s="89">
        <v>0.39200000000000002</v>
      </c>
      <c r="K71" s="89">
        <v>0.33199999999999996</v>
      </c>
      <c r="L71" s="112">
        <v>0.38750000000000001</v>
      </c>
      <c r="M71" s="112">
        <v>0.33649999999999997</v>
      </c>
      <c r="N71" s="112">
        <v>0.38450000000000001</v>
      </c>
      <c r="O71" s="112">
        <v>0.33949999999999997</v>
      </c>
      <c r="P71" s="90"/>
      <c r="Q71" s="91">
        <f t="shared" si="0"/>
        <v>0</v>
      </c>
      <c r="R71" s="91">
        <f t="shared" si="1"/>
        <v>0</v>
      </c>
      <c r="S71" s="91">
        <f t="shared" si="2"/>
        <v>0</v>
      </c>
      <c r="T71" s="92">
        <f t="shared" si="13"/>
        <v>0</v>
      </c>
      <c r="U71" s="93" t="str">
        <f t="shared" si="4"/>
        <v/>
      </c>
      <c r="V71" s="94" t="str">
        <f>IF(OR($AM71="",ISNUMBER($AM71)=FALSE),"",IF(AND(#REF!="Tolerance",$E71&lt;&gt;""),($S71-$E71)/(($J71-$K71)/2),IF(AND(#REF!="GD&amp;T",$F71&lt;&gt;""),$S71/$F71,"")))</f>
        <v/>
      </c>
      <c r="W71" s="94" t="str">
        <f t="shared" si="10"/>
        <v/>
      </c>
      <c r="X71" s="93" t="str">
        <f t="shared" si="5"/>
        <v/>
      </c>
      <c r="Y71" s="93" t="str">
        <f t="shared" si="6"/>
        <v/>
      </c>
      <c r="Z71" s="93" t="str">
        <f t="shared" si="7"/>
        <v/>
      </c>
      <c r="AA71" s="32" t="str">
        <f t="shared" si="8"/>
        <v/>
      </c>
      <c r="AB71" s="33" t="e">
        <f>IF($S71="","",IF(#REF!="Tolerance",IF((#REF!*3*T71+S71)-E71&lt;F71,"",(#REF!*3*T71+S71)-E71),IF(OR(#REF!="GD&amp;T",#REF!="MAX"),IF((#REF!*3*T71+S71)&lt;F71,"",(#REF!*3*T71+S71)),"")))</f>
        <v>#REF!</v>
      </c>
      <c r="AC71" s="33" t="e">
        <f>IF(S71="","",IF(#REF!="Tolerance",IF(-((#REF!*3*T71)-S71)-E71&gt;G71,"",-((#REF!*3*T71)-S71)-E71),IF(#REF!="MIN",IF(-((#REF!*3*T71)-S71)&gt;G71,"",-((#REF!*3*T71)-S71)),"")))</f>
        <v>#REF!</v>
      </c>
      <c r="AD71" s="33">
        <f t="shared" si="11"/>
        <v>0.36199999999999999</v>
      </c>
      <c r="AE71" s="33" t="str">
        <f t="shared" si="9"/>
        <v/>
      </c>
      <c r="AF71" s="95"/>
      <c r="AG71" s="96" t="str">
        <f t="shared" si="12"/>
        <v/>
      </c>
      <c r="AH71" s="115"/>
      <c r="AI71" s="97"/>
      <c r="AJ71" s="97"/>
      <c r="AK71" s="98"/>
      <c r="AM71" s="99"/>
      <c r="AN71" s="99"/>
      <c r="AO71" s="99"/>
      <c r="AP71" s="99"/>
      <c r="AQ71" s="99"/>
      <c r="AR71" s="99"/>
      <c r="AS71" s="99"/>
      <c r="AT71" s="99"/>
      <c r="AU71" s="99"/>
      <c r="AV71" s="99"/>
      <c r="AW71" s="99"/>
      <c r="AX71" s="99"/>
      <c r="AY71" s="99"/>
      <c r="AZ71" s="99"/>
      <c r="BA71" s="99"/>
      <c r="BB71" s="99"/>
      <c r="BC71" s="99"/>
      <c r="BD71" s="99"/>
      <c r="BE71" s="99"/>
      <c r="BF71" s="99"/>
      <c r="BG71" s="99"/>
      <c r="BH71" s="99"/>
      <c r="BI71" s="99"/>
      <c r="BJ71" s="99"/>
      <c r="BK71" s="99"/>
      <c r="BL71" s="99"/>
      <c r="BM71" s="99"/>
      <c r="BN71" s="99"/>
      <c r="BO71" s="99"/>
      <c r="BP71" s="99"/>
      <c r="BQ71" s="99"/>
      <c r="BR71" s="99"/>
    </row>
    <row r="72" spans="2:70" ht="19.149999999999999" customHeight="1">
      <c r="B72" s="100" t="s">
        <v>283</v>
      </c>
      <c r="C72" s="35" t="s">
        <v>278</v>
      </c>
      <c r="D72" s="84" t="s">
        <v>274</v>
      </c>
      <c r="E72" s="85">
        <v>0.36199999999999999</v>
      </c>
      <c r="F72" s="86">
        <v>0.03</v>
      </c>
      <c r="G72" s="86">
        <v>-0.03</v>
      </c>
      <c r="H72" s="87" t="s">
        <v>46</v>
      </c>
      <c r="I72" s="88"/>
      <c r="J72" s="89">
        <v>0.39200000000000002</v>
      </c>
      <c r="K72" s="89">
        <v>0.33199999999999996</v>
      </c>
      <c r="L72" s="112">
        <v>0.38750000000000001</v>
      </c>
      <c r="M72" s="112">
        <v>0.33649999999999997</v>
      </c>
      <c r="N72" s="112">
        <v>0.38450000000000001</v>
      </c>
      <c r="O72" s="112">
        <v>0.33949999999999997</v>
      </c>
      <c r="P72" s="90"/>
      <c r="Q72" s="91">
        <f t="shared" si="0"/>
        <v>0</v>
      </c>
      <c r="R72" s="91">
        <f t="shared" si="1"/>
        <v>0</v>
      </c>
      <c r="S72" s="91">
        <f t="shared" si="2"/>
        <v>0</v>
      </c>
      <c r="T72" s="92">
        <f t="shared" si="13"/>
        <v>0</v>
      </c>
      <c r="U72" s="93" t="str">
        <f t="shared" si="4"/>
        <v/>
      </c>
      <c r="V72" s="94" t="str">
        <f>IF(OR($AM72="",ISNUMBER($AM72)=FALSE),"",IF(AND(#REF!="Tolerance",$E72&lt;&gt;""),($S72-$E72)/(($J72-$K72)/2),IF(AND(#REF!="GD&amp;T",$F72&lt;&gt;""),$S72/$F72,"")))</f>
        <v/>
      </c>
      <c r="W72" s="94" t="str">
        <f t="shared" si="10"/>
        <v/>
      </c>
      <c r="X72" s="93" t="str">
        <f t="shared" si="5"/>
        <v/>
      </c>
      <c r="Y72" s="93" t="str">
        <f t="shared" si="6"/>
        <v/>
      </c>
      <c r="Z72" s="93" t="str">
        <f t="shared" si="7"/>
        <v/>
      </c>
      <c r="AA72" s="32" t="str">
        <f t="shared" si="8"/>
        <v/>
      </c>
      <c r="AB72" s="33" t="e">
        <f>IF($S72="","",IF(#REF!="Tolerance",IF((#REF!*3*T72+S72)-E72&lt;F72,"",(#REF!*3*T72+S72)-E72),IF(OR(#REF!="GD&amp;T",#REF!="MAX"),IF((#REF!*3*T72+S72)&lt;F72,"",(#REF!*3*T72+S72)),"")))</f>
        <v>#REF!</v>
      </c>
      <c r="AC72" s="33" t="e">
        <f>IF(S72="","",IF(#REF!="Tolerance",IF(-((#REF!*3*T72)-S72)-E72&gt;G72,"",-((#REF!*3*T72)-S72)-E72),IF(#REF!="MIN",IF(-((#REF!*3*T72)-S72)&gt;G72,"",-((#REF!*3*T72)-S72)),"")))</f>
        <v>#REF!</v>
      </c>
      <c r="AD72" s="33">
        <f t="shared" si="11"/>
        <v>0.36199999999999999</v>
      </c>
      <c r="AE72" s="33" t="str">
        <f t="shared" si="9"/>
        <v/>
      </c>
      <c r="AF72" s="95"/>
      <c r="AG72" s="96" t="str">
        <f t="shared" si="12"/>
        <v/>
      </c>
      <c r="AH72" s="115"/>
      <c r="AI72" s="97"/>
      <c r="AJ72" s="97"/>
      <c r="AK72" s="98"/>
      <c r="AM72" s="99"/>
      <c r="AN72" s="99"/>
      <c r="AO72" s="99"/>
      <c r="AP72" s="99"/>
      <c r="AQ72" s="99"/>
      <c r="AR72" s="99"/>
      <c r="AS72" s="99"/>
      <c r="AT72" s="99"/>
      <c r="AU72" s="99"/>
      <c r="AV72" s="99"/>
      <c r="AW72" s="99"/>
      <c r="AX72" s="99"/>
      <c r="AY72" s="99"/>
      <c r="AZ72" s="99"/>
      <c r="BA72" s="99"/>
      <c r="BB72" s="99"/>
      <c r="BC72" s="99"/>
      <c r="BD72" s="99"/>
      <c r="BE72" s="99"/>
      <c r="BF72" s="99"/>
      <c r="BG72" s="99"/>
      <c r="BH72" s="99"/>
      <c r="BI72" s="99"/>
      <c r="BJ72" s="99"/>
      <c r="BK72" s="99"/>
      <c r="BL72" s="99"/>
      <c r="BM72" s="99"/>
      <c r="BN72" s="99"/>
      <c r="BO72" s="99"/>
      <c r="BP72" s="99"/>
      <c r="BQ72" s="99"/>
      <c r="BR72" s="99"/>
    </row>
    <row r="73" spans="2:70" ht="19.149999999999999" customHeight="1">
      <c r="B73" s="100" t="s">
        <v>283</v>
      </c>
      <c r="C73" s="35" t="s">
        <v>279</v>
      </c>
      <c r="D73" s="84" t="s">
        <v>45</v>
      </c>
      <c r="E73" s="85">
        <v>0.36199999999999999</v>
      </c>
      <c r="F73" s="86">
        <v>0.03</v>
      </c>
      <c r="G73" s="86">
        <v>-0.03</v>
      </c>
      <c r="H73" s="87" t="s">
        <v>46</v>
      </c>
      <c r="I73" s="88"/>
      <c r="J73" s="89">
        <v>0.39200000000000002</v>
      </c>
      <c r="K73" s="89">
        <v>0.33199999999999996</v>
      </c>
      <c r="L73" s="112">
        <v>0.38750000000000001</v>
      </c>
      <c r="M73" s="112">
        <v>0.33649999999999997</v>
      </c>
      <c r="N73" s="112">
        <v>0.38450000000000001</v>
      </c>
      <c r="O73" s="112">
        <v>0.33949999999999997</v>
      </c>
      <c r="P73" s="90"/>
      <c r="Q73" s="91">
        <f t="shared" si="0"/>
        <v>0</v>
      </c>
      <c r="R73" s="91">
        <f t="shared" si="1"/>
        <v>0</v>
      </c>
      <c r="S73" s="91">
        <f t="shared" si="2"/>
        <v>0</v>
      </c>
      <c r="T73" s="92">
        <f t="shared" si="13"/>
        <v>0</v>
      </c>
      <c r="U73" s="93" t="str">
        <f t="shared" si="4"/>
        <v/>
      </c>
      <c r="V73" s="94" t="str">
        <f>IF(OR($AM73="",ISNUMBER($AM73)=FALSE),"",IF(AND(#REF!="Tolerance",$E73&lt;&gt;""),($S73-$E73)/(($J73-$K73)/2),IF(AND(#REF!="GD&amp;T",$F73&lt;&gt;""),$S73/$F73,"")))</f>
        <v/>
      </c>
      <c r="W73" s="94" t="str">
        <f t="shared" si="10"/>
        <v/>
      </c>
      <c r="X73" s="93" t="str">
        <f t="shared" si="5"/>
        <v/>
      </c>
      <c r="Y73" s="93" t="str">
        <f t="shared" si="6"/>
        <v/>
      </c>
      <c r="Z73" s="93" t="str">
        <f t="shared" si="7"/>
        <v/>
      </c>
      <c r="AA73" s="32" t="str">
        <f t="shared" si="8"/>
        <v/>
      </c>
      <c r="AB73" s="33" t="e">
        <f>IF($S73="","",IF(#REF!="Tolerance",IF((#REF!*3*T73+S73)-E73&lt;F73,"",(#REF!*3*T73+S73)-E73),IF(OR(#REF!="GD&amp;T",#REF!="MAX"),IF((#REF!*3*T73+S73)&lt;F73,"",(#REF!*3*T73+S73)),"")))</f>
        <v>#REF!</v>
      </c>
      <c r="AC73" s="33" t="e">
        <f>IF(S73="","",IF(#REF!="Tolerance",IF(-((#REF!*3*T73)-S73)-E73&gt;G73,"",-((#REF!*3*T73)-S73)-E73),IF(#REF!="MIN",IF(-((#REF!*3*T73)-S73)&gt;G73,"",-((#REF!*3*T73)-S73)),"")))</f>
        <v>#REF!</v>
      </c>
      <c r="AD73" s="33">
        <f t="shared" si="11"/>
        <v>0.36199999999999999</v>
      </c>
      <c r="AE73" s="33" t="str">
        <f t="shared" si="9"/>
        <v/>
      </c>
      <c r="AF73" s="95"/>
      <c r="AG73" s="96" t="str">
        <f t="shared" si="12"/>
        <v/>
      </c>
      <c r="AH73" s="115"/>
      <c r="AI73" s="97"/>
      <c r="AJ73" s="97"/>
      <c r="AK73" s="98"/>
      <c r="AM73" s="99"/>
      <c r="AN73" s="99"/>
      <c r="AO73" s="99"/>
      <c r="AP73" s="99"/>
      <c r="AQ73" s="99"/>
      <c r="AR73" s="99"/>
      <c r="AS73" s="99"/>
      <c r="AT73" s="99"/>
      <c r="AU73" s="99"/>
      <c r="AV73" s="99"/>
      <c r="AW73" s="99"/>
      <c r="AX73" s="99"/>
      <c r="AY73" s="99"/>
      <c r="AZ73" s="99"/>
      <c r="BA73" s="99"/>
      <c r="BB73" s="99"/>
      <c r="BC73" s="99"/>
      <c r="BD73" s="99"/>
      <c r="BE73" s="99"/>
      <c r="BF73" s="99"/>
      <c r="BG73" s="99"/>
      <c r="BH73" s="99"/>
      <c r="BI73" s="99"/>
      <c r="BJ73" s="99"/>
      <c r="BK73" s="99"/>
      <c r="BL73" s="99"/>
      <c r="BM73" s="99"/>
      <c r="BN73" s="99"/>
      <c r="BO73" s="99"/>
      <c r="BP73" s="99"/>
      <c r="BQ73" s="99"/>
      <c r="BR73" s="99"/>
    </row>
    <row r="74" spans="2:70" ht="19.149999999999999" customHeight="1">
      <c r="B74" s="100" t="s">
        <v>283</v>
      </c>
      <c r="C74" s="35" t="s">
        <v>280</v>
      </c>
      <c r="D74" s="84" t="s">
        <v>45</v>
      </c>
      <c r="E74" s="85">
        <v>0.36199999999999999</v>
      </c>
      <c r="F74" s="86">
        <v>0.03</v>
      </c>
      <c r="G74" s="86">
        <v>-0.03</v>
      </c>
      <c r="H74" s="87" t="s">
        <v>46</v>
      </c>
      <c r="I74" s="88"/>
      <c r="J74" s="89">
        <v>0.39200000000000002</v>
      </c>
      <c r="K74" s="89">
        <v>0.33199999999999996</v>
      </c>
      <c r="L74" s="112">
        <v>0.38750000000000001</v>
      </c>
      <c r="M74" s="112">
        <v>0.33649999999999997</v>
      </c>
      <c r="N74" s="112">
        <v>0.38450000000000001</v>
      </c>
      <c r="O74" s="112">
        <v>0.33949999999999997</v>
      </c>
      <c r="P74" s="90"/>
      <c r="Q74" s="91">
        <f t="shared" ref="Q74:Q94" si="14">IF(OR($AM74=ISBLANK(TRUE),ISNUMBER($AM74)=FALSE),,MAX(AM74:BR74))</f>
        <v>0</v>
      </c>
      <c r="R74" s="91">
        <f t="shared" ref="R74:R94" si="15">IF(OR($AM74=ISBLANK(TRUE),ISNUMBER($AM74)=FALSE),,MIN(AM74:BR74))</f>
        <v>0</v>
      </c>
      <c r="S74" s="91">
        <f t="shared" ref="S74:S94" si="16">IF(OR($AM74=ISBLANK(TRUE),ISNUMBER($AM74)=FALSE),,AVERAGE(AM74:BR74))</f>
        <v>0</v>
      </c>
      <c r="T74" s="92">
        <f t="shared" si="13"/>
        <v>0</v>
      </c>
      <c r="U74" s="93" t="str">
        <f t="shared" ref="U74:U94" si="17">IF(OR($AM74="",ISNUMBER($AM74)=FALSE),"",IF(AND(E74=0,G74=0),X74,IF(AND(E74="",F74=""),Y74,(F74+ABS(G74))/(6*T74))))</f>
        <v/>
      </c>
      <c r="V74" s="94" t="str">
        <f>IF(OR($AM74="",ISNUMBER($AM74)=FALSE),"",IF(AND(#REF!="Tolerance",$E74&lt;&gt;""),($S74-$E74)/(($J74-$K74)/2),IF(AND(#REF!="GD&amp;T",$F74&lt;&gt;""),$S74/$F74,"")))</f>
        <v/>
      </c>
      <c r="W74" s="94" t="str">
        <f t="shared" si="10"/>
        <v/>
      </c>
      <c r="X74" s="93" t="str">
        <f t="shared" ref="X74:X94" si="18">IF(OR($AM74="",ISNUMBER($AM74)=FALSE),"",IF(F74="","",(J74-S74)/(3*T74)))</f>
        <v/>
      </c>
      <c r="Y74" s="93" t="str">
        <f t="shared" ref="Y74:Y94" si="19">IF(OR($AM74="",ISNUMBER($AM74)=FALSE),"",IF(G74="","",(S74-K74)/(3*T74)))</f>
        <v/>
      </c>
      <c r="Z74" s="93" t="str">
        <f t="shared" ref="Z74:Z94" si="20">IF(OR($AM74="",ISNUMBER($AM74)=FALSE),"",IF(AND(E74=0,G74=0),((F74)-(S74))/(3*T74),MIN(X74:Y74)))</f>
        <v/>
      </c>
      <c r="AA74" s="32" t="str">
        <f t="shared" ref="AA74:AA94" si="21">IF(OR($AM74="",ISNUMBER($AM74)=FALSE),"",IF(AND(E74=0,G74=0),NORMSDIST(3*Z74),NORMSDIST(3*Z74)+NORMSDIST(6*U74-3*Z74)-1))</f>
        <v/>
      </c>
      <c r="AB74" s="33" t="e">
        <f>IF($S74="","",IF(#REF!="Tolerance",IF((#REF!*3*T74+S74)-E74&lt;F74,"",(#REF!*3*T74+S74)-E74),IF(OR(#REF!="GD&amp;T",#REF!="MAX"),IF((#REF!*3*T74+S74)&lt;F74,"",(#REF!*3*T74+S74)),"")))</f>
        <v>#REF!</v>
      </c>
      <c r="AC74" s="33" t="e">
        <f>IF(S74="","",IF(#REF!="Tolerance",IF(-((#REF!*3*T74)-S74)-E74&gt;G74,"",-((#REF!*3*T74)-S74)-E74),IF(#REF!="MIN",IF(-((#REF!*3*T74)-S74)&gt;G74,"",-((#REF!*3*T74)-S74)),"")))</f>
        <v>#REF!</v>
      </c>
      <c r="AD74" s="33">
        <f t="shared" si="11"/>
        <v>0.36199999999999999</v>
      </c>
      <c r="AE74" s="33" t="str">
        <f t="shared" ref="AE74:AE94" si="22">IF(OR($U74&gt;$AE$4,$T74=""),"",$AE$4*6*$T74)</f>
        <v/>
      </c>
      <c r="AF74" s="95"/>
      <c r="AG74" s="96" t="str">
        <f t="shared" si="12"/>
        <v/>
      </c>
      <c r="AH74" s="115"/>
      <c r="AI74" s="97"/>
      <c r="AJ74" s="97"/>
      <c r="AK74" s="98"/>
      <c r="AM74" s="99"/>
      <c r="AN74" s="99"/>
      <c r="AO74" s="99"/>
      <c r="AP74" s="99"/>
      <c r="AQ74" s="99"/>
      <c r="AR74" s="99"/>
      <c r="AS74" s="99"/>
      <c r="AT74" s="99"/>
      <c r="AU74" s="99"/>
      <c r="AV74" s="99"/>
      <c r="AW74" s="99"/>
      <c r="AX74" s="99"/>
      <c r="AY74" s="99"/>
      <c r="AZ74" s="99"/>
      <c r="BA74" s="99"/>
      <c r="BB74" s="99"/>
      <c r="BC74" s="99"/>
      <c r="BD74" s="99"/>
      <c r="BE74" s="99"/>
      <c r="BF74" s="99"/>
      <c r="BG74" s="99"/>
      <c r="BH74" s="99"/>
      <c r="BI74" s="99"/>
      <c r="BJ74" s="99"/>
      <c r="BK74" s="99"/>
      <c r="BL74" s="99"/>
      <c r="BM74" s="99"/>
      <c r="BN74" s="99"/>
      <c r="BO74" s="99"/>
      <c r="BP74" s="99"/>
      <c r="BQ74" s="99"/>
      <c r="BR74" s="99"/>
    </row>
    <row r="75" spans="2:70" ht="19.149999999999999" customHeight="1">
      <c r="B75" s="100" t="s">
        <v>283</v>
      </c>
      <c r="C75" s="35" t="s">
        <v>281</v>
      </c>
      <c r="D75" s="84" t="s">
        <v>274</v>
      </c>
      <c r="E75" s="85">
        <v>0.36199999999999999</v>
      </c>
      <c r="F75" s="86">
        <v>0.03</v>
      </c>
      <c r="G75" s="86">
        <v>-0.03</v>
      </c>
      <c r="H75" s="87" t="s">
        <v>46</v>
      </c>
      <c r="I75" s="88"/>
      <c r="J75" s="89">
        <v>0.39200000000000002</v>
      </c>
      <c r="K75" s="89">
        <v>0.33199999999999996</v>
      </c>
      <c r="L75" s="112">
        <v>0.38750000000000001</v>
      </c>
      <c r="M75" s="112">
        <v>0.33649999999999997</v>
      </c>
      <c r="N75" s="112">
        <v>0.38450000000000001</v>
      </c>
      <c r="O75" s="112">
        <v>0.33949999999999997</v>
      </c>
      <c r="P75" s="90"/>
      <c r="Q75" s="91">
        <f t="shared" si="14"/>
        <v>0</v>
      </c>
      <c r="R75" s="91">
        <f t="shared" si="15"/>
        <v>0</v>
      </c>
      <c r="S75" s="91">
        <f t="shared" si="16"/>
        <v>0</v>
      </c>
      <c r="T75" s="92">
        <f t="shared" si="13"/>
        <v>0</v>
      </c>
      <c r="U75" s="93" t="str">
        <f t="shared" si="17"/>
        <v/>
      </c>
      <c r="V75" s="94" t="str">
        <f>IF(OR($AM75="",ISNUMBER($AM75)=FALSE),"",IF(AND(#REF!="Tolerance",$E75&lt;&gt;""),($S75-$E75)/(($J75-$K75)/2),IF(AND(#REF!="GD&amp;T",$F75&lt;&gt;""),$S75/$F75,"")))</f>
        <v/>
      </c>
      <c r="W75" s="94" t="str">
        <f t="shared" ref="W75:W94" si="23">IF($V75="","",IF(ABS($V75)&lt;=0.125, "Level A",IF(AND(ABS($V75)&gt;0.125,ABS($V75)&lt;=0.25), "Level B",IF(AND(ABS($V75)&gt;0.25,ABS($V75)&lt;=0.5), "Level C", IF(ABS($V75)&gt;0.5, "Level D")))))</f>
        <v/>
      </c>
      <c r="X75" s="93" t="str">
        <f t="shared" si="18"/>
        <v/>
      </c>
      <c r="Y75" s="93" t="str">
        <f t="shared" si="19"/>
        <v/>
      </c>
      <c r="Z75" s="93" t="str">
        <f t="shared" si="20"/>
        <v/>
      </c>
      <c r="AA75" s="32" t="str">
        <f t="shared" si="21"/>
        <v/>
      </c>
      <c r="AB75" s="33" t="e">
        <f>IF($S75="","",IF(#REF!="Tolerance",IF((#REF!*3*T75+S75)-E75&lt;F75,"",(#REF!*3*T75+S75)-E75),IF(OR(#REF!="GD&amp;T",#REF!="MAX"),IF((#REF!*3*T75+S75)&lt;F75,"",(#REF!*3*T75+S75)),"")))</f>
        <v>#REF!</v>
      </c>
      <c r="AC75" s="33" t="e">
        <f>IF(S75="","",IF(#REF!="Tolerance",IF(-((#REF!*3*T75)-S75)-E75&gt;G75,"",-((#REF!*3*T75)-S75)-E75),IF(#REF!="MIN",IF(-((#REF!*3*T75)-S75)&gt;G75,"",-((#REF!*3*T75)-S75)),"")))</f>
        <v>#REF!</v>
      </c>
      <c r="AD75" s="33">
        <f t="shared" ref="AD75:AD94" si="24">IF(OR(E75="",S75=""),"",(J75+K75)/2-S75)</f>
        <v>0.36199999999999999</v>
      </c>
      <c r="AE75" s="33" t="str">
        <f t="shared" si="22"/>
        <v/>
      </c>
      <c r="AF75" s="95"/>
      <c r="AG75" s="96" t="str">
        <f t="shared" ref="AG75:AG94" si="25">IF(AF75="","",IF(AF75&gt;=0.966,"Normal","Not Normal"))</f>
        <v/>
      </c>
      <c r="AH75" s="115"/>
      <c r="AI75" s="97"/>
      <c r="AJ75" s="97"/>
      <c r="AK75" s="98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99"/>
    </row>
    <row r="76" spans="2:70" ht="19.149999999999999" customHeight="1">
      <c r="B76" s="100" t="s">
        <v>119</v>
      </c>
      <c r="C76" s="35" t="s">
        <v>188</v>
      </c>
      <c r="D76" s="84" t="s">
        <v>45</v>
      </c>
      <c r="E76" s="85">
        <v>1.7729999999999999</v>
      </c>
      <c r="F76" s="86">
        <v>0.03</v>
      </c>
      <c r="G76" s="86">
        <v>-0.03</v>
      </c>
      <c r="H76" s="87" t="s">
        <v>46</v>
      </c>
      <c r="I76" s="88"/>
      <c r="J76" s="89">
        <v>1.8029999999999999</v>
      </c>
      <c r="K76" s="89">
        <v>1.7429999999999999</v>
      </c>
      <c r="L76" s="112">
        <v>1.7985</v>
      </c>
      <c r="M76" s="112">
        <v>1.7474999999999998</v>
      </c>
      <c r="N76" s="112">
        <v>1.7954999999999999</v>
      </c>
      <c r="O76" s="112">
        <v>1.7504999999999999</v>
      </c>
      <c r="P76" s="90"/>
      <c r="Q76" s="91">
        <f t="shared" si="14"/>
        <v>0</v>
      </c>
      <c r="R76" s="91">
        <f t="shared" si="15"/>
        <v>0</v>
      </c>
      <c r="S76" s="91">
        <f t="shared" si="16"/>
        <v>0</v>
      </c>
      <c r="T76" s="92">
        <f t="shared" si="13"/>
        <v>0</v>
      </c>
      <c r="U76" s="93" t="str">
        <f t="shared" si="17"/>
        <v/>
      </c>
      <c r="V76" s="94" t="str">
        <f>IF(OR($AM76="",ISNUMBER($AM76)=FALSE),"",IF(AND(#REF!="Tolerance",$E76&lt;&gt;""),($S76-$E76)/(($J76-$K76)/2),IF(AND(#REF!="GD&amp;T",$F76&lt;&gt;""),$S76/$F76,"")))</f>
        <v/>
      </c>
      <c r="W76" s="94" t="str">
        <f t="shared" si="23"/>
        <v/>
      </c>
      <c r="X76" s="93" t="str">
        <f t="shared" si="18"/>
        <v/>
      </c>
      <c r="Y76" s="93" t="str">
        <f t="shared" si="19"/>
        <v/>
      </c>
      <c r="Z76" s="93" t="str">
        <f t="shared" si="20"/>
        <v/>
      </c>
      <c r="AA76" s="32" t="str">
        <f t="shared" si="21"/>
        <v/>
      </c>
      <c r="AB76" s="33" t="e">
        <f>IF($S76="","",IF(#REF!="Tolerance",IF((#REF!*3*T76+S76)-E76&lt;F76,"",(#REF!*3*T76+S76)-E76),IF(OR(#REF!="GD&amp;T",#REF!="MAX"),IF((#REF!*3*T76+S76)&lt;F76,"",(#REF!*3*T76+S76)),"")))</f>
        <v>#REF!</v>
      </c>
      <c r="AC76" s="33" t="e">
        <f>IF(S76="","",IF(#REF!="Tolerance",IF(-((#REF!*3*T76)-S76)-E76&gt;G76,"",-((#REF!*3*T76)-S76)-E76),IF(#REF!="MIN",IF(-((#REF!*3*T76)-S76)&gt;G76,"",-((#REF!*3*T76)-S76)),"")))</f>
        <v>#REF!</v>
      </c>
      <c r="AD76" s="33">
        <f t="shared" si="24"/>
        <v>1.7729999999999999</v>
      </c>
      <c r="AE76" s="33" t="str">
        <f t="shared" si="22"/>
        <v/>
      </c>
      <c r="AF76" s="95"/>
      <c r="AG76" s="96" t="str">
        <f t="shared" si="25"/>
        <v/>
      </c>
      <c r="AH76" s="115"/>
      <c r="AI76" s="97"/>
      <c r="AJ76" s="97"/>
      <c r="AK76" s="98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  <c r="BP76" s="99"/>
      <c r="BQ76" s="99"/>
      <c r="BR76" s="99"/>
    </row>
    <row r="77" spans="2:70" ht="19.149999999999999" customHeight="1">
      <c r="B77" s="83" t="s">
        <v>119</v>
      </c>
      <c r="C77" s="35" t="s">
        <v>189</v>
      </c>
      <c r="D77" s="84" t="s">
        <v>45</v>
      </c>
      <c r="E77" s="85">
        <v>1.7729999999999999</v>
      </c>
      <c r="F77" s="86">
        <v>0.03</v>
      </c>
      <c r="G77" s="86">
        <v>-0.03</v>
      </c>
      <c r="H77" s="87" t="s">
        <v>46</v>
      </c>
      <c r="I77" s="88"/>
      <c r="J77" s="89">
        <v>1.8029999999999999</v>
      </c>
      <c r="K77" s="89">
        <v>1.7429999999999999</v>
      </c>
      <c r="L77" s="112">
        <v>1.7985</v>
      </c>
      <c r="M77" s="112">
        <v>1.7474999999999998</v>
      </c>
      <c r="N77" s="112">
        <v>1.7954999999999999</v>
      </c>
      <c r="O77" s="112">
        <v>1.7504999999999999</v>
      </c>
      <c r="P77" s="90"/>
      <c r="Q77" s="91">
        <f t="shared" si="14"/>
        <v>0</v>
      </c>
      <c r="R77" s="91">
        <f t="shared" si="15"/>
        <v>0</v>
      </c>
      <c r="S77" s="91">
        <f t="shared" si="16"/>
        <v>0</v>
      </c>
      <c r="T77" s="92">
        <f t="shared" si="13"/>
        <v>0</v>
      </c>
      <c r="U77" s="93" t="str">
        <f t="shared" si="17"/>
        <v/>
      </c>
      <c r="V77" s="94" t="str">
        <f>IF(OR($AM77="",ISNUMBER($AM77)=FALSE),"",IF(AND(#REF!="Tolerance",$E77&lt;&gt;""),($S77-$E77)/(($J77-$K77)/2),IF(AND(#REF!="GD&amp;T",$F77&lt;&gt;""),$S77/$F77,"")))</f>
        <v/>
      </c>
      <c r="W77" s="94" t="str">
        <f t="shared" si="23"/>
        <v/>
      </c>
      <c r="X77" s="93" t="str">
        <f t="shared" si="18"/>
        <v/>
      </c>
      <c r="Y77" s="93" t="str">
        <f t="shared" si="19"/>
        <v/>
      </c>
      <c r="Z77" s="93" t="str">
        <f t="shared" si="20"/>
        <v/>
      </c>
      <c r="AA77" s="32" t="str">
        <f t="shared" si="21"/>
        <v/>
      </c>
      <c r="AB77" s="33" t="e">
        <f>IF($S77="","",IF(#REF!="Tolerance",IF((#REF!*3*T77+S77)-E77&lt;F77,"",(#REF!*3*T77+S77)-E77),IF(OR(#REF!="GD&amp;T",#REF!="MAX"),IF((#REF!*3*T77+S77)&lt;F77,"",(#REF!*3*T77+S77)),"")))</f>
        <v>#REF!</v>
      </c>
      <c r="AC77" s="33" t="e">
        <f>IF(S77="","",IF(#REF!="Tolerance",IF(-((#REF!*3*T77)-S77)-E77&gt;G77,"",-((#REF!*3*T77)-S77)-E77),IF(#REF!="MIN",IF(-((#REF!*3*T77)-S77)&gt;G77,"",-((#REF!*3*T77)-S77)),"")))</f>
        <v>#REF!</v>
      </c>
      <c r="AD77" s="33">
        <f t="shared" si="24"/>
        <v>1.7729999999999999</v>
      </c>
      <c r="AE77" s="33" t="str">
        <f t="shared" si="22"/>
        <v/>
      </c>
      <c r="AF77" s="95"/>
      <c r="AG77" s="96" t="str">
        <f t="shared" si="25"/>
        <v/>
      </c>
      <c r="AH77" s="115"/>
      <c r="AI77" s="97"/>
      <c r="AJ77" s="97"/>
      <c r="AK77" s="98"/>
      <c r="AM77" s="99"/>
      <c r="AN77" s="99"/>
      <c r="AO77" s="99"/>
      <c r="AP77" s="99"/>
      <c r="AQ77" s="99"/>
      <c r="AR77" s="99"/>
      <c r="AS77" s="99"/>
      <c r="AT77" s="99"/>
      <c r="AU77" s="99"/>
      <c r="AV77" s="99"/>
      <c r="AW77" s="99"/>
      <c r="AX77" s="99"/>
      <c r="AY77" s="99"/>
      <c r="AZ77" s="99"/>
      <c r="BA77" s="99"/>
      <c r="BB77" s="99"/>
      <c r="BC77" s="99"/>
      <c r="BD77" s="99"/>
      <c r="BE77" s="99"/>
      <c r="BF77" s="99"/>
      <c r="BG77" s="99"/>
      <c r="BH77" s="99"/>
      <c r="BI77" s="99"/>
      <c r="BJ77" s="99"/>
      <c r="BK77" s="99"/>
      <c r="BL77" s="99"/>
      <c r="BM77" s="99"/>
      <c r="BN77" s="99"/>
      <c r="BO77" s="99"/>
      <c r="BP77" s="99"/>
      <c r="BQ77" s="99"/>
      <c r="BR77" s="99"/>
    </row>
    <row r="78" spans="2:70" ht="19.149999999999999" customHeight="1">
      <c r="B78" s="83" t="s">
        <v>120</v>
      </c>
      <c r="C78" s="35" t="s">
        <v>190</v>
      </c>
      <c r="D78" s="84" t="s">
        <v>45</v>
      </c>
      <c r="E78" s="85">
        <v>15.199</v>
      </c>
      <c r="F78" s="86">
        <v>0.03</v>
      </c>
      <c r="G78" s="86">
        <v>-0.03</v>
      </c>
      <c r="H78" s="87" t="s">
        <v>46</v>
      </c>
      <c r="I78" s="88"/>
      <c r="J78" s="89">
        <v>15.228999999999999</v>
      </c>
      <c r="K78" s="89">
        <v>15.169</v>
      </c>
      <c r="L78" s="112">
        <v>15.224499999999999</v>
      </c>
      <c r="M78" s="112">
        <v>15.173500000000001</v>
      </c>
      <c r="N78" s="112">
        <v>15.221500000000001</v>
      </c>
      <c r="O78" s="112">
        <v>15.176499999999999</v>
      </c>
      <c r="P78" s="90"/>
      <c r="Q78" s="91">
        <f t="shared" si="14"/>
        <v>0</v>
      </c>
      <c r="R78" s="91">
        <f t="shared" si="15"/>
        <v>0</v>
      </c>
      <c r="S78" s="91">
        <f t="shared" si="16"/>
        <v>0</v>
      </c>
      <c r="T78" s="92">
        <f>IF(OR($AM78=ISBLANK(TRUE),ISNUMBER($AM78)=FALSE),,STDEV(AM78:BR78))</f>
        <v>0</v>
      </c>
      <c r="U78" s="93" t="str">
        <f t="shared" si="17"/>
        <v/>
      </c>
      <c r="V78" s="94" t="str">
        <f>IF(OR($AM78="",ISNUMBER($AM78)=FALSE),"",IF(AND(#REF!="Tolerance",$E78&lt;&gt;""),($S78-$E78)/(($J78-$K78)/2),IF(AND(#REF!="GD&amp;T",$F78&lt;&gt;""),$S78/$F78,"")))</f>
        <v/>
      </c>
      <c r="W78" s="94" t="str">
        <f t="shared" si="23"/>
        <v/>
      </c>
      <c r="X78" s="93" t="str">
        <f t="shared" si="18"/>
        <v/>
      </c>
      <c r="Y78" s="93" t="str">
        <f t="shared" si="19"/>
        <v/>
      </c>
      <c r="Z78" s="93" t="str">
        <f t="shared" si="20"/>
        <v/>
      </c>
      <c r="AA78" s="32" t="str">
        <f t="shared" si="21"/>
        <v/>
      </c>
      <c r="AB78" s="33" t="e">
        <f>IF($S78="","",IF(#REF!="Tolerance",IF((#REF!*3*T78+S78)-E78&lt;F78,"",(#REF!*3*T78+S78)-E78),IF(OR(#REF!="GD&amp;T",#REF!="MAX"),IF((#REF!*3*T78+S78)&lt;F78,"",(#REF!*3*T78+S78)),"")))</f>
        <v>#REF!</v>
      </c>
      <c r="AC78" s="33" t="e">
        <f>IF(S78="","",IF(#REF!="Tolerance",IF(-((#REF!*3*T78)-S78)-E78&gt;G78,"",-((#REF!*3*T78)-S78)-E78),IF(#REF!="MIN",IF(-((#REF!*3*T78)-S78)&gt;G78,"",-((#REF!*3*T78)-S78)),"")))</f>
        <v>#REF!</v>
      </c>
      <c r="AD78" s="33">
        <f t="shared" si="24"/>
        <v>15.199</v>
      </c>
      <c r="AE78" s="33" t="str">
        <f t="shared" si="22"/>
        <v/>
      </c>
      <c r="AF78" s="95"/>
      <c r="AG78" s="96" t="str">
        <f t="shared" si="25"/>
        <v/>
      </c>
      <c r="AH78" s="115"/>
      <c r="AI78" s="97"/>
      <c r="AJ78" s="97"/>
      <c r="AK78" s="98"/>
      <c r="AM78" s="99"/>
      <c r="AN78" s="99"/>
      <c r="AO78" s="99"/>
      <c r="AP78" s="99"/>
      <c r="AQ78" s="99"/>
      <c r="AR78" s="99"/>
      <c r="AS78" s="99"/>
      <c r="AT78" s="99"/>
      <c r="AU78" s="99"/>
      <c r="AV78" s="99"/>
      <c r="AW78" s="99"/>
      <c r="AX78" s="99"/>
      <c r="AY78" s="99"/>
      <c r="AZ78" s="99"/>
      <c r="BA78" s="99"/>
      <c r="BB78" s="99"/>
      <c r="BC78" s="99"/>
      <c r="BD78" s="99"/>
      <c r="BE78" s="99"/>
      <c r="BF78" s="99"/>
      <c r="BG78" s="99"/>
      <c r="BH78" s="99"/>
      <c r="BI78" s="99"/>
      <c r="BJ78" s="99"/>
      <c r="BK78" s="99"/>
      <c r="BL78" s="99"/>
      <c r="BM78" s="99"/>
      <c r="BN78" s="99"/>
      <c r="BO78" s="99"/>
      <c r="BP78" s="99"/>
      <c r="BQ78" s="99"/>
      <c r="BR78" s="99"/>
    </row>
    <row r="79" spans="2:70" ht="19.149999999999999" customHeight="1">
      <c r="B79" s="83" t="s">
        <v>120</v>
      </c>
      <c r="C79" s="35" t="s">
        <v>191</v>
      </c>
      <c r="D79" s="84" t="s">
        <v>45</v>
      </c>
      <c r="E79" s="85">
        <v>15.199</v>
      </c>
      <c r="F79" s="86">
        <v>0.03</v>
      </c>
      <c r="G79" s="86">
        <v>-0.03</v>
      </c>
      <c r="H79" s="87" t="s">
        <v>46</v>
      </c>
      <c r="I79" s="88"/>
      <c r="J79" s="89">
        <v>15.228999999999999</v>
      </c>
      <c r="K79" s="89">
        <v>15.169</v>
      </c>
      <c r="L79" s="112">
        <v>15.224499999999999</v>
      </c>
      <c r="M79" s="112">
        <v>15.173500000000001</v>
      </c>
      <c r="N79" s="112">
        <v>15.221500000000001</v>
      </c>
      <c r="O79" s="112">
        <v>15.176499999999999</v>
      </c>
      <c r="P79" s="90"/>
      <c r="Q79" s="91">
        <f t="shared" si="14"/>
        <v>0</v>
      </c>
      <c r="R79" s="91">
        <f t="shared" si="15"/>
        <v>0</v>
      </c>
      <c r="S79" s="91">
        <f t="shared" si="16"/>
        <v>0</v>
      </c>
      <c r="T79" s="92">
        <f t="shared" ref="T79:T94" si="26">IF(OR($AM79=ISBLANK(TRUE),ISNUMBER($AM79)=FALSE),,STDEV(AM79:BR79))</f>
        <v>0</v>
      </c>
      <c r="U79" s="93" t="str">
        <f t="shared" si="17"/>
        <v/>
      </c>
      <c r="V79" s="94" t="str">
        <f>IF(OR($AM79="",ISNUMBER($AM79)=FALSE),"",IF(AND(#REF!="Tolerance",$E79&lt;&gt;""),($S79-$E79)/(($J79-$K79)/2),IF(AND(#REF!="GD&amp;T",$F79&lt;&gt;""),$S79/$F79,"")))</f>
        <v/>
      </c>
      <c r="W79" s="94" t="str">
        <f t="shared" si="23"/>
        <v/>
      </c>
      <c r="X79" s="93" t="str">
        <f t="shared" si="18"/>
        <v/>
      </c>
      <c r="Y79" s="93" t="str">
        <f t="shared" si="19"/>
        <v/>
      </c>
      <c r="Z79" s="93" t="str">
        <f t="shared" si="20"/>
        <v/>
      </c>
      <c r="AA79" s="32" t="str">
        <f t="shared" si="21"/>
        <v/>
      </c>
      <c r="AB79" s="33" t="e">
        <f>IF($S79="","",IF(#REF!="Tolerance",IF((#REF!*3*T79+S79)-E79&lt;F79,"",(#REF!*3*T79+S79)-E79),IF(OR(#REF!="GD&amp;T",#REF!="MAX"),IF((#REF!*3*T79+S79)&lt;F79,"",(#REF!*3*T79+S79)),"")))</f>
        <v>#REF!</v>
      </c>
      <c r="AC79" s="33" t="e">
        <f>IF(S79="","",IF(#REF!="Tolerance",IF(-((#REF!*3*T79)-S79)-E79&gt;G79,"",-((#REF!*3*T79)-S79)-E79),IF(#REF!="MIN",IF(-((#REF!*3*T79)-S79)&gt;G79,"",-((#REF!*3*T79)-S79)),"")))</f>
        <v>#REF!</v>
      </c>
      <c r="AD79" s="33">
        <f t="shared" si="24"/>
        <v>15.199</v>
      </c>
      <c r="AE79" s="33" t="str">
        <f t="shared" si="22"/>
        <v/>
      </c>
      <c r="AF79" s="95"/>
      <c r="AG79" s="96" t="str">
        <f t="shared" si="25"/>
        <v/>
      </c>
      <c r="AH79" s="115"/>
      <c r="AI79" s="97"/>
      <c r="AJ79" s="97"/>
      <c r="AK79" s="98"/>
      <c r="AM79" s="99"/>
      <c r="AN79" s="99"/>
      <c r="AO79" s="99"/>
      <c r="AP79" s="99"/>
      <c r="AQ79" s="99"/>
      <c r="AR79" s="99"/>
      <c r="AS79" s="99"/>
      <c r="AT79" s="99"/>
      <c r="AU79" s="99"/>
      <c r="AV79" s="99"/>
      <c r="AW79" s="99"/>
      <c r="AX79" s="99"/>
      <c r="AY79" s="99"/>
      <c r="AZ79" s="99"/>
      <c r="BA79" s="99"/>
      <c r="BB79" s="99"/>
      <c r="BC79" s="99"/>
      <c r="BD79" s="99"/>
      <c r="BE79" s="99"/>
      <c r="BF79" s="99"/>
      <c r="BG79" s="99"/>
      <c r="BH79" s="99"/>
      <c r="BI79" s="99"/>
      <c r="BJ79" s="99"/>
      <c r="BK79" s="99"/>
      <c r="BL79" s="99"/>
      <c r="BM79" s="99"/>
      <c r="BN79" s="99"/>
      <c r="BO79" s="99"/>
      <c r="BP79" s="99"/>
      <c r="BQ79" s="99"/>
      <c r="BR79" s="99"/>
    </row>
    <row r="80" spans="2:70" ht="19.149999999999999" customHeight="1">
      <c r="B80" s="83" t="s">
        <v>121</v>
      </c>
      <c r="C80" s="35" t="s">
        <v>284</v>
      </c>
      <c r="D80" s="84" t="s">
        <v>109</v>
      </c>
      <c r="E80" s="85">
        <v>-0.45</v>
      </c>
      <c r="F80" s="86">
        <v>0.01</v>
      </c>
      <c r="G80" s="86">
        <v>-0.01</v>
      </c>
      <c r="H80" s="87" t="s">
        <v>111</v>
      </c>
      <c r="I80" s="88"/>
      <c r="J80" s="89">
        <v>-0.44</v>
      </c>
      <c r="K80" s="89">
        <v>-0.46</v>
      </c>
      <c r="L80" s="112">
        <v>-0.4415</v>
      </c>
      <c r="M80" s="112">
        <v>-0.45850000000000002</v>
      </c>
      <c r="N80" s="112"/>
      <c r="O80" s="112"/>
      <c r="P80" s="90"/>
      <c r="Q80" s="91">
        <f t="shared" si="14"/>
        <v>0</v>
      </c>
      <c r="R80" s="91">
        <f t="shared" si="15"/>
        <v>0</v>
      </c>
      <c r="S80" s="91">
        <f t="shared" si="16"/>
        <v>0</v>
      </c>
      <c r="T80" s="92">
        <f t="shared" si="26"/>
        <v>0</v>
      </c>
      <c r="U80" s="93" t="str">
        <f t="shared" si="17"/>
        <v/>
      </c>
      <c r="V80" s="94" t="str">
        <f>IF(OR($AM80="",ISNUMBER($AM80)=FALSE),"",IF(AND(#REF!="Tolerance",$E80&lt;&gt;""),($S80-$E80)/(($J80-$K80)/2),IF(AND(#REF!="GD&amp;T",$F80&lt;&gt;""),$S80/$F80,"")))</f>
        <v/>
      </c>
      <c r="W80" s="94" t="str">
        <f t="shared" si="23"/>
        <v/>
      </c>
      <c r="X80" s="93" t="str">
        <f t="shared" si="18"/>
        <v/>
      </c>
      <c r="Y80" s="93" t="str">
        <f t="shared" si="19"/>
        <v/>
      </c>
      <c r="Z80" s="93" t="str">
        <f t="shared" si="20"/>
        <v/>
      </c>
      <c r="AA80" s="32" t="str">
        <f t="shared" si="21"/>
        <v/>
      </c>
      <c r="AB80" s="33" t="e">
        <f>IF($S80="","",IF(#REF!="Tolerance",IF((#REF!*3*T80+S80)-E80&lt;F80,"",(#REF!*3*T80+S80)-E80),IF(OR(#REF!="GD&amp;T",#REF!="MAX"),IF((#REF!*3*T80+S80)&lt;F80,"",(#REF!*3*T80+S80)),"")))</f>
        <v>#REF!</v>
      </c>
      <c r="AC80" s="33" t="e">
        <f>IF(S80="","",IF(#REF!="Tolerance",IF(-((#REF!*3*T80)-S80)-E80&gt;G80,"",-((#REF!*3*T80)-S80)-E80),IF(#REF!="MIN",IF(-((#REF!*3*T80)-S80)&gt;G80,"",-((#REF!*3*T80)-S80)),"")))</f>
        <v>#REF!</v>
      </c>
      <c r="AD80" s="33">
        <f t="shared" si="24"/>
        <v>-0.45</v>
      </c>
      <c r="AE80" s="33" t="str">
        <f t="shared" si="22"/>
        <v/>
      </c>
      <c r="AF80" s="95"/>
      <c r="AG80" s="96" t="str">
        <f t="shared" si="25"/>
        <v/>
      </c>
      <c r="AH80" s="115"/>
      <c r="AI80" s="97"/>
      <c r="AJ80" s="97"/>
      <c r="AK80" s="98"/>
      <c r="AM80" s="99"/>
      <c r="AN80" s="99"/>
      <c r="AO80" s="99"/>
      <c r="AP80" s="99"/>
      <c r="AQ80" s="99"/>
      <c r="AR80" s="99"/>
      <c r="AS80" s="99"/>
      <c r="AT80" s="99"/>
      <c r="AU80" s="99"/>
      <c r="AV80" s="99"/>
      <c r="AW80" s="99"/>
      <c r="AX80" s="99"/>
      <c r="AY80" s="99"/>
      <c r="AZ80" s="99"/>
      <c r="BA80" s="99"/>
      <c r="BB80" s="99"/>
      <c r="BC80" s="99"/>
      <c r="BD80" s="99"/>
      <c r="BE80" s="99"/>
      <c r="BF80" s="99"/>
      <c r="BG80" s="99"/>
      <c r="BH80" s="99"/>
      <c r="BI80" s="99"/>
      <c r="BJ80" s="99"/>
      <c r="BK80" s="99"/>
      <c r="BL80" s="99"/>
      <c r="BM80" s="99"/>
      <c r="BN80" s="99"/>
      <c r="BO80" s="99"/>
      <c r="BP80" s="99"/>
      <c r="BQ80" s="99"/>
      <c r="BR80" s="99"/>
    </row>
    <row r="81" spans="2:70" ht="19.149999999999999" customHeight="1">
      <c r="B81" s="83" t="s">
        <v>269</v>
      </c>
      <c r="C81" s="35" t="s">
        <v>285</v>
      </c>
      <c r="D81" s="84" t="s">
        <v>109</v>
      </c>
      <c r="E81" s="85">
        <v>0</v>
      </c>
      <c r="F81" s="86">
        <v>1.4999999999999999E-2</v>
      </c>
      <c r="G81" s="86">
        <v>-5.0000000000000001E-3</v>
      </c>
      <c r="H81" s="87" t="s">
        <v>111</v>
      </c>
      <c r="I81" s="88"/>
      <c r="J81" s="89">
        <v>1.4999999999999999E-2</v>
      </c>
      <c r="K81" s="89">
        <v>-5.0000000000000001E-3</v>
      </c>
      <c r="L81" s="112">
        <v>1.2999999999999999E-2</v>
      </c>
      <c r="M81" s="112">
        <v>-3.0000000000000001E-3</v>
      </c>
      <c r="N81" s="112">
        <v>1.2E-2</v>
      </c>
      <c r="O81" s="112">
        <v>-4.0000000000000001E-3</v>
      </c>
      <c r="P81" s="90"/>
      <c r="Q81" s="91">
        <f t="shared" si="14"/>
        <v>0</v>
      </c>
      <c r="R81" s="91">
        <f t="shared" si="15"/>
        <v>0</v>
      </c>
      <c r="S81" s="91">
        <f t="shared" si="16"/>
        <v>0</v>
      </c>
      <c r="T81" s="92">
        <f t="shared" si="26"/>
        <v>0</v>
      </c>
      <c r="U81" s="93" t="str">
        <f t="shared" si="17"/>
        <v/>
      </c>
      <c r="V81" s="94" t="str">
        <f>IF(OR($AM81="",ISNUMBER($AM81)=FALSE),"",IF(AND(#REF!="Tolerance",$E81&lt;&gt;""),($S81-$E81)/(($J81-$K81)/2),IF(AND(#REF!="GD&amp;T",$F81&lt;&gt;""),$S81/$F81,"")))</f>
        <v/>
      </c>
      <c r="W81" s="94" t="str">
        <f t="shared" si="23"/>
        <v/>
      </c>
      <c r="X81" s="93" t="str">
        <f t="shared" si="18"/>
        <v/>
      </c>
      <c r="Y81" s="93" t="str">
        <f t="shared" si="19"/>
        <v/>
      </c>
      <c r="Z81" s="93" t="str">
        <f t="shared" si="20"/>
        <v/>
      </c>
      <c r="AA81" s="32" t="str">
        <f t="shared" si="21"/>
        <v/>
      </c>
      <c r="AB81" s="33" t="e">
        <f>IF($S81="","",IF(#REF!="Tolerance",IF((#REF!*3*T81+S81)-E81&lt;F81,"",(#REF!*3*T81+S81)-E81),IF(OR(#REF!="GD&amp;T",#REF!="MAX"),IF((#REF!*3*T81+S81)&lt;F81,"",(#REF!*3*T81+S81)),"")))</f>
        <v>#REF!</v>
      </c>
      <c r="AC81" s="33" t="e">
        <f>IF(S81="","",IF(#REF!="Tolerance",IF(-((#REF!*3*T81)-S81)-E81&gt;G81,"",-((#REF!*3*T81)-S81)-E81),IF(#REF!="MIN",IF(-((#REF!*3*T81)-S81)&gt;G81,"",-((#REF!*3*T81)-S81)),"")))</f>
        <v>#REF!</v>
      </c>
      <c r="AD81" s="33">
        <f t="shared" si="24"/>
        <v>4.9999999999999992E-3</v>
      </c>
      <c r="AE81" s="33" t="str">
        <f t="shared" si="22"/>
        <v/>
      </c>
      <c r="AF81" s="95"/>
      <c r="AG81" s="96" t="str">
        <f t="shared" si="25"/>
        <v/>
      </c>
      <c r="AH81" s="115"/>
      <c r="AI81" s="97"/>
      <c r="AJ81" s="97"/>
      <c r="AK81" s="98"/>
      <c r="AM81" s="99"/>
      <c r="AN81" s="99"/>
      <c r="AO81" s="99"/>
      <c r="AP81" s="99"/>
      <c r="AQ81" s="99"/>
      <c r="AR81" s="99"/>
      <c r="AS81" s="99"/>
      <c r="AT81" s="99"/>
      <c r="AU81" s="99"/>
      <c r="AV81" s="99"/>
      <c r="AW81" s="99"/>
      <c r="AX81" s="99"/>
      <c r="AY81" s="99"/>
      <c r="AZ81" s="99"/>
      <c r="BA81" s="99"/>
      <c r="BB81" s="99"/>
      <c r="BC81" s="99"/>
      <c r="BD81" s="99"/>
      <c r="BE81" s="99"/>
      <c r="BF81" s="99"/>
      <c r="BG81" s="99"/>
      <c r="BH81" s="99"/>
      <c r="BI81" s="99"/>
      <c r="BJ81" s="99"/>
      <c r="BK81" s="99"/>
      <c r="BL81" s="99"/>
      <c r="BM81" s="99"/>
      <c r="BN81" s="99"/>
      <c r="BO81" s="99"/>
      <c r="BP81" s="99"/>
      <c r="BQ81" s="99"/>
      <c r="BR81" s="99"/>
    </row>
    <row r="82" spans="2:70" ht="19.149999999999999" customHeight="1">
      <c r="B82" s="83" t="s">
        <v>121</v>
      </c>
      <c r="C82" s="35" t="s">
        <v>286</v>
      </c>
      <c r="D82" s="84" t="s">
        <v>109</v>
      </c>
      <c r="E82" s="85">
        <v>-0.45</v>
      </c>
      <c r="F82" s="86">
        <v>0.01</v>
      </c>
      <c r="G82" s="86">
        <v>-0.01</v>
      </c>
      <c r="H82" s="87" t="s">
        <v>111</v>
      </c>
      <c r="I82" s="88"/>
      <c r="J82" s="89">
        <v>-0.44</v>
      </c>
      <c r="K82" s="89">
        <v>-0.46</v>
      </c>
      <c r="L82" s="112">
        <v>-0.4415</v>
      </c>
      <c r="M82" s="112">
        <v>-0.45850000000000002</v>
      </c>
      <c r="N82" s="112"/>
      <c r="O82" s="112"/>
      <c r="P82" s="90"/>
      <c r="Q82" s="91">
        <f t="shared" si="14"/>
        <v>0</v>
      </c>
      <c r="R82" s="91">
        <f t="shared" si="15"/>
        <v>0</v>
      </c>
      <c r="S82" s="91">
        <f t="shared" si="16"/>
        <v>0</v>
      </c>
      <c r="T82" s="92">
        <f t="shared" si="26"/>
        <v>0</v>
      </c>
      <c r="U82" s="93" t="str">
        <f t="shared" si="17"/>
        <v/>
      </c>
      <c r="V82" s="94" t="str">
        <f>IF(OR($AM82="",ISNUMBER($AM82)=FALSE),"",IF(AND(#REF!="Tolerance",$E82&lt;&gt;""),($S82-$E82)/(($J82-$K82)/2),IF(AND(#REF!="GD&amp;T",$F82&lt;&gt;""),$S82/$F82,"")))</f>
        <v/>
      </c>
      <c r="W82" s="94" t="str">
        <f t="shared" si="23"/>
        <v/>
      </c>
      <c r="X82" s="93" t="str">
        <f t="shared" si="18"/>
        <v/>
      </c>
      <c r="Y82" s="93" t="str">
        <f t="shared" si="19"/>
        <v/>
      </c>
      <c r="Z82" s="93" t="str">
        <f t="shared" si="20"/>
        <v/>
      </c>
      <c r="AA82" s="32" t="str">
        <f t="shared" si="21"/>
        <v/>
      </c>
      <c r="AB82" s="33" t="e">
        <f>IF($S82="","",IF(#REF!="Tolerance",IF((#REF!*3*T82+S82)-E82&lt;F82,"",(#REF!*3*T82+S82)-E82),IF(OR(#REF!="GD&amp;T",#REF!="MAX"),IF((#REF!*3*T82+S82)&lt;F82,"",(#REF!*3*T82+S82)),"")))</f>
        <v>#REF!</v>
      </c>
      <c r="AC82" s="33" t="e">
        <f>IF(S82="","",IF(#REF!="Tolerance",IF(-((#REF!*3*T82)-S82)-E82&gt;G82,"",-((#REF!*3*T82)-S82)-E82),IF(#REF!="MIN",IF(-((#REF!*3*T82)-S82)&gt;G82,"",-((#REF!*3*T82)-S82)),"")))</f>
        <v>#REF!</v>
      </c>
      <c r="AD82" s="33">
        <f t="shared" si="24"/>
        <v>-0.45</v>
      </c>
      <c r="AE82" s="33" t="str">
        <f t="shared" si="22"/>
        <v/>
      </c>
      <c r="AF82" s="95"/>
      <c r="AG82" s="96" t="str">
        <f t="shared" si="25"/>
        <v/>
      </c>
      <c r="AH82" s="115"/>
      <c r="AI82" s="97"/>
      <c r="AJ82" s="97"/>
      <c r="AK82" s="98"/>
      <c r="AM82" s="99"/>
      <c r="AN82" s="99"/>
      <c r="AO82" s="99"/>
      <c r="AP82" s="99"/>
      <c r="AQ82" s="99"/>
      <c r="AR82" s="99"/>
      <c r="AS82" s="99"/>
      <c r="AT82" s="99"/>
      <c r="AU82" s="99"/>
      <c r="AV82" s="99"/>
      <c r="AW82" s="99"/>
      <c r="AX82" s="99"/>
      <c r="AY82" s="99"/>
      <c r="AZ82" s="99"/>
      <c r="BA82" s="99"/>
      <c r="BB82" s="99"/>
      <c r="BC82" s="99"/>
      <c r="BD82" s="99"/>
      <c r="BE82" s="99"/>
      <c r="BF82" s="99"/>
      <c r="BG82" s="99"/>
      <c r="BH82" s="99"/>
      <c r="BI82" s="99"/>
      <c r="BJ82" s="99"/>
      <c r="BK82" s="99"/>
      <c r="BL82" s="99"/>
      <c r="BM82" s="99"/>
      <c r="BN82" s="99"/>
      <c r="BO82" s="99"/>
      <c r="BP82" s="99"/>
      <c r="BQ82" s="99"/>
      <c r="BR82" s="99"/>
    </row>
    <row r="83" spans="2:70" ht="19.149999999999999" customHeight="1">
      <c r="B83" s="83" t="s">
        <v>269</v>
      </c>
      <c r="C83" s="35" t="s">
        <v>287</v>
      </c>
      <c r="D83" s="84" t="s">
        <v>109</v>
      </c>
      <c r="E83" s="85">
        <v>0</v>
      </c>
      <c r="F83" s="86">
        <v>1.4999999999999999E-2</v>
      </c>
      <c r="G83" s="86">
        <v>-5.0000000000000001E-3</v>
      </c>
      <c r="H83" s="87" t="s">
        <v>111</v>
      </c>
      <c r="I83" s="88"/>
      <c r="J83" s="89">
        <v>1.4999999999999999E-2</v>
      </c>
      <c r="K83" s="89">
        <v>-5.0000000000000001E-3</v>
      </c>
      <c r="L83" s="112">
        <v>1.2999999999999999E-2</v>
      </c>
      <c r="M83" s="112">
        <v>-3.0000000000000001E-3</v>
      </c>
      <c r="N83" s="112">
        <v>1.2E-2</v>
      </c>
      <c r="O83" s="112">
        <v>-4.0000000000000001E-3</v>
      </c>
      <c r="P83" s="90"/>
      <c r="Q83" s="91">
        <f t="shared" si="14"/>
        <v>0</v>
      </c>
      <c r="R83" s="91">
        <f t="shared" si="15"/>
        <v>0</v>
      </c>
      <c r="S83" s="91">
        <f t="shared" si="16"/>
        <v>0</v>
      </c>
      <c r="T83" s="92">
        <f t="shared" si="26"/>
        <v>0</v>
      </c>
      <c r="U83" s="93" t="str">
        <f t="shared" si="17"/>
        <v/>
      </c>
      <c r="V83" s="94" t="str">
        <f>IF(OR($AM83="",ISNUMBER($AM83)=FALSE),"",IF(AND(#REF!="Tolerance",$E83&lt;&gt;""),($S83-$E83)/(($J83-$K83)/2),IF(AND(#REF!="GD&amp;T",$F83&lt;&gt;""),$S83/$F83,"")))</f>
        <v/>
      </c>
      <c r="W83" s="94" t="str">
        <f t="shared" si="23"/>
        <v/>
      </c>
      <c r="X83" s="93" t="str">
        <f t="shared" si="18"/>
        <v/>
      </c>
      <c r="Y83" s="93" t="str">
        <f t="shared" si="19"/>
        <v/>
      </c>
      <c r="Z83" s="93" t="str">
        <f t="shared" si="20"/>
        <v/>
      </c>
      <c r="AA83" s="32" t="str">
        <f t="shared" si="21"/>
        <v/>
      </c>
      <c r="AB83" s="33" t="e">
        <f>IF($S83="","",IF(#REF!="Tolerance",IF((#REF!*3*T83+S83)-E83&lt;F83,"",(#REF!*3*T83+S83)-E83),IF(OR(#REF!="GD&amp;T",#REF!="MAX"),IF((#REF!*3*T83+S83)&lt;F83,"",(#REF!*3*T83+S83)),"")))</f>
        <v>#REF!</v>
      </c>
      <c r="AC83" s="33" t="e">
        <f>IF(S83="","",IF(#REF!="Tolerance",IF(-((#REF!*3*T83)-S83)-E83&gt;G83,"",-((#REF!*3*T83)-S83)-E83),IF(#REF!="MIN",IF(-((#REF!*3*T83)-S83)&gt;G83,"",-((#REF!*3*T83)-S83)),"")))</f>
        <v>#REF!</v>
      </c>
      <c r="AD83" s="33">
        <f t="shared" si="24"/>
        <v>4.9999999999999992E-3</v>
      </c>
      <c r="AE83" s="33" t="str">
        <f t="shared" si="22"/>
        <v/>
      </c>
      <c r="AF83" s="95"/>
      <c r="AG83" s="96" t="str">
        <f t="shared" si="25"/>
        <v/>
      </c>
      <c r="AH83" s="115"/>
      <c r="AI83" s="97"/>
      <c r="AJ83" s="97"/>
      <c r="AK83" s="98"/>
      <c r="AM83" s="99"/>
      <c r="AN83" s="99"/>
      <c r="AO83" s="99"/>
      <c r="AP83" s="99"/>
      <c r="AQ83" s="99"/>
      <c r="AR83" s="99"/>
      <c r="AS83" s="99"/>
      <c r="AT83" s="99"/>
      <c r="AU83" s="99"/>
      <c r="AV83" s="99"/>
      <c r="AW83" s="99"/>
      <c r="AX83" s="99"/>
      <c r="AY83" s="99"/>
      <c r="AZ83" s="99"/>
      <c r="BA83" s="99"/>
      <c r="BB83" s="99"/>
      <c r="BC83" s="99"/>
      <c r="BD83" s="99"/>
      <c r="BE83" s="99"/>
      <c r="BF83" s="99"/>
      <c r="BG83" s="99"/>
      <c r="BH83" s="99"/>
      <c r="BI83" s="99"/>
      <c r="BJ83" s="99"/>
      <c r="BK83" s="99"/>
      <c r="BL83" s="99"/>
      <c r="BM83" s="99"/>
      <c r="BN83" s="99"/>
      <c r="BO83" s="99"/>
      <c r="BP83" s="99"/>
      <c r="BQ83" s="99"/>
      <c r="BR83" s="99"/>
    </row>
    <row r="84" spans="2:70" ht="19.149999999999999" customHeight="1">
      <c r="B84" s="83" t="s">
        <v>122</v>
      </c>
      <c r="C84" s="35" t="s">
        <v>288</v>
      </c>
      <c r="D84" s="84" t="s">
        <v>109</v>
      </c>
      <c r="E84" s="85">
        <v>-0.45</v>
      </c>
      <c r="F84" s="86">
        <v>0.01</v>
      </c>
      <c r="G84" s="86">
        <v>-0.01</v>
      </c>
      <c r="H84" s="87" t="s">
        <v>111</v>
      </c>
      <c r="I84" s="88"/>
      <c r="J84" s="89">
        <v>-0.44</v>
      </c>
      <c r="K84" s="89">
        <v>-0.46</v>
      </c>
      <c r="L84" s="112">
        <v>-0.4415</v>
      </c>
      <c r="M84" s="112">
        <v>-0.45850000000000002</v>
      </c>
      <c r="N84" s="112"/>
      <c r="O84" s="112"/>
      <c r="P84" s="90"/>
      <c r="Q84" s="91">
        <f t="shared" si="14"/>
        <v>0</v>
      </c>
      <c r="R84" s="91">
        <f t="shared" si="15"/>
        <v>0</v>
      </c>
      <c r="S84" s="91">
        <f t="shared" si="16"/>
        <v>0</v>
      </c>
      <c r="T84" s="92">
        <f t="shared" si="26"/>
        <v>0</v>
      </c>
      <c r="U84" s="93" t="str">
        <f t="shared" si="17"/>
        <v/>
      </c>
      <c r="V84" s="94" t="str">
        <f>IF(OR($AM84="",ISNUMBER($AM84)=FALSE),"",IF(AND(#REF!="Tolerance",$E84&lt;&gt;""),($S84-$E84)/(($J84-$K84)/2),IF(AND(#REF!="GD&amp;T",$F84&lt;&gt;""),$S84/$F84,"")))</f>
        <v/>
      </c>
      <c r="W84" s="94" t="str">
        <f t="shared" si="23"/>
        <v/>
      </c>
      <c r="X84" s="93" t="str">
        <f t="shared" si="18"/>
        <v/>
      </c>
      <c r="Y84" s="93" t="str">
        <f t="shared" si="19"/>
        <v/>
      </c>
      <c r="Z84" s="93" t="str">
        <f t="shared" si="20"/>
        <v/>
      </c>
      <c r="AA84" s="32" t="str">
        <f t="shared" si="21"/>
        <v/>
      </c>
      <c r="AB84" s="33" t="e">
        <f>IF($S84="","",IF(#REF!="Tolerance",IF((#REF!*3*T84+S84)-E84&lt;F84,"",(#REF!*3*T84+S84)-E84),IF(OR(#REF!="GD&amp;T",#REF!="MAX"),IF((#REF!*3*T84+S84)&lt;F84,"",(#REF!*3*T84+S84)),"")))</f>
        <v>#REF!</v>
      </c>
      <c r="AC84" s="33" t="e">
        <f>IF(S84="","",IF(#REF!="Tolerance",IF(-((#REF!*3*T84)-S84)-E84&gt;G84,"",-((#REF!*3*T84)-S84)-E84),IF(#REF!="MIN",IF(-((#REF!*3*T84)-S84)&gt;G84,"",-((#REF!*3*T84)-S84)),"")))</f>
        <v>#REF!</v>
      </c>
      <c r="AD84" s="33">
        <f t="shared" si="24"/>
        <v>-0.45</v>
      </c>
      <c r="AE84" s="33" t="str">
        <f t="shared" si="22"/>
        <v/>
      </c>
      <c r="AF84" s="95"/>
      <c r="AG84" s="96" t="str">
        <f t="shared" si="25"/>
        <v/>
      </c>
      <c r="AH84" s="115"/>
      <c r="AI84" s="97"/>
      <c r="AJ84" s="97"/>
      <c r="AK84" s="98"/>
      <c r="AM84" s="99"/>
      <c r="AN84" s="99"/>
      <c r="AO84" s="99"/>
      <c r="AP84" s="99"/>
      <c r="AQ84" s="99"/>
      <c r="AR84" s="99"/>
      <c r="AS84" s="99"/>
      <c r="AT84" s="99"/>
      <c r="AU84" s="99"/>
      <c r="AV84" s="99"/>
      <c r="AW84" s="99"/>
      <c r="AX84" s="99"/>
      <c r="AY84" s="99"/>
      <c r="AZ84" s="99"/>
      <c r="BA84" s="99"/>
      <c r="BB84" s="99"/>
      <c r="BC84" s="99"/>
      <c r="BD84" s="99"/>
      <c r="BE84" s="99"/>
      <c r="BF84" s="99"/>
      <c r="BG84" s="99"/>
      <c r="BH84" s="99"/>
      <c r="BI84" s="99"/>
      <c r="BJ84" s="99"/>
      <c r="BK84" s="99"/>
      <c r="BL84" s="99"/>
      <c r="BM84" s="99"/>
      <c r="BN84" s="99"/>
      <c r="BO84" s="99"/>
      <c r="BP84" s="99"/>
      <c r="BQ84" s="99"/>
      <c r="BR84" s="99"/>
    </row>
    <row r="85" spans="2:70" ht="19.149999999999999" customHeight="1">
      <c r="B85" s="83" t="s">
        <v>269</v>
      </c>
      <c r="C85" s="35" t="s">
        <v>289</v>
      </c>
      <c r="D85" s="84" t="s">
        <v>109</v>
      </c>
      <c r="E85" s="85">
        <v>0</v>
      </c>
      <c r="F85" s="86">
        <v>5.0000000000000001E-3</v>
      </c>
      <c r="G85" s="86">
        <v>-1.4999999999999999E-2</v>
      </c>
      <c r="H85" s="87" t="s">
        <v>111</v>
      </c>
      <c r="I85" s="88"/>
      <c r="J85" s="89">
        <v>5.0000000000000001E-3</v>
      </c>
      <c r="K85" s="89">
        <v>-1.4999999999999999E-2</v>
      </c>
      <c r="L85" s="112">
        <v>3.0000000000000001E-3</v>
      </c>
      <c r="M85" s="112">
        <v>-1.2999999999999999E-2</v>
      </c>
      <c r="N85" s="112">
        <v>4.0000000000000001E-3</v>
      </c>
      <c r="O85" s="112">
        <v>-1.2E-2</v>
      </c>
      <c r="P85" s="90"/>
      <c r="Q85" s="91">
        <f t="shared" si="14"/>
        <v>0</v>
      </c>
      <c r="R85" s="91">
        <f t="shared" si="15"/>
        <v>0</v>
      </c>
      <c r="S85" s="91">
        <f t="shared" si="16"/>
        <v>0</v>
      </c>
      <c r="T85" s="92">
        <f t="shared" si="26"/>
        <v>0</v>
      </c>
      <c r="U85" s="93" t="str">
        <f t="shared" si="17"/>
        <v/>
      </c>
      <c r="V85" s="94" t="str">
        <f>IF(OR($AM85="",ISNUMBER($AM85)=FALSE),"",IF(AND(#REF!="Tolerance",$E85&lt;&gt;""),($S85-$E85)/(($J85-$K85)/2),IF(AND(#REF!="GD&amp;T",$F85&lt;&gt;""),$S85/$F85,"")))</f>
        <v/>
      </c>
      <c r="W85" s="94" t="str">
        <f t="shared" si="23"/>
        <v/>
      </c>
      <c r="X85" s="93" t="str">
        <f t="shared" si="18"/>
        <v/>
      </c>
      <c r="Y85" s="93" t="str">
        <f t="shared" si="19"/>
        <v/>
      </c>
      <c r="Z85" s="93" t="str">
        <f t="shared" si="20"/>
        <v/>
      </c>
      <c r="AA85" s="32" t="str">
        <f t="shared" si="21"/>
        <v/>
      </c>
      <c r="AB85" s="33" t="e">
        <f>IF($S85="","",IF(#REF!="Tolerance",IF((#REF!*3*T85+S85)-E85&lt;F85,"",(#REF!*3*T85+S85)-E85),IF(OR(#REF!="GD&amp;T",#REF!="MAX"),IF((#REF!*3*T85+S85)&lt;F85,"",(#REF!*3*T85+S85)),"")))</f>
        <v>#REF!</v>
      </c>
      <c r="AC85" s="33" t="e">
        <f>IF(S85="","",IF(#REF!="Tolerance",IF(-((#REF!*3*T85)-S85)-E85&gt;G85,"",-((#REF!*3*T85)-S85)-E85),IF(#REF!="MIN",IF(-((#REF!*3*T85)-S85)&gt;G85,"",-((#REF!*3*T85)-S85)),"")))</f>
        <v>#REF!</v>
      </c>
      <c r="AD85" s="33">
        <f t="shared" si="24"/>
        <v>-4.9999999999999992E-3</v>
      </c>
      <c r="AE85" s="33" t="str">
        <f t="shared" si="22"/>
        <v/>
      </c>
      <c r="AF85" s="95"/>
      <c r="AG85" s="96" t="str">
        <f t="shared" si="25"/>
        <v/>
      </c>
      <c r="AH85" s="115"/>
      <c r="AI85" s="97"/>
      <c r="AJ85" s="97"/>
      <c r="AK85" s="98"/>
      <c r="AM85" s="99"/>
      <c r="AN85" s="99"/>
      <c r="AO85" s="99"/>
      <c r="AP85" s="99"/>
      <c r="AQ85" s="99"/>
      <c r="AR85" s="99"/>
      <c r="AS85" s="99"/>
      <c r="AT85" s="99"/>
      <c r="AU85" s="99"/>
      <c r="AV85" s="99"/>
      <c r="AW85" s="99"/>
      <c r="AX85" s="99"/>
      <c r="AY85" s="99"/>
      <c r="AZ85" s="99"/>
      <c r="BA85" s="99"/>
      <c r="BB85" s="99"/>
      <c r="BC85" s="99"/>
      <c r="BD85" s="99"/>
      <c r="BE85" s="99"/>
      <c r="BF85" s="99"/>
      <c r="BG85" s="99"/>
      <c r="BH85" s="99"/>
      <c r="BI85" s="99"/>
      <c r="BJ85" s="99"/>
      <c r="BK85" s="99"/>
      <c r="BL85" s="99"/>
      <c r="BM85" s="99"/>
      <c r="BN85" s="99"/>
      <c r="BO85" s="99"/>
      <c r="BP85" s="99"/>
      <c r="BQ85" s="99"/>
      <c r="BR85" s="99"/>
    </row>
    <row r="86" spans="2:70" ht="19.149999999999999" customHeight="1">
      <c r="B86" s="100" t="s">
        <v>122</v>
      </c>
      <c r="C86" s="35" t="s">
        <v>290</v>
      </c>
      <c r="D86" s="84" t="s">
        <v>109</v>
      </c>
      <c r="E86" s="85">
        <v>-0.45</v>
      </c>
      <c r="F86" s="86">
        <v>0.01</v>
      </c>
      <c r="G86" s="86">
        <v>-0.01</v>
      </c>
      <c r="H86" s="87" t="s">
        <v>111</v>
      </c>
      <c r="I86" s="88"/>
      <c r="J86" s="89">
        <v>-0.44</v>
      </c>
      <c r="K86" s="89">
        <v>-0.46</v>
      </c>
      <c r="L86" s="112">
        <v>-0.4415</v>
      </c>
      <c r="M86" s="112">
        <v>-0.45850000000000002</v>
      </c>
      <c r="N86" s="112"/>
      <c r="O86" s="112"/>
      <c r="P86" s="90"/>
      <c r="Q86" s="91">
        <f t="shared" si="14"/>
        <v>0</v>
      </c>
      <c r="R86" s="91">
        <f t="shared" si="15"/>
        <v>0</v>
      </c>
      <c r="S86" s="91">
        <f t="shared" si="16"/>
        <v>0</v>
      </c>
      <c r="T86" s="92">
        <f t="shared" si="26"/>
        <v>0</v>
      </c>
      <c r="U86" s="93" t="str">
        <f t="shared" si="17"/>
        <v/>
      </c>
      <c r="V86" s="94" t="str">
        <f>IF(OR($AM86="",ISNUMBER($AM86)=FALSE),"",IF(AND(#REF!="Tolerance",$E86&lt;&gt;""),($S86-$E86)/(($J86-$K86)/2),IF(AND(#REF!="GD&amp;T",$F86&lt;&gt;""),$S86/$F86,"")))</f>
        <v/>
      </c>
      <c r="W86" s="94" t="str">
        <f t="shared" si="23"/>
        <v/>
      </c>
      <c r="X86" s="93" t="str">
        <f t="shared" si="18"/>
        <v/>
      </c>
      <c r="Y86" s="93" t="str">
        <f t="shared" si="19"/>
        <v/>
      </c>
      <c r="Z86" s="93" t="str">
        <f t="shared" si="20"/>
        <v/>
      </c>
      <c r="AA86" s="32" t="str">
        <f t="shared" si="21"/>
        <v/>
      </c>
      <c r="AB86" s="33" t="e">
        <f>IF($S86="","",IF(#REF!="Tolerance",IF((#REF!*3*T86+S86)-E86&lt;F86,"",(#REF!*3*T86+S86)-E86),IF(OR(#REF!="GD&amp;T",#REF!="MAX"),IF((#REF!*3*T86+S86)&lt;F86,"",(#REF!*3*T86+S86)),"")))</f>
        <v>#REF!</v>
      </c>
      <c r="AC86" s="33" t="e">
        <f>IF(S86="","",IF(#REF!="Tolerance",IF(-((#REF!*3*T86)-S86)-E86&gt;G86,"",-((#REF!*3*T86)-S86)-E86),IF(#REF!="MIN",IF(-((#REF!*3*T86)-S86)&gt;G86,"",-((#REF!*3*T86)-S86)),"")))</f>
        <v>#REF!</v>
      </c>
      <c r="AD86" s="33">
        <f t="shared" si="24"/>
        <v>-0.45</v>
      </c>
      <c r="AE86" s="33" t="str">
        <f t="shared" si="22"/>
        <v/>
      </c>
      <c r="AF86" s="95"/>
      <c r="AG86" s="96" t="str">
        <f t="shared" si="25"/>
        <v/>
      </c>
      <c r="AH86" s="115"/>
      <c r="AI86" s="97"/>
      <c r="AJ86" s="97"/>
      <c r="AK86" s="98"/>
      <c r="AM86" s="99"/>
      <c r="AN86" s="99"/>
      <c r="AO86" s="99"/>
      <c r="AP86" s="99"/>
      <c r="AQ86" s="99"/>
      <c r="AR86" s="99"/>
      <c r="AS86" s="99"/>
      <c r="AT86" s="99"/>
      <c r="AU86" s="99"/>
      <c r="AV86" s="99"/>
      <c r="AW86" s="99"/>
      <c r="AX86" s="99"/>
      <c r="AY86" s="99"/>
      <c r="AZ86" s="99"/>
      <c r="BA86" s="99"/>
      <c r="BB86" s="99"/>
      <c r="BC86" s="99"/>
      <c r="BD86" s="99"/>
      <c r="BE86" s="99"/>
      <c r="BF86" s="99"/>
      <c r="BG86" s="99"/>
      <c r="BH86" s="99"/>
      <c r="BI86" s="99"/>
      <c r="BJ86" s="99"/>
      <c r="BK86" s="99"/>
      <c r="BL86" s="99"/>
      <c r="BM86" s="99"/>
      <c r="BN86" s="99"/>
      <c r="BO86" s="99"/>
      <c r="BP86" s="99"/>
      <c r="BQ86" s="99"/>
      <c r="BR86" s="99"/>
    </row>
    <row r="87" spans="2:70" ht="19.149999999999999" customHeight="1">
      <c r="B87" s="100" t="s">
        <v>269</v>
      </c>
      <c r="C87" s="35" t="s">
        <v>291</v>
      </c>
      <c r="D87" s="84" t="s">
        <v>109</v>
      </c>
      <c r="E87" s="85">
        <v>0</v>
      </c>
      <c r="F87" s="86">
        <v>5.0000000000000001E-3</v>
      </c>
      <c r="G87" s="86">
        <v>-1.4999999999999999E-2</v>
      </c>
      <c r="H87" s="87" t="s">
        <v>111</v>
      </c>
      <c r="I87" s="88"/>
      <c r="J87" s="89">
        <v>5.0000000000000001E-3</v>
      </c>
      <c r="K87" s="89">
        <v>-1.4999999999999999E-2</v>
      </c>
      <c r="L87" s="112">
        <v>3.0000000000000001E-3</v>
      </c>
      <c r="M87" s="112">
        <v>-1.2999999999999999E-2</v>
      </c>
      <c r="N87" s="112">
        <v>4.0000000000000001E-3</v>
      </c>
      <c r="O87" s="112">
        <v>-1.2E-2</v>
      </c>
      <c r="P87" s="90"/>
      <c r="Q87" s="91">
        <f t="shared" si="14"/>
        <v>0</v>
      </c>
      <c r="R87" s="91">
        <f t="shared" si="15"/>
        <v>0</v>
      </c>
      <c r="S87" s="91">
        <f t="shared" si="16"/>
        <v>0</v>
      </c>
      <c r="T87" s="92">
        <f t="shared" si="26"/>
        <v>0</v>
      </c>
      <c r="U87" s="93" t="str">
        <f t="shared" si="17"/>
        <v/>
      </c>
      <c r="V87" s="94" t="str">
        <f>IF(OR($AM87="",ISNUMBER($AM87)=FALSE),"",IF(AND(#REF!="Tolerance",$E87&lt;&gt;""),($S87-$E87)/(($J87-$K87)/2),IF(AND(#REF!="GD&amp;T",$F87&lt;&gt;""),$S87/$F87,"")))</f>
        <v/>
      </c>
      <c r="W87" s="94" t="str">
        <f t="shared" si="23"/>
        <v/>
      </c>
      <c r="X87" s="93" t="str">
        <f t="shared" si="18"/>
        <v/>
      </c>
      <c r="Y87" s="93" t="str">
        <f t="shared" si="19"/>
        <v/>
      </c>
      <c r="Z87" s="93" t="str">
        <f t="shared" si="20"/>
        <v/>
      </c>
      <c r="AA87" s="32" t="str">
        <f t="shared" si="21"/>
        <v/>
      </c>
      <c r="AB87" s="33" t="e">
        <f>IF($S87="","",IF(#REF!="Tolerance",IF((#REF!*3*T87+S87)-E87&lt;F87,"",(#REF!*3*T87+S87)-E87),IF(OR(#REF!="GD&amp;T",#REF!="MAX"),IF((#REF!*3*T87+S87)&lt;F87,"",(#REF!*3*T87+S87)),"")))</f>
        <v>#REF!</v>
      </c>
      <c r="AC87" s="33" t="e">
        <f>IF(S87="","",IF(#REF!="Tolerance",IF(-((#REF!*3*T87)-S87)-E87&gt;G87,"",-((#REF!*3*T87)-S87)-E87),IF(#REF!="MIN",IF(-((#REF!*3*T87)-S87)&gt;G87,"",-((#REF!*3*T87)-S87)),"")))</f>
        <v>#REF!</v>
      </c>
      <c r="AD87" s="33">
        <f t="shared" si="24"/>
        <v>-4.9999999999999992E-3</v>
      </c>
      <c r="AE87" s="33" t="str">
        <f t="shared" si="22"/>
        <v/>
      </c>
      <c r="AF87" s="95"/>
      <c r="AG87" s="96" t="str">
        <f t="shared" si="25"/>
        <v/>
      </c>
      <c r="AH87" s="115"/>
      <c r="AI87" s="97"/>
      <c r="AJ87" s="97"/>
      <c r="AK87" s="98"/>
      <c r="AM87" s="99"/>
      <c r="AN87" s="99"/>
      <c r="AO87" s="99"/>
      <c r="AP87" s="99"/>
      <c r="AQ87" s="99"/>
      <c r="AR87" s="99"/>
      <c r="AS87" s="99"/>
      <c r="AT87" s="99"/>
      <c r="AU87" s="99"/>
      <c r="AV87" s="99"/>
      <c r="AW87" s="99"/>
      <c r="AX87" s="99"/>
      <c r="AY87" s="99"/>
      <c r="AZ87" s="99"/>
      <c r="BA87" s="99"/>
      <c r="BB87" s="99"/>
      <c r="BC87" s="99"/>
      <c r="BD87" s="99"/>
      <c r="BE87" s="99"/>
      <c r="BF87" s="99"/>
      <c r="BG87" s="99"/>
      <c r="BH87" s="99"/>
      <c r="BI87" s="99"/>
      <c r="BJ87" s="99"/>
      <c r="BK87" s="99"/>
      <c r="BL87" s="99"/>
      <c r="BM87" s="99"/>
      <c r="BN87" s="99"/>
      <c r="BO87" s="99"/>
      <c r="BP87" s="99"/>
      <c r="BQ87" s="99"/>
      <c r="BR87" s="99"/>
    </row>
    <row r="88" spans="2:70" ht="19.149999999999999" customHeight="1">
      <c r="B88" s="83" t="s">
        <v>270</v>
      </c>
      <c r="C88" s="35" t="s">
        <v>292</v>
      </c>
      <c r="D88" s="84" t="s">
        <v>45</v>
      </c>
      <c r="E88" s="85">
        <v>15.302</v>
      </c>
      <c r="F88" s="86">
        <v>0.02</v>
      </c>
      <c r="G88" s="86">
        <v>-0.02</v>
      </c>
      <c r="H88" s="87" t="s">
        <v>46</v>
      </c>
      <c r="I88" s="88"/>
      <c r="J88" s="89">
        <v>15.321999999999999</v>
      </c>
      <c r="K88" s="89">
        <v>15.282</v>
      </c>
      <c r="L88" s="112">
        <v>15.318999999999999</v>
      </c>
      <c r="M88" s="112">
        <v>15.285</v>
      </c>
      <c r="N88" s="112"/>
      <c r="O88" s="112"/>
      <c r="P88" s="90"/>
      <c r="Q88" s="91">
        <f t="shared" si="14"/>
        <v>0</v>
      </c>
      <c r="R88" s="91">
        <f t="shared" si="15"/>
        <v>0</v>
      </c>
      <c r="S88" s="91">
        <f t="shared" si="16"/>
        <v>0</v>
      </c>
      <c r="T88" s="92">
        <f t="shared" si="26"/>
        <v>0</v>
      </c>
      <c r="U88" s="93" t="str">
        <f t="shared" si="17"/>
        <v/>
      </c>
      <c r="V88" s="94" t="str">
        <f>IF(OR($AM88="",ISNUMBER($AM88)=FALSE),"",IF(AND(#REF!="Tolerance",$E88&lt;&gt;""),($S88-$E88)/(($J88-$K88)/2),IF(AND(#REF!="GD&amp;T",$F88&lt;&gt;""),$S88/$F88,"")))</f>
        <v/>
      </c>
      <c r="W88" s="94" t="str">
        <f t="shared" si="23"/>
        <v/>
      </c>
      <c r="X88" s="93" t="str">
        <f t="shared" si="18"/>
        <v/>
      </c>
      <c r="Y88" s="93" t="str">
        <f t="shared" si="19"/>
        <v/>
      </c>
      <c r="Z88" s="93" t="str">
        <f t="shared" si="20"/>
        <v/>
      </c>
      <c r="AA88" s="32" t="str">
        <f t="shared" si="21"/>
        <v/>
      </c>
      <c r="AB88" s="33" t="e">
        <f>IF($S88="","",IF(#REF!="Tolerance",IF((#REF!*3*T88+S88)-E88&lt;F88,"",(#REF!*3*T88+S88)-E88),IF(OR(#REF!="GD&amp;T",#REF!="MAX"),IF((#REF!*3*T88+S88)&lt;F88,"",(#REF!*3*T88+S88)),"")))</f>
        <v>#REF!</v>
      </c>
      <c r="AC88" s="33" t="e">
        <f>IF(S88="","",IF(#REF!="Tolerance",IF(-((#REF!*3*T88)-S88)-E88&gt;G88,"",-((#REF!*3*T88)-S88)-E88),IF(#REF!="MIN",IF(-((#REF!*3*T88)-S88)&gt;G88,"",-((#REF!*3*T88)-S88)),"")))</f>
        <v>#REF!</v>
      </c>
      <c r="AD88" s="33">
        <f t="shared" si="24"/>
        <v>15.302</v>
      </c>
      <c r="AE88" s="33" t="str">
        <f t="shared" si="22"/>
        <v/>
      </c>
      <c r="AF88" s="95"/>
      <c r="AG88" s="96" t="str">
        <f t="shared" si="25"/>
        <v/>
      </c>
      <c r="AH88" s="115"/>
      <c r="AI88" s="97"/>
      <c r="AJ88" s="97"/>
      <c r="AK88" s="98"/>
      <c r="AM88" s="99"/>
      <c r="AN88" s="99"/>
      <c r="AO88" s="99"/>
      <c r="AP88" s="99"/>
      <c r="AQ88" s="99"/>
      <c r="AR88" s="99"/>
      <c r="AS88" s="99"/>
      <c r="AT88" s="99"/>
      <c r="AU88" s="99"/>
      <c r="AV88" s="99"/>
      <c r="AW88" s="99"/>
      <c r="AX88" s="99"/>
      <c r="AY88" s="99"/>
      <c r="AZ88" s="99"/>
      <c r="BA88" s="99"/>
      <c r="BB88" s="99"/>
      <c r="BC88" s="99"/>
      <c r="BD88" s="99"/>
      <c r="BE88" s="99"/>
      <c r="BF88" s="99"/>
      <c r="BG88" s="99"/>
      <c r="BH88" s="99"/>
      <c r="BI88" s="99"/>
      <c r="BJ88" s="99"/>
      <c r="BK88" s="99"/>
      <c r="BL88" s="99"/>
      <c r="BM88" s="99"/>
      <c r="BN88" s="99"/>
      <c r="BO88" s="99"/>
      <c r="BP88" s="99"/>
      <c r="BQ88" s="99"/>
      <c r="BR88" s="99"/>
    </row>
    <row r="89" spans="2:70" ht="19.149999999999999" customHeight="1">
      <c r="B89" s="83" t="s">
        <v>270</v>
      </c>
      <c r="C89" s="35" t="s">
        <v>293</v>
      </c>
      <c r="D89" s="84" t="s">
        <v>45</v>
      </c>
      <c r="E89" s="85">
        <v>15.302</v>
      </c>
      <c r="F89" s="86">
        <v>0.02</v>
      </c>
      <c r="G89" s="86">
        <v>-0.02</v>
      </c>
      <c r="H89" s="87" t="s">
        <v>46</v>
      </c>
      <c r="I89" s="88"/>
      <c r="J89" s="89">
        <v>15.321999999999999</v>
      </c>
      <c r="K89" s="89">
        <v>15.282</v>
      </c>
      <c r="L89" s="112">
        <v>15.318999999999999</v>
      </c>
      <c r="M89" s="112">
        <v>15.285</v>
      </c>
      <c r="N89" s="112"/>
      <c r="O89" s="112"/>
      <c r="P89" s="90"/>
      <c r="Q89" s="91">
        <f t="shared" si="14"/>
        <v>0</v>
      </c>
      <c r="R89" s="91">
        <f t="shared" si="15"/>
        <v>0</v>
      </c>
      <c r="S89" s="91">
        <f t="shared" si="16"/>
        <v>0</v>
      </c>
      <c r="T89" s="92">
        <f t="shared" si="26"/>
        <v>0</v>
      </c>
      <c r="U89" s="93" t="str">
        <f t="shared" si="17"/>
        <v/>
      </c>
      <c r="V89" s="94" t="str">
        <f>IF(OR($AM89="",ISNUMBER($AM89)=FALSE),"",IF(AND(#REF!="Tolerance",$E89&lt;&gt;""),($S89-$E89)/(($J89-$K89)/2),IF(AND(#REF!="GD&amp;T",$F89&lt;&gt;""),$S89/$F89,"")))</f>
        <v/>
      </c>
      <c r="W89" s="94" t="str">
        <f t="shared" si="23"/>
        <v/>
      </c>
      <c r="X89" s="93" t="str">
        <f t="shared" si="18"/>
        <v/>
      </c>
      <c r="Y89" s="93" t="str">
        <f t="shared" si="19"/>
        <v/>
      </c>
      <c r="Z89" s="93" t="str">
        <f t="shared" si="20"/>
        <v/>
      </c>
      <c r="AA89" s="32" t="str">
        <f t="shared" si="21"/>
        <v/>
      </c>
      <c r="AB89" s="33" t="e">
        <f>IF($S89="","",IF(#REF!="Tolerance",IF((#REF!*3*T89+S89)-E89&lt;F89,"",(#REF!*3*T89+S89)-E89),IF(OR(#REF!="GD&amp;T",#REF!="MAX"),IF((#REF!*3*T89+S89)&lt;F89,"",(#REF!*3*T89+S89)),"")))</f>
        <v>#REF!</v>
      </c>
      <c r="AC89" s="33" t="e">
        <f>IF(S89="","",IF(#REF!="Tolerance",IF(-((#REF!*3*T89)-S89)-E89&gt;G89,"",-((#REF!*3*T89)-S89)-E89),IF(#REF!="MIN",IF(-((#REF!*3*T89)-S89)&gt;G89,"",-((#REF!*3*T89)-S89)),"")))</f>
        <v>#REF!</v>
      </c>
      <c r="AD89" s="33">
        <f t="shared" si="24"/>
        <v>15.302</v>
      </c>
      <c r="AE89" s="33" t="str">
        <f t="shared" si="22"/>
        <v/>
      </c>
      <c r="AF89" s="95"/>
      <c r="AG89" s="96" t="str">
        <f t="shared" si="25"/>
        <v/>
      </c>
      <c r="AH89" s="115"/>
      <c r="AI89" s="97"/>
      <c r="AJ89" s="97"/>
      <c r="AK89" s="98"/>
      <c r="AM89" s="99"/>
      <c r="AN89" s="99"/>
      <c r="AO89" s="99"/>
      <c r="AP89" s="99"/>
      <c r="AQ89" s="99"/>
      <c r="AR89" s="99"/>
      <c r="AS89" s="99"/>
      <c r="AT89" s="99"/>
      <c r="AU89" s="99"/>
      <c r="AV89" s="99"/>
      <c r="AW89" s="99"/>
      <c r="AX89" s="99"/>
      <c r="AY89" s="99"/>
      <c r="AZ89" s="99"/>
      <c r="BA89" s="99"/>
      <c r="BB89" s="99"/>
      <c r="BC89" s="99"/>
      <c r="BD89" s="99"/>
      <c r="BE89" s="99"/>
      <c r="BF89" s="99"/>
      <c r="BG89" s="99"/>
      <c r="BH89" s="99"/>
      <c r="BI89" s="99"/>
      <c r="BJ89" s="99"/>
      <c r="BK89" s="99"/>
      <c r="BL89" s="99"/>
      <c r="BM89" s="99"/>
      <c r="BN89" s="99"/>
      <c r="BO89" s="99"/>
      <c r="BP89" s="99"/>
      <c r="BQ89" s="99"/>
      <c r="BR89" s="99"/>
    </row>
    <row r="90" spans="2:70" ht="19.149999999999999" customHeight="1">
      <c r="B90" s="83" t="s">
        <v>272</v>
      </c>
      <c r="C90" s="35" t="s">
        <v>294</v>
      </c>
      <c r="D90" s="84" t="s">
        <v>45</v>
      </c>
      <c r="E90" s="85">
        <v>1.8360000000000001</v>
      </c>
      <c r="F90" s="86">
        <v>0.02</v>
      </c>
      <c r="G90" s="86">
        <v>-0.02</v>
      </c>
      <c r="H90" s="87" t="s">
        <v>46</v>
      </c>
      <c r="I90" s="88"/>
      <c r="J90" s="89">
        <v>1.8560000000000001</v>
      </c>
      <c r="K90" s="89">
        <v>1.8160000000000001</v>
      </c>
      <c r="L90" s="112">
        <v>1.853</v>
      </c>
      <c r="M90" s="112">
        <v>1.8190000000000002</v>
      </c>
      <c r="N90" s="112"/>
      <c r="O90" s="112"/>
      <c r="P90" s="90"/>
      <c r="Q90" s="91">
        <f t="shared" si="14"/>
        <v>0</v>
      </c>
      <c r="R90" s="91">
        <f t="shared" si="15"/>
        <v>0</v>
      </c>
      <c r="S90" s="91">
        <f t="shared" si="16"/>
        <v>0</v>
      </c>
      <c r="T90" s="92">
        <f t="shared" si="26"/>
        <v>0</v>
      </c>
      <c r="U90" s="93" t="str">
        <f t="shared" si="17"/>
        <v/>
      </c>
      <c r="V90" s="94" t="str">
        <f>IF(OR($AM90="",ISNUMBER($AM90)=FALSE),"",IF(AND(#REF!="Tolerance",$E90&lt;&gt;""),($S90-$E90)/(($J90-$K90)/2),IF(AND(#REF!="GD&amp;T",$F90&lt;&gt;""),$S90/$F90,"")))</f>
        <v/>
      </c>
      <c r="W90" s="94" t="str">
        <f t="shared" si="23"/>
        <v/>
      </c>
      <c r="X90" s="93" t="str">
        <f t="shared" si="18"/>
        <v/>
      </c>
      <c r="Y90" s="93" t="str">
        <f t="shared" si="19"/>
        <v/>
      </c>
      <c r="Z90" s="93" t="str">
        <f t="shared" si="20"/>
        <v/>
      </c>
      <c r="AA90" s="32" t="str">
        <f t="shared" si="21"/>
        <v/>
      </c>
      <c r="AB90" s="33" t="e">
        <f>IF($S90="","",IF(#REF!="Tolerance",IF((#REF!*3*T90+S90)-E90&lt;F90,"",(#REF!*3*T90+S90)-E90),IF(OR(#REF!="GD&amp;T",#REF!="MAX"),IF((#REF!*3*T90+S90)&lt;F90,"",(#REF!*3*T90+S90)),"")))</f>
        <v>#REF!</v>
      </c>
      <c r="AC90" s="33" t="e">
        <f>IF(S90="","",IF(#REF!="Tolerance",IF(-((#REF!*3*T90)-S90)-E90&gt;G90,"",-((#REF!*3*T90)-S90)-E90),IF(#REF!="MIN",IF(-((#REF!*3*T90)-S90)&gt;G90,"",-((#REF!*3*T90)-S90)),"")))</f>
        <v>#REF!</v>
      </c>
      <c r="AD90" s="33">
        <f t="shared" si="24"/>
        <v>1.8360000000000001</v>
      </c>
      <c r="AE90" s="33" t="str">
        <f t="shared" si="22"/>
        <v/>
      </c>
      <c r="AF90" s="95"/>
      <c r="AG90" s="96" t="str">
        <f t="shared" si="25"/>
        <v/>
      </c>
      <c r="AH90" s="115"/>
      <c r="AI90" s="97"/>
      <c r="AJ90" s="97"/>
      <c r="AK90" s="98"/>
      <c r="AM90" s="99"/>
      <c r="AN90" s="99"/>
      <c r="AO90" s="99"/>
      <c r="AP90" s="99"/>
      <c r="AQ90" s="99"/>
      <c r="AR90" s="99"/>
      <c r="AS90" s="99"/>
      <c r="AT90" s="99"/>
      <c r="AU90" s="99"/>
      <c r="AV90" s="99"/>
      <c r="AW90" s="99"/>
      <c r="AX90" s="99"/>
      <c r="AY90" s="99"/>
      <c r="AZ90" s="99"/>
      <c r="BA90" s="99"/>
      <c r="BB90" s="99"/>
      <c r="BC90" s="99"/>
      <c r="BD90" s="99"/>
      <c r="BE90" s="99"/>
      <c r="BF90" s="99"/>
      <c r="BG90" s="99"/>
      <c r="BH90" s="99"/>
      <c r="BI90" s="99"/>
      <c r="BJ90" s="99"/>
      <c r="BK90" s="99"/>
      <c r="BL90" s="99"/>
      <c r="BM90" s="99"/>
      <c r="BN90" s="99"/>
      <c r="BO90" s="99"/>
      <c r="BP90" s="99"/>
      <c r="BQ90" s="99"/>
      <c r="BR90" s="99"/>
    </row>
    <row r="91" spans="2:70" ht="19.149999999999999" customHeight="1">
      <c r="B91" s="83" t="s">
        <v>309</v>
      </c>
      <c r="C91" s="35" t="s">
        <v>311</v>
      </c>
      <c r="D91" s="84" t="s">
        <v>45</v>
      </c>
      <c r="E91" s="85">
        <v>0.22</v>
      </c>
      <c r="F91" s="86">
        <v>0.02</v>
      </c>
      <c r="G91" s="86">
        <v>-0.02</v>
      </c>
      <c r="H91" s="87" t="s">
        <v>46</v>
      </c>
      <c r="I91" s="88">
        <v>0.23699999999999999</v>
      </c>
      <c r="J91" s="89">
        <v>0.24</v>
      </c>
      <c r="K91" s="89">
        <v>0.2</v>
      </c>
      <c r="L91" s="112">
        <v>0.23699999999999999</v>
      </c>
      <c r="M91" s="112">
        <v>0.20300000000000001</v>
      </c>
      <c r="N91" s="112"/>
      <c r="O91" s="112"/>
      <c r="P91" s="90"/>
      <c r="Q91" s="91">
        <f t="shared" si="14"/>
        <v>0</v>
      </c>
      <c r="R91" s="91">
        <f t="shared" si="15"/>
        <v>0</v>
      </c>
      <c r="S91" s="91">
        <f t="shared" si="16"/>
        <v>0</v>
      </c>
      <c r="T91" s="92">
        <f t="shared" si="26"/>
        <v>0</v>
      </c>
      <c r="U91" s="93" t="str">
        <f t="shared" si="17"/>
        <v/>
      </c>
      <c r="V91" s="94" t="str">
        <f>IF(OR($AM91="",ISNUMBER($AM91)=FALSE),"",IF(AND(#REF!="Tolerance",$E91&lt;&gt;""),($S91-$E91)/(($J91-$K91)/2),IF(AND(#REF!="GD&amp;T",$F91&lt;&gt;""),$S91/$F91,"")))</f>
        <v/>
      </c>
      <c r="W91" s="94" t="str">
        <f t="shared" si="23"/>
        <v/>
      </c>
      <c r="X91" s="93" t="str">
        <f t="shared" si="18"/>
        <v/>
      </c>
      <c r="Y91" s="93" t="str">
        <f t="shared" si="19"/>
        <v/>
      </c>
      <c r="Z91" s="93" t="str">
        <f t="shared" si="20"/>
        <v/>
      </c>
      <c r="AA91" s="32" t="str">
        <f t="shared" si="21"/>
        <v/>
      </c>
      <c r="AB91" s="33" t="e">
        <f>IF($S91="","",IF(#REF!="Tolerance",IF((#REF!*3*T91+S91)-E91&lt;F91,"",(#REF!*3*T91+S91)-E91),IF(OR(#REF!="GD&amp;T",#REF!="MAX"),IF((#REF!*3*T91+S91)&lt;F91,"",(#REF!*3*T91+S91)),"")))</f>
        <v>#REF!</v>
      </c>
      <c r="AC91" s="33" t="e">
        <f>IF(S91="","",IF(#REF!="Tolerance",IF(-((#REF!*3*T91)-S91)-E91&gt;G91,"",-((#REF!*3*T91)-S91)-E91),IF(#REF!="MIN",IF(-((#REF!*3*T91)-S91)&gt;G91,"",-((#REF!*3*T91)-S91)),"")))</f>
        <v>#REF!</v>
      </c>
      <c r="AD91" s="33">
        <f t="shared" si="24"/>
        <v>0.22</v>
      </c>
      <c r="AE91" s="33" t="str">
        <f t="shared" si="22"/>
        <v/>
      </c>
      <c r="AF91" s="95"/>
      <c r="AG91" s="96" t="str">
        <f t="shared" si="25"/>
        <v/>
      </c>
      <c r="AH91" s="115"/>
      <c r="AI91" s="97"/>
      <c r="AJ91" s="97"/>
      <c r="AK91" s="98"/>
      <c r="AM91" s="99"/>
      <c r="AN91" s="99"/>
      <c r="AO91" s="99"/>
      <c r="AP91" s="99"/>
      <c r="AQ91" s="99"/>
      <c r="AR91" s="99"/>
      <c r="AS91" s="99"/>
      <c r="AT91" s="99"/>
      <c r="AU91" s="99"/>
      <c r="AV91" s="99"/>
      <c r="AW91" s="99"/>
      <c r="AX91" s="99"/>
      <c r="AY91" s="99"/>
      <c r="AZ91" s="99"/>
      <c r="BA91" s="99"/>
      <c r="BB91" s="99"/>
      <c r="BC91" s="99"/>
      <c r="BD91" s="99"/>
      <c r="BE91" s="99"/>
      <c r="BF91" s="99"/>
      <c r="BG91" s="99"/>
      <c r="BH91" s="99"/>
      <c r="BI91" s="99"/>
      <c r="BJ91" s="99"/>
      <c r="BK91" s="99"/>
      <c r="BL91" s="99"/>
      <c r="BM91" s="99"/>
      <c r="BN91" s="99"/>
      <c r="BO91" s="99"/>
      <c r="BP91" s="99"/>
      <c r="BQ91" s="99"/>
      <c r="BR91" s="99"/>
    </row>
    <row r="92" spans="2:70" ht="19.149999999999999" customHeight="1">
      <c r="B92" s="83" t="s">
        <v>309</v>
      </c>
      <c r="C92" s="35" t="s">
        <v>312</v>
      </c>
      <c r="D92" s="84" t="s">
        <v>45</v>
      </c>
      <c r="E92" s="85">
        <v>0.22</v>
      </c>
      <c r="F92" s="86">
        <v>0.02</v>
      </c>
      <c r="G92" s="86">
        <v>-0.02</v>
      </c>
      <c r="H92" s="87" t="s">
        <v>46</v>
      </c>
      <c r="I92" s="88">
        <v>0.23699999999999999</v>
      </c>
      <c r="J92" s="89">
        <v>0.24</v>
      </c>
      <c r="K92" s="89">
        <v>0.2</v>
      </c>
      <c r="L92" s="112">
        <v>0.23699999999999999</v>
      </c>
      <c r="M92" s="112">
        <v>0.20300000000000001</v>
      </c>
      <c r="N92" s="112"/>
      <c r="O92" s="112"/>
      <c r="P92" s="90"/>
      <c r="Q92" s="91">
        <f t="shared" si="14"/>
        <v>0</v>
      </c>
      <c r="R92" s="91">
        <f t="shared" si="15"/>
        <v>0</v>
      </c>
      <c r="S92" s="91">
        <f t="shared" si="16"/>
        <v>0</v>
      </c>
      <c r="T92" s="92">
        <f t="shared" si="26"/>
        <v>0</v>
      </c>
      <c r="U92" s="93" t="str">
        <f t="shared" si="17"/>
        <v/>
      </c>
      <c r="V92" s="94" t="str">
        <f>IF(OR($AM92="",ISNUMBER($AM92)=FALSE),"",IF(AND(#REF!="Tolerance",$E92&lt;&gt;""),($S92-$E92)/(($J92-$K92)/2),IF(AND(#REF!="GD&amp;T",$F92&lt;&gt;""),$S92/$F92,"")))</f>
        <v/>
      </c>
      <c r="W92" s="94" t="str">
        <f t="shared" si="23"/>
        <v/>
      </c>
      <c r="X92" s="93" t="str">
        <f t="shared" si="18"/>
        <v/>
      </c>
      <c r="Y92" s="93" t="str">
        <f t="shared" si="19"/>
        <v/>
      </c>
      <c r="Z92" s="93" t="str">
        <f t="shared" si="20"/>
        <v/>
      </c>
      <c r="AA92" s="32" t="str">
        <f t="shared" si="21"/>
        <v/>
      </c>
      <c r="AB92" s="33" t="e">
        <f>IF($S92="","",IF(#REF!="Tolerance",IF((#REF!*3*T92+S92)-E92&lt;F92,"",(#REF!*3*T92+S92)-E92),IF(OR(#REF!="GD&amp;T",#REF!="MAX"),IF((#REF!*3*T92+S92)&lt;F92,"",(#REF!*3*T92+S92)),"")))</f>
        <v>#REF!</v>
      </c>
      <c r="AC92" s="33" t="e">
        <f>IF(S92="","",IF(#REF!="Tolerance",IF(-((#REF!*3*T92)-S92)-E92&gt;G92,"",-((#REF!*3*T92)-S92)-E92),IF(#REF!="MIN",IF(-((#REF!*3*T92)-S92)&gt;G92,"",-((#REF!*3*T92)-S92)),"")))</f>
        <v>#REF!</v>
      </c>
      <c r="AD92" s="33">
        <f t="shared" si="24"/>
        <v>0.22</v>
      </c>
      <c r="AE92" s="33" t="str">
        <f t="shared" si="22"/>
        <v/>
      </c>
      <c r="AF92" s="95"/>
      <c r="AG92" s="96" t="str">
        <f t="shared" si="25"/>
        <v/>
      </c>
      <c r="AH92" s="115"/>
      <c r="AI92" s="97"/>
      <c r="AJ92" s="97"/>
      <c r="AK92" s="98"/>
      <c r="AM92" s="99"/>
      <c r="AN92" s="99"/>
      <c r="AO92" s="99"/>
      <c r="AP92" s="99"/>
      <c r="AQ92" s="99"/>
      <c r="AR92" s="99"/>
      <c r="AS92" s="99"/>
      <c r="AT92" s="99"/>
      <c r="AU92" s="99"/>
      <c r="AV92" s="99"/>
      <c r="AW92" s="99"/>
      <c r="AX92" s="99"/>
      <c r="AY92" s="99"/>
      <c r="AZ92" s="99"/>
      <c r="BA92" s="99"/>
      <c r="BB92" s="99"/>
      <c r="BC92" s="99"/>
      <c r="BD92" s="99"/>
      <c r="BE92" s="99"/>
      <c r="BF92" s="99"/>
      <c r="BG92" s="99"/>
      <c r="BH92" s="99"/>
      <c r="BI92" s="99"/>
      <c r="BJ92" s="99"/>
      <c r="BK92" s="99"/>
      <c r="BL92" s="99"/>
      <c r="BM92" s="99"/>
      <c r="BN92" s="99"/>
      <c r="BO92" s="99"/>
      <c r="BP92" s="99"/>
      <c r="BQ92" s="99"/>
      <c r="BR92" s="99"/>
    </row>
    <row r="93" spans="2:70" ht="19.149999999999999" customHeight="1">
      <c r="B93" s="83" t="s">
        <v>310</v>
      </c>
      <c r="C93" s="35" t="s">
        <v>295</v>
      </c>
      <c r="D93" s="84" t="s">
        <v>45</v>
      </c>
      <c r="E93" s="85">
        <v>0.22</v>
      </c>
      <c r="F93" s="86">
        <v>0.03</v>
      </c>
      <c r="G93" s="86">
        <v>-0.02</v>
      </c>
      <c r="H93" s="87" t="s">
        <v>46</v>
      </c>
      <c r="I93" s="88">
        <v>0.23699999999999999</v>
      </c>
      <c r="J93" s="89">
        <v>0.25</v>
      </c>
      <c r="K93" s="89">
        <v>0.2</v>
      </c>
      <c r="L93" s="112">
        <v>0.2455</v>
      </c>
      <c r="M93" s="112">
        <v>0.20300000000000001</v>
      </c>
      <c r="N93" s="112"/>
      <c r="O93" s="112"/>
      <c r="P93" s="90"/>
      <c r="Q93" s="91">
        <f t="shared" si="14"/>
        <v>0</v>
      </c>
      <c r="R93" s="91">
        <f t="shared" si="15"/>
        <v>0</v>
      </c>
      <c r="S93" s="91">
        <f t="shared" si="16"/>
        <v>0</v>
      </c>
      <c r="T93" s="92">
        <f t="shared" si="26"/>
        <v>0</v>
      </c>
      <c r="U93" s="93" t="str">
        <f t="shared" si="17"/>
        <v/>
      </c>
      <c r="V93" s="94" t="str">
        <f>IF(OR($AM93="",ISNUMBER($AM93)=FALSE),"",IF(AND(#REF!="Tolerance",$E93&lt;&gt;""),($S93-$E93)/(($J93-$K93)/2),IF(AND(#REF!="GD&amp;T",$F93&lt;&gt;""),$S93/$F93,"")))</f>
        <v/>
      </c>
      <c r="W93" s="94" t="str">
        <f t="shared" si="23"/>
        <v/>
      </c>
      <c r="X93" s="93" t="str">
        <f t="shared" si="18"/>
        <v/>
      </c>
      <c r="Y93" s="93" t="str">
        <f t="shared" si="19"/>
        <v/>
      </c>
      <c r="Z93" s="93" t="str">
        <f t="shared" si="20"/>
        <v/>
      </c>
      <c r="AA93" s="32" t="str">
        <f t="shared" si="21"/>
        <v/>
      </c>
      <c r="AB93" s="33" t="e">
        <f>IF($S93="","",IF(#REF!="Tolerance",IF((#REF!*3*T93+S93)-E93&lt;F93,"",(#REF!*3*T93+S93)-E93),IF(OR(#REF!="GD&amp;T",#REF!="MAX"),IF((#REF!*3*T93+S93)&lt;F93,"",(#REF!*3*T93+S93)),"")))</f>
        <v>#REF!</v>
      </c>
      <c r="AC93" s="33" t="e">
        <f>IF(S93="","",IF(#REF!="Tolerance",IF(-((#REF!*3*T93)-S93)-E93&gt;G93,"",-((#REF!*3*T93)-S93)-E93),IF(#REF!="MIN",IF(-((#REF!*3*T93)-S93)&gt;G93,"",-((#REF!*3*T93)-S93)),"")))</f>
        <v>#REF!</v>
      </c>
      <c r="AD93" s="33">
        <f t="shared" si="24"/>
        <v>0.22500000000000001</v>
      </c>
      <c r="AE93" s="33" t="str">
        <f t="shared" si="22"/>
        <v/>
      </c>
      <c r="AF93" s="95"/>
      <c r="AG93" s="96" t="str">
        <f t="shared" si="25"/>
        <v/>
      </c>
      <c r="AH93" s="115"/>
      <c r="AI93" s="97"/>
      <c r="AJ93" s="97"/>
      <c r="AK93" s="98"/>
      <c r="AM93" s="99"/>
      <c r="AN93" s="99"/>
      <c r="AO93" s="99"/>
      <c r="AP93" s="99"/>
      <c r="AQ93" s="99"/>
      <c r="AR93" s="99"/>
      <c r="AS93" s="99"/>
      <c r="AT93" s="99"/>
      <c r="AU93" s="99"/>
      <c r="AV93" s="99"/>
      <c r="AW93" s="99"/>
      <c r="AX93" s="99"/>
      <c r="AY93" s="99"/>
      <c r="AZ93" s="99"/>
      <c r="BA93" s="99"/>
      <c r="BB93" s="99"/>
      <c r="BC93" s="99"/>
      <c r="BD93" s="99"/>
      <c r="BE93" s="99"/>
      <c r="BF93" s="99"/>
      <c r="BG93" s="99"/>
      <c r="BH93" s="99"/>
      <c r="BI93" s="99"/>
      <c r="BJ93" s="99"/>
      <c r="BK93" s="99"/>
      <c r="BL93" s="99"/>
      <c r="BM93" s="99"/>
      <c r="BN93" s="99"/>
      <c r="BO93" s="99"/>
      <c r="BP93" s="99"/>
      <c r="BQ93" s="99"/>
      <c r="BR93" s="99"/>
    </row>
    <row r="94" spans="2:70" ht="19.149999999999999" customHeight="1">
      <c r="B94" s="35" t="s">
        <v>310</v>
      </c>
      <c r="C94" s="35" t="s">
        <v>296</v>
      </c>
      <c r="D94" s="84" t="s">
        <v>45</v>
      </c>
      <c r="E94" s="85">
        <v>0.22</v>
      </c>
      <c r="F94" s="86">
        <v>0.03</v>
      </c>
      <c r="G94" s="86">
        <v>-0.02</v>
      </c>
      <c r="H94" s="87" t="s">
        <v>46</v>
      </c>
      <c r="I94" s="88">
        <v>0.23699999999999999</v>
      </c>
      <c r="J94" s="89">
        <v>0.25</v>
      </c>
      <c r="K94" s="89">
        <v>0.2</v>
      </c>
      <c r="L94" s="112">
        <v>0.2455</v>
      </c>
      <c r="M94" s="112">
        <v>0.20300000000000001</v>
      </c>
      <c r="N94" s="112"/>
      <c r="O94" s="112"/>
      <c r="P94" s="90"/>
      <c r="Q94" s="91">
        <f t="shared" si="14"/>
        <v>0</v>
      </c>
      <c r="R94" s="91">
        <f t="shared" si="15"/>
        <v>0</v>
      </c>
      <c r="S94" s="91">
        <f t="shared" si="16"/>
        <v>0</v>
      </c>
      <c r="T94" s="92">
        <f t="shared" si="26"/>
        <v>0</v>
      </c>
      <c r="U94" s="93" t="str">
        <f t="shared" si="17"/>
        <v/>
      </c>
      <c r="V94" s="94" t="str">
        <f>IF(OR($AM94="",ISNUMBER($AM94)=FALSE),"",IF(AND(#REF!="Tolerance",$E94&lt;&gt;""),($S94-$E94)/(($J94-$K94)/2),IF(AND(#REF!="GD&amp;T",$F94&lt;&gt;""),$S94/$F94,"")))</f>
        <v/>
      </c>
      <c r="W94" s="94" t="str">
        <f t="shared" si="23"/>
        <v/>
      </c>
      <c r="X94" s="93" t="str">
        <f t="shared" si="18"/>
        <v/>
      </c>
      <c r="Y94" s="93" t="str">
        <f t="shared" si="19"/>
        <v/>
      </c>
      <c r="Z94" s="93" t="str">
        <f t="shared" si="20"/>
        <v/>
      </c>
      <c r="AA94" s="32" t="str">
        <f t="shared" si="21"/>
        <v/>
      </c>
      <c r="AB94" s="33" t="e">
        <f>IF($S94="","",IF(#REF!="Tolerance",IF((#REF!*3*T94+S94)-E94&lt;F94,"",(#REF!*3*T94+S94)-E94),IF(OR(#REF!="GD&amp;T",#REF!="MAX"),IF((#REF!*3*T94+S94)&lt;F94,"",(#REF!*3*T94+S94)),"")))</f>
        <v>#REF!</v>
      </c>
      <c r="AC94" s="33" t="e">
        <f>IF(S94="","",IF(#REF!="Tolerance",IF(-((#REF!*3*T94)-S94)-E94&gt;G94,"",-((#REF!*3*T94)-S94)-E94),IF(#REF!="MIN",IF(-((#REF!*3*T94)-S94)&gt;G94,"",-((#REF!*3*T94)-S94)),"")))</f>
        <v>#REF!</v>
      </c>
      <c r="AD94" s="33">
        <f t="shared" si="24"/>
        <v>0.22500000000000001</v>
      </c>
      <c r="AE94" s="33" t="str">
        <f t="shared" si="22"/>
        <v/>
      </c>
      <c r="AF94" s="95"/>
      <c r="AG94" s="96" t="str">
        <f t="shared" si="25"/>
        <v/>
      </c>
      <c r="AH94" s="115"/>
      <c r="AI94" s="97"/>
      <c r="AJ94" s="97"/>
      <c r="AK94" s="98"/>
      <c r="AM94" s="99"/>
      <c r="AN94" s="99"/>
      <c r="AO94" s="99"/>
      <c r="AP94" s="99"/>
      <c r="AQ94" s="99"/>
      <c r="AR94" s="99"/>
      <c r="AS94" s="99"/>
      <c r="AT94" s="99"/>
      <c r="AU94" s="99"/>
      <c r="AV94" s="99"/>
      <c r="AW94" s="99"/>
      <c r="AX94" s="99"/>
      <c r="AY94" s="99"/>
      <c r="AZ94" s="99"/>
      <c r="BA94" s="99"/>
      <c r="BB94" s="99"/>
      <c r="BC94" s="99"/>
      <c r="BD94" s="99"/>
      <c r="BE94" s="99"/>
      <c r="BF94" s="99"/>
      <c r="BG94" s="99"/>
      <c r="BH94" s="99"/>
      <c r="BI94" s="99"/>
      <c r="BJ94" s="99"/>
      <c r="BK94" s="99"/>
      <c r="BL94" s="99"/>
      <c r="BM94" s="99"/>
      <c r="BN94" s="99"/>
      <c r="BO94" s="99"/>
      <c r="BP94" s="99"/>
      <c r="BQ94" s="99"/>
      <c r="BR94" s="99"/>
    </row>
    <row r="95" spans="2:70">
      <c r="AH95" s="114"/>
    </row>
  </sheetData>
  <mergeCells count="8">
    <mergeCell ref="AM3:BR4"/>
    <mergeCell ref="A1:AG1"/>
    <mergeCell ref="B3:K3"/>
    <mergeCell ref="Q3:AG3"/>
    <mergeCell ref="AI3:AK3"/>
    <mergeCell ref="AB4:AC4"/>
    <mergeCell ref="L4:M4"/>
    <mergeCell ref="N4:O4"/>
  </mergeCells>
  <phoneticPr fontId="10" type="noConversion"/>
  <conditionalFormatting sqref="AM6:BR94">
    <cfRule type="cellIs" dxfId="18" priority="1" stopIfTrue="1" operator="notBetween">
      <formula>$E6+$F6</formula>
      <formula>$E6+$G6</formula>
    </cfRule>
    <cfRule type="cellIs" dxfId="17" priority="2" operator="lessThan">
      <formula>$M6</formula>
    </cfRule>
    <cfRule type="cellIs" dxfId="16" priority="3" operator="greaterThan">
      <formula>$L6</formula>
    </cfRule>
  </conditionalFormatting>
  <conditionalFormatting sqref="AM17:BR18">
    <cfRule type="cellIs" dxfId="15" priority="56" operator="lessThan">
      <formula>$O17</formula>
    </cfRule>
    <cfRule type="cellIs" dxfId="14" priority="100" operator="greaterThan">
      <formula>$N17</formula>
    </cfRule>
  </conditionalFormatting>
  <conditionalFormatting sqref="AM27:BR27">
    <cfRule type="cellIs" dxfId="13" priority="52" operator="lessThan">
      <formula>$O27</formula>
    </cfRule>
    <cfRule type="cellIs" dxfId="12" priority="55" operator="greaterThan">
      <formula>$N27</formula>
    </cfRule>
  </conditionalFormatting>
  <conditionalFormatting sqref="AM45:BR48">
    <cfRule type="cellIs" dxfId="11" priority="50" operator="lessThan">
      <formula>$O45</formula>
    </cfRule>
    <cfRule type="cellIs" dxfId="10" priority="51" operator="greaterThan">
      <formula>$N45</formula>
    </cfRule>
  </conditionalFormatting>
  <conditionalFormatting sqref="AM64:BR79">
    <cfRule type="cellIs" dxfId="9" priority="42" operator="lessThan">
      <formula>$O64</formula>
    </cfRule>
    <cfRule type="cellIs" dxfId="8" priority="49" operator="greaterThan">
      <formula>$N64</formula>
    </cfRule>
  </conditionalFormatting>
  <conditionalFormatting sqref="AM81:BR81">
    <cfRule type="cellIs" dxfId="7" priority="10" operator="lessThan">
      <formula>$O81</formula>
    </cfRule>
    <cfRule type="cellIs" dxfId="6" priority="41" operator="greaterThan">
      <formula>$N81</formula>
    </cfRule>
  </conditionalFormatting>
  <conditionalFormatting sqref="AM83:BR83">
    <cfRule type="cellIs" dxfId="5" priority="8" operator="lessThan">
      <formula>$O83</formula>
    </cfRule>
    <cfRule type="cellIs" dxfId="4" priority="9" operator="greaterThan">
      <formula>$N83</formula>
    </cfRule>
  </conditionalFormatting>
  <conditionalFormatting sqref="AM85:BR85">
    <cfRule type="cellIs" dxfId="3" priority="6" operator="lessThan">
      <formula>$O85</formula>
    </cfRule>
    <cfRule type="cellIs" dxfId="2" priority="7" operator="greaterThan">
      <formula>$N85</formula>
    </cfRule>
  </conditionalFormatting>
  <conditionalFormatting sqref="AM87:BR87">
    <cfRule type="cellIs" dxfId="1" priority="4" operator="lessThan">
      <formula>$O87</formula>
    </cfRule>
    <cfRule type="cellIs" dxfId="0" priority="5" operator="greaterThan">
      <formula>$N87</formula>
    </cfRule>
  </conditionalFormatting>
  <dataValidations count="2">
    <dataValidation type="list" allowBlank="1" showInputMessage="1" showErrorMessage="1" sqref="I6:I15" xr:uid="{57C19EB5-10C0-D746-B1FA-431F25DC8ECD}">
      <formula1>gauging</formula1>
    </dataValidation>
    <dataValidation type="list" allowBlank="1" showInputMessage="1" showErrorMessage="1" sqref="H6:H15" xr:uid="{6358524C-3BBA-C248-B7F6-F7F4510B8439}">
      <formula1>insp_meth</formula1>
    </dataValidation>
  </dataValidations>
  <pageMargins left="0.75" right="0.75" top="1" bottom="1" header="0.5" footer="0.5"/>
  <pageSetup orientation="portrait" horizontalDpi="4294967292" vertic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Waiver Summary</vt:lpstr>
      <vt:lpstr>Shipping Lot List</vt:lpstr>
      <vt:lpstr>FAI</vt:lpstr>
      <vt:lpstr>SPC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Winter Test</cp:lastModifiedBy>
  <dcterms:created xsi:type="dcterms:W3CDTF">2018-08-03T17:39:04Z</dcterms:created>
  <dcterms:modified xsi:type="dcterms:W3CDTF">2026-01-13T22:31:06Z</dcterms:modified>
</cp:coreProperties>
</file>